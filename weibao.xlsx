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743"/>
  </bookViews>
  <sheets>
    <sheet name="硬件清单" sheetId="1" r:id="rId1"/>
    <sheet name="软件清单" sheetId="2" r:id="rId2"/>
    <sheet name="硬件人天清单" sheetId="3" r:id="rId3"/>
  </sheets>
  <externalReferences>
    <externalReference r:id="rId4"/>
  </externalReferences>
  <definedNames>
    <definedName name="_xlnm._FilterDatabase" localSheetId="0" hidden="1">硬件清单!$A$1:$M$8111</definedName>
    <definedName name="_xlnm._FilterDatabase" localSheetId="1" hidden="1">软件清单!$A$1:$G$55</definedName>
    <definedName name="_xlnm.Print_Area" localSheetId="0">硬件清单!$A:$M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<sst xmlns="http://schemas.openxmlformats.org/spreadsheetml/2006/main" count="51059" uniqueCount="24930">
  <si>
    <t>顺序号</t>
  </si>
  <si>
    <t>原表序号</t>
  </si>
  <si>
    <t>清查表序号</t>
  </si>
  <si>
    <t>产品大类</t>
  </si>
  <si>
    <t>产品</t>
  </si>
  <si>
    <t>维保内容</t>
  </si>
  <si>
    <t>S/N</t>
  </si>
  <si>
    <t>固资编号</t>
  </si>
  <si>
    <t>维保期限（月）</t>
  </si>
  <si>
    <t>备注</t>
  </si>
  <si>
    <t>是否原厂</t>
  </si>
  <si>
    <t>安装地点</t>
  </si>
  <si>
    <t>机房设备</t>
  </si>
  <si>
    <t>UPS系统（含电池组）</t>
  </si>
  <si>
    <r>
      <rPr>
        <sz val="12"/>
        <rFont val="宋体"/>
        <charset val="134"/>
      </rPr>
      <t>施耐德</t>
    </r>
    <r>
      <rPr>
        <sz val="12"/>
        <rFont val="Arial"/>
        <charset val="134"/>
      </rPr>
      <t>MGE Galaxy 7000 500KVA1</t>
    </r>
    <r>
      <rPr>
        <sz val="12"/>
        <rFont val="宋体"/>
        <charset val="134"/>
      </rPr>
      <t>及伊顿9395 500KVA</t>
    </r>
  </si>
  <si>
    <r>
      <rPr>
        <sz val="12"/>
        <rFont val="宋体"/>
        <charset val="134"/>
      </rPr>
      <t>施耐德：</t>
    </r>
    <r>
      <rPr>
        <sz val="12"/>
        <rFont val="Arial"/>
        <charset val="134"/>
      </rPr>
      <t>UJ-2W7T04001</t>
    </r>
    <r>
      <rPr>
        <sz val="12"/>
        <rFont val="宋体"/>
        <charset val="134"/>
      </rPr>
      <t>、伊顿</t>
    </r>
    <r>
      <rPr>
        <sz val="12"/>
        <rFont val="Arial"/>
        <charset val="134"/>
      </rPr>
      <t>:4L385BAB03</t>
    </r>
  </si>
  <si>
    <t>140701-2017-000002</t>
  </si>
  <si>
    <t>原厂</t>
  </si>
  <si>
    <t>TK-F01-配电间东侧</t>
  </si>
  <si>
    <t>网络设备</t>
  </si>
  <si>
    <t>交换机</t>
  </si>
  <si>
    <t>广州毅航ISX6000</t>
  </si>
  <si>
    <t>SNC-4000V3.0-201534-0025
SNC-4000V3.0-201534-0001
SNC-4000V3.0-291215-00211
SNC-4000V3.0-291215-00212
201804260092
201804260032</t>
  </si>
  <si>
    <t>140502-2019-000143</t>
  </si>
  <si>
    <t>XD-B02-KF-E12(35-37U)
XD-B02-KF-E12(33-34U)电源</t>
  </si>
  <si>
    <t>SNC-4000V3.0-201534-0027
SNC-4000V3.0-201534-0023
201811220063
201804260095</t>
  </si>
  <si>
    <t>140502-2019-000144</t>
  </si>
  <si>
    <t>XD-B02-KF-E13(33-34U)
XD-B02-KF-E13(37-38U)电源</t>
  </si>
  <si>
    <t>SNC-4000V3.0-201534-0026
SNC-4000V3.0-201534-0024
201811220094
201811220027</t>
  </si>
  <si>
    <t>140502-2019-000145</t>
  </si>
  <si>
    <t>XD-B02-KF-E13(30-31U)
XD-B02-KF-E13(35-36U)电源</t>
  </si>
  <si>
    <t>SNC-4000V3.0-201534-0021
SNC-4000V3.0-201534-0022
201804260025
201804260021</t>
  </si>
  <si>
    <t>140502-2019-000146</t>
  </si>
  <si>
    <t>XD-B02-KF-E14(30-31U)
XD-B02-KF-E14(32-33U)电源</t>
  </si>
  <si>
    <t>其他网络设备</t>
  </si>
  <si>
    <t>华为 Optix-OSN-1500</t>
  </si>
  <si>
    <t>2102300653P0KB000260</t>
  </si>
  <si>
    <t>140506-2019-000027</t>
  </si>
  <si>
    <t>XD-B02-KF-E05(31-35U)</t>
  </si>
  <si>
    <t>2102300653P0KB000259</t>
  </si>
  <si>
    <t>140506-2019-000028</t>
  </si>
  <si>
    <t>XD-B02-KF-E06(31-35U)</t>
  </si>
  <si>
    <t>2102300653P0KB000261</t>
  </si>
  <si>
    <t>140506-2019-000029</t>
  </si>
  <si>
    <t>XD-B02-KF-E07(31-35U)</t>
  </si>
  <si>
    <t>计算机</t>
  </si>
  <si>
    <t>其他计算机</t>
  </si>
  <si>
    <t>朗阁MailData邮件网关系统</t>
  </si>
  <si>
    <t>MDLZ-K1115-2U16S-2620V4-OBCR</t>
  </si>
  <si>
    <t>140107-2020-000001</t>
  </si>
  <si>
    <t>XD-B03-YD-C10(37-38U)</t>
  </si>
  <si>
    <t>MDLZ-K1115-2U16S-2620V4-OBCQ</t>
  </si>
  <si>
    <t>140107-2020-000002</t>
  </si>
  <si>
    <t>XD-B03-YD-C10(35-36U)</t>
  </si>
  <si>
    <t>MDLZ-K1115-2U16S-2620V4-OBEB</t>
  </si>
  <si>
    <t>140107-2020-000003</t>
  </si>
  <si>
    <t>XD-B03-YD-C10(41-42U)</t>
  </si>
  <si>
    <t>MDLZ-K1115-2U16S-2620V4-OBEA</t>
  </si>
  <si>
    <t>140107-2020-000004</t>
  </si>
  <si>
    <t>XD-B03-YD-C10(39-40U)</t>
  </si>
  <si>
    <t>链路负载均衡器</t>
  </si>
  <si>
    <t>F5 VIPROPN 2400</t>
  </si>
  <si>
    <t>chs408148s</t>
  </si>
  <si>
    <t>140503-2014-000220</t>
  </si>
  <si>
    <t>TK-F01-101-G2(27-30U)</t>
  </si>
  <si>
    <t>安全保密</t>
  </si>
  <si>
    <t>防火墙</t>
  </si>
  <si>
    <t>华为 USG6660</t>
  </si>
  <si>
    <t>210235G7G510EA000007</t>
  </si>
  <si>
    <t>140601-2014-000012</t>
  </si>
  <si>
    <t>TK-F01-101-G2(35-37U)</t>
  </si>
  <si>
    <t>华三 S12510-X</t>
  </si>
  <si>
    <t>210235AOXXX149000045</t>
  </si>
  <si>
    <t>140502-2014-001091</t>
  </si>
  <si>
    <t>TK-F01-101-G3(3-23U)</t>
  </si>
  <si>
    <t>chs408167s</t>
  </si>
  <si>
    <t>140503-2014-000221</t>
  </si>
  <si>
    <t>TK-F01-101-G3(27-30U)</t>
  </si>
  <si>
    <t>210235G7G510EA000011</t>
  </si>
  <si>
    <t>140601-2014-000013</t>
  </si>
  <si>
    <t>TK-F01-101-G3(35-37U)</t>
  </si>
  <si>
    <t>210235AOXXX149000022</t>
  </si>
  <si>
    <t>140502-2014-001092</t>
  </si>
  <si>
    <t>TK-F01-101-G2(3-23U)</t>
  </si>
  <si>
    <t>应用负载均衡器</t>
  </si>
  <si>
    <t>F5 2400</t>
  </si>
  <si>
    <t>chs408155s
(bid009916s bid009926s)</t>
  </si>
  <si>
    <t>140504-2014-000397</t>
  </si>
  <si>
    <t>TK-F01-101-G4(10-13U)</t>
  </si>
  <si>
    <t>Radware alteon5412</t>
  </si>
  <si>
    <t>31405652</t>
  </si>
  <si>
    <t>140504-2014-000398</t>
  </si>
  <si>
    <t>TK-F01-101-G4(16-17U)</t>
  </si>
  <si>
    <t>31405713</t>
  </si>
  <si>
    <t>140504-2014-000399</t>
  </si>
  <si>
    <t>TK-F01-101-G4(19-20U)</t>
  </si>
  <si>
    <t>加密设备</t>
  </si>
  <si>
    <t>chs408180s</t>
  </si>
  <si>
    <t>140606-2014-000006</t>
  </si>
  <si>
    <t>TK-F01-101-G4(27-30U)</t>
  </si>
  <si>
    <t>210235G7G510EA000008</t>
  </si>
  <si>
    <t>140601-2014-000014</t>
  </si>
  <si>
    <t>TK-F01-101-G4(34-36U)</t>
  </si>
  <si>
    <t>chs408153s
(bid009925s bid009913s)</t>
  </si>
  <si>
    <t>140504-2014-000396</t>
  </si>
  <si>
    <t>TK-F01-101-G4(4-7U)</t>
  </si>
  <si>
    <t>华为 USG9520</t>
  </si>
  <si>
    <t>210235A0HAH14A000296</t>
  </si>
  <si>
    <t>140601-2014-000015</t>
  </si>
  <si>
    <t>TK-F01-101-G5(20-24U)</t>
  </si>
  <si>
    <t>chs408149s</t>
  </si>
  <si>
    <t>140606-2014-000007</t>
  </si>
  <si>
    <t>TK-F01-101-G5(27-30U)</t>
  </si>
  <si>
    <t>路由器</t>
  </si>
  <si>
    <t>思科 ASR1004-CB</t>
  </si>
  <si>
    <t>FXS1751Q1KZ</t>
  </si>
  <si>
    <t>140501-2014-000553</t>
  </si>
  <si>
    <t>TK-F01-101-G5(3-6U)</t>
  </si>
  <si>
    <t>210235A0HAH14A000246</t>
  </si>
  <si>
    <t>140601-2014-000016</t>
  </si>
  <si>
    <t>TK-F01-101-G6(20-24U)</t>
  </si>
  <si>
    <t>chs408151s</t>
  </si>
  <si>
    <t>140606-2014-000008</t>
  </si>
  <si>
    <t>TK-F01-101-G6(27-30U)</t>
  </si>
  <si>
    <t>FXS1745Q0TX</t>
  </si>
  <si>
    <t>140501-2014-000554</t>
  </si>
  <si>
    <t>TK-F01-101-G6(3-6U)</t>
  </si>
  <si>
    <t>空调系统</t>
  </si>
  <si>
    <t>艾默生PEX系列－P2070</t>
  </si>
  <si>
    <t>2101301843213b040001</t>
  </si>
  <si>
    <t>140702-2014-000018</t>
  </si>
  <si>
    <t>TK-F01-101东侧空调</t>
  </si>
  <si>
    <t>21013018432133030008</t>
  </si>
  <si>
    <t>140702-2014-000019</t>
  </si>
  <si>
    <t>TK-F01-101西侧空调</t>
  </si>
  <si>
    <t>华为 AR2240</t>
  </si>
  <si>
    <t>2102113373POE9000338</t>
  </si>
  <si>
    <t>140501-2014-000566</t>
  </si>
  <si>
    <t>TK-F01-104-H1(14-15U)</t>
  </si>
  <si>
    <t>21021133736TEA900017</t>
  </si>
  <si>
    <t>140501-2014-000565</t>
  </si>
  <si>
    <t>TK-F01-104-H1(17-18U)</t>
  </si>
  <si>
    <t>华为 USG6530</t>
  </si>
  <si>
    <t>210235951510EA000034</t>
  </si>
  <si>
    <t>140601-2014-000024</t>
  </si>
  <si>
    <t>TK-F01-104-H2(14-14U)</t>
  </si>
  <si>
    <t>210235951510EA000050</t>
  </si>
  <si>
    <t>140601-2014-000023</t>
  </si>
  <si>
    <t>TK-F01-104-H2(16-16U)</t>
  </si>
  <si>
    <t>21021133736TEA900076</t>
  </si>
  <si>
    <t>140501-2014-000562</t>
  </si>
  <si>
    <t>TK-F01-104-H2(19-20U)</t>
  </si>
  <si>
    <t>21021133736TEA900021</t>
  </si>
  <si>
    <t>140501-2014-000561</t>
  </si>
  <si>
    <t>TK-F01-104-H2(22-23U)</t>
  </si>
  <si>
    <t>21021133736TEA900022</t>
  </si>
  <si>
    <t>140501-2014-000564</t>
  </si>
  <si>
    <t>TK-F01-104-H2(26-27U)</t>
  </si>
  <si>
    <t>21021133736TE9900888</t>
  </si>
  <si>
    <t>140501-2014-000563</t>
  </si>
  <si>
    <t>TK-F01-104-H2(29-30U)</t>
  </si>
  <si>
    <t>存储设备</t>
  </si>
  <si>
    <t>磁盘阵列存储器及其附属设备</t>
  </si>
  <si>
    <t>EMC VNX5400</t>
  </si>
  <si>
    <t>CKM00143803402</t>
  </si>
  <si>
    <t>140201-2014-000639</t>
  </si>
  <si>
    <t>TK-F01-104-H6(04-12U)</t>
  </si>
  <si>
    <t>CKM00143802431</t>
  </si>
  <si>
    <t>140201-2014-000640</t>
  </si>
  <si>
    <t>TK-F01-104-H6(14-22U)</t>
  </si>
  <si>
    <t>EMC DS-6510B</t>
  </si>
  <si>
    <t>BRCBRW1937K07D</t>
  </si>
  <si>
    <t>140201-2014-000637</t>
  </si>
  <si>
    <t>TK-F01-104-H6(37-37U)</t>
  </si>
  <si>
    <t>BRCBRW1937K07G</t>
  </si>
  <si>
    <t>140201-2014-000638</t>
  </si>
  <si>
    <t>TK-F01-104-H6(35-35U)</t>
  </si>
  <si>
    <t>EMC DD2500</t>
  </si>
  <si>
    <t>FLC00144000082</t>
  </si>
  <si>
    <t>140201-2014-000641</t>
  </si>
  <si>
    <t>TK-F01-104-H7</t>
  </si>
  <si>
    <t>EMC Vplex Local+Vmax10K</t>
  </si>
  <si>
    <t>CKM00143605115,CK298701610</t>
  </si>
  <si>
    <t>140201-2014-000635</t>
  </si>
  <si>
    <t>TK-F01-104-H8</t>
  </si>
  <si>
    <t>CKM00143605115,CK298701601</t>
  </si>
  <si>
    <t>140201-2014-000636</t>
  </si>
  <si>
    <t>TK-F01-104-H9</t>
  </si>
  <si>
    <t>艾默生PEX系列－P3090</t>
  </si>
  <si>
    <t>2101301845214a010001</t>
  </si>
  <si>
    <t>140702-2014-000023</t>
  </si>
  <si>
    <t>TK-F01-104东侧空调</t>
  </si>
  <si>
    <r>
      <rPr>
        <sz val="12"/>
        <rFont val="宋体"/>
        <charset val="134"/>
      </rPr>
      <t>艾默生</t>
    </r>
    <r>
      <rPr>
        <sz val="12"/>
        <rFont val="Arial"/>
        <charset val="134"/>
      </rPr>
      <t>PEX</t>
    </r>
    <r>
      <rPr>
        <sz val="12"/>
        <rFont val="宋体"/>
        <charset val="134"/>
      </rPr>
      <t>系列－</t>
    </r>
    <r>
      <rPr>
        <sz val="12"/>
        <rFont val="Arial"/>
        <charset val="134"/>
      </rPr>
      <t>P3090</t>
    </r>
  </si>
  <si>
    <t>2101301845214A01007
2101301845214A010006</t>
  </si>
  <si>
    <t>140702-2014-000028</t>
  </si>
  <si>
    <t>TK-F01-104西侧空调</t>
  </si>
  <si>
    <t>21013018452153010005</t>
  </si>
  <si>
    <t>140702-2014-000026</t>
  </si>
  <si>
    <t>TK-F01-106-5</t>
  </si>
  <si>
    <t>H3C S12508</t>
  </si>
  <si>
    <t>210235AOE6X126000021</t>
  </si>
  <si>
    <t>140502-2012-000692</t>
  </si>
  <si>
    <t>TK-F01-106-A1(21-26U)</t>
  </si>
  <si>
    <t>210235AOE6X126000034</t>
  </si>
  <si>
    <t>140502-2012-000693</t>
  </si>
  <si>
    <t>TK-F01-106-A2(19-26U)</t>
  </si>
  <si>
    <t>Cisco ASR9010</t>
  </si>
  <si>
    <t>FOX1629H16F</t>
  </si>
  <si>
    <t>140501-2012-000511</t>
  </si>
  <si>
    <t>TK-F01-106-A6(5-25U)</t>
  </si>
  <si>
    <t>思科 A9K-SIP-700</t>
  </si>
  <si>
    <t>FOC1812N2AG</t>
  </si>
  <si>
    <t>140501-2014-000557</t>
  </si>
  <si>
    <t>TK-F01-106-A6(4-15U)</t>
  </si>
  <si>
    <t>FOX1630HC6Z</t>
  </si>
  <si>
    <t>140501-2012-000512</t>
  </si>
  <si>
    <t>TK-F01-106-A7(5-25U)</t>
  </si>
  <si>
    <t>FOC1815N7WH</t>
  </si>
  <si>
    <t>140501-2014-000558</t>
  </si>
  <si>
    <t>TK-F01-106-A7(4-15U)</t>
  </si>
  <si>
    <t>客票安全系统</t>
  </si>
  <si>
    <t>永达 ASG1000-III/EE</t>
  </si>
  <si>
    <t>ASG1000III2EDF252893</t>
  </si>
  <si>
    <t>140607-2014-000186</t>
  </si>
  <si>
    <t>TK-F01-106-C10(16-17U)</t>
  </si>
  <si>
    <t>永达 AFW2000-III</t>
  </si>
  <si>
    <t>AFW20002EF106CB92</t>
  </si>
  <si>
    <t>140607-2014-000183</t>
  </si>
  <si>
    <t>TK-F01-106-C10(26-26U)</t>
  </si>
  <si>
    <t>AFW2000II2ED2DCA0B8</t>
  </si>
  <si>
    <t>140607-2014-000184</t>
  </si>
  <si>
    <t>TK-F01-106-C10(28-28U)</t>
  </si>
  <si>
    <t>chs405143s</t>
  </si>
  <si>
    <t>140504-2014-000403</t>
  </si>
  <si>
    <t>TK-F01-106-D0(9-12U)</t>
  </si>
  <si>
    <t>chs405290s</t>
  </si>
  <si>
    <t>140504-2014-000402</t>
  </si>
  <si>
    <t>TK-F01-106-D0(15-18U)</t>
  </si>
  <si>
    <t>SAN 交换机</t>
  </si>
  <si>
    <t>HDS brocade8510-4</t>
  </si>
  <si>
    <t>ANN2545J00E</t>
  </si>
  <si>
    <t>140202-2014-000049</t>
  </si>
  <si>
    <t>TK-F02-226-D07(18-25U)</t>
  </si>
  <si>
    <t>ANN2547J005</t>
  </si>
  <si>
    <t>140202-2014-000050</t>
  </si>
  <si>
    <t>TK-F02-226-D07(29-36U)</t>
  </si>
  <si>
    <t>UNIX服务器及其附属设备</t>
  </si>
  <si>
    <t>HP superdome2</t>
  </si>
  <si>
    <t>SGH451XFRS/CZC4493705</t>
  </si>
  <si>
    <t>140102-2014-000901</t>
  </si>
  <si>
    <t>购买介质保留服务</t>
  </si>
  <si>
    <t>TK-F01-106-D09机柜</t>
  </si>
  <si>
    <t>SGH451XFS0/CZC45137ER</t>
  </si>
  <si>
    <t>140102-2014-000900</t>
  </si>
  <si>
    <t>TK-F01-106-D10机柜</t>
  </si>
  <si>
    <t>HDS brocade DCX 8510-4</t>
  </si>
  <si>
    <t>ANN2539K021</t>
  </si>
  <si>
    <t>140202-2014-000042</t>
  </si>
  <si>
    <t>TK-F01-106-E02(19-26U)</t>
  </si>
  <si>
    <t>ANN2539K01S</t>
  </si>
  <si>
    <t>140202-2014-000041</t>
  </si>
  <si>
    <t>TK-F01-106-E02(30-37U)</t>
  </si>
  <si>
    <t>HDS VSP G1000</t>
  </si>
  <si>
    <t>50557
90201664</t>
  </si>
  <si>
    <t>140201-2014-000625</t>
  </si>
  <si>
    <t>TK-F01-106-E03</t>
  </si>
  <si>
    <t>其他存储设备</t>
  </si>
  <si>
    <t>HDS VSP G1000（扩容）</t>
  </si>
  <si>
    <t>无（扩容sn:50557）</t>
  </si>
  <si>
    <t>140205-2016-000002</t>
  </si>
  <si>
    <t>140201-2016-000001</t>
  </si>
  <si>
    <t>TK-F01-106-E04</t>
  </si>
  <si>
    <t>HDS MDS 9148</t>
  </si>
  <si>
    <t>AMS16191102</t>
  </si>
  <si>
    <t>140201-2012-000556</t>
  </si>
  <si>
    <t>TK-F01-106-F(11-11U)</t>
  </si>
  <si>
    <t>AMS15420566</t>
  </si>
  <si>
    <t>140201-2012-000555</t>
  </si>
  <si>
    <t>TK-F01-106-F(13-13U)</t>
  </si>
  <si>
    <t>Brocade DS-6510</t>
  </si>
  <si>
    <t>BRW2535K06L</t>
  </si>
  <si>
    <t>140202-2014-000040</t>
  </si>
  <si>
    <t>TK-F01-106-F(15-15U)</t>
  </si>
  <si>
    <t>BRW2541K05P</t>
  </si>
  <si>
    <t>140202-2014-000039</t>
  </si>
  <si>
    <t>TK-F01-106-F(17-17U)</t>
  </si>
  <si>
    <t>HDS VSP</t>
  </si>
  <si>
    <t>91266</t>
  </si>
  <si>
    <t>140201-2014-000623</t>
  </si>
  <si>
    <t>TK-F01-106-F03机柜</t>
  </si>
  <si>
    <t>91165</t>
  </si>
  <si>
    <t>140201-2014-000624</t>
  </si>
  <si>
    <t>TK-F01-106-F04机柜</t>
  </si>
  <si>
    <t>66818</t>
  </si>
  <si>
    <t>140201-2012-000554</t>
  </si>
  <si>
    <t>TK-F01-106-F05</t>
  </si>
  <si>
    <t>140201-2011-000172</t>
  </si>
  <si>
    <t>TK-F01-106-F09/10列</t>
  </si>
  <si>
    <t>54042</t>
  </si>
  <si>
    <t>140201-2011-000173</t>
  </si>
  <si>
    <t>TK-F01-106-F07/08列</t>
  </si>
  <si>
    <t>21021206134JC4000069</t>
  </si>
  <si>
    <t>140501-2014-000544</t>
  </si>
  <si>
    <t>TK-F01-106-C8(28-29U)</t>
  </si>
  <si>
    <t>安全隔离与信息交换（含网闸）</t>
  </si>
  <si>
    <t>永达ASG1000</t>
  </si>
  <si>
    <t>ASG1000III2EE4FB260A</t>
  </si>
  <si>
    <t>140605-2012-000016</t>
  </si>
  <si>
    <t>TK-F01-107-E7(14-15U)</t>
  </si>
  <si>
    <t>ASG1000III2EE4FB258B</t>
  </si>
  <si>
    <t>140607-2014-000101</t>
  </si>
  <si>
    <t>TK-F01-107-I10(11-12U)</t>
  </si>
  <si>
    <t>ASG1000III2EE4FB258C</t>
  </si>
  <si>
    <t>140607-2014-000095</t>
  </si>
  <si>
    <t>TK-F01-107-I10(14-15U)</t>
  </si>
  <si>
    <t>ASG1000III2EE4FB258E</t>
  </si>
  <si>
    <t>140607-2014-000097</t>
  </si>
  <si>
    <t>TK-F01-107-I10(16-17U)</t>
  </si>
  <si>
    <t>ASG1000III2EE4FB2596</t>
  </si>
  <si>
    <t>140607-2014-000099</t>
  </si>
  <si>
    <t>TK-F01-107-I10(18-19U)</t>
  </si>
  <si>
    <t>永达 YD-NODE2000S</t>
  </si>
  <si>
    <t>YD-NODE2000S4B07F9362</t>
  </si>
  <si>
    <t>140607-2014-000165</t>
  </si>
  <si>
    <t>TK-F01-107-I10(20-20U)</t>
  </si>
  <si>
    <t>永达 YD-LVS3000B</t>
  </si>
  <si>
    <t>YD-LVS3000B4B07F9362</t>
  </si>
  <si>
    <t>140607-2014-000120</t>
  </si>
  <si>
    <t>TK-F01-107-I10(24-25U)</t>
  </si>
  <si>
    <t>永达 YD-SMC3000B</t>
  </si>
  <si>
    <t>YD-SMC3000B4B07F9367</t>
  </si>
  <si>
    <t>140607-2014-000129</t>
  </si>
  <si>
    <t>TK-F01-107-I10(26-27U)</t>
  </si>
  <si>
    <t>YD-SMC3000B4B07F9360</t>
  </si>
  <si>
    <t>140607-2014-000128</t>
  </si>
  <si>
    <t>TK-F01-107-I10(28-29U)</t>
  </si>
  <si>
    <t>永达 YD-SAC3000B</t>
  </si>
  <si>
    <t>YD-SAC3000B4B07F9360</t>
  </si>
  <si>
    <t>140607-2014-000065</t>
  </si>
  <si>
    <t>TK-F01-107-I10(31-32U)</t>
  </si>
  <si>
    <t>YD-SAC3000B4B07F936D</t>
  </si>
  <si>
    <t>140607-2014-000068</t>
  </si>
  <si>
    <t>TK-F01-107-I10(34-35U)</t>
  </si>
  <si>
    <t>YD-SAC3000B4B07F9376</t>
  </si>
  <si>
    <t>140607-2014-000067</t>
  </si>
  <si>
    <t>TK-F01-107-I10(36-37U)</t>
  </si>
  <si>
    <t>YD-SAC3000B4B07F9365</t>
  </si>
  <si>
    <t>140607-2014-000066</t>
  </si>
  <si>
    <t>TK-F01-107-I10(38-39U)</t>
  </si>
  <si>
    <t>ASG1000III2EE4FB2597</t>
  </si>
  <si>
    <t>140607-2014-000098</t>
  </si>
  <si>
    <t>TK-F01-107-I10(5-6U)</t>
  </si>
  <si>
    <t>ASG1000III2EE4FB2586</t>
  </si>
  <si>
    <t>140607-2014-000100</t>
  </si>
  <si>
    <t>TK-F01-107-I10(7-8U)</t>
  </si>
  <si>
    <t>ASG1000III2EE4FB2595</t>
  </si>
  <si>
    <t>140607-2014-000096</t>
  </si>
  <si>
    <t>TK-F01-107-I10(9-10U)</t>
  </si>
  <si>
    <t>永达 YD-SDB3000E</t>
  </si>
  <si>
    <t>YD-SDB3000B4B07F9363</t>
  </si>
  <si>
    <t>140607-2014-000134</t>
  </si>
  <si>
    <t>TK-F01-107-I11(11-14U)</t>
  </si>
  <si>
    <t>YD-SDB3000B4B07F9361</t>
  </si>
  <si>
    <t>140607-2014-000133</t>
  </si>
  <si>
    <t>TK-F01-107-I11(15-18U)</t>
  </si>
  <si>
    <t>永达 YD-SDA10T</t>
  </si>
  <si>
    <t>7848374</t>
  </si>
  <si>
    <t>140607-2014-000132</t>
  </si>
  <si>
    <t>TK-F01-107-I11(24-25U)</t>
  </si>
  <si>
    <t>永达 YD-SFSW408</t>
  </si>
  <si>
    <t>10395GF</t>
  </si>
  <si>
    <t>140607-2014-000136</t>
  </si>
  <si>
    <t>TK-F01-107-I11(28-28U)</t>
  </si>
  <si>
    <t>10394RR</t>
  </si>
  <si>
    <t>140607-2014-000135</t>
  </si>
  <si>
    <t>TK-F01-107-I11(29-29U)</t>
  </si>
  <si>
    <t>YD-SAC3000B4B07F9370</t>
  </si>
  <si>
    <t>140607-2014-000069</t>
  </si>
  <si>
    <t>TK-F01-107-I11(34-35U)</t>
  </si>
  <si>
    <t>YD-SAC3000B4B07F9371</t>
  </si>
  <si>
    <t>140607-2014-000070</t>
  </si>
  <si>
    <t>TK-F01-107-I11(36-37U)</t>
  </si>
  <si>
    <t>YD-SAC3000B4B07F936A</t>
  </si>
  <si>
    <t>140607-2014-000071</t>
  </si>
  <si>
    <t>TK-F01-107-I11(38-39U)</t>
  </si>
  <si>
    <t>ASG1000III2EE4FB2604</t>
  </si>
  <si>
    <t>140607-2014-000104</t>
  </si>
  <si>
    <t>TK-F01-107-I11(5-6U)</t>
  </si>
  <si>
    <t>ASG1000-II2EEB00BDF1</t>
  </si>
  <si>
    <t>140607-2014-000102</t>
  </si>
  <si>
    <t>TK-F01-107-I11(7-8U)</t>
  </si>
  <si>
    <t>ASG1000III2EE4FB2583</t>
  </si>
  <si>
    <t>140607-2014-000103</t>
  </si>
  <si>
    <t>TK-F01-107-I11(9-10U)</t>
  </si>
  <si>
    <t>永达 YD-CFG2000E</t>
  </si>
  <si>
    <t>PC00U97Z</t>
  </si>
  <si>
    <t>140607-2014-000164</t>
  </si>
  <si>
    <t>TK-F01-107-I12(12-17U)</t>
  </si>
  <si>
    <t>永达 YD-NSDS3000B</t>
  </si>
  <si>
    <t>YD-NSDS3000B4B07F9364</t>
  </si>
  <si>
    <t>140607-2014-000169</t>
  </si>
  <si>
    <t>TK-F01-107-I12(18-18U)</t>
  </si>
  <si>
    <t>YD-NSDS3000B4B07F9362</t>
  </si>
  <si>
    <t>140607-2014-000170</t>
  </si>
  <si>
    <t>TK-F01-107-I12(19-19U)</t>
  </si>
  <si>
    <t>YD-LVS3000B4B07F9367</t>
  </si>
  <si>
    <t>140607-2014-000121</t>
  </si>
  <si>
    <t>TK-F01-107-I12(24-25U)</t>
  </si>
  <si>
    <t>YD-LVS3000B4B07F9368</t>
  </si>
  <si>
    <t>140607-2014-000122</t>
  </si>
  <si>
    <t>TK-F01-107-I12(26-27U)</t>
  </si>
  <si>
    <t>YD-LVS3000B4B07F9369</t>
  </si>
  <si>
    <t>140607-2014-000123</t>
  </si>
  <si>
    <t>TK-F01-107-I12(28-29U)</t>
  </si>
  <si>
    <t>YD-LVS3000B4B07F936B</t>
  </si>
  <si>
    <t>140607-2014-000124</t>
  </si>
  <si>
    <t>TK-F01-107-I12(30-31U)</t>
  </si>
  <si>
    <t>YD-SAC3000B4B07F936B</t>
  </si>
  <si>
    <t>140607-2014-000074</t>
  </si>
  <si>
    <t>TK-F01-107-I12(34-35U)</t>
  </si>
  <si>
    <t>YD-SAC3000B4B07F9372</t>
  </si>
  <si>
    <t>140607-2014-000072</t>
  </si>
  <si>
    <t>TK-F01-107-I12(36-37U)</t>
  </si>
  <si>
    <t>YD-SAC3000B4B07F9373</t>
  </si>
  <si>
    <t>140607-2014-000073</t>
  </si>
  <si>
    <t>TK-F01-107-I12(38-39U)</t>
  </si>
  <si>
    <t>ASG1000III2EE4FB2599</t>
  </si>
  <si>
    <t>140607-2014-000107</t>
  </si>
  <si>
    <t>TK-F01-107-I12(5-6U)</t>
  </si>
  <si>
    <t>ASG1000III2EE4FB2605</t>
  </si>
  <si>
    <t>140607-2014-000105</t>
  </si>
  <si>
    <t>TK-F01-107-I12(7-8U)</t>
  </si>
  <si>
    <t>ASG1000III2EE4FB2589</t>
  </si>
  <si>
    <t>140607-2014-000106</t>
  </si>
  <si>
    <t>TK-F01-107-I12(9-10U)</t>
  </si>
  <si>
    <t>ASG1000III2EE4FB2580</t>
  </si>
  <si>
    <t>140607-2014-000113</t>
  </si>
  <si>
    <t>TK-F01-107-I13(11-12U)</t>
  </si>
  <si>
    <t>ASG1000III2EE4FB2606</t>
  </si>
  <si>
    <t>140607-2014-000110</t>
  </si>
  <si>
    <t>TK-F01-107-I13(14-15U)</t>
  </si>
  <si>
    <t>ASG1000III2EE4FB259F</t>
  </si>
  <si>
    <t>140607-2014-000114</t>
  </si>
  <si>
    <t>TK-F01-107-I13(16-17U)</t>
  </si>
  <si>
    <t>ASG1000III2EE4FB259C</t>
  </si>
  <si>
    <t>140607-2014-000111</t>
  </si>
  <si>
    <t>TK-F01-107-I13(18-19U)</t>
  </si>
  <si>
    <t>YD-NODE2000S4B07F9361</t>
  </si>
  <si>
    <t>140607-2014-000166</t>
  </si>
  <si>
    <t>TK-F01-107-I13(20-20U)</t>
  </si>
  <si>
    <t>YD-LVS3000B4B07F9365</t>
  </si>
  <si>
    <t>140607-2014-000125</t>
  </si>
  <si>
    <t>TK-F01-107-I13(24-25U)</t>
  </si>
  <si>
    <t>YD-SMC3000B4B07F9366</t>
  </si>
  <si>
    <t>140607-2014-000131</t>
  </si>
  <si>
    <t>TK-F01-107-I13(26-27U)</t>
  </si>
  <si>
    <t>YD-SMC3000B4B07F9365</t>
  </si>
  <si>
    <t>140607-2014-000130</t>
  </si>
  <si>
    <t>TK-F01-107-I13(28-29U)</t>
  </si>
  <si>
    <t>YD-SAC3000B4B07F9362</t>
  </si>
  <si>
    <t>140607-2014-000076</t>
  </si>
  <si>
    <t>TK-F01-107-I13(31-32U)</t>
  </si>
  <si>
    <t>YD-SAC3000B4B07F9361</t>
  </si>
  <si>
    <t>140607-2014-000075</t>
  </si>
  <si>
    <t>TK-F01-107-I13(34-35U)</t>
  </si>
  <si>
    <t>YD-SAC3000B4B07F936C</t>
  </si>
  <si>
    <t>140607-2014-000077</t>
  </si>
  <si>
    <t>TK-F01-107-I13(36-37U)</t>
  </si>
  <si>
    <t>YD-SAC3000B4B07F936E</t>
  </si>
  <si>
    <t>140607-2014-000078</t>
  </si>
  <si>
    <t>TK-F01-107-I13(38-39U)</t>
  </si>
  <si>
    <t>ASG1000III2EE4FB2587</t>
  </si>
  <si>
    <t>140607-2014-000108</t>
  </si>
  <si>
    <t>TK-F01-107-I13(5-6U)</t>
  </si>
  <si>
    <t>ASG1000III2EE4FB2607</t>
  </si>
  <si>
    <t>140607-2014-000112</t>
  </si>
  <si>
    <t>TK-F01-107-I13(7-8U)</t>
  </si>
  <si>
    <t>ASG1000III2EE4FB2591</t>
  </si>
  <si>
    <t>140607-2014-000109</t>
  </si>
  <si>
    <t>TK-F01-107-I13(9-10U)</t>
  </si>
  <si>
    <t>ASG1000III2EE4FB258F</t>
  </si>
  <si>
    <t>140607-2014-000174</t>
  </si>
  <si>
    <t>TK-F01-107-I14(11-12U)</t>
  </si>
  <si>
    <t>ASG1000III2EE4FB2593</t>
  </si>
  <si>
    <t>140607-2014-000179</t>
  </si>
  <si>
    <t>TK-F01-107-I14(14-15U)</t>
  </si>
  <si>
    <t>ASG1000III2EE4FB2584</t>
  </si>
  <si>
    <t>140607-2014-000117</t>
  </si>
  <si>
    <t>TK-F01-107-I14(16-17U)</t>
  </si>
  <si>
    <t>ASG1000III2EE4FB259B</t>
  </si>
  <si>
    <t>140607-2014-000116</t>
  </si>
  <si>
    <t>TK-F01-107-I14(18-19U)</t>
  </si>
  <si>
    <t>YD-NODE2000S4B07F9364</t>
  </si>
  <si>
    <t>140607-2014-000167</t>
  </si>
  <si>
    <t>TK-F01-107-I14(20-20U)</t>
  </si>
  <si>
    <t>YD-LVS3000B4B07F9366</t>
  </si>
  <si>
    <t>140607-2014-000127</t>
  </si>
  <si>
    <t>TK-F01-107-I14(24-25U)</t>
  </si>
  <si>
    <t>YD-LVS3000B4B07F9363</t>
  </si>
  <si>
    <t>140607-2014-000126</t>
  </si>
  <si>
    <t>TK-F01-107-I14(26-27U)</t>
  </si>
  <si>
    <t>YD-SAC3000B4B07F9377</t>
  </si>
  <si>
    <t>140607-2014-000082</t>
  </si>
  <si>
    <t>TK-F01-107-I14(28-29U)</t>
  </si>
  <si>
    <t>YD-SAC3000B4B07F9375</t>
  </si>
  <si>
    <t>140607-2014-000081</t>
  </si>
  <si>
    <t>TK-F01-107-I14(31-32U)</t>
  </si>
  <si>
    <t>YD-SAC3000B4B07F936F</t>
  </si>
  <si>
    <t>140607-2014-000083</t>
  </si>
  <si>
    <t>TK-F01-107-I14(34-35U)</t>
  </si>
  <si>
    <t>YD-SAC3000B4B07F9374</t>
  </si>
  <si>
    <t>140607-2014-000080</t>
  </si>
  <si>
    <t>TK-F01-107-I14(36-37U)</t>
  </si>
  <si>
    <t>YD-SAC3000B4B07F9369</t>
  </si>
  <si>
    <t>140607-2014-000079</t>
  </si>
  <si>
    <t>TK-F01-107-I14(38-39U)</t>
  </si>
  <si>
    <t>ASG1000III2EE4FB2600</t>
  </si>
  <si>
    <t>140607-2014-000115</t>
  </si>
  <si>
    <t>TK-F01-107-I14(5-6U)</t>
  </si>
  <si>
    <t>ASG1000III2EE4FB2590</t>
  </si>
  <si>
    <t>140607-2014-000173</t>
  </si>
  <si>
    <t>TK-F01-107-I14(7-8U)</t>
  </si>
  <si>
    <t>7848462</t>
  </si>
  <si>
    <t>140607-2014-000021</t>
  </si>
  <si>
    <t>TK-F01-107-I6(12-13U)</t>
  </si>
  <si>
    <t>永达 YD-RA3000B</t>
  </si>
  <si>
    <t>YD-RA3000B4B07F9360</t>
  </si>
  <si>
    <t>140607-2014-000059</t>
  </si>
  <si>
    <t>TK-F01-107-I6(14-14U)</t>
  </si>
  <si>
    <t>永达 YD-LDAP3000B</t>
  </si>
  <si>
    <t>YD-LDAP3000B4B07F9360</t>
  </si>
  <si>
    <t>140607-2014-000058</t>
  </si>
  <si>
    <t>TK-F01-107-I6(15-15U)</t>
  </si>
  <si>
    <t>10395PN</t>
  </si>
  <si>
    <t>140607-2014-000019</t>
  </si>
  <si>
    <t>TK-F01-107-I6(16-16U)</t>
  </si>
  <si>
    <t>10394XV</t>
  </si>
  <si>
    <t>140607-2014-000020</t>
  </si>
  <si>
    <t>TK-F01-107-I6(17-17U)</t>
  </si>
  <si>
    <t>永达 YD-SCP3000B</t>
  </si>
  <si>
    <t>YD-SCP3000B4B07F9361</t>
  </si>
  <si>
    <t>140607-2014-000049</t>
  </si>
  <si>
    <t>TK-F01-107-I6(20-20U)</t>
  </si>
  <si>
    <t>YD-SCP3000B4B07F9360</t>
  </si>
  <si>
    <t>140607-2014-000050</t>
  </si>
  <si>
    <t>TK-F01-107-I6(19-19U)</t>
  </si>
  <si>
    <t>永达 AFW2000</t>
  </si>
  <si>
    <t>AFW20004B07F9365</t>
  </si>
  <si>
    <t>140607-2014-000024</t>
  </si>
  <si>
    <t>TK-F01-107-I6(23-23U)</t>
  </si>
  <si>
    <t>AFW20004B07F9362</t>
  </si>
  <si>
    <t>140607-2014-000023</t>
  </si>
  <si>
    <t>TK-F01-107-I6(30-30U)</t>
  </si>
  <si>
    <t>永达 SHJ0901-B</t>
  </si>
  <si>
    <t>WT363MA07EW2UC02022</t>
  </si>
  <si>
    <t>140607-2014-000052</t>
  </si>
  <si>
    <t>TK-F01-107-I6(33-34U)</t>
  </si>
  <si>
    <t>WT363MA07EW2UC02021</t>
  </si>
  <si>
    <t>140607-2014-000051</t>
  </si>
  <si>
    <t>TK-F01-107-I6(35-36U)</t>
  </si>
  <si>
    <t>永达 YD-SDB3000B</t>
  </si>
  <si>
    <t>YD-SDB3000B4B07F9360</t>
  </si>
  <si>
    <t>140607-2014-000017</t>
  </si>
  <si>
    <t>TK-F01-107-I6(4-7U)</t>
  </si>
  <si>
    <t>YD-SDB3000B4B07F9362</t>
  </si>
  <si>
    <t>140607-2014-000018</t>
  </si>
  <si>
    <t>TK-F01-107-I6(8-11U)</t>
  </si>
  <si>
    <t>永达 SJK0812-B</t>
  </si>
  <si>
    <t>YD-SJK0812B4B07F9360</t>
  </si>
  <si>
    <t>140607-2014-000053</t>
  </si>
  <si>
    <t>TK-F01-107-I6加密卡</t>
  </si>
  <si>
    <t>永达 SQY-08</t>
  </si>
  <si>
    <t>YD-SQY084B07F9361</t>
  </si>
  <si>
    <t>140607-2014-000055</t>
  </si>
  <si>
    <t>TK-F01-107-I6视频干扰器</t>
  </si>
  <si>
    <t>YD-LVS3000B4B07F9364</t>
  </si>
  <si>
    <t>140607-2014-000011</t>
  </si>
  <si>
    <t>TK-F01-107-I7(12-13U)</t>
  </si>
  <si>
    <t>YD-LVS3000B4B07F936A</t>
  </si>
  <si>
    <t>140607-2014-000012</t>
  </si>
  <si>
    <t>TK-F01-107-I7(14-15U)</t>
  </si>
  <si>
    <t>YD-SMC3000B4B07F9362</t>
  </si>
  <si>
    <t>140607-2014-000015</t>
  </si>
  <si>
    <t>TK-F01-107-I7(16-17U)</t>
  </si>
  <si>
    <t>YD-SMC3000B4B07F9363</t>
  </si>
  <si>
    <t>140607-2014-000016</t>
  </si>
  <si>
    <t>TK-F01-107-I7(18-19U)</t>
  </si>
  <si>
    <t>永达 YD-NET2000S</t>
  </si>
  <si>
    <t>YD-NET2000S4B07F9360</t>
  </si>
  <si>
    <t>140607-2014-000047</t>
  </si>
  <si>
    <t>TK-F01-107-I7(20-20U)</t>
  </si>
  <si>
    <t>AFW20004B07F9364</t>
  </si>
  <si>
    <t>140607-2014-000027</t>
  </si>
  <si>
    <t>TK-F01-107-I7(25-25U)</t>
  </si>
  <si>
    <t>AFW20004B07F9361</t>
  </si>
  <si>
    <t>140607-2014-000025</t>
  </si>
  <si>
    <t>TK-F01-107-I7(28-28U)</t>
  </si>
  <si>
    <t>AFW20004B07F9363</t>
  </si>
  <si>
    <t>140607-2014-000026</t>
  </si>
  <si>
    <t>TK-F01-107-I7(31-31U)</t>
  </si>
  <si>
    <t>YD-NSDS3000B4B07F9360</t>
  </si>
  <si>
    <t>140607-2014-000048</t>
  </si>
  <si>
    <t>TK-F01-107-I7(32-32U)</t>
  </si>
  <si>
    <t>YD-SMC3000B4B07F9361</t>
  </si>
  <si>
    <t>140607-2014-000014</t>
  </si>
  <si>
    <t>TK-F01-107-I7(33-34U)</t>
  </si>
  <si>
    <t>YD-SMC3000B4B07F9364</t>
  </si>
  <si>
    <t>140607-2014-000013</t>
  </si>
  <si>
    <t>TK-F01-107-I7(35-36U)</t>
  </si>
  <si>
    <t>YD-NODE2000S4B07F9360</t>
  </si>
  <si>
    <t>140607-2014-000045</t>
  </si>
  <si>
    <t>TK-F01-107-I7(38-38U)</t>
  </si>
  <si>
    <t>YD-NODE2000S4B07F9365</t>
  </si>
  <si>
    <t>140607-2014-000046</t>
  </si>
  <si>
    <t>TK-F01-107-I7(39-39U)</t>
  </si>
  <si>
    <t>永达 YD-CFG2000S</t>
  </si>
  <si>
    <t>PC00T84H</t>
  </si>
  <si>
    <t>140607-2014-000040</t>
  </si>
  <si>
    <t>TK-F01-107-I7(5-9U)</t>
  </si>
  <si>
    <t>AFW2000III4B07F9360</t>
  </si>
  <si>
    <t>140607-2014-000171</t>
  </si>
  <si>
    <t>TK-F01-107-I8(23-23U)</t>
  </si>
  <si>
    <t>ASG1000III2EE4FB2608</t>
  </si>
  <si>
    <t>140607-2014-000086</t>
  </si>
  <si>
    <t>TK-F01-107-I8(29-30U)</t>
  </si>
  <si>
    <t>ASG1000III2EE4FB2588</t>
  </si>
  <si>
    <t>140607-2014-000087</t>
  </si>
  <si>
    <t>TK-F01-107-I8(31-32U)</t>
  </si>
  <si>
    <t>永达 YD-SGW3000B</t>
  </si>
  <si>
    <t>YD-SGW3000B4B07F9361</t>
  </si>
  <si>
    <t>140607-2014-000177</t>
  </si>
  <si>
    <t>TK-F01-107-I8(36-37U)</t>
  </si>
  <si>
    <t>YD-SGW3000B4B07F9362</t>
  </si>
  <si>
    <t>140607-2014-000178</t>
  </si>
  <si>
    <t>TK-F01-107-I8(38-39U)</t>
  </si>
  <si>
    <t>ASG1000III2EE4FB2592</t>
  </si>
  <si>
    <t>140607-2014-000085</t>
  </si>
  <si>
    <t>TK-F01-107-I8(5-6U)</t>
  </si>
  <si>
    <t>ASG1000III2EE4FB2601</t>
  </si>
  <si>
    <t>140607-2014-000089</t>
  </si>
  <si>
    <t>TK-F01-107-I9(11-12U)</t>
  </si>
  <si>
    <t>ASG1000III2EE4FB2594</t>
  </si>
  <si>
    <t>140607-2014-000092</t>
  </si>
  <si>
    <t>TK-F01-107-I9(14-15U)</t>
  </si>
  <si>
    <t>ASG1000III2EE4FB2609</t>
  </si>
  <si>
    <t>140607-2014-000093</t>
  </si>
  <si>
    <t>TK-F01-107-I9(16-17U)</t>
  </si>
  <si>
    <t>ASG1000III2EE4FB258D</t>
  </si>
  <si>
    <t>140607-2014-000088</t>
  </si>
  <si>
    <t>TK-F01-107-I9(18-19U)</t>
  </si>
  <si>
    <t>YD-NODE2000S4B07F9363</t>
  </si>
  <si>
    <t>140607-2014-000168</t>
  </si>
  <si>
    <t>TK-F01-107-I9(20-20U)</t>
  </si>
  <si>
    <t>YD-LVS3000B4B07F9360</t>
  </si>
  <si>
    <t>140607-2014-000119</t>
  </si>
  <si>
    <t>TK-F01-107-I9(24-25U)</t>
  </si>
  <si>
    <t>YD-LVS3000B4B07F9361</t>
  </si>
  <si>
    <t>140607-2014-000118</t>
  </si>
  <si>
    <t>TK-F01-107-I9(26-27U)</t>
  </si>
  <si>
    <t>YD-SAC3000B4B07F9368</t>
  </si>
  <si>
    <t>140607-2014-000064</t>
  </si>
  <si>
    <t>TK-F01-107-I9(28-29U)</t>
  </si>
  <si>
    <t>YD-SAC3000B4B07F9363</t>
  </si>
  <si>
    <t>140607-2014-000060</t>
  </si>
  <si>
    <t>TK-F01-107-I9(31-32U)</t>
  </si>
  <si>
    <t>YD-SAC3000B4B07F9367</t>
  </si>
  <si>
    <t>140607-2014-000063</t>
  </si>
  <si>
    <t>TK-F01-107-I9(34-35U)</t>
  </si>
  <si>
    <t>YD-SAC3000B4B07F9364</t>
  </si>
  <si>
    <t>140607-2014-000061</t>
  </si>
  <si>
    <t>TK-F01-107-I9(36-37U)</t>
  </si>
  <si>
    <t>YD-SAC3000B4B07F9366</t>
  </si>
  <si>
    <t>140607-2014-000062</t>
  </si>
  <si>
    <t>TK-F01-107-I9(38-39U)</t>
  </si>
  <si>
    <t>ASG1000III2EE4FB2602</t>
  </si>
  <si>
    <t>140607-2014-000094</t>
  </si>
  <si>
    <t>TK-F01-107-I9(5-6U)</t>
  </si>
  <si>
    <t>ASG1000III2EE4FB258A</t>
  </si>
  <si>
    <t>140607-2014-000091</t>
  </si>
  <si>
    <t>TK-F01-107-I9(7-8U)</t>
  </si>
  <si>
    <t>ASG1000III2EE4FB2585</t>
  </si>
  <si>
    <t>140607-2014-000090</t>
  </si>
  <si>
    <t>TK-F01-107-I9(9-10U)</t>
  </si>
  <si>
    <t>2101301845214A010002</t>
  </si>
  <si>
    <t>140702-2014-000025</t>
  </si>
  <si>
    <t>TK-F01-107机房西侧北空调</t>
  </si>
  <si>
    <t>2101301845214a010005</t>
  </si>
  <si>
    <t>140702-2014-000024</t>
  </si>
  <si>
    <t>TK-F01-107机房西侧南空调</t>
  </si>
  <si>
    <t>机房监控设施</t>
  </si>
  <si>
    <r>
      <rPr>
        <sz val="12"/>
        <rFont val="宋体"/>
        <charset val="134"/>
      </rPr>
      <t>北京经纬信息技术公司</t>
    </r>
    <r>
      <rPr>
        <sz val="12"/>
        <rFont val="Arial"/>
        <charset val="134"/>
      </rPr>
      <t xml:space="preserve">JWRTU </t>
    </r>
    <r>
      <rPr>
        <sz val="12"/>
        <rFont val="宋体"/>
        <charset val="134"/>
      </rPr>
      <t>系列机房监控</t>
    </r>
  </si>
  <si>
    <t>BK-F01-HK-01</t>
  </si>
  <si>
    <t>140704-2014-000318</t>
  </si>
  <si>
    <t>TK-F01-106-E10</t>
  </si>
  <si>
    <t>210235G6TP10EA000010</t>
  </si>
  <si>
    <t>140601-2014-000019</t>
  </si>
  <si>
    <t>TK-F01-108-K2(25-29U)</t>
  </si>
  <si>
    <t>思科 N7K-C7010</t>
  </si>
  <si>
    <t>JAF1830ACNH</t>
  </si>
  <si>
    <t>140502-2014-001105</t>
  </si>
  <si>
    <t>TK-F01-108-K2(3-23U)</t>
  </si>
  <si>
    <t>210235G6TP10EA000009</t>
  </si>
  <si>
    <t>140601-2014-000020</t>
  </si>
  <si>
    <t>TK-F01-108-K3(25-29U)</t>
  </si>
  <si>
    <t>JAF1830ACNK</t>
  </si>
  <si>
    <t>140502-2014-001106</t>
  </si>
  <si>
    <t>TK-F01-108-K3(3-23U)</t>
  </si>
  <si>
    <t>FXS1751Q1L8</t>
  </si>
  <si>
    <t>140501-2014-000555</t>
  </si>
  <si>
    <t>TK-F01-108-K4(16-19U)</t>
  </si>
  <si>
    <t>Radware alteon6420</t>
  </si>
  <si>
    <t>31405262</t>
  </si>
  <si>
    <t>140504-2014-000400</t>
  </si>
  <si>
    <t>TK-F01-108-K4(3-4U)</t>
  </si>
  <si>
    <t>FXS1751Q1L3</t>
  </si>
  <si>
    <t>140501-2014-000556</t>
  </si>
  <si>
    <t>TK-F01-108-K5(16-19U)</t>
  </si>
  <si>
    <t>31405251</t>
  </si>
  <si>
    <t>140504-2014-000401</t>
  </si>
  <si>
    <t>TK-F01-108-K5(3-4U)</t>
  </si>
  <si>
    <t>Radware 5224-8G</t>
  </si>
  <si>
    <t>31407256</t>
  </si>
  <si>
    <t>140503-2014-000214</t>
  </si>
  <si>
    <t>TK-F01-108-K8(36-37U)</t>
  </si>
  <si>
    <t>31407315</t>
  </si>
  <si>
    <t>140503-2014-000215</t>
  </si>
  <si>
    <t>TK-F01-108-K8(38-39U)</t>
  </si>
  <si>
    <t>31407268</t>
  </si>
  <si>
    <t>140503-2014-000216</t>
  </si>
  <si>
    <t>TK-F01-108-K9(36-37U)</t>
  </si>
  <si>
    <t>31407272</t>
  </si>
  <si>
    <t>140503-2014-000217</t>
  </si>
  <si>
    <t>TK-F01-108-K9(38-39U)</t>
  </si>
  <si>
    <t>21013018452128030001</t>
  </si>
  <si>
    <t>140702-2014-000022</t>
  </si>
  <si>
    <t>TK-F01-108机房北侧</t>
  </si>
  <si>
    <t>21013018432133030006</t>
  </si>
  <si>
    <t>140702-2014-000020</t>
  </si>
  <si>
    <t>TK-F01-108机房南侧</t>
  </si>
  <si>
    <t>2101301843213b060001</t>
  </si>
  <si>
    <t>140702-2014-000021</t>
  </si>
  <si>
    <t>TK-F01-108机房中</t>
  </si>
  <si>
    <t>2101301845215301001</t>
  </si>
  <si>
    <t>140702-2014-000029</t>
  </si>
  <si>
    <t>TK-F01-106-3</t>
  </si>
  <si>
    <t>21013018452153010006</t>
  </si>
  <si>
    <t>140702-2014-000027</t>
  </si>
  <si>
    <t>Radware AppDirector2016</t>
  </si>
  <si>
    <t>21902044</t>
  </si>
  <si>
    <t>140504-2011-000385</t>
  </si>
  <si>
    <t>TK-F02-226-B4(32-32U)</t>
  </si>
  <si>
    <t>21902047</t>
  </si>
  <si>
    <t>140504-2011-000384</t>
  </si>
  <si>
    <t>TK-F02-226-B4(35-35U)</t>
  </si>
  <si>
    <t>Radware2016</t>
  </si>
  <si>
    <t>31401362</t>
  </si>
  <si>
    <t>140503-2014-000218</t>
  </si>
  <si>
    <t>TK-F02-226-B6(32-33U)</t>
  </si>
  <si>
    <t>31401375</t>
  </si>
  <si>
    <t>140503-2014-000219</t>
  </si>
  <si>
    <t>TK-F02-226-B6(35-36U)</t>
  </si>
  <si>
    <t>EMC Vplex Metro+Vmax20K</t>
  </si>
  <si>
    <t>CKM00145100130,CN492600677</t>
  </si>
  <si>
    <t>140201-2014-000633</t>
  </si>
  <si>
    <t>TK-F02-226-D6/D2/D3(D8-D8U)</t>
  </si>
  <si>
    <t>CKM00145100123,CN492600678</t>
  </si>
  <si>
    <t>140201-2014-000634</t>
  </si>
  <si>
    <t>TK-F02-226-D7/D4/D5(D9)</t>
  </si>
  <si>
    <t>伊顿  9395-500KVAUPS</t>
  </si>
  <si>
    <t>4H364BAA03</t>
  </si>
  <si>
    <t>140701-2014-000184</t>
  </si>
  <si>
    <t>TK-UPS配电间(1号UPS主机</t>
  </si>
  <si>
    <t>4H365BAA01</t>
  </si>
  <si>
    <t>140701-2014-000185</t>
  </si>
  <si>
    <t>TK-UPS配电间(2号UPS主机</t>
  </si>
  <si>
    <r>
      <rPr>
        <sz val="12"/>
        <rFont val="Arial"/>
        <charset val="134"/>
      </rPr>
      <t>P3090FARMS1R</t>
    </r>
    <r>
      <rPr>
        <sz val="12"/>
        <rFont val="宋体"/>
        <charset val="134"/>
      </rPr>
      <t>空调</t>
    </r>
  </si>
  <si>
    <t>无</t>
  </si>
  <si>
    <t>140702-2012-000017</t>
  </si>
  <si>
    <t>TKYDZS</t>
  </si>
  <si>
    <t>配电设施（配电架、柜等）</t>
  </si>
  <si>
    <t>供配电系统-UPS</t>
  </si>
  <si>
    <t>UJ2W7N19001/UJ2W7N18003</t>
  </si>
  <si>
    <t>140703-2012-000002</t>
  </si>
  <si>
    <t>TKYDZS(详见附件清单)</t>
  </si>
  <si>
    <t>21013018452153010002</t>
  </si>
  <si>
    <t>140702-2014-000034</t>
  </si>
  <si>
    <t>TK-UPS室东</t>
  </si>
  <si>
    <t>2101301845214a010004</t>
  </si>
  <si>
    <t>140702-2014-000032</t>
  </si>
  <si>
    <t>TK-UPS室西侧北</t>
  </si>
  <si>
    <t>2101301845214a010003</t>
  </si>
  <si>
    <t>140702-2014-000033</t>
  </si>
  <si>
    <t>TK-UPS室西侧南</t>
  </si>
  <si>
    <t>华三 S7503E</t>
  </si>
  <si>
    <t>210235A27RX12B000052</t>
  </si>
  <si>
    <t>140502-2014-001160</t>
  </si>
  <si>
    <t>TK-F02-227-2号机柜(下)</t>
  </si>
  <si>
    <t>210235A27RX12B000055</t>
  </si>
  <si>
    <t>140502-2014-001161</t>
  </si>
  <si>
    <t>TK-F02-227-2号机柜(上)</t>
  </si>
  <si>
    <t>永达：YD-CICMSY300B</t>
  </si>
  <si>
    <t>YD-CICMSY300B2EE519F821</t>
  </si>
  <si>
    <t>140607-2014-000259</t>
  </si>
  <si>
    <t>WQ-F04-T8-C01(12-13U)</t>
  </si>
  <si>
    <t>永达：YD-LDAP3000B</t>
  </si>
  <si>
    <t>YD-LDAP3000B2EE519F821</t>
  </si>
  <si>
    <t>140607-2014-000256</t>
  </si>
  <si>
    <t>WQ-F04-T8-C01(14-15U)</t>
  </si>
  <si>
    <t>永达：YD-KMC3000B</t>
  </si>
  <si>
    <t>YD-KMC3000B2EE519F821</t>
  </si>
  <si>
    <t>140607-2014-000257</t>
  </si>
  <si>
    <t>WQ-F04-T8-C01(16-17U)</t>
  </si>
  <si>
    <t>永达：YD-CA3000B</t>
  </si>
  <si>
    <t>YD-CA3000B2EE519F821</t>
  </si>
  <si>
    <t>140607-2014-000255</t>
  </si>
  <si>
    <t>WQ-F04-T8-C01(19-20U)</t>
  </si>
  <si>
    <t>永达：YD-CFG2000S</t>
  </si>
  <si>
    <t>YD-CFG2000S2EE51B0991</t>
  </si>
  <si>
    <t>140607-2014-000212</t>
  </si>
  <si>
    <t>WQ-F04-T8-C01(1-9U)</t>
  </si>
  <si>
    <t>永达：YD-RA3000B</t>
  </si>
  <si>
    <t>YD-RA3000B2EE519F821</t>
  </si>
  <si>
    <t>140607-2014-000262</t>
  </si>
  <si>
    <t>WQ-F04-T8-C01(21-22U)</t>
  </si>
  <si>
    <t>永达：SHJ0901-B</t>
  </si>
  <si>
    <t>SHJ0901-B2EE51B0991</t>
  </si>
  <si>
    <t>140607-2014-000243</t>
  </si>
  <si>
    <t>WQ-F04-T8-C01(26-27U)</t>
  </si>
  <si>
    <t>永达：YD-CICMT3000B</t>
  </si>
  <si>
    <t>YD-CICMT3000B2EE5190991</t>
  </si>
  <si>
    <t>140607-2014-000258</t>
  </si>
  <si>
    <t>WQ-F04-T8-C02(1-4U)</t>
  </si>
  <si>
    <t>永达：YD-CMSMT300B</t>
  </si>
  <si>
    <t>YD-CMSMT300B2EE51B0991</t>
  </si>
  <si>
    <t>140607-2014-000261</t>
  </si>
  <si>
    <t>WQ-F04-T8-C01(1-7U)</t>
  </si>
  <si>
    <t>永达：YD-SDA10T</t>
  </si>
  <si>
    <t>YD-SDA10T2EE51982F1</t>
  </si>
  <si>
    <t>140607-2014-000254</t>
  </si>
  <si>
    <t>WQ-F04-T8-C02(17-18U)</t>
  </si>
  <si>
    <t>永达：YD-CRMQST3000B</t>
  </si>
  <si>
    <t>YD-CRMQST300B2EE51B991</t>
  </si>
  <si>
    <t>140607-2014-000264</t>
  </si>
  <si>
    <t>YD-CICMSY300B2EE51982F1</t>
  </si>
  <si>
    <t>140607-2014-000260</t>
  </si>
  <si>
    <t>WQ-F04-T8-C02(19-20U)</t>
  </si>
  <si>
    <t>永达：YD-OCSP3000B</t>
  </si>
  <si>
    <t>YD-OCSP3000B2EE519F821</t>
  </si>
  <si>
    <t>140607-2014-000263</t>
  </si>
  <si>
    <t>WQ-F04-T8-C02(21-22U)</t>
  </si>
  <si>
    <t>SHJ0901-B2EE51B0992</t>
  </si>
  <si>
    <t>140607-2014-000244</t>
  </si>
  <si>
    <t>WQ-F04-T8-C02(26-27U)</t>
  </si>
  <si>
    <t>永达：SJK0812-B</t>
  </si>
  <si>
    <t>SJK0812-B2EEA8636C1</t>
  </si>
  <si>
    <t>140607-2014-000245</t>
  </si>
  <si>
    <t>永达：YD-SFSW408</t>
  </si>
  <si>
    <t>YD-SFSW4082EE51B0992</t>
  </si>
  <si>
    <t>140607-2014-000253</t>
  </si>
  <si>
    <t>WQ-F04-T8-C02(36-36U)</t>
  </si>
  <si>
    <t>YD-SFSW4082EE51B0991</t>
  </si>
  <si>
    <t>140607-2014-000252</t>
  </si>
  <si>
    <t>WQ-F04-T8-C02(39-39U)</t>
  </si>
  <si>
    <t>永达：YD-SDB3000S</t>
  </si>
  <si>
    <t>YD-SDB3000S2EE519F822</t>
  </si>
  <si>
    <t>140607-2014-000251</t>
  </si>
  <si>
    <t>WQ-F04-T8-C02(8-11U)</t>
  </si>
  <si>
    <t>永达YD-SMC3000B</t>
  </si>
  <si>
    <t>YD-SMC3000B2EE519F824</t>
  </si>
  <si>
    <t>140607-2014-000204</t>
  </si>
  <si>
    <t>WQ-F04-T8-C03(2-3U)</t>
  </si>
  <si>
    <t>YD-SMC3000B2EE519F826</t>
  </si>
  <si>
    <t>140607-2014-000206</t>
  </si>
  <si>
    <t>WQ-F04-T8-C03(5-6U)</t>
  </si>
  <si>
    <t>YD-SMC3000B2EE519F825</t>
  </si>
  <si>
    <t>140607-2014-000205</t>
  </si>
  <si>
    <t>WQ-F04-T8-C03(8-9U)</t>
  </si>
  <si>
    <t>YD-SMC3000B2EE519F823</t>
  </si>
  <si>
    <t>140607-2014-000203</t>
  </si>
  <si>
    <t>WQ-F04-T8-C03(11-12U)</t>
  </si>
  <si>
    <t>Cisco ASR1004-CB</t>
  </si>
  <si>
    <t>FAX1751QIKT</t>
  </si>
  <si>
    <t>140501-2014-000541</t>
  </si>
  <si>
    <t>XD-B02-KF-A09(31-34U)</t>
  </si>
  <si>
    <t>210235A0E6X11A000023</t>
  </si>
  <si>
    <t>140502-2011-000800</t>
  </si>
  <si>
    <t>XD-B02-KF-A09(7-28U)</t>
  </si>
  <si>
    <t>其他类设备</t>
  </si>
  <si>
    <t>材料、配件、模块、板卡</t>
  </si>
  <si>
    <t>210231A0QBH148000002</t>
  </si>
  <si>
    <t>140903-2014-000081</t>
  </si>
  <si>
    <t>XD-B02-KF-A09(7-28U)-6槽</t>
  </si>
  <si>
    <t>FAX1745QDHY</t>
  </si>
  <si>
    <t>140501-2014-000542</t>
  </si>
  <si>
    <t>XD-B02-KF-A10(31-34U)</t>
  </si>
  <si>
    <t>210235A0E6X11A000037</t>
  </si>
  <si>
    <t>140502-2011-000801</t>
  </si>
  <si>
    <t>XD-B02-KF-A10(7-28U)</t>
  </si>
  <si>
    <t>210231A0QBH148000019</t>
  </si>
  <si>
    <t>140903-2014-000082</t>
  </si>
  <si>
    <t>XD-B02-KF-A10(7-28U)-6槽</t>
  </si>
  <si>
    <t>其他安全保密设备</t>
  </si>
  <si>
    <t>中盾 MRTD VSS-II</t>
  </si>
  <si>
    <t>DZHZB0130251</t>
  </si>
  <si>
    <t>140608-2016-000002</t>
  </si>
  <si>
    <t>XD-B02-KF-D03(12-13U)</t>
  </si>
  <si>
    <t>DZHZB0130255</t>
  </si>
  <si>
    <t>140608-2016-000003</t>
  </si>
  <si>
    <t>XD-B02-KF-D03(9-10U)</t>
  </si>
  <si>
    <t>YD-SDA10T2EE519F821</t>
  </si>
  <si>
    <t>140607-2014-000209</t>
  </si>
  <si>
    <t>XD-B02-KF-E08(10-11U)</t>
  </si>
  <si>
    <r>
      <rPr>
        <sz val="12"/>
        <rFont val="宋体"/>
        <charset val="134"/>
      </rPr>
      <t>永达：</t>
    </r>
    <r>
      <rPr>
        <sz val="12"/>
        <rFont val="Arial"/>
        <charset val="134"/>
      </rPr>
      <t>YD-SFSW408</t>
    </r>
  </si>
  <si>
    <t>YD-SFSW4082EE519F821</t>
  </si>
  <si>
    <t>140607-2014-000210</t>
  </si>
  <si>
    <t>XD-B02-KF-E08(12-12U)</t>
  </si>
  <si>
    <t>YD-SFSW4082EE519F822</t>
  </si>
  <si>
    <t>140607-2014-000211</t>
  </si>
  <si>
    <t>XD-B02-KF-E08(13-13U)</t>
  </si>
  <si>
    <t>永达：YD-SCP3000B</t>
  </si>
  <si>
    <t>YD-SCP3000B2EE519F822</t>
  </si>
  <si>
    <t>140607-2014-000242</t>
  </si>
  <si>
    <t>XD-B02-KF-E08(14-14U)</t>
  </si>
  <si>
    <t>永达：YD-LVS3000B</t>
  </si>
  <si>
    <t>YD-LVS3000B2EE519F821</t>
  </si>
  <si>
    <t>140607-2014-000213</t>
  </si>
  <si>
    <t>XD-B02-KF-E08(16-17U)</t>
  </si>
  <si>
    <t>YD-SMC3000B2EE519F821</t>
  </si>
  <si>
    <t>140607-2014-000201</t>
  </si>
  <si>
    <t>XD-B02-KF-E08(18-19U)</t>
  </si>
  <si>
    <t>永达：YD-SDB3000B</t>
  </si>
  <si>
    <t>YD-SDB3000B2EE519F822</t>
  </si>
  <si>
    <t>140607-2014-000208</t>
  </si>
  <si>
    <t>XD-B02-KF-E08(2-5U)</t>
  </si>
  <si>
    <t>永达：AFW2000</t>
  </si>
  <si>
    <t>AFW20002EE519F825</t>
  </si>
  <si>
    <t>140607-2014-000219</t>
  </si>
  <si>
    <t>XD-B02-KF-E08(31-32U)</t>
  </si>
  <si>
    <t>AFW20002EE519F823</t>
  </si>
  <si>
    <t>140607-2014-000217</t>
  </si>
  <si>
    <t>XD-B02-KF-E08(34-35U)</t>
  </si>
  <si>
    <t>AFW20002EE519F821</t>
  </si>
  <si>
    <t>140607-2014-000215</t>
  </si>
  <si>
    <t>XD-B02-KF-E08(38-39U)</t>
  </si>
  <si>
    <t>YD-SDB3000B2EE519F821</t>
  </si>
  <si>
    <t>140607-2014-000207</t>
  </si>
  <si>
    <t>XD-B02-KF-E08(6-9U)</t>
  </si>
  <si>
    <t>HP SuperDome2</t>
  </si>
  <si>
    <t>SGH51190NR、SGH51481BT</t>
  </si>
  <si>
    <t>140102-2011-000537</t>
  </si>
  <si>
    <t>XD-B02-KF-F07-F08</t>
  </si>
  <si>
    <t>HP Superdome2</t>
  </si>
  <si>
    <r>
      <rPr>
        <sz val="12"/>
        <rFont val="宋体"/>
        <charset val="134"/>
      </rPr>
      <t>扩容设备</t>
    </r>
    <r>
      <rPr>
        <sz val="12"/>
        <rFont val="Arial"/>
        <charset val="134"/>
      </rPr>
      <t>SGH51190NR</t>
    </r>
  </si>
  <si>
    <t>140102-2011-000566</t>
  </si>
  <si>
    <t>XD-B02-KF-F07-F10</t>
  </si>
  <si>
    <r>
      <rPr>
        <sz val="12"/>
        <rFont val="宋体"/>
        <charset val="134"/>
      </rPr>
      <t>扩容设备</t>
    </r>
    <r>
      <rPr>
        <sz val="12"/>
        <rFont val="Arial"/>
        <charset val="134"/>
      </rPr>
      <t>SGH51190PD</t>
    </r>
  </si>
  <si>
    <t>140102-2011-000567</t>
  </si>
  <si>
    <t>SGH51190PD</t>
  </si>
  <si>
    <t>140102-2011-000538</t>
  </si>
  <si>
    <t>XD-B02-KF-F09(12-22U)-F10</t>
  </si>
  <si>
    <t>永达：YD-NODE2000S</t>
  </si>
  <si>
    <t>YD-NODE2000S2EE519F821</t>
  </si>
  <si>
    <t>140607-2014-000237</t>
  </si>
  <si>
    <t>XD-B02-KF-G12(13-14U)</t>
  </si>
  <si>
    <t>YD-NODE2000S2EE519F822</t>
  </si>
  <si>
    <t>140607-2014-000238</t>
  </si>
  <si>
    <t>XD-B02-KF-G12(15-16U)</t>
  </si>
  <si>
    <t>YD-LVS3000B2EE519F822</t>
  </si>
  <si>
    <t>140607-2014-000214</t>
  </si>
  <si>
    <t>XD-B02-KF-G12(17-18U)</t>
  </si>
  <si>
    <t>YD-SCP3000B2EE519F821</t>
  </si>
  <si>
    <t>140607-2014-000241</t>
  </si>
  <si>
    <t>XD-B02-KF-G12(19-19U)</t>
  </si>
  <si>
    <t>YD-SMC3000B2EE519F822</t>
  </si>
  <si>
    <t>140607-2014-000202</t>
  </si>
  <si>
    <t>XD-B02-KF-G12(21-22U)</t>
  </si>
  <si>
    <t>永达：YD-NET2000S</t>
  </si>
  <si>
    <t>YD-NET2000S2EE519F821</t>
  </si>
  <si>
    <t>140607-2014-000239</t>
  </si>
  <si>
    <t>XD-B02-KF-G12(24-25U)</t>
  </si>
  <si>
    <t>AFW20002EE519F822</t>
  </si>
  <si>
    <t>140607-2014-000216</t>
  </si>
  <si>
    <t>XD-B02-KF-G12(31-32U)</t>
  </si>
  <si>
    <t>AFW20002EE519F826</t>
  </si>
  <si>
    <t>140607-2014-000220</t>
  </si>
  <si>
    <t>XD-B02-KF-G12(34-35U)</t>
  </si>
  <si>
    <t>永达：YD-NSDS3000B</t>
  </si>
  <si>
    <t>YD-NSDS3000B2EE519F821</t>
  </si>
  <si>
    <t>140607-2014-000240</t>
  </si>
  <si>
    <t>XD-B02-KF-G12(36-37U)</t>
  </si>
  <si>
    <t>AFW20002EE519F824</t>
  </si>
  <si>
    <t>140607-2014-000218</t>
  </si>
  <si>
    <t>XD-B02-KF-G12(38-39U)</t>
  </si>
  <si>
    <t>永达：SQY-08</t>
  </si>
  <si>
    <t>SQY-082EE51B0991</t>
  </si>
  <si>
    <t>140607-2014-000246</t>
  </si>
  <si>
    <t>XD-B02-KF-G12(6-6U)</t>
  </si>
  <si>
    <t>SQY-082EE51B0992</t>
  </si>
  <si>
    <t>140607-2014-000247</t>
  </si>
  <si>
    <t>XD-B02-KF-G12(7-7U)</t>
  </si>
  <si>
    <t>67041</t>
  </si>
  <si>
    <t>140201-2012-000550</t>
  </si>
  <si>
    <t>XD-B02-KP-B02</t>
  </si>
  <si>
    <t>67073</t>
  </si>
  <si>
    <t>140201-2012-000551</t>
  </si>
  <si>
    <t>XD-B02-KP-B03</t>
  </si>
  <si>
    <t>AppDirector 2016-Dual Power</t>
  </si>
  <si>
    <t>31101244</t>
  </si>
  <si>
    <t>140504-2011-000305</t>
  </si>
  <si>
    <t>XD-B02-KP-B07(38-39U)</t>
  </si>
  <si>
    <t>31101196</t>
  </si>
  <si>
    <t>140504-2011-000306</t>
  </si>
  <si>
    <t>XD-B02-KP-B07(41-42U)</t>
  </si>
  <si>
    <t>永达 ASG1000</t>
  </si>
  <si>
    <t>ASG10002ED8E3BFAA</t>
  </si>
  <si>
    <t>140609-2012-000022</t>
  </si>
  <si>
    <t>XD-B02-KP-B08(4-5U)</t>
  </si>
  <si>
    <t>ASG10002ED4BD5931</t>
  </si>
  <si>
    <t>140609-2012-000019</t>
  </si>
  <si>
    <t>XD-B02-KP-B08(1-2U)</t>
  </si>
  <si>
    <t>ASG10002ED8E3BFA2</t>
  </si>
  <si>
    <t>140609-2012-000023</t>
  </si>
  <si>
    <t>XD-B02-KP-B08(13-14U)</t>
  </si>
  <si>
    <t>永达 LVS2000E</t>
  </si>
  <si>
    <t>LVS2000E2ED328EBD6</t>
  </si>
  <si>
    <t>140609-2012-000037</t>
  </si>
  <si>
    <t>XD-B02-KP-B08(16-17U)</t>
  </si>
  <si>
    <t>永达 YD-TSA2650</t>
  </si>
  <si>
    <t>06DTRK1</t>
  </si>
  <si>
    <t>140609-2012-000001</t>
  </si>
  <si>
    <t>XD-B02-KP-B08(25-26U)</t>
  </si>
  <si>
    <t>06DTRN7</t>
  </si>
  <si>
    <t>140609-2012-000003</t>
  </si>
  <si>
    <t>XD-B02-KP-B08(28-29U)</t>
  </si>
  <si>
    <t>06DPPX1</t>
  </si>
  <si>
    <t>140609-2012-000002</t>
  </si>
  <si>
    <t>XD-B02-KP-B08(31-32U)</t>
  </si>
  <si>
    <t>06DPPT4</t>
  </si>
  <si>
    <t>140609-2012-000004</t>
  </si>
  <si>
    <t>XD-B02-KP-B08(34-35U)</t>
  </si>
  <si>
    <t>永达 YD-PSA2650</t>
  </si>
  <si>
    <t>06DKNA9</t>
  </si>
  <si>
    <t>140609-2012-000017</t>
  </si>
  <si>
    <t>XD-B02-KP-B08(37-38U)</t>
  </si>
  <si>
    <t>ASG10002ED8D2337A</t>
  </si>
  <si>
    <t>140609-2012-000020</t>
  </si>
  <si>
    <t>ASG10002ED8D2337C</t>
  </si>
  <si>
    <t>140609-2012-000021</t>
  </si>
  <si>
    <t>XD-B02-KP-B08(7-8U)</t>
  </si>
  <si>
    <t>ASG1000-12EF691DCD2</t>
  </si>
  <si>
    <t>140609-2012-000027</t>
  </si>
  <si>
    <t>XD-B02-KP-B09(10-11U)</t>
  </si>
  <si>
    <t>ASG10002ED8D23375</t>
  </si>
  <si>
    <t>140609-2012-000024</t>
  </si>
  <si>
    <t>XD-B02-KP-B09(1-2U)</t>
  </si>
  <si>
    <t>永达 EME4280</t>
  </si>
  <si>
    <t>J32MC9Z</t>
  </si>
  <si>
    <t>140609-2012-000041</t>
  </si>
  <si>
    <t>XD-B02-KP-B09(13-16U)</t>
  </si>
  <si>
    <t>LVS2000E2ED31ABB01</t>
  </si>
  <si>
    <t>140609-2012-000038</t>
  </si>
  <si>
    <t>XD-B02-KP-B09(18-19U)</t>
  </si>
  <si>
    <t>06DTRM5</t>
  </si>
  <si>
    <t>140609-2012-000005</t>
  </si>
  <si>
    <t>XD-B02-KP-B09(27-28U)</t>
  </si>
  <si>
    <t>06DKNC8</t>
  </si>
  <si>
    <t>140609-2012-000006</t>
  </si>
  <si>
    <t>XD-B02-KP-B09(30-31U)</t>
  </si>
  <si>
    <t>06DPPT9</t>
  </si>
  <si>
    <t>140609-2012-000007</t>
  </si>
  <si>
    <t>XD-B02-KP-B09(33-34U)</t>
  </si>
  <si>
    <t>06DTRN5</t>
  </si>
  <si>
    <t>140609-2012-000008</t>
  </si>
  <si>
    <t>XD-B02-KP-B09(36-37U)</t>
  </si>
  <si>
    <t>ASG10002ED8D2337D</t>
  </si>
  <si>
    <t>140609-2012-000025</t>
  </si>
  <si>
    <t>XD-B02-KP-B09(4-5U)</t>
  </si>
  <si>
    <t>ASG10002ED8D2337B</t>
  </si>
  <si>
    <t>140609-2012-000026</t>
  </si>
  <si>
    <t>XD-B02-KP-B09(7-8U)</t>
  </si>
  <si>
    <t>LVS2000E2ED8D4083A</t>
  </si>
  <si>
    <t>140609-2012-000039</t>
  </si>
  <si>
    <t>XD-B02-KP-B10(18-19U)</t>
  </si>
  <si>
    <t>ASG10002ED8E3BFA9</t>
  </si>
  <si>
    <t>140609-2012-000028</t>
  </si>
  <si>
    <t>XD-B02-KP-B10(10-11U)</t>
  </si>
  <si>
    <t>ASG10002ED8E3BFA3</t>
  </si>
  <si>
    <t>140609-2012-000031</t>
  </si>
  <si>
    <t>XD-B02-KP-B10(1-2U)</t>
  </si>
  <si>
    <t>J32MC9Y</t>
  </si>
  <si>
    <t>140609-2012-000042</t>
  </si>
  <si>
    <t>XD-B02-KP-B10(13-16U)</t>
  </si>
  <si>
    <t>06DPPT6</t>
  </si>
  <si>
    <t>140609-2012-000009</t>
  </si>
  <si>
    <t>XD-B02-KP-B10(27-28U)</t>
  </si>
  <si>
    <t>06DPPN5</t>
  </si>
  <si>
    <t>140609-2012-000010</t>
  </si>
  <si>
    <t>XD-B02-KP-B10(30-31U)</t>
  </si>
  <si>
    <t>06DPPP6</t>
  </si>
  <si>
    <t>140609-2012-000011</t>
  </si>
  <si>
    <t>XD-B02-KP-B10(33-34U)</t>
  </si>
  <si>
    <t>06DKND1</t>
  </si>
  <si>
    <t>140609-2012-000012</t>
  </si>
  <si>
    <t>XD-B02-KP-B10(36-37U)</t>
  </si>
  <si>
    <t>ASG10002ED8E3BFA6</t>
  </si>
  <si>
    <t>140609-2012-000030</t>
  </si>
  <si>
    <t>XD-B02-KP-B10(4-5U)</t>
  </si>
  <si>
    <t>ASG10002ED8E3BFA7</t>
  </si>
  <si>
    <t>140609-2012-000029</t>
  </si>
  <si>
    <t>XD-B02-KP-B10(7-8U)</t>
  </si>
  <si>
    <t>LVS2000E2ED8D40839</t>
  </si>
  <si>
    <t>140609-2012-000040</t>
  </si>
  <si>
    <t>XD-B02-KP-B11(16-17U)</t>
  </si>
  <si>
    <t>ASG10002ED8E3BFA5</t>
  </si>
  <si>
    <t>140609-2012-000035</t>
  </si>
  <si>
    <t>XD-B02-KP-B11(10-11U)</t>
  </si>
  <si>
    <t>ASG10002EF6BBFA11</t>
  </si>
  <si>
    <t>140609-2012-000036</t>
  </si>
  <si>
    <t>XD-B02-KP-B11(1-2U)</t>
  </si>
  <si>
    <t>ASG1000-S2EF691DCD4</t>
  </si>
  <si>
    <t>140609-2012-000032</t>
  </si>
  <si>
    <t>XD-B02-KP-B11(13-14U)</t>
  </si>
  <si>
    <t>06DKGG8</t>
  </si>
  <si>
    <t>140609-2012-000013</t>
  </si>
  <si>
    <t>XD-B02-KP-B11(25-26U)</t>
  </si>
  <si>
    <t>06DPPW9</t>
  </si>
  <si>
    <t>140609-2012-000014</t>
  </si>
  <si>
    <t>XD-B02-KP-B11(28-29U)</t>
  </si>
  <si>
    <t>06DPPT8</t>
  </si>
  <si>
    <t>140609-2012-000015</t>
  </si>
  <si>
    <t>XD-B02-KP-B11(31-32U)</t>
  </si>
  <si>
    <t>06DPPW2</t>
  </si>
  <si>
    <t>140609-2012-000016</t>
  </si>
  <si>
    <t>XD-B02-KP-B11(34-35U)</t>
  </si>
  <si>
    <t>06DKNC9</t>
  </si>
  <si>
    <t>140609-2012-000018</t>
  </si>
  <si>
    <t>XD-B02-KP-B11(37-38U)</t>
  </si>
  <si>
    <t>ASG10002ED8D23379</t>
  </si>
  <si>
    <t>140609-2012-000034</t>
  </si>
  <si>
    <t>XD-B02-KP-B11(4-5U)</t>
  </si>
  <si>
    <t>ASG10002ED8E3BFA1</t>
  </si>
  <si>
    <t>140609-2012-000033</t>
  </si>
  <si>
    <t>XD-B02-KP-B11(7-8U)</t>
  </si>
  <si>
    <t>Radware AD2016</t>
  </si>
  <si>
    <t>31101239</t>
  </si>
  <si>
    <t>140504-2011-000378</t>
  </si>
  <si>
    <t>XD-B02-KP-B12(35-36U)</t>
  </si>
  <si>
    <t>31101232</t>
  </si>
  <si>
    <t>140504-2011-000379</t>
  </si>
  <si>
    <t>XD-B02-KP-B12(41-42U)</t>
  </si>
  <si>
    <t>31101242</t>
  </si>
  <si>
    <t>140504-2011-000381</t>
  </si>
  <si>
    <t>XD-B02-KP-C02(32-33U)</t>
  </si>
  <si>
    <t>31101237</t>
  </si>
  <si>
    <t>140504-2011-000380</t>
  </si>
  <si>
    <t>XD-B02-KP-C02(35-36U)</t>
  </si>
  <si>
    <t>Radware 2016</t>
  </si>
  <si>
    <t>31904720</t>
  </si>
  <si>
    <t>140505-2012-000019</t>
  </si>
  <si>
    <t>XD-B02-KP-C02(38-39U)</t>
  </si>
  <si>
    <t>31202271</t>
  </si>
  <si>
    <t>140505-2012-000020</t>
  </si>
  <si>
    <t>XD-B02-KP-C02(41-42U)</t>
  </si>
  <si>
    <t>FLC00144000081</t>
  </si>
  <si>
    <t>140201-2014-000642</t>
  </si>
  <si>
    <t>XD-B03-BY-C02(19-20U)</t>
  </si>
  <si>
    <t>LQ20151033（柜）</t>
  </si>
  <si>
    <t>140201-2016-000002</t>
  </si>
  <si>
    <t>XD-B03-BY-C10</t>
  </si>
  <si>
    <t>HDS 博科 8510-4</t>
  </si>
  <si>
    <t>ANN2539K024</t>
  </si>
  <si>
    <t>140202-2014-000043</t>
  </si>
  <si>
    <t>XD-B03-BY-C11(18-26U)</t>
  </si>
  <si>
    <t>ANN2539K022</t>
  </si>
  <si>
    <t>140202-2014-000044</t>
  </si>
  <si>
    <t>XD-B03-BY-C11(7-15U)</t>
  </si>
  <si>
    <t>HDS G1000</t>
  </si>
  <si>
    <t>50532
91217198</t>
  </si>
  <si>
    <t>140201-2014-000626</t>
  </si>
  <si>
    <t>XD-B03-BY-C12</t>
  </si>
  <si>
    <t>无（扩容硬盘，SN:50532）</t>
  </si>
  <si>
    <t>140201-2016-000005</t>
  </si>
  <si>
    <t>华为 AR3260</t>
  </si>
  <si>
    <t>2102310CWN10D4000019</t>
  </si>
  <si>
    <t>140501-2014-000559</t>
  </si>
  <si>
    <t>北京局核心机房MGRAS机柜31-33(3U)</t>
  </si>
  <si>
    <t>神州云科 YK-ADC-I5600</t>
  </si>
  <si>
    <t>F5-LVKI-PYPO</t>
  </si>
  <si>
    <t>140506-2019-000026</t>
  </si>
  <si>
    <t>TK-F01-101-G0(12-12U)</t>
  </si>
  <si>
    <t>F5-ZZOT-FLJQ</t>
  </si>
  <si>
    <t>140506-2019-000025</t>
  </si>
  <si>
    <t>TK-F01-101-G0(13-13U)</t>
  </si>
  <si>
    <t>永达YD-TSA2650</t>
  </si>
  <si>
    <t>YDTSA26502F02D64625</t>
  </si>
  <si>
    <t>140607-2019-000008</t>
  </si>
  <si>
    <t>TK-F01-107-E10(11-12U)</t>
  </si>
  <si>
    <r>
      <rPr>
        <sz val="12"/>
        <rFont val="宋体"/>
        <charset val="134"/>
      </rPr>
      <t>永达</t>
    </r>
    <r>
      <rPr>
        <sz val="12"/>
        <rFont val="Arial"/>
        <charset val="134"/>
      </rPr>
      <t>ASG1000-III</t>
    </r>
  </si>
  <si>
    <t>ASG1000-III2F02D64626</t>
  </si>
  <si>
    <t>140607-2019-000016</t>
  </si>
  <si>
    <t>TK-F01-107-E10(1-2U)</t>
  </si>
  <si>
    <t>YDTSA26502F02D64624</t>
  </si>
  <si>
    <t>140607-2019-000007</t>
  </si>
  <si>
    <t>TK-F01-107-E10(13-14U)</t>
  </si>
  <si>
    <t>永达YD-SW10G-24</t>
  </si>
  <si>
    <t>YD-SW10G-242F02D84209</t>
  </si>
  <si>
    <t>140607-2019-000027</t>
  </si>
  <si>
    <t>TK-F01-107-E10(20-20U)</t>
  </si>
  <si>
    <t>YD-SW10G-242F02D84206</t>
  </si>
  <si>
    <t>140607-2019-000026</t>
  </si>
  <si>
    <t>TK-F01-107-E10(22-22U)</t>
  </si>
  <si>
    <t>YDTSA26502F02D64623</t>
  </si>
  <si>
    <t>140607-2019-000006</t>
  </si>
  <si>
    <t>TK-F01-107-E10(24-25U)</t>
  </si>
  <si>
    <t>YDTSA26502F02D64622</t>
  </si>
  <si>
    <t>140607-2019-000005</t>
  </si>
  <si>
    <t>TK-F01-107-E10(26-27U)</t>
  </si>
  <si>
    <t>YD-SW10G-242F02D84203</t>
  </si>
  <si>
    <t>140607-2019-000025</t>
  </si>
  <si>
    <t>TK-F01-107-E10(29-29U)</t>
  </si>
  <si>
    <t>YD-SW10G-242F02D84200</t>
  </si>
  <si>
    <t>140607-2019-000024</t>
  </si>
  <si>
    <t>TK-F01-107-E10(30-30U)</t>
  </si>
  <si>
    <t>永达ASG1000-III</t>
  </si>
  <si>
    <t>ASG1000-III2F02D64625</t>
  </si>
  <si>
    <t>140607-2019-000015</t>
  </si>
  <si>
    <t>TK-F01-107-E10(4-5U)</t>
  </si>
  <si>
    <t>ASG1000-III2F02D64624</t>
  </si>
  <si>
    <t>140607-2019-000037</t>
  </si>
  <si>
    <t>TK-F01-107-E10(7-8U)</t>
  </si>
  <si>
    <t>ASG1000-III2F02D64623</t>
  </si>
  <si>
    <t>140607-2019-000036</t>
  </si>
  <si>
    <t>TK-F01-107-E10(9-10U)</t>
  </si>
  <si>
    <t>YDTSA26502F02D66D39</t>
  </si>
  <si>
    <t>140607-2019-000014</t>
  </si>
  <si>
    <t>TK-F01-107-I15(24-25U)</t>
  </si>
  <si>
    <t>YDTSA26502F02D66D38</t>
  </si>
  <si>
    <t>140607-2019-000013</t>
  </si>
  <si>
    <t>TK-F01-107-I15(26-27U)</t>
  </si>
  <si>
    <t>永达LVS2000S</t>
  </si>
  <si>
    <t>LVS2000S2F02B8D5E7</t>
  </si>
  <si>
    <t>140607-2019-000020</t>
  </si>
  <si>
    <t>TK-F01-107-I15(29-30U)</t>
  </si>
  <si>
    <t>LVS2000S2F02B8D5E5</t>
  </si>
  <si>
    <t>140607-2019-000019</t>
  </si>
  <si>
    <t>TK-F01-107-I15(31-32U)</t>
  </si>
  <si>
    <t>永达EME4280</t>
  </si>
  <si>
    <t>EME42802EFCEF805F</t>
  </si>
  <si>
    <t>140607-2019-000023</t>
  </si>
  <si>
    <t>TK-F01-107-I15(34-35U)</t>
  </si>
  <si>
    <t>YD-SW10G-242F02D841FD</t>
  </si>
  <si>
    <t>140607-2019-000031</t>
  </si>
  <si>
    <t>TK-F01-107-I15(37-37U)</t>
  </si>
  <si>
    <t>YD-SW10G-242F02D84207</t>
  </si>
  <si>
    <t>140607-2019-000030</t>
  </si>
  <si>
    <t>TK-F01-107-I15(38-38U)</t>
  </si>
  <si>
    <t>YD-SW10G-242F02D84204</t>
  </si>
  <si>
    <t>140607-2019-000029</t>
  </si>
  <si>
    <t>TK-F01-107-I15(40-40U)</t>
  </si>
  <si>
    <t>YD-SW10G-242F02D84201</t>
  </si>
  <si>
    <t>140607-2019-000028</t>
  </si>
  <si>
    <t>TK-F01-107-I15(41-41U)</t>
  </si>
  <si>
    <t>YDTSA26502F02D66D3A</t>
  </si>
  <si>
    <t>140607-2019-000010</t>
  </si>
  <si>
    <t>TK-F01-107-I20(12-13U)</t>
  </si>
  <si>
    <t>YDTSA26502F02D66D31</t>
  </si>
  <si>
    <t>140607-2019-000009</t>
  </si>
  <si>
    <t>TK-F01-107-I20(14-15U)</t>
  </si>
  <si>
    <t>LVS2000S2F02B8D5E8</t>
  </si>
  <si>
    <t>140607-2019-000022</t>
  </si>
  <si>
    <t>TK-F01-107-I20(17-18U)</t>
  </si>
  <si>
    <t>LVS2000S2F02B8D5E6</t>
  </si>
  <si>
    <t>140607-2019-000021</t>
  </si>
  <si>
    <t>TK-F01-107-I20(19-20U)</t>
  </si>
  <si>
    <t>YD-SW10G-242F02D841FE</t>
  </si>
  <si>
    <t>140607-2019-000035</t>
  </si>
  <si>
    <t>TK-F01-107-I20(23-23U)</t>
  </si>
  <si>
    <t>ASG1000-III2F02D64628</t>
  </si>
  <si>
    <t>140607-2019-000018</t>
  </si>
  <si>
    <t>TK-F01-107-I20(2-3U)</t>
  </si>
  <si>
    <t>YD-SW10G-242F02D84208</t>
  </si>
  <si>
    <t>140607-2019-000034</t>
  </si>
  <si>
    <t>TK-F01-107-I20(24-24U)</t>
  </si>
  <si>
    <t>YD-SW10G-242F02D84205</t>
  </si>
  <si>
    <t>140607-2019-000033</t>
  </si>
  <si>
    <t>TK-F01-107-I20(26-26U)</t>
  </si>
  <si>
    <t>YD-SW10G-242F02D84202</t>
  </si>
  <si>
    <t>140607-2019-000032</t>
  </si>
  <si>
    <t>TK-F01-107-I20(27-27U)</t>
  </si>
  <si>
    <t>ASG1000-III2F02D64627</t>
  </si>
  <si>
    <t>140607-2019-000017</t>
  </si>
  <si>
    <t>TK-F01-107-I20(4-5U)</t>
  </si>
  <si>
    <t>YDTSA26502F02D66D37</t>
  </si>
  <si>
    <t>140607-2019-000012</t>
  </si>
  <si>
    <t>TK-F01-107-I20(7-8U)</t>
  </si>
  <si>
    <t>YDTSA26502F02D66D36</t>
  </si>
  <si>
    <t>140607-2019-000011</t>
  </si>
  <si>
    <t>TK-F01-107-I20(9-10U)</t>
  </si>
  <si>
    <t>X86服务器及其附属设备</t>
  </si>
  <si>
    <t>长虹佳华VxRail P570</t>
  </si>
  <si>
    <t>DE500194300143</t>
  </si>
  <si>
    <t>140103-2019-000539</t>
  </si>
  <si>
    <t>TK-F01-109-A1(12-13U)</t>
  </si>
  <si>
    <t>DE500194300144</t>
  </si>
  <si>
    <t>140103-2019-000538</t>
  </si>
  <si>
    <t>TK-F01-109-A1(15-16U)</t>
  </si>
  <si>
    <t>DE500194300145</t>
  </si>
  <si>
    <t>140103-2019-000537</t>
  </si>
  <si>
    <t>TK-F01-109-A1(18-19U)</t>
  </si>
  <si>
    <t>DE500194300146</t>
  </si>
  <si>
    <t>140103-2019-000536</t>
  </si>
  <si>
    <t>TK-F01-109-A1(21-22U)</t>
  </si>
  <si>
    <t>DE500194300147</t>
  </si>
  <si>
    <t>140103-2019-000535</t>
  </si>
  <si>
    <t>TK-F01-109-A1(24-25U)</t>
  </si>
  <si>
    <t>DE500194300148</t>
  </si>
  <si>
    <t>140103-2019-000534</t>
  </si>
  <si>
    <t>TK-F01-109-A1(27-28U)</t>
  </si>
  <si>
    <t>DE500194300149</t>
  </si>
  <si>
    <t>140103-2019-000533</t>
  </si>
  <si>
    <t>TK-F01-109-A1(30-31U)</t>
  </si>
  <si>
    <t>DE500194300140</t>
  </si>
  <si>
    <t>140103-2019-000542</t>
  </si>
  <si>
    <t>TK-F01-109-A1(3-4U)</t>
  </si>
  <si>
    <t>DE500194300141</t>
  </si>
  <si>
    <t>140103-2019-000541</t>
  </si>
  <si>
    <t>TK-F01-109-A1(6-7U)</t>
  </si>
  <si>
    <t>DE500194300142</t>
  </si>
  <si>
    <t>140103-2019-000540</t>
  </si>
  <si>
    <t>TK-F01-109-A1(9-10U)</t>
  </si>
  <si>
    <t>DE500194300153</t>
  </si>
  <si>
    <t>140103-2019-000549</t>
  </si>
  <si>
    <t>TK-F01-109-A2(12-13U)</t>
  </si>
  <si>
    <t>DE500194300154</t>
  </si>
  <si>
    <t>140103-2019-000548</t>
  </si>
  <si>
    <t>TK-F01-109-A2(15-16U)</t>
  </si>
  <si>
    <t>DE500194300155</t>
  </si>
  <si>
    <t>140103-2019-000547</t>
  </si>
  <si>
    <t>TK-F01-109-A2(18-19U)</t>
  </si>
  <si>
    <t>DE500194300156</t>
  </si>
  <si>
    <t>140103-2019-000546</t>
  </si>
  <si>
    <t>TK-F01-109-A2(21-22U)</t>
  </si>
  <si>
    <t>DE500194300157</t>
  </si>
  <si>
    <t>140103-2019-000545</t>
  </si>
  <si>
    <t>TK-F01-109-A2(24-25U)</t>
  </si>
  <si>
    <t>DE500194300158</t>
  </si>
  <si>
    <t>140103-2019-000544</t>
  </si>
  <si>
    <t>TK-F01-109-A2(27-28U)</t>
  </si>
  <si>
    <t>DE500194300159</t>
  </si>
  <si>
    <t>140103-2019-000543</t>
  </si>
  <si>
    <t>TK-F01-109-A2(30-31U)</t>
  </si>
  <si>
    <t>DE500194300150</t>
  </si>
  <si>
    <t>140103-2019-000552</t>
  </si>
  <si>
    <t>TK-F01-109-A2(3-4U)</t>
  </si>
  <si>
    <t>DE500194300151</t>
  </si>
  <si>
    <t>140103-2019-000551</t>
  </si>
  <si>
    <t>TK-F01-109-A2(6-7U)</t>
  </si>
  <si>
    <t>DE500194300152</t>
  </si>
  <si>
    <t>140103-2019-000550</t>
  </si>
  <si>
    <t>TK-F01-109-A2(9-10U)</t>
  </si>
  <si>
    <t>CHANGHONG G900</t>
  </si>
  <si>
    <t>416007
481990
CKM00194201523</t>
  </si>
  <si>
    <t>140201-2019-000003</t>
  </si>
  <si>
    <t>TK-F01-109-A5(05-15U)
TK-F01-109-A5(26-30U)</t>
  </si>
  <si>
    <t>CHANGHONG MDS9396S</t>
  </si>
  <si>
    <t>JPG2334007T</t>
  </si>
  <si>
    <t>140202-2019-000002</t>
  </si>
  <si>
    <t>TK-F01-109-A5(36-37U)</t>
  </si>
  <si>
    <t>JPG233200BM</t>
  </si>
  <si>
    <t>140202-2019-000001</t>
  </si>
  <si>
    <t>TK-F01-109-A5(40-41U)</t>
  </si>
  <si>
    <t>神州云科   YK-ADC-I5600</t>
  </si>
  <si>
    <t>YK-0000-0314</t>
  </si>
  <si>
    <t>140504-2019-000010</t>
  </si>
  <si>
    <t>TK-F02-226-G5(27-27U)</t>
  </si>
  <si>
    <t>YK-0000-0422</t>
  </si>
  <si>
    <t>140504-2019-000009</t>
  </si>
  <si>
    <t>TK-F02-226-G5(29-29U)</t>
  </si>
  <si>
    <t>DellEMCVMAX250F</t>
  </si>
  <si>
    <t>CN497800027
CKM00194200021
BRCCCD1939Q068</t>
  </si>
  <si>
    <t>140201-2019-000002</t>
  </si>
  <si>
    <t>TK-F02-226-D6(14-23U)
TK-F02-226-C3(23-27U)
TK-F02-226-D6(41U)</t>
  </si>
  <si>
    <t>CN497800026
CKM00194200029
BRCCCD1939Q067</t>
  </si>
  <si>
    <t>140201-2019-000001</t>
  </si>
  <si>
    <t>TK-F02-226-D6(38-38U)</t>
  </si>
  <si>
    <t>华为 eSpace U2980</t>
  </si>
  <si>
    <t>2102310KFE10H6000036</t>
  </si>
  <si>
    <t>140506-2017-000008</t>
  </si>
  <si>
    <t>XD-B03-YD-A11(29-32U)</t>
  </si>
  <si>
    <t>2102310KFE10H6000034</t>
  </si>
  <si>
    <t>140506-2017-000010</t>
  </si>
  <si>
    <t>XD-B03-YD-69V</t>
  </si>
  <si>
    <t>2102310KFE10H6000038</t>
  </si>
  <si>
    <t>140506-2017-000009</t>
  </si>
  <si>
    <t>XD-B03-YD-A12(29-32U)</t>
  </si>
  <si>
    <t>H3C SecPath GAP2000-AE</t>
  </si>
  <si>
    <t>219801A293820BJ00007？</t>
  </si>
  <si>
    <t>140605-2020-000006</t>
  </si>
  <si>
    <t>WQ-F04-T8-B04(16-17U)</t>
  </si>
  <si>
    <t>219801A293820BJ0000B</t>
  </si>
  <si>
    <t>140605-2020-000007</t>
  </si>
  <si>
    <t>WQ-F04-T8-B04(13-14U)</t>
  </si>
  <si>
    <t>417562（G900）
481824（仲裁）
CKM00194200008（备份）</t>
  </si>
  <si>
    <t>140201-2019-000004</t>
  </si>
  <si>
    <t>XD-B01-TX-D02(19-29U)</t>
  </si>
  <si>
    <t>JPG2334007M</t>
  </si>
  <si>
    <t>140202-2019-000003</t>
  </si>
  <si>
    <t>XD-B01-TX-D02(40-41U)</t>
  </si>
  <si>
    <t>JPG2334009E</t>
  </si>
  <si>
    <t>140202-2019-000004</t>
  </si>
  <si>
    <t>XD-B01-TX-D02(36-37U)</t>
  </si>
  <si>
    <t>公安一所V3000-G</t>
  </si>
  <si>
    <t>LZ19101101</t>
  </si>
  <si>
    <t>140606-2019-000004</t>
  </si>
  <si>
    <t>TK-F02-226-F1(30-32U)</t>
  </si>
  <si>
    <t>LZ18110644</t>
  </si>
  <si>
    <t>140606-2019-000005</t>
  </si>
  <si>
    <t>TK-F02-226-F1(27-29U)</t>
  </si>
  <si>
    <t>EMC Cisco MDS 9148</t>
  </si>
  <si>
    <t>AMS18200797</t>
  </si>
  <si>
    <t>140202-2014-000046</t>
  </si>
  <si>
    <t>TK-F02-226-B3(14-14U)</t>
  </si>
  <si>
    <t>AMS18230116</t>
  </si>
  <si>
    <t>140202-2014-000045</t>
  </si>
  <si>
    <t>TK-F02-226-B3(16-16U)</t>
  </si>
  <si>
    <t>Brocade 6505</t>
  </si>
  <si>
    <t>BRCCCD1937K02Y</t>
  </si>
  <si>
    <t>140202-2014-000047</t>
  </si>
  <si>
    <t>TK-F02-226-B7(36-36U)</t>
  </si>
  <si>
    <t>机柜、机架、机箱</t>
  </si>
  <si>
    <t>HP C7000</t>
  </si>
  <si>
    <t>CNG230SH6V</t>
  </si>
  <si>
    <t>141101-2012-000718</t>
  </si>
  <si>
    <t>XD-B02-KP-E02(12-21U)DP114</t>
  </si>
  <si>
    <t>CNG230SH6P</t>
  </si>
  <si>
    <t>141101-2012-000717</t>
  </si>
  <si>
    <t>XD-B02-KP-E02(2-11U)DP115</t>
  </si>
  <si>
    <t>CNG230SH6Y</t>
  </si>
  <si>
    <t>141101-2012-000720</t>
  </si>
  <si>
    <t>XD-B02-KP-E03(12-21U)DP116</t>
  </si>
  <si>
    <t>CNG230SH6W</t>
  </si>
  <si>
    <t>141101-2012-000719</t>
  </si>
  <si>
    <t>XD-B02-KP-E03(2-11U)DP117</t>
  </si>
  <si>
    <t>CNG230SH6T</t>
  </si>
  <si>
    <t>141101-2012-000724</t>
  </si>
  <si>
    <t>XD-B02-KP-E05(12-21U)DP120</t>
  </si>
  <si>
    <t>CNG230SH73</t>
  </si>
  <si>
    <t>141101-2012-000723</t>
  </si>
  <si>
    <t>XD-B02-KP-E05(27-36U)DP121</t>
  </si>
  <si>
    <t>CNG230SH6S</t>
  </si>
  <si>
    <t>141101-2012-000726</t>
  </si>
  <si>
    <t>XD-B02-KP-E06(12-21U)DP122</t>
  </si>
  <si>
    <t>CNG230SH6L</t>
  </si>
  <si>
    <t>141101-2012-000725</t>
  </si>
  <si>
    <t>XD-B02-KP-E06(2U-11U)DP113</t>
  </si>
  <si>
    <t>华为 E9000</t>
  </si>
  <si>
    <t>2102300742N0GA000126(左)  210230102810GA000104（右）</t>
  </si>
  <si>
    <t>140901-2016-000019</t>
  </si>
  <si>
    <t>XD-B02-KF-E11(02-13U)</t>
  </si>
  <si>
    <t>2102300742N0GA000124(左)  210230102810GA000103（右）</t>
  </si>
  <si>
    <t>140901-2016-000018</t>
  </si>
  <si>
    <t>XD-B02-KF-E11(22-33U)</t>
  </si>
  <si>
    <t>SGH316SK9T</t>
  </si>
  <si>
    <t>141101-2013-000858</t>
  </si>
  <si>
    <t>XD-B02-KF-E12(13-22U)DP155</t>
  </si>
  <si>
    <t>6CU3260R21</t>
  </si>
  <si>
    <t>141101-2013-000859</t>
  </si>
  <si>
    <t>XD-B02-KF-E12(3-12U)DP156</t>
  </si>
  <si>
    <t>Dell  M1000e</t>
  </si>
  <si>
    <t>FM5XJG2</t>
  </si>
  <si>
    <t>140901-2016-000002</t>
  </si>
  <si>
    <t>XD-B02-KF-E17(02-11U)</t>
  </si>
  <si>
    <t>15GZLG2</t>
  </si>
  <si>
    <t>140901-2016-000001</t>
  </si>
  <si>
    <t>XD-B02-KF-E17(12-21U)</t>
  </si>
  <si>
    <t>CNG230SH6N</t>
  </si>
  <si>
    <t>141101-2012-000779</t>
  </si>
  <si>
    <t>XD-B02-KP-E07(12-21U)DP124</t>
  </si>
  <si>
    <t>CNG230SH70</t>
  </si>
  <si>
    <t>141101-2012-000778</t>
  </si>
  <si>
    <t>XD-B02-KP-E07(2-11U)DP125</t>
  </si>
  <si>
    <t>IBM Flex System</t>
  </si>
  <si>
    <t>06D7169</t>
  </si>
  <si>
    <t>141101-2012-000781</t>
  </si>
  <si>
    <t>XD-B03-BY-A04(13-22U)DP97</t>
  </si>
  <si>
    <t>06D7175</t>
  </si>
  <si>
    <t>141101-2012-000713</t>
  </si>
  <si>
    <t>XD-B03-BY-A04(2-11U)DP98</t>
  </si>
  <si>
    <t>06D7170</t>
  </si>
  <si>
    <t>141101-2012-000714</t>
  </si>
  <si>
    <t>XD-B03-BY-A05(13-22U)DP99</t>
  </si>
  <si>
    <t>06D7173</t>
  </si>
  <si>
    <t>141101-2012-000715</t>
  </si>
  <si>
    <t>XD-B03-BY-A05(2-11U)DP100</t>
  </si>
  <si>
    <t>Cisco UCS 5108</t>
  </si>
  <si>
    <t>FOX1623GPGX</t>
  </si>
  <si>
    <t>141101-2012-000703</t>
  </si>
  <si>
    <t>XD-B03-BY-A06(15-20U)DP108</t>
  </si>
  <si>
    <t>FOX1623GTMY</t>
  </si>
  <si>
    <t>141101-2012-000774</t>
  </si>
  <si>
    <t>XD-B03-BY-A06(3-8U)DP110</t>
  </si>
  <si>
    <t>FOX1618G6L6</t>
  </si>
  <si>
    <t>141101-2012-000704</t>
  </si>
  <si>
    <t>XD-B03-BY-A06(9-14U)DP109</t>
  </si>
  <si>
    <t>FOX1623GPGF</t>
  </si>
  <si>
    <t>141101-2012-000775</t>
  </si>
  <si>
    <t>XD-B03-BY-A07(15-20U)DP111</t>
  </si>
  <si>
    <t>FOX1621H2YD</t>
  </si>
  <si>
    <t>141101-2012-000777</t>
  </si>
  <si>
    <t>XD-B03-BY-A07(2-7U)DP113</t>
  </si>
  <si>
    <t>FOX1618GDRF</t>
  </si>
  <si>
    <t>141101-2012-000776</t>
  </si>
  <si>
    <t>XD-B03-BY-A07(9-14U)DP112</t>
  </si>
  <si>
    <t>DELL M1000e</t>
  </si>
  <si>
    <t>8LPDF3X</t>
  </si>
  <si>
    <t>141101-2012-000758</t>
  </si>
  <si>
    <t>XD-B03-BY-B04(13-22U)DP103</t>
  </si>
  <si>
    <t>9MPDF3X</t>
  </si>
  <si>
    <t>141101-2012-000759</t>
  </si>
  <si>
    <t>XD-B03-BY-B04(2-11U)DP104</t>
  </si>
  <si>
    <t>GJPDF3X</t>
  </si>
  <si>
    <t>141101-2012-000761</t>
  </si>
  <si>
    <t>XD-B03-BY-B05(13-22U)DP105</t>
  </si>
  <si>
    <t>BQPDF3X</t>
  </si>
  <si>
    <t>141101-2012-000760</t>
  </si>
  <si>
    <t>XD-B03-BY-B05(2-11U)DP106</t>
  </si>
  <si>
    <t>CRPDF3X</t>
  </si>
  <si>
    <t>141101-2012-000763</t>
  </si>
  <si>
    <t>XD-B03-BY-B06(12-22U)DP127</t>
  </si>
  <si>
    <t>65PDF3X</t>
  </si>
  <si>
    <t>141101-2012-000762</t>
  </si>
  <si>
    <t>XD-B03-BY-B06(2-11U)DP107</t>
  </si>
  <si>
    <t>06D7165</t>
  </si>
  <si>
    <t>141101-2012-000769</t>
  </si>
  <si>
    <t>XD-B03-BY-C03(2-11U)DP87</t>
  </si>
  <si>
    <t>06D7172</t>
  </si>
  <si>
    <t>141101-2012-000705</t>
  </si>
  <si>
    <t>XD-B03-BY-C04(13-22U)DP88</t>
  </si>
  <si>
    <t>06D7186</t>
  </si>
  <si>
    <t>141101-2012-000706</t>
  </si>
  <si>
    <t>XD-B03-BY-C04(2-11U)DP89</t>
  </si>
  <si>
    <t>06D7180</t>
  </si>
  <si>
    <t>141101-2012-000707</t>
  </si>
  <si>
    <t>XD-B03-BY-C05(13-22U)DP90</t>
  </si>
  <si>
    <t>06D7181</t>
  </si>
  <si>
    <t>141101-2012-000708</t>
  </si>
  <si>
    <t>XD-B03-BY-C05(2-11U)DP91</t>
  </si>
  <si>
    <t>06D7168</t>
  </si>
  <si>
    <t>141101-2012-000709</t>
  </si>
  <si>
    <t>XD-B03-BY-C06(13-22U)DP92</t>
  </si>
  <si>
    <t>06D7184</t>
  </si>
  <si>
    <t>141101-2012-000710</t>
  </si>
  <si>
    <t>XD-B03-BY-C06(2-11U)DP93</t>
  </si>
  <si>
    <t>06D7185</t>
  </si>
  <si>
    <t>141101-2012-000770</t>
  </si>
  <si>
    <t>XD-B03-BY-C07(13-22U)DP126</t>
  </si>
  <si>
    <t>06D7183</t>
  </si>
  <si>
    <t>141101-2012-000711</t>
  </si>
  <si>
    <t>XD-B03-BY-C07(2-11U)DP94</t>
  </si>
  <si>
    <t>06D7182</t>
  </si>
  <si>
    <t>141101-2012-000712</t>
  </si>
  <si>
    <t>XD-B03-BY-C08(13-22U)DP95</t>
  </si>
  <si>
    <t>06D7166</t>
  </si>
  <si>
    <t>141101-2012-000780</t>
  </si>
  <si>
    <t>XD-B03-BY-C08(2-11U)DP96</t>
  </si>
  <si>
    <t>Huawei E9000</t>
  </si>
  <si>
    <t>210230074210D2000037</t>
  </si>
  <si>
    <t>141101-2013-000967</t>
  </si>
  <si>
    <t>XD-B03-YD-F07(20-31U)DP127</t>
  </si>
  <si>
    <t>210230074210D2000036</t>
  </si>
  <si>
    <t>141101-2013-000966</t>
  </si>
  <si>
    <t>XD-B03-YD-F07(3-14U)DP128</t>
  </si>
  <si>
    <t>Sun Blade 6000</t>
  </si>
  <si>
    <t>1305BD4131</t>
  </si>
  <si>
    <t>141101-2013-000968</t>
  </si>
  <si>
    <t>XD-B03-YD-F08(14-23U)DP130</t>
  </si>
  <si>
    <t>1305BD412C</t>
  </si>
  <si>
    <t>141101-2013-000969</t>
  </si>
  <si>
    <t>XD-B03-YD-F08(3-12U)DP129</t>
  </si>
  <si>
    <t>Cisco UCS 5108 Blade Svr AC</t>
  </si>
  <si>
    <t>FOX1702GT3E</t>
  </si>
  <si>
    <t>141101-2013-000979</t>
  </si>
  <si>
    <t>XD-F03-DP-A04(10-15U)DP133</t>
  </si>
  <si>
    <t>FOX1703G8WX</t>
  </si>
  <si>
    <t>141101-2013-000978</t>
  </si>
  <si>
    <t>XD-F03-DP-A04(17-22U)DP135</t>
  </si>
  <si>
    <t xml:space="preserve">FOX1703GVU7
</t>
  </si>
  <si>
    <t>141101-2013-000980</t>
  </si>
  <si>
    <t>XD-F03-DP-A04(3-8U)DP135</t>
  </si>
  <si>
    <r>
      <rPr>
        <sz val="12"/>
        <rFont val="宋体"/>
        <charset val="134"/>
      </rPr>
      <t>施耐德</t>
    </r>
    <r>
      <rPr>
        <sz val="12"/>
        <rFont val="Arial"/>
        <charset val="134"/>
      </rPr>
      <t xml:space="preserve"> STS</t>
    </r>
  </si>
  <si>
    <t>5A1443T03118</t>
  </si>
  <si>
    <t>140703-2014-000090</t>
  </si>
  <si>
    <t>TK-F01-101-G2(33-33U)</t>
  </si>
  <si>
    <t>F5 VIPRION 2250扩容</t>
  </si>
  <si>
    <t>bld019568s/bld019594s</t>
  </si>
  <si>
    <t>140606-2017-000010</t>
  </si>
  <si>
    <r>
      <rPr>
        <sz val="12"/>
        <rFont val="宋体"/>
        <charset val="134"/>
      </rPr>
      <t>华三</t>
    </r>
    <r>
      <rPr>
        <sz val="12"/>
        <rFont val="Arial"/>
        <charset val="134"/>
      </rPr>
      <t xml:space="preserve"> H3C S12500-X</t>
    </r>
    <r>
      <rPr>
        <sz val="12"/>
        <rFont val="宋体"/>
        <charset val="134"/>
      </rPr>
      <t>扩容</t>
    </r>
  </si>
  <si>
    <t>210231AGH73000007/
210231ACAH64000025</t>
  </si>
  <si>
    <t>140502-2017-000078</t>
  </si>
  <si>
    <t>TK-F01-101-G2(3-17U)</t>
  </si>
  <si>
    <t>华为 SVN2260</t>
  </si>
  <si>
    <t>210235G6WP10EA000001</t>
  </si>
  <si>
    <t>140506-2014-000010</t>
  </si>
  <si>
    <t>TK-F01-101-G2(39-39U)</t>
  </si>
  <si>
    <t>bld020147s/bld020160s</t>
  </si>
  <si>
    <t>140503-2017-000005</t>
  </si>
  <si>
    <t>华三 H3C S12500-X扩容</t>
  </si>
  <si>
    <t>210231AGH73000008/
210231ACAH64000007</t>
  </si>
  <si>
    <t>140502-2017-000077</t>
  </si>
  <si>
    <t>TK-F01-101-G3(3-17U)</t>
  </si>
  <si>
    <t>5A1443T08813</t>
  </si>
  <si>
    <t>140703-2014-000089</t>
  </si>
  <si>
    <t>TK-F01-101-G4(32-32U)</t>
  </si>
  <si>
    <t>bld019560s/bld019118s</t>
  </si>
  <si>
    <t>140503-2017-000006</t>
  </si>
  <si>
    <t>飞旗 F7OptimalQoS-5800</t>
  </si>
  <si>
    <t>00900B34B8AA</t>
  </si>
  <si>
    <t>140506-2014-000018</t>
  </si>
  <si>
    <t>TK-F01-101-G4(24-25U)</t>
  </si>
  <si>
    <t>bld019564s/bld019093s</t>
  </si>
  <si>
    <t>140606-2017-000008</t>
  </si>
  <si>
    <t>bld020111s/bld020081s</t>
  </si>
  <si>
    <t>140606-2017-000009</t>
  </si>
  <si>
    <t>bld019106s/bld019069s</t>
  </si>
  <si>
    <t>140606-2017-000007</t>
  </si>
  <si>
    <t>bld018495s</t>
  </si>
  <si>
    <t>140606-2017-000011</t>
  </si>
  <si>
    <t>其他机房设施</t>
  </si>
  <si>
    <t>天津小猫避雷器</t>
  </si>
  <si>
    <t>BK-F01-PD-BL05</t>
  </si>
  <si>
    <t>140705-2014-000008</t>
  </si>
  <si>
    <t>TK-F01-101室U7A</t>
  </si>
  <si>
    <r>
      <rPr>
        <sz val="12"/>
        <rFont val="宋体"/>
        <charset val="134"/>
      </rPr>
      <t>施耐德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配电柜</t>
    </r>
  </si>
  <si>
    <t>BK-F01-PD-LT05</t>
  </si>
  <si>
    <t>140703-2014-000060</t>
  </si>
  <si>
    <t>BK-F01-PD-BL06</t>
  </si>
  <si>
    <t>140705-2014-000009</t>
  </si>
  <si>
    <t>TK-F01-101室U7B</t>
  </si>
  <si>
    <t>BK-F01-PD-LT06</t>
  </si>
  <si>
    <t>140703-2014-000061</t>
  </si>
  <si>
    <t>5A1445T01489</t>
  </si>
  <si>
    <t>140703-2014-000088</t>
  </si>
  <si>
    <t>TK-F01-102机房</t>
  </si>
  <si>
    <t>施耐德定制强电列头柜</t>
  </si>
  <si>
    <t>140703-2017-000001</t>
  </si>
  <si>
    <t>TK-F01-103</t>
  </si>
  <si>
    <t>140703-2017-000002</t>
  </si>
  <si>
    <t>EMC VMAX 100K</t>
  </si>
  <si>
    <t>CN496800490</t>
  </si>
  <si>
    <t>140201-2017-000018</t>
  </si>
  <si>
    <t>TK-F01-103-A10</t>
  </si>
  <si>
    <t>CN496800489</t>
  </si>
  <si>
    <t>140201-2017-000017</t>
  </si>
  <si>
    <t>TK-F01-103-A12</t>
  </si>
  <si>
    <t>HDS HCP-G10</t>
  </si>
  <si>
    <t>HCPG70049</t>
  </si>
  <si>
    <t>140201-2017-000016</t>
  </si>
  <si>
    <t>TK-F01-103-A7</t>
  </si>
  <si>
    <t>5A1441T15413</t>
  </si>
  <si>
    <t>140703-2014-000091</t>
  </si>
  <si>
    <t>TK-F01-104-H5(35-35U)</t>
  </si>
  <si>
    <t>博科 Brocade 6520</t>
  </si>
  <si>
    <t>CHQ404IN00B</t>
  </si>
  <si>
    <t>140202-2017-000005</t>
  </si>
  <si>
    <t>TK-F01-104-H6(29-30U)</t>
  </si>
  <si>
    <t>CHQ404IN001</t>
  </si>
  <si>
    <t>140202-2017-000006</t>
  </si>
  <si>
    <t>TK-F01-104-H6(32-33U)</t>
  </si>
  <si>
    <t>BK-F01-PD-BL07</t>
  </si>
  <si>
    <t>140705-2014-000010</t>
  </si>
  <si>
    <t>TK-F01-104室U8A</t>
  </si>
  <si>
    <t>BK-F01-PD-LT07</t>
  </si>
  <si>
    <t>140703-2014-000062</t>
  </si>
  <si>
    <t>BK-F01-PD-BL08</t>
  </si>
  <si>
    <t>140705-2014-000011</t>
  </si>
  <si>
    <t>TK-F01-104室U8B</t>
  </si>
  <si>
    <t>BK-F01-PD-LT08</t>
  </si>
  <si>
    <t>140703-2014-000063</t>
  </si>
  <si>
    <t>5A1443T08942</t>
  </si>
  <si>
    <t>140703-2014-000093</t>
  </si>
  <si>
    <t>TK-F01-105 1号柜(37-37U)</t>
  </si>
  <si>
    <t>210231A0QCH16B000010</t>
  </si>
  <si>
    <t>140502-2017-000110</t>
  </si>
  <si>
    <t>TK-F01-106-A1(3-17U)</t>
  </si>
  <si>
    <t>140502-2017-000109</t>
  </si>
  <si>
    <t>TK-F01-106-A1(10-18U)2槽扩容</t>
  </si>
  <si>
    <t>5A1441T15412</t>
  </si>
  <si>
    <t>140703-2014-000087</t>
  </si>
  <si>
    <t>TK-F01-106-A4(8-8U)</t>
  </si>
  <si>
    <t>F5 BIG-LTM-3600-4G-R</t>
  </si>
  <si>
    <t>F5-CJXU-PYJA</t>
  </si>
  <si>
    <t>140505-2012-000028</t>
  </si>
  <si>
    <t>TK-F01-106-C02(21-21U)</t>
  </si>
  <si>
    <t>F5-IKMR-EIML</t>
  </si>
  <si>
    <t>140505-2012-000027</t>
  </si>
  <si>
    <t>TK-F01-106-C02(23-23U)</t>
  </si>
  <si>
    <t>F5 BIG-LTM-3900-4G-R</t>
  </si>
  <si>
    <t>F5-SQTY-DDPK</t>
  </si>
  <si>
    <t>140505-2012-000025</t>
  </si>
  <si>
    <t>TK-F01-106-C02(34-34U)</t>
  </si>
  <si>
    <t>ZDNS 7100</t>
  </si>
  <si>
    <t>05-1402E-201</t>
  </si>
  <si>
    <t>140506-2014-000020</t>
  </si>
  <si>
    <t>TK-F01-106-C05(25-26U)</t>
  </si>
  <si>
    <t>05-1403E-214</t>
  </si>
  <si>
    <t>140506-2014-000019</t>
  </si>
  <si>
    <t>TK-F01-106-C05(29-30U)</t>
  </si>
  <si>
    <t>HP RX9900</t>
  </si>
  <si>
    <t>SGH230A2A2</t>
  </si>
  <si>
    <t>140102-2012-000557</t>
  </si>
  <si>
    <t>TK-F01-106-C08(17-26U)</t>
  </si>
  <si>
    <t>SGH230A29S</t>
  </si>
  <si>
    <t>140102-2012-000558</t>
  </si>
  <si>
    <t>TK-F01-106-C08(3-12U)</t>
  </si>
  <si>
    <t>F5-AHKD-CMVF</t>
  </si>
  <si>
    <t>140505-2012-000021</t>
  </si>
  <si>
    <t>TK-F01-226-H07(30-30U)</t>
  </si>
  <si>
    <t>F5-NBUJ-OSBT</t>
  </si>
  <si>
    <t>140505-2012-000023</t>
  </si>
  <si>
    <t>TK-F01-106-C09(26-26U)</t>
  </si>
  <si>
    <t>F5-OIGZ-UVJG</t>
  </si>
  <si>
    <t>140505-2012-000024</t>
  </si>
  <si>
    <t>TK-F01-106-C09(28-28U)</t>
  </si>
  <si>
    <t>5A1441T15396</t>
  </si>
  <si>
    <t>140703-2014-000092</t>
  </si>
  <si>
    <t>TK-F01-106-C09(34-34U)</t>
  </si>
  <si>
    <t>5A1441T15246</t>
  </si>
  <si>
    <t>140703-2014-000084</t>
  </si>
  <si>
    <t>TK-F01-106-C10(30-30U)</t>
  </si>
  <si>
    <t>BK-F01-PD-BL11</t>
  </si>
  <si>
    <t>140705-2014-000014</t>
  </si>
  <si>
    <t>TK-F01-106-C列A柜</t>
  </si>
  <si>
    <t>BK-F01-PD-LT11</t>
  </si>
  <si>
    <t>140703-2014-000066</t>
  </si>
  <si>
    <t>BK-F01-PD-BL22</t>
  </si>
  <si>
    <t>140705-2014-000025</t>
  </si>
  <si>
    <t>TK-F01-106-D列A柜</t>
  </si>
  <si>
    <t>BK-F01-PD-LT22</t>
  </si>
  <si>
    <t>140703-2014-000077</t>
  </si>
  <si>
    <t>HDS  VSPG1000 Hardware Upgrade</t>
  </si>
  <si>
    <t>140201-2017-000015</t>
  </si>
  <si>
    <t>TK-F01-106-E4</t>
  </si>
  <si>
    <t>BK-F01-PD-BL18</t>
  </si>
  <si>
    <t>140705-2014-000021</t>
  </si>
  <si>
    <t>TK-F01-106-E列A柜</t>
  </si>
  <si>
    <t>BK-F01-PD-LT18</t>
  </si>
  <si>
    <t>140703-2014-000073</t>
  </si>
  <si>
    <t>BK-F01-PD-BL17</t>
  </si>
  <si>
    <t>140705-2014-000020</t>
  </si>
  <si>
    <t>TK-F01-106-F列A柜</t>
  </si>
  <si>
    <t>BK-F01-PD-LT17</t>
  </si>
  <si>
    <t>140703-2014-000072</t>
  </si>
  <si>
    <t>BK-F01-PD-BL12</t>
  </si>
  <si>
    <t>140705-2014-000015</t>
  </si>
  <si>
    <t>TK-F01-106-G列A柜</t>
  </si>
  <si>
    <t>BK-F01-PD-LT12</t>
  </si>
  <si>
    <t>140703-2014-000067</t>
  </si>
  <si>
    <t>140703-2017-000003</t>
  </si>
  <si>
    <t>TK-F01-107-B列东</t>
  </si>
  <si>
    <t>140703-2017-000004</t>
  </si>
  <si>
    <t>TK-F01-107-A列东</t>
  </si>
  <si>
    <t>5A1510T02768</t>
  </si>
  <si>
    <t>140703-2014-000094</t>
  </si>
  <si>
    <t>TK-F01-107-11机柜(41-41U)</t>
  </si>
  <si>
    <t>卫士通 SJJ1821</t>
  </si>
  <si>
    <t>WTACDHSMPTHI2DGE01004</t>
  </si>
  <si>
    <t>140606-2018-000004</t>
  </si>
  <si>
    <t>TK-F01-107-A10(32-33U)</t>
  </si>
  <si>
    <t>WTACDHSMPTHI2DGE01002</t>
  </si>
  <si>
    <t>140606-2018-000003</t>
  </si>
  <si>
    <t>TK-F01-107-A10(35-36U)</t>
  </si>
  <si>
    <t>WTACDHSMPTHI2DGE01001</t>
  </si>
  <si>
    <t>140606-2018-000002</t>
  </si>
  <si>
    <t>TK-F01-107-A11(32-33U)</t>
  </si>
  <si>
    <t>WTACDHSMPTHI2DGE01003</t>
  </si>
  <si>
    <t>140606-2018-000001</t>
  </si>
  <si>
    <t>TK-F01-107-A11(35-36U)</t>
  </si>
  <si>
    <t>HCPG50175</t>
  </si>
  <si>
    <t>140201-2017-000014</t>
  </si>
  <si>
    <t>TK-F01-107-B14</t>
  </si>
  <si>
    <t>5A1441T98726</t>
  </si>
  <si>
    <t>140703-2014-000104</t>
  </si>
  <si>
    <t>TK-F01-107-E10(31-31U)</t>
  </si>
  <si>
    <t>5A1445T21723</t>
  </si>
  <si>
    <t>140703-2014-000101</t>
  </si>
  <si>
    <t>TK-F01-107-E7(41-41U)</t>
  </si>
  <si>
    <t>5A1441T67428</t>
  </si>
  <si>
    <t>140703-2014-000102</t>
  </si>
  <si>
    <t>TK-F01-107-E8(41-41U)</t>
  </si>
  <si>
    <t>5A1445T46320</t>
  </si>
  <si>
    <t>140703-2014-000103</t>
  </si>
  <si>
    <t>TK-F01-107-E9(41-41U)</t>
  </si>
  <si>
    <t>5A1441T15425</t>
  </si>
  <si>
    <t>140703-2014-000095</t>
  </si>
  <si>
    <t>TK-F01-107机房1号通讯柜</t>
  </si>
  <si>
    <t>5A1442T06997</t>
  </si>
  <si>
    <t>140703-2014-000096</t>
  </si>
  <si>
    <t>TK-F01-107机房2号通讯柜</t>
  </si>
  <si>
    <t>5A1441T15620</t>
  </si>
  <si>
    <t>140703-2014-000097</t>
  </si>
  <si>
    <t>TK-F01-107机房E0机柜24U APC</t>
  </si>
  <si>
    <t>5A1441T45821</t>
  </si>
  <si>
    <t>140703-2014-000098</t>
  </si>
  <si>
    <t>TK-F01-107机房E4机柜(41U) APC</t>
  </si>
  <si>
    <t>5A1443T76421</t>
  </si>
  <si>
    <t>140703-2014-000099</t>
  </si>
  <si>
    <t>TK-F01-107机房E5机柜41U APC</t>
  </si>
  <si>
    <t>5A1441T32526</t>
  </si>
  <si>
    <t>140703-2014-000100</t>
  </si>
  <si>
    <t>TK-F01-107机房E6机柜41U APC</t>
  </si>
  <si>
    <t>BK-F01-PD-BL09</t>
  </si>
  <si>
    <t>140705-2014-000012</t>
  </si>
  <si>
    <t>TK-F01-107机房U15A</t>
  </si>
  <si>
    <t>BK-F01-PD-LT09</t>
  </si>
  <si>
    <t>140703-2014-000064</t>
  </si>
  <si>
    <t>BK-F01-PD-BL10</t>
  </si>
  <si>
    <t>140705-2014-000013</t>
  </si>
  <si>
    <t>TK-F01-107-U15B</t>
  </si>
  <si>
    <t>BK-F01-PD-LT10</t>
  </si>
  <si>
    <t>140703-2014-000065</t>
  </si>
  <si>
    <t>TK-F01-107机房U15B</t>
  </si>
  <si>
    <t>帕拉迪 PLDSEC  SMS 5000ST</t>
  </si>
  <si>
    <t>DS122G11411030</t>
  </si>
  <si>
    <t>140506-2014-000015</t>
  </si>
  <si>
    <t>TK-F01-108-K1-(3-4U)</t>
  </si>
  <si>
    <t>思科 N7K扩容</t>
  </si>
  <si>
    <t>JAE213901KF</t>
  </si>
  <si>
    <t>140502-2017-000097</t>
  </si>
  <si>
    <t>00900B2ABCF6</t>
  </si>
  <si>
    <t>140506-2014-000014</t>
  </si>
  <si>
    <t>TK-F01-108-K3(32-33U)</t>
  </si>
  <si>
    <t>JAE2138054J</t>
  </si>
  <si>
    <t>140502-2017-000098</t>
  </si>
  <si>
    <t>5A1445T01507</t>
  </si>
  <si>
    <t>140703-2014-000082</t>
  </si>
  <si>
    <t>TK-F01-108-K3(34-34U)</t>
  </si>
  <si>
    <t>BK-F01-PD-BL03</t>
  </si>
  <si>
    <t>140705-2014-000006</t>
  </si>
  <si>
    <t>TK-F01-108室U10A</t>
  </si>
  <si>
    <t>BK-F01-PD-LT03</t>
  </si>
  <si>
    <t>140703-2014-000058</t>
  </si>
  <si>
    <t>BK-F01-PD-BL04</t>
  </si>
  <si>
    <t>140705-2014-000007</t>
  </si>
  <si>
    <t>TK-F01-108室U10B</t>
  </si>
  <si>
    <t>BK-F01-PD-LT04</t>
  </si>
  <si>
    <t>140703-2014-000059</t>
  </si>
  <si>
    <t>BK-F01-PD-BL01</t>
  </si>
  <si>
    <t>140705-2014-000004</t>
  </si>
  <si>
    <t>TK-F01-108室U9A</t>
  </si>
  <si>
    <t>BK-F01-PD-LT01</t>
  </si>
  <si>
    <t>140703-2014-000056</t>
  </si>
  <si>
    <t>BK-F01-PD-BL02</t>
  </si>
  <si>
    <t>140705-2014-000005</t>
  </si>
  <si>
    <t>TK-F01-108室U9B</t>
  </si>
  <si>
    <t>BK-F01-PD-LT02</t>
  </si>
  <si>
    <t>140703-2014-000057</t>
  </si>
  <si>
    <t>05-1403E-213</t>
  </si>
  <si>
    <t>140506-2014-000016</t>
  </si>
  <si>
    <t>TK-F02-226-A1(19-20U)</t>
  </si>
  <si>
    <t>05-1403E-217</t>
  </si>
  <si>
    <t>140506-2014-000017</t>
  </si>
  <si>
    <t>TK-F02-226-A1(22-23U)</t>
  </si>
  <si>
    <t>5A1437T11803</t>
  </si>
  <si>
    <t>140703-2014-000083</t>
  </si>
  <si>
    <t>TK-F02-226-A5(14-14U)</t>
  </si>
  <si>
    <t>BK-F01-PD-BL23</t>
  </si>
  <si>
    <t>140705-2014-000026</t>
  </si>
  <si>
    <t>TK-F02-226-A列A柜</t>
  </si>
  <si>
    <t>BK-F01-PD-LT23</t>
  </si>
  <si>
    <t>140703-2014-000078</t>
  </si>
  <si>
    <t>BK-F01-PD-LT13</t>
  </si>
  <si>
    <t>140703-2014-000068</t>
  </si>
  <si>
    <t>TK-F02-226-B列A柜</t>
  </si>
  <si>
    <t>BK-F01-PD-LT20</t>
  </si>
  <si>
    <t>140703-2014-000075</t>
  </si>
  <si>
    <t>TK-F02-226-B列B柜</t>
  </si>
  <si>
    <t>BK-F01-PD-BL24</t>
  </si>
  <si>
    <t>140705-2014-000027</t>
  </si>
  <si>
    <t>TK-F02-226-C列A柜</t>
  </si>
  <si>
    <t>BK-F01-PD-LT24</t>
  </si>
  <si>
    <t>140703-2014-000079</t>
  </si>
  <si>
    <t>BK-F01-PD-BL19</t>
  </si>
  <si>
    <t>140705-2014-000022</t>
  </si>
  <si>
    <t>TK-F02-226-C列B柜</t>
  </si>
  <si>
    <t>BK-F01-PD-LT19</t>
  </si>
  <si>
    <t>140703-2014-000074</t>
  </si>
  <si>
    <t>BK-F01-PD-BL14</t>
  </si>
  <si>
    <t>140705-2014-000017</t>
  </si>
  <si>
    <t>TK-F02-226-D列A柜</t>
  </si>
  <si>
    <t>BK-F01-PD-BL16</t>
  </si>
  <si>
    <t>140705-2014-000019</t>
  </si>
  <si>
    <t>TK-F02-226-D列B柜</t>
  </si>
  <si>
    <t>BK-F01-PD-LT14</t>
  </si>
  <si>
    <t>140703-2014-000069</t>
  </si>
  <si>
    <t>BK-F01-PD-LT16</t>
  </si>
  <si>
    <t>140703-2014-000071</t>
  </si>
  <si>
    <t>5A1437T11799</t>
  </si>
  <si>
    <t>140703-2014-000081</t>
  </si>
  <si>
    <t>TK-F02-226-E1(3-3U)</t>
  </si>
  <si>
    <t>5A1147T10212</t>
  </si>
  <si>
    <t>140703-2014-000085</t>
  </si>
  <si>
    <t>TK-F02226-E6(23-23U)</t>
  </si>
  <si>
    <t>5A1441T15409</t>
  </si>
  <si>
    <t>140703-2014-000086</t>
  </si>
  <si>
    <t>TK-F02-226-E9(17-17U)</t>
  </si>
  <si>
    <t>BK-F01-PD-BL21</t>
  </si>
  <si>
    <t>140705-2014-000024</t>
  </si>
  <si>
    <t>TK-F02-226-E列A柜</t>
  </si>
  <si>
    <t>BK-F01-PD-LT21</t>
  </si>
  <si>
    <t>140703-2014-000076</t>
  </si>
  <si>
    <t>BK-F01-PD-BL15</t>
  </si>
  <si>
    <t>140705-2014-000018</t>
  </si>
  <si>
    <t>TK-F02-226-F列A柜</t>
  </si>
  <si>
    <t>BK-F01-PD-LT15</t>
  </si>
  <si>
    <t>140703-2014-000070</t>
  </si>
  <si>
    <t>F5-DIWE-VIIX</t>
  </si>
  <si>
    <t>140505-2012-000026</t>
  </si>
  <si>
    <t>TK-F02-226-H7(20-20U)</t>
  </si>
  <si>
    <t>施耐德 OKKEN柜系列</t>
  </si>
  <si>
    <t>BK-F01-PD-D32</t>
  </si>
  <si>
    <t>140703-2014-000054</t>
  </si>
  <si>
    <t>TK-UPS配电间A10配电柜</t>
  </si>
  <si>
    <t>施耐德 630A 250A</t>
  </si>
  <si>
    <t>BK-F01-PD-D33</t>
  </si>
  <si>
    <t>140703-2014-000055</t>
  </si>
  <si>
    <t>TK-UPS配电间A11配电柜</t>
  </si>
  <si>
    <t>BK-F01-PD-D01</t>
  </si>
  <si>
    <t>140703-2014-000023</t>
  </si>
  <si>
    <t>TK-UPS配电间A1配电柜</t>
  </si>
  <si>
    <t>BK-F01-PD-D03</t>
  </si>
  <si>
    <t>140703-2014-000025</t>
  </si>
  <si>
    <t>TK-UPS配电间A2配电柜</t>
  </si>
  <si>
    <t>BK-F01-PD-D05</t>
  </si>
  <si>
    <t>140703-2014-000027</t>
  </si>
  <si>
    <t>TK-UPS配电间A3配电柜上</t>
  </si>
  <si>
    <t>BK-F01-PD-D07</t>
  </si>
  <si>
    <t>140703-2014-000029</t>
  </si>
  <si>
    <t>TK-UPS配电间A4配电柜上</t>
  </si>
  <si>
    <t>BK-F01-PD-D08</t>
  </si>
  <si>
    <t>140703-2014-000030</t>
  </si>
  <si>
    <t>TK-UPS配电间A4配电柜下</t>
  </si>
  <si>
    <t>BK-F01-PD-D11</t>
  </si>
  <si>
    <t>140703-2014-000033</t>
  </si>
  <si>
    <t>TK-UPS配电间A5配电柜上</t>
  </si>
  <si>
    <t>BK-F01-PD-D12</t>
  </si>
  <si>
    <t>140703-2014-000034</t>
  </si>
  <si>
    <t>TK-UPS配电间A5配电柜下</t>
  </si>
  <si>
    <t>BK-F01-PD-D15</t>
  </si>
  <si>
    <t>140703-2014-000037</t>
  </si>
  <si>
    <t>TK-UPS配电间A6配电柜上</t>
  </si>
  <si>
    <t>BK-F01-PD-D16</t>
  </si>
  <si>
    <t>140703-2014-000038</t>
  </si>
  <si>
    <t>TK-UPS配电间A6配电柜下</t>
  </si>
  <si>
    <t>BK-F01-PD-D19</t>
  </si>
  <si>
    <t>140703-2014-000041</t>
  </si>
  <si>
    <t>TK-UPS配电间A7配电柜上</t>
  </si>
  <si>
    <t>BK-F01-PD-D20</t>
  </si>
  <si>
    <t>140703-2014-000042</t>
  </si>
  <si>
    <t>TK-UPS配电间A7配电柜下</t>
  </si>
  <si>
    <t>BK-F01-PD-D23</t>
  </si>
  <si>
    <t>140703-2014-000045</t>
  </si>
  <si>
    <t>TK-UPS配电间A8配电柜上</t>
  </si>
  <si>
    <t>BK-F01-PD-D24</t>
  </si>
  <si>
    <t>140703-2014-000046</t>
  </si>
  <si>
    <t>TK-UPS配电间A8配电柜下</t>
  </si>
  <si>
    <t>BK-F01-PD-D31</t>
  </si>
  <si>
    <t>140703-2014-000053</t>
  </si>
  <si>
    <t>TK-UPS配电间A9配电柜右</t>
  </si>
  <si>
    <t>BK-F01-PD-D27</t>
  </si>
  <si>
    <t>140703-2014-000049</t>
  </si>
  <si>
    <t>TK-UPS配电间AT1配电柜</t>
  </si>
  <si>
    <t>BK-F01-PD-D28</t>
  </si>
  <si>
    <t>140703-2014-000050</t>
  </si>
  <si>
    <t>TK-UPS配电间AT2配电柜</t>
  </si>
  <si>
    <t>BK-F01-PD-D02</t>
  </si>
  <si>
    <t>140703-2014-000024</t>
  </si>
  <si>
    <t>TK-UPS配电间B1配电柜</t>
  </si>
  <si>
    <t>BK-F01-PD-D04</t>
  </si>
  <si>
    <t>140703-2014-000026</t>
  </si>
  <si>
    <t>TK-UPS配电间B2配电柜</t>
  </si>
  <si>
    <t>BK-F01-PD-D06</t>
  </si>
  <si>
    <t>140703-2014-000028</t>
  </si>
  <si>
    <t>TK-UPS配电间B3配电柜上</t>
  </si>
  <si>
    <t>BK-F01-PD-D09</t>
  </si>
  <si>
    <t>140703-2014-000031</t>
  </si>
  <si>
    <t>TK-UPS配电间B4配电柜上</t>
  </si>
  <si>
    <t>BK-F01-PD-D10</t>
  </si>
  <si>
    <t>140703-2014-000032</t>
  </si>
  <si>
    <t>TK-UPS配电间B4配电柜下</t>
  </si>
  <si>
    <t>BK-F01-PD-D13</t>
  </si>
  <si>
    <t>140703-2014-000035</t>
  </si>
  <si>
    <t>TK-UPS配电间B5配电柜上</t>
  </si>
  <si>
    <t>BK-F01-PD-D14</t>
  </si>
  <si>
    <t>140703-2014-000036</t>
  </si>
  <si>
    <t>TK-UPS配电间B5配电柜下</t>
  </si>
  <si>
    <t>BK-F01-PD-D17</t>
  </si>
  <si>
    <t>140703-2014-000039</t>
  </si>
  <si>
    <t>TK-UPS配电间B6配电柜上</t>
  </si>
  <si>
    <t>BK-F01-PD-D18</t>
  </si>
  <si>
    <t>140703-2014-000040</t>
  </si>
  <si>
    <t>TK-UPS配电间B6配电柜下</t>
  </si>
  <si>
    <t>BK-F01-PD-D21</t>
  </si>
  <si>
    <t>140703-2014-000043</t>
  </si>
  <si>
    <t>TK-UPS配电间B7配电柜上</t>
  </si>
  <si>
    <t>BK-F01-PD-D22</t>
  </si>
  <si>
    <t>140703-2014-000044</t>
  </si>
  <si>
    <t>TK-UPS配电间B7配电柜下</t>
  </si>
  <si>
    <t>BK-F01-PD-D25</t>
  </si>
  <si>
    <t>140703-2014-000047</t>
  </si>
  <si>
    <t>TK-UPS配电间B9配电柜</t>
  </si>
  <si>
    <t>BK-F01-PD-D26</t>
  </si>
  <si>
    <t>140703-2014-000048</t>
  </si>
  <si>
    <t>BK-F01-PD-D29</t>
  </si>
  <si>
    <t>140703-2014-000051</t>
  </si>
  <si>
    <t>TK-UPS配电间KT1配电柜</t>
  </si>
  <si>
    <t>BK-F01-PD-D30</t>
  </si>
  <si>
    <t>140703-2014-000052</t>
  </si>
  <si>
    <t>TK-UPS配电间KT2配电柜</t>
  </si>
  <si>
    <t>卫士通 加密机 SJJ1312-B</t>
  </si>
  <si>
    <t>WT3961MEWAI1DGE01052</t>
  </si>
  <si>
    <t>140606-2017-000005</t>
  </si>
  <si>
    <t>研一楼三层网络公司用</t>
  </si>
  <si>
    <t>WT3961MEWAI1DGE01071</t>
  </si>
  <si>
    <t>140606-2017-000006</t>
  </si>
  <si>
    <t>WT3961MEWAI1DGE01040</t>
  </si>
  <si>
    <t>140606-2017-000004</t>
  </si>
  <si>
    <t>研一楼四层票务技术部用</t>
  </si>
  <si>
    <t>泰福特 HJ210-BDRB</t>
  </si>
  <si>
    <t>0</t>
  </si>
  <si>
    <t>140108-2011-000016</t>
  </si>
  <si>
    <t>XD-B02-KP-C03(40-40U)</t>
  </si>
  <si>
    <t>140108-2011-000017</t>
  </si>
  <si>
    <t>XD-B02-KP-C03(41-41U)</t>
  </si>
  <si>
    <t>无（扩容）</t>
  </si>
  <si>
    <t>140201-2017-000008</t>
  </si>
  <si>
    <t>XD-B03-BY-C10(11-18U)</t>
  </si>
  <si>
    <t>BRCCCD1937K03C</t>
  </si>
  <si>
    <t>140202-2014-000048</t>
  </si>
  <si>
    <t>TK-F02-226-B7(38-38U)</t>
  </si>
  <si>
    <t>H3C SecPath F5030</t>
  </si>
  <si>
    <t>210235A1XXB206000040</t>
  </si>
  <si>
    <t>140601-2020-000015</t>
  </si>
  <si>
    <t>WQ-F04-T8-B04(28-29U)</t>
  </si>
  <si>
    <t>210235A1XXB208000174</t>
  </si>
  <si>
    <t>140601-2020-000016</t>
  </si>
  <si>
    <t>WQ-F04-T8-B04(25-26U)</t>
  </si>
  <si>
    <t>EMC MDS9148</t>
  </si>
  <si>
    <t>AMS16030945</t>
  </si>
  <si>
    <t>140202-2012-000021</t>
  </si>
  <si>
    <t>XD-B02-KP-D02(26-26U)</t>
  </si>
  <si>
    <t>AMS16030987</t>
  </si>
  <si>
    <t>140202-2012-000022</t>
  </si>
  <si>
    <t>XD-B02-KP-D02(28-28U)</t>
  </si>
  <si>
    <t>华为 USG6615E</t>
  </si>
  <si>
    <t>102010065077</t>
  </si>
  <si>
    <t>140601-2020-000006</t>
  </si>
  <si>
    <t>XD-B03-YD-J06(24-24U)</t>
  </si>
  <si>
    <t>102010065078</t>
  </si>
  <si>
    <t>140601-2020-000004</t>
  </si>
  <si>
    <t>XD-B03-YD-J07(20-20U)</t>
  </si>
  <si>
    <t>F5 VIPRION2400</t>
  </si>
  <si>
    <t>chs402626s;404731s;407582s;408064s;411041s</t>
  </si>
  <si>
    <t>140607-2012-000001</t>
  </si>
  <si>
    <t>XD-B02-KF-G14(30-33U)</t>
  </si>
  <si>
    <t>chs402635s;404829s;409200s;410306s;406948s</t>
  </si>
  <si>
    <t>140607-2012-000002</t>
  </si>
  <si>
    <t>XD-B02-KF-G14(35-38U)</t>
  </si>
  <si>
    <t>思科N9K-C9504</t>
  </si>
  <si>
    <t>FOX2138P6NQ</t>
  </si>
  <si>
    <t>140502-2017-000075</t>
  </si>
  <si>
    <t>XD-B02-KF-A06(22-28U)</t>
  </si>
  <si>
    <t>FOX2138P9AK</t>
  </si>
  <si>
    <t>140502-2017-000076</t>
  </si>
  <si>
    <t>XD-B02-KF-A08(22-38U)</t>
  </si>
  <si>
    <t>思科N9K-C92160YC-X-C</t>
  </si>
  <si>
    <t>FDO21090N29</t>
  </si>
  <si>
    <t>140502-2017-000062</t>
  </si>
  <si>
    <t>XD-B02-KF-B17(34-34U)</t>
  </si>
  <si>
    <t>FDO21020ZH5</t>
  </si>
  <si>
    <t>140502-2017-000061</t>
  </si>
  <si>
    <t>XD-B02-KF-B17(36-36U)</t>
  </si>
  <si>
    <t>SGH230A202、SGH230A203、SGH230A204</t>
  </si>
  <si>
    <t>140102-2012-000553</t>
  </si>
  <si>
    <t>XD-B02-KP-E08(12-21U)RX9900-1</t>
  </si>
  <si>
    <t>SGH230A1E0、SGH230A1E1、SGH230A1E2</t>
  </si>
  <si>
    <t>140102-2012-000552</t>
  </si>
  <si>
    <t>XD-B02-KP-E08(2-11U)RX9900-2</t>
  </si>
  <si>
    <t>F5 Viprion C2400</t>
  </si>
  <si>
    <t>chs412271s
bld201011s
bld201010s</t>
  </si>
  <si>
    <t>140504-2016-000001</t>
  </si>
  <si>
    <t>XD-B03-BY-A02(22-25U)</t>
  </si>
  <si>
    <t>F5VIPRION 2250扩容</t>
  </si>
  <si>
    <t>bld019636s;bld019667s（扩容主机SN:chs412271s）</t>
  </si>
  <si>
    <t>140504-2017-000005</t>
  </si>
  <si>
    <t>F5VIPRION 2400</t>
  </si>
  <si>
    <t>chs413559s</t>
  </si>
  <si>
    <t>140504-2017-000004</t>
  </si>
  <si>
    <t>XD-B03-BY-A02(27-30U)</t>
  </si>
  <si>
    <t>F5 VIPRION B2100板卡</t>
  </si>
  <si>
    <t>Slot3:bld019605s（扩容主机SN:chs413559s）</t>
  </si>
  <si>
    <t>140903-2014-000085</t>
  </si>
  <si>
    <t>Slot4:bld019582s（扩容主机SN:chs413559s）</t>
  </si>
  <si>
    <t>140903-2014-000086</t>
  </si>
  <si>
    <t>F5 模块化应用负载均衡板卡</t>
  </si>
  <si>
    <t>bld019567s（扩容主机SN:chs413559s）</t>
  </si>
  <si>
    <t>140505-2013-000029</t>
  </si>
  <si>
    <t>F5 SSL加解密专用板卡</t>
  </si>
  <si>
    <t>Slot2:bld019556s（扩容主机SN:chs413559s）</t>
  </si>
  <si>
    <t>140607-2013-000010</t>
  </si>
  <si>
    <t>chs413567s; Slot1:bld019648s; Slot2:bld019566s</t>
  </si>
  <si>
    <t>140504-2017-000003</t>
  </si>
  <si>
    <t>XD-B03-BY-A02(32-36U)</t>
  </si>
  <si>
    <t>Slot3:bld019586s（扩容主机SN:chs413567s）</t>
  </si>
  <si>
    <t>140903-2014-000083</t>
  </si>
  <si>
    <t>XD-B03-BY-A02(32-35U)</t>
  </si>
  <si>
    <t>Slot4:bld019569s（扩容主机SN:chs413567s）</t>
  </si>
  <si>
    <t>140903-2014-000084</t>
  </si>
  <si>
    <t>bld019562s（扩容主机SN:chs403139s）</t>
  </si>
  <si>
    <t>140606-2017-000003</t>
  </si>
  <si>
    <t>XD-B03-BY-A03(10-13U)</t>
  </si>
  <si>
    <t>F5 VIPRION 2400 SSL</t>
  </si>
  <si>
    <t>chs403139s;bld009922s</t>
  </si>
  <si>
    <t>140606-2014-000005</t>
  </si>
  <si>
    <t>XD-B03-BY-A03(15-18U)</t>
  </si>
  <si>
    <t>F5 VIPRION B2100 板卡</t>
  </si>
  <si>
    <t>bld019609s（扩容主机SN:chs413749s）</t>
  </si>
  <si>
    <t>140606-2014-000004</t>
  </si>
  <si>
    <t>XD-B03-BY-A03(27-30U)</t>
  </si>
  <si>
    <t>bld019626s（扩容主机SN:chs413749s）</t>
  </si>
  <si>
    <t>140606-2014-000003</t>
  </si>
  <si>
    <t>chs413749s;019602s;019599s;019626s;019609s</t>
  </si>
  <si>
    <t>140606-2017-000002</t>
  </si>
  <si>
    <t>bld019470s（扩容主机SN:chs413560s）</t>
  </si>
  <si>
    <t>140606-2014-000002</t>
  </si>
  <si>
    <t>XD-B03-BY-A03(32-35U)</t>
  </si>
  <si>
    <t>bld019639s（扩容主机SN:chs413560s）</t>
  </si>
  <si>
    <t>140606-2014-000001</t>
  </si>
  <si>
    <t>chs413560s;019561s;019553s;019639s;019470s</t>
  </si>
  <si>
    <t>140606-2017-000001</t>
  </si>
  <si>
    <t>泰福特 HJ210-BDRBP</t>
  </si>
  <si>
    <t>140225008</t>
  </si>
  <si>
    <t>140104-2012-000001</t>
  </si>
  <si>
    <t>XD-B03-BY-A05(37-38U)</t>
  </si>
  <si>
    <t>泰福特HJ210-BDRBP NTP</t>
  </si>
  <si>
    <t>140225004</t>
  </si>
  <si>
    <t>140110-2012-000001</t>
  </si>
  <si>
    <t>XD-B03-BY-A05(40-41U)</t>
  </si>
  <si>
    <t>chs413776s</t>
  </si>
  <si>
    <t>140503-2017-000001</t>
  </si>
  <si>
    <t>XD-B03-YD-A05(27-30U)</t>
  </si>
  <si>
    <t>华为USG6670</t>
  </si>
  <si>
    <t>210235G7G610H9000024</t>
  </si>
  <si>
    <t>140601-2017-000006</t>
  </si>
  <si>
    <t>XD-B03-YD-A05(9-11U)</t>
  </si>
  <si>
    <t>chs413558s</t>
  </si>
  <si>
    <t>140503-2017-000002</t>
  </si>
  <si>
    <t>XD-B03-YD-A06(27-30U)</t>
  </si>
  <si>
    <t>深信服 AF-1820-HQ</t>
  </si>
  <si>
    <t>5061004973</t>
  </si>
  <si>
    <t>140601-2017-000016</t>
  </si>
  <si>
    <t>WQ-F04-T8-H03(31-32U)</t>
  </si>
  <si>
    <t>5061004974</t>
  </si>
  <si>
    <t>140601-2017-000017</t>
  </si>
  <si>
    <t>WQ-F04-T8-H05(31-32U)</t>
  </si>
  <si>
    <t>网神SecSIS 3600安全隔离与信息交换系统G5000-TG12</t>
  </si>
  <si>
    <t>SS0S197001</t>
  </si>
  <si>
    <t>140608-2017-000065</t>
  </si>
  <si>
    <t>WQ-F04-T8-J01(02-03U)</t>
  </si>
  <si>
    <t>信大捷安 鉴别评估管理系统IAMS-1002</t>
  </si>
  <si>
    <t>909174200022 E5GGQJ09003354</t>
  </si>
  <si>
    <t>140608-2017-000064</t>
  </si>
  <si>
    <t>WQ-F04-T8-J01(04-05U)</t>
  </si>
  <si>
    <t>信大捷安 安全认证管理系统SQY42-D-2010</t>
  </si>
  <si>
    <t>904174200040 E5GGQJ09003351</t>
  </si>
  <si>
    <t>140608-2017-000063</t>
  </si>
  <si>
    <t>WQ-F04-T8-J01(06-07U)</t>
  </si>
  <si>
    <t>信大捷安 IP安全接入系统SQY42-C-2100</t>
  </si>
  <si>
    <t>943174200132 E5GGQJ09003363</t>
  </si>
  <si>
    <t>140608-2017-000062</t>
  </si>
  <si>
    <t>WQ-F04-T8-J01(08-09U)</t>
  </si>
  <si>
    <t>信大捷安 GPRS/CDMA安全接入系统SQY42-B-2100</t>
  </si>
  <si>
    <t>943174200131 E5GGQJ09003362</t>
  </si>
  <si>
    <t>140608-2017-000061</t>
  </si>
  <si>
    <t>WQ-F04-T8-J01(10-11U)</t>
  </si>
  <si>
    <t>信大捷安 短消息安全接入系统SQY42-A-2100</t>
  </si>
  <si>
    <t>901174200012 E5GGQJ09003360</t>
  </si>
  <si>
    <t>140608-2017-000060</t>
  </si>
  <si>
    <t>WQ-F04-T8-J01(12-13U)</t>
  </si>
  <si>
    <t>深信服 AF-1820-HT</t>
  </si>
  <si>
    <t>5061004975</t>
  </si>
  <si>
    <t>140601-2017-000015</t>
  </si>
  <si>
    <t>WQ-F04-T8-J01(25-26U)</t>
  </si>
  <si>
    <t>5061004982</t>
  </si>
  <si>
    <t>140601-2017-000018</t>
  </si>
  <si>
    <t>XD-B01-TX-G01(21-22U)</t>
  </si>
  <si>
    <t>5061004972</t>
  </si>
  <si>
    <t>140601-2017-000019</t>
  </si>
  <si>
    <t>XD-B01-TX-G01(24-25U)</t>
  </si>
  <si>
    <t>H3C S12504X-AF</t>
  </si>
  <si>
    <t>210235A1GFX201000012</t>
  </si>
  <si>
    <t>140502-2020-000033</t>
  </si>
  <si>
    <t>XD-B02-KF-A07(14-19U)</t>
  </si>
  <si>
    <t>210235A1GFX20100001B</t>
  </si>
  <si>
    <t>140502-2020-000035</t>
  </si>
  <si>
    <t>XD-B02-KF-A03(22-27U)</t>
  </si>
  <si>
    <t>华为USG6655E-AC</t>
  </si>
  <si>
    <t>102020031562</t>
  </si>
  <si>
    <t>140601-2020-000014</t>
  </si>
  <si>
    <t>XD-B03-YD-J06(12-12U)</t>
  </si>
  <si>
    <t>新华三 B16000 G3</t>
  </si>
  <si>
    <t>210235A3SVH199000017</t>
  </si>
  <si>
    <t>140901-2019-000078</t>
  </si>
  <si>
    <t>WQ-F04-T5-H11(04-15U)</t>
  </si>
  <si>
    <t>EMC VMAX20K（扩盘）</t>
  </si>
  <si>
    <t>见附件</t>
  </si>
  <si>
    <t>140201-2018-000007</t>
  </si>
  <si>
    <t>XD-B02-KP-D05
XD-B02-KP-D07</t>
  </si>
  <si>
    <t>140201-2018-000006</t>
  </si>
  <si>
    <t>XD-B02-KP-D10
XD-B02-KP-D08</t>
  </si>
  <si>
    <t>戴尔 PowerEdge R740xd 服务器</t>
  </si>
  <si>
    <t>2818WS2</t>
  </si>
  <si>
    <t>140103-2018-000050</t>
  </si>
  <si>
    <t>WQ-F04-T5-B03(02-03U)</t>
  </si>
  <si>
    <t>CSXCWS2</t>
  </si>
  <si>
    <t>140103-2018-000045</t>
  </si>
  <si>
    <t>WQ-F04-T5-B03(12-13U)</t>
  </si>
  <si>
    <t>26H9WS2</t>
  </si>
  <si>
    <t>140103-2018-000039</t>
  </si>
  <si>
    <t>WQ-F04-T5-B04(12-13U)</t>
  </si>
  <si>
    <t>H3C R6700G3</t>
  </si>
  <si>
    <t>210235A3U6H195000019</t>
  </si>
  <si>
    <t>140103-2019-000021</t>
  </si>
  <si>
    <t>WQ-F04-T5-G13(10-11U)</t>
  </si>
  <si>
    <t>210235A3U6H195000020</t>
  </si>
  <si>
    <t>140103-2019-000018</t>
  </si>
  <si>
    <t>WQ-F04-T5-G13(4-5U)</t>
  </si>
  <si>
    <t>210235A3U6H195000024</t>
  </si>
  <si>
    <t>140103-2019-000032</t>
  </si>
  <si>
    <t>WQ-F04-T5-G14(16-17U)</t>
  </si>
  <si>
    <t>210235A3U6H195000013</t>
  </si>
  <si>
    <t>140103-2019-000006</t>
  </si>
  <si>
    <t>WQ-F04-T5-G15(12-13U)</t>
  </si>
  <si>
    <t>210235A3U6H195000008</t>
  </si>
  <si>
    <t>140103-2019-000003</t>
  </si>
  <si>
    <t>WQ-F04-T5-G15(6-7U)</t>
  </si>
  <si>
    <t>210235A3U6H195000005</t>
  </si>
  <si>
    <t>140103-2019-000015</t>
  </si>
  <si>
    <t>WQ-F04-T5-G16(14-15U)</t>
  </si>
  <si>
    <t>H3C UniServer R4900 G3</t>
  </si>
  <si>
    <t>210200A00QH193002317</t>
  </si>
  <si>
    <t>140103-2019-000144</t>
  </si>
  <si>
    <t>WQ-F04-T5-G17(8-9U)</t>
  </si>
  <si>
    <t>210200A00QH193002313</t>
  </si>
  <si>
    <t>140103-2019-000140</t>
  </si>
  <si>
    <t>WQ-F04-T5-G17(29-30U)</t>
  </si>
  <si>
    <t>新华三 B5700 G3</t>
  </si>
  <si>
    <t>210235A3SUH19A000371</t>
  </si>
  <si>
    <t>140103-2019-000761</t>
  </si>
  <si>
    <t>WQ-F04-T5-H11(04-15U)DP1-1</t>
  </si>
  <si>
    <t>210235A3SUH19A000137</t>
  </si>
  <si>
    <t>140103-2019-000770</t>
  </si>
  <si>
    <t>WQ-F04-T5-H11(04-15U)DP1-10</t>
  </si>
  <si>
    <t>210235A3SUH19A000077</t>
  </si>
  <si>
    <t>140103-2019-000771</t>
  </si>
  <si>
    <t>WQ-F04-T5-H11(04-15U)DP1-11</t>
  </si>
  <si>
    <t>210235A3SUH19A000138</t>
  </si>
  <si>
    <t>140103-2019-000772</t>
  </si>
  <si>
    <t>WQ-F04-T5-H11(04-15U)DP1-12</t>
  </si>
  <si>
    <t>210235A3SUH19A000334</t>
  </si>
  <si>
    <t>140103-2019-000747</t>
  </si>
  <si>
    <t>WQ-F04-T5-H11(04-15U)DP1-13</t>
  </si>
  <si>
    <t>210235A3SUH19A000140</t>
  </si>
  <si>
    <t>140103-2019-000748</t>
  </si>
  <si>
    <t>WQ-F04-T5-H11(04-15U)DP1-14</t>
  </si>
  <si>
    <t>210235A3SUH19A000230</t>
  </si>
  <si>
    <t>140103-2019-000749</t>
  </si>
  <si>
    <t>WQ-F04-T5-H11(04-15U)DP1-15</t>
  </si>
  <si>
    <t>210235A3SUH19A000127</t>
  </si>
  <si>
    <t>140103-2019-000750</t>
  </si>
  <si>
    <t>WQ-F04-T5-H11(04-15U)DP1-16</t>
  </si>
  <si>
    <t>210235A3SUH19A000110</t>
  </si>
  <si>
    <t>140103-2019-000762</t>
  </si>
  <si>
    <t>WQ-F04-T5-H11(04-15U)DP1-2</t>
  </si>
  <si>
    <t>210235A3SUH19A000100</t>
  </si>
  <si>
    <t>140103-2019-000763</t>
  </si>
  <si>
    <t>WQ-F04-T5-H11(04-15U)DP1-3</t>
  </si>
  <si>
    <t>210235A3SUH19A000126</t>
  </si>
  <si>
    <t>140103-2019-000764</t>
  </si>
  <si>
    <t>WQ-F04-T5-H11(04-15U)DP1-4</t>
  </si>
  <si>
    <t>210235A3SUH19A000121</t>
  </si>
  <si>
    <t>140103-2019-000765</t>
  </si>
  <si>
    <t>WQ-F04-T5-H11(04-15U)DP1-5</t>
  </si>
  <si>
    <t>210235A3SUH19A000278</t>
  </si>
  <si>
    <t>140103-2019-000766</t>
  </si>
  <si>
    <t>WQ-F04-T5-H11(04-15U)DP1-6</t>
  </si>
  <si>
    <t>210235A3SUH19A000205</t>
  </si>
  <si>
    <t>140103-2019-000767</t>
  </si>
  <si>
    <t>WQ-F04-T5-H11(04-15U)DP1-7</t>
  </si>
  <si>
    <t>210235A3SUH19A000148</t>
  </si>
  <si>
    <t>140103-2019-000768</t>
  </si>
  <si>
    <t>WQ-F04-T5-H11(04-15U)DP1-8</t>
  </si>
  <si>
    <t>210235A3SUH19A000131</t>
  </si>
  <si>
    <t>140103-2019-000769</t>
  </si>
  <si>
    <t>WQ-F04-T5-H11(04-15U)DP1-9</t>
  </si>
  <si>
    <t>EMC VMAX20K扩容</t>
  </si>
  <si>
    <t>140201-2017-000006</t>
  </si>
  <si>
    <t>XD-B02-KP-D05至D10</t>
  </si>
  <si>
    <t>140201-2017-000007</t>
  </si>
  <si>
    <t>联想 SR650</t>
  </si>
  <si>
    <t>J301DX81</t>
  </si>
  <si>
    <t>140103-2019-000997</t>
  </si>
  <si>
    <t>WQ-F04-T5-I05(29-30U)</t>
  </si>
  <si>
    <t>J301DX7F</t>
  </si>
  <si>
    <t>140103-2019-000998</t>
  </si>
  <si>
    <t>WQ-F04-T5-I05(27-28U)</t>
  </si>
  <si>
    <t>J301DX7G</t>
  </si>
  <si>
    <t>140103-2019-001007</t>
  </si>
  <si>
    <t>WQ-F04-T5-C18(29-30U)</t>
  </si>
  <si>
    <t>J301DX7K</t>
  </si>
  <si>
    <t>140103-2019-001008</t>
  </si>
  <si>
    <t>WQ-F04-T5-C18(27-28U)</t>
  </si>
  <si>
    <t>J301DX80</t>
  </si>
  <si>
    <t>140103-2019-001009</t>
  </si>
  <si>
    <t>WQ-F04-T5-C18(25-26U)</t>
  </si>
  <si>
    <t>J301DX7L</t>
  </si>
  <si>
    <t>140103-2019-001017</t>
  </si>
  <si>
    <t>WQ-F04-T5-C19(29-30U)</t>
  </si>
  <si>
    <t>J301DX7H</t>
  </si>
  <si>
    <t>140103-2019-001018</t>
  </si>
  <si>
    <t>WQ-F04-T5-C19(27-28U)</t>
  </si>
  <si>
    <t>J301DX7N</t>
  </si>
  <si>
    <t>140103-2019-001019</t>
  </si>
  <si>
    <t>WQ-F04-T5-C19(25-26U)</t>
  </si>
  <si>
    <t>思科 MDS 9148S</t>
  </si>
  <si>
    <t>TKM20370191</t>
  </si>
  <si>
    <t>140202-2017-000001</t>
  </si>
  <si>
    <t>XD-B02-KF-F02(31-31U)</t>
  </si>
  <si>
    <t>TKM20320117</t>
  </si>
  <si>
    <t>140202-2017-000003</t>
  </si>
  <si>
    <t>XD-B02-KF-F03(31-31U)</t>
  </si>
  <si>
    <t>RadwareAlteon-NG 8420-160G</t>
  </si>
  <si>
    <t>31707206</t>
  </si>
  <si>
    <t>140504-2017-000007</t>
  </si>
  <si>
    <t>XD-B02-KF-E14(37-38U)</t>
  </si>
  <si>
    <t>31707213</t>
  </si>
  <si>
    <t>140504-2017-000006</t>
  </si>
  <si>
    <t>XD-B02-KF-E14(40-41U)</t>
  </si>
  <si>
    <t>31904416</t>
  </si>
  <si>
    <t>140505-2012-000011</t>
  </si>
  <si>
    <t>XD-B03-BY-B03(38-39U)</t>
  </si>
  <si>
    <t>31202897</t>
  </si>
  <si>
    <t>140505-2012-000012</t>
  </si>
  <si>
    <t>XD-B03-BY-B03(41-42U)</t>
  </si>
  <si>
    <t>Radware AppDirector4016</t>
  </si>
  <si>
    <t>140505-2012-000001</t>
  </si>
  <si>
    <t>XD-B03-BY-C05(32-33U)</t>
  </si>
  <si>
    <t>140505-2012-000002</t>
  </si>
  <si>
    <t>XD-B03-BY-C05(35-36U)</t>
  </si>
  <si>
    <t>31202910</t>
  </si>
  <si>
    <t>140505-2012-000003</t>
  </si>
  <si>
    <t>XD-B03-BY-C05(38-39U)</t>
  </si>
  <si>
    <t>31202891</t>
  </si>
  <si>
    <t>140505-2012-000004</t>
  </si>
  <si>
    <t>XD-B03-BY-C05(41-42U)</t>
  </si>
  <si>
    <t>31202872</t>
  </si>
  <si>
    <t>140505-2012-000005</t>
  </si>
  <si>
    <t>XD-B03-BY-C06(32-33U)</t>
  </si>
  <si>
    <t>31202873</t>
  </si>
  <si>
    <t>140505-2012-000006</t>
  </si>
  <si>
    <t>XD-B03-BY-C06(35-36U)</t>
  </si>
  <si>
    <t>F5 LTM3600</t>
  </si>
  <si>
    <t>f5-vyie-rhtx</t>
  </si>
  <si>
    <t>140505-2012-000007</t>
  </si>
  <si>
    <t>XD-B03-BY-C07(36-36U)</t>
  </si>
  <si>
    <t>f5-zqgx-zmkc</t>
  </si>
  <si>
    <t>140505-2012-000008</t>
  </si>
  <si>
    <t>XD-B03-BY-C07(38-38U)</t>
  </si>
  <si>
    <t>f5-xoro-dijj</t>
  </si>
  <si>
    <t>140505-2012-000009</t>
  </si>
  <si>
    <t>XD-B03-BY-C07(40-40U)</t>
  </si>
  <si>
    <t>f5-kwak-ireb</t>
  </si>
  <si>
    <t>140505-2012-000010</t>
  </si>
  <si>
    <t>XD-B03-BY-C07(42-42U)</t>
  </si>
  <si>
    <t>H3C S5130S-52S-HI</t>
  </si>
  <si>
    <t>219801A12T9201Q000K7</t>
  </si>
  <si>
    <t>140502-2020-000089</t>
  </si>
  <si>
    <t>XD-B02-KF-A05(15-15U)</t>
  </si>
  <si>
    <t>219801A12T9201Q00011</t>
  </si>
  <si>
    <t>140502-2020-000098</t>
  </si>
  <si>
    <t>XD-B02-KF-B01(36-36U)</t>
  </si>
  <si>
    <t>J301DX7V</t>
  </si>
  <si>
    <t>140103-2019-000999</t>
  </si>
  <si>
    <t>WQ-F04-T5-I05(25-26U)</t>
  </si>
  <si>
    <t>J301DX7E</t>
  </si>
  <si>
    <t>140103-2019-001000</t>
  </si>
  <si>
    <t>WQ-F04-T5-I05(23-24U)</t>
  </si>
  <si>
    <t>J301DXMN</t>
  </si>
  <si>
    <t>140103-2019-001001</t>
  </si>
  <si>
    <t>WQ-F04-T5-I05(20-21U)</t>
  </si>
  <si>
    <t>J301DX7R</t>
  </si>
  <si>
    <t>140103-2019-001002</t>
  </si>
  <si>
    <t>WQ-F04-T5-I05(18-19U)</t>
  </si>
  <si>
    <t>J301DX82</t>
  </si>
  <si>
    <t>140103-2019-001003</t>
  </si>
  <si>
    <t>WQ-F04-T5-I05(16-17U)</t>
  </si>
  <si>
    <t>J301DX7D</t>
  </si>
  <si>
    <t>140103-2019-001004</t>
  </si>
  <si>
    <t>WQ-F04-T5-I05(14-15U)</t>
  </si>
  <si>
    <t>J301DXML</t>
  </si>
  <si>
    <t>140103-2019-001005</t>
  </si>
  <si>
    <t>WQ-F04-T5-I05(12-13U)</t>
  </si>
  <si>
    <t>J301DX7Z</t>
  </si>
  <si>
    <t>140103-2019-001006</t>
  </si>
  <si>
    <t>WQ-F04-T5-I05(10-11U)</t>
  </si>
  <si>
    <t>J301DX7P</t>
  </si>
  <si>
    <t>140103-2019-001010</t>
  </si>
  <si>
    <t>WQ-F04-T5-C18(23-24U)</t>
  </si>
  <si>
    <t>J301DX7X</t>
  </si>
  <si>
    <t>140103-2019-001011</t>
  </si>
  <si>
    <t>WQ-F04-T5-C18(20-21U)</t>
  </si>
  <si>
    <t>J301DX7M</t>
  </si>
  <si>
    <t>140103-2019-001012</t>
  </si>
  <si>
    <t>WQ-F04-T5-C18(18-19U)</t>
  </si>
  <si>
    <t>J301DX85</t>
  </si>
  <si>
    <t>140103-2019-001013</t>
  </si>
  <si>
    <t>WQ-F04-T5-C18(16-17U)</t>
  </si>
  <si>
    <t>J301DX84</t>
  </si>
  <si>
    <t>140103-2019-001014</t>
  </si>
  <si>
    <t>WQ-F04-T5-C18(14-15U)</t>
  </si>
  <si>
    <t>J301DXMG</t>
  </si>
  <si>
    <t>140103-2019-001015</t>
  </si>
  <si>
    <t>WQ-F04-T5-C18(12-13U)</t>
  </si>
  <si>
    <t>J301DXMP</t>
  </si>
  <si>
    <t>140103-2019-001016</t>
  </si>
  <si>
    <t>WQ-F04-T5-C18(10-11U)</t>
  </si>
  <si>
    <t>J301DX7T</t>
  </si>
  <si>
    <t>140103-2019-001020</t>
  </si>
  <si>
    <t>WQ-F04-T5-C19(23-24U)</t>
  </si>
  <si>
    <t>J301DX7Y</t>
  </si>
  <si>
    <t>140103-2019-001021</t>
  </si>
  <si>
    <t>WQ-F04-T5-C19(20-21U)</t>
  </si>
  <si>
    <t>J301DX83</t>
  </si>
  <si>
    <t>140103-2019-001022</t>
  </si>
  <si>
    <t>WQ-F04-T5-C19(18-19U)</t>
  </si>
  <si>
    <t>J301DX7W</t>
  </si>
  <si>
    <t>140103-2019-001023</t>
  </si>
  <si>
    <t>WQ-F04-T5-C19(16-17U)</t>
  </si>
  <si>
    <t>J301DXMK</t>
  </si>
  <si>
    <t>140103-2019-001024</t>
  </si>
  <si>
    <t>WQ-F04-T5-C19(14-15U)</t>
  </si>
  <si>
    <t>J301DXMM</t>
  </si>
  <si>
    <t>140103-2019-001025</t>
  </si>
  <si>
    <t>WQ-F04-T5-C19(12-13U)</t>
  </si>
  <si>
    <t>J301DXMH</t>
  </si>
  <si>
    <t>140103-2019-001026</t>
  </si>
  <si>
    <t>WQ-F04-T5-C19(10-11U)</t>
  </si>
  <si>
    <t>ASG10002ED8E3BFA4</t>
  </si>
  <si>
    <t>140605-2012-000020</t>
  </si>
  <si>
    <t>TK-F01-107-E13(16-17U)</t>
  </si>
  <si>
    <t>Radware Alteon-NG 8420 - 160G</t>
  </si>
  <si>
    <t>31707209</t>
  </si>
  <si>
    <t>140504-2017-000011</t>
  </si>
  <si>
    <t>TK-F01-101-G0(15-16U)</t>
  </si>
  <si>
    <t>31705201</t>
  </si>
  <si>
    <t>140504-2017-000010</t>
  </si>
  <si>
    <t>TK-F01-101-G0(18-19U)</t>
  </si>
  <si>
    <t>Radware Alteon-NG 6420 - 80G</t>
  </si>
  <si>
    <t>31604211</t>
  </si>
  <si>
    <t>140504-2017-000009</t>
  </si>
  <si>
    <t>TK-F01-101-G4(38-39U)</t>
  </si>
  <si>
    <t>31604209</t>
  </si>
  <si>
    <t>140504-2017-000008</t>
  </si>
  <si>
    <t>TK-F01-101-G5(38-39U)</t>
  </si>
  <si>
    <t>Radware Alteon-NG 6024 - 30G</t>
  </si>
  <si>
    <t>41609133</t>
  </si>
  <si>
    <t>140504-2017-000015</t>
  </si>
  <si>
    <t>TK-F01-103-A(2-3U)</t>
  </si>
  <si>
    <t>41609132</t>
  </si>
  <si>
    <t>140504-2017-000014</t>
  </si>
  <si>
    <t>TK-F01-103-A(5-6U)</t>
  </si>
  <si>
    <t>永达 YD-SC4200</t>
  </si>
  <si>
    <t>YD-SC42004B07F9362</t>
  </si>
  <si>
    <t>140607-2014-000043</t>
  </si>
  <si>
    <t>TK-F01-103-H10</t>
  </si>
  <si>
    <t>永达 YD-SW1G-24-2F</t>
  </si>
  <si>
    <t>210235A0D1H13A000074</t>
  </si>
  <si>
    <t>140607-2014-000187</t>
  </si>
  <si>
    <t>TK-F01-106-C10(22-22U)</t>
  </si>
  <si>
    <t>210235A0D1H137000321</t>
  </si>
  <si>
    <t>140607-2014-000188</t>
  </si>
  <si>
    <t>TK-F01-106-C10(24-24U)</t>
  </si>
  <si>
    <t>永达 安全接入网关SAC2650</t>
  </si>
  <si>
    <t>SAC26502EF6DC2C48</t>
  </si>
  <si>
    <t>140607-2017-000007</t>
  </si>
  <si>
    <t>TK-F01-107-E1(11-12U)</t>
  </si>
  <si>
    <t>SAC26502EF6DC2C47</t>
  </si>
  <si>
    <t>140607-2017-000006</t>
  </si>
  <si>
    <t>TK-F01-107-E1(13-14U)</t>
  </si>
  <si>
    <t>SAC26502EF6DC2C46</t>
  </si>
  <si>
    <t>140607-2017-000005</t>
  </si>
  <si>
    <t>TK-F01-107-E1(15-16U)</t>
  </si>
  <si>
    <t>SAC26502EF6DC2C45</t>
  </si>
  <si>
    <t>140607-2017-000004</t>
  </si>
  <si>
    <t>TK-F01-107-E1(17-18U)</t>
  </si>
  <si>
    <t>永达 安全网络交换机YD-SW1G-24</t>
  </si>
  <si>
    <t>YD-SW1G-242EF6DC2C41</t>
  </si>
  <si>
    <t>140607-2017-000104</t>
  </si>
  <si>
    <t>TK-F01-107-E1(19-19U)</t>
  </si>
  <si>
    <t>SAC26502EF6DC2C44</t>
  </si>
  <si>
    <t>140607-2017-000003</t>
  </si>
  <si>
    <t>TK-F01-107-E1(22-23U)</t>
  </si>
  <si>
    <t>SAC26502EF6DC2C43</t>
  </si>
  <si>
    <t>140607-2017-000002</t>
  </si>
  <si>
    <t>TK-F01-107-E1(24-25U)</t>
  </si>
  <si>
    <t>SAC26502EF6DC2C42</t>
  </si>
  <si>
    <t>140607-2017-000001</t>
  </si>
  <si>
    <t>TK-F01-107-E1(27-28U)</t>
  </si>
  <si>
    <t>永达LVS2000E</t>
  </si>
  <si>
    <t>LVS2000E2EEADFA161</t>
  </si>
  <si>
    <t>140605-2012-000022</t>
  </si>
  <si>
    <t>TK-F01-107-E1(29-30U)</t>
  </si>
  <si>
    <t>永达 LVS均衡器LVS2000S</t>
  </si>
  <si>
    <t>LVS2000S2EF6DC2C42</t>
  </si>
  <si>
    <t>140607-2017-000053</t>
  </si>
  <si>
    <t>TK-F01-107-E1(32-33U)</t>
  </si>
  <si>
    <t>SAC26502EF6DC2C4C</t>
  </si>
  <si>
    <t>140607-2017-000011</t>
  </si>
  <si>
    <t>TK-F01-107-E1(3-4U)</t>
  </si>
  <si>
    <t>永达 安全网络交换机YD-SW10G-24</t>
  </si>
  <si>
    <t>YD-SW10G-242EF6DC7A61</t>
  </si>
  <si>
    <t>140607-2017-000074</t>
  </si>
  <si>
    <t>TK-F01-107-E1(37-37U)</t>
  </si>
  <si>
    <t>YD-SW1G-242EF6DC2C42</t>
  </si>
  <si>
    <t>140607-2017-000103</t>
  </si>
  <si>
    <t>TK-F01-107-E1(38-38U)</t>
  </si>
  <si>
    <t>YD-SW10G-242EF6DC7A62</t>
  </si>
  <si>
    <t>140607-2017-000073</t>
  </si>
  <si>
    <t>TK-F01-107-E1(40-40U)</t>
  </si>
  <si>
    <t>YD-SW1G-242EF6DC2C43</t>
  </si>
  <si>
    <t>140607-2017-000102</t>
  </si>
  <si>
    <t>TK-F01-107-E1(41-41U)</t>
  </si>
  <si>
    <t>SAC26502EF6DC2C4B</t>
  </si>
  <si>
    <t>140607-2017-000010</t>
  </si>
  <si>
    <t>TK-F01-107-E1(5-6U)</t>
  </si>
  <si>
    <t>SAC26502EF6DC2C4A</t>
  </si>
  <si>
    <t>140607-2017-000009</t>
  </si>
  <si>
    <t>TK-F01-107-E1(7-8U)</t>
  </si>
  <si>
    <t>SAC26502EF6DC2C49</t>
  </si>
  <si>
    <t>140607-2017-000008</t>
  </si>
  <si>
    <t>TK-F01-107-E1(9-10U)</t>
  </si>
  <si>
    <t>永达 安全隔离与信息交换设备ASG1000-III</t>
  </si>
  <si>
    <t>ASG1000-III2EF6DC2C50</t>
  </si>
  <si>
    <t>140607-2017-000041</t>
  </si>
  <si>
    <t>TK-F01-107-E12(11-12U)</t>
  </si>
  <si>
    <t>ASG1000-III2EF6DC2C49</t>
  </si>
  <si>
    <t>140607-2017-000040</t>
  </si>
  <si>
    <t>TK-F01-107-E12(14-15U)</t>
  </si>
  <si>
    <t>ASG1000-III2EF6DC2C4D</t>
  </si>
  <si>
    <t>140607-2017-000039</t>
  </si>
  <si>
    <t>TK-F01-107-E7(11-12U)</t>
  </si>
  <si>
    <t>ASG1000-III2EF6DC2C4C</t>
  </si>
  <si>
    <t>140607-2017-000038</t>
  </si>
  <si>
    <t>TK-F01-107-E12(19-20U)</t>
  </si>
  <si>
    <t>ASG1000-III2EF6DC2C4F</t>
  </si>
  <si>
    <t>140607-2017-000037</t>
  </si>
  <si>
    <t>TK-F01-107-E12(22-23U)</t>
  </si>
  <si>
    <t>LVS2000S2EF6DC2C41</t>
  </si>
  <si>
    <t>140607-2017-000057</t>
  </si>
  <si>
    <t>TK-F01-107-E12(25-26U)</t>
  </si>
  <si>
    <t>永达 加密机SH0901</t>
  </si>
  <si>
    <t>SH09012EF6DC2C42</t>
  </si>
  <si>
    <t>140607-2017-000072</t>
  </si>
  <si>
    <t>TK-F01-107-E12(28-29U)</t>
  </si>
  <si>
    <t>SAC26502EF6DC2C4D</t>
  </si>
  <si>
    <t>140607-2017-000036</t>
  </si>
  <si>
    <t>TK-F01-107-E12(31-32U)</t>
  </si>
  <si>
    <t>YD-SW1G-242EF6DC2C4C</t>
  </si>
  <si>
    <t>140607-2017-000095</t>
  </si>
  <si>
    <t>TK-F01-107-E12(35-35U)</t>
  </si>
  <si>
    <t>YD-SW10G-242EF6DC7A68</t>
  </si>
  <si>
    <t>140607-2017-000080</t>
  </si>
  <si>
    <t>TK-F01-107-E12(37-37U)</t>
  </si>
  <si>
    <t>YD-SW1G-242EF6DC2C4B</t>
  </si>
  <si>
    <t>140607-2017-000094</t>
  </si>
  <si>
    <t>TK-F01-107-E12(38-38U)</t>
  </si>
  <si>
    <t>YD-SW10G-242EF6DC7A67</t>
  </si>
  <si>
    <t>140607-2017-000079</t>
  </si>
  <si>
    <t>TK-F01-107-E12(40-40U)</t>
  </si>
  <si>
    <t>YD-SW1G-242EF6DC2C4A</t>
  </si>
  <si>
    <t>140607-2017-000093</t>
  </si>
  <si>
    <t>TK-F01-107-E12(41-41U)</t>
  </si>
  <si>
    <t>ASG1000-III2EF6DC2C46</t>
  </si>
  <si>
    <t>140607-2017-000044</t>
  </si>
  <si>
    <t>TK-F01-107-E12(4-5U)</t>
  </si>
  <si>
    <t>ASG1000-III2EF6DC2C48</t>
  </si>
  <si>
    <t>140607-2017-000043</t>
  </si>
  <si>
    <t>TK-F01-107-E12(6-7U)</t>
  </si>
  <si>
    <t>ASG1000-III2EF6DC2C4A</t>
  </si>
  <si>
    <t>140607-2017-000042</t>
  </si>
  <si>
    <t>TK-F01-107-E12(9-10U)</t>
  </si>
  <si>
    <t>ASG1000-III2EF6DC2C45</t>
  </si>
  <si>
    <t>140607-2017-000049</t>
  </si>
  <si>
    <t>TK-F01-107-E7(22-23U)</t>
  </si>
  <si>
    <t>ASG1000-III2EF6DC2C41</t>
  </si>
  <si>
    <t>140607-2017-000048</t>
  </si>
  <si>
    <t>TK-F01-107-E13(14-15U)</t>
  </si>
  <si>
    <t>ASG1000-III2EF6DC2C44</t>
  </si>
  <si>
    <t>140607-2017-000047</t>
  </si>
  <si>
    <t>TK-F01-107-E9(17-18U)</t>
  </si>
  <si>
    <t>ASG1000-III2EF6DC2C4E</t>
  </si>
  <si>
    <t>140607-2017-000046</t>
  </si>
  <si>
    <t>TK-F01-107-E13(19-20U)</t>
  </si>
  <si>
    <t>ASG1000-III2EF6DC2C4B</t>
  </si>
  <si>
    <t>140607-2017-000045</t>
  </si>
  <si>
    <t>TK-F01-107-E13(22-23U)</t>
  </si>
  <si>
    <t>LVS2000S2EF6A0A9EC</t>
  </si>
  <si>
    <t>140607-2017-000058</t>
  </si>
  <si>
    <t>TK-F01-107-E13(25-26U)</t>
  </si>
  <si>
    <t>永达 证书/证书撤销列表存储与发布系统YD-LDAP2000B</t>
  </si>
  <si>
    <t>YD-LDAP2000B2EF6DC2C42</t>
  </si>
  <si>
    <t>140607-2017-000070</t>
  </si>
  <si>
    <t>TK-F01-107-E13(28-29U)</t>
  </si>
  <si>
    <t>SH09012EF6DC2C41</t>
  </si>
  <si>
    <t>140607-2017-000071</t>
  </si>
  <si>
    <t>TK-F01-107-E13(31-32U)</t>
  </si>
  <si>
    <t>YD-SW1G-242EF6DC2C4D</t>
  </si>
  <si>
    <t>140607-2017-000092</t>
  </si>
  <si>
    <t>TK-F01-107-E13(33-33U)</t>
  </si>
  <si>
    <t>YD-SW1G-242EF6DC2C4E</t>
  </si>
  <si>
    <t>140607-2017-000091</t>
  </si>
  <si>
    <t>TK-F01-107-E13(34-34U)</t>
  </si>
  <si>
    <t>YD-SW10G-242EF6DC7A6C</t>
  </si>
  <si>
    <t>140607-2017-000082</t>
  </si>
  <si>
    <t>TK-F01-107-E13(37-37U)</t>
  </si>
  <si>
    <t>YD-SW1G-242EF6DC2C4F</t>
  </si>
  <si>
    <t>140607-2017-000090</t>
  </si>
  <si>
    <t>TK-F01-107-E13(38-38U)</t>
  </si>
  <si>
    <t>YD-SW10G-242EF6DC7A6B</t>
  </si>
  <si>
    <t>140607-2017-000081</t>
  </si>
  <si>
    <t>TK-F01-107-E13(40-40U)</t>
  </si>
  <si>
    <t>YD-SW1G-242EF6DC2C50</t>
  </si>
  <si>
    <t>140607-2017-000089</t>
  </si>
  <si>
    <t>TK-F01-107-E13(41-41U)</t>
  </si>
  <si>
    <t>ASG1000-III2EF6DC2C47</t>
  </si>
  <si>
    <t>140607-2017-000052</t>
  </si>
  <si>
    <t>TK-F01-107-E13(4-5U)</t>
  </si>
  <si>
    <t>ASG1000-III2EF6DC2C42</t>
  </si>
  <si>
    <t>140607-2017-000051</t>
  </si>
  <si>
    <t>TK-F01-107-E13(6-7U)</t>
  </si>
  <si>
    <t>ASG1000-III2EF6DC2C43</t>
  </si>
  <si>
    <t>140607-2017-000050</t>
  </si>
  <si>
    <t>TK-F01-107-E13(9-10U)</t>
  </si>
  <si>
    <t>永达 安全管理与控制平台EME4280</t>
  </si>
  <si>
    <t>EME42802EF6ADA235</t>
  </si>
  <si>
    <t>140607-2017-000065</t>
  </si>
  <si>
    <t>TK-F01-107-E14(11-12U)</t>
  </si>
  <si>
    <t>EME42802EF6BDF5E2</t>
  </si>
  <si>
    <t>140607-2017-000064</t>
  </si>
  <si>
    <t>TK-F01-107-E14(14-15U)</t>
  </si>
  <si>
    <t>EME42802EF6A0A9E1</t>
  </si>
  <si>
    <t>140607-2017-000063</t>
  </si>
  <si>
    <t>TK-F01-107-E14(16-17U)</t>
  </si>
  <si>
    <t>EME42802EF6ADA234</t>
  </si>
  <si>
    <t>140607-2017-000062</t>
  </si>
  <si>
    <t>TK-F01-107-E14(19-20U)</t>
  </si>
  <si>
    <t>EME42802EF6DC2C48</t>
  </si>
  <si>
    <t>140607-2017-000061</t>
  </si>
  <si>
    <t>TK-F01-107-E14(22-23U)</t>
  </si>
  <si>
    <t>LVS2000S2EF6A0A9F3</t>
  </si>
  <si>
    <t>140607-2017-000059</t>
  </si>
  <si>
    <t>TK-F01-107-E14(25-26U)</t>
  </si>
  <si>
    <t>LVS2000S2EF6A0A9F5</t>
  </si>
  <si>
    <t>140607-2017-000060</t>
  </si>
  <si>
    <t>TK-F01-107-E7(32-33U)</t>
  </si>
  <si>
    <t>YD-LDAP2000B2EF6DC2C41</t>
  </si>
  <si>
    <t>140607-2017-000069</t>
  </si>
  <si>
    <t>TK-F01-107-E14(30-31U)</t>
  </si>
  <si>
    <t>YD-SW1G-242EF6DC2C54</t>
  </si>
  <si>
    <t>140607-2017-000088</t>
  </si>
  <si>
    <t>TK-F01-107-E14(33-33U)</t>
  </si>
  <si>
    <t>YD-SW1G-242EF6DC2C53</t>
  </si>
  <si>
    <t>140607-2017-000087</t>
  </si>
  <si>
    <t>TK-F01-107-E14(34-34U)</t>
  </si>
  <si>
    <t>YD-SW10G-242EF6DC7A6A</t>
  </si>
  <si>
    <t>140607-2017-000084</t>
  </si>
  <si>
    <t>TK-F01-107-E14(37-37U)</t>
  </si>
  <si>
    <t>YD-SW1G-242EF6DC2C52</t>
  </si>
  <si>
    <t>140607-2017-000086</t>
  </si>
  <si>
    <t>TK-F01-107-E14(38-38U)</t>
  </si>
  <si>
    <t>YD-SW10G-242EF6DC7A69</t>
  </si>
  <si>
    <t>140607-2017-000083</t>
  </si>
  <si>
    <t>TK-F01-107-E14(40-40U)</t>
  </si>
  <si>
    <t>YD-SW1G-242EF6DC2C51</t>
  </si>
  <si>
    <t>140607-2017-000085</t>
  </si>
  <si>
    <t>TK-F01-107-E14(41-41U)</t>
  </si>
  <si>
    <t>EME42802EF6BDF5E1</t>
  </si>
  <si>
    <t>140607-2017-000068</t>
  </si>
  <si>
    <t>TK-F01-107-E14(4-5U)</t>
  </si>
  <si>
    <t>EME42802EF6BDF5E3</t>
  </si>
  <si>
    <t>140607-2017-000067</t>
  </si>
  <si>
    <t>TK-F01-107-E14(6-7U)</t>
  </si>
  <si>
    <t>EME42802EF6DC2C47</t>
  </si>
  <si>
    <t>140607-2017-000066</t>
  </si>
  <si>
    <t>TK-F01-107-E14(9-10U)</t>
  </si>
  <si>
    <t>SAC26502EF6DC2C54</t>
  </si>
  <si>
    <t>140607-2017-000018</t>
  </si>
  <si>
    <t>TK-F01-107-E2(11-12U)</t>
  </si>
  <si>
    <t>SAC26502EF6DC2C53</t>
  </si>
  <si>
    <t>140607-2017-000017</t>
  </si>
  <si>
    <t>TK-F01-107-E2(14-13U)</t>
  </si>
  <si>
    <t>SAC26502EF6DC2C52</t>
  </si>
  <si>
    <t>140607-2017-000016</t>
  </si>
  <si>
    <t>TK-F01-107-E2(15-16U)</t>
  </si>
  <si>
    <t>SAC26502EF6DC2C51</t>
  </si>
  <si>
    <t>140607-2017-000015</t>
  </si>
  <si>
    <t>TK-F01-107-E2(17-18U)</t>
  </si>
  <si>
    <t>YD-SW1G-242EF6DC2C46</t>
  </si>
  <si>
    <t>140607-2017-000101</t>
  </si>
  <si>
    <t>TK-F01-107-E2(19-19U)</t>
  </si>
  <si>
    <t>SAC26502EF6DC2C50</t>
  </si>
  <si>
    <t>140607-2017-000014</t>
  </si>
  <si>
    <t>TK-F01-107-E2(22-23U)</t>
  </si>
  <si>
    <t>SAC26502EF6DC2C4F</t>
  </si>
  <si>
    <t>140607-2017-000013</t>
  </si>
  <si>
    <t>TK-F01-107-E2(24-25U)</t>
  </si>
  <si>
    <t>SAC26502EF6DC2C4E</t>
  </si>
  <si>
    <t>140607-2017-000012</t>
  </si>
  <si>
    <t>TK-F01-107-E2(27-28U)</t>
  </si>
  <si>
    <t>LVS2000S2EF6DC2C43</t>
  </si>
  <si>
    <t>140607-2017-000055</t>
  </si>
  <si>
    <t>TK-F01-107-E2(32-33U)</t>
  </si>
  <si>
    <t>SAC26502EF6DC2C58</t>
  </si>
  <si>
    <t>140607-2017-000022</t>
  </si>
  <si>
    <t>TK-F01-107-E2(3-4U)</t>
  </si>
  <si>
    <t>YD-SW10G-242EF6DC7A64</t>
  </si>
  <si>
    <t>140607-2017-000076</t>
  </si>
  <si>
    <t>TK-F01-107-E2(37-37U)</t>
  </si>
  <si>
    <t>YD-SW1G-242EF6DC2C45</t>
  </si>
  <si>
    <t>140607-2017-000100</t>
  </si>
  <si>
    <t>TK-F01-107-E2(38-38U)</t>
  </si>
  <si>
    <t>YD-SW10G-242EF6DC7A63</t>
  </si>
  <si>
    <t>140607-2017-000075</t>
  </si>
  <si>
    <t>TK-F01-107-E2(40-40U)</t>
  </si>
  <si>
    <t>YD-SW1G-242EF6DC2C44</t>
  </si>
  <si>
    <t>140607-2017-000099</t>
  </si>
  <si>
    <t>TK-F01-107-E2(41-41U)</t>
  </si>
  <si>
    <t>SAC26502EF6DC2C57</t>
  </si>
  <si>
    <t>140607-2017-000021</t>
  </si>
  <si>
    <t>TK-F01-107-E2(5-6U)</t>
  </si>
  <si>
    <t>SAC26502EF6DC2C56</t>
  </si>
  <si>
    <t>140607-2017-000020</t>
  </si>
  <si>
    <t>TK-F01-107-E2(7-8U)</t>
  </si>
  <si>
    <t>SAC26502EF6DC2C55</t>
  </si>
  <si>
    <t>140607-2017-000019</t>
  </si>
  <si>
    <t>TK-F01-107-E2(9-10U)</t>
  </si>
  <si>
    <t>SAC26502EF6DC2C60</t>
  </si>
  <si>
    <t>140607-2017-000031</t>
  </si>
  <si>
    <t>TK-F01-107-E3(11-12U)</t>
  </si>
  <si>
    <t>SAC26502EF6DC2C5F</t>
  </si>
  <si>
    <t>140607-2017-000030</t>
  </si>
  <si>
    <t>TK-F01-107-E3(14-13U)</t>
  </si>
  <si>
    <t>SAC26502EF6DC2C5E</t>
  </si>
  <si>
    <t>140607-2017-000029</t>
  </si>
  <si>
    <t>TK-F01-107-E3(15-16U)</t>
  </si>
  <si>
    <t>SAC26502EF6DC2C5D</t>
  </si>
  <si>
    <t>140607-2017-000028</t>
  </si>
  <si>
    <t>TK-F01-107-E3(17-18U)</t>
  </si>
  <si>
    <t>YD-SW1G-242EF6DC2C47</t>
  </si>
  <si>
    <t>140607-2017-000098</t>
  </si>
  <si>
    <t>TK-F01-107-E3(19-19U)</t>
  </si>
  <si>
    <t>SAC26502EF6DC2C5C</t>
  </si>
  <si>
    <t>140607-2017-000027</t>
  </si>
  <si>
    <t>TK-F01-107-E3(22-23U)</t>
  </si>
  <si>
    <t>SAC26502EF6DC2C5B</t>
  </si>
  <si>
    <t>140607-2017-000026</t>
  </si>
  <si>
    <t>TK-F01-107-E3(24-25U)</t>
  </si>
  <si>
    <t>SAC26502EF6DC2C5A</t>
  </si>
  <si>
    <t>140607-2017-000025</t>
  </si>
  <si>
    <t>TK-F01-107-E3(27-28U)</t>
  </si>
  <si>
    <t>SAC26502EF6DC2C59</t>
  </si>
  <si>
    <t>140607-2017-000024</t>
  </si>
  <si>
    <t>TK-F01-107-E3(29-30U)</t>
  </si>
  <si>
    <t>SAC26502EF6DC2C41</t>
  </si>
  <si>
    <t>140607-2017-000023</t>
  </si>
  <si>
    <t>TK-F01-107-E3(32-33U)</t>
  </si>
  <si>
    <t>SAC26502EF6DC2C64</t>
  </si>
  <si>
    <t>140607-2017-000035</t>
  </si>
  <si>
    <t>TK-F01-107-E3(3-4U)</t>
  </si>
  <si>
    <t>YD-SW10G-242EF6DC7A66</t>
  </si>
  <si>
    <t>140607-2017-000078</t>
  </si>
  <si>
    <t>TK-F01-107-E3(37-37U)</t>
  </si>
  <si>
    <t>YD-SW1G-242EF6DC2C48</t>
  </si>
  <si>
    <t>140607-2017-000097</t>
  </si>
  <si>
    <t>TK-F01-107-E3(38-38U)</t>
  </si>
  <si>
    <t>YD-SW10G-242EF6DC7A65</t>
  </si>
  <si>
    <t>140607-2017-000077</t>
  </si>
  <si>
    <t>TK-F01-107-E3(40-40U)</t>
  </si>
  <si>
    <t>YD-SW1G-242EF6DC2C49</t>
  </si>
  <si>
    <t>140607-2017-000096</t>
  </si>
  <si>
    <t>TK-F01-107-E3(41-41U)</t>
  </si>
  <si>
    <t>SAC26502EF6DC2C63</t>
  </si>
  <si>
    <t>140607-2017-000034</t>
  </si>
  <si>
    <t>TK-F01-107-E3(5-6U)</t>
  </si>
  <si>
    <t>SAC26502EF6DC2C62</t>
  </si>
  <si>
    <t>140607-2017-000033</t>
  </si>
  <si>
    <t>TK-F01-107-E3(7-8U)</t>
  </si>
  <si>
    <t>SAC26502EF6DC2C61</t>
  </si>
  <si>
    <t>140607-2017-000032</t>
  </si>
  <si>
    <t>TK-F01-107-E3(9-10U)</t>
  </si>
  <si>
    <t>永达AFW2000</t>
  </si>
  <si>
    <t>AFW20002ED8D40835</t>
  </si>
  <si>
    <t>140503-2012-000172</t>
  </si>
  <si>
    <t>TK-F01-107-E4(10-11U)</t>
  </si>
  <si>
    <t>AFW20002ED8D40831</t>
  </si>
  <si>
    <t>140503-2012-000173</t>
  </si>
  <si>
    <t>TK-F01-107-E4(13-14U)</t>
  </si>
  <si>
    <t>AFW20002ED8D40836</t>
  </si>
  <si>
    <t>140503-2012-000174</t>
  </si>
  <si>
    <t>TK-F01-107-E4(16-17U)</t>
  </si>
  <si>
    <t>永达LS-5500-24P-SI</t>
  </si>
  <si>
    <t>210235AOD1H123000108</t>
  </si>
  <si>
    <t>140502-2012-000700</t>
  </si>
  <si>
    <t>TK-F01-107-E4(18-18U)</t>
  </si>
  <si>
    <t>210235AOD1H123000151</t>
  </si>
  <si>
    <t>140502-2012-000701</t>
  </si>
  <si>
    <t>TK-F01-107-E4(20-20U)</t>
  </si>
  <si>
    <t>210235AOD1H123000029</t>
  </si>
  <si>
    <t>140502-2012-000702</t>
  </si>
  <si>
    <t>TK-F01-107-E4(23-23U)</t>
  </si>
  <si>
    <t>210235AOD1H123000008</t>
  </si>
  <si>
    <t>140502-2012-000703</t>
  </si>
  <si>
    <t>TK-F01-107-E4(25-25U)</t>
  </si>
  <si>
    <t>AFW20002ED8D40834</t>
  </si>
  <si>
    <t>140503-2012-000175</t>
  </si>
  <si>
    <t>TK-F01-107-E4(27-28U)</t>
  </si>
  <si>
    <t>AFW20002ED8D40832</t>
  </si>
  <si>
    <t>140503-2012-000176</t>
  </si>
  <si>
    <t>TK-F01-107-E4(30-31U)</t>
  </si>
  <si>
    <t>AFW20002ED8D40833</t>
  </si>
  <si>
    <t>140503-2012-000171</t>
  </si>
  <si>
    <t>TK-F01-107-E4(7-8U)</t>
  </si>
  <si>
    <t>永达SAC2650</t>
  </si>
  <si>
    <t>SAC265921D8D40836</t>
  </si>
  <si>
    <t>140514-2012-001078</t>
  </si>
  <si>
    <t>TK-F01-107-E5(11-12U)</t>
  </si>
  <si>
    <t>SAC26502ED8D40835</t>
  </si>
  <si>
    <t>140514-2012-001079</t>
  </si>
  <si>
    <t>TK-F01-107-E5(14-15U)</t>
  </si>
  <si>
    <t>LVS2000E2ED8D40837</t>
  </si>
  <si>
    <t>140605-2012-000021</t>
  </si>
  <si>
    <t>TK-F01-107-E5(17-18U</t>
  </si>
  <si>
    <t>永达LS-5500-52C-EI</t>
  </si>
  <si>
    <t>210235A24WH125000206</t>
  </si>
  <si>
    <t>140502-2012-000694</t>
  </si>
  <si>
    <t>TK-F01-107-E5(20-20U)</t>
  </si>
  <si>
    <t>LVS2000S2EF6A0A9F7</t>
  </si>
  <si>
    <t>140607-2017-000054</t>
  </si>
  <si>
    <t>TK-F01-107-E5(23-24U)</t>
  </si>
  <si>
    <t>210235A24WH125000070</t>
  </si>
  <si>
    <t>140502-2012-000695</t>
  </si>
  <si>
    <t>TK-F01-107-E5(25-25U)</t>
  </si>
  <si>
    <t>210235A24WH125000090</t>
  </si>
  <si>
    <t>140502-2012-000696</t>
  </si>
  <si>
    <t>TK-F01-107-E5(27-27U)</t>
  </si>
  <si>
    <t>SAC26502ED8D40834</t>
  </si>
  <si>
    <t>140514-2012-001080</t>
  </si>
  <si>
    <t>TK-F01-107-E5(29-30U)</t>
  </si>
  <si>
    <t>SAC265921D8D40833</t>
  </si>
  <si>
    <t>140514-2012-001081</t>
  </si>
  <si>
    <t>TK-F01-107-E5(33-32U)</t>
  </si>
  <si>
    <t>SAC26502ED8D40832</t>
  </si>
  <si>
    <t>140514-2012-001082</t>
  </si>
  <si>
    <t>TK-F01-107-E5(35-36U)</t>
  </si>
  <si>
    <t>SAC26502ED8D40831</t>
  </si>
  <si>
    <t>140514-2012-001083</t>
  </si>
  <si>
    <t>TK-F01-107-E5(38-39U)</t>
  </si>
  <si>
    <t>SAC26502ED8D40838</t>
  </si>
  <si>
    <t>140514-2012-001076</t>
  </si>
  <si>
    <t>TK-F01-107-E5(5-6U)</t>
  </si>
  <si>
    <t>SAC26502ED8D40837</t>
  </si>
  <si>
    <t>140514-2012-001077</t>
  </si>
  <si>
    <t>TK-F01-107-E5(8-9U)</t>
  </si>
  <si>
    <t>SAC26502ED8D4080</t>
  </si>
  <si>
    <t>140514-2012-001086</t>
  </si>
  <si>
    <t>TK-F01-107-E6(11-12U)</t>
  </si>
  <si>
    <t>SAC26502ED8D4083F</t>
  </si>
  <si>
    <t>140514-2012-001087</t>
  </si>
  <si>
    <t>TK-F01-107-E6(14-15U)</t>
  </si>
  <si>
    <t>LVS2000E2ED8D40833</t>
  </si>
  <si>
    <t>140605-2012-000023</t>
  </si>
  <si>
    <t>TK-F01-107-E6(17-18U)</t>
  </si>
  <si>
    <t>210235A24WH12400686</t>
  </si>
  <si>
    <t>140502-2012-000697</t>
  </si>
  <si>
    <t>TK-F01-107-E6(20-20U)</t>
  </si>
  <si>
    <t>LVS2000S2EF6A0A9F6</t>
  </si>
  <si>
    <t>140607-2017-000056</t>
  </si>
  <si>
    <t>TK-F01-107-E6(23-24U)</t>
  </si>
  <si>
    <t>LVS2000E2EEADFA162</t>
  </si>
  <si>
    <t>140605-2012-000024</t>
  </si>
  <si>
    <t>210235A24WH125000056</t>
  </si>
  <si>
    <t>140502-2012-000698</t>
  </si>
  <si>
    <t>TK-F01-107-E6(25-25U)</t>
  </si>
  <si>
    <t>210235A24WH125000025</t>
  </si>
  <si>
    <t>140502-2012-000699</t>
  </si>
  <si>
    <t>TK-F01-107-E6(27-27U)</t>
  </si>
  <si>
    <t>SAC26502ED8D4083D</t>
  </si>
  <si>
    <t>140514-2012-001088</t>
  </si>
  <si>
    <t>TK-F01-107-E6(29-30U)</t>
  </si>
  <si>
    <t>SAC265921D8D4083C</t>
  </si>
  <si>
    <t>140514-2012-001089</t>
  </si>
  <si>
    <t>TK-F01-107-E6(33-32U)</t>
  </si>
  <si>
    <t>SAC26502ED8D4083A</t>
  </si>
  <si>
    <t>140514-2012-001090</t>
  </si>
  <si>
    <t>TK-F01-107-E6(35-36U)</t>
  </si>
  <si>
    <t>SAC26502ED8D40839</t>
  </si>
  <si>
    <t>140514-2012-001091</t>
  </si>
  <si>
    <t>TK-F01-107-E6(38-39U)</t>
  </si>
  <si>
    <t>SAC26502ED8D4083B</t>
  </si>
  <si>
    <t>140514-2012-001084</t>
  </si>
  <si>
    <t>TK-F01-107-E6(5-6U)</t>
  </si>
  <si>
    <t>SAC26502ED8D4083E</t>
  </si>
  <si>
    <t>140514-2012-001085</t>
  </si>
  <si>
    <t>TK-F01-107-E6(8-9U)</t>
  </si>
  <si>
    <t>ASG10002ED8C0CE64</t>
  </si>
  <si>
    <t>140605-2012-000015</t>
  </si>
  <si>
    <t>TK-F01-107-E12(16-17U)</t>
  </si>
  <si>
    <t>ASG1000III2EE4FB259D</t>
  </si>
  <si>
    <t>140605-2012-000017</t>
  </si>
  <si>
    <t>TK-F01-107-E7(17-18U)</t>
  </si>
  <si>
    <t>210235AOD1H123000051</t>
  </si>
  <si>
    <t>140502-2012-000704</t>
  </si>
  <si>
    <t>TK-F01-107-E7(20-20U)</t>
  </si>
  <si>
    <t>ASG10002ED2EB1F85</t>
  </si>
  <si>
    <t>140605-2012-000018</t>
  </si>
  <si>
    <t>TK-F01-107-E13(11-12U)</t>
  </si>
  <si>
    <t>210235A0D1H121000039</t>
  </si>
  <si>
    <t>140502-2012-000705</t>
  </si>
  <si>
    <t>TK-F01-107-E7(26-26U)</t>
  </si>
  <si>
    <t>210235A0D1H121000056</t>
  </si>
  <si>
    <t>140502-2012-000706</t>
  </si>
  <si>
    <t>TK-F01-107-E7(28-28U)</t>
  </si>
  <si>
    <t>210235A0D1H121000017</t>
  </si>
  <si>
    <t>140502-2012-000707</t>
  </si>
  <si>
    <t>TK-F01-107-E7(30-30U)</t>
  </si>
  <si>
    <t>LVS2000E2ED8D40832</t>
  </si>
  <si>
    <t>140605-2012-000025</t>
  </si>
  <si>
    <t>TK-F01-107-E14(28-29U)</t>
  </si>
  <si>
    <t>LVS2000E2ED8D40834</t>
  </si>
  <si>
    <t>140605-2012-000026</t>
  </si>
  <si>
    <t>TK-F01-107-E7(35-36U)</t>
  </si>
  <si>
    <t>ASG1000III2EE4FN2592</t>
  </si>
  <si>
    <t>140605-2012-000013</t>
  </si>
  <si>
    <t>TK-F01-107-E7(5-6U)</t>
  </si>
  <si>
    <t>ASG10002ED8C0CE5C</t>
  </si>
  <si>
    <t>140605-2012-000014</t>
  </si>
  <si>
    <t>TK-F01-107-E7(8-9U)</t>
  </si>
  <si>
    <t>EME42802ED8D40831</t>
  </si>
  <si>
    <t>140609-2012-000062</t>
  </si>
  <si>
    <t>TK-F01-107-E8(11-12U)</t>
  </si>
  <si>
    <t>LVS2000E2ED8D40835</t>
  </si>
  <si>
    <t>140605-2012-000027</t>
  </si>
  <si>
    <t>TK-F01-107-E8(14-15U)</t>
  </si>
  <si>
    <t>ASG10002ED8C0CE5B</t>
  </si>
  <si>
    <t>140605-2012-000019</t>
  </si>
  <si>
    <t>TK-F01-107-E8(17-18U)</t>
  </si>
  <si>
    <t>210235A0D1H121000025</t>
  </si>
  <si>
    <t>140502-2012-000708</t>
  </si>
  <si>
    <t>TK-F01-107-E8(20-20U)</t>
  </si>
  <si>
    <t>EME42802ED8D40839</t>
  </si>
  <si>
    <t>140609-2012-000063</t>
  </si>
  <si>
    <t>TK-F01-107-E8(23-24U)</t>
  </si>
  <si>
    <t>EME42802ED8D40837</t>
  </si>
  <si>
    <t>140609-2012-000064</t>
  </si>
  <si>
    <t>TK-F01-107-E8(26-27U)</t>
  </si>
  <si>
    <t>EME42802ED8D40833</t>
  </si>
  <si>
    <t>140609-2012-000060</t>
  </si>
  <si>
    <t>TK-F01-107-E8(5-6U)</t>
  </si>
  <si>
    <t>EME42802ED8D40832</t>
  </si>
  <si>
    <t>140609-2012-000061</t>
  </si>
  <si>
    <t>TK-F01-107-E8(8-9U)</t>
  </si>
  <si>
    <t>EME42802ED8D40834</t>
  </si>
  <si>
    <t>140609-2012-000067</t>
  </si>
  <si>
    <t>TK-F01-107-E9(11-12U)</t>
  </si>
  <si>
    <t>LVS2000E2ED8D40831</t>
  </si>
  <si>
    <t>140605-2012-000028</t>
  </si>
  <si>
    <t>TK-F01-107-E9(14-15U)</t>
  </si>
  <si>
    <t>210235A0D1H121000044</t>
  </si>
  <si>
    <t>140502-2012-000709</t>
  </si>
  <si>
    <t>TK-F01-107-E9(20-20U)</t>
  </si>
  <si>
    <t>EME42802ED8D4083A</t>
  </si>
  <si>
    <t>140609-2012-000068</t>
  </si>
  <si>
    <t>TK-F01-107-E9(23-24U)</t>
  </si>
  <si>
    <t>EME42802ED8D40838</t>
  </si>
  <si>
    <t>140609-2012-000069</t>
  </si>
  <si>
    <t>TK-F01-107-E9(26-27U)</t>
  </si>
  <si>
    <t>EME42802ED8D40836</t>
  </si>
  <si>
    <t>140609-2012-000065</t>
  </si>
  <si>
    <t>TK-F01-107-E9(5-6U)</t>
  </si>
  <si>
    <t>EME42802ED8D40835</t>
  </si>
  <si>
    <t>140609-2012-000066</t>
  </si>
  <si>
    <t>TK-F01-107-E9(8-9U)</t>
  </si>
  <si>
    <t>永达 YD-SW1G-24</t>
  </si>
  <si>
    <t>210235A0D1H13A000162</t>
  </si>
  <si>
    <t>140607-2014-000143</t>
  </si>
  <si>
    <t>TK-F01-107-I10(21-21U)</t>
  </si>
  <si>
    <t>210235A0D1H14A000011</t>
  </si>
  <si>
    <t>140607-2014-000144</t>
  </si>
  <si>
    <t>TK-F01-107-I10(22-22U)</t>
  </si>
  <si>
    <t>永达 YD-SW1G-48-4SFP</t>
  </si>
  <si>
    <t>210235A377H14A000031</t>
  </si>
  <si>
    <t>140607-2014-000157</t>
  </si>
  <si>
    <t>TK-F01-107-I10(41-41U)</t>
  </si>
  <si>
    <t>210235A377H14A000039</t>
  </si>
  <si>
    <t>140607-2014-000158</t>
  </si>
  <si>
    <t>TK-F01-107-I10(42-42U)</t>
  </si>
  <si>
    <t>210235A0D1H138000009</t>
  </si>
  <si>
    <t>140607-2014-000145</t>
  </si>
  <si>
    <t>TK-F01-107-I11(19-19U)</t>
  </si>
  <si>
    <t>210235A377H14A000018</t>
  </si>
  <si>
    <t>140607-2014-000159</t>
  </si>
  <si>
    <t>TK-F01-107-I11(20-20U)</t>
  </si>
  <si>
    <t>210235A377H139000111</t>
  </si>
  <si>
    <t>140607-2014-000161</t>
  </si>
  <si>
    <t>TK-F01-107-I11(30-30U)</t>
  </si>
  <si>
    <t>210235A0D1H137000324</t>
  </si>
  <si>
    <t>140607-2014-000146</t>
  </si>
  <si>
    <t>TK-F01-107-I11(41-41U)</t>
  </si>
  <si>
    <t>210235A377H14A000030</t>
  </si>
  <si>
    <t>140607-2014-000160</t>
  </si>
  <si>
    <t>TK-F01-107-I11(42-42U)</t>
  </si>
  <si>
    <t>210235A0D1H148000079</t>
  </si>
  <si>
    <t>140607-2014-000148</t>
  </si>
  <si>
    <t>TK-F01-107-I12(20-20U)</t>
  </si>
  <si>
    <t>210235A0D1H14A000050</t>
  </si>
  <si>
    <t>140607-2014-000149</t>
  </si>
  <si>
    <t>TK-F01-107-I12(21-21U)</t>
  </si>
  <si>
    <t>210235A0D1H149000217</t>
  </si>
  <si>
    <t>140607-2014-000150</t>
  </si>
  <si>
    <t>TK-F01-107-I12(22-22U)</t>
  </si>
  <si>
    <t>210235A377H14A000037</t>
  </si>
  <si>
    <t>140607-2014-000163</t>
  </si>
  <si>
    <t>TK-F01-107-I12(32-32U)</t>
  </si>
  <si>
    <t>21023A0D1H149000242</t>
  </si>
  <si>
    <t>140607-2014-000147</t>
  </si>
  <si>
    <t>TK-F01-107-I12(40-40U)</t>
  </si>
  <si>
    <t>210235A377H14A000017</t>
  </si>
  <si>
    <t>140607-2014-000162</t>
  </si>
  <si>
    <t>TK-F01-107-I12(41-41U)</t>
  </si>
  <si>
    <t>210235A0D1H14A000078</t>
  </si>
  <si>
    <t>140607-2014-000151</t>
  </si>
  <si>
    <t>TK-F01-107-I13(22-22U)</t>
  </si>
  <si>
    <t>210235A0D1H149000170</t>
  </si>
  <si>
    <t>140607-2014-000152</t>
  </si>
  <si>
    <t>TK-F01-107-I13(21-21U)</t>
  </si>
  <si>
    <t>210235A0D1H13A000077</t>
  </si>
  <si>
    <t>140607-2014-000181</t>
  </si>
  <si>
    <t>TK-F01-107-I14(21-21U)</t>
  </si>
  <si>
    <t>210235A0D1H138000064</t>
  </si>
  <si>
    <t>140607-2014-000154</t>
  </si>
  <si>
    <t>TK-F01-107-I14(22-22U)</t>
  </si>
  <si>
    <t>210235A0D1H39000013</t>
  </si>
  <si>
    <t>140607-2014-000182</t>
  </si>
  <si>
    <t>TK-F01-107-I14(40-40U)</t>
  </si>
  <si>
    <t>210235A0D1H148000133</t>
  </si>
  <si>
    <t>140607-2014-000153</t>
  </si>
  <si>
    <t>TK-F01-107-I14(41-41U)</t>
  </si>
  <si>
    <t>140607-2014-000180</t>
  </si>
  <si>
    <t>TK-F01-107-I14(9-10U)</t>
  </si>
  <si>
    <t>永达 YD-SC1000</t>
  </si>
  <si>
    <t>YD-SC10004B07F9360</t>
  </si>
  <si>
    <t>140607-2014-000057</t>
  </si>
  <si>
    <t>TK-F01-107-I6 柜门组件</t>
  </si>
  <si>
    <t>210235A36TH148000257</t>
  </si>
  <si>
    <t>140607-2014-000035</t>
  </si>
  <si>
    <t>TK-F01-107-I6(22-22U)</t>
  </si>
  <si>
    <t>210235A0D1H149000215</t>
  </si>
  <si>
    <t>140607-2014-000034</t>
  </si>
  <si>
    <t>TK-F01-107-I6(21-21U)</t>
  </si>
  <si>
    <t>210235A377H148000117</t>
  </si>
  <si>
    <t>140607-2014-000039</t>
  </si>
  <si>
    <t>TK-F01-107-I6(24-24U)</t>
  </si>
  <si>
    <t>210235A377H139000129</t>
  </si>
  <si>
    <t>140607-2014-000038</t>
  </si>
  <si>
    <t>TK-F01-107-I6(25-25U)</t>
  </si>
  <si>
    <t>AFW20004B07F9360</t>
  </si>
  <si>
    <t>140607-2014-000022</t>
  </si>
  <si>
    <t>TK-F01-107-I6(27-27U)</t>
  </si>
  <si>
    <t>210235A36TH148000242</t>
  </si>
  <si>
    <t>140607-2014-000032</t>
  </si>
  <si>
    <t>TK-F01-107-I6(29-29U)</t>
  </si>
  <si>
    <t>210235A36TH148000093</t>
  </si>
  <si>
    <t>140607-2014-000033</t>
  </si>
  <si>
    <t>TK-F01-107-I6(28-28U)</t>
  </si>
  <si>
    <t>210235A0D1H138000045</t>
  </si>
  <si>
    <t>140607-2014-000036</t>
  </si>
  <si>
    <t>TK-F01-107-I6(31-31U)</t>
  </si>
  <si>
    <t>210235A0D1H14A000016</t>
  </si>
  <si>
    <t>140607-2014-000029</t>
  </si>
  <si>
    <t>TK-F01-107-I7(23-23U)</t>
  </si>
  <si>
    <t>210235A36TH148000245</t>
  </si>
  <si>
    <t>140607-2014-000028</t>
  </si>
  <si>
    <t>TK-F01-107-I7(24-24U)</t>
  </si>
  <si>
    <t>210235A377H139000126</t>
  </si>
  <si>
    <t>140607-2014-000156</t>
  </si>
  <si>
    <t>TK-F01-107-I7(26-26U)</t>
  </si>
  <si>
    <t>140607-2014-000155</t>
  </si>
  <si>
    <t>TK-F01-107-I7(27-27U)</t>
  </si>
  <si>
    <t>210235A36TH148000255</t>
  </si>
  <si>
    <t>140607-2014-000031</t>
  </si>
  <si>
    <t>TK-F01-107-I7(29-29U)</t>
  </si>
  <si>
    <t>210235A36TH148000207</t>
  </si>
  <si>
    <t>140607-2014-000037</t>
  </si>
  <si>
    <t>TK-F01-107-I7(30-30U)</t>
  </si>
  <si>
    <t>210235A0D1H149000018</t>
  </si>
  <si>
    <t>140607-2014-000030</t>
  </si>
  <si>
    <t>TK-F01-107-I7(37-37U)</t>
  </si>
  <si>
    <t>YD-SC42004B07F9360</t>
  </si>
  <si>
    <t>140607-2014-000041</t>
  </si>
  <si>
    <t>TK-F01-107-I7</t>
  </si>
  <si>
    <t>YD-SQY084B07F9360</t>
  </si>
  <si>
    <t>140607-2014-000056</t>
  </si>
  <si>
    <t>TK-F01-107-I7视频干扰器</t>
  </si>
  <si>
    <t>永达 AUK-32</t>
  </si>
  <si>
    <t>100个锁无序列号</t>
  </si>
  <si>
    <t>140607-2014-000054</t>
  </si>
  <si>
    <t>TK-F01-107-I8</t>
  </si>
  <si>
    <t>210235A0D1H149000159</t>
  </si>
  <si>
    <t>140607-2014-000138</t>
  </si>
  <si>
    <t>TK-F01-107-I8(10-10U)</t>
  </si>
  <si>
    <t>210235A0D1H14A000028</t>
  </si>
  <si>
    <t>140607-2014-000176</t>
  </si>
  <si>
    <t>TK-F01-107-I8(34-34U)</t>
  </si>
  <si>
    <t>210235A0D1H139000112</t>
  </si>
  <si>
    <t>140607-2014-000175</t>
  </si>
  <si>
    <t>TK-F01-107-I8(35-35U)</t>
  </si>
  <si>
    <t>140607-2014-000084</t>
  </si>
  <si>
    <t>TK-F01-107-I8(14-15U)</t>
  </si>
  <si>
    <t>210235A0D1H139000092</t>
  </si>
  <si>
    <t>140607-2014-000137</t>
  </si>
  <si>
    <t>TK-F01-107-I8(9-9U)</t>
  </si>
  <si>
    <t>210235A0D1H149000162</t>
  </si>
  <si>
    <t>140607-2014-000139</t>
  </si>
  <si>
    <t>TK-F01-107-I9(21-21U)</t>
  </si>
  <si>
    <t>210235A0D1H149000034</t>
  </si>
  <si>
    <t>140607-2014-000142</t>
  </si>
  <si>
    <t>TK-F01-107-I9(22-22U)</t>
  </si>
  <si>
    <t>210235A0D1H138000051</t>
  </si>
  <si>
    <t>140607-2014-000140</t>
  </si>
  <si>
    <t>TK-F01-107-I9(41-41U)</t>
  </si>
  <si>
    <t>210235A0D1H14A000060</t>
  </si>
  <si>
    <t>140607-2014-000141</t>
  </si>
  <si>
    <t>TK-F01-107-I9(42-42U)</t>
  </si>
  <si>
    <t>41611354</t>
  </si>
  <si>
    <t>140504-2017-000012</t>
  </si>
  <si>
    <t>TK-F01-108-K2(31-32U)</t>
  </si>
  <si>
    <t>41611371</t>
  </si>
  <si>
    <t>140504-2017-000013</t>
  </si>
  <si>
    <t>TK-F01-108-K2(33-34U)</t>
  </si>
  <si>
    <t>ASG1000III2EDF25289B</t>
  </si>
  <si>
    <t>140607-2014-000185</t>
  </si>
  <si>
    <t>TK-F02-226-A5(9-10U)</t>
  </si>
  <si>
    <t>YD-SC42004B07F9363</t>
  </si>
  <si>
    <t>140607-2014-000044</t>
  </si>
  <si>
    <t>TK-永达库房</t>
  </si>
  <si>
    <t>YD-SC42004B07F9361</t>
  </si>
  <si>
    <t>140607-2014-000042</t>
  </si>
  <si>
    <t>永达：人工智能切换系统</t>
  </si>
  <si>
    <t>YD-SC10002EE51B0994</t>
  </si>
  <si>
    <t>140607-2014-000234</t>
  </si>
  <si>
    <t>WQ-F04-T8-C01(23-23U)</t>
  </si>
  <si>
    <t>YD-SDB3000S2EE519F821</t>
  </si>
  <si>
    <t>140607-2014-000250</t>
  </si>
  <si>
    <t>WQ-F04-T8-C02(12-15U)</t>
  </si>
  <si>
    <t>YD-SC10002EE51B0992</t>
  </si>
  <si>
    <t>140607-2014-000236</t>
  </si>
  <si>
    <t>WQ-F04-T8-C02(23-23U)</t>
  </si>
  <si>
    <t>永达AFW2000S</t>
  </si>
  <si>
    <t>YD-AFW2000S2EF0F4XA32</t>
  </si>
  <si>
    <t>140601-2016-000002</t>
  </si>
  <si>
    <t>XD-B02-KF-D03(28-28U)</t>
  </si>
  <si>
    <t>YD-AFW2000S2EF0F4XA31</t>
  </si>
  <si>
    <t>140601-2016-000001</t>
  </si>
  <si>
    <t>XD-B02-KF-D03(30-30U)</t>
  </si>
  <si>
    <t>31412130</t>
  </si>
  <si>
    <t>140504-2016-000003</t>
  </si>
  <si>
    <t>XD-B02-KF-D03(32-33U)</t>
  </si>
  <si>
    <t>31001327-1</t>
  </si>
  <si>
    <t>140504-2016-000002</t>
  </si>
  <si>
    <t>XD-B02-KF-D03(35-36U)</t>
  </si>
  <si>
    <t>永达客票交易安全隔离与信息交换</t>
  </si>
  <si>
    <t>ASG10002ED328EBD2</t>
  </si>
  <si>
    <t>140609-2011-000075</t>
  </si>
  <si>
    <t>XD-B02-KF-F11(12-13U)</t>
  </si>
  <si>
    <t>ASG10002ED328EBD6</t>
  </si>
  <si>
    <t>140609-2011-000074</t>
  </si>
  <si>
    <t>XD-B02-KF-F11(15-16U)</t>
  </si>
  <si>
    <t>永达客票安全交换机</t>
  </si>
  <si>
    <t>210235AD01H10B000010</t>
  </si>
  <si>
    <t>140609-2011-000092</t>
  </si>
  <si>
    <t>XD-B02-KF-F11(18-18U)</t>
  </si>
  <si>
    <t>210235AD01H10B000031</t>
  </si>
  <si>
    <t>140609-2011-000091</t>
  </si>
  <si>
    <t>XD-B02-KF-F11(20-20U)</t>
  </si>
  <si>
    <t>210235AD01H10B000082</t>
  </si>
  <si>
    <t>140609-2011-000090</t>
  </si>
  <si>
    <t>XD-B02-KF-F11(22-22U)</t>
  </si>
  <si>
    <t>永达支付交易安全接入子系统</t>
  </si>
  <si>
    <t>06LCD23</t>
  </si>
  <si>
    <t>140609-2011-000081</t>
  </si>
  <si>
    <t>XD-B02-KF-F11(24-25U)</t>
  </si>
  <si>
    <t>06LCD06</t>
  </si>
  <si>
    <t>140609-2011-000080</t>
  </si>
  <si>
    <t>XD-B02-KF-F11(27-28U)</t>
  </si>
  <si>
    <t>永达 客票交易安全接入子系统</t>
  </si>
  <si>
    <t>06LCD12</t>
  </si>
  <si>
    <t>140609-2011-000073</t>
  </si>
  <si>
    <t>XD-B02-KF-F11(30-31U)</t>
  </si>
  <si>
    <t>06LCD08</t>
  </si>
  <si>
    <t>140609-2011-000072</t>
  </si>
  <si>
    <t>XD-B02-KF-F11(33-34U)</t>
  </si>
  <si>
    <t>210235AD01H10B000121</t>
  </si>
  <si>
    <t>140609-2011-000089</t>
  </si>
  <si>
    <t>XD-B02-KF-F11(36-36U)</t>
  </si>
  <si>
    <t>ASG10002ED2EB1F90</t>
  </si>
  <si>
    <t>140609-2011-000077</t>
  </si>
  <si>
    <t>XD-B02-KF-F11(6-7U)</t>
  </si>
  <si>
    <t>ASG10002ED328EBD5</t>
  </si>
  <si>
    <t>140609-2011-000076</t>
  </si>
  <si>
    <t>XD-B02-KF-F11(9-10U)</t>
  </si>
  <si>
    <t>永达支付交易安全隔离与信息交换</t>
  </si>
  <si>
    <t>ASG10002ED328EBD3</t>
  </si>
  <si>
    <t>140609-2011-000083</t>
  </si>
  <si>
    <t>XD-B02-KF-F12(12-13U)</t>
  </si>
  <si>
    <t>ASG10002ED328EBD4</t>
  </si>
  <si>
    <t>140609-2011-000082</t>
  </si>
  <si>
    <t>XD-B02-KF-F12(15-16U)</t>
  </si>
  <si>
    <t>210235AD01H10B000041</t>
  </si>
  <si>
    <t>140609-2011-000085</t>
  </si>
  <si>
    <t>XD-B02-KF-F12(18-18U)</t>
  </si>
  <si>
    <t>210235AD01H10B000026</t>
  </si>
  <si>
    <t>140609-2011-000086</t>
  </si>
  <si>
    <t>XD-B02-KF-F12(20-20U)</t>
  </si>
  <si>
    <t>210235AD01H10B000027</t>
  </si>
  <si>
    <t>140609-2011-000087</t>
  </si>
  <si>
    <t>XD-B02-KF-F12(22-22U)</t>
  </si>
  <si>
    <t>06LCD20</t>
  </si>
  <si>
    <t>140609-2011-000079</t>
  </si>
  <si>
    <t>XD-B02-KF-F12(24-25U)</t>
  </si>
  <si>
    <t>06NDA84</t>
  </si>
  <si>
    <t>140609-2011-000078</t>
  </si>
  <si>
    <t>XD-B02-KF-F12(27-28U)</t>
  </si>
  <si>
    <t>06LCC89</t>
  </si>
  <si>
    <t>140609-2011-000071</t>
  </si>
  <si>
    <t>XD-B02-KF-F12(30-31U)</t>
  </si>
  <si>
    <t>06LCD18</t>
  </si>
  <si>
    <t>140609-2011-000070</t>
  </si>
  <si>
    <t>XD-B02-KF-F12(33-34U)</t>
  </si>
  <si>
    <t>210235AD01H10B000122</t>
  </si>
  <si>
    <t>140609-2011-000088</t>
  </si>
  <si>
    <t>XD-B02-KF-F12(36-36U)</t>
  </si>
  <si>
    <t>HSA10002ED328EBD1</t>
  </si>
  <si>
    <t>140609-2011-000093</t>
  </si>
  <si>
    <t>XD-B02-KF-F12(6-7U)</t>
  </si>
  <si>
    <t>ASG10002ED328EBD8</t>
  </si>
  <si>
    <t>140609-2011-000084</t>
  </si>
  <si>
    <t>XD-B02-KF-F12(9-10U)</t>
  </si>
  <si>
    <t>YD-SC10002EE51B0991</t>
  </si>
  <si>
    <t>140607-2014-000233</t>
  </si>
  <si>
    <t>XD-B02-KF-G12(23-23U)</t>
  </si>
  <si>
    <t>永达 S5800－56C</t>
  </si>
  <si>
    <t>H119000066</t>
  </si>
  <si>
    <t>140609-2012-000056</t>
  </si>
  <si>
    <t>XD-B02-KP-B08(18-18U)</t>
  </si>
  <si>
    <t>永达 S5500－24P－SI</t>
  </si>
  <si>
    <t>H125000127</t>
  </si>
  <si>
    <t>140609-2012-000044</t>
  </si>
  <si>
    <t>XD-B02-KP-B08(22-22U)</t>
  </si>
  <si>
    <t>H119000573</t>
  </si>
  <si>
    <t>140609-2012-000055</t>
  </si>
  <si>
    <t>XD-B02-KP-B08(39-39U)</t>
  </si>
  <si>
    <t>H126000111</t>
  </si>
  <si>
    <t>140609-2012-000043</t>
  </si>
  <si>
    <t>XD-B02-KP-B08(41-41U)</t>
  </si>
  <si>
    <t>140609-2012-000046</t>
  </si>
  <si>
    <t>XD-B02-KP-B09(21-21U)</t>
  </si>
  <si>
    <t>H12500084</t>
  </si>
  <si>
    <t>140609-2012-000045</t>
  </si>
  <si>
    <t>XD-B02-KP-B09(25-25U)</t>
  </si>
  <si>
    <t>H126000122</t>
  </si>
  <si>
    <t>140609-2012-000052</t>
  </si>
  <si>
    <t>XD-B02-KP-B09(39-41U)</t>
  </si>
  <si>
    <t>H126000473</t>
  </si>
  <si>
    <t>140609-2012-000054</t>
  </si>
  <si>
    <t>XD-B02-KP-B09(41-41U)</t>
  </si>
  <si>
    <t>H126000176</t>
  </si>
  <si>
    <t>140609-2012-000049</t>
  </si>
  <si>
    <t>XD-B02-KP-B10(21-21U)</t>
  </si>
  <si>
    <t>H126000147</t>
  </si>
  <si>
    <t>140609-2012-000050</t>
  </si>
  <si>
    <t>XD-B02-KP-B10(25-25U)</t>
  </si>
  <si>
    <t>H126000157</t>
  </si>
  <si>
    <t>140609-2012-000047</t>
  </si>
  <si>
    <t>XD-B02-KP-B10(39-39U)</t>
  </si>
  <si>
    <t>H126000126</t>
  </si>
  <si>
    <t>140609-2012-000048</t>
  </si>
  <si>
    <t>XD-B02-KP-B10(41-41U)</t>
  </si>
  <si>
    <t>H1190000473</t>
  </si>
  <si>
    <t>140609-2012-000058</t>
  </si>
  <si>
    <t>XD-B02-KP-B11(18-18U)</t>
  </si>
  <si>
    <t>H126000129</t>
  </si>
  <si>
    <t>140609-2012-000053</t>
  </si>
  <si>
    <t>XD-B02-KP-B11(22-22U)</t>
  </si>
  <si>
    <t>H119000530</t>
  </si>
  <si>
    <t>140609-2012-000057</t>
  </si>
  <si>
    <t>XD-B02-KP-B11(39-39U)</t>
  </si>
  <si>
    <t>140609-2012-000051</t>
  </si>
  <si>
    <t>XD-B02-KP-B11(41-41U)</t>
  </si>
  <si>
    <t>其他设备</t>
  </si>
  <si>
    <t>永达 ASG1000-I</t>
  </si>
  <si>
    <t>ASG10002ED2CDAC74</t>
  </si>
  <si>
    <t>141009-2011-000143</t>
  </si>
  <si>
    <t>XD-B02-KP-C05(10-11U)</t>
  </si>
  <si>
    <t>ASG1000112EEB00BDF2</t>
  </si>
  <si>
    <t>141009-2011-000144</t>
  </si>
  <si>
    <t>XD-B02-KP-C05(12-13U)</t>
  </si>
  <si>
    <t>LVS2000E2ECCD66BE1</t>
  </si>
  <si>
    <t>140504-2011-000325</t>
  </si>
  <si>
    <t>XD-B02-KP-C05(15-16U)</t>
  </si>
  <si>
    <t>永达 安全交换机</t>
  </si>
  <si>
    <t>210235A04QH098000493</t>
  </si>
  <si>
    <t>140502-2011-000557</t>
  </si>
  <si>
    <t>XD-B02-KP-C05(18-18U)</t>
  </si>
  <si>
    <t>LVS2000E2ED2BDCDF6</t>
  </si>
  <si>
    <t>140504-2011-000324</t>
  </si>
  <si>
    <t>XD-B02-KP-C05(20-21U)</t>
  </si>
  <si>
    <t>210235A04QH098000323</t>
  </si>
  <si>
    <t>140502-2011-000558</t>
  </si>
  <si>
    <t>XD-B02-KP-C05(23-23U)</t>
  </si>
  <si>
    <t>99R1866</t>
  </si>
  <si>
    <t>140103-2011-000323</t>
  </si>
  <si>
    <t>XD-B02-KP-C05(24-25U)</t>
  </si>
  <si>
    <t>永达 支付交易安全接入子系统</t>
  </si>
  <si>
    <t>IBM3650M22ECCD66BE2</t>
  </si>
  <si>
    <t>140103-2011-000327</t>
  </si>
  <si>
    <t>XD-B02-KP-C05(26-27U)</t>
  </si>
  <si>
    <t>140103-2011-000326</t>
  </si>
  <si>
    <t>XD-B02-KP-C05(29-30U)</t>
  </si>
  <si>
    <t>99R1863</t>
  </si>
  <si>
    <t>140103-2011-000322</t>
  </si>
  <si>
    <t>XD-B02-KP-C05(33-34U)</t>
  </si>
  <si>
    <t>LVS2000E2ECCD66BE2</t>
  </si>
  <si>
    <t>140504-2011-000323</t>
  </si>
  <si>
    <t>XD-B02-KP-C05(36-37U)</t>
  </si>
  <si>
    <t>210235A04QH098000369</t>
  </si>
  <si>
    <t>140502-2011-000559</t>
  </si>
  <si>
    <t>XD-B02-KP-C05(39-39U)</t>
  </si>
  <si>
    <t>210235A04QH098000320</t>
  </si>
  <si>
    <t>140502-2011-000560</t>
  </si>
  <si>
    <t>XD-B02-KP-C05(41-41U)</t>
  </si>
  <si>
    <t>ASG10002ED2CDAC72</t>
  </si>
  <si>
    <t>141009-2011-000141</t>
  </si>
  <si>
    <t>XD-B02-KP-C05(4-5U)</t>
  </si>
  <si>
    <t>ASG10002ED2CDAC73</t>
  </si>
  <si>
    <t>141009-2011-000142</t>
  </si>
  <si>
    <t>XD-B02-KP-C05(6-7U)</t>
  </si>
  <si>
    <t>ASG10002ED29FBEB2</t>
  </si>
  <si>
    <t>141009-2011-000147</t>
  </si>
  <si>
    <t>XD-B02-KP-C06(11-12U)</t>
  </si>
  <si>
    <t>ASG10002ED29FBEAA</t>
  </si>
  <si>
    <t>141009-2011-000148</t>
  </si>
  <si>
    <t>XD-B02-KP-C06(14-15U)</t>
  </si>
  <si>
    <t>210235A04QH098000038</t>
  </si>
  <si>
    <t>140502-2011-000561</t>
  </si>
  <si>
    <t>XD-B02-KP-C06(16-16U)</t>
  </si>
  <si>
    <t>LVS2000E2ED2BDCDF8</t>
  </si>
  <si>
    <t>140504-2011-000330</t>
  </si>
  <si>
    <t>XD-B02-KP-C06(17-18U)</t>
  </si>
  <si>
    <t>LVS2000E22ED2BDCDF1</t>
  </si>
  <si>
    <t>140504-2011-000327</t>
  </si>
  <si>
    <t>XD-B02-KP-C06(18-19U)</t>
  </si>
  <si>
    <t>210235A04QH098000151</t>
  </si>
  <si>
    <t>140502-2011-000562</t>
  </si>
  <si>
    <t>XD-B02-KP-C06(21-21U)</t>
  </si>
  <si>
    <t>99H5768</t>
  </si>
  <si>
    <t>140103-2011-000329</t>
  </si>
  <si>
    <t>XD-B02-KP-C06(23-24U)</t>
  </si>
  <si>
    <t>99H5772</t>
  </si>
  <si>
    <t>140103-2011-000328</t>
  </si>
  <si>
    <t>XD-B02-KP-C06(26-27U)</t>
  </si>
  <si>
    <t>99H5756</t>
  </si>
  <si>
    <t>140103-2011-000325</t>
  </si>
  <si>
    <t>XD-B02-KP-C06(29-30U)</t>
  </si>
  <si>
    <t>99H5765</t>
  </si>
  <si>
    <t>140103-2011-000324</t>
  </si>
  <si>
    <t>XD-B02-KP-C06(32-33U)</t>
  </si>
  <si>
    <t>LVS2000E22ED2BDCDF2</t>
  </si>
  <si>
    <t>140504-2011-000326</t>
  </si>
  <si>
    <t>XD-B02-KP-C06(35-36U)</t>
  </si>
  <si>
    <t>210235A04QH098000147</t>
  </si>
  <si>
    <t>140502-2011-000563</t>
  </si>
  <si>
    <t>XD-B02-KP-C06(38-38U)</t>
  </si>
  <si>
    <t>210235A04QH098000325</t>
  </si>
  <si>
    <t>140502-2011-000564</t>
  </si>
  <si>
    <t>XD-B02-KP-C06(40-40U)</t>
  </si>
  <si>
    <t>ASG10002ED29FBEA5</t>
  </si>
  <si>
    <t>141009-2011-000145</t>
  </si>
  <si>
    <t>XD-B02-KP-C06(6-7U)</t>
  </si>
  <si>
    <t>ASG10002ED29FBEAB</t>
  </si>
  <si>
    <t>141009-2011-000146</t>
  </si>
  <si>
    <t>XD-B02-KP-C06(9-10U)</t>
  </si>
  <si>
    <t>永达 光纤交换机</t>
  </si>
  <si>
    <t>108723T</t>
  </si>
  <si>
    <t>140201-2011-000175</t>
  </si>
  <si>
    <t>XD-B02-KP-C07(9-9U)</t>
  </si>
  <si>
    <t>永达 数据库服务器</t>
  </si>
  <si>
    <t>99B5739</t>
  </si>
  <si>
    <t>140103-2011-000330</t>
  </si>
  <si>
    <t>XD-B02-KP-C07(14-17U)</t>
  </si>
  <si>
    <t>2ECD4385A0</t>
  </si>
  <si>
    <t>140108-2011-000019</t>
  </si>
  <si>
    <t>XD-B02-KP-C07(22-25U)</t>
  </si>
  <si>
    <t>2ECD43859A</t>
  </si>
  <si>
    <t>140108-2011-000018</t>
  </si>
  <si>
    <t>XD-B02-KP-C07(27-30U)</t>
  </si>
  <si>
    <t>LVS2000E2ED2DBCDF4</t>
  </si>
  <si>
    <t>140504-2011-000329</t>
  </si>
  <si>
    <t>XD-B02-KP-C07(33-34U)</t>
  </si>
  <si>
    <t>LVS2000E2ED2DBCDF7</t>
  </si>
  <si>
    <t>140504-2011-000328</t>
  </si>
  <si>
    <t>XD-B02-KP-C07(35-36U)</t>
  </si>
  <si>
    <t>210235A04QH098000079</t>
  </si>
  <si>
    <t>140502-2011-000565</t>
  </si>
  <si>
    <t>XD-B02-KP-C07(42-42U)</t>
  </si>
  <si>
    <t>永达 数据存储设备</t>
  </si>
  <si>
    <t>78K0P1Y</t>
  </si>
  <si>
    <t>140201-2011-000174</t>
  </si>
  <si>
    <t>XD-B02-KP-C07(4-5U)</t>
  </si>
  <si>
    <t>108719H</t>
  </si>
  <si>
    <t>140201-2011-000176</t>
  </si>
  <si>
    <t>XD-B02-KP-C07(10-10U)</t>
  </si>
  <si>
    <t>99B5742</t>
  </si>
  <si>
    <t>140103-2011-000331</t>
  </si>
  <si>
    <t>XD-B02-KP-C07(9-12U)</t>
  </si>
  <si>
    <t>永达安全系统机柜</t>
  </si>
  <si>
    <t>1-5-7</t>
  </si>
  <si>
    <t>140608-2014-000008</t>
  </si>
  <si>
    <t>XD-B02-KP-C09</t>
  </si>
  <si>
    <t>YD-AFW2000-12EDD7CBE1</t>
  </si>
  <si>
    <t>140601-2014-000007</t>
  </si>
  <si>
    <t>XD-B02-KP-C09(34-34U)</t>
  </si>
  <si>
    <t>ASG1000-III2EF690CB61</t>
  </si>
  <si>
    <t>140605-2014-000034</t>
  </si>
  <si>
    <t>XD-B02-KP-C09(14-15U)</t>
  </si>
  <si>
    <t>永达网闸ASG1000</t>
  </si>
  <si>
    <t>ASG10002ED2EB1F92</t>
  </si>
  <si>
    <t>140514-2011-001097</t>
  </si>
  <si>
    <t>XD-B02-KP-C09(16-17U)</t>
  </si>
  <si>
    <t>永达 YD-SGW3000B(网关)</t>
  </si>
  <si>
    <t>YDSGW3000B4B07F9360</t>
  </si>
  <si>
    <t>140608-2014-000005</t>
  </si>
  <si>
    <t>XD-B02-KP-C09(19-20U)</t>
  </si>
  <si>
    <t>永达 YD-SW1G-24-2F(交换机)</t>
  </si>
  <si>
    <t>210235A0D1H149000065</t>
  </si>
  <si>
    <t>140608-2014-000006</t>
  </si>
  <si>
    <t>XD-B02-KP-C09(30-30U)</t>
  </si>
  <si>
    <t>210235A0D1H14A000175</t>
  </si>
  <si>
    <t>140608-2014-000007</t>
  </si>
  <si>
    <t>XD-B02-KP-C09(32-32U)</t>
  </si>
  <si>
    <t>YD-NSDS3000B4B07F9361</t>
  </si>
  <si>
    <t>140608-2014-000003</t>
  </si>
  <si>
    <t>XD-B02-KP-C09(6-6U)</t>
  </si>
  <si>
    <t>YD-NSDS3000B4B07F9363</t>
  </si>
  <si>
    <t>140608-2014-000004</t>
  </si>
  <si>
    <t>XD-B02-KP-C09(8-8U)</t>
  </si>
  <si>
    <t>RadwareAlteon-NG 6024 - 30G</t>
  </si>
  <si>
    <t>41609101</t>
  </si>
  <si>
    <t>140503-2017-000004</t>
  </si>
  <si>
    <t>XD-B03-BY-C09(32-33U)</t>
  </si>
  <si>
    <t>41609102</t>
  </si>
  <si>
    <t>140503-2017-000003</t>
  </si>
  <si>
    <t>XD-B03-BY-C09(34-35U)</t>
  </si>
  <si>
    <t>YD-SC10002EE51B0993</t>
  </si>
  <si>
    <t>140607-2014-000235</t>
  </si>
  <si>
    <t>XD-F02-KF-E08(22-22U)</t>
  </si>
  <si>
    <t>140605-2014-000033</t>
  </si>
  <si>
    <t>北京局铁通机房</t>
  </si>
  <si>
    <t>永达YDKPJGS2</t>
  </si>
  <si>
    <t>F4CA32</t>
  </si>
  <si>
    <t>140608-2016-000001</t>
  </si>
  <si>
    <t>永达YDKPKVMJ8</t>
  </si>
  <si>
    <t>YD-KPKVMJ82EFOF4CA31</t>
  </si>
  <si>
    <t>140608-2016-000004</t>
  </si>
  <si>
    <t>210235A3SVH19B000004</t>
  </si>
  <si>
    <t>140901-2019-000079</t>
  </si>
  <si>
    <t>WQ-F04-T5-B08(08-19U)</t>
  </si>
  <si>
    <t>210235A3SVH19B000010</t>
  </si>
  <si>
    <t>140901-2019-000080</t>
  </si>
  <si>
    <t>WQ-F04-T5-B09(08-19U)</t>
  </si>
  <si>
    <t>210235A3SVH19B000006</t>
  </si>
  <si>
    <t>140901-2019-000081</t>
  </si>
  <si>
    <t>WQ-F04-T5-B10(08-19U)</t>
  </si>
  <si>
    <t>210235A3SVH19A000012</t>
  </si>
  <si>
    <t>140901-2019-000069</t>
  </si>
  <si>
    <t>WQ-F04-T5-H02(08-19U)</t>
  </si>
  <si>
    <t>210235A3SVH199000018</t>
  </si>
  <si>
    <t>140901-2019-000070</t>
  </si>
  <si>
    <t>WQ-F04-T5-H03(08-19U)</t>
  </si>
  <si>
    <t>210235A3SVH19B000007</t>
  </si>
  <si>
    <t>140901-2019-000071</t>
  </si>
  <si>
    <t>WQ-F04-T5-H04(08-19U)</t>
  </si>
  <si>
    <t>210235A3SVH19B000003</t>
  </si>
  <si>
    <t>140901-2019-000072</t>
  </si>
  <si>
    <t>WQ-F04-T5-H05(08-19U)</t>
  </si>
  <si>
    <t>210235A3SVH199000009</t>
  </si>
  <si>
    <t>140901-2019-000073</t>
  </si>
  <si>
    <t>WQ-F04-T5-H06(08-19U)</t>
  </si>
  <si>
    <t>210235A3SVH19A000002</t>
  </si>
  <si>
    <t>140901-2019-000074</t>
  </si>
  <si>
    <t>WQ-F04-T5-H07(08-19U)</t>
  </si>
  <si>
    <t>210235A3SVH19A000005</t>
  </si>
  <si>
    <t>140901-2019-000076</t>
  </si>
  <si>
    <t>WQ-F04-T5-H09(08-19U)</t>
  </si>
  <si>
    <t>210235A3SVH19B000001</t>
  </si>
  <si>
    <t>140901-2019-000077</t>
  </si>
  <si>
    <t>WQ-F04-T5-H10(08-19U)</t>
  </si>
  <si>
    <t>华为S5720-52X-SI</t>
  </si>
  <si>
    <t>2102350DLVDMGB000380</t>
  </si>
  <si>
    <t>140502-2016-000171</t>
  </si>
  <si>
    <t>XD-B03-YD-J06(14-14U)</t>
  </si>
  <si>
    <t>2102350DLVDMGB000364</t>
  </si>
  <si>
    <t>140502-2016-000167</t>
  </si>
  <si>
    <t>XD-B03-YD-J07(14-14U)</t>
  </si>
  <si>
    <t>210235A2CT620BF000C5</t>
  </si>
  <si>
    <t>140103-2020-000005</t>
  </si>
  <si>
    <t>WQ-F04-T8-B05(15-16U)</t>
  </si>
  <si>
    <t>210235A2CT620BF000C4</t>
  </si>
  <si>
    <t>140103-2020-000006</t>
  </si>
  <si>
    <t>WQ-F04-T8-B05(12-13U)</t>
  </si>
  <si>
    <t>210235A2CT620BF000C1</t>
  </si>
  <si>
    <t>140103-2020-000007</t>
  </si>
  <si>
    <t>WQ-F04-T8-B05(9-10U)</t>
  </si>
  <si>
    <t>210235A2CT620BF000BZ</t>
  </si>
  <si>
    <t>140103-2020-000008</t>
  </si>
  <si>
    <t>WQ-F04-T8-B05(6-7U)</t>
  </si>
  <si>
    <t>210235A2CT620BF000BY</t>
  </si>
  <si>
    <t>140103-2020-000009</t>
  </si>
  <si>
    <t>WQ-F04-T8-B05(3-4U)</t>
  </si>
  <si>
    <t>H3C S6800-54QF L3</t>
  </si>
  <si>
    <t>210235A2BBP20A000778</t>
  </si>
  <si>
    <t>140502-2020-000077</t>
  </si>
  <si>
    <t>WQ-F04-T8-B04(35-35U)</t>
  </si>
  <si>
    <t>210235A2BBP20A000754</t>
  </si>
  <si>
    <t>140502-2020-000078</t>
  </si>
  <si>
    <t>WQ-F04-T8-B04(32-32U)</t>
  </si>
  <si>
    <t>210235A2BBP20A00075M</t>
  </si>
  <si>
    <t>140502-2020-000079</t>
  </si>
  <si>
    <t>WQ-F04-T8-B04(23-23U)</t>
  </si>
  <si>
    <t>210235A2BBP20A00075G</t>
  </si>
  <si>
    <t>140502-2020-000080</t>
  </si>
  <si>
    <t>WQ-F04-T8-B04(20-20U)</t>
  </si>
  <si>
    <t>210235A3SUH19A000217</t>
  </si>
  <si>
    <t>140103-2019-000841</t>
  </si>
  <si>
    <t>XD-B01-TX-E02(03-14U)DP4-1</t>
  </si>
  <si>
    <t>210235A3SUH19A000213</t>
  </si>
  <si>
    <t>140103-2019-000842</t>
  </si>
  <si>
    <t>XD-B01-TX-E02(03-14U)DP4-2</t>
  </si>
  <si>
    <t>210235A3SUH19A000109</t>
  </si>
  <si>
    <t>140103-2019-000843</t>
  </si>
  <si>
    <t>XD-B01-TX-E02(03-14U)DP4-3</t>
  </si>
  <si>
    <t>210235A3SUH19A000343</t>
  </si>
  <si>
    <t>140103-2019-000844</t>
  </si>
  <si>
    <t>XD-B01-TX-E02(03-14U)DP4-4</t>
  </si>
  <si>
    <t>210235A3SUH19A000386</t>
  </si>
  <si>
    <t>140103-2019-000845</t>
  </si>
  <si>
    <t>XD-B01-TX-E02(03-14U)DP4-5</t>
  </si>
  <si>
    <t>210235A3SUH19A000322</t>
  </si>
  <si>
    <t>140103-2019-000846</t>
  </si>
  <si>
    <t>XD-B01-TX-E02(03-14U)DP4-6</t>
  </si>
  <si>
    <t>210235A3SUH19A000269</t>
  </si>
  <si>
    <t>140103-2019-000847</t>
  </si>
  <si>
    <t>XD-B01-TX-E02(03-14U)DP4-7</t>
  </si>
  <si>
    <t>210235A3SUH19A000113</t>
  </si>
  <si>
    <t>140103-2019-000848</t>
  </si>
  <si>
    <t>XD-B01-TX-E02(03-14U)DP4-8</t>
  </si>
  <si>
    <t>210235A3SUH19A000211</t>
  </si>
  <si>
    <t>140103-2019-000849</t>
  </si>
  <si>
    <t>XD-B01-TX-E02(03-14U)DP4-9</t>
  </si>
  <si>
    <t>210235A3SUH19A000342</t>
  </si>
  <si>
    <t>140103-2019-000850</t>
  </si>
  <si>
    <t>XD-B01-TX-E02(03-14U)DP4-10</t>
  </si>
  <si>
    <t>210235A3SUH19B000145</t>
  </si>
  <si>
    <t>140103-2019-000851</t>
  </si>
  <si>
    <t>XD-B01-TX-E02(03-14U)DP4-11</t>
  </si>
  <si>
    <t>210235A3SUH19B000097</t>
  </si>
  <si>
    <t>140103-2019-000852</t>
  </si>
  <si>
    <t>XD-B01-TX-E02(03-14U)DP4-16</t>
  </si>
  <si>
    <t>J301D841</t>
  </si>
  <si>
    <t>140103-2019-000853</t>
  </si>
  <si>
    <t>XD-B01-TX-E01(34-35U)</t>
  </si>
  <si>
    <t>J301D840</t>
  </si>
  <si>
    <t>140103-2019-000854</t>
  </si>
  <si>
    <t>XD-B01-TX-E02(34-35U)</t>
  </si>
  <si>
    <t>显示设备</t>
  </si>
  <si>
    <t>其他显示设备</t>
  </si>
  <si>
    <t>德讯 DS1716K</t>
  </si>
  <si>
    <t>1103201798</t>
  </si>
  <si>
    <t>140403-2019-000009</t>
  </si>
  <si>
    <t>XD-B01-TX-D01(20-20U)</t>
  </si>
  <si>
    <t>210235A3SUH19A000162</t>
  </si>
  <si>
    <t>140103-2019-000855</t>
  </si>
  <si>
    <t>XD-B01-TX-F02(03-14U)DP7-1</t>
  </si>
  <si>
    <t>210235A3SUH19A000160</t>
  </si>
  <si>
    <t>140103-2019-000856</t>
  </si>
  <si>
    <t>XD-B01-TX-F02(03-14U)DP7-2</t>
  </si>
  <si>
    <t>210235A3SUH19A000194</t>
  </si>
  <si>
    <t>140103-2019-000857</t>
  </si>
  <si>
    <t>XD-B01-TX-F02(03-14U)DP7-3</t>
  </si>
  <si>
    <t>210235A3SUH19A000291</t>
  </si>
  <si>
    <t>140103-2019-000858</t>
  </si>
  <si>
    <t>XD-B01-TX-F02(03-14U)DP7-4</t>
  </si>
  <si>
    <t>210235A3SUH19A000271</t>
  </si>
  <si>
    <t>140103-2019-000859</t>
  </si>
  <si>
    <t>XD-B01-TX-F02(03-14U)DP7-5</t>
  </si>
  <si>
    <t>210235A3SUH19A000157</t>
  </si>
  <si>
    <t>140103-2019-000860</t>
  </si>
  <si>
    <t>XD-B01-TX-F02(03-14U)DP7-6</t>
  </si>
  <si>
    <t>210235A3SUH19A000290</t>
  </si>
  <si>
    <t>140103-2019-000861</t>
  </si>
  <si>
    <t>XD-B01-TX-F02(03-14U)DP7-7</t>
  </si>
  <si>
    <t>210235A3SUH19A000202</t>
  </si>
  <si>
    <t>140103-2019-000862</t>
  </si>
  <si>
    <t>XD-B01-TX-F02(03-14U)DP7-8</t>
  </si>
  <si>
    <t>210235A3SUH19A000195</t>
  </si>
  <si>
    <t>140103-2019-000863</t>
  </si>
  <si>
    <t>XD-B01-TX-F02(03-14U)DP7-9</t>
  </si>
  <si>
    <t>210235A3SUH19A000183</t>
  </si>
  <si>
    <t>140103-2019-000864</t>
  </si>
  <si>
    <t>XD-B01-TX-F02(03-14U)DP7-10</t>
  </si>
  <si>
    <t>210235A3SUH19A000267</t>
  </si>
  <si>
    <t>140103-2019-000865</t>
  </si>
  <si>
    <t>XD-B01-TX-F02(03-14U)DP7-11</t>
  </si>
  <si>
    <t>210235A3SUH19A000196</t>
  </si>
  <si>
    <t>140103-2019-000866</t>
  </si>
  <si>
    <t>XD-B01-TX-F02(03-14U)DP7-12</t>
  </si>
  <si>
    <t>210235A3SUH19A000154</t>
  </si>
  <si>
    <t>140103-2019-000867</t>
  </si>
  <si>
    <t>XD-B01-TX-F02(03-14U)DP7-13</t>
  </si>
  <si>
    <t>210235A3SUH19A000197</t>
  </si>
  <si>
    <t>140103-2019-000868</t>
  </si>
  <si>
    <t>XD-B01-TX-F02(03-14U)DP7-14</t>
  </si>
  <si>
    <t>210235A3SUH19A000331</t>
  </si>
  <si>
    <t>140103-2019-000869</t>
  </si>
  <si>
    <t>XD-B01-TX-F03(03-14U)DP8-1</t>
  </si>
  <si>
    <t>210235A3SUH19A000216</t>
  </si>
  <si>
    <t>140103-2019-000870</t>
  </si>
  <si>
    <t>XD-B01-TX-F03(03-14U)DP8-2</t>
  </si>
  <si>
    <t>210235A3SUH19A000134</t>
  </si>
  <si>
    <t>140103-2019-000871</t>
  </si>
  <si>
    <t>XD-B01-TX-F03(03-14U)DP8-3</t>
  </si>
  <si>
    <t>210235A3SUH19A000301</t>
  </si>
  <si>
    <t>140103-2019-000872</t>
  </si>
  <si>
    <t>XD-B01-TX-F03(03-14U)DP8-4</t>
  </si>
  <si>
    <t>210235A3SUH19A000099</t>
  </si>
  <si>
    <t>140103-2019-000873</t>
  </si>
  <si>
    <t>XD-B01-TX-F03(03-14U)DP8-5</t>
  </si>
  <si>
    <t>210235A3SUH19A000337</t>
  </si>
  <si>
    <t>140103-2019-000874</t>
  </si>
  <si>
    <t>XD-B01-TX-F03(03-14U)DP8-6</t>
  </si>
  <si>
    <t>210235A3SUH19A000221</t>
  </si>
  <si>
    <t>140103-2019-000875</t>
  </si>
  <si>
    <t>XD-B01-TX-F03(03-14U)DP8-7</t>
  </si>
  <si>
    <t>210235A3SUH19A000186</t>
  </si>
  <si>
    <t>140103-2019-000876</t>
  </si>
  <si>
    <t>XD-B01-TX-F03(03-14U)DP8-8</t>
  </si>
  <si>
    <t>210235A3SUH19A000333</t>
  </si>
  <si>
    <t>140103-2019-000877</t>
  </si>
  <si>
    <t>XD-B01-TX-F03(03-14U)DP8-9</t>
  </si>
  <si>
    <t>210235A3SUH19A000369</t>
  </si>
  <si>
    <t>140103-2019-000878</t>
  </si>
  <si>
    <t>XD-B01-TX-F03(03-14U)DP8-10</t>
  </si>
  <si>
    <t>210235A3SUH19A000373</t>
  </si>
  <si>
    <t>140103-2019-000879</t>
  </si>
  <si>
    <t>XD-B01-TX-F03(03-14U)DP8-11</t>
  </si>
  <si>
    <t>210235A3SUH19A000086</t>
  </si>
  <si>
    <t>140103-2019-000880</t>
  </si>
  <si>
    <t>XD-B01-TX-F03(03-14U)DP8-12</t>
  </si>
  <si>
    <t>联想 SR860</t>
  </si>
  <si>
    <t>J301DX29</t>
  </si>
  <si>
    <t>140103-2019-000881</t>
  </si>
  <si>
    <t>XD-B01-TX-E01(28-31U)</t>
  </si>
  <si>
    <t>J301DX25</t>
  </si>
  <si>
    <t>140103-2019-000882</t>
  </si>
  <si>
    <t>XD-B01-TX-E02(28-31U)</t>
  </si>
  <si>
    <t>J301DX26</t>
  </si>
  <si>
    <t>140103-2019-000883</t>
  </si>
  <si>
    <t>XD-B01-TX-E03(28-31U)</t>
  </si>
  <si>
    <t>J301DX1Z</t>
  </si>
  <si>
    <t>140103-2019-000884</t>
  </si>
  <si>
    <t>XD-B01-TX-E03(23-26U)</t>
  </si>
  <si>
    <t>J301DX20</t>
  </si>
  <si>
    <t>140103-2019-000885</t>
  </si>
  <si>
    <t>XD-B01-TX-D01(21-24U)</t>
  </si>
  <si>
    <t>J301DX22</t>
  </si>
  <si>
    <t>140103-2019-000886</t>
  </si>
  <si>
    <t>XD-B01-TX-D01(16-19U)</t>
  </si>
  <si>
    <t>J301DX21</t>
  </si>
  <si>
    <t>140103-2019-000887</t>
  </si>
  <si>
    <t>XD-B01-TX-E01(23-26U)</t>
  </si>
  <si>
    <t>J301DX23</t>
  </si>
  <si>
    <t>140103-2019-000888</t>
  </si>
  <si>
    <t>XD-B01-TX-E01(16-19U)</t>
  </si>
  <si>
    <t>J301DX2A</t>
  </si>
  <si>
    <t>140103-2019-000889</t>
  </si>
  <si>
    <t>XD-B01-TX-E02(23-26U)</t>
  </si>
  <si>
    <t>J301DX1Y</t>
  </si>
  <si>
    <t>140103-2019-000890</t>
  </si>
  <si>
    <t>XD-B01-TX-E02(16-19U)</t>
  </si>
  <si>
    <t>1103201828</t>
  </si>
  <si>
    <t>140403-2019-000010</t>
  </si>
  <si>
    <t>XD-B01-TX-E01(21-21U)</t>
  </si>
  <si>
    <t>1103201804</t>
  </si>
  <si>
    <t>140403-2019-000011</t>
  </si>
  <si>
    <t>XD-B01-TX-E02(21-21U)</t>
  </si>
  <si>
    <t>210235A3SUH19A000088</t>
  </si>
  <si>
    <t>140103-2019-000891</t>
  </si>
  <si>
    <t>XD-B01-TX-F03(03-14U)DP8-13</t>
  </si>
  <si>
    <t>210235A3SUH19A000277</t>
  </si>
  <si>
    <t>140103-2019-000892</t>
  </si>
  <si>
    <t>XD-B01-TX-F03(03-14U)DP8-14</t>
  </si>
  <si>
    <t>210235A3SUH19A000051</t>
  </si>
  <si>
    <t>140103-2019-000893</t>
  </si>
  <si>
    <t>XD-B01-TX-F03(03-14U)DP8-15</t>
  </si>
  <si>
    <t>210235A3SUH19A000169</t>
  </si>
  <si>
    <t>140103-2019-000894</t>
  </si>
  <si>
    <t>XD-B01-TX-F03(03-14U)DP8-16</t>
  </si>
  <si>
    <t>210235A3SUH19B000046</t>
  </si>
  <si>
    <t>140103-2019-000895</t>
  </si>
  <si>
    <t>XD-B01-TX-E02(03-14U)DP4-12</t>
  </si>
  <si>
    <t>210235A3SUH19B000033</t>
  </si>
  <si>
    <t>140103-2019-000896</t>
  </si>
  <si>
    <t>XD-B01-TX-E02(03-14U)DP4-13</t>
  </si>
  <si>
    <t>210235A3SUH19B000112</t>
  </si>
  <si>
    <t>140103-2019-000897</t>
  </si>
  <si>
    <t>XD-B01-TX-E02(03-14U)DP4-14</t>
  </si>
  <si>
    <t>210235A3SUH19B000116</t>
  </si>
  <si>
    <t>140103-2019-000898</t>
  </si>
  <si>
    <t>XD-B01-TX-E02(03-14U)DP4-15</t>
  </si>
  <si>
    <t>210235A3SUH19B000032</t>
  </si>
  <si>
    <t>140103-2019-000899</t>
  </si>
  <si>
    <t>XD-B01-TX-F02(03-14U)DP4-15</t>
  </si>
  <si>
    <t>210235A3SUH19B000017</t>
  </si>
  <si>
    <t>140103-2019-000900</t>
  </si>
  <si>
    <t>XD-B01-TX-F02(03-14U)DP4-16</t>
  </si>
  <si>
    <t>J301DX2B</t>
  </si>
  <si>
    <t>140103-2019-000901</t>
  </si>
  <si>
    <t>XD-B01-TX-E03(16-19U)</t>
  </si>
  <si>
    <t>J301DX24</t>
  </si>
  <si>
    <t>140103-2019-000902</t>
  </si>
  <si>
    <t>XD-B01-TX-F01(16-19U)</t>
  </si>
  <si>
    <t>J301DX28</t>
  </si>
  <si>
    <t>140103-2019-000903</t>
  </si>
  <si>
    <t>XD-B01-TX-F02(16-19U)</t>
  </si>
  <si>
    <t>J301DX27</t>
  </si>
  <si>
    <t>140103-2019-000904</t>
  </si>
  <si>
    <t>XD-B01-TX-F03(16-19U)</t>
  </si>
  <si>
    <t>新华三 S6861-54QF</t>
  </si>
  <si>
    <t>210235A3GLH19B000010</t>
  </si>
  <si>
    <t>140502-2019-000150</t>
  </si>
  <si>
    <t>XD-B01-TX-D01(41-41U)</t>
  </si>
  <si>
    <t>210235A3GLH19B000009</t>
  </si>
  <si>
    <t>140502-2019-000151</t>
  </si>
  <si>
    <t>XD-B01-TX-D01(38-38U)</t>
  </si>
  <si>
    <t>210235A3GLH19B000005</t>
  </si>
  <si>
    <t>140502-2019-000152</t>
  </si>
  <si>
    <t>XD-B01-TX-F03(41-41U)</t>
  </si>
  <si>
    <t>210235A3GLH19B000003</t>
  </si>
  <si>
    <t>140502-2019-000153</t>
  </si>
  <si>
    <t>XD-B01-TX-F03(38-38U)</t>
  </si>
  <si>
    <t>华为 S5720-52X-SI-AC</t>
  </si>
  <si>
    <t>2102350DLVDMK9000079</t>
  </si>
  <si>
    <t>140502-2019-000154</t>
  </si>
  <si>
    <t>XD-B02-KF-E07(29-29U)</t>
  </si>
  <si>
    <t>2102350DLVDMK8001583</t>
  </si>
  <si>
    <t>140502-2019-000155</t>
  </si>
  <si>
    <t>XD-B02-KF-E07(27-27U)</t>
  </si>
  <si>
    <t>2102350DLVDMK9000061</t>
  </si>
  <si>
    <t>140502-2019-000156</t>
  </si>
  <si>
    <t>XD-B02-KP-E06(38-38U)</t>
  </si>
  <si>
    <t>2102350DLVDMK9000107</t>
  </si>
  <si>
    <t>140502-2019-000157</t>
  </si>
  <si>
    <t>XD-B01-TX-F02(38-38U)</t>
  </si>
  <si>
    <t>YDTSA26501910240017</t>
  </si>
  <si>
    <t>140607-2019-000038</t>
  </si>
  <si>
    <t>XD-B02-KP-E04(32-33U)</t>
  </si>
  <si>
    <t>YDTSA26501910240020</t>
  </si>
  <si>
    <t>140607-2019-000039</t>
  </si>
  <si>
    <t>XD-B02-KP-E04(30-31U)</t>
  </si>
  <si>
    <t>YDTSA26501910240007</t>
  </si>
  <si>
    <t>140607-2019-000040</t>
  </si>
  <si>
    <t>XD-B02-KP-E04(28-29U)</t>
  </si>
  <si>
    <t>YDTSA26501910240012</t>
  </si>
  <si>
    <t>140607-2019-000041</t>
  </si>
  <si>
    <t>XD-B02-KP-E04(19-20U)</t>
  </si>
  <si>
    <t>YDTSA26501910240015</t>
  </si>
  <si>
    <t>140607-2019-000042</t>
  </si>
  <si>
    <t>XD-B02-KP-E04(17-18U)</t>
  </si>
  <si>
    <t>YDTSA26501910240014</t>
  </si>
  <si>
    <t>140607-2019-000043</t>
  </si>
  <si>
    <t>XD-B02-KP-E03(29-30U)</t>
  </si>
  <si>
    <t>YDTSA26501910240001</t>
  </si>
  <si>
    <t>140607-2019-000044</t>
  </si>
  <si>
    <t>XD-B02-KP-E02(33-34U)</t>
  </si>
  <si>
    <t>YDTSA26501910240019</t>
  </si>
  <si>
    <t>140607-2019-000045</t>
  </si>
  <si>
    <t>XD-B02-KP-E02(31-32U)</t>
  </si>
  <si>
    <t>YDTSA26501910240016</t>
  </si>
  <si>
    <t>140607-2019-000046</t>
  </si>
  <si>
    <t>XD-B02-KP-E03(33-34U)</t>
  </si>
  <si>
    <t>YDTSA26501910240013</t>
  </si>
  <si>
    <t>140607-2019-000047</t>
  </si>
  <si>
    <t>XD-B02-KP-E03(31-32U)</t>
  </si>
  <si>
    <t>永达 ASG1000-III</t>
  </si>
  <si>
    <t>ASG1000-III2F02D64621</t>
  </si>
  <si>
    <t>140607-2019-000048</t>
  </si>
  <si>
    <t>XD-B02-KP-E02(29-30U)</t>
  </si>
  <si>
    <t>ASG1000-III2F02D64622</t>
  </si>
  <si>
    <t>140607-2019-000049</t>
  </si>
  <si>
    <t>XD-B02-KP-E02(27-28U)</t>
  </si>
  <si>
    <t>ASG1000-III2F0289ACC1</t>
  </si>
  <si>
    <t>140607-2019-000050</t>
  </si>
  <si>
    <t>XD-B02-KP-E04(15-16U)</t>
  </si>
  <si>
    <t>ASG1000-III2F0289ACC2</t>
  </si>
  <si>
    <t>140607-2019-000051</t>
  </si>
  <si>
    <t>XD-B02-KP-E04(13-14U)</t>
  </si>
  <si>
    <t>永达 LVS2000S</t>
  </si>
  <si>
    <t>LVS2000S2F02B8D5E1</t>
  </si>
  <si>
    <t>140607-2019-000052</t>
  </si>
  <si>
    <t>XD-B02-KP-E02(37-38U)</t>
  </si>
  <si>
    <t>LVS2000S2F02B8D5E2</t>
  </si>
  <si>
    <t>140607-2019-000053</t>
  </si>
  <si>
    <t>XD-B02-KP-E03(37-38U)</t>
  </si>
  <si>
    <t>LVS2000S2F02B8D5E3</t>
  </si>
  <si>
    <t>140607-2019-000054</t>
  </si>
  <si>
    <t>XD-B02-KP-E02(35-36U)</t>
  </si>
  <si>
    <t>LVS2000S2F02B8D5E4</t>
  </si>
  <si>
    <t>140607-2019-000055</t>
  </si>
  <si>
    <t>XD-B02-KP-E03(35-36U)</t>
  </si>
  <si>
    <t>EME42802F027C3F46</t>
  </si>
  <si>
    <t>140607-2019-000056</t>
  </si>
  <si>
    <t>XD-B02-KP-E03(27-28U)</t>
  </si>
  <si>
    <t>永达 YD-SW10G-24</t>
  </si>
  <si>
    <t>YD-SW10-242F02D841F1</t>
  </si>
  <si>
    <t>140607-2019-000057</t>
  </si>
  <si>
    <t>XD-B02-KP-E02(41-41U)</t>
  </si>
  <si>
    <t>YD-SW10-242F02D841F2</t>
  </si>
  <si>
    <t>140607-2019-000058</t>
  </si>
  <si>
    <t>XD-B02-KP-E02(40-40U)</t>
  </si>
  <si>
    <t>YD-SW10-242F02D841F3</t>
  </si>
  <si>
    <t>140607-2019-000059</t>
  </si>
  <si>
    <t>XD-B02-KP-E02(25-25U)</t>
  </si>
  <si>
    <t>YD-SW10-242F02D841F4</t>
  </si>
  <si>
    <t>140607-2019-000060</t>
  </si>
  <si>
    <t>XD-B02-KP-E02(24-24U)</t>
  </si>
  <si>
    <t>YD-SW10-242F02D841F5</t>
  </si>
  <si>
    <t>140607-2019-000061</t>
  </si>
  <si>
    <t>XD-B02-KP-E03(41-41U)</t>
  </si>
  <si>
    <t>YD-SW10-242F02D841F9</t>
  </si>
  <si>
    <t>140607-2019-000062</t>
  </si>
  <si>
    <t>XD-B02-KP-E03(40-40U)</t>
  </si>
  <si>
    <t>YD-SW10-242F02D841F7</t>
  </si>
  <si>
    <t>140607-2019-000063</t>
  </si>
  <si>
    <t>XD-B02-KP-E03(25-25U)</t>
  </si>
  <si>
    <t>YD-SW10-242F02D841F8</t>
  </si>
  <si>
    <t>140607-2019-000064</t>
  </si>
  <si>
    <t>XD-B02-KP-E03(24-24U)</t>
  </si>
  <si>
    <t>YD-SW10-242F02D841F6</t>
  </si>
  <si>
    <t>140607-2019-000065</t>
  </si>
  <si>
    <t>XD-B02-KP-E04(37-37U)</t>
  </si>
  <si>
    <t>YD-SW10-242F02D841FA</t>
  </si>
  <si>
    <t>140607-2019-000066</t>
  </si>
  <si>
    <t>XD-B02-KP-E04(35-35U)</t>
  </si>
  <si>
    <t>YD-SW10-242F02D841FB</t>
  </si>
  <si>
    <t>140607-2019-000067</t>
  </si>
  <si>
    <t>XD-B02-KP-E04(25-25U)</t>
  </si>
  <si>
    <t>YD-SW10-242F02D841FC</t>
  </si>
  <si>
    <t>140607-2019-000068</t>
  </si>
  <si>
    <t>XD-B02-KP-E04(24-24U)</t>
  </si>
  <si>
    <t>1103201835</t>
  </si>
  <si>
    <t>140403-2019-000012</t>
  </si>
  <si>
    <t>XD-B01-TX-E03(21-21U)</t>
  </si>
  <si>
    <t>1103201811</t>
  </si>
  <si>
    <t>140403-2019-000013</t>
  </si>
  <si>
    <t>XD-B01-TX-F02(20-20U)</t>
  </si>
  <si>
    <t>图腾42U标准工业机柜</t>
  </si>
  <si>
    <t>\</t>
  </si>
  <si>
    <t>140901-2019-000059</t>
  </si>
  <si>
    <t>TK-F01-107-A15</t>
  </si>
  <si>
    <t>华为Optix-OSN-8800</t>
  </si>
  <si>
    <t>1019B0087960
1019B0087962
1019B0085124    
1019B0085123
1019B0085114
1019B0085111</t>
  </si>
  <si>
    <t>140506-2019-000030</t>
  </si>
  <si>
    <t>XD-B01-TX-3-5机柜12槽位
XD-B01-TX-3-5机柜13槽位
XD-B01-TX-3-5机柜20槽位
XD-B01-TX-3-5机柜21槽位
XD-B01-TX-3-5机柜22槽位
XD-B01-TX-3-5机柜23槽位</t>
  </si>
  <si>
    <t>1019B0087958
1019B0087961
1019B0085126
1019B0085125
1019B0085122
1019B0085112</t>
  </si>
  <si>
    <t>140506-2019-000031</t>
  </si>
  <si>
    <t>XD-B01-TX-3-6机柜12槽位
XD-B01-TX-3-6机柜13槽位
XD-B01-TX-3-6机柜20槽位
XD-B01-TX-3-6机柜21槽位
XD-B01-TX-3-6机柜22槽位
XD-B01-TX-3-6机柜23槽位</t>
  </si>
  <si>
    <t>210235A3SUH198000031</t>
  </si>
  <si>
    <t>140103-2019-000915</t>
  </si>
  <si>
    <t>XD-B01-TX-D01(03-14U)DP1-1</t>
  </si>
  <si>
    <t>210235A3SUH19B000084</t>
  </si>
  <si>
    <t>140103-2019-000916</t>
  </si>
  <si>
    <t>XD-B01-TX-D01(03-14U)DP1-2</t>
  </si>
  <si>
    <t>210235A3SUH19A000272</t>
  </si>
  <si>
    <t>140103-2019-000917</t>
  </si>
  <si>
    <t>XD-B01-TX-D01(03-14U)DP1-3</t>
  </si>
  <si>
    <t>210235A3SUH19A000188</t>
  </si>
  <si>
    <t>140103-2019-000918</t>
  </si>
  <si>
    <t>XD-B01-TX-D01(03-14U)DP1-4</t>
  </si>
  <si>
    <t>210235A3SUH19B000082</t>
  </si>
  <si>
    <t>140103-2019-000919</t>
  </si>
  <si>
    <t>XD-B01-TX-D01(03-14U)DP1-5</t>
  </si>
  <si>
    <t>210235A3SUH19A000228</t>
  </si>
  <si>
    <t>140103-2019-000920</t>
  </si>
  <si>
    <t>XD-B01-TX-D01(03-14U)DP1-6</t>
  </si>
  <si>
    <t>210235A3SUH19B000083</t>
  </si>
  <si>
    <t>140103-2019-000921</t>
  </si>
  <si>
    <t>XD-B01-TX-D01(03-14U)DP1-7</t>
  </si>
  <si>
    <t>210235A3SUH19A000159</t>
  </si>
  <si>
    <t>140103-2019-000922</t>
  </si>
  <si>
    <t>XD-B01-TX-D01(03-14U)DP1-8</t>
  </si>
  <si>
    <t>210235A3SUH19B000062</t>
  </si>
  <si>
    <t>140103-2019-000923</t>
  </si>
  <si>
    <t>XD-B01-TX-D01(03-14U)DP1-9</t>
  </si>
  <si>
    <t>210235A3SUH19B000024</t>
  </si>
  <si>
    <t>140103-2019-000924</t>
  </si>
  <si>
    <t>XD-B01-TX-D01(03-14U)DP1-10</t>
  </si>
  <si>
    <t>210235A3SUH19A000178</t>
  </si>
  <si>
    <t>140103-2019-000925</t>
  </si>
  <si>
    <t>XD-B01-TX-D01(03-14U)DP1-11</t>
  </si>
  <si>
    <t>210235A3SUH19A000306</t>
  </si>
  <si>
    <t>140103-2019-000926</t>
  </si>
  <si>
    <t>XD-B01-TX-D01(03-14U)DP1-12</t>
  </si>
  <si>
    <t>210235A3SUH19B000092</t>
  </si>
  <si>
    <t>140103-2019-000927</t>
  </si>
  <si>
    <t>XD-B01-TX-D01(03-14U)DP1-13</t>
  </si>
  <si>
    <t>210235A3SUH19B000081</t>
  </si>
  <si>
    <t>140103-2019-000928</t>
  </si>
  <si>
    <t>XD-B01-TX-D01(03-14U)DP1-14</t>
  </si>
  <si>
    <t>210235A3SUH19B000031</t>
  </si>
  <si>
    <t>140103-2019-000929</t>
  </si>
  <si>
    <t>XD-B01-TX-D01(03-14U)DP1-15</t>
  </si>
  <si>
    <t>210235A3SUH19B000019</t>
  </si>
  <si>
    <t>140103-2019-000930</t>
  </si>
  <si>
    <t>XD-B01-TX-D01(03-14U)DP1-16</t>
  </si>
  <si>
    <t>210235A3SUH19A000163</t>
  </si>
  <si>
    <t>140103-2019-000931</t>
  </si>
  <si>
    <t>XD-B01-TX-D02(03-14U)DP2-1</t>
  </si>
  <si>
    <t>210235A3SUH19B000029</t>
  </si>
  <si>
    <t>140103-2019-000932</t>
  </si>
  <si>
    <t>XD-B01-TX-D02(03-14U)DP2-2</t>
  </si>
  <si>
    <t>210235A3SUH19A000219</t>
  </si>
  <si>
    <t>140103-2019-000933</t>
  </si>
  <si>
    <t>XD-B01-TX-D02(03-14U)DP2-3</t>
  </si>
  <si>
    <t>210235A3SUH19A000189</t>
  </si>
  <si>
    <t>140103-2019-000934</t>
  </si>
  <si>
    <t>XD-B01-TX-D02(03-14U)DP2-4</t>
  </si>
  <si>
    <t>210235A3SUH19A000156</t>
  </si>
  <si>
    <t>140103-2019-000935</t>
  </si>
  <si>
    <t>XD-B01-TX-D02(03-14U)DP2-5</t>
  </si>
  <si>
    <t>210235A3SUH19B000027</t>
  </si>
  <si>
    <t>140103-2019-000936</t>
  </si>
  <si>
    <t>XD-B01-TX-D02(03-14U)DP2-6</t>
  </si>
  <si>
    <t>210235A3SUH19B000016</t>
  </si>
  <si>
    <t>140103-2019-000937</t>
  </si>
  <si>
    <t>XD-B01-TX-D02(03-14U)DP2-7</t>
  </si>
  <si>
    <t>210235A3SUH19B000085</t>
  </si>
  <si>
    <t>140103-2019-000938</t>
  </si>
  <si>
    <t>XD-B01-TX-D02(03-14U)DP2-8</t>
  </si>
  <si>
    <t>210235A3SUH19A000218</t>
  </si>
  <si>
    <t>140103-2019-000939</t>
  </si>
  <si>
    <t>XD-B01-TX-D02(03-14U)DP2-9</t>
  </si>
  <si>
    <t>210235A3SUH19A000176</t>
  </si>
  <si>
    <t>140103-2019-000940</t>
  </si>
  <si>
    <t>XD-B01-TX-D02(03-14U)DP2-10</t>
  </si>
  <si>
    <t>210235A3SUH19A000192</t>
  </si>
  <si>
    <t>140103-2019-000941</t>
  </si>
  <si>
    <t>XD-B01-TX-D02(03-14U)DP2-11</t>
  </si>
  <si>
    <t>210235A3SUH19B000079</t>
  </si>
  <si>
    <t>140103-2019-000942</t>
  </si>
  <si>
    <t>XD-B01-TX-D02(03-14U)DP2-12</t>
  </si>
  <si>
    <t>210235A3SUH19B000030</t>
  </si>
  <si>
    <t>140103-2019-000943</t>
  </si>
  <si>
    <t>XD-B01-TX-D02(03-14U)DP2-13</t>
  </si>
  <si>
    <t>210235A3SUH19B000014</t>
  </si>
  <si>
    <t>140103-2019-000944</t>
  </si>
  <si>
    <t>XD-B01-TX-D02(03-14U)DP2-14</t>
  </si>
  <si>
    <t>210235A3SUH19A000226</t>
  </si>
  <si>
    <t>140103-2019-000945</t>
  </si>
  <si>
    <t>XD-B01-TX-D02(03-14U)DP2-15</t>
  </si>
  <si>
    <t>210235A3SUH19A000227</t>
  </si>
  <si>
    <t>140103-2019-000946</t>
  </si>
  <si>
    <t>XD-B01-TX-D02(03-14U)DP2-16</t>
  </si>
  <si>
    <t>210235A3SUH19B000075</t>
  </si>
  <si>
    <t>140103-2019-000947</t>
  </si>
  <si>
    <t>XD-B01-TX-E03(03-14U)DP5-1</t>
  </si>
  <si>
    <t>210235A3SUH19B000072</t>
  </si>
  <si>
    <t>140103-2019-000948</t>
  </si>
  <si>
    <t>XD-B01-TX-E03(03-14U)DP5-2</t>
  </si>
  <si>
    <t>210235A3SUH19B000026</t>
  </si>
  <si>
    <t>140103-2019-000949</t>
  </si>
  <si>
    <t>XD-B01-TX-E03(03-14U)DP5-3</t>
  </si>
  <si>
    <t>210235A3SUH19B000023</t>
  </si>
  <si>
    <t>140103-2019-000950</t>
  </si>
  <si>
    <t>XD-B01-TX-E03(03-14U)DP5-4</t>
  </si>
  <si>
    <t>210235A3SUH19A000165</t>
  </si>
  <si>
    <t>140103-2019-000951</t>
  </si>
  <si>
    <t>XD-B01-TX-E03(03-14U)DP5-5</t>
  </si>
  <si>
    <t>210235A3SUH19A000190</t>
  </si>
  <si>
    <t>140103-2019-000952</t>
  </si>
  <si>
    <t>XD-B01-TX-E03(03-14U)DP5-6</t>
  </si>
  <si>
    <t>210235A3SUH19A000182</t>
  </si>
  <si>
    <t>140103-2019-000953</t>
  </si>
  <si>
    <t>XD-B01-TX-E03(03-14U)DP5-7</t>
  </si>
  <si>
    <t>210235A3SUH19A000155</t>
  </si>
  <si>
    <t>140103-2019-000954</t>
  </si>
  <si>
    <t>XD-B01-TX-E03(03-14U)DP5-8</t>
  </si>
  <si>
    <t>210235A3SUH19A000174</t>
  </si>
  <si>
    <t>140103-2019-000955</t>
  </si>
  <si>
    <t>XD-B01-TX-E03(03-14U)DP5-9</t>
  </si>
  <si>
    <t>210235A3SUH19A000158</t>
  </si>
  <si>
    <t>140103-2019-000956</t>
  </si>
  <si>
    <t>XD-B01-TX-E03(03-14U)DP5-10</t>
  </si>
  <si>
    <t>210235A3SUH195000049</t>
  </si>
  <si>
    <t>140103-2019-000957</t>
  </si>
  <si>
    <t>XD-B01-TX-E03(03-14U)DP5-11</t>
  </si>
  <si>
    <t>210235A3SUH19A000179</t>
  </si>
  <si>
    <t>140103-2019-000958</t>
  </si>
  <si>
    <t>XD-B01-TX-E03(03-14U)DP5-12</t>
  </si>
  <si>
    <t>210235A3SUH19A000275</t>
  </si>
  <si>
    <t>140103-2019-000959</t>
  </si>
  <si>
    <t>XD-B01-TX-E03(03-14U)DP5-13</t>
  </si>
  <si>
    <t>210235A3SUH19B000066</t>
  </si>
  <si>
    <t>140103-2019-000960</t>
  </si>
  <si>
    <t>XD-B01-TX-E03(03-14U)DP5-14</t>
  </si>
  <si>
    <t>210235A3SUH19B000074</t>
  </si>
  <si>
    <t>140103-2019-000961</t>
  </si>
  <si>
    <t>XD-B01-TX-E03(03-14U)DP5-15</t>
  </si>
  <si>
    <t>210235A3SUH199000056</t>
  </si>
  <si>
    <t>140103-2019-000962</t>
  </si>
  <si>
    <t>XD-B01-TX-E03(03-14U)DP5-16</t>
  </si>
  <si>
    <t>210235A3SUH19B000034</t>
  </si>
  <si>
    <t>140103-2019-000963</t>
  </si>
  <si>
    <t>XD-B01-TX-E01(03-14U)DP3-1</t>
  </si>
  <si>
    <t>210235A3SUH19B000120</t>
  </si>
  <si>
    <t>140103-2019-000964</t>
  </si>
  <si>
    <t>XD-B01-TX-E01(03-14U)DP3-2</t>
  </si>
  <si>
    <t>210235A3SUH19B000080</t>
  </si>
  <si>
    <t>140103-2019-000965</t>
  </si>
  <si>
    <t>XD-B01-TX-E01(03-14U)DP3-3</t>
  </si>
  <si>
    <t>210235A3SUH19B000077</t>
  </si>
  <si>
    <t>140103-2019-000966</t>
  </si>
  <si>
    <t>XD-B01-TX-E01(03-14U)DP3-4</t>
  </si>
  <si>
    <t>210235A3SUH19A000270</t>
  </si>
  <si>
    <t>140103-2019-000967</t>
  </si>
  <si>
    <t>XD-B01-TX-E01(03-14U)DP3-5</t>
  </si>
  <si>
    <t>210235A3SUH19B000025</t>
  </si>
  <si>
    <t>140103-2019-000968</t>
  </si>
  <si>
    <t>XD-B01-TX-E01(03-14U)DP3-6</t>
  </si>
  <si>
    <t>210235A3SUH19A000161</t>
  </si>
  <si>
    <t>140103-2019-000969</t>
  </si>
  <si>
    <t>XD-B01-TX-E01(03-14U)DP3-7</t>
  </si>
  <si>
    <t>210235A3SUH19B000076</t>
  </si>
  <si>
    <t>140103-2019-000970</t>
  </si>
  <si>
    <t>XD-B01-TX-E01(03-14U)DP3-8</t>
  </si>
  <si>
    <t>210235A3SUH19A000177</t>
  </si>
  <si>
    <t>140103-2019-000971</t>
  </si>
  <si>
    <t>XD-B01-TX-E01(03-14U)DP3-9</t>
  </si>
  <si>
    <t>210235A3SUH19B000067</t>
  </si>
  <si>
    <t>140103-2019-000972</t>
  </si>
  <si>
    <t>XD-B01-TX-E01(03-14U)DP3-10</t>
  </si>
  <si>
    <t>210235A3SUH19A000172</t>
  </si>
  <si>
    <t>140103-2019-000973</t>
  </si>
  <si>
    <t>XD-B01-TX-E01(03-14U)DP3-11</t>
  </si>
  <si>
    <t>210235A3SUH19B000028</t>
  </si>
  <si>
    <t>140103-2019-000974</t>
  </si>
  <si>
    <t>XD-B01-TX-E01(03-14U)DP3-12</t>
  </si>
  <si>
    <t>210235A3SUH19B000069</t>
  </si>
  <si>
    <t>140103-2019-000975</t>
  </si>
  <si>
    <t>XD-B01-TX-E01(03-14U)DP3-13</t>
  </si>
  <si>
    <t>210235A3SUH19B000011</t>
  </si>
  <si>
    <t>140103-2019-000976</t>
  </si>
  <si>
    <t>XD-B01-TX-E01(03-14U)DP3-14</t>
  </si>
  <si>
    <t>210235A3SUH19B000018</t>
  </si>
  <si>
    <t>140103-2019-000977</t>
  </si>
  <si>
    <t>XD-B01-TX-E01(03-14U)DP3-15</t>
  </si>
  <si>
    <t>210235A3SUH19B000015</t>
  </si>
  <si>
    <t>140103-2019-000978</t>
  </si>
  <si>
    <t>XD-B01-TX-E01(03-14U)DP3-16</t>
  </si>
  <si>
    <t>210235A3SUH19A000215</t>
  </si>
  <si>
    <t>140103-2019-000979</t>
  </si>
  <si>
    <t>XD-B01-TX-F01(03-14U)DP6-1</t>
  </si>
  <si>
    <t>210235A3SUH19A000214</t>
  </si>
  <si>
    <t>140103-2019-000980</t>
  </si>
  <si>
    <t>XD-B01-TX-F01(03-14U)DP6-2</t>
  </si>
  <si>
    <t>210235A3SUH19A000133</t>
  </si>
  <si>
    <t>140103-2019-000981</t>
  </si>
  <si>
    <t>XD-B01-TX-F01(03-14U)DP6-3</t>
  </si>
  <si>
    <t>210235A3SUH19A000276</t>
  </si>
  <si>
    <t>140103-2019-000982</t>
  </si>
  <si>
    <t>XD-B01-TX-F01(03-14U)DP6-4</t>
  </si>
  <si>
    <t>210235A3SUH19A000082</t>
  </si>
  <si>
    <t>140103-2019-000983</t>
  </si>
  <si>
    <t>XD-B01-TX-F01(03-14U)DP6-5</t>
  </si>
  <si>
    <t>210235A3SUH19A000185</t>
  </si>
  <si>
    <t>140103-2019-000984</t>
  </si>
  <si>
    <t>XD-B01-TX-F01(03-14U)DP6-6</t>
  </si>
  <si>
    <t>210235A3SUH19A000220</t>
  </si>
  <si>
    <t>140103-2019-000985</t>
  </si>
  <si>
    <t>XD-B01-TX-F01(03-14U)DP6-7</t>
  </si>
  <si>
    <t>210235A3SUH19A000201</t>
  </si>
  <si>
    <t>140103-2019-000986</t>
  </si>
  <si>
    <t>XD-B01-TX-F01(03-14U)DP6-8</t>
  </si>
  <si>
    <t>210235A3SUH19A000372</t>
  </si>
  <si>
    <t>140103-2019-000987</t>
  </si>
  <si>
    <t>XD-B01-TX-F01(03-14U)DP6-9</t>
  </si>
  <si>
    <t>210235A3SUH19A000187</t>
  </si>
  <si>
    <t>140103-2019-000988</t>
  </si>
  <si>
    <t>XD-B01-TX-F01(03-14U)DP6-10</t>
  </si>
  <si>
    <t>210235A3SUH198000024</t>
  </si>
  <si>
    <t>140103-2019-000989</t>
  </si>
  <si>
    <t>XD-B01-TX-F01(03-14U)DP6-11</t>
  </si>
  <si>
    <t>210235A3SUH19A000255</t>
  </si>
  <si>
    <t>140103-2019-000990</t>
  </si>
  <si>
    <t>XD-B01-TX-F01(03-14U)DP6-12</t>
  </si>
  <si>
    <t>210235A3SUH19A000335</t>
  </si>
  <si>
    <t>140103-2019-000991</t>
  </si>
  <si>
    <t>XD-B01-TX-F01(03-14U)DP6-13</t>
  </si>
  <si>
    <t>210235A3SUH19A000164</t>
  </si>
  <si>
    <t>140103-2019-000992</t>
  </si>
  <si>
    <t>XD-B01-TX-F01(03-14U)DP6-14</t>
  </si>
  <si>
    <t>210235A3SUH19A000078</t>
  </si>
  <si>
    <t>140103-2019-000993</t>
  </si>
  <si>
    <t>XD-B01-TX-F01(03-14U)DP6-15</t>
  </si>
  <si>
    <t>210235A3SUH197000021</t>
  </si>
  <si>
    <t>140103-2019-000994</t>
  </si>
  <si>
    <t>XD-B01-TX-F01(03-14U)DP6-16</t>
  </si>
  <si>
    <t>J301D843</t>
  </si>
  <si>
    <t>140103-2019-000995</t>
  </si>
  <si>
    <t>XD-B02-KP-E06(31-32U)</t>
  </si>
  <si>
    <t>J301D842</t>
  </si>
  <si>
    <t>140103-2019-000996</t>
  </si>
  <si>
    <t>XD-B02-KP-E06(28-29U)</t>
  </si>
  <si>
    <t>210235A3GLH19B000002</t>
  </si>
  <si>
    <t>140502-2019-000164</t>
  </si>
  <si>
    <t>XD-B01-TX-E02(41-41U)</t>
  </si>
  <si>
    <t>210235A3GLH19B000001</t>
  </si>
  <si>
    <t>140502-2019-000165</t>
  </si>
  <si>
    <t>XD-B01-TX-E02(38-38U)</t>
  </si>
  <si>
    <t>210235A3GLH19B000006</t>
  </si>
  <si>
    <t>140502-2019-000166</t>
  </si>
  <si>
    <t>XD-B01-TX-E03(41-41U)</t>
  </si>
  <si>
    <t>210235A3GLH19B000008</t>
  </si>
  <si>
    <t>140502-2019-000167</t>
  </si>
  <si>
    <t>XD-B01-TX-E03(38-38U)</t>
  </si>
  <si>
    <t>2102350DLVDMK9000066</t>
  </si>
  <si>
    <t>140502-2019-000168</t>
  </si>
  <si>
    <t>XD-B01-TX-F01(41-41U)</t>
  </si>
  <si>
    <t>2102350DLVDMK9000088</t>
  </si>
  <si>
    <t>140502-2019-000169</t>
  </si>
  <si>
    <t>XD-B01-TX-F01(38-38U)</t>
  </si>
  <si>
    <t>ASG1000-III2F0289ACC3</t>
  </si>
  <si>
    <t>140607-2019-000069</t>
  </si>
  <si>
    <t>XD-B02-KP-C09(3-4U)</t>
  </si>
  <si>
    <t>ASG1000-III2F0289ACC4</t>
  </si>
  <si>
    <t>140607-2019-000070</t>
  </si>
  <si>
    <t>XD-B02-KP-C09(36-37U)</t>
  </si>
  <si>
    <t>140901-2019-000060</t>
  </si>
  <si>
    <t>XD-B01-TX-D01(03-14U)</t>
  </si>
  <si>
    <t>210235A3SVH19B000011</t>
  </si>
  <si>
    <t>140901-2019-000061</t>
  </si>
  <si>
    <t>XD-B01-TX-D02(03-14U)</t>
  </si>
  <si>
    <t>210235A3SVH19B000026</t>
  </si>
  <si>
    <t>140901-2019-000062</t>
  </si>
  <si>
    <t>XD-B01-TX-E01(03-14U)</t>
  </si>
  <si>
    <t>210235A3SVH19B000008</t>
  </si>
  <si>
    <t>140901-2019-000063</t>
  </si>
  <si>
    <t>XD-B01-TX-E02(03-14U)</t>
  </si>
  <si>
    <t>210235A3SVH199000020</t>
  </si>
  <si>
    <t>140901-2019-000064</t>
  </si>
  <si>
    <t>XD-B01-TX-E03(03-14U)</t>
  </si>
  <si>
    <t>210235A3SVH19B000012</t>
  </si>
  <si>
    <t>140901-2019-000065</t>
  </si>
  <si>
    <t>XD-B01-TX-F01(03-14U)</t>
  </si>
  <si>
    <t>210235A3SVH19B000002</t>
  </si>
  <si>
    <t>140901-2019-000066</t>
  </si>
  <si>
    <t>XD-B01-TX-F02(03-14U)</t>
  </si>
  <si>
    <t>210235A3SVH19A000011</t>
  </si>
  <si>
    <t>140901-2019-000067</t>
  </si>
  <si>
    <t>XD-B01-TX-F03(03-14U)</t>
  </si>
  <si>
    <t>System X3650 M5</t>
  </si>
  <si>
    <t>J320P49</t>
  </si>
  <si>
    <t>140103-2016-000306</t>
  </si>
  <si>
    <t>XD-B02-KF-D12(4-5U)</t>
  </si>
  <si>
    <t>DELL M620</t>
  </si>
  <si>
    <t>DRPDF3X</t>
  </si>
  <si>
    <t>140103-2012-001017</t>
  </si>
  <si>
    <t>XD-B03-BY-B04(2-11U)DP104-15</t>
  </si>
  <si>
    <t>1SPDF3X</t>
  </si>
  <si>
    <t>140103-2012-001016</t>
  </si>
  <si>
    <t>XD-B03-BY-B04(2-11U)DP104-14</t>
  </si>
  <si>
    <t>2SPDF3X</t>
  </si>
  <si>
    <t>140103-2012-001018</t>
  </si>
  <si>
    <t>XD-B03-BY-B04(2-11U)DP104-16</t>
  </si>
  <si>
    <t>AK00249837</t>
  </si>
  <si>
    <t>140103-2014-003099</t>
  </si>
  <si>
    <t>TK-F02-226-B4(11-20U)DP186</t>
  </si>
  <si>
    <t>Sun Blade X4-2B</t>
  </si>
  <si>
    <t>1442NMY01R</t>
  </si>
  <si>
    <t>140103-2014-003075</t>
  </si>
  <si>
    <t>TK-F02-226-B4(11-20U)DP186-01</t>
  </si>
  <si>
    <t>1442NMY00K</t>
  </si>
  <si>
    <t>140103-2014-003076</t>
  </si>
  <si>
    <t>TK-F02-226-B4(11-20U)DP186-02</t>
  </si>
  <si>
    <t>1442NMY00U</t>
  </si>
  <si>
    <t>140103-2014-003077</t>
  </si>
  <si>
    <t>TK-F02-226-B4(11-20U)DP186-03</t>
  </si>
  <si>
    <t>1442NMY01C</t>
  </si>
  <si>
    <t>140103-2014-003078</t>
  </si>
  <si>
    <t>TK-F02-226-B4(11-20U)DP186-04</t>
  </si>
  <si>
    <t>1442NMY01V</t>
  </si>
  <si>
    <t>140103-2014-003079</t>
  </si>
  <si>
    <t>TK-F02-226-B4(11-20U)DP186-05</t>
  </si>
  <si>
    <t>1442NMY01J</t>
  </si>
  <si>
    <t>140103-2014-003080</t>
  </si>
  <si>
    <t>TK-F02-226-B4(11-20U)DP186-06</t>
  </si>
  <si>
    <t>1442NMY007</t>
  </si>
  <si>
    <t>140103-2014-003081</t>
  </si>
  <si>
    <t>TK-F02-226-B4(11-20U)DP186-07</t>
  </si>
  <si>
    <t>1442NMY005</t>
  </si>
  <si>
    <t>140103-2014-003082</t>
  </si>
  <si>
    <t>TK-F02-226-B4(11-20U)DP186-08</t>
  </si>
  <si>
    <t>1442NMY010</t>
  </si>
  <si>
    <t>140103-2014-003083</t>
  </si>
  <si>
    <t>TK-F02-226-B4(11-20U)DP186-09</t>
  </si>
  <si>
    <t>1442NMY00R</t>
  </si>
  <si>
    <t>140103-2014-003084</t>
  </si>
  <si>
    <t>TK-F02-226-B4(11-20U)DP186-10</t>
  </si>
  <si>
    <t>AK00249838</t>
  </si>
  <si>
    <t>140103-2014-003098</t>
  </si>
  <si>
    <t>TK-F02-226-B5(1-10U)DP188</t>
  </si>
  <si>
    <t>1442NMY01M</t>
  </si>
  <si>
    <t>140103-2014-003065</t>
  </si>
  <si>
    <t>TK-F02-226-B5(1-10U)DP188-01</t>
  </si>
  <si>
    <t>1442NMY01E</t>
  </si>
  <si>
    <t>140103-2014-003066</t>
  </si>
  <si>
    <t>TK-F02-226-B5(1-10U)DP188-02</t>
  </si>
  <si>
    <t>1442NMY01K</t>
  </si>
  <si>
    <t>140103-2014-003067</t>
  </si>
  <si>
    <t>TK-F02-226-B5(1-10U)DP188-03</t>
  </si>
  <si>
    <t>1442NMY01F</t>
  </si>
  <si>
    <t>140103-2014-003068</t>
  </si>
  <si>
    <t>TK-F02-226-B5(1-10U)DP188-04</t>
  </si>
  <si>
    <t>1442NMY009</t>
  </si>
  <si>
    <t>140103-2014-003069</t>
  </si>
  <si>
    <t>TK-F02-226-B5(1-10U)DP188-05</t>
  </si>
  <si>
    <t>1442NMY00C</t>
  </si>
  <si>
    <t>140103-2014-003070</t>
  </si>
  <si>
    <t>TK-F02-226-B5(1-10U)DP188-06</t>
  </si>
  <si>
    <t>1442NMY01W</t>
  </si>
  <si>
    <t>140103-2014-003071</t>
  </si>
  <si>
    <t>TK-F02-226-B5(1-10U)DP188-07</t>
  </si>
  <si>
    <t>1442NMY00F</t>
  </si>
  <si>
    <t>140103-2014-003072</t>
  </si>
  <si>
    <t>TK-F02-226-B5(1-10U)DP188-08</t>
  </si>
  <si>
    <t>1442NMY006</t>
  </si>
  <si>
    <t>140103-2014-003073</t>
  </si>
  <si>
    <t>TK-F02-226-B5(1-10U)DP188-09</t>
  </si>
  <si>
    <t>1442NMY00J</t>
  </si>
  <si>
    <t>140103-2014-003074</t>
  </si>
  <si>
    <t>TK-F02-226-B5(1-10U)DP188-10</t>
  </si>
  <si>
    <t>AK00249842</t>
  </si>
  <si>
    <t>140103-2014-003097</t>
  </si>
  <si>
    <t>TK-F02-226-B5(11-20U)DP187</t>
  </si>
  <si>
    <t>1442NMY01N</t>
  </si>
  <si>
    <t>140103-2014-003055</t>
  </si>
  <si>
    <t>TK-F02-226-B5(11-20U)DP187-01</t>
  </si>
  <si>
    <t>1442NMY008</t>
  </si>
  <si>
    <t>140103-2014-003056</t>
  </si>
  <si>
    <t>TK-F02-226-B5(11-20U)DP187-02</t>
  </si>
  <si>
    <t>1442NMY020</t>
  </si>
  <si>
    <t>140103-2014-003057</t>
  </si>
  <si>
    <t>TK-F02-226-B5(11-20U)DP187-03</t>
  </si>
  <si>
    <t>1442NMY01Y</t>
  </si>
  <si>
    <t>140103-2014-003058</t>
  </si>
  <si>
    <t>TK-F02-226-B5(11-20U)DP187-04</t>
  </si>
  <si>
    <t>1442NMY00D</t>
  </si>
  <si>
    <t>140103-2014-003059</t>
  </si>
  <si>
    <t>TK-F02-226-B5(11-20U)DP187-05</t>
  </si>
  <si>
    <t>1442NMY00G</t>
  </si>
  <si>
    <t>140103-2014-003060</t>
  </si>
  <si>
    <t>TK-F02-226-B5(11-20U)DP187-06</t>
  </si>
  <si>
    <t>1442NMY01X</t>
  </si>
  <si>
    <t>140103-2014-003061</t>
  </si>
  <si>
    <t>TK-F02-226-B5(11-20U)DP187-07</t>
  </si>
  <si>
    <t>1442NMY003</t>
  </si>
  <si>
    <t>140103-2014-003062</t>
  </si>
  <si>
    <t>TK-F02-226-B5(11-20U)DP187-08</t>
  </si>
  <si>
    <t>1442NMY00E</t>
  </si>
  <si>
    <t>140103-2014-003063</t>
  </si>
  <si>
    <t>TK-F02-226-B5(11-20U)DP187-09</t>
  </si>
  <si>
    <t>J301DXT7</t>
  </si>
  <si>
    <t>140103-2019-001027</t>
  </si>
  <si>
    <t>WQ-F04-T8-I01(25-26U)</t>
  </si>
  <si>
    <t>J301DXRW</t>
  </si>
  <si>
    <t>140103-2019-001028</t>
  </si>
  <si>
    <t>WQ-F04-T8-I01(23-24U)</t>
  </si>
  <si>
    <t>J301DXTH</t>
  </si>
  <si>
    <t>140103-2019-001029</t>
  </si>
  <si>
    <t>WQ-F04-T8-I01(20-21U)</t>
  </si>
  <si>
    <t>J301DXTA</t>
  </si>
  <si>
    <t>140103-2019-001030</t>
  </si>
  <si>
    <t>WQ-F04-T8-I01(18-19U)</t>
  </si>
  <si>
    <t>J301DXT6</t>
  </si>
  <si>
    <t>140103-2019-001031</t>
  </si>
  <si>
    <t>WQ-F04-T8-I01(16-17U)</t>
  </si>
  <si>
    <t>J301DXRX</t>
  </si>
  <si>
    <t>140103-2019-001032</t>
  </si>
  <si>
    <t>WQ-F04-T8-I01(14-15U)</t>
  </si>
  <si>
    <t>J301DXRV</t>
  </si>
  <si>
    <t>140103-2019-001033</t>
  </si>
  <si>
    <t>WQ-F04-T8-I01(12-13U)</t>
  </si>
  <si>
    <t>J301DXT8</t>
  </si>
  <si>
    <t>140103-2019-001034</t>
  </si>
  <si>
    <t>WQ-F04-T8-I01(10-11U)</t>
  </si>
  <si>
    <t>J301EBDE</t>
  </si>
  <si>
    <t>140103-2019-001035</t>
  </si>
  <si>
    <t>WQ-F04-T8-I01(08-09U)</t>
  </si>
  <si>
    <t>J301DXTG</t>
  </si>
  <si>
    <t>140103-2019-001036</t>
  </si>
  <si>
    <t>WQ-F04-T8-I01(06-07U)</t>
  </si>
  <si>
    <t>J301DXT5</t>
  </si>
  <si>
    <t>140103-2019-001037</t>
  </si>
  <si>
    <t>WQ-F04-T8-I01(04-05U)</t>
  </si>
  <si>
    <t>J301DXT4</t>
  </si>
  <si>
    <t>140103-2019-001038</t>
  </si>
  <si>
    <t>WQ-F04-T8-I01(02-03U)</t>
  </si>
  <si>
    <t>J301D84F</t>
  </si>
  <si>
    <t>140103-2019-001039</t>
  </si>
  <si>
    <t>WQ-F04-T8-I02(29-30U)</t>
  </si>
  <si>
    <t>J301D84R</t>
  </si>
  <si>
    <t>140103-2019-001040</t>
  </si>
  <si>
    <t>WQ-F04-T8-I02(27-28U)</t>
  </si>
  <si>
    <t>J301D84D</t>
  </si>
  <si>
    <t>140103-2019-001041</t>
  </si>
  <si>
    <t>WQ-F04-T8-I02(25-26U)</t>
  </si>
  <si>
    <t>J301D84H</t>
  </si>
  <si>
    <t>140103-2019-001042</t>
  </si>
  <si>
    <t>WQ-F04-T8-I02(23-24U)</t>
  </si>
  <si>
    <t>J301D84G</t>
  </si>
  <si>
    <t>140103-2019-001043</t>
  </si>
  <si>
    <t>WQ-F04-T8-I02(20-21U)</t>
  </si>
  <si>
    <t>J301D84T</t>
  </si>
  <si>
    <t>140103-2019-001044</t>
  </si>
  <si>
    <t>WQ-F04-T8-I02(18-19U)</t>
  </si>
  <si>
    <t>J301D84C</t>
  </si>
  <si>
    <t>140103-2019-001045</t>
  </si>
  <si>
    <t>WQ-F04-T8-I02(16-17U)</t>
  </si>
  <si>
    <t>J301D84A</t>
  </si>
  <si>
    <t>140103-2019-001046</t>
  </si>
  <si>
    <t>WQ-F04-T8-I02(14-15U)</t>
  </si>
  <si>
    <t>J301D84W</t>
  </si>
  <si>
    <t>140103-2019-001047</t>
  </si>
  <si>
    <t>WQ-F04-T8-I02(12-13U)</t>
  </si>
  <si>
    <t>J301D848</t>
  </si>
  <si>
    <t>140103-2019-001048</t>
  </si>
  <si>
    <t>WQ-F04-T8-I02(10-11U)</t>
  </si>
  <si>
    <t>J301D84P</t>
  </si>
  <si>
    <t>140103-2019-001049</t>
  </si>
  <si>
    <t>WQ-F04-T8-I02(08-09U)</t>
  </si>
  <si>
    <t>J301D84V</t>
  </si>
  <si>
    <t>140103-2019-001050</t>
  </si>
  <si>
    <t>WQ-F04-T8-I02(06-07U)</t>
  </si>
  <si>
    <t>J301D84B</t>
  </si>
  <si>
    <t>140103-2019-001051</t>
  </si>
  <si>
    <t>WQ-F04-T8-I02(04-05U)</t>
  </si>
  <si>
    <t>J301D846</t>
  </si>
  <si>
    <t>140103-2019-001052</t>
  </si>
  <si>
    <t>WQ-F04-T8-I02(02-03U)</t>
  </si>
  <si>
    <t>J301D845</t>
  </si>
  <si>
    <t>140103-2019-001053</t>
  </si>
  <si>
    <t>WQ-F04-T8-I03(24-25U)</t>
  </si>
  <si>
    <t>J301D84L</t>
  </si>
  <si>
    <t>140103-2019-001054</t>
  </si>
  <si>
    <t>WQ-F04-T8-I03(22-23U)</t>
  </si>
  <si>
    <t>J301D847</t>
  </si>
  <si>
    <t>140103-2019-001055</t>
  </si>
  <si>
    <t>WQ-F04-T8-I03(20-21U)</t>
  </si>
  <si>
    <t>J301D84E</t>
  </si>
  <si>
    <t>140103-2019-001056</t>
  </si>
  <si>
    <t>WQ-F04-T8-I03(18-19U)</t>
  </si>
  <si>
    <t>J301D84X</t>
  </si>
  <si>
    <t>140103-2019-001057</t>
  </si>
  <si>
    <t>WQ-F04-T8-I03(16-17U)</t>
  </si>
  <si>
    <t>J301D84N</t>
  </si>
  <si>
    <t>140103-2019-001058</t>
  </si>
  <si>
    <t>WQ-F04-T8-I03(14-15U)</t>
  </si>
  <si>
    <t>J301DXRZ</t>
  </si>
  <si>
    <t>140103-2019-001059</t>
  </si>
  <si>
    <t>WQ-F04-T8-I03(12-13U)</t>
  </si>
  <si>
    <t>J301DXTF</t>
  </si>
  <si>
    <t>140103-2019-001060</t>
  </si>
  <si>
    <t>WQ-F04-T8-I03(10-11U)</t>
  </si>
  <si>
    <t>J301DXT3</t>
  </si>
  <si>
    <t>140103-2019-001061</t>
  </si>
  <si>
    <t>WQ-F04-T8-I03(08-09U)</t>
  </si>
  <si>
    <t>J301DXRY</t>
  </si>
  <si>
    <t>140103-2019-001062</t>
  </si>
  <si>
    <t>WQ-F04-T8-I03(06-07U)</t>
  </si>
  <si>
    <t>J301DXT9</t>
  </si>
  <si>
    <t>140103-2019-001063</t>
  </si>
  <si>
    <t>WQ-F04-T8-I03(04-05U)</t>
  </si>
  <si>
    <t>J301DXT1</t>
  </si>
  <si>
    <t>140103-2019-001064</t>
  </si>
  <si>
    <t>WQ-F04-T8-I03(02-03U)</t>
  </si>
  <si>
    <t>J301DXT0</t>
  </si>
  <si>
    <t>140103-2019-001065</t>
  </si>
  <si>
    <t>WQ-F04-T8-I04(20-21U)</t>
  </si>
  <si>
    <t>J301DXTD</t>
  </si>
  <si>
    <t>140103-2019-001066</t>
  </si>
  <si>
    <t>WQ-F04-T8-I04(18-19U)</t>
  </si>
  <si>
    <t>J301DXTE</t>
  </si>
  <si>
    <t>140103-2019-001067</t>
  </si>
  <si>
    <t>WQ-F04-T8-I04(16-17U)</t>
  </si>
  <si>
    <t>J301DXTB</t>
  </si>
  <si>
    <t>140103-2019-001068</t>
  </si>
  <si>
    <t>WQ-F04-T8-I04(14-15U)</t>
  </si>
  <si>
    <t>J301DXTC</t>
  </si>
  <si>
    <t>140103-2019-001069</t>
  </si>
  <si>
    <t>WQ-F04-T8-I04(12-13U)</t>
  </si>
  <si>
    <t>J301DXT2</t>
  </si>
  <si>
    <t>140103-2019-001070</t>
  </si>
  <si>
    <t>WQ-F04-T8-I04(10-11U)</t>
  </si>
  <si>
    <t>J301D84M</t>
  </si>
  <si>
    <t>140103-2019-001071</t>
  </si>
  <si>
    <t>WQ-F04-T8-I04(08-09U)</t>
  </si>
  <si>
    <t>J301D844</t>
  </si>
  <si>
    <t>140103-2019-001072</t>
  </si>
  <si>
    <t>WQ-F04-T8-I04(06-07U)</t>
  </si>
  <si>
    <t>J301D849</t>
  </si>
  <si>
    <t>140103-2019-001073</t>
  </si>
  <si>
    <t>WQ-F04-T8-I04(04-05U)</t>
  </si>
  <si>
    <t>J301D84K</t>
  </si>
  <si>
    <t>140103-2019-001074</t>
  </si>
  <si>
    <t>WQ-F04-T8-I04(02-03U)</t>
  </si>
  <si>
    <t>191103201750</t>
  </si>
  <si>
    <t>140403-2019-000019</t>
  </si>
  <si>
    <t>WQ-F04-T8-I04(22-22U)</t>
  </si>
  <si>
    <t>191103201712</t>
  </si>
  <si>
    <t>140403-2019-000020</t>
  </si>
  <si>
    <t>WQ-F04-T8-I02(22-22U)</t>
  </si>
  <si>
    <t>191103201781</t>
  </si>
  <si>
    <t>140403-2019-000021</t>
  </si>
  <si>
    <t>WQ-F04-T8-I01(22-22U)</t>
  </si>
  <si>
    <t>华为CE6881-48S6CQ-F</t>
  </si>
  <si>
    <t>1019B0052331</t>
  </si>
  <si>
    <t>140502-2019-000185</t>
  </si>
  <si>
    <t>WQ-F04-T8-I01(39-39U)</t>
  </si>
  <si>
    <t>1019B0052328</t>
  </si>
  <si>
    <t>140502-2019-000186</t>
  </si>
  <si>
    <t>WQ-F04-T8-I01(36-36U)</t>
  </si>
  <si>
    <t>华为S5720-52X-SI-AC</t>
  </si>
  <si>
    <t>2102350DLVDMK9000110</t>
  </si>
  <si>
    <t>140502-2019-000187</t>
  </si>
  <si>
    <t>WQ-F04-T8-I03(39-39U)</t>
  </si>
  <si>
    <t>2102350DLVDMK9000070</t>
  </si>
  <si>
    <t>140502-2019-000188</t>
  </si>
  <si>
    <t>WQ-F04-T8-I03(36-36U)</t>
  </si>
  <si>
    <t>1442NMY01L</t>
  </si>
  <si>
    <t>140103-2014-003064</t>
  </si>
  <si>
    <t>TK-F02-226-B5(11-20U)DP187-10</t>
  </si>
  <si>
    <t>IBM P750</t>
  </si>
  <si>
    <t>84829BV</t>
  </si>
  <si>
    <t>140102-2014-000883</t>
  </si>
  <si>
    <t>TK-F02-226-B8(15-30U)</t>
  </si>
  <si>
    <t>84829CV</t>
  </si>
  <si>
    <t>140102-2014-000884</t>
  </si>
  <si>
    <t>TK-F02-226-B8(2-14U)</t>
  </si>
  <si>
    <t>思科 UCSC-C240-M4SX</t>
  </si>
  <si>
    <t>FCH2120V263</t>
  </si>
  <si>
    <t>140103-2017-001441</t>
  </si>
  <si>
    <t>TK-F02-226-H1(10-11U)</t>
  </si>
  <si>
    <t>FCH2125V1VM</t>
  </si>
  <si>
    <t>140103-2017-001440</t>
  </si>
  <si>
    <t>TK-F02-226-H1(12-13U)</t>
  </si>
  <si>
    <t>FCH2138V0U6</t>
  </si>
  <si>
    <t>140103-2017-001439</t>
  </si>
  <si>
    <t>TK-F02-226-H1(14-15U)</t>
  </si>
  <si>
    <t>FCH2126V17G</t>
  </si>
  <si>
    <t>140103-2017-001438</t>
  </si>
  <si>
    <t>TK-F02-226-H1(16-17U)</t>
  </si>
  <si>
    <t>FCH2126V17E</t>
  </si>
  <si>
    <t>140103-2017-001437</t>
  </si>
  <si>
    <t>TK-F02-226-H1(18-19U)</t>
  </si>
  <si>
    <t>FCH2120V264</t>
  </si>
  <si>
    <t>140103-2017-001436</t>
  </si>
  <si>
    <t>TK-F02-226-H1(20-21U)</t>
  </si>
  <si>
    <t>FCH2138V0VD</t>
  </si>
  <si>
    <t>140103-2017-001445</t>
  </si>
  <si>
    <t>TK-F02-226-H1(2-3U)</t>
  </si>
  <si>
    <t>FCH2120V25X</t>
  </si>
  <si>
    <t>140103-2017-001435</t>
  </si>
  <si>
    <t>TK-F02-226-H1(24-25U)</t>
  </si>
  <si>
    <t>FCH2120V28M</t>
  </si>
  <si>
    <t>140103-2017-001434</t>
  </si>
  <si>
    <t>TK-F02-226-H1(26-27U)</t>
  </si>
  <si>
    <t>FCH2120V286</t>
  </si>
  <si>
    <t>140103-2017-001433</t>
  </si>
  <si>
    <t>TK-F02-226-H1(28-29U)</t>
  </si>
  <si>
    <t>FCH2120V26U</t>
  </si>
  <si>
    <t>140103-2017-001432</t>
  </si>
  <si>
    <t>TK-F02-226-H1(30-31U)</t>
  </si>
  <si>
    <t>FCH2126V169</t>
  </si>
  <si>
    <t>140103-2017-001444</t>
  </si>
  <si>
    <t>TK-F02-226-H1(4-5U)</t>
  </si>
  <si>
    <t>FCH2120V27T</t>
  </si>
  <si>
    <t>140103-2017-001443</t>
  </si>
  <si>
    <t>TK-F02-226-H1(6-7U)</t>
  </si>
  <si>
    <t>FCH2138V0YX</t>
  </si>
  <si>
    <t>140103-2017-001442</t>
  </si>
  <si>
    <t>TK-F02-226-H1(8-9U)</t>
  </si>
  <si>
    <t>联想X3750 M4</t>
  </si>
  <si>
    <t>J320C2H</t>
  </si>
  <si>
    <t>140103-2016-000013</t>
  </si>
  <si>
    <t>WQ-F04-T1-D05(02-03U)</t>
  </si>
  <si>
    <t>J320C2L</t>
  </si>
  <si>
    <t>140103-2016-000014</t>
  </si>
  <si>
    <t>WQ-F04-T1-G05(02-03U)</t>
  </si>
  <si>
    <t>联想 X3650 M5</t>
  </si>
  <si>
    <t>J33GHLP</t>
  </si>
  <si>
    <t>140103-2017-001934</t>
  </si>
  <si>
    <t>WQ-F04-T1-H01(02-03U)</t>
  </si>
  <si>
    <t>J33GHLV</t>
  </si>
  <si>
    <t>140103-2017-001933</t>
  </si>
  <si>
    <t>WQ-F04-T1-H01(04-05U)</t>
  </si>
  <si>
    <t>J33GT03</t>
  </si>
  <si>
    <t>140103-2017-001813</t>
  </si>
  <si>
    <t>WQ-F04-T1-H01(06-07U)</t>
  </si>
  <si>
    <t>J33GRZX</t>
  </si>
  <si>
    <t>140103-2017-001927</t>
  </si>
  <si>
    <t>WQ-F04-T1-H01(08-09U)</t>
  </si>
  <si>
    <t>J33GHMF</t>
  </si>
  <si>
    <t>140103-2017-001825</t>
  </si>
  <si>
    <t>WQ-F04-T1-H01(10-11U)</t>
  </si>
  <si>
    <t>J33GHM4</t>
  </si>
  <si>
    <t>140103-2017-001987</t>
  </si>
  <si>
    <t>WQ-F04-T1-H01(12-13U)</t>
  </si>
  <si>
    <t>J33GHLL</t>
  </si>
  <si>
    <t>140103-2017-002019</t>
  </si>
  <si>
    <t>WQ-F04-T1-H01(14-15U)</t>
  </si>
  <si>
    <t>J33GHLN</t>
  </si>
  <si>
    <t>140103-2017-002018</t>
  </si>
  <si>
    <t>WQ-F04-T1-H01(16-17U)</t>
  </si>
  <si>
    <t>J33GHLM</t>
  </si>
  <si>
    <t>140103-2017-002027</t>
  </si>
  <si>
    <t>WQ-F04-T1-H01(18-19U)</t>
  </si>
  <si>
    <t>J33GHMR</t>
  </si>
  <si>
    <t>140103-2017-002026</t>
  </si>
  <si>
    <t>WQ-F04-T1-H01(20-21U)</t>
  </si>
  <si>
    <t>J33GHMA</t>
  </si>
  <si>
    <t>140103-2017-002025</t>
  </si>
  <si>
    <t>WQ-F04-T1-H01(23-24U)</t>
  </si>
  <si>
    <t>J33GRZW</t>
  </si>
  <si>
    <t>140103-2017-002024</t>
  </si>
  <si>
    <t>WQ-F04-T1-H01(25-26U)</t>
  </si>
  <si>
    <t>J33GHN1</t>
  </si>
  <si>
    <t>140103-2017-002023</t>
  </si>
  <si>
    <t>WQ-F04-T1-H01(27-28U)</t>
  </si>
  <si>
    <t>J33GHL0</t>
  </si>
  <si>
    <t>140103-2017-002022</t>
  </si>
  <si>
    <t>WQ-F04-T1-H01(29-30U)</t>
  </si>
  <si>
    <t>J33GHMY</t>
  </si>
  <si>
    <t>140103-2017-001948</t>
  </si>
  <si>
    <t>WQ-F04-T1-H02(02-03U)</t>
  </si>
  <si>
    <t>J33GHLX</t>
  </si>
  <si>
    <t>140103-2017-001947</t>
  </si>
  <si>
    <t>WQ-F04-T1-H02(04-05U)</t>
  </si>
  <si>
    <t>J33GT0M</t>
  </si>
  <si>
    <t>140103-2017-001946</t>
  </si>
  <si>
    <t>WQ-F04-T1-H02(06-07U)</t>
  </si>
  <si>
    <t>J33GHM7</t>
  </si>
  <si>
    <t>140103-2017-001945</t>
  </si>
  <si>
    <t>WQ-F04-T1-H02(08-09U)</t>
  </si>
  <si>
    <t>J33GT0D</t>
  </si>
  <si>
    <t>140103-2017-001944</t>
  </si>
  <si>
    <t>WQ-F04-T1-H02(10-11U)</t>
  </si>
  <si>
    <t>J33GHLW</t>
  </si>
  <si>
    <t>140103-2017-001943</t>
  </si>
  <si>
    <t>WQ-F04-T1-H02(12-13U)</t>
  </si>
  <si>
    <t>J33GT12</t>
  </si>
  <si>
    <t>140103-2017-001942</t>
  </si>
  <si>
    <t>WQ-F04-T1-H02(14-15U)</t>
  </si>
  <si>
    <t>J33GT0V</t>
  </si>
  <si>
    <t>140103-2017-001941</t>
  </si>
  <si>
    <t>WQ-F04-T1-H02(16-17U)</t>
  </si>
  <si>
    <t>J33GT0X</t>
  </si>
  <si>
    <t>140103-2017-001940</t>
  </si>
  <si>
    <t>WQ-F04-T1-H02(18-19U)</t>
  </si>
  <si>
    <t>J33GRZR</t>
  </si>
  <si>
    <t>140103-2017-001939</t>
  </si>
  <si>
    <t>WQ-F04-T1-H02(20-21U)</t>
  </si>
  <si>
    <t>J33GRZV</t>
  </si>
  <si>
    <t>140103-2017-001938</t>
  </si>
  <si>
    <t>WQ-F04-T1-H02(23-24U)</t>
  </si>
  <si>
    <t>J33GRZC</t>
  </si>
  <si>
    <t>140103-2017-001937</t>
  </si>
  <si>
    <t>WQ-F04-T1-H02(25-26U)</t>
  </si>
  <si>
    <t>J33GRZN</t>
  </si>
  <si>
    <t>140103-2017-001936</t>
  </si>
  <si>
    <t>WQ-F04-T1-H02(27-28U)</t>
  </si>
  <si>
    <t>J33GT2B</t>
  </si>
  <si>
    <t>140103-2017-001935</t>
  </si>
  <si>
    <t>WQ-F04-T1-H02(29-30U)</t>
  </si>
  <si>
    <t>J33GT05</t>
  </si>
  <si>
    <t>140103-2017-001962</t>
  </si>
  <si>
    <t>WQ-F04-T1-H03(02-03U)</t>
  </si>
  <si>
    <t>J33GT32</t>
  </si>
  <si>
    <t>140103-2017-001961</t>
  </si>
  <si>
    <t>WQ-F04-T1-H03(04-05U)</t>
  </si>
  <si>
    <t>J33GT04</t>
  </si>
  <si>
    <t>140103-2017-001960</t>
  </si>
  <si>
    <t>WQ-F04-T1-H03(06-07U)</t>
  </si>
  <si>
    <t>J33GHM9</t>
  </si>
  <si>
    <t>140103-2017-001959</t>
  </si>
  <si>
    <t>WQ-F04-T1-H03(08-09U)</t>
  </si>
  <si>
    <t>J33GT19</t>
  </si>
  <si>
    <t>140103-2017-001958</t>
  </si>
  <si>
    <t>WQ-F04-T1-H03(10-11U)</t>
  </si>
  <si>
    <t>J33GRZB</t>
  </si>
  <si>
    <t>140103-2017-001957</t>
  </si>
  <si>
    <t>WQ-F04-T1-H03(12-13U)</t>
  </si>
  <si>
    <t>J33GT2L</t>
  </si>
  <si>
    <t>140103-2017-001956</t>
  </si>
  <si>
    <t>WQ-F04-T1-H03(14-15U)</t>
  </si>
  <si>
    <t>J33GHMN</t>
  </si>
  <si>
    <t>140103-2017-001955</t>
  </si>
  <si>
    <t>WQ-F04-T1-H03(16-17U)</t>
  </si>
  <si>
    <t>J33GT23</t>
  </si>
  <si>
    <t>140103-2017-001954</t>
  </si>
  <si>
    <t>WQ-F04-T1-H03(18-19U)</t>
  </si>
  <si>
    <t>J33GT2K</t>
  </si>
  <si>
    <t>140103-2017-001953</t>
  </si>
  <si>
    <t>WQ-F04-T1-H03(20-21U)</t>
  </si>
  <si>
    <t>J33GHN5</t>
  </si>
  <si>
    <t>140103-2017-001952</t>
  </si>
  <si>
    <t>WQ-F04-T1-H03(23-24U)</t>
  </si>
  <si>
    <t>J33GT00</t>
  </si>
  <si>
    <t>140103-2017-001951</t>
  </si>
  <si>
    <t>WQ-F04-T1-H03(25-26U)</t>
  </si>
  <si>
    <t>J33GHM1</t>
  </si>
  <si>
    <t>140103-2017-001950</t>
  </si>
  <si>
    <t>WQ-F04-T1-H03(27-28U)</t>
  </si>
  <si>
    <t>J33GT14</t>
  </si>
  <si>
    <t>140103-2017-001949</t>
  </si>
  <si>
    <t>WQ-F04-T1-H03(29-30U)</t>
  </si>
  <si>
    <t>J33GT1G</t>
  </si>
  <si>
    <t>140103-2017-001982</t>
  </si>
  <si>
    <t>WQ-F04-T1-H04(02-03U)</t>
  </si>
  <si>
    <t>J33GT33</t>
  </si>
  <si>
    <t>140103-2017-001981</t>
  </si>
  <si>
    <t>WQ-F04-T1-H04(04-05U)</t>
  </si>
  <si>
    <t>J33GT2T</t>
  </si>
  <si>
    <t>140103-2017-001980</t>
  </si>
  <si>
    <t>WQ-F04-T1-H04(06-07U)</t>
  </si>
  <si>
    <t>J33GT06</t>
  </si>
  <si>
    <t>140103-2017-001979</t>
  </si>
  <si>
    <t>WQ-F04-T1-H04(08-09U)</t>
  </si>
  <si>
    <t>J33GHLB</t>
  </si>
  <si>
    <t>140103-2017-001972</t>
  </si>
  <si>
    <t>WQ-F04-T1-H04(10-11U)</t>
  </si>
  <si>
    <t>J33GHLD</t>
  </si>
  <si>
    <t>140103-2017-001971</t>
  </si>
  <si>
    <t>WQ-F04-T1-H04(12-13U)</t>
  </si>
  <si>
    <t>J33GHMZ</t>
  </si>
  <si>
    <t>140103-2017-001970</t>
  </si>
  <si>
    <t>WQ-F04-T1-H04(14-15U)</t>
  </si>
  <si>
    <t>J33GRZE</t>
  </si>
  <si>
    <t>140103-2017-001969</t>
  </si>
  <si>
    <t>WQ-F04-T1-H04(16-17U)</t>
  </si>
  <si>
    <t>J33GHLG</t>
  </si>
  <si>
    <t>140103-2017-001968</t>
  </si>
  <si>
    <t>WQ-F04-T1-H04(18-19U)</t>
  </si>
  <si>
    <t>J33GHLC</t>
  </si>
  <si>
    <t>140103-2017-001967</t>
  </si>
  <si>
    <t>WQ-F04-T1-H04(20-21U)</t>
  </si>
  <si>
    <t>J33GT1F</t>
  </si>
  <si>
    <t>140103-2017-001966</t>
  </si>
  <si>
    <t>WQ-F04-T1-H04(23-24U)</t>
  </si>
  <si>
    <t>J33GHM3</t>
  </si>
  <si>
    <t>140103-2017-001965</t>
  </si>
  <si>
    <t>WQ-F04-T1-H04(25-26U)</t>
  </si>
  <si>
    <t>J33GT0W</t>
  </si>
  <si>
    <t>140103-2017-001964</t>
  </si>
  <si>
    <t>WQ-F04-T1-H04(27-28U)</t>
  </si>
  <si>
    <t>J33GT0F</t>
  </si>
  <si>
    <t>140103-2017-001963</t>
  </si>
  <si>
    <t>WQ-F04-T1-H04(29-30U)</t>
  </si>
  <si>
    <t>J33GT2A</t>
  </si>
  <si>
    <t>140103-2017-001828</t>
  </si>
  <si>
    <t>WQ-F04-T1-H05(02-03U)</t>
  </si>
  <si>
    <t>J33GHLZ</t>
  </si>
  <si>
    <t>140103-2017-001827</t>
  </si>
  <si>
    <t>WQ-F04-T1-H05(04-05U)</t>
  </si>
  <si>
    <t>J33GHN6</t>
  </si>
  <si>
    <t>140103-2017-001826</t>
  </si>
  <si>
    <t>WQ-F04-T1-H05(06-07U)</t>
  </si>
  <si>
    <t>J33GT17</t>
  </si>
  <si>
    <t>140103-2017-002017</t>
  </si>
  <si>
    <t>WQ-F04-T1-H05(08-09U)</t>
  </si>
  <si>
    <t>J33GT13</t>
  </si>
  <si>
    <t>140103-2017-002016</t>
  </si>
  <si>
    <t>WQ-F04-T1-H05(10-11U)</t>
  </si>
  <si>
    <t>J33GT0H</t>
  </si>
  <si>
    <t>140103-2017-001990</t>
  </si>
  <si>
    <t>WQ-F04-T1-H05(12-13U)</t>
  </si>
  <si>
    <t>J33GT11</t>
  </si>
  <si>
    <t>140103-2017-001989</t>
  </si>
  <si>
    <t>WQ-F04-T1-H05(14-15U)</t>
  </si>
  <si>
    <t>J33GT2P</t>
  </si>
  <si>
    <t>140103-2017-001988</t>
  </si>
  <si>
    <t>WQ-F04-T1-H05(16-17U)</t>
  </si>
  <si>
    <t>J33GT02</t>
  </si>
  <si>
    <t>140103-2017-002021</t>
  </si>
  <si>
    <t>WQ-F04-T1-H05(18-19U)</t>
  </si>
  <si>
    <t>J33GT2X</t>
  </si>
  <si>
    <t>140103-2017-002020</t>
  </si>
  <si>
    <t>WQ-F04-T1-H05(20-21U)</t>
  </si>
  <si>
    <t>J33GHMD</t>
  </si>
  <si>
    <t>140103-2017-001986</t>
  </si>
  <si>
    <t>WQ-F04-T1-H05(23-24U)</t>
  </si>
  <si>
    <t>J33GT1M</t>
  </si>
  <si>
    <t>140103-2017-001985</t>
  </si>
  <si>
    <t>WQ-F04-T1-H05(25-26U)</t>
  </si>
  <si>
    <t>J33GT10</t>
  </si>
  <si>
    <t>140103-2017-001984</t>
  </si>
  <si>
    <t>WQ-F04-T1-H05(27-28U)</t>
  </si>
  <si>
    <t>J33GT1A</t>
  </si>
  <si>
    <t>140103-2017-001983</t>
  </si>
  <si>
    <t>WQ-F04-T1-H05(29-30U)</t>
  </si>
  <si>
    <t>J33GRZT</t>
  </si>
  <si>
    <t>140103-2017-001904</t>
  </si>
  <si>
    <t>WQ-F04-T1-H06(02-03U)</t>
  </si>
  <si>
    <t>J33GRZF</t>
  </si>
  <si>
    <t>140103-2017-001903</t>
  </si>
  <si>
    <t>WQ-F04-T1-H06(04-05U)</t>
  </si>
  <si>
    <t>J33GT1B</t>
  </si>
  <si>
    <t>140103-2017-001922</t>
  </si>
  <si>
    <t>WQ-F04-T1-H06(06-07U)</t>
  </si>
  <si>
    <t>J33GT09</t>
  </si>
  <si>
    <t>140103-2017-001921</t>
  </si>
  <si>
    <t>WQ-F04-T1-H06(08-09U)</t>
  </si>
  <si>
    <t>J33GRZZ</t>
  </si>
  <si>
    <t>140103-2017-001838</t>
  </si>
  <si>
    <t>WQ-F04-T1-H06(10-11U)</t>
  </si>
  <si>
    <t>J33GT31</t>
  </si>
  <si>
    <t>140103-2017-001837</t>
  </si>
  <si>
    <t>WQ-F04-T1-H06(12-13U)</t>
  </si>
  <si>
    <t>J33GT1Z</t>
  </si>
  <si>
    <t>140103-2017-001836</t>
  </si>
  <si>
    <t>WQ-F04-T1-H06(14-15U)</t>
  </si>
  <si>
    <t>J33GT26</t>
  </si>
  <si>
    <t>140103-2017-001835</t>
  </si>
  <si>
    <t>WQ-F04-T1-H06(16-17U)</t>
  </si>
  <si>
    <t>J33GRZY</t>
  </si>
  <si>
    <t>140103-2017-001834</t>
  </si>
  <si>
    <t>WQ-F04-T1-H06(18-19U)</t>
  </si>
  <si>
    <t>J33GT0A</t>
  </si>
  <si>
    <t>140103-2017-001833</t>
  </si>
  <si>
    <t>WQ-F04-T1-H06(20-21U)</t>
  </si>
  <si>
    <t>J33GT21</t>
  </si>
  <si>
    <t>140103-2017-001832</t>
  </si>
  <si>
    <t>WQ-F04-T1-H06(23-24U)</t>
  </si>
  <si>
    <t>J33GT0Z</t>
  </si>
  <si>
    <t>140103-2017-001831</t>
  </si>
  <si>
    <t>WQ-F04-T1-H06(25-26U)</t>
  </si>
  <si>
    <t>J33GT16</t>
  </si>
  <si>
    <t>140103-2017-001830</t>
  </si>
  <si>
    <t>WQ-F04-T1-H06(27-28U)</t>
  </si>
  <si>
    <t>J33GHM6</t>
  </si>
  <si>
    <t>140103-2017-001829</t>
  </si>
  <si>
    <t>WQ-F04-T1-H06(29-30U)</t>
  </si>
  <si>
    <t>J33GT2Z</t>
  </si>
  <si>
    <t>140103-2017-001814</t>
  </si>
  <si>
    <t>WQ-F04-T1-H07(02-03U)</t>
  </si>
  <si>
    <t>J33GT2C</t>
  </si>
  <si>
    <t>140103-2017-001908</t>
  </si>
  <si>
    <t>WQ-F04-T1-H07(04-05U)</t>
  </si>
  <si>
    <t>J33GHN0</t>
  </si>
  <si>
    <t>140103-2017-001907</t>
  </si>
  <si>
    <t>WQ-F04-T1-H07(06-07U)</t>
  </si>
  <si>
    <t>J33GHKV</t>
  </si>
  <si>
    <t>140103-2017-001932</t>
  </si>
  <si>
    <t>WQ-F04-T1-H07(08-09U)</t>
  </si>
  <si>
    <t>J33GHM5</t>
  </si>
  <si>
    <t>140103-2017-001931</t>
  </si>
  <si>
    <t>WQ-F04-T1-H07(10-11U)</t>
  </si>
  <si>
    <t>J33GT29</t>
  </si>
  <si>
    <t>140103-2017-001930</t>
  </si>
  <si>
    <t>WQ-F04-T1-H07(12-13U)</t>
  </si>
  <si>
    <t>J33GT1V</t>
  </si>
  <si>
    <t>140103-2017-001929</t>
  </si>
  <si>
    <t>WQ-F04-T1-H07(14-15U)</t>
  </si>
  <si>
    <t>J33GT1D</t>
  </si>
  <si>
    <t>140103-2017-001928</t>
  </si>
  <si>
    <t>WQ-F04-T1-H07(16-17U)</t>
  </si>
  <si>
    <t>J33GRZM</t>
  </si>
  <si>
    <t>140103-2017-001926</t>
  </si>
  <si>
    <t>WQ-F04-T1-H07(18-19U)</t>
  </si>
  <si>
    <t>J33GRZP</t>
  </si>
  <si>
    <t>140103-2017-001925</t>
  </si>
  <si>
    <t>WQ-F04-T1-H07(20-21U)</t>
  </si>
  <si>
    <t>J33GT0K</t>
  </si>
  <si>
    <t>140103-2017-001924</t>
  </si>
  <si>
    <t>WQ-F04-T1-H07(23-24U)</t>
  </si>
  <si>
    <t>J33GT0T</t>
  </si>
  <si>
    <t>140103-2017-001923</t>
  </si>
  <si>
    <t>WQ-F04-T1-H07(25-26U)</t>
  </si>
  <si>
    <t>J33GT0R</t>
  </si>
  <si>
    <t>140103-2017-001906</t>
  </si>
  <si>
    <t>WQ-F04-T1-H07(27-28U)</t>
  </si>
  <si>
    <t>J33GT24</t>
  </si>
  <si>
    <t>140103-2017-001905</t>
  </si>
  <si>
    <t>WQ-F04-T1-H07(29-30U)</t>
  </si>
  <si>
    <t>J33GT1Y</t>
  </si>
  <si>
    <t>140103-2017-001910</t>
  </si>
  <si>
    <t>WQ-F04-T1-H08(02-03U)</t>
  </si>
  <si>
    <t>J33GT1C</t>
  </si>
  <si>
    <t>140103-2017-001909</t>
  </si>
  <si>
    <t>WQ-F04-T1-H08(04-05U)</t>
  </si>
  <si>
    <t>J33GHMX</t>
  </si>
  <si>
    <t>140103-2017-001840</t>
  </si>
  <si>
    <t>WQ-F04-T1-H08(06-07U)</t>
  </si>
  <si>
    <t>J33GHLF</t>
  </si>
  <si>
    <t>140103-2017-001839</t>
  </si>
  <si>
    <t>WQ-F04-T1-H08(08-09U)</t>
  </si>
  <si>
    <t>J33GT2N</t>
  </si>
  <si>
    <t>140103-2017-001824</t>
  </si>
  <si>
    <t>WQ-F04-T1-H08(10-11U)</t>
  </si>
  <si>
    <t>J33GHM2</t>
  </si>
  <si>
    <t>140103-2017-001823</t>
  </si>
  <si>
    <t>WQ-F04-T1-H08(12-13U)</t>
  </si>
  <si>
    <t>J33GT2G</t>
  </si>
  <si>
    <t>140103-2017-001822</t>
  </si>
  <si>
    <t>WQ-F04-T1-H08(14-15U)</t>
  </si>
  <si>
    <t>J33GHMM</t>
  </si>
  <si>
    <t>140103-2017-001821</t>
  </si>
  <si>
    <t>WQ-F04-T1-H08(16-17U)</t>
  </si>
  <si>
    <t>J33GT2W</t>
  </si>
  <si>
    <t>140103-2017-001820</t>
  </si>
  <si>
    <t>WQ-F04-T1-H08(18-19U)</t>
  </si>
  <si>
    <t>J33GT0N</t>
  </si>
  <si>
    <t>140103-2017-001819</t>
  </si>
  <si>
    <t>WQ-F04-T1-H08(20-21U)</t>
  </si>
  <si>
    <t>J33GRZG</t>
  </si>
  <si>
    <t>140103-2017-001818</t>
  </si>
  <si>
    <t>WQ-F04-T1-H08(23-24U)</t>
  </si>
  <si>
    <t>J33GT0B</t>
  </si>
  <si>
    <t>140103-2017-001817</t>
  </si>
  <si>
    <t>WQ-F04-T1-H08(25-26U)</t>
  </si>
  <si>
    <t>J33GRZ9</t>
  </si>
  <si>
    <t>140103-2017-001816</t>
  </si>
  <si>
    <t>WQ-F04-T1-H08(27-28U)</t>
  </si>
  <si>
    <t>J33GHKZ</t>
  </si>
  <si>
    <t>140103-2017-001815</t>
  </si>
  <si>
    <t>WQ-F04-T1-H08(29-30U)</t>
  </si>
  <si>
    <t>J33GRZH</t>
  </si>
  <si>
    <t>140103-2017-001844</t>
  </si>
  <si>
    <t>WQ-F04-T1-H09(02-03U)</t>
  </si>
  <si>
    <t>J33GT1X</t>
  </si>
  <si>
    <t>140103-2017-001843</t>
  </si>
  <si>
    <t>WQ-F04-T1-H09(04-05U)</t>
  </si>
  <si>
    <t>J33GT2V</t>
  </si>
  <si>
    <t>140103-2017-001842</t>
  </si>
  <si>
    <t>WQ-F04-T1-H09(06-07U)</t>
  </si>
  <si>
    <t>J33GRZD</t>
  </si>
  <si>
    <t>140103-2017-001841</t>
  </si>
  <si>
    <t>WQ-F04-T1-H09(08-09U)</t>
  </si>
  <si>
    <t>J33GHMG</t>
  </si>
  <si>
    <t>140103-2017-001920</t>
  </si>
  <si>
    <t>WQ-F04-T1-H09(10-11U)</t>
  </si>
  <si>
    <t>J33GT0L</t>
  </si>
  <si>
    <t>140103-2017-001919</t>
  </si>
  <si>
    <t>WQ-F04-T1-H09(12-13U)</t>
  </si>
  <si>
    <t>J33GT2D</t>
  </si>
  <si>
    <t>140103-2017-001918</t>
  </si>
  <si>
    <t>WQ-F04-T1-H09(14-15U)</t>
  </si>
  <si>
    <t>J33GHMW</t>
  </si>
  <si>
    <t>140103-2017-001917</t>
  </si>
  <si>
    <t>WQ-F04-T1-H09(16-17U)</t>
  </si>
  <si>
    <t>J33GHN3</t>
  </si>
  <si>
    <t>140103-2017-001916</t>
  </si>
  <si>
    <t>WQ-F04-T1-H09(18-19U)</t>
  </si>
  <si>
    <t>J33GT2Y</t>
  </si>
  <si>
    <t>140103-2017-001915</t>
  </si>
  <si>
    <t>WQ-F04-T1-H09(20-21U)</t>
  </si>
  <si>
    <t>J33GHKT</t>
  </si>
  <si>
    <t>140103-2017-001914</t>
  </si>
  <si>
    <t>WQ-F04-T1-H09(23-24U)</t>
  </si>
  <si>
    <t>J33GHLT</t>
  </si>
  <si>
    <t>140103-2017-001913</t>
  </si>
  <si>
    <t>WQ-F04-T1-H09(25-26U)</t>
  </si>
  <si>
    <t>J33GHLH</t>
  </si>
  <si>
    <t>140103-2017-001912</t>
  </si>
  <si>
    <t>WQ-F04-T1-H09(27-28U)</t>
  </si>
  <si>
    <t>J33GT18</t>
  </si>
  <si>
    <t>140103-2017-001911</t>
  </si>
  <si>
    <t>WQ-F04-T1-H09(29-30U)</t>
  </si>
  <si>
    <t>J33GHLE</t>
  </si>
  <si>
    <t>140103-2017-001858</t>
  </si>
  <si>
    <t>WQ-F04-T1-H10(02-03U)</t>
  </si>
  <si>
    <t>J33GT1W</t>
  </si>
  <si>
    <t>140103-2017-001857</t>
  </si>
  <si>
    <t>WQ-F04-T1-H10(04-05U)</t>
  </si>
  <si>
    <t>J33GHMK</t>
  </si>
  <si>
    <t>140103-2017-001856</t>
  </si>
  <si>
    <t>WQ-F04-T1-H10(06-07U)</t>
  </si>
  <si>
    <t>J33GT07</t>
  </si>
  <si>
    <t>140103-2017-001855</t>
  </si>
  <si>
    <t>WQ-F04-T1-H10(08-09U)</t>
  </si>
  <si>
    <t>J33GHMT</t>
  </si>
  <si>
    <t>140103-2017-001854</t>
  </si>
  <si>
    <t>WQ-F04-T1-H10(10-11U)</t>
  </si>
  <si>
    <t>J33GT0C</t>
  </si>
  <si>
    <t>140103-2017-001853</t>
  </si>
  <si>
    <t>WQ-F04-T1-H10(12-13U)</t>
  </si>
  <si>
    <t>J33GT1R</t>
  </si>
  <si>
    <t>140103-2017-001852</t>
  </si>
  <si>
    <t>WQ-F04-T1-H10(14-15U)</t>
  </si>
  <si>
    <t>J33GT0G</t>
  </si>
  <si>
    <t>140103-2017-001851</t>
  </si>
  <si>
    <t>WQ-F04-T1-H10(16-17U)</t>
  </si>
  <si>
    <t>J33GHN2</t>
  </si>
  <si>
    <t>140103-2017-001850</t>
  </si>
  <si>
    <t>WQ-F04-T1-H10(18-19U)</t>
  </si>
  <si>
    <t>J33GT1T</t>
  </si>
  <si>
    <t>140103-2017-001849</t>
  </si>
  <si>
    <t>WQ-F04-T1-H10(20-21U)</t>
  </si>
  <si>
    <t>J33GHN4</t>
  </si>
  <si>
    <t>140103-2017-001848</t>
  </si>
  <si>
    <t>WQ-F04-T1-H10(23-24U)</t>
  </si>
  <si>
    <t>J33GT0E</t>
  </si>
  <si>
    <t>140103-2017-001847</t>
  </si>
  <si>
    <t>WQ-F04-T1-H10(25-26U)</t>
  </si>
  <si>
    <t>J33GHMB</t>
  </si>
  <si>
    <t>140103-2017-001846</t>
  </si>
  <si>
    <t>WQ-F04-T1-H10(27-28U)</t>
  </si>
  <si>
    <t>J33GHMC</t>
  </si>
  <si>
    <t>140103-2017-001845</t>
  </si>
  <si>
    <t>WQ-F04-T1-H10(29-30U)</t>
  </si>
  <si>
    <t>J320C2K</t>
  </si>
  <si>
    <t>140103-2016-000147</t>
  </si>
  <si>
    <t>WQ-F04-T4-B16(08-09U)</t>
  </si>
  <si>
    <t>J33GHMP</t>
  </si>
  <si>
    <t>140103-2017-001864</t>
  </si>
  <si>
    <t>WQ-F04-T4-B16(11-12U)</t>
  </si>
  <si>
    <t>J33GT25</t>
  </si>
  <si>
    <t>140103-2017-001863</t>
  </si>
  <si>
    <t>WQ-F04-T4-B16(14-15U)</t>
  </si>
  <si>
    <t>J33GT2M</t>
  </si>
  <si>
    <t>140103-2017-001862</t>
  </si>
  <si>
    <t>WQ-F04-T4-B16(17-18U)</t>
  </si>
  <si>
    <t>J33GT30</t>
  </si>
  <si>
    <t>140103-2017-001861</t>
  </si>
  <si>
    <t>WQ-F04-T4-B16(20-21U)</t>
  </si>
  <si>
    <t>J320C2G</t>
  </si>
  <si>
    <t>140103-2016-000148</t>
  </si>
  <si>
    <t>WQ-F04-T4-B17(08-09U)</t>
  </si>
  <si>
    <t>J33GT0P</t>
  </si>
  <si>
    <t>140103-2017-001874</t>
  </si>
  <si>
    <t>WQ-F04-T4-B17(11-12U)</t>
  </si>
  <si>
    <t>J33GHM0</t>
  </si>
  <si>
    <t>140103-2017-001873</t>
  </si>
  <si>
    <t>WQ-F04-T4-B17(14-15U)</t>
  </si>
  <si>
    <t>J33GT0Y</t>
  </si>
  <si>
    <t>140103-2017-001866</t>
  </si>
  <si>
    <t>WQ-F04-T4-B17(17-18U)</t>
  </si>
  <si>
    <t>J33GT2E</t>
  </si>
  <si>
    <t>140103-2017-001865</t>
  </si>
  <si>
    <t>WQ-F04-T4-B17(20-21U)</t>
  </si>
  <si>
    <t>J33GHME</t>
  </si>
  <si>
    <t>140103-2017-001859</t>
  </si>
  <si>
    <t>WQ-F04-T4-C04(02-03U)</t>
  </si>
  <si>
    <t>J33GRZA</t>
  </si>
  <si>
    <t>140103-2017-001860</t>
  </si>
  <si>
    <t>WQ-F04-T4-C04(04-05U)</t>
  </si>
  <si>
    <t>J33GHN7</t>
  </si>
  <si>
    <t>140103-2017-001889</t>
  </si>
  <si>
    <t>WQ-F04-T4-C05(02-03U)</t>
  </si>
  <si>
    <t>J33GHL1</t>
  </si>
  <si>
    <t>140103-2017-001890</t>
  </si>
  <si>
    <t>WQ-F04-T4-C05(04-05U)</t>
  </si>
  <si>
    <t>J33GRZL</t>
  </si>
  <si>
    <t>140103-2017-001891</t>
  </si>
  <si>
    <t>WQ-F04-T4-C05(06-07U)</t>
  </si>
  <si>
    <t>J33GT1N</t>
  </si>
  <si>
    <t>140103-2017-001892</t>
  </si>
  <si>
    <t>WQ-F04-T4-C05(08-09U)</t>
  </si>
  <si>
    <t>J33GT1L</t>
  </si>
  <si>
    <t>140103-2017-001893</t>
  </si>
  <si>
    <t>WQ-F04-T4-C05(10-11U)</t>
  </si>
  <si>
    <t>J33GT1E</t>
  </si>
  <si>
    <t>140103-2017-001894</t>
  </si>
  <si>
    <t>WQ-F04-T4-C05(12-13U)</t>
  </si>
  <si>
    <t>J33GT1H</t>
  </si>
  <si>
    <t>140103-2017-001895</t>
  </si>
  <si>
    <t>WQ-F04-T4-C05(14-15U)</t>
  </si>
  <si>
    <t>J33GHLY</t>
  </si>
  <si>
    <t>140103-2017-001896</t>
  </si>
  <si>
    <t>WQ-F04-T4-C05(16-17U)</t>
  </si>
  <si>
    <t>J33GHLK</t>
  </si>
  <si>
    <t>140103-2017-001897</t>
  </si>
  <si>
    <t>WQ-F04-T4-C05(18-19U)</t>
  </si>
  <si>
    <t>J33GHMV</t>
  </si>
  <si>
    <t>140103-2017-001898</t>
  </si>
  <si>
    <t>WQ-F04-T4-C05(20-21U)</t>
  </si>
  <si>
    <t>J33GHML</t>
  </si>
  <si>
    <t>140103-2017-001899</t>
  </si>
  <si>
    <t>WQ-F04-T4-C05(23-24U)</t>
  </si>
  <si>
    <t>J33GT28</t>
  </si>
  <si>
    <t>140103-2017-001900</t>
  </si>
  <si>
    <t>WQ-F04-T4-C05(25-26U)</t>
  </si>
  <si>
    <t>J33GHLR</t>
  </si>
  <si>
    <t>140103-2017-001901</t>
  </si>
  <si>
    <t>WQ-F04-T4-C05(27-28U)</t>
  </si>
  <si>
    <t>J33GT1P</t>
  </si>
  <si>
    <t>140103-2017-001902</t>
  </si>
  <si>
    <t>WQ-F04-T4-C05(29-30U)</t>
  </si>
  <si>
    <t>J33GT01</t>
  </si>
  <si>
    <t>140103-2017-001875</t>
  </si>
  <si>
    <t>WQ-F04-T4-C06(02-03U)</t>
  </si>
  <si>
    <t>J33GRZK</t>
  </si>
  <si>
    <t>140103-2017-001876</t>
  </si>
  <si>
    <t>WQ-F04-T4-C06(04-05U)</t>
  </si>
  <si>
    <t>J33GT08</t>
  </si>
  <si>
    <t>140103-2017-001877</t>
  </si>
  <si>
    <t>WQ-F04-T4-C06(06-07U)</t>
  </si>
  <si>
    <t>J33GT2H</t>
  </si>
  <si>
    <t>140103-2017-001878</t>
  </si>
  <si>
    <t>WQ-F04-T4-C06(08-09U)</t>
  </si>
  <si>
    <t>J33GHLA</t>
  </si>
  <si>
    <t>140103-2017-001879</t>
  </si>
  <si>
    <t>WQ-F04-T4-C06(10-11U)</t>
  </si>
  <si>
    <t>J33GT2R</t>
  </si>
  <si>
    <t>140103-2017-001880</t>
  </si>
  <si>
    <t>WQ-F04-T4-C06(12-13U)</t>
  </si>
  <si>
    <t>J33GHMH</t>
  </si>
  <si>
    <t>140103-2017-001881</t>
  </si>
  <si>
    <t>WQ-F04-T4-C06(14-15U)</t>
  </si>
  <si>
    <t>J33GT2F</t>
  </si>
  <si>
    <t>140103-2017-001882</t>
  </si>
  <si>
    <t>WQ-F04-T4-C06(16-17U)</t>
  </si>
  <si>
    <t>J33GT20</t>
  </si>
  <si>
    <t>140103-2017-001883</t>
  </si>
  <si>
    <t>WQ-F04-T4-C06(18-19U)</t>
  </si>
  <si>
    <t>J33GHM8</t>
  </si>
  <si>
    <t>140103-2017-001884</t>
  </si>
  <si>
    <t>WQ-F04-T4-C06(20-21U)</t>
  </si>
  <si>
    <t>J33GT1K</t>
  </si>
  <si>
    <t>140103-2017-001885</t>
  </si>
  <si>
    <t>WQ-F04-T4-C06(23-24U)</t>
  </si>
  <si>
    <t>J33GT15</t>
  </si>
  <si>
    <t>140103-2017-001886</t>
  </si>
  <si>
    <t>WQ-F04-T4-C06(25-26U)</t>
  </si>
  <si>
    <t>J33GT22</t>
  </si>
  <si>
    <t>140103-2017-001887</t>
  </si>
  <si>
    <t>WQ-F04-T4-C06(27-28U)</t>
  </si>
  <si>
    <t>J33GT27</t>
  </si>
  <si>
    <t>140103-2017-001888</t>
  </si>
  <si>
    <t>WQ-F04-T4-C06(29-30U)</t>
  </si>
  <si>
    <t>浪潮 TS860G3</t>
  </si>
  <si>
    <t>217400370</t>
  </si>
  <si>
    <t>140103-2017-002015</t>
  </si>
  <si>
    <t>WQ-F04-T4-E06(2U临)</t>
  </si>
  <si>
    <t>J33GRWP</t>
  </si>
  <si>
    <t>140103-2017-002005</t>
  </si>
  <si>
    <t>WQ-F04-T5-A13(02-03U)</t>
  </si>
  <si>
    <t>J33GRWC</t>
  </si>
  <si>
    <t>140103-2017-002004</t>
  </si>
  <si>
    <t>WQ-F04-T5-A13(04-05U)</t>
  </si>
  <si>
    <t>J33GRWE</t>
  </si>
  <si>
    <t>140103-2017-002003</t>
  </si>
  <si>
    <t>WQ-F04-T5-A13(06-07U)</t>
  </si>
  <si>
    <t>J33GRWH</t>
  </si>
  <si>
    <t>140103-2017-002002</t>
  </si>
  <si>
    <t>WQ-F04-T5-A13(08-09U)</t>
  </si>
  <si>
    <t>J33GRWF</t>
  </si>
  <si>
    <t>140103-2017-002001</t>
  </si>
  <si>
    <t>WQ-F04-T5-A13(10-11U)</t>
  </si>
  <si>
    <t>J33GRWN</t>
  </si>
  <si>
    <t>140103-2017-002000</t>
  </si>
  <si>
    <t>WQ-F04-T5-A13(12-13U)</t>
  </si>
  <si>
    <t>J33GRWA</t>
  </si>
  <si>
    <t>140103-2017-001999</t>
  </si>
  <si>
    <t>WQ-F04-T5-A13(14-15U)</t>
  </si>
  <si>
    <t>J33GRWK</t>
  </si>
  <si>
    <t>140103-2017-001998</t>
  </si>
  <si>
    <t>WQ-F04-T5-A13(16-17U)</t>
  </si>
  <si>
    <t>J33GRWB</t>
  </si>
  <si>
    <t>140103-2017-001997</t>
  </si>
  <si>
    <t>WQ-F04-T5-A13(18-19U)</t>
  </si>
  <si>
    <t>217400368</t>
  </si>
  <si>
    <t>140103-2017-002008</t>
  </si>
  <si>
    <t>WQ-F04-T5-B05(02-09U)</t>
  </si>
  <si>
    <t>217400369</t>
  </si>
  <si>
    <t>140103-2017-002007</t>
  </si>
  <si>
    <t>WQ-F04-T5-B05(11-18U)</t>
  </si>
  <si>
    <t>217400367</t>
  </si>
  <si>
    <t>140103-2017-002006</t>
  </si>
  <si>
    <t>WQ-F04-T5-B05(24-31U)</t>
  </si>
  <si>
    <t>217400376</t>
  </si>
  <si>
    <t>140103-2017-002011</t>
  </si>
  <si>
    <t>WQ-F04-T5-B06(02-09U)</t>
  </si>
  <si>
    <t>217400373</t>
  </si>
  <si>
    <t>140103-2017-002010</t>
  </si>
  <si>
    <t>WQ-F04-T5-B06(11-18U)</t>
  </si>
  <si>
    <t>217400375</t>
  </si>
  <si>
    <t>140103-2017-002009</t>
  </si>
  <si>
    <t>WQ-F04-T5-B06(21-28U)</t>
  </si>
  <si>
    <t>217400371</t>
  </si>
  <si>
    <t>140103-2017-002014</t>
  </si>
  <si>
    <t>WQ-F04-T5-B07(02-09U)</t>
  </si>
  <si>
    <t>217400374</t>
  </si>
  <si>
    <t>140103-2017-002013</t>
  </si>
  <si>
    <t>WQ-F04-T5-B07(11-18U)</t>
  </si>
  <si>
    <t>217400372</t>
  </si>
  <si>
    <t>140103-2017-002012</t>
  </si>
  <si>
    <t>WQ-F04-T5-B07(24-31U)</t>
  </si>
  <si>
    <t>210235A3SUH19A000104</t>
  </si>
  <si>
    <t>140103-2019-000795</t>
  </si>
  <si>
    <t>WQ-F04-T5-B08(08-19U)DP14-1</t>
  </si>
  <si>
    <t>210235A3SUH19A000136</t>
  </si>
  <si>
    <t>140103-2019-000806</t>
  </si>
  <si>
    <t>WQ-F04-T5-B08(08-19U)DP14-10</t>
  </si>
  <si>
    <t>210235A3SUH19A000223</t>
  </si>
  <si>
    <t>140103-2019-000807</t>
  </si>
  <si>
    <t>WQ-F04-T5-B08(08-19U)DP14-11</t>
  </si>
  <si>
    <t>210235A3SUH19A000367</t>
  </si>
  <si>
    <t>140103-2019-000808</t>
  </si>
  <si>
    <t>WQ-F04-T5-B08(08-19U)DP14-12</t>
  </si>
  <si>
    <t>210235A3SUH19A000288</t>
  </si>
  <si>
    <t>140103-2019-000809</t>
  </si>
  <si>
    <t>WQ-F04-T5-B08(08-19U)DP14-13</t>
  </si>
  <si>
    <t>210235A3SUH19A000146</t>
  </si>
  <si>
    <t>140103-2019-000810</t>
  </si>
  <si>
    <t>WQ-F04-T5-B08(08-19U)DP14-14</t>
  </si>
  <si>
    <t>210235A3SUH19A000091</t>
  </si>
  <si>
    <t>140103-2019-000811</t>
  </si>
  <si>
    <t>WQ-F04-T5-B08(08-19U)DP14-15</t>
  </si>
  <si>
    <t>210235A3SUH19A000222</t>
  </si>
  <si>
    <t>140103-2019-000812</t>
  </si>
  <si>
    <t>WQ-F04-T5-B08(08-19U)DP14-16</t>
  </si>
  <si>
    <t>210235A3SUH19A000120</t>
  </si>
  <si>
    <t>140103-2019-000796</t>
  </si>
  <si>
    <t>WQ-F04-T5-B08(08-19U)DP14-2</t>
  </si>
  <si>
    <t>210235A3SUH19A000305</t>
  </si>
  <si>
    <t>140103-2019-000797</t>
  </si>
  <si>
    <t>WQ-F04-T5-B08(08-19U)DP14-3</t>
  </si>
  <si>
    <t>210235A3SUH19A000281</t>
  </si>
  <si>
    <t>140103-2019-000798</t>
  </si>
  <si>
    <t>WQ-F04-T5-B08(08-19U)DP14-4</t>
  </si>
  <si>
    <t>210235A3SUH19A000130</t>
  </si>
  <si>
    <t>140103-2019-000799</t>
  </si>
  <si>
    <t>WQ-F04-T5-B08(08-19U)DP14-5</t>
  </si>
  <si>
    <t>210235A3SUH19A000308</t>
  </si>
  <si>
    <t>140103-2019-000800</t>
  </si>
  <si>
    <t>WQ-F04-T5-B08(08-19U)DP14-6</t>
  </si>
  <si>
    <t>210235A3SUH19A000124</t>
  </si>
  <si>
    <t>140103-2019-000803</t>
  </si>
  <si>
    <t>WQ-F04-T5-B08(08-19U)DP14-7</t>
  </si>
  <si>
    <t>210235A3SUH19A000299</t>
  </si>
  <si>
    <t>140103-2019-000804</t>
  </si>
  <si>
    <t>WQ-F04-T5-B08(08-19U)DP14-8</t>
  </si>
  <si>
    <t>210235A3SUH19A000266</t>
  </si>
  <si>
    <t>140103-2019-000805</t>
  </si>
  <si>
    <t>WQ-F04-T5-B08(08-19U)DP14-9</t>
  </si>
  <si>
    <t>J301DN2G</t>
  </si>
  <si>
    <t>140103-2019-000914</t>
  </si>
  <si>
    <t>WQ-F04-T5-B08(23-24U)</t>
  </si>
  <si>
    <t>J301DN2M</t>
  </si>
  <si>
    <t>140103-2019-000913</t>
  </si>
  <si>
    <t>WQ-F04-T5-B08(25-26U)</t>
  </si>
  <si>
    <t>J301DN2F</t>
  </si>
  <si>
    <t>140103-2019-000912</t>
  </si>
  <si>
    <t>WQ-F04-T5-B08(27-28U)</t>
  </si>
  <si>
    <t>210235A3SUH19A000106</t>
  </si>
  <si>
    <t>140103-2019-000825</t>
  </si>
  <si>
    <t>WQ-F04-T5-B09(08-19U)DP13-1</t>
  </si>
  <si>
    <t>210235A3SUH19A000256</t>
  </si>
  <si>
    <t>140103-2019-000834</t>
  </si>
  <si>
    <t>WQ-F04-T5-B09(08-19U)DP13-10</t>
  </si>
  <si>
    <t>210235A3SUH19A000147</t>
  </si>
  <si>
    <t>140103-2019-000835</t>
  </si>
  <si>
    <t>WQ-F04-T5-B09(08-19U)DP13-11</t>
  </si>
  <si>
    <t>210235A3SUH19A000340</t>
  </si>
  <si>
    <t>140103-2019-000836</t>
  </si>
  <si>
    <t>WQ-F04-T5-B09(08-19U)DP13-12</t>
  </si>
  <si>
    <t>210235A3SUH19A000307</t>
  </si>
  <si>
    <t>140103-2019-000837</t>
  </si>
  <si>
    <t>WQ-F04-T5-B09(08-19U)DP13-13</t>
  </si>
  <si>
    <t>210235A3SUH19A000361</t>
  </si>
  <si>
    <t>140103-2019-000838</t>
  </si>
  <si>
    <t>WQ-F04-T5-B09(08-19U)DP13-14</t>
  </si>
  <si>
    <t>210235A3SUH19A000129</t>
  </si>
  <si>
    <t>140103-2019-000839</t>
  </si>
  <si>
    <t>WQ-F04-T5-B09(08-19U)DP13-15</t>
  </si>
  <si>
    <t>210235A3SUH19A000229</t>
  </si>
  <si>
    <t>140103-2019-000840</t>
  </si>
  <si>
    <t>WQ-F04-T5-B09(08-19U)DP13-16</t>
  </si>
  <si>
    <t>210235A3SUH19A000212</t>
  </si>
  <si>
    <t>140103-2019-000826</t>
  </si>
  <si>
    <t>WQ-F04-T5-B09(08-19U)DP13-2</t>
  </si>
  <si>
    <t>210235A3SUH19A000377</t>
  </si>
  <si>
    <t>140103-2019-000827</t>
  </si>
  <si>
    <t>WQ-F04-T5-B09(08-19U)DP13-3</t>
  </si>
  <si>
    <t>210235A3SUH19A000375</t>
  </si>
  <si>
    <t>140103-2019-000828</t>
  </si>
  <si>
    <t>WQ-F04-T5-B09(08-19U)DP13-4</t>
  </si>
  <si>
    <t>210235A3SUH199000144</t>
  </si>
  <si>
    <t>140103-2019-000829</t>
  </si>
  <si>
    <t>WQ-F04-T5-B09(08-19U)DP13-5</t>
  </si>
  <si>
    <t>210235A3SUH19A000171</t>
  </si>
  <si>
    <t>140103-2019-000830</t>
  </si>
  <si>
    <t>WQ-F04-T5-B09(08-19U)DP13-6</t>
  </si>
  <si>
    <t>210235A3SUH19A000298</t>
  </si>
  <si>
    <t>140103-2019-000831</t>
  </si>
  <si>
    <t>WQ-F04-T5-B09(08-19U)DP13-7</t>
  </si>
  <si>
    <t>210235A3SUH19A000094</t>
  </si>
  <si>
    <t>140103-2019-000832</t>
  </si>
  <si>
    <t>WQ-F04-T5-B09(08-19U)DP13-8</t>
  </si>
  <si>
    <t>210235A3SUH199000017</t>
  </si>
  <si>
    <t>140103-2019-000833</t>
  </si>
  <si>
    <t>WQ-F04-T5-B09(08-19U)DP13-9</t>
  </si>
  <si>
    <t>J301DN2L</t>
  </si>
  <si>
    <t>140103-2019-000911</t>
  </si>
  <si>
    <t>WQ-F04-T5-B09(23-24U)</t>
  </si>
  <si>
    <t>J301DN2H</t>
  </si>
  <si>
    <t>140103-2019-000910</t>
  </si>
  <si>
    <t>WQ-F04-T5-B09(25-26U)</t>
  </si>
  <si>
    <t>J301DN2K</t>
  </si>
  <si>
    <t>140103-2019-000909</t>
  </si>
  <si>
    <t>WQ-F04-T5-B09(27-28U)</t>
  </si>
  <si>
    <t>210235A3SUH19B000021</t>
  </si>
  <si>
    <t>140103-2019-000818</t>
  </si>
  <si>
    <t>WQ-F04-T5-B10(08-19U)DP12-10</t>
  </si>
  <si>
    <t>210235A3SUH19B000106</t>
  </si>
  <si>
    <t>140103-2019-000819</t>
  </si>
  <si>
    <t>WQ-F04-T5-B10(08-19U)DP12-11</t>
  </si>
  <si>
    <t>210235A3SUH19B000127</t>
  </si>
  <si>
    <t>140103-2019-000820</t>
  </si>
  <si>
    <t>WQ-F04-T5-B10(08-19U)DP12-12</t>
  </si>
  <si>
    <t>210235A3SUH19B000059</t>
  </si>
  <si>
    <t>140103-2019-000821</t>
  </si>
  <si>
    <t>WQ-F04-T5-B10(08-19U)DP12-13</t>
  </si>
  <si>
    <t>210235A3SUH19B000126</t>
  </si>
  <si>
    <t>140103-2019-000822</t>
  </si>
  <si>
    <t>WQ-F04-T5-B10(08-19U)DP12-14</t>
  </si>
  <si>
    <t>210235A3SUH19B000168</t>
  </si>
  <si>
    <t>140103-2019-000823</t>
  </si>
  <si>
    <t>WQ-F04-T5-B10(08-19U)DP12-15</t>
  </si>
  <si>
    <t>210235A3SUH19B000165</t>
  </si>
  <si>
    <t>140103-2019-000824</t>
  </si>
  <si>
    <t>WQ-F04-T5-B10(08-19U)DP12-16</t>
  </si>
  <si>
    <t>210235A3SUH19B000150</t>
  </si>
  <si>
    <t>140103-2019-000801</t>
  </si>
  <si>
    <t>WQ-F04-T5-B10(08-19U)DP12-3</t>
  </si>
  <si>
    <t>210235A3SUH19B000166</t>
  </si>
  <si>
    <t>140103-2019-000802</t>
  </si>
  <si>
    <t>WQ-F04-T5-B10(08-19U)DP12-4</t>
  </si>
  <si>
    <t>210235A3SUH19B000061</t>
  </si>
  <si>
    <t>140103-2019-000813</t>
  </si>
  <si>
    <t>WQ-F04-T5-B10(08-19U)DP12-5</t>
  </si>
  <si>
    <t>210235A3SUH19B000105</t>
  </si>
  <si>
    <t>140103-2019-000814</t>
  </si>
  <si>
    <t>WQ-F04-T5-B10(08-19U)DP12-6</t>
  </si>
  <si>
    <t>210235A3SUH19B000162</t>
  </si>
  <si>
    <t>140103-2019-000815</t>
  </si>
  <si>
    <t>WQ-F04-T5-B10(08-19U)DP12-7</t>
  </si>
  <si>
    <t>210235A3SUH19B000169</t>
  </si>
  <si>
    <t>140103-2019-000816</t>
  </si>
  <si>
    <t>WQ-F04-T5-B10(08-19U)DP12-8</t>
  </si>
  <si>
    <t>210235A3SUH19B000160</t>
  </si>
  <si>
    <t>140103-2019-000817</t>
  </si>
  <si>
    <t>WQ-F04-T5-B10(08-19U)DP12-9</t>
  </si>
  <si>
    <t>210235A3SUH19A000344</t>
  </si>
  <si>
    <t>140103-2019-000907</t>
  </si>
  <si>
    <t>WQ-F04-T5-B10(08-19U)DP14-1</t>
  </si>
  <si>
    <t>210235A3SUH19A000101</t>
  </si>
  <si>
    <t>140103-2019-000908</t>
  </si>
  <si>
    <t>WQ-F04-T5-B10(08-19U)DP14-2</t>
  </si>
  <si>
    <t>210235A3U6H195000026</t>
  </si>
  <si>
    <t>140103-2019-000022</t>
  </si>
  <si>
    <t>WQ-F04-T5-G13(12-13U)</t>
  </si>
  <si>
    <t>210235A3U6H195000022</t>
  </si>
  <si>
    <t>140103-2019-000023</t>
  </si>
  <si>
    <t>WQ-F04-T5-G13(14-15U)</t>
  </si>
  <si>
    <t>210235A3U6H195000025</t>
  </si>
  <si>
    <t>140103-2019-000024</t>
  </si>
  <si>
    <t>WQ-F04-T5-G13(16-17U)</t>
  </si>
  <si>
    <t>210235A3U6H195000029</t>
  </si>
  <si>
    <t>140103-2019-000017</t>
  </si>
  <si>
    <t>WQ-F04-T5-G13(2-3U)</t>
  </si>
  <si>
    <t>210235A3U6H195000027</t>
  </si>
  <si>
    <t>140103-2019-000019</t>
  </si>
  <si>
    <t>WQ-F04-T5-G13(6-7U)</t>
  </si>
  <si>
    <t>210235A3U6H195000023</t>
  </si>
  <si>
    <t>140103-2019-000020</t>
  </si>
  <si>
    <t>WQ-F04-T5-G13(8-9U)</t>
  </si>
  <si>
    <t>210235A3U6H195000021</t>
  </si>
  <si>
    <t>140103-2019-000029</t>
  </si>
  <si>
    <t>WQ-F04-T5-G14(10-11U)</t>
  </si>
  <si>
    <t>210235A3U6H195000031</t>
  </si>
  <si>
    <t>140103-2019-000030</t>
  </si>
  <si>
    <t>WQ-F04-T5-G14(12-13U)</t>
  </si>
  <si>
    <t>210235A3U6H195000032</t>
  </si>
  <si>
    <t>140103-2019-000031</t>
  </si>
  <si>
    <t>WQ-F04-T5-G14(14-15U)</t>
  </si>
  <si>
    <t>210235A3U6H195000028</t>
  </si>
  <si>
    <t>140103-2019-000025</t>
  </si>
  <si>
    <t>WQ-F04-T5-G14(2-3U)</t>
  </si>
  <si>
    <t>210235A3U6H195000030</t>
  </si>
  <si>
    <t>140103-2019-000026</t>
  </si>
  <si>
    <t>WQ-F04-T5-G14(4-5U)</t>
  </si>
  <si>
    <t>210235A3U6H195000018</t>
  </si>
  <si>
    <t>140103-2019-000027</t>
  </si>
  <si>
    <t>WQ-F04-T5-G14(6-7U)</t>
  </si>
  <si>
    <t>210235A3U6H195000017</t>
  </si>
  <si>
    <t>140103-2019-000028</t>
  </si>
  <si>
    <t>WQ-F04-T5-G14(8-9U)</t>
  </si>
  <si>
    <t>210235A3U6H195000015</t>
  </si>
  <si>
    <t>140103-2019-000005</t>
  </si>
  <si>
    <t>WQ-F04-T5-G15(10-11U)</t>
  </si>
  <si>
    <t>210235A3U6H195000011</t>
  </si>
  <si>
    <t>140103-2019-000007</t>
  </si>
  <si>
    <t>WQ-F04-T5-G15(14-15U)</t>
  </si>
  <si>
    <t>210235A3U6H195000014</t>
  </si>
  <si>
    <t>140103-2019-000008</t>
  </si>
  <si>
    <t>WQ-F04-T5-G15(16-17U)</t>
  </si>
  <si>
    <t>210235A3U6H195000016</t>
  </si>
  <si>
    <t>140103-2019-000001</t>
  </si>
  <si>
    <t>WQ-F04-T5-G15(2-3U)</t>
  </si>
  <si>
    <t>210235A3U6H195000003</t>
  </si>
  <si>
    <t>140103-2019-000002</t>
  </si>
  <si>
    <t>WQ-F04-T5-G15(4-5U)</t>
  </si>
  <si>
    <t>210235A3U6H195000001</t>
  </si>
  <si>
    <t>140103-2019-000004</t>
  </si>
  <si>
    <t>WQ-F04-T5-G15(8-9U)</t>
  </si>
  <si>
    <t>210235A3U6H195000010</t>
  </si>
  <si>
    <t>140103-2019-000013</t>
  </si>
  <si>
    <t>WQ-F04-T5-G16(10-11U)</t>
  </si>
  <si>
    <t>210235A3U6H195000009</t>
  </si>
  <si>
    <t>140103-2019-000014</t>
  </si>
  <si>
    <t>WQ-F04-T5-G16(12-13U)</t>
  </si>
  <si>
    <t>210235A3U6H195000012</t>
  </si>
  <si>
    <t>140103-2019-000016</t>
  </si>
  <si>
    <t>WQ-F04-T5-G16(16-17U)</t>
  </si>
  <si>
    <t>210235A3U6H195000004</t>
  </si>
  <si>
    <t>140103-2019-000009</t>
  </si>
  <si>
    <t>WQ-F04-T5-G16(2-3U)</t>
  </si>
  <si>
    <t>210235A3U6H195000006</t>
  </si>
  <si>
    <t>140103-2019-000010</t>
  </si>
  <si>
    <t>WQ-F04-T5-G16(4-5U)</t>
  </si>
  <si>
    <t>210235A3U6H195000002</t>
  </si>
  <si>
    <t>140103-2019-000011</t>
  </si>
  <si>
    <t>WQ-F04-T5-G16(6-7U)</t>
  </si>
  <si>
    <t>210235A3U6H195000007</t>
  </si>
  <si>
    <t>140103-2019-000012</t>
  </si>
  <si>
    <t>WQ-F04-T5-G16(8-9U)</t>
  </si>
  <si>
    <t>210235A3SUH19A000365</t>
  </si>
  <si>
    <t>140103-2019-000631</t>
  </si>
  <si>
    <t>WQ-F04-T5-H02(08-19U)DP10-1</t>
  </si>
  <si>
    <t>210235A3SUH19A000289</t>
  </si>
  <si>
    <t>140103-2019-000640</t>
  </si>
  <si>
    <t>WQ-F04-T5-H02(08-19U)DP10-10</t>
  </si>
  <si>
    <t>210235A3SUH19A000092</t>
  </si>
  <si>
    <t>140103-2019-000641</t>
  </si>
  <si>
    <t>WQ-F04-T5-H02(08-19U)DP10-11</t>
  </si>
  <si>
    <t>210235A3SUH19A000339</t>
  </si>
  <si>
    <t>140103-2019-000642</t>
  </si>
  <si>
    <t>WQ-F04-T5-H02(08-19U)DP10-12</t>
  </si>
  <si>
    <t>210235A3SUH195000050</t>
  </si>
  <si>
    <t>140103-2019-000643</t>
  </si>
  <si>
    <t>WQ-F04-T5-H02(08-19U)DP10-13</t>
  </si>
  <si>
    <t>210235A3SUH19A000210</t>
  </si>
  <si>
    <t>140103-2019-000644</t>
  </si>
  <si>
    <t>WQ-F04-T5-H02(08-19U)DP10-14</t>
  </si>
  <si>
    <t>210235A3SUH19A000381</t>
  </si>
  <si>
    <t>140103-2019-000645</t>
  </si>
  <si>
    <t>WQ-F04-T5-H02(08-19U)DP10-15</t>
  </si>
  <si>
    <t>210235A3SUH19A000141</t>
  </si>
  <si>
    <t>140103-2019-000646</t>
  </si>
  <si>
    <t>WQ-F04-T5-H02(08-19U)DP10-16</t>
  </si>
  <si>
    <t>210235A3SUH19A000098</t>
  </si>
  <si>
    <t>140103-2019-000632</t>
  </si>
  <si>
    <t>WQ-F04-T5-H02(08-19U)DP10-2</t>
  </si>
  <si>
    <t>210235A3SUH19A000209</t>
  </si>
  <si>
    <t>140103-2019-000633</t>
  </si>
  <si>
    <t>WQ-F04-T5-H02(08-19U)DP10-3</t>
  </si>
  <si>
    <t>210235A3SUH19A000354</t>
  </si>
  <si>
    <t>140103-2019-000634</t>
  </si>
  <si>
    <t>WQ-F04-T5-H02(08-19U)DP10-4</t>
  </si>
  <si>
    <t>210235A3SUH19A000332</t>
  </si>
  <si>
    <t>140103-2019-000635</t>
  </si>
  <si>
    <t>WQ-F04-T5-H02(08-19U)DP10-5</t>
  </si>
  <si>
    <t>210235A3SUH19A000145</t>
  </si>
  <si>
    <t>140103-2019-000636</t>
  </si>
  <si>
    <t>WQ-F04-T5-H02(08-19U)DP10-6</t>
  </si>
  <si>
    <t>210235A3SUH19A000125</t>
  </si>
  <si>
    <t>140103-2019-000637</t>
  </si>
  <si>
    <t>WQ-F04-T5-H02(08-19U)DP10-7</t>
  </si>
  <si>
    <t>210235A3SUH19A000151</t>
  </si>
  <si>
    <t>140103-2019-000638</t>
  </si>
  <si>
    <t>WQ-F04-T5-H02(08-19U)DP10-8</t>
  </si>
  <si>
    <t>210235A3SUH19A000199</t>
  </si>
  <si>
    <t>140103-2019-000639</t>
  </si>
  <si>
    <t>WQ-F04-T5-H02(08-19U)DP10-9</t>
  </si>
  <si>
    <t>210235A3SUH19A000293</t>
  </si>
  <si>
    <t>140103-2019-000647</t>
  </si>
  <si>
    <t>WQ-F04-T5-H03(08-19U)DP9-1</t>
  </si>
  <si>
    <t>210235A3SUH19A000330</t>
  </si>
  <si>
    <t>140103-2019-000656</t>
  </si>
  <si>
    <t>WQ-F04-T5-H03(08-19U)DP9-10</t>
  </si>
  <si>
    <t>210235A3SUH19A000184</t>
  </si>
  <si>
    <t>140103-2019-000657</t>
  </si>
  <si>
    <t>WQ-F04-T5-H03(08-19U)DP9-11</t>
  </si>
  <si>
    <t>210235A3SUH19A000122</t>
  </si>
  <si>
    <t>140103-2019-000658</t>
  </si>
  <si>
    <t>WQ-F04-T5-H03(08-19U)DP9-12</t>
  </si>
  <si>
    <t>210235A3SUH19A000111</t>
  </si>
  <si>
    <t>140103-2019-000659</t>
  </si>
  <si>
    <t>WQ-F04-T5-H03(08-19U)DP9-13</t>
  </si>
  <si>
    <t>210235A3SUH19A000180</t>
  </si>
  <si>
    <t>140103-2019-000660</t>
  </si>
  <si>
    <t>WQ-F04-T5-H03(08-19U)DP9-14</t>
  </si>
  <si>
    <t>210235A3SUH19B000136</t>
  </si>
  <si>
    <t>140103-2019-000715</t>
  </si>
  <si>
    <t>WQ-F04-T5-H03(08-19U)DP9-15</t>
  </si>
  <si>
    <t>210235A3SUH19B000113</t>
  </si>
  <si>
    <t>140103-2019-000716</t>
  </si>
  <si>
    <t>WQ-F04-T5-H03(08-19U)DP9-16</t>
  </si>
  <si>
    <t>210235A3SUH19A000107</t>
  </si>
  <si>
    <t>140103-2019-000648</t>
  </si>
  <si>
    <t>WQ-F04-T5-H03(08-19U)DP9-2</t>
  </si>
  <si>
    <t>210235A3SUH19A000103</t>
  </si>
  <si>
    <t>140103-2019-000649</t>
  </si>
  <si>
    <t>WQ-F04-T5-H03(08-19U)DP9-3</t>
  </si>
  <si>
    <t>210235A3SUH19A000336</t>
  </si>
  <si>
    <t>140103-2019-000650</t>
  </si>
  <si>
    <t>WQ-F04-T5-H03(08-19U)DP9-4</t>
  </si>
  <si>
    <t>210235A3SUH19A000382</t>
  </si>
  <si>
    <t>140103-2019-000651</t>
  </si>
  <si>
    <t>WQ-F04-T5-H03(08-19U)DP9-5</t>
  </si>
  <si>
    <t>210235A3SUH19A000341</t>
  </si>
  <si>
    <t>140103-2019-000652</t>
  </si>
  <si>
    <t>WQ-F04-T5-H03(08-19U)DP9-6</t>
  </si>
  <si>
    <t>210235A3SUH19A000312</t>
  </si>
  <si>
    <t>140103-2019-000653</t>
  </si>
  <si>
    <t>WQ-F04-T5-H03(08-19U)DP9-7</t>
  </si>
  <si>
    <t>210235A3SUH19A000314</t>
  </si>
  <si>
    <t>140103-2019-000654</t>
  </si>
  <si>
    <t>WQ-F04-T5-H03(08-19U)DP9-8</t>
  </si>
  <si>
    <t>210235A3SUH19A000297</t>
  </si>
  <si>
    <t>140103-2019-000655</t>
  </si>
  <si>
    <t>WQ-F04-T5-H03(08-19U)DP9-9</t>
  </si>
  <si>
    <t>210235A3SUH19A000083</t>
  </si>
  <si>
    <t>140103-2019-000905</t>
  </si>
  <si>
    <t>WQ-F04-T5-H04(08-19U)DP4-15</t>
  </si>
  <si>
    <t>210235A3SUH199000066</t>
  </si>
  <si>
    <t>140103-2019-000906</t>
  </si>
  <si>
    <t>WQ-F04-T5-H04(08-19U)DP4-16</t>
  </si>
  <si>
    <t>210235A3SUH19A000311</t>
  </si>
  <si>
    <t>140103-2019-000661</t>
  </si>
  <si>
    <t>WQ-F04-T5-H04(08-19U)DP8-1</t>
  </si>
  <si>
    <t>210235A3SUH19A000114</t>
  </si>
  <si>
    <t>140103-2019-000670</t>
  </si>
  <si>
    <t>WQ-F04-T5-H04(08-19U)DP8-10</t>
  </si>
  <si>
    <t>210235A3SUH19A000225</t>
  </si>
  <si>
    <t>140103-2019-000671</t>
  </si>
  <si>
    <t>WQ-F04-T5-H04(08-19U)DP8-11</t>
  </si>
  <si>
    <t>210235A3SUH19A000093</t>
  </si>
  <si>
    <t>140103-2019-000672</t>
  </si>
  <si>
    <t>WQ-F04-T5-H04(08-19U)DP8-12</t>
  </si>
  <si>
    <t>210235A3SUH19A000358</t>
  </si>
  <si>
    <t>140103-2019-000673</t>
  </si>
  <si>
    <t>WQ-F04-T5-H04(08-19U)DP8-13</t>
  </si>
  <si>
    <t>210235A3SUH19B000020</t>
  </si>
  <si>
    <t>140103-2019-000674</t>
  </si>
  <si>
    <t>WQ-F04-T5-H04(08-19U)DP8-14</t>
  </si>
  <si>
    <t>210235A3SUH19A000302</t>
  </si>
  <si>
    <t>140103-2019-000662</t>
  </si>
  <si>
    <t>WQ-F04-T5-H04(08-19U)DP8-2</t>
  </si>
  <si>
    <t>210235A3SUH19B000010</t>
  </si>
  <si>
    <t>140103-2019-000663</t>
  </si>
  <si>
    <t>WQ-F04-T5-H04(08-19U)DP8-3</t>
  </si>
  <si>
    <t>210235A3SUH19A000355</t>
  </si>
  <si>
    <t>140103-2019-000664</t>
  </si>
  <si>
    <t>WQ-F04-T5-H04(08-19U)DP8-4</t>
  </si>
  <si>
    <t>210235A3SUH199000053</t>
  </si>
  <si>
    <t>140103-2019-000665</t>
  </si>
  <si>
    <t>WQ-F04-T5-H04(08-19U)DP8-5</t>
  </si>
  <si>
    <t>210235A3SUH19A000170</t>
  </si>
  <si>
    <t>140103-2019-000666</t>
  </si>
  <si>
    <t>WQ-F04-T5-H04(08-19U)DP8-6</t>
  </si>
  <si>
    <t>210235A3SUH19A000095</t>
  </si>
  <si>
    <t>140103-2019-000667</t>
  </si>
  <si>
    <t>WQ-F04-T5-H04(08-19U)DP8-7</t>
  </si>
  <si>
    <t>210235A3SUH19A000198</t>
  </si>
  <si>
    <t>140103-2019-000668</t>
  </si>
  <si>
    <t>WQ-F04-T5-H04(08-19U)DP8-8</t>
  </si>
  <si>
    <t>210235A3SUH19A000135</t>
  </si>
  <si>
    <t>140103-2019-000669</t>
  </si>
  <si>
    <t>WQ-F04-T5-H04(08-19U)DP8-9</t>
  </si>
  <si>
    <t>210235A3SUH19A000080</t>
  </si>
  <si>
    <t>140103-2019-000703</t>
  </si>
  <si>
    <t>WQ-F04-T5-H05(08-19U)DP7-1</t>
  </si>
  <si>
    <t>210235A3SUH19A000316</t>
  </si>
  <si>
    <t>140103-2019-000724</t>
  </si>
  <si>
    <t>WQ-F04-T5-H05(08-19U)DP7-10</t>
  </si>
  <si>
    <t>210235A3SUH19A000359</t>
  </si>
  <si>
    <t>140103-2019-000725</t>
  </si>
  <si>
    <t>WQ-F04-T5-H05(08-19U)DP7-11</t>
  </si>
  <si>
    <t>210235A3SUH19A000366</t>
  </si>
  <si>
    <t>140103-2019-000726</t>
  </si>
  <si>
    <t>WQ-F04-T5-H05(08-19U)DP7-12</t>
  </si>
  <si>
    <t>210235A3SUH19A000356</t>
  </si>
  <si>
    <t>140103-2019-000727</t>
  </si>
  <si>
    <t>WQ-F04-T5-H05(08-19U)DP7-13</t>
  </si>
  <si>
    <t>210235A3SUH19A000132</t>
  </si>
  <si>
    <t>140103-2019-000728</t>
  </si>
  <si>
    <t>WQ-F04-T5-H05(08-19U)DP7-14</t>
  </si>
  <si>
    <t>210235A3SUH19A000383</t>
  </si>
  <si>
    <t>140103-2019-000729</t>
  </si>
  <si>
    <t>WQ-F04-T5-H05(08-19U)DP7-15</t>
  </si>
  <si>
    <t>210235A3SUH19B000068</t>
  </si>
  <si>
    <t>140103-2019-000730</t>
  </si>
  <si>
    <t>WQ-F04-T5-H05(08-19U)DP7-16</t>
  </si>
  <si>
    <t>210235A3SUH19A000102</t>
  </si>
  <si>
    <t>140103-2019-000704</t>
  </si>
  <si>
    <t>WQ-F04-T5-H05(08-19U)DP7-2</t>
  </si>
  <si>
    <t>210235A3SUH19A000149</t>
  </si>
  <si>
    <t>140103-2019-000705</t>
  </si>
  <si>
    <t>WQ-F04-T5-H05(08-19U)DP7-3</t>
  </si>
  <si>
    <t>210235A3SUH19A000363</t>
  </si>
  <si>
    <t>140103-2019-000706</t>
  </si>
  <si>
    <t>WQ-F04-T5-H05(08-19U)DP7-4</t>
  </si>
  <si>
    <t>210235A3SUH19A000319</t>
  </si>
  <si>
    <t>140103-2019-000707</t>
  </si>
  <si>
    <t>WQ-F04-T5-H05(08-19U)DP7-5</t>
  </si>
  <si>
    <t>210235A3SUH19A000191</t>
  </si>
  <si>
    <t>140103-2019-000708</t>
  </si>
  <si>
    <t>WQ-F04-T5-H05(08-19U)DP7-6</t>
  </si>
  <si>
    <t>210235A3SUH19A000117</t>
  </si>
  <si>
    <t>140103-2019-000709</t>
  </si>
  <si>
    <t>WQ-F04-T5-H05(08-19U)DP7-7</t>
  </si>
  <si>
    <t>210235A3SUH19A000175</t>
  </si>
  <si>
    <t>140103-2019-000710</t>
  </si>
  <si>
    <t>WQ-F04-T5-H05(08-19U)DP7-8</t>
  </si>
  <si>
    <t>210235A3SUH19A000096</t>
  </si>
  <si>
    <t>140103-2019-000723</t>
  </si>
  <si>
    <t>WQ-F04-T5-H05(08-19U)DP7-9</t>
  </si>
  <si>
    <t>210235A3SUH19B000103</t>
  </si>
  <si>
    <t>140103-2019-000696</t>
  </si>
  <si>
    <t>WQ-F04-T5-H06(08-19U)DP4-10</t>
  </si>
  <si>
    <t>210235A3SUH19B000125</t>
  </si>
  <si>
    <t>140103-2019-000697</t>
  </si>
  <si>
    <t>WQ-F04-T5-H06(08-19U)DP4-11</t>
  </si>
  <si>
    <t>210235A3SUH19B000101</t>
  </si>
  <si>
    <t>140103-2019-000698</t>
  </si>
  <si>
    <t>WQ-F04-T5-H06(08-19U)DP4-12</t>
  </si>
  <si>
    <t>210235A3SUH19B000163</t>
  </si>
  <si>
    <t>140103-2019-000699</t>
  </si>
  <si>
    <t>WQ-F04-T5-H06(08-19U)DP4-13</t>
  </si>
  <si>
    <t>210235A3SUH19B000123</t>
  </si>
  <si>
    <t>140103-2019-000700</t>
  </si>
  <si>
    <t>WQ-F04-T5-H06(08-19U)DP4-14</t>
  </si>
  <si>
    <t>210235A3SUH19B000001</t>
  </si>
  <si>
    <t>140103-2019-000701</t>
  </si>
  <si>
    <t>WQ-F04-T5-H06(08-19U)DP4-15</t>
  </si>
  <si>
    <t>210235A3SUH19B000147</t>
  </si>
  <si>
    <t>140103-2019-000702</t>
  </si>
  <si>
    <t>WQ-F04-T5-H06(08-19U)DP4-16</t>
  </si>
  <si>
    <t>210235A3SUH19B000158</t>
  </si>
  <si>
    <t>140103-2019-000691</t>
  </si>
  <si>
    <t>WQ-F04-T5-H06(08-19U)DP4-5</t>
  </si>
  <si>
    <t>210235A3SUH19B000013</t>
  </si>
  <si>
    <t>140103-2019-000692</t>
  </si>
  <si>
    <t>WQ-F04-T5-H06(08-19U)DP4-6</t>
  </si>
  <si>
    <t>210235A3SUH19B000122</t>
  </si>
  <si>
    <t>140103-2019-000693</t>
  </si>
  <si>
    <t>WQ-F04-T5-H06(08-19U)DP4-7</t>
  </si>
  <si>
    <t>210235A3SUH19B000133</t>
  </si>
  <si>
    <t>140103-2019-000694</t>
  </si>
  <si>
    <t>WQ-F04-T5-H06(08-19U)DP4-8</t>
  </si>
  <si>
    <t>210235A3SUH19B000119</t>
  </si>
  <si>
    <t>140103-2019-000695</t>
  </si>
  <si>
    <t>WQ-F04-T5-H06(08-19U)DP4-9</t>
  </si>
  <si>
    <t>210235A3SUH19B000131</t>
  </si>
  <si>
    <t>140103-2019-000627</t>
  </si>
  <si>
    <t>WQ-F04-T5-H06(08-19U)DP8-1</t>
  </si>
  <si>
    <t>210235A3SUH19B000104</t>
  </si>
  <si>
    <t>140103-2019-000628</t>
  </si>
  <si>
    <t>WQ-F04-T5-H06(08-19U)DP8-2</t>
  </si>
  <si>
    <t>210235A3SUH19B000056</t>
  </si>
  <si>
    <t>140103-2019-000629</t>
  </si>
  <si>
    <t>WQ-F04-T5-H06(08-19U)DP8-3</t>
  </si>
  <si>
    <t>210235A3SUH19B000054</t>
  </si>
  <si>
    <t>140103-2019-000630</t>
  </si>
  <si>
    <t>WQ-F04-T5-H06(08-19U)DP8-4</t>
  </si>
  <si>
    <t>210235A3SUH19B000157</t>
  </si>
  <si>
    <t>140103-2019-000675</t>
  </si>
  <si>
    <t>WQ-F04-T5-H07(08-19U)DP5-1</t>
  </si>
  <si>
    <t>210235A3SUH19B000108</t>
  </si>
  <si>
    <t>140103-2019-000684</t>
  </si>
  <si>
    <t>WQ-F04-T5-H07(08-19U)DP5-10</t>
  </si>
  <si>
    <t>210235A3SUH19B000036</t>
  </si>
  <si>
    <t>140103-2019-000685</t>
  </si>
  <si>
    <t>WQ-F04-T5-H07(08-19U)DP5-11</t>
  </si>
  <si>
    <t>210235A3SUH19B000057</t>
  </si>
  <si>
    <t>140103-2019-000686</t>
  </si>
  <si>
    <t>WQ-F04-T5-H07(08-19U)DP5-12</t>
  </si>
  <si>
    <t>210235A3SUH19B000118</t>
  </si>
  <si>
    <t>140103-2019-000687</t>
  </si>
  <si>
    <t>WQ-F04-T5-H07(08-19U)DP5-13</t>
  </si>
  <si>
    <t>210235A3SUH19B000117</t>
  </si>
  <si>
    <t>140103-2019-000688</t>
  </si>
  <si>
    <t>WQ-F04-T5-H07(08-19U)DP5-14</t>
  </si>
  <si>
    <t>210235A3SUH19B000155</t>
  </si>
  <si>
    <t>140103-2019-000689</t>
  </si>
  <si>
    <t>WQ-F04-T5-H07(08-19U)DP5-15</t>
  </si>
  <si>
    <t>210235A3SUH19B000055</t>
  </si>
  <si>
    <t>140103-2019-000690</t>
  </si>
  <si>
    <t>WQ-F04-T5-H07(08-19U)DP5-16</t>
  </si>
  <si>
    <t>210235A3SUH19B000058</t>
  </si>
  <si>
    <t>140103-2019-000676</t>
  </si>
  <si>
    <t>WQ-F04-T5-H07(08-19U)DP5-2</t>
  </si>
  <si>
    <t>210235A3SUH19B000130</t>
  </si>
  <si>
    <t>140103-2019-000677</t>
  </si>
  <si>
    <t>WQ-F04-T5-H07(08-19U)DP5-3</t>
  </si>
  <si>
    <t>210235A3SUH19B000128</t>
  </si>
  <si>
    <t>140103-2019-000678</t>
  </si>
  <si>
    <t>WQ-F04-T5-H07(08-19U)DP5-4</t>
  </si>
  <si>
    <t>210235A3SUH19B000096</t>
  </si>
  <si>
    <t>140103-2019-000679</t>
  </si>
  <si>
    <t>WQ-F04-T5-H07(08-19U)DP5-5</t>
  </si>
  <si>
    <t>210235A3SUH19B000167</t>
  </si>
  <si>
    <t>140103-2019-000680</t>
  </si>
  <si>
    <t>WQ-F04-T5-H07(08-19U)DP5-6</t>
  </si>
  <si>
    <t>210235A3SUH19B000161</t>
  </si>
  <si>
    <t>140103-2019-000681</t>
  </si>
  <si>
    <t>WQ-F04-T5-H07(08-19U)DP5-7</t>
  </si>
  <si>
    <t>210235A3SUH19B000129</t>
  </si>
  <si>
    <t>140103-2019-000682</t>
  </si>
  <si>
    <t>WQ-F04-T5-H07(08-19U)DP5-8</t>
  </si>
  <si>
    <t>210235A3SUH19B000124</t>
  </si>
  <si>
    <t>140103-2019-000683</t>
  </si>
  <si>
    <t>WQ-F04-T5-H07(08-19U)DP5-9</t>
  </si>
  <si>
    <t>210235A3SUH19B000038</t>
  </si>
  <si>
    <t>140103-2019-000781</t>
  </si>
  <si>
    <t>WQ-F04-T5-H09(08-19U)DP3-1</t>
  </si>
  <si>
    <t>210235A3SUH19B000039</t>
  </si>
  <si>
    <t>140103-2019-000790</t>
  </si>
  <si>
    <t>WQ-F04-T5-H09(08-19U)DP3-10</t>
  </si>
  <si>
    <t>210235A3SUH19B000035</t>
  </si>
  <si>
    <t>140103-2019-000791</t>
  </si>
  <si>
    <t>WQ-F04-T5-H09(08-19U)DP3-11</t>
  </si>
  <si>
    <t>210235A3SUH19B000045</t>
  </si>
  <si>
    <t>140103-2019-000792</t>
  </si>
  <si>
    <t>WQ-F04-T5-H09(08-19U)DP3-12</t>
  </si>
  <si>
    <t>210235A3SUH19B000111</t>
  </si>
  <si>
    <t>140103-2019-000793</t>
  </si>
  <si>
    <t>WQ-F04-T5-H09(08-19U)DP3-13</t>
  </si>
  <si>
    <t>210235A3SUH19B000099</t>
  </si>
  <si>
    <t>140103-2019-000794</t>
  </si>
  <si>
    <t>WQ-F04-T5-H09(08-19U)DP3-14</t>
  </si>
  <si>
    <t>210235A3SUH19A000173</t>
  </si>
  <si>
    <t>140103-2019-000775</t>
  </si>
  <si>
    <t>WQ-F04-T5-H09(08-19U)DP3-15</t>
  </si>
  <si>
    <t>210235A3SUH19A000376</t>
  </si>
  <si>
    <t>140103-2019-000776</t>
  </si>
  <si>
    <t>WQ-F04-T5-H09(08-19U)DP3-16</t>
  </si>
  <si>
    <t>210235A3SUH19B000110</t>
  </si>
  <si>
    <t>140103-2019-000782</t>
  </si>
  <si>
    <t>WQ-F04-T5-H09(08-19U)DP3-2</t>
  </si>
  <si>
    <t>210235A3SUH19B000138</t>
  </si>
  <si>
    <t>140103-2019-000783</t>
  </si>
  <si>
    <t>WQ-F04-T5-H09(08-19U)DP3-3</t>
  </si>
  <si>
    <t>210235A3SUH19B000040</t>
  </si>
  <si>
    <t>140103-2019-000784</t>
  </si>
  <si>
    <t>WQ-F04-T5-H09(08-19U)DP3-4</t>
  </si>
  <si>
    <t>210235A3SUH19B000109</t>
  </si>
  <si>
    <t>140103-2019-000785</t>
  </si>
  <si>
    <t>WQ-F04-T5-H09(08-19U)DP3-5</t>
  </si>
  <si>
    <t>210235A3SUH19B000037</t>
  </si>
  <si>
    <t>140103-2019-000786</t>
  </si>
  <si>
    <t>WQ-F04-T5-H09(08-19U)DP3-6</t>
  </si>
  <si>
    <t>210235A3SUH19B000042</t>
  </si>
  <si>
    <t>140103-2019-000787</t>
  </si>
  <si>
    <t>WQ-F04-T5-H09(08-19U)DP3-7</t>
  </si>
  <si>
    <t>210235A3SUH19B000041</t>
  </si>
  <si>
    <t>140103-2019-000788</t>
  </si>
  <si>
    <t>210235A3SUH19B000102</t>
  </si>
  <si>
    <t>140103-2019-000789</t>
  </si>
  <si>
    <t>WQ-F04-T5-H09(08-19U)DP3-9</t>
  </si>
  <si>
    <t>210235A3SUH19A000108</t>
  </si>
  <si>
    <t>140103-2019-000733</t>
  </si>
  <si>
    <t>WQ-F04-T5-H10(08-19U)DP2-1</t>
  </si>
  <si>
    <t>210235A3SUH19A000076</t>
  </si>
  <si>
    <t>140103-2019-000742</t>
  </si>
  <si>
    <t>WQ-F04-T5-H10(08-19U)DP2-10</t>
  </si>
  <si>
    <t>210235A3SUH19A000380</t>
  </si>
  <si>
    <t>140103-2019-000743</t>
  </si>
  <si>
    <t>WQ-F04-T5-H10(08-19U)DP2-11</t>
  </si>
  <si>
    <t>210235A3SUH19A000374</t>
  </si>
  <si>
    <t>140103-2019-000744</t>
  </si>
  <si>
    <t>WQ-F04-T5-H10(08-19U)DP2-12</t>
  </si>
  <si>
    <t>210235A3SUH19A000087</t>
  </si>
  <si>
    <t>140103-2019-000745</t>
  </si>
  <si>
    <t>WQ-F04-T5-H10(08-19U)DP2-13</t>
  </si>
  <si>
    <t>210235A3SUH19A000274</t>
  </si>
  <si>
    <t>140103-2019-000746</t>
  </si>
  <si>
    <t>WQ-F04-T5-H10(08-19U)DP2-14</t>
  </si>
  <si>
    <t>210235A3SUH19A000105</t>
  </si>
  <si>
    <t>140103-2019-000773</t>
  </si>
  <si>
    <t>WQ-F04-T5-H10(08-19U)DP2-15</t>
  </si>
  <si>
    <t>210235A3SUH19A000123</t>
  </si>
  <si>
    <t>140103-2019-000774</t>
  </si>
  <si>
    <t>WQ-F04-T5-H10(08-19U)DP2-16</t>
  </si>
  <si>
    <t>210235A3SUH19A000224</t>
  </si>
  <si>
    <t>140103-2019-000734</t>
  </si>
  <si>
    <t>WQ-F04-T5-H10(08-19U)DP2-2</t>
  </si>
  <si>
    <t>210235A3SUH19A000085</t>
  </si>
  <si>
    <t>140103-2019-000735</t>
  </si>
  <si>
    <t>WQ-F04-T5-H10(08-19U)DP2-3</t>
  </si>
  <si>
    <t>210235A3SUH19A000346</t>
  </si>
  <si>
    <t>140103-2019-000736</t>
  </si>
  <si>
    <t>WQ-F04-T5-H10(08-19U)DP2-4</t>
  </si>
  <si>
    <t>210235A3SUH19A000144</t>
  </si>
  <si>
    <t>140103-2019-000737</t>
  </si>
  <si>
    <t>WQ-F04-T5-H10(08-19U)DP2-5</t>
  </si>
  <si>
    <t>210235A3SUH19A000287</t>
  </si>
  <si>
    <t>140103-2019-000738</t>
  </si>
  <si>
    <t>WQ-F04-T5-H10(08-19U)DP2-6</t>
  </si>
  <si>
    <t>210235A3SUH19A000203</t>
  </si>
  <si>
    <t>140103-2019-000739</t>
  </si>
  <si>
    <t>WQ-F04-T5-H10(08-19U)DP2-7</t>
  </si>
  <si>
    <t>210235A3SUH19A000309</t>
  </si>
  <si>
    <t>140103-2019-000740</t>
  </si>
  <si>
    <t>WQ-F04-T5-H10(08-19U)DP2-8</t>
  </si>
  <si>
    <t>210235A3SUH19A000300</t>
  </si>
  <si>
    <t>140103-2019-000741</t>
  </si>
  <si>
    <t>WQ-F04-T5-H10(08-19U)DP2-9</t>
  </si>
  <si>
    <t>J33GRWD</t>
  </si>
  <si>
    <t>140103-2017-001996</t>
  </si>
  <si>
    <t>WQ-F04-T5-I04(18-19U)</t>
  </si>
  <si>
    <t>J33GRWL</t>
  </si>
  <si>
    <t>140103-2017-001995</t>
  </si>
  <si>
    <t>WQ-F04-T5-I04(20-21U)</t>
  </si>
  <si>
    <t>J33GRWT</t>
  </si>
  <si>
    <t>140103-2017-001994</t>
  </si>
  <si>
    <t>WQ-F04-T5-I04(23-24U)</t>
  </si>
  <si>
    <t>J33GRWG</t>
  </si>
  <si>
    <t>140103-2017-001993</t>
  </si>
  <si>
    <t>WQ-F04-T5-I04(25-26U)</t>
  </si>
  <si>
    <t>J33GRWR</t>
  </si>
  <si>
    <t>140103-2017-001992</t>
  </si>
  <si>
    <t>WQ-F04-T5-I04(27-28U)</t>
  </si>
  <si>
    <t>J33GRWM</t>
  </si>
  <si>
    <t>140103-2017-001991</t>
  </si>
  <si>
    <t>WQ-F04-T5-I04(29-30U)</t>
  </si>
  <si>
    <t>J33GRYL</t>
  </si>
  <si>
    <t>140103-2017-001872</t>
  </si>
  <si>
    <t>WQ-F04-T7-H14(02-03U)</t>
  </si>
  <si>
    <t>J33GRYK</t>
  </si>
  <si>
    <t>140103-2017-001871</t>
  </si>
  <si>
    <t>WQ-F04-T7-H14(04-05U)</t>
  </si>
  <si>
    <t>J33GYDA</t>
  </si>
  <si>
    <t>140103-2017-001978</t>
  </si>
  <si>
    <t>WQ-F04-T7-H14(06-07U)</t>
  </si>
  <si>
    <t>J33H3EM</t>
  </si>
  <si>
    <t>140103-2017-001977</t>
  </si>
  <si>
    <t>WQ-F04-T7-H14(08-09U)</t>
  </si>
  <si>
    <t>J33GYDB</t>
  </si>
  <si>
    <t>140103-2017-001976</t>
  </si>
  <si>
    <t>WQ-F04-T7-H14(10-11U)</t>
  </si>
  <si>
    <t>J33H3EL</t>
  </si>
  <si>
    <t>140103-2017-001975</t>
  </si>
  <si>
    <t>WQ-F04-T7-H14(12-13U)</t>
  </si>
  <si>
    <t>J33GRYM</t>
  </si>
  <si>
    <t>140103-2017-001974</t>
  </si>
  <si>
    <t>WQ-F04-T7-H14(14-15U)</t>
  </si>
  <si>
    <t>J33GRYP</t>
  </si>
  <si>
    <t>140103-2017-001973</t>
  </si>
  <si>
    <t>WQ-F04-T7-H14(16-17U)</t>
  </si>
  <si>
    <t>J33GRYR</t>
  </si>
  <si>
    <t>140103-2017-001870</t>
  </si>
  <si>
    <t>WQ-F04-T7-H14(18-19U)</t>
  </si>
  <si>
    <t>J33GRYH</t>
  </si>
  <si>
    <t>140103-2017-001869</t>
  </si>
  <si>
    <t>WQ-F04-T7-H14(20-21U)</t>
  </si>
  <si>
    <t>J33GRYG</t>
  </si>
  <si>
    <t>140103-2017-001868</t>
  </si>
  <si>
    <t>WQ-F04-T7-H14(23-24U)</t>
  </si>
  <si>
    <t>J33GRYN</t>
  </si>
  <si>
    <t>140103-2017-001867</t>
  </si>
  <si>
    <t>WQ-F04-T7-H14(25-26U)</t>
  </si>
  <si>
    <t>H3C S10504</t>
  </si>
  <si>
    <t>210235A0J7X149000005</t>
  </si>
  <si>
    <t>140502-2014-001061</t>
  </si>
  <si>
    <t>XD-B02-KF-A03(8-15U)</t>
  </si>
  <si>
    <t>210235A0J7X149000002</t>
  </si>
  <si>
    <t>140502-2014-001062</t>
  </si>
  <si>
    <t>XD-B02-KF-A04(8-15U)</t>
  </si>
  <si>
    <t>CiscoWS-C3750X-48T-S</t>
  </si>
  <si>
    <t>FDO1710P1GZ</t>
  </si>
  <si>
    <t>140502-2014-001068</t>
  </si>
  <si>
    <t>XD-B02-KF-B01(32-32U)</t>
  </si>
  <si>
    <t>219801A12T9198Q001JN</t>
  </si>
  <si>
    <t>140502-2020-000021</t>
  </si>
  <si>
    <t>XD-B02-KF-B01(38-38U)</t>
  </si>
  <si>
    <t>2102350DLVDMK8001019</t>
  </si>
  <si>
    <t>140502-2020-000009</t>
  </si>
  <si>
    <t>XD-B02-KF-B01(40-40U)</t>
  </si>
  <si>
    <t>FDO1710P1CP</t>
  </si>
  <si>
    <t>140502-2014-001069</t>
  </si>
  <si>
    <t>XD-B02-KF-B02(32-32U)</t>
  </si>
  <si>
    <t>219801A12T919AQ00024</t>
  </si>
  <si>
    <t>140502-2020-000022</t>
  </si>
  <si>
    <t>XD-B02-KF-B02(34-34U)</t>
  </si>
  <si>
    <t>2102350DLVDMK8001609</t>
  </si>
  <si>
    <t>140502-2020-000010</t>
  </si>
  <si>
    <t>XD-B02-KF-B02(40-40U)</t>
  </si>
  <si>
    <t>HP RX2800  I2</t>
  </si>
  <si>
    <t>SGH118XNTC</t>
  </si>
  <si>
    <t>140102-2011-000378</t>
  </si>
  <si>
    <t>XD-B02-KF-E06(27-28U)</t>
  </si>
  <si>
    <t>J33GRYB</t>
  </si>
  <si>
    <t>140103-2017-000324</t>
  </si>
  <si>
    <t>XD-B02-KF-B17(10-11U)</t>
  </si>
  <si>
    <t>J33GRY7</t>
  </si>
  <si>
    <t>140103-2017-000323</t>
  </si>
  <si>
    <t>XD-B02-KF-B17(8-9U)</t>
  </si>
  <si>
    <t>J33GRY8</t>
  </si>
  <si>
    <t>140103-2017-000322</t>
  </si>
  <si>
    <t>XD-B02-KF-B17(6-7U)</t>
  </si>
  <si>
    <t>J33GRYF</t>
  </si>
  <si>
    <t>140103-2017-000321</t>
  </si>
  <si>
    <t>XD-B02-KF-B17(4-5U)</t>
  </si>
  <si>
    <t>J33GRYD</t>
  </si>
  <si>
    <t>140103-2017-000320</t>
  </si>
  <si>
    <t>XD-B02-KF-B17(2-3U)</t>
  </si>
  <si>
    <t>J33GRYA</t>
  </si>
  <si>
    <t>140103-2017-000328</t>
  </si>
  <si>
    <t>XD-B02-KF-B17(18-19U)</t>
  </si>
  <si>
    <t>J33GRYC</t>
  </si>
  <si>
    <t>140103-2017-000327</t>
  </si>
  <si>
    <t>XD-B02-KF-B17(16-17U)</t>
  </si>
  <si>
    <t>J33GRY9</t>
  </si>
  <si>
    <t>140103-2017-000326</t>
  </si>
  <si>
    <t>XD-B02-KF-B17(14-15U)</t>
  </si>
  <si>
    <t>J33GRYE</t>
  </si>
  <si>
    <t>140103-2017-000325</t>
  </si>
  <si>
    <t>XD-B02-KF-B17(12-13U)</t>
  </si>
  <si>
    <t>2102350DLVDMK8000148</t>
  </si>
  <si>
    <t>140502-2020-000006</t>
  </si>
  <si>
    <t>XD-B02-KF-E01(34-34U)</t>
  </si>
  <si>
    <t>2102350DLVDMK8000096</t>
  </si>
  <si>
    <t>140502-2020-000001</t>
  </si>
  <si>
    <t>XD-B02-KF-E01(40-40U)</t>
  </si>
  <si>
    <t>2102350DLVDMK8001611</t>
  </si>
  <si>
    <t>140502-2020-000005</t>
  </si>
  <si>
    <t>XD-B02-KF-E02(34-34U)</t>
  </si>
  <si>
    <t>219801A12T9198Q00179</t>
  </si>
  <si>
    <t>140502-2020-000014</t>
  </si>
  <si>
    <t>XD-B02-KF-E02(36-36U)</t>
  </si>
  <si>
    <t>2102350DLVDMK8001040</t>
  </si>
  <si>
    <t>140502-2020-000002</t>
  </si>
  <si>
    <t>XD-B02-KF-E02(40-40U)</t>
  </si>
  <si>
    <t>Dell PowerEdge M1000e</t>
  </si>
  <si>
    <t>JPQYVL2</t>
  </si>
  <si>
    <t>140103-2017-000201</t>
  </si>
  <si>
    <t>XD-B02-KF-E05(13-22U)</t>
  </si>
  <si>
    <t>Dell PowerEdge M630</t>
  </si>
  <si>
    <t>JPR5KL2</t>
  </si>
  <si>
    <t>140103-2017-000302</t>
  </si>
  <si>
    <t>XD-B02-KF-E05(13-22U)DX7-1</t>
  </si>
  <si>
    <t>JPRYVL2</t>
  </si>
  <si>
    <t>140103-2017-000311</t>
  </si>
  <si>
    <t>XD-B02-KF-E05(13-22U)DX7-10</t>
  </si>
  <si>
    <t>JPRXJL2</t>
  </si>
  <si>
    <t>140103-2017-000312</t>
  </si>
  <si>
    <t>XD-B02-KF-E05(13-22U)DX7-11</t>
  </si>
  <si>
    <t>JPRSVL2</t>
  </si>
  <si>
    <t>140103-2017-000313</t>
  </si>
  <si>
    <t>XD-B02-KF-E05(13-22U)DX7-12</t>
  </si>
  <si>
    <t>JPR5YL2</t>
  </si>
  <si>
    <t>140103-2017-000314</t>
  </si>
  <si>
    <t>XD-B02-KF-E05(13-22U)DX7-13</t>
  </si>
  <si>
    <t>JPRTVL2</t>
  </si>
  <si>
    <t>140103-2017-000315</t>
  </si>
  <si>
    <t>XD-B02-KF-E05(13-22U)DX7-14</t>
  </si>
  <si>
    <t>JPRYJL2</t>
  </si>
  <si>
    <t>140103-2017-000316</t>
  </si>
  <si>
    <t>XD-B02-KF-E05(13-22U)DX7-15</t>
  </si>
  <si>
    <t>JPRWVL2</t>
  </si>
  <si>
    <t>140103-2017-000317</t>
  </si>
  <si>
    <t>XD-B02-KF-E05(13-22U)DX7-16</t>
  </si>
  <si>
    <t>JPRZXL2</t>
  </si>
  <si>
    <t>140103-2017-000303</t>
  </si>
  <si>
    <t>XD-B02-KF-E05(13-22U)DX7-2</t>
  </si>
  <si>
    <t>JPS0WL2</t>
  </si>
  <si>
    <t>140103-2017-000304</t>
  </si>
  <si>
    <t>XD-B02-KF-E05(13-22U)DX7-3</t>
  </si>
  <si>
    <t>JPRXVL2</t>
  </si>
  <si>
    <t>140103-2017-000305</t>
  </si>
  <si>
    <t>XD-B02-KF-E05(13-22U)DX7-4</t>
  </si>
  <si>
    <t>JPS0YL2</t>
  </si>
  <si>
    <t>140103-2017-000306</t>
  </si>
  <si>
    <t>XD-B02-KF-E05(13-22U)DX7-5</t>
  </si>
  <si>
    <t>JPRYXL2</t>
  </si>
  <si>
    <t>140103-2017-000307</t>
  </si>
  <si>
    <t>XD-B02-KF-E05(13-22U)DX7-6</t>
  </si>
  <si>
    <t>JPRVVL2</t>
  </si>
  <si>
    <t>140103-2017-000308</t>
  </si>
  <si>
    <t>XD-B02-KF-E05(13-22U)DX7-7</t>
  </si>
  <si>
    <t>JPR6YL2</t>
  </si>
  <si>
    <t>140103-2017-000309</t>
  </si>
  <si>
    <t>XD-B02-KF-E05(13-22U)DX7-8</t>
  </si>
  <si>
    <t>JPRRVL2</t>
  </si>
  <si>
    <t>140103-2017-000310</t>
  </si>
  <si>
    <t>XD-B02-KF-E05(13-22U)DX7-9</t>
  </si>
  <si>
    <t>JG8YJL2</t>
  </si>
  <si>
    <t>140103-2017-000202</t>
  </si>
  <si>
    <t>XD-B02-KF-E05(2-11U)</t>
  </si>
  <si>
    <t>JGC5KL2</t>
  </si>
  <si>
    <t>140103-2017-000185</t>
  </si>
  <si>
    <t>XD-B02-KF-E05(2-11U)DX8-1</t>
  </si>
  <si>
    <t>JGDYVL2</t>
  </si>
  <si>
    <t>140103-2017-000194</t>
  </si>
  <si>
    <t>XD-B02-KF-E05(2-11U)DX8-10</t>
  </si>
  <si>
    <t>JGC3YL2</t>
  </si>
  <si>
    <t>140103-2017-000195</t>
  </si>
  <si>
    <t>XD-B02-KF-E05(2-11U)DX8-11</t>
  </si>
  <si>
    <t>JGD4KL2</t>
  </si>
  <si>
    <t>140103-2017-000196</t>
  </si>
  <si>
    <t>XD-B02-KF-E05(2-11U)DX8-12</t>
  </si>
  <si>
    <t>JGCZXL2</t>
  </si>
  <si>
    <t>140103-2017-000197</t>
  </si>
  <si>
    <t>XD-B02-KF-E05(2-11U)DX8-13</t>
  </si>
  <si>
    <t>JGC6YL2</t>
  </si>
  <si>
    <t>140103-2017-000198</t>
  </si>
  <si>
    <t>XD-B02-KF-E05(2-11U)DX8-14</t>
  </si>
  <si>
    <t>JGCXVL2</t>
  </si>
  <si>
    <t>140103-2017-000199</t>
  </si>
  <si>
    <t>XD-B02-KF-E05(2-11U)DX8-15</t>
  </si>
  <si>
    <t>JGBZXL2</t>
  </si>
  <si>
    <t>140103-2017-000200</t>
  </si>
  <si>
    <t>XD-B02-KF-E05(2-11U)DX8-16</t>
  </si>
  <si>
    <t>JGD6KL2</t>
  </si>
  <si>
    <t>140103-2017-000186</t>
  </si>
  <si>
    <t>XD-B02-KF-E05(2-11U)DX8-2</t>
  </si>
  <si>
    <t>JGDWVL2</t>
  </si>
  <si>
    <t>140103-2017-000187</t>
  </si>
  <si>
    <t>XD-B02-KF-E05(2-11U)DX8-3</t>
  </si>
  <si>
    <t>JGDSVL2</t>
  </si>
  <si>
    <t>140103-2017-000188</t>
  </si>
  <si>
    <t>XD-B02-KF-E05(2-11U)DX8-4</t>
  </si>
  <si>
    <t>JGC1YL2</t>
  </si>
  <si>
    <t>140103-2017-000189</t>
  </si>
  <si>
    <t>XD-B02-KF-E05(2-11U)DX8-5</t>
  </si>
  <si>
    <t>JGDZXL2</t>
  </si>
  <si>
    <t>140103-2017-000190</t>
  </si>
  <si>
    <t>XD-B02-KF-E05(2-11U)DX8-6</t>
  </si>
  <si>
    <t>JGCSVL2</t>
  </si>
  <si>
    <t>140103-2017-000191</t>
  </si>
  <si>
    <t>XD-B02-KF-E05(2-11U)DX8-7</t>
  </si>
  <si>
    <t>JGD0YL2</t>
  </si>
  <si>
    <t>140103-2017-000192</t>
  </si>
  <si>
    <t>XD-B02-KF-E05(2-11U)DX8-8</t>
  </si>
  <si>
    <t>JGD2YL2</t>
  </si>
  <si>
    <t>140103-2017-000193</t>
  </si>
  <si>
    <t>XD-B02-KF-E05(2-11U)DX8-9</t>
  </si>
  <si>
    <t>JGFTVL2</t>
  </si>
  <si>
    <t>140103-2017-000203</t>
  </si>
  <si>
    <t>XD-B02-KF-E07(13-22U)</t>
  </si>
  <si>
    <t>JG9TVL2</t>
  </si>
  <si>
    <t>140103-2017-000245</t>
  </si>
  <si>
    <t>XD-B02-KF-E07(13-22U)DX9-1</t>
  </si>
  <si>
    <t>JG9ZVL2</t>
  </si>
  <si>
    <t>140103-2017-000254</t>
  </si>
  <si>
    <t>XD-B02-KF-E07(13-22U)DX9-10</t>
  </si>
  <si>
    <t>JGB4KL2</t>
  </si>
  <si>
    <t>140103-2017-000255</t>
  </si>
  <si>
    <t>XD-B02-KF-E07(13-22U)DX9-11</t>
  </si>
  <si>
    <t>JGB0WL2</t>
  </si>
  <si>
    <t>140103-2017-000256</t>
  </si>
  <si>
    <t>XD-B02-KF-E07(13-22U)DX9-12</t>
  </si>
  <si>
    <t>JG92KL2</t>
  </si>
  <si>
    <t>140103-2017-000246</t>
  </si>
  <si>
    <t>XD-B02-KF-E07(13-22U)DX9-2</t>
  </si>
  <si>
    <t>JG97YL2</t>
  </si>
  <si>
    <t>140103-2017-000247</t>
  </si>
  <si>
    <t>XD-B02-KF-E07(13-22U)DX9-3</t>
  </si>
  <si>
    <t>JG9YJL2</t>
  </si>
  <si>
    <t>140103-2017-000248</t>
  </si>
  <si>
    <t>XD-B02-KF-E07(13-22U)DX9-4</t>
  </si>
  <si>
    <t>JG8VVL2</t>
  </si>
  <si>
    <t>140103-2017-000249</t>
  </si>
  <si>
    <t>XD-B02-KF-E07(13-22U)DX9-5</t>
  </si>
  <si>
    <t>JG8ZVL2</t>
  </si>
  <si>
    <t>140103-2017-000250</t>
  </si>
  <si>
    <t>XD-B02-KF-E07(13-22U)DX9-6</t>
  </si>
  <si>
    <t>JG93KL2</t>
  </si>
  <si>
    <t>140103-2017-000251</t>
  </si>
  <si>
    <t>XD-B02-KF-E07(13-22U)DX9-7</t>
  </si>
  <si>
    <t>JG90WL2</t>
  </si>
  <si>
    <t>140103-2017-000252</t>
  </si>
  <si>
    <t>XD-B02-KF-E07(13-22U)DX9-8</t>
  </si>
  <si>
    <t>JG95KL2</t>
  </si>
  <si>
    <t>140103-2017-000253</t>
  </si>
  <si>
    <t>XD-B02-KF-E07(13-22U)DX9-9</t>
  </si>
  <si>
    <t>JG8ZJL2</t>
  </si>
  <si>
    <t>140103-2017-000204</t>
  </si>
  <si>
    <t>XD-B02-KF-E07(2-11U)</t>
  </si>
  <si>
    <t>JGD0WL2</t>
  </si>
  <si>
    <t>140103-2017-000257</t>
  </si>
  <si>
    <t>XD-B02-KF-E07(2-11U)DP10-1</t>
  </si>
  <si>
    <t>JGD2KL2</t>
  </si>
  <si>
    <t>140103-2017-000266</t>
  </si>
  <si>
    <t>XD-B02-KF-E07(2-11U)DP10-10</t>
  </si>
  <si>
    <t>JGCYVL2</t>
  </si>
  <si>
    <t>140103-2017-000267</t>
  </si>
  <si>
    <t>XD-B02-KF-E07(2-11U)DP10-11</t>
  </si>
  <si>
    <t>JGBZJL2</t>
  </si>
  <si>
    <t>140103-2017-000268</t>
  </si>
  <si>
    <t>XD-B02-KF-E07(2-11U)DP10-12</t>
  </si>
  <si>
    <t>JGC6KL2</t>
  </si>
  <si>
    <t>140103-2017-000258</t>
  </si>
  <si>
    <t>XD-B02-KF-E07(2-11U)DP10-2</t>
  </si>
  <si>
    <t>JGD4YL2</t>
  </si>
  <si>
    <t>140103-2017-000259</t>
  </si>
  <si>
    <t>XD-B02-KF-E07(2-11U)DP10-3</t>
  </si>
  <si>
    <t>JGD6YL2</t>
  </si>
  <si>
    <t>140103-2017-000260</t>
  </si>
  <si>
    <t>XD-B02-KF-E07(2-11U)DP10-4</t>
  </si>
  <si>
    <t>JGC3KL2</t>
  </si>
  <si>
    <t>140103-2017-000261</t>
  </si>
  <si>
    <t>XD-B02-KF-E07(2-11U)DP10-5</t>
  </si>
  <si>
    <t>JGC4YL2</t>
  </si>
  <si>
    <t>140103-2017-000262</t>
  </si>
  <si>
    <t>XD-B02-KF-E07(2-11U)DP10-6</t>
  </si>
  <si>
    <t>JGCRVL2</t>
  </si>
  <si>
    <t>140103-2017-000263</t>
  </si>
  <si>
    <t>XD-B02-KF-E07(2-11U)DP10-7</t>
  </si>
  <si>
    <t>JGCWVL2</t>
  </si>
  <si>
    <t>140103-2017-000264</t>
  </si>
  <si>
    <t>XD-B02-KF-E07(2-11U)DP10-8</t>
  </si>
  <si>
    <t>JGC0YL2</t>
  </si>
  <si>
    <t>140103-2017-000265</t>
  </si>
  <si>
    <t>XD-B02-KF-E07(2-11U)DP10-9</t>
  </si>
  <si>
    <t>华为CH121 V3</t>
  </si>
  <si>
    <t>210305613210GA001640</t>
  </si>
  <si>
    <t>140103-2016-000072</t>
  </si>
  <si>
    <t>XD-B02-KF-E11</t>
  </si>
  <si>
    <t>210305613210GA001641</t>
  </si>
  <si>
    <t>140103-2016-000054</t>
  </si>
  <si>
    <t>XD-B02-KF-E11(2-13U)-1</t>
  </si>
  <si>
    <t>210305613210GA001649</t>
  </si>
  <si>
    <t>140103-2016-000074</t>
  </si>
  <si>
    <t>XD-B02-KF-E11(2-13U)-10</t>
  </si>
  <si>
    <t>210305613210GA001657</t>
  </si>
  <si>
    <t>140103-2016-000075</t>
  </si>
  <si>
    <t>XD-B02-KF-E11(2-13U)-11</t>
  </si>
  <si>
    <t>210305613210GA001644</t>
  </si>
  <si>
    <t>140103-2016-000076</t>
  </si>
  <si>
    <t>XD-B02-KF-E11(2-13U)-12</t>
  </si>
  <si>
    <t>210305613210GA001655</t>
  </si>
  <si>
    <t>140103-2016-000055</t>
  </si>
  <si>
    <t>XD-B02-KF-E11(2-13U)-2</t>
  </si>
  <si>
    <t>210305613210GA001647</t>
  </si>
  <si>
    <t>140103-2016-000056</t>
  </si>
  <si>
    <t>XD-B02-KF-E11(2-13U)-3</t>
  </si>
  <si>
    <t>210305613210GA001638</t>
  </si>
  <si>
    <t>140103-2016-000057</t>
  </si>
  <si>
    <t>XD-B02-KF-E11(2-13U)-4</t>
  </si>
  <si>
    <t>210305613210GA001652</t>
  </si>
  <si>
    <t>140103-2016-000058</t>
  </si>
  <si>
    <t>XD-B02-KF-E11(2-13U)-5</t>
  </si>
  <si>
    <t>210305613210GA001639</t>
  </si>
  <si>
    <t>140103-2016-000059</t>
  </si>
  <si>
    <t>XD-B02-KF-E11(2-13U)-6</t>
  </si>
  <si>
    <t>210305613210GA001658</t>
  </si>
  <si>
    <t>140103-2016-000060</t>
  </si>
  <si>
    <t>XD-B02-KF-E11(2-13U)-7</t>
  </si>
  <si>
    <t>210305613210GA001650</t>
  </si>
  <si>
    <t>140103-2016-000061</t>
  </si>
  <si>
    <t>XD-B02-KF-E11(2-13U)-8</t>
  </si>
  <si>
    <t>210305613210GA001646</t>
  </si>
  <si>
    <t>140103-2016-000073</t>
  </si>
  <si>
    <t>XD-B02-KF-E11(2-13U)-9</t>
  </si>
  <si>
    <t>210305613210GA001648</t>
  </si>
  <si>
    <t>140103-2016-000062</t>
  </si>
  <si>
    <t>XD-B02-KF-E11(22-23U)-1</t>
  </si>
  <si>
    <t>210305613210GA001643</t>
  </si>
  <si>
    <t>140103-2016-000068</t>
  </si>
  <si>
    <t>XD-B02-KF-E11(22-23U)-10</t>
  </si>
  <si>
    <t>210305613210GA001642</t>
  </si>
  <si>
    <t>140103-2016-000069</t>
  </si>
  <si>
    <t>XD-B02-KF-E11(22-23U)-11</t>
  </si>
  <si>
    <t>210305613210GA001656</t>
  </si>
  <si>
    <t>140103-2016-000053</t>
  </si>
  <si>
    <t>XD-B02-KF-E11(22-23U)-12</t>
  </si>
  <si>
    <t>210305613210GA001659</t>
  </si>
  <si>
    <t>140103-2016-000063</t>
  </si>
  <si>
    <t>XD-B02-KF-E11(22-23U)-2</t>
  </si>
  <si>
    <t>210305613210GA001660</t>
  </si>
  <si>
    <t>140103-2016-000064</t>
  </si>
  <si>
    <t>XD-B02-KF-E11(22-23U)-3</t>
  </si>
  <si>
    <t>210305613210GA001653</t>
  </si>
  <si>
    <t>140103-2016-000065</t>
  </si>
  <si>
    <t>XD-B02-KF-E11(22-23U)-4</t>
  </si>
  <si>
    <t>210305613210GA001654</t>
  </si>
  <si>
    <t>140103-2016-000070</t>
  </si>
  <si>
    <t>XD-B02-KF-E11(22-23U)-5</t>
  </si>
  <si>
    <t>210305613210GA001637</t>
  </si>
  <si>
    <t>140103-2016-000071</t>
  </si>
  <si>
    <t>XD-B02-KF-E11(22-23U)-6</t>
  </si>
  <si>
    <t>210305613210GA001645</t>
  </si>
  <si>
    <t>140103-2016-000066</t>
  </si>
  <si>
    <t>XD-B02-KF-E11(22-23U)-8</t>
  </si>
  <si>
    <t>210305613210GA001651</t>
  </si>
  <si>
    <t>140103-2016-000067</t>
  </si>
  <si>
    <t>XD-B02-KF-E11(22-23U)-9</t>
  </si>
  <si>
    <t>HP BL460</t>
  </si>
  <si>
    <t>6CU315YJZY</t>
  </si>
  <si>
    <t>140103-2014-002864</t>
  </si>
  <si>
    <t>XD-B02-KF-E12(13-22U)DP155-1</t>
  </si>
  <si>
    <t>6CU315YJZM</t>
  </si>
  <si>
    <t>140103-2014-002873</t>
  </si>
  <si>
    <t>XD-B02-KF-E12(13-22U)DP155-10</t>
  </si>
  <si>
    <t>6CU314YGVK</t>
  </si>
  <si>
    <t>140103-2014-002874</t>
  </si>
  <si>
    <t>XD-B02-KF-E12(13-22U)DP155-11</t>
  </si>
  <si>
    <t>6CU3454YRG</t>
  </si>
  <si>
    <t>140103-2014-002875</t>
  </si>
  <si>
    <t>XD-B02-KF-E12(13-22U)DP155-12</t>
  </si>
  <si>
    <t>6CU3454YRL</t>
  </si>
  <si>
    <t>140103-2014-002865</t>
  </si>
  <si>
    <t>XD-B02-KF-E12(13-22U)DP155-2</t>
  </si>
  <si>
    <t>6CU315YJZH</t>
  </si>
  <si>
    <t>140103-2014-002866</t>
  </si>
  <si>
    <t>XD-B02-KF-E12(13-22U)DP155-3</t>
  </si>
  <si>
    <t>6CU314YGVH</t>
  </si>
  <si>
    <t>140103-2014-002867</t>
  </si>
  <si>
    <t>XD-B02-KF-E12(13-22U)DP155-4</t>
  </si>
  <si>
    <t>6CU3454YRQ</t>
  </si>
  <si>
    <t>140103-2014-002868</t>
  </si>
  <si>
    <t>XD-B02-KF-E12(13-22U)DP155-5</t>
  </si>
  <si>
    <t>6CU314YGVT</t>
  </si>
  <si>
    <t>140103-2014-002869</t>
  </si>
  <si>
    <t>XD-B02-KF-E12(13-22U)DP155-6</t>
  </si>
  <si>
    <t>6CU320ZTY1</t>
  </si>
  <si>
    <t>140103-2014-002870</t>
  </si>
  <si>
    <t>XD-B02-KF-E12(13-22U)DP155-7</t>
  </si>
  <si>
    <t>6CU314YGVW</t>
  </si>
  <si>
    <t>140103-2014-002871</t>
  </si>
  <si>
    <t>XD-B02-KF-E12(13-22U)DP155-8</t>
  </si>
  <si>
    <t>6CU314YGVR</t>
  </si>
  <si>
    <t>140103-2014-002872</t>
  </si>
  <si>
    <t>XD-B02-KF-E12(13-22U)DP155-9</t>
  </si>
  <si>
    <t>广州毅航 isx 4000</t>
  </si>
  <si>
    <t>SNC-400v3.0-150519-00913
SNC-400v3.0-262137-01018</t>
  </si>
  <si>
    <t>140502-2017-000058</t>
  </si>
  <si>
    <t>XD-B02-KF-E12(28-32U)</t>
  </si>
  <si>
    <t>6CU320ZTY2</t>
  </si>
  <si>
    <t>140103-2014-002876</t>
  </si>
  <si>
    <t>XD-B02-KF-E12(3-12U)DP156-1</t>
  </si>
  <si>
    <t>6CU314YGVM</t>
  </si>
  <si>
    <t>140103-2014-002885</t>
  </si>
  <si>
    <t>XD-B02-KF-E12(3-12U)DP156-10</t>
  </si>
  <si>
    <t>6CU319ZQWJ</t>
  </si>
  <si>
    <t>140103-2014-002886</t>
  </si>
  <si>
    <t>XD-B02-KF-E12(3-12U)DP156-11</t>
  </si>
  <si>
    <t>6CU315YJZT</t>
  </si>
  <si>
    <t>140103-2014-002887</t>
  </si>
  <si>
    <t>XD-B02-KF-E12(3-12U)DP156-12</t>
  </si>
  <si>
    <t>6CU3454YRN</t>
  </si>
  <si>
    <t>140103-2014-002877</t>
  </si>
  <si>
    <t>XD-B02-KF-E12(3-12U)DP156-2</t>
  </si>
  <si>
    <t>6CU314YGVP</t>
  </si>
  <si>
    <t>140103-2014-002878</t>
  </si>
  <si>
    <t>XD-B02-KF-E12(3-12U)DP156-3</t>
  </si>
  <si>
    <t>6CU320ZTXZ</t>
  </si>
  <si>
    <t>140103-2014-002879</t>
  </si>
  <si>
    <t>XD-B02-KF-E12(3-12U)DP156-4</t>
  </si>
  <si>
    <t>6CU33631B0</t>
  </si>
  <si>
    <t>140103-2014-002880</t>
  </si>
  <si>
    <t>XD-B02-KF-E12(3-12U)DP156-5</t>
  </si>
  <si>
    <t>6CU33631C4</t>
  </si>
  <si>
    <t>140103-2014-002881</t>
  </si>
  <si>
    <t>XD-B02-KF-E12(3-12U)DP156-6</t>
  </si>
  <si>
    <t>6CU319ZQW2</t>
  </si>
  <si>
    <t>140103-2014-002882</t>
  </si>
  <si>
    <t>XD-B02-KF-E12(3-12U)DP156-7</t>
  </si>
  <si>
    <t>6CU319ZQWL</t>
  </si>
  <si>
    <t>140103-2014-002883</t>
  </si>
  <si>
    <t>XD-B02-KF-E12(3-12U)DP156-8</t>
  </si>
  <si>
    <t>6CU3454YRJ</t>
  </si>
  <si>
    <t>140103-2014-002884</t>
  </si>
  <si>
    <t>XD-B02-KF-E12(3-12U)DP156-9</t>
  </si>
  <si>
    <t>SUN SPARC T4-1</t>
  </si>
  <si>
    <t>AK00250144</t>
  </si>
  <si>
    <t>140102-2014-000881</t>
  </si>
  <si>
    <t>XD-B02-KF-E15(30-31U)</t>
  </si>
  <si>
    <t>A00K250143</t>
  </si>
  <si>
    <t>140102-2014-000882</t>
  </si>
  <si>
    <t>XD-B02-KF-E15(32-33U)</t>
  </si>
  <si>
    <t>Dell M630</t>
  </si>
  <si>
    <t>159SLG2</t>
  </si>
  <si>
    <t>140103-2016-000149</t>
  </si>
  <si>
    <t>XD-B02-KF-E17(17-21U)-1</t>
  </si>
  <si>
    <t>158WLG2</t>
  </si>
  <si>
    <t>140103-2016-000158</t>
  </si>
  <si>
    <t>XD-B02-KF-E17(17-21U)-10</t>
  </si>
  <si>
    <t>15C1MG2</t>
  </si>
  <si>
    <t>140103-2016-000159</t>
  </si>
  <si>
    <t>XD-B02-KF-E17(17-21U)-11</t>
  </si>
  <si>
    <t>15CZLG2</t>
  </si>
  <si>
    <t>140103-2016-000160</t>
  </si>
  <si>
    <t>XD-B02-KF-E17(17-21U)-12</t>
  </si>
  <si>
    <t>159XLG2</t>
  </si>
  <si>
    <t>140103-2016-000161</t>
  </si>
  <si>
    <t>XD-B02-KF-E17(17-21U)-13</t>
  </si>
  <si>
    <t>1500MG2</t>
  </si>
  <si>
    <t>140103-2016-000162</t>
  </si>
  <si>
    <t>XD-B02-KF-E17(17-21U)-14</t>
  </si>
  <si>
    <t>1581MG2</t>
  </si>
  <si>
    <t>140103-2016-000163</t>
  </si>
  <si>
    <t>XD-B02-KF-E17(17-21U)-15</t>
  </si>
  <si>
    <t>15DTLG2</t>
  </si>
  <si>
    <t>140103-2016-000164</t>
  </si>
  <si>
    <t>XD-B02-KF-E17(17-21U)-16</t>
  </si>
  <si>
    <t>15DXLG2</t>
  </si>
  <si>
    <t>140103-2016-000150</t>
  </si>
  <si>
    <t>XD-B02-KF-E17(17-21U)-2</t>
  </si>
  <si>
    <t>15BXLG2</t>
  </si>
  <si>
    <t>140103-2016-000151</t>
  </si>
  <si>
    <t>XD-B02-KF-E17(17-21U)-3</t>
  </si>
  <si>
    <t>15BSLG2</t>
  </si>
  <si>
    <t>140103-2016-000152</t>
  </si>
  <si>
    <t>XD-B02-KF-E17(17-21U)-4</t>
  </si>
  <si>
    <t>1540MG2</t>
  </si>
  <si>
    <t>140103-2016-000153</t>
  </si>
  <si>
    <t>XD-B02-KF-E17(17-21U)-5</t>
  </si>
  <si>
    <t>156WLG2</t>
  </si>
  <si>
    <t>140103-2016-000154</t>
  </si>
  <si>
    <t>XD-B02-KF-E17(17-21U)-6</t>
  </si>
  <si>
    <t>155YLG2</t>
  </si>
  <si>
    <t>140103-2016-000155</t>
  </si>
  <si>
    <t>XD-B02-KF-E17(17-21U)-7</t>
  </si>
  <si>
    <t>15CWLG2</t>
  </si>
  <si>
    <t>140103-2016-000156</t>
  </si>
  <si>
    <t>XD-B02-KF-E17(17-21U)-8</t>
  </si>
  <si>
    <t>157SLG2</t>
  </si>
  <si>
    <t>140103-2016-000157</t>
  </si>
  <si>
    <t>XD-B02-KF-E17(17-21U)-9</t>
  </si>
  <si>
    <t>FLZGHG2</t>
  </si>
  <si>
    <t>140103-2016-000165</t>
  </si>
  <si>
    <t>XD-B02-KF-E17(7-11U)-1</t>
  </si>
  <si>
    <t>FM11KG2</t>
  </si>
  <si>
    <t>140103-2016-000174</t>
  </si>
  <si>
    <t>XD-B02-KF-E17(7-11U)-10</t>
  </si>
  <si>
    <t>FM04KG2</t>
  </si>
  <si>
    <t>140103-2016-000175</t>
  </si>
  <si>
    <t>XD-B02-KF-E17(7-11U)-11</t>
  </si>
  <si>
    <t>FLZ1KG2</t>
  </si>
  <si>
    <t>140103-2016-000176</t>
  </si>
  <si>
    <t>XD-B02-KF-E17(7-11U)-12</t>
  </si>
  <si>
    <t>FM0NHG2</t>
  </si>
  <si>
    <t>140103-2016-000177</t>
  </si>
  <si>
    <t>XD-B02-KF-E17(7-11U)-13</t>
  </si>
  <si>
    <t>FLZ4KG2</t>
  </si>
  <si>
    <t>140103-2016-000178</t>
  </si>
  <si>
    <t>XD-B02-KF-E17(7-11U)-14</t>
  </si>
  <si>
    <t>FLYWJG2</t>
  </si>
  <si>
    <t>140103-2016-000179</t>
  </si>
  <si>
    <t>XD-B02-KF-E17(7-11U)-15</t>
  </si>
  <si>
    <t>FM0YJG2</t>
  </si>
  <si>
    <t>140103-2016-000180</t>
  </si>
  <si>
    <t>XD-B02-KF-E17(7-11U)-16</t>
  </si>
  <si>
    <t>FM1PHG2</t>
  </si>
  <si>
    <t>140103-2016-000166</t>
  </si>
  <si>
    <t>XD-B02-KF-E17(7-11U)-2</t>
  </si>
  <si>
    <t>FM15KG2</t>
  </si>
  <si>
    <t>140103-2016-000167</t>
  </si>
  <si>
    <t>XD-B02-KF-E17(7-11U)-3</t>
  </si>
  <si>
    <t>FLZZJG2</t>
  </si>
  <si>
    <t>140103-2016-000168</t>
  </si>
  <si>
    <t>XD-B02-KF-E17(7-11U)-4</t>
  </si>
  <si>
    <t>FLZXJG2</t>
  </si>
  <si>
    <t>140103-2016-000169</t>
  </si>
  <si>
    <t>XD-B02-KF-E17(7-11U)-5</t>
  </si>
  <si>
    <t>FM1KHG2</t>
  </si>
  <si>
    <t>140103-2016-000170</t>
  </si>
  <si>
    <t>XD-B02-KF-E17(7-11U)-6</t>
  </si>
  <si>
    <t>FLZHHG2</t>
  </si>
  <si>
    <t>140103-2016-000171</t>
  </si>
  <si>
    <t>XD-B02-KF-E17(7-11U)-7</t>
  </si>
  <si>
    <t>FLZKHG2</t>
  </si>
  <si>
    <t>140103-2016-000172</t>
  </si>
  <si>
    <t>XD-B02-KF-E17(7-11U)-8</t>
  </si>
  <si>
    <t>FM0JHG2</t>
  </si>
  <si>
    <t>140103-2016-000173</t>
  </si>
  <si>
    <t>XD-B02-KF-E17(7-11U)-9</t>
  </si>
  <si>
    <t>Dell PowerEdge R730xd</t>
  </si>
  <si>
    <t>CJ45YK2</t>
  </si>
  <si>
    <t>140103-2017-000066</t>
  </si>
  <si>
    <t>XD-B02-KF-F02(11-12U)</t>
  </si>
  <si>
    <t>CJ49YK2</t>
  </si>
  <si>
    <t>140103-2017-000065</t>
  </si>
  <si>
    <t>XD-B02-KF-F02(13-14U)</t>
  </si>
  <si>
    <t>CJ5BYK2</t>
  </si>
  <si>
    <t>140103-2017-000064</t>
  </si>
  <si>
    <t>XD-B02-KF-F02(15-16U)</t>
  </si>
  <si>
    <t>CJ6CYK2</t>
  </si>
  <si>
    <t>140103-2017-000063</t>
  </si>
  <si>
    <t>XD-B02-KF-F02(17-18U)</t>
  </si>
  <si>
    <t>DELL PowerEdge R530</t>
  </si>
  <si>
    <t>8426KL2</t>
  </si>
  <si>
    <t>140103-2017-000069</t>
  </si>
  <si>
    <t>XD-B02-KF-F02(19-20U)</t>
  </si>
  <si>
    <t>8425KL2</t>
  </si>
  <si>
    <t>140103-2017-000068</t>
  </si>
  <si>
    <t>XD-B02-KF-F02(21-22U)</t>
  </si>
  <si>
    <t>8424KL2</t>
  </si>
  <si>
    <t>140103-2017-000067</t>
  </si>
  <si>
    <t>XD-B02-KF-F02(24-25U)</t>
  </si>
  <si>
    <t>联想 X3650m5</t>
  </si>
  <si>
    <t>J33924B</t>
  </si>
  <si>
    <t>140103-2017-000071</t>
  </si>
  <si>
    <t>XD-B02-KF-F02(26-27U)</t>
  </si>
  <si>
    <t>J339246</t>
  </si>
  <si>
    <t>140103-2017-000070</t>
  </si>
  <si>
    <t>XD-B02-KF-F02(28-29U)</t>
  </si>
  <si>
    <t>华为RH2288 V3</t>
  </si>
  <si>
    <t>2102311QGN10GB000072</t>
  </si>
  <si>
    <t>140103-2017-000050</t>
  </si>
  <si>
    <t>XD-B02-KF-F04(11-12U)</t>
  </si>
  <si>
    <t>2102311ESF10H2000175</t>
  </si>
  <si>
    <t>140103-2017-000049</t>
  </si>
  <si>
    <t>XD-B02-KF-F04(13-14U)</t>
  </si>
  <si>
    <t>2102310YPY10H6005035</t>
  </si>
  <si>
    <t>140103-2017-000048</t>
  </si>
  <si>
    <t>XD-B02-KF-F04(15-16U)</t>
  </si>
  <si>
    <t>2102310YPY10H6005027</t>
  </si>
  <si>
    <t>140103-2017-000047</t>
  </si>
  <si>
    <t>XD-B02-KF-F04(17-18U)</t>
  </si>
  <si>
    <t>2102310YPY10H6005036</t>
  </si>
  <si>
    <t>140103-2017-000046</t>
  </si>
  <si>
    <t>XD-B02-KF-F04(19-20U)</t>
  </si>
  <si>
    <t>2102310YPY10H6005030</t>
  </si>
  <si>
    <t>140103-2017-000045</t>
  </si>
  <si>
    <t>XD-B02-KF-F04(21-22U)</t>
  </si>
  <si>
    <t>2102310YPY10H6005038</t>
  </si>
  <si>
    <t>140103-2017-000044</t>
  </si>
  <si>
    <t>XD-B02-KF-F04(24-25U)</t>
  </si>
  <si>
    <t>2102310YPY10H6005028</t>
  </si>
  <si>
    <t>140103-2017-000043</t>
  </si>
  <si>
    <t>XD-B02-KF-F04(26-27U)</t>
  </si>
  <si>
    <t>Dell PowerEdge R730</t>
  </si>
  <si>
    <t>DGM3YK2</t>
  </si>
  <si>
    <t>140103-2017-000058</t>
  </si>
  <si>
    <t>XD-B02-KF-F04(3-4U)</t>
  </si>
  <si>
    <t>DGK7YK2</t>
  </si>
  <si>
    <t>140103-2017-000057</t>
  </si>
  <si>
    <t>XD-B02-KF-F04(5-6U)</t>
  </si>
  <si>
    <t>DGPCYK2</t>
  </si>
  <si>
    <t>140103-2017-000056</t>
  </si>
  <si>
    <t>XD-B02-KF-F04(7-8U)</t>
  </si>
  <si>
    <t>DGL9YK2</t>
  </si>
  <si>
    <t>140103-2017-000055</t>
  </si>
  <si>
    <t>XD-B02-KF-F04(9-10U)</t>
  </si>
  <si>
    <t>华为 RH2288 V3</t>
  </si>
  <si>
    <t>2102311QGN10GB000115</t>
  </si>
  <si>
    <t>140103-2017-000075</t>
  </si>
  <si>
    <t>XD-B02-KF-F05(11-12U)</t>
  </si>
  <si>
    <t>2102311QGN10GB000059</t>
  </si>
  <si>
    <t>140103-2017-000074</t>
  </si>
  <si>
    <t>XD-B02-KF-F05(13-14U)</t>
  </si>
  <si>
    <t>2102310YPY10H6005034</t>
  </si>
  <si>
    <t>140103-2017-000073</t>
  </si>
  <si>
    <t>XD-B02-KF-F05(15-16U)</t>
  </si>
  <si>
    <t>2102310YPY10H6005033</t>
  </si>
  <si>
    <t>140103-2017-000072</t>
  </si>
  <si>
    <t>XD-B02-KF-F05(17-18U)</t>
  </si>
  <si>
    <t>2102310YPY10H6005032</t>
  </si>
  <si>
    <t>140103-2017-000054</t>
  </si>
  <si>
    <t>XD-B02-KF-F05(19-20U)</t>
  </si>
  <si>
    <t>2102310YPY10H6005029</t>
  </si>
  <si>
    <t>140103-2017-000053</t>
  </si>
  <si>
    <t>XD-B02-KF-F05(21-22U)</t>
  </si>
  <si>
    <t>2102310YPY10H6005031</t>
  </si>
  <si>
    <t>140103-2017-000052</t>
  </si>
  <si>
    <t>XD-B02-KF-F05(24-25U)</t>
  </si>
  <si>
    <t>2102310YPY10H6005037</t>
  </si>
  <si>
    <t>140103-2017-000051</t>
  </si>
  <si>
    <t>XD-B02-KF-F05(26-27U)</t>
  </si>
  <si>
    <t>DGNCYK2</t>
  </si>
  <si>
    <t>140103-2017-000062</t>
  </si>
  <si>
    <t>XD-B02-KF-F05(3-4U)</t>
  </si>
  <si>
    <t>DGR8YK2</t>
  </si>
  <si>
    <t>140103-2017-000061</t>
  </si>
  <si>
    <t>XD-B02-KF-F05(5-6U)</t>
  </si>
  <si>
    <t>DGN5YK2</t>
  </si>
  <si>
    <t>140103-2017-000060</t>
  </si>
  <si>
    <t>XD-B02-KF-F05(7-8U)</t>
  </si>
  <si>
    <t>DGP7YK2</t>
  </si>
  <si>
    <t>140103-2017-000059</t>
  </si>
  <si>
    <t>XD-B02-KF-F05(9-10U)</t>
  </si>
  <si>
    <t>IBM HS22</t>
  </si>
  <si>
    <t>99W3431</t>
  </si>
  <si>
    <t>140102-2011-000568</t>
  </si>
  <si>
    <t>XD-B02-KF-F13(12U-20U)DP56-1</t>
  </si>
  <si>
    <t>99W3440</t>
  </si>
  <si>
    <t>140102-2011-000577</t>
  </si>
  <si>
    <t>XD-B02-KF-F13(12U-20U)DP56-10</t>
  </si>
  <si>
    <t>99W3435</t>
  </si>
  <si>
    <t>140102-2011-000578</t>
  </si>
  <si>
    <t>XD-B02-KF-F13(12U-20U)DP56-11</t>
  </si>
  <si>
    <t>99W3428</t>
  </si>
  <si>
    <t>140102-2011-000579</t>
  </si>
  <si>
    <t>XD-B02-KF-F13(12U-20U)DP56-12</t>
  </si>
  <si>
    <t>99W3436</t>
  </si>
  <si>
    <t>140102-2011-000580</t>
  </si>
  <si>
    <t>XD-B02-KF-F13(12U-20U)DP56-13</t>
  </si>
  <si>
    <t>99W3434</t>
  </si>
  <si>
    <t>140102-2011-000581</t>
  </si>
  <si>
    <t>XD-B02-KF-F13(12U-20U)DP56-14</t>
  </si>
  <si>
    <t>99W3425</t>
  </si>
  <si>
    <t>140102-2011-000569</t>
  </si>
  <si>
    <t>XD-B02-KF-F13(12U-20U)DP56-2</t>
  </si>
  <si>
    <t>99W3438</t>
  </si>
  <si>
    <t>140102-2011-000570</t>
  </si>
  <si>
    <t>XD-B02-KF-F13(12U-20U)DP56-3</t>
  </si>
  <si>
    <t>99W3448</t>
  </si>
  <si>
    <t>140102-2011-000571</t>
  </si>
  <si>
    <t>XD-B02-KF-F13(12U-20U)DP56-4</t>
  </si>
  <si>
    <t>99W3446</t>
  </si>
  <si>
    <t>140102-2011-000572</t>
  </si>
  <si>
    <t>XD-B02-KF-F13(12U-20U)DP56-5</t>
  </si>
  <si>
    <t>99W3447</t>
  </si>
  <si>
    <t>140102-2011-000573</t>
  </si>
  <si>
    <t>XD-B02-KF-F13(12U-20U)DP56-6</t>
  </si>
  <si>
    <t>99W3439</t>
  </si>
  <si>
    <t>140102-2011-000574</t>
  </si>
  <si>
    <t>XD-B02-KF-F13(12U-20U)DP56-7</t>
  </si>
  <si>
    <t>99W3441</t>
  </si>
  <si>
    <t>140102-2011-000575</t>
  </si>
  <si>
    <t>XD-B02-KF-F13(12U-20U)DP56-8</t>
  </si>
  <si>
    <t>99W3449</t>
  </si>
  <si>
    <t>140102-2011-000576</t>
  </si>
  <si>
    <t>XD-B02-KF-F13(12U-20U)DP56-9</t>
  </si>
  <si>
    <t>99W3327</t>
  </si>
  <si>
    <t>140102-2011-000694</t>
  </si>
  <si>
    <t>XD-B02-KF-F13(3U-11U)DP65-1</t>
  </si>
  <si>
    <t>99G7860</t>
  </si>
  <si>
    <t>140102-2011-000743</t>
  </si>
  <si>
    <t>XD-B02-KF-F13(3U-11U)DP65-10</t>
  </si>
  <si>
    <t>99W3223</t>
  </si>
  <si>
    <t>140102-2011-000727</t>
  </si>
  <si>
    <t>XD-B02-KF-F13(3U-11U)DP65-12</t>
  </si>
  <si>
    <t>99W3226</t>
  </si>
  <si>
    <t>140102-2011-000733</t>
  </si>
  <si>
    <t>XD-B02-KF-F13(3U-11U)DP65-13</t>
  </si>
  <si>
    <t>99W3260</t>
  </si>
  <si>
    <t>140102-2011-000739</t>
  </si>
  <si>
    <t>XD-B02-KF-F13(3U-11U)DP65-14</t>
  </si>
  <si>
    <t>99W3229</t>
  </si>
  <si>
    <t>140102-2011-000695</t>
  </si>
  <si>
    <t>XD-B02-KF-F13(3U-11U)DP65-2</t>
  </si>
  <si>
    <t>99W3198</t>
  </si>
  <si>
    <t>140102-2011-000725</t>
  </si>
  <si>
    <t>XD-B02-KF-F13(3U-11U)DP65-3</t>
  </si>
  <si>
    <t>99W3301</t>
  </si>
  <si>
    <t>140102-2011-000726</t>
  </si>
  <si>
    <t>XD-B02-KF-F13(3U-11U)DP65-4</t>
  </si>
  <si>
    <t>99W3210</t>
  </si>
  <si>
    <t>140102-2011-000731</t>
  </si>
  <si>
    <t>XD-B02-KF-F13(3U-11U)DP65-5</t>
  </si>
  <si>
    <t>99W3214</t>
  </si>
  <si>
    <t>140102-2011-000732</t>
  </si>
  <si>
    <t>XD-B02-KF-F13(3U-11U)DP65-6</t>
  </si>
  <si>
    <t>99W3188</t>
  </si>
  <si>
    <t>140102-2011-000737</t>
  </si>
  <si>
    <t>XD-B02-KF-F13(3U-11U)DP65-7</t>
  </si>
  <si>
    <t>99W3215</t>
  </si>
  <si>
    <t>140102-2011-000738</t>
  </si>
  <si>
    <t>XD-B02-KF-F13(3U-11U)DP65-8</t>
  </si>
  <si>
    <t>99W3241</t>
  </si>
  <si>
    <t>140102-2011-000742</t>
  </si>
  <si>
    <t>XD-B02-KF-F13(3U-11U)DP65-9</t>
  </si>
  <si>
    <t>华三H3C S6800-54QF</t>
  </si>
  <si>
    <t>210235A1TXH179000206</t>
  </si>
  <si>
    <t>140502-2017-000052</t>
  </si>
  <si>
    <t>XD-B02-KF-G01(32-32U)</t>
  </si>
  <si>
    <t>219801A12T9199Q000M0</t>
  </si>
  <si>
    <t>140502-2020-000017</t>
  </si>
  <si>
    <t>XD-B02-KF-G01(34-34U)</t>
  </si>
  <si>
    <t>219801A12T919AQ000ML</t>
  </si>
  <si>
    <t>140502-2020-000015</t>
  </si>
  <si>
    <t>XD-B02-KF-G01(38-38U)</t>
  </si>
  <si>
    <t>2102350DLVDMK8000129</t>
  </si>
  <si>
    <t>140502-2020-000003</t>
  </si>
  <si>
    <t>XD-B02-KF-G01(40-40U)</t>
  </si>
  <si>
    <t>210235A1TXH179000335</t>
  </si>
  <si>
    <t>140502-2017-000053</t>
  </si>
  <si>
    <t>XD-B02-KF-G02(32-32U)</t>
  </si>
  <si>
    <t>219801A12T9198Q001H8</t>
  </si>
  <si>
    <t>140502-2020-000018</t>
  </si>
  <si>
    <t>XD-B02-KF-G02(34-34U)</t>
  </si>
  <si>
    <t>219801A12T9198Q0016R</t>
  </si>
  <si>
    <t>140502-2020-000016</t>
  </si>
  <si>
    <t>XD-B02-KF-G02(36-36U)</t>
  </si>
  <si>
    <t>2102350DLVDMK8000137</t>
  </si>
  <si>
    <t>140502-2020-000004</t>
  </si>
  <si>
    <t>XD-B02-KF-G02(40-40U)</t>
  </si>
  <si>
    <t>IBM P780</t>
  </si>
  <si>
    <t>0650FBP</t>
  </si>
  <si>
    <t>140102-2010-000350</t>
  </si>
  <si>
    <t>XD-B02-KF-G03(2-28U)</t>
  </si>
  <si>
    <t>0650D6P</t>
  </si>
  <si>
    <t>140102-2010-000351</t>
  </si>
  <si>
    <t>XD-B02-KF-G04(2-26U)</t>
  </si>
  <si>
    <t>H3C LS-5500-34C-HI</t>
  </si>
  <si>
    <t>210235A0H9H119000165</t>
  </si>
  <si>
    <t>140502-2012-000595</t>
  </si>
  <si>
    <t>XD-B02-KF-G05(18-18U)</t>
  </si>
  <si>
    <t>0650B6P</t>
  </si>
  <si>
    <t>140102-2010-000352</t>
  </si>
  <si>
    <t>XD-B02-KF-G05(19-41U)</t>
  </si>
  <si>
    <t>0650D2P</t>
  </si>
  <si>
    <t>140102-2010-000353</t>
  </si>
  <si>
    <t>XD-B02-KF-G06(19-41U)</t>
  </si>
  <si>
    <t>06B920P</t>
  </si>
  <si>
    <t>140102-2011-000511</t>
  </si>
  <si>
    <t>XD-B02-KF-G07(2-18U)</t>
  </si>
  <si>
    <t>06B91EP</t>
  </si>
  <si>
    <t>140102-2011-000510</t>
  </si>
  <si>
    <t>XD-B02-KF-G07(24-40U)</t>
  </si>
  <si>
    <t>SGH117XB2F</t>
  </si>
  <si>
    <t>140102-2011-000831</t>
  </si>
  <si>
    <t>XD-B02-KF-G08(1-10U)DP50</t>
  </si>
  <si>
    <t>HP BL860C I2</t>
  </si>
  <si>
    <t>SGH118XKV1</t>
  </si>
  <si>
    <t>140102-2011-000516</t>
  </si>
  <si>
    <t>XD-B02-KF-G08(1-10U)DP50-1</t>
  </si>
  <si>
    <t>SGH118XJP1</t>
  </si>
  <si>
    <t>140102-2011-000517</t>
  </si>
  <si>
    <t>XD-B02-KF-G08(1-10U)DP50-2</t>
  </si>
  <si>
    <t>SGH118XKVJ</t>
  </si>
  <si>
    <t>140102-2011-000518</t>
  </si>
  <si>
    <t>XD-B02-KF-G08(1-10U)DP50-3</t>
  </si>
  <si>
    <t>SGH118XFT6</t>
  </si>
  <si>
    <t>140102-2011-000519</t>
  </si>
  <si>
    <t>XD-B02-KF-G08(1-10U)DP50-4</t>
  </si>
  <si>
    <t>SGH118XJTT</t>
  </si>
  <si>
    <t>140102-2011-000520</t>
  </si>
  <si>
    <t>XD-B02-KF-G08(1-10U)DP50-5</t>
  </si>
  <si>
    <t>SGH118XKXS</t>
  </si>
  <si>
    <t>140102-2011-000521</t>
  </si>
  <si>
    <t>XD-B02-KF-G08(1-10U)DP50-6</t>
  </si>
  <si>
    <t>SGH117XB2Y</t>
  </si>
  <si>
    <t>140102-2011-000830</t>
  </si>
  <si>
    <t>XD-B02-KF-G08(11-20U)DP49</t>
  </si>
  <si>
    <t>SGH118XKXT</t>
  </si>
  <si>
    <t>140102-2011-000512</t>
  </si>
  <si>
    <t>XD-B02-KF-G08(11-20U)DP49-1</t>
  </si>
  <si>
    <t>SGH118XJTS</t>
  </si>
  <si>
    <t>140102-2011-000513</t>
  </si>
  <si>
    <t>XD-B02-KF-G08(11-20U)DP49-2</t>
  </si>
  <si>
    <t>SGH118XK5F</t>
  </si>
  <si>
    <t>140102-2011-000514</t>
  </si>
  <si>
    <t>XD-B02-KF-G08(11-20U)DP49-3</t>
  </si>
  <si>
    <t>HP Integrity BL860C I2</t>
  </si>
  <si>
    <t>SGH118XHHD</t>
  </si>
  <si>
    <t>140102-2011-000479</t>
  </si>
  <si>
    <t>XD-B02-KF-G08(11-20U)DP49-8</t>
  </si>
  <si>
    <t>140102-2011-000515</t>
  </si>
  <si>
    <t>SGH230A2A4(升级870C I2)</t>
  </si>
  <si>
    <t>140102-2011-000526</t>
  </si>
  <si>
    <t>XD-B02-KF-G09(11-20U)DP70-1*2</t>
  </si>
  <si>
    <t>140102-2011-000527</t>
  </si>
  <si>
    <t>SGH230A2A3(升级870C I2)</t>
  </si>
  <si>
    <t>140102-2011-000528</t>
  </si>
  <si>
    <t>XD-B02-KF-G09(11-20U)DP70-3*4</t>
  </si>
  <si>
    <t>140102-2011-000529</t>
  </si>
  <si>
    <t>SGH230A2A0(升级870C I2)</t>
  </si>
  <si>
    <t>140102-2011-000530</t>
  </si>
  <si>
    <t>XD-B02-KF-G09(11-20U)DP70-5*6</t>
  </si>
  <si>
    <t>SGH230A29Y(升级870C I2)</t>
  </si>
  <si>
    <t>140102-2011-000532</t>
  </si>
  <si>
    <t>XD-B02-KF-G09(11-20U)DP70-7*8</t>
  </si>
  <si>
    <t>140102-2011-000533</t>
  </si>
  <si>
    <t>SGH230A2A0﹝升级870C I2﹞</t>
  </si>
  <si>
    <t>140102-2011-000531</t>
  </si>
  <si>
    <t>XD-B02-KF-G09﹝11-20U﹞DP70-5*6</t>
  </si>
  <si>
    <t>Cisco UCS5108</t>
  </si>
  <si>
    <t>FOX1834GTFL</t>
  </si>
  <si>
    <t>140103-2014-002914</t>
  </si>
  <si>
    <t>XD-B02-KF-G10(10-15U)DP179</t>
  </si>
  <si>
    <t>Cisco UCS-B200M3</t>
  </si>
  <si>
    <t>FCH1834J6PX</t>
  </si>
  <si>
    <t>140103-2014-002901</t>
  </si>
  <si>
    <t>XD-B02-KF-G10(10-15U)DP179-1</t>
  </si>
  <si>
    <t>FCH1834J0JL</t>
  </si>
  <si>
    <t>140103-2014-002902</t>
  </si>
  <si>
    <t>XD-B02-KF-G10(10-15U)DP179-2</t>
  </si>
  <si>
    <t>FCH1834J0PD</t>
  </si>
  <si>
    <t>140103-2014-002903</t>
  </si>
  <si>
    <t>XD-B02-KF-G10(10-15U)DP179-3</t>
  </si>
  <si>
    <t>FCH1834JEQ6</t>
  </si>
  <si>
    <t>140103-2014-002904</t>
  </si>
  <si>
    <t>XD-B02-KF-G10(10-15U)DP179-4</t>
  </si>
  <si>
    <t>FCH1834JEPH</t>
  </si>
  <si>
    <t>140103-2014-002905</t>
  </si>
  <si>
    <t>XD-B02-KF-G10(10-15U)DP179-5</t>
  </si>
  <si>
    <t>FCH1834JDRY</t>
  </si>
  <si>
    <t>140103-2014-002906</t>
  </si>
  <si>
    <t>XD-B02-KF-G10(10-15U)DP179-6</t>
  </si>
  <si>
    <t>FCH1834JDNQ</t>
  </si>
  <si>
    <t>140103-2014-002907</t>
  </si>
  <si>
    <t>XD-B02-KF-G10(10-15U)DP179-7</t>
  </si>
  <si>
    <t>FCH18347Q27</t>
  </si>
  <si>
    <t>140103-2014-002908</t>
  </si>
  <si>
    <t>XD-B02-KF-G10(10-15U)DP179-8</t>
  </si>
  <si>
    <t>FOX1842GHVG</t>
  </si>
  <si>
    <t>140103-2014-002941</t>
  </si>
  <si>
    <t>XD-B02-KF-G10(17-22U)DP180</t>
  </si>
  <si>
    <t>FCH18347JT2</t>
  </si>
  <si>
    <t>140103-2014-002915</t>
  </si>
  <si>
    <t>XD-B02-KF-G10(17-22U)DP180-1</t>
  </si>
  <si>
    <t>FCH18347HVG</t>
  </si>
  <si>
    <t>140103-2014-002916</t>
  </si>
  <si>
    <t>XD-B02-KF-G10(17-22U)DP180-2</t>
  </si>
  <si>
    <t>FCH18347HRA</t>
  </si>
  <si>
    <t>140103-2014-002917</t>
  </si>
  <si>
    <t>XD-B02-KF-G10(17-22U)DP180-3</t>
  </si>
  <si>
    <t>FCH18347KZU</t>
  </si>
  <si>
    <t>140103-2014-002918</t>
  </si>
  <si>
    <t>XD-B02-KF-G10(17-22U)DP180-4</t>
  </si>
  <si>
    <t>FCH18347HUZ</t>
  </si>
  <si>
    <t>140103-2014-002919</t>
  </si>
  <si>
    <t>XD-B02-KF-G10(17-22U)DP180-5</t>
  </si>
  <si>
    <t>FCH18347HCZ</t>
  </si>
  <si>
    <t>140103-2014-002920</t>
  </si>
  <si>
    <t>XD-B02-KF-G10(17-22U)DP180-6</t>
  </si>
  <si>
    <t>FCH18347JCE</t>
  </si>
  <si>
    <t>140103-2014-002921</t>
  </si>
  <si>
    <t>XD-B02-KF-G10(17-22U)DP180-7</t>
  </si>
  <si>
    <t>FCH18347KP9</t>
  </si>
  <si>
    <t>140103-2014-002922</t>
  </si>
  <si>
    <t>XD-B02-KF-G10(17-22U)DP180-8</t>
  </si>
  <si>
    <t>FOX1842G6HM</t>
  </si>
  <si>
    <t>140103-2014-002942</t>
  </si>
  <si>
    <t>XD-B02-KF-G10(24-29U)DP181</t>
  </si>
  <si>
    <t>FCH18347HAF</t>
  </si>
  <si>
    <t>140103-2014-002923</t>
  </si>
  <si>
    <t>XD-B02-KF-G10(24-29U)DP181-1</t>
  </si>
  <si>
    <t>FCH18347K43</t>
  </si>
  <si>
    <t>140103-2014-002924</t>
  </si>
  <si>
    <t>XD-B02-KF-G10(24-29U)DP181-2</t>
  </si>
  <si>
    <t>FCH18347JYX</t>
  </si>
  <si>
    <t>140103-2014-002925</t>
  </si>
  <si>
    <t>XD-B02-KF-G10(24-29U)DP181-3</t>
  </si>
  <si>
    <t>FCH18347K2E</t>
  </si>
  <si>
    <t>140103-2014-002926</t>
  </si>
  <si>
    <t>XD-B02-KF-G10(24-29U)DP181-4</t>
  </si>
  <si>
    <t>FCH18347KD3</t>
  </si>
  <si>
    <t>140103-2014-002927</t>
  </si>
  <si>
    <t>XD-B02-KF-G10(24-29U)DP181-5</t>
  </si>
  <si>
    <t>FCH18347M8L</t>
  </si>
  <si>
    <t>140103-2014-002928</t>
  </si>
  <si>
    <t>XD-B02-KF-G10(24-29U)DP181-6</t>
  </si>
  <si>
    <t>FCH18347LOL</t>
  </si>
  <si>
    <t>140103-2014-002929</t>
  </si>
  <si>
    <t>XD-B02-KF-G10(24-29U)DP181-7</t>
  </si>
  <si>
    <t>FCH18347KDC</t>
  </si>
  <si>
    <t>140103-2014-002930</t>
  </si>
  <si>
    <t>XD-B02-KF-G10(24-29U)DP181-8</t>
  </si>
  <si>
    <t>FOX1838GTEG</t>
  </si>
  <si>
    <t>140103-2014-002913</t>
  </si>
  <si>
    <t>XD-B02-KF-G10(3-8U)DP178</t>
  </si>
  <si>
    <t>FCH1834JDMH</t>
  </si>
  <si>
    <t>140103-2014-002893</t>
  </si>
  <si>
    <t>XD-B02-KF-G10(3-8U)DP178-1</t>
  </si>
  <si>
    <t>FCH1834JE4B</t>
  </si>
  <si>
    <t>140103-2014-002894</t>
  </si>
  <si>
    <t>XD-B02-KF-G10(3-8U)DP178-2</t>
  </si>
  <si>
    <t>FCH1834JDPZ</t>
  </si>
  <si>
    <t>140103-2014-002895</t>
  </si>
  <si>
    <t>XD-B02-KF-G10(3-8U)DP178-3</t>
  </si>
  <si>
    <t>FCH18347Q24</t>
  </si>
  <si>
    <t>140103-2014-002896</t>
  </si>
  <si>
    <t>XD-B02-KF-G10(3-8U)DP178-4</t>
  </si>
  <si>
    <t>FCH1834JERN</t>
  </si>
  <si>
    <t>140103-2014-002897</t>
  </si>
  <si>
    <t>XD-B02-KF-G10(3-8U)DP178-5</t>
  </si>
  <si>
    <t>FCH1834JEAY</t>
  </si>
  <si>
    <t>140103-2014-002898</t>
  </si>
  <si>
    <t>XD-B02-KF-G10(3-8U)DP178-6</t>
  </si>
  <si>
    <t>FCH1834JDKV</t>
  </si>
  <si>
    <t>140103-2014-002899</t>
  </si>
  <si>
    <t>XD-B02-KF-G10(3-8U)DP178-7</t>
  </si>
  <si>
    <t>FCH1834JEBK</t>
  </si>
  <si>
    <t>140103-2014-002900</t>
  </si>
  <si>
    <t>XD-B02-KF-G10(3-8U)DP178-8</t>
  </si>
  <si>
    <t>FOX1842GHWG</t>
  </si>
  <si>
    <t>140103-2014-002948</t>
  </si>
  <si>
    <t>XD-B02-KF-G11(10-15U)DP183</t>
  </si>
  <si>
    <t>FCH18347HTE</t>
  </si>
  <si>
    <t>140103-2014-002909</t>
  </si>
  <si>
    <t>XD-B02-KF-G11(10-15U)DP183-1</t>
  </si>
  <si>
    <t>FCH18347JD7</t>
  </si>
  <si>
    <t>140103-2014-002910</t>
  </si>
  <si>
    <t>XD-B02-KF-G11(10-15U)DP183-2</t>
  </si>
  <si>
    <t>FCH18347K08</t>
  </si>
  <si>
    <t>140103-2014-002944</t>
  </si>
  <si>
    <t>XD-B02-KF-G11(10-15U)DP183-3</t>
  </si>
  <si>
    <t>FCH18347K3J</t>
  </si>
  <si>
    <t>140103-2014-002945</t>
  </si>
  <si>
    <t>XD-B02-KF-G11(10-15U)DP183-4</t>
  </si>
  <si>
    <t>FCH18407JSW</t>
  </si>
  <si>
    <t>140103-2014-002939</t>
  </si>
  <si>
    <t>XD-B02-KF-G11(10-15U)DP183-5</t>
  </si>
  <si>
    <t>FOX1842GJ1R</t>
  </si>
  <si>
    <t>140103-2014-002892</t>
  </si>
  <si>
    <t>XD-B02-KF-G11(17-22U)DP184</t>
  </si>
  <si>
    <t>FCH18347J1R</t>
  </si>
  <si>
    <t>140103-2014-002911</t>
  </si>
  <si>
    <t>XD-B02-KF-G11(17-22U)DP184-1</t>
  </si>
  <si>
    <t>FCH18347HS4</t>
  </si>
  <si>
    <t>140103-2014-002912</t>
  </si>
  <si>
    <t>XD-B02-KF-G11(17-22U)DP184-2</t>
  </si>
  <si>
    <t>FCH18347KXU</t>
  </si>
  <si>
    <t>140103-2014-002946</t>
  </si>
  <si>
    <t>XD-B02-KF-G11(17-22U)DP184-3</t>
  </si>
  <si>
    <t>FCH18347LGP</t>
  </si>
  <si>
    <t>140103-2014-002947</t>
  </si>
  <si>
    <t>XD-B02-KF-G11(17-22U)DP184-4</t>
  </si>
  <si>
    <t>FCH18407HCA</t>
  </si>
  <si>
    <t>140103-2014-002940</t>
  </si>
  <si>
    <t>XD-B02-KF-G11(17-22U)DP184-5</t>
  </si>
  <si>
    <t>FOX1841G3NY</t>
  </si>
  <si>
    <t>140103-2014-002943</t>
  </si>
  <si>
    <t>XD-B02-KF-G11(3-8U)DP182</t>
  </si>
  <si>
    <t>FCH18347HXQ</t>
  </si>
  <si>
    <t>140103-2014-002931</t>
  </si>
  <si>
    <t>XD-B02-KF-G11(3-8U)DP182-1</t>
  </si>
  <si>
    <t>FCH18347KMQ</t>
  </si>
  <si>
    <t>140103-2014-002932</t>
  </si>
  <si>
    <t>XD-B02-KF-G11(3-8U)DP182-2</t>
  </si>
  <si>
    <t>FCH18347J58</t>
  </si>
  <si>
    <t>140103-2014-002933</t>
  </si>
  <si>
    <t>XD-B02-KF-G11(3-8U)DP182-3</t>
  </si>
  <si>
    <t>FCH18347J6S</t>
  </si>
  <si>
    <t>140103-2014-002934</t>
  </si>
  <si>
    <t>XD-B02-KF-G11(3-8U)DP182-4</t>
  </si>
  <si>
    <t>FCH18347KG9</t>
  </si>
  <si>
    <t>140103-2014-002935</t>
  </si>
  <si>
    <t>XD-B02-KF-G11(3-8U)DP182-5</t>
  </si>
  <si>
    <t>FCH18347HT4</t>
  </si>
  <si>
    <t>140103-2014-002936</t>
  </si>
  <si>
    <t>XD-B02-KF-G11(3-8U)DP182-6</t>
  </si>
  <si>
    <t>FCH18347J6Z</t>
  </si>
  <si>
    <t>140103-2014-002937</t>
  </si>
  <si>
    <t>XD-B02-KF-G11(3-8U)DP182-7</t>
  </si>
  <si>
    <t>FCH18347JKH</t>
  </si>
  <si>
    <t>140103-2014-002938</t>
  </si>
  <si>
    <t>XD-B02-KF-G11(3-8U)DP182-8</t>
  </si>
  <si>
    <t>HP DL380</t>
  </si>
  <si>
    <t>CNG230S8Z8</t>
  </si>
  <si>
    <t>140103-2012-000666</t>
  </si>
  <si>
    <t>XD-B02-KF-G13(29-30U)</t>
  </si>
  <si>
    <t>CNG230S8Z6</t>
  </si>
  <si>
    <t>140103-2012-000667</t>
  </si>
  <si>
    <t>XD-B02-KF-G13(32-33U)</t>
  </si>
  <si>
    <t>99W3250</t>
  </si>
  <si>
    <t>140102-2011-000667</t>
  </si>
  <si>
    <t>XD-B02-KF-G14(12U-20U)DP57-8</t>
  </si>
  <si>
    <t>99W3444</t>
  </si>
  <si>
    <t>140102-2011-000595</t>
  </si>
  <si>
    <t>XD-B02-KF-G14(3U-11U)DP58-1</t>
  </si>
  <si>
    <t>99W3450</t>
  </si>
  <si>
    <t>140102-2011-000604</t>
  </si>
  <si>
    <t>XD-B02-KF-G14(3U-11U)DP58-10</t>
  </si>
  <si>
    <t>99W3429</t>
  </si>
  <si>
    <t>140102-2011-000605</t>
  </si>
  <si>
    <t>XD-B02-KF-G14(3U-11U)DP58-11</t>
  </si>
  <si>
    <t>99W3433</t>
  </si>
  <si>
    <t>140102-2011-000606</t>
  </si>
  <si>
    <t>XD-B02-KF-G14(3U-11U)DP58-12</t>
  </si>
  <si>
    <t>99W3267</t>
  </si>
  <si>
    <t>140102-2011-000607</t>
  </si>
  <si>
    <t>XD-B02-KF-G14(3U-11U)DP58-13</t>
  </si>
  <si>
    <t>99W3277</t>
  </si>
  <si>
    <t>140102-2011-000608</t>
  </si>
  <si>
    <t>XD-B02-KF-G14(3U-11U)DP58-14</t>
  </si>
  <si>
    <t>99W3432</t>
  </si>
  <si>
    <t>140102-2011-000596</t>
  </si>
  <si>
    <t>XD-B02-KF-G14(3U-11U)DP58-2</t>
  </si>
  <si>
    <t>99W3445</t>
  </si>
  <si>
    <t>140102-2011-000597</t>
  </si>
  <si>
    <t>XD-B02-KF-G14(3U-11U)DP58-3</t>
  </si>
  <si>
    <t>140102-2011-000598</t>
  </si>
  <si>
    <t>XD-B02-KF-G14(3U-11U)DP58-4</t>
  </si>
  <si>
    <t>99W3443</t>
  </si>
  <si>
    <t>140102-2011-000599</t>
  </si>
  <si>
    <t>XD-B02-KF-G14(3U-11U)DP58-5</t>
  </si>
  <si>
    <t>99W3426</t>
  </si>
  <si>
    <t>140102-2011-000600</t>
  </si>
  <si>
    <t>XD-B02-KF-G14(3U-11U)DP58-6</t>
  </si>
  <si>
    <t>99W3427</t>
  </si>
  <si>
    <t>140102-2011-000601</t>
  </si>
  <si>
    <t>XD-B02-KF-G14(3U-11U)DP58-7</t>
  </si>
  <si>
    <t>99W3442</t>
  </si>
  <si>
    <t>140102-2011-000602</t>
  </si>
  <si>
    <t>XD-B02-KF-G14(3U-11U)DP58-8</t>
  </si>
  <si>
    <t>99W3437</t>
  </si>
  <si>
    <t>140102-2011-000603</t>
  </si>
  <si>
    <t>XD-B02-KF-G14(3U-11U)DP58-9</t>
  </si>
  <si>
    <t>99W3197</t>
  </si>
  <si>
    <t>140102-2011-000609</t>
  </si>
  <si>
    <t>XD-B02-KF-G15(12U-20U)DP59-1</t>
  </si>
  <si>
    <t>99W3282</t>
  </si>
  <si>
    <t>140102-2011-000618</t>
  </si>
  <si>
    <t>XD-B02-KF-G15(12U-20U)DP59-10</t>
  </si>
  <si>
    <t>99W3243</t>
  </si>
  <si>
    <t>140102-2011-000619</t>
  </si>
  <si>
    <t>XD-B02-KF-G15(12U-20U)DP59-11</t>
  </si>
  <si>
    <t>99W3271</t>
  </si>
  <si>
    <t>140102-2011-000620</t>
  </si>
  <si>
    <t>XD-B02-KF-G15(12U-20U)DP59-12</t>
  </si>
  <si>
    <t>99W3230</t>
  </si>
  <si>
    <t>140102-2011-000621</t>
  </si>
  <si>
    <t>XD-B02-KF-G15(12U-20U)DP59-13</t>
  </si>
  <si>
    <t>99W3219</t>
  </si>
  <si>
    <t>140102-2011-000622</t>
  </si>
  <si>
    <t>XD-B02-KF-G15(12U-20U)DP59-14</t>
  </si>
  <si>
    <t>99W3274</t>
  </si>
  <si>
    <t>140102-2011-000610</t>
  </si>
  <si>
    <t>XD-B02-KF-G15(12U-20U)DP59-2</t>
  </si>
  <si>
    <t>99W3220</t>
  </si>
  <si>
    <t>140102-2011-000611</t>
  </si>
  <si>
    <t>XD-B02-KF-G15(12U-20U)DP59-3</t>
  </si>
  <si>
    <t>99W3199</t>
  </si>
  <si>
    <t>140102-2011-000612</t>
  </si>
  <si>
    <t>XD-B02-KF-G15(12U-20U)DP59-4</t>
  </si>
  <si>
    <t>99W3299</t>
  </si>
  <si>
    <t>140102-2011-000613</t>
  </si>
  <si>
    <t>XD-B02-KF-G15(12U-20U)DP59-5</t>
  </si>
  <si>
    <t>99W3281</t>
  </si>
  <si>
    <t>140102-2011-000614</t>
  </si>
  <si>
    <t>XD-B02-KF-G15(12U-20U)DP59-6</t>
  </si>
  <si>
    <t>99W3298</t>
  </si>
  <si>
    <t>140102-2011-000615</t>
  </si>
  <si>
    <t>XD-B02-KF-G15(12U-20U)DP59-7</t>
  </si>
  <si>
    <t>99W3234</t>
  </si>
  <si>
    <t>140102-2011-000616</t>
  </si>
  <si>
    <t>XD-B02-KF-G15(12U-20U)DP59-8</t>
  </si>
  <si>
    <t>99W3287</t>
  </si>
  <si>
    <t>140102-2011-000617</t>
  </si>
  <si>
    <t>XD-B02-KF-G15(12U-20U)DP59-9</t>
  </si>
  <si>
    <t>99W3185</t>
  </si>
  <si>
    <t>140102-2011-000623</t>
  </si>
  <si>
    <t>XD-B02-KF-G15(3U-11U)DP60-1</t>
  </si>
  <si>
    <t>99W3189</t>
  </si>
  <si>
    <t>140102-2011-000631</t>
  </si>
  <si>
    <t>XD-B02-KF-G15(3U-11U)DP60-10</t>
  </si>
  <si>
    <t>99W3183</t>
  </si>
  <si>
    <t>140102-2011-000632</t>
  </si>
  <si>
    <t>XD-B02-KF-G15(3U-11U)DP60-11</t>
  </si>
  <si>
    <t>99W3246</t>
  </si>
  <si>
    <t>140102-2011-000633</t>
  </si>
  <si>
    <t>XD-B02-KF-G15(3U-11U)DP60-12</t>
  </si>
  <si>
    <t>99W3307</t>
  </si>
  <si>
    <t>140102-2011-000634</t>
  </si>
  <si>
    <t>XD-B02-KF-G15(3U-11U)DP60-13</t>
  </si>
  <si>
    <t>99W3265</t>
  </si>
  <si>
    <t>140102-2011-000635</t>
  </si>
  <si>
    <t>XD-B02-KF-G15(3U-11U)DP60-14</t>
  </si>
  <si>
    <t>99W3244</t>
  </si>
  <si>
    <t>140102-2011-000638</t>
  </si>
  <si>
    <t>XD-B02-KF-G15(3U-11U)DP60-2</t>
  </si>
  <si>
    <t>99W3269</t>
  </si>
  <si>
    <t>140102-2011-000624</t>
  </si>
  <si>
    <t>XD-B02-KF-G15(3U-11U)DP60-3</t>
  </si>
  <si>
    <t>99W3270</t>
  </si>
  <si>
    <t>140102-2011-000625</t>
  </si>
  <si>
    <t>XD-B02-KF-G15(3U-11U)DP60-4</t>
  </si>
  <si>
    <t>99W3248</t>
  </si>
  <si>
    <t>140102-2011-000626</t>
  </si>
  <si>
    <t>XD-B02-KF-G15(3U-11U)DP60-5</t>
  </si>
  <si>
    <t>99W3242</t>
  </si>
  <si>
    <t>140102-2011-000627</t>
  </si>
  <si>
    <t>XD-B02-KF-G15(3U-11U)DP60-6</t>
  </si>
  <si>
    <t>99W3323</t>
  </si>
  <si>
    <t>140102-2011-000628</t>
  </si>
  <si>
    <t>XD-B02-KF-G15(3U-11U)DP60-7</t>
  </si>
  <si>
    <t>99W3318</t>
  </si>
  <si>
    <t>140102-2011-000629</t>
  </si>
  <si>
    <t>XD-B02-KF-G15(3U-11U)DP60-8</t>
  </si>
  <si>
    <t>99W3314</t>
  </si>
  <si>
    <t>140102-2011-000630</t>
  </si>
  <si>
    <t>XD-B02-KF-G15(3U-11U)DP60-9</t>
  </si>
  <si>
    <t>99W3204</t>
  </si>
  <si>
    <t>140102-2011-000636</t>
  </si>
  <si>
    <t>XD-B02-KF-G16(12U-20U)DP61-1</t>
  </si>
  <si>
    <t>99W3227</t>
  </si>
  <si>
    <t>140102-2011-000646</t>
  </si>
  <si>
    <t>XD-B02-KF-G16(12U-20U)DP61-10</t>
  </si>
  <si>
    <t>99W3300</t>
  </si>
  <si>
    <t>140102-2011-000647</t>
  </si>
  <si>
    <t>XD-B02-KF-G16(12U-20U)DP61-11</t>
  </si>
  <si>
    <t>99W3309</t>
  </si>
  <si>
    <t>140102-2011-000648</t>
  </si>
  <si>
    <t>XD-B02-KF-G16(12U-20U)DP61-12</t>
  </si>
  <si>
    <t>99W3263</t>
  </si>
  <si>
    <t>140102-2011-000649</t>
  </si>
  <si>
    <t>XD-B02-KF-G16(12U-20U)DP61-13</t>
  </si>
  <si>
    <t>99W3190</t>
  </si>
  <si>
    <t>140102-2011-000650</t>
  </si>
  <si>
    <t>XD-B02-KF-G16(12U-20U)DP61-14</t>
  </si>
  <si>
    <t>99W3225</t>
  </si>
  <si>
    <t>140102-2011-000637</t>
  </si>
  <si>
    <t>XD-B02-KF-G16(12U-20U)DP61-2</t>
  </si>
  <si>
    <t>99W3209</t>
  </si>
  <si>
    <t>140102-2011-000639</t>
  </si>
  <si>
    <t>XD-B02-KF-G16(12U-20U)DP61-3</t>
  </si>
  <si>
    <t>99W3181</t>
  </si>
  <si>
    <t>140102-2011-000640</t>
  </si>
  <si>
    <t>XD-B02-KF-G16(12U-20U)DP61-4</t>
  </si>
  <si>
    <t>99W3297</t>
  </si>
  <si>
    <t>140102-2011-000641</t>
  </si>
  <si>
    <t>XD-B02-KF-G16(12U-20U)DP61-5</t>
  </si>
  <si>
    <t>99W3295</t>
  </si>
  <si>
    <t>140102-2011-000642</t>
  </si>
  <si>
    <t>XD-B02-KF-G16(12U-20U)DP61-6</t>
  </si>
  <si>
    <t>99W3289</t>
  </si>
  <si>
    <t>140102-2011-000643</t>
  </si>
  <si>
    <t>XD-B02-KF-G16(12U-20U)DP61-7</t>
  </si>
  <si>
    <t>99W3193</t>
  </si>
  <si>
    <t>140102-2011-000644</t>
  </si>
  <si>
    <t>XD-B02-KF-G16(12U-20U)DP61-8</t>
  </si>
  <si>
    <t>99W3296</t>
  </si>
  <si>
    <t>140102-2011-000645</t>
  </si>
  <si>
    <t>XD-B02-KF-G16(12U-20U)DP61-9</t>
  </si>
  <si>
    <t>IBM X3650</t>
  </si>
  <si>
    <t>06YG384</t>
  </si>
  <si>
    <t>140103-2011-000405</t>
  </si>
  <si>
    <t>XD-B02-KF-G16(28-29U)</t>
  </si>
  <si>
    <t>IBM X3850</t>
  </si>
  <si>
    <t>06YG377</t>
  </si>
  <si>
    <t>140103-2012-000423</t>
  </si>
  <si>
    <t>XD-B02-KF-G16(31-32U)</t>
  </si>
  <si>
    <t>140103-2011-000404</t>
  </si>
  <si>
    <t>99W3316</t>
  </si>
  <si>
    <t>140102-2011-000651</t>
  </si>
  <si>
    <t>XD-B02-KF-G16(3U-11U)DP62-1</t>
  </si>
  <si>
    <t>99W3294</t>
  </si>
  <si>
    <t>140102-2011-000660</t>
  </si>
  <si>
    <t>XD-B02-KF-G16(3U-11U)DP62-10</t>
  </si>
  <si>
    <t>99W3195</t>
  </si>
  <si>
    <t>140102-2011-000661</t>
  </si>
  <si>
    <t>XD-B02-KF-G16(3U-11U)DP62-11</t>
  </si>
  <si>
    <t>99W3207</t>
  </si>
  <si>
    <t>140102-2011-000662</t>
  </si>
  <si>
    <t>XD-B02-KF-G16(3U-11U)DP62-12</t>
  </si>
  <si>
    <t>99W3329</t>
  </si>
  <si>
    <t>140102-2011-000663</t>
  </si>
  <si>
    <t>XD-B02-KF-G16(3U-11U)DP62-13</t>
  </si>
  <si>
    <t>99W3232</t>
  </si>
  <si>
    <t>140102-2011-000664</t>
  </si>
  <si>
    <t>XD-B02-KF-G16(3U-11U)DP62-14</t>
  </si>
  <si>
    <t>99W3224</t>
  </si>
  <si>
    <t>140102-2011-000652</t>
  </si>
  <si>
    <t>XD-B02-KF-G16(3U-11U)DP62-2</t>
  </si>
  <si>
    <t>99W3315</t>
  </si>
  <si>
    <t>140102-2011-000653</t>
  </si>
  <si>
    <t>XD-B02-KF-G16(3U-11U)DP62-3</t>
  </si>
  <si>
    <t>99W3304</t>
  </si>
  <si>
    <t>140102-2011-000654</t>
  </si>
  <si>
    <t>XD-B02-KF-G16(3U-11U)DP62-4</t>
  </si>
  <si>
    <t>99W3182</t>
  </si>
  <si>
    <t>140102-2011-000655</t>
  </si>
  <si>
    <t>XD-B02-KF-G16(3U-11U)DP62-5</t>
  </si>
  <si>
    <t>99W3180</t>
  </si>
  <si>
    <t>140102-2011-000656</t>
  </si>
  <si>
    <t>XD-B02-KF-G16(3U-11U)DP62-6</t>
  </si>
  <si>
    <t>99W3236</t>
  </si>
  <si>
    <t>140102-2011-000657</t>
  </si>
  <si>
    <t>XD-B02-KF-G16(3U-11U)DP62-7</t>
  </si>
  <si>
    <t>99W3203</t>
  </si>
  <si>
    <t>140102-2011-000658</t>
  </si>
  <si>
    <t>XD-B02-KF-G16(3U-11U)DP62-8</t>
  </si>
  <si>
    <t>99W3216</t>
  </si>
  <si>
    <t>140102-2011-000659</t>
  </si>
  <si>
    <t>XD-B02-KF-G16(3U-11U)DP62-9</t>
  </si>
  <si>
    <t>2102350DLVDMK8000141</t>
  </si>
  <si>
    <t>140502-2020-000008</t>
  </si>
  <si>
    <t>XD-B02-KP-A05(27-27U)</t>
  </si>
  <si>
    <t>2102350DLVDMK8000101</t>
  </si>
  <si>
    <t>140502-2020-000007</t>
  </si>
  <si>
    <t>XD-B02-KP-A05(29-29U)</t>
  </si>
  <si>
    <t>219801A12T9198Q0016L</t>
  </si>
  <si>
    <t>140502-2020-000020</t>
  </si>
  <si>
    <t>XD-B02-KP-A05(31-31U)</t>
  </si>
  <si>
    <t>219801A12T9198Q0016H</t>
  </si>
  <si>
    <t>140502-2020-000019</t>
  </si>
  <si>
    <t>XD-B02-KP-A05(33-33U)</t>
  </si>
  <si>
    <t>2102350DLVDMK8000138</t>
  </si>
  <si>
    <t>140502-2020-000012</t>
  </si>
  <si>
    <t>XD-B02-KP-A05(35-35U)</t>
  </si>
  <si>
    <t>2102350DLVDMK8000144</t>
  </si>
  <si>
    <t>140502-2020-000011</t>
  </si>
  <si>
    <t>XD-B02-KP-A05(37-37U)</t>
  </si>
  <si>
    <t>219801A12T9199Q000M8</t>
  </si>
  <si>
    <t>140502-2020-000024</t>
  </si>
  <si>
    <t>XD-B02-KP-A05(39-39U)</t>
  </si>
  <si>
    <t>219801A12T9198Q001HQ</t>
  </si>
  <si>
    <t>140502-2020-000023</t>
  </si>
  <si>
    <t>XD-B02-KP-A05(41-41U)</t>
  </si>
  <si>
    <t>JGFYJL2</t>
  </si>
  <si>
    <t>140103-2017-000141</t>
  </si>
  <si>
    <t>XD-B02-KP-A06(13-22U)</t>
  </si>
  <si>
    <t>JGBXVL2</t>
  </si>
  <si>
    <t>140103-2017-000097</t>
  </si>
  <si>
    <t>XD-B02-KP-A06(13-22U)DX3-1</t>
  </si>
  <si>
    <t>JGBYVL2</t>
  </si>
  <si>
    <t>140103-2017-000106</t>
  </si>
  <si>
    <t>XD-B02-KP-A06(13-22U)DX3-10</t>
  </si>
  <si>
    <t>JG93YL2</t>
  </si>
  <si>
    <t>140103-2017-000107</t>
  </si>
  <si>
    <t>XD-B02-KP-A06(13-22U)DX3-11</t>
  </si>
  <si>
    <t>JG9WVL2</t>
  </si>
  <si>
    <t>140103-2017-000108</t>
  </si>
  <si>
    <t>XD-B02-KP-A06(13-22U)DX3-12</t>
  </si>
  <si>
    <t>JGC2YL2</t>
  </si>
  <si>
    <t>140103-2017-000109</t>
  </si>
  <si>
    <t>XD-B02-KP-A06(13-22U)DX3-13</t>
  </si>
  <si>
    <t>JGB2YL2</t>
  </si>
  <si>
    <t>140103-2017-000110</t>
  </si>
  <si>
    <t>XD-B02-KP-A06(13-22U)DX3-14</t>
  </si>
  <si>
    <t>JGB1KL2</t>
  </si>
  <si>
    <t>140103-2017-000111</t>
  </si>
  <si>
    <t>XD-B02-KP-A06(13-22U)DX3-15</t>
  </si>
  <si>
    <t>JGB0KL2</t>
  </si>
  <si>
    <t>140103-2017-000112</t>
  </si>
  <si>
    <t>XD-B02-KP-A06(13-22U)DX3-16</t>
  </si>
  <si>
    <t>JGB6KL2</t>
  </si>
  <si>
    <t>140103-2017-000098</t>
  </si>
  <si>
    <t>XD-B02-KP-A06(13-22U)DX3-2</t>
  </si>
  <si>
    <t>JGBRVL2</t>
  </si>
  <si>
    <t>140103-2017-000099</t>
  </si>
  <si>
    <t>XD-B02-KP-A06(13-22U)DX3-3</t>
  </si>
  <si>
    <t>JGB4YL2</t>
  </si>
  <si>
    <t>140103-2017-000100</t>
  </si>
  <si>
    <t>XD-B02-KP-A06(13-22U)DX3-4</t>
  </si>
  <si>
    <t>JG9RVL2</t>
  </si>
  <si>
    <t>140103-2017-000101</t>
  </si>
  <si>
    <t>XD-B02-KP-A06(13-22U)DX3-5</t>
  </si>
  <si>
    <t>JG96KL2</t>
  </si>
  <si>
    <t>140103-2017-000102</t>
  </si>
  <si>
    <t>XD-B02-KP-A06(13-22U)DX3-6</t>
  </si>
  <si>
    <t>JGBVVL2</t>
  </si>
  <si>
    <t>140103-2017-000103</t>
  </si>
  <si>
    <t>XD-B02-KP-A06(13-22U)DX3-7</t>
  </si>
  <si>
    <t>JGC0WL2</t>
  </si>
  <si>
    <t>140103-2017-000104</t>
  </si>
  <si>
    <t>XD-B02-KP-A06(13-22U)DX3-8</t>
  </si>
  <si>
    <t>JG9YVL2</t>
  </si>
  <si>
    <t>140103-2017-000105</t>
  </si>
  <si>
    <t>XD-B02-KP-A06(13-22U)DX3-9</t>
  </si>
  <si>
    <t>JGB2KL2</t>
  </si>
  <si>
    <t>140103-2017-000142</t>
  </si>
  <si>
    <t>XD-B02-KP-A06(2-11U)</t>
  </si>
  <si>
    <t>JGF5YL2</t>
  </si>
  <si>
    <t>140103-2017-000113</t>
  </si>
  <si>
    <t>XD-B02-KP-A06(2-11U)DX4-1</t>
  </si>
  <si>
    <t>JGF3KL2</t>
  </si>
  <si>
    <t>140103-2017-000122</t>
  </si>
  <si>
    <t>XD-B02-KP-A06(2-11U)DX4-10</t>
  </si>
  <si>
    <t>JGF4KL2</t>
  </si>
  <si>
    <t>140103-2017-000123</t>
  </si>
  <si>
    <t>XD-B02-KP-A06(2-11U)DX4-11</t>
  </si>
  <si>
    <t>JGF0KL2</t>
  </si>
  <si>
    <t>140103-2017-000124</t>
  </si>
  <si>
    <t>XD-B02-KP-A06(2-11U)DX4-12</t>
  </si>
  <si>
    <t>JGF6KL2</t>
  </si>
  <si>
    <t>140103-2017-000125</t>
  </si>
  <si>
    <t>XD-B02-KP-A06(2-11U)DX4-13</t>
  </si>
  <si>
    <t>JGF1KL2</t>
  </si>
  <si>
    <t>140103-2017-000126</t>
  </si>
  <si>
    <t>XD-B02-KP-A06(2-11U)DX4-14</t>
  </si>
  <si>
    <t>JGF2KL2</t>
  </si>
  <si>
    <t>140103-2017-000127</t>
  </si>
  <si>
    <t>XD-B02-KP-A06(2-11U)DX4-15</t>
  </si>
  <si>
    <t>JGDTVL2</t>
  </si>
  <si>
    <t>140103-2017-000128</t>
  </si>
  <si>
    <t>XD-B02-KP-A06(2-11U)DX4-16</t>
  </si>
  <si>
    <t>JGD3YL2</t>
  </si>
  <si>
    <t>140103-2017-000114</t>
  </si>
  <si>
    <t>XD-B02-KP-A06(2-11U)DX4-2</t>
  </si>
  <si>
    <t>JGD5YL2</t>
  </si>
  <si>
    <t>140103-2017-000115</t>
  </si>
  <si>
    <t>XD-B02-KP-A06(2-11U)DX4-3</t>
  </si>
  <si>
    <t>JGCZVL2</t>
  </si>
  <si>
    <t>140103-2017-000116</t>
  </si>
  <si>
    <t>XD-B02-KP-A06(2-11U)DX4-4</t>
  </si>
  <si>
    <t>JGDZJL2</t>
  </si>
  <si>
    <t>140103-2017-000117</t>
  </si>
  <si>
    <t>XD-B02-KP-A06(2-11U)DX4-5</t>
  </si>
  <si>
    <t>JGD7YL2</t>
  </si>
  <si>
    <t>140103-2017-000118</t>
  </si>
  <si>
    <t>XD-B02-KP-A06(2-11U)DX4-6</t>
  </si>
  <si>
    <t>JGDXVL2</t>
  </si>
  <si>
    <t>140103-2017-000119</t>
  </si>
  <si>
    <t>XD-B02-KP-A06(2-11U)DX4-7</t>
  </si>
  <si>
    <t>JGF5KL2</t>
  </si>
  <si>
    <t>140103-2017-000120</t>
  </si>
  <si>
    <t>XD-B02-KP-A06(2-11U)DX4-8</t>
  </si>
  <si>
    <t>JGD1KL2</t>
  </si>
  <si>
    <t>140103-2017-000121</t>
  </si>
  <si>
    <t>XD-B02-KP-A06(2-11U)DX4-9</t>
  </si>
  <si>
    <t>JPS1KL2</t>
  </si>
  <si>
    <t>140103-2017-000143</t>
  </si>
  <si>
    <t>XD-B02-KP-A08(13-22U)</t>
  </si>
  <si>
    <t>JPR2YL2</t>
  </si>
  <si>
    <t>140103-2017-000129</t>
  </si>
  <si>
    <t>XD-B02-KP-A08(13-22U)DX5-1</t>
  </si>
  <si>
    <t>JPQ5KL2</t>
  </si>
  <si>
    <t>140103-2017-000138</t>
  </si>
  <si>
    <t>XD-B02-KP-A08(13-22U)DX5-10</t>
  </si>
  <si>
    <t>JPR1KL2</t>
  </si>
  <si>
    <t>140103-2017-000139</t>
  </si>
  <si>
    <t>XD-B02-KP-A08(13-22U)DX5-11</t>
  </si>
  <si>
    <t>JPR0YL2</t>
  </si>
  <si>
    <t>140103-2017-000140</t>
  </si>
  <si>
    <t>XD-B02-KP-A08(13-22U)DX5-12</t>
  </si>
  <si>
    <t>JPR3YL2</t>
  </si>
  <si>
    <t>140103-2017-000169</t>
  </si>
  <si>
    <t>XD-B02-KP-A08(13-22U)DX5-13</t>
  </si>
  <si>
    <t>JPQXVL2</t>
  </si>
  <si>
    <t>140103-2017-000170</t>
  </si>
  <si>
    <t>XD-B02-KP-A08(13-22U)DX5-14</t>
  </si>
  <si>
    <t>JPR4YL2</t>
  </si>
  <si>
    <t>140103-2017-000171</t>
  </si>
  <si>
    <t>XD-B02-KP-A08(13-22U)DX5-15</t>
  </si>
  <si>
    <t>JPR3KL2</t>
  </si>
  <si>
    <t>140103-2017-000172</t>
  </si>
  <si>
    <t>XD-B02-KP-A08(13-22U)DX5-16</t>
  </si>
  <si>
    <t>JPQTVL2</t>
  </si>
  <si>
    <t>140103-2017-000130</t>
  </si>
  <si>
    <t>XD-B02-KP-A08(13-22U)DX5-2</t>
  </si>
  <si>
    <t>JPQRVL2</t>
  </si>
  <si>
    <t>140103-2017-000131</t>
  </si>
  <si>
    <t>XD-B02-KP-A08(13-22U)DX5-3</t>
  </si>
  <si>
    <t>JPR0KL2</t>
  </si>
  <si>
    <t>140103-2017-000132</t>
  </si>
  <si>
    <t>XD-B02-KP-A08(13-22U)DX5-4</t>
  </si>
  <si>
    <t>JPR4KL2</t>
  </si>
  <si>
    <t>140103-2017-000133</t>
  </si>
  <si>
    <t>XD-B02-KP-A08(13-22U)DX5-5</t>
  </si>
  <si>
    <t>JPR2KL2</t>
  </si>
  <si>
    <t>140103-2017-000134</t>
  </si>
  <si>
    <t>XD-B02-KP-A08(13-22U)DX5-6</t>
  </si>
  <si>
    <t>JPR1YL2</t>
  </si>
  <si>
    <t>140103-2017-000135</t>
  </si>
  <si>
    <t>XD-B02-KP-A08(13-22U)DX5-7</t>
  </si>
  <si>
    <t>JPQZVL2</t>
  </si>
  <si>
    <t>140103-2017-000136</t>
  </si>
  <si>
    <t>XD-B02-KP-A08(13-22U)DX5-8</t>
  </si>
  <si>
    <t>JPQWVL2</t>
  </si>
  <si>
    <t>140103-2017-000137</t>
  </si>
  <si>
    <t>XD-B02-KP-A08(13-22U)DX5-9</t>
  </si>
  <si>
    <t>JPRZJL2</t>
  </si>
  <si>
    <t>140103-2017-000144</t>
  </si>
  <si>
    <t>XD-B02-KP-A08(2-11U)</t>
  </si>
  <si>
    <t>JPQ6YL2</t>
  </si>
  <si>
    <t>140103-2017-000173</t>
  </si>
  <si>
    <t>XD-B02-KP-A08(2-11U)DX6-1</t>
  </si>
  <si>
    <t>JPQZJL2</t>
  </si>
  <si>
    <t>140103-2017-000182</t>
  </si>
  <si>
    <t>XD-B02-KP-A08(2-11U)DX6-10</t>
  </si>
  <si>
    <t>JPQZXL2</t>
  </si>
  <si>
    <t>140103-2017-000183</t>
  </si>
  <si>
    <t>XD-B02-KP-A08(2-11U)DX6-11</t>
  </si>
  <si>
    <t>JPQ4YL2</t>
  </si>
  <si>
    <t>140103-2017-000184</t>
  </si>
  <si>
    <t>XD-B02-KP-A08(2-11U)DX6-12</t>
  </si>
  <si>
    <t>JPQ2KL2</t>
  </si>
  <si>
    <t>140103-2017-000269</t>
  </si>
  <si>
    <t>XD-B02-KP-A08(2-11U)DX6-13</t>
  </si>
  <si>
    <t>JPQ5YL2</t>
  </si>
  <si>
    <t>140103-2017-000270</t>
  </si>
  <si>
    <t>XD-B02-KP-A08(2-11U)DX6-14</t>
  </si>
  <si>
    <t>JPQSVL2</t>
  </si>
  <si>
    <t>140103-2017-000300</t>
  </si>
  <si>
    <t>XD-B02-KP-A08(2-11U)DX6-15</t>
  </si>
  <si>
    <t>JPQ0YL2</t>
  </si>
  <si>
    <t>140103-2017-000301</t>
  </si>
  <si>
    <t>XD-B02-KP-A08(2-11U)DX6-16</t>
  </si>
  <si>
    <t>JPQXJL2</t>
  </si>
  <si>
    <t>140103-2017-000174</t>
  </si>
  <si>
    <t>XD-B02-KP-A08(2-11U)DX6-2</t>
  </si>
  <si>
    <t>JPQ4KL2</t>
  </si>
  <si>
    <t>140103-2017-000175</t>
  </si>
  <si>
    <t>XD-B02-KP-A08(2-11U)DX6-3</t>
  </si>
  <si>
    <t>JPQ2YL2</t>
  </si>
  <si>
    <t>140103-2017-000176</t>
  </si>
  <si>
    <t>XD-B02-KP-A08(2-11U)DX6-4</t>
  </si>
  <si>
    <t>JPQ3KL2</t>
  </si>
  <si>
    <t>140103-2017-000177</t>
  </si>
  <si>
    <t>XD-B02-KP-A08(2-11U)DX6-5</t>
  </si>
  <si>
    <t>JPR0WL2</t>
  </si>
  <si>
    <t>140103-2017-000178</t>
  </si>
  <si>
    <t>XD-B02-KP-A08(2-11U)DX6-6</t>
  </si>
  <si>
    <t>JPQ1YL2</t>
  </si>
  <si>
    <t>140103-2017-000179</t>
  </si>
  <si>
    <t>XD-B02-KP-A08(2-11U)DX6-7</t>
  </si>
  <si>
    <t>JPQYJL2</t>
  </si>
  <si>
    <t>140103-2017-000180</t>
  </si>
  <si>
    <t>XD-B02-KP-A08(2-11U)DX6-8</t>
  </si>
  <si>
    <t>JPQVVL2</t>
  </si>
  <si>
    <t>140103-2017-000181</t>
  </si>
  <si>
    <t>XD-B02-KP-A08(2-11U)DX6-9</t>
  </si>
  <si>
    <t>210235A1TXH179000311</t>
  </si>
  <si>
    <t>140502-2017-000055</t>
  </si>
  <si>
    <t>XD-B02-KP-A08(30-30U)</t>
  </si>
  <si>
    <t>210235A1TXH179000356</t>
  </si>
  <si>
    <t>140502-2017-000054</t>
  </si>
  <si>
    <t>XD-B02-KP-A08(32-32U)</t>
  </si>
  <si>
    <t>CNG230S8ZD</t>
  </si>
  <si>
    <t>140103-2012-000814</t>
  </si>
  <si>
    <t>XD-B02-KP-B07(28-29U)</t>
  </si>
  <si>
    <t>Cisco  WS-C3750X-48T-S</t>
  </si>
  <si>
    <t>FDO1630R19E</t>
  </si>
  <si>
    <t>140502-2012-000611</t>
  </si>
  <si>
    <t>XD-B02-KP-D01(31-31U)</t>
  </si>
  <si>
    <t>H3C LS-5500-58C-HI</t>
  </si>
  <si>
    <t>210235A0HAH126000162</t>
  </si>
  <si>
    <t>140502-2012-000654</t>
  </si>
  <si>
    <t>XD-B02-KP-D01(35-35U)</t>
  </si>
  <si>
    <t>210235A0HAH127000040</t>
  </si>
  <si>
    <t>140502-2012-000655</t>
  </si>
  <si>
    <t>XD-B02-KP-D01(37-37U)</t>
  </si>
  <si>
    <t>FD01630P0KT</t>
  </si>
  <si>
    <t>140502-2012-000613</t>
  </si>
  <si>
    <t>XD-B02-KP-E01(31-31U)</t>
  </si>
  <si>
    <t>FD01630R153</t>
  </si>
  <si>
    <t>140502-2012-000614</t>
  </si>
  <si>
    <t>XD-B02-KP-E01(33-33U)</t>
  </si>
  <si>
    <t>210235A0HAH127000062</t>
  </si>
  <si>
    <t>140502-2012-000656</t>
  </si>
  <si>
    <t>XD-B02-KP-E01(35-35U)</t>
  </si>
  <si>
    <t>210235A0HAH126000126</t>
  </si>
  <si>
    <t>140502-2012-000657</t>
  </si>
  <si>
    <t>XD-B02-KP-E01(37-37U)</t>
  </si>
  <si>
    <t>HP BL460GEN8</t>
  </si>
  <si>
    <t>CNG230S9BG</t>
  </si>
  <si>
    <t>140103-2012-000618</t>
  </si>
  <si>
    <t>XD-B02-KP-E02(12-21U)DP114-1</t>
  </si>
  <si>
    <t>CNG230S9B8</t>
  </si>
  <si>
    <t>140103-2012-000627</t>
  </si>
  <si>
    <t>XD-B02-KP-E02(12-21U)DP114-10</t>
  </si>
  <si>
    <t>CNG230S98Z</t>
  </si>
  <si>
    <t>140103-2012-000628</t>
  </si>
  <si>
    <t>XD-B02-KP-E02(12-21U)DP114-11</t>
  </si>
  <si>
    <t>CNG230S993</t>
  </si>
  <si>
    <t>140103-2012-000629</t>
  </si>
  <si>
    <t>XD-B02-KP-E02(12-21U)DP114-12</t>
  </si>
  <si>
    <t>CNG230S98S</t>
  </si>
  <si>
    <t>140103-2012-000630</t>
  </si>
  <si>
    <t>XD-B02-KP-E02(12-21U)DP114-13</t>
  </si>
  <si>
    <t>CNG230S995</t>
  </si>
  <si>
    <t>140103-2012-000631</t>
  </si>
  <si>
    <t>XD-B02-KP-E02(12-21U)DP114-14</t>
  </si>
  <si>
    <t>CNG230S96D</t>
  </si>
  <si>
    <t>140103-2012-000632</t>
  </si>
  <si>
    <t>XD-B02-KP-E02(12-21U)DP114-15</t>
  </si>
  <si>
    <t>CNG230S986</t>
  </si>
  <si>
    <t>140103-2012-000633</t>
  </si>
  <si>
    <t>XD-B02-KP-E02(12-21U)DP114-16</t>
  </si>
  <si>
    <t>CNG230S98V</t>
  </si>
  <si>
    <t>140103-2012-000619</t>
  </si>
  <si>
    <t>XD-B02-KP-E02(12-21U)DP114-2</t>
  </si>
  <si>
    <t>CNG230S96J</t>
  </si>
  <si>
    <t>140103-2012-000620</t>
  </si>
  <si>
    <t>XD-B02-KP-E02(12-21U)DP114-3</t>
  </si>
  <si>
    <t>CNG230S99M</t>
  </si>
  <si>
    <t>140103-2012-000621</t>
  </si>
  <si>
    <t>XD-B02-KP-E02(12-21U)DP114-4</t>
  </si>
  <si>
    <t>CNG230S984</t>
  </si>
  <si>
    <t>140103-2012-000622</t>
  </si>
  <si>
    <t>XD-B02-KP-E02(12-21U)DP114-5</t>
  </si>
  <si>
    <t>CNG230S99W</t>
  </si>
  <si>
    <t>140103-2012-000623</t>
  </si>
  <si>
    <t>XD-B02-KP-E02(12-21U)DP114-6</t>
  </si>
  <si>
    <t>CNG230S99T</t>
  </si>
  <si>
    <t>140103-2012-000624</t>
  </si>
  <si>
    <t>XD-B02-KP-E02(12-21U)DP114-7</t>
  </si>
  <si>
    <t>CNG230S97T</t>
  </si>
  <si>
    <t>140103-2012-000625</t>
  </si>
  <si>
    <t>XD-B02-KP-E02(12-21U)DP114-8</t>
  </si>
  <si>
    <t>CNG230S980</t>
  </si>
  <si>
    <t>140103-2012-000626</t>
  </si>
  <si>
    <t>XD-B02-KP-E02(12-21U)DP114-9</t>
  </si>
  <si>
    <t>CNG230S98J</t>
  </si>
  <si>
    <t>140103-2012-000602</t>
  </si>
  <si>
    <t>XD-B02-KP-E02(2-11U)DP115-1</t>
  </si>
  <si>
    <t>CNG230S97Y</t>
  </si>
  <si>
    <t>140103-2012-000611</t>
  </si>
  <si>
    <t>XD-B02-KP-E02(2-11U)DP115-10</t>
  </si>
  <si>
    <t>CNG230S97F</t>
  </si>
  <si>
    <t>140103-2012-000612</t>
  </si>
  <si>
    <t>XD-B02-KP-E02(2-11U)DP115-11</t>
  </si>
  <si>
    <t>CNG230S975</t>
  </si>
  <si>
    <t>140103-2012-000613</t>
  </si>
  <si>
    <t>XD-B02-KP-E02(2-11U)DP115-12</t>
  </si>
  <si>
    <t>CNG230S96S</t>
  </si>
  <si>
    <t>140103-2012-000614</t>
  </si>
  <si>
    <t>XD-B02-KP-E02(2-11U)DP115-13</t>
  </si>
  <si>
    <t>CNG230S99H</t>
  </si>
  <si>
    <t>140103-2012-000615</t>
  </si>
  <si>
    <t>XD-B02-KP-E02(2-11U)DP115-14</t>
  </si>
  <si>
    <t>CNG230S97R</t>
  </si>
  <si>
    <t>140103-2012-000616</t>
  </si>
  <si>
    <t>XD-B02-KP-E02(2-11U)DP115-15</t>
  </si>
  <si>
    <t>CNG230S96N</t>
  </si>
  <si>
    <t>140103-2012-000617</t>
  </si>
  <si>
    <t>XD-B02-KP-E02(2-11U)DP115-16</t>
  </si>
  <si>
    <t>CNG230S96G</t>
  </si>
  <si>
    <t>140103-2012-000603</t>
  </si>
  <si>
    <t>XD-B02-KP-E02(2-11U)DP115-2</t>
  </si>
  <si>
    <t>CNG230S9BD</t>
  </si>
  <si>
    <t>140103-2012-000604</t>
  </si>
  <si>
    <t>XD-B02-KP-E02(2-11U)DP115-3</t>
  </si>
  <si>
    <t>CNG230S97C</t>
  </si>
  <si>
    <t>140103-2012-000605</t>
  </si>
  <si>
    <t>XD-B02-KP-E02(2-11U)DP115-4</t>
  </si>
  <si>
    <t>CNG230S988</t>
  </si>
  <si>
    <t>140103-2012-000606</t>
  </si>
  <si>
    <t>XD-B02-KP-E02(2-11U)DP115-5</t>
  </si>
  <si>
    <t>CNG230S96X</t>
  </si>
  <si>
    <t>140103-2012-000607</t>
  </si>
  <si>
    <t>XD-B02-KP-E02(2-11U)DP115-6</t>
  </si>
  <si>
    <t>CNG230S9B4</t>
  </si>
  <si>
    <t>140103-2012-000608</t>
  </si>
  <si>
    <t>XD-B02-KP-E02(2-11U)DP115-7</t>
  </si>
  <si>
    <t>CNG230S98D</t>
  </si>
  <si>
    <t>140103-2012-000609</t>
  </si>
  <si>
    <t>XD-B02-KP-E02(2-11U)DP115-8</t>
  </si>
  <si>
    <t>CNG230S96Z</t>
  </si>
  <si>
    <t>140103-2012-000610</t>
  </si>
  <si>
    <t>XD-B02-KP-E02(2-11U)DP115-9</t>
  </si>
  <si>
    <t>CNG230S9N8</t>
  </si>
  <si>
    <t>140103-2012-000668</t>
  </si>
  <si>
    <t>XD-B02-KP-E03(12-21U)DP116-1</t>
  </si>
  <si>
    <t>CNG230S9KP</t>
  </si>
  <si>
    <t>140103-2012-000677</t>
  </si>
  <si>
    <t>XD-B02-KP-E03(12-21U)DP116-10</t>
  </si>
  <si>
    <t>CNG230S9KW</t>
  </si>
  <si>
    <t>140103-2012-000678</t>
  </si>
  <si>
    <t>XD-B02-KP-E03(12-21U)DP116-11</t>
  </si>
  <si>
    <t>CNG230S9J2</t>
  </si>
  <si>
    <t>140103-2012-000679</t>
  </si>
  <si>
    <t>XD-B02-KP-E03(12-21U)DP116-12</t>
  </si>
  <si>
    <t>CNG230S9ND</t>
  </si>
  <si>
    <t>140103-2012-000680</t>
  </si>
  <si>
    <t>XD-B02-KP-E03(12-21U)DP116-13</t>
  </si>
  <si>
    <t>CNG230S9M9</t>
  </si>
  <si>
    <t>140103-2012-000681</t>
  </si>
  <si>
    <t>XD-B02-KP-E03(12-21U)DP116-14</t>
  </si>
  <si>
    <t>CNG230S9JV</t>
  </si>
  <si>
    <t>140103-2012-000682</t>
  </si>
  <si>
    <t>XD-B02-KP-E03(12-21U)DP116-15</t>
  </si>
  <si>
    <t>CNG230S9N4</t>
  </si>
  <si>
    <t>140103-2012-000683</t>
  </si>
  <si>
    <t>XD-B02-KP-E03(12-21U)DP116-16</t>
  </si>
  <si>
    <t>CNG230S9NZ</t>
  </si>
  <si>
    <t>140103-2012-000669</t>
  </si>
  <si>
    <t>XD-B02-KP-E03(12-21U)DP116-2</t>
  </si>
  <si>
    <t>CNG230S9KF</t>
  </si>
  <si>
    <t>140103-2012-000670</t>
  </si>
  <si>
    <t>XD-B02-KP-E03(12-21U)DP116-3</t>
  </si>
  <si>
    <t>CNG230S9GN</t>
  </si>
  <si>
    <t>140103-2012-000671</t>
  </si>
  <si>
    <t>XD-B02-KP-E03(12-21U)DP116-4</t>
  </si>
  <si>
    <t>CNG230S9N0</t>
  </si>
  <si>
    <t>140103-2012-000672</t>
  </si>
  <si>
    <t>XD-B02-KP-E03(12-21U)DP116-5</t>
  </si>
  <si>
    <t>CNG230S9HH</t>
  </si>
  <si>
    <t>140103-2012-000673</t>
  </si>
  <si>
    <t>XD-B02-KP-E03(12-21U)DP116-6</t>
  </si>
  <si>
    <t>CNG230S9HK</t>
  </si>
  <si>
    <t>140103-2012-000674</t>
  </si>
  <si>
    <t>XD-B02-KP-E03(12-21U)DP116-7</t>
  </si>
  <si>
    <t>CNG230S9Q2</t>
  </si>
  <si>
    <t>140103-2012-000675</t>
  </si>
  <si>
    <t>XD-B02-KP-E03(12-21U)DP116-8</t>
  </si>
  <si>
    <t>CNG230S9NN</t>
  </si>
  <si>
    <t>140103-2012-000676</t>
  </si>
  <si>
    <t>XD-B02-KP-E03(12-21U)DP116-9</t>
  </si>
  <si>
    <t>CNG230S9P3</t>
  </si>
  <si>
    <t>140103-2012-000684</t>
  </si>
  <si>
    <t>XD-B02-KP-E03(2-11U)DP117-1</t>
  </si>
  <si>
    <t>CNG230S9MR</t>
  </si>
  <si>
    <t>140103-2012-000693</t>
  </si>
  <si>
    <t>XD-B02-KP-E03(2-11U)DP117-10</t>
  </si>
  <si>
    <t>CNG230S9QJ</t>
  </si>
  <si>
    <t>140103-2012-000694</t>
  </si>
  <si>
    <t>XD-B02-KP-E03(2-11U)DP117-11</t>
  </si>
  <si>
    <t>CNG230S9LN</t>
  </si>
  <si>
    <t>140103-2012-000695</t>
  </si>
  <si>
    <t>XD-B02-KP-E03(2-11U)DP117-12</t>
  </si>
  <si>
    <t>CNG230S9R7</t>
  </si>
  <si>
    <t>140103-2012-000696</t>
  </si>
  <si>
    <t>XD-B02-KP-E03(2-11U)DP117-13</t>
  </si>
  <si>
    <t>CNG230S9LX</t>
  </si>
  <si>
    <t>140103-2012-000697</t>
  </si>
  <si>
    <t>XD-B02-KP-E03(2-11U)DP117-14</t>
  </si>
  <si>
    <t>CNG230S9N6</t>
  </si>
  <si>
    <t>140103-2012-000698</t>
  </si>
  <si>
    <t>XD-B02-KP-E03(2-11U)DP117-15</t>
  </si>
  <si>
    <t>CNG230S9HC</t>
  </si>
  <si>
    <t>140103-2012-000699</t>
  </si>
  <si>
    <t>XD-B02-KP-E03(2-11U)DP117-16</t>
  </si>
  <si>
    <t>CNG230S9GS</t>
  </si>
  <si>
    <t>140103-2012-000685</t>
  </si>
  <si>
    <t>XD-B02-KP-E03(2-11U)DP117-2</t>
  </si>
  <si>
    <t>CNG230S9HW</t>
  </si>
  <si>
    <t>140103-2012-000686</t>
  </si>
  <si>
    <t>XD-B02-KP-E03(2-11U)DP117-3</t>
  </si>
  <si>
    <t>CNG230S9L4</t>
  </si>
  <si>
    <t>140103-2012-000687</t>
  </si>
  <si>
    <t>XD-B02-KP-E03(2-11U)DP117-4</t>
  </si>
  <si>
    <t>CNG230S9NJ</t>
  </si>
  <si>
    <t>140103-2012-000688</t>
  </si>
  <si>
    <t>XD-B02-KP-E03(2-11U)DP117-5</t>
  </si>
  <si>
    <t>CNG230S9M5</t>
  </si>
  <si>
    <t>140103-2012-000689</t>
  </si>
  <si>
    <t>XD-B02-KP-E03(2-11U)DP117-6</t>
  </si>
  <si>
    <t>CNG230S9MP</t>
  </si>
  <si>
    <t>140103-2012-000690</t>
  </si>
  <si>
    <t>XD-B02-KP-E03(2-11U)DP117-7</t>
  </si>
  <si>
    <t>CNG230S9LS</t>
  </si>
  <si>
    <t>140103-2012-000691</t>
  </si>
  <si>
    <t>XD-B02-KP-E03(2-11U)DP117-8</t>
  </si>
  <si>
    <t>CNG230S9JX</t>
  </si>
  <si>
    <t>140103-2012-000692</t>
  </si>
  <si>
    <t>XD-B02-KP-E03(2-11U)DP117-9</t>
  </si>
  <si>
    <t>Dell M1000</t>
  </si>
  <si>
    <t>DW3JZZ1</t>
  </si>
  <si>
    <t>140103-2014-003032</t>
  </si>
  <si>
    <t>XD-B02-KP-E05
(2-11U)DP158</t>
  </si>
  <si>
    <t>CNG230S9QD</t>
  </si>
  <si>
    <t>140103-2012-000728</t>
  </si>
  <si>
    <t>XD-B02-KP-E05(12-21U)DP120-1</t>
  </si>
  <si>
    <t>CNG230S9P1</t>
  </si>
  <si>
    <t>140103-2012-000737</t>
  </si>
  <si>
    <t>XD-B02-KP-E05(12-21U)DP120-10</t>
  </si>
  <si>
    <t>CNG230S9RM</t>
  </si>
  <si>
    <t>140103-2012-000738</t>
  </si>
  <si>
    <t>XD-B02-KP-E05(12-21U)DP120-11</t>
  </si>
  <si>
    <t>CNG230S9MF</t>
  </si>
  <si>
    <t>140103-2012-000739</t>
  </si>
  <si>
    <t>XD-B02-KP-E05(12-21U)DP120-12</t>
  </si>
  <si>
    <t>CNG230S9Q4</t>
  </si>
  <si>
    <t>140103-2012-000740</t>
  </si>
  <si>
    <t>XD-B02-KP-E05(12-21U)DP120-13</t>
  </si>
  <si>
    <t>CNG230S9RR</t>
  </si>
  <si>
    <t>140103-2012-000741</t>
  </si>
  <si>
    <t>XD-B02-KP-E05(12-21U)DP120-14</t>
  </si>
  <si>
    <t>CNG230S9MY</t>
  </si>
  <si>
    <t>140103-2012-000742</t>
  </si>
  <si>
    <t>XD-B02-KP-E05(12-21U)DP120-15</t>
  </si>
  <si>
    <t>CNG230S9K7</t>
  </si>
  <si>
    <t>140103-2012-000743</t>
  </si>
  <si>
    <t>XD-B02-KP-E05(12-21U)DP120-16</t>
  </si>
  <si>
    <t>CNG230S9HM</t>
  </si>
  <si>
    <t>140103-2012-000729</t>
  </si>
  <si>
    <t>XD-B02-KP-E05(12-21U)DP120-2</t>
  </si>
  <si>
    <t>CNG230S9RP</t>
  </si>
  <si>
    <t>140103-2012-000730</t>
  </si>
  <si>
    <t>XD-B02-KP-E05(12-21U)DP120-3</t>
  </si>
  <si>
    <t>CNG230S9RK</t>
  </si>
  <si>
    <t>140103-2012-000731</t>
  </si>
  <si>
    <t>XD-B02-KP-E05(12-21U)DP120-4</t>
  </si>
  <si>
    <t>CNG230S9J0</t>
  </si>
  <si>
    <t>140103-2012-000732</t>
  </si>
  <si>
    <t>XD-B02-KP-E05(12-21U)DP120-5</t>
  </si>
  <si>
    <t>CNG230S9NL</t>
  </si>
  <si>
    <t>140103-2012-000733</t>
  </si>
  <si>
    <t>XD-B02-KP-E05(12-21U)DP120-6</t>
  </si>
  <si>
    <t>CNG230S9M1</t>
  </si>
  <si>
    <t>140103-2012-000734</t>
  </si>
  <si>
    <t>XD-B02-KP-E05(12-21U)DP120-7</t>
  </si>
  <si>
    <t>CNG230S9N2</t>
  </si>
  <si>
    <t>140103-2012-000735</t>
  </si>
  <si>
    <t>XD-B02-KP-E05(12-21U)DP120-8</t>
  </si>
  <si>
    <t>CNG230S9LV</t>
  </si>
  <si>
    <t>140103-2012-000736</t>
  </si>
  <si>
    <t>XD-B02-KP-E05(12-21U)DP120-9</t>
  </si>
  <si>
    <t>Dell M620</t>
  </si>
  <si>
    <t>6W3JZZ1</t>
  </si>
  <si>
    <t>140103-2014-003016</t>
  </si>
  <si>
    <t>XD-B02-KP-E05(2-11U)DP158-1</t>
  </si>
  <si>
    <t>1X3JZZ1</t>
  </si>
  <si>
    <t>140103-2014-003017</t>
  </si>
  <si>
    <t>XD-B02-KP-E05(2-11U)DP158-2</t>
  </si>
  <si>
    <t>BW3JZZ1</t>
  </si>
  <si>
    <t>140103-2014-003018</t>
  </si>
  <si>
    <t>XD-B02-KP-E05(2-11U)DP158-3</t>
  </si>
  <si>
    <t>FW3JZZ1</t>
  </si>
  <si>
    <t>140103-2014-003019</t>
  </si>
  <si>
    <t>XD-B02-KP-E05(2-11U)DP158-4</t>
  </si>
  <si>
    <t>CW3JZZ1</t>
  </si>
  <si>
    <t>140103-2014-003020</t>
  </si>
  <si>
    <t>XD-B02-KP-E05(2-11U)DP158-5</t>
  </si>
  <si>
    <t>7W3JZZ1</t>
  </si>
  <si>
    <t>140103-2014-003021</t>
  </si>
  <si>
    <t>XD-B02-KP-E05(2-11U)DP158-6</t>
  </si>
  <si>
    <t>9W3JZZ1</t>
  </si>
  <si>
    <t>140103-2014-003022</t>
  </si>
  <si>
    <t>XD-B02-KP-E05(2-11U)DP158-7</t>
  </si>
  <si>
    <t>JW3JZZ1</t>
  </si>
  <si>
    <t>140103-2014-003023</t>
  </si>
  <si>
    <t>XD-B02-KP-E05(2-11U)DP158-8</t>
  </si>
  <si>
    <t>CNG230S97P</t>
  </si>
  <si>
    <t>140103-2012-000748</t>
  </si>
  <si>
    <t>XD-B02-KP-E06(12-21U)DP122-1</t>
  </si>
  <si>
    <t>CNG230S979</t>
  </si>
  <si>
    <t>140103-2012-000757</t>
  </si>
  <si>
    <t>XD-B02-KP-E06(12-21U)DP122-10</t>
  </si>
  <si>
    <t>CNG230S971</t>
  </si>
  <si>
    <t>140103-2012-000758</t>
  </si>
  <si>
    <t>XD-B02-KP-E06(12-21U)DP122-11</t>
  </si>
  <si>
    <t>CNG230S99P</t>
  </si>
  <si>
    <t>140103-2012-000759</t>
  </si>
  <si>
    <t>XD-B02-KP-E06(12-21U)DP122-12</t>
  </si>
  <si>
    <t>CNG230S98L</t>
  </si>
  <si>
    <t>140103-2012-000760</t>
  </si>
  <si>
    <t>XD-B02-KP-E06(12-21U)DP122-13</t>
  </si>
  <si>
    <t>CNG230S99Y</t>
  </si>
  <si>
    <t>140103-2012-000761</t>
  </si>
  <si>
    <t>XD-B02-KP-E06(12-21U)DP122-14</t>
  </si>
  <si>
    <t>CNG230S999</t>
  </si>
  <si>
    <t>140103-2012-000762</t>
  </si>
  <si>
    <t>XD-B02-KP-E06(12-21U)DP122-15</t>
  </si>
  <si>
    <t>CNG230S96L</t>
  </si>
  <si>
    <t>140103-2012-000763</t>
  </si>
  <si>
    <t>XD-B02-KP-E06(12-21U)DP122-16</t>
  </si>
  <si>
    <t>CNG230S9B6</t>
  </si>
  <si>
    <t>140103-2012-000749</t>
  </si>
  <si>
    <t>XD-B02-KP-E06(12-21U)DP122-2</t>
  </si>
  <si>
    <t>CNG230S997</t>
  </si>
  <si>
    <t>140103-2012-000750</t>
  </si>
  <si>
    <t>XD-B02-KP-E06(12-21U)DP122-3</t>
  </si>
  <si>
    <t>CNG230S9BJ</t>
  </si>
  <si>
    <t>140103-2012-000751</t>
  </si>
  <si>
    <t>XD-B02-KP-E06(12-21U)DP122-4</t>
  </si>
  <si>
    <t>CNG230S97K</t>
  </si>
  <si>
    <t>140103-2012-000752</t>
  </si>
  <si>
    <t>XD-B02-KP-E06(12-21U)DP122-5</t>
  </si>
  <si>
    <t>CNG230S98B</t>
  </si>
  <si>
    <t>140103-2012-000753</t>
  </si>
  <si>
    <t>XD-B02-KP-E06(12-21U)DP122-6</t>
  </si>
  <si>
    <t>CNG230S97H</t>
  </si>
  <si>
    <t>140103-2012-000754</t>
  </si>
  <si>
    <t>XD-B02-KP-E06(12-21U)DP122-7</t>
  </si>
  <si>
    <t>CNG230S968</t>
  </si>
  <si>
    <t>140103-2012-000755</t>
  </si>
  <si>
    <t>XD-B02-KP-E06(12-21U)DP122-8</t>
  </si>
  <si>
    <t>CNG230S9Y8</t>
  </si>
  <si>
    <t>140103-2012-000756</t>
  </si>
  <si>
    <t>XD-B02-KP-E06(12-21U)DP122-9</t>
  </si>
  <si>
    <t>CNG230S98N</t>
  </si>
  <si>
    <t>140103-2012-000764</t>
  </si>
  <si>
    <t>XD-B02-KP-E06(2-11U)DP123-1</t>
  </si>
  <si>
    <t>CNG230S99C</t>
  </si>
  <si>
    <t>140103-2012-000773</t>
  </si>
  <si>
    <t>XD-B02-KP-E06(2-11U)DP123-10</t>
  </si>
  <si>
    <t>CNG230S96Q</t>
  </si>
  <si>
    <t>140103-2012-000774</t>
  </si>
  <si>
    <t>XD-B02-KP-E06(2-11U)DP123-11</t>
  </si>
  <si>
    <t>CNG230S97M</t>
  </si>
  <si>
    <t>140103-2012-000775</t>
  </si>
  <si>
    <t>XD-B02-KP-E06(2-11U)DP123-12</t>
  </si>
  <si>
    <t>CNG230S99R</t>
  </si>
  <si>
    <t>140103-2012-000776</t>
  </si>
  <si>
    <t>XD-B02-KP-E06(2-11U)DP123-13</t>
  </si>
  <si>
    <t>CNG230S98Q</t>
  </si>
  <si>
    <t>140103-2012-000777</t>
  </si>
  <si>
    <t>XD-B02-KP-E06(2-11U)DP123-14</t>
  </si>
  <si>
    <t>CNG230S982</t>
  </si>
  <si>
    <t>140103-2012-000778</t>
  </si>
  <si>
    <t>XD-B02-KP-E06(2-11U)DP123-15</t>
  </si>
  <si>
    <t>CNG230S977</t>
  </si>
  <si>
    <t>140103-2012-000779</t>
  </si>
  <si>
    <t>XD-B02-KP-E06(2-11U)DP123-16</t>
  </si>
  <si>
    <t>CNG230S9B0</t>
  </si>
  <si>
    <t>140103-2012-000765</t>
  </si>
  <si>
    <t>XD-B02-KP-E06(2-11U)DP123-2</t>
  </si>
  <si>
    <t>CNG230S9B2</t>
  </si>
  <si>
    <t>140103-2012-000766</t>
  </si>
  <si>
    <t>XD-B02-KP-E06(2-11U)DP123-3</t>
  </si>
  <si>
    <t>CNG230S98G</t>
  </si>
  <si>
    <t>140103-2012-000767</t>
  </si>
  <si>
    <t>XD-B02-KP-E06(2-11U)DP123-4</t>
  </si>
  <si>
    <t>CNG230S98X</t>
  </si>
  <si>
    <t>140103-2012-000768</t>
  </si>
  <si>
    <t>XD-B02-KP-E06(2-11U)DP123-5</t>
  </si>
  <si>
    <t>CNG230S96B</t>
  </si>
  <si>
    <t>140103-2012-000769</t>
  </si>
  <si>
    <t>XD-B02-KP-E06(2-11U)DP123-6</t>
  </si>
  <si>
    <t>CNG230S99K</t>
  </si>
  <si>
    <t>140103-2012-000770</t>
  </si>
  <si>
    <t>XD-B02-KP-E06(2-11U)DP123-7</t>
  </si>
  <si>
    <t>CNG230S9BL</t>
  </si>
  <si>
    <t>140103-2012-000771</t>
  </si>
  <si>
    <t>XD-B02-KP-E06(2-11U)DP123-8</t>
  </si>
  <si>
    <t>CNG230S99F</t>
  </si>
  <si>
    <t>140103-2012-000772</t>
  </si>
  <si>
    <t>XD-B02-KP-E06(2-11U)DP123-9</t>
  </si>
  <si>
    <t>CNG230S9MH</t>
  </si>
  <si>
    <t>140103-2012-000887</t>
  </si>
  <si>
    <t>XD-B02-KP-E07(12-21U)DP124-1</t>
  </si>
  <si>
    <t>CNG230S9RT</t>
  </si>
  <si>
    <t>140103-2012-000896</t>
  </si>
  <si>
    <t>XD-B02-KP-E07(12-21U)DP124-10</t>
  </si>
  <si>
    <t>CNG230S9PW</t>
  </si>
  <si>
    <t>140103-2012-000897</t>
  </si>
  <si>
    <t>XD-B02-KP-E07(12-21U)DP124-11</t>
  </si>
  <si>
    <t>CNG230S9L8</t>
  </si>
  <si>
    <t>140103-2012-000898</t>
  </si>
  <si>
    <t>XD-B02-KP-E07(12-21U)DP124-12</t>
  </si>
  <si>
    <t>CNG230S9K3</t>
  </si>
  <si>
    <t>140103-2012-000899</t>
  </si>
  <si>
    <t>XD-B02-KP-E07(12-21U)DP124-13</t>
  </si>
  <si>
    <t>CNG230S9QN</t>
  </si>
  <si>
    <t>140103-2012-000900</t>
  </si>
  <si>
    <t>XD-B02-KP-E07(12-21U)DP124-14</t>
  </si>
  <si>
    <t>CNG230S9R3</t>
  </si>
  <si>
    <t>140103-2012-000901</t>
  </si>
  <si>
    <t>XD-B02-KP-E07(12-21U)DP124-15</t>
  </si>
  <si>
    <t>CNG230S9QZ</t>
  </si>
  <si>
    <t>140103-2012-000902</t>
  </si>
  <si>
    <t>XD-B02-KP-E07(12-21U)DP124-16</t>
  </si>
  <si>
    <t>CNG230S9H9</t>
  </si>
  <si>
    <t>140103-2012-000888</t>
  </si>
  <si>
    <t>XD-B02-KP-E07(12-21U)DP124-2</t>
  </si>
  <si>
    <t>CNG230S9NX</t>
  </si>
  <si>
    <t>140103-2012-000889</t>
  </si>
  <si>
    <t>XD-B02-KP-E07(12-21U)DP124-3</t>
  </si>
  <si>
    <t>CNG230S9QO</t>
  </si>
  <si>
    <t>140103-2012-000890</t>
  </si>
  <si>
    <t>XD-B02-KP-E07(12-21U)DP124-4</t>
  </si>
  <si>
    <t>CNG230S9SO</t>
  </si>
  <si>
    <t>140103-2012-000891</t>
  </si>
  <si>
    <t>XD-B02-KP-E07(12-21U)DP124-5</t>
  </si>
  <si>
    <t>CNG230S9Q6</t>
  </si>
  <si>
    <t>140103-2012-000892</t>
  </si>
  <si>
    <t>XD-B02-KP-E07(12-21U)DP124-6</t>
  </si>
  <si>
    <t>CNG230S9P5</t>
  </si>
  <si>
    <t>140103-2012-000893</t>
  </si>
  <si>
    <t>XD-B02-KP-E07(12-21U)DP124-7</t>
  </si>
  <si>
    <t>CNG230S9JJ</t>
  </si>
  <si>
    <t>140103-2012-000894</t>
  </si>
  <si>
    <t>XD-B02-KP-E07(12-21U)DP124-8</t>
  </si>
  <si>
    <t>CNG230S9KC</t>
  </si>
  <si>
    <t>140103-2012-000895</t>
  </si>
  <si>
    <t>XD-B02-KP-E07(12-21U)DP124-9</t>
  </si>
  <si>
    <t>CNG230S9M3</t>
  </si>
  <si>
    <t>140103-2012-000903</t>
  </si>
  <si>
    <t>XD-B02-KP-E07(2-11U)DP125-1</t>
  </si>
  <si>
    <t>CNG230S97W</t>
  </si>
  <si>
    <t>140103-2012-001055</t>
  </si>
  <si>
    <t>XD-B02-KP-E07(2-11U)DP125-10</t>
  </si>
  <si>
    <t>CNG230S9NV</t>
  </si>
  <si>
    <t>140103-2012-000904</t>
  </si>
  <si>
    <t>XD-B02-KP-E07(2-11U)DP125-2</t>
  </si>
  <si>
    <t>CNG230S9LZ</t>
  </si>
  <si>
    <t>140103-2012-000905</t>
  </si>
  <si>
    <t>XD-B02-KP-E07(2-11U)DP125-3</t>
  </si>
  <si>
    <t>CNG230S9PH</t>
  </si>
  <si>
    <t>140103-2012-000906</t>
  </si>
  <si>
    <t>XD-B02-KP-E07(2-11U)DP125-4</t>
  </si>
  <si>
    <t>CNG230S9P9</t>
  </si>
  <si>
    <t>140103-2012-000907</t>
  </si>
  <si>
    <t>XD-B02-KP-E07(2-11U)DP125-5</t>
  </si>
  <si>
    <t>CNG230S9LJ</t>
  </si>
  <si>
    <t>140103-2012-000908</t>
  </si>
  <si>
    <t>XD-B02-KP-E07(2-11U)DP125-6</t>
  </si>
  <si>
    <t>CNG230S9QV</t>
  </si>
  <si>
    <t>140103-2012-000909</t>
  </si>
  <si>
    <t>XD-B02-KP-E07(2-11U)DP125-7</t>
  </si>
  <si>
    <t>CNG230S9H7</t>
  </si>
  <si>
    <t>140103-2012-000910</t>
  </si>
  <si>
    <t>XD-B02-KP-E07(2-11U)DP125-8</t>
  </si>
  <si>
    <t>CNG230S9RY</t>
  </si>
  <si>
    <t>140103-2012-001059</t>
  </si>
  <si>
    <t>XD-B02-KP-E07(2-11U)DP125-9</t>
  </si>
  <si>
    <t>FDO1630P0LZ</t>
  </si>
  <si>
    <t>140502-2012-000605</t>
  </si>
  <si>
    <t>XD-B03-BY-A01(28-30U)</t>
  </si>
  <si>
    <t>FDO1630R19F</t>
  </si>
  <si>
    <t>140502-2012-000606</t>
  </si>
  <si>
    <t>210235A0HAH126000124</t>
  </si>
  <si>
    <t>140502-2012-000644</t>
  </si>
  <si>
    <t>XD-B03-BY-A01(32-32U)</t>
  </si>
  <si>
    <t>210235A0HAH127000015</t>
  </si>
  <si>
    <t>140502-2012-000645</t>
  </si>
  <si>
    <t>XD-B03-BY-A01(34-34U)</t>
  </si>
  <si>
    <t>H3C S5820V2-52QF</t>
  </si>
  <si>
    <t>210235A1DWH149000084</t>
  </si>
  <si>
    <t>140502-2014-001043</t>
  </si>
  <si>
    <t>XD-B03-BY-A03(20-20U)</t>
  </si>
  <si>
    <t>210235A1DWH149000113</t>
  </si>
  <si>
    <t>140502-2014-001042</t>
  </si>
  <si>
    <t>XD-B03-BY-A03(22-22U)</t>
  </si>
  <si>
    <t>IBM Flex System X240</t>
  </si>
  <si>
    <t>06ACNR3</t>
  </si>
  <si>
    <t>140103-2012-000845</t>
  </si>
  <si>
    <t>XD-B03-BY-A04(13-22U)DP97-1</t>
  </si>
  <si>
    <t>06ACNL8</t>
  </si>
  <si>
    <t>140103-2012-000854</t>
  </si>
  <si>
    <t>XD-B03-BY-A04(13-22U)DP97-10</t>
  </si>
  <si>
    <t>06ACPT1</t>
  </si>
  <si>
    <t>140103-2012-000662</t>
  </si>
  <si>
    <t>XD-B03-BY-A04(13-22U)DP97-11</t>
  </si>
  <si>
    <t>06ACPC8</t>
  </si>
  <si>
    <t>140103-2012-000663</t>
  </si>
  <si>
    <t>XD-B03-BY-A04(13-22U)DP97-12</t>
  </si>
  <si>
    <t>06ACPY5</t>
  </si>
  <si>
    <t>140103-2012-000664</t>
  </si>
  <si>
    <t>XD-B03-BY-A04(13-22U)DP97-13</t>
  </si>
  <si>
    <t>06ACNX4</t>
  </si>
  <si>
    <t>140103-2012-000665</t>
  </si>
  <si>
    <t>XD-B03-BY-A04(13-22U)DP97-14</t>
  </si>
  <si>
    <t>06ACNP8</t>
  </si>
  <si>
    <t>140103-2012-000846</t>
  </si>
  <si>
    <t>XD-B03-BY-A04(13-22U)DP97-2</t>
  </si>
  <si>
    <t>06ACNV4</t>
  </si>
  <si>
    <t>140103-2012-000847</t>
  </si>
  <si>
    <t>XD-B03-BY-A04(13-22U)DP97-3</t>
  </si>
  <si>
    <t>06ACNX5</t>
  </si>
  <si>
    <t>140103-2012-000848</t>
  </si>
  <si>
    <t>XD-B03-BY-A04(13-22U)DP97-4</t>
  </si>
  <si>
    <t>06ACPW0</t>
  </si>
  <si>
    <t>140103-2012-000849</t>
  </si>
  <si>
    <t>XD-B03-BY-A04(13-22U)DP97-5</t>
  </si>
  <si>
    <t>06ACNL9</t>
  </si>
  <si>
    <t>140103-2012-000850</t>
  </si>
  <si>
    <t>XD-B03-BY-A04(13-22U)DP97-6</t>
  </si>
  <si>
    <t>06ACPN0</t>
  </si>
  <si>
    <t>140103-2012-000851</t>
  </si>
  <si>
    <t>XD-B03-BY-A04(13-22U)DP97-7</t>
  </si>
  <si>
    <t>06ACNV7</t>
  </si>
  <si>
    <t>140103-2012-000852</t>
  </si>
  <si>
    <t>XD-B03-BY-A04(13-22U)DP97-8</t>
  </si>
  <si>
    <t>06ACPE9</t>
  </si>
  <si>
    <t>140103-2012-000853</t>
  </si>
  <si>
    <t>XD-B03-BY-A04(13-22U)DP97-9</t>
  </si>
  <si>
    <t>06ACPL9</t>
  </si>
  <si>
    <t>140103-2012-000578</t>
  </si>
  <si>
    <t>XD-B03-BY-A04(2-11U)DP98-1</t>
  </si>
  <si>
    <t>06ACNL7</t>
  </si>
  <si>
    <t>140103-2012-000579</t>
  </si>
  <si>
    <t>XD-B03-BY-A04(2-11U)DP98-2</t>
  </si>
  <si>
    <t>06ACPY2</t>
  </si>
  <si>
    <t>140103-2012-000580</t>
  </si>
  <si>
    <t>XD-B03-BY-A04(2-11U)DP98-3</t>
  </si>
  <si>
    <t>06ACNP7</t>
  </si>
  <si>
    <t>140103-2012-000581</t>
  </si>
  <si>
    <t>XD-B03-BY-A04(2-11U)DP98-4</t>
  </si>
  <si>
    <t>06ACPK4</t>
  </si>
  <si>
    <t>140103-2012-000582</t>
  </si>
  <si>
    <t>XD-B03-BY-A04(2-11U)DP98-5</t>
  </si>
  <si>
    <t>06ACPA6</t>
  </si>
  <si>
    <t>140103-2012-000583</t>
  </si>
  <si>
    <t>XD-B03-BY-A04(2-11U)DP98-6</t>
  </si>
  <si>
    <t>06ACPT3</t>
  </si>
  <si>
    <t>140103-2012-000584</t>
  </si>
  <si>
    <t>XD-B03-BY-A04(2-11U)DP98-7</t>
  </si>
  <si>
    <t>06ACNP2</t>
  </si>
  <si>
    <t>140103-2012-000585</t>
  </si>
  <si>
    <t>XD-B03-BY-A04(2-11U)DP98-8</t>
  </si>
  <si>
    <t>06ACPB0</t>
  </si>
  <si>
    <t>140103-2012-000634</t>
  </si>
  <si>
    <t>XD-B03-BY-A05(13-22U)DP99-1</t>
  </si>
  <si>
    <t>06ACNT7</t>
  </si>
  <si>
    <t>140103-2012-000643</t>
  </si>
  <si>
    <t>XD-B03-BY-A05(13-22U)DP99-10</t>
  </si>
  <si>
    <t>06ACPP1</t>
  </si>
  <si>
    <t>140103-2012-000644</t>
  </si>
  <si>
    <t>XD-B03-BY-A05(13-22U)DP99-11</t>
  </si>
  <si>
    <t>06ACNR8</t>
  </si>
  <si>
    <t>140103-2012-000645</t>
  </si>
  <si>
    <t>XD-B03-BY-A05(13-22U)DP99-12</t>
  </si>
  <si>
    <t>06ACPC6</t>
  </si>
  <si>
    <t>140103-2012-000646</t>
  </si>
  <si>
    <t>XD-B03-BY-A05(13-22U)DP99-13</t>
  </si>
  <si>
    <t>06ACPF9</t>
  </si>
  <si>
    <t>140103-2012-000647</t>
  </si>
  <si>
    <t>XD-B03-BY-A05(13-22U)DP99-14</t>
  </si>
  <si>
    <t>06ACPE1</t>
  </si>
  <si>
    <t>140103-2012-000635</t>
  </si>
  <si>
    <t>XD-B03-BY-A05(13-22U)DP99-2</t>
  </si>
  <si>
    <t>06ACNW8</t>
  </si>
  <si>
    <t>140103-2012-000636</t>
  </si>
  <si>
    <t>XD-B03-BY-A05(13-22U)DP99-3</t>
  </si>
  <si>
    <t>06ACPH5</t>
  </si>
  <si>
    <t>140103-2012-000637</t>
  </si>
  <si>
    <t>XD-B03-BY-A05(13-22U)DP99-4</t>
  </si>
  <si>
    <t>06ACNM1</t>
  </si>
  <si>
    <t>140103-2012-000638</t>
  </si>
  <si>
    <t>XD-B03-BY-A05(13-22U)DP99-5</t>
  </si>
  <si>
    <t>06ACNP0</t>
  </si>
  <si>
    <t>140103-2012-000639</t>
  </si>
  <si>
    <t>XD-B03-BY-A05(13-22U)DP99-6</t>
  </si>
  <si>
    <t>06ACPH2</t>
  </si>
  <si>
    <t>140103-2012-000640</t>
  </si>
  <si>
    <t>XD-B03-BY-A05(13-22U)DP99-7</t>
  </si>
  <si>
    <t>06ACPV5</t>
  </si>
  <si>
    <t>140103-2012-000641</t>
  </si>
  <si>
    <t>XD-B03-BY-A05(13-22U)DP99-8</t>
  </si>
  <si>
    <t>06ACNL6</t>
  </si>
  <si>
    <t>140103-2012-000642</t>
  </si>
  <si>
    <t>XD-B03-BY-A05(13-22U)DP99-9</t>
  </si>
  <si>
    <t>06ACPK5</t>
  </si>
  <si>
    <t>140103-2012-000648</t>
  </si>
  <si>
    <t>XD-B03-BY-A05(2-11U)DP100-1</t>
  </si>
  <si>
    <t>06ACPP7</t>
  </si>
  <si>
    <t>140103-2012-000657</t>
  </si>
  <si>
    <t>XD-B03-BY-A05(2-11U)DP100-10</t>
  </si>
  <si>
    <t>06ACNP1</t>
  </si>
  <si>
    <t>140103-2012-000658</t>
  </si>
  <si>
    <t>XD-B03-BY-A05(2-11U)DP100-11</t>
  </si>
  <si>
    <t>06ACPK9</t>
  </si>
  <si>
    <t>140103-2012-000659</t>
  </si>
  <si>
    <t>XD-B03-BY-A05(2-11U)DP100-12</t>
  </si>
  <si>
    <t>06ACPF8</t>
  </si>
  <si>
    <t>140103-2012-000660</t>
  </si>
  <si>
    <t>XD-B03-BY-A05(2-11U)DP100-13</t>
  </si>
  <si>
    <t>06ACPT8</t>
  </si>
  <si>
    <t>140103-2012-000661</t>
  </si>
  <si>
    <t>XD-B03-BY-A05(2-11U)DP100-14</t>
  </si>
  <si>
    <t>06ACPY1</t>
  </si>
  <si>
    <t>140103-2012-000649</t>
  </si>
  <si>
    <t>XD-B03-BY-A05(2-11U)DP100-2</t>
  </si>
  <si>
    <t>06ACNP3</t>
  </si>
  <si>
    <t>140103-2012-000650</t>
  </si>
  <si>
    <t>XD-B03-BY-A05(2-11U)DP100-3</t>
  </si>
  <si>
    <t>06ACPX4</t>
  </si>
  <si>
    <t>140103-2012-000651</t>
  </si>
  <si>
    <t>XD-B03-BY-A05(2-11U)DP100-4</t>
  </si>
  <si>
    <t>06ACPN9</t>
  </si>
  <si>
    <t>140103-2012-000652</t>
  </si>
  <si>
    <t>XD-B03-BY-A05(2-11U)DP100-5</t>
  </si>
  <si>
    <t>06ACPY4</t>
  </si>
  <si>
    <t>140103-2012-000653</t>
  </si>
  <si>
    <t>XD-B03-BY-A05(2-11U)DP100-6</t>
  </si>
  <si>
    <t>06ACPK1</t>
  </si>
  <si>
    <t>140103-2012-000654</t>
  </si>
  <si>
    <t>XD-B03-BY-A05(2-11U)DP100-7</t>
  </si>
  <si>
    <t>06ACPC0</t>
  </si>
  <si>
    <t>140103-2012-000655</t>
  </si>
  <si>
    <t>XD-B03-BY-A05(2-11U)DP100-8</t>
  </si>
  <si>
    <t>06ACPL4</t>
  </si>
  <si>
    <t>140103-2012-000656</t>
  </si>
  <si>
    <t>XD-B03-BY-A05(2-11U)DP100-9</t>
  </si>
  <si>
    <t>Cisco UCS-B200-M3</t>
  </si>
  <si>
    <t>FCH16287K76</t>
  </si>
  <si>
    <t>140103-2012-000586</t>
  </si>
  <si>
    <t>XD-B03-BY-A06(15-20U)DP108-01</t>
  </si>
  <si>
    <t>FCH16297CPZ</t>
  </si>
  <si>
    <t>140103-2012-000587</t>
  </si>
  <si>
    <t>XD-B03-BY-A06(15-20U)DP108-02</t>
  </si>
  <si>
    <t>FCH16287JVF</t>
  </si>
  <si>
    <t>140103-2012-000588</t>
  </si>
  <si>
    <t>XD-B03-BY-A06(15-20U)DP108-03</t>
  </si>
  <si>
    <t>FCH16287KDK</t>
  </si>
  <si>
    <t>140103-2012-000589</t>
  </si>
  <si>
    <t>XD-B03-BY-A06(15-20U)DP108-04</t>
  </si>
  <si>
    <t>FCH16287JVL</t>
  </si>
  <si>
    <t>140103-2012-000590</t>
  </si>
  <si>
    <t>XD-B03-BY-A06(15-20U)DP108-05</t>
  </si>
  <si>
    <t>FCH16297CRY</t>
  </si>
  <si>
    <t>140103-2012-000591</t>
  </si>
  <si>
    <t>XD-B03-BY-A06(15-20U)DP108-06</t>
  </si>
  <si>
    <t>FCH16247QZM</t>
  </si>
  <si>
    <t>140103-2012-000592</t>
  </si>
  <si>
    <t>XD-B03-BY-A06(15-20U)DP108-07</t>
  </si>
  <si>
    <t>FCH16287JX1</t>
  </si>
  <si>
    <t>140103-2012-000593</t>
  </si>
  <si>
    <t>XD-B03-BY-A06(15-20U)DP108-08</t>
  </si>
  <si>
    <t>FCH16287KL4</t>
  </si>
  <si>
    <t>140103-2012-000855</t>
  </si>
  <si>
    <t>XD-B03-BY-A06(3-8U)DP110-01</t>
  </si>
  <si>
    <t>FCH16277YK9</t>
  </si>
  <si>
    <t>140103-2012-000856</t>
  </si>
  <si>
    <t>XD-B03-BY-A06(3-8U)DP110-02</t>
  </si>
  <si>
    <t>FCH16287K49</t>
  </si>
  <si>
    <t>140103-2012-000857</t>
  </si>
  <si>
    <t>XD-B03-BY-A06(3-8U)DP110-03</t>
  </si>
  <si>
    <t>FCH16297QMT</t>
  </si>
  <si>
    <t>140103-2012-000858</t>
  </si>
  <si>
    <t>XD-B03-BY-A06(3-8U)DP110-04</t>
  </si>
  <si>
    <t>FCH16277Z7W</t>
  </si>
  <si>
    <t>140103-2012-000859</t>
  </si>
  <si>
    <t>XD-B03-BY-A06(3-8U)DP110-05</t>
  </si>
  <si>
    <t>FCH160779DB</t>
  </si>
  <si>
    <t>140103-2012-000860</t>
  </si>
  <si>
    <t>XD-B03-BY-A06(3-8U)DP110-06</t>
  </si>
  <si>
    <t>FCH16277YFM</t>
  </si>
  <si>
    <t>140103-2012-000861</t>
  </si>
  <si>
    <t>XD-B03-BY-A06(3-8U)DP110-07</t>
  </si>
  <si>
    <t>FCH16297CUF</t>
  </si>
  <si>
    <t>140103-2012-000862</t>
  </si>
  <si>
    <t>XD-B03-BY-A06(3-8U)DP110-08</t>
  </si>
  <si>
    <t>FCH16277ZJS</t>
  </si>
  <si>
    <t>140103-2012-000596</t>
  </si>
  <si>
    <t>XD-B03-BY-A06(9-14U)DP109-01</t>
  </si>
  <si>
    <t>FCH1813762Z</t>
  </si>
  <si>
    <t>140103-2012-000600</t>
  </si>
  <si>
    <t>XD-B03-BY-A06(9-14U)DP109-02</t>
  </si>
  <si>
    <t>FCH16287K2L</t>
  </si>
  <si>
    <t>140103-2012-000595</t>
  </si>
  <si>
    <t>XD-B03-BY-A06(9-14U)DP109-03</t>
  </si>
  <si>
    <t>FCH16287K1N</t>
  </si>
  <si>
    <t>140103-2012-000594</t>
  </si>
  <si>
    <t>XD-B03-BY-A06(9-14U)DP109-04</t>
  </si>
  <si>
    <t>FCH16287K41</t>
  </si>
  <si>
    <t>140103-2012-000601</t>
  </si>
  <si>
    <t>XD-B03-BY-A06(9-14U)DP109-05</t>
  </si>
  <si>
    <t>FCH16297CA4</t>
  </si>
  <si>
    <t>140103-2012-000599</t>
  </si>
  <si>
    <t>XD-B03-BY-A06(9-14U)DP109-06</t>
  </si>
  <si>
    <t>FCH16277OC6</t>
  </si>
  <si>
    <t>140103-2012-000598</t>
  </si>
  <si>
    <t>XD-B03-BY-A06(9-14U)DP109-07</t>
  </si>
  <si>
    <t>FCH16237JUH</t>
  </si>
  <si>
    <t>140103-2012-000597</t>
  </si>
  <si>
    <t>XD-B03-BY-A06(9-14U)DP109-08</t>
  </si>
  <si>
    <t>FCH16277DEZ</t>
  </si>
  <si>
    <t>140103-2012-000863</t>
  </si>
  <si>
    <t>XD-B03-BY-A07(15-20U)DP111-01</t>
  </si>
  <si>
    <t>FCH162770AE</t>
  </si>
  <si>
    <t>140103-2012-000864</t>
  </si>
  <si>
    <t>XD-B03-BY-A07(15-20U)DP111-02</t>
  </si>
  <si>
    <t>FCH16287KGC</t>
  </si>
  <si>
    <t>140103-2012-000865</t>
  </si>
  <si>
    <t>XD-B03-BY-A07(15-20U)DP111-03</t>
  </si>
  <si>
    <t>FCH16277YME</t>
  </si>
  <si>
    <t>140103-2012-000866</t>
  </si>
  <si>
    <t>XD-B03-BY-A07(15-20U)DP111-04</t>
  </si>
  <si>
    <t>FCH16277YAJ</t>
  </si>
  <si>
    <t>140103-2012-000867</t>
  </si>
  <si>
    <t>XD-B03-BY-A07(15-20U)DP111-05</t>
  </si>
  <si>
    <t>FCH16287KD7</t>
  </si>
  <si>
    <t>140103-2012-000868</t>
  </si>
  <si>
    <t>XD-B03-BY-A07(15-20U)DP111-06</t>
  </si>
  <si>
    <t>FCH16297DEV</t>
  </si>
  <si>
    <t>140103-2012-000869</t>
  </si>
  <si>
    <t>XD-B03-BY-A07(15-20U)DP111-07</t>
  </si>
  <si>
    <t>FCH16277Y9U</t>
  </si>
  <si>
    <t>140103-2012-000870</t>
  </si>
  <si>
    <t>XD-B03-BY-A07(15-20U)DP111-08</t>
  </si>
  <si>
    <t>FCH16277YD5</t>
  </si>
  <si>
    <t>140103-2012-000879</t>
  </si>
  <si>
    <t>XD-B03-BY-A07(2-7U)DP113-1</t>
  </si>
  <si>
    <t>FCH16287KEN</t>
  </si>
  <si>
    <t>140103-2012-000880</t>
  </si>
  <si>
    <t>XD-B03-BY-A07(2-7U)DP113-2</t>
  </si>
  <si>
    <t>FCH162770WP</t>
  </si>
  <si>
    <t>140103-2012-000881</t>
  </si>
  <si>
    <t>XD-B03-BY-A07(2-7U)DP113-3</t>
  </si>
  <si>
    <t>FCH16287K3C</t>
  </si>
  <si>
    <t>140103-2012-000882</t>
  </si>
  <si>
    <t>XD-B03-BY-A07(2-7U)DP113-4</t>
  </si>
  <si>
    <t>FCH16287K65</t>
  </si>
  <si>
    <t>140103-2012-000883</t>
  </si>
  <si>
    <t>XD-B03-BY-A07(2-7U)DP113-5</t>
  </si>
  <si>
    <t>FCH16287KA9</t>
  </si>
  <si>
    <t>140103-2012-000884</t>
  </si>
  <si>
    <t>XD-B03-BY-A07(2-7U)DP113-6</t>
  </si>
  <si>
    <t>FCH16277YYD</t>
  </si>
  <si>
    <t>140103-2012-000885</t>
  </si>
  <si>
    <t>XD-B03-BY-A07(2-7U)DP113-7</t>
  </si>
  <si>
    <t>FCH16277YY8</t>
  </si>
  <si>
    <t>140103-2012-000886</t>
  </si>
  <si>
    <t>XD-B03-BY-A07(2-7U)DP113-8</t>
  </si>
  <si>
    <t>FCH16297CNR</t>
  </si>
  <si>
    <t>140103-2012-000871</t>
  </si>
  <si>
    <t>XD-B03-BY-A07(9-14U)DP112-01</t>
  </si>
  <si>
    <t>FCH16237K1X</t>
  </si>
  <si>
    <t>140103-2012-000872</t>
  </si>
  <si>
    <t>XD-B03-BY-A07(9-14U)DP112-02</t>
  </si>
  <si>
    <t>FCH16287KBE</t>
  </si>
  <si>
    <t>140103-2012-000873</t>
  </si>
  <si>
    <t>XD-B03-BY-A07(9-14U)DP112-03</t>
  </si>
  <si>
    <t>FCH16287JTC</t>
  </si>
  <si>
    <t>140103-2012-000874</t>
  </si>
  <si>
    <t>XD-B03-BY-A07(9-14U)DP112-04</t>
  </si>
  <si>
    <t>FCH16287K1C</t>
  </si>
  <si>
    <t>140103-2012-000875</t>
  </si>
  <si>
    <t>XD-B03-BY-A07(9-14U)DP112-05</t>
  </si>
  <si>
    <t>FCH16297DMU</t>
  </si>
  <si>
    <t>140103-2012-000876</t>
  </si>
  <si>
    <t>XD-B03-BY-A07(9-14U)DP112-06</t>
  </si>
  <si>
    <t>FCH16277YMP</t>
  </si>
  <si>
    <t>140103-2012-000877</t>
  </si>
  <si>
    <t>XD-B03-BY-A07(9-14U)DP112-07</t>
  </si>
  <si>
    <t>FCH162772LD</t>
  </si>
  <si>
    <t>140103-2012-000878</t>
  </si>
  <si>
    <t>XD-B03-BY-A07(9-14U)DP112-08</t>
  </si>
  <si>
    <t>F0X1744H0JK</t>
  </si>
  <si>
    <t>140103-2014-002889</t>
  </si>
  <si>
    <t>XD-B03-BY-A08(16-21U)DP152</t>
  </si>
  <si>
    <t>FCH1744JJUN</t>
  </si>
  <si>
    <t>140103-2014-002816</t>
  </si>
  <si>
    <t>XD-B03-BY-A08(16-21U)DP152-1</t>
  </si>
  <si>
    <t>FCH1744JGGJ</t>
  </si>
  <si>
    <t>140103-2014-002817</t>
  </si>
  <si>
    <t>XD-B03-BY-A08(16-21U)DP152-2</t>
  </si>
  <si>
    <t>FCH1744JJUT</t>
  </si>
  <si>
    <t>140103-2014-002818</t>
  </si>
  <si>
    <t>XD-B03-BY-A08(16-21U)DP152-3</t>
  </si>
  <si>
    <t>FCH1744JLK5</t>
  </si>
  <si>
    <t>140103-2014-002819</t>
  </si>
  <si>
    <t>XD-B03-BY-A08(16-21U)DP152-4</t>
  </si>
  <si>
    <t>FCH1744JJLG</t>
  </si>
  <si>
    <t>140103-2014-002820</t>
  </si>
  <si>
    <t>XD-B03-BY-A08(16-21U)DP152-5</t>
  </si>
  <si>
    <t>FCH1744JMTV</t>
  </si>
  <si>
    <t>140103-2014-002821</t>
  </si>
  <si>
    <t>XD-B03-BY-A08(16-21U)DP152-6</t>
  </si>
  <si>
    <t>FCH1744JJNQ</t>
  </si>
  <si>
    <t>140103-2014-002822</t>
  </si>
  <si>
    <t>XD-B03-BY-A08(16-21U)DP152-7</t>
  </si>
  <si>
    <t>FCH1744JMKY</t>
  </si>
  <si>
    <t>140103-2014-002823</t>
  </si>
  <si>
    <t>XD-B03-BY-A08(16-21U)DP152-8</t>
  </si>
  <si>
    <t>FOX1744GZFX</t>
  </si>
  <si>
    <t>140103-2014-002888</t>
  </si>
  <si>
    <t>XD-B03-BY-A08(23-28U)DP151</t>
  </si>
  <si>
    <t>FCH1744JKSP</t>
  </si>
  <si>
    <t>140103-2014-002808</t>
  </si>
  <si>
    <t>XD-B03-BY-A08(23-28U)DP151-1</t>
  </si>
  <si>
    <t>FCH1744JJR9</t>
  </si>
  <si>
    <t>140103-2014-002809</t>
  </si>
  <si>
    <t>XD-B03-BY-A08(23-28U)DP151-2</t>
  </si>
  <si>
    <t>FCH1744JN23</t>
  </si>
  <si>
    <t>140103-2014-002810</t>
  </si>
  <si>
    <t>XD-B03-BY-A08(23-28U)DP151-3</t>
  </si>
  <si>
    <t>FCH1744JMRO</t>
  </si>
  <si>
    <t>140103-2014-002811</t>
  </si>
  <si>
    <t>XD-B03-BY-A08(23-28U)DP151-4</t>
  </si>
  <si>
    <t>FCH1744JLBR</t>
  </si>
  <si>
    <t>140103-2014-002812</t>
  </si>
  <si>
    <t>XD-B03-BY-A08(23-28U)DP151-5</t>
  </si>
  <si>
    <t>FCH1744JLBJ</t>
  </si>
  <si>
    <t>140103-2014-002813</t>
  </si>
  <si>
    <t>XD-B03-BY-A08(23-28U)DP151-6</t>
  </si>
  <si>
    <t>FCH1744JFDZ</t>
  </si>
  <si>
    <t>140103-2014-002814</t>
  </si>
  <si>
    <t>XD-B03-BY-A08(23-28U)DP151-7</t>
  </si>
  <si>
    <t>FCH1744JKUV</t>
  </si>
  <si>
    <t>140103-2014-002815</t>
  </si>
  <si>
    <t>XD-B03-BY-A08(23-28U)DP151-8</t>
  </si>
  <si>
    <t>FCH1744JJUS</t>
  </si>
  <si>
    <t>140103-2014-002832</t>
  </si>
  <si>
    <t>XD-B03-BY-A08(2-7)DP154-1</t>
  </si>
  <si>
    <t>FCH1744JMVH</t>
  </si>
  <si>
    <t>140103-2014-002833</t>
  </si>
  <si>
    <t>XD-B03-BY-A08(2-7)DP154-2</t>
  </si>
  <si>
    <t>FCH1744JKRZ</t>
  </si>
  <si>
    <t>140103-2014-002834</t>
  </si>
  <si>
    <t>XD-B03-BY-A08(2-7)DP154-3</t>
  </si>
  <si>
    <t>FCH1744JFFJ</t>
  </si>
  <si>
    <t>140103-2014-002835</t>
  </si>
  <si>
    <t>XD-B03-BY-A08(2-7)DP154-4</t>
  </si>
  <si>
    <t>FCH1744JFHY</t>
  </si>
  <si>
    <t>140103-2014-002836</t>
  </si>
  <si>
    <t>XD-B03-BY-A08(2-7)DP154-5</t>
  </si>
  <si>
    <t>FCH1744JJS3</t>
  </si>
  <si>
    <t>140103-2014-002837</t>
  </si>
  <si>
    <t>XD-B03-BY-A08(2-7)DP154-6</t>
  </si>
  <si>
    <t>FCH1744JJVS</t>
  </si>
  <si>
    <t>140103-2014-002838</t>
  </si>
  <si>
    <t>XD-B03-BY-A08(2-7)DP154-7</t>
  </si>
  <si>
    <t>FCH1744JMM2</t>
  </si>
  <si>
    <t>140103-2014-002839</t>
  </si>
  <si>
    <t>XD-B03-BY-A08(2-7)DP154-8</t>
  </si>
  <si>
    <t>FOX1744H0J2</t>
  </si>
  <si>
    <t>140103-2014-002891</t>
  </si>
  <si>
    <t>XD-B03-BY-A08(2-7U)DP154</t>
  </si>
  <si>
    <t>FOX1744H0J5</t>
  </si>
  <si>
    <t>140103-2014-002890</t>
  </si>
  <si>
    <t>XD-B03-BY-A08(9-14U)DP153</t>
  </si>
  <si>
    <t>FCH1744JL3A</t>
  </si>
  <si>
    <t>140103-2014-002824</t>
  </si>
  <si>
    <t>XD-B03-BY-A08(9-14U)DP153-1</t>
  </si>
  <si>
    <t>FCH1744JLB3</t>
  </si>
  <si>
    <t>140103-2014-002825</t>
  </si>
  <si>
    <t>XD-B03-BY-A08(9-14U)DP153-2</t>
  </si>
  <si>
    <t>FCH1744JL0L</t>
  </si>
  <si>
    <t>140103-2014-002826</t>
  </si>
  <si>
    <t>XD-B03-BY-A08(9-14U)DP153-3</t>
  </si>
  <si>
    <t>FCH1744JGGF</t>
  </si>
  <si>
    <t>140103-2014-002827</t>
  </si>
  <si>
    <t>XD-B03-BY-A08(9-14U)DP153-4</t>
  </si>
  <si>
    <t>FCH1744JGAF</t>
  </si>
  <si>
    <t>140103-2014-002828</t>
  </si>
  <si>
    <t>XD-B03-BY-A08(9-14U)DP153-5</t>
  </si>
  <si>
    <t>FCH1744JLK4</t>
  </si>
  <si>
    <t>140103-2014-002829</t>
  </si>
  <si>
    <t>XD-B03-BY-A08(9-14U)DP153-6</t>
  </si>
  <si>
    <t>FCH1744JJKV</t>
  </si>
  <si>
    <t>140103-2014-002830</t>
  </si>
  <si>
    <t>XD-B03-BY-A08(9-14U)DP153-7</t>
  </si>
  <si>
    <t>FCH1744JLCE</t>
  </si>
  <si>
    <t>140103-2014-002831</t>
  </si>
  <si>
    <t>XD-B03-BY-A08(9-14U)DP153-8</t>
  </si>
  <si>
    <t>FDO1630P0KU</t>
  </si>
  <si>
    <t>140502-2012-000608</t>
  </si>
  <si>
    <t>XD-B03-BY-B01(25-25U)</t>
  </si>
  <si>
    <t>FDO1630P0LX</t>
  </si>
  <si>
    <t>140502-2012-000607</t>
  </si>
  <si>
    <t>XD-B03-BY-B01(27-27U)</t>
  </si>
  <si>
    <t>210235A0HAH127000089</t>
  </si>
  <si>
    <t>140502-2012-000646</t>
  </si>
  <si>
    <t>XD-B03-BY-B01(29-29U)</t>
  </si>
  <si>
    <t>210235A0HAH126000123</t>
  </si>
  <si>
    <t>140502-2012-000647</t>
  </si>
  <si>
    <t>XD-B03-BY-B01(31-31U)</t>
  </si>
  <si>
    <t>2102300742N0DB000043</t>
  </si>
  <si>
    <t>140103-2014-002965</t>
  </si>
  <si>
    <t>XD-B03-BY-B03(2-13U)DP157</t>
  </si>
  <si>
    <t>华为 CH121</t>
  </si>
  <si>
    <t>210305485510DB000037</t>
  </si>
  <si>
    <t>140103-2014-002949</t>
  </si>
  <si>
    <t>XD-B03-BY-B03(2-13U)DP157-1</t>
  </si>
  <si>
    <t>210305485510DB000045</t>
  </si>
  <si>
    <t>140103-2014-002958</t>
  </si>
  <si>
    <t>XD-B03-BY-B03(2-13U)DP157-10</t>
  </si>
  <si>
    <t>210305485510DB000043</t>
  </si>
  <si>
    <t>140103-2014-002959</t>
  </si>
  <si>
    <t>XD-B03-BY-B03(2-13U)DP157-11</t>
  </si>
  <si>
    <t>210305485510DB000030</t>
  </si>
  <si>
    <t>140103-2014-002960</t>
  </si>
  <si>
    <t>XD-B03-BY-B03(2-13U)DP157-12</t>
  </si>
  <si>
    <t>210305485510DB000040</t>
  </si>
  <si>
    <t>140103-2014-002961</t>
  </si>
  <si>
    <t>XD-B03-BY-B03(2-13U)DP157-13</t>
  </si>
  <si>
    <t>210305485510DB000046</t>
  </si>
  <si>
    <t>140103-2014-002962</t>
  </si>
  <si>
    <t>XD-B03-BY-B03(2-13U)DP157-14</t>
  </si>
  <si>
    <t>210305485510DB000048</t>
  </si>
  <si>
    <t>140103-2014-002963</t>
  </si>
  <si>
    <t>XD-B03-BY-B03(2-13U)DP157-15</t>
  </si>
  <si>
    <t>210305485510DB000031</t>
  </si>
  <si>
    <t>140103-2014-002964</t>
  </si>
  <si>
    <t>XD-B03-BY-B03(2-13U)DP157-16</t>
  </si>
  <si>
    <t>210305485510DB000047</t>
  </si>
  <si>
    <t>140103-2014-002950</t>
  </si>
  <si>
    <t>XD-B03-BY-B03(2-13U)DP157-2</t>
  </si>
  <si>
    <t>210305485510DB000039</t>
  </si>
  <si>
    <t>140103-2014-002951</t>
  </si>
  <si>
    <t>XD-B03-BY-B03(2-13U)DP157-3</t>
  </si>
  <si>
    <t>210305485510DB000038</t>
  </si>
  <si>
    <t>140103-2014-002952</t>
  </si>
  <si>
    <t>XD-B03-BY-B03(2-13U)DP157-4</t>
  </si>
  <si>
    <t>210305485510DB000036</t>
  </si>
  <si>
    <t>140103-2014-002953</t>
  </si>
  <si>
    <t>XD-B03-BY-B03(2-13U)DP157-5</t>
  </si>
  <si>
    <t>210305485510DB000044</t>
  </si>
  <si>
    <t>140103-2014-002954</t>
  </si>
  <si>
    <t>XD-B03-BY-B03(2-13U)DP157-6</t>
  </si>
  <si>
    <t>210305485510DB000041</t>
  </si>
  <si>
    <t>140103-2014-002955</t>
  </si>
  <si>
    <t>XD-B03-BY-B03(2-13U)DP157-7</t>
  </si>
  <si>
    <t>210305485510DB000032</t>
  </si>
  <si>
    <t>140103-2014-002956</t>
  </si>
  <si>
    <t>XD-B03-BY-B03(2-13U)DP157-8</t>
  </si>
  <si>
    <t>210305485510DB000042</t>
  </si>
  <si>
    <t>140103-2014-002957</t>
  </si>
  <si>
    <t>XD-B03-BY-B03(2-13U)DP157-9</t>
  </si>
  <si>
    <t>DELL PowerEdge M620</t>
  </si>
  <si>
    <t>GS79D02</t>
  </si>
  <si>
    <t>140103-2014-001723</t>
  </si>
  <si>
    <t>XD-B03-BY-B04(02-11U)dp104-16</t>
  </si>
  <si>
    <t>FLPDF3X</t>
  </si>
  <si>
    <t>140103-2012-000987</t>
  </si>
  <si>
    <t>XD-B03-BY-B04(13-22U)DP103-1</t>
  </si>
  <si>
    <t>JLPDF3X</t>
  </si>
  <si>
    <t>140103-2012-000996</t>
  </si>
  <si>
    <t>XD-B03-BY-B04(13-22U)DP103-10</t>
  </si>
  <si>
    <t>4MPDF3X</t>
  </si>
  <si>
    <t>140103-2012-000997</t>
  </si>
  <si>
    <t>XD-B03-BY-B04(13-22U)DP103-11</t>
  </si>
  <si>
    <t>1MPDF3X</t>
  </si>
  <si>
    <t>140103-2012-000998</t>
  </si>
  <si>
    <t>XD-B03-BY-B04(13-22U)DP103-12</t>
  </si>
  <si>
    <t>6SPDF3X</t>
  </si>
  <si>
    <t>140103-2012-000999</t>
  </si>
  <si>
    <t>XD-B03-BY-B04(13-22U)DP107-5</t>
  </si>
  <si>
    <t>GRPDF3X</t>
  </si>
  <si>
    <t>140103-2012-001000</t>
  </si>
  <si>
    <t>XD-B03-BY-B04(13-22U)DP103-14</t>
  </si>
  <si>
    <t>FRPDF3X</t>
  </si>
  <si>
    <t>140103-2012-001001</t>
  </si>
  <si>
    <t>XD-B03-BY-B04(13-22U)DP103-15</t>
  </si>
  <si>
    <t>3SPDF3X</t>
  </si>
  <si>
    <t>140103-2012-001002</t>
  </si>
  <si>
    <t>XD-B03-BY-B04(13-22U)DP103-16</t>
  </si>
  <si>
    <t>CLPDF3X</t>
  </si>
  <si>
    <t>140103-2012-000988</t>
  </si>
  <si>
    <t>XD-B03-BY-B04(13-22U)DP103-2</t>
  </si>
  <si>
    <t>GLPDF3X</t>
  </si>
  <si>
    <t>140103-2012-000989</t>
  </si>
  <si>
    <t>XD-B03-BY-B04(13-22U)DP103-3</t>
  </si>
  <si>
    <t>3MPDF3X</t>
  </si>
  <si>
    <t>140103-2012-000990</t>
  </si>
  <si>
    <t>XD-B03-BY-B04(13-22U)DP103-4</t>
  </si>
  <si>
    <t>9LPDF3X</t>
  </si>
  <si>
    <t>140103-2012-000991</t>
  </si>
  <si>
    <t>XD-B03-BY-B04(13-22U)DP103-5</t>
  </si>
  <si>
    <t>DLPDF3X</t>
  </si>
  <si>
    <t>140103-2012-000992</t>
  </si>
  <si>
    <t>XD-B03-BY-B04(13-22U)DP103-6</t>
  </si>
  <si>
    <t>2MPDF3X</t>
  </si>
  <si>
    <t>140103-2012-000993</t>
  </si>
  <si>
    <t>XD-B03-BY-B04(13-22U)DP103-7</t>
  </si>
  <si>
    <t>BLPDF3X</t>
  </si>
  <si>
    <t>140103-2012-000994</t>
  </si>
  <si>
    <t>XD-B03-BY-B04(13-22U)DP103-8</t>
  </si>
  <si>
    <t>HLPDF3X</t>
  </si>
  <si>
    <t>140103-2012-000995</t>
  </si>
  <si>
    <t>XD-B03-BY-B04(13-22U)DP103-9</t>
  </si>
  <si>
    <t>4NPDF3X</t>
  </si>
  <si>
    <t>140103-2012-001003</t>
  </si>
  <si>
    <t>XD-B03-BY-B04(2-11U)DP104-1</t>
  </si>
  <si>
    <t>DMPDF3X</t>
  </si>
  <si>
    <t>140103-2012-001012</t>
  </si>
  <si>
    <t>XD-B03-BY-B04(2-11U)DP104-10</t>
  </si>
  <si>
    <t>1NPDF3X</t>
  </si>
  <si>
    <t>140103-2012-001013</t>
  </si>
  <si>
    <t>XD-B03-BY-B04(2-11U)DP104-11</t>
  </si>
  <si>
    <t>FMPDF3X</t>
  </si>
  <si>
    <t>140103-2012-001014</t>
  </si>
  <si>
    <t>XD-B03-BY-B04(2-11U)DP104-12</t>
  </si>
  <si>
    <t>HRPDF3X</t>
  </si>
  <si>
    <t>140103-2012-001015</t>
  </si>
  <si>
    <t>XD-B03-BY-B04(2-11U)DP104-13</t>
  </si>
  <si>
    <t>GMPDF3X</t>
  </si>
  <si>
    <t>140103-2012-001004</t>
  </si>
  <si>
    <t>XD-B03-BY-B04(2-11U)DP104-2</t>
  </si>
  <si>
    <t>CMPDF3X</t>
  </si>
  <si>
    <t>140103-2012-001005</t>
  </si>
  <si>
    <t>XD-B03-BY-B04(2-11U)DP104-3</t>
  </si>
  <si>
    <t>BMPDF3X</t>
  </si>
  <si>
    <t>140103-2012-001006</t>
  </si>
  <si>
    <t>XD-B03-BY-B04(2-11U)DP104-4</t>
  </si>
  <si>
    <t>2NPDF3X</t>
  </si>
  <si>
    <t>140103-2012-001007</t>
  </si>
  <si>
    <t>XD-B03-BY-B04(2-11U)DP104-5</t>
  </si>
  <si>
    <t>3NPDF3X</t>
  </si>
  <si>
    <t>140103-2012-001008</t>
  </si>
  <si>
    <t>XD-B03-BY-B04(2-11U)DP104-6</t>
  </si>
  <si>
    <t>5NPDF3X</t>
  </si>
  <si>
    <t>140103-2012-001009</t>
  </si>
  <si>
    <t>XD-B03-BY-B04(2-11U)DP104-7</t>
  </si>
  <si>
    <t>JMPDF3X</t>
  </si>
  <si>
    <t>140103-2012-001010</t>
  </si>
  <si>
    <t>XD-B03-BY-B04(2-11U)DP104-8</t>
  </si>
  <si>
    <t>HMPDF3X</t>
  </si>
  <si>
    <t>140103-2012-001011</t>
  </si>
  <si>
    <t>XD-B03-BY-B04(2-11U)DP104-9</t>
  </si>
  <si>
    <t>1KPDF3X</t>
  </si>
  <si>
    <t>140103-2012-001019</t>
  </si>
  <si>
    <t>XD-B03-BY-B05(13-22U)DP105-1</t>
  </si>
  <si>
    <t>6KPDF3X</t>
  </si>
  <si>
    <t>140103-2012-001028</t>
  </si>
  <si>
    <t>XD-B03-BY-B05(13-22U)DP105-10</t>
  </si>
  <si>
    <t>HJPDF3X</t>
  </si>
  <si>
    <t>140103-2012-001029</t>
  </si>
  <si>
    <t>XD-B03-BY-B05(13-22U)DP105-11</t>
  </si>
  <si>
    <t>4KPDF3X</t>
  </si>
  <si>
    <t>140103-2012-001030</t>
  </si>
  <si>
    <t>XD-B03-BY-B05(13-22U)DP105-12</t>
  </si>
  <si>
    <t>85PDF3X</t>
  </si>
  <si>
    <t>140103-2012-001031</t>
  </si>
  <si>
    <t>XD-B03-BY-B05(13-22U)DP105-13</t>
  </si>
  <si>
    <t>95PDF3X</t>
  </si>
  <si>
    <t>140103-2012-001032</t>
  </si>
  <si>
    <t>XD-B03-BY-B05(13-22U)DP105-14</t>
  </si>
  <si>
    <t>75PDF3X</t>
  </si>
  <si>
    <t>140103-2012-001033</t>
  </si>
  <si>
    <t>XD-B03-BY-B05(13-22U)DP105-15</t>
  </si>
  <si>
    <t>G5PDF3X</t>
  </si>
  <si>
    <t>140103-2012-001034</t>
  </si>
  <si>
    <t>XD-B03-BY-B05(13-22U)DP105-16</t>
  </si>
  <si>
    <t>5KPDF3X</t>
  </si>
  <si>
    <t>140103-2012-001020</t>
  </si>
  <si>
    <t>XD-B03-BY-B05(13-22U)DP105-2</t>
  </si>
  <si>
    <t>JJPDF3X</t>
  </si>
  <si>
    <t>140103-2012-001021</t>
  </si>
  <si>
    <t>XD-B03-BY-B05(13-22U)DP105-3</t>
  </si>
  <si>
    <t>9KPDF3X</t>
  </si>
  <si>
    <t>140103-2012-001022</t>
  </si>
  <si>
    <t>XD-B03-BY-B05(13-22U)DP105-4</t>
  </si>
  <si>
    <t>3KPDF3X</t>
  </si>
  <si>
    <t>140103-2012-001023</t>
  </si>
  <si>
    <t>XD-B03-BY-B05(13-22U)DP105-5</t>
  </si>
  <si>
    <t>2KPDF3X</t>
  </si>
  <si>
    <t>140103-2012-001024</t>
  </si>
  <si>
    <t>XD-B03-BY-B05(13-22U)DP105-6</t>
  </si>
  <si>
    <t>BKPDF3X</t>
  </si>
  <si>
    <t>140103-2012-001025</t>
  </si>
  <si>
    <t>XD-B03-BY-B05(13-22U)DP105-7</t>
  </si>
  <si>
    <t>7KPDF3X</t>
  </si>
  <si>
    <t>140103-2012-001026</t>
  </si>
  <si>
    <t>XD-B03-BY-B05(13-22U)DP105-8</t>
  </si>
  <si>
    <t>8KPDF3X</t>
  </si>
  <si>
    <t>140103-2012-001027</t>
  </si>
  <si>
    <t>XD-B03-BY-B05(13-22U)DP105-9</t>
  </si>
  <si>
    <t>1RPDF3X</t>
  </si>
  <si>
    <t>140103-2012-001035</t>
  </si>
  <si>
    <t>XD-B03-BY-B05(2-11U)DP106-1</t>
  </si>
  <si>
    <t>FQPDF3X</t>
  </si>
  <si>
    <t>140103-2012-001044</t>
  </si>
  <si>
    <t>XD-B03-BY-B05(2-11U)DP106-10</t>
  </si>
  <si>
    <t>GQPDF3X</t>
  </si>
  <si>
    <t>140103-2012-001045</t>
  </si>
  <si>
    <t>XD-B03-BY-B05(2-11U)DP106-11</t>
  </si>
  <si>
    <t>JQPDF3X</t>
  </si>
  <si>
    <t>140103-2012-001046</t>
  </si>
  <si>
    <t>XD-B03-BY-B05(2-11U)DP106-12</t>
  </si>
  <si>
    <t>4SPDF3X</t>
  </si>
  <si>
    <t>140103-2012-001047</t>
  </si>
  <si>
    <t>XD-B03-BY-B05(2-11U)DP106-13</t>
  </si>
  <si>
    <t>JRPDF3X</t>
  </si>
  <si>
    <t>140103-2012-001048</t>
  </si>
  <si>
    <t>XD-B03-BY-B05(2-11U)DP106-14</t>
  </si>
  <si>
    <t>7SPDF3X</t>
  </si>
  <si>
    <t>140103-2012-001049</t>
  </si>
  <si>
    <t>XD-B03-BY-B05(2-11U)DP106-15</t>
  </si>
  <si>
    <t>5SPDF3X</t>
  </si>
  <si>
    <t>140103-2012-001050</t>
  </si>
  <si>
    <t>XD-B03-BY-B05(2-11U)DP106-16</t>
  </si>
  <si>
    <t>2RPDF3X</t>
  </si>
  <si>
    <t>140103-2012-001036</t>
  </si>
  <si>
    <t>XD-B03-BY-B05(2-11U)DP106-2</t>
  </si>
  <si>
    <t>3RPDF3X</t>
  </si>
  <si>
    <t>140103-2012-001037</t>
  </si>
  <si>
    <t>XD-B03-BY-B05(2-11U)DP106-3</t>
  </si>
  <si>
    <t>4RPDF3X</t>
  </si>
  <si>
    <t>140103-2012-001038</t>
  </si>
  <si>
    <t>XD-B03-BY-B05(2-11U)DP106-4</t>
  </si>
  <si>
    <t>5RPDF3X</t>
  </si>
  <si>
    <t>140103-2012-001039</t>
  </si>
  <si>
    <t>XD-B03-BY-B05(2-11U)DP106-5</t>
  </si>
  <si>
    <t>6RPDF3X</t>
  </si>
  <si>
    <t>140103-2012-001040</t>
  </si>
  <si>
    <t>XD-B03-BY-B05(2-11U)DP106-6</t>
  </si>
  <si>
    <t>CQPDF3X</t>
  </si>
  <si>
    <t>140103-2012-001041</t>
  </si>
  <si>
    <t>XD-B03-BY-B05(2-11U)DP106-7</t>
  </si>
  <si>
    <t>HQPDF3X</t>
  </si>
  <si>
    <t>140103-2012-001042</t>
  </si>
  <si>
    <t>XD-B03-BY-B05(2-11U)DP106-8</t>
  </si>
  <si>
    <t>DQPDF3X</t>
  </si>
  <si>
    <t>140103-2012-001043</t>
  </si>
  <si>
    <t>XD-B03-BY-B05(2-11U)DP106-9</t>
  </si>
  <si>
    <t>B5PDF3X</t>
  </si>
  <si>
    <t>140103-2012-001051</t>
  </si>
  <si>
    <t>XD-B03-BY-B06(2-11U)DP107-1</t>
  </si>
  <si>
    <t>C5PDF3X</t>
  </si>
  <si>
    <t>140103-2012-001052</t>
  </si>
  <si>
    <t>XD-B03-BY-B06(2-11U)DP107-2</t>
  </si>
  <si>
    <t>D5PDF3X</t>
  </si>
  <si>
    <t>140103-2012-001053</t>
  </si>
  <si>
    <t>XD-B03-BY-B06(2-11U)DP107-3</t>
  </si>
  <si>
    <t>F5PDF3X</t>
  </si>
  <si>
    <t>140103-2012-001054</t>
  </si>
  <si>
    <t>XD-B03-BY-B06(2-11U)DP107-4</t>
  </si>
  <si>
    <t>DELLR720XD</t>
  </si>
  <si>
    <t>44LDF3X</t>
  </si>
  <si>
    <t>140103-2012-000785</t>
  </si>
  <si>
    <t>XD-B03-BY-B07(11-12U)</t>
  </si>
  <si>
    <t>94LDF3X</t>
  </si>
  <si>
    <t>140103-2012-000782</t>
  </si>
  <si>
    <t>XD-B03-BY-B07(2-3U)</t>
  </si>
  <si>
    <t>25LDF3X</t>
  </si>
  <si>
    <t>140103-2012-000783</t>
  </si>
  <si>
    <t>XD-B03-BY-B07(5-6U)</t>
  </si>
  <si>
    <t>G4LDF3X</t>
  </si>
  <si>
    <t>140103-2012-000784</t>
  </si>
  <si>
    <t>XD-B03-BY-B07(8-9U)</t>
  </si>
  <si>
    <t>FDO1630P0JT</t>
  </si>
  <si>
    <t>140502-2012-000609</t>
  </si>
  <si>
    <t>XD-B03-BY-C01(28-28U)</t>
  </si>
  <si>
    <t>FDO1630R10N</t>
  </si>
  <si>
    <t>140502-2012-000610</t>
  </si>
  <si>
    <t>XD-B03-BY-C01(30-30U)</t>
  </si>
  <si>
    <t>210235AOHAH126000180</t>
  </si>
  <si>
    <t>140502-2012-000648</t>
  </si>
  <si>
    <t>XD-B03-BY-C01(34-34U)</t>
  </si>
  <si>
    <t>210235AOHAH127000096</t>
  </si>
  <si>
    <t>140502-2012-000649</t>
  </si>
  <si>
    <t>XD-B03-BY-C01(32-32U)</t>
  </si>
  <si>
    <t>IBM X240</t>
  </si>
  <si>
    <t>06XNAL1</t>
  </si>
  <si>
    <t>140103-2014-002845</t>
  </si>
  <si>
    <t>XD-B03-BY-C03(2-11U)DP87-1</t>
  </si>
  <si>
    <t>06XNAK2</t>
  </si>
  <si>
    <t>140103-2014-002847</t>
  </si>
  <si>
    <t>XD-B03-BY-C03(2-11U)DP87-10</t>
  </si>
  <si>
    <t>06XNAL9</t>
  </si>
  <si>
    <t>140103-2014-002840</t>
  </si>
  <si>
    <t>XD-B03-BY-C03(2-11U)DP87-11</t>
  </si>
  <si>
    <t>06XNAK8</t>
  </si>
  <si>
    <t>140103-2014-002846</t>
  </si>
  <si>
    <t>XD-B03-BY-C03(2-11U)DP87-12</t>
  </si>
  <si>
    <t>06XNAH7</t>
  </si>
  <si>
    <t>140103-2014-002851</t>
  </si>
  <si>
    <t>XD-B03-BY-C03(2-11U)DP87-2</t>
  </si>
  <si>
    <t>06XNAL5</t>
  </si>
  <si>
    <t>140103-2014-002844</t>
  </si>
  <si>
    <t>XD-B03-BY-C03(2-11U)DP87-3</t>
  </si>
  <si>
    <t>06XNAL2</t>
  </si>
  <si>
    <t>140103-2014-002850</t>
  </si>
  <si>
    <t>XD-B03-BY-C03(2-11U)DP87-4</t>
  </si>
  <si>
    <t>06XNAK1</t>
  </si>
  <si>
    <t>140103-2014-002843</t>
  </si>
  <si>
    <t>XD-B03-BY-C03(2-11U)DP87-5</t>
  </si>
  <si>
    <t>06XNAK4</t>
  </si>
  <si>
    <t>140103-2014-002849</t>
  </si>
  <si>
    <t>XD-B03-BY-C03(2-11U)DP87-6</t>
  </si>
  <si>
    <t>06XNAK7</t>
  </si>
  <si>
    <t>140103-2014-002842</t>
  </si>
  <si>
    <t>XD-B03-BY-C03(2-11U)DP87-7</t>
  </si>
  <si>
    <t>06XNAH8</t>
  </si>
  <si>
    <t>140103-2014-002848</t>
  </si>
  <si>
    <t>XD-B03-BY-C03(2-11U)DP87-8</t>
  </si>
  <si>
    <t>06XNAL4</t>
  </si>
  <si>
    <t>140103-2014-002841</t>
  </si>
  <si>
    <t>XD-B03-BY-C03(2-11U)DP87-9</t>
  </si>
  <si>
    <t>06ACPX7</t>
  </si>
  <si>
    <t>140103-2012-000466</t>
  </si>
  <si>
    <t>XD-B03-BY-C04(13-22U)DP88-1</t>
  </si>
  <si>
    <t>06ACNM8</t>
  </si>
  <si>
    <t>140103-2012-000475</t>
  </si>
  <si>
    <t>XD-B03-BY-C04(13-22U)DP88-10</t>
  </si>
  <si>
    <t>06ACNV3</t>
  </si>
  <si>
    <t>140103-2012-000476</t>
  </si>
  <si>
    <t>XD-B03-BY-C04(13-22U)DP88-11</t>
  </si>
  <si>
    <t>06ACPF6</t>
  </si>
  <si>
    <t>140103-2012-000477</t>
  </si>
  <si>
    <t>XD-B03-BY-C04(13-22U)DP88-12</t>
  </si>
  <si>
    <t>06ACPG0</t>
  </si>
  <si>
    <t>140103-2012-000478</t>
  </si>
  <si>
    <t>XD-B03-BY-C04(13-22U)DP88-13</t>
  </si>
  <si>
    <t>06ACNL5</t>
  </si>
  <si>
    <t>140103-2012-000467</t>
  </si>
  <si>
    <t>XD-B03-BY-C04(13-22U)DP88-2</t>
  </si>
  <si>
    <t>06ACNM7</t>
  </si>
  <si>
    <t>140103-2012-000468</t>
  </si>
  <si>
    <t>XD-B03-BY-C04(13-22U)DP88-3</t>
  </si>
  <si>
    <t>06ACNT5</t>
  </si>
  <si>
    <t>140103-2012-000469</t>
  </si>
  <si>
    <t>XD-B03-BY-C04(13-22U)DP88-4</t>
  </si>
  <si>
    <t>06ACPN5</t>
  </si>
  <si>
    <t>140103-2012-000470</t>
  </si>
  <si>
    <t>XD-B03-BY-C04(13-22U)DP88-5</t>
  </si>
  <si>
    <t>06ACNW7</t>
  </si>
  <si>
    <t>140103-2012-000471</t>
  </si>
  <si>
    <t>XD-B03-BY-C04(13-22U)DP88-6</t>
  </si>
  <si>
    <t>06ACPB4</t>
  </si>
  <si>
    <t>140103-2012-000472</t>
  </si>
  <si>
    <t>XD-B03-BY-C04(13-22U)DP88-7</t>
  </si>
  <si>
    <t>06ACNT4</t>
  </si>
  <si>
    <t>140103-2012-000473</t>
  </si>
  <si>
    <t>XD-B03-BY-C04(13-22U)DP88-8</t>
  </si>
  <si>
    <t>06ACPD5</t>
  </si>
  <si>
    <t>140103-2012-000474</t>
  </si>
  <si>
    <t>XD-B03-BY-C04(13-22U)DP88-9</t>
  </si>
  <si>
    <t>06ACPH1</t>
  </si>
  <si>
    <t>140103-2012-000480</t>
  </si>
  <si>
    <t>XD-B03-BY-C04(2-11U)DP89-1</t>
  </si>
  <si>
    <t>06ACNM6</t>
  </si>
  <si>
    <t>140103-2012-000489</t>
  </si>
  <si>
    <t>XD-B03-BY-C04(2-11U)DP89-10</t>
  </si>
  <si>
    <t>06ACPY3</t>
  </si>
  <si>
    <t>140103-2012-000490</t>
  </si>
  <si>
    <t>XD-B03-BY-C04(2-11U)DP89-11</t>
  </si>
  <si>
    <t>06ACPX1</t>
  </si>
  <si>
    <t>140103-2012-000491</t>
  </si>
  <si>
    <t>XD-B03-BY-C04(2-11U)DP89-12</t>
  </si>
  <si>
    <t>06ACPN4</t>
  </si>
  <si>
    <t>140103-2012-000492</t>
  </si>
  <si>
    <t>XD-B03-BY-C04(2-11U)DP89-13</t>
  </si>
  <si>
    <t>06ACNW2</t>
  </si>
  <si>
    <t>140103-2012-000493</t>
  </si>
  <si>
    <t>XD-B03-BY-C04(2-11U)DP89-14</t>
  </si>
  <si>
    <t>06ACPF3</t>
  </si>
  <si>
    <t>140103-2012-000481</t>
  </si>
  <si>
    <t>XD-B03-BY-C04(2-11U)DP89-2</t>
  </si>
  <si>
    <t>06ACNN1</t>
  </si>
  <si>
    <t>140103-2012-000482</t>
  </si>
  <si>
    <t>XD-B03-BY-C04(2-11U)DP89-3</t>
  </si>
  <si>
    <t>06ACPX9</t>
  </si>
  <si>
    <t>140103-2012-000483</t>
  </si>
  <si>
    <t>XD-B03-BY-C04(2-11U)DP89-4</t>
  </si>
  <si>
    <t>06ACPW3</t>
  </si>
  <si>
    <t>140103-2012-000484</t>
  </si>
  <si>
    <t>XD-B03-BY-C04(2-11U)DP89-5</t>
  </si>
  <si>
    <t>06ACPX6</t>
  </si>
  <si>
    <t>140103-2012-000485</t>
  </si>
  <si>
    <t>XD-B03-BY-C04(2-11U)DP89-6</t>
  </si>
  <si>
    <t>06ACPG8</t>
  </si>
  <si>
    <t>140103-2012-000486</t>
  </si>
  <si>
    <t>XD-B03-BY-C04(2-11U)DP89-7</t>
  </si>
  <si>
    <t>06ACPH6</t>
  </si>
  <si>
    <t>140103-2012-000487</t>
  </si>
  <si>
    <t>XD-B03-BY-C04(2-11U)DP89-8</t>
  </si>
  <si>
    <t>06ACPG2</t>
  </si>
  <si>
    <t>140103-2012-000488</t>
  </si>
  <si>
    <t>XD-B03-BY-C04(2-11U)DP89-9</t>
  </si>
  <si>
    <t>IBM  X3850 X5</t>
  </si>
  <si>
    <t>06L1859</t>
  </si>
  <si>
    <t>140103-2012-000780</t>
  </si>
  <si>
    <t>XD-B03-BY-C04(24-27U)</t>
  </si>
  <si>
    <t>06L1860</t>
  </si>
  <si>
    <t>140103-2012-000781</t>
  </si>
  <si>
    <t>XD-B03-BY-C04(29-32U)</t>
  </si>
  <si>
    <t>06ACPF5</t>
  </si>
  <si>
    <t>140103-2012-000494</t>
  </si>
  <si>
    <t>XD-B03-BY-C05(13-22U)DP90-1</t>
  </si>
  <si>
    <t>06ACPT0</t>
  </si>
  <si>
    <t>140103-2012-000503</t>
  </si>
  <si>
    <t>XD-B03-BY-C05(13-22U)DP90-10</t>
  </si>
  <si>
    <t>06ACPL0</t>
  </si>
  <si>
    <t>140103-2012-000504</t>
  </si>
  <si>
    <t>XD-B03-BY-C05(13-22U)DP90-11</t>
  </si>
  <si>
    <t>06ACPR6</t>
  </si>
  <si>
    <t>140103-2012-000505</t>
  </si>
  <si>
    <t>XD-B03-BY-C05(13-22U)DP90-12</t>
  </si>
  <si>
    <t>06ACNW4</t>
  </si>
  <si>
    <t>140103-2012-000506</t>
  </si>
  <si>
    <t>XD-B03-BY-C05(13-22U)DP90-13</t>
  </si>
  <si>
    <t>06ACPL1</t>
  </si>
  <si>
    <t>140103-2012-000507</t>
  </si>
  <si>
    <t>XD-B03-BY-C05(13-22U)DP90-14</t>
  </si>
  <si>
    <t>06ACNP5</t>
  </si>
  <si>
    <t>140103-2012-000495</t>
  </si>
  <si>
    <t>XD-B03-BY-C05(13-22U)DP90-2</t>
  </si>
  <si>
    <t>06ACPM9</t>
  </si>
  <si>
    <t>140103-2012-000496</t>
  </si>
  <si>
    <t>XD-B03-BY-C05(13-22U)DP90-3</t>
  </si>
  <si>
    <t>06ACPM8</t>
  </si>
  <si>
    <t>140103-2012-000497</t>
  </si>
  <si>
    <t>XD-B03-BY-C05(13-22U)DP90-4</t>
  </si>
  <si>
    <t>06ACPT4</t>
  </si>
  <si>
    <t>140103-2012-000498</t>
  </si>
  <si>
    <t>XD-B03-BY-C05(13-22U)DP90-5</t>
  </si>
  <si>
    <t>06ACPD6</t>
  </si>
  <si>
    <t>140103-2012-000499</t>
  </si>
  <si>
    <t>XD-B03-BY-C05(13-22U)DP90-6</t>
  </si>
  <si>
    <t>06ACNM4</t>
  </si>
  <si>
    <t>140103-2012-000500</t>
  </si>
  <si>
    <t>XD-B03-BY-C05(13-22U)DP90-7</t>
  </si>
  <si>
    <t>06ACNW9</t>
  </si>
  <si>
    <t>140103-2012-000501</t>
  </si>
  <si>
    <t>XD-B03-BY-C05(13-22U)DP90-8</t>
  </si>
  <si>
    <t>06ACPM2</t>
  </si>
  <si>
    <t>140103-2012-000502</t>
  </si>
  <si>
    <t>XD-B03-BY-C05(13-22U)DP90-9</t>
  </si>
  <si>
    <t>06ACPF7</t>
  </si>
  <si>
    <t>140103-2012-000508</t>
  </si>
  <si>
    <t>XD-B03-BY-C05(2-11U)DP91-1</t>
  </si>
  <si>
    <t>06ACPV0</t>
  </si>
  <si>
    <t>140103-2012-000517</t>
  </si>
  <si>
    <t>XD-B03-BY-C05(2-11U)DP91-10</t>
  </si>
  <si>
    <t>06ACPT2</t>
  </si>
  <si>
    <t>140103-2012-000518</t>
  </si>
  <si>
    <t>XD-B03-BY-C05(2-11U)DP91-11</t>
  </si>
  <si>
    <t>06ACNT2</t>
  </si>
  <si>
    <t>140103-2012-000519</t>
  </si>
  <si>
    <t>XD-B03-BY-C05(2-11U)DP91-12</t>
  </si>
  <si>
    <t>06ACNX7</t>
  </si>
  <si>
    <t>140103-2012-000520</t>
  </si>
  <si>
    <t>XD-B03-BY-C05(2-11U)DP91-13</t>
  </si>
  <si>
    <t>06ACPK0</t>
  </si>
  <si>
    <t>140103-2012-000521</t>
  </si>
  <si>
    <t>XD-B03-BY-C05(2-11U)DP91-14</t>
  </si>
  <si>
    <t>06ACNZ5</t>
  </si>
  <si>
    <t>140103-2012-000509</t>
  </si>
  <si>
    <t>XD-B03-BY-C05(2-11U)DP91-2</t>
  </si>
  <si>
    <t>06ACPW1</t>
  </si>
  <si>
    <t>140103-2012-000510</t>
  </si>
  <si>
    <t>XD-B03-BY-C05(2-11U)DP91-3</t>
  </si>
  <si>
    <t>06ACPY9</t>
  </si>
  <si>
    <t>140103-2012-000511</t>
  </si>
  <si>
    <t>XD-B03-BY-C05(2-11U)DP91-4</t>
  </si>
  <si>
    <t>06ACPL3</t>
  </si>
  <si>
    <t>140103-2012-000512</t>
  </si>
  <si>
    <t>XD-B03-BY-C05(2-11U)DP91-5</t>
  </si>
  <si>
    <t>06ACNX8</t>
  </si>
  <si>
    <t>140103-2012-000513</t>
  </si>
  <si>
    <t>XD-B03-BY-C05(2-11U)DP91-6</t>
  </si>
  <si>
    <t>06ACPD3</t>
  </si>
  <si>
    <t>140103-2012-000514</t>
  </si>
  <si>
    <t>XD-B03-BY-C05(2-11U)DP91-7</t>
  </si>
  <si>
    <t>06ACPE7</t>
  </si>
  <si>
    <t>140103-2012-000515</t>
  </si>
  <si>
    <t>XD-B03-BY-C05(2-11U)DP91-8</t>
  </si>
  <si>
    <t>06ACPV1</t>
  </si>
  <si>
    <t>140103-2012-000516</t>
  </si>
  <si>
    <t>XD-B03-BY-C05(2-11U)DP91-9</t>
  </si>
  <si>
    <t>06ACNY4</t>
  </si>
  <si>
    <t>140103-2012-000522</t>
  </si>
  <si>
    <t>XD-B03-BY-C06(13-22U)DP92-1</t>
  </si>
  <si>
    <t>06ACPV2</t>
  </si>
  <si>
    <t>140103-2012-000531</t>
  </si>
  <si>
    <t>XD-B03-BY-C06(13-22U)DP92-10</t>
  </si>
  <si>
    <t>06ACPA1</t>
  </si>
  <si>
    <t>140103-2012-000532</t>
  </si>
  <si>
    <t>XD-B03-BY-C06(13-22U)DP92-11</t>
  </si>
  <si>
    <t>06ACNV0</t>
  </si>
  <si>
    <t>140103-2012-000533</t>
  </si>
  <si>
    <t>XD-B03-BY-C06(13-22U)DP92-12</t>
  </si>
  <si>
    <t>06ACNW3</t>
  </si>
  <si>
    <t>140103-2012-000534</t>
  </si>
  <si>
    <t>XD-B03-BY-C06(13-22U)DP92-13</t>
  </si>
  <si>
    <t>06ACNR0</t>
  </si>
  <si>
    <t>140103-2012-000535</t>
  </si>
  <si>
    <t>XD-B03-BY-C06(13-22U)DP92-14</t>
  </si>
  <si>
    <t>06ACNT1</t>
  </si>
  <si>
    <t>140103-2012-000523</t>
  </si>
  <si>
    <t>XD-B03-BY-C06(13-22U)DP92-2</t>
  </si>
  <si>
    <t>06ACPB5</t>
  </si>
  <si>
    <t>140103-2012-000524</t>
  </si>
  <si>
    <t>XD-B03-BY-C06(13-22U)DP92-3</t>
  </si>
  <si>
    <t>06ACPG9</t>
  </si>
  <si>
    <t>140103-2012-000525</t>
  </si>
  <si>
    <t>XD-B03-BY-C06(13-22U)DP92-4</t>
  </si>
  <si>
    <t>06ACNT0</t>
  </si>
  <si>
    <t>140103-2012-000526</t>
  </si>
  <si>
    <t>XD-B03-BY-C06(13-22U)DP92-5</t>
  </si>
  <si>
    <t>06ACPC1</t>
  </si>
  <si>
    <t>140103-2012-000527</t>
  </si>
  <si>
    <t>XD-B03-BY-C06(13-22U)DP92-6</t>
  </si>
  <si>
    <t>06ACNR4</t>
  </si>
  <si>
    <t>140103-2012-000528</t>
  </si>
  <si>
    <t>XD-B03-BY-C06(13-22U)DP92-7</t>
  </si>
  <si>
    <t>06ACNP9</t>
  </si>
  <si>
    <t>140103-2012-000529</t>
  </si>
  <si>
    <t>XD-B03-BY-C06(13-22U)DP92-8</t>
  </si>
  <si>
    <t>06ACPP6</t>
  </si>
  <si>
    <t>140103-2012-000530</t>
  </si>
  <si>
    <t>XD-B03-BY-C06(13-22U)DP92-9</t>
  </si>
  <si>
    <t>06ACPX8</t>
  </si>
  <si>
    <t>140103-2012-000536</t>
  </si>
  <si>
    <t>XD-B03-BY-C06(2-11U)DP93-1</t>
  </si>
  <si>
    <t>06ACPP4</t>
  </si>
  <si>
    <t>140103-2012-000545</t>
  </si>
  <si>
    <t>XD-B03-BY-C06(2-11U)DP93-10</t>
  </si>
  <si>
    <t>06ACNM2</t>
  </si>
  <si>
    <t>140103-2012-000546</t>
  </si>
  <si>
    <t>XD-B03-BY-C06(2-11U)DP93-11</t>
  </si>
  <si>
    <t>06ACNY5</t>
  </si>
  <si>
    <t>140103-2012-000547</t>
  </si>
  <si>
    <t>XD-B03-BY-C06(2-11U)DP93-12</t>
  </si>
  <si>
    <t>06ACNM9</t>
  </si>
  <si>
    <t>140103-2012-000548</t>
  </si>
  <si>
    <t>XD-B03-BY-C06(2-11U)DP93-13</t>
  </si>
  <si>
    <t>06ACPL8</t>
  </si>
  <si>
    <t>140103-2012-000549</t>
  </si>
  <si>
    <t>XD-B03-BY-C06(2-11U)DP93-14</t>
  </si>
  <si>
    <t>06ACPL5</t>
  </si>
  <si>
    <t>140103-2012-000537</t>
  </si>
  <si>
    <t>XD-B03-BY-C06(2-11U)DP93-2</t>
  </si>
  <si>
    <t>06ACPP5</t>
  </si>
  <si>
    <t>140103-2012-000538</t>
  </si>
  <si>
    <t>XD-B03-BY-C06(2-11U)DP93-3</t>
  </si>
  <si>
    <t>06ACPP9</t>
  </si>
  <si>
    <t>140103-2012-000539</t>
  </si>
  <si>
    <t>XD-B03-BY-C06(2-11U)DP93-4</t>
  </si>
  <si>
    <t>06ACPV8</t>
  </si>
  <si>
    <t>140103-2012-000540</t>
  </si>
  <si>
    <t>XD-B03-BY-C06(2-11U)DP93-5</t>
  </si>
  <si>
    <t>06ACPR7</t>
  </si>
  <si>
    <t>140103-2012-000541</t>
  </si>
  <si>
    <t>XD-B03-BY-C06(2-11U)DP93-6</t>
  </si>
  <si>
    <t>06ACPC4</t>
  </si>
  <si>
    <t>140103-2012-000542</t>
  </si>
  <si>
    <t>XD-B03-BY-C06(2-11U)DP93-7</t>
  </si>
  <si>
    <t>06ACPZ2</t>
  </si>
  <si>
    <t>140103-2012-000543</t>
  </si>
  <si>
    <t>XD-B03-BY-C06(2-11U)DP93-8</t>
  </si>
  <si>
    <t>06ACPR4</t>
  </si>
  <si>
    <t>140103-2012-000544</t>
  </si>
  <si>
    <t>XD-B03-BY-C06(2-11U)DP93-9</t>
  </si>
  <si>
    <t>06XNAK6</t>
  </si>
  <si>
    <t>140103-2014-002857</t>
  </si>
  <si>
    <t>XD-B03-BY-C07(13-22U)DP150-1</t>
  </si>
  <si>
    <t>06XNAL8</t>
  </si>
  <si>
    <t>140103-2014-002859</t>
  </si>
  <si>
    <t>XD-B03-BY-C07(13-22U)DP150-10</t>
  </si>
  <si>
    <t>06XNAH9</t>
  </si>
  <si>
    <t>140103-2014-002852</t>
  </si>
  <si>
    <t>XD-B03-BY-C07(13-22U)DP150-11</t>
  </si>
  <si>
    <t>06XNAH6</t>
  </si>
  <si>
    <t>140103-2014-002858</t>
  </si>
  <si>
    <t>XD-B03-BY-C07(13-22U)DP150-12</t>
  </si>
  <si>
    <t>06XNAL7</t>
  </si>
  <si>
    <t>140103-2014-002863</t>
  </si>
  <si>
    <t>XD-B03-BY-C07(13-22U)DP150-2</t>
  </si>
  <si>
    <t>06XNAK5</t>
  </si>
  <si>
    <t>140103-2014-002856</t>
  </si>
  <si>
    <t>XD-B03-BY-C07(13-22U)DP150-3</t>
  </si>
  <si>
    <t>06XNAL6</t>
  </si>
  <si>
    <t>140103-2014-002862</t>
  </si>
  <si>
    <t>XD-B03-BY-C07(13-22U)DP150-4</t>
  </si>
  <si>
    <t>06XNAL0</t>
  </si>
  <si>
    <t>140103-2014-002855</t>
  </si>
  <si>
    <t>XD-B03-BY-C07(13-22U)DP150-5</t>
  </si>
  <si>
    <t>06XNAK3</t>
  </si>
  <si>
    <t>140103-2014-002861</t>
  </si>
  <si>
    <t>XD-B03-BY-C07(13-22U)DP150-6</t>
  </si>
  <si>
    <t>06XNAL3</t>
  </si>
  <si>
    <t>140103-2014-002854</t>
  </si>
  <si>
    <t>XD-B03-BY-C07(13-22U)DP150-7</t>
  </si>
  <si>
    <t>06XNAK0</t>
  </si>
  <si>
    <t>140103-2014-002860</t>
  </si>
  <si>
    <t>XD-B03-BY-C07(13-22U)DP150-8</t>
  </si>
  <si>
    <t>06XNAK9</t>
  </si>
  <si>
    <t>140103-2014-002853</t>
  </si>
  <si>
    <t>XD-B03-BY-C07(13-22U)DP150-9</t>
  </si>
  <si>
    <t>06ACNY1</t>
  </si>
  <si>
    <t>140103-2012-000550</t>
  </si>
  <si>
    <t>XD-B03-BY-C07(2-11U)DP94-1</t>
  </si>
  <si>
    <t>06ACPG6</t>
  </si>
  <si>
    <t>140103-2012-000559</t>
  </si>
  <si>
    <t>XD-B03-BY-C07(2-11U)DP94-10</t>
  </si>
  <si>
    <t>06ACNN9</t>
  </si>
  <si>
    <t>140103-2012-000560</t>
  </si>
  <si>
    <t>XD-B03-BY-C07(2-11U)DP94-11</t>
  </si>
  <si>
    <t>06ACPE0</t>
  </si>
  <si>
    <t>140103-2012-000561</t>
  </si>
  <si>
    <t>XD-B03-BY-C07(2-11U)DP94-12</t>
  </si>
  <si>
    <t>06ACPG3</t>
  </si>
  <si>
    <t>140103-2012-000562</t>
  </si>
  <si>
    <t>XD-B03-BY-C07(2-11U)DP94-13</t>
  </si>
  <si>
    <t>06ACNN8</t>
  </si>
  <si>
    <t>140103-2012-000563</t>
  </si>
  <si>
    <t>XD-B03-BY-C07(2-11U)DP94-14</t>
  </si>
  <si>
    <t>06ACNY0</t>
  </si>
  <si>
    <t>140103-2012-000551</t>
  </si>
  <si>
    <t>XD-B03-BY-C07(2-11U)DP94-2</t>
  </si>
  <si>
    <t>06ACPP0</t>
  </si>
  <si>
    <t>140103-2012-000552</t>
  </si>
  <si>
    <t>XD-B03-BY-C07(2-11U)DP94-3</t>
  </si>
  <si>
    <t>06ACPY0</t>
  </si>
  <si>
    <t>140103-2012-000553</t>
  </si>
  <si>
    <t>XD-B03-BY-C07(2-11U)DP94-4</t>
  </si>
  <si>
    <t>06ACNP6</t>
  </si>
  <si>
    <t>140103-2012-000554</t>
  </si>
  <si>
    <t>XD-B03-BY-C07(2-11U)DP94-5</t>
  </si>
  <si>
    <t>06ACPW5</t>
  </si>
  <si>
    <t>140103-2012-000555</t>
  </si>
  <si>
    <t>XD-B03-BY-C07(2-11U)DP94-6</t>
  </si>
  <si>
    <t>06ACNN0</t>
  </si>
  <si>
    <t>140103-2012-000556</t>
  </si>
  <si>
    <t>XD-B03-BY-C07(2-11U)DP94-7</t>
  </si>
  <si>
    <t>06ACPT9</t>
  </si>
  <si>
    <t>140103-2012-000557</t>
  </si>
  <si>
    <t>XD-B03-BY-C07(2-11U)DP94-8</t>
  </si>
  <si>
    <t>06ACPN7</t>
  </si>
  <si>
    <t>140103-2012-000558</t>
  </si>
  <si>
    <t>XD-B03-BY-C07(2-11U)DP94-9</t>
  </si>
  <si>
    <t>06ACNM3</t>
  </si>
  <si>
    <t>140103-2012-000564</t>
  </si>
  <si>
    <t>XD-B03-BY-C08(13-22U)DP95-1</t>
  </si>
  <si>
    <t>06ACPH4</t>
  </si>
  <si>
    <t>140103-2012-000573</t>
  </si>
  <si>
    <t>XD-B03-BY-C08(13-22U)DP95-10</t>
  </si>
  <si>
    <t>06ACPM6</t>
  </si>
  <si>
    <t>140103-2012-000574</t>
  </si>
  <si>
    <t>XD-B03-BY-C08(13-22U)DP95-11</t>
  </si>
  <si>
    <t>06ACNR6</t>
  </si>
  <si>
    <t>140103-2012-000575</t>
  </si>
  <si>
    <t>XD-B03-BY-C08(13-22U)DP95-12</t>
  </si>
  <si>
    <t>06ACPM4</t>
  </si>
  <si>
    <t>140103-2012-000576</t>
  </si>
  <si>
    <t>XD-B03-BY-C08(13-22U)DP95-13</t>
  </si>
  <si>
    <t>06ACNN3</t>
  </si>
  <si>
    <t>140103-2012-000577</t>
  </si>
  <si>
    <t>XD-B03-BY-C08(13-22U)DP95-14</t>
  </si>
  <si>
    <t>06ACPM7</t>
  </si>
  <si>
    <t>140103-2012-000565</t>
  </si>
  <si>
    <t>XD-B03-BY-C08(13-22U)DP95-2</t>
  </si>
  <si>
    <t>06ACNR5</t>
  </si>
  <si>
    <t>140103-2012-000566</t>
  </si>
  <si>
    <t>XD-B03-BY-C08(13-22U)DP95-3</t>
  </si>
  <si>
    <t>06ACPM5</t>
  </si>
  <si>
    <t>140103-2012-000567</t>
  </si>
  <si>
    <t>XD-B03-BY-C08(13-22U)DP95-4</t>
  </si>
  <si>
    <t>06ACPG7</t>
  </si>
  <si>
    <t>140103-2012-000568</t>
  </si>
  <si>
    <t>XD-B03-BY-C08(13-22U)DP95-5</t>
  </si>
  <si>
    <t>06ACPF4</t>
  </si>
  <si>
    <t>140103-2012-000569</t>
  </si>
  <si>
    <t>XD-B03-BY-C08(13-22U)DP95-6</t>
  </si>
  <si>
    <t>06ACNR2</t>
  </si>
  <si>
    <t>140103-2012-000570</t>
  </si>
  <si>
    <t>XD-B03-BY-C08(13-22U)DP95-7</t>
  </si>
  <si>
    <t>06ACNV2</t>
  </si>
  <si>
    <t>140103-2012-000571</t>
  </si>
  <si>
    <t>XD-B03-BY-C08(13-22U)DP95-8</t>
  </si>
  <si>
    <t>06ACNT8</t>
  </si>
  <si>
    <t>140103-2012-000572</t>
  </si>
  <si>
    <t>XD-B03-BY-C08(13-22U)DP95-9</t>
  </si>
  <si>
    <t>06ACNX6</t>
  </si>
  <si>
    <t>140103-2012-000831</t>
  </si>
  <si>
    <t>XD-B03-BY-C08(2-11U)DP96-1</t>
  </si>
  <si>
    <t>06ACNZ1</t>
  </si>
  <si>
    <t>140103-2012-000840</t>
  </si>
  <si>
    <t>XD-B03-BY-C08(2-11U)DP96-10</t>
  </si>
  <si>
    <t>06ACNZ0</t>
  </si>
  <si>
    <t>140103-2012-000841</t>
  </si>
  <si>
    <t>XD-B03-BY-C08(2-11U)DP96-11</t>
  </si>
  <si>
    <t>06ACPN3</t>
  </si>
  <si>
    <t>140103-2012-000842</t>
  </si>
  <si>
    <t>XD-B03-BY-C08(2-11U)DP96-12</t>
  </si>
  <si>
    <t>06ACPH7</t>
  </si>
  <si>
    <t>140103-2012-000843</t>
  </si>
  <si>
    <t>XD-B03-BY-C08(2-11U)DP96-13</t>
  </si>
  <si>
    <t>06ACPP8</t>
  </si>
  <si>
    <t>140103-2012-000844</t>
  </si>
  <si>
    <t>XD-B03-BY-C08(2-11U)DP96-14</t>
  </si>
  <si>
    <t>06ACPK7</t>
  </si>
  <si>
    <t>140103-2012-000832</t>
  </si>
  <si>
    <t>XD-B03-BY-C08(2-11U)DP96-2</t>
  </si>
  <si>
    <t>06ACNT3</t>
  </si>
  <si>
    <t>140103-2012-000833</t>
  </si>
  <si>
    <t>XD-B03-BY-C08(2-11U)DP96-3</t>
  </si>
  <si>
    <t>06ACPK6</t>
  </si>
  <si>
    <t>140103-2012-000834</t>
  </si>
  <si>
    <t>XD-B03-BY-C08(2-11U)DP96-4</t>
  </si>
  <si>
    <t>06ACPL6</t>
  </si>
  <si>
    <t>140103-2012-000835</t>
  </si>
  <si>
    <t>XD-B03-BY-C08(2-11U)DP96-5</t>
  </si>
  <si>
    <t>06ACPT5</t>
  </si>
  <si>
    <t>140103-2012-000836</t>
  </si>
  <si>
    <t>XD-B03-BY-C08(2-11U)DP96-6</t>
  </si>
  <si>
    <t>06ACPA7</t>
  </si>
  <si>
    <t>140103-2012-000837</t>
  </si>
  <si>
    <t>XD-B03-BY-C08(2-11U)DP96-7</t>
  </si>
  <si>
    <t>06ACPA4</t>
  </si>
  <si>
    <t>140103-2012-000838</t>
  </si>
  <si>
    <t>XD-B03-BY-C08(2-11U)DP96-8</t>
  </si>
  <si>
    <t>06ACPH0</t>
  </si>
  <si>
    <t>140103-2012-000839</t>
  </si>
  <si>
    <t>XD-B03-BY-C08(2-11U)DP96-9</t>
  </si>
  <si>
    <t>06ACNY6</t>
  </si>
  <si>
    <t>140103-2012-000479</t>
  </si>
  <si>
    <t>XD-B03-BY-C04 dp88-14</t>
  </si>
  <si>
    <t>99R7052</t>
  </si>
  <si>
    <t>140103-2011-000463</t>
  </si>
  <si>
    <t>XD-B02-KF-G17(34-35U)</t>
  </si>
  <si>
    <t>99R7064</t>
  </si>
  <si>
    <t>140103-2011-000464</t>
  </si>
  <si>
    <t>XD-B02-KF-G17(37-38U)</t>
  </si>
  <si>
    <t>210235A1DWH149000110</t>
  </si>
  <si>
    <t>140502-2014-001064</t>
  </si>
  <si>
    <t>XD-B03-YD-A05(22-22U)</t>
  </si>
  <si>
    <t>H3C S5500-58C-HI</t>
  </si>
  <si>
    <t>210235A0HAH139000180</t>
  </si>
  <si>
    <t>140502-2014-001057</t>
  </si>
  <si>
    <t>XD-B03-YD-A05(34-34U)</t>
  </si>
  <si>
    <t>2102350DLVDMH9001489</t>
  </si>
  <si>
    <t>140502-2017-000049</t>
  </si>
  <si>
    <t>XD-B03-YD-A05(7-7U)</t>
  </si>
  <si>
    <t>210235A1DWH149000080</t>
  </si>
  <si>
    <t>140502-2014-001063</t>
  </si>
  <si>
    <t>XD-B03-YD-A06(22-22U)</t>
  </si>
  <si>
    <t>210235A0HAH13A000011</t>
  </si>
  <si>
    <t>140502-2014-001058</t>
  </si>
  <si>
    <t>XD-B03-YD-A06(34-34U)</t>
  </si>
  <si>
    <t>SGH204YBJV</t>
  </si>
  <si>
    <t>140102-2011-000846</t>
  </si>
  <si>
    <t>XD-B03-YD-C04(1-10U)</t>
  </si>
  <si>
    <t>SGH117XBS0</t>
  </si>
  <si>
    <t>140102-2011-000478</t>
  </si>
  <si>
    <t>XD-B03-YD-C04(1-10U)DP75-7</t>
  </si>
  <si>
    <t>SGH204YBZN</t>
  </si>
  <si>
    <t>140102-2011-000847</t>
  </si>
  <si>
    <t>XD-B03-YD-C04(11-20U)</t>
  </si>
  <si>
    <t>SGH117XBR6</t>
  </si>
  <si>
    <t>140102-2011-000476</t>
  </si>
  <si>
    <t>XD-B03-YD-C04(11-20U)DP74-7</t>
  </si>
  <si>
    <t>SGH117XBSR</t>
  </si>
  <si>
    <t>140102-2011-000477</t>
  </si>
  <si>
    <t>XD-B03-YD-C04(11-20U)DP74-8</t>
  </si>
  <si>
    <t>06MZMW1</t>
  </si>
  <si>
    <t>140103-2013-001489</t>
  </si>
  <si>
    <t>XD-B03-YD-F06(14-23U)DP131-1</t>
  </si>
  <si>
    <t>06ACNL3</t>
  </si>
  <si>
    <t>140103-2012-001061</t>
  </si>
  <si>
    <t>XD-B03-YD-F06(14-23U)DP131-10</t>
  </si>
  <si>
    <t>06ACPM1</t>
  </si>
  <si>
    <t>140103-2012-001058</t>
  </si>
  <si>
    <t>XD-B03-YD-F06(14-23U)DP131-11</t>
  </si>
  <si>
    <t>06ACNL0</t>
  </si>
  <si>
    <t>140103-2012-001056</t>
  </si>
  <si>
    <t>XD-B03-YD-F06(14-23U)DP131-12</t>
  </si>
  <si>
    <t>06ACNR1</t>
  </si>
  <si>
    <t>140103-2012-001065</t>
  </si>
  <si>
    <t>XD-B03-YD-F06(14-23U)DP131-14</t>
  </si>
  <si>
    <t>06MZMW3</t>
  </si>
  <si>
    <t>140103-2013-001491</t>
  </si>
  <si>
    <t>XD-B03-YD-F06(14-23U)DP131-2</t>
  </si>
  <si>
    <t>06MZMW4</t>
  </si>
  <si>
    <t>140103-2013-001492</t>
  </si>
  <si>
    <t>XD-B03-YD-F06(14-23U)DP131-3</t>
  </si>
  <si>
    <t>06MZMW9</t>
  </si>
  <si>
    <t>140103-2013-001494</t>
  </si>
  <si>
    <t>XD-B03-YD-F06(14-23U)DP131-4</t>
  </si>
  <si>
    <t>06ACNK9</t>
  </si>
  <si>
    <t>140103-2013-001493</t>
  </si>
  <si>
    <t>XD-B03-YD-F06(14-23U)DP131-13</t>
  </si>
  <si>
    <t>06MZMW2</t>
  </si>
  <si>
    <t>140103-2013-001490</t>
  </si>
  <si>
    <t>XD-B03-YD-F06(14-23U)DP131-6</t>
  </si>
  <si>
    <t>06MZMW0</t>
  </si>
  <si>
    <t>140103-2013-001488</t>
  </si>
  <si>
    <t>XD-B03-YD-F06(14-23U)DP131-7</t>
  </si>
  <si>
    <t>06MZMV1</t>
  </si>
  <si>
    <t>140103-2013-001515</t>
  </si>
  <si>
    <t>XD-B03-YD-F06(3-12U)DP132-1</t>
  </si>
  <si>
    <t>06MZMV7</t>
  </si>
  <si>
    <t>140103-2013-001516</t>
  </si>
  <si>
    <t>XD-B03-YD-F06(3-12U)DP132-2</t>
  </si>
  <si>
    <t>06MZMV4</t>
  </si>
  <si>
    <t>140103-2013-001517</t>
  </si>
  <si>
    <t>XD-B03-YD-F06(3-12U)DP132-3</t>
  </si>
  <si>
    <t>06MZMV3</t>
  </si>
  <si>
    <t>140103-2013-001518</t>
  </si>
  <si>
    <t>XD-B03-YD-F06(3-12U)DP132-4</t>
  </si>
  <si>
    <t>06MZMV2</t>
  </si>
  <si>
    <t>140103-2013-001519</t>
  </si>
  <si>
    <t>XD-B03-YD-F06(3-12U)DP132-5</t>
  </si>
  <si>
    <t>06MZMV6</t>
  </si>
  <si>
    <t>140103-2013-001520</t>
  </si>
  <si>
    <t>XD-B03-YD-F06(3-12U)DP132-6</t>
  </si>
  <si>
    <t>06MZMV5</t>
  </si>
  <si>
    <t>140103-2013-001521</t>
  </si>
  <si>
    <t>XD-B03-YD-F06(3-12U)DP132-7</t>
  </si>
  <si>
    <t>06ACNK8</t>
  </si>
  <si>
    <t>140103-2012-001063</t>
  </si>
  <si>
    <t>XD-B03-YD-F06(14-23U)DP132-10</t>
  </si>
  <si>
    <t>06ACNL1</t>
  </si>
  <si>
    <t>140103-2012-001060</t>
  </si>
  <si>
    <t>XD-B03-YD-F06(14-23U)DP132-11</t>
  </si>
  <si>
    <t>06ACPM3</t>
  </si>
  <si>
    <t>140103-2012-001057</t>
  </si>
  <si>
    <t>XD-B03-YD-F06(14-23U)DP132-12</t>
  </si>
  <si>
    <t>06ACNL2</t>
  </si>
  <si>
    <t>140103-2012-001064</t>
  </si>
  <si>
    <t>XD-B03-YD-F06(14-23U)DP132-13</t>
  </si>
  <si>
    <t>06ACNL4</t>
  </si>
  <si>
    <t>140103-2012-001066</t>
  </si>
  <si>
    <t>XD-B03-YD-F06(14-23U)DP132-14</t>
  </si>
  <si>
    <t>J33GRZ7</t>
  </si>
  <si>
    <t>140103-2017-000332</t>
  </si>
  <si>
    <t>XD-B03-YD-H01( 24-25U)</t>
  </si>
  <si>
    <t>J33GRZ5</t>
  </si>
  <si>
    <t>140103-2017-000331</t>
  </si>
  <si>
    <t>XD-B03-YD-H01(27-28U)</t>
  </si>
  <si>
    <t>联想X3650 M5</t>
  </si>
  <si>
    <t>J320EAB</t>
  </si>
  <si>
    <t>140103-2016-000078</t>
  </si>
  <si>
    <t>XD-B03-YD-H01(30-31U)</t>
  </si>
  <si>
    <t>J320EAC</t>
  </si>
  <si>
    <t>140103-2016-000077</t>
  </si>
  <si>
    <t>XD-B03-YD-H01(33-34U)</t>
  </si>
  <si>
    <t>J33GRZ6</t>
  </si>
  <si>
    <t>140103-2017-000329</t>
  </si>
  <si>
    <t>XD-B03-YD-I08(31-32U)</t>
  </si>
  <si>
    <t>J33GRZ8</t>
  </si>
  <si>
    <t>140103-2017-000330</t>
  </si>
  <si>
    <t>XD-B03-YD-I08(33-34U)</t>
  </si>
  <si>
    <t>华为 S5720-56C-EI-AC</t>
  </si>
  <si>
    <t>2102359504DMKB000186</t>
  </si>
  <si>
    <t>140502-2020-000031</t>
  </si>
  <si>
    <t>XD-B03-YD-J06(18-18U)</t>
  </si>
  <si>
    <t>2102359504DMKB000005</t>
  </si>
  <si>
    <t>140502-2020-000030</t>
  </si>
  <si>
    <t>XD-B03-YD-J06(22-22U)</t>
  </si>
  <si>
    <t>2102359504DMKB000243</t>
  </si>
  <si>
    <t>140502-2020-000027</t>
  </si>
  <si>
    <t>XD-B03-YD-J07(18-18U)</t>
  </si>
  <si>
    <t>2LQQ1T2</t>
  </si>
  <si>
    <t>140103-2019-000033</t>
  </si>
  <si>
    <t>XD-B02-KF-F03(20-21U)</t>
  </si>
  <si>
    <t>2GSK1T2</t>
  </si>
  <si>
    <t>140103-2019-000034</t>
  </si>
  <si>
    <t>XD-B02-KF-F03(28-29U)</t>
  </si>
  <si>
    <t>中铁信睿安应用安全网关系统Smart SG 3000 V3.0</t>
  </si>
  <si>
    <t>ZM173S021312</t>
  </si>
  <si>
    <t>140608-2017-000009</t>
  </si>
  <si>
    <t>TK-F02-226-H2(12-15U)</t>
  </si>
  <si>
    <t>ZM172S034073</t>
  </si>
  <si>
    <t>140608-2017-000010</t>
  </si>
  <si>
    <t>TK-F02-226-H2(17-20U)</t>
  </si>
  <si>
    <t>ZM172S034327</t>
  </si>
  <si>
    <t>140608-2017-000011</t>
  </si>
  <si>
    <t>TK-F02-226-H2(22-25U)</t>
  </si>
  <si>
    <t>ZM172S034309</t>
  </si>
  <si>
    <t>140608-2017-000007</t>
  </si>
  <si>
    <t>TK-F02-226-H2(2-5U)</t>
  </si>
  <si>
    <t>ZM172S036004</t>
  </si>
  <si>
    <t>140608-2017-000012</t>
  </si>
  <si>
    <t>TK-F02-226-H2(27-30U)</t>
  </si>
  <si>
    <t>ZM172S036336</t>
  </si>
  <si>
    <t>140608-2017-000013</t>
  </si>
  <si>
    <t>TK-F02-226-H2(32-35U)</t>
  </si>
  <si>
    <t>ZM172S036348</t>
  </si>
  <si>
    <t>140608-2017-000014</t>
  </si>
  <si>
    <t>TK-F02-226-H2(37-40U)</t>
  </si>
  <si>
    <t>ZM172S036391</t>
  </si>
  <si>
    <t>140608-2017-000008</t>
  </si>
  <si>
    <t>TK-F02-226-H2(7-10U)</t>
  </si>
  <si>
    <t>ZM172S035644</t>
  </si>
  <si>
    <t>140608-2017-000017</t>
  </si>
  <si>
    <t>TK-F02-226-H4(12-15U)</t>
  </si>
  <si>
    <t>ZM16CS040861</t>
  </si>
  <si>
    <t>140608-2017-000018</t>
  </si>
  <si>
    <t>TK-F02-226-H4(17-20U)</t>
  </si>
  <si>
    <t>ZM172S033875</t>
  </si>
  <si>
    <t>140608-2017-000019</t>
  </si>
  <si>
    <t>TK-F02-226-H4(22-25U)</t>
  </si>
  <si>
    <t>ZM172S034319</t>
  </si>
  <si>
    <t>140608-2017-000015</t>
  </si>
  <si>
    <t>TK-F02-226-H4(2-5U)</t>
  </si>
  <si>
    <t>ZM172S034290</t>
  </si>
  <si>
    <t>140608-2017-000020</t>
  </si>
  <si>
    <t>TK-F02-226-H4(27-30U)</t>
  </si>
  <si>
    <t>ZM172S036295</t>
  </si>
  <si>
    <t>140608-2017-000021</t>
  </si>
  <si>
    <t>TK-F02-226-H4(32-35U)</t>
  </si>
  <si>
    <t>ZM172S036357</t>
  </si>
  <si>
    <t>140608-2017-000022</t>
  </si>
  <si>
    <t>TK-F02-226-H4(37-40U)</t>
  </si>
  <si>
    <t>ZM172S036396</t>
  </si>
  <si>
    <t>140608-2017-000016</t>
  </si>
  <si>
    <t>TK-F02-226-H4(7-10U)</t>
  </si>
  <si>
    <t>ZM172S036387</t>
  </si>
  <si>
    <t>140608-2017-000024</t>
  </si>
  <si>
    <t>TK-F02-226-H5(12-15U)</t>
  </si>
  <si>
    <t>ZM173S021149</t>
  </si>
  <si>
    <t>140608-2017-000025</t>
  </si>
  <si>
    <t>TK-F02-226-H5(17-20U)</t>
  </si>
  <si>
    <t>ZM172S035620</t>
  </si>
  <si>
    <t>140608-2017-000026</t>
  </si>
  <si>
    <t>TK-F02-226-H5(22-25U)</t>
  </si>
  <si>
    <t>ZM172S035604</t>
  </si>
  <si>
    <t>140608-2017-000030</t>
  </si>
  <si>
    <t>TK-F02-226-H5(2-5U)</t>
  </si>
  <si>
    <t>ZM172S036217</t>
  </si>
  <si>
    <t>140608-2017-000027</t>
  </si>
  <si>
    <t>TK-F02-226-H5(27-30U)</t>
  </si>
  <si>
    <t>ZM172S035623</t>
  </si>
  <si>
    <t>140608-2017-000028</t>
  </si>
  <si>
    <t>TK-F02-226-H5(32-35U)</t>
  </si>
  <si>
    <t>ZM172S034312</t>
  </si>
  <si>
    <t>140608-2017-000029</t>
  </si>
  <si>
    <t>TK-F02-226-H5(37-40U)</t>
  </si>
  <si>
    <t>ZM172S036353</t>
  </si>
  <si>
    <t>140608-2017-000023</t>
  </si>
  <si>
    <t>TK-F02-226-H5(7-10U)</t>
  </si>
  <si>
    <t>ZM172S036345</t>
  </si>
  <si>
    <t>140608-2017-000033</t>
  </si>
  <si>
    <t>TK-F02-226-H6(12-15U)</t>
  </si>
  <si>
    <t>ZM172S036339</t>
  </si>
  <si>
    <t>140608-2017-000034</t>
  </si>
  <si>
    <t>TK-F02-226-H6(17-20U)</t>
  </si>
  <si>
    <t>ZM172S034322</t>
  </si>
  <si>
    <t>140608-2017-000031</t>
  </si>
  <si>
    <t>TK-F02-226-H6(2-5U)</t>
  </si>
  <si>
    <t>ZM172S036341</t>
  </si>
  <si>
    <t>140608-2017-000032</t>
  </si>
  <si>
    <t>TK-F02-226-H6(7-10U)</t>
  </si>
  <si>
    <t>中铁信睿安WEB安全防护系统Smart WS 5000 V1.0</t>
  </si>
  <si>
    <t>SRIE2017RAFHV10122</t>
  </si>
  <si>
    <t>140608-2017-000058</t>
  </si>
  <si>
    <t>1号楼708</t>
  </si>
  <si>
    <t>安全网关系统SmartSG 3000 V3.0</t>
  </si>
  <si>
    <t>SRAD11410240037</t>
  </si>
  <si>
    <t>140605-2014-000037</t>
  </si>
  <si>
    <t>TK-F01-108-K6(12-15U)</t>
  </si>
  <si>
    <t>SRAD11410240038</t>
  </si>
  <si>
    <t>140605-2014-000038</t>
  </si>
  <si>
    <t>TK-F01-108-K6(17-20U)</t>
  </si>
  <si>
    <t>SRAD11410240039</t>
  </si>
  <si>
    <t>140605-2014-000039</t>
  </si>
  <si>
    <t>TK-F01-108-K6(22-25U)</t>
  </si>
  <si>
    <t>SRAD11410240035</t>
  </si>
  <si>
    <t>140605-2014-000035</t>
  </si>
  <si>
    <t>TK-F01-108-K6(2-5U)</t>
  </si>
  <si>
    <t>SRAD11410240040</t>
  </si>
  <si>
    <t>140605-2014-000040</t>
  </si>
  <si>
    <t>TK-F01-108-K6(27-30U)</t>
  </si>
  <si>
    <t>SRAD11410240041</t>
  </si>
  <si>
    <t>140605-2014-000041</t>
  </si>
  <si>
    <t>TK-F01-108-K6(32-35U)</t>
  </si>
  <si>
    <t>SRAD11410240042</t>
  </si>
  <si>
    <t>140605-2014-000042</t>
  </si>
  <si>
    <t>TK-F01-108-K6(37-40U)</t>
  </si>
  <si>
    <t>SRAD11410240036</t>
  </si>
  <si>
    <t>140605-2014-000036</t>
  </si>
  <si>
    <t>TK-F01-108-K6(7-10U)</t>
  </si>
  <si>
    <t>SRAD11410240045</t>
  </si>
  <si>
    <t>140605-2014-000045</t>
  </si>
  <si>
    <t>TK-F01-108-K7(12-15U)</t>
  </si>
  <si>
    <t>SRAD11410240046</t>
  </si>
  <si>
    <t>140605-2014-000046</t>
  </si>
  <si>
    <t>TK-F01-108-K7(17-20U)</t>
  </si>
  <si>
    <t>SRAD11410240047</t>
  </si>
  <si>
    <t>140605-2014-000047</t>
  </si>
  <si>
    <t>TK-F01-108-K7(22-25U)</t>
  </si>
  <si>
    <t>SRAD11410240043</t>
  </si>
  <si>
    <t>140605-2014-000043</t>
  </si>
  <si>
    <t>TK-F01-108-K7(2-5U)</t>
  </si>
  <si>
    <t>SRAD11410240048</t>
  </si>
  <si>
    <t>140605-2014-000048</t>
  </si>
  <si>
    <t>TK-F01-108-K7(27-30U)</t>
  </si>
  <si>
    <t>SRAD11410240049</t>
  </si>
  <si>
    <t>140605-2014-000049</t>
  </si>
  <si>
    <t>TK-F01-108-K7(32-35U)</t>
  </si>
  <si>
    <t>SRAD11410240050</t>
  </si>
  <si>
    <t>140605-2014-000050</t>
  </si>
  <si>
    <t>TK-F01-108-K7(37-40U)</t>
  </si>
  <si>
    <t>SRAD11410240044</t>
  </si>
  <si>
    <t>140605-2014-000044</t>
  </si>
  <si>
    <t>TK-F01-108-K7(7-10U)</t>
  </si>
  <si>
    <t>SRAD11410240053</t>
  </si>
  <si>
    <t>140605-2014-000053</t>
  </si>
  <si>
    <t>TK-F01-108-K8(17-20U)</t>
  </si>
  <si>
    <t>SRAD11410240054</t>
  </si>
  <si>
    <t>140605-2014-000054</t>
  </si>
  <si>
    <t>TK-F01-108-K8(32-35U)</t>
  </si>
  <si>
    <t>SRAD11410240055</t>
  </si>
  <si>
    <t>140605-2014-000055</t>
  </si>
  <si>
    <t>TK-F01-108-K8(22-25U)</t>
  </si>
  <si>
    <t>SRAD11410240051</t>
  </si>
  <si>
    <t>140605-2014-000051</t>
  </si>
  <si>
    <t>TK-F01-108-K8(2-5U)</t>
  </si>
  <si>
    <t>SRAD11410240056</t>
  </si>
  <si>
    <t>140605-2014-000056</t>
  </si>
  <si>
    <t>TK-F01-108-K8(27-30U)</t>
  </si>
  <si>
    <t>SRAD11410240052</t>
  </si>
  <si>
    <t>140605-2014-000052</t>
  </si>
  <si>
    <t>TK-F01-108-K8(7-10U)</t>
  </si>
  <si>
    <t>SRAD11410240060</t>
  </si>
  <si>
    <t>140605-2014-000060</t>
  </si>
  <si>
    <t>TK-F01-108-K9(17-20U)</t>
  </si>
  <si>
    <t>SRAD11410240061</t>
  </si>
  <si>
    <t>140605-2014-000061</t>
  </si>
  <si>
    <t>TK-F01-108-K9(22-25U)</t>
  </si>
  <si>
    <t>SRAD11410240063</t>
  </si>
  <si>
    <t>140605-2014-000057</t>
  </si>
  <si>
    <t>TK-F01-108-K9(2-5U)</t>
  </si>
  <si>
    <t>SRAD11410240062</t>
  </si>
  <si>
    <t>140605-2014-000062</t>
  </si>
  <si>
    <t>TK-F01-108-K9(27-30U)</t>
  </si>
  <si>
    <t>SRAD11410240076</t>
  </si>
  <si>
    <t>140605-2014-000059</t>
  </si>
  <si>
    <t>TK-F01-108-K9(32-35U)</t>
  </si>
  <si>
    <t>SRAD11410240058</t>
  </si>
  <si>
    <t>140605-2014-000058</t>
  </si>
  <si>
    <t>TK-F01-108-K9(7-10U)</t>
  </si>
  <si>
    <t>SRIE2017RAFHV10121</t>
  </si>
  <si>
    <t>140608-2017-000057</t>
  </si>
  <si>
    <t>WQ-F04-T4-A01(12U临)</t>
  </si>
  <si>
    <t>中铁信网络安全数据采集探针系统Smart-NDP1000 V1.0</t>
  </si>
  <si>
    <t>SRIE2017CJTZV10121C
SRIE2017CJTZV10121A
SRIE2017CJTZV10121D</t>
  </si>
  <si>
    <t>140608-2017-000055</t>
  </si>
  <si>
    <t>WQ-F04-T4-A01(14-20U)</t>
  </si>
  <si>
    <t>SRAD11710060131</t>
  </si>
  <si>
    <t>140608-2017-000051</t>
  </si>
  <si>
    <t>WQ-F04-T5-F02(02-05U)</t>
  </si>
  <si>
    <t>SRAD11710060141</t>
  </si>
  <si>
    <t>140608-2017-000052</t>
  </si>
  <si>
    <t>WQ-F04-T5-F02(07-10U)</t>
  </si>
  <si>
    <t>SRAD11710060130</t>
  </si>
  <si>
    <t>140608-2017-000049</t>
  </si>
  <si>
    <t>WQ-F04-T5-F02(12-15U)</t>
  </si>
  <si>
    <t>SRAD11710060129</t>
  </si>
  <si>
    <t>140608-2017-000045</t>
  </si>
  <si>
    <t>WQ-F04-T5-F02(17-20U)</t>
  </si>
  <si>
    <t>SRAD11710060150</t>
  </si>
  <si>
    <t>140608-2017-000047</t>
  </si>
  <si>
    <t>WQ-F04-T5-F02(22-25U)</t>
  </si>
  <si>
    <t>SRAD11710060144</t>
  </si>
  <si>
    <t>140608-2017-000041</t>
  </si>
  <si>
    <t>WQ-F04-T5-F02(27-30U)</t>
  </si>
  <si>
    <t>SRAD11710060138</t>
  </si>
  <si>
    <t>140608-2017-000043</t>
  </si>
  <si>
    <t>WQ-F04-T5-F02(32-35U)</t>
  </si>
  <si>
    <t>SRAD11710060142</t>
  </si>
  <si>
    <t>140608-2017-000046</t>
  </si>
  <si>
    <t>WQ-F04-T5-F03(17-20U)</t>
  </si>
  <si>
    <t>SRAD11710060137</t>
  </si>
  <si>
    <t>140608-2017-000048</t>
  </si>
  <si>
    <t>WQ-F04-T5-F03(22-25U)</t>
  </si>
  <si>
    <t>SRAD11710060135</t>
  </si>
  <si>
    <t>140608-2017-000042</t>
  </si>
  <si>
    <t>WQ-F04-T5-F03(27-30U)</t>
  </si>
  <si>
    <t>SRAD11710060133</t>
  </si>
  <si>
    <t>140608-2017-000044</t>
  </si>
  <si>
    <t>WQ-F04-T5-F03(32-35U)</t>
  </si>
  <si>
    <t>SRIE2017CJTZV10122C
SRIE2017CJTZV10122A
SRIE2017CJTZV10122D</t>
  </si>
  <si>
    <t>140608-2017-000056</t>
  </si>
  <si>
    <t>WQ-F04-T5-F14(03-09U)</t>
  </si>
  <si>
    <t>SRAD11710060140</t>
  </si>
  <si>
    <t>140608-2017-000054</t>
  </si>
  <si>
    <t>WQ-F04-T5-F16(16-19U)</t>
  </si>
  <si>
    <t>SRAD11710060134</t>
  </si>
  <si>
    <t>140608-2017-000037</t>
  </si>
  <si>
    <t>WQ-F04-T5-F16(21-24U)</t>
  </si>
  <si>
    <t>SRAD11710060139</t>
  </si>
  <si>
    <t>140608-2017-000053</t>
  </si>
  <si>
    <t>WQ-F04-T5-F16(26-29U)</t>
  </si>
  <si>
    <t>SRAD11710060132</t>
  </si>
  <si>
    <t>140608-2017-000039</t>
  </si>
  <si>
    <t>XD-B02-KF-D01(20-23U)</t>
  </si>
  <si>
    <t>SRAD11710060143</t>
  </si>
  <si>
    <t>140608-2017-000050</t>
  </si>
  <si>
    <t>XD-B02-KF-D01(25-28U)</t>
  </si>
  <si>
    <t>SRAD11710060145</t>
  </si>
  <si>
    <t>140608-2017-000040</t>
  </si>
  <si>
    <t>XD-B02-KF-C01(20-23U)</t>
  </si>
  <si>
    <t>SRAD11710060146</t>
  </si>
  <si>
    <t>140608-2017-000035</t>
  </si>
  <si>
    <t>XD-B02-KF-C01(25-28U)</t>
  </si>
  <si>
    <t>SRAD11710060148</t>
  </si>
  <si>
    <t>140608-2017-000036</t>
  </si>
  <si>
    <t>XD-B02-KF-C01(10-13U)</t>
  </si>
  <si>
    <t>SRAD11710060149</t>
  </si>
  <si>
    <t>140608-2017-000038</t>
  </si>
  <si>
    <t>XD-B02-KF-C01(15-18U)</t>
  </si>
  <si>
    <t>睿安安全网关SmartSG 3000 V3.0</t>
  </si>
  <si>
    <t>SRAD11410240092</t>
  </si>
  <si>
    <t>140608-2014-000022</t>
  </si>
  <si>
    <t>WQ-F04-T7-H16(12-15U)</t>
  </si>
  <si>
    <t>SRAD11410240074</t>
  </si>
  <si>
    <t>140608-2014-000023</t>
  </si>
  <si>
    <t>WQ-F04-T7-H15(2-5U)</t>
  </si>
  <si>
    <t>SRAD11410240075</t>
  </si>
  <si>
    <t>140608-2014-000024</t>
  </si>
  <si>
    <t>WQ-F04-T7-H16(17-20U)</t>
  </si>
  <si>
    <t>SRAD11410240059</t>
  </si>
  <si>
    <t>140608-2014-000025</t>
  </si>
  <si>
    <t>WQ-F04-T7-H15(7-10U)</t>
  </si>
  <si>
    <t>SRAD11410240077</t>
  </si>
  <si>
    <t>140608-2014-000010</t>
  </si>
  <si>
    <t>WQ-F04-T7-H16(22-25U)</t>
  </si>
  <si>
    <t>SRAD11410240078</t>
  </si>
  <si>
    <t>140608-2014-000011</t>
  </si>
  <si>
    <t>WQ-F04-T7-H15(12-15U)</t>
  </si>
  <si>
    <t>SRAD11410240079</t>
  </si>
  <si>
    <t>140608-2014-000012</t>
  </si>
  <si>
    <t>WQ-F04-T7-H16(27-30U)</t>
  </si>
  <si>
    <t>SRAD11410240080</t>
  </si>
  <si>
    <t>140608-2014-000013</t>
  </si>
  <si>
    <t>WQ-F04-T7-H15(17-20U)</t>
  </si>
  <si>
    <t>SRAD11410240081</t>
  </si>
  <si>
    <t>140608-2014-000014</t>
  </si>
  <si>
    <t>WQ-F04-T7-H17(2-5U)</t>
  </si>
  <si>
    <t>SRAD11410240082</t>
  </si>
  <si>
    <t>140608-2014-000015</t>
  </si>
  <si>
    <t>WQ-F04-T7-H15(22-25U)</t>
  </si>
  <si>
    <t>SRAD11410240083</t>
  </si>
  <si>
    <t>140608-2014-000016</t>
  </si>
  <si>
    <t>WQ-F04-T7-H17(7-10U)</t>
  </si>
  <si>
    <t>SRAD11410240084</t>
  </si>
  <si>
    <t>140608-2014-000017</t>
  </si>
  <si>
    <t>WQ-F04-T7-H15_U27-U30</t>
  </si>
  <si>
    <t>SRAD11410240085</t>
  </si>
  <si>
    <t>140608-2014-000018</t>
  </si>
  <si>
    <t>WQ-F04-T7-H17(12-15U)</t>
  </si>
  <si>
    <t>SRAD11410240086</t>
  </si>
  <si>
    <t>140608-2014-000019</t>
  </si>
  <si>
    <t>WQ-F04-T7-H16(2-5U)</t>
  </si>
  <si>
    <t>SRAD11410240091</t>
  </si>
  <si>
    <t>140608-2014-000020</t>
  </si>
  <si>
    <t>WQ-F04-T7-H17(17-20U)</t>
  </si>
  <si>
    <t>SRAD11410240088</t>
  </si>
  <si>
    <t>140608-2014-000021</t>
  </si>
  <si>
    <t>WQ-F04-T7-H16(7-10U)</t>
  </si>
  <si>
    <t>SRAD11711150002</t>
  </si>
  <si>
    <t>140608-2017-000066</t>
  </si>
  <si>
    <t>XD-B02-KP-A10(03-06U)</t>
  </si>
  <si>
    <t>SRAD11711150009</t>
  </si>
  <si>
    <t>140608-2017-000067</t>
  </si>
  <si>
    <t>XD-B02-KP-A10(08-11U)</t>
  </si>
  <si>
    <t>SRAD11711150004</t>
  </si>
  <si>
    <t>140608-2017-000068</t>
  </si>
  <si>
    <t>XD-B02-KP-A10(13-16U)</t>
  </si>
  <si>
    <t>SRAD11711150010</t>
  </si>
  <si>
    <t>140608-2017-000069</t>
  </si>
  <si>
    <t>XD-B02-KP-A10(18-21U)</t>
  </si>
  <si>
    <t>SRAD11711150006</t>
  </si>
  <si>
    <t>140608-2017-000070</t>
  </si>
  <si>
    <t>XD-B02-KP-A10(23-26U)</t>
  </si>
  <si>
    <t>SRAD11711150007</t>
  </si>
  <si>
    <t>140608-2017-000071</t>
  </si>
  <si>
    <t>XD-B02-KP-A10(28-31U)</t>
  </si>
  <si>
    <t>SRAD11711150003</t>
  </si>
  <si>
    <t>140608-2017-000072</t>
  </si>
  <si>
    <t>XD-B02-KP-A10(33-36U)</t>
  </si>
  <si>
    <t>SRAD11711150001</t>
  </si>
  <si>
    <t>140608-2017-000073</t>
  </si>
  <si>
    <t>XD-B02-KP-A10(38-41U)</t>
  </si>
  <si>
    <t>SRAD11711150017</t>
  </si>
  <si>
    <t>140608-2017-000074</t>
  </si>
  <si>
    <t>XD-B02-KP-A12(03-06U)</t>
  </si>
  <si>
    <t>SRAD11711150016</t>
  </si>
  <si>
    <t>140608-2017-000075</t>
  </si>
  <si>
    <t>XD-B02-KP-A12(08-11U)</t>
  </si>
  <si>
    <t>SRAD11711150034</t>
  </si>
  <si>
    <t>140608-2017-000076</t>
  </si>
  <si>
    <t>XD-B02-KP-A12(13-16U)</t>
  </si>
  <si>
    <t>SRAD11711150024</t>
  </si>
  <si>
    <t>140608-2017-000077</t>
  </si>
  <si>
    <t>XD-B02-KP-A12(18-21U)</t>
  </si>
  <si>
    <t>SRAD11711150033</t>
  </si>
  <si>
    <t>140608-2017-000078</t>
  </si>
  <si>
    <t>XD-B02-KP-A12(23-26U)</t>
  </si>
  <si>
    <t>SRAD11711150013</t>
  </si>
  <si>
    <t>140608-2017-000079</t>
  </si>
  <si>
    <t>XD-B02-KP-A12(28-31U)</t>
  </si>
  <si>
    <t>SRAD11711150027</t>
  </si>
  <si>
    <t>140608-2017-000080</t>
  </si>
  <si>
    <t>XD-B02-KP-A12(33-36U)</t>
  </si>
  <si>
    <t>SRAD11711150026</t>
  </si>
  <si>
    <t>140608-2017-000081</t>
  </si>
  <si>
    <t>XD-B02-KP-A12(38-41U)</t>
  </si>
  <si>
    <t>SRAD11711150036</t>
  </si>
  <si>
    <t>140608-2017-000082</t>
  </si>
  <si>
    <t>XD-B02-KP-A13(02-05U)</t>
  </si>
  <si>
    <t>SRAD11711150012</t>
  </si>
  <si>
    <t>140608-2017-000083</t>
  </si>
  <si>
    <t>XD-B02-KP-A13(07-10U)</t>
  </si>
  <si>
    <t>SRAD11711150037</t>
  </si>
  <si>
    <t>140608-2017-000084</t>
  </si>
  <si>
    <t>XD-B02-KP-A13(12-15U)</t>
  </si>
  <si>
    <t>SRAD11711150031</t>
  </si>
  <si>
    <t>140608-2017-000085</t>
  </si>
  <si>
    <t>XD-B02-KP-A13(17-20U)</t>
  </si>
  <si>
    <t>SRAD11711150038</t>
  </si>
  <si>
    <t>140608-2017-000086</t>
  </si>
  <si>
    <t>XD-B02-KP-A13(22-25U)</t>
  </si>
  <si>
    <t>SRAD11711150030</t>
  </si>
  <si>
    <t>140608-2017-000087</t>
  </si>
  <si>
    <t>XD-B02-KP-A13(27-30U)</t>
  </si>
  <si>
    <t>SRAD11711150035</t>
  </si>
  <si>
    <t>140608-2017-000088</t>
  </si>
  <si>
    <t>XD-B02-KP-A14(03-06U)</t>
  </si>
  <si>
    <t>SRAD11711150020</t>
  </si>
  <si>
    <t>140608-2017-000089</t>
  </si>
  <si>
    <t>XD-B02-KP-A14(08-11U)</t>
  </si>
  <si>
    <t>SRAD11711150028</t>
  </si>
  <si>
    <t>140608-2017-000090</t>
  </si>
  <si>
    <t>XD-B02-KP-A14(13-16U)</t>
  </si>
  <si>
    <t>SRAD11711150014</t>
  </si>
  <si>
    <t>140608-2017-000091</t>
  </si>
  <si>
    <t>XD-B02-KP-A14(18-21U)</t>
  </si>
  <si>
    <t>SRAD11711150011</t>
  </si>
  <si>
    <t>140608-2017-000092</t>
  </si>
  <si>
    <t>XD-B02-KP-A14(23-26U)</t>
  </si>
  <si>
    <t>SRAD11711150022</t>
  </si>
  <si>
    <t>140608-2017-000093</t>
  </si>
  <si>
    <t>XD-B02-KP-A14(28-31U)</t>
  </si>
  <si>
    <t>SRAD11711150039</t>
  </si>
  <si>
    <t>140608-2017-000094</t>
  </si>
  <si>
    <t>XD-B02-KP-A14(33-36U)</t>
  </si>
  <si>
    <t>SRAD11711150029</t>
  </si>
  <si>
    <t>140608-2017-000095</t>
  </si>
  <si>
    <t>XD-B02-KP-A14(38-41U)</t>
  </si>
  <si>
    <t>SRAD11410240067</t>
  </si>
  <si>
    <t>140608-2014-000028</t>
  </si>
  <si>
    <t>XD-B02-KP-E09(12-15U)</t>
  </si>
  <si>
    <t>SRAD11410240068</t>
  </si>
  <si>
    <t>140608-2014-000029</t>
  </si>
  <si>
    <t>XD-B02-KP-E09(17-20U)</t>
  </si>
  <si>
    <t>SRAD11711150015</t>
  </si>
  <si>
    <t>140608-2017-000096</t>
  </si>
  <si>
    <t>XD-B02-KP-E09(22-25U)</t>
  </si>
  <si>
    <t>SRAD11410240065</t>
  </si>
  <si>
    <t>140608-2014-000026</t>
  </si>
  <si>
    <t>XD-B02-KP-E09(2-5U)</t>
  </si>
  <si>
    <t>SRAD11711150005</t>
  </si>
  <si>
    <t>140608-2017-000097</t>
  </si>
  <si>
    <t>XD-B02-KP-E09(27-30U)</t>
  </si>
  <si>
    <t>SRAD11711150018</t>
  </si>
  <si>
    <t>140608-2017-000098</t>
  </si>
  <si>
    <t>XD-B02-KP-E09(32-35U)</t>
  </si>
  <si>
    <t>SRAD11711150025</t>
  </si>
  <si>
    <t>140608-2017-000099</t>
  </si>
  <si>
    <t>XD-B02-KP-E09(37-40U)</t>
  </si>
  <si>
    <t>SRAD11410240066</t>
  </si>
  <si>
    <t>140608-2014-000027</t>
  </si>
  <si>
    <t>XD-B02-KP-E09(7-10U)</t>
  </si>
  <si>
    <t>SRAD11410240071</t>
  </si>
  <si>
    <t>140608-2014-000032</t>
  </si>
  <si>
    <t>XD-B02-KP-E10(12-15U)</t>
  </si>
  <si>
    <t>SRAD11410240072</t>
  </si>
  <si>
    <t>140608-2014-000033</t>
  </si>
  <si>
    <t>XD-B02-KP-E10(17-20U)</t>
  </si>
  <si>
    <t>SRAD11410240087</t>
  </si>
  <si>
    <t>140608-2014-000030</t>
  </si>
  <si>
    <t>XD-B02-KP-E10(2-5U)</t>
  </si>
  <si>
    <t>SRAD11711150019</t>
  </si>
  <si>
    <t>140608-2017-000100</t>
  </si>
  <si>
    <t>XD-B02-KP-E10(29-32U)</t>
  </si>
  <si>
    <t>SRAD11711150008</t>
  </si>
  <si>
    <t>140608-2017-000101</t>
  </si>
  <si>
    <t>XD-B02-KP-E10(34-37U)</t>
  </si>
  <si>
    <t>SRAD11410240070</t>
  </si>
  <si>
    <t>140608-2014-000031</t>
  </si>
  <si>
    <t>XD-B02-KP-E10(7-10U)</t>
  </si>
  <si>
    <t>中铁信网络安全数据采集探针系统V1.0</t>
  </si>
  <si>
    <t>SRIE2017CJTZV10119B
SRIE2017CJTZV10119B
SRIE2017CJTZV10119B
SRIE2017CJTZV10119B</t>
  </si>
  <si>
    <t>140607-2019-000003</t>
  </si>
  <si>
    <t>WQ-F04-T5-G21(15-15U)</t>
  </si>
  <si>
    <t>SRIE2017CJTZV10120B
SRIE2017CJTZV10120B
SRIE2017CJTZV10120B
SRIE2017CJTZV10120B</t>
  </si>
  <si>
    <t>140607-2019-000004</t>
  </si>
  <si>
    <t>WQ-F04-T5-G20(15-15U)</t>
  </si>
  <si>
    <t>中铁信睿安前置安全系统V1.4</t>
  </si>
  <si>
    <t>SRIE2015RAQZV14005</t>
  </si>
  <si>
    <t>140606-2015-000013</t>
  </si>
  <si>
    <t>WQ-F04-T4-B21(13-14U)</t>
  </si>
  <si>
    <t>SRIE2015RAQZV14002</t>
  </si>
  <si>
    <t>140606-2015-000014</t>
  </si>
  <si>
    <t>WQ-F04-T4-B21(16-17U)</t>
  </si>
  <si>
    <t>SRAD11911250001</t>
  </si>
  <si>
    <t>140605-2019-000041</t>
  </si>
  <si>
    <t>WQ-F04-T5-H07(02-05U)</t>
  </si>
  <si>
    <t>SRAD11911250003</t>
  </si>
  <si>
    <t>140605-2019-000040</t>
  </si>
  <si>
    <t>WQ-F04-T5-H07(21-24U)</t>
  </si>
  <si>
    <t>SRAD11911250005</t>
  </si>
  <si>
    <t>140605-2019-000039</t>
  </si>
  <si>
    <t>WQ-F04-T5-H07(25-28U)</t>
  </si>
  <si>
    <t>SRAD11911250008</t>
  </si>
  <si>
    <t>140605-2019-000038</t>
  </si>
  <si>
    <t>WQ-F04-T5-H07(30-33U)</t>
  </si>
  <si>
    <t>SRAD11911250002</t>
  </si>
  <si>
    <t>140605-2019-000037</t>
  </si>
  <si>
    <t>WQ-F04-T5-H10(02-05U)</t>
  </si>
  <si>
    <t>SRAD11911250004</t>
  </si>
  <si>
    <t>140605-2019-000036</t>
  </si>
  <si>
    <t>WQ-F04-T5-H10(21-24U)</t>
  </si>
  <si>
    <t>SRAD11911250006</t>
  </si>
  <si>
    <t>140605-2019-000035</t>
  </si>
  <si>
    <t>WQ-F04-T5-H10(25-28U)</t>
  </si>
  <si>
    <t>SRAD11911250007</t>
  </si>
  <si>
    <t>140605-2019-000034</t>
  </si>
  <si>
    <t>WQ-F04-T5-H10(30-33U)</t>
  </si>
  <si>
    <t>NetApp FAS6250A</t>
  </si>
  <si>
    <t>451440000134/451440000135</t>
  </si>
  <si>
    <t>140201-2014-000631</t>
  </si>
  <si>
    <t>TK-F02-226-B7(1-16U)</t>
  </si>
  <si>
    <t>451440000136/451440000137</t>
  </si>
  <si>
    <t>140201-2014-000632</t>
  </si>
  <si>
    <t>TK-F02-226-B7(17-33U)</t>
  </si>
  <si>
    <t>达康配线架</t>
  </si>
  <si>
    <t>140703-2014-000080</t>
  </si>
  <si>
    <t>TK-各个机房</t>
  </si>
  <si>
    <r>
      <rPr>
        <sz val="12"/>
        <rFont val="宋体"/>
        <charset val="134"/>
      </rPr>
      <t>德迅</t>
    </r>
    <r>
      <rPr>
        <sz val="12"/>
        <rFont val="Arial"/>
        <charset val="134"/>
      </rPr>
      <t xml:space="preserve"> KVM</t>
    </r>
  </si>
  <si>
    <t>171003201036</t>
  </si>
  <si>
    <t>140403-2017-000042</t>
  </si>
  <si>
    <t>WQ-F04-T1-B02(22-22U)</t>
  </si>
  <si>
    <t>171003201029</t>
  </si>
  <si>
    <t>140403-2017-000045</t>
  </si>
  <si>
    <t>WQ-F04-T1-B03(22-22U)</t>
  </si>
  <si>
    <t>0180103201341</t>
  </si>
  <si>
    <t>140403-2017-000047</t>
  </si>
  <si>
    <t>WQ-F04-T1-B04(22-22U)</t>
  </si>
  <si>
    <t>0180103201372</t>
  </si>
  <si>
    <t>140403-2017-000048</t>
  </si>
  <si>
    <t>WQ-F04-T1-B05(22-22U)</t>
  </si>
  <si>
    <t>0180103201334</t>
  </si>
  <si>
    <t>140403-2017-000046</t>
  </si>
  <si>
    <t>WQ-F04-T1-B06(22-22U)</t>
  </si>
  <si>
    <t>180103201280</t>
  </si>
  <si>
    <t>140403-2017-000068</t>
  </si>
  <si>
    <t>WQ-F04-T1-B19(22-22U)</t>
  </si>
  <si>
    <t>180103201143</t>
  </si>
  <si>
    <t>140403-2017-000067</t>
  </si>
  <si>
    <t>WQ-F04-T1-B20(22-22U)</t>
  </si>
  <si>
    <t>德迅DS1716K</t>
  </si>
  <si>
    <t>161103200480</t>
  </si>
  <si>
    <t>140903-2016-000037</t>
  </si>
  <si>
    <t>WQ-F04-T1-C01(22-22U)</t>
  </si>
  <si>
    <t>161103200756</t>
  </si>
  <si>
    <t>140903-2016-000030</t>
  </si>
  <si>
    <t>WQ-F04-T1-C02(22-22U)</t>
  </si>
  <si>
    <t>161103200770</t>
  </si>
  <si>
    <t>140903-2016-000038</t>
  </si>
  <si>
    <t>WQ-F04-T1-C03(22-22U)</t>
  </si>
  <si>
    <t>161103200817</t>
  </si>
  <si>
    <t>140903-2016-000029</t>
  </si>
  <si>
    <t>WQ-F04-T1-C04(22-22U)</t>
  </si>
  <si>
    <t>161103200633</t>
  </si>
  <si>
    <t>140903-2016-000003</t>
  </si>
  <si>
    <t>WQ-F04-T1-C06(22-22U)</t>
  </si>
  <si>
    <t>180103201273</t>
  </si>
  <si>
    <t>140403-2017-000065</t>
  </si>
  <si>
    <t>WQ-F04-T1-C07(22-22U)</t>
  </si>
  <si>
    <t>180103201150</t>
  </si>
  <si>
    <t>140403-2017-000061</t>
  </si>
  <si>
    <t>WQ-F04-T1-C09(22-22U)</t>
  </si>
  <si>
    <t>161103200510</t>
  </si>
  <si>
    <t>140903-2016-000023</t>
  </si>
  <si>
    <t>WQ-F04-T1-C10(22-22U)</t>
  </si>
  <si>
    <t>161103200640</t>
  </si>
  <si>
    <t>140903-2016-000026</t>
  </si>
  <si>
    <t>WQ-F04-T1-C14(22-22U)</t>
  </si>
  <si>
    <t>180103201204</t>
  </si>
  <si>
    <t>140403-2017-000056</t>
  </si>
  <si>
    <t>WQ-F04-T1-C15(22-22U)</t>
  </si>
  <si>
    <t>171003201043</t>
  </si>
  <si>
    <t>140403-2017-000044</t>
  </si>
  <si>
    <t>WQ-F04-T1-D07(22-22U)</t>
  </si>
  <si>
    <t>170902201956</t>
  </si>
  <si>
    <t>140403-2017-000041</t>
  </si>
  <si>
    <t>WQ-F04-T1-D15(22-22U)</t>
  </si>
  <si>
    <t>170902201611</t>
  </si>
  <si>
    <t>140403-2017-000029</t>
  </si>
  <si>
    <t>WQ-F04-T4-H08(18U临)</t>
  </si>
  <si>
    <t>170902201697</t>
  </si>
  <si>
    <t>140403-2017-000028</t>
  </si>
  <si>
    <t>WQ-F04-T4-H08(20U临)</t>
  </si>
  <si>
    <t>170902202199</t>
  </si>
  <si>
    <t>140403-2017-000032</t>
  </si>
  <si>
    <t>WQ-F04-T1-G01(22-22U)</t>
  </si>
  <si>
    <t>170902201628</t>
  </si>
  <si>
    <t>140403-2017-000021</t>
  </si>
  <si>
    <t>WQ-F04-T1-G03(22-22U)</t>
  </si>
  <si>
    <t>170902201703</t>
  </si>
  <si>
    <t>140403-2017-000025</t>
  </si>
  <si>
    <t>WQ-F04-T4-H08(15U临)</t>
  </si>
  <si>
    <t>170902201307</t>
  </si>
  <si>
    <t>140403-2017-000030</t>
  </si>
  <si>
    <t>WQ-F04-T4-H08(17U临)</t>
  </si>
  <si>
    <t>170902201390</t>
  </si>
  <si>
    <t>140403-2017-000018</t>
  </si>
  <si>
    <t>WQ-F04-T1-H06(22-22U)</t>
  </si>
  <si>
    <t>170902201901</t>
  </si>
  <si>
    <t>140403-2017-000033</t>
  </si>
  <si>
    <t>WQ-F04-T1-J04-22</t>
  </si>
  <si>
    <t>170902201550</t>
  </si>
  <si>
    <t>140403-2017-000034</t>
  </si>
  <si>
    <t>WQ-F04-T1-J05-22</t>
  </si>
  <si>
    <t>170902201505</t>
  </si>
  <si>
    <t>140403-2017-000035</t>
  </si>
  <si>
    <t>WQ-F04-T1-J06-22</t>
  </si>
  <si>
    <t>170902201741</t>
  </si>
  <si>
    <t>140403-2017-000036</t>
  </si>
  <si>
    <t>WQ-F04-T1-J07-22</t>
  </si>
  <si>
    <t>170902201383</t>
  </si>
  <si>
    <t>140403-2017-000037</t>
  </si>
  <si>
    <t>WQ-F04-T1-J08-22</t>
  </si>
  <si>
    <t>170902201345</t>
  </si>
  <si>
    <t>140403-2017-000019</t>
  </si>
  <si>
    <t>WQ-F04-T1-J10-22</t>
  </si>
  <si>
    <t>170902202014</t>
  </si>
  <si>
    <t>140403-2017-000031</t>
  </si>
  <si>
    <t>WQ-F04-T4-B01(22-22U)</t>
  </si>
  <si>
    <t>170902201222</t>
  </si>
  <si>
    <t>140403-2017-000040</t>
  </si>
  <si>
    <t>WQ-F04-T4-B16(23-23U)</t>
  </si>
  <si>
    <t>170902201321</t>
  </si>
  <si>
    <t>140403-2017-000039</t>
  </si>
  <si>
    <t>WQ-F04-T4-B17(23-23U)</t>
  </si>
  <si>
    <t>170902201475</t>
  </si>
  <si>
    <t>140403-2017-000026</t>
  </si>
  <si>
    <t>WQ-F04-T1-H02-22</t>
  </si>
  <si>
    <t>170902201680</t>
  </si>
  <si>
    <t>140403-2017-000027</t>
  </si>
  <si>
    <t>WQ-F04-T4-H08(25U临)</t>
  </si>
  <si>
    <t>170902202120</t>
  </si>
  <si>
    <t>140403-2017-000020</t>
  </si>
  <si>
    <t>WQ-F04-T5-B05(22-22U)</t>
  </si>
  <si>
    <t>170902201857</t>
  </si>
  <si>
    <t>140403-2017-000022</t>
  </si>
  <si>
    <t>WQ-F04-T5-B07(22-22U)</t>
  </si>
  <si>
    <t>191103201743</t>
  </si>
  <si>
    <t>140403-2019-000015</t>
  </si>
  <si>
    <t>WQ-F04-T5-B08(22-22U)</t>
  </si>
  <si>
    <t>191103201767</t>
  </si>
  <si>
    <t>140403-2019-000014</t>
  </si>
  <si>
    <t>WQ-F04-T5-B09(22-22U)</t>
  </si>
  <si>
    <t>170902201482</t>
  </si>
  <si>
    <t>140403-2017-000024</t>
  </si>
  <si>
    <t>WQ-F04-T5-I14(22-22U)</t>
  </si>
  <si>
    <t>170902201338</t>
  </si>
  <si>
    <t>140403-2017-000023</t>
  </si>
  <si>
    <t>WQ-F04-T5-I14(23-23U)</t>
  </si>
  <si>
    <t>HP KVM</t>
  </si>
  <si>
    <t>2C42144YE2</t>
  </si>
  <si>
    <t>141106-2012-000715</t>
  </si>
  <si>
    <t>XD-B02-KP-E08(22-22U)</t>
  </si>
  <si>
    <t>IBM KVM</t>
  </si>
  <si>
    <t>MM11290</t>
  </si>
  <si>
    <t>141106-2012-000704</t>
  </si>
  <si>
    <t>XD-B03-BY-A04(24-24U)</t>
  </si>
  <si>
    <t>CISCO KVM</t>
  </si>
  <si>
    <t>Z8C4W021E080038</t>
  </si>
  <si>
    <t>141106-2012-000708</t>
  </si>
  <si>
    <t>XD-B03-BY-A06(25-25U)</t>
  </si>
  <si>
    <t>DELL KVM</t>
  </si>
  <si>
    <t>6VR2TS1</t>
  </si>
  <si>
    <t>141106-2012-000713</t>
  </si>
  <si>
    <t>XD-B03-BY-B04(23-23U)</t>
  </si>
  <si>
    <t>7833TS1</t>
  </si>
  <si>
    <t>141106-2012-000714</t>
  </si>
  <si>
    <t>XD-B03-BY-B06(23-24U)</t>
  </si>
  <si>
    <t>MM11291</t>
  </si>
  <si>
    <t>141106-2012-000705</t>
  </si>
  <si>
    <t>XD-B03-BY-C03(24-24U)</t>
  </si>
  <si>
    <t>MM11334</t>
  </si>
  <si>
    <t>141106-2012-000706</t>
  </si>
  <si>
    <t>XD-B03-BY-C05(24-24U)</t>
  </si>
  <si>
    <t>MM11295</t>
  </si>
  <si>
    <t>141106-2012-000707</t>
  </si>
  <si>
    <t>XD-B03-BY-C07(24-24U)</t>
  </si>
  <si>
    <t>朗阁MDA-3000H</t>
  </si>
  <si>
    <t>MDAA030H294-H1020-LGXXZ-0AEG</t>
  </si>
  <si>
    <t>140102-2016-000009</t>
  </si>
  <si>
    <t>XD-B03-YD-C10(29-29U)</t>
  </si>
  <si>
    <t>MDAA030H294-H1020-LGXXZ-0AEF</t>
  </si>
  <si>
    <t>140102-2016-000008</t>
  </si>
  <si>
    <t>XD-B03-YD-C10(30-30U)</t>
  </si>
  <si>
    <t>朗阁MDG-3000H</t>
  </si>
  <si>
    <t>MDG 030H294-H1020-LGXXZ-0AEI</t>
  </si>
  <si>
    <t>140102-2016-000011</t>
  </si>
  <si>
    <t>XD-B03-YD-C10(32-32U)</t>
  </si>
  <si>
    <t>MDG 030H294-H1020-LGXXZ-0AEH</t>
  </si>
  <si>
    <t>140102-2016-000010</t>
  </si>
  <si>
    <t>XD-B03-YD-C10(33-33U)</t>
  </si>
  <si>
    <t>191103201736</t>
  </si>
  <si>
    <t>140403-2019-000016</t>
  </si>
  <si>
    <t>WQ-F04-T5-C18(22-22U)</t>
  </si>
  <si>
    <t>191103201729</t>
  </si>
  <si>
    <t>140403-2019-000017</t>
  </si>
  <si>
    <t>WQ-F04-T5-I05(22-22U)</t>
  </si>
  <si>
    <t>191103201774</t>
  </si>
  <si>
    <t>140403-2019-000018</t>
  </si>
  <si>
    <t>WQ-F04-T5-C19(22-22U)</t>
  </si>
  <si>
    <t>EMC VMAX10K</t>
  </si>
  <si>
    <t>HK198701409</t>
  </si>
  <si>
    <t>140201-2014-000630</t>
  </si>
  <si>
    <t>TK-F02-226-B1</t>
  </si>
  <si>
    <t>HK198701416</t>
  </si>
  <si>
    <t>140201-2014-000629</t>
  </si>
  <si>
    <t>TK-F02-226-B2</t>
  </si>
  <si>
    <t>SGH51190PW</t>
  </si>
  <si>
    <t>140102-2011-000400</t>
  </si>
  <si>
    <t>XD-B02-KF-E09</t>
  </si>
  <si>
    <t>SGH51190S1</t>
  </si>
  <si>
    <t>140102-2011-000401</t>
  </si>
  <si>
    <t>XD-B02-KF-E10</t>
  </si>
  <si>
    <t>宏杉 MS5520</t>
  </si>
  <si>
    <t>1001020049316100087</t>
  </si>
  <si>
    <t>140201-2017-000004</t>
  </si>
  <si>
    <t>XD-B02-KF-F02(3-8U)</t>
  </si>
  <si>
    <t>1001020049316100097</t>
  </si>
  <si>
    <t>140201-2017-000005</t>
  </si>
  <si>
    <t>XD-B02-KF-F03(3-8U)</t>
  </si>
  <si>
    <t>EMC VMAX20K</t>
  </si>
  <si>
    <t>CN492600292</t>
  </si>
  <si>
    <t>140201-2012-000549</t>
  </si>
  <si>
    <t>XD-B02-KP-D05-07</t>
  </si>
  <si>
    <t>CN492600291</t>
  </si>
  <si>
    <t>140201-2012-000548</t>
  </si>
  <si>
    <t>XD-B02-KP-D08-10</t>
  </si>
  <si>
    <t>华为USG9520</t>
  </si>
  <si>
    <t>210235947910F7000003</t>
  </si>
  <si>
    <t>140601-2015-000183</t>
  </si>
  <si>
    <t>XD-B03-YD-A05(13-17U)</t>
  </si>
  <si>
    <r>
      <rPr>
        <sz val="12"/>
        <rFont val="宋体"/>
        <charset val="134"/>
      </rPr>
      <t>华为</t>
    </r>
    <r>
      <rPr>
        <sz val="12"/>
        <rFont val="Arial"/>
        <charset val="134"/>
      </rPr>
      <t xml:space="preserve"> USG6670</t>
    </r>
  </si>
  <si>
    <t>210235G7G610E8000001</t>
  </si>
  <si>
    <t>140601-2014-000010</t>
  </si>
  <si>
    <t>XD-B03-YD-A05(19-21U)</t>
  </si>
  <si>
    <t>210235947910F7000004</t>
  </si>
  <si>
    <t>140601-2015-000184</t>
  </si>
  <si>
    <t>XD-B03-YD-A06(13-17U)</t>
  </si>
  <si>
    <t>华为 USG6670</t>
  </si>
  <si>
    <t>210235G7G610E8000002</t>
  </si>
  <si>
    <t>140601-2014-000011</t>
  </si>
  <si>
    <t>XD-B03-YD-A06(19-21U)</t>
  </si>
  <si>
    <t>浪潮 K1 Power S922</t>
  </si>
  <si>
    <t>P785E110</t>
  </si>
  <si>
    <t>140102-2020-000001</t>
  </si>
  <si>
    <t>XD-B03-YD-C01(32-33U)</t>
  </si>
  <si>
    <t>P785DFA0</t>
  </si>
  <si>
    <t>140102-2020-000002</t>
  </si>
  <si>
    <t>XD-B03-YD-C02(32-33U)</t>
  </si>
  <si>
    <t>102010065079</t>
  </si>
  <si>
    <t>140601-2020-000007</t>
  </si>
  <si>
    <t>XD-B03-YD-J06(20-20U)</t>
  </si>
  <si>
    <t>210235A3SVH19A000024</t>
  </si>
  <si>
    <t>140901-2019-000068</t>
  </si>
  <si>
    <t>WQ-F04-T5-H01(08-19U)</t>
  </si>
  <si>
    <t>210235A3SVH19A000022</t>
  </si>
  <si>
    <t>140901-2019-000075</t>
  </si>
  <si>
    <t>WQ-F04-T5-H08(08-19U)</t>
  </si>
  <si>
    <t>210235A3SUH19A000090</t>
  </si>
  <si>
    <t>140103-2019-000621</t>
  </si>
  <si>
    <t>WQ-F04-T5-H01(08-19U)DP11-1</t>
  </si>
  <si>
    <t>210235A3SUH19A000204</t>
  </si>
  <si>
    <t>140103-2019-000714</t>
  </si>
  <si>
    <t>WQ-F04-T5-H01(08-19U)DP11-10</t>
  </si>
  <si>
    <t>210235A3SUH19A000153</t>
  </si>
  <si>
    <t>140103-2019-000717</t>
  </si>
  <si>
    <t>WQ-F04-T5-H01(08-19U)DP11-11</t>
  </si>
  <si>
    <t>210235A3SUH19A000364</t>
  </si>
  <si>
    <t>140103-2019-000718</t>
  </si>
  <si>
    <t>WQ-F04-T5-H01(08-19U)DP11-12</t>
  </si>
  <si>
    <t>210235A3SUH19A000116</t>
  </si>
  <si>
    <t>140103-2019-000719</t>
  </si>
  <si>
    <t>WQ-F04-T5-H01(08-19U)DP11-13</t>
  </si>
  <si>
    <t>210235A3SUH19A000119</t>
  </si>
  <si>
    <t>140103-2019-000720</t>
  </si>
  <si>
    <t>WQ-F04-T5-H01(08-19U)DP11-14</t>
  </si>
  <si>
    <t>210235A3SUH19A000295</t>
  </si>
  <si>
    <t>140103-2019-000721</t>
  </si>
  <si>
    <t>WQ-F04-T5-H01(08-19U)DP11-15</t>
  </si>
  <si>
    <t>210235A3SUH19A000139</t>
  </si>
  <si>
    <t>140103-2019-000722</t>
  </si>
  <si>
    <t>WQ-F04-T5-H01(08-19U)DP11-16</t>
  </si>
  <si>
    <t>210235A3SUH19A000112</t>
  </si>
  <si>
    <t>140103-2019-000622</t>
  </si>
  <si>
    <t>WQ-F04-T5-H01(08-19U)DP11-2</t>
  </si>
  <si>
    <t>210235A3SUH19A000150</t>
  </si>
  <si>
    <t>140103-2019-000623</t>
  </si>
  <si>
    <t>WQ-F04-T5-H01(08-19U)DP11-3</t>
  </si>
  <si>
    <t>210235A3SUH19A000286</t>
  </si>
  <si>
    <t>140103-2019-000624</t>
  </si>
  <si>
    <t>WQ-F04-T5-H01(08-19U)DP11-4</t>
  </si>
  <si>
    <t>210235A3SUH19A000378</t>
  </si>
  <si>
    <t>140103-2019-000625</t>
  </si>
  <si>
    <t>WQ-F04-T5-H01(08-19U)DP11-5</t>
  </si>
  <si>
    <t>210235A3SUH19A000379</t>
  </si>
  <si>
    <t>140103-2019-000626</t>
  </si>
  <si>
    <t>WQ-F04-T5-H01(08-19U)DP11-6</t>
  </si>
  <si>
    <t>210235A3SUH19A000385</t>
  </si>
  <si>
    <t>140103-2019-000711</t>
  </si>
  <si>
    <t>WQ-F04-T5-H01(08-19U)DP11-7</t>
  </si>
  <si>
    <t>210235A3SUH19A000115</t>
  </si>
  <si>
    <t>140103-2019-000712</t>
  </si>
  <si>
    <t>WQ-F04-T5-H01(08-19U)DP11-8</t>
  </si>
  <si>
    <t>210235A3SUH19A000142</t>
  </si>
  <si>
    <t>140103-2019-000713</t>
  </si>
  <si>
    <t>WQ-F04-T5-H01(08-19U)DP11-9</t>
  </si>
  <si>
    <t>210235A3SUH19B000132</t>
  </si>
  <si>
    <t>140103-2019-000731</t>
  </si>
  <si>
    <t>WQ-F04-T5-H08(08-19U)DP4-1</t>
  </si>
  <si>
    <t>210235A3SUH19A000368</t>
  </si>
  <si>
    <t>140103-2019-000758</t>
  </si>
  <si>
    <t>WQ-F04-T5-H08(08-19U)DP4-10</t>
  </si>
  <si>
    <t>210235A3SUH19A000207</t>
  </si>
  <si>
    <t>140103-2019-000759</t>
  </si>
  <si>
    <t>WQ-F04-T5-H08(08-19U)DP4-11</t>
  </si>
  <si>
    <t>210235A3SUH19A000118</t>
  </si>
  <si>
    <t>140103-2019-000760</t>
  </si>
  <si>
    <t>WQ-F04-T5-H08(08-19U)DP4-12</t>
  </si>
  <si>
    <t>210235A3SUH19B000144</t>
  </si>
  <si>
    <t>140103-2019-000732</t>
  </si>
  <si>
    <t>WQ-F04-T5-H08(08-19U)DP4-2</t>
  </si>
  <si>
    <t>210235A3SUH19A000294</t>
  </si>
  <si>
    <t>140103-2019-000751</t>
  </si>
  <si>
    <t>WQ-F04-T5-H08(08-19U)DP4-3</t>
  </si>
  <si>
    <t>210235A3SUH19A000370</t>
  </si>
  <si>
    <t>140103-2019-000752</t>
  </si>
  <si>
    <t>WQ-F04-T5-H08(08-19U)DP4-4</t>
  </si>
  <si>
    <t>210235A3SUH19A000296</t>
  </si>
  <si>
    <t>140103-2019-000753</t>
  </si>
  <si>
    <t>WQ-F04-T5-H08(08-19U)DP4-5</t>
  </si>
  <si>
    <t>210235A3SUH197000110</t>
  </si>
  <si>
    <t>140103-2019-000754</t>
  </si>
  <si>
    <t>WQ-F04-T5-H08(08-19U)DP4-6</t>
  </si>
  <si>
    <t>210235A3SUH19A000320</t>
  </si>
  <si>
    <t>140103-2019-000755</t>
  </si>
  <si>
    <t>WQ-F04-T5-H08(08-19U)DP4-7</t>
  </si>
  <si>
    <t>210235A3SUH19A000292</t>
  </si>
  <si>
    <t>140103-2019-000756</t>
  </si>
  <si>
    <t>WQ-F04-T5-H08(08-19U)DP4-8</t>
  </si>
  <si>
    <t>210235A3SUH19A000079</t>
  </si>
  <si>
    <t>140103-2019-000757</t>
  </si>
  <si>
    <t>WQ-F04-T5-H08(08-19U)DP4-9</t>
  </si>
  <si>
    <t>210235A3SUH19B000149</t>
  </si>
  <si>
    <t>140103-2019-000777</t>
  </si>
  <si>
    <t>WQ-F04-T5-H08(08-19U)DP5-13</t>
  </si>
  <si>
    <t>210235A3SUH19B000053</t>
  </si>
  <si>
    <t>140103-2019-000778</t>
  </si>
  <si>
    <t>WQ-F04-T5-H08(08-19U)DP5-14</t>
  </si>
  <si>
    <t>210235A3SUH19B000164</t>
  </si>
  <si>
    <t>140103-2019-000779</t>
  </si>
  <si>
    <t>WQ-F04-T5-H08(08-19U)DP5-15</t>
  </si>
  <si>
    <t>210235A3SUH19B000095</t>
  </si>
  <si>
    <t>140103-2019-000780</t>
  </si>
  <si>
    <t>WQ-F04-T5-H08(08-19U)DP5-16</t>
  </si>
  <si>
    <t>210235A1GFX19C000020</t>
  </si>
  <si>
    <t>140502-2020-000032</t>
  </si>
  <si>
    <t>XD-B02-KF-A08(06-11U)</t>
  </si>
  <si>
    <t>210235A1GFX19C00001Y</t>
  </si>
  <si>
    <t>140502-2020-000034</t>
  </si>
  <si>
    <t>XD-B02-KF-A04(22-27U)</t>
  </si>
  <si>
    <t>神州云科 YK-ADC-I4600</t>
  </si>
  <si>
    <t>yk-0000-0329</t>
  </si>
  <si>
    <t>140503-2020-000003</t>
  </si>
  <si>
    <t>XD-B03-YD-J07(16-16U)</t>
  </si>
  <si>
    <t>yk-0000-0330</t>
  </si>
  <si>
    <t>140503-2020-000004</t>
  </si>
  <si>
    <t>XD-B03-YD-J06(16-16U)</t>
  </si>
  <si>
    <t>102020031564</t>
  </si>
  <si>
    <t>140601-2020-000013</t>
  </si>
  <si>
    <t>XD-B03-YD-J07(12-12U)</t>
  </si>
  <si>
    <t>华为E9000</t>
  </si>
  <si>
    <t>98E9U304038-001</t>
  </si>
  <si>
    <t>140901-2016-000015</t>
  </si>
  <si>
    <t>TK-F01-104-H10(1-14U)</t>
  </si>
  <si>
    <t>IBM Flexsystem</t>
  </si>
  <si>
    <t>06D7189</t>
  </si>
  <si>
    <t>141101-2012-000800</t>
  </si>
  <si>
    <t>TK-F01-106-A5(3-11U)</t>
  </si>
  <si>
    <t>06D7187</t>
  </si>
  <si>
    <t>141101-2012-000799</t>
  </si>
  <si>
    <t>TK-F01-106-A5机柜(13-22U)</t>
  </si>
  <si>
    <t>FOX1619GMJP</t>
  </si>
  <si>
    <t>141101-2012-000805</t>
  </si>
  <si>
    <t>TK-F01-106-D03(25-30U)</t>
  </si>
  <si>
    <r>
      <rPr>
        <sz val="12"/>
        <rFont val="宋体"/>
        <charset val="134"/>
      </rPr>
      <t>浪潮</t>
    </r>
    <r>
      <rPr>
        <sz val="12"/>
        <rFont val="Arial"/>
        <charset val="134"/>
      </rPr>
      <t xml:space="preserve"> i48</t>
    </r>
  </si>
  <si>
    <t>219555993</t>
  </si>
  <si>
    <t>140901-2019-000031</t>
  </si>
  <si>
    <t>TK-F01-109-A7(12-15U)</t>
  </si>
  <si>
    <t>浪潮 i48</t>
  </si>
  <si>
    <t>219548291</t>
  </si>
  <si>
    <t>140901-2019-000030</t>
  </si>
  <si>
    <t>TK-F01-109-A7(17-20U)</t>
  </si>
  <si>
    <t>219556101</t>
  </si>
  <si>
    <t>140901-2019-000033</t>
  </si>
  <si>
    <t>TK-F01-109-A7(2-5U)</t>
  </si>
  <si>
    <t>219556097</t>
  </si>
  <si>
    <t>140901-2019-000032</t>
  </si>
  <si>
    <t>TK-F01-109-A7(7-10U)</t>
  </si>
  <si>
    <t>219556099</t>
  </si>
  <si>
    <t>140901-2019-000034</t>
  </si>
  <si>
    <t>TK-F01-109-B1(2-5U)</t>
  </si>
  <si>
    <t>219555975</t>
  </si>
  <si>
    <t>140901-2019-000036</t>
  </si>
  <si>
    <t>TK-F01-109-B2(12-15U)</t>
  </si>
  <si>
    <t>219555983</t>
  </si>
  <si>
    <t>140901-2019-000035</t>
  </si>
  <si>
    <t>TK-F01-109-B2(17-20U)</t>
  </si>
  <si>
    <t>219555981</t>
  </si>
  <si>
    <t>140901-2019-000038</t>
  </si>
  <si>
    <t>TK-F01-109-B2(2-5U)</t>
  </si>
  <si>
    <t>219555974</t>
  </si>
  <si>
    <t>140901-2019-000037</t>
  </si>
  <si>
    <t>TK-F01-109-B2(7-10U)</t>
  </si>
  <si>
    <t>219555979</t>
  </si>
  <si>
    <t>140901-2019-000040</t>
  </si>
  <si>
    <t>TK-F01-109-B3(12-15U)</t>
  </si>
  <si>
    <t>219555980</t>
  </si>
  <si>
    <t>140901-2019-000039</t>
  </si>
  <si>
    <t>TK-F01-109-B3(17-20U)</t>
  </si>
  <si>
    <t>219555976</t>
  </si>
  <si>
    <t>140901-2019-000042</t>
  </si>
  <si>
    <t>TK-F01-109-B3(2-5U)</t>
  </si>
  <si>
    <t>219555984</t>
  </si>
  <si>
    <t>140901-2019-000041</t>
  </si>
  <si>
    <t>TK-F01-109-B3(7-10U)</t>
  </si>
  <si>
    <t>219555978</t>
  </si>
  <si>
    <t>140901-2019-000044</t>
  </si>
  <si>
    <t>TK-F01-109-B4(12-15U)</t>
  </si>
  <si>
    <t>219555985</t>
  </si>
  <si>
    <t>140901-2019-000043</t>
  </si>
  <si>
    <t>TK-F01-109-B4(17-20U)</t>
  </si>
  <si>
    <t>219555982</t>
  </si>
  <si>
    <t>140901-2019-000046</t>
  </si>
  <si>
    <t>TK-F01-109-B4(2-5U)</t>
  </si>
  <si>
    <t>219555977</t>
  </si>
  <si>
    <t>140901-2019-000045</t>
  </si>
  <si>
    <t>TK-F01-109-B4(7-10U)</t>
  </si>
  <si>
    <t>219556089</t>
  </si>
  <si>
    <t>140901-2019-000048</t>
  </si>
  <si>
    <t>TK-F01-109-B5(12-15U)</t>
  </si>
  <si>
    <t>219556093</t>
  </si>
  <si>
    <t>140901-2019-000047</t>
  </si>
  <si>
    <t>TK-F01-109-B5(17-20U)</t>
  </si>
  <si>
    <t>219556087</t>
  </si>
  <si>
    <t>140901-2019-000050</t>
  </si>
  <si>
    <t>TK-F01-109-B5(2-5U)</t>
  </si>
  <si>
    <t>219556088</t>
  </si>
  <si>
    <t>140901-2019-000049</t>
  </si>
  <si>
    <t>TK-F01-109-B5(7-10U)</t>
  </si>
  <si>
    <t>219556085</t>
  </si>
  <si>
    <t>140901-2019-000052</t>
  </si>
  <si>
    <t>TK-F01-109-B6(12-15U)</t>
  </si>
  <si>
    <t>219556092</t>
  </si>
  <si>
    <t>140901-2019-000051</t>
  </si>
  <si>
    <t>TK-F01-109-B6(17-20U)</t>
  </si>
  <si>
    <t>219556090</t>
  </si>
  <si>
    <t>140901-2019-000054</t>
  </si>
  <si>
    <t>TK-F01-109-B6(2-5U)</t>
  </si>
  <si>
    <t>219556084</t>
  </si>
  <si>
    <t>140901-2019-000053</t>
  </si>
  <si>
    <t>TK-F01-109-B6(7-10U)</t>
  </si>
  <si>
    <t>219556091</t>
  </si>
  <si>
    <t>140901-2019-000056</t>
  </si>
  <si>
    <t>TK-F01-109-B7(12-15U)</t>
  </si>
  <si>
    <t>219556083</t>
  </si>
  <si>
    <t>140901-2019-000055</t>
  </si>
  <si>
    <t>TK-F01-109-B7(17-20U)</t>
  </si>
  <si>
    <t>219556094</t>
  </si>
  <si>
    <t>140901-2019-000058</t>
  </si>
  <si>
    <t>TK-F01-109-B7(2-5U)</t>
  </si>
  <si>
    <t>219556086</t>
  </si>
  <si>
    <t>140901-2019-000057</t>
  </si>
  <si>
    <t>TK-F01-109-B7(7-10U)</t>
  </si>
  <si>
    <t>219556100</t>
  </si>
  <si>
    <t>140901-2019-000027</t>
  </si>
  <si>
    <t>TK-F02-226-C10(12-15U)</t>
  </si>
  <si>
    <t>219556096</t>
  </si>
  <si>
    <t>140901-2019-000026</t>
  </si>
  <si>
    <t>TK-F02-226-C10(17-20U)</t>
  </si>
  <si>
    <t>219562799</t>
  </si>
  <si>
    <t>140901-2019-000029</t>
  </si>
  <si>
    <t>TK-F02-226-C10(2-5U)</t>
  </si>
  <si>
    <t>219562798</t>
  </si>
  <si>
    <t>140901-2019-000028</t>
  </si>
  <si>
    <t>TK-F02-226-C10(7-10U)</t>
  </si>
  <si>
    <t>219556095</t>
  </si>
  <si>
    <t>140901-2019-000011</t>
  </si>
  <si>
    <t>TK-F02-226-G1(12-15U)</t>
  </si>
  <si>
    <t>219556098</t>
  </si>
  <si>
    <t>140901-2019-000010</t>
  </si>
  <si>
    <t>TK-F02-226-G1(17-20U)</t>
  </si>
  <si>
    <t>219555994</t>
  </si>
  <si>
    <t>140901-2019-000013</t>
  </si>
  <si>
    <t>TK-F02-226-G1(2-5U)</t>
  </si>
  <si>
    <t>219555992</t>
  </si>
  <si>
    <t>140901-2019-000012</t>
  </si>
  <si>
    <t>TK-F02-226-G1(7-10U)</t>
  </si>
  <si>
    <t>219555988</t>
  </si>
  <si>
    <t>140901-2019-000015</t>
  </si>
  <si>
    <t>TK-F02-226-G2(12-15U)</t>
  </si>
  <si>
    <t>219555991</t>
  </si>
  <si>
    <t>140901-2019-000014</t>
  </si>
  <si>
    <t>TK-F02-226-G2(17-20U)</t>
  </si>
  <si>
    <t>219555990</t>
  </si>
  <si>
    <t>140901-2019-000017</t>
  </si>
  <si>
    <t>TK-F02-226-G2(2-5U)</t>
  </si>
  <si>
    <t>219555995</t>
  </si>
  <si>
    <t>140901-2019-000016</t>
  </si>
  <si>
    <t>TK-F02-226-G2(7-10U)</t>
  </si>
  <si>
    <t>219555987</t>
  </si>
  <si>
    <t>140901-2019-000019</t>
  </si>
  <si>
    <t>TK-F02-226-G3(2-5U)</t>
  </si>
  <si>
    <t>219555989</t>
  </si>
  <si>
    <t>140901-2019-000018</t>
  </si>
  <si>
    <t>TK-F02-226-G3(7-10U)</t>
  </si>
  <si>
    <t>219562779</t>
  </si>
  <si>
    <t>140901-2019-000021</t>
  </si>
  <si>
    <t>TK-F02-226-G4(12-15U)</t>
  </si>
  <si>
    <t>219562778</t>
  </si>
  <si>
    <t>140901-2019-000020</t>
  </si>
  <si>
    <t>TK-F02-226-G4(17-20U)</t>
  </si>
  <si>
    <t>219562781</t>
  </si>
  <si>
    <t>140901-2019-000023</t>
  </si>
  <si>
    <t>TK-F02-226-G4(2-5U)</t>
  </si>
  <si>
    <t>219562780</t>
  </si>
  <si>
    <t>140901-2019-000022</t>
  </si>
  <si>
    <t>TK-F02-226-G4(7-10U)</t>
  </si>
  <si>
    <t>219555986</t>
  </si>
  <si>
    <t>140901-2019-000025</t>
  </si>
  <si>
    <t>TK-F02-226-G5(2-5U)</t>
  </si>
  <si>
    <t>219556082</t>
  </si>
  <si>
    <t>140901-2019-000024</t>
  </si>
  <si>
    <t>TK-F02-226-G5(7-10U)</t>
  </si>
  <si>
    <t>FNPDF3X</t>
  </si>
  <si>
    <t>141101-2012-000751</t>
  </si>
  <si>
    <t>XD-B03-KP-A02(4-13U)DP102</t>
  </si>
  <si>
    <t>华为S5720-52P-SI</t>
  </si>
  <si>
    <t>2102350DLUDMGB000499</t>
  </si>
  <si>
    <t>140502-2016-000234</t>
  </si>
  <si>
    <t>WQ-F04-T8-I14(39-39U)</t>
  </si>
  <si>
    <t>06ACPF0</t>
  </si>
  <si>
    <t>140103-2012-001175</t>
  </si>
  <si>
    <t>TK-F01-106-A5(13-22U)-4</t>
  </si>
  <si>
    <t>华三 S5820V2-52QF</t>
  </si>
  <si>
    <t>210235A1DWH149000107</t>
  </si>
  <si>
    <t>140502-2014-001094</t>
  </si>
  <si>
    <t>TK-F01-101-G(6-6U)</t>
  </si>
  <si>
    <t>210235A1DWH149000111</t>
  </si>
  <si>
    <t>140502-2014-001093</t>
  </si>
  <si>
    <t>TK-F01-101-G(9-9U)</t>
  </si>
  <si>
    <t>2102113373P0E9000496</t>
  </si>
  <si>
    <t>140501-2014-000560</t>
  </si>
  <si>
    <t>TK-F01-101-G0(25-26U)</t>
  </si>
  <si>
    <t>华三 S5500-58C-HI</t>
  </si>
  <si>
    <t>210235AOHAH14A000366</t>
  </si>
  <si>
    <t>140502-2014-001100</t>
  </si>
  <si>
    <t>TK-F01-101-G0(29-29U)</t>
  </si>
  <si>
    <t>210235AOHAH14A000076</t>
  </si>
  <si>
    <t>140502-2014-001099</t>
  </si>
  <si>
    <t>TK-F01-101-G0(32-32U)</t>
  </si>
  <si>
    <t>210235AOHAH14A000397</t>
  </si>
  <si>
    <t>140502-2014-001159</t>
  </si>
  <si>
    <t>TK-F01-101-G0(35-35U)</t>
  </si>
  <si>
    <t>210235AOHAH14A000246</t>
  </si>
  <si>
    <t>140502-2014-001104</t>
  </si>
  <si>
    <t>TK-F01-101-G0(38-38U)</t>
  </si>
  <si>
    <r>
      <rPr>
        <sz val="12"/>
        <rFont val="宋体"/>
        <charset val="134"/>
      </rPr>
      <t>华三</t>
    </r>
    <r>
      <rPr>
        <sz val="12"/>
        <rFont val="Arial"/>
        <charset val="134"/>
      </rPr>
      <t xml:space="preserve"> H3C S5800-56C-EI</t>
    </r>
  </si>
  <si>
    <t>210235A1G9H178000018</t>
  </si>
  <si>
    <t>140502-2017-000122</t>
  </si>
  <si>
    <t>TK-F01-101-G0(7-7U)</t>
  </si>
  <si>
    <t>华三 H3C S5800-56C-EI</t>
  </si>
  <si>
    <t>210235A1G9H178000016</t>
  </si>
  <si>
    <t>140502-2017-000121</t>
  </si>
  <si>
    <t>TK-F01-101-G0(9-9U)</t>
  </si>
  <si>
    <t>华三 S5820X-28S</t>
  </si>
  <si>
    <t>210235A36XH149000035</t>
  </si>
  <si>
    <t>140502-2014-001089</t>
  </si>
  <si>
    <t>TK-F01-101-G2(32-32U)</t>
  </si>
  <si>
    <t>210235A36XH149000087</t>
  </si>
  <si>
    <t>140502-2014-001090</t>
  </si>
  <si>
    <t>TK-F01-101-G3(32-32U)</t>
  </si>
  <si>
    <r>
      <rPr>
        <sz val="12"/>
        <rFont val="宋体"/>
        <charset val="134"/>
      </rPr>
      <t>艾默生</t>
    </r>
    <r>
      <rPr>
        <sz val="12"/>
        <rFont val="Arial"/>
        <charset val="134"/>
      </rPr>
      <t>PEX</t>
    </r>
    <r>
      <rPr>
        <sz val="12"/>
        <rFont val="宋体"/>
        <charset val="134"/>
      </rPr>
      <t>系列一组（含</t>
    </r>
    <r>
      <rPr>
        <sz val="12"/>
        <rFont val="Arial"/>
        <charset val="134"/>
      </rPr>
      <t>P2100DA</t>
    </r>
    <r>
      <rPr>
        <sz val="12"/>
        <rFont val="宋体"/>
        <charset val="134"/>
      </rPr>
      <t>，</t>
    </r>
    <r>
      <rPr>
        <sz val="12"/>
        <rFont val="Arial"/>
        <charset val="134"/>
      </rPr>
      <t>2</t>
    </r>
    <r>
      <rPr>
        <sz val="12"/>
        <rFont val="宋体"/>
        <charset val="134"/>
      </rPr>
      <t>台和</t>
    </r>
    <r>
      <rPr>
        <sz val="12"/>
        <rFont val="Arial"/>
        <charset val="134"/>
      </rPr>
      <t>CR035</t>
    </r>
    <r>
      <rPr>
        <sz val="12"/>
        <rFont val="宋体"/>
        <charset val="134"/>
      </rPr>
      <t>，</t>
    </r>
    <r>
      <rPr>
        <sz val="12"/>
        <rFont val="Arial"/>
        <charset val="134"/>
      </rPr>
      <t>4</t>
    </r>
    <r>
      <rPr>
        <sz val="12"/>
        <rFont val="宋体"/>
        <charset val="134"/>
      </rPr>
      <t>台）</t>
    </r>
  </si>
  <si>
    <r>
      <rPr>
        <sz val="12"/>
        <rFont val="Arial"/>
        <charset val="134"/>
      </rPr>
      <t>21013031272161020009</t>
    </r>
    <r>
      <rPr>
        <sz val="12"/>
        <rFont val="宋体"/>
        <charset val="134"/>
      </rPr>
      <t>（</t>
    </r>
    <r>
      <rPr>
        <sz val="12"/>
        <rFont val="Arial"/>
        <charset val="134"/>
      </rPr>
      <t>107</t>
    </r>
    <r>
      <rPr>
        <sz val="12"/>
        <rFont val="宋体"/>
        <charset val="134"/>
      </rPr>
      <t>）</t>
    </r>
    <r>
      <rPr>
        <sz val="12"/>
        <rFont val="Arial"/>
        <charset val="134"/>
      </rPr>
      <t>;  21013031272161020006</t>
    </r>
    <r>
      <rPr>
        <sz val="12"/>
        <rFont val="宋体"/>
        <charset val="134"/>
      </rPr>
      <t>（</t>
    </r>
    <r>
      <rPr>
        <sz val="12"/>
        <rFont val="Arial"/>
        <charset val="134"/>
      </rPr>
      <t>107</t>
    </r>
    <r>
      <rPr>
        <sz val="12"/>
        <rFont val="宋体"/>
        <charset val="134"/>
      </rPr>
      <t>）</t>
    </r>
    <r>
      <rPr>
        <sz val="12"/>
        <rFont val="Arial"/>
        <charset val="134"/>
      </rPr>
      <t>; 2101302474217A020009</t>
    </r>
    <r>
      <rPr>
        <sz val="12"/>
        <rFont val="宋体"/>
        <charset val="134"/>
      </rPr>
      <t>（</t>
    </r>
    <r>
      <rPr>
        <sz val="12"/>
        <rFont val="Arial"/>
        <charset val="134"/>
      </rPr>
      <t>103</t>
    </r>
    <r>
      <rPr>
        <sz val="12"/>
        <rFont val="宋体"/>
        <charset val="134"/>
      </rPr>
      <t>）</t>
    </r>
    <r>
      <rPr>
        <sz val="12"/>
        <rFont val="Arial"/>
        <charset val="134"/>
      </rPr>
      <t>; 2101302474217A020006</t>
    </r>
    <r>
      <rPr>
        <sz val="12"/>
        <rFont val="宋体"/>
        <charset val="134"/>
      </rPr>
      <t>（</t>
    </r>
    <r>
      <rPr>
        <sz val="12"/>
        <rFont val="Arial"/>
        <charset val="134"/>
      </rPr>
      <t>103</t>
    </r>
    <r>
      <rPr>
        <sz val="12"/>
        <rFont val="宋体"/>
        <charset val="134"/>
      </rPr>
      <t>）</t>
    </r>
    <r>
      <rPr>
        <sz val="12"/>
        <rFont val="Arial"/>
        <charset val="134"/>
      </rPr>
      <t>; 2101302474217A020008</t>
    </r>
    <r>
      <rPr>
        <sz val="12"/>
        <rFont val="宋体"/>
        <charset val="134"/>
      </rPr>
      <t>（</t>
    </r>
    <r>
      <rPr>
        <sz val="12"/>
        <rFont val="Arial"/>
        <charset val="134"/>
      </rPr>
      <t>103</t>
    </r>
    <r>
      <rPr>
        <sz val="12"/>
        <rFont val="宋体"/>
        <charset val="134"/>
      </rPr>
      <t>）</t>
    </r>
    <r>
      <rPr>
        <sz val="12"/>
        <rFont val="Arial"/>
        <charset val="134"/>
      </rPr>
      <t>;  2101302474217A02000A</t>
    </r>
    <r>
      <rPr>
        <sz val="12"/>
        <rFont val="宋体"/>
        <charset val="134"/>
      </rPr>
      <t>（</t>
    </r>
    <r>
      <rPr>
        <sz val="12"/>
        <rFont val="Arial"/>
        <charset val="134"/>
      </rPr>
      <t>103</t>
    </r>
    <r>
      <rPr>
        <sz val="12"/>
        <rFont val="宋体"/>
        <charset val="134"/>
      </rPr>
      <t>）</t>
    </r>
    <r>
      <rPr>
        <sz val="12"/>
        <rFont val="Arial"/>
        <charset val="134"/>
      </rPr>
      <t>;</t>
    </r>
  </si>
  <si>
    <t>140702-2017-000001</t>
  </si>
  <si>
    <t>TK-F01-103
TK-F01-107</t>
  </si>
  <si>
    <t>210235A1G9H178000028</t>
  </si>
  <si>
    <t>140502-2017-000124</t>
  </si>
  <si>
    <t>TK-F01-103-A(10-10U)</t>
  </si>
  <si>
    <t>210235A1G9H179000017</t>
  </si>
  <si>
    <t>140502-2017-000123</t>
  </si>
  <si>
    <t>TK-F01-103-A(12-12U)</t>
  </si>
  <si>
    <t>210235A1G9H178000055</t>
  </si>
  <si>
    <t>140502-2017-000118</t>
  </si>
  <si>
    <t>TK-F01-103-A(22-22U)</t>
  </si>
  <si>
    <t>210235A1G9H178000036</t>
  </si>
  <si>
    <t>140502-2017-000117</t>
  </si>
  <si>
    <t>TK-F01-103-A(24-24U)</t>
  </si>
  <si>
    <t>华三 H3C S6800-54QF</t>
  </si>
  <si>
    <t>210235A1TXH179000255</t>
  </si>
  <si>
    <t>140502-2017-000116</t>
  </si>
  <si>
    <t>TK-F01-103-A(26-26U)</t>
  </si>
  <si>
    <t>210235A1TXH179000243</t>
  </si>
  <si>
    <t>140502-2017-000115</t>
  </si>
  <si>
    <t>TK-F01-103-A(28-28U)</t>
  </si>
  <si>
    <t>J33GRYV</t>
  </si>
  <si>
    <t>140103-2017-001188</t>
  </si>
  <si>
    <t>TK-F01-103-A(30-31U)</t>
  </si>
  <si>
    <t>J33GRYT</t>
  </si>
  <si>
    <t>140103-2017-001189</t>
  </si>
  <si>
    <t>TK-F01-103-A(32-33U)</t>
  </si>
  <si>
    <t>210235A1G9H178000046</t>
  </si>
  <si>
    <t>140502-2017-000125</t>
  </si>
  <si>
    <t>TK-F01-103-A(8-8U)</t>
  </si>
  <si>
    <t>浪潮SN5160M4</t>
  </si>
  <si>
    <t>217399866-10A</t>
  </si>
  <si>
    <t>140103-2017-001166</t>
  </si>
  <si>
    <t>TK-F01-103-A1(10-10U)</t>
  </si>
  <si>
    <t>217399866-11A</t>
  </si>
  <si>
    <t>140103-2017-001165</t>
  </si>
  <si>
    <t>TK-F01-103-A1(11-11U)</t>
  </si>
  <si>
    <t>217399866-12A</t>
  </si>
  <si>
    <t>140103-2017-001164</t>
  </si>
  <si>
    <t>TK-F01-103-A1(12-12U)</t>
  </si>
  <si>
    <t>217399866-13A</t>
  </si>
  <si>
    <t>140103-2017-001163</t>
  </si>
  <si>
    <t>TK-F01-103-A1(13-13U)</t>
  </si>
  <si>
    <t>217399866-14A</t>
  </si>
  <si>
    <t>140103-2017-001162</t>
  </si>
  <si>
    <t>TK-F01-103-A1(14-14U)</t>
  </si>
  <si>
    <t>217399866-15A</t>
  </si>
  <si>
    <t>140103-2017-001161</t>
  </si>
  <si>
    <t>TK-F01-103-A1(15-15U)</t>
  </si>
  <si>
    <t>217399866-16A</t>
  </si>
  <si>
    <t>140103-2017-001160</t>
  </si>
  <si>
    <t>TK-F01-103-A1(16-16U)</t>
  </si>
  <si>
    <t>217399866-17A</t>
  </si>
  <si>
    <t>140103-2017-001229</t>
  </si>
  <si>
    <t>TK-F01-103-A1(17-17U)</t>
  </si>
  <si>
    <t>217399866-18A</t>
  </si>
  <si>
    <t>140103-2017-001228</t>
  </si>
  <si>
    <t>TK-F01-103-A1(18-18U)</t>
  </si>
  <si>
    <t>217399866-19A</t>
  </si>
  <si>
    <t>140103-2017-001227</t>
  </si>
  <si>
    <t>TK-F01-103-A1(19-19U)</t>
  </si>
  <si>
    <t>217399866-30A</t>
  </si>
  <si>
    <t>140103-2017-001393</t>
  </si>
  <si>
    <t>TK-F01-103-A1(1-1U)</t>
  </si>
  <si>
    <t>217399866-20A</t>
  </si>
  <si>
    <t>140103-2017-001226</t>
  </si>
  <si>
    <t>TK-F01-103-A1(20-20U)</t>
  </si>
  <si>
    <t>217399866-21A</t>
  </si>
  <si>
    <t>140103-2017-001232</t>
  </si>
  <si>
    <t>TK-F01-103-A1(26-26U)</t>
  </si>
  <si>
    <t>217399866-22A</t>
  </si>
  <si>
    <t>140103-2017-001231</t>
  </si>
  <si>
    <t>TK-F01-103-A1(27-27U)</t>
  </si>
  <si>
    <t>217399866-23A</t>
  </si>
  <si>
    <t>140103-2017-001246</t>
  </si>
  <si>
    <t>TK-F01-103-A1(28-28U)</t>
  </si>
  <si>
    <t>217399866-24A</t>
  </si>
  <si>
    <t>140103-2017-001245</t>
  </si>
  <si>
    <t>TK-F01-103-A1(29-29U)</t>
  </si>
  <si>
    <t>217399866-31A</t>
  </si>
  <si>
    <t>140103-2017-001392</t>
  </si>
  <si>
    <t>TK-F01-103-A1(2-2U)</t>
  </si>
  <si>
    <t>217399866-25A</t>
  </si>
  <si>
    <t>140103-2017-001244</t>
  </si>
  <si>
    <t>TK-F01-103-A1(30-30U)</t>
  </si>
  <si>
    <t>217399866-26A</t>
  </si>
  <si>
    <t>140103-2017-001243</t>
  </si>
  <si>
    <t>TK-F01-103-A1(31-31U)</t>
  </si>
  <si>
    <t>217399866-27A</t>
  </si>
  <si>
    <t>140103-2017-001242</t>
  </si>
  <si>
    <t>TK-F01-103-A1(32-32U)</t>
  </si>
  <si>
    <t>217399866-28A</t>
  </si>
  <si>
    <t>140103-2017-001241</t>
  </si>
  <si>
    <t>TK-F01-103-A1(33-33U)</t>
  </si>
  <si>
    <t>217399866-29A</t>
  </si>
  <si>
    <t>140103-2017-001240</t>
  </si>
  <si>
    <t>TK-F01-103-A1(34-34U)</t>
  </si>
  <si>
    <t>217399866-01A</t>
  </si>
  <si>
    <t>140103-2017-001239</t>
  </si>
  <si>
    <t>TK-F01-103-A1(35-35U)</t>
  </si>
  <si>
    <t>217399866-02A</t>
  </si>
  <si>
    <t>140103-2017-001238</t>
  </si>
  <si>
    <t>TK-F01-103-A1(36-36U)</t>
  </si>
  <si>
    <t>217399866-32A</t>
  </si>
  <si>
    <t>140103-2017-001237</t>
  </si>
  <si>
    <t>TK-F01-103-A1(37-37U)</t>
  </si>
  <si>
    <t>217399866-03A</t>
  </si>
  <si>
    <t>140103-2017-001236</t>
  </si>
  <si>
    <t>TK-F01-103-A1(3-3U)</t>
  </si>
  <si>
    <t>217399866-04A</t>
  </si>
  <si>
    <t>140103-2017-001235</t>
  </si>
  <si>
    <t>TK-F01-103-A1(4-4U)</t>
  </si>
  <si>
    <t>217399866-05A</t>
  </si>
  <si>
    <t>140103-2017-001234</t>
  </si>
  <si>
    <t>TK-F01-103-A1(5-5U)</t>
  </si>
  <si>
    <t>217399866-06A</t>
  </si>
  <si>
    <t>140103-2017-001233</t>
  </si>
  <si>
    <t>TK-F01-103-A1(6-6U)</t>
  </si>
  <si>
    <t>217399866-07A</t>
  </si>
  <si>
    <t>140103-2017-001169</t>
  </si>
  <si>
    <t>TK-F01-103-A1(7-7U)</t>
  </si>
  <si>
    <t>217399866-08A</t>
  </si>
  <si>
    <t>140103-2017-001168</t>
  </si>
  <si>
    <t>TK-F01-103-A1(8-8U)</t>
  </si>
  <si>
    <t>217399866-09A</t>
  </si>
  <si>
    <t>140103-2017-001167</t>
  </si>
  <si>
    <t>TK-F01-103-A1(9-9U)</t>
  </si>
  <si>
    <t>217399899-10A</t>
  </si>
  <si>
    <t>140103-2017-001275</t>
  </si>
  <si>
    <t>TK-F01-103-A2(10-10U)</t>
  </si>
  <si>
    <t>217399899-11A</t>
  </si>
  <si>
    <t>140103-2017-001274</t>
  </si>
  <si>
    <t>TK-F01-103-A2(11-11U)</t>
  </si>
  <si>
    <t>217399899-12A</t>
  </si>
  <si>
    <t>140103-2017-001273</t>
  </si>
  <si>
    <t>TK-F01-103-A2(12-12U)</t>
  </si>
  <si>
    <t>217399899-13A</t>
  </si>
  <si>
    <t>140103-2017-001272</t>
  </si>
  <si>
    <t>TK-F01-103-A2(13-13U)</t>
  </si>
  <si>
    <t>217399899-14A</t>
  </si>
  <si>
    <t>140103-2017-001271</t>
  </si>
  <si>
    <t>TK-F01-103-A2(14-14U)</t>
  </si>
  <si>
    <t>217399899-15A</t>
  </si>
  <si>
    <t>140103-2017-001266</t>
  </si>
  <si>
    <t>TK-F01-103-A2(15-15U)</t>
  </si>
  <si>
    <t>217399899-16A</t>
  </si>
  <si>
    <t>140103-2017-001265</t>
  </si>
  <si>
    <t>TK-F01-103-A2(16-16U)</t>
  </si>
  <si>
    <t>217399899-17A</t>
  </si>
  <si>
    <t>140103-2017-001264</t>
  </si>
  <si>
    <t>TK-F01-103-A2(17-17U)</t>
  </si>
  <si>
    <t>217399899-18A</t>
  </si>
  <si>
    <t>140103-2017-001263</t>
  </si>
  <si>
    <t>TK-F01-103-A2(18-18U)</t>
  </si>
  <si>
    <t>217399899-19A</t>
  </si>
  <si>
    <t>140103-2017-001262</t>
  </si>
  <si>
    <t>TK-F01-103-A2(19-19U)</t>
  </si>
  <si>
    <t>217399899-01A</t>
  </si>
  <si>
    <t>140103-2017-001260</t>
  </si>
  <si>
    <t>TK-F01-103-A2(1-1U)</t>
  </si>
  <si>
    <t>217399899-20A</t>
  </si>
  <si>
    <t>140103-2017-001261</t>
  </si>
  <si>
    <t>TK-F01-103-A2(20-20U)</t>
  </si>
  <si>
    <t>217399899-21A</t>
  </si>
  <si>
    <t>140103-2017-001415</t>
  </si>
  <si>
    <t>TK-F01-103-A2(26-26U)</t>
  </si>
  <si>
    <t>217399899-22A</t>
  </si>
  <si>
    <t>140103-2017-001414</t>
  </si>
  <si>
    <t>TK-F01-103-A2(27-27U)</t>
  </si>
  <si>
    <t>217399899-23A</t>
  </si>
  <si>
    <t>140103-2017-001413</t>
  </si>
  <si>
    <t>TK-F01-103-A2(28-28U)</t>
  </si>
  <si>
    <t>217399899-24A</t>
  </si>
  <si>
    <t>140103-2017-001412</t>
  </si>
  <si>
    <t>TK-F01-103-A2(29-29U)</t>
  </si>
  <si>
    <t>217399899-02A</t>
  </si>
  <si>
    <t>140103-2017-001259</t>
  </si>
  <si>
    <t>TK-F01-103-A2(2-2U)</t>
  </si>
  <si>
    <t>217399899-25A</t>
  </si>
  <si>
    <t>140103-2017-001254</t>
  </si>
  <si>
    <t>TK-F01-103-A2(30-30U)</t>
  </si>
  <si>
    <t>217399899-26A</t>
  </si>
  <si>
    <t>140103-2017-001253</t>
  </si>
  <si>
    <t>TK-F01-103-A2(31-31U)</t>
  </si>
  <si>
    <t>217399899-27A</t>
  </si>
  <si>
    <t>140103-2017-001252</t>
  </si>
  <si>
    <t>TK-F01-103-A2(32-32U)</t>
  </si>
  <si>
    <t>217399899-28A</t>
  </si>
  <si>
    <t>140103-2017-001251</t>
  </si>
  <si>
    <t>TK-F01-103-A2(33-33U)</t>
  </si>
  <si>
    <t>217399899-29A</t>
  </si>
  <si>
    <t>140103-2017-001250</t>
  </si>
  <si>
    <t>TK-F01-103-A2(34-34U)</t>
  </si>
  <si>
    <t>217399899-30A</t>
  </si>
  <si>
    <t>140103-2017-001249</t>
  </si>
  <si>
    <t>TK-F01-103-A2(35-35U)</t>
  </si>
  <si>
    <t>217399899-31A</t>
  </si>
  <si>
    <t>140103-2017-001248</t>
  </si>
  <si>
    <t>TK-F01-103-A2(36-36U)</t>
  </si>
  <si>
    <t>217399899-32A</t>
  </si>
  <si>
    <t>140103-2017-001247</t>
  </si>
  <si>
    <t>TK-F01-103-A2(37-37U)</t>
  </si>
  <si>
    <t>217399899-03A</t>
  </si>
  <si>
    <t>140103-2017-001258</t>
  </si>
  <si>
    <t>TK-F01-103-A2(3-3U)</t>
  </si>
  <si>
    <t>217399899-04A</t>
  </si>
  <si>
    <t>140103-2017-001257</t>
  </si>
  <si>
    <t>TK-F01-103-A2(4-4U)</t>
  </si>
  <si>
    <t>217399899-05A</t>
  </si>
  <si>
    <t>140103-2017-001256</t>
  </si>
  <si>
    <t>TK-F01-103-A2(5-5U)</t>
  </si>
  <si>
    <t>217399899-06A</t>
  </si>
  <si>
    <t>140103-2017-001255</t>
  </si>
  <si>
    <t>TK-F01-103-A2(6-6U)</t>
  </si>
  <si>
    <t>217399899-07A</t>
  </si>
  <si>
    <t>140103-2017-001278</t>
  </si>
  <si>
    <t>TK-F01-103-A2(7-7U)</t>
  </si>
  <si>
    <t>217399899-08A</t>
  </si>
  <si>
    <t>140103-2017-001277</t>
  </si>
  <si>
    <t>TK-F01-103-A2(8-8U)</t>
  </si>
  <si>
    <t>217399899-09A</t>
  </si>
  <si>
    <t>140103-2017-001276</t>
  </si>
  <si>
    <t>TK-F01-103-A2(9-9U)</t>
  </si>
  <si>
    <r>
      <rPr>
        <sz val="12"/>
        <rFont val="宋体"/>
        <charset val="134"/>
      </rPr>
      <t>浪潮</t>
    </r>
    <r>
      <rPr>
        <sz val="12"/>
        <rFont val="Arial"/>
        <charset val="134"/>
      </rPr>
      <t>SR</t>
    </r>
    <r>
      <rPr>
        <sz val="12"/>
        <rFont val="宋体"/>
        <charset val="134"/>
      </rPr>
      <t>刀片式服务器机柜</t>
    </r>
  </si>
  <si>
    <t>140103-2017-001230</t>
  </si>
  <si>
    <t>TK-F01-103-A3</t>
  </si>
  <si>
    <t>217399932-10A</t>
  </si>
  <si>
    <t>140103-2017-001287</t>
  </si>
  <si>
    <t>TK-F01-103-A3(10-10U)</t>
  </si>
  <si>
    <t>217399932-30A</t>
  </si>
  <si>
    <t>140103-2017-001417</t>
  </si>
  <si>
    <t>TK-F01-103-A3(11-11U)</t>
  </si>
  <si>
    <t>217399932-31A</t>
  </si>
  <si>
    <t>140103-2017-001416</t>
  </si>
  <si>
    <t>TK-F01-103-A3(12-12U)</t>
  </si>
  <si>
    <t>217399932-25A</t>
  </si>
  <si>
    <t>140103-2017-001302</t>
  </si>
  <si>
    <t>TK-F01-103-A3(13-13U)</t>
  </si>
  <si>
    <t>217399932-26A</t>
  </si>
  <si>
    <t>140103-2017-001301</t>
  </si>
  <si>
    <t>TK-F01-103-A3(14-14U)</t>
  </si>
  <si>
    <t>217399932-27A</t>
  </si>
  <si>
    <t>140103-2017-001300</t>
  </si>
  <si>
    <t>TK-F01-103-A3(15-15U)</t>
  </si>
  <si>
    <t>217399932-28A</t>
  </si>
  <si>
    <t>140103-2017-001299</t>
  </si>
  <si>
    <t>TK-F01-103-A3(16-16U)</t>
  </si>
  <si>
    <t>217399932-29A</t>
  </si>
  <si>
    <t>140103-2017-001298</t>
  </si>
  <si>
    <t>TK-F01-103-A3(17-17U)</t>
  </si>
  <si>
    <t>217399932-18A</t>
  </si>
  <si>
    <t>140103-2017-001297</t>
  </si>
  <si>
    <t>TK-F01-103-A3(18-18U)</t>
  </si>
  <si>
    <t>217399932-19A</t>
  </si>
  <si>
    <t>140103-2017-001296</t>
  </si>
  <si>
    <t>TK-F01-103-A3(19-19U)</t>
  </si>
  <si>
    <t>217399932-01A</t>
  </si>
  <si>
    <t>140103-2017-001423</t>
  </si>
  <si>
    <t>TK-F01-103-A3(1-1U)</t>
  </si>
  <si>
    <t>217399932-20A</t>
  </si>
  <si>
    <t>140103-2017-001295</t>
  </si>
  <si>
    <t>TK-F01-103-A3(20-20U)</t>
  </si>
  <si>
    <t>217399932-21A</t>
  </si>
  <si>
    <t>140103-2017-001421</t>
  </si>
  <si>
    <t>TK-F01-103-A3(26-26U)</t>
  </si>
  <si>
    <t>217399932-22A</t>
  </si>
  <si>
    <t>140103-2017-001420</t>
  </si>
  <si>
    <t>TK-F01-103-A3(27-27U)</t>
  </si>
  <si>
    <t>217399932-23A</t>
  </si>
  <si>
    <t>140103-2017-001419</t>
  </si>
  <si>
    <t>TK-F01-103-A3(28-28U)</t>
  </si>
  <si>
    <t>217399932-24A</t>
  </si>
  <si>
    <t>140103-2017-001418</t>
  </si>
  <si>
    <t>TK-F01-103-A3(29-29U)</t>
  </si>
  <si>
    <t>217399932-02A</t>
  </si>
  <si>
    <t>140103-2017-001422</t>
  </si>
  <si>
    <t>TK-F01-103-A3(2-2U)</t>
  </si>
  <si>
    <t>217399932-13A</t>
  </si>
  <si>
    <t>140103-2017-001286</t>
  </si>
  <si>
    <t>TK-F01-103-A3(30-30U)</t>
  </si>
  <si>
    <t>217399932-14A</t>
  </si>
  <si>
    <t>140103-2017-001285</t>
  </si>
  <si>
    <t>TK-F01-103-A3(31-31U)</t>
  </si>
  <si>
    <t>217399932-15A</t>
  </si>
  <si>
    <t>140103-2017-001284</t>
  </si>
  <si>
    <t>TK-F01-103-A3(32-32U)</t>
  </si>
  <si>
    <t>217399932-16A</t>
  </si>
  <si>
    <t>140103-2017-001283</t>
  </si>
  <si>
    <t>TK-F01-103-A3(33-33U)</t>
  </si>
  <si>
    <t>217399932-17A</t>
  </si>
  <si>
    <t>140103-2017-001282</t>
  </si>
  <si>
    <t>TK-F01-103-A3(34-34U)</t>
  </si>
  <si>
    <t>217399932-11A</t>
  </si>
  <si>
    <t>140103-2017-001281</t>
  </si>
  <si>
    <t>TK-F01-103-A3(35-35U)</t>
  </si>
  <si>
    <t>217399932-12A</t>
  </si>
  <si>
    <t>140103-2017-001280</t>
  </si>
  <si>
    <t>TK-F01-103-A3(36-36U)</t>
  </si>
  <si>
    <t>217399932-32A</t>
  </si>
  <si>
    <t>140103-2017-001279</t>
  </si>
  <si>
    <t>TK-F01-103-A3(37-37U)</t>
  </si>
  <si>
    <t>217399932-03A</t>
  </si>
  <si>
    <t>140103-2017-001294</t>
  </si>
  <si>
    <t>TK-F01-103-A3(3-3U)</t>
  </si>
  <si>
    <t>217399932-04A</t>
  </si>
  <si>
    <t>140103-2017-001293</t>
  </si>
  <si>
    <t>TK-F01-103-A3(4-4U)</t>
  </si>
  <si>
    <t>217399932-05A</t>
  </si>
  <si>
    <t>140103-2017-001292</t>
  </si>
  <si>
    <t>TK-F01-103-A3(5-5U)</t>
  </si>
  <si>
    <t>217399932-06A</t>
  </si>
  <si>
    <t>140103-2017-001291</t>
  </si>
  <si>
    <t>TK-F01-103-A3(6-6U)</t>
  </si>
  <si>
    <t>217399932-07A</t>
  </si>
  <si>
    <t>140103-2017-001290</t>
  </si>
  <si>
    <t>TK-F01-103-A3(7-7U)</t>
  </si>
  <si>
    <t>217399932-08A</t>
  </si>
  <si>
    <t>140103-2017-001289</t>
  </si>
  <si>
    <t>TK-F01-103-A3(8-8U)</t>
  </si>
  <si>
    <t>217399932-09A</t>
  </si>
  <si>
    <t>140103-2017-001288</t>
  </si>
  <si>
    <t>TK-F01-103-A3(9-9U)</t>
  </si>
  <si>
    <t>217399800-10A</t>
  </si>
  <si>
    <t>140103-2017-001309</t>
  </si>
  <si>
    <t>TK-F01-103-A4(10-10U)</t>
  </si>
  <si>
    <t>217399800-17A</t>
  </si>
  <si>
    <t>140103-2017-001308</t>
  </si>
  <si>
    <t>TK-F01-103-A4(11-11U)</t>
  </si>
  <si>
    <t>217399800-18A</t>
  </si>
  <si>
    <t>140103-2017-001307</t>
  </si>
  <si>
    <t>TK-F01-103-A4(12-12U)</t>
  </si>
  <si>
    <t>217399800-19A</t>
  </si>
  <si>
    <t>140103-2017-001306</t>
  </si>
  <si>
    <t>TK-F01-103-A4(13-13U)</t>
  </si>
  <si>
    <t>217399800-20A</t>
  </si>
  <si>
    <t>140103-2017-001305</t>
  </si>
  <si>
    <t>TK-F01-103-A4(14-14U)</t>
  </si>
  <si>
    <t>217399800-21A</t>
  </si>
  <si>
    <t>140103-2017-001304</t>
  </si>
  <si>
    <t>TK-F01-103-A4(15-15U)</t>
  </si>
  <si>
    <t>217399800-22A</t>
  </si>
  <si>
    <t>140103-2017-001303</t>
  </si>
  <si>
    <t>TK-F01-103-A4(16-16U)</t>
  </si>
  <si>
    <t>217399800-11A</t>
  </si>
  <si>
    <t>140103-2017-001322</t>
  </si>
  <si>
    <t>TK-F01-103-A4(17-17U)</t>
  </si>
  <si>
    <t>217399800-12A</t>
  </si>
  <si>
    <t>140103-2017-001321</t>
  </si>
  <si>
    <t>TK-F01-103-A4(18-18U)</t>
  </si>
  <si>
    <t>217399800-13A</t>
  </si>
  <si>
    <t>140103-2017-001320</t>
  </si>
  <si>
    <t>TK-F01-103-A4(19-19U)</t>
  </si>
  <si>
    <t>217399800-01A</t>
  </si>
  <si>
    <t>140103-2017-001318</t>
  </si>
  <si>
    <t>TK-F01-103-A4(1-1U)</t>
  </si>
  <si>
    <t>217399800-14A</t>
  </si>
  <si>
    <t>140103-2017-001319</t>
  </si>
  <si>
    <t>TK-F01-103-A4(20-20U)</t>
  </si>
  <si>
    <t>217399800-15A</t>
  </si>
  <si>
    <t>140103-2017-001391</t>
  </si>
  <si>
    <t>TK-F01-103-A4(26-26U)</t>
  </si>
  <si>
    <t>217399800-16A</t>
  </si>
  <si>
    <t>140103-2017-001390</t>
  </si>
  <si>
    <t>TK-F01-103-A4(27-27U)</t>
  </si>
  <si>
    <t>217399800-23A</t>
  </si>
  <si>
    <t>140103-2017-001389</t>
  </si>
  <si>
    <t>TK-F01-103-A4(28-28U)</t>
  </si>
  <si>
    <t>217399800-24A</t>
  </si>
  <si>
    <t>140103-2017-001388</t>
  </si>
  <si>
    <t>TK-F01-103-A4(29-29U)</t>
  </si>
  <si>
    <t>217399800-02A</t>
  </si>
  <si>
    <t>140103-2017-001317</t>
  </si>
  <si>
    <t>TK-F01-103-A4(2-2U)</t>
  </si>
  <si>
    <t>217399800-25A</t>
  </si>
  <si>
    <t>140103-2017-001429</t>
  </si>
  <si>
    <t>TK-F01-103-A4(30-30U)</t>
  </si>
  <si>
    <t>217399800-26A</t>
  </si>
  <si>
    <t>140103-2017-001428</t>
  </si>
  <si>
    <t>TK-F01-103-A4(31-31U)</t>
  </si>
  <si>
    <t>217399800-27A</t>
  </si>
  <si>
    <t>140103-2017-001490</t>
  </si>
  <si>
    <t>TK-F01-103-A4(32-32U)</t>
  </si>
  <si>
    <t>217399800-28A</t>
  </si>
  <si>
    <t>140103-2017-001489</t>
  </si>
  <si>
    <t>TK-F01-103-A4(33-33U)</t>
  </si>
  <si>
    <t>217399800-29A</t>
  </si>
  <si>
    <t>140103-2017-001488</t>
  </si>
  <si>
    <t>TK-F01-103-A4(34-34U)</t>
  </si>
  <si>
    <t>217399800-30A</t>
  </si>
  <si>
    <t>140103-2017-001487</t>
  </si>
  <si>
    <t>TK-F01-103-A4(35-35U)</t>
  </si>
  <si>
    <t>217399800-31A</t>
  </si>
  <si>
    <t>140103-2017-001486</t>
  </si>
  <si>
    <t>TK-F01-103-A4(36-36U)</t>
  </si>
  <si>
    <t>217399800-32A</t>
  </si>
  <si>
    <t>140103-2017-001485</t>
  </si>
  <si>
    <t>TK-F01-103-A4(37-37U)</t>
  </si>
  <si>
    <t>217399800-03A</t>
  </si>
  <si>
    <t>140103-2017-001316</t>
  </si>
  <si>
    <t>TK-F01-103-A4(3-3U)</t>
  </si>
  <si>
    <t>217399800-04A</t>
  </si>
  <si>
    <t>140103-2017-001315</t>
  </si>
  <si>
    <t>TK-F01-103-A4(4-4U)</t>
  </si>
  <si>
    <t>217399800-05A</t>
  </si>
  <si>
    <t>140103-2017-001314</t>
  </si>
  <si>
    <t>TK-F01-103-A4(5-5U)</t>
  </si>
  <si>
    <t>217399800-06A</t>
  </si>
  <si>
    <t>140103-2017-001313</t>
  </si>
  <si>
    <t>TK-F01-103-A4(6-6U)</t>
  </si>
  <si>
    <t>217399800-07A</t>
  </si>
  <si>
    <t>140103-2017-001312</t>
  </si>
  <si>
    <t>TK-F01-103-A4(7-7U)</t>
  </si>
  <si>
    <t>217399800-08A</t>
  </si>
  <si>
    <t>140103-2017-001311</t>
  </si>
  <si>
    <t>TK-F01-103-A4(8-8U)</t>
  </si>
  <si>
    <t>217399800-09A</t>
  </si>
  <si>
    <t>140103-2017-001310</t>
  </si>
  <si>
    <t>TK-F01-103-A4(9-9U)</t>
  </si>
  <si>
    <t>217399833-10A</t>
  </si>
  <si>
    <t>140103-2017-001497</t>
  </si>
  <si>
    <t>TK-F01-103-A5(10-10U)</t>
  </si>
  <si>
    <t>217399833-11A</t>
  </si>
  <si>
    <t>140103-2017-001496</t>
  </si>
  <si>
    <t>TK-F01-103-A5(11-11U)</t>
  </si>
  <si>
    <t>217399833-12A</t>
  </si>
  <si>
    <t>140103-2017-001495</t>
  </si>
  <si>
    <t>TK-F01-103-A5(12-12U)</t>
  </si>
  <si>
    <t>217399833-13A</t>
  </si>
  <si>
    <t>140103-2017-001494</t>
  </si>
  <si>
    <t>TK-F01-103-A5(13-13U)</t>
  </si>
  <si>
    <t>217399833-14A</t>
  </si>
  <si>
    <t>140103-2017-001493</t>
  </si>
  <si>
    <t>TK-F01-103-A5(14-14U)</t>
  </si>
  <si>
    <t>217399833-15A</t>
  </si>
  <si>
    <t>140103-2017-001492</t>
  </si>
  <si>
    <t>TK-F01-103-A5(15-15U)</t>
  </si>
  <si>
    <t>217399833-16A</t>
  </si>
  <si>
    <t>140103-2017-001491</t>
  </si>
  <si>
    <t>TK-F01-103-A5(16-16U)</t>
  </si>
  <si>
    <t>217399833-17A</t>
  </si>
  <si>
    <t>140103-2017-001514</t>
  </si>
  <si>
    <t>TK-F01-103-A5(17-17U)</t>
  </si>
  <si>
    <t>217399833-18A</t>
  </si>
  <si>
    <t>140103-2017-001513</t>
  </si>
  <si>
    <t>TK-F01-103-A5(18-18U)</t>
  </si>
  <si>
    <t>217399833-19A</t>
  </si>
  <si>
    <t>140103-2017-001512</t>
  </si>
  <si>
    <t>TK-F01-103-A5(19-19U)</t>
  </si>
  <si>
    <t>217399833-01A</t>
  </si>
  <si>
    <t>140103-2017-001506</t>
  </si>
  <si>
    <t>TK-F01-103-A5(1-1U)</t>
  </si>
  <si>
    <t>217399833-20A</t>
  </si>
  <si>
    <t>140103-2017-001511</t>
  </si>
  <si>
    <t>TK-F01-103-A5(20-20U)</t>
  </si>
  <si>
    <t>217399833-21A</t>
  </si>
  <si>
    <t>140103-2017-001510</t>
  </si>
  <si>
    <t>TK-F01-103-A5(26-26U)</t>
  </si>
  <si>
    <t>217399833-22A</t>
  </si>
  <si>
    <t>140103-2017-001509</t>
  </si>
  <si>
    <t>TK-F01-103-A5(27-27U)</t>
  </si>
  <si>
    <t>217399833-23A</t>
  </si>
  <si>
    <t>140103-2017-001508</t>
  </si>
  <si>
    <t>TK-F01-103-A5(28-28U)</t>
  </si>
  <si>
    <t>217399833-24A</t>
  </si>
  <si>
    <t>140103-2017-001507</t>
  </si>
  <si>
    <t>TK-F01-103-A5(29-29U)</t>
  </si>
  <si>
    <t>217399833-02A</t>
  </si>
  <si>
    <t>140103-2017-001505</t>
  </si>
  <si>
    <t>TK-F01-103-A5(2-2U)</t>
  </si>
  <si>
    <t>217399833-25A</t>
  </si>
  <si>
    <t>140103-2017-001431</t>
  </si>
  <si>
    <t>TK-F01-103-A5(30-30U)</t>
  </si>
  <si>
    <t>217399833-26A</t>
  </si>
  <si>
    <t>140103-2017-001430</t>
  </si>
  <si>
    <t>TK-F01-103-A5(31-31U)</t>
  </si>
  <si>
    <t>217399833-27A</t>
  </si>
  <si>
    <t>140103-2017-001552</t>
  </si>
  <si>
    <t>TK-F01-103-A5(32-32U)</t>
  </si>
  <si>
    <t>217399833-28A</t>
  </si>
  <si>
    <t>140103-2017-001551</t>
  </si>
  <si>
    <t>TK-F01-103-A5(33-33U)</t>
  </si>
  <si>
    <t>217399833-29A</t>
  </si>
  <si>
    <t>140103-2017-001550</t>
  </si>
  <si>
    <t>TK-F01-103-A5(34-34U)</t>
  </si>
  <si>
    <t>217399833-30A</t>
  </si>
  <si>
    <t>140103-2017-001549</t>
  </si>
  <si>
    <t>TK-F01-103-A5(35-35U)</t>
  </si>
  <si>
    <t>217399833-31A</t>
  </si>
  <si>
    <t>140103-2017-001548</t>
  </si>
  <si>
    <t>TK-F01-103-A5(36-36U)</t>
  </si>
  <si>
    <t>217399833-32A</t>
  </si>
  <si>
    <t>140103-2017-001547</t>
  </si>
  <si>
    <t>TK-F01-103-A5(37-37U)</t>
  </si>
  <si>
    <t>217399833-03A</t>
  </si>
  <si>
    <t>140103-2017-001504</t>
  </si>
  <si>
    <t>TK-F01-103-A5(3-3U)</t>
  </si>
  <si>
    <t>217399833-04A</t>
  </si>
  <si>
    <t>140103-2017-001503</t>
  </si>
  <si>
    <t>TK-F01-103-A5(4-4U)</t>
  </si>
  <si>
    <t>217399833-05A</t>
  </si>
  <si>
    <t>140103-2017-001502</t>
  </si>
  <si>
    <t>TK-F01-103-A5(5-5U)</t>
  </si>
  <si>
    <t>217399833-06A</t>
  </si>
  <si>
    <t>140103-2017-001501</t>
  </si>
  <si>
    <t>TK-F01-103-A5(6-6U)</t>
  </si>
  <si>
    <t>217399833-07A</t>
  </si>
  <si>
    <t>140103-2017-001500</t>
  </si>
  <si>
    <t>TK-F01-103-A5(7-7U)</t>
  </si>
  <si>
    <t>217399833-08A</t>
  </si>
  <si>
    <t>140103-2017-001499</t>
  </si>
  <si>
    <t>TK-F01-103-A5(8-8U)</t>
  </si>
  <si>
    <t>217399833-09A</t>
  </si>
  <si>
    <t>140103-2017-001498</t>
  </si>
  <si>
    <t>TK-F01-103-A5(9-9U)</t>
  </si>
  <si>
    <t>217399769-10A</t>
  </si>
  <si>
    <t>140103-2017-001200</t>
  </si>
  <si>
    <t>TK-F01-103-A6(10-10U)</t>
  </si>
  <si>
    <t>217399769-11A</t>
  </si>
  <si>
    <t>140103-2017-001199</t>
  </si>
  <si>
    <t>TK-F01-103-A6(11-11U)</t>
  </si>
  <si>
    <t>217399769-12A</t>
  </si>
  <si>
    <t>140103-2017-001198</t>
  </si>
  <si>
    <t>TK-F01-103-A6(12-12U)</t>
  </si>
  <si>
    <t>217399769-13A</t>
  </si>
  <si>
    <t>140103-2017-001197</t>
  </si>
  <si>
    <t>TK-F01-103-A6(13-13U)</t>
  </si>
  <si>
    <t>217399769-14A</t>
  </si>
  <si>
    <t>140103-2017-001196</t>
  </si>
  <si>
    <t>TK-F01-103-A6(14-14U)</t>
  </si>
  <si>
    <t>217399769-15A</t>
  </si>
  <si>
    <t>140103-2017-001195</t>
  </si>
  <si>
    <t>TK-F01-103-A6(15-15U)</t>
  </si>
  <si>
    <t>217399769-16A</t>
  </si>
  <si>
    <t>140103-2017-001194</t>
  </si>
  <si>
    <t>TK-F01-103-A6(16-16U)</t>
  </si>
  <si>
    <t>217399769-17A</t>
  </si>
  <si>
    <t>140103-2017-001193</t>
  </si>
  <si>
    <t>TK-F01-103-A6(17-17U)</t>
  </si>
  <si>
    <t>217399769-18A</t>
  </si>
  <si>
    <t>140103-2017-001192</t>
  </si>
  <si>
    <t>TK-F01-103-A6(18-18U)</t>
  </si>
  <si>
    <t>217399769-19A</t>
  </si>
  <si>
    <t>140103-2017-001191</t>
  </si>
  <si>
    <t>TK-F01-103-A6(19-19U)</t>
  </si>
  <si>
    <t>217399769-01A</t>
  </si>
  <si>
    <t>140103-2017-001209</t>
  </si>
  <si>
    <t>TK-F01-103-A6(1-1U)</t>
  </si>
  <si>
    <t>217399769-20A</t>
  </si>
  <si>
    <t>140103-2017-001190</t>
  </si>
  <si>
    <t>TK-F01-103-A6(20-20U)</t>
  </si>
  <si>
    <t>217399769-21A</t>
  </si>
  <si>
    <t>140103-2017-001179</t>
  </si>
  <si>
    <t>TK-F01-103-A6(26-26U)</t>
  </si>
  <si>
    <t>217399769-22A</t>
  </si>
  <si>
    <t>140103-2017-001178</t>
  </si>
  <si>
    <t>TK-F01-103-A6(27-27U)</t>
  </si>
  <si>
    <t>217399769-23A</t>
  </si>
  <si>
    <t>140103-2017-001177</t>
  </si>
  <si>
    <t>TK-F01-103-A6(28-28U)</t>
  </si>
  <si>
    <t>217399769-24A</t>
  </si>
  <si>
    <t>140103-2017-001176</t>
  </si>
  <si>
    <t>TK-F01-103-A6(29-29U)</t>
  </si>
  <si>
    <t>217399769-02A</t>
  </si>
  <si>
    <t>140103-2017-001208</t>
  </si>
  <si>
    <t>TK-F01-103-A6(2-2U)</t>
  </si>
  <si>
    <t>217399769-25A</t>
  </si>
  <si>
    <t>140103-2017-001175</t>
  </si>
  <si>
    <t>TK-F01-103-A6(30-30U)</t>
  </si>
  <si>
    <t>217399769-26A</t>
  </si>
  <si>
    <t>140103-2017-001174</t>
  </si>
  <si>
    <t>TK-F01-103-A6(31-31U)</t>
  </si>
  <si>
    <t>217399769-27A</t>
  </si>
  <si>
    <t>140103-2017-001173</t>
  </si>
  <si>
    <t>TK-F01-103-A6(32-32U)</t>
  </si>
  <si>
    <t>217399769-28A</t>
  </si>
  <si>
    <t>140103-2017-001172</t>
  </si>
  <si>
    <t>TK-F01-103-A6(33-33U)</t>
  </si>
  <si>
    <t>217399769-03A</t>
  </si>
  <si>
    <t>140103-2017-001171</t>
  </si>
  <si>
    <t>TK-F01-103-A6(34-34U)</t>
  </si>
  <si>
    <t>217399769-04A</t>
  </si>
  <si>
    <t>140103-2017-001170</t>
  </si>
  <si>
    <t>TK-F01-103-A6(35-35U)</t>
  </si>
  <si>
    <t>217399769-29A</t>
  </si>
  <si>
    <t>140103-2017-001207</t>
  </si>
  <si>
    <t>TK-F01-103-A6(3-3U)</t>
  </si>
  <si>
    <t>217399769-30A</t>
  </si>
  <si>
    <t>140103-2017-001206</t>
  </si>
  <si>
    <t>TK-F01-103-A6(4-4U)</t>
  </si>
  <si>
    <t>217399769-05A</t>
  </si>
  <si>
    <t>140103-2017-001205</t>
  </si>
  <si>
    <t>TK-F01-103-A6(5-5U)</t>
  </si>
  <si>
    <t>217399769-06A</t>
  </si>
  <si>
    <t>140103-2017-001204</t>
  </si>
  <si>
    <t>TK-F01-103-A6(6-6U)</t>
  </si>
  <si>
    <t>217399769-07A</t>
  </si>
  <si>
    <t>140103-2017-001203</t>
  </si>
  <si>
    <t>TK-F01-103-A6(7-7U)</t>
  </si>
  <si>
    <t>217399769-08A</t>
  </si>
  <si>
    <t>140103-2017-001202</t>
  </si>
  <si>
    <t>TK-F01-103-A6(8-8U)</t>
  </si>
  <si>
    <t>217399769-09A</t>
  </si>
  <si>
    <t>140103-2017-001201</t>
  </si>
  <si>
    <t>TK-F01-103-A6(9-9U)</t>
  </si>
  <si>
    <t>J33GRX9</t>
  </si>
  <si>
    <t>140103-2017-001334</t>
  </si>
  <si>
    <t>TK-F01-103-A8(10-11U)</t>
  </si>
  <si>
    <t>J33GRXD</t>
  </si>
  <si>
    <t>140103-2017-001333</t>
  </si>
  <si>
    <t>TK-F01-103-A8(12-13U)</t>
  </si>
  <si>
    <t>J33GRXG</t>
  </si>
  <si>
    <t>140103-2017-001332</t>
  </si>
  <si>
    <t>TK-F01-103-A8(14-15U)</t>
  </si>
  <si>
    <t>J33GRY5</t>
  </si>
  <si>
    <t>140103-2017-001331</t>
  </si>
  <si>
    <t>TK-F01-103-A8(16-17U)</t>
  </si>
  <si>
    <t>J33GRXP</t>
  </si>
  <si>
    <t>140103-2017-001330</t>
  </si>
  <si>
    <t>TK-F01-103-A8(18-19U)</t>
  </si>
  <si>
    <t>J33GRXB</t>
  </si>
  <si>
    <t>140103-2017-001329</t>
  </si>
  <si>
    <t>TK-F01-103-A8(20-21U)</t>
  </si>
  <si>
    <t>J33GRXY</t>
  </si>
  <si>
    <t>140103-2017-001338</t>
  </si>
  <si>
    <t>TK-F01-103-A8(2-3U)</t>
  </si>
  <si>
    <t>J33GRY4</t>
  </si>
  <si>
    <t>140103-2017-001328</t>
  </si>
  <si>
    <t>TK-F01-103-A8(24-25U)</t>
  </si>
  <si>
    <t>J33GRX8</t>
  </si>
  <si>
    <t>140103-2017-001327</t>
  </si>
  <si>
    <t>TK-F01-103-A8(26-27U)</t>
  </si>
  <si>
    <t>J33GRXX</t>
  </si>
  <si>
    <t>140103-2017-001326</t>
  </si>
  <si>
    <t>TK-F01-103-A8(28-29U)</t>
  </si>
  <si>
    <t>J33GRXE</t>
  </si>
  <si>
    <t>140103-2017-001325</t>
  </si>
  <si>
    <t>TK-F01-103-A8(30-31U)</t>
  </si>
  <si>
    <t>J33GRXZ</t>
  </si>
  <si>
    <t>140103-2017-001324</t>
  </si>
  <si>
    <t>TK-F01-103-A8(32-33U)</t>
  </si>
  <si>
    <t>J33GRXA</t>
  </si>
  <si>
    <t>140103-2017-001323</t>
  </si>
  <si>
    <t>TK-F01-103-A8(34-35U)</t>
  </si>
  <si>
    <t>210235A1G9H178000044</t>
  </si>
  <si>
    <t>140502-2017-000126</t>
  </si>
  <si>
    <t>TK-F01-103-A8(36-36U)</t>
  </si>
  <si>
    <t>210235A1TXH179000287</t>
  </si>
  <si>
    <t>140502-2017-000114</t>
  </si>
  <si>
    <t>TK-F01-103-A8(38-38U)</t>
  </si>
  <si>
    <t>210235A1TXH179000280</t>
  </si>
  <si>
    <t>140502-2017-000113</t>
  </si>
  <si>
    <t>TK-F01-103-A8(40-40U)</t>
  </si>
  <si>
    <t>J33GRXT</t>
  </si>
  <si>
    <t>140103-2017-001337</t>
  </si>
  <si>
    <t>TK-F01-103-A8(4-5U)</t>
  </si>
  <si>
    <t>J33GRXC</t>
  </si>
  <si>
    <t>140103-2017-001336</t>
  </si>
  <si>
    <t>TK-F01-103-A8(6-7U)</t>
  </si>
  <si>
    <t>J33GRXM</t>
  </si>
  <si>
    <t>140103-2017-001335</t>
  </si>
  <si>
    <t>TK-F01-103-A8(8-9U)</t>
  </si>
  <si>
    <t>J33GRXH</t>
  </si>
  <si>
    <t>140103-2017-001350</t>
  </si>
  <si>
    <t>TK-F01-103-A9(10-11U)</t>
  </si>
  <si>
    <t>J33GRXL</t>
  </si>
  <si>
    <t>140103-2017-001349</t>
  </si>
  <si>
    <t>TK-F01-103-A9(12-13U)</t>
  </si>
  <si>
    <t>J33GRY6</t>
  </si>
  <si>
    <t>140103-2017-001348</t>
  </si>
  <si>
    <t>TK-F01-103-A9(14-15U)</t>
  </si>
  <si>
    <t>J33GRXN</t>
  </si>
  <si>
    <t>140103-2017-001347</t>
  </si>
  <si>
    <t>TK-F01-103-A9(16-17U)</t>
  </si>
  <si>
    <t>J33GRX6</t>
  </si>
  <si>
    <t>140103-2017-001346</t>
  </si>
  <si>
    <t>TK-F01-103-A9(18-19U)</t>
  </si>
  <si>
    <t>J33GRXW</t>
  </si>
  <si>
    <t>140103-2017-001345</t>
  </si>
  <si>
    <t>TK-F01-103-A9(20-21U)</t>
  </si>
  <si>
    <t>J33GRXV</t>
  </si>
  <si>
    <t>140103-2017-001354</t>
  </si>
  <si>
    <t>TK-F01-103-A9(2-3U)</t>
  </si>
  <si>
    <t>J33GRXR</t>
  </si>
  <si>
    <t>140103-2017-001344</t>
  </si>
  <si>
    <t>TK-F01-103-A9(24-25U)</t>
  </si>
  <si>
    <t>J33GRX5</t>
  </si>
  <si>
    <t>140103-2017-001343</t>
  </si>
  <si>
    <t>TK-F01-103-A9(26-27U)</t>
  </si>
  <si>
    <t>J33GRXK</t>
  </si>
  <si>
    <t>140103-2017-001342</t>
  </si>
  <si>
    <t>TK-F01-103-A9(28-29U)</t>
  </si>
  <si>
    <t>J33GRY3</t>
  </si>
  <si>
    <t>140103-2017-001341</t>
  </si>
  <si>
    <t>TK-F01-103-A9(30-31U)</t>
  </si>
  <si>
    <t>J33GRXF</t>
  </si>
  <si>
    <t>140103-2017-001340</t>
  </si>
  <si>
    <t>TK-F01-103-A9(32-33U)</t>
  </si>
  <si>
    <t>J33GRY2</t>
  </si>
  <si>
    <t>140103-2017-001339</t>
  </si>
  <si>
    <t>TK-F01-103-A9(34-35U)</t>
  </si>
  <si>
    <t>J33GRY0</t>
  </si>
  <si>
    <t>140103-2017-001353</t>
  </si>
  <si>
    <t>TK-F01-103-A9(4-5U)</t>
  </si>
  <si>
    <t>J33GRX7</t>
  </si>
  <si>
    <t>140103-2017-001352</t>
  </si>
  <si>
    <t>TK-F01-103-A9(6-7U)</t>
  </si>
  <si>
    <t>J33GRY1</t>
  </si>
  <si>
    <t>140103-2017-001351</t>
  </si>
  <si>
    <t>TK-F01-103-A9(8-9U)</t>
  </si>
  <si>
    <t>思科 WS-C3650-48TQ-S</t>
  </si>
  <si>
    <t>FDO1833E1PV</t>
  </si>
  <si>
    <t>140502-2014-001169</t>
  </si>
  <si>
    <t>TK-F01-104-H(12-12U)</t>
  </si>
  <si>
    <t>FDO1837E288</t>
  </si>
  <si>
    <t>140502-2014-001115</t>
  </si>
  <si>
    <t>TK-F01-104-H(15-15U)</t>
  </si>
  <si>
    <t>FDO1832E2CB</t>
  </si>
  <si>
    <t>140502-2014-001168</t>
  </si>
  <si>
    <t>TK-F01-104-H(9-9U)</t>
  </si>
  <si>
    <t>思科N5K-C5672UP-16G</t>
  </si>
  <si>
    <t>FOC2036R2Y2</t>
  </si>
  <si>
    <t>140502-2016-000010</t>
  </si>
  <si>
    <t>TK-F01-104-H1(23-23U)</t>
  </si>
  <si>
    <t>FOC2036R2DK</t>
  </si>
  <si>
    <t>140502-2016-000009</t>
  </si>
  <si>
    <t>TK-F01-104-H1(25-25U)</t>
  </si>
  <si>
    <t>思科 N5K-C5672UP</t>
  </si>
  <si>
    <t>FOC1838R2SM</t>
  </si>
  <si>
    <t>140502-2014-001166</t>
  </si>
  <si>
    <t>TK-F01-104-H1(27-27U)</t>
  </si>
  <si>
    <t>FOC1838R16X</t>
  </si>
  <si>
    <t>140502-2014-001167</t>
  </si>
  <si>
    <t>TK-F01-104-H1(30-30U)</t>
  </si>
  <si>
    <t>联想X3750M4</t>
  </si>
  <si>
    <t>J320C2F</t>
  </si>
  <si>
    <t>140103-2016-000010</t>
  </si>
  <si>
    <t>TK-F01-104-H10(16-17U)</t>
  </si>
  <si>
    <t>J320C2B</t>
  </si>
  <si>
    <t>140103-2016-000009</t>
  </si>
  <si>
    <t>TK-F01-104-H10(19-20U)</t>
  </si>
  <si>
    <t>J320C26</t>
  </si>
  <si>
    <t>140103-2016-000086</t>
  </si>
  <si>
    <t>TK-F01-104-H10(22-23U)</t>
  </si>
  <si>
    <t>J320C2C</t>
  </si>
  <si>
    <t>140103-2016-000085</t>
  </si>
  <si>
    <t>TK-F01-104-H10(25-26U)</t>
  </si>
  <si>
    <t>J320C2E</t>
  </si>
  <si>
    <t>140103-2016-000084</t>
  </si>
  <si>
    <t>TK-F01-104-H10(28-29U)</t>
  </si>
  <si>
    <t>J320C28</t>
  </si>
  <si>
    <t>140103-2016-000083</t>
  </si>
  <si>
    <t>TK-F01-104-H10(31-32U)</t>
  </si>
  <si>
    <t>210305613210GA001979</t>
  </si>
  <si>
    <t>140103-2016-000079</t>
  </si>
  <si>
    <t>TK-F01-104-H10(3-14U)-1</t>
  </si>
  <si>
    <t>210305613210GA001929</t>
  </si>
  <si>
    <t>140103-2016-000052</t>
  </si>
  <si>
    <t>TK-F01-104-H10(3-14U)-10</t>
  </si>
  <si>
    <t>210305613210GA001978</t>
  </si>
  <si>
    <t>140103-2016-000087</t>
  </si>
  <si>
    <t>TK-F01-104-H10(3-14U)-11</t>
  </si>
  <si>
    <t>210305613210GA001927</t>
  </si>
  <si>
    <t>140103-2016-000088</t>
  </si>
  <si>
    <t>TK-F01-104-H10(3-14U)-12</t>
  </si>
  <si>
    <t>210305613210GA001925</t>
  </si>
  <si>
    <t>140103-2016-000089</t>
  </si>
  <si>
    <t>TK-F01-104-H10(3-14U)-13</t>
  </si>
  <si>
    <t>210305613210GA001926</t>
  </si>
  <si>
    <t>140103-2016-000090</t>
  </si>
  <si>
    <t>TK-F01-104-H10(3-14U)-14</t>
  </si>
  <si>
    <t>210305613210GA001923</t>
  </si>
  <si>
    <t>140103-2016-000080</t>
  </si>
  <si>
    <t>TK-F01-104-H10(3-14U)-2</t>
  </si>
  <si>
    <t>210305613210GA001924</t>
  </si>
  <si>
    <t>140103-2016-000047</t>
  </si>
  <si>
    <t>TK-F01-104-H10(3-14U)-3</t>
  </si>
  <si>
    <t>210305613210GA001928</t>
  </si>
  <si>
    <t>140103-2016-000048</t>
  </si>
  <si>
    <t>TK-F01-104-H10(3-14U)-4</t>
  </si>
  <si>
    <t>210305613210GA001980</t>
  </si>
  <si>
    <t>140103-2016-000049</t>
  </si>
  <si>
    <t>TK-F01-104-H10(3-14U)-5</t>
  </si>
  <si>
    <t>210305613210GA001930</t>
  </si>
  <si>
    <t>140103-2016-000050</t>
  </si>
  <si>
    <t>TK-F01-104-H10(3-14U)-6</t>
  </si>
  <si>
    <t>210305613210GA001981</t>
  </si>
  <si>
    <t>140103-2016-000051</t>
  </si>
  <si>
    <t>TK-F01-104-H10(3-14U)-9</t>
  </si>
  <si>
    <t>J320C2A</t>
  </si>
  <si>
    <t>140103-2016-000082</t>
  </si>
  <si>
    <t>TK-F01-104-H10(34-35U)</t>
  </si>
  <si>
    <t>2102300742N0EA000086</t>
  </si>
  <si>
    <t>140103-2014-003307</t>
  </si>
  <si>
    <t>TK-F01-104-H11(03-14U)DP001</t>
  </si>
  <si>
    <t>210305485510EA000451</t>
  </si>
  <si>
    <t>140103-2014-003291</t>
  </si>
  <si>
    <t>TK-F01-104-H11(03-14U)DP001-01</t>
  </si>
  <si>
    <t>210305485510EA000312</t>
  </si>
  <si>
    <t>140103-2014-003292</t>
  </si>
  <si>
    <t>TK-F01-104-H11(03-14U)DP001-02</t>
  </si>
  <si>
    <t>210305485510EA000390</t>
  </si>
  <si>
    <t>140103-2014-003293</t>
  </si>
  <si>
    <t>TK-F01-104-H11(03-14U)DP001-03</t>
  </si>
  <si>
    <t>210305485510EA000410</t>
  </si>
  <si>
    <t>140103-2014-003294</t>
  </si>
  <si>
    <t>TK-F01-104-H11(03-14U)DP001-04</t>
  </si>
  <si>
    <t>210305485510EA000322</t>
  </si>
  <si>
    <t>140103-2014-003295</t>
  </si>
  <si>
    <t>TK-F01-104-H11(03-14U)DP001-05</t>
  </si>
  <si>
    <t>210305485510EA000341</t>
  </si>
  <si>
    <t>140103-2014-003296</t>
  </si>
  <si>
    <t>TK-F01-104-H11(03-14U)DP001-06</t>
  </si>
  <si>
    <t>210305485510EA000610</t>
  </si>
  <si>
    <t>140103-2014-003297</t>
  </si>
  <si>
    <t>TK-F01-104-H11(03-14U)DP001-07</t>
  </si>
  <si>
    <t>210305485510EA000531</t>
  </si>
  <si>
    <t>140103-2014-003298</t>
  </si>
  <si>
    <t>TK-F01-104-H11(03-14U)DP001-08</t>
  </si>
  <si>
    <t>210305485510EA000570</t>
  </si>
  <si>
    <t>140103-2014-003299</t>
  </si>
  <si>
    <t>TK-F01-104-H11(03-14U)DP001-09</t>
  </si>
  <si>
    <t>210305485510EA000426</t>
  </si>
  <si>
    <t>140103-2014-003300</t>
  </si>
  <si>
    <t>TK-F01-104-H11(03-14U)DP001-10</t>
  </si>
  <si>
    <t>210305485510EA000440</t>
  </si>
  <si>
    <t>140103-2014-003301</t>
  </si>
  <si>
    <t>TK-F01-104-H11(03-14U)DP001-11</t>
  </si>
  <si>
    <t>210305485510EA000478</t>
  </si>
  <si>
    <t>140103-2014-003302</t>
  </si>
  <si>
    <t>TK-F01-104-H11(03-14U)DP001-12</t>
  </si>
  <si>
    <t>210305485510EA000470</t>
  </si>
  <si>
    <t>140103-2014-003303</t>
  </si>
  <si>
    <t>TK-F01-104-H11(03-14U)DP001-13</t>
  </si>
  <si>
    <t>210305485510EA000533</t>
  </si>
  <si>
    <t>140103-2014-003304</t>
  </si>
  <si>
    <t>TK-F01-104-H11(03-14U)DP001-14</t>
  </si>
  <si>
    <t>210305485510EA000300</t>
  </si>
  <si>
    <t>140103-2014-003305</t>
  </si>
  <si>
    <t>TK-F01-104-H11(03-14U)DP001-15</t>
  </si>
  <si>
    <t>210305485510EA000536</t>
  </si>
  <si>
    <t>140103-2014-003306</t>
  </si>
  <si>
    <t>TK-F01-104-H11(03-14U)DP001-16</t>
  </si>
  <si>
    <t>浪潮 NF5270M3</t>
  </si>
  <si>
    <t>214637694</t>
  </si>
  <si>
    <t>140103-2014-003237</t>
  </si>
  <si>
    <t>TK-F01-104-H11(20-21U)</t>
  </si>
  <si>
    <t>214637683</t>
  </si>
  <si>
    <t>140103-2014-003232</t>
  </si>
  <si>
    <t>TK-F01-104-H11(23-24U)</t>
  </si>
  <si>
    <t>214637690</t>
  </si>
  <si>
    <t>140103-2014-003231</t>
  </si>
  <si>
    <t>TK-F01-104-H11(26-27U)</t>
  </si>
  <si>
    <t>214637678</t>
  </si>
  <si>
    <t>140103-2014-003230</t>
  </si>
  <si>
    <t>TK-F01-104-H11(29-30U)</t>
  </si>
  <si>
    <t>J320C27</t>
  </si>
  <si>
    <t>140103-2016-000081</t>
  </si>
  <si>
    <t>TK-F01-104-H11(32-33U)</t>
  </si>
  <si>
    <t>214637697</t>
  </si>
  <si>
    <t>140103-2014-003238</t>
  </si>
  <si>
    <t>TK-F01-104-H11(17-18U)</t>
  </si>
  <si>
    <t>2102300742N0EA000082</t>
  </si>
  <si>
    <t>140103-2014-003274</t>
  </si>
  <si>
    <t>TK-F01-104-H12(03-14U)DP002</t>
  </si>
  <si>
    <t>210305485510EA000446</t>
  </si>
  <si>
    <t>140103-2014-003261</t>
  </si>
  <si>
    <t>TK-F01-104-H12(03-14U)DP002-1</t>
  </si>
  <si>
    <t>210305485510EA000477</t>
  </si>
  <si>
    <t>140103-2014-003270</t>
  </si>
  <si>
    <t>TK-F01-104-H12(03-14U)DP002-10</t>
  </si>
  <si>
    <t>210305485510EA000445</t>
  </si>
  <si>
    <t>140103-2014-003271</t>
  </si>
  <si>
    <t>TK-F01-104-H12(03-14U)DP002-11</t>
  </si>
  <si>
    <t>210305485510EA000571</t>
  </si>
  <si>
    <t>140103-2014-003272</t>
  </si>
  <si>
    <t>TK-F01-104-H12(03-14U)DP002-12</t>
  </si>
  <si>
    <t>210305485510EA000462</t>
  </si>
  <si>
    <t>140103-2014-003262</t>
  </si>
  <si>
    <t>TK-F01-104-H12(03-14U)DP002-2</t>
  </si>
  <si>
    <t>210305485510EA000608</t>
  </si>
  <si>
    <t>140103-2014-003263</t>
  </si>
  <si>
    <t>TK-F01-104-H12(03-14U)DP002-3</t>
  </si>
  <si>
    <t>210305485510EA000305</t>
  </si>
  <si>
    <t>140103-2014-003264</t>
  </si>
  <si>
    <t>TK-F01-104-H12(03-14U)DP002-4</t>
  </si>
  <si>
    <t>210305485510EA000587</t>
  </si>
  <si>
    <t>140103-2014-003265</t>
  </si>
  <si>
    <t>TK-F01-104-H12(03-14U)DP002-5</t>
  </si>
  <si>
    <t>210305485510EA000438</t>
  </si>
  <si>
    <t>140103-2014-003266</t>
  </si>
  <si>
    <t>TK-F01-104-H12(03-14U)DP002-6</t>
  </si>
  <si>
    <t>210305485510EA000576</t>
  </si>
  <si>
    <t>140103-2014-003269</t>
  </si>
  <si>
    <t>TK-F01-104-H12(03-14U)DP002-9</t>
  </si>
  <si>
    <t>210305485510EA000391</t>
  </si>
  <si>
    <t>140103-2014-003251</t>
  </si>
  <si>
    <t>TK-F01-104-H12(3-14U)DP001-13</t>
  </si>
  <si>
    <t>210305485510EA000454</t>
  </si>
  <si>
    <t>140103-2014-003252</t>
  </si>
  <si>
    <t>TK-F01-104-H12(3-14U)DP001-14</t>
  </si>
  <si>
    <t>06CT277</t>
  </si>
  <si>
    <t>140103-2014-003280</t>
  </si>
  <si>
    <t>TK-F01-104-H3(03-06U)</t>
  </si>
  <si>
    <t>06CT314</t>
  </si>
  <si>
    <t>140103-2014-003279</t>
  </si>
  <si>
    <t>TK-F01-104-H3(08-11U)</t>
  </si>
  <si>
    <t>06CT292</t>
  </si>
  <si>
    <t>140103-2014-003278</t>
  </si>
  <si>
    <t>TK-F01-104-H3(13-16U)</t>
  </si>
  <si>
    <t>06CT343</t>
  </si>
  <si>
    <t>140103-2014-003277</t>
  </si>
  <si>
    <t>TK-F01-104-H3(18-21U)</t>
  </si>
  <si>
    <t>06CT281</t>
  </si>
  <si>
    <t>140103-2014-003276</t>
  </si>
  <si>
    <t>TK-F01-104-H3(23-26U)</t>
  </si>
  <si>
    <t>06CT300</t>
  </si>
  <si>
    <t>140103-2014-003275</t>
  </si>
  <si>
    <t>TK-F01-104-H3(28-31U)</t>
  </si>
  <si>
    <t>6CU4421WC6</t>
  </si>
  <si>
    <t>140103-2014-003290</t>
  </si>
  <si>
    <t>TK-F01-104-H4(03-04U)</t>
  </si>
  <si>
    <t>6CU4421WCC</t>
  </si>
  <si>
    <t>140103-2014-003289</t>
  </si>
  <si>
    <t>TK-F01-104-H4(06-07U)</t>
  </si>
  <si>
    <t>06CP869</t>
  </si>
  <si>
    <t>140103-2014-003284</t>
  </si>
  <si>
    <t>TK-F01-104-H4(09-12U)</t>
  </si>
  <si>
    <t>06CP867</t>
  </si>
  <si>
    <t>140103-2014-003283</t>
  </si>
  <si>
    <t>TK-F01-104-H4(14-17U)</t>
  </si>
  <si>
    <t>06CT282</t>
  </si>
  <si>
    <t>140103-2014-003282</t>
  </si>
  <si>
    <t>TK-F01-104-H4(19-22U)</t>
  </si>
  <si>
    <t>06CT320</t>
  </si>
  <si>
    <t>140103-2014-003281</t>
  </si>
  <si>
    <t>TK-F01-104-H4(24-27U)</t>
  </si>
  <si>
    <t>06CT310</t>
  </si>
  <si>
    <t>140103-2014-003288</t>
  </si>
  <si>
    <t>TK-F01-104-H5(03-06U)</t>
  </si>
  <si>
    <t>06CP870</t>
  </si>
  <si>
    <t>140103-2014-003287</t>
  </si>
  <si>
    <t>TK-F01-104-H5(08-11U)</t>
  </si>
  <si>
    <t>06CT334</t>
  </si>
  <si>
    <t>140103-2014-003286</t>
  </si>
  <si>
    <t>TK-F01-104-H5(13-16U)</t>
  </si>
  <si>
    <t>06CT276</t>
  </si>
  <si>
    <t>140103-2014-003285</t>
  </si>
  <si>
    <t>TK-F01-104-H5(18-21U)</t>
  </si>
  <si>
    <t>J320C2D</t>
  </si>
  <si>
    <t>140103-2016-000012</t>
  </si>
  <si>
    <t>TK-F01-104-H6(24-25U)</t>
  </si>
  <si>
    <t>J320C29</t>
  </si>
  <si>
    <t>140103-2016-000011</t>
  </si>
  <si>
    <t>TK-F01-104-H6(27-28U)</t>
  </si>
  <si>
    <t>华三 LSTM2XP32REC1</t>
  </si>
  <si>
    <t>210231AOQBH148000001</t>
  </si>
  <si>
    <t>140502-2014-001119</t>
  </si>
  <si>
    <t>TK-F01-106-A1(6-20U)</t>
  </si>
  <si>
    <t>210235A3GLH195000042</t>
  </si>
  <si>
    <t>140502-2019-000134</t>
  </si>
  <si>
    <t>TK-F01-106-A2(30-30U)</t>
  </si>
  <si>
    <t>210235A3GLH195000030</t>
  </si>
  <si>
    <t>140502-2019-000133</t>
  </si>
  <si>
    <t>TK-F01-106-A2(33-33U)</t>
  </si>
  <si>
    <t>210231AOQBH148000028</t>
  </si>
  <si>
    <t>140502-2014-001120</t>
  </si>
  <si>
    <t>TK-F01-106-A2(5-18U)</t>
  </si>
  <si>
    <t>06ACPF2</t>
  </si>
  <si>
    <t>140103-2012-001160</t>
  </si>
  <si>
    <t>TK-F01-106-A5(3-11U)-1</t>
  </si>
  <si>
    <t>06ACPR1</t>
  </si>
  <si>
    <t>140103-2012-001161</t>
  </si>
  <si>
    <t>TK-F01-106-A5(2-11U)-2</t>
  </si>
  <si>
    <t>06ACPB7</t>
  </si>
  <si>
    <t>140103-2012-001172</t>
  </si>
  <si>
    <t>TK-F01-106-A5机柜(13U-22U)-1</t>
  </si>
  <si>
    <t>06ACPA5</t>
  </si>
  <si>
    <t>140103-2012-001181</t>
  </si>
  <si>
    <t>TK-F01-106-A5机柜(13U-22U)-10</t>
  </si>
  <si>
    <t>06ACPN1</t>
  </si>
  <si>
    <t>140103-2012-001182</t>
  </si>
  <si>
    <t>TK-F01-106-A5机柜(13U-22U)-11</t>
  </si>
  <si>
    <t>06ACNW0</t>
  </si>
  <si>
    <t>140103-2012-001183</t>
  </si>
  <si>
    <t>TK-F01-106-A5机柜(13U-22U)-12</t>
  </si>
  <si>
    <t>06ACPZ3</t>
  </si>
  <si>
    <t>140103-2012-001184</t>
  </si>
  <si>
    <t>TK-F01-106-A5机柜(13U-22U)-13</t>
  </si>
  <si>
    <t>06ACPZ1</t>
  </si>
  <si>
    <t>140103-2012-001185</t>
  </si>
  <si>
    <t>TK-F01-106-A5机柜(13U-22U)-14</t>
  </si>
  <si>
    <t>06ACPZ0</t>
  </si>
  <si>
    <t>140103-2012-001174</t>
  </si>
  <si>
    <t>TK-F01-106-A5机柜(13U-22U)-3</t>
  </si>
  <si>
    <t>06ACPR9</t>
  </si>
  <si>
    <t>140103-2012-001176</t>
  </si>
  <si>
    <t>TK-F01-106-A5机柜(13U-22U)-5</t>
  </si>
  <si>
    <t>06ACPW2</t>
  </si>
  <si>
    <t>140103-2012-001177</t>
  </si>
  <si>
    <t>TK-F01-106-A5机柜(13U-22U)-6</t>
  </si>
  <si>
    <t>06ACNT9</t>
  </si>
  <si>
    <t>140103-2012-001178</t>
  </si>
  <si>
    <t>TK-F01-106-A5机柜(13U-22U)-7</t>
  </si>
  <si>
    <t>06ACPA0</t>
  </si>
  <si>
    <t>140103-2012-001179</t>
  </si>
  <si>
    <t>TK-F01-106-A5机柜(13U-22U)-8</t>
  </si>
  <si>
    <t>06ACP83</t>
  </si>
  <si>
    <t>140103-2012-001180</t>
  </si>
  <si>
    <t>TK-F01-106-A5机柜(13U-22U)-9</t>
  </si>
  <si>
    <t>06ACPB2</t>
  </si>
  <si>
    <t>140103-2012-001169</t>
  </si>
  <si>
    <t>TK-F01-106-A5机柜(2U-11U)-10</t>
  </si>
  <si>
    <t>06ACNX0</t>
  </si>
  <si>
    <t>140103-2012-001170</t>
  </si>
  <si>
    <t>TK-F01-106-A5机柜(2U-11U)-11</t>
  </si>
  <si>
    <t>06ACNM5</t>
  </si>
  <si>
    <t>140103-2012-001171</t>
  </si>
  <si>
    <t>TK-F01-106-A5机柜(2U-11U)-12</t>
  </si>
  <si>
    <t>06ACPD2</t>
  </si>
  <si>
    <t>140103-2012-001186</t>
  </si>
  <si>
    <t>TK-F01-106-A5机柜(2U-11U)-13</t>
  </si>
  <si>
    <t>06ACNY7</t>
  </si>
  <si>
    <t>140103-2012-001187</t>
  </si>
  <si>
    <t>TK-F01-106-A5机柜(2U-11U)-14</t>
  </si>
  <si>
    <t>06ACPW6</t>
  </si>
  <si>
    <t>140103-2012-001162</t>
  </si>
  <si>
    <t>TK-F01-106-A5机柜(2U-11U)-3</t>
  </si>
  <si>
    <t>06ACPV4</t>
  </si>
  <si>
    <t>140103-2012-001163</t>
  </si>
  <si>
    <t>TK-F01-106-A5机柜(2U-11U)-4</t>
  </si>
  <si>
    <t>06ACPC7</t>
  </si>
  <si>
    <t>140103-2012-001164</t>
  </si>
  <si>
    <t>TK-F01-106-A5机柜(2U-11U)-5</t>
  </si>
  <si>
    <t>06ACPB8</t>
  </si>
  <si>
    <t>140103-2012-001165</t>
  </si>
  <si>
    <t>TK-F01-106-A5机柜(2U-11U)-6</t>
  </si>
  <si>
    <t>06ACPR2</t>
  </si>
  <si>
    <t>140103-2012-001166</t>
  </si>
  <si>
    <t>TK-F01-106-A5机柜(2U-11U)-7</t>
  </si>
  <si>
    <t>06ACNN2</t>
  </si>
  <si>
    <t>140103-2012-001167</t>
  </si>
  <si>
    <t>TK-F01-106-A5机柜(2U-11U)-8</t>
  </si>
  <si>
    <t>06ACPW9</t>
  </si>
  <si>
    <t>140103-2012-001168</t>
  </si>
  <si>
    <t>TK-F01-106-A5机柜(2U-11U)-9</t>
  </si>
  <si>
    <t>06AAFCX</t>
  </si>
  <si>
    <t>140103-2014-001992</t>
  </si>
  <si>
    <t>TK-F01-106-A8(3-12U)WWDX:030-09</t>
  </si>
  <si>
    <t>06AAFCG</t>
  </si>
  <si>
    <t>140103-2014-001994</t>
  </si>
  <si>
    <t>TK-F01-106-A8(3-12U)WWDX:07</t>
  </si>
  <si>
    <t>HP DL580</t>
  </si>
  <si>
    <t>CNG230S9S6</t>
  </si>
  <si>
    <t>140103-2012-001235</t>
  </si>
  <si>
    <t>TK-F01-106-A8机柜(14-17U)</t>
  </si>
  <si>
    <t>CNG230S9SG</t>
  </si>
  <si>
    <t>140103-2012-001240</t>
  </si>
  <si>
    <t>TK-F01-106-A8机柜(19-22U)</t>
  </si>
  <si>
    <t>IBM BladeCenter</t>
  </si>
  <si>
    <t>06ZPHT6</t>
  </si>
  <si>
    <t>140103-2014-002292</t>
  </si>
  <si>
    <t>TK-F01-106-A8机柜(3-12U)</t>
  </si>
  <si>
    <t>06AAFCN</t>
  </si>
  <si>
    <t>140103-2014-002803</t>
  </si>
  <si>
    <t>06AAFCW</t>
  </si>
  <si>
    <t>140103-2014-002802</t>
  </si>
  <si>
    <t>06AAFCH</t>
  </si>
  <si>
    <t>140103-2014-002804</t>
  </si>
  <si>
    <t>06AAFCF</t>
  </si>
  <si>
    <t>140103-2014-002805</t>
  </si>
  <si>
    <t>06AAFCM</t>
  </si>
  <si>
    <t>140103-2014-002806</t>
  </si>
  <si>
    <t>06AAFCK</t>
  </si>
  <si>
    <t>140103-2014-002807</t>
  </si>
  <si>
    <t>06AAFCY</t>
  </si>
  <si>
    <t>140103-2014-001993</t>
  </si>
  <si>
    <t>06AAFCZ</t>
  </si>
  <si>
    <t>140103-2014-001995</t>
  </si>
  <si>
    <t>210235AOHAH14A000027</t>
  </si>
  <si>
    <t>140502-2014-001170</t>
  </si>
  <si>
    <t>TK-F01-106-B(10-10U)</t>
  </si>
  <si>
    <t>210235AOHAH14A000330</t>
  </si>
  <si>
    <t>140502-2014-001171</t>
  </si>
  <si>
    <t>TK-F01-106-B(8-8U)</t>
  </si>
  <si>
    <t>2102350DLVDMK8001542</t>
  </si>
  <si>
    <t>140502-2019-000122</t>
  </si>
  <si>
    <t>TK-F01-106-B(12-12U)</t>
  </si>
  <si>
    <t>2102350DLVDMK8001515</t>
  </si>
  <si>
    <t>140502-2019-000106</t>
  </si>
  <si>
    <t>TK-F01-106-B(14-14U)</t>
  </si>
  <si>
    <t>思科C9200L-48T-4X-A</t>
  </si>
  <si>
    <t>JAE23070N5F</t>
  </si>
  <si>
    <t>140502-2019-000110</t>
  </si>
  <si>
    <t>TK-F01-106-B(16-16U)</t>
  </si>
  <si>
    <t>浪潮 SmartRack刀片中心</t>
  </si>
  <si>
    <t>214635986</t>
  </si>
  <si>
    <t>140103-2014-002530</t>
  </si>
  <si>
    <t>TK-F01-106-B10 WWDX-023</t>
  </si>
  <si>
    <t>浪潮 SmartRack</t>
  </si>
  <si>
    <t>214635986-01A</t>
  </si>
  <si>
    <t>140103-2014-002226</t>
  </si>
  <si>
    <t>TK-F01-106-B10 WWDX-023-01</t>
  </si>
  <si>
    <t>214635986-02A</t>
  </si>
  <si>
    <t>140103-2014-002227</t>
  </si>
  <si>
    <t>TK-F01-106-B10 WWDX-023-02</t>
  </si>
  <si>
    <t>214635986-03A</t>
  </si>
  <si>
    <t>140103-2014-002228</t>
  </si>
  <si>
    <t>TK-F01-106-B10 WWDX-023-03</t>
  </si>
  <si>
    <t>214635986-04A</t>
  </si>
  <si>
    <t>140103-2014-002229</t>
  </si>
  <si>
    <t>TK-F01-106-B10 WWDX-023-04</t>
  </si>
  <si>
    <t>214635986-05A</t>
  </si>
  <si>
    <t>140103-2014-002230</t>
  </si>
  <si>
    <t>TK-F01-106-B10 WWDX-023-05</t>
  </si>
  <si>
    <t>214635986-06A</t>
  </si>
  <si>
    <t>140103-2014-002231</t>
  </si>
  <si>
    <t>TK-F01-106-B10 WWDX-023-06</t>
  </si>
  <si>
    <t>214635986-07A</t>
  </si>
  <si>
    <t>140103-2014-002232</t>
  </si>
  <si>
    <t>TK-F01-106-B10 WWDX-023-07</t>
  </si>
  <si>
    <t>214635986-08A</t>
  </si>
  <si>
    <t>140103-2014-002233</t>
  </si>
  <si>
    <t>TK-F01-106-B10 WWDX-023-08</t>
  </si>
  <si>
    <t>214635986-09A</t>
  </si>
  <si>
    <t>140103-2014-002234</t>
  </si>
  <si>
    <t>TK-F01-106-B10 WWDX-023-09</t>
  </si>
  <si>
    <t>214635986-10A</t>
  </si>
  <si>
    <t>140103-2014-002235</t>
  </si>
  <si>
    <t>TK-F01-106-B10 WWDX-023-10</t>
  </si>
  <si>
    <t>214635986-11A</t>
  </si>
  <si>
    <t>140103-2014-002236</t>
  </si>
  <si>
    <t>TK-F01-106-B10 WWDX-023-11</t>
  </si>
  <si>
    <t>214635986-12A</t>
  </si>
  <si>
    <t>140103-2014-002237</t>
  </si>
  <si>
    <t>TK-F01-106-B10 WWDX-023-12</t>
  </si>
  <si>
    <t>214635986-13A</t>
  </si>
  <si>
    <t>140103-2014-002238</t>
  </si>
  <si>
    <t>TK-F01-106-B10 WWDX-023-13</t>
  </si>
  <si>
    <t>214635986-14A</t>
  </si>
  <si>
    <t>140103-2014-002239</t>
  </si>
  <si>
    <t>TK-F01-106-B10 WWDX-023-14</t>
  </si>
  <si>
    <t>214635986-15A</t>
  </si>
  <si>
    <t>140103-2014-002240</t>
  </si>
  <si>
    <t>TK-F01-106-B10 WWDX-023-15</t>
  </si>
  <si>
    <t>214635986-16A</t>
  </si>
  <si>
    <t>140103-2014-002241</t>
  </si>
  <si>
    <t>TK-F01-106-B10 WWDX-023-16</t>
  </si>
  <si>
    <t>214635986-17A</t>
  </si>
  <si>
    <t>140103-2014-002242</t>
  </si>
  <si>
    <t>TK-F01-106-B10 WWDX-023-17</t>
  </si>
  <si>
    <t>214635986-18A</t>
  </si>
  <si>
    <t>140103-2014-002243</t>
  </si>
  <si>
    <t>TK-F01-106-B10 WWDX-023-18</t>
  </si>
  <si>
    <t>214635986-19A</t>
  </si>
  <si>
    <t>140103-2014-002244</t>
  </si>
  <si>
    <t>TK-F01-106-B10 WWDX-023-19</t>
  </si>
  <si>
    <t>214635986-20A</t>
  </si>
  <si>
    <t>140103-2014-002245</t>
  </si>
  <si>
    <t>TK-F01-106-B10 WWDX-023-20</t>
  </si>
  <si>
    <t>214635986-26A</t>
  </si>
  <si>
    <t>140103-2014-002246</t>
  </si>
  <si>
    <t>TK-F01-106-B10 WWDX-023-26</t>
  </si>
  <si>
    <t>214635986-27A</t>
  </si>
  <si>
    <t>140103-2014-002247</t>
  </si>
  <si>
    <t>TK-F01-106-B10 WWDX-023-27</t>
  </si>
  <si>
    <t>214635986-28A</t>
  </si>
  <si>
    <t>140103-2014-002248</t>
  </si>
  <si>
    <t>TK-F01-106-B10 WWDX-023-28</t>
  </si>
  <si>
    <t>214635986-29A</t>
  </si>
  <si>
    <t>140103-2014-002249</t>
  </si>
  <si>
    <t>TK-F01-106-B10 WWDX-023-29</t>
  </si>
  <si>
    <t>214635986-30A</t>
  </si>
  <si>
    <t>140103-2014-002250</t>
  </si>
  <si>
    <t>TK-F01-106-B10 WWDX-023-30</t>
  </si>
  <si>
    <t>214635986-31A</t>
  </si>
  <si>
    <t>140103-2014-002251</t>
  </si>
  <si>
    <t>TK-F01-106-B10 WWDX-023-31</t>
  </si>
  <si>
    <t>214635986-32A</t>
  </si>
  <si>
    <t>140103-2014-002252</t>
  </si>
  <si>
    <t>TK-F01-106-B10 WWDX-023-32</t>
  </si>
  <si>
    <t>214635986-33A</t>
  </si>
  <si>
    <t>140103-2014-002253</t>
  </si>
  <si>
    <t>TK-F01-106-B10 WWDX-023-33</t>
  </si>
  <si>
    <t>214635986-34A</t>
  </si>
  <si>
    <t>140103-2014-002254</t>
  </si>
  <si>
    <t>TK-F01-106-B10 WWDX-023-34</t>
  </si>
  <si>
    <t>214635986-35A</t>
  </si>
  <si>
    <t>140103-2014-002255</t>
  </si>
  <si>
    <t>TK-F01-106-B10 WWDX-023-35</t>
  </si>
  <si>
    <t>214635986-36A</t>
  </si>
  <si>
    <t>140103-2014-002256</t>
  </si>
  <si>
    <t>TK-F01-106-B10 WWDX-023-36</t>
  </si>
  <si>
    <t>214635986-37A</t>
  </si>
  <si>
    <t>140103-2014-002257</t>
  </si>
  <si>
    <t>TK-F01-106-B10 WWDX-023-37</t>
  </si>
  <si>
    <t>DELL PowerEdge M1000E</t>
  </si>
  <si>
    <t>1TB1132</t>
  </si>
  <si>
    <t>140103-2014-002725</t>
  </si>
  <si>
    <t>TK-F01-106-B2(14-23U)WWDX:028</t>
  </si>
  <si>
    <t>66MZ032</t>
  </si>
  <si>
    <t>140103-2014-002202</t>
  </si>
  <si>
    <t>TK-F01-106-B2(14-23U)WWDX:028-01</t>
  </si>
  <si>
    <t>JDLZ032</t>
  </si>
  <si>
    <t>140103-2014-002203</t>
  </si>
  <si>
    <t>TK-F01-106-B2(14-23U)WWDX:028-02</t>
  </si>
  <si>
    <t>BDLZ032</t>
  </si>
  <si>
    <t>140103-2014-002204</t>
  </si>
  <si>
    <t>TK-F01-106-B2(14-23U)WWDX:028-03</t>
  </si>
  <si>
    <t>3MD6132</t>
  </si>
  <si>
    <t>140103-2014-002205</t>
  </si>
  <si>
    <t>TK-F01-106-B2(14-23U)WWDX:028-04</t>
  </si>
  <si>
    <t>FLD6132</t>
  </si>
  <si>
    <t>140103-2014-002206</t>
  </si>
  <si>
    <t>TK-F01-106-B2(14-23U)WWDX:028-05</t>
  </si>
  <si>
    <t>96MZ032</t>
  </si>
  <si>
    <t>140103-2014-002207</t>
  </si>
  <si>
    <t>TK-F01-106-B2(14-23U)WWDX:028-06</t>
  </si>
  <si>
    <t>JFLZ032</t>
  </si>
  <si>
    <t>140103-2014-002208</t>
  </si>
  <si>
    <t>TK-F01-106-B2(14-23U)WWDX:028-07</t>
  </si>
  <si>
    <t>5J00132</t>
  </si>
  <si>
    <t>140103-2014-002209</t>
  </si>
  <si>
    <t>TK-F01-106-B2(14-23U)WWDX:028-08</t>
  </si>
  <si>
    <t>9H00132</t>
  </si>
  <si>
    <t>140103-2014-002210</t>
  </si>
  <si>
    <t>TK-F01-106-B2(14-23U)WWDX:028-09</t>
  </si>
  <si>
    <t>6WLZ032</t>
  </si>
  <si>
    <t>140103-2014-002211</t>
  </si>
  <si>
    <t>TK-F01-106-B2(14-23U)WWDX:028-10</t>
  </si>
  <si>
    <t>6210132</t>
  </si>
  <si>
    <t>140103-2014-002212</t>
  </si>
  <si>
    <t>TK-F01-106-B2(14-23U)WWDX:028-11</t>
  </si>
  <si>
    <t>B310132</t>
  </si>
  <si>
    <t>140103-2014-002213</t>
  </si>
  <si>
    <t>TK-F01-106-B2(14-23U)WWDX:028-12</t>
  </si>
  <si>
    <t>HCLZ032</t>
  </si>
  <si>
    <t>140103-2014-002214</t>
  </si>
  <si>
    <t>TK-F01-106-B2(14-23U)WWDX:028-13</t>
  </si>
  <si>
    <t>BVZZ032</t>
  </si>
  <si>
    <t>140103-2014-002215</t>
  </si>
  <si>
    <t>TK-F01-106-B2(14-23U)WWDX:028-14</t>
  </si>
  <si>
    <t>36MZ032</t>
  </si>
  <si>
    <t>140103-2014-002216</t>
  </si>
  <si>
    <t>TK-F01-106-B2(14-23U)WWDX:028-15</t>
  </si>
  <si>
    <t>1J00132</t>
  </si>
  <si>
    <t>140103-2014-002217</t>
  </si>
  <si>
    <t>TK-F01-106-B2(14-23U)WWDX:028-16</t>
  </si>
  <si>
    <t>214637692</t>
  </si>
  <si>
    <t>140103-2014-003236</t>
  </si>
  <si>
    <t>TK-F01-106-B2(26-27U)</t>
  </si>
  <si>
    <t>214637691</t>
  </si>
  <si>
    <t>140103-2014-003235</t>
  </si>
  <si>
    <t>TK-F01-106-B2(29-30U)</t>
  </si>
  <si>
    <t>9TB1132</t>
  </si>
  <si>
    <t>140103-2014-002724</t>
  </si>
  <si>
    <t>TK-F01-106-B2(3-12U)WWDX:029</t>
  </si>
  <si>
    <t>D5MZ032</t>
  </si>
  <si>
    <t>140103-2014-002182</t>
  </si>
  <si>
    <t>TK-F01-106-B2(3-12U)WWDX:029-01</t>
  </si>
  <si>
    <t>H5MZ032</t>
  </si>
  <si>
    <t>140103-2014-002183</t>
  </si>
  <si>
    <t>TK-F01-106-B2(3-12U)WWDX:029-02</t>
  </si>
  <si>
    <t>95MZ032</t>
  </si>
  <si>
    <t>140103-2014-002184</t>
  </si>
  <si>
    <t>TK-F01-106-B2(3-12U)WWDX:029-03</t>
  </si>
  <si>
    <t>46MZ032</t>
  </si>
  <si>
    <t>140103-2014-002185</t>
  </si>
  <si>
    <t>TK-F01-106-B2(3-12U)WWDX:029-04</t>
  </si>
  <si>
    <t>9FLZ032</t>
  </si>
  <si>
    <t>140103-2014-002218</t>
  </si>
  <si>
    <t>TK-F01-106-B2(3-12U)WWDX:029-05</t>
  </si>
  <si>
    <t>JG00132</t>
  </si>
  <si>
    <t>140103-2014-002219</t>
  </si>
  <si>
    <t>TK-F01-106-B2(3-12U)WWDX:029-06</t>
  </si>
  <si>
    <t>6410132</t>
  </si>
  <si>
    <t>140103-2014-002220</t>
  </si>
  <si>
    <t>TK-F01-106-B2(3-12U)WWDX:029-07</t>
  </si>
  <si>
    <t>1XLZ032</t>
  </si>
  <si>
    <t>140103-2014-002221</t>
  </si>
  <si>
    <t>TK-F01-106-B2(3-12U)WWDX:029-08</t>
  </si>
  <si>
    <t>1WZZ032</t>
  </si>
  <si>
    <t>140103-2014-002222</t>
  </si>
  <si>
    <t>TK-F01-106-B2(3-12U)WWDX:029-09</t>
  </si>
  <si>
    <t>C600132</t>
  </si>
  <si>
    <t>140103-2014-002223</t>
  </si>
  <si>
    <t>TK-F01-106-B2(3-12U)WWDX:029-10</t>
  </si>
  <si>
    <t>6JD6132</t>
  </si>
  <si>
    <t>140103-2014-002224</t>
  </si>
  <si>
    <t>TK-F01-106-B2(3-12U)WWDX:029-11</t>
  </si>
  <si>
    <t>CTZZ032</t>
  </si>
  <si>
    <t>140103-2014-002225</t>
  </si>
  <si>
    <t>TK-F01-106-B2(3-12U)WWDX:029-12</t>
  </si>
  <si>
    <t>2VZZ032</t>
  </si>
  <si>
    <t>140103-2014-002282</t>
  </si>
  <si>
    <t>TK-F01-106-B2(3-12U)WWDX:029-13</t>
  </si>
  <si>
    <t>CJ00132</t>
  </si>
  <si>
    <t>140103-2014-002283</t>
  </si>
  <si>
    <t>TK-F01-106-B2(3-12U)WWDX:029-14</t>
  </si>
  <si>
    <t>214637693</t>
  </si>
  <si>
    <t>140103-2014-003234</t>
  </si>
  <si>
    <t>TK-F01-106-B2(32-33U)</t>
  </si>
  <si>
    <t>214637680</t>
  </si>
  <si>
    <t>140103-2014-003233</t>
  </si>
  <si>
    <t>TK-F02-226-H8(26-27U)</t>
  </si>
  <si>
    <t>214635817-05A</t>
  </si>
  <si>
    <t>140103-2014-001897</t>
  </si>
  <si>
    <t>TK-F01-106-B7 WWDX-020-05</t>
  </si>
  <si>
    <t>思科 WS-C3750X-24T-S</t>
  </si>
  <si>
    <t>FDO1841H09M</t>
  </si>
  <si>
    <t>140502-2014-001118</t>
  </si>
  <si>
    <t>TK-F01-106-C03(34-34U)</t>
  </si>
  <si>
    <t>FDO1841P0BM</t>
  </si>
  <si>
    <t>140502-2014-001117</t>
  </si>
  <si>
    <t>TK-F01-106-C03(36-36U)</t>
  </si>
  <si>
    <t>210235a1dwh151000008</t>
  </si>
  <si>
    <t>140502-2014-001096</t>
  </si>
  <si>
    <t>TK-F01-106-C04(38-38U)</t>
  </si>
  <si>
    <t>IBM X3850X5</t>
  </si>
  <si>
    <t>06CP596</t>
  </si>
  <si>
    <t>140103-2014-002546</t>
  </si>
  <si>
    <t>TK-F01-106-C06(14-17U)</t>
  </si>
  <si>
    <t>06CP600</t>
  </si>
  <si>
    <t>140103-2014-002547</t>
  </si>
  <si>
    <t>TK-F01-106-C06(19-22U)</t>
  </si>
  <si>
    <t>06CP590</t>
  </si>
  <si>
    <t>140103-2014-002544</t>
  </si>
  <si>
    <t>TK-F01-106-C06(24-27U)</t>
  </si>
  <si>
    <t>06CP579</t>
  </si>
  <si>
    <t>140103-2014-002545</t>
  </si>
  <si>
    <t>TK-F01-106-C06(29-32U)</t>
  </si>
  <si>
    <t>NEC R320a-E4</t>
  </si>
  <si>
    <t>2700232</t>
  </si>
  <si>
    <t>140103-2012-001140</t>
  </si>
  <si>
    <t>TK-F01-106-C07(11-14U)</t>
  </si>
  <si>
    <t>CNG227TLSX</t>
  </si>
  <si>
    <t>140103-2012-001138</t>
  </si>
  <si>
    <t>TK-F01-106-C07(28-31U)</t>
  </si>
  <si>
    <t>6CU4421WCS</t>
  </si>
  <si>
    <t>140103-2014-002542</t>
  </si>
  <si>
    <t>TK-F01-106-C07机柜(8-9U)</t>
  </si>
  <si>
    <t>06L1639</t>
  </si>
  <si>
    <t>140103-2012-001159</t>
  </si>
  <si>
    <t>TK-F01-106-A03</t>
  </si>
  <si>
    <t>214637696</t>
  </si>
  <si>
    <t>140103-2014-003240</t>
  </si>
  <si>
    <t>TK-F01-106-C10(10-11U)</t>
  </si>
  <si>
    <t>214637695</t>
  </si>
  <si>
    <t>140103-2014-003239</t>
  </si>
  <si>
    <t>TK-F01-106-C10(13-14U)</t>
  </si>
  <si>
    <t>J301D83Z</t>
  </si>
  <si>
    <t>140103-2019-000618</t>
  </si>
  <si>
    <t>TK-F01-106-C10(32-34U)</t>
  </si>
  <si>
    <t>J301D83Y</t>
  </si>
  <si>
    <t>140103-2019-000617</t>
  </si>
  <si>
    <t>TK-F01-106-C10(35-36U)</t>
  </si>
  <si>
    <t>IBM X3750M4</t>
  </si>
  <si>
    <t>06H8420</t>
  </si>
  <si>
    <t>140103-2012-001157</t>
  </si>
  <si>
    <t>TK-F01-106-C10(3-4U)</t>
  </si>
  <si>
    <t>H3C LS-5500-58C-H</t>
  </si>
  <si>
    <t>210235A0HAH14A000305</t>
  </si>
  <si>
    <t>140502-2012-000678</t>
  </si>
  <si>
    <t>TK-F01-106-C3(30-30U)</t>
  </si>
  <si>
    <t>6CU44945F1</t>
  </si>
  <si>
    <t>140103-2014-003494</t>
  </si>
  <si>
    <t>TK-F01-106-C8(31-31U)</t>
  </si>
  <si>
    <t>210235A1DWH149000109</t>
  </si>
  <si>
    <t>140502-2014-001095</t>
  </si>
  <si>
    <t>TK-F02-226-A(4-4U)</t>
  </si>
  <si>
    <t>GW3JZZ1</t>
  </si>
  <si>
    <t>140103-2014-002716</t>
  </si>
  <si>
    <t>TK-F01-106-D02(18-27U)</t>
  </si>
  <si>
    <t>2Y3JZZ1</t>
  </si>
  <si>
    <t>140103-2014-002548</t>
  </si>
  <si>
    <t>TK-F01-106-D02(18-27U)TKYDL-01-01</t>
  </si>
  <si>
    <t>2X3JZZ1</t>
  </si>
  <si>
    <t>140103-2014-002549</t>
  </si>
  <si>
    <t>TK-F01-106-D02(18-27U)TKYDL-01-02</t>
  </si>
  <si>
    <t>HX3JZZ1</t>
  </si>
  <si>
    <t>140103-2014-002550</t>
  </si>
  <si>
    <t>TK-F01-106-D02(18-27U)TKYDL-01-03</t>
  </si>
  <si>
    <t>FX3JZZ1</t>
  </si>
  <si>
    <t>140103-2014-002551</t>
  </si>
  <si>
    <t>TK-F01-106-D02(18-27U)TKYDL-01-04</t>
  </si>
  <si>
    <t>DX3JZZ1</t>
  </si>
  <si>
    <t>140103-2014-002552</t>
  </si>
  <si>
    <t>TK-F01-106-D02(18-27U)TKYDL-01-05</t>
  </si>
  <si>
    <t>FY3JZZ1</t>
  </si>
  <si>
    <t>140103-2014-002553</t>
  </si>
  <si>
    <t>TK-F01-106-D02(18-27U)TKYDL-01-06</t>
  </si>
  <si>
    <t>4X3JZZ1</t>
  </si>
  <si>
    <t>140103-2014-002554</t>
  </si>
  <si>
    <t>TK-F01-106-D02(18-27U)TKYDL-01-07</t>
  </si>
  <si>
    <t>HY3JZZ1</t>
  </si>
  <si>
    <t>140103-2014-002555</t>
  </si>
  <si>
    <t>TK-F01-106-D02(18-27U)TKYDL-01-08</t>
  </si>
  <si>
    <t>JY3JZZ1</t>
  </si>
  <si>
    <t>140103-2014-002556</t>
  </si>
  <si>
    <t>TK-F01-106-D02(18-27U)TKYDL-01-09</t>
  </si>
  <si>
    <t>5Y3JZZ1</t>
  </si>
  <si>
    <t>140103-2014-002557</t>
  </si>
  <si>
    <t>TK-F01-106-D02(18-27U)TKYDL-01-10</t>
  </si>
  <si>
    <t>5X3JZZ1</t>
  </si>
  <si>
    <t>140103-2014-002560</t>
  </si>
  <si>
    <t>TK-F01-106-D02(18-27U)TKYDL-01-13</t>
  </si>
  <si>
    <t>6X3JZZ1</t>
  </si>
  <si>
    <t>140103-2014-002561</t>
  </si>
  <si>
    <t>TK-F01-106-D02(18-27U)TKYDL-01-14</t>
  </si>
  <si>
    <t>3X3JZZ1</t>
  </si>
  <si>
    <t>140103-2014-002562</t>
  </si>
  <si>
    <t>TK-F01-106-D02(18-27U)TKYDL-01-15</t>
  </si>
  <si>
    <t>210235A0HAH139000149</t>
  </si>
  <si>
    <t>140502-2014-001146</t>
  </si>
  <si>
    <t>TK-F01-106-D02(34-34U)</t>
  </si>
  <si>
    <t>210235A0HAH139000100</t>
  </si>
  <si>
    <t>140502-2014-001145</t>
  </si>
  <si>
    <t>TK-F01-106-D02(36-36U)</t>
  </si>
  <si>
    <t>H0WHZZ1</t>
  </si>
  <si>
    <t>140103-2014-002717</t>
  </si>
  <si>
    <t>TK-F01-106-D02(5-14U)</t>
  </si>
  <si>
    <t>36WHZZ1</t>
  </si>
  <si>
    <t>140103-2014-002564</t>
  </si>
  <si>
    <t>TK-F01-106-D02(5-14U)TKYDL-02-01</t>
  </si>
  <si>
    <t>C9WHZZ1</t>
  </si>
  <si>
    <t>140103-2014-002565</t>
  </si>
  <si>
    <t>TK-F01-106-D02(5-14U)TKYDL-02-02</t>
  </si>
  <si>
    <t>H7WHZZ1</t>
  </si>
  <si>
    <t>140103-2014-002566</t>
  </si>
  <si>
    <t>TK-F01-106-D02(5-14U)TKYDL-02-03</t>
  </si>
  <si>
    <t>CBWHZZ1</t>
  </si>
  <si>
    <t>140103-2014-002567</t>
  </si>
  <si>
    <t>TK-F01-106-D02(5-14U)TKYDL-02-04</t>
  </si>
  <si>
    <t>C8WHZZ1</t>
  </si>
  <si>
    <t>140103-2014-002568</t>
  </si>
  <si>
    <t>TK-F01-106-D02(5-14U)TKYDL-02-05</t>
  </si>
  <si>
    <t>49WHZZ1</t>
  </si>
  <si>
    <t>140103-2014-002569</t>
  </si>
  <si>
    <t>TK-F01-106-D02(5-14U)TKYDL-02-06</t>
  </si>
  <si>
    <t>1CWHZZ1</t>
  </si>
  <si>
    <t>140103-2014-002570</t>
  </si>
  <si>
    <t>TK-F01-106-D02(5-14U)TKYDL-02-07</t>
  </si>
  <si>
    <t>FCWHZZ1</t>
  </si>
  <si>
    <t>140103-2014-002571</t>
  </si>
  <si>
    <t>TK-F01-106-D02(5-14U)TKYDL-02-08</t>
  </si>
  <si>
    <t>H9WHZZ1</t>
  </si>
  <si>
    <t>140103-2014-002572</t>
  </si>
  <si>
    <t>TK-F01-106-D02(5-14U)TKYDL-02-09</t>
  </si>
  <si>
    <t>D5WHZZ1</t>
  </si>
  <si>
    <t>140103-2014-002573</t>
  </si>
  <si>
    <t>TK-F01-106-D02(5-14U)TKYDL-02-10</t>
  </si>
  <si>
    <t>B6WHZZ1</t>
  </si>
  <si>
    <t>140103-2014-002574</t>
  </si>
  <si>
    <t>TK-F01-106-D02(5-14U)TKYDL-02-11</t>
  </si>
  <si>
    <t>87WHZZ1</t>
  </si>
  <si>
    <t>140103-2014-002575</t>
  </si>
  <si>
    <t>TK-F01-106-D02(5-14U)TKYDL-02-12</t>
  </si>
  <si>
    <t>48WHZZ1</t>
  </si>
  <si>
    <t>140103-2014-002576</t>
  </si>
  <si>
    <t>TK-F01-106-D02(5-14U)TKYDL-02-13</t>
  </si>
  <si>
    <t>8CWHZZ1</t>
  </si>
  <si>
    <t>140103-2014-002577</t>
  </si>
  <si>
    <t>TK-F01-106-D02(5-14U)TKYDL-02-14</t>
  </si>
  <si>
    <t>6BWHZZ1</t>
  </si>
  <si>
    <t>140103-2014-002578</t>
  </si>
  <si>
    <t>TK-F01-106-D02(5-14U)TKYDL-02-15</t>
  </si>
  <si>
    <t>2DWHZZ1</t>
  </si>
  <si>
    <t>140103-2014-002579</t>
  </si>
  <si>
    <t>TK-F01-106-D02(5-14U)TKYDL-02-16</t>
  </si>
  <si>
    <t>1000132</t>
  </si>
  <si>
    <t>140103-2014-002686</t>
  </si>
  <si>
    <t>TK-F01-106-D03(14-23U)</t>
  </si>
  <si>
    <t>1VZZ032</t>
  </si>
  <si>
    <t>140103-2014-002688</t>
  </si>
  <si>
    <t>1ZZZ032</t>
  </si>
  <si>
    <t>140103-2014-002699</t>
  </si>
  <si>
    <t>4700132</t>
  </si>
  <si>
    <t>140103-2014-002684</t>
  </si>
  <si>
    <t>4800132</t>
  </si>
  <si>
    <t>140103-2014-002693</t>
  </si>
  <si>
    <t>4HLZ032</t>
  </si>
  <si>
    <t>140103-2014-002694</t>
  </si>
  <si>
    <t>5610132</t>
  </si>
  <si>
    <t>140103-2014-002690</t>
  </si>
  <si>
    <t>6TZZ032</t>
  </si>
  <si>
    <t>140103-2014-002698</t>
  </si>
  <si>
    <t>7XLZ032</t>
  </si>
  <si>
    <t>140103-2014-002697</t>
  </si>
  <si>
    <t>86MZ032</t>
  </si>
  <si>
    <t>140103-2014-002689</t>
  </si>
  <si>
    <t>CSB1132</t>
  </si>
  <si>
    <t>140103-2014-002310</t>
  </si>
  <si>
    <t>D700132</t>
  </si>
  <si>
    <t>140103-2014-002695</t>
  </si>
  <si>
    <t>DJD6132</t>
  </si>
  <si>
    <t>140103-2014-002687</t>
  </si>
  <si>
    <t>DVZZ032</t>
  </si>
  <si>
    <t>140103-2014-002692</t>
  </si>
  <si>
    <t>FTZZ032</t>
  </si>
  <si>
    <t>140103-2014-002691</t>
  </si>
  <si>
    <t>G000132</t>
  </si>
  <si>
    <t>140103-2014-002696</t>
  </si>
  <si>
    <t>JHLZ032</t>
  </si>
  <si>
    <t>140103-2014-002685</t>
  </si>
  <si>
    <t>Cisco UCSB200</t>
  </si>
  <si>
    <t>FCH16287KP5</t>
  </si>
  <si>
    <t>140103-2012-001198</t>
  </si>
  <si>
    <t>TK-F01-106-D03(25-30U)-5</t>
  </si>
  <si>
    <t>FCH16297D6Y</t>
  </si>
  <si>
    <t>140103-2012-001200</t>
  </si>
  <si>
    <t>TK-F01-106-D03(25-30U)-7</t>
  </si>
  <si>
    <t>FCH162772TP</t>
  </si>
  <si>
    <t>140103-2012-001201</t>
  </si>
  <si>
    <t>TK-F01-106-D03(27-27U)</t>
  </si>
  <si>
    <t>FCH16287KCL</t>
  </si>
  <si>
    <t>140103-2012-001199</t>
  </si>
  <si>
    <t>TK-F01-106-D03(28-28U)</t>
  </si>
  <si>
    <t>FCH16277YM3</t>
  </si>
  <si>
    <t>140103-2012-001196</t>
  </si>
  <si>
    <t>TK-F01-106-D03(29-29U)</t>
  </si>
  <si>
    <t>FCH16287KN0</t>
  </si>
  <si>
    <t>140103-2012-001197</t>
  </si>
  <si>
    <t>FCH16287JV5</t>
  </si>
  <si>
    <t>140103-2012-001195</t>
  </si>
  <si>
    <t>TK-F01-106-D03(30-30U)</t>
  </si>
  <si>
    <t>FCH16287KOE</t>
  </si>
  <si>
    <t>140103-2012-001194</t>
  </si>
  <si>
    <t>4YB1132</t>
  </si>
  <si>
    <t>140103-2014-002723</t>
  </si>
  <si>
    <t>TK-F01-106-D03(3-12U)KPDX:007</t>
  </si>
  <si>
    <t>7000132</t>
  </si>
  <si>
    <t>140103-2014-002676</t>
  </si>
  <si>
    <t>TK-F01-106-D03(3-12U)KPDX:007-01</t>
  </si>
  <si>
    <t>G510132</t>
  </si>
  <si>
    <t>140103-2014-002677</t>
  </si>
  <si>
    <t>TK-F01-106-D03(3-12U)KPDX:007-02</t>
  </si>
  <si>
    <t>8HD6132</t>
  </si>
  <si>
    <t>140103-2014-002678</t>
  </si>
  <si>
    <t>TK-F01-106-D03(3-12U)KPDX:007-03</t>
  </si>
  <si>
    <t>HJLZ032</t>
  </si>
  <si>
    <t>140103-2014-002679</t>
  </si>
  <si>
    <t>TK-F01-106-D03(3-12U)KPDX:007-04</t>
  </si>
  <si>
    <t>7TZZ032</t>
  </si>
  <si>
    <t>140103-2014-002680</t>
  </si>
  <si>
    <t>TK-F01-106-D03(3-12U)KPDX:007-05</t>
  </si>
  <si>
    <t>D710132</t>
  </si>
  <si>
    <t>140103-2014-002681</t>
  </si>
  <si>
    <t>TK-F01-106-D03(3-12U)KPDX:007-06</t>
  </si>
  <si>
    <t>5810132</t>
  </si>
  <si>
    <t>140103-2014-002682</t>
  </si>
  <si>
    <t>TK-F01-106-D03(3-12U)KPDX:007-07</t>
  </si>
  <si>
    <t>76MZ032</t>
  </si>
  <si>
    <t>140103-2014-002683</t>
  </si>
  <si>
    <t>TK-F01-106-D03(3-12U)KPDX:007-08</t>
  </si>
  <si>
    <t>G5MZ032</t>
  </si>
  <si>
    <t>140103-2014-002712</t>
  </si>
  <si>
    <t>TK-F01-106-D03(3-12U)KPDX:007-09</t>
  </si>
  <si>
    <t>B6MZ032</t>
  </si>
  <si>
    <t>140103-2014-002713</t>
  </si>
  <si>
    <t>TK-F01-106-D03(3-12U)KPDX:007-10</t>
  </si>
  <si>
    <t>D6MZ032</t>
  </si>
  <si>
    <t>140103-2014-002714</t>
  </si>
  <si>
    <t>TK-F01-106-D03(3-12U)KPDX:007-11</t>
  </si>
  <si>
    <t>1TZZ032</t>
  </si>
  <si>
    <t>140103-2014-002715</t>
  </si>
  <si>
    <t>TK-F01-106-D03(3-12U)KPDX:007-12</t>
  </si>
  <si>
    <t>DZ3JZZ1</t>
  </si>
  <si>
    <t>140103-2014-002581</t>
  </si>
  <si>
    <t>TK-F01-106-D04(18-27U)TKYDL-03-02</t>
  </si>
  <si>
    <t>204JZZ1</t>
  </si>
  <si>
    <t>140103-2014-002582</t>
  </si>
  <si>
    <t>TK-F01-106-D04(18-27U)TKYDL-03-03</t>
  </si>
  <si>
    <t>GZ3JZZ1</t>
  </si>
  <si>
    <t>140103-2014-002658</t>
  </si>
  <si>
    <t>TK-F01-106-D04(18-27U)TKYDL-03-15</t>
  </si>
  <si>
    <t>210235A0HAH139000118</t>
  </si>
  <si>
    <t>140502-2014-001147</t>
  </si>
  <si>
    <t>TK-F01-106-D04(34-34U)</t>
  </si>
  <si>
    <t>210235A0HAH139000176</t>
  </si>
  <si>
    <t>140502-2014-001148</t>
  </si>
  <si>
    <t>TK-F01-106-D04(36-36U)</t>
  </si>
  <si>
    <t>210235A0HAH139000182</t>
  </si>
  <si>
    <t>140502-2014-001150</t>
  </si>
  <si>
    <t>TK-F01-106-D05(36-36U)</t>
  </si>
  <si>
    <t>210235A0HAH139000133</t>
  </si>
  <si>
    <t>140502-2014-001149</t>
  </si>
  <si>
    <t>TK-F01-106-D05(38-38U)</t>
  </si>
  <si>
    <t>210235A0HAH139000120</t>
  </si>
  <si>
    <t>140502-2014-001152</t>
  </si>
  <si>
    <t>TK-F01-106-D06(34-34U)</t>
  </si>
  <si>
    <t>210235A0HAH139000253</t>
  </si>
  <si>
    <t>140502-2014-001151</t>
  </si>
  <si>
    <t>TK-F01-106-D06(36-36U)</t>
  </si>
  <si>
    <t>210235A0HAH139000134</t>
  </si>
  <si>
    <t>140502-2014-001154</t>
  </si>
  <si>
    <t>TK-F01-106-D07(34-34U)</t>
  </si>
  <si>
    <t>210235A0HAH139000157</t>
  </si>
  <si>
    <t>140502-2014-001153</t>
  </si>
  <si>
    <t>TK-F01-106-D07(36-36U)</t>
  </si>
  <si>
    <t>J5MZ032</t>
  </si>
  <si>
    <t>140103-2014-002702</t>
  </si>
  <si>
    <t>TK-F01-106-D08(3-12U)KPDX:006-03</t>
  </si>
  <si>
    <t>G810132</t>
  </si>
  <si>
    <t>140103-2014-002703</t>
  </si>
  <si>
    <t>TK-F01-106-D08(3-12U)KPDX:006-04</t>
  </si>
  <si>
    <t>H210132</t>
  </si>
  <si>
    <t>140103-2014-002704</t>
  </si>
  <si>
    <t>TK-F01-106-D08(3-12U)KPDX:006-05</t>
  </si>
  <si>
    <t>6CU4421WBP</t>
  </si>
  <si>
    <t>140103-2014-002764</t>
  </si>
  <si>
    <t>TK-F02-226-D5(1-4U)</t>
  </si>
  <si>
    <t>210235A0HAH139000223</t>
  </si>
  <si>
    <t>140502-2014-001141</t>
  </si>
  <si>
    <t>TK-F01-106-E(11-11U)</t>
  </si>
  <si>
    <t>联想 X3850 X6</t>
  </si>
  <si>
    <t>J33GL84</t>
  </si>
  <si>
    <t>140103-2017-001182</t>
  </si>
  <si>
    <t>TK-F01-106-E(13-16U)</t>
  </si>
  <si>
    <t>J33GL86</t>
  </si>
  <si>
    <t>140103-2017-001181</t>
  </si>
  <si>
    <t>TK-F01-106-E(17-20U)</t>
  </si>
  <si>
    <t>J33GL85</t>
  </si>
  <si>
    <t>140103-2017-001180</t>
  </si>
  <si>
    <t>TK-F01-106-E(21-24U)</t>
  </si>
  <si>
    <t>2102350DLVDMK8001540</t>
  </si>
  <si>
    <t>140502-2019-000121</t>
  </si>
  <si>
    <t>TK-F01-106-E(26-26U)</t>
  </si>
  <si>
    <t>210235AOHAH14A000233</t>
  </si>
  <si>
    <t>140502-2014-001139</t>
  </si>
  <si>
    <t>TK-F01-106-E(4-4U)</t>
  </si>
  <si>
    <t>210235AOHAH14A000201</t>
  </si>
  <si>
    <t>140502-2014-001140</t>
  </si>
  <si>
    <t>TK-F01-106-E(6-6U)</t>
  </si>
  <si>
    <t>210235A0HAH139000187</t>
  </si>
  <si>
    <t>140502-2014-001142</t>
  </si>
  <si>
    <t>TK-F01-108-J(38-38U)</t>
  </si>
  <si>
    <t>140502-2014-001102</t>
  </si>
  <si>
    <t>210235A1DWH149000081</t>
  </si>
  <si>
    <t>140502-2014-001121</t>
  </si>
  <si>
    <t>TK-F01-106-E01(4-4U)</t>
  </si>
  <si>
    <t>210235A1DWH149000092</t>
  </si>
  <si>
    <t>140502-2014-001122</t>
  </si>
  <si>
    <t>TK-F01-106-E01(6-6U)</t>
  </si>
  <si>
    <t>210235A1DWH149000100</t>
  </si>
  <si>
    <t>140502-2014-001123</t>
  </si>
  <si>
    <t>TK-F01-106-E01(9-9U)</t>
  </si>
  <si>
    <t>210235A1DWH149000089</t>
  </si>
  <si>
    <t>140502-2014-001124</t>
  </si>
  <si>
    <t>TK-F01-106-E01(11-11U)</t>
  </si>
  <si>
    <t>06CT308</t>
  </si>
  <si>
    <t>140103-2014-002735</t>
  </si>
  <si>
    <t>TK-F01-106-E05(13-16U)</t>
  </si>
  <si>
    <t>06CP864</t>
  </si>
  <si>
    <t>140103-2014-002736</t>
  </si>
  <si>
    <t>TK-F01-106-E05(18-21U)</t>
  </si>
  <si>
    <t>06CT339</t>
  </si>
  <si>
    <t>140103-2014-002737</t>
  </si>
  <si>
    <t>TK-F01-106-E05(23-26U)</t>
  </si>
  <si>
    <t>06CP866</t>
  </si>
  <si>
    <t>140103-2014-002738</t>
  </si>
  <si>
    <t>TK-F01-106-E05(28-31U)</t>
  </si>
  <si>
    <t>06CP859</t>
  </si>
  <si>
    <t>140103-2014-002733</t>
  </si>
  <si>
    <t>TK-F01-106-E05(3-6U)</t>
  </si>
  <si>
    <t>06CT295</t>
  </si>
  <si>
    <t>140103-2014-002734</t>
  </si>
  <si>
    <t>TK-F01-106-E05(8-11U)</t>
  </si>
  <si>
    <t>06CP868</t>
  </si>
  <si>
    <t>140103-2014-002741</t>
  </si>
  <si>
    <t>TK-F01-106-E06(13-16U)</t>
  </si>
  <si>
    <t>06CT327</t>
  </si>
  <si>
    <t>140103-2014-002742</t>
  </si>
  <si>
    <t>TK-F01-106-E06(18-21U)</t>
  </si>
  <si>
    <t>06CT331</t>
  </si>
  <si>
    <t>140103-2014-002743</t>
  </si>
  <si>
    <t>TK-F01-106-E06(23-26U)</t>
  </si>
  <si>
    <t>06CP865</t>
  </si>
  <si>
    <t>140103-2014-002744</t>
  </si>
  <si>
    <t>TK-F01-106-E06(28-31U)</t>
  </si>
  <si>
    <t>06CT346</t>
  </si>
  <si>
    <t>140103-2014-003310</t>
  </si>
  <si>
    <t>TK-F01-106-E06(33-36U)</t>
  </si>
  <si>
    <t>06CT316</t>
  </si>
  <si>
    <t>140103-2014-002739</t>
  </si>
  <si>
    <t>TK-F01-106-E06(3-6U)</t>
  </si>
  <si>
    <t>06CT328</t>
  </si>
  <si>
    <t>140103-2014-002740</t>
  </si>
  <si>
    <t>TK-F01-106-E06(8-11U)</t>
  </si>
  <si>
    <t>06CT329</t>
  </si>
  <si>
    <t>140103-2014-003309</t>
  </si>
  <si>
    <t>TK-F01-106-E07(03-06U)</t>
  </si>
  <si>
    <t>06CT313</t>
  </si>
  <si>
    <t>140103-2014-003308</t>
  </si>
  <si>
    <t>TK-F01-106-E07(08-11U)</t>
  </si>
  <si>
    <t>06CP872</t>
  </si>
  <si>
    <t>140103-2014-002745</t>
  </si>
  <si>
    <t>TK-F01-106-E07(13-16U)</t>
  </si>
  <si>
    <t>06CT432</t>
  </si>
  <si>
    <t>140103-2014-003311</t>
  </si>
  <si>
    <t>TK-F01-106-E07(33-36U)</t>
  </si>
  <si>
    <t>06CT288</t>
  </si>
  <si>
    <t>140103-2014-002746</t>
  </si>
  <si>
    <t>TK-F01-106-E07(18-21U)</t>
  </si>
  <si>
    <t>06CT284</t>
  </si>
  <si>
    <t>140103-2014-002747</t>
  </si>
  <si>
    <t>TK-F01-106-E07(23-26U)</t>
  </si>
  <si>
    <t>06CT324</t>
  </si>
  <si>
    <t>140103-2014-002748</t>
  </si>
  <si>
    <t>TK-F01-106-E07(28-31U)</t>
  </si>
  <si>
    <t>06Z7420</t>
  </si>
  <si>
    <t>140103-2014-002750</t>
  </si>
  <si>
    <t>TK-F01-106-E08(13-16U)</t>
  </si>
  <si>
    <t>06Z7425</t>
  </si>
  <si>
    <t>140103-2014-002749</t>
  </si>
  <si>
    <t>TK-F01-106-E08(18-21U)</t>
  </si>
  <si>
    <t>06Z7417</t>
  </si>
  <si>
    <t>140103-2014-002752</t>
  </si>
  <si>
    <t>TK-F01-106-E08(3-6U)</t>
  </si>
  <si>
    <t>06Z7419</t>
  </si>
  <si>
    <t>140103-2014-002751</t>
  </si>
  <si>
    <t>TK-F01-106-E08(8-11U)</t>
  </si>
  <si>
    <t>06Z7418</t>
  </si>
  <si>
    <t>140103-2014-002755</t>
  </si>
  <si>
    <t>TK-F01-106-E09(13-16U)</t>
  </si>
  <si>
    <t>06Z7422</t>
  </si>
  <si>
    <t>140103-2014-002754</t>
  </si>
  <si>
    <t>TK-F01-106-E09(18-21U)</t>
  </si>
  <si>
    <t>06Z7413</t>
  </si>
  <si>
    <t>140103-2014-002753</t>
  </si>
  <si>
    <t>TK-F01-106-E09(26-29U)</t>
  </si>
  <si>
    <t>06Z7421</t>
  </si>
  <si>
    <t>140103-2014-002757</t>
  </si>
  <si>
    <t>TK-F01-106-E09(3-6U)</t>
  </si>
  <si>
    <t>06Z7415</t>
  </si>
  <si>
    <t>140103-2014-002756</t>
  </si>
  <si>
    <t>TK-F01-106-E09(8-11U)</t>
  </si>
  <si>
    <t>J33GL83</t>
  </si>
  <si>
    <t>140103-2017-001185</t>
  </si>
  <si>
    <t>TK-F01-106-E1(13-16U)</t>
  </si>
  <si>
    <t>J33GL89</t>
  </si>
  <si>
    <t>140103-2017-001184</t>
  </si>
  <si>
    <t>TK-F01-106-E1(17-20U)</t>
  </si>
  <si>
    <t>J33GL87</t>
  </si>
  <si>
    <t>140103-2017-001183</t>
  </si>
  <si>
    <t>TK-F01-106-E1(21-24U)</t>
  </si>
  <si>
    <t>06Z7424</t>
  </si>
  <si>
    <t>140103-2014-002760</t>
  </si>
  <si>
    <t>TK-F01-106-E10(13-16U)</t>
  </si>
  <si>
    <t>06Z7416</t>
  </si>
  <si>
    <t>140103-2014-002759</t>
  </si>
  <si>
    <t>TK-F01-106-E10(18-21U)</t>
  </si>
  <si>
    <t>06Z7423</t>
  </si>
  <si>
    <t>140103-2014-002758</t>
  </si>
  <si>
    <t>TK-F01-106-E10(26-29U)</t>
  </si>
  <si>
    <t>06Z7412</t>
  </si>
  <si>
    <t>140103-2014-002762</t>
  </si>
  <si>
    <t>TK-F01-106-E10(3-6U)</t>
  </si>
  <si>
    <t>06Z7414</t>
  </si>
  <si>
    <t>140103-2014-002761</t>
  </si>
  <si>
    <t>TK-F01-106-E10(8-11U)</t>
  </si>
  <si>
    <t>J33GL8A</t>
  </si>
  <si>
    <t>140103-2017-001186</t>
  </si>
  <si>
    <t>TK-F01-106-E5(32-35U)</t>
  </si>
  <si>
    <t>J33GL88</t>
  </si>
  <si>
    <t>140103-2017-001187</t>
  </si>
  <si>
    <t>TK-F01-106-E8(30-33U)</t>
  </si>
  <si>
    <t>6CU44945ET</t>
  </si>
  <si>
    <t>140103-2014-003498</t>
  </si>
  <si>
    <t>TK-F01-106-F01(12-13U)</t>
  </si>
  <si>
    <t>6CU4421WAT</t>
  </si>
  <si>
    <t>140103-2014-002313</t>
  </si>
  <si>
    <t>TK-F01-106-F01(15-16U)</t>
  </si>
  <si>
    <t>6CU4421WBT</t>
  </si>
  <si>
    <t>140103-2014-002765</t>
  </si>
  <si>
    <t>TK-F01-106-F01(18-19U)</t>
  </si>
  <si>
    <t>210235A0HAH139000098</t>
  </si>
  <si>
    <t>140502-2014-001144</t>
  </si>
  <si>
    <t>TK-F01-106-F01(21-21U)</t>
  </si>
  <si>
    <t>210235A0HAH139000095</t>
  </si>
  <si>
    <t>140502-2014-001143</t>
  </si>
  <si>
    <t>TK-F01-106-F01(23-23U)</t>
  </si>
  <si>
    <t>6CU44945F3</t>
  </si>
  <si>
    <t>140103-2014-003495</t>
  </si>
  <si>
    <t>TK-F01-106-F01(3-4U)</t>
  </si>
  <si>
    <t>6CU44945F5</t>
  </si>
  <si>
    <t>140103-2014-003496</t>
  </si>
  <si>
    <t>TK-F01-106-F01(6-7U)</t>
  </si>
  <si>
    <t>6CU44945EY</t>
  </si>
  <si>
    <t>140103-2014-003497</t>
  </si>
  <si>
    <t>TK-F01-106-F01(9-10U)</t>
  </si>
  <si>
    <t>210235AOHAH14A000277</t>
  </si>
  <si>
    <t>140502-2014-001162</t>
  </si>
  <si>
    <t>TK-F01-106-F01(25-25U)</t>
  </si>
  <si>
    <t>210235aohah163000035</t>
  </si>
  <si>
    <t>140502-2014-001155</t>
  </si>
  <si>
    <t>TK-F01-106-G(6-6U)</t>
  </si>
  <si>
    <t>210235AOHAH14A000248</t>
  </si>
  <si>
    <t>140502-2014-001156</t>
  </si>
  <si>
    <t>TK-F01-106-G(8-8U)</t>
  </si>
  <si>
    <t>IBM POWER780</t>
  </si>
  <si>
    <t>9179MHB06C5DDR</t>
  </si>
  <si>
    <t>140102-2012-000559</t>
  </si>
  <si>
    <t>TK-F01-106-G5</t>
  </si>
  <si>
    <t>9179MHB06C5DBR</t>
  </si>
  <si>
    <t>140102-2012-000560</t>
  </si>
  <si>
    <t>TK-F01-106-G6</t>
  </si>
  <si>
    <t>210235A1TXH179000212</t>
  </si>
  <si>
    <t>140502-2017-000086</t>
  </si>
  <si>
    <t>TK-F01-107-A(12-12U)</t>
  </si>
  <si>
    <t>210235A1TXH179000412</t>
  </si>
  <si>
    <t>140502-2017-000085</t>
  </si>
  <si>
    <t>TK-F01-107-A(14-14U)</t>
  </si>
  <si>
    <t>210235A1TXH179000401</t>
  </si>
  <si>
    <t>140502-2017-000084</t>
  </si>
  <si>
    <t>TK-F01-107-A(16-16U)</t>
  </si>
  <si>
    <t>210235A1TXH179000314</t>
  </si>
  <si>
    <t>140502-2017-000083</t>
  </si>
  <si>
    <t>TK-F01-107-A(18-18U)</t>
  </si>
  <si>
    <t>210235A1G9H179000006</t>
  </si>
  <si>
    <t>140502-2017-000096</t>
  </si>
  <si>
    <t>TK-F01-107-A(2-2U)</t>
  </si>
  <si>
    <t>210235A1G9H178000037</t>
  </si>
  <si>
    <t>140502-2017-000095</t>
  </si>
  <si>
    <t>TK-F01-107-A(4-4U)</t>
  </si>
  <si>
    <t>210235A1G9H178000025</t>
  </si>
  <si>
    <t>140502-2017-000094</t>
  </si>
  <si>
    <t>TK-F01-107-A(6-6U)</t>
  </si>
  <si>
    <t>华为 E9000 Chassis</t>
  </si>
  <si>
    <t>2102300742N0H9000494/210230102810HA000050</t>
  </si>
  <si>
    <t>140103-2017-000939</t>
  </si>
  <si>
    <t>TK-F01-107-A1(18-29U)DP1</t>
  </si>
  <si>
    <t>华为 CH121 V3</t>
  </si>
  <si>
    <t>210305756810HA000619</t>
  </si>
  <si>
    <t>140103-2017-000413</t>
  </si>
  <si>
    <t>TK-F01-107-A1(18-29U)DP1-1</t>
  </si>
  <si>
    <t>210305756810HA000622</t>
  </si>
  <si>
    <t>140103-2017-000422</t>
  </si>
  <si>
    <t>TK-F01-107-A1(18-29U)DP1-10</t>
  </si>
  <si>
    <t>210305756810HA000231</t>
  </si>
  <si>
    <t>140103-2017-000423</t>
  </si>
  <si>
    <t>TK-F01-107-A1(18-29U)DP1-11</t>
  </si>
  <si>
    <t>210305756810HA000495</t>
  </si>
  <si>
    <t>140103-2017-000424</t>
  </si>
  <si>
    <t>TK-F01-107-A1(18-29U)DP1-12</t>
  </si>
  <si>
    <t>210305756810HA000465</t>
  </si>
  <si>
    <t>140103-2017-000425</t>
  </si>
  <si>
    <t>TK-F01-107-A1(18-29U)DP1-13</t>
  </si>
  <si>
    <t>210305756810HA000409</t>
  </si>
  <si>
    <t>140103-2017-000426</t>
  </si>
  <si>
    <t>TK-F01-107-A1(18-29U)DP1-14</t>
  </si>
  <si>
    <t>210305756810HA000463</t>
  </si>
  <si>
    <t>140103-2017-000427</t>
  </si>
  <si>
    <t>TK-F01-107-A1(18-29U)DP1-15</t>
  </si>
  <si>
    <t>210305756810HA000404</t>
  </si>
  <si>
    <t>140103-2017-000428</t>
  </si>
  <si>
    <t>TK-F01-107-A1(18-29U)DP1-16</t>
  </si>
  <si>
    <t>210305756810HA000161</t>
  </si>
  <si>
    <t>140103-2017-000414</t>
  </si>
  <si>
    <t>TK-F01-107-A1(18-29U)DP1-2</t>
  </si>
  <si>
    <t>210305756810HA000616</t>
  </si>
  <si>
    <t>140103-2017-000415</t>
  </si>
  <si>
    <t>TK-F01-107-A1(18-29U)DP1-3</t>
  </si>
  <si>
    <t>210305756810HA000596</t>
  </si>
  <si>
    <t>140103-2017-000416</t>
  </si>
  <si>
    <t>TK-F01-107-A1(18-29U)DP1-4</t>
  </si>
  <si>
    <t>210305756810HA000595</t>
  </si>
  <si>
    <t>140103-2017-000417</t>
  </si>
  <si>
    <t>TK-F01-107-A1(18-29U)DP1-5</t>
  </si>
  <si>
    <t>210305756810HA000620</t>
  </si>
  <si>
    <t>140103-2017-000418</t>
  </si>
  <si>
    <t>TK-F01-107-A1(18-29U)DP1-6</t>
  </si>
  <si>
    <t>210305756810HA000607</t>
  </si>
  <si>
    <t>140103-2017-000419</t>
  </si>
  <si>
    <t>TK-F01-107-A1(18-29U)DP1-7</t>
  </si>
  <si>
    <t>210305756810HA000186</t>
  </si>
  <si>
    <t>140103-2017-000420</t>
  </si>
  <si>
    <t>TK-F01-107-A1(18-29U)DP1-8</t>
  </si>
  <si>
    <t>210305756810HA000449</t>
  </si>
  <si>
    <t>140103-2017-000421</t>
  </si>
  <si>
    <t>TK-F01-107-A1(18-29U)DP1-9</t>
  </si>
  <si>
    <t>2102300742N0H9000630/210230102810HA000095</t>
  </si>
  <si>
    <t>140103-2017-000938</t>
  </si>
  <si>
    <t>TK-F01-107-A1(2-13U)DP2</t>
  </si>
  <si>
    <t>210305756810HA000227</t>
  </si>
  <si>
    <t>140103-2017-000429</t>
  </si>
  <si>
    <t>TK-F01-107-A1(2-13U)DP2-1</t>
  </si>
  <si>
    <t>210305756810HA000164</t>
  </si>
  <si>
    <t>140103-2017-000438</t>
  </si>
  <si>
    <t>TK-F01-107-A1(2-13U)DP2-10</t>
  </si>
  <si>
    <t>210305756810HA000195</t>
  </si>
  <si>
    <t>140103-2017-000439</t>
  </si>
  <si>
    <t>TK-F01-107-A1(2-13U)DP2-11</t>
  </si>
  <si>
    <t>210305756810HA000392</t>
  </si>
  <si>
    <t>140103-2017-000440</t>
  </si>
  <si>
    <t>TK-F01-107-A1(2-13U)DP2-12</t>
  </si>
  <si>
    <t>210305756810HA000393</t>
  </si>
  <si>
    <t>140103-2017-000441</t>
  </si>
  <si>
    <t>TK-F01-107-A1(2-13U)DP2-13</t>
  </si>
  <si>
    <t>210305756810HA000215</t>
  </si>
  <si>
    <t>140103-2017-000442</t>
  </si>
  <si>
    <t>TK-F01-107-A1(2-13U)DP2-14</t>
  </si>
  <si>
    <t>210305756810HA000169</t>
  </si>
  <si>
    <t>140103-2017-000443</t>
  </si>
  <si>
    <t>TK-F01-107-A1(2-13U)DP2-15</t>
  </si>
  <si>
    <t>210305756810HA000606</t>
  </si>
  <si>
    <t>140103-2017-000444</t>
  </si>
  <si>
    <t>TK-F01-107-A1(2-13U)DP2-16</t>
  </si>
  <si>
    <t>210305756810HA000480</t>
  </si>
  <si>
    <t>140103-2017-000430</t>
  </si>
  <si>
    <t>TK-F01-107-A1(2-13U)DP2-2</t>
  </si>
  <si>
    <t>210305756810HA000386</t>
  </si>
  <si>
    <t>140103-2017-000431</t>
  </si>
  <si>
    <t>TK-F01-107-A1(2-13U)DP2-3</t>
  </si>
  <si>
    <t>210305756810HA000160</t>
  </si>
  <si>
    <t>140103-2017-000432</t>
  </si>
  <si>
    <t>TK-F01-107-A1(2-13U)DP2-4</t>
  </si>
  <si>
    <t>210305756810HA000362</t>
  </si>
  <si>
    <t>140103-2017-000433</t>
  </si>
  <si>
    <t>TK-F01-107-A1(2-13U)DP2-5</t>
  </si>
  <si>
    <t>210305756810HA000487</t>
  </si>
  <si>
    <t>140103-2017-000434</t>
  </si>
  <si>
    <t>TK-F01-107-A1(2-13U)DP2-6</t>
  </si>
  <si>
    <t>210305756810HA000202</t>
  </si>
  <si>
    <t>140103-2017-000435</t>
  </si>
  <si>
    <t>TK-F01-107-A1(2-13U)DP2-7</t>
  </si>
  <si>
    <t>210305756810HA000443</t>
  </si>
  <si>
    <t>140103-2017-000436</t>
  </si>
  <si>
    <t>TK-F01-107-A1(2-13U)DP2-8</t>
  </si>
  <si>
    <t>210305756810HA000196</t>
  </si>
  <si>
    <t>140103-2017-000437</t>
  </si>
  <si>
    <t>TK-F01-107-A1(2-13U)DP2-9</t>
  </si>
  <si>
    <t>210305756810HA000345</t>
  </si>
  <si>
    <t>140103-2017-000333</t>
  </si>
  <si>
    <t>TK-F01-107-A10(18-29U)DP1-1</t>
  </si>
  <si>
    <t>210305756810HA000314</t>
  </si>
  <si>
    <t>140103-2017-000342</t>
  </si>
  <si>
    <t>TK-F01-107-A10(18-29U)DP1-10</t>
  </si>
  <si>
    <t>210305756810HA000574</t>
  </si>
  <si>
    <t>140103-2017-000343</t>
  </si>
  <si>
    <t>TK-F01-107-A10(18-29U)DP1-11</t>
  </si>
  <si>
    <t>210305756810HA000581</t>
  </si>
  <si>
    <t>140103-2017-000344</t>
  </si>
  <si>
    <t>TK-F01-107-A10(18-29U)DP1-12</t>
  </si>
  <si>
    <t>210305756810HA000341</t>
  </si>
  <si>
    <t>140103-2017-000345</t>
  </si>
  <si>
    <t>TK-F01-107-A10(18-29U)DP1-13</t>
  </si>
  <si>
    <t>210305756810HA000332</t>
  </si>
  <si>
    <t>140103-2017-000346</t>
  </si>
  <si>
    <t>TK-F01-107-A10(18-29U)DP1-14</t>
  </si>
  <si>
    <t>210305756810HA000265</t>
  </si>
  <si>
    <t>140103-2017-000347</t>
  </si>
  <si>
    <t>TK-F01-107-A10(18-29U)DP1-15</t>
  </si>
  <si>
    <t>210305756810HA000317</t>
  </si>
  <si>
    <t>140103-2017-000348</t>
  </si>
  <si>
    <t>TK-F01-107-A10(18-29U)DP1-16</t>
  </si>
  <si>
    <t>210305756810HA000337</t>
  </si>
  <si>
    <t>140103-2017-000334</t>
  </si>
  <si>
    <t>TK-F01-107-A10(18-29U)DP1-2</t>
  </si>
  <si>
    <t>210305756810HA000320</t>
  </si>
  <si>
    <t>140103-2017-000335</t>
  </si>
  <si>
    <t>TK-F01-107-A10(18-29U)DP1-3</t>
  </si>
  <si>
    <t>210305756810HA000307</t>
  </si>
  <si>
    <t>140103-2017-000336</t>
  </si>
  <si>
    <t>TK-F01-107-A10(18-29U)DP1-4</t>
  </si>
  <si>
    <t>210305756810HA000259</t>
  </si>
  <si>
    <t>140103-2017-000337</t>
  </si>
  <si>
    <t>TK-F01-107-A10(18-29U)DP1-5</t>
  </si>
  <si>
    <t>210305756810HA000589</t>
  </si>
  <si>
    <t>140103-2017-000338</t>
  </si>
  <si>
    <t>TK-F01-107-A10(18-29U)DP1-6</t>
  </si>
  <si>
    <t>210305756810HA000319</t>
  </si>
  <si>
    <t>140103-2017-000339</t>
  </si>
  <si>
    <t>TK-F01-107-A10(18-29U)DP1-7</t>
  </si>
  <si>
    <t>210305756810HA000342</t>
  </si>
  <si>
    <t>140103-2017-000340</t>
  </si>
  <si>
    <t>TK-F01-107-A10(18-29U)DP1-8</t>
  </si>
  <si>
    <t>210305756810HA000313</t>
  </si>
  <si>
    <t>140103-2017-000341</t>
  </si>
  <si>
    <t>TK-F01-107-A10(18-29U)DP1-9</t>
  </si>
  <si>
    <t>210305756810HA000333</t>
  </si>
  <si>
    <t>140103-2017-000349</t>
  </si>
  <si>
    <t>TK-F01-107-A10(2-13U)DP2-1</t>
  </si>
  <si>
    <t>210305756810HA000255</t>
  </si>
  <si>
    <t>140103-2017-000358</t>
  </si>
  <si>
    <t>TK-F01-107-A10(2-13U)DP2-10</t>
  </si>
  <si>
    <t>210305756810HA000217</t>
  </si>
  <si>
    <t>140103-2017-000359</t>
  </si>
  <si>
    <t>TK-F01-107-A10(2-13U)DP2-11</t>
  </si>
  <si>
    <t>210305756810HA000580</t>
  </si>
  <si>
    <t>140103-2017-000360</t>
  </si>
  <si>
    <t>TK-F01-107-A10(2-13U)DP2-12</t>
  </si>
  <si>
    <t>210305756810HA000631</t>
  </si>
  <si>
    <t>140103-2017-000361</t>
  </si>
  <si>
    <t>TK-F01-107-A10(2-13U)DP2-13</t>
  </si>
  <si>
    <t>210305756810HA000240</t>
  </si>
  <si>
    <t>140103-2017-000362</t>
  </si>
  <si>
    <t>TK-F01-107-A10(2-13U)DP2-14</t>
  </si>
  <si>
    <t>210305756810HA000263</t>
  </si>
  <si>
    <t>140103-2017-000363</t>
  </si>
  <si>
    <t>TK-F01-107-A10(2-13U)DP2-15</t>
  </si>
  <si>
    <t>210305756810HA000321</t>
  </si>
  <si>
    <t>140103-2017-000364</t>
  </si>
  <si>
    <t>TK-F01-107-A10(2-13U)DP2-16</t>
  </si>
  <si>
    <t>210305756810HA000458</t>
  </si>
  <si>
    <t>140103-2017-000350</t>
  </si>
  <si>
    <t>TK-F01-107-A10(2-13U)DP2-2</t>
  </si>
  <si>
    <t>210305756810HA000249</t>
  </si>
  <si>
    <t>140103-2017-000351</t>
  </si>
  <si>
    <t>TK-F01-107-A10(2-13U)DP2-3</t>
  </si>
  <si>
    <t>210305756810HA000235</t>
  </si>
  <si>
    <t>140103-2017-000352</t>
  </si>
  <si>
    <t>TK-F01-107-A10(2-13U)DP2-4</t>
  </si>
  <si>
    <t>210305756810HA000322</t>
  </si>
  <si>
    <t>140103-2017-000353</t>
  </si>
  <si>
    <t>TK-F01-107-A10(2-13U)DP2-5</t>
  </si>
  <si>
    <t>210305756810HA000338</t>
  </si>
  <si>
    <t>140103-2017-000354</t>
  </si>
  <si>
    <t>TK-F01-107-A10(2-13U)DP2-6</t>
  </si>
  <si>
    <t>210305756810HA000584</t>
  </si>
  <si>
    <t>140103-2017-000355</t>
  </si>
  <si>
    <t>TK-F01-107-A10(2-13U)DP2-7</t>
  </si>
  <si>
    <t>210305756810HA000585</t>
  </si>
  <si>
    <t>140103-2017-000356</t>
  </si>
  <si>
    <t>TK-F01-107-A10(2-13U)DP2-8</t>
  </si>
  <si>
    <t>210305756810HA000318</t>
  </si>
  <si>
    <t>140103-2017-000357</t>
  </si>
  <si>
    <t>TK-F01-107-A10(2-13U)DP2-9</t>
  </si>
  <si>
    <t>2102300742N0H9000505/210230102810HA000029</t>
  </si>
  <si>
    <t>140103-2017-000953</t>
  </si>
  <si>
    <t>TK-F01-107-A11(18-29U)DP1</t>
  </si>
  <si>
    <t>210305756810HA000578</t>
  </si>
  <si>
    <t>140103-2017-000365</t>
  </si>
  <si>
    <t>TK-F01-107-A11(18-29U)DP1-1</t>
  </si>
  <si>
    <t>210305756810HA000593</t>
  </si>
  <si>
    <t>140103-2017-000374</t>
  </si>
  <si>
    <t>TK-F01-107-A11(18-29U)DP1-10</t>
  </si>
  <si>
    <t>210305756810HA000456</t>
  </si>
  <si>
    <t>140103-2017-000375</t>
  </si>
  <si>
    <t>TK-F01-107-A11(18-29U)DP1-11</t>
  </si>
  <si>
    <t>210305756810HA000331</t>
  </si>
  <si>
    <t>140103-2017-000376</t>
  </si>
  <si>
    <t>TK-F01-107-A11(18-29U)DP1-12</t>
  </si>
  <si>
    <t>210305756810HA000420</t>
  </si>
  <si>
    <t>140103-2017-000377</t>
  </si>
  <si>
    <t>TK-F01-107-A11(18-29U)DP1-13</t>
  </si>
  <si>
    <t>210305756810HA000243</t>
  </si>
  <si>
    <t>140103-2017-000378</t>
  </si>
  <si>
    <t>TK-F01-107-A11(18-29U)DP1-14</t>
  </si>
  <si>
    <t>210305756810HA000504</t>
  </si>
  <si>
    <t>140103-2017-000379</t>
  </si>
  <si>
    <t>TK-F01-107-A11(18-29U)DP1-15</t>
  </si>
  <si>
    <t>210305756810HA000236</t>
  </si>
  <si>
    <t>140103-2017-000380</t>
  </si>
  <si>
    <t>TK-F01-107-A11(18-29U)DP1-16</t>
  </si>
  <si>
    <t>210305756810HA000591</t>
  </si>
  <si>
    <t>140103-2017-000366</t>
  </si>
  <si>
    <t>TK-F01-107-A11(18-29U)DP1-2</t>
  </si>
  <si>
    <t>210305756810HA000274</t>
  </si>
  <si>
    <t>140103-2017-000367</t>
  </si>
  <si>
    <t>TK-F01-107-A11(18-29U)DP1-3</t>
  </si>
  <si>
    <t>210305756810HA000316</t>
  </si>
  <si>
    <t>140103-2017-000368</t>
  </si>
  <si>
    <t>TK-F01-107-A11(18-29U)DP1-4</t>
  </si>
  <si>
    <t>210305756810HA000339</t>
  </si>
  <si>
    <t>140103-2017-000369</t>
  </si>
  <si>
    <t>TK-F01-107-A11(18-29U)DP1-5</t>
  </si>
  <si>
    <t>210305756810HA000323</t>
  </si>
  <si>
    <t>140103-2017-000370</t>
  </si>
  <si>
    <t>TK-F01-107-A11(18-29U)DP1-6</t>
  </si>
  <si>
    <t>210305756810HA000346</t>
  </si>
  <si>
    <t>140103-2017-000371</t>
  </si>
  <si>
    <t>TK-F01-107-A11(18-29U)DP1-7</t>
  </si>
  <si>
    <t>210305756810HA000242</t>
  </si>
  <si>
    <t>140103-2017-000372</t>
  </si>
  <si>
    <t>TK-F01-107-A11(18-29U)DP1-8</t>
  </si>
  <si>
    <t>210305756810HA000262</t>
  </si>
  <si>
    <t>140103-2017-000373</t>
  </si>
  <si>
    <t>TK-F01-107-A11(18-29U)DP1-9</t>
  </si>
  <si>
    <t>210305756810HA000271</t>
  </si>
  <si>
    <t>140103-2017-000477</t>
  </si>
  <si>
    <t>TK-F01-107-A11(2-13U)DP2-1</t>
  </si>
  <si>
    <t>210305756810HA000253</t>
  </si>
  <si>
    <t>140103-2017-000486</t>
  </si>
  <si>
    <t>TK-F01-107-A11(2-13U)DP2-10</t>
  </si>
  <si>
    <t>210305756810HA000302</t>
  </si>
  <si>
    <t>140103-2017-000487</t>
  </si>
  <si>
    <t>TK-F01-107-A11(2-13U)DP2-11</t>
  </si>
  <si>
    <t>210305756810HA000428</t>
  </si>
  <si>
    <t>140103-2017-000488</t>
  </si>
  <si>
    <t>TK-F01-107-A11(2-13U)DP2-12</t>
  </si>
  <si>
    <t>210305756810HA000241</t>
  </si>
  <si>
    <t>140103-2017-000489</t>
  </si>
  <si>
    <t>TK-F01-107-A11(2-13U)DP2-13</t>
  </si>
  <si>
    <t>210305756810HA000327</t>
  </si>
  <si>
    <t>140103-2017-000490</t>
  </si>
  <si>
    <t>TK-F01-107-A11(2-13U)DP2-14</t>
  </si>
  <si>
    <t>210305756810HA000257</t>
  </si>
  <si>
    <t>140103-2017-000491</t>
  </si>
  <si>
    <t>TK-F01-107-A11(2-13U)DP2-15</t>
  </si>
  <si>
    <t>210305756810HA000232</t>
  </si>
  <si>
    <t>140103-2017-000492</t>
  </si>
  <si>
    <t>TK-F01-107-A11(2-13U)DP2-16</t>
  </si>
  <si>
    <t>210305756810HA000293</t>
  </si>
  <si>
    <t>140103-2017-000478</t>
  </si>
  <si>
    <t>TK-F01-107-A11(2-13U)DP2-2</t>
  </si>
  <si>
    <t>210305756810HA000344</t>
  </si>
  <si>
    <t>140103-2017-000479</t>
  </si>
  <si>
    <t>TK-F01-107-A11(2-13U)DP2-3</t>
  </si>
  <si>
    <t>210305756810HA000256</t>
  </si>
  <si>
    <t>140103-2017-000480</t>
  </si>
  <si>
    <t>TK-F01-107-A11(2-13U)DP2-4</t>
  </si>
  <si>
    <t>210305756810HA000261</t>
  </si>
  <si>
    <t>140103-2017-000481</t>
  </si>
  <si>
    <t>TK-F01-107-A11(2-13U)DP2-5</t>
  </si>
  <si>
    <t>210305756810HA000283</t>
  </si>
  <si>
    <t>140103-2017-000482</t>
  </si>
  <si>
    <t>TK-F01-107-A11(2-13U)DP2-6</t>
  </si>
  <si>
    <t>210305756810HA000301</t>
  </si>
  <si>
    <t>140103-2017-000483</t>
  </si>
  <si>
    <t>TK-F01-107-A11(2-13U)DP2-7</t>
  </si>
  <si>
    <t>210305756810HA000219</t>
  </si>
  <si>
    <t>140103-2017-000484</t>
  </si>
  <si>
    <t>TK-F01-107-A11(2-13U)DP2-8</t>
  </si>
  <si>
    <t>210305756810HA000334</t>
  </si>
  <si>
    <t>140103-2017-000485</t>
  </si>
  <si>
    <t>TK-F01-107-A11(2-13U)DP2-9</t>
  </si>
  <si>
    <t>2102300742N0H9000552/
210230102810HA000024</t>
  </si>
  <si>
    <t>140103-2017-001807</t>
  </si>
  <si>
    <t>TK-F01-107-A12(18-29U)DP1</t>
  </si>
  <si>
    <t>210305756810HA000233</t>
  </si>
  <si>
    <t>140103-2017-000625</t>
  </si>
  <si>
    <t>TK-F01-107-A12(18-29U)DP1-1</t>
  </si>
  <si>
    <t>210305756810HA000568</t>
  </si>
  <si>
    <t>140103-2017-001467</t>
  </si>
  <si>
    <t>TK-F01-107-A12(18-29U)DP1-10</t>
  </si>
  <si>
    <t>210305756810HA000340</t>
  </si>
  <si>
    <t>140103-2017-001468</t>
  </si>
  <si>
    <t>TK-F01-107-A12(18-29U)DP1-11</t>
  </si>
  <si>
    <t>210305756810HA000326</t>
  </si>
  <si>
    <t>140103-2017-001469</t>
  </si>
  <si>
    <t>TK-F01-107-A12(18-29U)DP1-12</t>
  </si>
  <si>
    <t>210305756810HA000505</t>
  </si>
  <si>
    <t>140103-2017-001470</t>
  </si>
  <si>
    <t>TK-F01-107-A12(18-29U)DP1-13</t>
  </si>
  <si>
    <t>210305756810HA000433</t>
  </si>
  <si>
    <t>140103-2017-001471</t>
  </si>
  <si>
    <t>TK-F01-107-A12(18-29U)DP1-14</t>
  </si>
  <si>
    <t>210305756810HA000315</t>
  </si>
  <si>
    <t>140103-2017-001472</t>
  </si>
  <si>
    <t>TK-F01-107-A12(18-29U)DP1-15</t>
  </si>
  <si>
    <t>210305756810HA000309</t>
  </si>
  <si>
    <t>140103-2017-001473</t>
  </si>
  <si>
    <t>TK-F01-107-A12(18-29U)DP1-16</t>
  </si>
  <si>
    <t>210305756810HA000267</t>
  </si>
  <si>
    <t>140103-2017-000626</t>
  </si>
  <si>
    <t>TK-F01-107-A12(18-29U)DP1-2</t>
  </si>
  <si>
    <t>210305756810HA000254</t>
  </si>
  <si>
    <t>140103-2017-000627</t>
  </si>
  <si>
    <t>TK-F01-107-A12(18-29U)DP1-3</t>
  </si>
  <si>
    <t>210305756810HA000250</t>
  </si>
  <si>
    <t>140103-2017-000628</t>
  </si>
  <si>
    <t>TK-F01-107-A12(18-29U)DP1-4</t>
  </si>
  <si>
    <t>210305756810HA000252</t>
  </si>
  <si>
    <t>140103-2017-000629</t>
  </si>
  <si>
    <t>TK-F01-107-A12(18-29U)DP1-5</t>
  </si>
  <si>
    <t>210305756810HA000507</t>
  </si>
  <si>
    <t>140103-2017-000630</t>
  </si>
  <si>
    <t>TK-F01-107-A12(18-29U)DP1-6</t>
  </si>
  <si>
    <t>210305756810HA000427</t>
  </si>
  <si>
    <t>140103-2017-000631</t>
  </si>
  <si>
    <t>TK-F01-107-A12(18-29U)DP1-7</t>
  </si>
  <si>
    <t>210305756810HA000277</t>
  </si>
  <si>
    <t>140103-2017-000632</t>
  </si>
  <si>
    <t>TK-F01-107-A12(18-29U)DP1-8</t>
  </si>
  <si>
    <t>210305756810HA000579</t>
  </si>
  <si>
    <t>140103-2017-001466</t>
  </si>
  <si>
    <t>TK-F01-107-A12(18-29U)DP1-9</t>
  </si>
  <si>
    <t>2102300742N0H9000528/210230102810HA000038</t>
  </si>
  <si>
    <t>140103-2017-000951</t>
  </si>
  <si>
    <t>TK-F01-107-A10(18-29U)DP1</t>
  </si>
  <si>
    <t>2102300742N0H9000454/210230102810HA000027</t>
  </si>
  <si>
    <t>140103-2017-000952</t>
  </si>
  <si>
    <t>TK-F01-107-A11(2-13U)DP2</t>
  </si>
  <si>
    <t>2102300742N0H9000536/210230102810HA000035</t>
  </si>
  <si>
    <t>140103-2017-000950</t>
  </si>
  <si>
    <t>TK-F01-107-A10(2-13U)DP2</t>
  </si>
  <si>
    <t>2102300742N0H9000586/
210230102810HA000101</t>
  </si>
  <si>
    <t>140103-2017-001806</t>
  </si>
  <si>
    <t>TK-F01-107-A12(2-13U)DP2</t>
  </si>
  <si>
    <t>210305756810HA000436</t>
  </si>
  <si>
    <t>140103-2017-000868</t>
  </si>
  <si>
    <t>TK-F01-107-A12(2-13U)DP2-1</t>
  </si>
  <si>
    <t>210305756810HA000625</t>
  </si>
  <si>
    <t>140103-2017-000877</t>
  </si>
  <si>
    <t>TK-F01-107-A12(2-13U)DP2-10</t>
  </si>
  <si>
    <t>210305756810HA000572</t>
  </si>
  <si>
    <t>140103-2017-000878</t>
  </si>
  <si>
    <t>TK-F01-107-A12(2-13U)DP2-11</t>
  </si>
  <si>
    <t>210305756810HA000245</t>
  </si>
  <si>
    <t>140103-2017-000879</t>
  </si>
  <si>
    <t>TK-F01-107-A12(2-13U)DP2-12</t>
  </si>
  <si>
    <t>210305756810HA000422</t>
  </si>
  <si>
    <t>140103-2017-000880</t>
  </si>
  <si>
    <t>TK-F01-107-A12(2-13U)DP2-13</t>
  </si>
  <si>
    <t>210305756810HA000330</t>
  </si>
  <si>
    <t>140103-2017-000881</t>
  </si>
  <si>
    <t>TK-F01-107-A12(2-13U)DP2-14</t>
  </si>
  <si>
    <t>210305756810HA000264</t>
  </si>
  <si>
    <t>140103-2017-000882</t>
  </si>
  <si>
    <t>TK-F01-107-A12(2-13U)DP2-15</t>
  </si>
  <si>
    <t>210305756810HA000506</t>
  </si>
  <si>
    <t>140103-2017-000883</t>
  </si>
  <si>
    <t>TK-F01-107-A12(2-13U)DP2-16</t>
  </si>
  <si>
    <t>210305756810HA000567</t>
  </si>
  <si>
    <t>140103-2017-000869</t>
  </si>
  <si>
    <t>TK-F01-107-A12(2-13U)DP2-2</t>
  </si>
  <si>
    <t>210305756810HA000248</t>
  </si>
  <si>
    <t>140103-2017-000870</t>
  </si>
  <si>
    <t>TK-F01-107-A12(2-13U)DP2-3</t>
  </si>
  <si>
    <t>210305756810HA000577</t>
  </si>
  <si>
    <t>140103-2017-000871</t>
  </si>
  <si>
    <t>TK-F01-107-A12(2-13U)DP2-4</t>
  </si>
  <si>
    <t>210305756810HA000418</t>
  </si>
  <si>
    <t>140103-2017-000872</t>
  </si>
  <si>
    <t>TK-F01-107-A12(2-13U)DP2-5</t>
  </si>
  <si>
    <t>210305756810HA000576</t>
  </si>
  <si>
    <t>140103-2017-000873</t>
  </si>
  <si>
    <t>TK-F01-107-A12(2-13U)DP2-6</t>
  </si>
  <si>
    <t>210305756810HA000294</t>
  </si>
  <si>
    <t>140103-2017-000874</t>
  </si>
  <si>
    <t>TK-F01-107-A12(2-13U)DP2-7</t>
  </si>
  <si>
    <t>210305756810HA000308</t>
  </si>
  <si>
    <t>140103-2017-000875</t>
  </si>
  <si>
    <t>TK-F01-107-A12(2-13U)DP2-8</t>
  </si>
  <si>
    <t>210305756810HA000295</t>
  </si>
  <si>
    <t>140103-2017-000876</t>
  </si>
  <si>
    <t>TK-F01-107-A12(2-13U)DP2-9</t>
  </si>
  <si>
    <t>J302XHL</t>
  </si>
  <si>
    <t>140103-2018-000101</t>
  </si>
  <si>
    <t>TK-F01-107-A12(31-32U)</t>
  </si>
  <si>
    <t>06HNAVT</t>
  </si>
  <si>
    <t>140103-2018-000102</t>
  </si>
  <si>
    <t>TK-F01-107-A12(33-34U)</t>
  </si>
  <si>
    <t>J302XHC</t>
  </si>
  <si>
    <t>140103-2018-000103</t>
  </si>
  <si>
    <t>TK-F01-107-A12(35-36U)</t>
  </si>
  <si>
    <t>2102300742N0H9000548/210230102810HA000034</t>
  </si>
  <si>
    <t>140103-2017-000955</t>
  </si>
  <si>
    <t>TK-F01-107-A13(18-29U)DP1</t>
  </si>
  <si>
    <t>210305756810HA000282</t>
  </si>
  <si>
    <t>140103-2017-000890</t>
  </si>
  <si>
    <t>TK-F01-107-A13(18-29U)DP1-1</t>
  </si>
  <si>
    <t>210305756810HA000399</t>
  </si>
  <si>
    <t>140103-2017-000899</t>
  </si>
  <si>
    <t>TK-F01-107-A13(18-29U)DP1-10</t>
  </si>
  <si>
    <t>210305756810HA000347</t>
  </si>
  <si>
    <t>140103-2017-000900</t>
  </si>
  <si>
    <t>TK-F01-107-A13(18-29U)DP1-11</t>
  </si>
  <si>
    <t>210305756810HA000401</t>
  </si>
  <si>
    <t>140103-2017-000901</t>
  </si>
  <si>
    <t>TK-F01-107-A13(18-29U)DP1-12</t>
  </si>
  <si>
    <t>210305756810HA000402</t>
  </si>
  <si>
    <t>140103-2017-000902</t>
  </si>
  <si>
    <t>TK-F01-107-A13(18-29U)DP1-13</t>
  </si>
  <si>
    <t>210305756810HA000400</t>
  </si>
  <si>
    <t>140103-2017-000903</t>
  </si>
  <si>
    <t>TK-F01-107-A13(18-29U)DP1-14</t>
  </si>
  <si>
    <t>210305756810HA000280</t>
  </si>
  <si>
    <t>140103-2017-000904</t>
  </si>
  <si>
    <t>TK-F01-107-A13(18-29U)DP1-15</t>
  </si>
  <si>
    <t>210305756810HA000226</t>
  </si>
  <si>
    <t>140103-2017-000905</t>
  </si>
  <si>
    <t>TK-F01-107-A13(18-29U)DP1-16</t>
  </si>
  <si>
    <t>210305756810HA000220</t>
  </si>
  <si>
    <t>140103-2017-000891</t>
  </si>
  <si>
    <t>TK-F01-107-A13(18-29U)DP1-2</t>
  </si>
  <si>
    <t>210305756810HA000278</t>
  </si>
  <si>
    <t>140103-2017-000892</t>
  </si>
  <si>
    <t>TK-F01-107-A13(18-29U)DP1-3</t>
  </si>
  <si>
    <t>210305756810HA000216</t>
  </si>
  <si>
    <t>140103-2017-000893</t>
  </si>
  <si>
    <t>TK-F01-107-A13(18-29U)DP1-4</t>
  </si>
  <si>
    <t>210305756810HA000225</t>
  </si>
  <si>
    <t>140103-2017-000894</t>
  </si>
  <si>
    <t>TK-F01-107-A13(18-29U)DP1-5</t>
  </si>
  <si>
    <t>210305756810HA000281</t>
  </si>
  <si>
    <t>140103-2017-000895</t>
  </si>
  <si>
    <t>TK-F01-107-A13(18-29U)DP1-6</t>
  </si>
  <si>
    <t>210305756810HA000258</t>
  </si>
  <si>
    <t>140103-2017-000896</t>
  </si>
  <si>
    <t>TK-F01-107-A13(18-29U)DP1-7</t>
  </si>
  <si>
    <t>210305756810HA000348</t>
  </si>
  <si>
    <t>140103-2017-000897</t>
  </si>
  <si>
    <t>TK-F01-107-A13(18-29U)DP1-8</t>
  </si>
  <si>
    <t>210305756810HA000279</t>
  </si>
  <si>
    <t>140103-2017-000898</t>
  </si>
  <si>
    <t>TK-F01-107-A13(18-29U)DP1-9</t>
  </si>
  <si>
    <t>2102300742N0H9000464/210230102810HA000036</t>
  </si>
  <si>
    <t>140103-2017-000954</t>
  </si>
  <si>
    <t>TK-F01-107-A13(2-13U)DP2</t>
  </si>
  <si>
    <t>210305756810HA001854</t>
  </si>
  <si>
    <t>140103-2017-000665</t>
  </si>
  <si>
    <t>TK-F01-107-A13(2-13U)DP2-1</t>
  </si>
  <si>
    <t>210305756810HA001575</t>
  </si>
  <si>
    <t>140103-2017-000674</t>
  </si>
  <si>
    <t>TK-F01-107-A13(2-13U)DP2-10</t>
  </si>
  <si>
    <t>210305756810HA001570</t>
  </si>
  <si>
    <t>140103-2017-000675</t>
  </si>
  <si>
    <t>TK-F01-107-A13(2-13U)DP2-11</t>
  </si>
  <si>
    <t>210305756810HA001559</t>
  </si>
  <si>
    <t>140103-2017-000676</t>
  </si>
  <si>
    <t>TK-F01-107-A13(2-13U)DP2-12</t>
  </si>
  <si>
    <t>210305756810HA001572</t>
  </si>
  <si>
    <t>140103-2017-000677</t>
  </si>
  <si>
    <t>TK-F01-107-A13(2-13U)DP2-13</t>
  </si>
  <si>
    <t>210305756810HA001846</t>
  </si>
  <si>
    <t>140103-2017-000678</t>
  </si>
  <si>
    <t>TK-F01-107-A13(2-13U)DP2-14</t>
  </si>
  <si>
    <t>210305756810HA001852</t>
  </si>
  <si>
    <t>140103-2017-000679</t>
  </si>
  <si>
    <t>TK-F01-107-A13(2-13U)DP2-15</t>
  </si>
  <si>
    <t>210305756810HA001837</t>
  </si>
  <si>
    <t>140103-2017-000680</t>
  </si>
  <si>
    <t>TK-F01-107-A13(2-13U)DP2-16</t>
  </si>
  <si>
    <t>210305756810HA001844</t>
  </si>
  <si>
    <t>140103-2017-000666</t>
  </si>
  <si>
    <t>TK-F01-107-A13(2-13U)DP2-2</t>
  </si>
  <si>
    <t>210305756810HA001561</t>
  </si>
  <si>
    <t>140103-2017-000667</t>
  </si>
  <si>
    <t>TK-F01-107-A13(2-13U)DP2-3</t>
  </si>
  <si>
    <t>210305756810HA001842</t>
  </si>
  <si>
    <t>140103-2017-000668</t>
  </si>
  <si>
    <t>TK-F01-107-A13(2-13U)DP2-4</t>
  </si>
  <si>
    <t>210305756810HA001853</t>
  </si>
  <si>
    <t>140103-2017-000669</t>
  </si>
  <si>
    <t>TK-F01-107-A13(2-13U)DP2-5</t>
  </si>
  <si>
    <t>210305756810HA001562</t>
  </si>
  <si>
    <t>140103-2017-000670</t>
  </si>
  <si>
    <t>TK-F01-107-A13(2-13U)DP2-6</t>
  </si>
  <si>
    <t>210305756810HA001845</t>
  </si>
  <si>
    <t>140103-2017-000671</t>
  </si>
  <si>
    <t>TK-F01-107-A13(2-13U)DP2-7</t>
  </si>
  <si>
    <t>210305756810HA001841</t>
  </si>
  <si>
    <t>140103-2017-000672</t>
  </si>
  <si>
    <t>TK-F01-107-A13(2-13U)DP2-8</t>
  </si>
  <si>
    <t>210305756810HA001839</t>
  </si>
  <si>
    <t>140103-2017-000673</t>
  </si>
  <si>
    <t>TK-F01-107-A13(2-13U)DP2-9</t>
  </si>
  <si>
    <t>J320EAM</t>
  </si>
  <si>
    <t>140103-2018-000104</t>
  </si>
  <si>
    <t>TK-F01-107-A13(31-32U)</t>
  </si>
  <si>
    <t>J320EAN</t>
  </si>
  <si>
    <t>140103-2018-000105</t>
  </si>
  <si>
    <t>TK-F01-107-A13(33-34U)</t>
  </si>
  <si>
    <t>J320EAP</t>
  </si>
  <si>
    <t>140103-2018-000106</t>
  </si>
  <si>
    <t>TK-F01-107-A13(35-36U)</t>
  </si>
  <si>
    <t>艾默生弱电列头柜</t>
  </si>
  <si>
    <t>140703-2017-000009</t>
  </si>
  <si>
    <t>TK-F01-107-A14</t>
  </si>
  <si>
    <t>J30R7Y3</t>
  </si>
  <si>
    <t>140103-2018-000133</t>
  </si>
  <si>
    <t>TK-F01-107-A14(10-13U)</t>
  </si>
  <si>
    <t>J30R7Y4</t>
  </si>
  <si>
    <t>140103-2018-000134</t>
  </si>
  <si>
    <t>TK-F01-107-A14(14-17U)</t>
  </si>
  <si>
    <t>J320D8V</t>
  </si>
  <si>
    <t>140103-2018-000091</t>
  </si>
  <si>
    <t>TK-F01-107-A14(18-21U)</t>
  </si>
  <si>
    <t>J320D8K</t>
  </si>
  <si>
    <t>140103-2018-000092</t>
  </si>
  <si>
    <t>TK-F01-107-A14(22-25U)</t>
  </si>
  <si>
    <t>J30TK5G</t>
  </si>
  <si>
    <t>140103-2018-000131</t>
  </si>
  <si>
    <t>TK-F01-107-A14(2-5U)</t>
  </si>
  <si>
    <t>J320D8T</t>
  </si>
  <si>
    <t>140103-2018-000093</t>
  </si>
  <si>
    <t>TK-F01-107-A14(26-29U)</t>
  </si>
  <si>
    <t>H3C S5820V2</t>
  </si>
  <si>
    <t>210235A1C3H158000020</t>
  </si>
  <si>
    <t>140502-2018-000039</t>
  </si>
  <si>
    <t>TK-F01-107-A14(33-33U)</t>
  </si>
  <si>
    <t>210235A1C3H158000030</t>
  </si>
  <si>
    <t>140502-2018-000040</t>
  </si>
  <si>
    <t>TK-F01-107-A14(35-35U)</t>
  </si>
  <si>
    <t>J30ZYR5</t>
  </si>
  <si>
    <t>140103-2018-000132</t>
  </si>
  <si>
    <t>TK-F01-107-A14(6-9U)</t>
  </si>
  <si>
    <t>J320D8H</t>
  </si>
  <si>
    <t>140103-2018-000096</t>
  </si>
  <si>
    <t>TK-F01-107-A15(12-15U)</t>
  </si>
  <si>
    <t>J320D8L</t>
  </si>
  <si>
    <t>140103-2018-000097</t>
  </si>
  <si>
    <t>TK-F01-107-A15(17-20U)</t>
  </si>
  <si>
    <t>J320D8P</t>
  </si>
  <si>
    <t>140103-2018-000098</t>
  </si>
  <si>
    <t>TK-F01-107-A15(22-25U)</t>
  </si>
  <si>
    <t>J320D8M</t>
  </si>
  <si>
    <t>140103-2018-000094</t>
  </si>
  <si>
    <t>TK-F01-107-A15(2-5U)</t>
  </si>
  <si>
    <t>J320D8G</t>
  </si>
  <si>
    <t>140103-2018-000099</t>
  </si>
  <si>
    <t>TK-F01-107-A15(27-30U)</t>
  </si>
  <si>
    <t>J320D8N</t>
  </si>
  <si>
    <t>140103-2018-000100</t>
  </si>
  <si>
    <t>TK-F01-107-A15(32-35U)</t>
  </si>
  <si>
    <t>J320D8R</t>
  </si>
  <si>
    <t>140103-2018-000095</t>
  </si>
  <si>
    <t>TK-F01-107-A15(7-10U)</t>
  </si>
  <si>
    <t>2102300742N0H9000554/210230102810HA000044</t>
  </si>
  <si>
    <t>140103-2017-000942</t>
  </si>
  <si>
    <t>TK-F01-107-A3(2-13U)DP2</t>
  </si>
  <si>
    <t>2102300742N0H9000560/210230102810HA000040</t>
  </si>
  <si>
    <t>140103-2017-000943</t>
  </si>
  <si>
    <t>TK-F01-107-A3(18-29U)DP1</t>
  </si>
  <si>
    <t>2102300742N0H9000588/210230102810HA000098</t>
  </si>
  <si>
    <t>140103-2017-000941</t>
  </si>
  <si>
    <t>TK-F01-107-A2(18-29U)DP1</t>
  </si>
  <si>
    <t>210305756810HA000673</t>
  </si>
  <si>
    <t>140103-2017-000537</t>
  </si>
  <si>
    <t>TK-F01-107-A2(18-29U)DP1-1</t>
  </si>
  <si>
    <t>210305756810HA000189</t>
  </si>
  <si>
    <t>140103-2017-000546</t>
  </si>
  <si>
    <t>TK-F01-107-A2(18-29U)DP1-10</t>
  </si>
  <si>
    <t>210305756810HA000639</t>
  </si>
  <si>
    <t>140103-2017-000547</t>
  </si>
  <si>
    <t>TK-F01-107-A2(18-29U)DP1-11</t>
  </si>
  <si>
    <t>210305756810HA000493</t>
  </si>
  <si>
    <t>140103-2017-000548</t>
  </si>
  <si>
    <t>TK-F01-107-A2(18-29U)DP1-12</t>
  </si>
  <si>
    <t>210305756810HA000623</t>
  </si>
  <si>
    <t>140103-2017-000549</t>
  </si>
  <si>
    <t>TK-F01-107-A2(18-29U)DP1-13</t>
  </si>
  <si>
    <t>210305756810HA000175</t>
  </si>
  <si>
    <t>140103-2017-000550</t>
  </si>
  <si>
    <t>TK-F01-107-A2(18-29U)DP1-14</t>
  </si>
  <si>
    <t>210305756810HA000445</t>
  </si>
  <si>
    <t>140103-2017-000551</t>
  </si>
  <si>
    <t>TK-F01-107-A2(18-29U)DP1-15</t>
  </si>
  <si>
    <t>210305756810HA000191</t>
  </si>
  <si>
    <t>140103-2017-000552</t>
  </si>
  <si>
    <t>TK-F01-107-A2(18-29U)DP1-16</t>
  </si>
  <si>
    <t>2102300742N0H9000569/210230102810HA000042</t>
  </si>
  <si>
    <t>140103-2017-000945</t>
  </si>
  <si>
    <t>TK-F01-107-A4(18-29U)DP1</t>
  </si>
  <si>
    <t>210305756810HA000398</t>
  </si>
  <si>
    <t>140103-2017-000538</t>
  </si>
  <si>
    <t>TK-F01-107-A2(18-29U)DP1-2</t>
  </si>
  <si>
    <t>210305756810HA000648</t>
  </si>
  <si>
    <t>140103-2017-000539</t>
  </si>
  <si>
    <t>TK-F01-107-A2(18-29U)DP1-3</t>
  </si>
  <si>
    <t>210305756810HA000663</t>
  </si>
  <si>
    <t>140103-2017-000540</t>
  </si>
  <si>
    <t>TK-F01-107-A2(18-29U)DP1-4</t>
  </si>
  <si>
    <t>210305756810HA000412</t>
  </si>
  <si>
    <t>140103-2017-000541</t>
  </si>
  <si>
    <t>TK-F01-107-A2(18-29U)DP1-5</t>
  </si>
  <si>
    <t>210305756810HA000406</t>
  </si>
  <si>
    <t>140103-2017-000542</t>
  </si>
  <si>
    <t>TK-F01-107-A2(18-29U)DP1-6</t>
  </si>
  <si>
    <t>210305756810HA000180</t>
  </si>
  <si>
    <t>140103-2017-000543</t>
  </si>
  <si>
    <t>TK-F01-107-A2(18-29U)DP1-7</t>
  </si>
  <si>
    <t>210305756810HA000481</t>
  </si>
  <si>
    <t>140103-2017-000544</t>
  </si>
  <si>
    <t>TK-F01-107-A2(18-29U)DP1-8</t>
  </si>
  <si>
    <t>210305756810HA000179</t>
  </si>
  <si>
    <t>140103-2017-000545</t>
  </si>
  <si>
    <t>TK-F01-107-A2(18-29U)DP1-9</t>
  </si>
  <si>
    <t>2102300742N0G6000381/210230102810HA000053</t>
  </si>
  <si>
    <t>140103-2017-000940</t>
  </si>
  <si>
    <t>TK-F01-107-A2(2-13U)DP2</t>
  </si>
  <si>
    <t>2102300742N0H9000540/210230102810HA000052</t>
  </si>
  <si>
    <t>140103-2017-000944</t>
  </si>
  <si>
    <t>TK-F01-107-A4(2-13U)DP2</t>
  </si>
  <si>
    <t>2102300742N0H9000549/210230102810HA000017</t>
  </si>
  <si>
    <t>140103-2017-000949</t>
  </si>
  <si>
    <t>TK-F01-107-A6(18-29U)DP1</t>
  </si>
  <si>
    <t>2102300742N0H9000559/210230102810HA000039</t>
  </si>
  <si>
    <t>140103-2017-000946</t>
  </si>
  <si>
    <t>TK-F01-107-A5(18-29U)DP2</t>
  </si>
  <si>
    <t>2102300742N0H9000642/210230102810HA000096</t>
  </si>
  <si>
    <t>140103-2017-000947</t>
  </si>
  <si>
    <t>TK-F01-107-A5(18-29U)DP1</t>
  </si>
  <si>
    <t>2102300742N0H9000567/210230102810HA000041</t>
  </si>
  <si>
    <t>140103-2017-000948</t>
  </si>
  <si>
    <t>TK-F01-107-A6(2-13U)DP2</t>
  </si>
  <si>
    <t>210305756810HA000207</t>
  </si>
  <si>
    <t>140103-2017-000553</t>
  </si>
  <si>
    <t>TK-F01-107-A2(2-13U)DP2-1</t>
  </si>
  <si>
    <t>210305756810HA000173</t>
  </si>
  <si>
    <t>140103-2017-000562</t>
  </si>
  <si>
    <t>TK-F01-107-A2(2-13U)DP2-10</t>
  </si>
  <si>
    <t>210305756810HA000157</t>
  </si>
  <si>
    <t>140103-2017-000563</t>
  </si>
  <si>
    <t>TK-F01-107-A2(2-13U)DP2-11</t>
  </si>
  <si>
    <t>210305756810HA000159</t>
  </si>
  <si>
    <t>140103-2017-000564</t>
  </si>
  <si>
    <t>TK-F01-107-A2(2-13U)DP2-12</t>
  </si>
  <si>
    <t>210305756810HA000651</t>
  </si>
  <si>
    <t>140103-2017-000565</t>
  </si>
  <si>
    <t>TK-F01-107-A2(2-13U)DP2-13</t>
  </si>
  <si>
    <t>210305756810HA000476</t>
  </si>
  <si>
    <t>140103-2017-000566</t>
  </si>
  <si>
    <t>TK-F01-107-A2(2-13U)DP2-14</t>
  </si>
  <si>
    <t>210305756810HA000410</t>
  </si>
  <si>
    <t>140103-2017-000567</t>
  </si>
  <si>
    <t>TK-F01-107-A2(2-13U)DP2-15</t>
  </si>
  <si>
    <t>210305756810HA000292</t>
  </si>
  <si>
    <t>140103-2017-000568</t>
  </si>
  <si>
    <t>TK-F01-107-A2(2-13U)DP2-16</t>
  </si>
  <si>
    <t>210305756810HA000198</t>
  </si>
  <si>
    <t>140103-2017-000554</t>
  </si>
  <si>
    <t>TK-F01-107-A2(2-13U)DP2-2</t>
  </si>
  <si>
    <t>210305756810HA000150</t>
  </si>
  <si>
    <t>140103-2017-000555</t>
  </si>
  <si>
    <t>TK-F01-107-A2(2-13U)DP2-3</t>
  </si>
  <si>
    <t>210305756810HA000197</t>
  </si>
  <si>
    <t>140103-2017-000556</t>
  </si>
  <si>
    <t>TK-F01-107-A2(2-13U)DP2-4</t>
  </si>
  <si>
    <t>210305756810HA000490</t>
  </si>
  <si>
    <t>140103-2017-000557</t>
  </si>
  <si>
    <t>TK-F01-107-A2(2-13U)DP2-5</t>
  </si>
  <si>
    <t>210305756810HA000407</t>
  </si>
  <si>
    <t>140103-2017-000558</t>
  </si>
  <si>
    <t>TK-F01-107-A2(2-13U)DP2-6</t>
  </si>
  <si>
    <t>210305756810HA000213</t>
  </si>
  <si>
    <t>140103-2017-000559</t>
  </si>
  <si>
    <t>TK-F01-107-A2(2-13U)DP2-7</t>
  </si>
  <si>
    <t>210305756810HA000200</t>
  </si>
  <si>
    <t>140103-2017-000560</t>
  </si>
  <si>
    <t>TK-F01-107-A2(2-13U)DP2-8</t>
  </si>
  <si>
    <t>210305756810HA000156</t>
  </si>
  <si>
    <t>140103-2017-000561</t>
  </si>
  <si>
    <t>TK-F01-107-A2(2-13U)DP2-9</t>
  </si>
  <si>
    <t>210305756810HA000158</t>
  </si>
  <si>
    <t>140103-2017-000529</t>
  </si>
  <si>
    <t>TK-F01-107-A3(18-29U)DP1-1</t>
  </si>
  <si>
    <t>210305756810HA000181</t>
  </si>
  <si>
    <t>140103-2017-000616</t>
  </si>
  <si>
    <t>TK-F01-107-A3(18-29U)DP1-10</t>
  </si>
  <si>
    <t>210305756810HA000187</t>
  </si>
  <si>
    <t>140103-2017-000617</t>
  </si>
  <si>
    <t>TK-F01-107-A3(18-29U)DP1-11</t>
  </si>
  <si>
    <t>210305756810HA000382</t>
  </si>
  <si>
    <t>140103-2017-000618</t>
  </si>
  <si>
    <t>TK-F01-107-A3(18-29U)DP1-12</t>
  </si>
  <si>
    <t>210305756810HA000379</t>
  </si>
  <si>
    <t>140103-2017-000619</t>
  </si>
  <si>
    <t>TK-F01-107-A3(18-29U)DP1-13</t>
  </si>
  <si>
    <t>210305756810HA000439</t>
  </si>
  <si>
    <t>140103-2017-000620</t>
  </si>
  <si>
    <t>TK-F01-107-A3(18-29U)DP1-14</t>
  </si>
  <si>
    <t>210305756810HA000469</t>
  </si>
  <si>
    <t>140103-2017-000621</t>
  </si>
  <si>
    <t>TK-F01-107-A3(18-29U)DP1-15</t>
  </si>
  <si>
    <t>210305756810HA000442</t>
  </si>
  <si>
    <t>140103-2017-000622</t>
  </si>
  <si>
    <t>TK-F01-107-A3(18-29U)DP1-16</t>
  </si>
  <si>
    <t>210305756810HA000162</t>
  </si>
  <si>
    <t>140103-2017-000530</t>
  </si>
  <si>
    <t>TK-F01-107-A3(18-29U)DP1-2</t>
  </si>
  <si>
    <t>210305756810HA000498</t>
  </si>
  <si>
    <t>140103-2017-000531</t>
  </si>
  <si>
    <t>TK-F01-107-A3(18-29U)DP1-3</t>
  </si>
  <si>
    <t>210305756810HA000165</t>
  </si>
  <si>
    <t>140103-2017-000532</t>
  </si>
  <si>
    <t>TK-F01-107-A3(18-29U)DP1-4</t>
  </si>
  <si>
    <t>210305756810HA000177</t>
  </si>
  <si>
    <t>140103-2017-000533</t>
  </si>
  <si>
    <t>TK-F01-107-A3(18-29U)DP1-5</t>
  </si>
  <si>
    <t>210305756810HA000478</t>
  </si>
  <si>
    <t>140103-2017-000534</t>
  </si>
  <si>
    <t>TK-F01-107-A3(18-29U)DP1-6</t>
  </si>
  <si>
    <t>210305756810HA000370</t>
  </si>
  <si>
    <t>140103-2017-000535</t>
  </si>
  <si>
    <t>TK-F01-107-A3(18-29U)DP1-7</t>
  </si>
  <si>
    <t>210305756810HA000496</t>
  </si>
  <si>
    <t>140103-2017-000536</t>
  </si>
  <si>
    <t>TK-F01-107-A3(18-29U)DP1-8</t>
  </si>
  <si>
    <t>210305756810HA000230</t>
  </si>
  <si>
    <t>140103-2017-000615</t>
  </si>
  <si>
    <t>TK-F01-107-A3(18-29U)DP1-9</t>
  </si>
  <si>
    <t>210305756810HA000208</t>
  </si>
  <si>
    <t>140103-2017-000601</t>
  </si>
  <si>
    <t>TK-F01-107-A3(2-13U)DP2-1</t>
  </si>
  <si>
    <t>210305756810HA000503</t>
  </si>
  <si>
    <t>140103-2017-000610</t>
  </si>
  <si>
    <t>TK-F01-107-A3(2-13U)DP2-10</t>
  </si>
  <si>
    <t>210305756810HA000193</t>
  </si>
  <si>
    <t>140103-2017-000611</t>
  </si>
  <si>
    <t>TK-F01-107-A3(2-13U)DP2-11</t>
  </si>
  <si>
    <t>210305756810HA000669</t>
  </si>
  <si>
    <t>140103-2017-000612</t>
  </si>
  <si>
    <t>TK-F01-107-A3(2-13U)DP2-12</t>
  </si>
  <si>
    <t>210305756810HA001278</t>
  </si>
  <si>
    <t>140103-2017-000775</t>
  </si>
  <si>
    <t>TK-F01-107-A3(2-13U)DP2-13</t>
  </si>
  <si>
    <t>210305756810HA001273</t>
  </si>
  <si>
    <t>140103-2017-000776</t>
  </si>
  <si>
    <t>TK-F01-107-A3(2-13U)DP2-14</t>
  </si>
  <si>
    <t>210305756810HA001274</t>
  </si>
  <si>
    <t>140103-2017-000777</t>
  </si>
  <si>
    <t>TK-F01-107-A3(2-13U)DP2-15</t>
  </si>
  <si>
    <t>210305756810HA001277</t>
  </si>
  <si>
    <t>140103-2017-000778</t>
  </si>
  <si>
    <t>TK-F01-107-A3(2-13U)DP2-16</t>
  </si>
  <si>
    <t>210305756810HA000210</t>
  </si>
  <si>
    <t>140103-2017-000602</t>
  </si>
  <si>
    <t>TK-F01-107-A3(2-13U)DP2-2</t>
  </si>
  <si>
    <t>210305756810HA000450</t>
  </si>
  <si>
    <t>140103-2017-000603</t>
  </si>
  <si>
    <t>TK-F01-107-A3(2-13U)DP2-3</t>
  </si>
  <si>
    <t>210305756810HA000194</t>
  </si>
  <si>
    <t>140103-2017-000604</t>
  </si>
  <si>
    <t>TK-F01-107-A3(2-13U)DP2-4</t>
  </si>
  <si>
    <t>210305756810HA000453</t>
  </si>
  <si>
    <t>140103-2017-000605</t>
  </si>
  <si>
    <t>TK-F01-107-A3(2-13U)DP2-5</t>
  </si>
  <si>
    <t>210305756810HA000645</t>
  </si>
  <si>
    <t>140103-2017-000606</t>
  </si>
  <si>
    <t>TK-F01-107-A3(2-13U)DP2-6</t>
  </si>
  <si>
    <t>210305756810HA000464</t>
  </si>
  <si>
    <t>140103-2017-000607</t>
  </si>
  <si>
    <t>TK-F01-107-A3(2-13U)DP2-7</t>
  </si>
  <si>
    <t>210305756810HA000633</t>
  </si>
  <si>
    <t>140103-2017-000608</t>
  </si>
  <si>
    <t>TK-F01-107-A3(2-13U)DP2-8</t>
  </si>
  <si>
    <t>210305756810HA000163</t>
  </si>
  <si>
    <t>140103-2017-000609</t>
  </si>
  <si>
    <t>TK-F01-107-A3(2-13U)DP2-9</t>
  </si>
  <si>
    <t>210305756810HA000149</t>
  </si>
  <si>
    <t>140103-2017-000649</t>
  </si>
  <si>
    <t>TK-F01-107-A4(18-29U)DP1-1</t>
  </si>
  <si>
    <t>210305756810HA000599</t>
  </si>
  <si>
    <t>140103-2017-000658</t>
  </si>
  <si>
    <t>TK-F01-107-A4(18-29U)DP1-10</t>
  </si>
  <si>
    <t>210305756810HA000446</t>
  </si>
  <si>
    <t>140103-2017-000659</t>
  </si>
  <si>
    <t>TK-F01-107-A4(18-29U)DP1-11</t>
  </si>
  <si>
    <t>210305756810HA000642</t>
  </si>
  <si>
    <t>140103-2017-000660</t>
  </si>
  <si>
    <t>TK-F01-107-A4(18-29U)DP1-12</t>
  </si>
  <si>
    <t>210305756810HA000640</t>
  </si>
  <si>
    <t>140103-2017-000661</t>
  </si>
  <si>
    <t>TK-F01-107-A4(18-29U)DP1-13</t>
  </si>
  <si>
    <t>210305756810HA000646</t>
  </si>
  <si>
    <t>140103-2017-000662</t>
  </si>
  <si>
    <t>TK-F01-107-A4(18-29U)DP1-14</t>
  </si>
  <si>
    <t>210305756810HA000285</t>
  </si>
  <si>
    <t>140103-2017-000663</t>
  </si>
  <si>
    <t>TK-F01-107-A4(18-29U)DP1-15</t>
  </si>
  <si>
    <t>210305756810HA000618</t>
  </si>
  <si>
    <t>140103-2017-000664</t>
  </si>
  <si>
    <t>TK-F01-107-A4(18-29U)DP1-16</t>
  </si>
  <si>
    <t>210305756810HA000609</t>
  </si>
  <si>
    <t>140103-2017-000650</t>
  </si>
  <si>
    <t>TK-F01-107-A4(18-29U)DP1-2</t>
  </si>
  <si>
    <t>210305756810HA000170</t>
  </si>
  <si>
    <t>140103-2017-000651</t>
  </si>
  <si>
    <t>TK-F01-107-A4(18-29U)DP1-3</t>
  </si>
  <si>
    <t>210305756810HA000638</t>
  </si>
  <si>
    <t>140103-2017-000652</t>
  </si>
  <si>
    <t>TK-F01-107-A4(18-29U)DP1-4</t>
  </si>
  <si>
    <t>210305756810HA000647</t>
  </si>
  <si>
    <t>140103-2017-000653</t>
  </si>
  <si>
    <t>TK-F01-107-A4(18-29U)DP1-5</t>
  </si>
  <si>
    <t>210305756810HA000190</t>
  </si>
  <si>
    <t>140103-2017-000654</t>
  </si>
  <si>
    <t>TK-F01-107-A4(18-29U)DP1-6</t>
  </si>
  <si>
    <t>210305756810HA000155</t>
  </si>
  <si>
    <t>140103-2017-000655</t>
  </si>
  <si>
    <t>TK-F01-107-A4(18-29U)DP1-7</t>
  </si>
  <si>
    <t>210305756810HA000653</t>
  </si>
  <si>
    <t>140103-2017-000656</t>
  </si>
  <si>
    <t>TK-F01-107-A4(18-29U)DP1-8</t>
  </si>
  <si>
    <t>210305756810HA000288</t>
  </si>
  <si>
    <t>140103-2017-000657</t>
  </si>
  <si>
    <t>TK-F01-107-A4(18-29U)DP1-9</t>
  </si>
  <si>
    <t>210305756810HA000201</t>
  </si>
  <si>
    <t>140103-2017-000737</t>
  </si>
  <si>
    <t>TK-F01-107-A4(2-13U)DP2-1</t>
  </si>
  <si>
    <t>210305756810HA000660</t>
  </si>
  <si>
    <t>140103-2017-000746</t>
  </si>
  <si>
    <t>TK-F01-107-A4(2-13U)DP2-10</t>
  </si>
  <si>
    <t>210305756810HA000634</t>
  </si>
  <si>
    <t>140103-2017-000747</t>
  </si>
  <si>
    <t>TK-F01-107-A4(2-13U)DP2-11</t>
  </si>
  <si>
    <t>210305756810HA000411</t>
  </si>
  <si>
    <t>140103-2017-000748</t>
  </si>
  <si>
    <t>TK-F01-107-A4(2-13U)DP2-12</t>
  </si>
  <si>
    <t>210305756810HA000390</t>
  </si>
  <si>
    <t>140103-2017-000749</t>
  </si>
  <si>
    <t>TK-F01-107-A4(2-13U)DP2-13</t>
  </si>
  <si>
    <t>210305756810HA000178</t>
  </si>
  <si>
    <t>140103-2017-000750</t>
  </si>
  <si>
    <t>TK-F01-107-A4(2-13U)DP2-14</t>
  </si>
  <si>
    <t>210305756810HA000497</t>
  </si>
  <si>
    <t>140103-2017-000751</t>
  </si>
  <si>
    <t>TK-F01-107-A4(2-13U)DP2-15</t>
  </si>
  <si>
    <t>210305756810HA000659</t>
  </si>
  <si>
    <t>140103-2017-000752</t>
  </si>
  <si>
    <t>TK-F01-107-A4(2-13U)DP2-16</t>
  </si>
  <si>
    <t>210305756810HA000229</t>
  </si>
  <si>
    <t>140103-2017-000738</t>
  </si>
  <si>
    <t>TK-F01-107-A4(2-13U)DP2-2</t>
  </si>
  <si>
    <t>210305756810HA000494</t>
  </si>
  <si>
    <t>140103-2017-000739</t>
  </si>
  <si>
    <t>TK-F01-107-A4(2-13U)DP2-3</t>
  </si>
  <si>
    <t>210305756810HA000501</t>
  </si>
  <si>
    <t>140103-2017-000740</t>
  </si>
  <si>
    <t>TK-F01-107-A4(2-13U)DP2-4</t>
  </si>
  <si>
    <t>210305756810HA000378</t>
  </si>
  <si>
    <t>140103-2017-000741</t>
  </si>
  <si>
    <t>TK-F01-107-A4(2-13U)DP2-5</t>
  </si>
  <si>
    <t>210305756810HA000614</t>
  </si>
  <si>
    <t>140103-2017-000742</t>
  </si>
  <si>
    <t>TK-F01-107-A4(2-13U)DP2-6</t>
  </si>
  <si>
    <t>210305756810HA000654</t>
  </si>
  <si>
    <t>140103-2017-000743</t>
  </si>
  <si>
    <t>TK-F01-107-A4(2-13U)DP2-7</t>
  </si>
  <si>
    <t>210305756810HA000636</t>
  </si>
  <si>
    <t>140103-2017-000744</t>
  </si>
  <si>
    <t>TK-F01-107-A4(2-13U)DP2-8</t>
  </si>
  <si>
    <t>210305756810HA000212</t>
  </si>
  <si>
    <t>140103-2017-000745</t>
  </si>
  <si>
    <t>TK-F01-107-A4(2-13U)DP2-9</t>
  </si>
  <si>
    <t>210305756810HA000396</t>
  </si>
  <si>
    <t>140103-2017-000753</t>
  </si>
  <si>
    <t>TK-F01-107-A5(18-29U)DP1-1</t>
  </si>
  <si>
    <t>210305756810HA000367</t>
  </si>
  <si>
    <t>140103-2017-000762</t>
  </si>
  <si>
    <t>TK-F01-107-A5(18-29U)DP1-10</t>
  </si>
  <si>
    <t>210305756810HA000394</t>
  </si>
  <si>
    <t>140103-2017-000763</t>
  </si>
  <si>
    <t>TK-F01-107-A5(18-29U)DP1-11</t>
  </si>
  <si>
    <t>210305756810HA000364</t>
  </si>
  <si>
    <t>140103-2017-000764</t>
  </si>
  <si>
    <t>TK-F01-107-A5(18-29U)DP1-12</t>
  </si>
  <si>
    <t>210305756810HA000369</t>
  </si>
  <si>
    <t>140103-2017-000765</t>
  </si>
  <si>
    <t>TK-F01-107-A5(18-29U)DP1-13</t>
  </si>
  <si>
    <t>210305756810HA000366</t>
  </si>
  <si>
    <t>140103-2017-000766</t>
  </si>
  <si>
    <t>TK-F01-107-A5(18-29U)DP1-14</t>
  </si>
  <si>
    <t>210305756810HA000357</t>
  </si>
  <si>
    <t>140103-2017-000767</t>
  </si>
  <si>
    <t>TK-F01-107-A5(18-29U)DP1-15</t>
  </si>
  <si>
    <t>210305756810HA000624</t>
  </si>
  <si>
    <t>140103-2017-000768</t>
  </si>
  <si>
    <t>TK-F01-107-A5(18-29U)DP1-16</t>
  </si>
  <si>
    <t>210305756810HA000204</t>
  </si>
  <si>
    <t>140103-2017-000754</t>
  </si>
  <si>
    <t>TK-F01-107-A5(18-29U)DP1-2</t>
  </si>
  <si>
    <t>210305756810HA000368</t>
  </si>
  <si>
    <t>140103-2017-000755</t>
  </si>
  <si>
    <t>TK-F01-107-A5(18-29U)DP1-3</t>
  </si>
  <si>
    <t>210305756810HA000361</t>
  </si>
  <si>
    <t>140103-2017-000756</t>
  </si>
  <si>
    <t>TK-F01-107-A5(18-29U)DP1-4</t>
  </si>
  <si>
    <t>210305756810HA000489</t>
  </si>
  <si>
    <t>140103-2017-000757</t>
  </si>
  <si>
    <t>TK-F01-107-A5(18-29U)DP1-5</t>
  </si>
  <si>
    <t>210305756810HA000199</t>
  </si>
  <si>
    <t>140103-2017-000758</t>
  </si>
  <si>
    <t>TK-F01-107-A5(18-29U)DP1-6</t>
  </si>
  <si>
    <t>210305756810HA000375</t>
  </si>
  <si>
    <t>140103-2017-000759</t>
  </si>
  <si>
    <t>TK-F01-107-A5(18-29U)DP1-7</t>
  </si>
  <si>
    <t>210305756810HA000597</t>
  </si>
  <si>
    <t>140103-2017-000760</t>
  </si>
  <si>
    <t>TK-F01-107-A5(18-29U)DP1-8</t>
  </si>
  <si>
    <t>210305756810HA000372</t>
  </si>
  <si>
    <t>140103-2017-000761</t>
  </si>
  <si>
    <t>TK-F01-107-A5(18-29U)DP1-9</t>
  </si>
  <si>
    <t>210305756810HA000472</t>
  </si>
  <si>
    <t>140103-2017-000779</t>
  </si>
  <si>
    <t>TK-F01-107-A5(2-13U)DP2-1</t>
  </si>
  <si>
    <t>210305756810HA000291</t>
  </si>
  <si>
    <t>140103-2017-000788</t>
  </si>
  <si>
    <t>TK-F01-107-A5(2-13U)DP2-10</t>
  </si>
  <si>
    <t>210305756810HA000151</t>
  </si>
  <si>
    <t>140103-2017-000789</t>
  </si>
  <si>
    <t>TK-F01-107-A5(2-13U)DP2-11</t>
  </si>
  <si>
    <t>210305756810HA000670</t>
  </si>
  <si>
    <t>140103-2017-000790</t>
  </si>
  <si>
    <t>TK-F01-107-A5(2-13U)DP2-12</t>
  </si>
  <si>
    <t>210305756810HA000363</t>
  </si>
  <si>
    <t>140103-2017-000811</t>
  </si>
  <si>
    <t>TK-F01-107-A5(2-13U)DP2-13</t>
  </si>
  <si>
    <t>210305756810HA000206</t>
  </si>
  <si>
    <t>140103-2017-000812</t>
  </si>
  <si>
    <t>TK-F01-107-A5(2-13U)DP2-14</t>
  </si>
  <si>
    <t>210305756810HA000359</t>
  </si>
  <si>
    <t>140103-2017-000813</t>
  </si>
  <si>
    <t>TK-F01-107-A5(2-13U)DP2-15</t>
  </si>
  <si>
    <t>210305756810HA000176</t>
  </si>
  <si>
    <t>140103-2017-000814</t>
  </si>
  <si>
    <t>TK-F01-107-A5(2-13U)DP2-16</t>
  </si>
  <si>
    <t>210305756810HA000408</t>
  </si>
  <si>
    <t>140103-2017-000780</t>
  </si>
  <si>
    <t>TK-F01-107-A5(2-13U)DP2-2</t>
  </si>
  <si>
    <t>210305756810HA000655</t>
  </si>
  <si>
    <t>140103-2017-000781</t>
  </si>
  <si>
    <t>TK-F01-107-A5(2-13U)DP2-3</t>
  </si>
  <si>
    <t>210305756810HA000384</t>
  </si>
  <si>
    <t>140103-2017-000782</t>
  </si>
  <si>
    <t>TK-F01-107-A5(2-13U)DP2-4</t>
  </si>
  <si>
    <t>210305756810HA000499</t>
  </si>
  <si>
    <t>140103-2017-000783</t>
  </si>
  <si>
    <t>TK-F01-107-A5(2-13U)DP2-5</t>
  </si>
  <si>
    <t>210305756810HA000644</t>
  </si>
  <si>
    <t>140103-2017-000784</t>
  </si>
  <si>
    <t>TK-F01-107-A5(2-13U)DP2-6</t>
  </si>
  <si>
    <t>210305756810HA000373</t>
  </si>
  <si>
    <t>140103-2017-000785</t>
  </si>
  <si>
    <t>TK-F01-107-A5(2-13U)DP2-7</t>
  </si>
  <si>
    <t>210305756810HA000358</t>
  </si>
  <si>
    <t>140103-2017-000786</t>
  </si>
  <si>
    <t>TK-F01-107-A5(2-13U)DP2-8</t>
  </si>
  <si>
    <t>210305756810HA000466</t>
  </si>
  <si>
    <t>140103-2017-000787</t>
  </si>
  <si>
    <t>TK-F01-107-A5(2-13U)DP2-9</t>
  </si>
  <si>
    <t>210305756810HA000479</t>
  </si>
  <si>
    <t>140103-2017-000817</t>
  </si>
  <si>
    <t>TK-F01-107-A6(18-29U)DP1-1</t>
  </si>
  <si>
    <t>210305756810HA000451</t>
  </si>
  <si>
    <t>140103-2017-001212</t>
  </si>
  <si>
    <t>TK-F01-107-A6(18-29U)DP1-10</t>
  </si>
  <si>
    <t>210305756810HA000486</t>
  </si>
  <si>
    <t>140103-2017-001213</t>
  </si>
  <si>
    <t>TK-F01-107-A6(18-29U)DP1-11</t>
  </si>
  <si>
    <t>210305756810HA000612</t>
  </si>
  <si>
    <t>140103-2017-001214</t>
  </si>
  <si>
    <t>TK-F01-107-A6(18-29U)DP1-12</t>
  </si>
  <si>
    <t>210305756810HA000488</t>
  </si>
  <si>
    <t>140103-2017-001215</t>
  </si>
  <si>
    <t>TK-F01-107-A6(18-29U)DP1-13</t>
  </si>
  <si>
    <t>210305756810HA000444</t>
  </si>
  <si>
    <t>140103-2017-001561</t>
  </si>
  <si>
    <t>TK-F01-107-A6(18-29U)DP1-14</t>
  </si>
  <si>
    <t>210305756810HA000380</t>
  </si>
  <si>
    <t>140103-2017-001562</t>
  </si>
  <si>
    <t>TK-F01-107-A6(18-29U)DP1-15</t>
  </si>
  <si>
    <t>210305756810HA000668</t>
  </si>
  <si>
    <t>140103-2017-001563</t>
  </si>
  <si>
    <t>TK-F01-107-A6(18-29U)DP1-16</t>
  </si>
  <si>
    <t>210305756810HA000492</t>
  </si>
  <si>
    <t>140103-2017-000818</t>
  </si>
  <si>
    <t>TK-F01-107-A6(18-29U)DP1-2</t>
  </si>
  <si>
    <t>210305756810HA001832</t>
  </si>
  <si>
    <t>140103-2017-000819</t>
  </si>
  <si>
    <t>TK-F01-107-A6(18-29U)DP1-3</t>
  </si>
  <si>
    <t>210305756810HA000448</t>
  </si>
  <si>
    <t>140103-2017-000820</t>
  </si>
  <si>
    <t>TK-F01-107-A6(18-29U)DP1-4</t>
  </si>
  <si>
    <t>210305756810HA000377</t>
  </si>
  <si>
    <t>140103-2017-000821</t>
  </si>
  <si>
    <t>TK-F01-107-A6(18-29U)DP1-5</t>
  </si>
  <si>
    <t>210305756810HA000502</t>
  </si>
  <si>
    <t>140103-2017-000822</t>
  </si>
  <si>
    <t>TK-F01-107-A6(18-29U)DP1-6</t>
  </si>
  <si>
    <t>210305756810HA000405</t>
  </si>
  <si>
    <t>140103-2017-000823</t>
  </si>
  <si>
    <t>TK-F01-107-A6(18-29U)DP1-7</t>
  </si>
  <si>
    <t>210305756810HA000500</t>
  </si>
  <si>
    <t>140103-2017-000824</t>
  </si>
  <si>
    <t>TK-F01-107-A6(18-29U)DP1-8</t>
  </si>
  <si>
    <t>210305756810HA000211</t>
  </si>
  <si>
    <t>140103-2017-000825</t>
  </si>
  <si>
    <t>TK-F01-107-A6(18-29U)DP1-9</t>
  </si>
  <si>
    <t>210305756810HA000467</t>
  </si>
  <si>
    <t>140103-2017-000836</t>
  </si>
  <si>
    <t>TK-F01-107-A6(2-13U)DP2-1</t>
  </si>
  <si>
    <t>210305756810HA000391</t>
  </si>
  <si>
    <t>140103-2017-000845</t>
  </si>
  <si>
    <t>TK-F01-107-A6(2-13U)DP2-10</t>
  </si>
  <si>
    <t>210305756810HA000185</t>
  </si>
  <si>
    <t>140103-2017-000846</t>
  </si>
  <si>
    <t>TK-F01-107-A6(2-13U)DP2-11</t>
  </si>
  <si>
    <t>210305756810HA000461</t>
  </si>
  <si>
    <t>140103-2017-000847</t>
  </si>
  <si>
    <t>TK-F01-107-A6(2-13U)DP2-12</t>
  </si>
  <si>
    <t>210305756810HA000650</t>
  </si>
  <si>
    <t>140103-2017-000848</t>
  </si>
  <si>
    <t>TK-F01-107-A6(2-13U)DP2-13</t>
  </si>
  <si>
    <t>210305756810HA000172</t>
  </si>
  <si>
    <t>140103-2017-000849</t>
  </si>
  <si>
    <t>TK-F01-107-A6(2-13U)DP2-14</t>
  </si>
  <si>
    <t>210305756810HA000615</t>
  </si>
  <si>
    <t>140103-2017-000850</t>
  </si>
  <si>
    <t>TK-F01-107-A6(2-13U)DP2-15</t>
  </si>
  <si>
    <t>210305756810HA000381</t>
  </si>
  <si>
    <t>140103-2017-000851</t>
  </si>
  <si>
    <t>TK-F01-107-A6(2-13U)DP2-16</t>
  </si>
  <si>
    <t>210305756810HA000661</t>
  </si>
  <si>
    <t>140103-2017-000837</t>
  </si>
  <si>
    <t>TK-F01-107-A6(2-13U)DP2-2</t>
  </si>
  <si>
    <t>210305756810HA000152</t>
  </si>
  <si>
    <t>140103-2017-000838</t>
  </si>
  <si>
    <t>TK-F01-107-A6(2-13U)DP2-3</t>
  </si>
  <si>
    <t>210305756810HA000652</t>
  </si>
  <si>
    <t>140103-2017-000839</t>
  </si>
  <si>
    <t>TK-F01-107-A6(2-13U)DP2-4</t>
  </si>
  <si>
    <t>210305756810HA000611</t>
  </si>
  <si>
    <t>140103-2017-000840</t>
  </si>
  <si>
    <t>TK-F01-107-A6(2-13U)DP2-5</t>
  </si>
  <si>
    <t>210305756810HA000438</t>
  </si>
  <si>
    <t>140103-2017-000841</t>
  </si>
  <si>
    <t>TK-F01-107-A6(2-13U)DP2-6</t>
  </si>
  <si>
    <t>210305756810HA000610</t>
  </si>
  <si>
    <t>140103-2017-000842</t>
  </si>
  <si>
    <t>TK-F01-107-A6(2-13U)DP2-7</t>
  </si>
  <si>
    <t>210305756810HA000192</t>
  </si>
  <si>
    <t>140103-2017-000843</t>
  </si>
  <si>
    <t>TK-F01-107-A6(2-13U)DP2-8</t>
  </si>
  <si>
    <t>210305756810HA000665</t>
  </si>
  <si>
    <t>140103-2017-000844</t>
  </si>
  <si>
    <t>TK-F01-107-A6(2-13U)DP2-9</t>
  </si>
  <si>
    <t>2102300742N0H5000359/
210230102810HA000056</t>
  </si>
  <si>
    <t>140103-2017-001801</t>
  </si>
  <si>
    <t>TK-F01-107-A7(18-29U)DP1</t>
  </si>
  <si>
    <t>210305756810HA000601</t>
  </si>
  <si>
    <t>140103-2017-000937</t>
  </si>
  <si>
    <t>TK-F01-107-A7(18-29U)DP1-1</t>
  </si>
  <si>
    <t>210305756810HA000290</t>
  </si>
  <si>
    <t>140103-2017-000928</t>
  </si>
  <si>
    <t>TK-F01-107-A7(18-29U)DP1-10</t>
  </si>
  <si>
    <t>210305756810HA000483</t>
  </si>
  <si>
    <t>140103-2017-000927</t>
  </si>
  <si>
    <t>TK-F01-107-A7(18-29U)DP1-11</t>
  </si>
  <si>
    <t>210305756810HA000289</t>
  </si>
  <si>
    <t>140103-2017-000926</t>
  </si>
  <si>
    <t>TK-F01-107-A7(18-29U)DP1-12</t>
  </si>
  <si>
    <t>210305756810HA000664</t>
  </si>
  <si>
    <t>140103-2017-000925</t>
  </si>
  <si>
    <t>TK-F01-107-A7(18-29U)DP1-13</t>
  </si>
  <si>
    <t>210305756810HA000454</t>
  </si>
  <si>
    <t>140103-2017-000924</t>
  </si>
  <si>
    <t>TK-F01-107-A7(18-29U)DP1-14</t>
  </si>
  <si>
    <t>210305756810HA000667</t>
  </si>
  <si>
    <t>140103-2017-000923</t>
  </si>
  <si>
    <t>TK-F01-107-A7(18-29U)DP1-15</t>
  </si>
  <si>
    <t>210305756810HA000477</t>
  </si>
  <si>
    <t>140103-2017-000922</t>
  </si>
  <si>
    <t>TK-F01-107-A7(18-29U)DP1-16</t>
  </si>
  <si>
    <t>210305756810HA000287</t>
  </si>
  <si>
    <t>140103-2017-000936</t>
  </si>
  <si>
    <t>TK-F01-107-A7(18-29U)DP1-2</t>
  </si>
  <si>
    <t>210305756810HA000672</t>
  </si>
  <si>
    <t>140103-2017-000935</t>
  </si>
  <si>
    <t>TK-F01-107-A7(18-29U)DP1-3</t>
  </si>
  <si>
    <t>210305756810HA000389</t>
  </si>
  <si>
    <t>140103-2017-000934</t>
  </si>
  <si>
    <t>TK-F01-107-A7(18-29U)DP1-4</t>
  </si>
  <si>
    <t>210305756810HA000441</t>
  </si>
  <si>
    <t>140103-2017-000933</t>
  </si>
  <si>
    <t>TK-F01-107-A7(18-29U)DP1-5</t>
  </si>
  <si>
    <t>210305756810HA000600</t>
  </si>
  <si>
    <t>140103-2017-000932</t>
  </si>
  <si>
    <t>TK-F01-107-A7(18-29U)DP1-6</t>
  </si>
  <si>
    <t>210305756810HA000462</t>
  </si>
  <si>
    <t>140103-2017-000931</t>
  </si>
  <si>
    <t>TK-F01-107-A7(18-29U)DP1-7</t>
  </si>
  <si>
    <t>210305756810HA000621</t>
  </si>
  <si>
    <t>140103-2017-000930</t>
  </si>
  <si>
    <t>TK-F01-107-A7(18-29U)DP1-8</t>
  </si>
  <si>
    <t>210305756810HA000209</t>
  </si>
  <si>
    <t>140103-2017-000929</t>
  </si>
  <si>
    <t>TK-F01-107-A7(18-29U)DP1-9</t>
  </si>
  <si>
    <t>2102300742N0G6000384/
210230102810HA000057</t>
  </si>
  <si>
    <t>140103-2017-001220</t>
  </si>
  <si>
    <t>TK-F01-107-A7(2-13U)DP2</t>
  </si>
  <si>
    <t>210305756810HA000385</t>
  </si>
  <si>
    <t>140103-2017-001216</t>
  </si>
  <si>
    <t>TK-F01-107-A7(2-13U)DP2-1</t>
  </si>
  <si>
    <t>210305756810HA000383</t>
  </si>
  <si>
    <t>140103-2017-001573</t>
  </si>
  <si>
    <t>TK-F01-107-A7(2-13U)DP2-10</t>
  </si>
  <si>
    <t>210305756810HA000649</t>
  </si>
  <si>
    <t>140103-2017-001574</t>
  </si>
  <si>
    <t>TK-F01-107-A7(2-13U)DP2-11</t>
  </si>
  <si>
    <t>210305756810HA000182</t>
  </si>
  <si>
    <t>140103-2017-001575</t>
  </si>
  <si>
    <t>TK-F01-107-A7(2-13U)DP2-12</t>
  </si>
  <si>
    <t>210305756810HA000658</t>
  </si>
  <si>
    <t>140103-2017-001576</t>
  </si>
  <si>
    <t>TK-F01-107-A7(2-13U)DP2-13</t>
  </si>
  <si>
    <t>210305756810HA000153</t>
  </si>
  <si>
    <t>140103-2017-001577</t>
  </si>
  <si>
    <t>TK-F01-107-A7(2-13U)DP2-14</t>
  </si>
  <si>
    <t>210305756810HA000184</t>
  </si>
  <si>
    <t>140103-2017-001578</t>
  </si>
  <si>
    <t>TK-F01-107-A7(2-13U)DP2-15</t>
  </si>
  <si>
    <t>210305756810HA000662</t>
  </si>
  <si>
    <t>140103-2017-001579</t>
  </si>
  <si>
    <t>TK-F01-107-A7(2-13U)DP2-16</t>
  </si>
  <si>
    <t>210305756810HA000286</t>
  </si>
  <si>
    <t>140103-2017-001217</t>
  </si>
  <si>
    <t>TK-F01-107-A7(2-13U)DP2-2</t>
  </si>
  <si>
    <t>210305756810HA000613</t>
  </si>
  <si>
    <t>140103-2017-001218</t>
  </si>
  <si>
    <t>TK-F01-107-A7(2-13U)DP2-3</t>
  </si>
  <si>
    <t>210305756810HA000167</t>
  </si>
  <si>
    <t>140103-2017-001219</t>
  </si>
  <si>
    <t>TK-F01-107-A7(2-13U)DP2-4</t>
  </si>
  <si>
    <t>210305756810HA000608</t>
  </si>
  <si>
    <t>140103-2017-001568</t>
  </si>
  <si>
    <t>TK-F01-107-A7(2-13U)DP2-5</t>
  </si>
  <si>
    <t>210305756810HA000284</t>
  </si>
  <si>
    <t>140103-2017-001569</t>
  </si>
  <si>
    <t>TK-F01-107-A7(2-13U)DP2-6</t>
  </si>
  <si>
    <t>210305756810HA000643</t>
  </si>
  <si>
    <t>140103-2017-001570</t>
  </si>
  <si>
    <t>TK-F01-107-A7(2-13U)DP2-7</t>
  </si>
  <si>
    <t>210305756810HA000602</t>
  </si>
  <si>
    <t>140103-2017-001571</t>
  </si>
  <si>
    <t>TK-F01-107-A7(2-13U)DP2-8</t>
  </si>
  <si>
    <t>210305756810HA000214</t>
  </si>
  <si>
    <t>140103-2017-001572</t>
  </si>
  <si>
    <t>TK-F01-107-A7(2-13U)DP2-9</t>
  </si>
  <si>
    <t>2102300742N0H9000471/
210230102810HA000060</t>
  </si>
  <si>
    <t>140103-2017-001803</t>
  </si>
  <si>
    <t>TK-F01-107-A8(18-29U)DP1</t>
  </si>
  <si>
    <t>210305756810HA000657</t>
  </si>
  <si>
    <t>140103-2017-001565</t>
  </si>
  <si>
    <t>TK-F01-107-A8(18-29U)DP1-1</t>
  </si>
  <si>
    <t>210305756810HA000473</t>
  </si>
  <si>
    <t>140103-2017-001614</t>
  </si>
  <si>
    <t>TK-F01-107-A8(18-29U)DP1-10</t>
  </si>
  <si>
    <t>210305756810HA000460</t>
  </si>
  <si>
    <t>140103-2017-001637</t>
  </si>
  <si>
    <t>TK-F01-107-A8(18-29U)DP1-11</t>
  </si>
  <si>
    <t>210305756810HA000166</t>
  </si>
  <si>
    <t>140103-2017-001638</t>
  </si>
  <si>
    <t>TK-F01-107-A8(18-29U)DP1-12</t>
  </si>
  <si>
    <t>210305756810HA000671</t>
  </si>
  <si>
    <t>140103-2017-001639</t>
  </si>
  <si>
    <t>TK-F01-107-A8(18-29U)DP1-13</t>
  </si>
  <si>
    <t>210305756810HA000641</t>
  </si>
  <si>
    <t>140103-2017-001640</t>
  </si>
  <si>
    <t>TK-F01-107-A9(18-29U)DP1-8</t>
  </si>
  <si>
    <t>210305756810HA000475</t>
  </si>
  <si>
    <t>140103-2017-001641</t>
  </si>
  <si>
    <t>TK-F01-107-A9(18-29U)DP1-9</t>
  </si>
  <si>
    <t>210305756810HA000485</t>
  </si>
  <si>
    <t>140103-2017-001642</t>
  </si>
  <si>
    <t>TK-F01-107-A9(18-29U)DP1-10</t>
  </si>
  <si>
    <t>210305756810HA000154</t>
  </si>
  <si>
    <t>140103-2017-001566</t>
  </si>
  <si>
    <t>TK-F01-107-A8(18-29U)DP1-2</t>
  </si>
  <si>
    <t>210305756810HA000471</t>
  </si>
  <si>
    <t>140103-2017-001567</t>
  </si>
  <si>
    <t>TK-F01-107-A8(18-29U)DP1-3</t>
  </si>
  <si>
    <t>210305756810HA000470</t>
  </si>
  <si>
    <t>140103-2017-001580</t>
  </si>
  <si>
    <t>TK-F01-107-A8(18-29U)DP1-4</t>
  </si>
  <si>
    <t>210305756810HA000468</t>
  </si>
  <si>
    <t>140103-2017-001581</t>
  </si>
  <si>
    <t>TK-F01-107-A8(18-29U)DP1-5</t>
  </si>
  <si>
    <t>210305756810HA000397</t>
  </si>
  <si>
    <t>140103-2017-001582</t>
  </si>
  <si>
    <t>TK-F01-107-A8(18-29U)DP1-6</t>
  </si>
  <si>
    <t>210305756810HA000635</t>
  </si>
  <si>
    <t>140103-2017-001583</t>
  </si>
  <si>
    <t>TK-F01-107-A8(18-29U)DP1-7</t>
  </si>
  <si>
    <t>210305756810HA000637</t>
  </si>
  <si>
    <t>140103-2017-001612</t>
  </si>
  <si>
    <t>TK-F01-107-A8(18-29U)DP1-8</t>
  </si>
  <si>
    <t>210305756810HA000403</t>
  </si>
  <si>
    <t>140103-2017-001613</t>
  </si>
  <si>
    <t>TK-F01-107-A8(18-29U)DP1-9</t>
  </si>
  <si>
    <t>2102300742N0H9000537/
210230102810HA000016</t>
  </si>
  <si>
    <t>140103-2017-001802</t>
  </si>
  <si>
    <t>TK-F01-107-A8(2-13U)DP2</t>
  </si>
  <si>
    <t>210305756810HA000484</t>
  </si>
  <si>
    <t>140103-2017-001615</t>
  </si>
  <si>
    <t>TK-F01-107-A8(2-13U)DP2-1</t>
  </si>
  <si>
    <t>210305756810HA000598</t>
  </si>
  <si>
    <t>140103-2017-001624</t>
  </si>
  <si>
    <t>TK-F01-107-A9(18-29U)DP1-13</t>
  </si>
  <si>
    <t>210305756810HA000395</t>
  </si>
  <si>
    <t>140103-2017-001625</t>
  </si>
  <si>
    <t>TK-F01-107-A9(18-29U)DP1-14</t>
  </si>
  <si>
    <t>210305756810HA000376</t>
  </si>
  <si>
    <t>140103-2017-001626</t>
  </si>
  <si>
    <t>TK-F01-107-A8(2-13U)DP2-12</t>
  </si>
  <si>
    <t>210305756810HA000452</t>
  </si>
  <si>
    <t>140103-2017-001627</t>
  </si>
  <si>
    <t>TK-F01-107-A8(2-13U)DP2-13</t>
  </si>
  <si>
    <t>210305756810HA000632</t>
  </si>
  <si>
    <t>140103-2017-001628</t>
  </si>
  <si>
    <t>TK-F01-107-A8(2-13U)DP2-14</t>
  </si>
  <si>
    <t>210305756810HA000666</t>
  </si>
  <si>
    <t>140103-2017-001629</t>
  </si>
  <si>
    <t>TK-F01-107-A8(2-13U)DP2-15</t>
  </si>
  <si>
    <t>210305756810HA000387</t>
  </si>
  <si>
    <t>140103-2017-001630</t>
  </si>
  <si>
    <t>TK-F01-107-A8(2-13U)DP2-16</t>
  </si>
  <si>
    <t>210305756810HA000171</t>
  </si>
  <si>
    <t>140103-2017-001616</t>
  </si>
  <si>
    <t>TK-F01-107-A8(2-13U)DP2-2</t>
  </si>
  <si>
    <t>210305756810HA000360</t>
  </si>
  <si>
    <t>140103-2017-001617</t>
  </si>
  <si>
    <t>TK-F01-107-A8(2-13U)DP2-3</t>
  </si>
  <si>
    <t>210305756810HA000604</t>
  </si>
  <si>
    <t>140103-2017-001618</t>
  </si>
  <si>
    <t>TK-F01-107-A8(2-13U)DP2-4</t>
  </si>
  <si>
    <t>210305756810HA000168</t>
  </si>
  <si>
    <t>140103-2017-001619</t>
  </si>
  <si>
    <t>TK-F01-107-A8(2-13U)DP2-5</t>
  </si>
  <si>
    <t>210305756810HA000388</t>
  </si>
  <si>
    <t>140103-2017-001620</t>
  </si>
  <si>
    <t>TK-F01-107-A8(2-13U)DP2-6</t>
  </si>
  <si>
    <t>210305756810HA000474</t>
  </si>
  <si>
    <t>140103-2017-001621</t>
  </si>
  <si>
    <t>TK-F01-107-A8(2-13U)DP2-7</t>
  </si>
  <si>
    <t>210305756810HA000447</t>
  </si>
  <si>
    <t>140103-2017-001622</t>
  </si>
  <si>
    <t>TK-F01-107-A9(18-29U)DP1-11</t>
  </si>
  <si>
    <t>210305756810HA000617</t>
  </si>
  <si>
    <t>140103-2017-001623</t>
  </si>
  <si>
    <t>TK-F01-107-A9(18-29U)DP1-12</t>
  </si>
  <si>
    <t>2102300742N0H9000545/
210230102810HA000019</t>
  </si>
  <si>
    <t>140103-2017-001805</t>
  </si>
  <si>
    <t>TK-F01-107-A9(18-29U)DP1</t>
  </si>
  <si>
    <t>210305756810HA000183</t>
  </si>
  <si>
    <t>140103-2017-001719</t>
  </si>
  <si>
    <t>TK-F01-107-A9(18-29U)DP1-1</t>
  </si>
  <si>
    <t>210305756810HA000674</t>
  </si>
  <si>
    <t>140103-2017-001736</t>
  </si>
  <si>
    <t>TK-F01-107-A8(18-29U)DP1-16</t>
  </si>
  <si>
    <t>210305756810HA000205</t>
  </si>
  <si>
    <t>140103-2017-001737</t>
  </si>
  <si>
    <t>TK-F01-107-A8(2-13U)DP2-8</t>
  </si>
  <si>
    <t>210305756810HA001177</t>
  </si>
  <si>
    <t>140103-2017-001738</t>
  </si>
  <si>
    <t>TK-F01-107-A8(2-13U)DP2-9</t>
  </si>
  <si>
    <t>210305756810HA000931</t>
  </si>
  <si>
    <t>140103-2017-001739</t>
  </si>
  <si>
    <t>TK-F01-107-A8(2-13U)DP2-10</t>
  </si>
  <si>
    <t>210305756810HA001148</t>
  </si>
  <si>
    <t>140103-2017-001740</t>
  </si>
  <si>
    <t>TK-F01-107-A8(2-13U)DP2-11</t>
  </si>
  <si>
    <t>210305756810HA001133</t>
  </si>
  <si>
    <t>140103-2017-001751</t>
  </si>
  <si>
    <t>TK-F01-107-A9(18-29U)DP1-15</t>
  </si>
  <si>
    <t>210305756810HA001089</t>
  </si>
  <si>
    <t>140103-2017-001752</t>
  </si>
  <si>
    <t>TK-F01-107-A9(18-29U)DP1-16</t>
  </si>
  <si>
    <t>210305756810HA000482</t>
  </si>
  <si>
    <t>140103-2017-001720</t>
  </si>
  <si>
    <t>TK-F01-107-A9(18-29U)DP1-2</t>
  </si>
  <si>
    <t>210305756810HA000365</t>
  </si>
  <si>
    <t>140103-2017-001721</t>
  </si>
  <si>
    <t>TK-F01-107-A9(18-29U)DP1-3</t>
  </si>
  <si>
    <t>210305756810HA000203</t>
  </si>
  <si>
    <t>140103-2017-001722</t>
  </si>
  <si>
    <t>TK-F01-107-A9(18-29U)DP1-4</t>
  </si>
  <si>
    <t>210305756810HA000603</t>
  </si>
  <si>
    <t>140103-2017-001723</t>
  </si>
  <si>
    <t>TK-F01-107-A9(18-29U)DP1-5</t>
  </si>
  <si>
    <t>210305756810HA000605</t>
  </si>
  <si>
    <t>140103-2017-001724</t>
  </si>
  <si>
    <t>TK-F01-107-A9(18-29U)DP1-6</t>
  </si>
  <si>
    <t>210305756810HA000374</t>
  </si>
  <si>
    <t>140103-2017-001733</t>
  </si>
  <si>
    <t>TK-F01-107-A9(18-29U)DP1-7</t>
  </si>
  <si>
    <t>210305756810HA000371</t>
  </si>
  <si>
    <t>140103-2017-001734</t>
  </si>
  <si>
    <t>TK-F01-107-A8(18-29U)DP1-14</t>
  </si>
  <si>
    <t>210305756810HA000440</t>
  </si>
  <si>
    <t>140103-2017-001735</t>
  </si>
  <si>
    <t>TK-F01-107-A8(18-29U)DP1-15</t>
  </si>
  <si>
    <t>2102300742N0H9000553/
210230102810HA000014</t>
  </si>
  <si>
    <t>140103-2017-001804</t>
  </si>
  <si>
    <t>TK-F01-107-A9(2-13U)DP2</t>
  </si>
  <si>
    <t>210305756810HA001166</t>
  </si>
  <si>
    <t>140103-2017-001747</t>
  </si>
  <si>
    <t>TK-F01-107-A9(2-13U)DP2-1</t>
  </si>
  <si>
    <t>210305756810HA001107</t>
  </si>
  <si>
    <t>140103-2017-001758</t>
  </si>
  <si>
    <t>TK-F01-107-A9(2-13U)DP2-10</t>
  </si>
  <si>
    <t>210305756810HA001169</t>
  </si>
  <si>
    <t>140103-2017-001787</t>
  </si>
  <si>
    <t>TK-F01-107-A9(2-13U)DP2-11</t>
  </si>
  <si>
    <t>210305756810HA000836</t>
  </si>
  <si>
    <t>140103-2017-001788</t>
  </si>
  <si>
    <t>TK-F01-107-A9(2-13U)DP2-12</t>
  </si>
  <si>
    <t>210305756810HA001117</t>
  </si>
  <si>
    <t>140103-2017-001789</t>
  </si>
  <si>
    <t>TK-F01-107-A9(2-13U)DP2-13</t>
  </si>
  <si>
    <t>210305756810HA001173</t>
  </si>
  <si>
    <t>140103-2017-001790</t>
  </si>
  <si>
    <t>TK-F01-107-A9(2-13U)DP2-14</t>
  </si>
  <si>
    <t>210305756810HA001090</t>
  </si>
  <si>
    <t>140103-2017-001797</t>
  </si>
  <si>
    <t>TK-F01-107-A9(2-13U)DP2-15</t>
  </si>
  <si>
    <t>210305756810HA001091</t>
  </si>
  <si>
    <t>140103-2017-001798</t>
  </si>
  <si>
    <t>TK-F01-107-A9(2-13U)DP2-16</t>
  </si>
  <si>
    <t>210305756810HA000881</t>
  </si>
  <si>
    <t>140103-2017-001748</t>
  </si>
  <si>
    <t>TK-F01-107-A9(2-13U)DP2-2</t>
  </si>
  <si>
    <t>210305756810HA001152</t>
  </si>
  <si>
    <t>140103-2017-001749</t>
  </si>
  <si>
    <t>TK-F01-107-A9(2-13U)DP2-3</t>
  </si>
  <si>
    <t>210305756810HA001139</t>
  </si>
  <si>
    <t>140103-2017-001750</t>
  </si>
  <si>
    <t>TK-F01-107-A9(2-13U)DP2-4</t>
  </si>
  <si>
    <t>210305756810HA000861</t>
  </si>
  <si>
    <t>140103-2017-001753</t>
  </si>
  <si>
    <t>TK-F01-107-A9(2-13U)DP2-5</t>
  </si>
  <si>
    <t>210305756810HA000827</t>
  </si>
  <si>
    <t>140103-2017-001754</t>
  </si>
  <si>
    <t>TK-F01-107-A9(2-13U)DP2-6</t>
  </si>
  <si>
    <t>210305756810HA000840</t>
  </si>
  <si>
    <t>140103-2017-001755</t>
  </si>
  <si>
    <t>TK-F01-107-A9(2-13U)DP2-7</t>
  </si>
  <si>
    <t>210305756810HA000835</t>
  </si>
  <si>
    <t>140103-2017-001756</t>
  </si>
  <si>
    <t>TK-F01-107-A9(2-13U)DP2-8</t>
  </si>
  <si>
    <t>210305756810HA000879</t>
  </si>
  <si>
    <t>140103-2017-001757</t>
  </si>
  <si>
    <t>TK-F01-107-A9(2-13U)DP2-9</t>
  </si>
  <si>
    <t>210235A1G9H179000005</t>
  </si>
  <si>
    <t>140502-2017-000089</t>
  </si>
  <si>
    <t>TK-F01-107-B(10-10U)</t>
  </si>
  <si>
    <t>210235A1G9H178000023</t>
  </si>
  <si>
    <t>140502-2017-000088</t>
  </si>
  <si>
    <t>TK-F01-107-B(12-12U)</t>
  </si>
  <si>
    <t>210235A1G9H178000010</t>
  </si>
  <si>
    <t>140502-2017-000087</t>
  </si>
  <si>
    <t>TK-F01-107-B(14-14U)</t>
  </si>
  <si>
    <t>210235A1TXH179000419</t>
  </si>
  <si>
    <t>140502-2017-000080</t>
  </si>
  <si>
    <t>TK-F01-107-B(16-16U)</t>
  </si>
  <si>
    <t>210235A1TXH179000325</t>
  </si>
  <si>
    <t>140502-2017-000079</t>
  </si>
  <si>
    <t>TK-F01-107-B(18-18U)</t>
  </si>
  <si>
    <t>210235A1G9H178000017</t>
  </si>
  <si>
    <t>140502-2017-000093</t>
  </si>
  <si>
    <t>TK-F01-107-B(2-2U)</t>
  </si>
  <si>
    <t>210235A1G9H179000020</t>
  </si>
  <si>
    <t>140502-2017-000092</t>
  </si>
  <si>
    <t>TK-F01-107-B(4-4U)</t>
  </si>
  <si>
    <t>210235A1G9H178000048</t>
  </si>
  <si>
    <t>140502-2017-000091</t>
  </si>
  <si>
    <t>TK-F01-107-B(6-6U)</t>
  </si>
  <si>
    <t>210235A1G9H179000025</t>
  </si>
  <si>
    <t>140502-2017-000090</t>
  </si>
  <si>
    <t>TK-F01-107-B(8-8U)</t>
  </si>
  <si>
    <t>2102300742N0H6000477/210230102810HA000059</t>
  </si>
  <si>
    <t>140103-2017-000957</t>
  </si>
  <si>
    <t>TK-F01-107-B1(18-29U)DP1</t>
  </si>
  <si>
    <t>210305756810HA001180</t>
  </si>
  <si>
    <t>140103-2017-000445</t>
  </si>
  <si>
    <t>TK-F01-107-B1(18-29U)DP1-1</t>
  </si>
  <si>
    <t>210305756810HA001065</t>
  </si>
  <si>
    <t>140103-2017-000454</t>
  </si>
  <si>
    <t>TK-F01-107-B1(18-29U)DP1-10</t>
  </si>
  <si>
    <t>210305756810HA001092</t>
  </si>
  <si>
    <t>140103-2017-000455</t>
  </si>
  <si>
    <t>TK-F01-107-B1(18-29U)DP1-11</t>
  </si>
  <si>
    <t>210305756810HA001074</t>
  </si>
  <si>
    <t>140103-2017-000456</t>
  </si>
  <si>
    <t>TK-F01-107-B1(18-29U)DP1-12</t>
  </si>
  <si>
    <t>210305756810HA000945</t>
  </si>
  <si>
    <t>140103-2017-000457</t>
  </si>
  <si>
    <t>TK-F01-107-B1(18-29U)DP1-13</t>
  </si>
  <si>
    <t>210305756810HA001172</t>
  </si>
  <si>
    <t>140103-2017-000458</t>
  </si>
  <si>
    <t>TK-F01-107-B1(18-29U)DP1-14</t>
  </si>
  <si>
    <t>210305756810HA000741</t>
  </si>
  <si>
    <t>140103-2017-000459</t>
  </si>
  <si>
    <t>TK-F01-107-B1(18-29U)DP1-15</t>
  </si>
  <si>
    <t>210305756810HA000895</t>
  </si>
  <si>
    <t>140103-2017-000460</t>
  </si>
  <si>
    <t>TK-F01-107-B1(18-29U)DP1-16</t>
  </si>
  <si>
    <t>210305756810HA001094</t>
  </si>
  <si>
    <t>140103-2017-000446</t>
  </si>
  <si>
    <t>TK-F01-107-B1(18-29U)DP1-2</t>
  </si>
  <si>
    <t>210305756810HA001068</t>
  </si>
  <si>
    <t>140103-2017-000447</t>
  </si>
  <si>
    <t>TK-F01-107-B1(18-29U)DP1-3</t>
  </si>
  <si>
    <t>210305756810HA001167</t>
  </si>
  <si>
    <t>140103-2017-000448</t>
  </si>
  <si>
    <t>TK-F01-107-B1(18-29U)DP1-4</t>
  </si>
  <si>
    <t>210305756810HA001096</t>
  </si>
  <si>
    <t>140103-2017-000449</t>
  </si>
  <si>
    <t>TK-F01-107-B1(18-29U)DP1-5</t>
  </si>
  <si>
    <t>210305756810HA001067</t>
  </si>
  <si>
    <t>140103-2017-000450</t>
  </si>
  <si>
    <t>TK-F01-107-B1(18-29U)DP1-6</t>
  </si>
  <si>
    <t>210305756810HA001066</t>
  </si>
  <si>
    <t>140103-2017-000451</t>
  </si>
  <si>
    <t>TK-F01-107-B1(18-29U)DP1-7</t>
  </si>
  <si>
    <t>210305756810HA000899</t>
  </si>
  <si>
    <t>140103-2017-000452</t>
  </si>
  <si>
    <t>TK-F01-107-B1(18-29U)DP1-8</t>
  </si>
  <si>
    <t>210305756810HA001112</t>
  </si>
  <si>
    <t>140103-2017-000453</t>
  </si>
  <si>
    <t>TK-F01-107-B1(18-29U)DP1-9</t>
  </si>
  <si>
    <t>2102300742N0H9000578/210230102810HA000055</t>
  </si>
  <si>
    <t>140103-2017-000956</t>
  </si>
  <si>
    <t>TK-F01-107-B1(2-13U)DP2</t>
  </si>
  <si>
    <t>210305756810HA001175</t>
  </si>
  <si>
    <t>140103-2017-000461</t>
  </si>
  <si>
    <t>TK-F01-107-B1(2-13U)DP2-1</t>
  </si>
  <si>
    <t>210305756810HA001058</t>
  </si>
  <si>
    <t>140103-2017-000470</t>
  </si>
  <si>
    <t>TK-F01-107-B1(2-13U)DP2-10</t>
  </si>
  <si>
    <t>210305756810HA001108</t>
  </si>
  <si>
    <t>140103-2017-000471</t>
  </si>
  <si>
    <t>TK-F01-107-B1(2-13U)DP2-11</t>
  </si>
  <si>
    <t>210305756810HA001130</t>
  </si>
  <si>
    <t>140103-2017-000472</t>
  </si>
  <si>
    <t>TK-F01-107-B1(2-13U)DP2-12</t>
  </si>
  <si>
    <t>210305756810HA000926</t>
  </si>
  <si>
    <t>140103-2017-000473</t>
  </si>
  <si>
    <t>TK-F01-107-B1(2-13U)DP2-13</t>
  </si>
  <si>
    <t>210305756810HA001097</t>
  </si>
  <si>
    <t>140103-2017-000474</t>
  </si>
  <si>
    <t>TK-F01-107-B1(2-13U)DP2-14</t>
  </si>
  <si>
    <t>210305756810HA000898</t>
  </si>
  <si>
    <t>140103-2017-000475</t>
  </si>
  <si>
    <t>TK-F01-107-B1(2-13U)DP2-15</t>
  </si>
  <si>
    <t>210305756810HA000950</t>
  </si>
  <si>
    <t>140103-2017-000476</t>
  </si>
  <si>
    <t>TK-F01-107-B1(2-13U)DP2-16</t>
  </si>
  <si>
    <t>210305756810HA000902</t>
  </si>
  <si>
    <t>140103-2017-000462</t>
  </si>
  <si>
    <t>TK-F01-107-B1(2-13U)DP2-2</t>
  </si>
  <si>
    <t>210305756810HA000943</t>
  </si>
  <si>
    <t>140103-2017-000463</t>
  </si>
  <si>
    <t>TK-F01-107-B1(2-13U)DP2-3</t>
  </si>
  <si>
    <t>210305756810HA001114</t>
  </si>
  <si>
    <t>140103-2017-000464</t>
  </si>
  <si>
    <t>TK-F01-107-B1(2-13U)DP2-4</t>
  </si>
  <si>
    <t>210305756810HA001110</t>
  </si>
  <si>
    <t>140103-2017-000465</t>
  </si>
  <si>
    <t>TK-F01-107-B1(2-13U)DP2-5</t>
  </si>
  <si>
    <t>210305756810HA001064</t>
  </si>
  <si>
    <t>140103-2017-000466</t>
  </si>
  <si>
    <t>TK-F01-107-B1(2-13U)DP2-6</t>
  </si>
  <si>
    <t>210305756810HA001063</t>
  </si>
  <si>
    <t>140103-2017-000467</t>
  </si>
  <si>
    <t>TK-F01-107-B1(2-13U)DP2-7</t>
  </si>
  <si>
    <t>210305756810HA000904</t>
  </si>
  <si>
    <t>140103-2017-000468</t>
  </si>
  <si>
    <t>TK-F01-107-B1(2-13U)DP2-8</t>
  </si>
  <si>
    <t>210305756810HA000907</t>
  </si>
  <si>
    <t>140103-2017-000469</t>
  </si>
  <si>
    <t>TK-F01-107-B1(2-13U)DP2-9</t>
  </si>
  <si>
    <t>2102300742N0H9000504/210230102810HA000025</t>
  </si>
  <si>
    <t>140103-2017-000969</t>
  </si>
  <si>
    <t>TK-F01-107-B10(18-29U)DP1</t>
  </si>
  <si>
    <t>210305756810HA000310</t>
  </si>
  <si>
    <t>140103-2017-000381</t>
  </si>
  <si>
    <t>TK-F01-107-B10(18-29U)DP1-1</t>
  </si>
  <si>
    <t>210305756810HA000592</t>
  </si>
  <si>
    <t>140103-2017-000390</t>
  </si>
  <si>
    <t>TK-F01-107-B10(18-29U)DP1-10</t>
  </si>
  <si>
    <t>210305756810HA000431</t>
  </si>
  <si>
    <t>140103-2017-000391</t>
  </si>
  <si>
    <t>TK-F01-107-B10(18-29U)DP1-11</t>
  </si>
  <si>
    <t>210305756810HA000244</t>
  </si>
  <si>
    <t>140103-2017-000392</t>
  </si>
  <si>
    <t>TK-F01-107-B10(18-29U)DP1-12</t>
  </si>
  <si>
    <t>210305756810HA000457</t>
  </si>
  <si>
    <t>140103-2017-000393</t>
  </si>
  <si>
    <t>TK-F01-107-B10(18-29U)DP1-13</t>
  </si>
  <si>
    <t>210305756810HA000455</t>
  </si>
  <si>
    <t>140103-2017-000394</t>
  </si>
  <si>
    <t>TK-F01-107-B10(18-29U)DP1-14</t>
  </si>
  <si>
    <t>210305756810HA000415</t>
  </si>
  <si>
    <t>140103-2017-000395</t>
  </si>
  <si>
    <t>TK-F01-107-B10(18-29U)DP1-15</t>
  </si>
  <si>
    <t>210305756810HA000459</t>
  </si>
  <si>
    <t>140103-2017-000396</t>
  </si>
  <si>
    <t>TK-F01-107-B10(18-29U)DP1-16</t>
  </si>
  <si>
    <t>210305756810HA000311</t>
  </si>
  <si>
    <t>140103-2017-000382</t>
  </si>
  <si>
    <t>TK-F01-107-B10(18-29U)DP1-2</t>
  </si>
  <si>
    <t>210305756810HA000306</t>
  </si>
  <si>
    <t>140103-2017-000383</t>
  </si>
  <si>
    <t>TK-F01-107-B10(18-29U)DP1-3</t>
  </si>
  <si>
    <t>210305756810HA000300</t>
  </si>
  <si>
    <t>140103-2017-000384</t>
  </si>
  <si>
    <t>TK-F01-107-B10(18-29U)DP1-4</t>
  </si>
  <si>
    <t>210305756810HA000276</t>
  </si>
  <si>
    <t>140103-2017-000385</t>
  </si>
  <si>
    <t>TK-F01-107-B10(18-29U)DP1-5</t>
  </si>
  <si>
    <t>210305756810HA000423</t>
  </si>
  <si>
    <t>140103-2017-000386</t>
  </si>
  <si>
    <t>TK-F01-107-B10(18-29U)DP1-6</t>
  </si>
  <si>
    <t>210305756810HA000565</t>
  </si>
  <si>
    <t>140103-2017-000387</t>
  </si>
  <si>
    <t>TK-F01-107-B10(18-29U)DP1-7</t>
  </si>
  <si>
    <t>210305756810HA000582</t>
  </si>
  <si>
    <t>140103-2017-000388</t>
  </si>
  <si>
    <t>TK-F01-107-B10(18-29U)DP1-8</t>
  </si>
  <si>
    <t>210305756810HA000630</t>
  </si>
  <si>
    <t>140103-2017-000389</t>
  </si>
  <si>
    <t>TK-F01-107-B10(18-29U)DP1-9</t>
  </si>
  <si>
    <t>2102300742N0H9000593/210230102810HA000099</t>
  </si>
  <si>
    <t>140103-2017-000968</t>
  </si>
  <si>
    <t>TK-F01-107-B10(2-13U)DP2</t>
  </si>
  <si>
    <t>210305756810HA000238</t>
  </si>
  <si>
    <t>140103-2017-000397</t>
  </si>
  <si>
    <t>TK-F01-107-B10(2-13U)DP2-1</t>
  </si>
  <si>
    <t>210305756810HA000312</t>
  </si>
  <si>
    <t>140103-2017-000406</t>
  </si>
  <si>
    <t>TK-F01-107-B10(2-13U)DP2-10</t>
  </si>
  <si>
    <t>210305756810HA000570</t>
  </si>
  <si>
    <t>140103-2017-000407</t>
  </si>
  <si>
    <t>TK-F01-107-B10(2-13U)DP2-11</t>
  </si>
  <si>
    <t>210305756810HA000417</t>
  </si>
  <si>
    <t>140103-2017-000408</t>
  </si>
  <si>
    <t>TK-F01-107-B10(2-13U)DP2-12</t>
  </si>
  <si>
    <t>210305756810HA000335</t>
  </si>
  <si>
    <t>140103-2017-000409</t>
  </si>
  <si>
    <t>TK-F01-107-B10(2-13U)DP2-13</t>
  </si>
  <si>
    <t>210305756810HA000228</t>
  </si>
  <si>
    <t>140103-2017-000410</t>
  </si>
  <si>
    <t>TK-F01-107-B10(2-13U)DP2-14</t>
  </si>
  <si>
    <t>210305756810HA000268</t>
  </si>
  <si>
    <t>140103-2017-000411</t>
  </si>
  <si>
    <t>TK-F01-107-B10(2-13U)DP2-15</t>
  </si>
  <si>
    <t>210305756810HA000273</t>
  </si>
  <si>
    <t>140103-2017-000412</t>
  </si>
  <si>
    <t>TK-F01-107-B10(2-13U)DP2-16</t>
  </si>
  <si>
    <t>210305756810HA000583</t>
  </si>
  <si>
    <t>140103-2017-000398</t>
  </si>
  <si>
    <t>TK-F01-107-B10(2-13U)DP2-2</t>
  </si>
  <si>
    <t>210305756810HA000297</t>
  </si>
  <si>
    <t>140103-2017-000399</t>
  </si>
  <si>
    <t>TK-F01-107-B10(2-13U)DP2-3</t>
  </si>
  <si>
    <t>210305756810HA000329</t>
  </si>
  <si>
    <t>140103-2017-000400</t>
  </si>
  <si>
    <t>TK-F01-107-B10(2-13U)DP2-4</t>
  </si>
  <si>
    <t>210305756810HA000566</t>
  </si>
  <si>
    <t>140103-2017-000401</t>
  </si>
  <si>
    <t>TK-F01-107-B10(2-13U)DP2-5</t>
  </si>
  <si>
    <t>210305756810HA000569</t>
  </si>
  <si>
    <t>140103-2017-000402</t>
  </si>
  <si>
    <t>TK-F01-107-B10(2-13U)DP2-6</t>
  </si>
  <si>
    <t>210305756810HA000571</t>
  </si>
  <si>
    <t>140103-2017-000403</t>
  </si>
  <si>
    <t>TK-F01-107-B10(2-13U)DP2-7</t>
  </si>
  <si>
    <t>210305756810HA000303</t>
  </si>
  <si>
    <t>140103-2017-000404</t>
  </si>
  <si>
    <t>TK-F01-107-B10(2-13U)DP2-8</t>
  </si>
  <si>
    <t>210305756810HA000270</t>
  </si>
  <si>
    <t>140103-2017-000405</t>
  </si>
  <si>
    <t>TK-F01-107-B10(2-13U)DP2-9</t>
  </si>
  <si>
    <t>2102300742N0H9000589/210230102810HA000100</t>
  </si>
  <si>
    <t>140103-2017-000971</t>
  </si>
  <si>
    <t>TK-F01-107-B11(18-29U)DP1</t>
  </si>
  <si>
    <t>210305756810HA000564</t>
  </si>
  <si>
    <t>140103-2017-000493</t>
  </si>
  <si>
    <t>TK-F01-107-B11(18-29U)DP1-1</t>
  </si>
  <si>
    <t>210305756810HA000414</t>
  </si>
  <si>
    <t>140103-2017-000502</t>
  </si>
  <si>
    <t>TK-F01-107-B11(18-29U)DP1-10</t>
  </si>
  <si>
    <t>210305756810HA000413</t>
  </si>
  <si>
    <t>140103-2017-000503</t>
  </si>
  <si>
    <t>TK-F01-107-B11(18-29U)DP1-11</t>
  </si>
  <si>
    <t>210305756810HA000432</t>
  </si>
  <si>
    <t>140103-2017-000504</t>
  </si>
  <si>
    <t>TK-F01-107-B11(18-29U)DP1-12</t>
  </si>
  <si>
    <t>210305756810HA000590</t>
  </si>
  <si>
    <t>140103-2017-000505</t>
  </si>
  <si>
    <t>TK-F01-107-B11(18-29U)DP1-13</t>
  </si>
  <si>
    <t>210305756810HA000246</t>
  </si>
  <si>
    <t>140103-2017-000506</t>
  </si>
  <si>
    <t>TK-F01-107-B11(18-29U)DP1-14</t>
  </si>
  <si>
    <t>210305756810HA000429</t>
  </si>
  <si>
    <t>140103-2017-000507</t>
  </si>
  <si>
    <t>TK-F01-107-B11(18-29U)DP1-15</t>
  </si>
  <si>
    <t>210305756810HA000218</t>
  </si>
  <si>
    <t>140103-2017-000508</t>
  </si>
  <si>
    <t>TK-F01-107-B11(18-29U)DP1-16</t>
  </si>
  <si>
    <t>210305756810HA000266</t>
  </si>
  <si>
    <t>140103-2017-000499</t>
  </si>
  <si>
    <t>TK-F01-107-B11(18-29U)DP1-2</t>
  </si>
  <si>
    <t>210305756810HA000421</t>
  </si>
  <si>
    <t>140103-2017-000495</t>
  </si>
  <si>
    <t>TK-F01-107-B11(18-29U)DP1-3</t>
  </si>
  <si>
    <t>210305756810HA000430</t>
  </si>
  <si>
    <t>140103-2017-000496</t>
  </si>
  <si>
    <t>TK-F01-107-B11(18-29U)DP1-4</t>
  </si>
  <si>
    <t>210305756810HA000234</t>
  </si>
  <si>
    <t>140103-2017-000497</t>
  </si>
  <si>
    <t>TK-F01-107-B11(18-29U)DP1-5</t>
  </si>
  <si>
    <t>210305756810HA000416</t>
  </si>
  <si>
    <t>140103-2017-000498</t>
  </si>
  <si>
    <t>TK-F01-107-B11(18-29U)DP1-6</t>
  </si>
  <si>
    <t>210305756810HA000222</t>
  </si>
  <si>
    <t>140103-2017-000494</t>
  </si>
  <si>
    <t>TK-F01-107-B11(18-29U)DP1-7</t>
  </si>
  <si>
    <t>210305756810HA000434</t>
  </si>
  <si>
    <t>140103-2017-000500</t>
  </si>
  <si>
    <t>TK-F01-107-B11(18-29U)DP1-8</t>
  </si>
  <si>
    <t>210305756810HA000247</t>
  </si>
  <si>
    <t>140103-2017-000501</t>
  </si>
  <si>
    <t>TK-F01-107-B11(18-29U)DP1-9</t>
  </si>
  <si>
    <t>2102300742N0H9000256/210230102810HA000026</t>
  </si>
  <si>
    <t>140103-2017-000970</t>
  </si>
  <si>
    <t>TK-F01-107-B11(2-13U)DP2</t>
  </si>
  <si>
    <t>210305756810HA000627</t>
  </si>
  <si>
    <t>140103-2017-000509</t>
  </si>
  <si>
    <t>TK-F01-107-B11(2-13U)DP2-1</t>
  </si>
  <si>
    <t>210305756810HA000324</t>
  </si>
  <si>
    <t>140103-2017-000518</t>
  </si>
  <si>
    <t>TK-F01-107-B11(2-13U)DP2-10</t>
  </si>
  <si>
    <t>210305756810HA000260</t>
  </si>
  <si>
    <t>140103-2017-000519</t>
  </si>
  <si>
    <t>TK-F01-107-B11(2-13U)DP2-11</t>
  </si>
  <si>
    <t>210305756810HA000573</t>
  </si>
  <si>
    <t>140103-2017-000520</t>
  </si>
  <si>
    <t>TK-F01-107-B11(2-13U)DP2-12</t>
  </si>
  <si>
    <t>210305756810HA000328</t>
  </si>
  <si>
    <t>140103-2017-000521</t>
  </si>
  <si>
    <t>TK-F01-107-B11(2-13U)DP2-13</t>
  </si>
  <si>
    <t>210305756810HA000275</t>
  </si>
  <si>
    <t>140103-2017-000522</t>
  </si>
  <si>
    <t>TK-F01-107-B11(2-13U)DP2-14</t>
  </si>
  <si>
    <t>210305756810HA000325</t>
  </si>
  <si>
    <t>140103-2017-000523</t>
  </si>
  <si>
    <t>TK-F01-107-B11(2-13U)DP2-15</t>
  </si>
  <si>
    <t>210305756810HA000336</t>
  </si>
  <si>
    <t>140103-2017-000524</t>
  </si>
  <si>
    <t>TK-F01-107-B11(2-13U)DP2-16</t>
  </si>
  <si>
    <t>210305756810HA000299</t>
  </si>
  <si>
    <t>140103-2017-000510</t>
  </si>
  <si>
    <t>TK-F01-107-B11(2-13U)DP2-2</t>
  </si>
  <si>
    <t>210305756810HA000269</t>
  </si>
  <si>
    <t>140103-2017-000511</t>
  </si>
  <si>
    <t>TK-F01-107-B11(2-13U)DP2-3</t>
  </si>
  <si>
    <t>210305756810HA000298</t>
  </si>
  <si>
    <t>140103-2017-000512</t>
  </si>
  <si>
    <t>TK-F01-107-B11(2-13U)DP2-4</t>
  </si>
  <si>
    <t>210305756810HA000435</t>
  </si>
  <si>
    <t>140103-2017-000513</t>
  </si>
  <si>
    <t>TK-F01-107-B11(2-13U)DP2-5</t>
  </si>
  <si>
    <t>210305756810HA000239</t>
  </si>
  <si>
    <t>140103-2017-000514</t>
  </si>
  <si>
    <t>TK-F01-107-B11(2-13U)DP2-6</t>
  </si>
  <si>
    <t>210305756810HA000628</t>
  </si>
  <si>
    <t>140103-2017-000515</t>
  </si>
  <si>
    <t>TK-F01-107-B11(2-13U)DP2-7</t>
  </si>
  <si>
    <t>210305756810HA000221</t>
  </si>
  <si>
    <t>140103-2017-000516</t>
  </si>
  <si>
    <t>TK-F01-107-B11(2-13U)DP2-8</t>
  </si>
  <si>
    <t>210305756810HA000588</t>
  </si>
  <si>
    <t>140103-2017-000517</t>
  </si>
  <si>
    <t>TK-F01-107-B11(2-13U)DP2-9</t>
  </si>
  <si>
    <t>2102300742N0H9000671/
210230102810HA000177</t>
  </si>
  <si>
    <t>140103-2017-001476</t>
  </si>
  <si>
    <t>TK-F01-107-B12(18-29U)DP1</t>
  </si>
  <si>
    <t>210305756810HA000343</t>
  </si>
  <si>
    <t>140103-2017-001446</t>
  </si>
  <si>
    <t>TK-F01-107-B12(18-29U)DP1-1</t>
  </si>
  <si>
    <t>210305756810HA001843</t>
  </si>
  <si>
    <t>140103-2017-001688</t>
  </si>
  <si>
    <t>TK-F01-107-B12(18-29U)DP1-10</t>
  </si>
  <si>
    <t>210305756810HA001850</t>
  </si>
  <si>
    <t>140103-2017-001689</t>
  </si>
  <si>
    <t>TK-F01-107-B12(18-29U)DP1-11</t>
  </si>
  <si>
    <t>210305756810HA001840</t>
  </si>
  <si>
    <t>140103-2017-001690</t>
  </si>
  <si>
    <t>TK-F01-107-B12(18-29U)DP1-12</t>
  </si>
  <si>
    <t>210305756810HA001847</t>
  </si>
  <si>
    <t>140103-2017-000815</t>
  </si>
  <si>
    <t>TK-F01-107-B12(18-29U)DP1-13</t>
  </si>
  <si>
    <t>210305756810HA001851</t>
  </si>
  <si>
    <t>140103-2017-000816</t>
  </si>
  <si>
    <t>TK-F01-107-B12(18-29U)DP1-14</t>
  </si>
  <si>
    <t>210305756810HA001571</t>
  </si>
  <si>
    <t>140103-2017-000834</t>
  </si>
  <si>
    <t>TK-F01-107-B12(18-29U)DP1-15</t>
  </si>
  <si>
    <t>210305756810HA001558</t>
  </si>
  <si>
    <t>140103-2017-000835</t>
  </si>
  <si>
    <t>TK-F01-107-B12(18-29U)DP1-16</t>
  </si>
  <si>
    <t>210305756810HA000251</t>
  </si>
  <si>
    <t>140103-2017-001447</t>
  </si>
  <si>
    <t>TK-F01-107-B12(18-29U)DP1-2</t>
  </si>
  <si>
    <t>210305756810HA000296</t>
  </si>
  <si>
    <t>140103-2017-001448</t>
  </si>
  <si>
    <t>TK-F01-107-B12(18-29U)DP1-3</t>
  </si>
  <si>
    <t>210305756810HA000272</t>
  </si>
  <si>
    <t>140103-2017-001449</t>
  </si>
  <si>
    <t>TK-F01-107-B12(18-29U)DP1-4</t>
  </si>
  <si>
    <t>210305756810HA000509</t>
  </si>
  <si>
    <t>140103-2017-001474</t>
  </si>
  <si>
    <t>TK-F01-107-B12(18-29U)DP1-5</t>
  </si>
  <si>
    <t>210305756810HA000419</t>
  </si>
  <si>
    <t>140103-2017-001475</t>
  </si>
  <si>
    <t>TK-F01-107-B12(18-29U)DP1-6</t>
  </si>
  <si>
    <t>210305756810HA001838</t>
  </si>
  <si>
    <t>140103-2017-001634</t>
  </si>
  <si>
    <t>TK-F01-107-B12(18-29U)DP1-7</t>
  </si>
  <si>
    <t>210305756810HA001849</t>
  </si>
  <si>
    <t>140103-2017-001635</t>
  </si>
  <si>
    <t>TK-F01-107-B12(18-29U)DP1-8</t>
  </si>
  <si>
    <t>210305756810HA001855</t>
  </si>
  <si>
    <t>140103-2017-001636</t>
  </si>
  <si>
    <t>TK-F01-107-B12(18-29U)DP1-9</t>
  </si>
  <si>
    <t>2102300742N0H9000420/
210230102810HA000028</t>
  </si>
  <si>
    <t>140103-2017-001477</t>
  </si>
  <si>
    <t>TK-F01-107-B12(2-13U)DP2</t>
  </si>
  <si>
    <t>210305756810HA000223</t>
  </si>
  <si>
    <t>140103-2017-001450</t>
  </si>
  <si>
    <t>TK-F01-107-B12(2-13U)DP2-1</t>
  </si>
  <si>
    <t>210305756810HA000586</t>
  </si>
  <si>
    <t>140103-2017-001459</t>
  </si>
  <si>
    <t>TK-F01-107-B12(2-13U)DP2-10</t>
  </si>
  <si>
    <t>210305756810HA000626</t>
  </si>
  <si>
    <t>140103-2017-001460</t>
  </si>
  <si>
    <t>TK-F01-107-B12(2-13U)DP2-11</t>
  </si>
  <si>
    <t>210305756810HA000508</t>
  </si>
  <si>
    <t>140103-2017-001461</t>
  </si>
  <si>
    <t>TK-F01-107-B12(2-13U)DP2-12</t>
  </si>
  <si>
    <t>210305756810HA000424</t>
  </si>
  <si>
    <t>140103-2017-001462</t>
  </si>
  <si>
    <t>TK-F01-107-B12(2-13U)DP2-13</t>
  </si>
  <si>
    <t>210305756810HA000426</t>
  </si>
  <si>
    <t>140103-2017-001463</t>
  </si>
  <si>
    <t>TK-F01-107-B12(2-13U)DP2-14</t>
  </si>
  <si>
    <t>210305756810HA000575</t>
  </si>
  <si>
    <t>140103-2017-001464</t>
  </si>
  <si>
    <t>TK-F01-107-B12(2-13U)DP2-15</t>
  </si>
  <si>
    <t>210305756810HA000224</t>
  </si>
  <si>
    <t>140103-2017-001465</t>
  </si>
  <si>
    <t>TK-F01-107-B12(2-13U)DP2-16</t>
  </si>
  <si>
    <t>210305756810HA000425</t>
  </si>
  <si>
    <t>140103-2017-001451</t>
  </si>
  <si>
    <t>TK-F01-107-B12(2-13U)DP2-2</t>
  </si>
  <si>
    <t>210305756810HA000305</t>
  </si>
  <si>
    <t>140103-2017-001452</t>
  </si>
  <si>
    <t>TK-F01-107-B12(2-13U)DP2-3</t>
  </si>
  <si>
    <t>210305756810HA000587</t>
  </si>
  <si>
    <t>140103-2017-001453</t>
  </si>
  <si>
    <t>TK-F01-107-B12(2-13U)DP2-4</t>
  </si>
  <si>
    <t>210305756810HA000510</t>
  </si>
  <si>
    <t>140103-2017-001454</t>
  </si>
  <si>
    <t>TK-F01-107-B12(2-13U)DP2-5</t>
  </si>
  <si>
    <t>210305756810HA000437</t>
  </si>
  <si>
    <t>140103-2017-001455</t>
  </si>
  <si>
    <t>TK-F01-107-B12(2-13U)DP2-6</t>
  </si>
  <si>
    <t>210305756810HA000629</t>
  </si>
  <si>
    <t>140103-2017-001456</t>
  </si>
  <si>
    <t>TK-F01-107-B12(2-13U)DP2-7</t>
  </si>
  <si>
    <t>210305756810HA000237</t>
  </si>
  <si>
    <t>140103-2017-001457</t>
  </si>
  <si>
    <t>TK-F01-107-B12(2-13U)DP2-8</t>
  </si>
  <si>
    <t>210305756810HA000304</t>
  </si>
  <si>
    <t>140103-2017-001458</t>
  </si>
  <si>
    <t>TK-F01-107-B12(2-13U)DP2-9</t>
  </si>
  <si>
    <t>2102300742N0HA000006/210230102810HA000179</t>
  </si>
  <si>
    <t>140103-2017-000973</t>
  </si>
  <si>
    <t>TK-F01-107-B13(18-29U)DP1</t>
  </si>
  <si>
    <t>210305756810HA001268</t>
  </si>
  <si>
    <t>140103-2017-000681</t>
  </si>
  <si>
    <t>TK-F01-107-B13(18-29U)DP1-1</t>
  </si>
  <si>
    <t>210305756810HA001283</t>
  </si>
  <si>
    <t>140103-2017-000690</t>
  </si>
  <si>
    <t>TK-F01-107-B13(18-29U)DP1-10</t>
  </si>
  <si>
    <t>210305756810HA001263</t>
  </si>
  <si>
    <t>140103-2017-000691</t>
  </si>
  <si>
    <t>TK-F01-107-B13(18-29U)DP1-11</t>
  </si>
  <si>
    <t>210305756810HA001848</t>
  </si>
  <si>
    <t>140103-2017-000692</t>
  </si>
  <si>
    <t>TK-F01-107-B13(18-29U)DP1-12</t>
  </si>
  <si>
    <t>210305756810HA001569</t>
  </si>
  <si>
    <t>140103-2017-000693</t>
  </si>
  <si>
    <t>TK-F01-107-B13(18-29U)DP1-13</t>
  </si>
  <si>
    <t>210305756810HA001836</t>
  </si>
  <si>
    <t>140103-2017-000694</t>
  </si>
  <si>
    <t>TK-F01-107-B13(18-29U)DP1-14</t>
  </si>
  <si>
    <t>210305756810HA001573</t>
  </si>
  <si>
    <t>140103-2017-000695</t>
  </si>
  <si>
    <t>TK-F01-107-B13(18-29U)DP1-15</t>
  </si>
  <si>
    <t>210305756810HA001574</t>
  </si>
  <si>
    <t>140103-2017-000696</t>
  </si>
  <si>
    <t>TK-F01-107-B13(18-29U)DP1-16</t>
  </si>
  <si>
    <t>210305756810HA001280</t>
  </si>
  <si>
    <t>140103-2017-000682</t>
  </si>
  <si>
    <t>TK-F01-107-B13(18-29U)DP1-2</t>
  </si>
  <si>
    <t>210305756810HA001285</t>
  </si>
  <si>
    <t>140103-2017-000683</t>
  </si>
  <si>
    <t>TK-F01-107-B13(18-29U)DP1-3</t>
  </si>
  <si>
    <t>210305756810HA001272</t>
  </si>
  <si>
    <t>140103-2017-000684</t>
  </si>
  <si>
    <t>TK-F01-107-B13(18-29U)DP1-4</t>
  </si>
  <si>
    <t>210305756810HA001260</t>
  </si>
  <si>
    <t>140103-2017-000685</t>
  </si>
  <si>
    <t>TK-F01-107-B13(18-29U)DP1-5</t>
  </si>
  <si>
    <t>210305756810HA001267</t>
  </si>
  <si>
    <t>140103-2017-000686</t>
  </si>
  <si>
    <t>TK-F01-107-B13(18-29U)DP1-6</t>
  </si>
  <si>
    <t>210305756810HA001266</t>
  </si>
  <si>
    <t>140103-2017-000687</t>
  </si>
  <si>
    <t>TK-F01-107-B13(18-29U)DP1-7</t>
  </si>
  <si>
    <t>210305756810HA001269</t>
  </si>
  <si>
    <t>140103-2017-000688</t>
  </si>
  <si>
    <t>TK-F01-107-B13(18-29U)DP1-8</t>
  </si>
  <si>
    <t>210305756810HA001279</t>
  </si>
  <si>
    <t>140103-2017-000689</t>
  </si>
  <si>
    <t>TK-F01-107-B13(18-29U)DP1-9</t>
  </si>
  <si>
    <t>2102300742N0H9000689/210230102810HA000178</t>
  </si>
  <si>
    <t>140103-2017-000972</t>
  </si>
  <si>
    <t>TK-F01-107-B13(2-13U)DP2</t>
  </si>
  <si>
    <t>210305756810HA001258</t>
  </si>
  <si>
    <t>140103-2017-000886</t>
  </si>
  <si>
    <t>TK-F01-107-B13(2-13U)DP2-1</t>
  </si>
  <si>
    <t>210305756810HA001255</t>
  </si>
  <si>
    <t>140103-2017-001589</t>
  </si>
  <si>
    <t>TK-F01-107-B13(2-13U)DP2-10</t>
  </si>
  <si>
    <t>210305756810HA001256</t>
  </si>
  <si>
    <t>140103-2017-001631</t>
  </si>
  <si>
    <t>TK-F01-107-B13(2-13U)DP2-11</t>
  </si>
  <si>
    <t>210305756810HA001286</t>
  </si>
  <si>
    <t>140103-2017-001632</t>
  </si>
  <si>
    <t>TK-F01-107-B13(2-13U)DP2-12</t>
  </si>
  <si>
    <t>210305756810HA001271</t>
  </si>
  <si>
    <t>140103-2017-001633</t>
  </si>
  <si>
    <t>TK-F01-107-B13(2-13U)DP2-13</t>
  </si>
  <si>
    <t>210305756810HA001282</t>
  </si>
  <si>
    <t>140103-2017-001685</t>
  </si>
  <si>
    <t>TK-F01-107-B13(2-13U)DP2-14</t>
  </si>
  <si>
    <t>210305756810HA001270</t>
  </si>
  <si>
    <t>140103-2017-001686</t>
  </si>
  <si>
    <t>TK-F01-107-B13(2-13U)DP2-15</t>
  </si>
  <si>
    <t>210305756810HA001264</t>
  </si>
  <si>
    <t>140103-2017-001687</t>
  </si>
  <si>
    <t>TK-F01-107-B13(2-13U)DP2-16</t>
  </si>
  <si>
    <t>210305756810HA001281</t>
  </si>
  <si>
    <t>140103-2017-000887</t>
  </si>
  <si>
    <t>TK-F01-107-B13(2-13U)DP2-2</t>
  </si>
  <si>
    <t>210305756810HA001275</t>
  </si>
  <si>
    <t>140103-2017-000888</t>
  </si>
  <si>
    <t>TK-F01-107-B13(2-13U)DP2-3</t>
  </si>
  <si>
    <t>210305756810HA001261</t>
  </si>
  <si>
    <t>140103-2017-000889</t>
  </si>
  <si>
    <t>TK-F01-107-B13(2-13U)DP2-4</t>
  </si>
  <si>
    <t>210305756810HA001265</t>
  </si>
  <si>
    <t>140103-2017-001584</t>
  </si>
  <si>
    <t>TK-F01-107-B13(2-13U)DP2-5</t>
  </si>
  <si>
    <t>210305756810HA001284</t>
  </si>
  <si>
    <t>140103-2017-001585</t>
  </si>
  <si>
    <t>TK-F01-107-B13(2-13U)DP2-6</t>
  </si>
  <si>
    <t>210305756810HA001257</t>
  </si>
  <si>
    <t>140103-2017-001586</t>
  </si>
  <si>
    <t>TK-F01-107-B13(2-13U)DP2-7</t>
  </si>
  <si>
    <t>210305756810HA001262</t>
  </si>
  <si>
    <t>140103-2017-001587</t>
  </si>
  <si>
    <t>TK-F01-107-B13(2-13U)DP2-8</t>
  </si>
  <si>
    <t>210305756810HA001259</t>
  </si>
  <si>
    <t>140103-2017-001588</t>
  </si>
  <si>
    <t>TK-F01-107-B13(2-13U)DP2-9</t>
  </si>
  <si>
    <t>FCH2141V1X4</t>
  </si>
  <si>
    <t>140103-2017-001691</t>
  </si>
  <si>
    <t>TK-F01-107-B15(11-12U)</t>
  </si>
  <si>
    <t>FCH2142V1ZF</t>
  </si>
  <si>
    <t>140103-2017-001648</t>
  </si>
  <si>
    <t>TK-F01-107-B15(14-15U)</t>
  </si>
  <si>
    <t>FCH2142V1Y3</t>
  </si>
  <si>
    <t>140103-2017-001647</t>
  </si>
  <si>
    <t>TK-F01-107-B15(16-17U)</t>
  </si>
  <si>
    <t>FCH2141V2MT</t>
  </si>
  <si>
    <t>140103-2017-001646</t>
  </si>
  <si>
    <t>TK-F01-107-B15(18-19U)</t>
  </si>
  <si>
    <t>FCH2107V0XU</t>
  </si>
  <si>
    <t>140103-2017-000974</t>
  </si>
  <si>
    <t>TK-F01-107-B15(2-3U)</t>
  </si>
  <si>
    <t>FCH2138V06N</t>
  </si>
  <si>
    <t>140103-2017-001592</t>
  </si>
  <si>
    <t>TK-F01-107-B15(24-25U)</t>
  </si>
  <si>
    <t>FCH2132V06Q</t>
  </si>
  <si>
    <t>140103-2017-001591</t>
  </si>
  <si>
    <t>TK-F01-107-B15(26-27U)</t>
  </si>
  <si>
    <t>FCH2138V07F</t>
  </si>
  <si>
    <t>140103-2017-001590</t>
  </si>
  <si>
    <t>TK-F01-107-B15(28-29U)</t>
  </si>
  <si>
    <t>210235A1TXH179000264</t>
  </si>
  <si>
    <t>140502-2017-000082</t>
  </si>
  <si>
    <t>TK-F01-107-B15(36-36U)</t>
  </si>
  <si>
    <t>210235A1TXH179000420</t>
  </si>
  <si>
    <t>140502-2017-000081</t>
  </si>
  <si>
    <t>TK-F01-107-B15(38-38U)</t>
  </si>
  <si>
    <t>FCH2137V24V</t>
  </si>
  <si>
    <t>140103-2017-000975</t>
  </si>
  <si>
    <t>TK-F01-107-B15(4-5U)</t>
  </si>
  <si>
    <t>FCH2141V1X6</t>
  </si>
  <si>
    <t>140103-2017-001693</t>
  </si>
  <si>
    <t>TK-F01-107-B15(7-8U)</t>
  </si>
  <si>
    <t>FCH2141V1WX</t>
  </si>
  <si>
    <t>140103-2017-001692</t>
  </si>
  <si>
    <t>TK-F01-107-B15(9-10U)</t>
  </si>
  <si>
    <t>2102300742N0H9000547/210230102810HA000022</t>
  </si>
  <si>
    <t>140103-2017-000959</t>
  </si>
  <si>
    <t>TK-F01-107-B2(18-29U)DP1</t>
  </si>
  <si>
    <t>210305756810HA000764</t>
  </si>
  <si>
    <t>140103-2017-000569</t>
  </si>
  <si>
    <t>TK-F01-107-B2(18-29U)DP1-1</t>
  </si>
  <si>
    <t>210305756810HA000746</t>
  </si>
  <si>
    <t>140103-2017-000578</t>
  </si>
  <si>
    <t>TK-F01-107-B2(18-29U)DP1-10</t>
  </si>
  <si>
    <t>210305756810HA000919</t>
  </si>
  <si>
    <t>140103-2017-000579</t>
  </si>
  <si>
    <t>TK-F01-107-B2(18-29U)DP1-11</t>
  </si>
  <si>
    <t>210305756810HA000938</t>
  </si>
  <si>
    <t>140103-2017-000580</t>
  </si>
  <si>
    <t>TK-F01-107-B2(18-29U)DP1-12</t>
  </si>
  <si>
    <t>210305756810HA000910</t>
  </si>
  <si>
    <t>140103-2017-000581</t>
  </si>
  <si>
    <t>TK-F01-107-B2(18-29U)DP1-13</t>
  </si>
  <si>
    <t>210305756810HA001061</t>
  </si>
  <si>
    <t>140103-2017-000582</t>
  </si>
  <si>
    <t>TK-F01-107-B2(18-29U)DP1-14</t>
  </si>
  <si>
    <t>210305756810HA000901</t>
  </si>
  <si>
    <t>140103-2017-000583</t>
  </si>
  <si>
    <t>TK-F01-107-B2(18-29U)DP1-15</t>
  </si>
  <si>
    <t>210305756810HA000908</t>
  </si>
  <si>
    <t>140103-2017-000584</t>
  </si>
  <si>
    <t>TK-F01-107-B2(18-29U)DP1-16</t>
  </si>
  <si>
    <t>210305756810HA000928</t>
  </si>
  <si>
    <t>140103-2017-000570</t>
  </si>
  <si>
    <t>TK-F01-107-B2(18-29U)DP1-2</t>
  </si>
  <si>
    <t>210305756810HA001062</t>
  </si>
  <si>
    <t>140103-2017-000571</t>
  </si>
  <si>
    <t>TK-F01-107-B2(18-29U)DP1-3</t>
  </si>
  <si>
    <t>210305756810HA000912</t>
  </si>
  <si>
    <t>140103-2017-000572</t>
  </si>
  <si>
    <t>TK-F01-107-B2(18-29U)DP1-4</t>
  </si>
  <si>
    <t>210305756810HA000866</t>
  </si>
  <si>
    <t>140103-2017-000573</t>
  </si>
  <si>
    <t>TK-F01-107-B2(18-29U)DP1-5</t>
  </si>
  <si>
    <t>210305756810HA001113</t>
  </si>
  <si>
    <t>140103-2017-000574</t>
  </si>
  <si>
    <t>TK-F01-107-B2(18-29U)DP1-6</t>
  </si>
  <si>
    <t>210305756810HA001104</t>
  </si>
  <si>
    <t>140103-2017-000575</t>
  </si>
  <si>
    <t>TK-F01-107-B2(18-29U)DP1-7</t>
  </si>
  <si>
    <t>210305756810HA000922</t>
  </si>
  <si>
    <t>140103-2017-000576</t>
  </si>
  <si>
    <t>TK-F01-107-B2(18-29U)DP1-8</t>
  </si>
  <si>
    <t>210305756810HA000750</t>
  </si>
  <si>
    <t>140103-2017-000577</t>
  </si>
  <si>
    <t>TK-F01-107-B2(18-29U)DP1-9</t>
  </si>
  <si>
    <t>2102300742N0H9000507/210230102810HA000021</t>
  </si>
  <si>
    <t>140103-2017-000958</t>
  </si>
  <si>
    <t>TK-F01-107-B2(2-13U)DP2</t>
  </si>
  <si>
    <t>210305756810HA000875</t>
  </si>
  <si>
    <t>140103-2017-000585</t>
  </si>
  <si>
    <t>TK-F01-107-B2(2-13U)DP2-1</t>
  </si>
  <si>
    <t>210305756810HA000850</t>
  </si>
  <si>
    <t>140103-2017-000594</t>
  </si>
  <si>
    <t>TK-F01-107-B2(2-13U)DP2-10</t>
  </si>
  <si>
    <t>210305756810HA001163</t>
  </si>
  <si>
    <t>140103-2017-000595</t>
  </si>
  <si>
    <t>TK-F01-107-B2(2-13U)DP2-11</t>
  </si>
  <si>
    <t>210305756810HA000852</t>
  </si>
  <si>
    <t>140103-2017-000596</t>
  </si>
  <si>
    <t>TK-F01-107-B2(2-13U)DP2-12</t>
  </si>
  <si>
    <t>210305756810HA000882</t>
  </si>
  <si>
    <t>140103-2017-000597</t>
  </si>
  <si>
    <t>TK-F01-107-B2(2-13U)DP2-13</t>
  </si>
  <si>
    <t>210305756810HA001077</t>
  </si>
  <si>
    <t>140103-2017-000598</t>
  </si>
  <si>
    <t>TK-F01-107-B2(2-13U)DP2-14</t>
  </si>
  <si>
    <t>210305756810HA001080</t>
  </si>
  <si>
    <t>140103-2017-000599</t>
  </si>
  <si>
    <t>TK-F01-107-B2(2-13U)DP2-15</t>
  </si>
  <si>
    <t>210305756810HA000856</t>
  </si>
  <si>
    <t>140103-2017-000600</t>
  </si>
  <si>
    <t>TK-F01-107-B2(2-13U)DP2-16</t>
  </si>
  <si>
    <t>210305756810HA000832</t>
  </si>
  <si>
    <t>140103-2017-000586</t>
  </si>
  <si>
    <t>TK-F01-107-B2(2-13U)DP2-2</t>
  </si>
  <si>
    <t>210305756810HA001181</t>
  </si>
  <si>
    <t>140103-2017-000587</t>
  </si>
  <si>
    <t>TK-F01-107-B2(2-13U)DP2-3</t>
  </si>
  <si>
    <t>210305756810HA000842</t>
  </si>
  <si>
    <t>140103-2017-000588</t>
  </si>
  <si>
    <t>TK-F01-107-B2(2-13U)DP2-4</t>
  </si>
  <si>
    <t>210305756810HA000864</t>
  </si>
  <si>
    <t>140103-2017-000589</t>
  </si>
  <si>
    <t>TK-F01-107-B2(2-13U)DP2-5</t>
  </si>
  <si>
    <t>210305756810HA000837</t>
  </si>
  <si>
    <t>140103-2017-000590</t>
  </si>
  <si>
    <t>TK-F01-107-B2(2-13U)DP2-6</t>
  </si>
  <si>
    <t>210305756810HA001142</t>
  </si>
  <si>
    <t>140103-2017-000591</t>
  </si>
  <si>
    <t>TK-F01-107-B2(2-13U)DP2-7</t>
  </si>
  <si>
    <t>210305756810HA000868</t>
  </si>
  <si>
    <t>140103-2017-000592</t>
  </si>
  <si>
    <t>TK-F01-107-B2(2-13U)DP2-8</t>
  </si>
  <si>
    <t>210305756810HA001126</t>
  </si>
  <si>
    <t>140103-2017-000593</t>
  </si>
  <si>
    <t>TK-F01-107-B2(2-13U)DP2-9</t>
  </si>
  <si>
    <t>2102300742N0H9000473/210230102810HA000061</t>
  </si>
  <si>
    <t>140103-2017-000961</t>
  </si>
  <si>
    <t>TK-F01-107-B3(18-29U)DP1</t>
  </si>
  <si>
    <t>210305756810HA000939</t>
  </si>
  <si>
    <t>140103-2017-000613</t>
  </si>
  <si>
    <t>TK-F01-107-B3(18-29U)DP1-1</t>
  </si>
  <si>
    <t>210305756810HA001095</t>
  </si>
  <si>
    <t>140103-2017-000704</t>
  </si>
  <si>
    <t>TK-F01-107-B3(18-29U)DP1-10</t>
  </si>
  <si>
    <t>210305756810HA000941</t>
  </si>
  <si>
    <t>140103-2017-000769</t>
  </si>
  <si>
    <t>TK-F01-107-B3(18-29U)DP1-11</t>
  </si>
  <si>
    <t>210305756810HA001098</t>
  </si>
  <si>
    <t>140103-2017-000770</t>
  </si>
  <si>
    <t>TK-F01-107-B3(18-29U)DP1-12</t>
  </si>
  <si>
    <t>210305756810HA000905</t>
  </si>
  <si>
    <t>140103-2017-000771</t>
  </si>
  <si>
    <t>TK-F01-107-B3(18-29U)DP1-13</t>
  </si>
  <si>
    <t>210305756810HA000924</t>
  </si>
  <si>
    <t>140103-2017-000772</t>
  </si>
  <si>
    <t>TK-F01-107-B3(18-29U)DP1-14</t>
  </si>
  <si>
    <t>210305756810HA001081</t>
  </si>
  <si>
    <t>140103-2017-000773</t>
  </si>
  <si>
    <t>TK-F01-107-B3(18-29U)DP1-15</t>
  </si>
  <si>
    <t>210305756810HA000916</t>
  </si>
  <si>
    <t>140103-2017-000774</t>
  </si>
  <si>
    <t>TK-F01-107-B3(18-29U)DP1-16</t>
  </si>
  <si>
    <t>210305756810HA000897</t>
  </si>
  <si>
    <t>140103-2017-000614</t>
  </si>
  <si>
    <t>TK-F01-107-B3(18-29U)DP1-2</t>
  </si>
  <si>
    <t>210305756810HA000917</t>
  </si>
  <si>
    <t>140103-2017-000697</t>
  </si>
  <si>
    <t>TK-F01-107-B3(18-29U)DP1-3</t>
  </si>
  <si>
    <t>210305756810HA000768</t>
  </si>
  <si>
    <t>140103-2017-000698</t>
  </si>
  <si>
    <t>TK-F01-107-B3(18-29U)DP1-4</t>
  </si>
  <si>
    <t>210305756810HA001102</t>
  </si>
  <si>
    <t>140103-2017-000699</t>
  </si>
  <si>
    <t>TK-F01-107-B3(18-29U)DP1-5</t>
  </si>
  <si>
    <t>210305756810HA000763</t>
  </si>
  <si>
    <t>140103-2017-000700</t>
  </si>
  <si>
    <t>TK-F01-107-B3(18-29U)DP1-6</t>
  </si>
  <si>
    <t>210305756810HA001123</t>
  </si>
  <si>
    <t>140103-2017-000701</t>
  </si>
  <si>
    <t>TK-F01-107-B3(18-29U)DP1-7</t>
  </si>
  <si>
    <t>210305756810HA000935</t>
  </si>
  <si>
    <t>140103-2017-000702</t>
  </si>
  <si>
    <t>TK-F01-107-B3(18-29U)DP1-8</t>
  </si>
  <si>
    <t>210305756810HA000777</t>
  </si>
  <si>
    <t>140103-2017-000703</t>
  </si>
  <si>
    <t>TK-F01-107-B3(18-29U)DP1-9</t>
  </si>
  <si>
    <t>2102300742N0H9000551/210230102810HA000020</t>
  </si>
  <si>
    <t>140103-2017-000960</t>
  </si>
  <si>
    <t>TK-F01-107-B3(2-13U)DP2</t>
  </si>
  <si>
    <t>210305756810HA000759</t>
  </si>
  <si>
    <t>140103-2017-000633</t>
  </si>
  <si>
    <t>TK-F01-107-B3(2-13U)DP2-1</t>
  </si>
  <si>
    <t>210305756810HA001105</t>
  </si>
  <si>
    <t>140103-2017-000642</t>
  </si>
  <si>
    <t>TK-F01-107-B3(2-13U)DP2-10</t>
  </si>
  <si>
    <t>210305756810HA000828</t>
  </si>
  <si>
    <t>140103-2017-000643</t>
  </si>
  <si>
    <t>TK-F01-107-B3(2-13U)DP2-11</t>
  </si>
  <si>
    <t>210305756810HA000767</t>
  </si>
  <si>
    <t>140103-2017-000644</t>
  </si>
  <si>
    <t>TK-F01-107-B3(2-13U)DP2-12</t>
  </si>
  <si>
    <t>210305756810HA000932</t>
  </si>
  <si>
    <t>140103-2017-000645</t>
  </si>
  <si>
    <t>TK-F01-107-B3(2-13U)DP2-13</t>
  </si>
  <si>
    <t>210305756810HA001103</t>
  </si>
  <si>
    <t>140103-2017-000646</t>
  </si>
  <si>
    <t>TK-F01-107-B3(2-13U)DP2-14</t>
  </si>
  <si>
    <t>210305756810HA000865</t>
  </si>
  <si>
    <t>140103-2017-000647</t>
  </si>
  <si>
    <t>TK-F01-107-B3(2-13U)DP2-15</t>
  </si>
  <si>
    <t>210305756810HA000940</t>
  </si>
  <si>
    <t>140103-2017-000648</t>
  </si>
  <si>
    <t>TK-F01-107-B3(2-13U)DP2-16</t>
  </si>
  <si>
    <t>210305756810HA001083</t>
  </si>
  <si>
    <t>140103-2017-000634</t>
  </si>
  <si>
    <t>TK-F01-107-B3(2-13U)DP2-2</t>
  </si>
  <si>
    <t>210305756810HA000952</t>
  </si>
  <si>
    <t>140103-2017-000635</t>
  </si>
  <si>
    <t>TK-F01-107-B3(2-13U)DP2-3</t>
  </si>
  <si>
    <t>210305756810HA000944</t>
  </si>
  <si>
    <t>140103-2017-000636</t>
  </si>
  <si>
    <t>TK-F01-107-B3(2-13U)DP2-4</t>
  </si>
  <si>
    <t>210305756810HA001093</t>
  </si>
  <si>
    <t>140103-2017-000637</t>
  </si>
  <si>
    <t>TK-F01-107-B3(2-13U)DP2-5</t>
  </si>
  <si>
    <t>210305756810HA000847</t>
  </si>
  <si>
    <t>140103-2017-000638</t>
  </si>
  <si>
    <t>TK-F01-107-B3(2-13U)DP2-6</t>
  </si>
  <si>
    <t>210305756810HA001146</t>
  </si>
  <si>
    <t>140103-2017-000639</t>
  </si>
  <si>
    <t>TK-F01-107-B3(2-13U)DP2-7</t>
  </si>
  <si>
    <t>210305756810HA001128</t>
  </si>
  <si>
    <t>140103-2017-000640</t>
  </si>
  <si>
    <t>TK-F01-107-B3(2-13U)DP2-8</t>
  </si>
  <si>
    <t>210305756810HA000948</t>
  </si>
  <si>
    <t>140103-2017-000641</t>
  </si>
  <si>
    <t>TK-F01-107-B3(2-13U)DP2-9</t>
  </si>
  <si>
    <t>2102300742N0H9000543/210230102810HA000018</t>
  </si>
  <si>
    <t>140103-2017-000963</t>
  </si>
  <si>
    <t>TK-F01-107-B4(18-29U)DP1</t>
  </si>
  <si>
    <t>210305756810HA000747</t>
  </si>
  <si>
    <t>140103-2017-000705</t>
  </si>
  <si>
    <t>TK-F01-107-B4(18-29U)DP1-1</t>
  </si>
  <si>
    <t>210305756810HA000936</t>
  </si>
  <si>
    <t>140103-2017-000714</t>
  </si>
  <si>
    <t>TK-F01-107-B4(18-29U)DP1-10</t>
  </si>
  <si>
    <t>210305756810HA000825</t>
  </si>
  <si>
    <t>140103-2017-000715</t>
  </si>
  <si>
    <t>TK-F01-107-B4(18-29U)DP1-11</t>
  </si>
  <si>
    <t>210305756810HA001143</t>
  </si>
  <si>
    <t>140103-2017-000716</t>
  </si>
  <si>
    <t>TK-F01-107-B4(18-29U)DP1-12</t>
  </si>
  <si>
    <t>210305756810HA001082</t>
  </si>
  <si>
    <t>140103-2017-000717</t>
  </si>
  <si>
    <t>TK-F01-107-B4(18-29U)DP1-13</t>
  </si>
  <si>
    <t>210305756810HA001115</t>
  </si>
  <si>
    <t>140103-2017-000718</t>
  </si>
  <si>
    <t>TK-F01-107-B4(18-29U)DP1-14</t>
  </si>
  <si>
    <t>210305756810HA000753</t>
  </si>
  <si>
    <t>140103-2017-000719</t>
  </si>
  <si>
    <t>TK-F01-107-B4(18-29U)DP1-15</t>
  </si>
  <si>
    <t>210305756810HA000911</t>
  </si>
  <si>
    <t>140103-2017-000720</t>
  </si>
  <si>
    <t>TK-F01-107-B4(18-29U)DP1-16</t>
  </si>
  <si>
    <t>210305756810HA001153</t>
  </si>
  <si>
    <t>140103-2017-000706</t>
  </si>
  <si>
    <t>TK-F01-107-B4(18-29U)DP1-2</t>
  </si>
  <si>
    <t>210305756810HA000826</t>
  </si>
  <si>
    <t>140103-2017-000707</t>
  </si>
  <si>
    <t>TK-F01-107-B4(18-29U)DP1-3</t>
  </si>
  <si>
    <t>210305756810HA000930</t>
  </si>
  <si>
    <t>140103-2017-000708</t>
  </si>
  <si>
    <t>TK-F01-107-B4(18-29U)DP1-4</t>
  </si>
  <si>
    <t>210305756810HA001087</t>
  </si>
  <si>
    <t>140103-2017-000709</t>
  </si>
  <si>
    <t>TK-F01-107-B4(18-29U)DP1-5</t>
  </si>
  <si>
    <t>210305756810HA001059</t>
  </si>
  <si>
    <t>140103-2017-000710</t>
  </si>
  <si>
    <t>TK-F01-107-B4(18-29U)DP1-6</t>
  </si>
  <si>
    <t>210305756810HA000900</t>
  </si>
  <si>
    <t>140103-2017-000711</t>
  </si>
  <si>
    <t>TK-F01-107-B4(18-29U)DP1-7</t>
  </si>
  <si>
    <t>210305756810HA000903</t>
  </si>
  <si>
    <t>140103-2017-000712</t>
  </si>
  <si>
    <t>TK-F01-107-B4(18-29U)DP1-8</t>
  </si>
  <si>
    <t>210305756810HA000762</t>
  </si>
  <si>
    <t>140103-2017-000713</t>
  </si>
  <si>
    <t>TK-F01-107-B4(18-29U)DP1-9</t>
  </si>
  <si>
    <t>2102300742N0H9000608/210230102810HA000094</t>
  </si>
  <si>
    <t>140103-2017-000962</t>
  </si>
  <si>
    <t>TK-F01-107-B4(2-13U)DP2</t>
  </si>
  <si>
    <t>210305756810HA001129</t>
  </si>
  <si>
    <t>140103-2017-000721</t>
  </si>
  <si>
    <t>TK-F01-107-B4(2-13U)DP2-1</t>
  </si>
  <si>
    <t>210305756810HA000743</t>
  </si>
  <si>
    <t>140103-2017-000730</t>
  </si>
  <si>
    <t>TK-F01-107-B4(2-13U)DP2-10</t>
  </si>
  <si>
    <t>210305756810HA001099</t>
  </si>
  <si>
    <t>140103-2017-000731</t>
  </si>
  <si>
    <t>TK-F01-107-B4(2-13U)DP2-11</t>
  </si>
  <si>
    <t>210305756810HA001060</t>
  </si>
  <si>
    <t>140103-2017-000732</t>
  </si>
  <si>
    <t>TK-F01-107-B4(2-13U)DP2-12</t>
  </si>
  <si>
    <t>210305756810HA001106</t>
  </si>
  <si>
    <t>140103-2017-000734</t>
  </si>
  <si>
    <t>TK-F01-107-B4(2-13U)DP2-13</t>
  </si>
  <si>
    <t>210305756810HA001075</t>
  </si>
  <si>
    <t>140103-2017-000733</t>
  </si>
  <si>
    <t>TK-F01-107-B4(2-13U)DP2-14</t>
  </si>
  <si>
    <t>210305756810HA001078</t>
  </si>
  <si>
    <t>140103-2017-000735</t>
  </si>
  <si>
    <t>TK-F01-107-B4(2-13U)DP2-15</t>
  </si>
  <si>
    <t>210305756810HA000769</t>
  </si>
  <si>
    <t>140103-2017-000736</t>
  </si>
  <si>
    <t>TK-F01-107-B4(2-13U)DP2-16</t>
  </si>
  <si>
    <t>210305756810HA001101</t>
  </si>
  <si>
    <t>140103-2017-000722</t>
  </si>
  <si>
    <t>TK-F01-107-B4(2-13U)DP2-2</t>
  </si>
  <si>
    <t>210305756810HA000934</t>
  </si>
  <si>
    <t>140103-2017-000723</t>
  </si>
  <si>
    <t>TK-F01-107-B4(2-13U)DP2-3</t>
  </si>
  <si>
    <t>210305756810HA001176</t>
  </si>
  <si>
    <t>140103-2017-000724</t>
  </si>
  <si>
    <t>TK-F01-107-B4(2-13U)DP2-4</t>
  </si>
  <si>
    <t>210305756810HA001125</t>
  </si>
  <si>
    <t>140103-2017-000725</t>
  </si>
  <si>
    <t>TK-F01-107-B4(2-13U)DP2-5</t>
  </si>
  <si>
    <t>210305756810HA000923</t>
  </si>
  <si>
    <t>140103-2017-000726</t>
  </si>
  <si>
    <t>TK-F01-107-B4(2-13U)DP2-6</t>
  </si>
  <si>
    <t>210305756810HA001127</t>
  </si>
  <si>
    <t>140103-2017-000727</t>
  </si>
  <si>
    <t>TK-F01-107-B4(2-13U)DP2-7</t>
  </si>
  <si>
    <t>210305756810HA001116</t>
  </si>
  <si>
    <t>140103-2017-000728</t>
  </si>
  <si>
    <t>TK-F01-107-B4(2-13U)DP2-8</t>
  </si>
  <si>
    <t>210305756810HA001111</t>
  </si>
  <si>
    <t>140103-2017-000729</t>
  </si>
  <si>
    <t>TK-F01-107-B4(2-13U)DP2-9</t>
  </si>
  <si>
    <t>2102300742N0H9000557/210230102810HA000043</t>
  </si>
  <si>
    <t>140103-2017-000965</t>
  </si>
  <si>
    <t>TK-F01-107-B5(18-29U)DP1</t>
  </si>
  <si>
    <t>210305756810HA000843</t>
  </si>
  <si>
    <t>140103-2017-000791</t>
  </si>
  <si>
    <t>TK-F01-107-B5(18-29U)DP1-1</t>
  </si>
  <si>
    <t>140103-2017-000800</t>
  </si>
  <si>
    <t>TK-F01-107-B5(18-29U)DP1-10</t>
  </si>
  <si>
    <t>210305756810HA000854</t>
  </si>
  <si>
    <t>140103-2017-000801</t>
  </si>
  <si>
    <t>TK-F01-107-B5(18-29U)DP1-11</t>
  </si>
  <si>
    <t>210305756810HA001154</t>
  </si>
  <si>
    <t>140103-2017-000802</t>
  </si>
  <si>
    <t>TK-F01-107-B5(18-29U)DP1-12</t>
  </si>
  <si>
    <t>210305756810HA001100</t>
  </si>
  <si>
    <t>140103-2017-000884</t>
  </si>
  <si>
    <t>TK-F01-107-B5(18-29U)DP1-13</t>
  </si>
  <si>
    <t>210305756810HA000831</t>
  </si>
  <si>
    <t>140103-2017-000885</t>
  </si>
  <si>
    <t>TK-F01-107-B5(18-29U)DP1-14</t>
  </si>
  <si>
    <t>210305756810HA000711</t>
  </si>
  <si>
    <t>140103-2017-001210</t>
  </si>
  <si>
    <t>TK-F01-107-B5(18-29U)DP1-15</t>
  </si>
  <si>
    <t>210305756810HA000846</t>
  </si>
  <si>
    <t>140103-2017-001211</t>
  </si>
  <si>
    <t>TK-F01-107-B5(18-29U)DP1-16</t>
  </si>
  <si>
    <t>210305756810HA000872</t>
  </si>
  <si>
    <t>140103-2017-000792</t>
  </si>
  <si>
    <t>TK-F01-107-B5(18-29U)DP1-2</t>
  </si>
  <si>
    <t>210305756810HA000867</t>
  </si>
  <si>
    <t>140103-2017-000793</t>
  </si>
  <si>
    <t>TK-F01-107-B5(18-29U)DP1-3</t>
  </si>
  <si>
    <t>210305756810HA000876</t>
  </si>
  <si>
    <t>140103-2017-000794</t>
  </si>
  <si>
    <t>TK-F01-107-B5(18-29U)DP1-4</t>
  </si>
  <si>
    <t>210305756810HA001170</t>
  </si>
  <si>
    <t>140103-2017-000795</t>
  </si>
  <si>
    <t>TK-F01-107-B5(18-29U)DP1-5</t>
  </si>
  <si>
    <t>210305756810HA000883</t>
  </si>
  <si>
    <t>140103-2017-000796</t>
  </si>
  <si>
    <t>TK-F01-107-B5(18-29U)DP1-6</t>
  </si>
  <si>
    <t>210305756810HA000873</t>
  </si>
  <si>
    <t>140103-2017-000797</t>
  </si>
  <si>
    <t>TK-F01-107-B5(18-29U)DP1-7</t>
  </si>
  <si>
    <t>210305756810HA000859</t>
  </si>
  <si>
    <t>140103-2017-000798</t>
  </si>
  <si>
    <t>TK-F01-107-B5(18-29U)DP1-8</t>
  </si>
  <si>
    <t>210305756810HA001071</t>
  </si>
  <si>
    <t>140103-2017-000799</t>
  </si>
  <si>
    <t>TK-F01-107-B5(18-29U)DP1-9</t>
  </si>
  <si>
    <t>2102300742N0H9000550/210230102810HA000015</t>
  </si>
  <si>
    <t>140103-2017-000964</t>
  </si>
  <si>
    <t>TK-F01-107-B5(2-13U)DP2</t>
  </si>
  <si>
    <t>210305756810HA001171</t>
  </si>
  <si>
    <t>140103-2017-000803</t>
  </si>
  <si>
    <t>TK-F01-107-B5(2-13U)DP2-1</t>
  </si>
  <si>
    <t>210305756810HA000853</t>
  </si>
  <si>
    <t>140103-2017-000827</t>
  </si>
  <si>
    <t>TK-F01-107-B5(2-13U)DP2-10</t>
  </si>
  <si>
    <t>210305756810HA000707</t>
  </si>
  <si>
    <t>140103-2017-000828</t>
  </si>
  <si>
    <t>TK-F01-107-B5(2-13U)DP2-11</t>
  </si>
  <si>
    <t>210305756810HA001178</t>
  </si>
  <si>
    <t>140103-2017-000829</t>
  </si>
  <si>
    <t>TK-F01-107-B5(2-13U)DP2-12</t>
  </si>
  <si>
    <t>210305756810HA000913</t>
  </si>
  <si>
    <t>140103-2017-000830</t>
  </si>
  <si>
    <t>TK-F01-107-B5(2-13U)DP2-13</t>
  </si>
  <si>
    <t>210305756810HA000851</t>
  </si>
  <si>
    <t>140103-2017-000831</t>
  </si>
  <si>
    <t>TK-F01-107-B5(2-13U)DP2-14</t>
  </si>
  <si>
    <t>210305756810HA000947</t>
  </si>
  <si>
    <t>140103-2017-000832</t>
  </si>
  <si>
    <t>TK-F01-107-B5(2-13U)DP2-15</t>
  </si>
  <si>
    <t>210305756810HA000929</t>
  </si>
  <si>
    <t>140103-2017-000833</t>
  </si>
  <si>
    <t>TK-F01-107-B5(2-13U)DP2-16</t>
  </si>
  <si>
    <t>210305756810HA000869</t>
  </si>
  <si>
    <t>140103-2017-000804</t>
  </si>
  <si>
    <t>TK-F01-107-B5(2-13U)DP2-2</t>
  </si>
  <si>
    <t>210305756810HA000848</t>
  </si>
  <si>
    <t>140103-2017-000805</t>
  </si>
  <si>
    <t>TK-F01-107-B5(2-13U)DP2-3</t>
  </si>
  <si>
    <t>210305756810HA000761</t>
  </si>
  <si>
    <t>140103-2017-000806</t>
  </si>
  <si>
    <t>TK-F01-107-B5(2-13U)DP2-4</t>
  </si>
  <si>
    <t>210305756810HA000755</t>
  </si>
  <si>
    <t>140103-2017-000807</t>
  </si>
  <si>
    <t>TK-F01-107-B5(2-13U)DP2-5</t>
  </si>
  <si>
    <t>210305756810HA000745</t>
  </si>
  <si>
    <t>140103-2017-000808</t>
  </si>
  <si>
    <t>TK-F01-107-B5(2-13U)DP2-6</t>
  </si>
  <si>
    <t>210305756810HA001174</t>
  </si>
  <si>
    <t>140103-2017-000809</t>
  </si>
  <si>
    <t>TK-F01-107-B5(2-13U)DP2-7</t>
  </si>
  <si>
    <t>210305756810HA001141</t>
  </si>
  <si>
    <t>140103-2017-000810</t>
  </si>
  <si>
    <t>TK-F01-107-B5(2-13U)DP2-8</t>
  </si>
  <si>
    <t>210305756810HA001134</t>
  </si>
  <si>
    <t>140103-2017-000826</t>
  </si>
  <si>
    <t>TK-F01-107-B5(2-13U)DP2-9</t>
  </si>
  <si>
    <t>2102300742N0H9000643/210230102810HA000097</t>
  </si>
  <si>
    <t>140103-2017-000967</t>
  </si>
  <si>
    <t>TK-F01-107-B6(18-29U)DP1</t>
  </si>
  <si>
    <t>210305756810HA001109</t>
  </si>
  <si>
    <t>140103-2017-000852</t>
  </si>
  <si>
    <t>TK-F01-107-B6(18-29U)DP1-1</t>
  </si>
  <si>
    <t>210305756810HA001073</t>
  </si>
  <si>
    <t>140103-2017-000861</t>
  </si>
  <si>
    <t>TK-F01-107-B6(18-29U)DP1-10</t>
  </si>
  <si>
    <t>210305756810HA000925</t>
  </si>
  <si>
    <t>140103-2017-000862</t>
  </si>
  <si>
    <t>TK-F01-107-B6(18-29U)DP1-11</t>
  </si>
  <si>
    <t>210305756810HA000844</t>
  </si>
  <si>
    <t>140103-2017-000863</t>
  </si>
  <si>
    <t>TK-F01-107-B6(18-29U)DP1-12</t>
  </si>
  <si>
    <t>210305756810HA000894</t>
  </si>
  <si>
    <t>140103-2017-000864</t>
  </si>
  <si>
    <t>TK-F01-107-B6(18-29U)DP1-13</t>
  </si>
  <si>
    <t>210305756810HA000860</t>
  </si>
  <si>
    <t>140103-2017-000865</t>
  </si>
  <si>
    <t>TK-F01-107-B6(18-29U)DP1-14</t>
  </si>
  <si>
    <t>210305756810HA000774</t>
  </si>
  <si>
    <t>140103-2017-000866</t>
  </si>
  <si>
    <t>TK-F01-107-B6(18-29U)DP1-15</t>
  </si>
  <si>
    <t>210305756810HA000749</t>
  </si>
  <si>
    <t>140103-2017-000867</t>
  </si>
  <si>
    <t>TK-F01-107-B6(18-29U)DP1-16</t>
  </si>
  <si>
    <t>210305756810HA000830</t>
  </si>
  <si>
    <t>140103-2017-000853</t>
  </si>
  <si>
    <t>TK-F01-107-B6(18-29U)DP1-2</t>
  </si>
  <si>
    <t>210305756810HA000878</t>
  </si>
  <si>
    <t>140103-2017-000854</t>
  </si>
  <si>
    <t>TK-F01-107-B6(18-29U)DP1-3</t>
  </si>
  <si>
    <t>210305756810HA000877</t>
  </si>
  <si>
    <t>140103-2017-000855</t>
  </si>
  <si>
    <t>TK-F01-107-B6(18-29U)DP1-4</t>
  </si>
  <si>
    <t>210305756810HA001150</t>
  </si>
  <si>
    <t>140103-2017-000856</t>
  </si>
  <si>
    <t>TK-F01-107-B6(18-29U)DP1-5</t>
  </si>
  <si>
    <t>210305756810HA000710</t>
  </si>
  <si>
    <t>140103-2017-000857</t>
  </si>
  <si>
    <t>TK-F01-107-B6(18-29U)DP1-6</t>
  </si>
  <si>
    <t>210305756810HA001079</t>
  </si>
  <si>
    <t>140103-2017-000858</t>
  </si>
  <si>
    <t>TK-F01-107-B6(18-29U)DP1-7</t>
  </si>
  <si>
    <t>210305756810HA000756</t>
  </si>
  <si>
    <t>140103-2017-000859</t>
  </si>
  <si>
    <t>TK-F01-107-B6(18-29U)DP1-8</t>
  </si>
  <si>
    <t>210305756810HA000757</t>
  </si>
  <si>
    <t>140103-2017-000860</t>
  </si>
  <si>
    <t>TK-F01-107-B6(18-29U)DP1-9</t>
  </si>
  <si>
    <t>2102300742N0H9000457/210230102810HA000051</t>
  </si>
  <si>
    <t>140103-2017-000966</t>
  </si>
  <si>
    <t>TK-F01-107-B6(2-13U)DP2</t>
  </si>
  <si>
    <t>210305756810HA000833</t>
  </si>
  <si>
    <t>140103-2017-000921</t>
  </si>
  <si>
    <t>TK-F01-107-B6(2-13U)DP2-1</t>
  </si>
  <si>
    <t>210305756810HA001140</t>
  </si>
  <si>
    <t>140103-2017-000912</t>
  </si>
  <si>
    <t>TK-F01-107-B6(2-13U)DP2-10</t>
  </si>
  <si>
    <t>210305756810HA001135</t>
  </si>
  <si>
    <t>140103-2017-000911</t>
  </si>
  <si>
    <t>TK-F01-107-B6(2-13U)DP2-11</t>
  </si>
  <si>
    <t>210305756810HA001157</t>
  </si>
  <si>
    <t>140103-2017-000910</t>
  </si>
  <si>
    <t>TK-F01-107-B6(2-13U)DP2-12</t>
  </si>
  <si>
    <t>210305756810HA000946</t>
  </si>
  <si>
    <t>140103-2017-000909</t>
  </si>
  <si>
    <t>TK-F01-107-B6(2-13U)DP2-13</t>
  </si>
  <si>
    <t>210305756810HA000778</t>
  </si>
  <si>
    <t>140103-2017-000908</t>
  </si>
  <si>
    <t>TK-F01-107-B6(2-13U)DP2-14</t>
  </si>
  <si>
    <t>210305756810HA001158</t>
  </si>
  <si>
    <t>140103-2017-000907</t>
  </si>
  <si>
    <t>TK-F01-107-B6(2-13U)DP2-15</t>
  </si>
  <si>
    <t>210305756810HA000909</t>
  </si>
  <si>
    <t>140103-2017-000906</t>
  </si>
  <si>
    <t>TK-F01-107-B6(2-13U)DP2-16</t>
  </si>
  <si>
    <t>210305756810HA000937</t>
  </si>
  <si>
    <t>140103-2017-000920</t>
  </si>
  <si>
    <t>TK-F01-107-B6(2-13U)DP2-2</t>
  </si>
  <si>
    <t>210305756810HA000896</t>
  </si>
  <si>
    <t>140103-2017-000919</t>
  </si>
  <si>
    <t>TK-F01-107-B6(2-13U)DP2-3</t>
  </si>
  <si>
    <t>210305756810HA000709</t>
  </si>
  <si>
    <t>140103-2017-000918</t>
  </si>
  <si>
    <t>TK-F01-107-B6(2-13U)DP2-4</t>
  </si>
  <si>
    <t>210305756810HA000870</t>
  </si>
  <si>
    <t>140103-2017-000917</t>
  </si>
  <si>
    <t>TK-F01-107-B6(2-13U)DP2-5</t>
  </si>
  <si>
    <t>210305756810HA001137</t>
  </si>
  <si>
    <t>140103-2017-000916</t>
  </si>
  <si>
    <t>TK-F01-107-B6(2-13U)DP2-6</t>
  </si>
  <si>
    <t>210305756810HA001132</t>
  </si>
  <si>
    <t>140103-2017-000915</t>
  </si>
  <si>
    <t>TK-F01-107-B6(2-13U)DP2-7</t>
  </si>
  <si>
    <t>210305756810HA001151</t>
  </si>
  <si>
    <t>140103-2017-000914</t>
  </si>
  <si>
    <t>TK-F01-107-B6(2-13U)DP2-8</t>
  </si>
  <si>
    <t>210305756810HA000849</t>
  </si>
  <si>
    <t>140103-2017-000913</t>
  </si>
  <si>
    <t>TK-F01-107-B6(2-13U)DP2-9</t>
  </si>
  <si>
    <t>2102300742N0H8000165/
210230102810HA000058</t>
  </si>
  <si>
    <t>140103-2017-001380</t>
  </si>
  <si>
    <t>TK-F01-107-B7(18-29U)DP1</t>
  </si>
  <si>
    <t>210305756810HA000748</t>
  </si>
  <si>
    <t>140103-2017-001355</t>
  </si>
  <si>
    <t>TK-F01-107-B7(18-39U)DP1-1</t>
  </si>
  <si>
    <t>210305756810HA000735</t>
  </si>
  <si>
    <t>140103-2017-001364</t>
  </si>
  <si>
    <t>TK-F01-107-B7(18-39U)DP1-10</t>
  </si>
  <si>
    <t>210305756810HA000893</t>
  </si>
  <si>
    <t>140103-2017-001365</t>
  </si>
  <si>
    <t>TK-F01-107-B7(18-39U)DP1-11</t>
  </si>
  <si>
    <t>210305756810HA000927</t>
  </si>
  <si>
    <t>140103-2017-001366</t>
  </si>
  <si>
    <t>TK-F01-107-B7(18-39U)DP1-12</t>
  </si>
  <si>
    <t>210305756810HA001145</t>
  </si>
  <si>
    <t>140103-2017-001367</t>
  </si>
  <si>
    <t>TK-F01-107-B7(18-39U)DP1-13</t>
  </si>
  <si>
    <t>210305756810HA001164</t>
  </si>
  <si>
    <t>140103-2017-001368</t>
  </si>
  <si>
    <t>TK-F01-107-B7(18-39U)DP1-14</t>
  </si>
  <si>
    <t>210305756810HA000855</t>
  </si>
  <si>
    <t>140103-2017-001369</t>
  </si>
  <si>
    <t>TK-F01-107-B7(18-39U)DP1-15</t>
  </si>
  <si>
    <t>210305756810HA001136</t>
  </si>
  <si>
    <t>140103-2017-001370</t>
  </si>
  <si>
    <t>TK-F01-107-B7(18-39U)DP1-16</t>
  </si>
  <si>
    <t>210305756810HA000708</t>
  </si>
  <si>
    <t>140103-2017-001356</t>
  </si>
  <si>
    <t>TK-F01-107-B7(18-39U)DP1-2</t>
  </si>
  <si>
    <t>210305756810HA000758</t>
  </si>
  <si>
    <t>140103-2017-001357</t>
  </si>
  <si>
    <t>TK-F01-107-B7(18-39U)DP1-3</t>
  </si>
  <si>
    <t>210305756810HA000765</t>
  </si>
  <si>
    <t>140103-2017-001358</t>
  </si>
  <si>
    <t>TK-F01-107-B7(18-39U)DP1-4</t>
  </si>
  <si>
    <t>210305756810HA000834</t>
  </si>
  <si>
    <t>140103-2017-001359</t>
  </si>
  <si>
    <t>TK-F01-107-B7(18-39U)DP1-5</t>
  </si>
  <si>
    <t>210305756810HA000838</t>
  </si>
  <si>
    <t>140103-2017-001360</t>
  </si>
  <si>
    <t>TK-F01-107-B7(18-39U)DP1-6</t>
  </si>
  <si>
    <t>210305756810HA000829</t>
  </si>
  <si>
    <t>140103-2017-001361</t>
  </si>
  <si>
    <t>TK-F01-107-B7(18-39U)DP1-7</t>
  </si>
  <si>
    <t>210305756810HA000871</t>
  </si>
  <si>
    <t>140103-2017-001362</t>
  </si>
  <si>
    <t>TK-F01-107-B7(18-39U)DP1-8</t>
  </si>
  <si>
    <t>210305756810HA000771</t>
  </si>
  <si>
    <t>140103-2017-001363</t>
  </si>
  <si>
    <t>TK-F01-107-B7(18-39U)DP1-9</t>
  </si>
  <si>
    <t>2102300742N0G6000474/
210230102810HA000062</t>
  </si>
  <si>
    <t>140103-2017-001564</t>
  </si>
  <si>
    <t>TK-F01-107-B7(2-13U)DP2</t>
  </si>
  <si>
    <t>210305756810HA000766</t>
  </si>
  <si>
    <t>140103-2017-001394</t>
  </si>
  <si>
    <t>TK-F01-107-B7(2-13U)DP2-1</t>
  </si>
  <si>
    <t>210305756810HA000754</t>
  </si>
  <si>
    <t>140103-2017-001554</t>
  </si>
  <si>
    <t>TK-F01-107-B7(2-13U)DP2-10</t>
  </si>
  <si>
    <t>210305756810HA000773</t>
  </si>
  <si>
    <t>140103-2017-001555</t>
  </si>
  <si>
    <t>TK-F01-107-B7(2-13U)DP2-11</t>
  </si>
  <si>
    <t>210305756810HA001138</t>
  </si>
  <si>
    <t>140103-2017-001556</t>
  </si>
  <si>
    <t>TK-F01-107-B7(2-13U)DP2-12</t>
  </si>
  <si>
    <t>210305756810HA000772</t>
  </si>
  <si>
    <t>140103-2017-001557</t>
  </si>
  <si>
    <t>TK-F01-107-B7(2-13U)DP2-13</t>
  </si>
  <si>
    <t>210305756810HA001084</t>
  </si>
  <si>
    <t>140103-2017-001558</t>
  </si>
  <si>
    <t>TK-F01-107-B7(2-13U)DP2-14</t>
  </si>
  <si>
    <t>210305756810HA000770</t>
  </si>
  <si>
    <t>140103-2017-001559</t>
  </si>
  <si>
    <t>TK-F01-107-B7(2-13U)DP2-15</t>
  </si>
  <si>
    <t>210305756810HA000760</t>
  </si>
  <si>
    <t>140103-2017-001560</t>
  </si>
  <si>
    <t>TK-F01-107-B7(2-13U)DP2-16</t>
  </si>
  <si>
    <t>210305756810HA000742</t>
  </si>
  <si>
    <t>140103-2017-001395</t>
  </si>
  <si>
    <t>TK-F01-107-B7(2-13U)DP2-2</t>
  </si>
  <si>
    <t>210305756810HA000737</t>
  </si>
  <si>
    <t>140103-2017-001398</t>
  </si>
  <si>
    <t>TK-F01-107-B7(2-13U)DP2-3</t>
  </si>
  <si>
    <t>210305756810HA000740</t>
  </si>
  <si>
    <t>140103-2017-001399</t>
  </si>
  <si>
    <t>TK-F01-107-B7(2-13U)DP2-4</t>
  </si>
  <si>
    <t>210305756810HA000736</t>
  </si>
  <si>
    <t>140103-2017-001400</t>
  </si>
  <si>
    <t>TK-F01-107-B7(2-13U)DP2-5</t>
  </si>
  <si>
    <t>210305756810HA000738</t>
  </si>
  <si>
    <t>140103-2017-001401</t>
  </si>
  <si>
    <t>TK-F01-107-B7(2-13U)DP2-6</t>
  </si>
  <si>
    <t>210305756810HA000775</t>
  </si>
  <si>
    <t>140103-2017-001425</t>
  </si>
  <si>
    <t>TK-F01-107-B7(2-13U)DP2-7</t>
  </si>
  <si>
    <t>210305756810HA000751</t>
  </si>
  <si>
    <t>140103-2017-001424</t>
  </si>
  <si>
    <t>TK-F01-107-B7(2-13U)DP2-8</t>
  </si>
  <si>
    <t>210305756810HA000942</t>
  </si>
  <si>
    <t>140103-2017-001553</t>
  </si>
  <si>
    <t>TK-F01-107-B7(2-13U)DP2-9</t>
  </si>
  <si>
    <t>2102300742N0H9000688/
210230102810HA000176</t>
  </si>
  <si>
    <t>140103-2017-001809</t>
  </si>
  <si>
    <t>TK-F01-107-B8(18-29U)DP1</t>
  </si>
  <si>
    <t>210305756810HA000752</t>
  </si>
  <si>
    <t>140103-2017-001643</t>
  </si>
  <si>
    <t>TK-F01-107-B8(18-29U)DP1-1</t>
  </si>
  <si>
    <t>210305756810HA000712</t>
  </si>
  <si>
    <t>140103-2017-001676</t>
  </si>
  <si>
    <t>TK-F01-107-B8(18-29U)DP1-10</t>
  </si>
  <si>
    <t>210305756810HA000776</t>
  </si>
  <si>
    <t>140103-2017-001713</t>
  </si>
  <si>
    <t>TK-F01-107-B8(18-29U)DP1-11</t>
  </si>
  <si>
    <t>210305756810HA000874</t>
  </si>
  <si>
    <t>140103-2017-001714</t>
  </si>
  <si>
    <t>TK-F01-107-B8(18-29U)DP1-12</t>
  </si>
  <si>
    <t>210305756810HA000884</t>
  </si>
  <si>
    <t>140103-2017-001715</t>
  </si>
  <si>
    <t>TK-F01-107-B8(18-29U)DP1-13</t>
  </si>
  <si>
    <t>210305756810HA001088</t>
  </si>
  <si>
    <t>140103-2017-001716</t>
  </si>
  <si>
    <t>TK-F01-107-B8(18-29U)DP1-14</t>
  </si>
  <si>
    <t>210305756810HA000880</t>
  </si>
  <si>
    <t>140103-2017-001717</t>
  </si>
  <si>
    <t>TK-F01-107-B8(18-29U)DP1-15</t>
  </si>
  <si>
    <t>210305756810HA000841</t>
  </si>
  <si>
    <t>140103-2017-001718</t>
  </si>
  <si>
    <t>TK-F01-107-B8(18-29U)DP1-16</t>
  </si>
  <si>
    <t>210305756810HA000951</t>
  </si>
  <si>
    <t>140103-2017-001644</t>
  </si>
  <si>
    <t>TK-F01-107-B8(18-29U)DP1-2</t>
  </si>
  <si>
    <t>210305756810HA000863</t>
  </si>
  <si>
    <t>140103-2017-001645</t>
  </si>
  <si>
    <t>TK-F01-107-B8(18-29U)DP1-3</t>
  </si>
  <si>
    <t>210305756810HA001086</t>
  </si>
  <si>
    <t>140103-2017-001670</t>
  </si>
  <si>
    <t>TK-F01-107-B8(18-29U)DP1-4</t>
  </si>
  <si>
    <t>210305756810HA001155</t>
  </si>
  <si>
    <t>140103-2017-001671</t>
  </si>
  <si>
    <t>TK-F01-107-B8(18-29U)DP1-5</t>
  </si>
  <si>
    <t>210305756810HA001149</t>
  </si>
  <si>
    <t>140103-2017-001672</t>
  </si>
  <si>
    <t>TK-F01-107-B8(18-29U)DP1-6</t>
  </si>
  <si>
    <t>210305756810HA000933</t>
  </si>
  <si>
    <t>140103-2017-001673</t>
  </si>
  <si>
    <t>TK-F01-107-B8(18-29U)DP1-7</t>
  </si>
  <si>
    <t>210305756810HA001159</t>
  </si>
  <si>
    <t>140103-2017-001674</t>
  </si>
  <si>
    <t>TK-F01-107-B8(18-29U)DP1-8</t>
  </si>
  <si>
    <t>210305756810HA000744</t>
  </si>
  <si>
    <t>140103-2017-001675</t>
  </si>
  <si>
    <t>TK-F01-107-B8(18-29U)DP1-9</t>
  </si>
  <si>
    <t>2102300742N0HA000057/
210230102810HA000173</t>
  </si>
  <si>
    <t>140103-2017-001808</t>
  </si>
  <si>
    <t>TK-F01-107-B8(2-13U)DP2</t>
  </si>
  <si>
    <t>210305756810HA001144</t>
  </si>
  <si>
    <t>140103-2017-001677</t>
  </si>
  <si>
    <t>TK-F01-107-B8(2-13U)DP2-1</t>
  </si>
  <si>
    <t>210305756810HA000918</t>
  </si>
  <si>
    <t>140103-2017-001726</t>
  </si>
  <si>
    <t>TK-F01-107-B8(2-13U)DP2-10</t>
  </si>
  <si>
    <t>210305756810HA001122</t>
  </si>
  <si>
    <t>140103-2017-001727</t>
  </si>
  <si>
    <t>TK-F01-107-B8(2-13U)DP2-11</t>
  </si>
  <si>
    <t>210305756810HA000920</t>
  </si>
  <si>
    <t>140103-2017-001728</t>
  </si>
  <si>
    <t>TK-F01-107-B8(2-13U)DP2-12</t>
  </si>
  <si>
    <t>210305756810HA001162</t>
  </si>
  <si>
    <t>140103-2017-001729</t>
  </si>
  <si>
    <t>TK-F01-107-B8(2-13U)DP2-13</t>
  </si>
  <si>
    <t>210305756810HA001124</t>
  </si>
  <si>
    <t>140103-2017-001730</t>
  </si>
  <si>
    <t>TK-F01-107-B8(2-13U)DP2-14</t>
  </si>
  <si>
    <t>210305756810HA001076</t>
  </si>
  <si>
    <t>140103-2017-001731</t>
  </si>
  <si>
    <t>TK-F01-107-B8(2-13U)DP2-15</t>
  </si>
  <si>
    <t>210305756810HA000739</t>
  </si>
  <si>
    <t>140103-2017-001732</t>
  </si>
  <si>
    <t>TK-F01-107-B8(2-13U)DP2-16</t>
  </si>
  <si>
    <t>210305756810HA001072</t>
  </si>
  <si>
    <t>140103-2017-001678</t>
  </si>
  <si>
    <t>TK-F01-107-B8(2-13U)DP2-2</t>
  </si>
  <si>
    <t>210305756810HA000858</t>
  </si>
  <si>
    <t>140103-2017-001679</t>
  </si>
  <si>
    <t>TK-F01-107-B8(2-13U)DP2-3</t>
  </si>
  <si>
    <t>210305756810HA000915</t>
  </si>
  <si>
    <t>140103-2017-001680</t>
  </si>
  <si>
    <t>TK-F01-107-B8(2-13U)DP2-4</t>
  </si>
  <si>
    <t>210305756810HA001070</t>
  </si>
  <si>
    <t>140103-2017-001681</t>
  </si>
  <si>
    <t>TK-F01-107-B8(2-13U)DP2-5</t>
  </si>
  <si>
    <t>210305756810HA000914</t>
  </si>
  <si>
    <t>140103-2017-001682</t>
  </si>
  <si>
    <t>TK-F01-107-B8(2-13U)DP2-6</t>
  </si>
  <si>
    <t>210305756810HA000921</t>
  </si>
  <si>
    <t>140103-2017-001683</t>
  </si>
  <si>
    <t>TK-F01-107-B8(2-13U)DP2-7</t>
  </si>
  <si>
    <t>210305756810HA000845</t>
  </si>
  <si>
    <t>140103-2017-001684</t>
  </si>
  <si>
    <t>TK-F01-107-B8(2-13U)DP2-8</t>
  </si>
  <si>
    <t>210305756810HA001156</t>
  </si>
  <si>
    <t>140103-2017-001725</t>
  </si>
  <si>
    <t>TK-F01-107-B8(2-13U)DP2-9</t>
  </si>
  <si>
    <t>2102300742N0H9000700/
210230102810HA000174</t>
  </si>
  <si>
    <t>140103-2017-001402</t>
  </si>
  <si>
    <t>TK-F01-107-B9(18-29U)DP1</t>
  </si>
  <si>
    <t>210305756810HA000594</t>
  </si>
  <si>
    <t>140103-2017-000525</t>
  </si>
  <si>
    <t>TK-F01-107-B9(18-29U)DP1-1</t>
  </si>
  <si>
    <t>210305756810HA001563</t>
  </si>
  <si>
    <t>140103-2017-001374</t>
  </si>
  <si>
    <t>TK-F01-107-B9(18-29U)DP1-10</t>
  </si>
  <si>
    <t>210305756810HA001833</t>
  </si>
  <si>
    <t>140103-2017-001375</t>
  </si>
  <si>
    <t>TK-F01-107-B9(18-29U)DP1-11</t>
  </si>
  <si>
    <t>210305756810HA001560</t>
  </si>
  <si>
    <t>140103-2017-001376</t>
  </si>
  <si>
    <t>TK-F01-107-B9(18-29U)DP1-12</t>
  </si>
  <si>
    <t>210305756810HA001834</t>
  </si>
  <si>
    <t>140103-2017-001377</t>
  </si>
  <si>
    <t>TK-F01-107-B9(18-29U)DP1-13</t>
  </si>
  <si>
    <t>210305756810HA001565</t>
  </si>
  <si>
    <t>140103-2017-001378</t>
  </si>
  <si>
    <t>TK-F01-107-B9(18-29U)DP1-14</t>
  </si>
  <si>
    <t>210305756810HA001566</t>
  </si>
  <si>
    <t>140103-2017-001397</t>
  </si>
  <si>
    <t>TK-F01-107-B9(18-29U)DP1-15</t>
  </si>
  <si>
    <t>210305756810HA001567</t>
  </si>
  <si>
    <t>140103-2017-001396</t>
  </si>
  <si>
    <t>TK-F01-107-B9(18-29U)DP1-16</t>
  </si>
  <si>
    <t>210305756810HA000491</t>
  </si>
  <si>
    <t>140103-2017-000526</t>
  </si>
  <si>
    <t>TK-F01-107-B9(18-29U)DP1-2</t>
  </si>
  <si>
    <t>210305756810HA000656</t>
  </si>
  <si>
    <t>140103-2017-000527</t>
  </si>
  <si>
    <t>TK-F01-107-B9(18-29U)DP1-3</t>
  </si>
  <si>
    <t>210305756810HA000174</t>
  </si>
  <si>
    <t>140103-2017-000528</t>
  </si>
  <si>
    <t>TK-F01-107-B9(18-29U)DP1-4</t>
  </si>
  <si>
    <t>210305756810HA001276</t>
  </si>
  <si>
    <t>140103-2017-000623</t>
  </si>
  <si>
    <t>TK-F01-107-B9(18-29U)DP1-5</t>
  </si>
  <si>
    <t>210305756810HA001564</t>
  </si>
  <si>
    <t>140103-2017-000624</t>
  </si>
  <si>
    <t>TK-F01-107-B9(18-29U)DP1-6</t>
  </si>
  <si>
    <t>210305756810HA001835</t>
  </si>
  <si>
    <t>140103-2017-001371</t>
  </si>
  <si>
    <t>TK-F01-107-B9(18-29U)DP1-7</t>
  </si>
  <si>
    <t>210305756810HA001557</t>
  </si>
  <si>
    <t>140103-2017-001372</t>
  </si>
  <si>
    <t>TK-F01-107-B9(18-29U)DP1-8</t>
  </si>
  <si>
    <t>210305756810HA001568</t>
  </si>
  <si>
    <t>140103-2017-001373</t>
  </si>
  <si>
    <t>TK-F01-107-B9(18-29U)DP1-9</t>
  </si>
  <si>
    <t>2102300742N0HA000003/
210230102810HA000175</t>
  </si>
  <si>
    <t>140103-2017-001379</t>
  </si>
  <si>
    <t>TK-F01-107-B9(2-13U)DP2</t>
  </si>
  <si>
    <t>210305756810HA000857</t>
  </si>
  <si>
    <t>140103-2017-001763</t>
  </si>
  <si>
    <t>TK-F01-107-B9(2-13U)DP2-1</t>
  </si>
  <si>
    <t>210305756810HA001165</t>
  </si>
  <si>
    <t>140103-2017-001778</t>
  </si>
  <si>
    <t>TK-F01-107-B9(2-13U)DP2-10</t>
  </si>
  <si>
    <t>210305756810HA000949</t>
  </si>
  <si>
    <t>140103-2017-001779</t>
  </si>
  <si>
    <t>TK-F01-107-B9(2-13U)DP2-11</t>
  </si>
  <si>
    <t>210305756810HA001069</t>
  </si>
  <si>
    <t>140103-2017-001780</t>
  </si>
  <si>
    <t>TK-F01-107-B9(2-13U)DP2-12</t>
  </si>
  <si>
    <t>210305756810HA001161</t>
  </si>
  <si>
    <t>140103-2017-001781</t>
  </si>
  <si>
    <t>TK-F01-107-B9(2-13U)DP2-13</t>
  </si>
  <si>
    <t>210305756810HA001168</t>
  </si>
  <si>
    <t>140103-2017-001764</t>
  </si>
  <si>
    <t>TK-F01-107-B9(2-13U)DP2-2</t>
  </si>
  <si>
    <t>210305756810HA001085</t>
  </si>
  <si>
    <t>140103-2017-001765</t>
  </si>
  <si>
    <t>TK-F01-107-B9(2-13U)DP2-3</t>
  </si>
  <si>
    <t>210305756810HA001160</t>
  </si>
  <si>
    <t>140103-2017-001766</t>
  </si>
  <si>
    <t>TK-F01-107-B9(2-13U)DP2-4</t>
  </si>
  <si>
    <t>210305756810HA000839</t>
  </si>
  <si>
    <t>140103-2017-001773</t>
  </si>
  <si>
    <t>TK-F01-107-B9(2-13U)DP2-5</t>
  </si>
  <si>
    <t>210305756810HA000906</t>
  </si>
  <si>
    <t>140103-2017-001774</t>
  </si>
  <si>
    <t>TK-F01-107-B9(2-13U)DP2-6</t>
  </si>
  <si>
    <t>210305756810HA001179</t>
  </si>
  <si>
    <t>140103-2017-001775</t>
  </si>
  <si>
    <t>TK-F01-107-B9(2-13U)DP2-7</t>
  </si>
  <si>
    <t>210305756810HA001147</t>
  </si>
  <si>
    <t>140103-2017-001776</t>
  </si>
  <si>
    <t>TK-F01-107-B9(2-13U)DP2-8</t>
  </si>
  <si>
    <t>210305756810HA001131</t>
  </si>
  <si>
    <t>140103-2017-001777</t>
  </si>
  <si>
    <t>TK-F01-107-B9(2-13U)DP2-9</t>
  </si>
  <si>
    <t>2102350DLVDMK8001514</t>
  </si>
  <si>
    <t>140502-2019-000136</t>
  </si>
  <si>
    <t>TK-F01-107-E10(18-18U)</t>
  </si>
  <si>
    <t>217203519-10A</t>
  </si>
  <si>
    <t>140103-2017-001537</t>
  </si>
  <si>
    <t>TK-F01-107-E11(10-10U)</t>
  </si>
  <si>
    <t>217203519-11A</t>
  </si>
  <si>
    <t>140103-2017-001536</t>
  </si>
  <si>
    <t>TK-F01-107-E11(11-11U)</t>
  </si>
  <si>
    <t>217203519-12A</t>
  </si>
  <si>
    <t>140103-2017-001535</t>
  </si>
  <si>
    <t>TK-F01-107-E11(12-12U)</t>
  </si>
  <si>
    <t>217203519-13A</t>
  </si>
  <si>
    <t>140103-2017-001534</t>
  </si>
  <si>
    <t>TK-F01-107-E11(13-13U)</t>
  </si>
  <si>
    <t>217203519-14A</t>
  </si>
  <si>
    <t>140103-2017-001533</t>
  </si>
  <si>
    <t>TK-F01-107-E11(14-14U)</t>
  </si>
  <si>
    <t>217203519-15A</t>
  </si>
  <si>
    <t>140103-2017-001532</t>
  </si>
  <si>
    <t>TK-F01-107-E11(15-15U)</t>
  </si>
  <si>
    <t>217203519-16A</t>
  </si>
  <si>
    <t>140103-2017-001531</t>
  </si>
  <si>
    <t>TK-F01-107-E11(16-16U)</t>
  </si>
  <si>
    <t>217203519-17A</t>
  </si>
  <si>
    <t>140103-2017-001530</t>
  </si>
  <si>
    <t>TK-F01-107-E11(17-17U)</t>
  </si>
  <si>
    <t>217203519-18A</t>
  </si>
  <si>
    <t>140103-2017-001529</t>
  </si>
  <si>
    <t>TK-F01-107-E11(18-18U)</t>
  </si>
  <si>
    <t>217203519-19A</t>
  </si>
  <si>
    <t>140103-2017-001528</t>
  </si>
  <si>
    <t>TK-F01-107-E11(19-19U)</t>
  </si>
  <si>
    <t>217203519-01A</t>
  </si>
  <si>
    <t>140103-2017-001546</t>
  </si>
  <si>
    <t>TK-F01-107-E11(1-1U)</t>
  </si>
  <si>
    <t>217203519-20A</t>
  </si>
  <si>
    <t>140103-2017-001527</t>
  </si>
  <si>
    <t>TK-F01-107-E11(20-20U)</t>
  </si>
  <si>
    <t>217203519-21A</t>
  </si>
  <si>
    <t>140103-2017-001526</t>
  </si>
  <si>
    <t>TK-F01-107-E11(26-26U)</t>
  </si>
  <si>
    <t>217203519-22A</t>
  </si>
  <si>
    <t>140103-2017-001525</t>
  </si>
  <si>
    <t>TK-F01-107-E11(27-27U)</t>
  </si>
  <si>
    <t>217203519-23A</t>
  </si>
  <si>
    <t>140103-2017-001524</t>
  </si>
  <si>
    <t>TK-F01-107-E11(28-28U)</t>
  </si>
  <si>
    <t>217203519-24A</t>
  </si>
  <si>
    <t>140103-2017-001523</t>
  </si>
  <si>
    <t>TK-F01-107-E11(29-29U)</t>
  </si>
  <si>
    <t>217203519-02A</t>
  </si>
  <si>
    <t>140103-2017-001545</t>
  </si>
  <si>
    <t>TK-F01-107-E11(2-2U)</t>
  </si>
  <si>
    <t>217203519-25A</t>
  </si>
  <si>
    <t>140103-2017-001522</t>
  </si>
  <si>
    <t>TK-F01-107-E11(30-30U)</t>
  </si>
  <si>
    <t>217203519-26A</t>
  </si>
  <si>
    <t>140103-2017-001521</t>
  </si>
  <si>
    <t>TK-F01-107-E11(31-31U)</t>
  </si>
  <si>
    <t>217203519-27A</t>
  </si>
  <si>
    <t>140103-2017-001520</t>
  </si>
  <si>
    <t>TK-F01-107-E11(32-32U)</t>
  </si>
  <si>
    <t>217203519-28A</t>
  </si>
  <si>
    <t>140103-2017-001519</t>
  </si>
  <si>
    <t>TK-F01-107-E11(33-33U)</t>
  </si>
  <si>
    <t>217203519-29A</t>
  </si>
  <si>
    <t>140103-2017-001518</t>
  </si>
  <si>
    <t>TK-F01-107-E11(34-34U)</t>
  </si>
  <si>
    <t>217203519-30A</t>
  </si>
  <si>
    <t>140103-2017-001517</t>
  </si>
  <si>
    <t>TK-F01-107-E11(35-35U)</t>
  </si>
  <si>
    <t>217203519-31A</t>
  </si>
  <si>
    <t>140103-2017-001516</t>
  </si>
  <si>
    <t>TK-F01-107-E11(36-36U)</t>
  </si>
  <si>
    <t>217203519-32A</t>
  </si>
  <si>
    <t>140103-2017-001515</t>
  </si>
  <si>
    <t>TK-F01-107-E11(37-37U)</t>
  </si>
  <si>
    <t>217203519-03A</t>
  </si>
  <si>
    <t>140103-2017-001544</t>
  </si>
  <si>
    <t>TK-F01-107-E11(3-3U)</t>
  </si>
  <si>
    <t>217203519-04A</t>
  </si>
  <si>
    <t>140103-2017-001543</t>
  </si>
  <si>
    <t>TK-F01-107-E11(4-4U)</t>
  </si>
  <si>
    <t>217203519-05A</t>
  </si>
  <si>
    <t>140103-2017-001542</t>
  </si>
  <si>
    <t>TK-F01-107-E11(5-5U)</t>
  </si>
  <si>
    <t>217203519-06A</t>
  </si>
  <si>
    <t>140103-2017-001541</t>
  </si>
  <si>
    <t>TK-F01-107-E11(6-6U)</t>
  </si>
  <si>
    <t>217203519-07A</t>
  </si>
  <si>
    <t>140103-2017-001540</t>
  </si>
  <si>
    <t>TK-F01-107-E11(7-7U)</t>
  </si>
  <si>
    <t>217203519-08A</t>
  </si>
  <si>
    <t>140103-2017-001539</t>
  </si>
  <si>
    <t>TK-F01-107-E11(8-8U)</t>
  </si>
  <si>
    <t>217203519-09A</t>
  </si>
  <si>
    <t>140103-2017-001538</t>
  </si>
  <si>
    <t>TK-F01-107-E11(9-9U)</t>
  </si>
  <si>
    <t>CNG230S8ZB</t>
  </si>
  <si>
    <t>140103-2012-001276</t>
  </si>
  <si>
    <t>TK-F01-107-E8(36-37U)</t>
  </si>
  <si>
    <t>CNG230S8Z4</t>
  </si>
  <si>
    <t>140103-2012-001277</t>
  </si>
  <si>
    <t>TK-F01-107-E8(34-35U)</t>
  </si>
  <si>
    <t>2102300742N0EA000065</t>
  </si>
  <si>
    <t>140103-2014-002300</t>
  </si>
  <si>
    <t>TK-F01-107-I3(11-23U)WWDX:008</t>
  </si>
  <si>
    <t>210305485510EA000450</t>
  </si>
  <si>
    <t>140103-2014-002044</t>
  </si>
  <si>
    <t>TK-F01-107-I3(11-23U)WWDX:008-1</t>
  </si>
  <si>
    <t>210305485510EA000421</t>
  </si>
  <si>
    <t>140103-2014-002053</t>
  </si>
  <si>
    <t>TK-F01-107-I3(11-23U)WWDX:008-10</t>
  </si>
  <si>
    <t>210305485510EA000394</t>
  </si>
  <si>
    <t>140103-2014-002054</t>
  </si>
  <si>
    <t>TK-F01-107-I3(11-23U)WWDX:008-11</t>
  </si>
  <si>
    <t>210305485510EA000521</t>
  </si>
  <si>
    <t>140103-2014-002055</t>
  </si>
  <si>
    <t>TK-F01-107-I3(11-23U)WWDX:008-12</t>
  </si>
  <si>
    <t>210305485510EA000475</t>
  </si>
  <si>
    <t>140103-2014-002056</t>
  </si>
  <si>
    <t>TK-F01-107-I3(11-23U)WWDX:008-13</t>
  </si>
  <si>
    <t>210305485510EA000605</t>
  </si>
  <si>
    <t>140103-2014-002057</t>
  </si>
  <si>
    <t>TK-F01-107-I3(11-23U)WWDX:008-14</t>
  </si>
  <si>
    <t>210305485510EA000340</t>
  </si>
  <si>
    <t>140103-2014-002058</t>
  </si>
  <si>
    <t>TK-F01-107-I3(11-23U)WWDX:008-15</t>
  </si>
  <si>
    <t>210305485510EA000343</t>
  </si>
  <si>
    <t>140103-2014-002059</t>
  </si>
  <si>
    <t>TK-F01-107-I3(11-23U)WWDX:008-16</t>
  </si>
  <si>
    <t>210305485510EA000453</t>
  </si>
  <si>
    <t>140103-2014-002045</t>
  </si>
  <si>
    <t>TK-F01-107-I3(11-23U)WWDX:008-2</t>
  </si>
  <si>
    <t>210305485510EA000313</t>
  </si>
  <si>
    <t>140103-2014-002046</t>
  </si>
  <si>
    <t>TK-F01-107-I3(11-23U)WWDX:008-3</t>
  </si>
  <si>
    <t>210305485510EA000416</t>
  </si>
  <si>
    <t>140103-2014-002047</t>
  </si>
  <si>
    <t>TK-F01-107-I3(11-23U)WWDX:008-4</t>
  </si>
  <si>
    <t>210305485510EA000503</t>
  </si>
  <si>
    <t>140103-2014-002048</t>
  </si>
  <si>
    <t>TK-F01-107-I3(11-23U)WWDX:008-5</t>
  </si>
  <si>
    <t>210305485510EA000420</t>
  </si>
  <si>
    <t>140103-2014-002049</t>
  </si>
  <si>
    <t>TK-F01-107-I3(11-23U)WWDX:008-6</t>
  </si>
  <si>
    <t>210305485510EA000326</t>
  </si>
  <si>
    <t>140103-2014-002050</t>
  </si>
  <si>
    <t>TK-F01-107-I3(11-23U)WWDX:008-7</t>
  </si>
  <si>
    <t>210305485510EA000298</t>
  </si>
  <si>
    <t>140103-2014-002051</t>
  </si>
  <si>
    <t>TK-F01-107-I3(11-23U)WWDX:008-8</t>
  </si>
  <si>
    <t>210305485510EA000342</t>
  </si>
  <si>
    <t>140103-2014-002052</t>
  </si>
  <si>
    <t>TK-F01-107-I3(11-23U)WWDX:008-9</t>
  </si>
  <si>
    <t>2102300742N0EA000067</t>
  </si>
  <si>
    <t>140103-2014-002299</t>
  </si>
  <si>
    <t>TK-F01-107-I3(25-36U)WWDX:007</t>
  </si>
  <si>
    <t>210305485510EA000609</t>
  </si>
  <si>
    <t>140103-2014-002028</t>
  </si>
  <si>
    <t>TK-F01-107-I3(25-37U)WWDX:007-1</t>
  </si>
  <si>
    <t>210305485510EA000302</t>
  </si>
  <si>
    <t>140103-2014-002037</t>
  </si>
  <si>
    <t>TK-F01-107-I3(25-37U)WWDX:007-10</t>
  </si>
  <si>
    <t>210305485510EA000526</t>
  </si>
  <si>
    <t>140103-2014-002038</t>
  </si>
  <si>
    <t>TK-F01-107-I3(25-37U)WWDX:007-11</t>
  </si>
  <si>
    <t>210305485510EA000519</t>
  </si>
  <si>
    <t>140103-2014-002039</t>
  </si>
  <si>
    <t>TK-F01-107-I3(25-37U)WWDX:007-12</t>
  </si>
  <si>
    <t>210305485510EA000525</t>
  </si>
  <si>
    <t>140103-2014-002040</t>
  </si>
  <si>
    <t>TK-F01-107-I3(25-37U)WWDX:007-13</t>
  </si>
  <si>
    <t>210305485510EA000427</t>
  </si>
  <si>
    <t>140103-2014-002041</t>
  </si>
  <si>
    <t>TK-F01-107-I3(25-37U)WWDX:007-14</t>
  </si>
  <si>
    <t>210305485510EA000597</t>
  </si>
  <si>
    <t>140103-2014-002042</t>
  </si>
  <si>
    <t>TK-F01-107-I3(25-37U)WWDX:007-15</t>
  </si>
  <si>
    <t>210305485510EA000399</t>
  </si>
  <si>
    <t>140103-2014-002043</t>
  </si>
  <si>
    <t>TK-F01-107-I3(25-37U)WWDX:007-16</t>
  </si>
  <si>
    <t>210305485510EA000468</t>
  </si>
  <si>
    <t>140103-2014-002029</t>
  </si>
  <si>
    <t>TK-F01-107-I3(25-37U)WWDX:007-2</t>
  </si>
  <si>
    <t>210305485510EA000501</t>
  </si>
  <si>
    <t>140103-2014-002030</t>
  </si>
  <si>
    <t>TK-F01-107-I3(25-37U)WWDX:007-3</t>
  </si>
  <si>
    <t>210305485510EA000310</t>
  </si>
  <si>
    <t>140103-2014-002031</t>
  </si>
  <si>
    <t>TK-F01-107-I3(25-37U)WWDX:007-4</t>
  </si>
  <si>
    <t>210305485510EA000467</t>
  </si>
  <si>
    <t>140103-2014-002032</t>
  </si>
  <si>
    <t>TK-F01-107-I3(25-37U)WWDX:007-5</t>
  </si>
  <si>
    <t>210305485510EA000539</t>
  </si>
  <si>
    <t>140103-2014-002033</t>
  </si>
  <si>
    <t>TK-F01-107-I3(25-37U)WWDX:007-6</t>
  </si>
  <si>
    <t>210305485510EA000419</t>
  </si>
  <si>
    <t>140103-2014-002034</t>
  </si>
  <si>
    <t>TK-F01-107-I3(25-37U)WWDX:007-7</t>
  </si>
  <si>
    <t>210305485510EA000592</t>
  </si>
  <si>
    <t>140103-2014-002035</t>
  </si>
  <si>
    <t>TK-F01-107-I3(25-37U)WWDX:007-8</t>
  </si>
  <si>
    <t>210305485510EA000514</t>
  </si>
  <si>
    <t>140103-2014-002036</t>
  </si>
  <si>
    <t>TK-F01-107-I3(25-37U)WWDX:007-9</t>
  </si>
  <si>
    <t>2102300742N0EA000001</t>
  </si>
  <si>
    <t>140103-2014-002302</t>
  </si>
  <si>
    <t>TK-F01-107-I4(11-23U)WWDX:010</t>
  </si>
  <si>
    <t>210305485510EA000461</t>
  </si>
  <si>
    <t>140103-2014-002076</t>
  </si>
  <si>
    <t>TK-F01-107-I4(11-23U)WWDX:010-1</t>
  </si>
  <si>
    <t>210305485510EA000595</t>
  </si>
  <si>
    <t>140103-2014-002085</t>
  </si>
  <si>
    <t>TK-F01-107-I4(11-23U)WWDX:010-10</t>
  </si>
  <si>
    <t>210305485510EA000586</t>
  </si>
  <si>
    <t>140103-2014-002086</t>
  </si>
  <si>
    <t>TK-F01-107-I4(11-23U)WWDX:010-11</t>
  </si>
  <si>
    <t>210305485510EA000465</t>
  </si>
  <si>
    <t>140103-2014-002087</t>
  </si>
  <si>
    <t>TK-F01-107-I4(11-23U)WWDX:010-12</t>
  </si>
  <si>
    <t>210305485510EA000345</t>
  </si>
  <si>
    <t>140103-2014-002088</t>
  </si>
  <si>
    <t>TK-F01-107-I4(11-23U)WWDX:010-13</t>
  </si>
  <si>
    <t>210305485510EA000574</t>
  </si>
  <si>
    <t>140103-2014-002089</t>
  </si>
  <si>
    <t>TK-F01-107-I4(11-23U)WWDX:010-14</t>
  </si>
  <si>
    <t>210305485510EA000504</t>
  </si>
  <si>
    <t>140103-2014-002090</t>
  </si>
  <si>
    <t>TK-F01-107-I4(11-23U)WWDX:010-15</t>
  </si>
  <si>
    <t>210305485510EA000449</t>
  </si>
  <si>
    <t>140103-2014-002091</t>
  </si>
  <si>
    <t>TK-F01-107-I4(11-23U)WWDX:010-16</t>
  </si>
  <si>
    <t>210305485510EA000471</t>
  </si>
  <si>
    <t>140103-2014-002077</t>
  </si>
  <si>
    <t>TK-F01-107-I4(11-23U)WWDX:010-2</t>
  </si>
  <si>
    <t>210305485510EA000447</t>
  </si>
  <si>
    <t>140103-2014-002078</t>
  </si>
  <si>
    <t>TK-F01-107-I4(11-23U)WWDX:010-3</t>
  </si>
  <si>
    <t>210305485510EA000507</t>
  </si>
  <si>
    <t>140103-2014-002079</t>
  </si>
  <si>
    <t>TK-F01-107-I4(11-23U)WWDX:010-4</t>
  </si>
  <si>
    <t>210305485510EA000581</t>
  </si>
  <si>
    <t>140103-2014-002080</t>
  </si>
  <si>
    <t>TK-F01-107-I4(11-23U)WWDX:010-5</t>
  </si>
  <si>
    <t>210305485510EA000546</t>
  </si>
  <si>
    <t>140103-2014-002081</t>
  </si>
  <si>
    <t>TK-F01-107-I4(11-23U)WWDX:010-6</t>
  </si>
  <si>
    <t>210305485510EA000324</t>
  </si>
  <si>
    <t>140103-2014-002082</t>
  </si>
  <si>
    <t>TK-F01-107-I4(11-23U)WWDX:010-7</t>
  </si>
  <si>
    <t>210305485510EA000415</t>
  </si>
  <si>
    <t>140103-2014-002083</t>
  </si>
  <si>
    <t>TK-F01-107-I4(11-23U)WWDX:010-8</t>
  </si>
  <si>
    <t>210305485510EA000325</t>
  </si>
  <si>
    <t>140103-2014-002084</t>
  </si>
  <si>
    <t>TK-F01-107-I4(11-23U)WWDX:010-9</t>
  </si>
  <si>
    <t>2102300742N0EA000061</t>
  </si>
  <si>
    <t>140103-2014-002301</t>
  </si>
  <si>
    <t>TK-F01-107-I4(25-36U)WWDX:009</t>
  </si>
  <si>
    <t>210305485510EA000402</t>
  </si>
  <si>
    <t>140103-2014-002060</t>
  </si>
  <si>
    <t>TK-F01-107-I4(25-37U)WWDX:009-1</t>
  </si>
  <si>
    <t>210305485510EA000424</t>
  </si>
  <si>
    <t>140103-2014-002069</t>
  </si>
  <si>
    <t>TK-F01-107-I4(25-37U)WWDX:009-10</t>
  </si>
  <si>
    <t>210305485510EA000582</t>
  </si>
  <si>
    <t>140103-2014-002070</t>
  </si>
  <si>
    <t>TK-F01-107-I4(25-37U)WWDX:009-11</t>
  </si>
  <si>
    <t>210305485510EA000330</t>
  </si>
  <si>
    <t>140103-2014-002071</t>
  </si>
  <si>
    <t>TK-F01-107-I4(25-37U)WWDX:009-12</t>
  </si>
  <si>
    <t>210305485510EA000331</t>
  </si>
  <si>
    <t>140103-2014-002072</t>
  </si>
  <si>
    <t>TK-F01-107-I4(25-37U)WWDX:009-13</t>
  </si>
  <si>
    <t>210305485510EA000455</t>
  </si>
  <si>
    <t>140103-2014-002073</t>
  </si>
  <si>
    <t>TK-F01-107-I4(25-37U)WWDX:009-14</t>
  </si>
  <si>
    <t>210305485510EA000596</t>
  </si>
  <si>
    <t>140103-2014-002074</t>
  </si>
  <si>
    <t>TK-F01-107-I4(25-37U)WWDX:009-15</t>
  </si>
  <si>
    <t>210305485510EA000304</t>
  </si>
  <si>
    <t>140103-2014-002075</t>
  </si>
  <si>
    <t>TK-F01-107-I4(25-37U)WWDX:009-16</t>
  </si>
  <si>
    <t>210305485510EA000430</t>
  </si>
  <si>
    <t>140103-2014-002061</t>
  </si>
  <si>
    <t>TK-F01-107-I4(25-37U)WWDX:009-2</t>
  </si>
  <si>
    <t>210305485510EA000538</t>
  </si>
  <si>
    <t>140103-2014-002062</t>
  </si>
  <si>
    <t>TK-F01-107-I4(25-37U)WWDX:009-3</t>
  </si>
  <si>
    <t>210305485510EA000307</t>
  </si>
  <si>
    <t>140103-2014-002063</t>
  </si>
  <si>
    <t>TK-F01-107-I4(25-37U)WWDX:009-4</t>
  </si>
  <si>
    <t>210305485510EA000599</t>
  </si>
  <si>
    <t>140103-2014-002064</t>
  </si>
  <si>
    <t>TK-F01-107-I4(25-37U)WWDX:009-5</t>
  </si>
  <si>
    <t>210305485510EA000508</t>
  </si>
  <si>
    <t>140103-2014-002065</t>
  </si>
  <si>
    <t>TK-F01-107-I4(25-37U)WWDX:009-6</t>
  </si>
  <si>
    <t>210305485510EA000333</t>
  </si>
  <si>
    <t>140103-2014-002066</t>
  </si>
  <si>
    <t>TK-F01-107-I4(25-37U)WWDX:009-7</t>
  </si>
  <si>
    <t>210305485510EA000437</t>
  </si>
  <si>
    <t>140103-2014-002067</t>
  </si>
  <si>
    <t>TK-F01-107-I4(25-37U)WWDX:009-8</t>
  </si>
  <si>
    <t>210305485510EA000594</t>
  </si>
  <si>
    <t>140103-2014-002068</t>
  </si>
  <si>
    <t>TK-F01-107-I4(25-37U)WWDX:009-9</t>
  </si>
  <si>
    <t>2102300742N0EA000063</t>
  </si>
  <si>
    <t>140103-2014-002304</t>
  </si>
  <si>
    <t>TK-F01-107-I5(11-23U)WWDX:025</t>
  </si>
  <si>
    <t>210305485510EA000585</t>
  </si>
  <si>
    <t>140103-2014-002105</t>
  </si>
  <si>
    <t>TK-F01-107-I5(11-23U)WWDX:025-1</t>
  </si>
  <si>
    <t>210305485510EA000338</t>
  </si>
  <si>
    <t>140103-2014-002114</t>
  </si>
  <si>
    <t>TK-F01-107-I5(11-23U)WWDX:025-10</t>
  </si>
  <si>
    <t>210305485510EA000411</t>
  </si>
  <si>
    <t>140103-2014-002115</t>
  </si>
  <si>
    <t>TK-F01-107-I5(11-23U)WWDX:025-11</t>
  </si>
  <si>
    <t>140103-2014-002116</t>
  </si>
  <si>
    <t>TK-F01-107-I5(11-23U)WWDX:025-12</t>
  </si>
  <si>
    <t>210305485510EA000297</t>
  </si>
  <si>
    <t>140103-2014-002117</t>
  </si>
  <si>
    <t>TK-F01-107-I5(11-23U)WWDX:025-13</t>
  </si>
  <si>
    <t>210305485510EA000400</t>
  </si>
  <si>
    <t>140103-2014-002106</t>
  </si>
  <si>
    <t>TK-F01-107-I5(11-23U)WWDX:025-2</t>
  </si>
  <si>
    <t>210305485510EA000520</t>
  </si>
  <si>
    <t>140103-2014-002107</t>
  </si>
  <si>
    <t>TK-F01-107-I5(11-23U)WWDX:025-3</t>
  </si>
  <si>
    <t>210305485510EA000425</t>
  </si>
  <si>
    <t>140103-2014-002108</t>
  </si>
  <si>
    <t>TK-F01-107-I5(11-23U)WWDX:025-4</t>
  </si>
  <si>
    <t>210305485510EA000314</t>
  </si>
  <si>
    <t>140103-2014-002109</t>
  </si>
  <si>
    <t>TK-F01-107-I5(11-23U)WWDX:025-5</t>
  </si>
  <si>
    <t>210305485510EA000579</t>
  </si>
  <si>
    <t>140103-2014-002110</t>
  </si>
  <si>
    <t>TK-F01-107-I5(11-23U)WWDX:025-6</t>
  </si>
  <si>
    <t>210305485510EA000344</t>
  </si>
  <si>
    <t>140103-2014-002111</t>
  </si>
  <si>
    <t>TK-F01-107-I5(11-23U)WWDX:025-7</t>
  </si>
  <si>
    <t>210305485510EA000439</t>
  </si>
  <si>
    <t>140103-2014-002112</t>
  </si>
  <si>
    <t>TK-F01-107-I5(11-23U)WWDX:025-8</t>
  </si>
  <si>
    <t>210305485510EA000323</t>
  </si>
  <si>
    <t>140103-2014-002113</t>
  </si>
  <si>
    <t>TK-F01-107-I5(11-23U)WWDX:025-9</t>
  </si>
  <si>
    <t>2102300742N0EA000058</t>
  </si>
  <si>
    <t>140103-2014-002303</t>
  </si>
  <si>
    <t>TK-F01-107-I5(25-36U)WWDX:024</t>
  </si>
  <si>
    <t>210305485510EA000435</t>
  </si>
  <si>
    <t>140103-2014-002092</t>
  </si>
  <si>
    <t>TK-F01-107-I5(25-37U)WWDX:024-1</t>
  </si>
  <si>
    <t>210305485510EA000466</t>
  </si>
  <si>
    <t>140103-2014-002101</t>
  </si>
  <si>
    <t>TK-F01-107-I5(25-37U)WWDX:024-10</t>
  </si>
  <si>
    <t>210305485510EA000543</t>
  </si>
  <si>
    <t>140103-2014-002102</t>
  </si>
  <si>
    <t>TK-F01-107-I5(25-37U)WWDX:024-11</t>
  </si>
  <si>
    <t>210305485510EA000535</t>
  </si>
  <si>
    <t>140103-2014-002103</t>
  </si>
  <si>
    <t>TK-F01-107-I5(25-37U)WWDX:024-12</t>
  </si>
  <si>
    <t>210305485510EA000334</t>
  </si>
  <si>
    <t>140103-2014-002104</t>
  </si>
  <si>
    <t>TK-F01-107-I5(25-37U)WWDX:024-13</t>
  </si>
  <si>
    <t>210305485510EA000469</t>
  </si>
  <si>
    <t>140103-2014-002093</t>
  </si>
  <si>
    <t>TK-F01-107-I5(25-37U)WWDX:024-2</t>
  </si>
  <si>
    <t>210305485510EA000593</t>
  </si>
  <si>
    <t>140103-2014-002094</t>
  </si>
  <si>
    <t>TK-F01-107-I5(25-37U)WWDX:024-3</t>
  </si>
  <si>
    <t>210305485510EA000523</t>
  </si>
  <si>
    <t>140103-2014-002095</t>
  </si>
  <si>
    <t>TK-F01-107-I5(25-37U)WWDX:024-4</t>
  </si>
  <si>
    <t>210305485510EA000528</t>
  </si>
  <si>
    <t>140103-2014-002096</t>
  </si>
  <si>
    <t>TK-F01-107-I5(25-37U)WWDX:024-5</t>
  </si>
  <si>
    <t>210305485510EA000335</t>
  </si>
  <si>
    <t>140103-2014-002097</t>
  </si>
  <si>
    <t>TK-F01-107-I5(25-37U)WWDX:024-6</t>
  </si>
  <si>
    <t>210305485510EA000418</t>
  </si>
  <si>
    <t>140103-2014-002098</t>
  </si>
  <si>
    <t>TK-F01-107-I5(25-37U)WWDX:024-7</t>
  </si>
  <si>
    <t>210305485510EA000591</t>
  </si>
  <si>
    <t>140103-2014-002099</t>
  </si>
  <si>
    <t>TK-F01-107-I5(25-37U)WWDX:024-8</t>
  </si>
  <si>
    <t>210305485510EA000602</t>
  </si>
  <si>
    <t>140103-2014-002100</t>
  </si>
  <si>
    <t>TK-F01-107-I5(25-37U)WWDX:024-9</t>
  </si>
  <si>
    <r>
      <rPr>
        <sz val="12"/>
        <rFont val="宋体"/>
        <charset val="134"/>
      </rPr>
      <t>海恩品牌、</t>
    </r>
    <r>
      <rPr>
        <sz val="12"/>
        <rFont val="Arial"/>
        <charset val="134"/>
      </rPr>
      <t>INDALA</t>
    </r>
    <r>
      <rPr>
        <sz val="12"/>
        <rFont val="宋体"/>
        <charset val="134"/>
      </rPr>
      <t>品牌门禁系统</t>
    </r>
  </si>
  <si>
    <t>BK-F01-DOOR-01</t>
  </si>
  <si>
    <t>140705-2014-000028</t>
  </si>
  <si>
    <t>TK-F01-107机房E5机柜</t>
  </si>
  <si>
    <t>FOC1838R2S2</t>
  </si>
  <si>
    <t>140502-2014-001109</t>
  </si>
  <si>
    <t>TK-F01-108-J(13-13U)</t>
  </si>
  <si>
    <t>FOC1838R2UP</t>
  </si>
  <si>
    <t>140502-2014-001110</t>
  </si>
  <si>
    <t>TK-F01-108-J(15-15U)</t>
  </si>
  <si>
    <t>210235A1G9H178000035</t>
  </si>
  <si>
    <t>140502-2017-000119</t>
  </si>
  <si>
    <t>TK-F01-108-J(34-34U)</t>
  </si>
  <si>
    <t>210235A1G9H178000052</t>
  </si>
  <si>
    <t>140502-2017-000120</t>
  </si>
  <si>
    <t>TK-F01-108-J(36-36U)</t>
  </si>
  <si>
    <t>214635684-01A</t>
  </si>
  <si>
    <t>140103-2014-002315</t>
  </si>
  <si>
    <t>TK-F01-108-J1 NWDX:001-1</t>
  </si>
  <si>
    <t>214635717</t>
  </si>
  <si>
    <t>140103-2014-002285</t>
  </si>
  <si>
    <t>TK-F01-108-J2 NWDX:002</t>
  </si>
  <si>
    <t>214635717-01A</t>
  </si>
  <si>
    <t>140103-2014-002347</t>
  </si>
  <si>
    <t>TK-F01-108-J2 NWDX:002-1</t>
  </si>
  <si>
    <t>214635717-10A</t>
  </si>
  <si>
    <t>140103-2014-002356</t>
  </si>
  <si>
    <t>TK-F01-108-J2 NWDX:002-10</t>
  </si>
  <si>
    <t>214635717-11A</t>
  </si>
  <si>
    <t>140103-2014-002357</t>
  </si>
  <si>
    <t>TK-F01-108-J2 NWDX:002-11</t>
  </si>
  <si>
    <t>214635717-12A</t>
  </si>
  <si>
    <t>140103-2014-002358</t>
  </si>
  <si>
    <t>TK-F01-108-J2 NWDX:002-12</t>
  </si>
  <si>
    <t>214635717-13A</t>
  </si>
  <si>
    <t>140103-2014-002359</t>
  </si>
  <si>
    <t>TK-F01-108-J2 NWDX:002-13</t>
  </si>
  <si>
    <t>214635717-14A</t>
  </si>
  <si>
    <t>140103-2014-002360</t>
  </si>
  <si>
    <t>TK-F01-108-J2 NWDX:002-14</t>
  </si>
  <si>
    <t>214635717-15A</t>
  </si>
  <si>
    <t>140103-2014-002361</t>
  </si>
  <si>
    <t>TK-F01-108-J2 NWDX:002-15</t>
  </si>
  <si>
    <t>214635717-16A</t>
  </si>
  <si>
    <t>140103-2014-002362</t>
  </si>
  <si>
    <t>TK-F01-108-J2 NWDX:002-16</t>
  </si>
  <si>
    <t>214635717-17A</t>
  </si>
  <si>
    <t>140103-2014-002363</t>
  </si>
  <si>
    <t>TK-F01-108-J2 NWDX:002-17</t>
  </si>
  <si>
    <t>214635717-18A</t>
  </si>
  <si>
    <t>140103-2014-002364</t>
  </si>
  <si>
    <t>TK-F01-108-J2 NWDX:002-18</t>
  </si>
  <si>
    <t>214635717-19A</t>
  </si>
  <si>
    <t>140103-2014-002365</t>
  </si>
  <si>
    <t>TK-F01-108-J2 NWDX:002-19</t>
  </si>
  <si>
    <t>214635717-02A</t>
  </si>
  <si>
    <t>140103-2014-002348</t>
  </si>
  <si>
    <t>TK-F01-108-J2 NWDX:002-2</t>
  </si>
  <si>
    <t>214635717-26A</t>
  </si>
  <si>
    <t>140103-2014-002367</t>
  </si>
  <si>
    <t>TK-F01-108-J2 NWDX:002-26</t>
  </si>
  <si>
    <t>214635717-27A</t>
  </si>
  <si>
    <t>140103-2014-002368</t>
  </si>
  <si>
    <t>TK-F01-108-J2 NWDX:002-27</t>
  </si>
  <si>
    <t>214635717-28A</t>
  </si>
  <si>
    <t>140103-2014-002369</t>
  </si>
  <si>
    <t>TK-F01-108-J2 NWDX:002-28</t>
  </si>
  <si>
    <t>214635717-29A</t>
  </si>
  <si>
    <t>140103-2014-002370</t>
  </si>
  <si>
    <t>TK-F01-108-J2 NWDX:002-29</t>
  </si>
  <si>
    <t>214635717-03A</t>
  </si>
  <si>
    <t>140103-2014-002349</t>
  </si>
  <si>
    <t>TK-F01-108-J2 NWDX:002-3</t>
  </si>
  <si>
    <t>214635717-30A</t>
  </si>
  <si>
    <t>140103-2014-002371</t>
  </si>
  <si>
    <t>TK-F01-108-J2 NWDX:002-30</t>
  </si>
  <si>
    <t>214635717-31A</t>
  </si>
  <si>
    <t>140103-2014-002372</t>
  </si>
  <si>
    <t>TK-F01-108-J2 NWDX:002-31</t>
  </si>
  <si>
    <t>214635717-32A</t>
  </si>
  <si>
    <t>140103-2014-002373</t>
  </si>
  <si>
    <t>TK-F01-108-J2 NWDX:002-32</t>
  </si>
  <si>
    <t>214635717-33A</t>
  </si>
  <si>
    <t>140103-2014-002374</t>
  </si>
  <si>
    <t>TK-F01-108-J2 NWDX:002-33</t>
  </si>
  <si>
    <t>214635717-34A</t>
  </si>
  <si>
    <t>140103-2014-002375</t>
  </si>
  <si>
    <t>TK-F01-108-J2 NWDX:002-34</t>
  </si>
  <si>
    <t>214635717-35A</t>
  </si>
  <si>
    <t>140103-2014-002376</t>
  </si>
  <si>
    <t>TK-F01-108-J2 NWDX:002-35</t>
  </si>
  <si>
    <t>214635717-36A</t>
  </si>
  <si>
    <t>140103-2014-002377</t>
  </si>
  <si>
    <t>TK-F01-108-J2 NWDX:002-36</t>
  </si>
  <si>
    <t>214635717-37A</t>
  </si>
  <si>
    <t>140103-2014-002378</t>
  </si>
  <si>
    <t>TK-F01-108-J2 NWDX:002-37</t>
  </si>
  <si>
    <t>214635717-04A</t>
  </si>
  <si>
    <t>140103-2014-002350</t>
  </si>
  <si>
    <t>TK-F01-108-J2 NWDX:002-4</t>
  </si>
  <si>
    <t>214635717-05A</t>
  </si>
  <si>
    <t>140103-2014-002351</t>
  </si>
  <si>
    <t>TK-F01-108-J2 NWDX:002-5</t>
  </si>
  <si>
    <t>214635717-06A</t>
  </si>
  <si>
    <t>140103-2014-002352</t>
  </si>
  <si>
    <t>TK-F01-108-J2 NWDX:002-6</t>
  </si>
  <si>
    <t>214635717-07A</t>
  </si>
  <si>
    <t>140103-2014-002353</t>
  </si>
  <si>
    <t>TK-F01-108-J2 NWDX:002-7</t>
  </si>
  <si>
    <t>214635717-08A</t>
  </si>
  <si>
    <t>140103-2014-002354</t>
  </si>
  <si>
    <t>TK-F01-108-J2 NWDX:002-8</t>
  </si>
  <si>
    <t>214635717-09A</t>
  </si>
  <si>
    <t>140103-2014-002355</t>
  </si>
  <si>
    <t>TK-F01-108-J2 NWDX:002-9</t>
  </si>
  <si>
    <t>214635750</t>
  </si>
  <si>
    <t>140103-2014-002286</t>
  </si>
  <si>
    <t>TK-F01-108-J3 NWDX:003</t>
  </si>
  <si>
    <t>214635750-01A</t>
  </si>
  <si>
    <t>140103-2014-002379</t>
  </si>
  <si>
    <t>TK-F01-108-J3 NWDX:003-1</t>
  </si>
  <si>
    <t>214635750-10A</t>
  </si>
  <si>
    <t>140103-2014-002388</t>
  </si>
  <si>
    <t>TK-F01-108-J3 NWDX:003-10</t>
  </si>
  <si>
    <t>214635750-11A</t>
  </si>
  <si>
    <t>140103-2014-002389</t>
  </si>
  <si>
    <t>TK-F01-108-J3 NWDX:003-11</t>
  </si>
  <si>
    <t>214635750-12A</t>
  </si>
  <si>
    <t>140103-2014-002390</t>
  </si>
  <si>
    <t>TK-F01-108-J3 NWDX:003-12</t>
  </si>
  <si>
    <t>214635750-13A</t>
  </si>
  <si>
    <t>140103-2014-002391</t>
  </si>
  <si>
    <t>TK-F01-108-J3 NWDX:003-13</t>
  </si>
  <si>
    <t>214635750-14A</t>
  </si>
  <si>
    <t>140103-2014-002392</t>
  </si>
  <si>
    <t>TK-F01-108-J3 NWDX:003-14</t>
  </si>
  <si>
    <t>214635750-15A</t>
  </si>
  <si>
    <t>140103-2014-002393</t>
  </si>
  <si>
    <t>TK-F01-108-J3 NWDX:003-15</t>
  </si>
  <si>
    <t>214635750-16A</t>
  </si>
  <si>
    <t>140103-2014-002394</t>
  </si>
  <si>
    <t>TK-F01-108-J3 NWDX:003-16</t>
  </si>
  <si>
    <t>214635750-17A</t>
  </si>
  <si>
    <t>140103-2014-002395</t>
  </si>
  <si>
    <t>TK-F01-108-J3 NWDX:003-17</t>
  </si>
  <si>
    <t>214635750-18A</t>
  </si>
  <si>
    <t>140103-2014-002396</t>
  </si>
  <si>
    <t>TK-F01-108-J3 NWDX:003-18</t>
  </si>
  <si>
    <t>214635750-19A</t>
  </si>
  <si>
    <t>140103-2014-002397</t>
  </si>
  <si>
    <t>TK-F01-108-J3 NWDX:003-19</t>
  </si>
  <si>
    <t>214635750-02A</t>
  </si>
  <si>
    <t>140103-2014-002380</t>
  </si>
  <si>
    <t>TK-F01-108-J3 NWDX:003-2</t>
  </si>
  <si>
    <t>214635750-20A</t>
  </si>
  <si>
    <t>140103-2014-002398</t>
  </si>
  <si>
    <t>TK-F01-108-J3 NWDX:003-20</t>
  </si>
  <si>
    <t>214635750-26A</t>
  </si>
  <si>
    <t>140103-2014-002399</t>
  </si>
  <si>
    <t>TK-F01-108-J3 NWDX:003-26</t>
  </si>
  <si>
    <t>214635750-27A</t>
  </si>
  <si>
    <t>140103-2014-002400</t>
  </si>
  <si>
    <t>TK-F01-108-J3 NWDX:003-27</t>
  </si>
  <si>
    <t>214635750-28A</t>
  </si>
  <si>
    <t>140103-2014-002401</t>
  </si>
  <si>
    <t>TK-F01-108-J3 NWDX:003-28</t>
  </si>
  <si>
    <t>214635750-29A</t>
  </si>
  <si>
    <t>140103-2014-002402</t>
  </si>
  <si>
    <t>TK-F01-108-J3 NWDX:003-29</t>
  </si>
  <si>
    <t>214635750-03A</t>
  </si>
  <si>
    <t>140103-2014-002381</t>
  </si>
  <si>
    <t>TK-F01-108-J3 NWDX:003-3</t>
  </si>
  <si>
    <t>214635750-30A</t>
  </si>
  <si>
    <t>140103-2014-002403</t>
  </si>
  <si>
    <t>TK-F01-108-J3 NWDX:003-30</t>
  </si>
  <si>
    <t>214635750-31A</t>
  </si>
  <si>
    <t>140103-2014-002404</t>
  </si>
  <si>
    <t>TK-F01-108-J3 NWDX:003-31</t>
  </si>
  <si>
    <t>214635750-32A</t>
  </si>
  <si>
    <t>140103-2014-002405</t>
  </si>
  <si>
    <t>TK-F01-108-J3 NWDX:003-32</t>
  </si>
  <si>
    <t>214635750-33A</t>
  </si>
  <si>
    <t>140103-2014-002406</t>
  </si>
  <si>
    <t>TK-F01-108-J3 NWDX:003-33</t>
  </si>
  <si>
    <t>214635750-34A</t>
  </si>
  <si>
    <t>140103-2014-002407</t>
  </si>
  <si>
    <t>TK-F01-108-J3 NWDX:003-34</t>
  </si>
  <si>
    <t>214635750-35A</t>
  </si>
  <si>
    <t>140103-2014-002408</t>
  </si>
  <si>
    <t>TK-F01-108-J3 NWDX:003-35</t>
  </si>
  <si>
    <t>214635750-36A</t>
  </si>
  <si>
    <t>140103-2014-002409</t>
  </si>
  <si>
    <t>TK-F01-108-J3 NWDX:003-36</t>
  </si>
  <si>
    <t>214635750-37A</t>
  </si>
  <si>
    <t>140103-2014-002410</t>
  </si>
  <si>
    <t>TK-F01-108-J3 NWDX:003-37</t>
  </si>
  <si>
    <t>214635750-04A</t>
  </si>
  <si>
    <t>140103-2014-002382</t>
  </si>
  <si>
    <t>TK-F01-108-J3 NWDX:003-4</t>
  </si>
  <si>
    <t>214635750-05A</t>
  </si>
  <si>
    <t>140103-2014-002383</t>
  </si>
  <si>
    <t>TK-F01-108-J3 NWDX:003-5</t>
  </si>
  <si>
    <t>214635750-06A</t>
  </si>
  <si>
    <t>140103-2014-002384</t>
  </si>
  <si>
    <t>TK-F01-108-J3 NWDX:003-6</t>
  </si>
  <si>
    <t>214635750-07A</t>
  </si>
  <si>
    <t>140103-2014-002385</t>
  </si>
  <si>
    <t>TK-F01-108-J3 NWDX:003-7</t>
  </si>
  <si>
    <t>214635750-09A</t>
  </si>
  <si>
    <t>140103-2014-002387</t>
  </si>
  <si>
    <t>TK-F01-108-J3 NWDX:003-9</t>
  </si>
  <si>
    <t>214635953</t>
  </si>
  <si>
    <t>140103-2014-002527</t>
  </si>
  <si>
    <t>TK-F01-108-J4 NWDX:004</t>
  </si>
  <si>
    <t>214635953-01A</t>
  </si>
  <si>
    <t>140103-2014-002495</t>
  </si>
  <si>
    <t>TK-F01-108-J4 NWDX:004-1</t>
  </si>
  <si>
    <t>214635953-10A</t>
  </si>
  <si>
    <t>140103-2014-002504</t>
  </si>
  <si>
    <t>TK-F01-108-J4 NWDX:004-10</t>
  </si>
  <si>
    <t>214635953-11A</t>
  </si>
  <si>
    <t>140103-2014-002505</t>
  </si>
  <si>
    <t>TK-F01-108-J4 NWDX:004-11</t>
  </si>
  <si>
    <t>214635953-12A</t>
  </si>
  <si>
    <t>140103-2014-002506</t>
  </si>
  <si>
    <t>TK-F01-108-J4 NWDX:004-12</t>
  </si>
  <si>
    <t>214635953-13A</t>
  </si>
  <si>
    <t>140103-2014-002507</t>
  </si>
  <si>
    <t>TK-F01-108-J4 NWDX:004-13</t>
  </si>
  <si>
    <t>214635953-14A</t>
  </si>
  <si>
    <t>140103-2014-002508</t>
  </si>
  <si>
    <t>TK-F01-108-J4 NWDX:004-14</t>
  </si>
  <si>
    <t>214635953-15A</t>
  </si>
  <si>
    <t>140103-2014-002509</t>
  </si>
  <si>
    <t>TK-F01-108-J4 NWDX:004-15</t>
  </si>
  <si>
    <t>214635953-16A</t>
  </si>
  <si>
    <t>140103-2014-002510</t>
  </si>
  <si>
    <t>TK-F01-108-J4 NWDX:004-16</t>
  </si>
  <si>
    <t>214635953-17A</t>
  </si>
  <si>
    <t>140103-2014-002511</t>
  </si>
  <si>
    <t>TK-F01-108-J4 NWDX:004-17</t>
  </si>
  <si>
    <t>214635953-18A</t>
  </si>
  <si>
    <t>140103-2014-002512</t>
  </si>
  <si>
    <t>TK-F01-108-J4 NWDX:004-18</t>
  </si>
  <si>
    <t>214635953-19A</t>
  </si>
  <si>
    <t>140103-2014-002513</t>
  </si>
  <si>
    <t>TK-F01-108-J4 NWDX:004-19</t>
  </si>
  <si>
    <t>214635953-02A</t>
  </si>
  <si>
    <t>140103-2014-002496</t>
  </si>
  <si>
    <t>TK-F01-108-J4 NWDX:004-2</t>
  </si>
  <si>
    <t>214635953-20A</t>
  </si>
  <si>
    <t>140103-2014-002514</t>
  </si>
  <si>
    <t>TK-F01-108-J4 NWDX:004-20</t>
  </si>
  <si>
    <t>214635953-26A</t>
  </si>
  <si>
    <t>140103-2014-002515</t>
  </si>
  <si>
    <t>TK-F01-108-J4 NWDX:004-26</t>
  </si>
  <si>
    <t>214635953-27A</t>
  </si>
  <si>
    <t>140103-2014-002516</t>
  </si>
  <si>
    <t>TK-F01-108-J4 NWDX:004-27</t>
  </si>
  <si>
    <t>214635953-28A</t>
  </si>
  <si>
    <t>140103-2014-002517</t>
  </si>
  <si>
    <t>TK-F01-108-J4 NWDX:004-28</t>
  </si>
  <si>
    <t>214635953-29A</t>
  </si>
  <si>
    <t>140103-2014-002518</t>
  </si>
  <si>
    <t>TK-F01-108-J4 NWDX:004-29</t>
  </si>
  <si>
    <t>214635953-03A</t>
  </si>
  <si>
    <t>140103-2014-002497</t>
  </si>
  <si>
    <t>TK-F01-108-J4 NWDX:004-3</t>
  </si>
  <si>
    <t>214635953-30A</t>
  </si>
  <si>
    <t>140103-2014-002519</t>
  </si>
  <si>
    <t>TK-F01-108-J4 NWDX:004-30</t>
  </si>
  <si>
    <t>214635953-31A</t>
  </si>
  <si>
    <t>140103-2014-002520</t>
  </si>
  <si>
    <t>TK-F01-108-J4 NWDX:004-31</t>
  </si>
  <si>
    <t>214635953-32A</t>
  </si>
  <si>
    <t>140103-2014-002521</t>
  </si>
  <si>
    <t>TK-F01-108-J4 NWDX:004-32</t>
  </si>
  <si>
    <t>214635953-33A</t>
  </si>
  <si>
    <t>140103-2014-002522</t>
  </si>
  <si>
    <t>TK-F01-108-J4 NWDX:004-33</t>
  </si>
  <si>
    <t>214635953-34A</t>
  </si>
  <si>
    <t>140103-2014-002523</t>
  </si>
  <si>
    <t>TK-F01-108-J4 NWDX:004-34</t>
  </si>
  <si>
    <t>214635953-35A</t>
  </si>
  <si>
    <t>140103-2014-002524</t>
  </si>
  <si>
    <t>TK-F01-108-J4 NWDX:004-35</t>
  </si>
  <si>
    <t>214635953-36A</t>
  </si>
  <si>
    <t>140103-2014-002525</t>
  </si>
  <si>
    <t>TK-F01-108-J4 NWDX:004-36</t>
  </si>
  <si>
    <t>214635953-37A</t>
  </si>
  <si>
    <t>140103-2014-002526</t>
  </si>
  <si>
    <t>TK-F01-108-J4 NWDX:004-37</t>
  </si>
  <si>
    <t>214635953-04A</t>
  </si>
  <si>
    <t>140103-2014-002498</t>
  </si>
  <si>
    <t>TK-F01-108-J4 NWDX:004-4</t>
  </si>
  <si>
    <t>214635953-05A</t>
  </si>
  <si>
    <t>140103-2014-002499</t>
  </si>
  <si>
    <t>TK-F01-108-J4 NWDX:004-5</t>
  </si>
  <si>
    <t>214635953-06A</t>
  </si>
  <si>
    <t>140103-2014-002500</t>
  </si>
  <si>
    <t>TK-F01-108-J4 NWDX:004-6</t>
  </si>
  <si>
    <t>214635953-07A</t>
  </si>
  <si>
    <t>140103-2014-002501</t>
  </si>
  <si>
    <t>TK-F01-108-J4 NWDX:004-7</t>
  </si>
  <si>
    <t>214635953-08A</t>
  </si>
  <si>
    <t>140103-2014-002502</t>
  </si>
  <si>
    <t>TK-F01-108-J4 NWDX:004-8</t>
  </si>
  <si>
    <t>214635953-09A</t>
  </si>
  <si>
    <t>140103-2014-002503</t>
  </si>
  <si>
    <t>TK-F01-108-J4 NWDX:004-9</t>
  </si>
  <si>
    <t>6CU4421WAK</t>
  </si>
  <si>
    <t>140103-2014-002540</t>
  </si>
  <si>
    <t>TK-F01-108-J7(14-23U)NWDX:013</t>
  </si>
  <si>
    <t>6CU4421WH4</t>
  </si>
  <si>
    <t>140103-2014-002411</t>
  </si>
  <si>
    <t>TK-F01-108-J7(14-23U)NWDX:013-1</t>
  </si>
  <si>
    <t>6CU4421WFX</t>
  </si>
  <si>
    <t>140103-2014-002420</t>
  </si>
  <si>
    <t>TK-F01-108-J7(14-23U)NWDX:013-10</t>
  </si>
  <si>
    <t>6CU4421WEP</t>
  </si>
  <si>
    <t>140103-2014-002421</t>
  </si>
  <si>
    <t>TK-F01-108-J7(14-23U)NWDX:013-11</t>
  </si>
  <si>
    <t>6CU4421WFV</t>
  </si>
  <si>
    <t>140103-2014-002422</t>
  </si>
  <si>
    <t>TK-F01-108-J7(14-23U)NWDX:013-12</t>
  </si>
  <si>
    <t>6CU4421WEK</t>
  </si>
  <si>
    <t>140103-2014-002423</t>
  </si>
  <si>
    <t>TK-F01-108-J7(14-23U)NWDX:013-13</t>
  </si>
  <si>
    <t>6CU4421WFM</t>
  </si>
  <si>
    <t>140103-2014-002424</t>
  </si>
  <si>
    <t>TK-F01-108-J7(14-23U)NWDX:013-14</t>
  </si>
  <si>
    <t>6CU4421WF2</t>
  </si>
  <si>
    <t>140103-2014-002425</t>
  </si>
  <si>
    <t>TK-F01-108-J7(14-23U)NWDX:013-15</t>
  </si>
  <si>
    <t>6CU4421WFE</t>
  </si>
  <si>
    <t>140103-2014-002426</t>
  </si>
  <si>
    <t>TK-F01-108-J7(14-23U)NWDX:013-16</t>
  </si>
  <si>
    <t>6CU4421WF4</t>
  </si>
  <si>
    <t>140103-2014-002412</t>
  </si>
  <si>
    <t>TK-F01-108-J7(14-23U)NWDX:013-2</t>
  </si>
  <si>
    <t>6CU4421WF6</t>
  </si>
  <si>
    <t>140103-2014-002413</t>
  </si>
  <si>
    <t>TK-F01-108-J7(14-23U)NWDX:013-3</t>
  </si>
  <si>
    <t>6CU4421WFK</t>
  </si>
  <si>
    <t>140103-2014-002414</t>
  </si>
  <si>
    <t>TK-F01-108-J7(14-23U)NWDX:013-4</t>
  </si>
  <si>
    <t>6CU4421WEV</t>
  </si>
  <si>
    <t>140103-2014-002415</t>
  </si>
  <si>
    <t>TK-F01-108-J7(14-23U)NWDX:013-5</t>
  </si>
  <si>
    <t>6CU4421WFA</t>
  </si>
  <si>
    <t>140103-2014-002416</t>
  </si>
  <si>
    <t>TK-F01-108-J7(14-23U)NWDX:013-6</t>
  </si>
  <si>
    <t>6CU4421WEM</t>
  </si>
  <si>
    <t>140103-2014-002417</t>
  </si>
  <si>
    <t>TK-F01-108-J7(14-23U)NWDX:013-7</t>
  </si>
  <si>
    <t>6CU4421WFS</t>
  </si>
  <si>
    <t>140103-2014-002418</t>
  </si>
  <si>
    <t>TK-F01-108-J7(14-23U)NWDX:013-8</t>
  </si>
  <si>
    <t>6CU4421WFH</t>
  </si>
  <si>
    <t>140103-2014-002419</t>
  </si>
  <si>
    <t>TK-F01-108-J7(14-23U)NWDX:013-9</t>
  </si>
  <si>
    <t>6CU4421WCA</t>
  </si>
  <si>
    <t>140103-2014-002543</t>
  </si>
  <si>
    <t>TK-F01-108-J7(25-26U)</t>
  </si>
  <si>
    <t>6CU4421WAM</t>
  </si>
  <si>
    <t>140103-2014-002539</t>
  </si>
  <si>
    <t>TK-F01-108-J7(3-12U)NWDX:014</t>
  </si>
  <si>
    <t>6CU4421WF8</t>
  </si>
  <si>
    <t>140103-2014-002469</t>
  </si>
  <si>
    <t>TK-F01-108-J7(3-12U)NWDX:014-1</t>
  </si>
  <si>
    <t>6CU4421WH0</t>
  </si>
  <si>
    <t>140103-2014-002478</t>
  </si>
  <si>
    <t>TK-F01-108-J7(3-12U)NWDX:014-10</t>
  </si>
  <si>
    <t>6CU4421WEX</t>
  </si>
  <si>
    <t>140103-2014-002470</t>
  </si>
  <si>
    <t>TK-F01-108-J7(3-12U)NWDX:014-2</t>
  </si>
  <si>
    <t>6CU4421WFC</t>
  </si>
  <si>
    <t>140103-2014-002471</t>
  </si>
  <si>
    <t>TK-F01-108-J7(3-12U)NWDX:014-3</t>
  </si>
  <si>
    <t>6CU4421WF0</t>
  </si>
  <si>
    <t>140103-2014-002472</t>
  </si>
  <si>
    <t>TK-F01-108-J7(3-12U)NWDX:014-4</t>
  </si>
  <si>
    <t>6CU4421WH2</t>
  </si>
  <si>
    <t>140103-2014-002473</t>
  </si>
  <si>
    <t>TK-F01-108-J7(3-12U)NWDX:014-5</t>
  </si>
  <si>
    <t>6CU4421WH8</t>
  </si>
  <si>
    <t>140103-2014-002474</t>
  </si>
  <si>
    <t>TK-F01-108-J7(3-12U)NWDX:014-6</t>
  </si>
  <si>
    <t>6CU4421WFP</t>
  </si>
  <si>
    <t>140103-2014-002475</t>
  </si>
  <si>
    <t>TK-F01-108-J7(3-12U)NWDX:014-7</t>
  </si>
  <si>
    <t>6CU4421WH6</t>
  </si>
  <si>
    <t>140103-2014-002476</t>
  </si>
  <si>
    <t>TK-F01-108-J7(3-12U)NWDX:014-8</t>
  </si>
  <si>
    <t>6CU4421WES</t>
  </si>
  <si>
    <t>140103-2014-002477</t>
  </si>
  <si>
    <t>TK-F01-108-J7(3-12U)NWDX:014-9</t>
  </si>
  <si>
    <t>214637686</t>
  </si>
  <si>
    <t>140103-2014-003228</t>
  </si>
  <si>
    <t>TK-F01-108-J7(31-32U)</t>
  </si>
  <si>
    <t>210305485510EA000505</t>
  </si>
  <si>
    <t>140103-2014-002118</t>
  </si>
  <si>
    <t>TK-F01-108-J8(16-27U)WWDX:001-1</t>
  </si>
  <si>
    <t>210305485510EA000530</t>
  </si>
  <si>
    <t>140103-2014-002119</t>
  </si>
  <si>
    <t>TK-F01-108-J8(16-27U)WWDX:001-2</t>
  </si>
  <si>
    <t>210235AOHAH14A000399</t>
  </si>
  <si>
    <t>140502-2014-001101</t>
  </si>
  <si>
    <t>TK-F01-108-K(13-13U)</t>
  </si>
  <si>
    <t>210235A0HAH14A000036</t>
  </si>
  <si>
    <t>140502-2014-001076</t>
  </si>
  <si>
    <t>TK-F01-108-K(3-3U)</t>
  </si>
  <si>
    <t>210235A0HAH14A000170</t>
  </si>
  <si>
    <t>140502-2014-001077</t>
  </si>
  <si>
    <t>TK-F01-108-K(5-5U)</t>
  </si>
  <si>
    <t>210235A0HAH14A000093</t>
  </si>
  <si>
    <t>140502-2014-001078</t>
  </si>
  <si>
    <t>TK-F01-108-K(7-7U)</t>
  </si>
  <si>
    <t>210235A0HAH14A000024</t>
  </si>
  <si>
    <t>140502-2014-001079</t>
  </si>
  <si>
    <t>TK-F01-108-K(9-9U)</t>
  </si>
  <si>
    <t>FDO1833E1PH</t>
  </si>
  <si>
    <t>140502-2014-001112</t>
  </si>
  <si>
    <t>TK-F01-108-K1(10-10U)</t>
  </si>
  <si>
    <t>FOC1838R16B</t>
  </si>
  <si>
    <t>140502-2014-001107</t>
  </si>
  <si>
    <t>TK-F01-108-K1(12-12U)</t>
  </si>
  <si>
    <t>FOC1838R2T6</t>
  </si>
  <si>
    <t>140502-2014-001108</t>
  </si>
  <si>
    <t>TK-F01-108-K1(14-14U)</t>
  </si>
  <si>
    <t>Cisco N5K-C5672</t>
  </si>
  <si>
    <t>FOC2004R0M4</t>
  </si>
  <si>
    <t>140502-2018-000035</t>
  </si>
  <si>
    <t>TK-F02-226-A(14-14U)</t>
  </si>
  <si>
    <t>210235A1G9H178000002</t>
  </si>
  <si>
    <t>140502-2017-000133</t>
  </si>
  <si>
    <t>TK-F01-108-K1(22-22U)</t>
  </si>
  <si>
    <t>FDO1837E287</t>
  </si>
  <si>
    <t>140502-2014-001116</t>
  </si>
  <si>
    <t>TK-F01-108-K1(6-6U)</t>
  </si>
  <si>
    <t>FDO1829Q1P3</t>
  </si>
  <si>
    <t>140502-2014-001111</t>
  </si>
  <si>
    <t>TK-F01-108-K1(8-8U)</t>
  </si>
  <si>
    <t>0191103201705</t>
  </si>
  <si>
    <t>140403-2019-000008</t>
  </si>
  <si>
    <t>TK-F01-109-A1(23-23U)</t>
  </si>
  <si>
    <t>210235A3GLH195000052</t>
  </si>
  <si>
    <t>140502-2019-000116</t>
  </si>
  <si>
    <t>TK-F01-109-A1(38-38U)</t>
  </si>
  <si>
    <t>210235A3GLH197000011</t>
  </si>
  <si>
    <t>140502-2019-000115</t>
  </si>
  <si>
    <t>TK-F01-109-A1(41-41U)</t>
  </si>
  <si>
    <t>0191103201682</t>
  </si>
  <si>
    <t>140403-2019-000004</t>
  </si>
  <si>
    <t>TK-F01-109-A2(23-23U)</t>
  </si>
  <si>
    <t>2102350DLVDMK8001534</t>
  </si>
  <si>
    <t>140502-2019-000117</t>
  </si>
  <si>
    <t>TK-F01-109-A2(35-35U)</t>
  </si>
  <si>
    <t>210235A3GLH195000038</t>
  </si>
  <si>
    <t>140502-2019-000124</t>
  </si>
  <si>
    <t>TK-F01-109-A2(38-38U)</t>
  </si>
  <si>
    <t>210235A3GLH195000028</t>
  </si>
  <si>
    <t>140502-2019-000123</t>
  </si>
  <si>
    <t>TK-F01-109-A2(41-41U)</t>
  </si>
  <si>
    <t>J301DX2H</t>
  </si>
  <si>
    <t>140103-2019-000281</t>
  </si>
  <si>
    <t>TK-F01-109-A3(12-15U)</t>
  </si>
  <si>
    <t>J301DX2P</t>
  </si>
  <si>
    <t>140103-2019-000280</t>
  </si>
  <si>
    <t>TK-F01-109-A3(17-20U)</t>
  </si>
  <si>
    <t>J301DX2N</t>
  </si>
  <si>
    <t>140103-2019-000262</t>
  </si>
  <si>
    <t>TK-F01-109-A3(22-25U)</t>
  </si>
  <si>
    <t>J301DX2F</t>
  </si>
  <si>
    <t>140103-2019-000259</t>
  </si>
  <si>
    <t>TK-F01-109-A3(2-5U)</t>
  </si>
  <si>
    <t>J301DX2C</t>
  </si>
  <si>
    <t>140103-2019-000261</t>
  </si>
  <si>
    <t>TK-F01-109-A3(27-30U)</t>
  </si>
  <si>
    <t>J301DX2D</t>
  </si>
  <si>
    <t>140103-2019-000260</t>
  </si>
  <si>
    <t>TK-F01-109-A3(32-35U)</t>
  </si>
  <si>
    <t>210235A3GLH195000010</t>
  </si>
  <si>
    <t>140502-2019-000128</t>
  </si>
  <si>
    <t>TK-F01-109-A3(38-38U)</t>
  </si>
  <si>
    <t>210235A3GLH195000024</t>
  </si>
  <si>
    <t>140502-2019-000127</t>
  </si>
  <si>
    <t>TK-F01-109-A3(41-41U)</t>
  </si>
  <si>
    <t>J301DX2T</t>
  </si>
  <si>
    <t>140103-2019-000258</t>
  </si>
  <si>
    <t>TK-F01-109-A3(7-10U)</t>
  </si>
  <si>
    <t>J301DX2R</t>
  </si>
  <si>
    <t>140103-2019-000299</t>
  </si>
  <si>
    <t>TK-F01-109-A4(12-15U)</t>
  </si>
  <si>
    <t>J301DX2L</t>
  </si>
  <si>
    <t>140103-2019-000298</t>
  </si>
  <si>
    <t>TK-F01-109-A4(17-20U)</t>
  </si>
  <si>
    <t>0191103201675</t>
  </si>
  <si>
    <t>140403-2019-000003</t>
  </si>
  <si>
    <t>TK-F01-109-A4(21-21U)</t>
  </si>
  <si>
    <t>J301DX2V</t>
  </si>
  <si>
    <t>140103-2019-000265</t>
  </si>
  <si>
    <t>TK-F01-109-A4(22-25U)</t>
  </si>
  <si>
    <t>J301DX2M</t>
  </si>
  <si>
    <t>140103-2019-000297</t>
  </si>
  <si>
    <t>TK-F01-109-A4(2-5U)</t>
  </si>
  <si>
    <t>J301DX2E</t>
  </si>
  <si>
    <t>140103-2019-000264</t>
  </si>
  <si>
    <t>TK-F01-109-A4(27-30U)</t>
  </si>
  <si>
    <t>J301DX2K</t>
  </si>
  <si>
    <t>140103-2019-000263</t>
  </si>
  <si>
    <t>TK-F01-109-A4(32-35U)</t>
  </si>
  <si>
    <t>210235A3GLH195000055</t>
  </si>
  <si>
    <t>140502-2019-000130</t>
  </si>
  <si>
    <t>TK-F01-109-A4(38-38U)</t>
  </si>
  <si>
    <t>210235A3GLH195000007</t>
  </si>
  <si>
    <t>140502-2019-000129</t>
  </si>
  <si>
    <t>TK-F01-109-A4(41-41U)</t>
  </si>
  <si>
    <t>J301DX2G</t>
  </si>
  <si>
    <t>140103-2019-000296</t>
  </si>
  <si>
    <t>TK-F01-109-A4(7-10U)</t>
  </si>
  <si>
    <t>2102350DLVDMK8001530</t>
  </si>
  <si>
    <t>140502-2019-000118</t>
  </si>
  <si>
    <t>TK-F01-109-A5(33-33U)</t>
  </si>
  <si>
    <t>浪潮 NF5280M5</t>
  </si>
  <si>
    <t>819482670</t>
  </si>
  <si>
    <t>140103-2019-000505</t>
  </si>
  <si>
    <t>TK-F01-109-A6(12-13U)</t>
  </si>
  <si>
    <t>819482669</t>
  </si>
  <si>
    <t>140103-2019-000504</t>
  </si>
  <si>
    <t>TK-F01-109-A6(15-16U)</t>
  </si>
  <si>
    <t>819482668</t>
  </si>
  <si>
    <t>140103-2019-000503</t>
  </si>
  <si>
    <t>TK-F01-109-A6(18-19U)</t>
  </si>
  <si>
    <t>819482667</t>
  </si>
  <si>
    <t>140103-2019-000502</t>
  </si>
  <si>
    <t>TK-F01-109-A6(21-22U)</t>
  </si>
  <si>
    <t>0191103201644</t>
  </si>
  <si>
    <t>140403-2019-000005</t>
  </si>
  <si>
    <t>TK-F01-109-A6(23-23U)</t>
  </si>
  <si>
    <t>819482666</t>
  </si>
  <si>
    <t>140103-2019-000501</t>
  </si>
  <si>
    <t>TK-F01-109-A6(24-25U)</t>
  </si>
  <si>
    <t>819482673</t>
  </si>
  <si>
    <t>140103-2019-000508</t>
  </si>
  <si>
    <t>TK-F01-109-A6(3-4U)</t>
  </si>
  <si>
    <t>819482672</t>
  </si>
  <si>
    <t>140103-2019-000507</t>
  </si>
  <si>
    <t>TK-F01-109-A6(6-7U)</t>
  </si>
  <si>
    <t>819482671</t>
  </si>
  <si>
    <t>140103-2019-000506</t>
  </si>
  <si>
    <t>TK-F01-109-A6(9-10U)</t>
  </si>
  <si>
    <t>浪潮 NS5488M5</t>
  </si>
  <si>
    <t>219555967</t>
  </si>
  <si>
    <t>140103-2019-000517</t>
  </si>
  <si>
    <t>TK-F01-109-A7(2-5U)DP4-1</t>
  </si>
  <si>
    <t>219555966</t>
  </si>
  <si>
    <t>140103-2019-000518</t>
  </si>
  <si>
    <t>TK-F01-109-A7(2-5U)DP4-2</t>
  </si>
  <si>
    <t>219555971</t>
  </si>
  <si>
    <t>140103-2019-000519</t>
  </si>
  <si>
    <t>TK-F01-109-A7(2-5U)DP4-3</t>
  </si>
  <si>
    <t>219555970</t>
  </si>
  <si>
    <t>140103-2019-000520</t>
  </si>
  <si>
    <t>TK-F01-109-A7(2-5U)DP4-4</t>
  </si>
  <si>
    <t>219555972</t>
  </si>
  <si>
    <t>140103-2019-000521</t>
  </si>
  <si>
    <t>TK-F01-109-A7(2-5U)DP4-5</t>
  </si>
  <si>
    <t>219555973</t>
  </si>
  <si>
    <t>140103-2019-000522</t>
  </si>
  <si>
    <t>TK-F01-109-A7(2-5U)DP4-6</t>
  </si>
  <si>
    <t>219555969</t>
  </si>
  <si>
    <t>140103-2019-000523</t>
  </si>
  <si>
    <t>TK-F01-109-A7(2-5U)DP4-7</t>
  </si>
  <si>
    <t>219555968</t>
  </si>
  <si>
    <t>140103-2019-000524</t>
  </si>
  <si>
    <t>TK-F01-109-A7(2-5U)DP4-8</t>
  </si>
  <si>
    <t>219555941</t>
  </si>
  <si>
    <t>140103-2019-000509</t>
  </si>
  <si>
    <t>TK-F01-109-A7(7-10U)DP3-1</t>
  </si>
  <si>
    <t>219555940</t>
  </si>
  <si>
    <t>140103-2019-000510</t>
  </si>
  <si>
    <t>TK-F01-109-A7(7-10U)DP3-2</t>
  </si>
  <si>
    <t>219555934</t>
  </si>
  <si>
    <t>140103-2019-000511</t>
  </si>
  <si>
    <t>TK-F01-109-A7(7-10U)DP3-3</t>
  </si>
  <si>
    <t>219555935</t>
  </si>
  <si>
    <t>140103-2019-000512</t>
  </si>
  <si>
    <t>TK-F01-109-A7(7-10U)DP3-4</t>
  </si>
  <si>
    <t>219555936</t>
  </si>
  <si>
    <t>140103-2019-000513</t>
  </si>
  <si>
    <t>TK-F01-109-A7(7-10U)DP3-5</t>
  </si>
  <si>
    <t>219555937</t>
  </si>
  <si>
    <t>140103-2019-000514</t>
  </si>
  <si>
    <t>TK-F01-109-A7(7-10U)DP3-6</t>
  </si>
  <si>
    <t>219555939</t>
  </si>
  <si>
    <t>140103-2019-000515</t>
  </si>
  <si>
    <t>TK-F01-109-A7(7-10U)DP3-7</t>
  </si>
  <si>
    <t>219555938</t>
  </si>
  <si>
    <t>140103-2019-000516</t>
  </si>
  <si>
    <t>TK-F01-109-A7(7-10U)DP3-8</t>
  </si>
  <si>
    <t>219556053</t>
  </si>
  <si>
    <t>140103-2019-000282</t>
  </si>
  <si>
    <t>TK-F01-109-A7-KP(12-15U)DP2-1</t>
  </si>
  <si>
    <t>219556052</t>
  </si>
  <si>
    <t>140103-2019-000283</t>
  </si>
  <si>
    <t>TK-F01-109-A7-KP(12-15U)DP2-2</t>
  </si>
  <si>
    <t>219556054</t>
  </si>
  <si>
    <t>140103-2019-000284</t>
  </si>
  <si>
    <t>TK-F01-109-A7-KP(12-15U)DP2-3</t>
  </si>
  <si>
    <t>219556055</t>
  </si>
  <si>
    <t>140103-2019-000285</t>
  </si>
  <si>
    <t>TK-F01-109-A7-KP(12-15U)DP2-4</t>
  </si>
  <si>
    <t>219556058</t>
  </si>
  <si>
    <t>140103-2019-000286</t>
  </si>
  <si>
    <t>TK-F01-109-A7-KP(12-15U)DP2-5</t>
  </si>
  <si>
    <t>219556059</t>
  </si>
  <si>
    <t>140103-2019-000287</t>
  </si>
  <si>
    <t>TK-F01-109-A7-KP(12-15U)DP2-6</t>
  </si>
  <si>
    <t>219556057</t>
  </si>
  <si>
    <t>140103-2019-000288</t>
  </si>
  <si>
    <t>TK-F01-109-A7-KP(12-15U)DP2-7</t>
  </si>
  <si>
    <t>219556056</t>
  </si>
  <si>
    <t>140103-2019-000289</t>
  </si>
  <si>
    <t>TK-F01-109-A7-KP(12-15U)DP2-8</t>
  </si>
  <si>
    <t>219548297</t>
  </si>
  <si>
    <t>140103-2019-000290</t>
  </si>
  <si>
    <t>TK-F01-109-A7-KP(17-20U)DP1-1</t>
  </si>
  <si>
    <t>219548296</t>
  </si>
  <si>
    <t>140103-2019-000291</t>
  </si>
  <si>
    <t>TK-F01-109-A7-KP(17-20U)DP1-2</t>
  </si>
  <si>
    <t>219548294</t>
  </si>
  <si>
    <t>140103-2019-000292</t>
  </si>
  <si>
    <t>TK-F01-109-A7-KP(17-20U)DP1-3</t>
  </si>
  <si>
    <t>219548295</t>
  </si>
  <si>
    <t>140103-2019-000293</t>
  </si>
  <si>
    <t>TK-F01-109-A7-KP(17-20U)DP1-4</t>
  </si>
  <si>
    <t>219548292</t>
  </si>
  <si>
    <t>140103-2019-000294</t>
  </si>
  <si>
    <t>TK-F01-109-A7-KP(17-20U)DP1-5</t>
  </si>
  <si>
    <t>219548293</t>
  </si>
  <si>
    <t>140103-2019-000295</t>
  </si>
  <si>
    <t>TK-F01-109-A7-KP(17-20U)DP1-6</t>
  </si>
  <si>
    <t>219555952</t>
  </si>
  <si>
    <t>140103-2019-000525</t>
  </si>
  <si>
    <t>TK-F01-109-B1(2-5)DP1-1</t>
  </si>
  <si>
    <t>219555953</t>
  </si>
  <si>
    <t>140103-2019-000526</t>
  </si>
  <si>
    <t>TK-F01-109-B1(2-5)DP1-2</t>
  </si>
  <si>
    <t>219555951</t>
  </si>
  <si>
    <t>140103-2019-000527</t>
  </si>
  <si>
    <t>TK-F01-109-B1(2-5)DP1-3</t>
  </si>
  <si>
    <t>219555950</t>
  </si>
  <si>
    <t>140103-2019-000528</t>
  </si>
  <si>
    <t>TK-F01-109-B1(2-5)DP1-4</t>
  </si>
  <si>
    <t>219555957</t>
  </si>
  <si>
    <t>140103-2019-000529</t>
  </si>
  <si>
    <t>TK-F01-109-B1(2-5)DP1-5</t>
  </si>
  <si>
    <t>219555956</t>
  </si>
  <si>
    <t>140103-2019-000530</t>
  </si>
  <si>
    <t>TK-F01-109-B1(2-5)DP1-6</t>
  </si>
  <si>
    <t>219555954</t>
  </si>
  <si>
    <t>140103-2019-000531</t>
  </si>
  <si>
    <t>TK-F01-109-B1(2-5)DP1-7</t>
  </si>
  <si>
    <t>219555955</t>
  </si>
  <si>
    <t>140103-2019-000532</t>
  </si>
  <si>
    <t>TK-F01-109-B1(2-5)DP1-8</t>
  </si>
  <si>
    <t>2102350DLVDMK8001543</t>
  </si>
  <si>
    <t>140502-2019-000120</t>
  </si>
  <si>
    <t>TK-F01-109-B1(33-33U)</t>
  </si>
  <si>
    <t>2102350DLVDMK8001528</t>
  </si>
  <si>
    <t>140502-2019-000119</t>
  </si>
  <si>
    <t>TK-F01-109-B1(35-35U)</t>
  </si>
  <si>
    <t>210235A3GLH197000010</t>
  </si>
  <si>
    <t>140502-2019-000132</t>
  </si>
  <si>
    <t>TK-F01-109-B1(38-38U)</t>
  </si>
  <si>
    <t>210235A3GLH195000057</t>
  </si>
  <si>
    <t>140502-2019-000131</t>
  </si>
  <si>
    <t>TK-F01-109-B1(41-41U)</t>
  </si>
  <si>
    <t>浪潮 NS5484M5</t>
  </si>
  <si>
    <t>219555732</t>
  </si>
  <si>
    <t>140103-2019-000393</t>
  </si>
  <si>
    <t>TK-F01-109-B2(12-15U)DP2-1</t>
  </si>
  <si>
    <t>219555731</t>
  </si>
  <si>
    <t>140103-2019-000394</t>
  </si>
  <si>
    <t>TK-F01-109-B2(12-15U)DP2-2</t>
  </si>
  <si>
    <t>219555730</t>
  </si>
  <si>
    <t>140103-2019-000395</t>
  </si>
  <si>
    <t>TK-F01-109-B2(12-15U)DP2-3</t>
  </si>
  <si>
    <t>219555729</t>
  </si>
  <si>
    <t>140103-2019-000396</t>
  </si>
  <si>
    <t>TK-F01-109-B2(12-15U)DP2-4</t>
  </si>
  <si>
    <t>219555763</t>
  </si>
  <si>
    <t>140103-2019-000389</t>
  </si>
  <si>
    <t>TK-F01-109-B2(17-20U)DP1-1</t>
  </si>
  <si>
    <t>219555764</t>
  </si>
  <si>
    <t>140103-2019-000390</t>
  </si>
  <si>
    <t>TK-F01-109-B2(17-20U)DP1-2</t>
  </si>
  <si>
    <t>219555761</t>
  </si>
  <si>
    <t>140103-2019-000391</t>
  </si>
  <si>
    <t>TK-F01-109-B2(17-20U)DP1-3</t>
  </si>
  <si>
    <t>219555762</t>
  </si>
  <si>
    <t>140103-2019-000392</t>
  </si>
  <si>
    <t>TK-F01-109-B2(17-20U)DP1-4</t>
  </si>
  <si>
    <t>219555756</t>
  </si>
  <si>
    <t>140103-2019-000401</t>
  </si>
  <si>
    <t>TK-F01-109-B2(2-5U)DP4-1</t>
  </si>
  <si>
    <t>219555755</t>
  </si>
  <si>
    <t>140103-2019-000402</t>
  </si>
  <si>
    <t>TK-F01-109-B2(2-5U)DP4-2</t>
  </si>
  <si>
    <t>219555753</t>
  </si>
  <si>
    <t>140103-2019-000403</t>
  </si>
  <si>
    <t>TK-F01-109-B2(2-5U)DP4-3</t>
  </si>
  <si>
    <t>219555754</t>
  </si>
  <si>
    <t>140103-2019-000404</t>
  </si>
  <si>
    <t>TK-F01-109-B2(2-5U)DP4-4</t>
  </si>
  <si>
    <t>219555726</t>
  </si>
  <si>
    <t>140103-2019-000397</t>
  </si>
  <si>
    <t>TK-F01-109-B2(7-10U)DP3-1</t>
  </si>
  <si>
    <t>219555725</t>
  </si>
  <si>
    <t>140103-2019-000398</t>
  </si>
  <si>
    <t>TK-F01-109-B2(7-10U)DP3-2</t>
  </si>
  <si>
    <t>219555728</t>
  </si>
  <si>
    <t>140103-2019-000399</t>
  </si>
  <si>
    <t>TK-F01-109-B2(7-10U)DP3-3</t>
  </si>
  <si>
    <t>219555727</t>
  </si>
  <si>
    <t>140103-2019-000400</t>
  </si>
  <si>
    <t>TK-F01-109-B2(7-10U)DP3-4</t>
  </si>
  <si>
    <t>219555745</t>
  </si>
  <si>
    <t>140103-2019-000409</t>
  </si>
  <si>
    <t>TK-F01-109-B3(12-15U)DP2-1</t>
  </si>
  <si>
    <t>219555746</t>
  </si>
  <si>
    <t>140103-2019-000410</t>
  </si>
  <si>
    <t>TK-F01-109-B3(12-15U)DP2-2</t>
  </si>
  <si>
    <t>219555748</t>
  </si>
  <si>
    <t>140103-2019-000411</t>
  </si>
  <si>
    <t>TK-F01-109-B3(12-15U)DP2-3</t>
  </si>
  <si>
    <t>219555747</t>
  </si>
  <si>
    <t>140103-2019-000412</t>
  </si>
  <si>
    <t>TK-F01-109-B3(12-15U)DP2-4</t>
  </si>
  <si>
    <t>219555752</t>
  </si>
  <si>
    <t>140103-2019-000405</t>
  </si>
  <si>
    <t>TK-F01-109-B3(17-20U)DP1-1</t>
  </si>
  <si>
    <t>219555751</t>
  </si>
  <si>
    <t>140103-2019-000406</t>
  </si>
  <si>
    <t>TK-F01-109-B3(17-20U)DP1-2</t>
  </si>
  <si>
    <t>219555749</t>
  </si>
  <si>
    <t>140103-2019-000407</t>
  </si>
  <si>
    <t>TK-F01-109-B3(17-20U)DP1-3</t>
  </si>
  <si>
    <t>219555750</t>
  </si>
  <si>
    <t>140103-2019-000408</t>
  </si>
  <si>
    <t>TK-F01-109-B3(17-20U)DP1-4</t>
  </si>
  <si>
    <t>219555734</t>
  </si>
  <si>
    <t>140103-2019-000417</t>
  </si>
  <si>
    <t>TK-F01-109-B3(2-5U)DP4-1</t>
  </si>
  <si>
    <t>219555733</t>
  </si>
  <si>
    <t>140103-2019-000418</t>
  </si>
  <si>
    <t>TK-F01-109-B3(2-5U)DP4-2</t>
  </si>
  <si>
    <t>219555736</t>
  </si>
  <si>
    <t>140103-2019-000419</t>
  </si>
  <si>
    <t>TK-F01-109-B3(2-5U)DP4-3</t>
  </si>
  <si>
    <t>219555735</t>
  </si>
  <si>
    <t>140103-2019-000420</t>
  </si>
  <si>
    <t>TK-F01-109-B3(2-5U)DP4-4</t>
  </si>
  <si>
    <t>219555767</t>
  </si>
  <si>
    <t>140103-2019-000413</t>
  </si>
  <si>
    <t>TK-F01-109-B3(7-10U)DP3-1</t>
  </si>
  <si>
    <t>219555768</t>
  </si>
  <si>
    <t>140103-2019-000414</t>
  </si>
  <si>
    <t>TK-F01-109-B3(7-10U)DP3-2</t>
  </si>
  <si>
    <t>219555766</t>
  </si>
  <si>
    <t>140103-2019-000415</t>
  </si>
  <si>
    <t>TK-F01-109-B3(7-10U)DP3-3</t>
  </si>
  <si>
    <t>219555765</t>
  </si>
  <si>
    <t>140103-2019-000416</t>
  </si>
  <si>
    <t>TK-F01-109-B3(7-10U)DP3-4</t>
  </si>
  <si>
    <t>219555741</t>
  </si>
  <si>
    <t>140103-2019-000425</t>
  </si>
  <si>
    <t>TK-F01-109-B4(12-15U)DP2-1</t>
  </si>
  <si>
    <t>219555742</t>
  </si>
  <si>
    <t>140103-2019-000426</t>
  </si>
  <si>
    <t>TK-F01-109-B4(12-15U)DP2-2</t>
  </si>
  <si>
    <t>219555744</t>
  </si>
  <si>
    <t>140103-2019-000427</t>
  </si>
  <si>
    <t>TK-F01-109-B4(12-15U)DP2-3</t>
  </si>
  <si>
    <t>219555743</t>
  </si>
  <si>
    <t>140103-2019-000428</t>
  </si>
  <si>
    <t>TK-F01-109-B4(12-15U)DP2-4</t>
  </si>
  <si>
    <t>219555770</t>
  </si>
  <si>
    <t>140103-2019-000421</t>
  </si>
  <si>
    <t>TK-F01-109-B4(17-20U)DP1-1</t>
  </si>
  <si>
    <t>219555769</t>
  </si>
  <si>
    <t>140103-2019-000422</t>
  </si>
  <si>
    <t>TK-F01-109-B4(17-20U)DP1-2</t>
  </si>
  <si>
    <t>219555771</t>
  </si>
  <si>
    <t>140103-2019-000423</t>
  </si>
  <si>
    <t>TK-F01-109-B4(17-20U)DP1-3</t>
  </si>
  <si>
    <t>219555772</t>
  </si>
  <si>
    <t>140103-2019-000424</t>
  </si>
  <si>
    <t>TK-F01-109-B4(17-20U)DP1-4</t>
  </si>
  <si>
    <t>0191103201637</t>
  </si>
  <si>
    <t>140403-2019-000006</t>
  </si>
  <si>
    <t>TK-F01-109-B4(22-22U)</t>
  </si>
  <si>
    <t>219555758</t>
  </si>
  <si>
    <t>140103-2019-000433</t>
  </si>
  <si>
    <t>TK-F01-109-B4(2-5U)DP4-1</t>
  </si>
  <si>
    <t>219555757</t>
  </si>
  <si>
    <t>140103-2019-000434</t>
  </si>
  <si>
    <t>TK-F01-109-B4(2-5U)DP4-2</t>
  </si>
  <si>
    <t>219555759</t>
  </si>
  <si>
    <t>140103-2019-000435</t>
  </si>
  <si>
    <t>TK-F01-109-B4(2-5U)DP4-3</t>
  </si>
  <si>
    <t>219555760</t>
  </si>
  <si>
    <t>140103-2019-000436</t>
  </si>
  <si>
    <t>TK-F01-109-B4(2-5U)DP4-4</t>
  </si>
  <si>
    <t>219555738</t>
  </si>
  <si>
    <t>140103-2019-000429</t>
  </si>
  <si>
    <t>TK-F01-109-B4(7-10U)DP3-1</t>
  </si>
  <si>
    <t>219555737</t>
  </si>
  <si>
    <t>140103-2019-000430</t>
  </si>
  <si>
    <t>TK-F01-109-B4(7-10U)DP3-2</t>
  </si>
  <si>
    <t>219555739</t>
  </si>
  <si>
    <t>140103-2019-000431</t>
  </si>
  <si>
    <t>TK-F01-109-B4(7-10U)DP3-3</t>
  </si>
  <si>
    <t>219555740</t>
  </si>
  <si>
    <t>140103-2019-000432</t>
  </si>
  <si>
    <t>TK-F01-109-B4(7-10U)DP3-4</t>
  </si>
  <si>
    <t>219555829</t>
  </si>
  <si>
    <t>140103-2019-000365</t>
  </si>
  <si>
    <t>TK-F01-109-B5(12-15U)DP2-1</t>
  </si>
  <si>
    <t>219555830</t>
  </si>
  <si>
    <t>140103-2019-000366</t>
  </si>
  <si>
    <t>TK-F01-109-B5(12-15U)DP2-2</t>
  </si>
  <si>
    <t>219555831</t>
  </si>
  <si>
    <t>140103-2019-000367</t>
  </si>
  <si>
    <t>TK-F01-109-B5(12-15U)DP2-3</t>
  </si>
  <si>
    <t>219555832</t>
  </si>
  <si>
    <t>140103-2019-000368</t>
  </si>
  <si>
    <t>TK-F01-109-B5(12-15U)DP2-4</t>
  </si>
  <si>
    <t>219555833</t>
  </si>
  <si>
    <t>140103-2019-000369</t>
  </si>
  <si>
    <t>TK-F01-109-B5(12-15U)DP2-5</t>
  </si>
  <si>
    <t>219555834</t>
  </si>
  <si>
    <t>140103-2019-000370</t>
  </si>
  <si>
    <t>TK-F01-109-B5(12-15U)DP2-6</t>
  </si>
  <si>
    <t>219555835</t>
  </si>
  <si>
    <t>140103-2019-000371</t>
  </si>
  <si>
    <t>TK-F01-109-B5(12-15U)DP2-7</t>
  </si>
  <si>
    <t>219555836</t>
  </si>
  <si>
    <t>140103-2019-000372</t>
  </si>
  <si>
    <t>TK-F01-109-B5(12-15U)DP2-8</t>
  </si>
  <si>
    <t>219555861</t>
  </si>
  <si>
    <t>140103-2019-000357</t>
  </si>
  <si>
    <t>TK-F01-109-B5(17-20U)DP1-1</t>
  </si>
  <si>
    <t>219555862</t>
  </si>
  <si>
    <t>140103-2019-000358</t>
  </si>
  <si>
    <t>TK-F01-109-B5(17-20U)DP1-2</t>
  </si>
  <si>
    <t>219555863</t>
  </si>
  <si>
    <t>140103-2019-000359</t>
  </si>
  <si>
    <t>TK-F01-109-B5(17-20U)DP1-3</t>
  </si>
  <si>
    <t>219555864</t>
  </si>
  <si>
    <t>140103-2019-000360</t>
  </si>
  <si>
    <t>TK-F01-109-B5(17-20U)DP1-4</t>
  </si>
  <si>
    <t>219555865</t>
  </si>
  <si>
    <t>140103-2019-000361</t>
  </si>
  <si>
    <t>TK-F01-109-B5(17-20U)DP1-5</t>
  </si>
  <si>
    <t>219555866</t>
  </si>
  <si>
    <t>140103-2019-000362</t>
  </si>
  <si>
    <t>TK-F01-109-B5(17-20U)DP1-6</t>
  </si>
  <si>
    <t>219555867</t>
  </si>
  <si>
    <t>140103-2019-000363</t>
  </si>
  <si>
    <t>TK-F01-109-B5(17-20U)DP1-7</t>
  </si>
  <si>
    <t>219555868</t>
  </si>
  <si>
    <t>140103-2019-000364</t>
  </si>
  <si>
    <t>TK-F01-109-B5(17-20U)DP1-8</t>
  </si>
  <si>
    <t>219555813</t>
  </si>
  <si>
    <t>140103-2019-000381</t>
  </si>
  <si>
    <t>TK-F01-109-B5(2-5U)DP4-1</t>
  </si>
  <si>
    <t>219555814</t>
  </si>
  <si>
    <t>140103-2019-000382</t>
  </si>
  <si>
    <t>TK-F01-109-B5(2-5U)DP4-2</t>
  </si>
  <si>
    <t>219555815</t>
  </si>
  <si>
    <t>140103-2019-000383</t>
  </si>
  <si>
    <t>TK-F01-109-B5(2-5U)DP4-3</t>
  </si>
  <si>
    <t>219555816</t>
  </si>
  <si>
    <t>140103-2019-000384</t>
  </si>
  <si>
    <t>TK-F01-109-B5(2-5U)DP4-4</t>
  </si>
  <si>
    <t>219555817</t>
  </si>
  <si>
    <t>140103-2019-000385</t>
  </si>
  <si>
    <t>TK-F01-109-B5(2-5U)DP4-5</t>
  </si>
  <si>
    <t>219555818</t>
  </si>
  <si>
    <t>140103-2019-000386</t>
  </si>
  <si>
    <t>TK-F01-109-B5(2-5U)DP4-6</t>
  </si>
  <si>
    <t>219555819</t>
  </si>
  <si>
    <t>140103-2019-000387</t>
  </si>
  <si>
    <t>TK-F01-109-B5(2-5U)DP4-7</t>
  </si>
  <si>
    <t>219555820</t>
  </si>
  <si>
    <t>140103-2019-000388</t>
  </si>
  <si>
    <t>TK-F01-109-B5(2-5U)DP4-8</t>
  </si>
  <si>
    <t>219555821</t>
  </si>
  <si>
    <t>140103-2019-000373</t>
  </si>
  <si>
    <t>TK-F01-109-B5(7-10U)DP3-1</t>
  </si>
  <si>
    <t>219555822</t>
  </si>
  <si>
    <t>140103-2019-000374</t>
  </si>
  <si>
    <t>TK-F01-109-B5(7-10U)DP3-2</t>
  </si>
  <si>
    <t>219555823</t>
  </si>
  <si>
    <t>140103-2019-000375</t>
  </si>
  <si>
    <t>TK-F01-109-B5(7-10U)DP3-3</t>
  </si>
  <si>
    <t>219555824</t>
  </si>
  <si>
    <t>140103-2019-000376</t>
  </si>
  <si>
    <t>TK-F01-109-B5(7-10U)DP3-4</t>
  </si>
  <si>
    <t>219555825</t>
  </si>
  <si>
    <t>140103-2019-000377</t>
  </si>
  <si>
    <t>TK-F01-109-B5(7-10U)DP3-5</t>
  </si>
  <si>
    <t>219555826</t>
  </si>
  <si>
    <t>140103-2019-000378</t>
  </si>
  <si>
    <t>TK-F01-109-B5(7-10U)DP3-6</t>
  </si>
  <si>
    <t>219555827</t>
  </si>
  <si>
    <t>140103-2019-000379</t>
  </si>
  <si>
    <t>TK-F01-109-B5(7-10U)DP3-7</t>
  </si>
  <si>
    <t>219555828</t>
  </si>
  <si>
    <t>140103-2019-000380</t>
  </si>
  <si>
    <t>TK-F01-109-B5(7-10U)DP3-8</t>
  </si>
  <si>
    <t>219555802</t>
  </si>
  <si>
    <t>140103-2019-000445</t>
  </si>
  <si>
    <t>TK-F01-109-B6(12-15U)DP2-1</t>
  </si>
  <si>
    <t>219555801</t>
  </si>
  <si>
    <t>140103-2019-000446</t>
  </si>
  <si>
    <t>TK-F01-109-B6(12-15U)DP2-2</t>
  </si>
  <si>
    <t>219555797</t>
  </si>
  <si>
    <t>140103-2019-000447</t>
  </si>
  <si>
    <t>TK-F01-109-B6(12-15U)DP2-3</t>
  </si>
  <si>
    <t>219555798</t>
  </si>
  <si>
    <t>140103-2019-000448</t>
  </si>
  <si>
    <t>TK-F01-109-B6(12-15U)DP2-4</t>
  </si>
  <si>
    <t>219555799</t>
  </si>
  <si>
    <t>140103-2019-000449</t>
  </si>
  <si>
    <t>TK-F01-109-B6(12-15U)DP2-5</t>
  </si>
  <si>
    <t>219555803</t>
  </si>
  <si>
    <t>140103-2019-000450</t>
  </si>
  <si>
    <t>TK-F01-109-B6(12-15U)DP2-6</t>
  </si>
  <si>
    <t>219555804</t>
  </si>
  <si>
    <t>140103-2019-000451</t>
  </si>
  <si>
    <t>TK-F01-109-B6(12-15U)DP2-7</t>
  </si>
  <si>
    <t>219555800</t>
  </si>
  <si>
    <t>140103-2019-000452</t>
  </si>
  <si>
    <t>TK-F01-109-B6(12-15U)DP2-8</t>
  </si>
  <si>
    <t>219555858</t>
  </si>
  <si>
    <t>140103-2019-000437</t>
  </si>
  <si>
    <t>TK-F01-109-B6(17-20U)DP1-1</t>
  </si>
  <si>
    <t>219555855</t>
  </si>
  <si>
    <t>140103-2019-000438</t>
  </si>
  <si>
    <t>TK-F01-109-B6(17-20U)DP1-2</t>
  </si>
  <si>
    <t>219555856</t>
  </si>
  <si>
    <t>140103-2019-000439</t>
  </si>
  <si>
    <t>TK-F01-109-B6(17-20U)DP1-3</t>
  </si>
  <si>
    <t>219555857</t>
  </si>
  <si>
    <t>140103-2019-000440</t>
  </si>
  <si>
    <t>TK-F01-109-B6(17-20U)DP1-4</t>
  </si>
  <si>
    <t>219555860</t>
  </si>
  <si>
    <t>140103-2019-000441</t>
  </si>
  <si>
    <t>TK-F01-109-B6(17-20U)DP1-5</t>
  </si>
  <si>
    <t>219555859</t>
  </si>
  <si>
    <t>140103-2019-000442</t>
  </si>
  <si>
    <t>TK-F01-109-B6(17-20U)DP1-6</t>
  </si>
  <si>
    <t>219555853</t>
  </si>
  <si>
    <t>140103-2019-000443</t>
  </si>
  <si>
    <t>TK-F01-109-B6(17-20U)DP1-7</t>
  </si>
  <si>
    <t>219555854</t>
  </si>
  <si>
    <t>140103-2019-000444</t>
  </si>
  <si>
    <t>TK-F01-109-B6(17-20U)DP1-8</t>
  </si>
  <si>
    <t>0191103201668</t>
  </si>
  <si>
    <t>140403-2019-000007</t>
  </si>
  <si>
    <t>TK-F01-109-B6(22-22U)</t>
  </si>
  <si>
    <t>219555841</t>
  </si>
  <si>
    <t>140103-2019-000461</t>
  </si>
  <si>
    <t>TK-F01-109-B6(2-5U)DP4-1</t>
  </si>
  <si>
    <t>219555842</t>
  </si>
  <si>
    <t>140103-2019-000462</t>
  </si>
  <si>
    <t>TK-F01-109-B6(2-5U)DP4-2</t>
  </si>
  <si>
    <t>219555839</t>
  </si>
  <si>
    <t>140103-2019-000463</t>
  </si>
  <si>
    <t>TK-F01-109-B6(2-5U)DP4-3</t>
  </si>
  <si>
    <t>219555840</t>
  </si>
  <si>
    <t>140103-2019-000464</t>
  </si>
  <si>
    <t>TK-F01-109-B6(2-5U)DP4-4</t>
  </si>
  <si>
    <t>219555838</t>
  </si>
  <si>
    <t>140103-2019-000465</t>
  </si>
  <si>
    <t>TK-F01-109-B6(2-5U)DP4-5</t>
  </si>
  <si>
    <t>219555837</t>
  </si>
  <si>
    <t>140103-2019-000466</t>
  </si>
  <si>
    <t>TK-F01-109-B6(2-5U)DP4-6</t>
  </si>
  <si>
    <t>219555844</t>
  </si>
  <si>
    <t>140103-2019-000467</t>
  </si>
  <si>
    <t>TK-F01-109-B6(2-5U)DP4-7</t>
  </si>
  <si>
    <t>219555843</t>
  </si>
  <si>
    <t>140103-2019-000468</t>
  </si>
  <si>
    <t>TK-F01-109-B6(2-5U)DP4-8</t>
  </si>
  <si>
    <t>219555794</t>
  </si>
  <si>
    <t>140103-2019-000453</t>
  </si>
  <si>
    <t>TK-F01-109-B6(7-10U)DP3-1</t>
  </si>
  <si>
    <t>219555793</t>
  </si>
  <si>
    <t>140103-2019-000454</t>
  </si>
  <si>
    <t>TK-F01-109-B6(7-10U)DP3-2</t>
  </si>
  <si>
    <t>219555789</t>
  </si>
  <si>
    <t>140103-2019-000455</t>
  </si>
  <si>
    <t>TK-F01-109-B6(7-10U)DP3-3</t>
  </si>
  <si>
    <t>219555790</t>
  </si>
  <si>
    <t>140103-2019-000456</t>
  </si>
  <si>
    <t>TK-F01-109-B6(7-10U)DP3-4</t>
  </si>
  <si>
    <t>219555792</t>
  </si>
  <si>
    <t>140103-2019-000457</t>
  </si>
  <si>
    <t>TK-F01-109-B6(7-10U)DP3-5</t>
  </si>
  <si>
    <t>219555795</t>
  </si>
  <si>
    <t>140103-2019-000458</t>
  </si>
  <si>
    <t>TK-F01-109-B6(7-10U)DP3-6</t>
  </si>
  <si>
    <t>219555796</t>
  </si>
  <si>
    <t>140103-2019-000459</t>
  </si>
  <si>
    <t>TK-F01-109-B6(7-10U)DP3-7</t>
  </si>
  <si>
    <t>219555791</t>
  </si>
  <si>
    <t>140103-2019-000460</t>
  </si>
  <si>
    <t>TK-F01-109-B6(7-10U)DP3-8</t>
  </si>
  <si>
    <t>219555845</t>
  </si>
  <si>
    <t>140103-2019-000477</t>
  </si>
  <si>
    <t>TK-F01-109-B7(12-15U)DP2-1</t>
  </si>
  <si>
    <t>219555846</t>
  </si>
  <si>
    <t>140103-2019-000478</t>
  </si>
  <si>
    <t>TK-F01-109-B7(12-15U)DP2-2</t>
  </si>
  <si>
    <t>219555847</t>
  </si>
  <si>
    <t>140103-2019-000479</t>
  </si>
  <si>
    <t>TK-F01-109-B7(12-15U)DP2-3</t>
  </si>
  <si>
    <t>219555850</t>
  </si>
  <si>
    <t>140103-2019-000480</t>
  </si>
  <si>
    <t>TK-F01-109-B7(12-15U)DP2-4</t>
  </si>
  <si>
    <t>219555849</t>
  </si>
  <si>
    <t>140103-2019-000481</t>
  </si>
  <si>
    <t>TK-F01-109-B7(12-15U)DP2-5</t>
  </si>
  <si>
    <t>219555851</t>
  </si>
  <si>
    <t>140103-2019-000482</t>
  </si>
  <si>
    <t>TK-F01-109-B7(12-15U)DP2-6</t>
  </si>
  <si>
    <t>219555852</t>
  </si>
  <si>
    <t>140103-2019-000483</t>
  </si>
  <si>
    <t>TK-F01-109-B7(12-15U)DP2-7</t>
  </si>
  <si>
    <t>219555848</t>
  </si>
  <si>
    <t>140103-2019-000484</t>
  </si>
  <si>
    <t>TK-F01-109-B7(12-15U)DP2-8</t>
  </si>
  <si>
    <t>219555784</t>
  </si>
  <si>
    <t>140103-2019-000469</t>
  </si>
  <si>
    <t>TK-F01-109-B7(17-20U)DP1-1</t>
  </si>
  <si>
    <t>219555783</t>
  </si>
  <si>
    <t>140103-2019-000470</t>
  </si>
  <si>
    <t>TK-F01-109-B7(17-20U)DP1-2</t>
  </si>
  <si>
    <t>219555788</t>
  </si>
  <si>
    <t>140103-2019-000471</t>
  </si>
  <si>
    <t>TK-F01-109-B7(17-20U)DP1-3</t>
  </si>
  <si>
    <t>219555787</t>
  </si>
  <si>
    <t>140103-2019-000472</t>
  </si>
  <si>
    <t>TK-F01-109-B7(17-20U)DP1-4</t>
  </si>
  <si>
    <t>219555781</t>
  </si>
  <si>
    <t>140103-2019-000473</t>
  </si>
  <si>
    <t>TK-F01-109-B7(17-20U)DP1-5</t>
  </si>
  <si>
    <t>219555782</t>
  </si>
  <si>
    <t>140103-2019-000474</t>
  </si>
  <si>
    <t>TK-F01-109-B7(17-20U)DP1-6</t>
  </si>
  <si>
    <t>219555785</t>
  </si>
  <si>
    <t>140103-2019-000475</t>
  </si>
  <si>
    <t>TK-F01-109-B7(17-20U)DP1-7</t>
  </si>
  <si>
    <t>219555786</t>
  </si>
  <si>
    <t>140103-2019-000476</t>
  </si>
  <si>
    <t>TK-F01-109-B7(17-20U)DP1-8</t>
  </si>
  <si>
    <t>219555870</t>
  </si>
  <si>
    <t>140103-2019-000493</t>
  </si>
  <si>
    <t>TK-F01-109-B7(2-5U)DP4-1</t>
  </si>
  <si>
    <t>219555869</t>
  </si>
  <si>
    <t>140103-2019-000494</t>
  </si>
  <si>
    <t>TK-F01-109-B7(2-5U)DP4-2</t>
  </si>
  <si>
    <t>219555872</t>
  </si>
  <si>
    <t>140103-2019-000495</t>
  </si>
  <si>
    <t>TK-F01-109-B7(2-5U)DP4-3</t>
  </si>
  <si>
    <t>219555871</t>
  </si>
  <si>
    <t>140103-2019-000496</t>
  </si>
  <si>
    <t>TK-F01-109-B7(2-5U)DP4-4</t>
  </si>
  <si>
    <t>219555876</t>
  </si>
  <si>
    <t>140103-2019-000497</t>
  </si>
  <si>
    <t>TK-F01-109-B7(2-5U)DP4-5</t>
  </si>
  <si>
    <t>219555875</t>
  </si>
  <si>
    <t>140103-2019-000498</t>
  </si>
  <si>
    <t>TK-F01-109-B7(2-5U)DP4-6</t>
  </si>
  <si>
    <t>219555874</t>
  </si>
  <si>
    <t>140103-2019-000499</t>
  </si>
  <si>
    <t>TK-F01-109-B7(2-5U)DP4-7</t>
  </si>
  <si>
    <t>219555873</t>
  </si>
  <si>
    <t>140103-2019-000500</t>
  </si>
  <si>
    <t>TK-F01-109-B7(2-5U)DP4-8</t>
  </si>
  <si>
    <t>219555808</t>
  </si>
  <si>
    <t>140103-2019-000485</t>
  </si>
  <si>
    <t>TK-F01-109-B7(7-10U)DP3-1</t>
  </si>
  <si>
    <t>219555807</t>
  </si>
  <si>
    <t>140103-2019-000486</t>
  </si>
  <si>
    <t>TK-F01-109-B7(7-10U)DP3-2</t>
  </si>
  <si>
    <t>219555811</t>
  </si>
  <si>
    <t>140103-2019-000487</t>
  </si>
  <si>
    <t>TK-F01-109-B7(7-10U)DP3-3</t>
  </si>
  <si>
    <t>219555812</t>
  </si>
  <si>
    <t>140103-2019-000488</t>
  </si>
  <si>
    <t>TK-F01-109-B7(7-10U)DP3-4</t>
  </si>
  <si>
    <t>219555810</t>
  </si>
  <si>
    <t>140103-2019-000489</t>
  </si>
  <si>
    <t>TK-F01-109-B7(7-10U)DP3-5</t>
  </si>
  <si>
    <t>219555809</t>
  </si>
  <si>
    <t>140103-2019-000490</t>
  </si>
  <si>
    <t>TK-F01-109-B7(7-10U)DP3-6</t>
  </si>
  <si>
    <t>219555806</t>
  </si>
  <si>
    <t>140103-2019-000491</t>
  </si>
  <si>
    <t>TK-F01-109-B7(7-10U)DP3-7</t>
  </si>
  <si>
    <t>219555805</t>
  </si>
  <si>
    <t>140103-2019-000492</t>
  </si>
  <si>
    <t>TK-F01-109-B7(7-10U)DP3-8</t>
  </si>
  <si>
    <t>思科 N5K-C5672UP-16G</t>
  </si>
  <si>
    <t>FOC21172AF5</t>
  </si>
  <si>
    <t>140502-2017-000101</t>
  </si>
  <si>
    <t>TK-F02-226-F9(37-37U)</t>
  </si>
  <si>
    <t>210235A0U0H134000226</t>
  </si>
  <si>
    <t>140502-2014-001132</t>
  </si>
  <si>
    <t>TK-F02-226-F(22-22U)</t>
  </si>
  <si>
    <t>210235A0U0H137000015</t>
  </si>
  <si>
    <t>140502-2014-001131</t>
  </si>
  <si>
    <t>TK-F02-226-F(24-24U)</t>
  </si>
  <si>
    <t>210235A0U0H139000108</t>
  </si>
  <si>
    <t>140502-2014-001130</t>
  </si>
  <si>
    <t>TK-F02-226-A(10-10U)</t>
  </si>
  <si>
    <t>JAE23070N69</t>
  </si>
  <si>
    <t>140502-2019-000112</t>
  </si>
  <si>
    <t>TK-F02-226-A(16-16U)</t>
  </si>
  <si>
    <t>210235A0U0H137000032</t>
  </si>
  <si>
    <t>140502-2014-001129</t>
  </si>
  <si>
    <t>TK-F02-226-A(8-8U)</t>
  </si>
  <si>
    <t>H3C LS-5820V2</t>
  </si>
  <si>
    <t>210235A1DWH165000050</t>
  </si>
  <si>
    <t>140502-2016-000012</t>
  </si>
  <si>
    <t>TK-F02-226-A01(11-11U)</t>
  </si>
  <si>
    <t>210235A1DWH165000006</t>
  </si>
  <si>
    <t>140502-2016-000011</t>
  </si>
  <si>
    <t>TK-F02-226-A01(9-9U)</t>
  </si>
  <si>
    <t>FOC2004R0ZE</t>
  </si>
  <si>
    <t>140502-2018-000036</t>
  </si>
  <si>
    <t>TK-F02-226-A(12-12U)</t>
  </si>
  <si>
    <t>210235AOHAH14A000395</t>
  </si>
  <si>
    <t>140502-2014-001158</t>
  </si>
  <si>
    <t>TK-F02-226-A2(4-4U)</t>
  </si>
  <si>
    <t>210235AOHAH14A000310</t>
  </si>
  <si>
    <t>140502-2014-001157</t>
  </si>
  <si>
    <t>TK-F02-226-A2(6-6U)</t>
  </si>
  <si>
    <t>210235AOHAH14A000243</t>
  </si>
  <si>
    <t>140502-2014-001163</t>
  </si>
  <si>
    <t>TK-F02-226-A2柜(8U)</t>
  </si>
  <si>
    <t>210235AOHAH127000138</t>
  </si>
  <si>
    <t>140502-2012-000680</t>
  </si>
  <si>
    <t>TK-F02-226-A5(32-32U)</t>
  </si>
  <si>
    <t>210235A1TXH179000211</t>
  </si>
  <si>
    <t>140502-2017-000111</t>
  </si>
  <si>
    <t>TK-F02-226-D5(13-13U)</t>
  </si>
  <si>
    <t>210235A1TXH179000231</t>
  </si>
  <si>
    <t>140502-2017-000112</t>
  </si>
  <si>
    <t>TK-F02-226-A8(41-41U)</t>
  </si>
  <si>
    <t>JAE23070N6K</t>
  </si>
  <si>
    <t>140502-2019-000109</t>
  </si>
  <si>
    <t>TK-F02-226-B(23-23U)</t>
  </si>
  <si>
    <t>2102350DLVDMK8000258</t>
  </si>
  <si>
    <t>140502-2019-000135</t>
  </si>
  <si>
    <t>TK-F02-226-B(25-25U)</t>
  </si>
  <si>
    <t>210235a0h9h149000010</t>
  </si>
  <si>
    <t>140502-2014-001165</t>
  </si>
  <si>
    <t>TK-F02-226-B3(28-28U)</t>
  </si>
  <si>
    <t>H3C S5500-34C-HI</t>
  </si>
  <si>
    <t>210235A0H9H149000013</t>
  </si>
  <si>
    <t>140502-2014-001083</t>
  </si>
  <si>
    <t>TK-F02-226-B3(30-30U)</t>
  </si>
  <si>
    <t>210235A0HAH14A000001</t>
  </si>
  <si>
    <t>140502-2014-001084</t>
  </si>
  <si>
    <t>TK-F02-226-B3(32-32U)</t>
  </si>
  <si>
    <t>210235A0HAH14A000022</t>
  </si>
  <si>
    <t>140502-2014-001085</t>
  </si>
  <si>
    <t>TK-F02-226-B3(33-33U)</t>
  </si>
  <si>
    <t>210235A0HAH14A000354</t>
  </si>
  <si>
    <t>140502-2014-001082</t>
  </si>
  <si>
    <t>TK-F02-226-B3(36-36U)</t>
  </si>
  <si>
    <t>210235A0HAH14A000101</t>
  </si>
  <si>
    <t>140502-2014-001075</t>
  </si>
  <si>
    <t>TK-F02-226-B4(28-28U)</t>
  </si>
  <si>
    <t>210235A0HAH14A000110</t>
  </si>
  <si>
    <t>140502-2014-001074</t>
  </si>
  <si>
    <t>TK-F02-226-B4(30-30U)</t>
  </si>
  <si>
    <t>210235A0HAH14A000107</t>
  </si>
  <si>
    <t>140502-2014-001080</t>
  </si>
  <si>
    <t>TK-F02-226-B5(31-31U)</t>
  </si>
  <si>
    <t>210235A0HAH14A000199</t>
  </si>
  <si>
    <t>140502-2014-001081</t>
  </si>
  <si>
    <t>TK-F02-226-B5(33-33U)</t>
  </si>
  <si>
    <t>210235AOHAH14A000368</t>
  </si>
  <si>
    <t>140502-2014-001137</t>
  </si>
  <si>
    <t>TK-F02-226-C(3-3U)</t>
  </si>
  <si>
    <t>210235AOHAH14A000298</t>
  </si>
  <si>
    <t>140502-2014-001138</t>
  </si>
  <si>
    <t>TK-F02-226-C(5-5U)</t>
  </si>
  <si>
    <t>210235AOHAH14A000294</t>
  </si>
  <si>
    <t>140502-2014-001136</t>
  </si>
  <si>
    <t>TK-F02-226-C(7-7U)</t>
  </si>
  <si>
    <t>210235AOHAH14A000309</t>
  </si>
  <si>
    <t>140502-2014-001135</t>
  </si>
  <si>
    <t>TK-F02-226-C(9-9U)</t>
  </si>
  <si>
    <t>06CT312</t>
  </si>
  <si>
    <t>140103-2014-003206</t>
  </si>
  <si>
    <t>TK-F02-226-C03(13-16U)</t>
  </si>
  <si>
    <t>06CT304</t>
  </si>
  <si>
    <t>140103-2014-003205</t>
  </si>
  <si>
    <t>TK-F02-226-C03(18-21U)</t>
  </si>
  <si>
    <t>06CP863</t>
  </si>
  <si>
    <t>140103-2014-003208</t>
  </si>
  <si>
    <t>TK-F02-226-C03(3-6U)</t>
  </si>
  <si>
    <t>06CT341</t>
  </si>
  <si>
    <t>140103-2014-003207</t>
  </si>
  <si>
    <t>TK-F02-226-C03(8-11U)</t>
  </si>
  <si>
    <t>06CP587</t>
  </si>
  <si>
    <t>140103-2014-003181</t>
  </si>
  <si>
    <t>TK-F02-226-C04(13-16U)</t>
  </si>
  <si>
    <t>06CP591</t>
  </si>
  <si>
    <t>140103-2014-003180</t>
  </si>
  <si>
    <t>TK-F02-226-C04(18-21U)</t>
  </si>
  <si>
    <t>06CP588</t>
  </si>
  <si>
    <t>140103-2014-003179</t>
  </si>
  <si>
    <t>TK-F02-226-C04(23-26U)</t>
  </si>
  <si>
    <t>06CP592</t>
  </si>
  <si>
    <t>140103-2014-003178</t>
  </si>
  <si>
    <t>TK-F02-226-C04(28-31U)</t>
  </si>
  <si>
    <t>06CP582</t>
  </si>
  <si>
    <t>140103-2014-003177</t>
  </si>
  <si>
    <t>TK-F02-226-C04(33-36U)</t>
  </si>
  <si>
    <t>06CT317</t>
  </si>
  <si>
    <t>140103-2014-003183</t>
  </si>
  <si>
    <t>TK-F02-226-C04(3-6U)</t>
  </si>
  <si>
    <t>06CP589</t>
  </si>
  <si>
    <t>140103-2014-003182</t>
  </si>
  <si>
    <t>TK-F02-226-C04(8-11U)</t>
  </si>
  <si>
    <t>06CP581</t>
  </si>
  <si>
    <t>140103-2014-003188</t>
  </si>
  <si>
    <t>TK-F02-226-C05(13-16U)</t>
  </si>
  <si>
    <t>06CP586</t>
  </si>
  <si>
    <t>140103-2014-003187</t>
  </si>
  <si>
    <t>TK-F02-226-C05(18-21U)</t>
  </si>
  <si>
    <t>06CT345</t>
  </si>
  <si>
    <t>140103-2014-003186</t>
  </si>
  <si>
    <t>TK-F02-226-C05(23-26U)</t>
  </si>
  <si>
    <t>06CT285</t>
  </si>
  <si>
    <t>140103-2014-003185</t>
  </si>
  <si>
    <t>TK-F02-226-C05(28-31U)</t>
  </si>
  <si>
    <t>06CT330</t>
  </si>
  <si>
    <t>140103-2014-003184</t>
  </si>
  <si>
    <t>TK-F02-226-C05(33-36U)</t>
  </si>
  <si>
    <t>06CT315</t>
  </si>
  <si>
    <t>140103-2014-003190</t>
  </si>
  <si>
    <t>TK-F02-226-C05(3-6U)</t>
  </si>
  <si>
    <t>06CP861</t>
  </si>
  <si>
    <t>140103-2014-003189</t>
  </si>
  <si>
    <t>TK-F02-226-C05(8-11U)</t>
  </si>
  <si>
    <t>2102300742N0F3000277</t>
  </si>
  <si>
    <t>140103-2014-003173</t>
  </si>
  <si>
    <t>TK-F02-226-C06(17-28U)</t>
  </si>
  <si>
    <t>210305485510F4000998</t>
  </si>
  <si>
    <t>140103-2014-003101</t>
  </si>
  <si>
    <t>TK-F02-226-C06(17-28U)-01</t>
  </si>
  <si>
    <t>210305485510F4001009</t>
  </si>
  <si>
    <t>140103-2014-003102</t>
  </si>
  <si>
    <t>TK-F02-226-C06(17-28U)-02</t>
  </si>
  <si>
    <t>210305485510F4001006</t>
  </si>
  <si>
    <t>140103-2014-003103</t>
  </si>
  <si>
    <t>TK-F02-226-C06(17-28U)-03</t>
  </si>
  <si>
    <t>210305485510F4001012</t>
  </si>
  <si>
    <t>140103-2014-003104</t>
  </si>
  <si>
    <t>TK-F02-226-C06(17-28U)-04</t>
  </si>
  <si>
    <t>210305485510F4000997</t>
  </si>
  <si>
    <t>140103-2014-003105</t>
  </si>
  <si>
    <t>TK-F02-226-C06(17-28U)-05</t>
  </si>
  <si>
    <t>210305485510F4001015</t>
  </si>
  <si>
    <t>140103-2014-003106</t>
  </si>
  <si>
    <t>TK-F02-226-C06(17-28U)-06</t>
  </si>
  <si>
    <t>210305485510F4001008</t>
  </si>
  <si>
    <t>140103-2014-003107</t>
  </si>
  <si>
    <t>TK-F02-226-C06(17-28U)-07</t>
  </si>
  <si>
    <t>210305485510F4001007</t>
  </si>
  <si>
    <t>140103-2014-003108</t>
  </si>
  <si>
    <t>TK-F02-226-C06(17-28U)-08</t>
  </si>
  <si>
    <t>210305485510F4000999</t>
  </si>
  <si>
    <t>140103-2014-003109</t>
  </si>
  <si>
    <t>TK-F02-226-C06(17-28U)-09</t>
  </si>
  <si>
    <t>210305485510F4001000</t>
  </si>
  <si>
    <t>140103-2014-003110</t>
  </si>
  <si>
    <t>TK-F02-226-C06(17-28U)-10</t>
  </si>
  <si>
    <t>210305485510F4001011</t>
  </si>
  <si>
    <t>140103-2014-003111</t>
  </si>
  <si>
    <t>TK-F02-226-C06(17-28U)-11</t>
  </si>
  <si>
    <t>210305485510F4001019</t>
  </si>
  <si>
    <t>140103-2014-003112</t>
  </si>
  <si>
    <t>TK-F02-226-C06(17-28U)-12</t>
  </si>
  <si>
    <t>2102300742N0F4000161</t>
  </si>
  <si>
    <t>140103-2014-003174</t>
  </si>
  <si>
    <t>TK-F02-226-C06(3-14U)</t>
  </si>
  <si>
    <t>210305485510F4001010</t>
  </si>
  <si>
    <t>140103-2014-003117</t>
  </si>
  <si>
    <t>TK-F02-226-C06(3-14U)-01</t>
  </si>
  <si>
    <t>210305485510F4000992</t>
  </si>
  <si>
    <t>140103-2014-003118</t>
  </si>
  <si>
    <t>TK-F02-226-C06(3-14U)-02</t>
  </si>
  <si>
    <t>210305485510F4001005</t>
  </si>
  <si>
    <t>140103-2014-003119</t>
  </si>
  <si>
    <t>TK-F02-226-C06(3-14U)-03</t>
  </si>
  <si>
    <t>210305485510F4001017</t>
  </si>
  <si>
    <t>140103-2014-003120</t>
  </si>
  <si>
    <t>TK-F02-226-C06(3-14U)-04</t>
  </si>
  <si>
    <t>210305485510F4000996</t>
  </si>
  <si>
    <t>140103-2014-003121</t>
  </si>
  <si>
    <t>TK-F02-226-C06(17-28U)-13</t>
  </si>
  <si>
    <t>210305485510F4000995</t>
  </si>
  <si>
    <t>140103-2014-003122</t>
  </si>
  <si>
    <t>TK-F02-226-C06(3-14U)-06</t>
  </si>
  <si>
    <t>210305485510F4001018</t>
  </si>
  <si>
    <t>140103-2014-003123</t>
  </si>
  <si>
    <t>TK-F02-226-C06(3-14U)-07</t>
  </si>
  <si>
    <t>210305485510F4000994</t>
  </si>
  <si>
    <t>140103-2014-003124</t>
  </si>
  <si>
    <t>TK-F02-226-C06(3-14U)-08</t>
  </si>
  <si>
    <t>210305485510F4000991</t>
  </si>
  <si>
    <t>140103-2014-003157</t>
  </si>
  <si>
    <t>TK-F02-226-C06(3-14U)-09</t>
  </si>
  <si>
    <t>210305485510F4000990</t>
  </si>
  <si>
    <t>140103-2014-003158</t>
  </si>
  <si>
    <t>TK-F02-226-C06(3-14U)-10</t>
  </si>
  <si>
    <t>210305485510F4000988</t>
  </si>
  <si>
    <t>140103-2014-003159</t>
  </si>
  <si>
    <t>TK-F02-226-C06(3-14U)-11</t>
  </si>
  <si>
    <t>210305485510F4000984</t>
  </si>
  <si>
    <t>140103-2014-003160</t>
  </si>
  <si>
    <t>TK-F02-226-C06(3-14U)-12</t>
  </si>
  <si>
    <t>210305485510F4000989</t>
  </si>
  <si>
    <t>140103-2014-003161</t>
  </si>
  <si>
    <t>TK-F02-226-C06(3-14U)-13</t>
  </si>
  <si>
    <t>210305485510F4000985</t>
  </si>
  <si>
    <t>140103-2014-003162</t>
  </si>
  <si>
    <t>TK-F02-226-C06(3-14U)-14</t>
  </si>
  <si>
    <t>210305485510F4000987</t>
  </si>
  <si>
    <t>140103-2014-003163</t>
  </si>
  <si>
    <t>TK-F02-226-C06(3-14U)-15</t>
  </si>
  <si>
    <t>210305485510F4000986</t>
  </si>
  <si>
    <t>140103-2014-003164</t>
  </si>
  <si>
    <t>TK-F02-226-C06(3-14U)-16</t>
  </si>
  <si>
    <t>2102300742N0F4000027</t>
  </si>
  <si>
    <t>140103-2014-003225</t>
  </si>
  <si>
    <t>TK-F02-226-C08(17-28U)</t>
  </si>
  <si>
    <t>210305485510F4000588</t>
  </si>
  <si>
    <t>140103-2014-003209</t>
  </si>
  <si>
    <t>TK-F02-226-C08(17-28U)-01</t>
  </si>
  <si>
    <t>210305485510F4000587</t>
  </si>
  <si>
    <t>140103-2014-003210</t>
  </si>
  <si>
    <t>TK-F02-226-C08(17-28U)-02</t>
  </si>
  <si>
    <t>210305485510F4000584</t>
  </si>
  <si>
    <t>140103-2014-003211</t>
  </si>
  <si>
    <t>TK-F02-226-C08(17-28U)-03</t>
  </si>
  <si>
    <t>210305485510F4000583</t>
  </si>
  <si>
    <t>140103-2014-003212</t>
  </si>
  <si>
    <t>TK-F02-226-C08(17-28U)-04</t>
  </si>
  <si>
    <t>210305485510F4000582</t>
  </si>
  <si>
    <t>140103-2014-003213</t>
  </si>
  <si>
    <t>TK-F02-226-C08(17-28U)-05</t>
  </si>
  <si>
    <t>210305485510F4000592</t>
  </si>
  <si>
    <t>140103-2014-003214</t>
  </si>
  <si>
    <t>TK-F02-226-C08(17-28U)-06</t>
  </si>
  <si>
    <t>210305485510F4000585</t>
  </si>
  <si>
    <t>140103-2014-003215</t>
  </si>
  <si>
    <t>TK-F02-226-C08(17-28U)-07</t>
  </si>
  <si>
    <t>210305485510F4000579</t>
  </si>
  <si>
    <t>140103-2014-003216</t>
  </si>
  <si>
    <t>TK-F02-226-C08(17-28U)-08</t>
  </si>
  <si>
    <t>210305485510F4000591</t>
  </si>
  <si>
    <t>140103-2014-003165</t>
  </si>
  <si>
    <t>TK-F02-226-C08(17-28U)-09</t>
  </si>
  <si>
    <t>210305485510F4000578</t>
  </si>
  <si>
    <t>140103-2014-003166</t>
  </si>
  <si>
    <t>TK-F02-226-C08(17-28U)-10</t>
  </si>
  <si>
    <t>210305485510F4000593</t>
  </si>
  <si>
    <t>140103-2014-003167</t>
  </si>
  <si>
    <t>TK-F02-226-C08(17-28U)-11</t>
  </si>
  <si>
    <t>210305485510F4000580</t>
  </si>
  <si>
    <t>140103-2014-003168</t>
  </si>
  <si>
    <t>TK-F02-226-C08(17-28U)-12</t>
  </si>
  <si>
    <t>210305485510F4000586</t>
  </si>
  <si>
    <t>140103-2014-003169</t>
  </si>
  <si>
    <t>TK-F02-226-C08(17-28U)-13</t>
  </si>
  <si>
    <t>210305485510F4000581</t>
  </si>
  <si>
    <t>140103-2014-003170</t>
  </si>
  <si>
    <t>TK-F02-226-C08(17-28U)-14</t>
  </si>
  <si>
    <t>210305485510F4000590</t>
  </si>
  <si>
    <t>140103-2014-003171</t>
  </si>
  <si>
    <t>TK-F02-226-C08(17-28U)-15</t>
  </si>
  <si>
    <t>210305485510F4000589</t>
  </si>
  <si>
    <t>140103-2014-003172</t>
  </si>
  <si>
    <t>TK-F02-226-C08(17-28U)-16</t>
  </si>
  <si>
    <t>2102300742N0F4000025</t>
  </si>
  <si>
    <t>140103-2014-003226</t>
  </si>
  <si>
    <t>TK-F02-226-C08(3-14U)</t>
  </si>
  <si>
    <t>华为 CH222</t>
  </si>
  <si>
    <t>210305485210F4000002</t>
  </si>
  <si>
    <t>140103-2014-003217</t>
  </si>
  <si>
    <t>TK-F02-226-C08(3-14U)-1</t>
  </si>
  <si>
    <t>210305485210F4000005</t>
  </si>
  <si>
    <t>140103-2014-003218</t>
  </si>
  <si>
    <t>TK-F02-226-C08(3-14U)-2</t>
  </si>
  <si>
    <t>210305485210F4000004</t>
  </si>
  <si>
    <t>140103-2014-003219</t>
  </si>
  <si>
    <t>TK-F02-226-C08(3-14U)-3</t>
  </si>
  <si>
    <t>210305485210F4000008</t>
  </si>
  <si>
    <t>140103-2014-003220</t>
  </si>
  <si>
    <t>TK-F02-226-C08(3-14U)-4</t>
  </si>
  <si>
    <t>210305485210F4000001</t>
  </si>
  <si>
    <t>140103-2014-003221</t>
  </si>
  <si>
    <t>TK-F02-226-C08(3-14U)-5</t>
  </si>
  <si>
    <t>210305485210F4000003</t>
  </si>
  <si>
    <t>140103-2014-003222</t>
  </si>
  <si>
    <t>TK-F02-226-C08(3-14U)-6</t>
  </si>
  <si>
    <t>210305485210F5000086</t>
  </si>
  <si>
    <t>140103-2014-003223</t>
  </si>
  <si>
    <t>TK-F02-226-C08(3-14U)-7</t>
  </si>
  <si>
    <t>210305485210F4000006</t>
  </si>
  <si>
    <t>140103-2014-003224</t>
  </si>
  <si>
    <t>TK-F02-226-C08(3-14U)-8</t>
  </si>
  <si>
    <t>219555960</t>
  </si>
  <si>
    <t>140103-2019-000593</t>
  </si>
  <si>
    <t>TK-F02-226-C10(12-15U)DP2-1</t>
  </si>
  <si>
    <t>219555961</t>
  </si>
  <si>
    <t>140103-2019-000594</t>
  </si>
  <si>
    <t>TK-F02-226-C10(12-15U)DP2-2</t>
  </si>
  <si>
    <t>219555964</t>
  </si>
  <si>
    <t>140103-2019-000595</t>
  </si>
  <si>
    <t>TK-F02-226-C10(12-15U)DP2-3</t>
  </si>
  <si>
    <t>219555965</t>
  </si>
  <si>
    <t>140103-2019-000596</t>
  </si>
  <si>
    <t>TK-F02-226-C10(12-15U)DP2-4</t>
  </si>
  <si>
    <t>219555963</t>
  </si>
  <si>
    <t>140103-2019-000597</t>
  </si>
  <si>
    <t>TK-F02-226-C10(12-15U)DP2-5</t>
  </si>
  <si>
    <t>219555962</t>
  </si>
  <si>
    <t>140103-2019-000598</t>
  </si>
  <si>
    <t>TK-F02-226-C10(12-15U)DP2-6</t>
  </si>
  <si>
    <t>219555958</t>
  </si>
  <si>
    <t>140103-2019-000599</t>
  </si>
  <si>
    <t>TK-F02-226-C10(12-15U)DP2-7</t>
  </si>
  <si>
    <t>219555959</t>
  </si>
  <si>
    <t>140103-2019-000600</t>
  </si>
  <si>
    <t>TK-F02-226-C10(12-15U)DP2-8</t>
  </si>
  <si>
    <t>219555927</t>
  </si>
  <si>
    <t>140103-2019-000585</t>
  </si>
  <si>
    <t>TK-F02-226-C10(17-20U)DP1-1</t>
  </si>
  <si>
    <t>219555926</t>
  </si>
  <si>
    <t>140103-2019-000586</t>
  </si>
  <si>
    <t>TK-F02-226-C10(17-20U)DP1-2</t>
  </si>
  <si>
    <t>219555933</t>
  </si>
  <si>
    <t>140103-2019-000587</t>
  </si>
  <si>
    <t>TK-F02-226-C10(17-20U)DP1-3</t>
  </si>
  <si>
    <t>219555932</t>
  </si>
  <si>
    <t>140103-2019-000588</t>
  </si>
  <si>
    <t>TK-F02-226-C10(17-20U)DP1-4</t>
  </si>
  <si>
    <t>219555929</t>
  </si>
  <si>
    <t>140103-2019-000589</t>
  </si>
  <si>
    <t>TK-F02-226-C10(17-20U)DP1-5</t>
  </si>
  <si>
    <t>219555928</t>
  </si>
  <si>
    <t>140103-2019-000590</t>
  </si>
  <si>
    <t>TK-F02-226-C10(17-20U)DP1-6</t>
  </si>
  <si>
    <t>219555930</t>
  </si>
  <si>
    <t>140103-2019-000591</t>
  </si>
  <si>
    <t>TK-F02-226-C10(17-20U)DP1-7</t>
  </si>
  <si>
    <t>219555931</t>
  </si>
  <si>
    <t>140103-2019-000592</t>
  </si>
  <si>
    <t>TK-F02-226-C10(17-20U)DP1-8</t>
  </si>
  <si>
    <t>219562811</t>
  </si>
  <si>
    <t>140103-2019-000609</t>
  </si>
  <si>
    <t>TK-F02-226-C10(2-5U)DP4-1</t>
  </si>
  <si>
    <t>219562810</t>
  </si>
  <si>
    <t>140103-2019-000610</t>
  </si>
  <si>
    <t>TK-F02-226-C10(2-5U)DP4-2</t>
  </si>
  <si>
    <t>219562813</t>
  </si>
  <si>
    <t>140103-2019-000611</t>
  </si>
  <si>
    <t>TK-F02-226-C10(2-5U)DP4-3</t>
  </si>
  <si>
    <t>219562812</t>
  </si>
  <si>
    <t>140103-2019-000612</t>
  </si>
  <si>
    <t>TK-F02-226-C10(2-5U)DP4-4</t>
  </si>
  <si>
    <t>219562809</t>
  </si>
  <si>
    <t>140103-2019-000613</t>
  </si>
  <si>
    <t>TK-F02-226-C10(2-5U)DP4-5</t>
  </si>
  <si>
    <t>219562808</t>
  </si>
  <si>
    <t>140103-2019-000614</t>
  </si>
  <si>
    <t>TK-F02-226-C10(2-5U)DP4-6</t>
  </si>
  <si>
    <t>219562815</t>
  </si>
  <si>
    <t>140103-2019-000615</t>
  </si>
  <si>
    <t>TK-F02-226-C10(2-5U)DP4-7</t>
  </si>
  <si>
    <t>219562814</t>
  </si>
  <si>
    <t>140103-2019-000616</t>
  </si>
  <si>
    <t>TK-F02-226-C10(2-5U)DP4-8</t>
  </si>
  <si>
    <t>219562807</t>
  </si>
  <si>
    <t>140103-2019-000601</t>
  </si>
  <si>
    <t>TK-F02-226-C10(7-10U)DP3-1</t>
  </si>
  <si>
    <t>219562806</t>
  </si>
  <si>
    <t>140103-2019-000602</t>
  </si>
  <si>
    <t>TK-F02-226-C10(7-10U)DP3-2</t>
  </si>
  <si>
    <t>219562803</t>
  </si>
  <si>
    <t>140103-2019-000603</t>
  </si>
  <si>
    <t>TK-F02-226-C10(7-10U)DP3-3</t>
  </si>
  <si>
    <t>219562802</t>
  </si>
  <si>
    <t>140103-2019-000604</t>
  </si>
  <si>
    <t>TK-F02-226-C10(7-10U)DP3-4</t>
  </si>
  <si>
    <t>219562804</t>
  </si>
  <si>
    <t>140103-2019-000605</t>
  </si>
  <si>
    <t>TK-F02-226-C10(7-10U)DP3-5</t>
  </si>
  <si>
    <t>219562805</t>
  </si>
  <si>
    <t>140103-2019-000606</t>
  </si>
  <si>
    <t>TK-F02-226-C10(7-10U)DP3-6</t>
  </si>
  <si>
    <t>219562800</t>
  </si>
  <si>
    <t>140103-2019-000607</t>
  </si>
  <si>
    <t>TK-F02-226-C10(7-10U)DP3-7</t>
  </si>
  <si>
    <t>219562801</t>
  </si>
  <si>
    <t>140103-2019-000608</t>
  </si>
  <si>
    <t>TK-F02-226-C10(7-10U)DP3-8</t>
  </si>
  <si>
    <t>210235A1DWH149000055</t>
  </si>
  <si>
    <t>140502-2014-001126</t>
  </si>
  <si>
    <t>TK-F02-226-D(10-10U)</t>
  </si>
  <si>
    <t>210235A1DWH149000088</t>
  </si>
  <si>
    <t>140502-2014-001128</t>
  </si>
  <si>
    <t>TK-F02-226-D(5-5U)</t>
  </si>
  <si>
    <t>210235A1DWH149000072</t>
  </si>
  <si>
    <t>140502-2014-001125</t>
  </si>
  <si>
    <t>TK-F02-226-D(8-8U)</t>
  </si>
  <si>
    <t>210235A1DWH149000073</t>
  </si>
  <si>
    <t>140502-2014-001127</t>
  </si>
  <si>
    <t>TK-F02-226-D(3-3U)</t>
  </si>
  <si>
    <t>恒河正阳 Powertools G500</t>
  </si>
  <si>
    <t>BJ201401D1048</t>
  </si>
  <si>
    <t>140107-2014-001129</t>
  </si>
  <si>
    <t>TK-F02-226-D5(5-6U)</t>
  </si>
  <si>
    <t>210235AOHAH14A000296</t>
  </si>
  <si>
    <t>140502-2014-001103</t>
  </si>
  <si>
    <t>TK-F02-226-E(13-13U)</t>
  </si>
  <si>
    <t>210235A0HAH14A000250</t>
  </si>
  <si>
    <t>140502-2012-000683</t>
  </si>
  <si>
    <t>TK-F02-226-E(15-15U)</t>
  </si>
  <si>
    <t>210235A0HAH163000002</t>
  </si>
  <si>
    <t>140502-2012-000686</t>
  </si>
  <si>
    <t>TK-F02-226-E(4-4U)</t>
  </si>
  <si>
    <t>CNG230SHDQ</t>
  </si>
  <si>
    <t>140103-2012-001202</t>
  </si>
  <si>
    <t>TK-F02-226-E1(24-25U)</t>
  </si>
  <si>
    <t>CNG230SHC7</t>
  </si>
  <si>
    <t>140103-2012-001203</t>
  </si>
  <si>
    <t>TK-F02-226-E1(26-27U)</t>
  </si>
  <si>
    <t>210235AOHAH127000045</t>
  </si>
  <si>
    <t>140502-2012-000685</t>
  </si>
  <si>
    <t>TK-F02-226-E3(33-33U)</t>
  </si>
  <si>
    <t>华三 HPE BLc7000</t>
  </si>
  <si>
    <t>6C07422HLW</t>
  </si>
  <si>
    <t>140103-2017-001150</t>
  </si>
  <si>
    <t>TK-F02-226-E10(15-24U)DP1</t>
  </si>
  <si>
    <t>华三 HPE BL460c Gen9</t>
  </si>
  <si>
    <t>6CU7421X9X</t>
  </si>
  <si>
    <t>140103-2017-001032</t>
  </si>
  <si>
    <t>TK-F02-226-E10(15-24U)DP1-1</t>
  </si>
  <si>
    <t>6CU7421XAP</t>
  </si>
  <si>
    <t>140103-2017-001041</t>
  </si>
  <si>
    <t>TK-F02-226-E10(15-24U)DP1-10</t>
  </si>
  <si>
    <t>6CU7421X93</t>
  </si>
  <si>
    <t>140103-2017-001042</t>
  </si>
  <si>
    <t>TK-F02-226-E10(15-24U)DP1-11</t>
  </si>
  <si>
    <t>6CU7421X9L</t>
  </si>
  <si>
    <t>140103-2017-001043</t>
  </si>
  <si>
    <t>TK-F02-226-E10(15-24U)DP1-12</t>
  </si>
  <si>
    <t>6CU7421XA2</t>
  </si>
  <si>
    <t>140103-2017-001044</t>
  </si>
  <si>
    <t>TK-F02-226-E10(15-24U)DP1-13</t>
  </si>
  <si>
    <t>6CU7421XAV</t>
  </si>
  <si>
    <t>140103-2017-001045</t>
  </si>
  <si>
    <t>TK-F02-226-E10(15-24U)DP1-14</t>
  </si>
  <si>
    <t>6CU7421X9R</t>
  </si>
  <si>
    <t>140103-2017-001046</t>
  </si>
  <si>
    <t>TK-F02-226-E10(15-24U)DP1-15</t>
  </si>
  <si>
    <t>6CU7421XAA</t>
  </si>
  <si>
    <t>140103-2017-001047</t>
  </si>
  <si>
    <t>TK-F02-226-E10(15-24U)DP1-16</t>
  </si>
  <si>
    <t>6CU7421XAK</t>
  </si>
  <si>
    <t>140103-2017-001033</t>
  </si>
  <si>
    <t>TK-F02-226-E10(15-24U)DP1-2</t>
  </si>
  <si>
    <t>6CU7421X9F</t>
  </si>
  <si>
    <t>140103-2017-001034</t>
  </si>
  <si>
    <t>TK-F02-226-E10(15-24U)DP1-3</t>
  </si>
  <si>
    <t>6CU7421XAE</t>
  </si>
  <si>
    <t>140103-2017-001035</t>
  </si>
  <si>
    <t>TK-F02-226-E10(15-24U)DP1-4</t>
  </si>
  <si>
    <t>6CU7421XB4</t>
  </si>
  <si>
    <t>140103-2017-001036</t>
  </si>
  <si>
    <t>TK-F02-226-E10(15-24U)DP1-5</t>
  </si>
  <si>
    <t>6CU7421X97</t>
  </si>
  <si>
    <t>140103-2017-001037</t>
  </si>
  <si>
    <t>TK-F02-226-E10(15-24U)DP1-6</t>
  </si>
  <si>
    <t>6CU7421X9B</t>
  </si>
  <si>
    <t>140103-2017-001038</t>
  </si>
  <si>
    <t>TK-F02-226-E10(15-24U)DP1-7</t>
  </si>
  <si>
    <t>6CU7421XA6</t>
  </si>
  <si>
    <t>140103-2017-001039</t>
  </si>
  <si>
    <t>TK-F02-226-E10(15-24U)DP1-8</t>
  </si>
  <si>
    <t>6CU7421XB0</t>
  </si>
  <si>
    <t>140103-2017-001040</t>
  </si>
  <si>
    <t>TK-F02-226-E10(15-24U)DP1-9</t>
  </si>
  <si>
    <t>CNG230S9SJ</t>
  </si>
  <si>
    <t>140103-2012-001238</t>
  </si>
  <si>
    <t>TK-F02-226-E10(4-7U)</t>
  </si>
  <si>
    <t>CNG230SHCR</t>
  </si>
  <si>
    <t>140103-2012-001221</t>
  </si>
  <si>
    <t>TK-F02-226-E2(10-11U)</t>
  </si>
  <si>
    <t>CNG230SHDG</t>
  </si>
  <si>
    <t>140103-2012-001214</t>
  </si>
  <si>
    <t>TK-F02-226-E2(13-14U)</t>
  </si>
  <si>
    <t>CNG230SHC5</t>
  </si>
  <si>
    <t>140103-2012-001215</t>
  </si>
  <si>
    <t>TK-F02-226-E2(15-16U)</t>
  </si>
  <si>
    <t>CNG230SHCW</t>
  </si>
  <si>
    <t>140103-2012-001216</t>
  </si>
  <si>
    <t>TK-F02-226-E2(17-18U)</t>
  </si>
  <si>
    <t>CNG230SHC3</t>
  </si>
  <si>
    <t>140103-2012-001217</t>
  </si>
  <si>
    <t>TK-F02-226-E2(19-20U)</t>
  </si>
  <si>
    <t>CNG230SHCC</t>
  </si>
  <si>
    <t>140103-2012-001210</t>
  </si>
  <si>
    <t>TK-F02-226-E2(24-25U)</t>
  </si>
  <si>
    <t>CNG230SHCM</t>
  </si>
  <si>
    <t>140103-2012-001211</t>
  </si>
  <si>
    <t>TK-F02-226-E2(26-27U)</t>
  </si>
  <si>
    <t>CNG230SHD0</t>
  </si>
  <si>
    <t>140103-2012-001212</t>
  </si>
  <si>
    <t>TK-F02-226-E2(28-29U)</t>
  </si>
  <si>
    <t>CNG230SHD4</t>
  </si>
  <si>
    <t>140103-2012-001220</t>
  </si>
  <si>
    <t>TK-F02-226-E2(30-31U)</t>
  </si>
  <si>
    <t>210235AOHAH14A000033</t>
  </si>
  <si>
    <t>140502-2014-001134</t>
  </si>
  <si>
    <t>TK-F02-226-E2(33-33U)</t>
  </si>
  <si>
    <t>CNG230SHDL</t>
  </si>
  <si>
    <t>140103-2012-001218</t>
  </si>
  <si>
    <t>TK-F02-226-E2(4-5U)</t>
  </si>
  <si>
    <t>CNG230SHBC</t>
  </si>
  <si>
    <t>140103-2012-001219</t>
  </si>
  <si>
    <t>TK-F02-226-E2(6-7U)</t>
  </si>
  <si>
    <t>CNG230SHCH</t>
  </si>
  <si>
    <t>140103-2012-001213</t>
  </si>
  <si>
    <t>TK-F02-226-E2(8-9U)</t>
  </si>
  <si>
    <t>CNG230SHDV</t>
  </si>
  <si>
    <t>140103-2012-001209</t>
  </si>
  <si>
    <t>TK-F01-107-E10( 16-17U)</t>
  </si>
  <si>
    <t>210235AOHAH127000097</t>
  </si>
  <si>
    <t>140502-2012-000684</t>
  </si>
  <si>
    <t>TK-F02-226-E3(35-35U)</t>
  </si>
  <si>
    <t>6CU4421WCK</t>
  </si>
  <si>
    <t>140103-2014-003312</t>
  </si>
  <si>
    <t>TK-F01-106-F1(27-28U)</t>
  </si>
  <si>
    <t>6CU4421WCP</t>
  </si>
  <si>
    <t>140103-2014-003313</t>
  </si>
  <si>
    <t>TK-F02-226-H8(24-25U)</t>
  </si>
  <si>
    <t>06ACPP2</t>
  </si>
  <si>
    <t>140103-2012-001272</t>
  </si>
  <si>
    <t>TK-F02-226-E4(5U-14U)-5</t>
  </si>
  <si>
    <t>6CU44945EW</t>
  </si>
  <si>
    <t>140103-2014-003493</t>
  </si>
  <si>
    <t>TK-F02-226-E8(33-33U)</t>
  </si>
  <si>
    <t>06H8419</t>
  </si>
  <si>
    <t>140103-2012-001192</t>
  </si>
  <si>
    <t>TK-F01-106-E8(27-28U)</t>
  </si>
  <si>
    <t>6C07422HLR</t>
  </si>
  <si>
    <t>140103-2017-001148</t>
  </si>
  <si>
    <t>TK-F02-226-E9(14-23U)DP1</t>
  </si>
  <si>
    <t>6CU742XJJH</t>
  </si>
  <si>
    <t>140103-2017-001128</t>
  </si>
  <si>
    <t>TK-F02-226-E9(14-23U)DP1-1</t>
  </si>
  <si>
    <t>6CU742XJKE</t>
  </si>
  <si>
    <t>140103-2017-001129</t>
  </si>
  <si>
    <t>TK-F02-226-E9(14-23U)DP1-2</t>
  </si>
  <si>
    <t>6CU742XJKA</t>
  </si>
  <si>
    <t>140103-2017-001130</t>
  </si>
  <si>
    <t>TK-F02-226-E9(14-23U)DP1-3</t>
  </si>
  <si>
    <t>6CU742XJJM</t>
  </si>
  <si>
    <t>140103-2017-001131</t>
  </si>
  <si>
    <t>TK-F02-226-E9(14-23U)DP1-4</t>
  </si>
  <si>
    <t>6CU742XJJX</t>
  </si>
  <si>
    <t>140103-2017-001132</t>
  </si>
  <si>
    <t>TK-F02-226-E9(14-23U)DP1-5</t>
  </si>
  <si>
    <t>6CU742XJK2</t>
  </si>
  <si>
    <t>140103-2017-001133</t>
  </si>
  <si>
    <t>TK-F02-226-E9(14-23U)DP1-6</t>
  </si>
  <si>
    <t>6CU742XJK6</t>
  </si>
  <si>
    <t>140103-2017-001134</t>
  </si>
  <si>
    <t>TK-F02-226-E9(14-23U)DP1-7</t>
  </si>
  <si>
    <t>6CU742XJJS</t>
  </si>
  <si>
    <t>140103-2017-001135</t>
  </si>
  <si>
    <t>TK-F02-226-E9(14-23U)DP1-8</t>
  </si>
  <si>
    <t>6C07422HM6</t>
  </si>
  <si>
    <t>140103-2017-001149</t>
  </si>
  <si>
    <t>TK-F02-226-E9(2-11U)DP2</t>
  </si>
  <si>
    <t>6CU7421XBC</t>
  </si>
  <si>
    <t>140103-2017-001008</t>
  </si>
  <si>
    <t>TK-F02-226-E9(2-11U)DP2-1</t>
  </si>
  <si>
    <t>6CU7421XBH</t>
  </si>
  <si>
    <t>140103-2017-001746</t>
  </si>
  <si>
    <t>TK-F02-226-E9(2-11U)DP2-10</t>
  </si>
  <si>
    <t>6CU7421XCP</t>
  </si>
  <si>
    <t>140103-2017-001785</t>
  </si>
  <si>
    <t>TK-F02-226-E9(2-11U)DP2-11</t>
  </si>
  <si>
    <t>6CU7421XCE</t>
  </si>
  <si>
    <t>140103-2017-001786</t>
  </si>
  <si>
    <t>TK-F02-226-E9(2-11U)DP2-12</t>
  </si>
  <si>
    <t>6CU7421XC6</t>
  </si>
  <si>
    <t>140103-2017-001795</t>
  </si>
  <si>
    <t>TK-F02-226-E9(2-11U)DP2-13</t>
  </si>
  <si>
    <t>6CU7421XBX</t>
  </si>
  <si>
    <t>140103-2017-001796</t>
  </si>
  <si>
    <t>TK-F02-226-E9(2-11U)DP2-14</t>
  </si>
  <si>
    <t>6CU7421XD0</t>
  </si>
  <si>
    <t>140103-2017-001009</t>
  </si>
  <si>
    <t>TK-F02-226-E9(2-11U)DP2-2</t>
  </si>
  <si>
    <t>6CU7421XCV</t>
  </si>
  <si>
    <t>140103-2017-001010</t>
  </si>
  <si>
    <t>TK-F02-226-E9(2-11U)DP2-3</t>
  </si>
  <si>
    <t>6CU7421XC2</t>
  </si>
  <si>
    <t>140103-2017-001011</t>
  </si>
  <si>
    <t>TK-F02-226-E9(2-11U)DP2-4</t>
  </si>
  <si>
    <t>6CU7421XB8</t>
  </si>
  <si>
    <t>140103-2017-001012</t>
  </si>
  <si>
    <t>TK-F02-226-E9(2-11U)DP2-5</t>
  </si>
  <si>
    <t>6CU7421XBS</t>
  </si>
  <si>
    <t>140103-2017-001013</t>
  </si>
  <si>
    <t>TK-F02-226-E9(2-11U)DP2-6</t>
  </si>
  <si>
    <t>6CU7421XCA</t>
  </si>
  <si>
    <t>140103-2017-001014</t>
  </si>
  <si>
    <t>TK-F02-226-E9(2-11U)DP2-7</t>
  </si>
  <si>
    <t>6CU7421XBM</t>
  </si>
  <si>
    <t>140103-2017-001015</t>
  </si>
  <si>
    <t>TK-F02-226-E9(2-11U)DP2-8</t>
  </si>
  <si>
    <t>6CU7421XCK</t>
  </si>
  <si>
    <t>140103-2017-001745</t>
  </si>
  <si>
    <t>TK-F02-226-E9(2-11U)DP2-9</t>
  </si>
  <si>
    <t>FDO2139Q1KW</t>
  </si>
  <si>
    <t>140502-2017-000105</t>
  </si>
  <si>
    <t>TK-F02-226-F(10-10U)</t>
  </si>
  <si>
    <t>FDO2138Q1T4</t>
  </si>
  <si>
    <t>140502-2017-000104</t>
  </si>
  <si>
    <t>TK-F02-226-F(12-12U)</t>
  </si>
  <si>
    <t>FDO2139Q1KM</t>
  </si>
  <si>
    <t>140502-2017-000103</t>
  </si>
  <si>
    <t>TK-F02-226-F(14-14U)</t>
  </si>
  <si>
    <t>FOC2129R0CU</t>
  </si>
  <si>
    <t>140502-2017-000100</t>
  </si>
  <si>
    <t>TK-F02-226-F(2-2U)</t>
  </si>
  <si>
    <t>FOC2125R0VN</t>
  </si>
  <si>
    <t>140502-2017-000099</t>
  </si>
  <si>
    <t>TK-F02-226-F(4-4U)</t>
  </si>
  <si>
    <t>FDO2138E1ZE</t>
  </si>
  <si>
    <t>140502-2017-000107</t>
  </si>
  <si>
    <t>TK-F02-226-F(6-6U)</t>
  </si>
  <si>
    <t>FDO2138E12Z</t>
  </si>
  <si>
    <t>140502-2017-000106</t>
  </si>
  <si>
    <t>TK-F02-226-F(8-8U)</t>
  </si>
  <si>
    <t>6C07422HM1</t>
  </si>
  <si>
    <t>140103-2017-001151</t>
  </si>
  <si>
    <t>TK-F02-226-F1(14-23U)DP1</t>
  </si>
  <si>
    <t>6CU7421Y5M</t>
  </si>
  <si>
    <t>140103-2017-000992</t>
  </si>
  <si>
    <t>TK-F02-226-F1(14-23U)DP1-1</t>
  </si>
  <si>
    <t>6CU7421Y58</t>
  </si>
  <si>
    <t>140103-2017-001051</t>
  </si>
  <si>
    <t>TK-F02-226-F1(14-23U)DP1-10</t>
  </si>
  <si>
    <t>6CU7421Y98</t>
  </si>
  <si>
    <t>140103-2017-001403</t>
  </si>
  <si>
    <t>TK-F02-226-F1(14-23U)DP1-11</t>
  </si>
  <si>
    <t>6CU7421YEA</t>
  </si>
  <si>
    <t>140103-2017-001404</t>
  </si>
  <si>
    <t>TK-F02-226-F1(14-23U)DP1-12</t>
  </si>
  <si>
    <t>6CU7421XTS</t>
  </si>
  <si>
    <t>140103-2017-001407</t>
  </si>
  <si>
    <t>TK-F02-226-F1(14-23U)DP1-13</t>
  </si>
  <si>
    <t>6CU7421YCK</t>
  </si>
  <si>
    <t>140103-2017-001408</t>
  </si>
  <si>
    <t>TK-F02-226-F1(14-23U)DP1-14</t>
  </si>
  <si>
    <t>6CU7421XXE</t>
  </si>
  <si>
    <t>140103-2017-001409</t>
  </si>
  <si>
    <t>TK-F02-226-F1(14-23U)DP1-15</t>
  </si>
  <si>
    <t>6CU7421Y8V</t>
  </si>
  <si>
    <t>140103-2017-001410</t>
  </si>
  <si>
    <t>TK-F02-226-F1(14-23U)DP1-16</t>
  </si>
  <si>
    <t>6CU7421XVE</t>
  </si>
  <si>
    <t>140103-2017-000993</t>
  </si>
  <si>
    <t>TK-F02-226-F1(14-23U)DP1-2</t>
  </si>
  <si>
    <t>6CU7421XTX</t>
  </si>
  <si>
    <t>140103-2017-000994</t>
  </si>
  <si>
    <t>TK-F02-226-F1(14-23U)DP1-3</t>
  </si>
  <si>
    <t>6CU7421YC2</t>
  </si>
  <si>
    <t>140103-2017-000995</t>
  </si>
  <si>
    <t>TK-F02-226-F1(14-23U)DP1-4</t>
  </si>
  <si>
    <t>6CU7421YAA</t>
  </si>
  <si>
    <t>140103-2017-000996</t>
  </si>
  <si>
    <t>TK-F02-226-F1(14-23U)DP1-5</t>
  </si>
  <si>
    <t>6CU7421XWX</t>
  </si>
  <si>
    <t>140103-2017-000997</t>
  </si>
  <si>
    <t>TK-F02-226-F1(14-23U)DP1-6</t>
  </si>
  <si>
    <t>6CU7421Y66</t>
  </si>
  <si>
    <t>140103-2017-001048</t>
  </si>
  <si>
    <t>TK-F02-226-F1(14-23U)DP1-7</t>
  </si>
  <si>
    <t>6CU7421Y1M</t>
  </si>
  <si>
    <t>140103-2017-001049</t>
  </si>
  <si>
    <t>TK-F02-226-F1(14-23U)DP1-8</t>
  </si>
  <si>
    <t>6CU7421Y9M</t>
  </si>
  <si>
    <t>140103-2017-001050</t>
  </si>
  <si>
    <t>TK-F02-226-F1(14-23U)DP1-9</t>
  </si>
  <si>
    <t>210235AOHAH127000146</t>
  </si>
  <si>
    <t>140502-2012-000677</t>
  </si>
  <si>
    <t>TK-F02-226-F(16-16U)</t>
  </si>
  <si>
    <t>6C07422HM2</t>
  </si>
  <si>
    <t>140103-2017-001411</t>
  </si>
  <si>
    <t>TK-F02-226-F1(2-11U)DP2</t>
  </si>
  <si>
    <t>6CU7421Y94</t>
  </si>
  <si>
    <t>140103-2017-001016</t>
  </si>
  <si>
    <t>TK-F02-226-F1(2-11U)DP2-1</t>
  </si>
  <si>
    <t>6CU7421YCE</t>
  </si>
  <si>
    <t>140103-2017-001025</t>
  </si>
  <si>
    <t>TK-F02-226-F1(2-11U)DP2-10</t>
  </si>
  <si>
    <t>6CU7421Y5H</t>
  </si>
  <si>
    <t>140103-2017-001026</t>
  </si>
  <si>
    <t>TK-F02-226-F1(2-11U)DP2-11</t>
  </si>
  <si>
    <t>6CU7421XWS</t>
  </si>
  <si>
    <t>140103-2017-001027</t>
  </si>
  <si>
    <t>TK-F02-226-F1(2-11U)DP2-12</t>
  </si>
  <si>
    <t>6CU7421XTC</t>
  </si>
  <si>
    <t>140103-2017-001028</t>
  </si>
  <si>
    <t>TK-F02-226-F1(2-11U)DP2-13</t>
  </si>
  <si>
    <t>6CU7421Y5X</t>
  </si>
  <si>
    <t>140103-2017-001029</t>
  </si>
  <si>
    <t>TK-F02-226-F1(2-11U)DP2-14</t>
  </si>
  <si>
    <t>6CU7421XYM</t>
  </si>
  <si>
    <t>140103-2017-001030</t>
  </si>
  <si>
    <t>TK-F02-226-F1(2-11U)DP2-15</t>
  </si>
  <si>
    <t>6CU7421YA2</t>
  </si>
  <si>
    <t>140103-2017-001031</t>
  </si>
  <si>
    <t>TK-F02-226-F1(2-11U)DP2-16</t>
  </si>
  <si>
    <t>6CU7421XT8</t>
  </si>
  <si>
    <t>140103-2017-001017</t>
  </si>
  <si>
    <t>TK-F02-226-F1(2-11U)DP2-2</t>
  </si>
  <si>
    <t>6CU7421Y7H</t>
  </si>
  <si>
    <t>140103-2017-001018</t>
  </si>
  <si>
    <t>TK-F02-226-F1(2-11U)DP2-3</t>
  </si>
  <si>
    <t>6CU7421Y9H</t>
  </si>
  <si>
    <t>140103-2017-001019</t>
  </si>
  <si>
    <t>TK-F02-226-F1(2-11U)DP2-4</t>
  </si>
  <si>
    <t>6CU7421YDH</t>
  </si>
  <si>
    <t>140103-2017-001020</t>
  </si>
  <si>
    <t>TK-F02-226-F1(2-11U)DP2-5</t>
  </si>
  <si>
    <t>6CU7421XXA</t>
  </si>
  <si>
    <t>140103-2017-001021</t>
  </si>
  <si>
    <t>TK-F02-226-F1(2-11U)DP2-6</t>
  </si>
  <si>
    <t>6CU7421YEP</t>
  </si>
  <si>
    <t>140103-2017-001022</t>
  </si>
  <si>
    <t>TK-F02-226-F1(2-11U)DP2-7</t>
  </si>
  <si>
    <t>6CU7421XTH</t>
  </si>
  <si>
    <t>140103-2017-001023</t>
  </si>
  <si>
    <t>TK-F02-226-F1(2-11U)DP2-8</t>
  </si>
  <si>
    <t>6CU7421Y0A</t>
  </si>
  <si>
    <t>140103-2017-001024</t>
  </si>
  <si>
    <t>TK-F02-226-F1(2-11U)DP2-9</t>
  </si>
  <si>
    <t>思科UCSC-C460-M4</t>
  </si>
  <si>
    <t>FCH2142W01D</t>
  </si>
  <si>
    <t>140103-2017-001710</t>
  </si>
  <si>
    <t>TK-F02-226-F10(10-13U)</t>
  </si>
  <si>
    <t>FCH2029W01A</t>
  </si>
  <si>
    <t>140103-2017-001709</t>
  </si>
  <si>
    <t>TK-F02-226-F10(14-17U)</t>
  </si>
  <si>
    <t>FCH2143W014</t>
  </si>
  <si>
    <t>140103-2017-001669</t>
  </si>
  <si>
    <t>TK-F02-226-F10(18-21U)</t>
  </si>
  <si>
    <t>FCH2143W00N</t>
  </si>
  <si>
    <t>140103-2017-001668</t>
  </si>
  <si>
    <t>TK-F02-226-F10(24-27U)</t>
  </si>
  <si>
    <t>FCH2142W01E</t>
  </si>
  <si>
    <t>140103-2017-001712</t>
  </si>
  <si>
    <t>TK-F02-226-F10(2-5U)</t>
  </si>
  <si>
    <t>FCH2130W004</t>
  </si>
  <si>
    <t>140103-2017-001667</t>
  </si>
  <si>
    <t>TK-F02-226-F10(28-31U)</t>
  </si>
  <si>
    <t>FCH2142W01C</t>
  </si>
  <si>
    <t>140103-2017-001666</t>
  </si>
  <si>
    <t>TK-F02-226-F10(32-35U)</t>
  </si>
  <si>
    <t>FCH2139W04B</t>
  </si>
  <si>
    <t>140103-2017-001711</t>
  </si>
  <si>
    <t>TK-F02-226-F10(6-9U)</t>
  </si>
  <si>
    <t>6C07422HM3</t>
  </si>
  <si>
    <t>140103-2017-001153</t>
  </si>
  <si>
    <t>TK-F02-226-F2(14-23U)DP1</t>
  </si>
  <si>
    <t>6CU7421YDM</t>
  </si>
  <si>
    <t>140103-2017-001092</t>
  </si>
  <si>
    <t>TK-F02-226-F2(14-23U)DP1-1</t>
  </si>
  <si>
    <t>6CU7421YAE</t>
  </si>
  <si>
    <t>140103-2017-001101</t>
  </si>
  <si>
    <t>TK-F02-226-F2(14-23U)DP1-10</t>
  </si>
  <si>
    <t>6CU7421YEK</t>
  </si>
  <si>
    <t>140103-2017-001102</t>
  </si>
  <si>
    <t>TK-F02-226-F2(14-23U)DP1-11</t>
  </si>
  <si>
    <t>6CU7421XWC</t>
  </si>
  <si>
    <t>140103-2017-001103</t>
  </si>
  <si>
    <t>TK-F02-226-F2(14-23U)DP1-12</t>
  </si>
  <si>
    <t>6CU7421XY8</t>
  </si>
  <si>
    <t>140103-2017-001104</t>
  </si>
  <si>
    <t>TK-F02-226-F2(14-23U)DP1-13</t>
  </si>
  <si>
    <t>6CU7421Y9C</t>
  </si>
  <si>
    <t>140103-2017-001105</t>
  </si>
  <si>
    <t>TK-F02-226-F2(14-23U)DP1-14</t>
  </si>
  <si>
    <t>6CU7421Y34</t>
  </si>
  <si>
    <t>140103-2017-001106</t>
  </si>
  <si>
    <t>TK-F02-226-F2(14-23U)DP1-15</t>
  </si>
  <si>
    <t>6CU7421YDS</t>
  </si>
  <si>
    <t>140103-2017-001107</t>
  </si>
  <si>
    <t>TK-F02-226-F2(14-23U)DP1-16</t>
  </si>
  <si>
    <t>6CU7421XY0</t>
  </si>
  <si>
    <t>140103-2017-001093</t>
  </si>
  <si>
    <t>TK-F02-226-F2(14-23U)DP1-2</t>
  </si>
  <si>
    <t>6CU7421Y2A</t>
  </si>
  <si>
    <t>140103-2017-001094</t>
  </si>
  <si>
    <t>TK-F02-226-F2(14-23U)DP1-3</t>
  </si>
  <si>
    <t>6CU7421Y5S</t>
  </si>
  <si>
    <t>140103-2017-001095</t>
  </si>
  <si>
    <t>TK-F02-226-F2(14-23U)DP1-4</t>
  </si>
  <si>
    <t>6CU7421YB8</t>
  </si>
  <si>
    <t>140103-2017-001096</t>
  </si>
  <si>
    <t>TK-F02-226-F2(14-23U)DP1-5</t>
  </si>
  <si>
    <t>6CU7421XSV</t>
  </si>
  <si>
    <t>140103-2017-001097</t>
  </si>
  <si>
    <t>TK-F02-226-F2(14-23U)DP1-6</t>
  </si>
  <si>
    <t>6CU7421Y6K</t>
  </si>
  <si>
    <t>140103-2017-001098</t>
  </si>
  <si>
    <t>TK-F02-226-F2(14-23U)DP1-7</t>
  </si>
  <si>
    <t>6CU7421YCP</t>
  </si>
  <si>
    <t>140103-2017-001099</t>
  </si>
  <si>
    <t>TK-F02-226-F2(14-23U)DP1-8</t>
  </si>
  <si>
    <t>6CU7421Y0P</t>
  </si>
  <si>
    <t>140103-2017-001100</t>
  </si>
  <si>
    <t>TK-F02-226-F2(14-23U)DP1-9</t>
  </si>
  <si>
    <t>6C07422HM4</t>
  </si>
  <si>
    <t>140103-2017-001152</t>
  </si>
  <si>
    <t>TK-F02-226-F2(2-11U)DP2</t>
  </si>
  <si>
    <t>6CU7421XWM</t>
  </si>
  <si>
    <t>140103-2017-001108</t>
  </si>
  <si>
    <t>TK-F02-226-F2(2-11U)DP2-1</t>
  </si>
  <si>
    <t>6CU7421XV6</t>
  </si>
  <si>
    <t>140103-2017-001117</t>
  </si>
  <si>
    <t>TK-F02-226-F2(2-11U)DP2-10</t>
  </si>
  <si>
    <t>6CU7421Y7M</t>
  </si>
  <si>
    <t>140103-2017-001118</t>
  </si>
  <si>
    <t>TK-F02-226-F2(2-11U)DP2-11</t>
  </si>
  <si>
    <t>6CU7421XYS</t>
  </si>
  <si>
    <t>140103-2017-001119</t>
  </si>
  <si>
    <t>TK-F02-226-F2(2-11U)DP2-12</t>
  </si>
  <si>
    <t>6CU7421Y3H</t>
  </si>
  <si>
    <t>140103-2017-001120</t>
  </si>
  <si>
    <t>TK-F02-226-F2(2-11U)DP2-13</t>
  </si>
  <si>
    <t>6CU7421Y3X</t>
  </si>
  <si>
    <t>140103-2017-001121</t>
  </si>
  <si>
    <t>TK-F02-226-F2(2-11U)DP2-14</t>
  </si>
  <si>
    <t>6CU7421YEE</t>
  </si>
  <si>
    <t>140103-2017-001122</t>
  </si>
  <si>
    <t>TK-F02-226-F2(2-11U)DP2-15</t>
  </si>
  <si>
    <t>6CU7421Y6P</t>
  </si>
  <si>
    <t>140103-2017-001123</t>
  </si>
  <si>
    <t>TK-F02-226-F2(2-11U)DP2-16</t>
  </si>
  <si>
    <t>6CU7421Y6E</t>
  </si>
  <si>
    <t>140103-2017-001109</t>
  </si>
  <si>
    <t>TK-F02-226-F2(2-11U)DP2-2</t>
  </si>
  <si>
    <t>6CU7421YC6</t>
  </si>
  <si>
    <t>140103-2017-001110</t>
  </si>
  <si>
    <t>TK-F02-226-F2(2-11U)DP2-3</t>
  </si>
  <si>
    <t>6CU7421Y8P</t>
  </si>
  <si>
    <t>140103-2017-001111</t>
  </si>
  <si>
    <t>TK-F02-226-F2(2-11U)DP2-4</t>
  </si>
  <si>
    <t>6CU7421XT4</t>
  </si>
  <si>
    <t>140103-2017-001112</t>
  </si>
  <si>
    <t>TK-F02-226-F2(2-11U)DP2-5</t>
  </si>
  <si>
    <t>6CU7421XT0</t>
  </si>
  <si>
    <t>140103-2017-001113</t>
  </si>
  <si>
    <t>TK-F02-226-F2(2-11U)DP2-6</t>
  </si>
  <si>
    <t>6CU7421XXP</t>
  </si>
  <si>
    <t>140103-2017-001114</t>
  </si>
  <si>
    <t>TK-F02-226-F2(2-11U)DP2-7</t>
  </si>
  <si>
    <t>6CU7421YE2</t>
  </si>
  <si>
    <t>140103-2017-001115</t>
  </si>
  <si>
    <t>TK-F02-226-F2(2-11U)DP2-8</t>
  </si>
  <si>
    <t>6CU7421XWH</t>
  </si>
  <si>
    <t>140103-2017-001116</t>
  </si>
  <si>
    <t>TK-F02-226-F2(2-11U)DP2-9</t>
  </si>
  <si>
    <t>6C07422HM9</t>
  </si>
  <si>
    <t>140103-2017-001225</t>
  </si>
  <si>
    <t>TK-F02-226-F3(14-23U)DP1</t>
  </si>
  <si>
    <t>6CU7421YDC</t>
  </si>
  <si>
    <t>140103-2017-001144</t>
  </si>
  <si>
    <t>TK-F02-226-F3(14-23U)DP1-1</t>
  </si>
  <si>
    <t>6CU7421XY4</t>
  </si>
  <si>
    <t>140103-2017-001268</t>
  </si>
  <si>
    <t>TK-F02-226-F3(14-23U)DP1-10</t>
  </si>
  <si>
    <t>6CU7421Y62</t>
  </si>
  <si>
    <t>140103-2017-001269</t>
  </si>
  <si>
    <t>TK-F02-226-F3(14-23U)DP1-11</t>
  </si>
  <si>
    <t>6CU7421Y6A</t>
  </si>
  <si>
    <t>140103-2017-001270</t>
  </si>
  <si>
    <t>TK-F02-226-F3(14-23U)DP1-12</t>
  </si>
  <si>
    <t>6CU7421Y8A</t>
  </si>
  <si>
    <t>140103-2017-001381</t>
  </si>
  <si>
    <t>TK-F02-226-F3(14-23U)DP1-13</t>
  </si>
  <si>
    <t>6CU7421XXK</t>
  </si>
  <si>
    <t>140103-2017-001382</t>
  </si>
  <si>
    <t>TK-F02-226-F3(14-23U)DP1-14</t>
  </si>
  <si>
    <t>6CU7421Y06</t>
  </si>
  <si>
    <t>140103-2017-001383</t>
  </si>
  <si>
    <t>TK-F02-226-F3(14-23U)DP1-15</t>
  </si>
  <si>
    <t>6CU7421Y7C</t>
  </si>
  <si>
    <t>140103-2017-001384</t>
  </si>
  <si>
    <t>TK-F02-226-F3(14-23U)DP1-16</t>
  </si>
  <si>
    <t>6CU7421Y2P</t>
  </si>
  <si>
    <t>140103-2017-001145</t>
  </si>
  <si>
    <t>TK-F02-226-F3(14-23U)DP1-2</t>
  </si>
  <si>
    <t>6CU7421YBM</t>
  </si>
  <si>
    <t>140103-2017-001146</t>
  </si>
  <si>
    <t>TK-F02-226-F3(14-23U)DP1-3</t>
  </si>
  <si>
    <t>6CU7421XYH</t>
  </si>
  <si>
    <t>140103-2017-001147</t>
  </si>
  <si>
    <t>TK-F02-226-F3(14-23U)DP1-4</t>
  </si>
  <si>
    <t>6CU7421Y4V</t>
  </si>
  <si>
    <t>140103-2017-001221</t>
  </si>
  <si>
    <t>TK-F02-226-F3(14-23U)DP1-5</t>
  </si>
  <si>
    <t>6CU7421YCA</t>
  </si>
  <si>
    <t>140103-2017-001222</t>
  </si>
  <si>
    <t>TK-F02-226-F3(14-23U)DP1-6</t>
  </si>
  <si>
    <t>6CU7421XW8</t>
  </si>
  <si>
    <t>140103-2017-001223</t>
  </si>
  <si>
    <t>TK-F02-226-F3(14-23U)DP1-7</t>
  </si>
  <si>
    <t>6CU7421YD0</t>
  </si>
  <si>
    <t>140103-2017-001224</t>
  </si>
  <si>
    <t>TK-F02-226-F3(14-23U)DP1-8</t>
  </si>
  <si>
    <t>6CU7421Y0E</t>
  </si>
  <si>
    <t>140103-2017-001267</t>
  </si>
  <si>
    <t>TK-F02-226-F3(14-23U)DP1-9</t>
  </si>
  <si>
    <t>6C07422HLV</t>
  </si>
  <si>
    <t>140103-2017-001812</t>
  </si>
  <si>
    <t>TK-F02-226-F3(2-11U)DP2</t>
  </si>
  <si>
    <t>6CU7421YDX</t>
  </si>
  <si>
    <t>140103-2017-001426</t>
  </si>
  <si>
    <t>TK-F02-226-F3(2-11U)DP2-1</t>
  </si>
  <si>
    <t>6CU7421Y3M</t>
  </si>
  <si>
    <t>140103-2017-001600</t>
  </si>
  <si>
    <t>TK-F02-226-F3(2-11U)DP2-10</t>
  </si>
  <si>
    <t>6CU7421Y38</t>
  </si>
  <si>
    <t>140103-2017-001649</t>
  </si>
  <si>
    <t>TK-F02-226-F3(2-11U)DP2-11</t>
  </si>
  <si>
    <t>6CU7421YB4</t>
  </si>
  <si>
    <t>140103-2017-001650</t>
  </si>
  <si>
    <t>TK-F02-226-F3(2-11U)DP2-12</t>
  </si>
  <si>
    <t>6CU7421Y42</t>
  </si>
  <si>
    <t>140103-2017-001651</t>
  </si>
  <si>
    <t>TK-F02-226-F3(2-11U)DP2-13</t>
  </si>
  <si>
    <t>6CU7421XX6</t>
  </si>
  <si>
    <t>140103-2017-001652</t>
  </si>
  <si>
    <t>TK-F02-226-F3(2-11U)DP2-14</t>
  </si>
  <si>
    <t>6CU7421XYC</t>
  </si>
  <si>
    <t>140103-2017-001653</t>
  </si>
  <si>
    <t>TK-F02-226-F3(2-11U)DP2-15</t>
  </si>
  <si>
    <t>6CU7421XVA</t>
  </si>
  <si>
    <t>140103-2017-001654</t>
  </si>
  <si>
    <t>TK-F02-226-F3(2-11U)DP2-16</t>
  </si>
  <si>
    <t>6CU7421Y8E</t>
  </si>
  <si>
    <t>140103-2017-001427</t>
  </si>
  <si>
    <t>TK-F02-226-F3(2-11U)DP2-2</t>
  </si>
  <si>
    <t>6CU7421XW0</t>
  </si>
  <si>
    <t>140103-2017-001593</t>
  </si>
  <si>
    <t>TK-F02-226-F3(2-11U)DP2-3</t>
  </si>
  <si>
    <t>6CU7421Y2E</t>
  </si>
  <si>
    <t>140103-2017-001594</t>
  </si>
  <si>
    <t>TK-F02-226-F3(2-11U)DP2-4</t>
  </si>
  <si>
    <t>6CU7421YBH</t>
  </si>
  <si>
    <t>140103-2017-001595</t>
  </si>
  <si>
    <t>TK-F02-226-F3(2-11U)DP2-5</t>
  </si>
  <si>
    <t>6CU7421Y54</t>
  </si>
  <si>
    <t>140103-2017-001596</t>
  </si>
  <si>
    <t>TK-F02-226-F3(2-11U)DP2-6</t>
  </si>
  <si>
    <t>6CU7421YBC</t>
  </si>
  <si>
    <t>140103-2017-001597</t>
  </si>
  <si>
    <t>TK-F02-226-F3(2-11U)DP2-7</t>
  </si>
  <si>
    <t>6CU7421Y0K</t>
  </si>
  <si>
    <t>140103-2017-001598</t>
  </si>
  <si>
    <t>TK-F02-226-F3(2-11U)DP2-8</t>
  </si>
  <si>
    <t>6CU7421Y1S</t>
  </si>
  <si>
    <t>140103-2017-001599</t>
  </si>
  <si>
    <t>TK-F02-226-F3(2-11U)DP2-9</t>
  </si>
  <si>
    <t>06HNAVL</t>
  </si>
  <si>
    <t>140103-2018-000107</t>
  </si>
  <si>
    <t>TK-F02-226-F3(27-28U)</t>
  </si>
  <si>
    <t>06HNAWK</t>
  </si>
  <si>
    <t>140103-2018-000108</t>
  </si>
  <si>
    <t>TK-F02-226-F3(29-30U)</t>
  </si>
  <si>
    <t>06HNAWM</t>
  </si>
  <si>
    <t>140103-2018-000109</t>
  </si>
  <si>
    <t>TK-F02-226-F3(31-32U)</t>
  </si>
  <si>
    <t>J302XHE</t>
  </si>
  <si>
    <t>140103-2018-000110</t>
  </si>
  <si>
    <t>TK-F02-226-F3(33-34U)</t>
  </si>
  <si>
    <t>06HNAVD</t>
  </si>
  <si>
    <t>140103-2018-000111</t>
  </si>
  <si>
    <t>TK-F02-226-F3(35-36U)</t>
  </si>
  <si>
    <t>6C07422HM0</t>
  </si>
  <si>
    <t>140103-2017-001810</t>
  </si>
  <si>
    <t>TK-F02-226-F4(14-23U)DP1</t>
  </si>
  <si>
    <t>6CU7421Y0V</t>
  </si>
  <si>
    <t>140103-2017-001601</t>
  </si>
  <si>
    <t>TK-F02-226-F4(14-23U)DP1-1</t>
  </si>
  <si>
    <t>6CU7421XXV</t>
  </si>
  <si>
    <t>140103-2017-001657</t>
  </si>
  <si>
    <t>TK-F02-226-F4(14-23U)DP1-10</t>
  </si>
  <si>
    <t>6CU7421Y4K</t>
  </si>
  <si>
    <t>140103-2017-001658</t>
  </si>
  <si>
    <t>TK-F02-226-F4(14-23U)DP1-11</t>
  </si>
  <si>
    <t>6CU7421Y6V</t>
  </si>
  <si>
    <t>140103-2017-001659</t>
  </si>
  <si>
    <t>TK-F02-226-F4(14-23U)DP1-12</t>
  </si>
  <si>
    <t>6CU7421XYX</t>
  </si>
  <si>
    <t>140103-2017-001660</t>
  </si>
  <si>
    <t>TK-F02-226-F4(14-23U)DP1-13</t>
  </si>
  <si>
    <t>6CU7421XW4</t>
  </si>
  <si>
    <t>140103-2017-001661</t>
  </si>
  <si>
    <t>TK-F02-226-F4(14-23U)DP1-14</t>
  </si>
  <si>
    <t>6CU7421YD8</t>
  </si>
  <si>
    <t>140103-2017-001662</t>
  </si>
  <si>
    <t>TK-F02-226-F4(14-23U)DP1-15</t>
  </si>
  <si>
    <t>6CU7421YBX</t>
  </si>
  <si>
    <t>140103-2017-001663</t>
  </si>
  <si>
    <t>TK-F02-226-F4(14-23U)DP1-16</t>
  </si>
  <si>
    <t>6CU7421Y30</t>
  </si>
  <si>
    <t>140103-2017-001602</t>
  </si>
  <si>
    <t>TK-F02-226-F4(14-23U)DP1-2</t>
  </si>
  <si>
    <t>6CU7421Y10</t>
  </si>
  <si>
    <t>140103-2017-001603</t>
  </si>
  <si>
    <t>TK-F02-226-F4(14-23U)DP1-3</t>
  </si>
  <si>
    <t>6CU7421XVV</t>
  </si>
  <si>
    <t>140103-2017-001604</t>
  </si>
  <si>
    <t>TK-F02-226-F4(14-23U)DP1-4</t>
  </si>
  <si>
    <t>6CU7421Y74</t>
  </si>
  <si>
    <t>140103-2017-001605</t>
  </si>
  <si>
    <t>TK-F02-226-F4(14-23U)DP1-5</t>
  </si>
  <si>
    <t>6CU7421Y2V</t>
  </si>
  <si>
    <t>140103-2017-001606</t>
  </si>
  <si>
    <t>TK-F02-226-F4(14-23U)DP1-6</t>
  </si>
  <si>
    <t>6CU7421Y4P</t>
  </si>
  <si>
    <t>140103-2017-001607</t>
  </si>
  <si>
    <t>TK-F02-226-F4(14-23U)DP1-7</t>
  </si>
  <si>
    <t>6CU7421Y78</t>
  </si>
  <si>
    <t>140103-2017-001655</t>
  </si>
  <si>
    <t>TK-F02-226-F4(14-23U)DP1-8</t>
  </si>
  <si>
    <t>6CU7421Y50</t>
  </si>
  <si>
    <t>140103-2017-001656</t>
  </si>
  <si>
    <t>TK-F02-226-F4(14-23U)DP1-9</t>
  </si>
  <si>
    <t>6C07422HLX</t>
  </si>
  <si>
    <t>140103-2017-001811</t>
  </si>
  <si>
    <t>TK-F02-226-F4(2-11U)DP2</t>
  </si>
  <si>
    <t>6CU7421Y9X</t>
  </si>
  <si>
    <t>140103-2017-001664</t>
  </si>
  <si>
    <t>TK-F02-226-F4(2-11U)DP2-1</t>
  </si>
  <si>
    <t>6CU7421Y18</t>
  </si>
  <si>
    <t>140103-2017-001701</t>
  </si>
  <si>
    <t>TK-F02-226-F4(2-11U)DP2-10</t>
  </si>
  <si>
    <t>6CU7421Y9S</t>
  </si>
  <si>
    <t>140103-2017-001707</t>
  </si>
  <si>
    <t>TK-F02-226-F4(2-11U)DP2-11</t>
  </si>
  <si>
    <t>6CU7421Y46</t>
  </si>
  <si>
    <t>140103-2017-001708</t>
  </si>
  <si>
    <t>TK-F02-226-F4(2-11U)DP2-12</t>
  </si>
  <si>
    <t>6CU7421Y8K</t>
  </si>
  <si>
    <t>140103-2017-001741</t>
  </si>
  <si>
    <t>TK-F02-226-F4(2-11U)DP2-13</t>
  </si>
  <si>
    <t>6CU7421Y26</t>
  </si>
  <si>
    <t>140103-2017-001742</t>
  </si>
  <si>
    <t>TK-F02-226-F4(2-11U)DP2-14</t>
  </si>
  <si>
    <t>6CU7421Y22</t>
  </si>
  <si>
    <t>140103-2017-001743</t>
  </si>
  <si>
    <t>TK-F02-226-F4(2-11U)DP2-15</t>
  </si>
  <si>
    <t>6CU7421YD4</t>
  </si>
  <si>
    <t>140103-2017-001744</t>
  </si>
  <si>
    <t>TK-F02-226-F4(2-11U)DP2-16</t>
  </si>
  <si>
    <t>6CU7421Y5C</t>
  </si>
  <si>
    <t>140103-2017-001665</t>
  </si>
  <si>
    <t>TK-F02-226-F4(2-11U)DP2-2</t>
  </si>
  <si>
    <t>6CU7421YAP</t>
  </si>
  <si>
    <t>140103-2017-001694</t>
  </si>
  <si>
    <t>TK-F02-226-F4(2-11U)DP2-3</t>
  </si>
  <si>
    <t>6CU7421XX2</t>
  </si>
  <si>
    <t>140103-2017-001695</t>
  </si>
  <si>
    <t>TK-F02-226-F4(2-11U)DP2-4</t>
  </si>
  <si>
    <t>6CU7421Y7X</t>
  </si>
  <si>
    <t>140103-2017-001696</t>
  </si>
  <si>
    <t>TK-F02-226-F4(2-11U)DP2-5</t>
  </si>
  <si>
    <t>6CU7421YBS</t>
  </si>
  <si>
    <t>140103-2017-001697</t>
  </si>
  <si>
    <t>TK-F02-226-F4(2-11U)DP2-6</t>
  </si>
  <si>
    <t>6CU7421YAV</t>
  </si>
  <si>
    <t>140103-2017-001698</t>
  </si>
  <si>
    <t>TK-F02-226-F4(2-11U)DP2-7</t>
  </si>
  <si>
    <t>6CU7421Y1H</t>
  </si>
  <si>
    <t>140103-2017-001699</t>
  </si>
  <si>
    <t>TK-F02-226-F4(2-11U)DP2-8</t>
  </si>
  <si>
    <t>6CU7421YAK</t>
  </si>
  <si>
    <t>140103-2017-001700</t>
  </si>
  <si>
    <t>TK-F02-226-F4(2-11U)DP2-9</t>
  </si>
  <si>
    <t>J302XHK</t>
  </si>
  <si>
    <t>140103-2018-000112</t>
  </si>
  <si>
    <t>TK-F02-226-F4(27-28U)</t>
  </si>
  <si>
    <t>06HNALV</t>
  </si>
  <si>
    <t>140103-2018-000113</t>
  </si>
  <si>
    <t>TK-F02-226-F4(29-30U)</t>
  </si>
  <si>
    <t>06HNATM</t>
  </si>
  <si>
    <t>140103-2018-000114</t>
  </si>
  <si>
    <t>TK-F02-226-F4(31-32U)</t>
  </si>
  <si>
    <t>J302XK3</t>
  </si>
  <si>
    <t>140103-2018-000115</t>
  </si>
  <si>
    <t>TK-F02-226-F4(33-34U)</t>
  </si>
  <si>
    <t>06HNAVX</t>
  </si>
  <si>
    <t>140103-2018-000116</t>
  </si>
  <si>
    <t>TK-F02-226-F4(35-36U)</t>
  </si>
  <si>
    <t>6CU7422HLS</t>
  </si>
  <si>
    <t>140103-2017-001387</t>
  </si>
  <si>
    <t>TK-F02-226-F5(14-23U)DP1</t>
  </si>
  <si>
    <t>6CU7421XTM</t>
  </si>
  <si>
    <t>140103-2017-001702</t>
  </si>
  <si>
    <t>TK-F02-226-F5(14-23U)DP1-1</t>
  </si>
  <si>
    <t>6CU7421YE6</t>
  </si>
  <si>
    <t>140103-2017-001769</t>
  </si>
  <si>
    <t>TK-F02-226-F5(14-23U)DP1-10</t>
  </si>
  <si>
    <t>6CU7421Y02</t>
  </si>
  <si>
    <t>140103-2017-001770</t>
  </si>
  <si>
    <t>TK-F02-226-F5(14-23U)DP1-11</t>
  </si>
  <si>
    <t>6CU7421Y90</t>
  </si>
  <si>
    <t>140103-2017-001771</t>
  </si>
  <si>
    <t>TK-F02-226-F5(14-23U)DP1-12</t>
  </si>
  <si>
    <t>6CU7421Y2K</t>
  </si>
  <si>
    <t>140103-2017-001772</t>
  </si>
  <si>
    <t>TK-F02-226-F5(14-23U)DP1-13</t>
  </si>
  <si>
    <t>6CU7421YA6</t>
  </si>
  <si>
    <t>140103-2017-001782</t>
  </si>
  <si>
    <t>TK-F02-226-F5(14-23U)DP1-14</t>
  </si>
  <si>
    <t>6CU7421Y4E</t>
  </si>
  <si>
    <t>140103-2017-001783</t>
  </si>
  <si>
    <t>TK-F02-226-F5(14-23U)DP1-15</t>
  </si>
  <si>
    <t>6CU7421Y7S</t>
  </si>
  <si>
    <t>140103-2017-001784</t>
  </si>
  <si>
    <t>TK-F02-226-F5(14-23U)DP1-16</t>
  </si>
  <si>
    <t>6CU7421Y86</t>
  </si>
  <si>
    <t>140103-2017-001703</t>
  </si>
  <si>
    <t>TK-F02-226-F5(14-23U)DP1-2</t>
  </si>
  <si>
    <t>6CU7421Y3C</t>
  </si>
  <si>
    <t>140103-2017-001704</t>
  </si>
  <si>
    <t>TK-F02-226-F5(14-23U)DP1-3</t>
  </si>
  <si>
    <t>6CU7421Y82</t>
  </si>
  <si>
    <t>140103-2017-001705</t>
  </si>
  <si>
    <t>TK-F02-226-F5(14-23U)DP1-4</t>
  </si>
  <si>
    <t>6CU7421Y1X</t>
  </si>
  <si>
    <t>140103-2017-001706</t>
  </si>
  <si>
    <t>TK-F02-226-F5(14-23U)DP1-5</t>
  </si>
  <si>
    <t>6CU7421XVK</t>
  </si>
  <si>
    <t>140103-2017-001761</t>
  </si>
  <si>
    <t>TK-F02-226-F5(14-23U)DP1-6</t>
  </si>
  <si>
    <t>6CU7421XVP</t>
  </si>
  <si>
    <t>140103-2017-001762</t>
  </si>
  <si>
    <t>TK-F02-226-F5(14-23U)DP1-7</t>
  </si>
  <si>
    <t>6CU7421XV2</t>
  </si>
  <si>
    <t>140103-2017-001767</t>
  </si>
  <si>
    <t>TK-F02-226-F5(14-23U)DP1-8</t>
  </si>
  <si>
    <t>6CU7421Y70</t>
  </si>
  <si>
    <t>140103-2017-001768</t>
  </si>
  <si>
    <t>TK-F02-226-F5(14-23U)DP1-9</t>
  </si>
  <si>
    <t>6C07422HM7</t>
  </si>
  <si>
    <t>140103-2017-001157</t>
  </si>
  <si>
    <t>TK-F02-226-F5(2-11U)DP2</t>
  </si>
  <si>
    <t>6CU7421YB0</t>
  </si>
  <si>
    <t>140103-2017-001791</t>
  </si>
  <si>
    <t>TK-F02-226-F5(2-11U)DP2-1</t>
  </si>
  <si>
    <t>6CU7421X3Y</t>
  </si>
  <si>
    <t>140103-2017-001003</t>
  </si>
  <si>
    <t>TK-F02-226-F5(2-11U)DP2-10</t>
  </si>
  <si>
    <t>6CU7421X39</t>
  </si>
  <si>
    <t>140103-2017-001004</t>
  </si>
  <si>
    <t>TK-F02-226-F5(2-11U)DP2-11</t>
  </si>
  <si>
    <t>6CU7421X3J</t>
  </si>
  <si>
    <t>140103-2017-001005</t>
  </si>
  <si>
    <t>TK-F02-226-F5(2-11U)DP2-12</t>
  </si>
  <si>
    <t>6CU7421X3T</t>
  </si>
  <si>
    <t>140103-2017-001006</t>
  </si>
  <si>
    <t>TK-F02-226-F5(2-11U)DP2-13</t>
  </si>
  <si>
    <t>6CU7421X3D</t>
  </si>
  <si>
    <t>140103-2017-001007</t>
  </si>
  <si>
    <t>TK-F02-226-F5(2-11U)DP2-14</t>
  </si>
  <si>
    <t>6CU7421XE0</t>
  </si>
  <si>
    <t>140103-2017-000998</t>
  </si>
  <si>
    <t>TK-F02-226-F5(2-11U)DP2-15</t>
  </si>
  <si>
    <t>6CU7421XM9</t>
  </si>
  <si>
    <t>140103-2017-000999</t>
  </si>
  <si>
    <t>TK-F02-226-F5(2-11U)DP2-16</t>
  </si>
  <si>
    <t>6CU7421YCV</t>
  </si>
  <si>
    <t>140103-2017-001792</t>
  </si>
  <si>
    <t>TK-F02-226-F5(2-11U)DP2-2</t>
  </si>
  <si>
    <t>6CU7421Y1C</t>
  </si>
  <si>
    <t>140103-2017-001793</t>
  </si>
  <si>
    <t>TK-F02-226-F5(2-11U)DP2-3</t>
  </si>
  <si>
    <t>6CU7421Y3S</t>
  </si>
  <si>
    <t>140103-2017-001794</t>
  </si>
  <si>
    <t>TK-F02-226-F5(2-11U)DP2-4</t>
  </si>
  <si>
    <t>6CU7421Y14</t>
  </si>
  <si>
    <t>140103-2017-001799</t>
  </si>
  <si>
    <t>TK-F02-226-F5(2-11U)DP2-5</t>
  </si>
  <si>
    <t>6CU7421Y4A</t>
  </si>
  <si>
    <t>140103-2017-001800</t>
  </si>
  <si>
    <t>TK-F02-226-F5(2-11U)DP2-6</t>
  </si>
  <si>
    <t>6CU7421X43</t>
  </si>
  <si>
    <t>140103-2017-001000</t>
  </si>
  <si>
    <t>TK-F02-226-F5(2-11U)DP2-7</t>
  </si>
  <si>
    <t>6CU7421X47</t>
  </si>
  <si>
    <t>140103-2017-001001</t>
  </si>
  <si>
    <t>TK-F02-226-F5(2-11U)DP2-8</t>
  </si>
  <si>
    <t>6CU7421X3N</t>
  </si>
  <si>
    <t>140103-2017-001002</t>
  </si>
  <si>
    <t>TK-F02-226-F5(2-11U)DP2-9</t>
  </si>
  <si>
    <t>J302XHH</t>
  </si>
  <si>
    <t>140103-2018-000117</t>
  </si>
  <si>
    <t>TK-F02-226-F5(27-28U)</t>
  </si>
  <si>
    <t>06HNAVG</t>
  </si>
  <si>
    <t>140103-2018-000118</t>
  </si>
  <si>
    <t>TK-F02-226-F5(29-30U)</t>
  </si>
  <si>
    <t>06HNATA</t>
  </si>
  <si>
    <t>140103-2018-000119</t>
  </si>
  <si>
    <t>TK-F02-226-F5(31-32U)</t>
  </si>
  <si>
    <t>06HNAMD</t>
  </si>
  <si>
    <t>140103-2018-000120</t>
  </si>
  <si>
    <t>TK-F02-226-F5(33-34U)</t>
  </si>
  <si>
    <t>06HNAVF</t>
  </si>
  <si>
    <t>140103-2018-000121</t>
  </si>
  <si>
    <t>TK-F02-226-F5(35-36U)</t>
  </si>
  <si>
    <t>6C07422HM5</t>
  </si>
  <si>
    <t>140103-2017-001154</t>
  </si>
  <si>
    <t>TK-F02-226-F6(14-23U)DP1</t>
  </si>
  <si>
    <t>6CU7421XLL</t>
  </si>
  <si>
    <t>140103-2017-001052</t>
  </si>
  <si>
    <t>TK-F02-226-F6(14-23U)DP1-1</t>
  </si>
  <si>
    <t>6CU7421XJF</t>
  </si>
  <si>
    <t>140103-2017-001061</t>
  </si>
  <si>
    <t>TK-F02-226-F6(14-23U)DP1-10</t>
  </si>
  <si>
    <t>6CU7421XEH</t>
  </si>
  <si>
    <t>140103-2017-001062</t>
  </si>
  <si>
    <t>TK-F02-226-F6(14-23U)DP1-11</t>
  </si>
  <si>
    <t>6CU7421XM5</t>
  </si>
  <si>
    <t>140103-2017-001063</t>
  </si>
  <si>
    <t>TK-F02-226-F6(14-23U)DP1-12</t>
  </si>
  <si>
    <t>6CU7421XM1</t>
  </si>
  <si>
    <t>140103-2017-001064</t>
  </si>
  <si>
    <t>TK-F02-226-F6(14-23U)DP1-13</t>
  </si>
  <si>
    <t>6CU7421XLB</t>
  </si>
  <si>
    <t>140103-2017-001065</t>
  </si>
  <si>
    <t>TK-F02-226-F6(14-23U)DP1-14</t>
  </si>
  <si>
    <t>6CU7421XEM</t>
  </si>
  <si>
    <t>140103-2017-001066</t>
  </si>
  <si>
    <t>TK-F02-226-F6(14-23U)DP1-15</t>
  </si>
  <si>
    <t>6CU7421XE4</t>
  </si>
  <si>
    <t>140103-2017-001067</t>
  </si>
  <si>
    <t>TK-F02-226-F6(14-23U)DP1-16</t>
  </si>
  <si>
    <t>6CU7421XHD</t>
  </si>
  <si>
    <t>140103-2017-001053</t>
  </si>
  <si>
    <t>TK-F02-226-F6(14-23U)DP1-2</t>
  </si>
  <si>
    <t>6CU7421XJW</t>
  </si>
  <si>
    <t>140103-2017-001054</t>
  </si>
  <si>
    <t>TK-F02-226-F6(14-23U)DP1-3</t>
  </si>
  <si>
    <t>6CU7421XF2</t>
  </si>
  <si>
    <t>140103-2017-001055</t>
  </si>
  <si>
    <t>TK-F02-226-F6(14-23U)DP1-4</t>
  </si>
  <si>
    <t>6CU7421XH9</t>
  </si>
  <si>
    <t>140103-2017-001056</t>
  </si>
  <si>
    <t>TK-F02-226-F6(14-23U)DP1-5</t>
  </si>
  <si>
    <t>6CU7421XHN</t>
  </si>
  <si>
    <t>140103-2017-001057</t>
  </si>
  <si>
    <t>TK-F02-226-F6(14-23U)DP1-6</t>
  </si>
  <si>
    <t>6CU7421XL7</t>
  </si>
  <si>
    <t>140103-2017-001058</t>
  </si>
  <si>
    <t>TK-F02-226-F6(14-23U)DP1-7</t>
  </si>
  <si>
    <t>6CU7421XES</t>
  </si>
  <si>
    <t>140103-2017-001059</t>
  </si>
  <si>
    <t>TK-F02-226-F6(14-23U)DP1-8</t>
  </si>
  <si>
    <t>6CU7421XFW</t>
  </si>
  <si>
    <t>140103-2017-001060</t>
  </si>
  <si>
    <t>TK-F02-226-F6(14-23U)DP1-9</t>
  </si>
  <si>
    <t>6C07422HM8</t>
  </si>
  <si>
    <t>140103-2017-001155</t>
  </si>
  <si>
    <t>TK-F02-226-F6(2-11U)DP2</t>
  </si>
  <si>
    <t>6CU7421XL3</t>
  </si>
  <si>
    <t>140103-2017-001068</t>
  </si>
  <si>
    <t>TK-F02-226-F6(2-11U)DP2-1</t>
  </si>
  <si>
    <t>6CU7421XKJ</t>
  </si>
  <si>
    <t>140103-2017-001125</t>
  </si>
  <si>
    <t>TK-F02-226-F6(2-11U)DP2-10</t>
  </si>
  <si>
    <t>6CU7421XEX</t>
  </si>
  <si>
    <t>140103-2017-001126</t>
  </si>
  <si>
    <t>TK-F02-226-F6(2-11U)DP2-11</t>
  </si>
  <si>
    <t>6CU7421XKT</t>
  </si>
  <si>
    <t>140103-2017-001127</t>
  </si>
  <si>
    <t>TK-F02-226-F6(2-11U)DP2-12</t>
  </si>
  <si>
    <t>6CU7421XKN</t>
  </si>
  <si>
    <t>140103-2017-001385</t>
  </si>
  <si>
    <t>TK-F02-226-F6(2-11U)DP2-13</t>
  </si>
  <si>
    <t>6CU7421XFL</t>
  </si>
  <si>
    <t>140103-2017-001386</t>
  </si>
  <si>
    <t>TK-F02-226-F6(2-11U)DP2-14</t>
  </si>
  <si>
    <t>6CU7421XKY</t>
  </si>
  <si>
    <t>140103-2017-001405</t>
  </si>
  <si>
    <t>TK-F02-226-F6(2-11U)DP2-15</t>
  </si>
  <si>
    <t>6CU7421XHY</t>
  </si>
  <si>
    <t>140103-2017-001406</t>
  </si>
  <si>
    <t>TK-F02-226-F6(2-11U)DP2-16</t>
  </si>
  <si>
    <t>6CU7421XLW</t>
  </si>
  <si>
    <t>140103-2017-001069</t>
  </si>
  <si>
    <t>TK-F02-226-F6(2-11U)DP2-2</t>
  </si>
  <si>
    <t>6CU7421XF6</t>
  </si>
  <si>
    <t>140103-2017-001070</t>
  </si>
  <si>
    <t>TK-F02-226-F6(2-11U)DP2-3</t>
  </si>
  <si>
    <t>6CU7421XH5</t>
  </si>
  <si>
    <t>140103-2017-001071</t>
  </si>
  <si>
    <t>TK-F02-226-F6(2-11U)DP2-4</t>
  </si>
  <si>
    <t>6CU7421XK5</t>
  </si>
  <si>
    <t>140103-2017-001072</t>
  </si>
  <si>
    <t>TK-F02-226-F6(2-11U)DP2-5</t>
  </si>
  <si>
    <t>6CU7421XE8</t>
  </si>
  <si>
    <t>140103-2017-001073</t>
  </si>
  <si>
    <t>TK-F02-226-F6(2-11U)DP2-6</t>
  </si>
  <si>
    <t>6CU7421XMD</t>
  </si>
  <si>
    <t>140103-2017-001074</t>
  </si>
  <si>
    <t>TK-F02-226-F6(2-11U)DP2-7</t>
  </si>
  <si>
    <t>6CU7421XLF</t>
  </si>
  <si>
    <t>140103-2017-001075</t>
  </si>
  <si>
    <t>TK-F02-226-F6(2-11U)DP2-8</t>
  </si>
  <si>
    <t>6CU7421XFA</t>
  </si>
  <si>
    <t>140103-2017-001124</t>
  </si>
  <si>
    <t>TK-F02-226-F6(2-11U)DP2-9</t>
  </si>
  <si>
    <t>J302XKF</t>
  </si>
  <si>
    <t>140103-2018-000122</t>
  </si>
  <si>
    <t>TK-F02-226-F6(27-28U)</t>
  </si>
  <si>
    <t>J302XK0</t>
  </si>
  <si>
    <t>140103-2018-000123</t>
  </si>
  <si>
    <t>TK-F02-226-F6(29-30U)</t>
  </si>
  <si>
    <t>06HNAKN</t>
  </si>
  <si>
    <t>140103-2018-000124</t>
  </si>
  <si>
    <t>TK-F02-226-F6(31-32U)</t>
  </si>
  <si>
    <t>06HNAVW</t>
  </si>
  <si>
    <t>140103-2018-000125</t>
  </si>
  <si>
    <t>TK-F02-226-F6(33-34U)</t>
  </si>
  <si>
    <t>J302XK1</t>
  </si>
  <si>
    <t>140103-2018-000126</t>
  </si>
  <si>
    <t>TK-F02-226-F6(35-36U)</t>
  </si>
  <si>
    <t>6C07422HLT</t>
  </si>
  <si>
    <t>140103-2017-001156</t>
  </si>
  <si>
    <t>TK-F02-226-F7(14-23U)DP1</t>
  </si>
  <si>
    <t>6CU7421XJL</t>
  </si>
  <si>
    <t>140103-2017-001076</t>
  </si>
  <si>
    <t>TK-F02-226-F7(14-23U)DP1-1</t>
  </si>
  <si>
    <t>6CU7421XJ3</t>
  </si>
  <si>
    <t>140103-2017-001085</t>
  </si>
  <si>
    <t>TK-F02-226-F7(14-23U)DP1-10</t>
  </si>
  <si>
    <t>6CU7421XFF</t>
  </si>
  <si>
    <t>140103-2017-001086</t>
  </si>
  <si>
    <t>TK-F02-226-F7(14-23U)DP1-11</t>
  </si>
  <si>
    <t>6CU7421XJR</t>
  </si>
  <si>
    <t>140103-2017-001087</t>
  </si>
  <si>
    <t>TK-F02-226-F7(14-23U)DP1-12</t>
  </si>
  <si>
    <t>6CU7421XHT</t>
  </si>
  <si>
    <t>140103-2017-001088</t>
  </si>
  <si>
    <t>TK-F02-226-F7(14-23U)DP1-13</t>
  </si>
  <si>
    <t>6CU7421XK9</t>
  </si>
  <si>
    <t>140103-2017-001089</t>
  </si>
  <si>
    <t>TK-F02-226-F7(14-23U)DP1-14</t>
  </si>
  <si>
    <t>6CU7421XJB</t>
  </si>
  <si>
    <t>140103-2017-001090</t>
  </si>
  <si>
    <t>TK-F02-226-F7(14-23U)DP1-15</t>
  </si>
  <si>
    <t>6CU7421XKD</t>
  </si>
  <si>
    <t>140103-2017-001091</t>
  </si>
  <si>
    <t>TK-F02-226-F7(14-23U)DP1-16</t>
  </si>
  <si>
    <t>6CU7421XFR</t>
  </si>
  <si>
    <t>140103-2017-001077</t>
  </si>
  <si>
    <t>TK-F02-226-F7(14-23U)DP1-2</t>
  </si>
  <si>
    <t>6CU7421XLR</t>
  </si>
  <si>
    <t>140103-2017-001078</t>
  </si>
  <si>
    <t>TK-F02-226-F7(14-23U)DP1-3</t>
  </si>
  <si>
    <t>6CU7421XH1</t>
  </si>
  <si>
    <t>140103-2017-001079</t>
  </si>
  <si>
    <t>TK-F02-226-F7(14-23U)DP1-4</t>
  </si>
  <si>
    <t>6CU7421XJ7</t>
  </si>
  <si>
    <t>140103-2017-001080</t>
  </si>
  <si>
    <t>TK-F02-226-F7(14-23U)DP1-5</t>
  </si>
  <si>
    <t>6CU7421XK1</t>
  </si>
  <si>
    <t>140103-2017-001081</t>
  </si>
  <si>
    <t>TK-F02-226-F7(14-23U)DP1-6</t>
  </si>
  <si>
    <t>6CU7421XEC</t>
  </si>
  <si>
    <t>140103-2017-001082</t>
  </si>
  <si>
    <t>TK-F02-226-F7(14-23U)DP1-7</t>
  </si>
  <si>
    <t>6CU7421XMJ</t>
  </si>
  <si>
    <t>140103-2017-001083</t>
  </si>
  <si>
    <t>TK-F02-226-F7(14-23U)DP1-8</t>
  </si>
  <si>
    <t>6CU7421XHJ</t>
  </si>
  <si>
    <t>140103-2017-001084</t>
  </si>
  <si>
    <t>TK-F02-226-F7(14-23U)DP1-9</t>
  </si>
  <si>
    <t>6C07422HLY</t>
  </si>
  <si>
    <t>140103-2017-001484</t>
  </si>
  <si>
    <t>TK-F02-226-F7(2-11U)DP2</t>
  </si>
  <si>
    <t>6CU7421X2J</t>
  </si>
  <si>
    <t>140103-2017-001478</t>
  </si>
  <si>
    <t>TK-F02-226-F7(2-11U)DP2-1</t>
  </si>
  <si>
    <t>6CU7421X7D</t>
  </si>
  <si>
    <t>140103-2017-001139</t>
  </si>
  <si>
    <t>TK-F02-226-F7(2-11U)DP2-10</t>
  </si>
  <si>
    <t>6CU7421X8B</t>
  </si>
  <si>
    <t>140103-2017-001140</t>
  </si>
  <si>
    <t>TK-F02-226-F7(2-11U)DP2-11</t>
  </si>
  <si>
    <t>6CU7421X7J</t>
  </si>
  <si>
    <t>140103-2017-001141</t>
  </si>
  <si>
    <t>TK-F02-226-F7(2-11U)DP2-12</t>
  </si>
  <si>
    <t>6CU7421X87</t>
  </si>
  <si>
    <t>140103-2017-001142</t>
  </si>
  <si>
    <t>TK-F02-226-F7(2-11U)DP2-13</t>
  </si>
  <si>
    <t>6CU7421X8H</t>
  </si>
  <si>
    <t>140103-2017-001143</t>
  </si>
  <si>
    <t>TK-F02-226-F7(2-11U)DP2-14</t>
  </si>
  <si>
    <t>6CU7421X7N</t>
  </si>
  <si>
    <t>140103-2017-001759</t>
  </si>
  <si>
    <t>TK-F02-226-F7(2-11U)DP2-15</t>
  </si>
  <si>
    <t>6CU7421X83</t>
  </si>
  <si>
    <t>140103-2017-001760</t>
  </si>
  <si>
    <t>TK-F02-226-F7(2-11U)DP2-16</t>
  </si>
  <si>
    <t>6CU7421X29</t>
  </si>
  <si>
    <t>140103-2017-001479</t>
  </si>
  <si>
    <t>TK-F02-226-F7(2-11U)DP2-2</t>
  </si>
  <si>
    <t>6CU7421X25</t>
  </si>
  <si>
    <t>140103-2017-001480</t>
  </si>
  <si>
    <t>TK-F02-226-F7(2-11U)DP2-3</t>
  </si>
  <si>
    <t>6CU7421X2N</t>
  </si>
  <si>
    <t>140103-2017-001481</t>
  </si>
  <si>
    <t>TK-F02-226-F7(2-11U)DP2-4</t>
  </si>
  <si>
    <t>6CU7421X2D</t>
  </si>
  <si>
    <t>140103-2017-001482</t>
  </si>
  <si>
    <t>TK-F02-226-F7(2-11U)DP2-5</t>
  </si>
  <si>
    <t>6CU7421X2T</t>
  </si>
  <si>
    <t>140103-2017-001483</t>
  </si>
  <si>
    <t>TK-F02-226-F7(2-11U)DP2-6</t>
  </si>
  <si>
    <t>6CU7421X79</t>
  </si>
  <si>
    <t>140103-2017-001136</t>
  </si>
  <si>
    <t>TK-F02-226-F7(2-11U)DP2-7</t>
  </si>
  <si>
    <t>6CU7421X7Y</t>
  </si>
  <si>
    <t>140103-2017-001137</t>
  </si>
  <si>
    <t>TK-F02-226-F7(2-11U)DP2-8</t>
  </si>
  <si>
    <t>6CU7421X7T</t>
  </si>
  <si>
    <t>140103-2017-001138</t>
  </si>
  <si>
    <t>TK-F02-226-F7(2-11U)DP2-9</t>
  </si>
  <si>
    <t>06HNATL</t>
  </si>
  <si>
    <t>140103-2018-000127</t>
  </si>
  <si>
    <t>TK-F02-226-F7(27-28U)</t>
  </si>
  <si>
    <t>J302XHG</t>
  </si>
  <si>
    <t>140103-2018-000128</t>
  </si>
  <si>
    <t>TK-F02-226-F7(29-30U)</t>
  </si>
  <si>
    <t>06HNAVR</t>
  </si>
  <si>
    <t>140103-2018-000129</t>
  </si>
  <si>
    <t>TK-F02-226-F7(31-32U)</t>
  </si>
  <si>
    <t>06HNAWN</t>
  </si>
  <si>
    <t>140103-2018-000130</t>
  </si>
  <si>
    <t>TK-F02-226-F7(33-34U)</t>
  </si>
  <si>
    <t>FCH2138V1VG</t>
  </si>
  <si>
    <t>140103-2017-000982</t>
  </si>
  <si>
    <t>TK-F02-226-F8(10-11U)</t>
  </si>
  <si>
    <t>FCH2138V1VJ</t>
  </si>
  <si>
    <t>140103-2017-000981</t>
  </si>
  <si>
    <t>TK-F02-226-F8(12-13U)</t>
  </si>
  <si>
    <t>FCH2138V1SV</t>
  </si>
  <si>
    <t>140103-2017-000980</t>
  </si>
  <si>
    <t>TK-F02-226-F8(14-15U)</t>
  </si>
  <si>
    <t>FCH2138V1VK</t>
  </si>
  <si>
    <t>140103-2017-000979</t>
  </si>
  <si>
    <t>TK-F02-226-F8(16-17U)</t>
  </si>
  <si>
    <t>FCH2138V1UQ</t>
  </si>
  <si>
    <t>140103-2017-000978</t>
  </si>
  <si>
    <t>TK-F02-226-F8(18-19U)</t>
  </si>
  <si>
    <t>FCH2138V1UR</t>
  </si>
  <si>
    <t>140103-2017-000977</t>
  </si>
  <si>
    <t>TK-F02-226-F8(20-21U)</t>
  </si>
  <si>
    <t>FCH2138V1UX</t>
  </si>
  <si>
    <t>140103-2017-000986</t>
  </si>
  <si>
    <t>TK-F02-226-F8(2-3U)</t>
  </si>
  <si>
    <t>FCH2138V1UT</t>
  </si>
  <si>
    <t>140103-2017-000976</t>
  </si>
  <si>
    <t>TK-F02-226-F8(24-25U)</t>
  </si>
  <si>
    <t>FCH2132V1FE</t>
  </si>
  <si>
    <t>140103-2017-001159</t>
  </si>
  <si>
    <t>TK-F02-226-F8(26-27U)</t>
  </si>
  <si>
    <t>FCH2132V0ZT</t>
  </si>
  <si>
    <t>140103-2017-001158</t>
  </si>
  <si>
    <t>TK-F02-226-F8(28-29U)</t>
  </si>
  <si>
    <t>FCH2138V1U0</t>
  </si>
  <si>
    <t>140103-2017-000985</t>
  </si>
  <si>
    <t>TK-F02-226-F8(4-5U)</t>
  </si>
  <si>
    <t>FCH2138V1SY</t>
  </si>
  <si>
    <t>140103-2017-000984</t>
  </si>
  <si>
    <t>TK-F02-226-F8(6-7U)</t>
  </si>
  <si>
    <t>FCH2138V1SX</t>
  </si>
  <si>
    <t>140103-2017-000983</t>
  </si>
  <si>
    <t>TK-F02-226-F8(8-9U)</t>
  </si>
  <si>
    <t>FCH2142W019</t>
  </si>
  <si>
    <t>140103-2017-001609</t>
  </si>
  <si>
    <t>TK-F02-226-F9(10-13U)</t>
  </si>
  <si>
    <t>FCH2139W01Y</t>
  </si>
  <si>
    <t>140103-2017-001608</t>
  </si>
  <si>
    <t>TK-F02-226-F9(14-17U)</t>
  </si>
  <si>
    <t>FCH2138V1US</t>
  </si>
  <si>
    <t>140103-2017-000991</t>
  </si>
  <si>
    <t>TK-F02-226-F9(18-19U)</t>
  </si>
  <si>
    <t>FCH2138V1UW</t>
  </si>
  <si>
    <t>140103-2017-000990</t>
  </si>
  <si>
    <t>TK-F02-226-F9(20-21U)</t>
  </si>
  <si>
    <t>FCH2138V1UY</t>
  </si>
  <si>
    <t>140103-2017-000989</t>
  </si>
  <si>
    <t>TK-F02-226-F9(24-25U)</t>
  </si>
  <si>
    <t>FCH2142W01K</t>
  </si>
  <si>
    <t>140103-2017-001611</t>
  </si>
  <si>
    <t>TK-F02-226-F9(2-5U)</t>
  </si>
  <si>
    <t>FCH2138V1AS</t>
  </si>
  <si>
    <t>140103-2017-000988</t>
  </si>
  <si>
    <t>TK-F02-226-F9(26-27U)</t>
  </si>
  <si>
    <t>FCH2014V12P</t>
  </si>
  <si>
    <t>140103-2017-000987</t>
  </si>
  <si>
    <t>TK-F02-226-F9(28-29U)</t>
  </si>
  <si>
    <t>FDO2138Q1SV</t>
  </si>
  <si>
    <t>140502-2017-000108</t>
  </si>
  <si>
    <t>TK-F02-226-F9(35-35U)</t>
  </si>
  <si>
    <t>F0C21211SYG</t>
  </si>
  <si>
    <t>140502-2017-000102</t>
  </si>
  <si>
    <t>TK-F02-226-F9(39-39U)</t>
  </si>
  <si>
    <t>FCH2139W046</t>
  </si>
  <si>
    <t>140103-2017-001610</t>
  </si>
  <si>
    <t>TK-F02-226-F9(6-9U)</t>
  </si>
  <si>
    <t>210235A3GLH195000015</t>
  </si>
  <si>
    <t>140502-2019-000114</t>
  </si>
  <si>
    <t>TK-F02-226-G(11-11U)</t>
  </si>
  <si>
    <t>210235A3GLH195000014</t>
  </si>
  <si>
    <t>140502-2019-000113</t>
  </si>
  <si>
    <t>TK-F02-226-G(14-14U)</t>
  </si>
  <si>
    <t>思科N5K-C5672UP</t>
  </si>
  <si>
    <t>FOC2207R09X</t>
  </si>
  <si>
    <t>140502-2019-000126</t>
  </si>
  <si>
    <t>TK-F02-226-G(17-17U)</t>
  </si>
  <si>
    <t>FOC2301R0NW</t>
  </si>
  <si>
    <t>140502-2019-000125</t>
  </si>
  <si>
    <t>TK-F02-226-G(20-20U)</t>
  </si>
  <si>
    <t>210235A3GLH195000045</t>
  </si>
  <si>
    <t>140502-2019-000102</t>
  </si>
  <si>
    <t>TK-F02-226-G(23-23U)</t>
  </si>
  <si>
    <t>210235A3GLH195000023</t>
  </si>
  <si>
    <t>140502-2019-000101</t>
  </si>
  <si>
    <t>TK-F02-226-G(26-26U)</t>
  </si>
  <si>
    <t>FOC2109R1HZ</t>
  </si>
  <si>
    <t>140502-2019-000108</t>
  </si>
  <si>
    <t>TK-F02-226-G(29-29U)</t>
  </si>
  <si>
    <t>FOC2302R0P9</t>
  </si>
  <si>
    <t>140502-2019-000107</t>
  </si>
  <si>
    <t>TK-F02-226-G(32-32U)</t>
  </si>
  <si>
    <t>2102350DLVDMK8001548</t>
  </si>
  <si>
    <t>140502-2019-000103</t>
  </si>
  <si>
    <t>TK-F02-226-G(6-6U)</t>
  </si>
  <si>
    <t>JAE23070N5G</t>
  </si>
  <si>
    <t>140502-2019-000111</t>
  </si>
  <si>
    <t>TK-F02-226-G(8-8U)</t>
  </si>
  <si>
    <t>219555924</t>
  </si>
  <si>
    <t>140103-2019-000561</t>
  </si>
  <si>
    <t>TK-F02-226-G1(12-15U)DP2-1</t>
  </si>
  <si>
    <t>219555925</t>
  </si>
  <si>
    <t>140103-2019-000562</t>
  </si>
  <si>
    <t>TK-F02-226-G1(12-15U)DP2-2</t>
  </si>
  <si>
    <t>219555923</t>
  </si>
  <si>
    <t>140103-2019-000563</t>
  </si>
  <si>
    <t>TK-F02-226-G1(12-15U)DP2-3</t>
  </si>
  <si>
    <t>219555922</t>
  </si>
  <si>
    <t>140103-2019-000564</t>
  </si>
  <si>
    <t>TK-F02-226-G1(12-15U)DP2-4</t>
  </si>
  <si>
    <t>219555921</t>
  </si>
  <si>
    <t>140103-2019-000565</t>
  </si>
  <si>
    <t>TK-F02-226-G1(12-15U)DP2-5</t>
  </si>
  <si>
    <t>219555920</t>
  </si>
  <si>
    <t>140103-2019-000566</t>
  </si>
  <si>
    <t>TK-F02-226-G1(12-15U)DP2-6</t>
  </si>
  <si>
    <t>219555919</t>
  </si>
  <si>
    <t>140103-2019-000567</t>
  </si>
  <si>
    <t>TK-F02-226-G1(12-15U)DP2-7</t>
  </si>
  <si>
    <t>219555918</t>
  </si>
  <si>
    <t>140103-2019-000568</t>
  </si>
  <si>
    <t>TK-F02-226-G1(12-15U)DP2-8</t>
  </si>
  <si>
    <t>219555946</t>
  </si>
  <si>
    <t>140103-2019-000553</t>
  </si>
  <si>
    <t>TK-F02-226-G1(17-20U)DP1-1</t>
  </si>
  <si>
    <t>219555947</t>
  </si>
  <si>
    <t>140103-2019-000554</t>
  </si>
  <si>
    <t>TK-F02-226-G1(17-20U)DP1-2</t>
  </si>
  <si>
    <t>219555948</t>
  </si>
  <si>
    <t>140103-2019-000555</t>
  </si>
  <si>
    <t>TK-F02-226-G1(17-20U)DP1-3</t>
  </si>
  <si>
    <t>219555949</t>
  </si>
  <si>
    <t>140103-2019-000556</t>
  </si>
  <si>
    <t>TK-F02-226-G1(17-20U)DP1-4</t>
  </si>
  <si>
    <t>219555942</t>
  </si>
  <si>
    <t>140103-2019-000557</t>
  </si>
  <si>
    <t>TK-F02-226-G1(17-20U)DP1-5</t>
  </si>
  <si>
    <t>219555944</t>
  </si>
  <si>
    <t>140103-2019-000558</t>
  </si>
  <si>
    <t>TK-F02-226-G1(17-20U)DP1-6</t>
  </si>
  <si>
    <t>219555945</t>
  </si>
  <si>
    <t>140103-2019-000559</t>
  </si>
  <si>
    <t>TK-F02-226-G1(17-20U)DP1-7</t>
  </si>
  <si>
    <t>219555943</t>
  </si>
  <si>
    <t>140103-2019-000560</t>
  </si>
  <si>
    <t>TK-F02-226-G1(17-20U)DP1-8</t>
  </si>
  <si>
    <t>219556065</t>
  </si>
  <si>
    <t>140103-2019-000253</t>
  </si>
  <si>
    <t>TK-F02-226-G1(2-5U)DP4-1</t>
  </si>
  <si>
    <t>219556064</t>
  </si>
  <si>
    <t>140103-2019-000266</t>
  </si>
  <si>
    <t>TK-F02-226-G1(2-5U)DP4-2</t>
  </si>
  <si>
    <t>219556066</t>
  </si>
  <si>
    <t>140103-2019-000267</t>
  </si>
  <si>
    <t>TK-F02-226-G1(2-5U)DP4-3</t>
  </si>
  <si>
    <t>219556067</t>
  </si>
  <si>
    <t>140103-2019-000268</t>
  </si>
  <si>
    <t>TK-F02-226-G1(2-5U)DP4-4</t>
  </si>
  <si>
    <t>219556061</t>
  </si>
  <si>
    <t>140103-2019-000269</t>
  </si>
  <si>
    <t>TK-F02-226-G1(2-5U)DP4-5</t>
  </si>
  <si>
    <t>219556060</t>
  </si>
  <si>
    <t>140103-2019-000270</t>
  </si>
  <si>
    <t>TK-F02-226-G1(2-5U)DP4-6</t>
  </si>
  <si>
    <t>219556062</t>
  </si>
  <si>
    <t>140103-2019-000271</t>
  </si>
  <si>
    <t>TK-F02-226-G1(2-5U)DP4-7</t>
  </si>
  <si>
    <t>219556063</t>
  </si>
  <si>
    <t>140103-2019-000272</t>
  </si>
  <si>
    <t>TK-F02-226-G1(2-5U)DP4-8</t>
  </si>
  <si>
    <t>219556046</t>
  </si>
  <si>
    <t>140103-2019-000245</t>
  </si>
  <si>
    <t>TK-F02-226-G1(7-10U)DP3-1</t>
  </si>
  <si>
    <t>219556047</t>
  </si>
  <si>
    <t>140103-2019-000246</t>
  </si>
  <si>
    <t>TK-F02-226-G1(7-10U)DP3-2</t>
  </si>
  <si>
    <t>219556048</t>
  </si>
  <si>
    <t>140103-2019-000247</t>
  </si>
  <si>
    <t>TK-F02-226-G1(7-10U)DP3-3</t>
  </si>
  <si>
    <t>219556049</t>
  </si>
  <si>
    <t>140103-2019-000248</t>
  </si>
  <si>
    <t>TK-F02-226-G1(7-10U)DP3-4</t>
  </si>
  <si>
    <t>219556044</t>
  </si>
  <si>
    <t>140103-2019-000249</t>
  </si>
  <si>
    <t>TK-F02-226-G1(7-10U)DP3-5</t>
  </si>
  <si>
    <t>219556045</t>
  </si>
  <si>
    <t>140103-2019-000250</t>
  </si>
  <si>
    <t>TK-F02-226-G1(7-10U)DP3-6</t>
  </si>
  <si>
    <t>219556050</t>
  </si>
  <si>
    <t>140103-2019-000251</t>
  </si>
  <si>
    <t>TK-F02-226-G1(7-10U)DP3-7</t>
  </si>
  <si>
    <t>219556051</t>
  </si>
  <si>
    <t>140103-2019-000252</t>
  </si>
  <si>
    <t>TK-F02-226-G1(7-10U)DP3-8</t>
  </si>
  <si>
    <t>219556019</t>
  </si>
  <si>
    <t>140103-2019-000309</t>
  </si>
  <si>
    <t>TK-F02-226-G2(12-15U)DP2-1</t>
  </si>
  <si>
    <t>219556018</t>
  </si>
  <si>
    <t>140103-2019-000312</t>
  </si>
  <si>
    <t>TK-F02-226-G2(12-15U)DP2-2</t>
  </si>
  <si>
    <t>219556017</t>
  </si>
  <si>
    <t>140103-2019-000313</t>
  </si>
  <si>
    <t>TK-F02-226-G2(12-15U)DP2-3</t>
  </si>
  <si>
    <t>219556016</t>
  </si>
  <si>
    <t>140103-2019-000314</t>
  </si>
  <si>
    <t>TK-F02-226-G2(12-15U)DP2-4</t>
  </si>
  <si>
    <t>219556014</t>
  </si>
  <si>
    <t>140103-2019-000315</t>
  </si>
  <si>
    <t>TK-F02-226-G2(12-15U)DP2-5</t>
  </si>
  <si>
    <t>219556013</t>
  </si>
  <si>
    <t>140103-2019-000316</t>
  </si>
  <si>
    <t>TK-F02-226-G2(12-15U)DP2-6</t>
  </si>
  <si>
    <t>219556012</t>
  </si>
  <si>
    <t>140103-2019-000317</t>
  </si>
  <si>
    <t>TK-F02-226-G2(12-15U)DP2-7</t>
  </si>
  <si>
    <t>219556015</t>
  </si>
  <si>
    <t>140103-2019-000318</t>
  </si>
  <si>
    <t>TK-F02-226-G2(12-15U)DP2-8</t>
  </si>
  <si>
    <t>219556038</t>
  </si>
  <si>
    <t>140103-2019-000273</t>
  </si>
  <si>
    <t>TK-F02-226-G2(17-20U)DP1-1</t>
  </si>
  <si>
    <t>219556039</t>
  </si>
  <si>
    <t>140103-2019-000274</t>
  </si>
  <si>
    <t>TK-F02-226-G2(17-20U)DP1-2</t>
  </si>
  <si>
    <t>219556037</t>
  </si>
  <si>
    <t>140103-2019-000275</t>
  </si>
  <si>
    <t>TK-F02-226-G2(17-20U)DP1-3</t>
  </si>
  <si>
    <t>219556036</t>
  </si>
  <si>
    <t>140103-2019-000276</t>
  </si>
  <si>
    <t>TK-F02-226-G2(17-20U)DP1-4</t>
  </si>
  <si>
    <t>219556043</t>
  </si>
  <si>
    <t>140103-2019-000277</t>
  </si>
  <si>
    <t>TK-F02-226-G2(17-20U)DP1-5</t>
  </si>
  <si>
    <t>219556042</t>
  </si>
  <si>
    <t>140103-2019-000278</t>
  </si>
  <si>
    <t>TK-F02-226-G2(17-20U)DP1-6</t>
  </si>
  <si>
    <t>219556041</t>
  </si>
  <si>
    <t>140103-2019-000279</t>
  </si>
  <si>
    <t>TK-F02-226-G2(17-20U)DP1-7</t>
  </si>
  <si>
    <t>219556040</t>
  </si>
  <si>
    <t>140103-2019-000308</t>
  </si>
  <si>
    <t>TK-F02-226-G2(17-20U)DP1-8</t>
  </si>
  <si>
    <t>0191103201651</t>
  </si>
  <si>
    <t>140403-2019-000001</t>
  </si>
  <si>
    <t>TK-F02-226-G2(22-22U)</t>
  </si>
  <si>
    <t>219556033</t>
  </si>
  <si>
    <t>140103-2019-000330</t>
  </si>
  <si>
    <t>TK-F02-226-G2(2-5U)DP4-1</t>
  </si>
  <si>
    <t>219556032</t>
  </si>
  <si>
    <t>140103-2019-000331</t>
  </si>
  <si>
    <t>TK-F02-226-G2(2-5U)DP4-2</t>
  </si>
  <si>
    <t>219556031</t>
  </si>
  <si>
    <t>140103-2019-000332</t>
  </si>
  <si>
    <t>TK-F02-226-G2(2-5U)DP4-3</t>
  </si>
  <si>
    <t>219556030</t>
  </si>
  <si>
    <t>140103-2019-000333</t>
  </si>
  <si>
    <t>TK-F02-226-G2(2-5U)DP4-4</t>
  </si>
  <si>
    <t>219556035</t>
  </si>
  <si>
    <t>140103-2019-000334</t>
  </si>
  <si>
    <t>TK-F02-226-G2(2-5U)DP4-5</t>
  </si>
  <si>
    <t>219556034</t>
  </si>
  <si>
    <t>140103-2019-000335</t>
  </si>
  <si>
    <t>TK-F02-226-G2(2-5U)DP4-6</t>
  </si>
  <si>
    <t>219556028</t>
  </si>
  <si>
    <t>140103-2019-000336</t>
  </si>
  <si>
    <t>TK-F02-226-G2(2-5U)DP4-7</t>
  </si>
  <si>
    <t>219556029</t>
  </si>
  <si>
    <t>140103-2019-000337</t>
  </si>
  <si>
    <t>TK-F02-226-G2(2-5U)DP4-8</t>
  </si>
  <si>
    <t>219556074</t>
  </si>
  <si>
    <t>140103-2019-000319</t>
  </si>
  <si>
    <t>TK-F02-226-G2(7-10U)DP3-1</t>
  </si>
  <si>
    <t>219556075</t>
  </si>
  <si>
    <t>140103-2019-000323</t>
  </si>
  <si>
    <t>TK-F02-226-G2(7-10U)DP3-2</t>
  </si>
  <si>
    <t>219556069</t>
  </si>
  <si>
    <t>140103-2019-000324</t>
  </si>
  <si>
    <t>TK-F02-226-G2(7-10U)DP3-3</t>
  </si>
  <si>
    <t>219556068</t>
  </si>
  <si>
    <t>140103-2019-000325</t>
  </si>
  <si>
    <t>TK-F02-226-G2(7-10U)DP3-4</t>
  </si>
  <si>
    <t>219556071</t>
  </si>
  <si>
    <t>140103-2019-000326</t>
  </si>
  <si>
    <t>TK-F02-226-G2(7-10U)DP3-5</t>
  </si>
  <si>
    <t>219556070</t>
  </si>
  <si>
    <t>140103-2019-000327</t>
  </si>
  <si>
    <t>TK-F02-226-G2(7-10U)DP3-6</t>
  </si>
  <si>
    <t>219556073</t>
  </si>
  <si>
    <t>140103-2019-000328</t>
  </si>
  <si>
    <t>TK-F02-226-G2(7-10U)DP3-7</t>
  </si>
  <si>
    <t>219556072</t>
  </si>
  <si>
    <t>140103-2019-000329</t>
  </si>
  <si>
    <t>TK-F02-226-G2(7-10U)DP3-8</t>
  </si>
  <si>
    <t>210235AOHAH14A000026</t>
  </si>
  <si>
    <t>140502-2014-001133</t>
  </si>
  <si>
    <t>TK-F01-108-K-11U</t>
  </si>
  <si>
    <t>J301D83W</t>
  </si>
  <si>
    <t>140103-2019-000311</t>
  </si>
  <si>
    <t>TK-F02-226-G3(12-13U)</t>
  </si>
  <si>
    <t>J301D83X</t>
  </si>
  <si>
    <t>140103-2019-000310</t>
  </si>
  <si>
    <t>TK-F02-226-G3(15-16U)</t>
  </si>
  <si>
    <t>219556010</t>
  </si>
  <si>
    <t>140103-2019-000300</t>
  </si>
  <si>
    <t>TK-F02-226-G3(2-5U)DP2-1</t>
  </si>
  <si>
    <t>219556011</t>
  </si>
  <si>
    <t>140103-2019-000301</t>
  </si>
  <si>
    <t>TK-F02-226-G3(2-5U)DP2-2</t>
  </si>
  <si>
    <t>219556007</t>
  </si>
  <si>
    <t>140103-2019-000302</t>
  </si>
  <si>
    <t>TK-F02-226-G3(2-5U)DP2-3</t>
  </si>
  <si>
    <t>219556006</t>
  </si>
  <si>
    <t>140103-2019-000303</t>
  </si>
  <si>
    <t>TK-F02-226-G3(2-5U)DP2-4</t>
  </si>
  <si>
    <t>219556009</t>
  </si>
  <si>
    <t>140103-2019-000304</t>
  </si>
  <si>
    <t>TK-F02-226-G3(2-5U)DP2-5</t>
  </si>
  <si>
    <t>219556008</t>
  </si>
  <si>
    <t>140103-2019-000305</t>
  </si>
  <si>
    <t>TK-F02-226-G3(2-5U)DP2-6</t>
  </si>
  <si>
    <t>219556005</t>
  </si>
  <si>
    <t>140103-2019-000306</t>
  </si>
  <si>
    <t>TK-F02-226-G3(2-5U)DP2-7</t>
  </si>
  <si>
    <t>219556004</t>
  </si>
  <si>
    <t>140103-2019-000307</t>
  </si>
  <si>
    <t>TK-F02-226-G3(2-5U)DP2-8</t>
  </si>
  <si>
    <t>210235A0HAH14A000026</t>
  </si>
  <si>
    <t>140502-2012-000688</t>
  </si>
  <si>
    <t>TK-F02-226-G3(35-35U)</t>
  </si>
  <si>
    <t>2102350DLVDMK8001512</t>
  </si>
  <si>
    <t>140502-2019-000105</t>
  </si>
  <si>
    <t>TK-F02-226-G3(38-38U)</t>
  </si>
  <si>
    <t>2102350DLVDMK8000274</t>
  </si>
  <si>
    <t>140502-2019-000104</t>
  </si>
  <si>
    <t>TK-F02-226-G3(41-41U)</t>
  </si>
  <si>
    <t>219556020</t>
  </si>
  <si>
    <t>140103-2019-000338</t>
  </si>
  <si>
    <t>TK-F02-226-G3(7-10U)DP1-1</t>
  </si>
  <si>
    <t>219556021</t>
  </si>
  <si>
    <t>140103-2019-000339</t>
  </si>
  <si>
    <t>TK-F02-226-G3(7-10U)DP1-2</t>
  </si>
  <si>
    <t>219556022</t>
  </si>
  <si>
    <t>140103-2019-000340</t>
  </si>
  <si>
    <t>TK-F02-226-G3(7-10U)DP1-3</t>
  </si>
  <si>
    <t>219556023</t>
  </si>
  <si>
    <t>140103-2019-000341</t>
  </si>
  <si>
    <t>TK-F02-226-G3(7-10U)DP1-4</t>
  </si>
  <si>
    <t>219556024</t>
  </si>
  <si>
    <t>140103-2019-000342</t>
  </si>
  <si>
    <t>TK-F02-226-G3(7-10U)DP1-5</t>
  </si>
  <si>
    <t>219556025</t>
  </si>
  <si>
    <t>140103-2019-000345</t>
  </si>
  <si>
    <t>TK-F02-226-G3(7-10U)DP1-6</t>
  </si>
  <si>
    <t>219556026</t>
  </si>
  <si>
    <t>140103-2019-000346</t>
  </si>
  <si>
    <t>TK-F02-226-G3(7-10U)DP1-7</t>
  </si>
  <si>
    <t>219556027</t>
  </si>
  <si>
    <t>140103-2019-000347</t>
  </si>
  <si>
    <t>TK-F02-226-G3(7-10U)DP1-8</t>
  </si>
  <si>
    <t>219562786</t>
  </si>
  <si>
    <t>140103-2019-000573</t>
  </si>
  <si>
    <t>TK-F02-226-G4(12-15U)DP2-1</t>
  </si>
  <si>
    <t>219562787</t>
  </si>
  <si>
    <t>140103-2019-000574</t>
  </si>
  <si>
    <t>TK-F02-226-G4(12-15U)DP2-2</t>
  </si>
  <si>
    <t>219562788</t>
  </si>
  <si>
    <t>140103-2019-000575</t>
  </si>
  <si>
    <t>TK-F02-226-G4(12-15U)DP2-3</t>
  </si>
  <si>
    <t>219562789</t>
  </si>
  <si>
    <t>140103-2019-000576</t>
  </si>
  <si>
    <t>TK-F02-226-G4(12-15U)DP2-4</t>
  </si>
  <si>
    <t>219562785</t>
  </si>
  <si>
    <t>140103-2019-000569</t>
  </si>
  <si>
    <t>TK-F02-226-G4(17-20U)DP1-1</t>
  </si>
  <si>
    <t>219562784</t>
  </si>
  <si>
    <t>140103-2019-000570</t>
  </si>
  <si>
    <t>TK-F02-226-G4(17-20U)DP1-2</t>
  </si>
  <si>
    <t>219562783</t>
  </si>
  <si>
    <t>140103-2019-000571</t>
  </si>
  <si>
    <t>TK-F02-226-G4(17-20U)DP1-3</t>
  </si>
  <si>
    <t>219562782</t>
  </si>
  <si>
    <t>140103-2019-000572</t>
  </si>
  <si>
    <t>TK-F02-226-G4(17-20U)DP1-4</t>
  </si>
  <si>
    <t>219562794</t>
  </si>
  <si>
    <t>140103-2019-000581</t>
  </si>
  <si>
    <t>TK-F02-226-G4(2-5U)DP4-1</t>
  </si>
  <si>
    <t>219562795</t>
  </si>
  <si>
    <t>140103-2019-000582</t>
  </si>
  <si>
    <t>TK-F02-226-G4(2-5U)DP4-2</t>
  </si>
  <si>
    <t>219562796</t>
  </si>
  <si>
    <t>140103-2019-000583</t>
  </si>
  <si>
    <t>TK-F02-226-G4(2-5U)DP4-3</t>
  </si>
  <si>
    <t>219562797</t>
  </si>
  <si>
    <t>140103-2019-000584</t>
  </si>
  <si>
    <t>TK-F02-226-G4(2-5U)DP4-4</t>
  </si>
  <si>
    <t>219562792</t>
  </si>
  <si>
    <t>140103-2019-000577</t>
  </si>
  <si>
    <t>TK-F02-226-G4(7-10U)DP3-1</t>
  </si>
  <si>
    <t>219562793</t>
  </si>
  <si>
    <t>140103-2019-000578</t>
  </si>
  <si>
    <t>TK-F02-226-G4(7-10U)DP3-2</t>
  </si>
  <si>
    <t>219562791</t>
  </si>
  <si>
    <t>140103-2019-000579</t>
  </si>
  <si>
    <t>TK-F02-226-G4(7-10U)DP3-3</t>
  </si>
  <si>
    <t>219562790</t>
  </si>
  <si>
    <t>140103-2019-000580</t>
  </si>
  <si>
    <t>TK-F02-226-G4(7-10U)DP3-4</t>
  </si>
  <si>
    <t>J301DX2X</t>
  </si>
  <si>
    <t>140103-2019-000356</t>
  </si>
  <si>
    <t>TK-F02-226-G5(12-15U)</t>
  </si>
  <si>
    <t>J301DX2W</t>
  </si>
  <si>
    <t>140103-2019-000355</t>
  </si>
  <si>
    <t>TK-F02-226-G5(17-20U)</t>
  </si>
  <si>
    <t>0191103201699</t>
  </si>
  <si>
    <t>140403-2019-000002</t>
  </si>
  <si>
    <t>TK-F02-226-G5(22-22U)</t>
  </si>
  <si>
    <t>219556000</t>
  </si>
  <si>
    <t>140103-2019-000351</t>
  </si>
  <si>
    <t>TK-F02-226-G5(2-5U)DP2-1</t>
  </si>
  <si>
    <t>219556001</t>
  </si>
  <si>
    <t>140103-2019-000352</t>
  </si>
  <si>
    <t>TK-F02-226-G5(2-5U)DP2-2</t>
  </si>
  <si>
    <t>219555996</t>
  </si>
  <si>
    <t>140103-2019-000353</t>
  </si>
  <si>
    <t>TK-F02-226-G5(2-5U)DP2-3</t>
  </si>
  <si>
    <t>219555997</t>
  </si>
  <si>
    <t>140103-2019-000354</t>
  </si>
  <si>
    <t>TK-F02-226-G5(2-5U)DP2-4</t>
  </si>
  <si>
    <t>219555998</t>
  </si>
  <si>
    <t>140103-2019-000254</t>
  </si>
  <si>
    <t>TK-F02-226-G5(2-5U)DP2-5</t>
  </si>
  <si>
    <t>219555999</t>
  </si>
  <si>
    <t>140103-2019-000255</t>
  </si>
  <si>
    <t>TK-F02-226-G5(2-5U)DP2-6</t>
  </si>
  <si>
    <t>219556002</t>
  </si>
  <si>
    <t>140103-2019-000256</t>
  </si>
  <si>
    <t>TK-F02-226-G5(2-5U)DP2-7</t>
  </si>
  <si>
    <t>219556003</t>
  </si>
  <si>
    <t>140103-2019-000257</t>
  </si>
  <si>
    <t>TK-F02-226-G5(2-5U)DP2-8</t>
  </si>
  <si>
    <t>219555773</t>
  </si>
  <si>
    <t>140103-2019-000343</t>
  </si>
  <si>
    <t>TK-F02-226-G5(7-10U)DP1-1</t>
  </si>
  <si>
    <t>219555774</t>
  </si>
  <si>
    <t>140103-2019-000344</t>
  </si>
  <si>
    <t>TK-F02-226-G5(7-10U)DP1-2</t>
  </si>
  <si>
    <t>219555775</t>
  </si>
  <si>
    <t>140103-2019-000348</t>
  </si>
  <si>
    <t>TK-F02-226-G5(7-10U)DP1-3</t>
  </si>
  <si>
    <t>219555776</t>
  </si>
  <si>
    <t>140103-2019-000349</t>
  </si>
  <si>
    <t>TK-F02-226-G5(7-10U)DP1-4</t>
  </si>
  <si>
    <t>219555777</t>
  </si>
  <si>
    <t>140103-2019-000350</t>
  </si>
  <si>
    <t>TK-F02-226-G5(7-10U)DP1-5</t>
  </si>
  <si>
    <t>219555778</t>
  </si>
  <si>
    <t>140103-2019-000320</t>
  </si>
  <si>
    <t>TK-F02-226-G5(7-10U)DP1-6</t>
  </si>
  <si>
    <t>219555779</t>
  </si>
  <si>
    <t>140103-2019-000321</t>
  </si>
  <si>
    <t>TK-F02-226-G5(7-10U)DP1-7</t>
  </si>
  <si>
    <t>219555780</t>
  </si>
  <si>
    <t>140103-2019-000322</t>
  </si>
  <si>
    <t>TK-F02-226-G5(7-10U)DP1-8</t>
  </si>
  <si>
    <t>210235A1DWH149000155</t>
  </si>
  <si>
    <t>140502-2014-001098</t>
  </si>
  <si>
    <t>TK-F02-226-G2(23-23U)</t>
  </si>
  <si>
    <t>210235A1DWH149000097</t>
  </si>
  <si>
    <t>140502-2014-001097</t>
  </si>
  <si>
    <t>TK-F02-226-A1(24-24U)</t>
  </si>
  <si>
    <t>170902201574</t>
  </si>
  <si>
    <t>140403-2017-000005</t>
  </si>
  <si>
    <t>TK-F02-226-H1(22-22U)</t>
  </si>
  <si>
    <t>170902201758</t>
  </si>
  <si>
    <t>140403-2017-000007</t>
  </si>
  <si>
    <t>TK-F02-226-H1(23-23U)</t>
  </si>
  <si>
    <t>140703-2017-000008</t>
  </si>
  <si>
    <t>TK-F02-226-H10</t>
  </si>
  <si>
    <t>210235A1G9H178000006</t>
  </si>
  <si>
    <t>140502-2017-000135</t>
  </si>
  <si>
    <t>TK-F02-226-H3(25-25U)</t>
  </si>
  <si>
    <t>140502-2017-000134</t>
  </si>
  <si>
    <t>TK-F02-226-H3(23-23U)</t>
  </si>
  <si>
    <t>210235A1G9H178000038</t>
  </si>
  <si>
    <t>140502-2017-000136</t>
  </si>
  <si>
    <t>华三 H3C S5560X-54C-EI</t>
  </si>
  <si>
    <t>210235A1XCH178000186</t>
  </si>
  <si>
    <t>140502-2017-000138</t>
  </si>
  <si>
    <t>TK-F02-226-H3(29-29U)</t>
  </si>
  <si>
    <t>210235A1XCH178000194</t>
  </si>
  <si>
    <t>140502-2017-000137</t>
  </si>
  <si>
    <t>210235AOH9H119000168</t>
  </si>
  <si>
    <t>140502-2012-000689</t>
  </si>
  <si>
    <t>TK-F02-226-B(27-27U)</t>
  </si>
  <si>
    <t>210235AOHAH127000069</t>
  </si>
  <si>
    <t>140502-2012-000681</t>
  </si>
  <si>
    <t>TK-F02-226-G6(37-37U)</t>
  </si>
  <si>
    <t>FDO1838E09J</t>
  </si>
  <si>
    <t>140502-2014-001113</t>
  </si>
  <si>
    <t>TK-研三楼一层101地板下</t>
  </si>
  <si>
    <t>FDO1837E0ZE</t>
  </si>
  <si>
    <t>140502-2014-001114</t>
  </si>
  <si>
    <t>TK-F01-107-A14(37-37U)</t>
  </si>
  <si>
    <t>140703-2017-000005</t>
  </si>
  <si>
    <t>TK-F02-226-H7</t>
  </si>
  <si>
    <t>210235AOHAH127000105</t>
  </si>
  <si>
    <t>140502-2012-000682</t>
  </si>
  <si>
    <t>TK-F02-226-H9(40-40U)</t>
  </si>
  <si>
    <t>170902202076</t>
  </si>
  <si>
    <t>140403-2017-000010</t>
  </si>
  <si>
    <t>TK-F02-226-H7(22-22U)</t>
  </si>
  <si>
    <t>170902202182</t>
  </si>
  <si>
    <t>140403-2017-000006</t>
  </si>
  <si>
    <t>210235AOH9H11A000156</t>
  </si>
  <si>
    <t>140502-2012-000691</t>
  </si>
  <si>
    <t>TK-F01-107-A(8-8U)</t>
  </si>
  <si>
    <t>210235A0HAH163000218</t>
  </si>
  <si>
    <t>140502-2012-000690</t>
  </si>
  <si>
    <t>TK-F02-226-H7(6-6U)</t>
  </si>
  <si>
    <t>140703-2017-000006</t>
  </si>
  <si>
    <t>TK-F02-226-H8</t>
  </si>
  <si>
    <t>170902201635</t>
  </si>
  <si>
    <t>140403-2017-000008</t>
  </si>
  <si>
    <t>TK-F02-226-H8(22-22U)</t>
  </si>
  <si>
    <t>140703-2017-000007</t>
  </si>
  <si>
    <t>TK-F02-226-H9</t>
  </si>
  <si>
    <t>联想 X3850</t>
  </si>
  <si>
    <t>3837I01-06EH077</t>
  </si>
  <si>
    <t>140103-2016-001000</t>
  </si>
  <si>
    <t>TK-F02-227-B5(1-5U)</t>
  </si>
  <si>
    <t>3837I01-06EH132</t>
  </si>
  <si>
    <t>140103-2016-000999</t>
  </si>
  <si>
    <t>TK-F02-227-B5(7-11U)</t>
  </si>
  <si>
    <t>非凡FLB系列</t>
  </si>
  <si>
    <t>BK-F01-PD-DC01</t>
  </si>
  <si>
    <t>140701-2014-000186</t>
  </si>
  <si>
    <t>TK-UPS配电间 北侧电池组</t>
  </si>
  <si>
    <t>BK-F01-PD-DC02</t>
  </si>
  <si>
    <t>140701-2014-000187</t>
  </si>
  <si>
    <t>TK-UPS配电间 中部电池组</t>
  </si>
  <si>
    <t>SCAME工业连接器</t>
  </si>
  <si>
    <t>140903-2014-000095</t>
  </si>
  <si>
    <t>J320P3F</t>
  </si>
  <si>
    <t>140103-2016-000323</t>
  </si>
  <si>
    <t>WQ-F01-137</t>
  </si>
  <si>
    <t>06ACPE6</t>
  </si>
  <si>
    <t>140103-2012-001149</t>
  </si>
  <si>
    <t>WQ-F04-T8-B1(12U-11U)-1</t>
  </si>
  <si>
    <t>06ACPX2</t>
  </si>
  <si>
    <t>140103-2012-001150</t>
  </si>
  <si>
    <t>WQ-F04-T8-B1(12U-11U)-2</t>
  </si>
  <si>
    <t>06ACPH3</t>
  </si>
  <si>
    <t>140103-2012-001151</t>
  </si>
  <si>
    <t>WQ-F04-T8-B1(12U-11U)-3</t>
  </si>
  <si>
    <t>06ACNZ2</t>
  </si>
  <si>
    <t>140103-2012-001152</t>
  </si>
  <si>
    <t>WQ-F04-T8-B1(12U-11U)-4</t>
  </si>
  <si>
    <t>06ACNW5</t>
  </si>
  <si>
    <t>140103-2012-001153</t>
  </si>
  <si>
    <t>WQ-F04-T8-B1(12U-11U)-5</t>
  </si>
  <si>
    <t>06ACPE8</t>
  </si>
  <si>
    <t>140103-2012-001154</t>
  </si>
  <si>
    <t>WQ-F04-T8-B1(12U-11U)-6</t>
  </si>
  <si>
    <t>06ACPD1</t>
  </si>
  <si>
    <t>140103-2012-001155</t>
  </si>
  <si>
    <t>WQ-F04-T8-B1(12U-11U)-7</t>
  </si>
  <si>
    <t>06ACPW7</t>
  </si>
  <si>
    <t>140103-2012-001156</t>
  </si>
  <si>
    <t>WQ-F04-T8-B1(12U-11U)-8</t>
  </si>
  <si>
    <t>06ACNV5</t>
  </si>
  <si>
    <t>140103-2012-001141</t>
  </si>
  <si>
    <t>WQ-F04-T8-B2(2U-11U)-1</t>
  </si>
  <si>
    <t>06ACPB1</t>
  </si>
  <si>
    <t>140103-2012-001142</t>
  </si>
  <si>
    <t>WQ-F04-T8-B2(2U-11U)-2</t>
  </si>
  <si>
    <t>06ACPD9</t>
  </si>
  <si>
    <t>140103-2012-001143</t>
  </si>
  <si>
    <t>WQ-F04-T8-B2(2U-11U)-3</t>
  </si>
  <si>
    <t>06ACPR8</t>
  </si>
  <si>
    <t>140103-2012-001144</t>
  </si>
  <si>
    <t>WQ-F04-T8-B2(2U-11U)-4</t>
  </si>
  <si>
    <t>06ACNV6</t>
  </si>
  <si>
    <t>140103-2012-001145</t>
  </si>
  <si>
    <t>WQ-F04-T8-B2(2U-11U)-5</t>
  </si>
  <si>
    <t>06ACNZ3</t>
  </si>
  <si>
    <t>140103-2012-001146</t>
  </si>
  <si>
    <t>WQ-F04-T8-B2(2U-11U)-6</t>
  </si>
  <si>
    <t>06ACPN2</t>
  </si>
  <si>
    <t>140103-2012-001147</t>
  </si>
  <si>
    <t>WQ-F04-T8-B2(2U-11U)-7</t>
  </si>
  <si>
    <t>06ACNP4</t>
  </si>
  <si>
    <t>140103-2012-001148</t>
  </si>
  <si>
    <t>WQ-F04-T8-B2(2U-11U)-8</t>
  </si>
  <si>
    <t>06ACPY7</t>
  </si>
  <si>
    <t>140103-2012-001258</t>
  </si>
  <si>
    <t>WQ-F04-T8-B3(2U-11U)-1</t>
  </si>
  <si>
    <t>06ACNX3</t>
  </si>
  <si>
    <t>140103-2012-001267</t>
  </si>
  <si>
    <t>WQ-F04-T8-B3(2U-11U)-10</t>
  </si>
  <si>
    <t>06ACNW6</t>
  </si>
  <si>
    <t>140103-2012-001268</t>
  </si>
  <si>
    <t>WQ-F04-T8-B3(2U-11U)-11</t>
  </si>
  <si>
    <t>06ACPV3</t>
  </si>
  <si>
    <t>140103-2012-001269</t>
  </si>
  <si>
    <t>WQ-F04-T8-B3(2U-11U)-12</t>
  </si>
  <si>
    <t>06ACNY2</t>
  </si>
  <si>
    <t>140103-2012-001270</t>
  </si>
  <si>
    <t>WQ-F04-T8-B3(2U-11U)-13</t>
  </si>
  <si>
    <t>06ACNN6</t>
  </si>
  <si>
    <t>140103-2012-001271</t>
  </si>
  <si>
    <t>WQ-F04-T8-B3(2U-11U)-14</t>
  </si>
  <si>
    <t>06ACNN5</t>
  </si>
  <si>
    <t>140103-2012-001259</t>
  </si>
  <si>
    <t>WQ-F04-T8-B3(2U-11U)-2</t>
  </si>
  <si>
    <t>06ACPN8</t>
  </si>
  <si>
    <t>140103-2012-001260</t>
  </si>
  <si>
    <t>WQ-F04-T8-B3(2U-11U)-3</t>
  </si>
  <si>
    <t>06ACPW8</t>
  </si>
  <si>
    <t>140103-2012-001261</t>
  </si>
  <si>
    <t>WQ-F04-T8-B3(2U-11U)-4</t>
  </si>
  <si>
    <t>06ACPC2</t>
  </si>
  <si>
    <t>140103-2012-001262</t>
  </si>
  <si>
    <t>WQ-F04-T8-B3(2U-11U)-5</t>
  </si>
  <si>
    <t>06ACPD4</t>
  </si>
  <si>
    <t>140103-2012-001263</t>
  </si>
  <si>
    <t>WQ-F04-T8-B3(2U-11U)-6</t>
  </si>
  <si>
    <t>06ACPB9</t>
  </si>
  <si>
    <t>140103-2012-001264</t>
  </si>
  <si>
    <t>WQ-F04-T8-B3(2U-11U)-7</t>
  </si>
  <si>
    <t>06ACPP3</t>
  </si>
  <si>
    <t>140103-2012-001265</t>
  </si>
  <si>
    <t>WQ-F04-T8-B3(2U-11U)-8</t>
  </si>
  <si>
    <t>06ACPK3</t>
  </si>
  <si>
    <t>140103-2012-001266</t>
  </si>
  <si>
    <t>WQ-F04-T8-B3(2U-11U)-9</t>
  </si>
  <si>
    <t>06ACNX2</t>
  </si>
  <si>
    <t>140103-2012-001244</t>
  </si>
  <si>
    <t>WQ-F04-T8-B4(2U-11U)-1</t>
  </si>
  <si>
    <t>06ACPC9</t>
  </si>
  <si>
    <t>140103-2012-001253</t>
  </si>
  <si>
    <t>WQ-F04-T8-B4(2U-11U)-10</t>
  </si>
  <si>
    <t>06ACPC3</t>
  </si>
  <si>
    <t>140103-2012-001254</t>
  </si>
  <si>
    <t>WQ-F04-T8-B4(2U-11U)-11</t>
  </si>
  <si>
    <t>06ACNN4</t>
  </si>
  <si>
    <t>140103-2012-001255</t>
  </si>
  <si>
    <t>WQ-F04-T8-B4(2U-11U)-12</t>
  </si>
  <si>
    <t>06ACPN6</t>
  </si>
  <si>
    <t>140103-2012-001256</t>
  </si>
  <si>
    <t>WQ-F04-T8-B4(2U-11U)-13</t>
  </si>
  <si>
    <t>06ACPE4</t>
  </si>
  <si>
    <t>140103-2012-001257</t>
  </si>
  <si>
    <t>WQ-F04-T8-B4(2U-11U)-14</t>
  </si>
  <si>
    <t>06ACPD8</t>
  </si>
  <si>
    <t>140103-2012-001245</t>
  </si>
  <si>
    <t>WQ-F04-T8-B4(2U-11U)-2</t>
  </si>
  <si>
    <t>06ACPX0</t>
  </si>
  <si>
    <t>140103-2012-001246</t>
  </si>
  <si>
    <t>WQ-F04-T8-B4(2U-11U)-3</t>
  </si>
  <si>
    <t>06ACPL2</t>
  </si>
  <si>
    <t>140103-2012-001247</t>
  </si>
  <si>
    <t>WQ-F04-T8-B4(2U-11U)-4</t>
  </si>
  <si>
    <t>06ACNW1</t>
  </si>
  <si>
    <t>140103-2012-001248</t>
  </si>
  <si>
    <t>WQ-F04-T8-B4(2U-11U)-5</t>
  </si>
  <si>
    <t>06ACPK2</t>
  </si>
  <si>
    <t>140103-2012-001249</t>
  </si>
  <si>
    <t>WQ-F04-T8-B4(2U-11U)-6</t>
  </si>
  <si>
    <t>06ACNM0</t>
  </si>
  <si>
    <t>140103-2012-001250</t>
  </si>
  <si>
    <t>WQ-F04-T8-B4(2U-11U)-7</t>
  </si>
  <si>
    <t>10C32CB</t>
  </si>
  <si>
    <t>140103-2012-001251</t>
  </si>
  <si>
    <t>WQ-F04-T8-B4(2U-11U)-8</t>
  </si>
  <si>
    <t>06ACPD7</t>
  </si>
  <si>
    <t>140103-2012-001252</t>
  </si>
  <si>
    <t>WQ-F04-T8-B4(2U-11U)-9</t>
  </si>
  <si>
    <t>YD-SW1G-24</t>
  </si>
  <si>
    <t>YD-SW1G-242EE51B0995</t>
  </si>
  <si>
    <t>140607-2014-000225</t>
  </si>
  <si>
    <t>WQ-F04-T8-C01(25-25U)</t>
  </si>
  <si>
    <t>YD-SW1G-242EE51B0998</t>
  </si>
  <si>
    <t>140607-2014-000228</t>
  </si>
  <si>
    <t>WQ-F04-T8-C01(33-33U)</t>
  </si>
  <si>
    <t>YD-SW1G-242EE51B0993</t>
  </si>
  <si>
    <t>140607-2014-000223</t>
  </si>
  <si>
    <t>WQ-F04-T8-C02(30-30U)</t>
  </si>
  <si>
    <t>YD-SW1G-242EE51B0992</t>
  </si>
  <si>
    <t>140607-2014-000222</t>
  </si>
  <si>
    <t>WQ-F04-T8-C2(33-33U)</t>
  </si>
  <si>
    <t>214637677</t>
  </si>
  <si>
    <t>140103-2014-003353</t>
  </si>
  <si>
    <t>WQ-F04-T8-I07(14-17U)</t>
  </si>
  <si>
    <t>214637689</t>
  </si>
  <si>
    <t>140103-2014-003351</t>
  </si>
  <si>
    <t>WQ-F04-T8-I07(21-22U)</t>
  </si>
  <si>
    <t>214637688</t>
  </si>
  <si>
    <t>140103-2014-003352</t>
  </si>
  <si>
    <t>WQ-F04-T8-I07(24-25U)</t>
  </si>
  <si>
    <t>2102350DLUDMGB000206</t>
  </si>
  <si>
    <t>140502-2016-000228</t>
  </si>
  <si>
    <t>WQ-F04-公安01(37U)</t>
  </si>
  <si>
    <t>华为 S5720-52P-SI</t>
  </si>
  <si>
    <t>2102350DLUDMGB000221</t>
  </si>
  <si>
    <t>140502-2016-000200</t>
  </si>
  <si>
    <t>WQ-F04-公安01(39U)</t>
  </si>
  <si>
    <t>思科ASR-9904</t>
  </si>
  <si>
    <t>FOX2137P7S0</t>
  </si>
  <si>
    <t>140501-2017-000028</t>
  </si>
  <si>
    <t>XD-B01-TX-F02(14-20U)</t>
  </si>
  <si>
    <t>FOX2137P7S4</t>
  </si>
  <si>
    <t>140501-2017-000029</t>
  </si>
  <si>
    <t>XD-B01-TX-F03(22-27U)</t>
  </si>
  <si>
    <t>180103201112</t>
  </si>
  <si>
    <t>140403-2017-000058</t>
  </si>
  <si>
    <t>XD-B01-TX-A01(23-23U)</t>
  </si>
  <si>
    <t>华为 CE6855-48S6Q-HI</t>
  </si>
  <si>
    <t>2102350RTC6TH9001182</t>
  </si>
  <si>
    <t>140502-2017-000177</t>
  </si>
  <si>
    <t>XD-B01-TX-A01(25-25U)</t>
  </si>
  <si>
    <t>180103201136</t>
  </si>
  <si>
    <t>140403-2017-000059</t>
  </si>
  <si>
    <t>XD-B01-TX-A02(23-23U)</t>
  </si>
  <si>
    <r>
      <rPr>
        <sz val="12"/>
        <rFont val="宋体"/>
        <charset val="134"/>
      </rPr>
      <t>华为</t>
    </r>
    <r>
      <rPr>
        <sz val="12"/>
        <rFont val="Arial"/>
        <charset val="134"/>
      </rPr>
      <t xml:space="preserve"> CE6855-48S6Q-HI</t>
    </r>
  </si>
  <si>
    <t>2102350RTC6TH9001185</t>
  </si>
  <si>
    <t>140502-2017-000180</t>
  </si>
  <si>
    <t>XD-B01-TX-A02(25-25U)</t>
  </si>
  <si>
    <t>171003201050</t>
  </si>
  <si>
    <t>140403-2017-000043</t>
  </si>
  <si>
    <t>XD-B01-TX-B01(24-24U)</t>
  </si>
  <si>
    <t>180103201198</t>
  </si>
  <si>
    <t>140403-2017-000060</t>
  </si>
  <si>
    <t>XD-B01-TX-B02(25-25U)</t>
  </si>
  <si>
    <t>H3C LS-5130-54C-HI</t>
  </si>
  <si>
    <t>210235A1LTH169000410</t>
  </si>
  <si>
    <t>140502-2016-000014</t>
  </si>
  <si>
    <t>XD-B02-KF-D03(38-38U)</t>
  </si>
  <si>
    <t>210235A1LTH169000414</t>
  </si>
  <si>
    <t>140502-2016-000013</t>
  </si>
  <si>
    <t>XD-B02-KF-D03(40-40U)</t>
  </si>
  <si>
    <t>YD-SW1G-242EE51B0994</t>
  </si>
  <si>
    <t>140607-2014-000224</t>
  </si>
  <si>
    <t>XD-B02-KF-E08(33-33U)</t>
  </si>
  <si>
    <t>思科ASR1006-X</t>
  </si>
  <si>
    <t>FXS2139Q1PZ</t>
  </si>
  <si>
    <t>140501-2017-000030</t>
  </si>
  <si>
    <t>XD-B02-KF-E06(11-16U)</t>
  </si>
  <si>
    <t>FXS2139Q1PM</t>
  </si>
  <si>
    <t>140501-2017-000031</t>
  </si>
  <si>
    <t>XD-B02-KF-E06(4-9U)</t>
  </si>
  <si>
    <t>210235AOHAH127000033</t>
  </si>
  <si>
    <t>140502-2012-000631</t>
  </si>
  <si>
    <t>XD-B02-KF-F01(27-27U)</t>
  </si>
  <si>
    <t>210235A0H9H11A000110</t>
  </si>
  <si>
    <t>140502-2012-000634</t>
  </si>
  <si>
    <t>XD-B02-KF-F01(29-29U)</t>
  </si>
  <si>
    <t>210235A0H9H11A000117</t>
  </si>
  <si>
    <t>140502-2012-000635</t>
  </si>
  <si>
    <t>XD-B02-KF-F01(31-31U)</t>
  </si>
  <si>
    <t>H3C LS-5500-52C-EI</t>
  </si>
  <si>
    <t>210235A24WH119000320</t>
  </si>
  <si>
    <t>140502-2011-000793</t>
  </si>
  <si>
    <t>XD-B02-KF-F01(33-33U)</t>
  </si>
  <si>
    <t>YD-SW1G-242EE51B0991</t>
  </si>
  <si>
    <t>140607-2014-000221</t>
  </si>
  <si>
    <t>XD-B02-KF-F11(15-15U)</t>
  </si>
  <si>
    <t>YD-SW1G-242EE51B199A</t>
  </si>
  <si>
    <t>140607-2014-000230</t>
  </si>
  <si>
    <t>XD-B02-KF-F12(17-17U)</t>
  </si>
  <si>
    <t>H3C S5500</t>
  </si>
  <si>
    <t>210235A24WH113000499</t>
  </si>
  <si>
    <t>140502-2011-000582</t>
  </si>
  <si>
    <t>XD-B02-KF-G09(41-41U)</t>
  </si>
  <si>
    <t>YD-SW1G-242EE51B0999</t>
  </si>
  <si>
    <t>140607-2014-000229</t>
  </si>
  <si>
    <t>XD-B02-KF-G12(20-20U)</t>
  </si>
  <si>
    <t>JG9VVL2</t>
  </si>
  <si>
    <t>140103-2017-000158</t>
  </si>
  <si>
    <t>XD-B02-KF-G17(1-11U)DX1-14</t>
  </si>
  <si>
    <t>JG9ZXL2</t>
  </si>
  <si>
    <t>140103-2017-000156</t>
  </si>
  <si>
    <t>XD-B02-KF-G17(1-11U)DX1-12</t>
  </si>
  <si>
    <t>JGB0YL2</t>
  </si>
  <si>
    <t>140103-2017-000155</t>
  </si>
  <si>
    <t>XD-B02-KF-G17(1-11U)DX1-11</t>
  </si>
  <si>
    <t>JGB3KL2</t>
  </si>
  <si>
    <t>140103-2017-000152</t>
  </si>
  <si>
    <t>XD-B02-KF-G17(1-11U)DX1-8</t>
  </si>
  <si>
    <t>JGB5KL2</t>
  </si>
  <si>
    <t>140103-2017-000147</t>
  </si>
  <si>
    <t>XD-B02-KF-G17(1-11U)DX1-3</t>
  </si>
  <si>
    <t>JGB6YL2</t>
  </si>
  <si>
    <t>140103-2017-000160</t>
  </si>
  <si>
    <t>XD-B02-KF-G17(1-11U)DX1-16</t>
  </si>
  <si>
    <t>JGBSVL2</t>
  </si>
  <si>
    <t>140103-2017-000159</t>
  </si>
  <si>
    <t>XD-B02-KF-G17(1-11U)DX1-15</t>
  </si>
  <si>
    <t>JGBWVL2</t>
  </si>
  <si>
    <t>140103-2017-000145</t>
  </si>
  <si>
    <t>XD-B02-KF-G17(1-11U)DX1-1</t>
  </si>
  <si>
    <t>JGBYJL2</t>
  </si>
  <si>
    <t>140103-2017-000153</t>
  </si>
  <si>
    <t>XD-B02-KF-G17(1-11U)DX1-9</t>
  </si>
  <si>
    <t>JGC0KL2</t>
  </si>
  <si>
    <t>140103-2017-000157</t>
  </si>
  <si>
    <t>XD-B02-KF-G17(1-11U)DX1-13</t>
  </si>
  <si>
    <t>JGC2KL2</t>
  </si>
  <si>
    <t>140103-2017-000148</t>
  </si>
  <si>
    <t>XD-B02-KF-G17(1-11U)DX1-4</t>
  </si>
  <si>
    <t>JGC4KL2</t>
  </si>
  <si>
    <t>140103-2017-000154</t>
  </si>
  <si>
    <t>XD-B02-KF-G17(1-11U)DX1-10</t>
  </si>
  <si>
    <t>JGC5YL2</t>
  </si>
  <si>
    <t>140103-2017-000146</t>
  </si>
  <si>
    <t>XD-B02-KF-G17(1-11U)DX1-2</t>
  </si>
  <si>
    <t>JGC7YL2</t>
  </si>
  <si>
    <t>140103-2017-000149</t>
  </si>
  <si>
    <t>XD-B02-KF-G17(1-11U)DX1-5</t>
  </si>
  <si>
    <t>JGCTVL2</t>
  </si>
  <si>
    <t>140103-2017-000151</t>
  </si>
  <si>
    <t>XD-B02-KF-G17(1-11U)DX1-7</t>
  </si>
  <si>
    <t>JGCYJL2</t>
  </si>
  <si>
    <t>140103-2017-000150</t>
  </si>
  <si>
    <t>XD-B02-KF-G17(1-11U)DX1-6</t>
  </si>
  <si>
    <t>JGFSVL2</t>
  </si>
  <si>
    <t>140103-2017-000271</t>
  </si>
  <si>
    <t>XD-B02-KF-G17(1-10U)</t>
  </si>
  <si>
    <t>JG8WVL2</t>
  </si>
  <si>
    <t>140103-2017-000168</t>
  </si>
  <si>
    <t>XD-B02-KF-G17(12-21U)DX2-8</t>
  </si>
  <si>
    <t>JG8ZXL2</t>
  </si>
  <si>
    <t>140103-2017-000162</t>
  </si>
  <si>
    <t>XD-B02-KF-G17(12-21U)DX2-2</t>
  </si>
  <si>
    <t>JG90KL2</t>
  </si>
  <si>
    <t>140103-2017-000208</t>
  </si>
  <si>
    <t>XD-B02-KF-G17(12-21U)DX2-12</t>
  </si>
  <si>
    <t>JG91YL2</t>
  </si>
  <si>
    <t>140103-2017-000165</t>
  </si>
  <si>
    <t>XD-B02-KF-G17(12-21U)DX2-5</t>
  </si>
  <si>
    <t>JG92YL2</t>
  </si>
  <si>
    <t>140103-2017-000163</t>
  </si>
  <si>
    <t>XD-B02-KF-G17(12-21U)DX2-3</t>
  </si>
  <si>
    <t>JG94KL2</t>
  </si>
  <si>
    <t>140103-2017-000207</t>
  </si>
  <si>
    <t>XD-B02-KF-G17(12-21U)DX2-11</t>
  </si>
  <si>
    <t>JG95YL2</t>
  </si>
  <si>
    <t>140103-2017-000164</t>
  </si>
  <si>
    <t>XD-B02-KF-G17(12-21U)DX2-4</t>
  </si>
  <si>
    <t>JG96YL2</t>
  </si>
  <si>
    <t>140103-2017-000211</t>
  </si>
  <si>
    <t>XD-B02-KF-G17(12-21U)DX2-15</t>
  </si>
  <si>
    <t>JG9SVL2</t>
  </si>
  <si>
    <t>140103-2017-000166</t>
  </si>
  <si>
    <t>XD-B02-KF-G17(12-21U)DX2-6</t>
  </si>
  <si>
    <t>JG9XVL2</t>
  </si>
  <si>
    <t>140103-2017-000167</t>
  </si>
  <si>
    <t>XD-B02-KF-G17(12-21U)DX2-7</t>
  </si>
  <si>
    <t>JG9ZJL2</t>
  </si>
  <si>
    <t>140103-2017-000161</t>
  </si>
  <si>
    <t>XD-B02-KF-G17(12-21U)DX2-1</t>
  </si>
  <si>
    <t>JGB1YL2</t>
  </si>
  <si>
    <t>140103-2017-000205</t>
  </si>
  <si>
    <t>XD-B02-KF-G17(12-21U)DX2-9</t>
  </si>
  <si>
    <t>JGB3YL2</t>
  </si>
  <si>
    <t>140103-2017-000209</t>
  </si>
  <si>
    <t>XD-B02-KF-G17(12-21U)DX2-13</t>
  </si>
  <si>
    <t>JGB5YL2</t>
  </si>
  <si>
    <t>140103-2017-000212</t>
  </si>
  <si>
    <t>XD-B02-KF-G17(12-21U)DX2-16</t>
  </si>
  <si>
    <t>JGB7YL2</t>
  </si>
  <si>
    <t>140103-2017-000210</t>
  </si>
  <si>
    <t>XD-B02-KF-G17(12-21U)DX2-14</t>
  </si>
  <si>
    <t>JGBTVL2</t>
  </si>
  <si>
    <t>140103-2017-000206</t>
  </si>
  <si>
    <t>XD-B02-KF-G17(12-21U)DX2-10</t>
  </si>
  <si>
    <t>JGFZJL2</t>
  </si>
  <si>
    <t>140103-2017-000272</t>
  </si>
  <si>
    <t>XD-B02-KF-G17(12-21U)</t>
  </si>
  <si>
    <t>2PPDF3X</t>
  </si>
  <si>
    <t>140103-2012-000977</t>
  </si>
  <si>
    <t>XD-B03-KP-A02(4-13U)DP102-1</t>
  </si>
  <si>
    <t>4PPDF3X</t>
  </si>
  <si>
    <t>140103-2012-000985</t>
  </si>
  <si>
    <t>XD-B03-KP-A02(4-13U)DP102-10</t>
  </si>
  <si>
    <t>JX3JZZ1</t>
  </si>
  <si>
    <t>140103-2014-003028</t>
  </si>
  <si>
    <t>XD-B02-KP-A02(4-13U)DP102-11</t>
  </si>
  <si>
    <t>DY3JZZ1</t>
  </si>
  <si>
    <t>140103-2014-003029</t>
  </si>
  <si>
    <t>XD-B02-KP-A02(4-13U)DP102-12</t>
  </si>
  <si>
    <t>CX3JZZ1</t>
  </si>
  <si>
    <t>140103-2014-003030</t>
  </si>
  <si>
    <t>XD-B02-KP-A02(4-13U)DP102-13</t>
  </si>
  <si>
    <t>6Y3JZZ1</t>
  </si>
  <si>
    <t>140103-2014-003031</t>
  </si>
  <si>
    <t>XD-B02-KP-A02(4-13U)DP102-14</t>
  </si>
  <si>
    <t>5PPDF3X</t>
  </si>
  <si>
    <t>140103-2012-000979</t>
  </si>
  <si>
    <t>XD-B03-KP-A02(4-13U)DP102-2</t>
  </si>
  <si>
    <t>GNPDF3X</t>
  </si>
  <si>
    <t>140103-2012-000978</t>
  </si>
  <si>
    <t>XD-B03-KP-A02(4-13U)DP102-3</t>
  </si>
  <si>
    <t>1PPDF3X</t>
  </si>
  <si>
    <t>140103-2012-000981</t>
  </si>
  <si>
    <t>XD-B03-KP-A02(4-13U)DP102-4</t>
  </si>
  <si>
    <t>JNPDF3X</t>
  </si>
  <si>
    <t>140103-2012-000980</t>
  </si>
  <si>
    <t>XD-B03-KP-A02(4-13U)DP102-5</t>
  </si>
  <si>
    <t>3PPDF3X</t>
  </si>
  <si>
    <t>140103-2012-000982</t>
  </si>
  <si>
    <t>XD-B03-KP-A02(4-13U)DP102-6</t>
  </si>
  <si>
    <t>HNPDF3X</t>
  </si>
  <si>
    <t>140103-2012-000983</t>
  </si>
  <si>
    <t>XD-B03-KP-A02(4-13U)DP102-7</t>
  </si>
  <si>
    <t>140103-2012-000984</t>
  </si>
  <si>
    <t>XD-B03-KP-A02(4-13U)DP102-8</t>
  </si>
  <si>
    <t>6PPDF3X</t>
  </si>
  <si>
    <t>140103-2012-000986</t>
  </si>
  <si>
    <t>XD-B03-KP-A02(4-13U)DP102-9</t>
  </si>
  <si>
    <t>210235A0HAH126000163</t>
  </si>
  <si>
    <t>140502-2012-000628</t>
  </si>
  <si>
    <t>XD-B02-KP-B01(32-32U)</t>
  </si>
  <si>
    <t>210235AOHAH127000001</t>
  </si>
  <si>
    <t>140502-2012-000629</t>
  </si>
  <si>
    <t>XD-B02-KP-B01(34-34U)</t>
  </si>
  <si>
    <t>210235A0H9H11A000233</t>
  </si>
  <si>
    <t>140502-2012-000632</t>
  </si>
  <si>
    <t>XD-B02-KP-B01(36-36U)</t>
  </si>
  <si>
    <t>210235A0H9H11A000103</t>
  </si>
  <si>
    <t>140502-2012-000633</t>
  </si>
  <si>
    <t>XD-B02-KP-B01(38-38U)</t>
  </si>
  <si>
    <t>210235AOHAH126000125</t>
  </si>
  <si>
    <t>140502-2012-000630</t>
  </si>
  <si>
    <t>XD-B02-KP-B01(40-40U)</t>
  </si>
  <si>
    <t>06C5D7R</t>
  </si>
  <si>
    <t>140102-2012-000547</t>
  </si>
  <si>
    <t>XD-B02-KP-B04(2-17U)</t>
  </si>
  <si>
    <t>MM11299</t>
  </si>
  <si>
    <t>141106-2012-000711</t>
  </si>
  <si>
    <t>XD-B02-KP-B04(22-22U)</t>
  </si>
  <si>
    <t>06ACPR3</t>
  </si>
  <si>
    <t>140103-2012-000911</t>
  </si>
  <si>
    <t>XD-B02-KP-B04(25-34U)TKDP84-1</t>
  </si>
  <si>
    <t>06ACPA9</t>
  </si>
  <si>
    <t>140103-2012-000920</t>
  </si>
  <si>
    <t>XD-B02-KP-B04(25-34U)TKDP84-10</t>
  </si>
  <si>
    <t>06ACPA8</t>
  </si>
  <si>
    <t>140103-2012-000921</t>
  </si>
  <si>
    <t>XD-B02-KP-B04(25-34U)TKDP84-11</t>
  </si>
  <si>
    <t>06ACNY8</t>
  </si>
  <si>
    <t>140103-2012-000922</t>
  </si>
  <si>
    <t>XD-B02-KP-B04(25-34U)TKDP84-12</t>
  </si>
  <si>
    <t>06ACNX9</t>
  </si>
  <si>
    <t>140103-2012-000923</t>
  </si>
  <si>
    <t>XD-B02-KP-B04(25-34U)TKDP84-13</t>
  </si>
  <si>
    <t>06ACNV8</t>
  </si>
  <si>
    <t>140103-2012-000924</t>
  </si>
  <si>
    <t>XD-B02-KP-B04(25-34U)TKDP84-14</t>
  </si>
  <si>
    <t>06ACPG5</t>
  </si>
  <si>
    <t>140103-2012-000912</t>
  </si>
  <si>
    <t>XD-B02-KP-B04(25-34U)TKDP84-2</t>
  </si>
  <si>
    <t>06ACNZ4</t>
  </si>
  <si>
    <t>140103-2012-000913</t>
  </si>
  <si>
    <t>XD-B02-KP-B04(25-34U)TKDP84-3</t>
  </si>
  <si>
    <t>06ACPK8</t>
  </si>
  <si>
    <t>140103-2012-000914</t>
  </si>
  <si>
    <t>XD-B02-KP-B04(25-34U)TKDP84-4</t>
  </si>
  <si>
    <t>102415B</t>
  </si>
  <si>
    <t>140103-2012-000915</t>
  </si>
  <si>
    <t>XD-B02-KP-B04(25-34U)TKDP84-5</t>
  </si>
  <si>
    <t>06ACPV6</t>
  </si>
  <si>
    <t>140103-2012-000916</t>
  </si>
  <si>
    <t>XD-B02-KP-B04(25-34U)TKDP84-6</t>
  </si>
  <si>
    <t>06ACPR0</t>
  </si>
  <si>
    <t>140103-2012-000917</t>
  </si>
  <si>
    <t>XD-B02-KP-B04(25-34U)TKDP84-7</t>
  </si>
  <si>
    <t>06ACNY3</t>
  </si>
  <si>
    <t>140103-2012-000918</t>
  </si>
  <si>
    <t>XD-B02-KP-B04(25-34U)TKDP84-8</t>
  </si>
  <si>
    <t>06ACPG1</t>
  </si>
  <si>
    <t>140103-2012-000919</t>
  </si>
  <si>
    <t>XD-B02-KP-B04(25-34U)TKDP84-9</t>
  </si>
  <si>
    <t>06ACNZ9</t>
  </si>
  <si>
    <t>140103-2012-000939</t>
  </si>
  <si>
    <t>XD-B02-KP-B05(20-29U)TKDP86-1</t>
  </si>
  <si>
    <t>06ACPT6</t>
  </si>
  <si>
    <t>140103-2012-000948</t>
  </si>
  <si>
    <t>XD-B02-KP-B05(20-29U)TKDP86-10</t>
  </si>
  <si>
    <t>06ACPF1</t>
  </si>
  <si>
    <t>140103-2012-000949</t>
  </si>
  <si>
    <t>XD-B02-KP-B05(20-29U)TKDP86-11</t>
  </si>
  <si>
    <t>06ACNR7</t>
  </si>
  <si>
    <t>140103-2012-000950</t>
  </si>
  <si>
    <t>XD-B02-KP-B05(20-29U)TKDP86-12</t>
  </si>
  <si>
    <t>06ACPD0</t>
  </si>
  <si>
    <t>140103-2012-000940</t>
  </si>
  <si>
    <t>XD-B02-KP-B05(20-29U)TKDP86-2</t>
  </si>
  <si>
    <t>06ACNZ6</t>
  </si>
  <si>
    <t>140103-2012-000941</t>
  </si>
  <si>
    <t>XD-B02-KP-B05(20-29U)TKDP86-3</t>
  </si>
  <si>
    <t>06ACNV1</t>
  </si>
  <si>
    <t>140103-2012-000942</t>
  </si>
  <si>
    <t>XD-B02-KP-B05(20-29U)TKDP86-4</t>
  </si>
  <si>
    <t>06ACPH8</t>
  </si>
  <si>
    <t>140103-2012-000943</t>
  </si>
  <si>
    <t>XD-B02-KP-B05(20-29U)TKDP86-5</t>
  </si>
  <si>
    <t>06ACPX5</t>
  </si>
  <si>
    <t>140103-2012-000944</t>
  </si>
  <si>
    <t>XD-B02-KP-B05(20-29U)TKDP86-6</t>
  </si>
  <si>
    <t>06ACPB6</t>
  </si>
  <si>
    <t>140103-2012-000945</t>
  </si>
  <si>
    <t>XD-B02-KP-B05(20-29U)TKDP86-7</t>
  </si>
  <si>
    <t>06ACPW4</t>
  </si>
  <si>
    <t>140103-2012-000946</t>
  </si>
  <si>
    <t>XD-B02-KP-B05(20-29U)TKDP86-8</t>
  </si>
  <si>
    <t>06ACPV7</t>
  </si>
  <si>
    <t>140103-2012-000947</t>
  </si>
  <si>
    <t>XD-B02-KP-B05(20-29U)TKDP86-9</t>
  </si>
  <si>
    <t>06C5DCR</t>
  </si>
  <si>
    <t>140102-2012-000548</t>
  </si>
  <si>
    <t>XD-B02-KP-B05(2-17U)</t>
  </si>
  <si>
    <t>2639311</t>
  </si>
  <si>
    <t>141106-2012-000716</t>
  </si>
  <si>
    <t>XD-B02-KP-B06(23-23U)</t>
  </si>
  <si>
    <t>06C68CR</t>
  </si>
  <si>
    <t>140102-2012-000551</t>
  </si>
  <si>
    <t>XD-B02-KP-B06(2-17U)</t>
  </si>
  <si>
    <t>348HF3X</t>
  </si>
  <si>
    <t>140103-2012-001106</t>
  </si>
  <si>
    <t>XD-B02-KP-B07(12-21U)DP03-1</t>
  </si>
  <si>
    <t>548HF3X</t>
  </si>
  <si>
    <t>140103-2012-001088</t>
  </si>
  <si>
    <t>XD-B02-KP-B07(12-21U)DP03-10</t>
  </si>
  <si>
    <t>448HF3X</t>
  </si>
  <si>
    <t>140103-2012-001107</t>
  </si>
  <si>
    <t>XD-B02-KP-B07(12-21U)DP03-2</t>
  </si>
  <si>
    <t>C48HF3X</t>
  </si>
  <si>
    <t>140103-2012-001108</t>
  </si>
  <si>
    <t>XD-B02-KP-B07(12-21U)DP03-3</t>
  </si>
  <si>
    <t>648HF3X</t>
  </si>
  <si>
    <t>140103-2012-001109</t>
  </si>
  <si>
    <t>XD-B02-KP-B07(12-21U)DP03-4</t>
  </si>
  <si>
    <t>748HF3X</t>
  </si>
  <si>
    <t>140103-2012-001110</t>
  </si>
  <si>
    <t>XD-B02-KP-B07(12-21U)DP03-5</t>
  </si>
  <si>
    <t>B48HF3X</t>
  </si>
  <si>
    <t>140103-2012-001111</t>
  </si>
  <si>
    <t>XD-B02-KP-B07(12-21U)DP03-6</t>
  </si>
  <si>
    <t>D48HF3X</t>
  </si>
  <si>
    <t>140103-2012-001112</t>
  </si>
  <si>
    <t>XD-B02-KP-B07(12-21U)DP03-7</t>
  </si>
  <si>
    <t>948HF3X</t>
  </si>
  <si>
    <t>140103-2012-001113</t>
  </si>
  <si>
    <t>XD-B02-KP-B07(12-21U)DP03-8</t>
  </si>
  <si>
    <t>848HF3X</t>
  </si>
  <si>
    <t>140103-2012-001087</t>
  </si>
  <si>
    <t>XD-B02-KP-B07(12-21U)DP03-9</t>
  </si>
  <si>
    <t>248HF3X</t>
  </si>
  <si>
    <t>140103-2012-001121</t>
  </si>
  <si>
    <t>XD-B02-KP-B07(12-21U)</t>
  </si>
  <si>
    <t>CNG230S9MC</t>
  </si>
  <si>
    <t>140103-2012-000815</t>
  </si>
  <si>
    <t>XD-B02-KP-B07(2-11U)-1</t>
  </si>
  <si>
    <t>CNG230S9J8</t>
  </si>
  <si>
    <t>140103-2012-000824</t>
  </si>
  <si>
    <t>XD-B02-KP-B07(2-11U)-10</t>
  </si>
  <si>
    <t>CNG230S9GQ</t>
  </si>
  <si>
    <t>140103-2012-000825</t>
  </si>
  <si>
    <t>XD-B02-KP-B07(2-11U)-11</t>
  </si>
  <si>
    <t>CNG230S9GJ</t>
  </si>
  <si>
    <t>140103-2012-000826</t>
  </si>
  <si>
    <t>XD-B02-KP-B07(2-11U)-12</t>
  </si>
  <si>
    <t>CNG230S9PM</t>
  </si>
  <si>
    <t>140103-2012-000827</t>
  </si>
  <si>
    <t>XD-B02-KP-B07(2-11U)-13</t>
  </si>
  <si>
    <t>CNG230S9MW</t>
  </si>
  <si>
    <t>140103-2012-000828</t>
  </si>
  <si>
    <t>XD-B02-KP-B07(2-11U)-14</t>
  </si>
  <si>
    <t>CNG230S9QX</t>
  </si>
  <si>
    <t>140103-2012-000829</t>
  </si>
  <si>
    <t>XD-B02-KP-B07(2-11U)-15</t>
  </si>
  <si>
    <t>CNG230S9HF</t>
  </si>
  <si>
    <t>140103-2012-000830</t>
  </si>
  <si>
    <t>XD-B02-KP-B07(2-11U)-16</t>
  </si>
  <si>
    <t>CNG230S9QQ</t>
  </si>
  <si>
    <t>140103-2012-000816</t>
  </si>
  <si>
    <t>XD-B02-KP-B07(2-11U)-2</t>
  </si>
  <si>
    <t>CNG230S9LL</t>
  </si>
  <si>
    <t>140103-2012-000817</t>
  </si>
  <si>
    <t>XD-B02-KP-B07(2-11U)-3</t>
  </si>
  <si>
    <t>CNG230S9HY</t>
  </si>
  <si>
    <t>140103-2012-000818</t>
  </si>
  <si>
    <t>XD-B02-KP-B07(2-11U)-4</t>
  </si>
  <si>
    <t>CNG230S9JL</t>
  </si>
  <si>
    <t>140103-2012-000819</t>
  </si>
  <si>
    <t>XD-B02-KP-B07(2-11U)-5</t>
  </si>
  <si>
    <t>CNG230S9JD</t>
  </si>
  <si>
    <t>140103-2012-000820</t>
  </si>
  <si>
    <t>XD-B02-KP-B07(2-11U)-6</t>
  </si>
  <si>
    <t>CNG230S9GV</t>
  </si>
  <si>
    <t>140103-2012-000821</t>
  </si>
  <si>
    <t>XD-B02-KP-B07(2-11U)-7</t>
  </si>
  <si>
    <t>CNG230S9K1</t>
  </si>
  <si>
    <t>140103-2012-000822</t>
  </si>
  <si>
    <t>XD-B02-KP-B07(2-11U)-8</t>
  </si>
  <si>
    <t>CNG230S9KT</t>
  </si>
  <si>
    <t>140103-2012-000823</t>
  </si>
  <si>
    <t>XD-B02-KP-B07(2-11U)-9</t>
  </si>
  <si>
    <t>2C42144YDY</t>
  </si>
  <si>
    <t>141106-2012-000709</t>
  </si>
  <si>
    <t>XD-B02-KP-B07(22-22U)</t>
  </si>
  <si>
    <t>06ACPY6</t>
  </si>
  <si>
    <t>140103-2012-000925</t>
  </si>
  <si>
    <t>XD-B02-KP-B12(2-11U)TKDP85-1</t>
  </si>
  <si>
    <t>06ACNN7</t>
  </si>
  <si>
    <t>140103-2012-000934</t>
  </si>
  <si>
    <t>XD-B02-KP-B12(2-11U)TKDP85-10</t>
  </si>
  <si>
    <t>06ACNV9</t>
  </si>
  <si>
    <t>140103-2012-000935</t>
  </si>
  <si>
    <t>XD-B02-KP-B12(2-11U)TKDP85-11</t>
  </si>
  <si>
    <t>06ACPM0</t>
  </si>
  <si>
    <t>140103-2012-000936</t>
  </si>
  <si>
    <t>XD-B02-KP-B12(2-11U)TKDP85-12</t>
  </si>
  <si>
    <t>06ACPA3</t>
  </si>
  <si>
    <t>140103-2012-000937</t>
  </si>
  <si>
    <t>XD-B02-KP-B12(2-11U)TKDP85-13</t>
  </si>
  <si>
    <t>06ACPG4</t>
  </si>
  <si>
    <t>140103-2012-000938</t>
  </si>
  <si>
    <t>XD-B02-KP-B12(2-11U)TKDP85-14</t>
  </si>
  <si>
    <t>06ACPR5</t>
  </si>
  <si>
    <t>140103-2012-000926</t>
  </si>
  <si>
    <t>XD-B02-KP-B12(2-11U)TKDP85-2</t>
  </si>
  <si>
    <t>06ACNZ8</t>
  </si>
  <si>
    <t>140103-2012-000927</t>
  </si>
  <si>
    <t>XD-B02-KP-B12(2-11U)TKDP85-3</t>
  </si>
  <si>
    <t>06ACPA2</t>
  </si>
  <si>
    <t>140103-2012-000928</t>
  </si>
  <si>
    <t>XD-B02-KP-B12(2-11U)TKDP85-4</t>
  </si>
  <si>
    <t>06ACPY8</t>
  </si>
  <si>
    <t>140103-2012-000929</t>
  </si>
  <si>
    <t>XD-B02-KP-B12(2-11U)TKDP85-5</t>
  </si>
  <si>
    <t>06ACNT6</t>
  </si>
  <si>
    <t>140103-2012-000930</t>
  </si>
  <si>
    <t>XD-B02-KP-B12(2-11U)TKDP85-6</t>
  </si>
  <si>
    <t>06ACNR9</t>
  </si>
  <si>
    <t>140103-2012-000931</t>
  </si>
  <si>
    <t>XD-B02-KP-B12(2-11U)TKDP85-7</t>
  </si>
  <si>
    <t>06ACNX1</t>
  </si>
  <si>
    <t>140103-2012-000932</t>
  </si>
  <si>
    <t>XD-B02-KP-B12(2-11U)TKDP85-8</t>
  </si>
  <si>
    <t>06ACNZ7</t>
  </si>
  <si>
    <t>140103-2012-000933</t>
  </si>
  <si>
    <t>XD-B02-KP-B12(2-11U)TKDP85-9</t>
  </si>
  <si>
    <t>99C6575</t>
  </si>
  <si>
    <t>140103-2011-000321</t>
  </si>
  <si>
    <t>XD-B02-KP-B12(30-33U)</t>
  </si>
  <si>
    <t>210235A0HAH14A000035</t>
  </si>
  <si>
    <t>140502-2014-001088</t>
  </si>
  <si>
    <t>XD-B02-KP-C01(24-24U)</t>
  </si>
  <si>
    <t>210235A0HAH14A000182</t>
  </si>
  <si>
    <t>140502-2014-001087</t>
  </si>
  <si>
    <t>XD-B02-KP-C01(26-26U)</t>
  </si>
  <si>
    <t>210235A24WH113000385</t>
  </si>
  <si>
    <t>140502-2011-000580</t>
  </si>
  <si>
    <t>XD-B02-KP-C01(28-28U)</t>
  </si>
  <si>
    <t>H3C S5500-52C</t>
  </si>
  <si>
    <t>210235A24WH113000059</t>
  </si>
  <si>
    <t>140502-2011-000550</t>
  </si>
  <si>
    <t>XD-B02-KP-C01(30-30U)</t>
  </si>
  <si>
    <t>210235A24WH113000158</t>
  </si>
  <si>
    <t>140502-2011-000549</t>
  </si>
  <si>
    <t>XD-B02-KP-C01(36-36U)</t>
  </si>
  <si>
    <t>210235A24WH113000512</t>
  </si>
  <si>
    <t>140502-2011-000581</t>
  </si>
  <si>
    <t>XD-B02-KP-C01(40-40U)</t>
  </si>
  <si>
    <t>华为AR46-40</t>
  </si>
  <si>
    <t>2102312066N04B000063</t>
  </si>
  <si>
    <t>140501-2011-000513</t>
  </si>
  <si>
    <t>XD-B02-KP-C01(6-9U)</t>
  </si>
  <si>
    <t>IBM PS700</t>
  </si>
  <si>
    <t>06C39CA</t>
  </si>
  <si>
    <t>140102-2010-000319</t>
  </si>
  <si>
    <t>XD-B02-KP-C02(16-24U)DP24-1</t>
  </si>
  <si>
    <t>06C3D0A</t>
  </si>
  <si>
    <t>140102-2010-000328</t>
  </si>
  <si>
    <t>XD-B02-KP-C02(16-24U)DP24-10</t>
  </si>
  <si>
    <t>06C399A</t>
  </si>
  <si>
    <t>140102-2010-000329</t>
  </si>
  <si>
    <t>XD-B02-KP-C02(16-24U)DP24-11</t>
  </si>
  <si>
    <t>06C39AA</t>
  </si>
  <si>
    <t>140102-2010-000330</t>
  </si>
  <si>
    <t>XD-B02-KP-C02(16-24U)DP24-12</t>
  </si>
  <si>
    <t>06C38DA</t>
  </si>
  <si>
    <t>140102-2010-000331</t>
  </si>
  <si>
    <t>XD-B02-KP-C02(16-24U)DP24-13</t>
  </si>
  <si>
    <t>06C38BA</t>
  </si>
  <si>
    <t>140102-2010-000332</t>
  </si>
  <si>
    <t>XD-B02-KP-C02(16-24U)DP24-14</t>
  </si>
  <si>
    <t>06C396A</t>
  </si>
  <si>
    <t>140102-2010-000320</t>
  </si>
  <si>
    <t>XD-B02-KP-C02(16-24U)DP24-2</t>
  </si>
  <si>
    <t>06C38AA</t>
  </si>
  <si>
    <t>140102-2010-000321</t>
  </si>
  <si>
    <t>XD-B02-KP-C02(16-24U)DP24-3</t>
  </si>
  <si>
    <t>06C393A</t>
  </si>
  <si>
    <t>140102-2010-000322</t>
  </si>
  <si>
    <t>XD-B02-KP-C02(16-24U)DP24-4</t>
  </si>
  <si>
    <t>06C3F0A</t>
  </si>
  <si>
    <t>140102-2010-000323</t>
  </si>
  <si>
    <t>XD-B02-KP-C02(16-24U)DP24-5</t>
  </si>
  <si>
    <t>06C394A</t>
  </si>
  <si>
    <t>140102-2010-000324</t>
  </si>
  <si>
    <t>XD-B02-KP-C02(16-24U)DP24-6</t>
  </si>
  <si>
    <t>06C39DA</t>
  </si>
  <si>
    <t>140102-2010-000325</t>
  </si>
  <si>
    <t>XD-B02-KP-C02(16-24U)DP24-7</t>
  </si>
  <si>
    <t>06C3C5A</t>
  </si>
  <si>
    <t>140102-2010-000326</t>
  </si>
  <si>
    <t>XD-B02-KP-C02(16-24U)DP24-8</t>
  </si>
  <si>
    <t>06C39EA</t>
  </si>
  <si>
    <t>140102-2010-000327</t>
  </si>
  <si>
    <t>XD-B02-KP-C02(16-24U)DP24-9</t>
  </si>
  <si>
    <t>磁带库</t>
  </si>
  <si>
    <t>EMC DD630</t>
  </si>
  <si>
    <t>1FZ0415007</t>
  </si>
  <si>
    <t>140203-2011-000163</t>
  </si>
  <si>
    <t>XD-B02-KP-C02(27-29U)</t>
  </si>
  <si>
    <t>IBM BCH</t>
  </si>
  <si>
    <t>99E3618</t>
  </si>
  <si>
    <t>140103-2011-000460</t>
  </si>
  <si>
    <t>XD-B02-KP-C02(3-11U)TKDP03</t>
  </si>
  <si>
    <t>06YW847</t>
  </si>
  <si>
    <t>140103-2011-000452</t>
  </si>
  <si>
    <t>XD-B02-KP-C02(3-11U)TKDP03-1</t>
  </si>
  <si>
    <t>06YW879</t>
  </si>
  <si>
    <t>140103-2011-000453</t>
  </si>
  <si>
    <t>XD-B02-KP-C02(3-11U)TKDP03-2</t>
  </si>
  <si>
    <t>99E3623</t>
  </si>
  <si>
    <t>140103-2011-000462</t>
  </si>
  <si>
    <t>XD-B02-KP-C03(16-24U)DP02</t>
  </si>
  <si>
    <t>06YW867</t>
  </si>
  <si>
    <t>140103-2011-000342</t>
  </si>
  <si>
    <t>XD-B02-KP-C03(16-24U)DP02-1</t>
  </si>
  <si>
    <t>06YW872</t>
  </si>
  <si>
    <t>140103-2011-000351</t>
  </si>
  <si>
    <t>XD-B02-KP-C03(16-24U)DP02-10</t>
  </si>
  <si>
    <t>06YW884</t>
  </si>
  <si>
    <t>140103-2011-000352</t>
  </si>
  <si>
    <t>XD-B02-KP-C03(16-24U)DP02-11</t>
  </si>
  <si>
    <t>06YW870</t>
  </si>
  <si>
    <t>140103-2011-000353</t>
  </si>
  <si>
    <t>XD-B02-KP-C03(16-24U)DP02-12</t>
  </si>
  <si>
    <t>06YW866</t>
  </si>
  <si>
    <t>140103-2011-000354</t>
  </si>
  <si>
    <t>XD-B02-KP-C03(16-24U)DP02-13</t>
  </si>
  <si>
    <t>06YW857</t>
  </si>
  <si>
    <t>140103-2011-000355</t>
  </si>
  <si>
    <t>XD-B02-KP-C03(16-24U)DP02-14</t>
  </si>
  <si>
    <t>06YW835</t>
  </si>
  <si>
    <t>140103-2011-000343</t>
  </si>
  <si>
    <t>XD-B02-KP-C03(16-24U)DP02-2</t>
  </si>
  <si>
    <t>06YW859</t>
  </si>
  <si>
    <t>140103-2011-000344</t>
  </si>
  <si>
    <t>XD-B02-KP-C03(16-24U)DP02-3</t>
  </si>
  <si>
    <t>06YW852</t>
  </si>
  <si>
    <t>140103-2011-000345</t>
  </si>
  <si>
    <t>XD-B02-KP-C03(16-24U)DP02-4</t>
  </si>
  <si>
    <t>06YW849</t>
  </si>
  <si>
    <t>140103-2011-000346</t>
  </si>
  <si>
    <t>XD-B02-KP-C03(16-24U)DP02-5</t>
  </si>
  <si>
    <t>06YW871</t>
  </si>
  <si>
    <t>140103-2011-000347</t>
  </si>
  <si>
    <t>XD-B02-KP-C03(16-24U)DP02-6</t>
  </si>
  <si>
    <t>06YW886</t>
  </si>
  <si>
    <t>140103-2011-000348</t>
  </si>
  <si>
    <t>XD-B02-KP-C03(16-24U)DP02-7</t>
  </si>
  <si>
    <t>06YW868</t>
  </si>
  <si>
    <t>140103-2011-000349</t>
  </si>
  <si>
    <t>XD-B02-KP-C03(16-24U)DP02-8</t>
  </si>
  <si>
    <t>06YW882</t>
  </si>
  <si>
    <t>140103-2011-000350</t>
  </si>
  <si>
    <t>XD-B02-KP-C03(16-24U)DP02-9</t>
  </si>
  <si>
    <t>06YW883</t>
  </si>
  <si>
    <t>140103-2011-000356</t>
  </si>
  <si>
    <t>XD-B02-KP-C03(3-11U)TKDP01-1</t>
  </si>
  <si>
    <t>99V4413</t>
  </si>
  <si>
    <t>140103-2011-000365</t>
  </si>
  <si>
    <t>XD-B02-KP-C03(3-11U)TKDP01-10</t>
  </si>
  <si>
    <t>06YW875</t>
  </si>
  <si>
    <t>140103-2011-000366</t>
  </si>
  <si>
    <t>XD-B02-KP-C03(3-11U)TKDP01-11</t>
  </si>
  <si>
    <t>06YW873</t>
  </si>
  <si>
    <t>140103-2011-000367</t>
  </si>
  <si>
    <t>XD-B02-KP-C03(3-11U)TKDP01-12</t>
  </si>
  <si>
    <t>06YW865</t>
  </si>
  <si>
    <t>140103-2011-000450</t>
  </si>
  <si>
    <t>XD-B02-KP-C03(3-11U)TKDP01-13</t>
  </si>
  <si>
    <t>06YW881</t>
  </si>
  <si>
    <t>140103-2011-000451</t>
  </si>
  <si>
    <t>XD-B02-KP-C03(3-11U)TKDP01-14</t>
  </si>
  <si>
    <t>06YW831</t>
  </si>
  <si>
    <t>140103-2011-000357</t>
  </si>
  <si>
    <t>XD-B02-KP-C03(3-11U)TKDP01-2</t>
  </si>
  <si>
    <t>06YW880</t>
  </si>
  <si>
    <t>140103-2011-000358</t>
  </si>
  <si>
    <t>XD-B02-KP-C03(3-11U)TKDP01-3</t>
  </si>
  <si>
    <t>06YW864</t>
  </si>
  <si>
    <t>140103-2011-000359</t>
  </si>
  <si>
    <t>XD-B02-KP-C03(3-11U)TKDP01-4</t>
  </si>
  <si>
    <t>06YW840</t>
  </si>
  <si>
    <t>140103-2011-000360</t>
  </si>
  <si>
    <t>XD-B02-KP-C03(3-11U)TKDP01-5</t>
  </si>
  <si>
    <t>06YW845</t>
  </si>
  <si>
    <t>140103-2011-000361</t>
  </si>
  <si>
    <t>XD-B02-KP-C03(3-11U)TKDP01-6</t>
  </si>
  <si>
    <t>06YW843</t>
  </si>
  <si>
    <t>140103-2011-000362</t>
  </si>
  <si>
    <t>XD-B02-KP-C03(3-11U)TKDP01-7</t>
  </si>
  <si>
    <t>06YW851</t>
  </si>
  <si>
    <t>140103-2011-000363</t>
  </si>
  <si>
    <t>XD-B02-KP-C03(3-11U)TKDP01-8</t>
  </si>
  <si>
    <t>06YW838</t>
  </si>
  <si>
    <t>140103-2011-000364</t>
  </si>
  <si>
    <t>XD-B02-KP-C03(3-11U)TKDP01-9</t>
  </si>
  <si>
    <t>99E3622</t>
  </si>
  <si>
    <t>140103-2011-000461</t>
  </si>
  <si>
    <t>XD-B02-KP-C03(3U-11U)TKDP01</t>
  </si>
  <si>
    <t>06A74CP</t>
  </si>
  <si>
    <t>140102-2011-000502</t>
  </si>
  <si>
    <t>XD-B02-KP-C04(1-12U)</t>
  </si>
  <si>
    <t>06A74FP</t>
  </si>
  <si>
    <t>140102-2011-000501</t>
  </si>
  <si>
    <t>XD-B02-KP-C04(23-34U)</t>
  </si>
  <si>
    <t>210235A24WH113000323</t>
  </si>
  <si>
    <t>140502-2011-000555</t>
  </si>
  <si>
    <t>XD-B02-KP-C04(37-37U)</t>
  </si>
  <si>
    <t>210235A24WH113000061</t>
  </si>
  <si>
    <t>140502-2011-000551</t>
  </si>
  <si>
    <t>XD-B02-KP-C04(40-40U)</t>
  </si>
  <si>
    <t>210235A24WH113000330</t>
  </si>
  <si>
    <t>140502-2011-000556</t>
  </si>
  <si>
    <t>XD-B02-KP-C04(41-41U)</t>
  </si>
  <si>
    <t>06ZPHT7</t>
  </si>
  <si>
    <t>140103-2014-003013</t>
  </si>
  <si>
    <t>XD-B02-KP-C08(12-21U)</t>
  </si>
  <si>
    <t>06AAFCP</t>
  </si>
  <si>
    <t>140103-2014-003004</t>
  </si>
  <si>
    <t>XD-B02-KP-C08(12-21U)-1</t>
  </si>
  <si>
    <t>06AAFCR</t>
  </si>
  <si>
    <t>140103-2014-003005</t>
  </si>
  <si>
    <t>XD-B02-KP-C08(12-21U)-2</t>
  </si>
  <si>
    <t>06AAFDA</t>
  </si>
  <si>
    <t>140103-2014-003006</t>
  </si>
  <si>
    <t>XD-B02-KP-C08(12-21U)-3</t>
  </si>
  <si>
    <t>06LXHC9</t>
  </si>
  <si>
    <t>140103-2014-003007</t>
  </si>
  <si>
    <t>XD-B02-KP-C08(12-21U)-4</t>
  </si>
  <si>
    <t>06AAFDC</t>
  </si>
  <si>
    <t>140103-2014-003008</t>
  </si>
  <si>
    <t>XD-B02-KP-C08(12-21U)-5</t>
  </si>
  <si>
    <t>06AAFCV</t>
  </si>
  <si>
    <t>140103-2014-003009</t>
  </si>
  <si>
    <t>XD-B02-KP-C08(12-21U)-6</t>
  </si>
  <si>
    <t>06AAFCL</t>
  </si>
  <si>
    <t>140103-2014-003010</t>
  </si>
  <si>
    <t>XD-B02-KP-C08(12-21U)-7</t>
  </si>
  <si>
    <t>06AAFCT</t>
  </si>
  <si>
    <t>140103-2014-003011</t>
  </si>
  <si>
    <t>XD-B02-KP-C08(12-21U)-8</t>
  </si>
  <si>
    <t>3TB1132</t>
  </si>
  <si>
    <t>140103-2014-003012</t>
  </si>
  <si>
    <t>XD-B02-KP-C08(2-11U)</t>
  </si>
  <si>
    <t>9V00132</t>
  </si>
  <si>
    <t>140103-2014-002996</t>
  </si>
  <si>
    <t>XD-B02-KP-C08(2-11U)-1</t>
  </si>
  <si>
    <t>GFZZ032</t>
  </si>
  <si>
    <t>140103-2014-002997</t>
  </si>
  <si>
    <t>XD-B02-KP-C08(2-11U)-2</t>
  </si>
  <si>
    <t>9DZZ032</t>
  </si>
  <si>
    <t>140103-2014-002998</t>
  </si>
  <si>
    <t>XD-B02-KP-C08(2-11U)-3</t>
  </si>
  <si>
    <t>4NC6132</t>
  </si>
  <si>
    <t>140103-2014-002999</t>
  </si>
  <si>
    <t>XD-B02-KP-C08(2-11U)-4</t>
  </si>
  <si>
    <t>2V00132</t>
  </si>
  <si>
    <t>140103-2014-003000</t>
  </si>
  <si>
    <t>XD-B02-KP-C08(2-11U)-5</t>
  </si>
  <si>
    <t>4T00132</t>
  </si>
  <si>
    <t>140103-2014-003001</t>
  </si>
  <si>
    <t>XD-B02-KP-C08(2-11U)-6</t>
  </si>
  <si>
    <t>BT00132</t>
  </si>
  <si>
    <t>140103-2014-003002</t>
  </si>
  <si>
    <t>XD-B02-KP-C08(2-11U)-7</t>
  </si>
  <si>
    <t>8CZZ032</t>
  </si>
  <si>
    <t>140103-2014-003003</t>
  </si>
  <si>
    <t>XD-B02-KP-C08(2-11U)-8</t>
  </si>
  <si>
    <t>06CP601</t>
  </si>
  <si>
    <t>140103-2014-003015</t>
  </si>
  <si>
    <t>XD-B02-KP-C08(29-32U)</t>
  </si>
  <si>
    <t>06CP593</t>
  </si>
  <si>
    <t>140103-2014-003014</t>
  </si>
  <si>
    <t>XD-B02-KP-C08(34-37U)</t>
  </si>
  <si>
    <t>6cu4421wcm</t>
  </si>
  <si>
    <t>140103-2014-003033</t>
  </si>
  <si>
    <t>XD-B02-KP-C09(22-23U)</t>
  </si>
  <si>
    <t>6cu4421wch</t>
  </si>
  <si>
    <t>140103-2014-003034</t>
  </si>
  <si>
    <t>XD-B02-KP-C09(25-26U)</t>
  </si>
  <si>
    <t>FD01630R14F</t>
  </si>
  <si>
    <t>140502-2012-000612</t>
  </si>
  <si>
    <t>XD-B02-KP-D01(33-33U)</t>
  </si>
  <si>
    <t>AMS16030997</t>
  </si>
  <si>
    <t>140202-2012-000023</t>
  </si>
  <si>
    <t>XD-B02-KP-D02(30-30U)</t>
  </si>
  <si>
    <t>AMS15470269</t>
  </si>
  <si>
    <t>140202-2012-000024</t>
  </si>
  <si>
    <t>XD-B02-KP-D02(32-32U)</t>
  </si>
  <si>
    <t>虚拟磁带库</t>
  </si>
  <si>
    <t>EMC VNX5500,飞康CA800网关设备</t>
  </si>
  <si>
    <t>FCN00122600085</t>
  </si>
  <si>
    <t>140204-2012-000001</t>
  </si>
  <si>
    <t>XD-B02-KP-D03-04</t>
  </si>
  <si>
    <t>2C42144YEE</t>
  </si>
  <si>
    <t>141106-2012-000701</t>
  </si>
  <si>
    <t>XD-B02-KP-E02(22-22U)</t>
  </si>
  <si>
    <t>JB15YL2</t>
  </si>
  <si>
    <t>140103-2017-000319</t>
  </si>
  <si>
    <t>XD-B02-KP-E04(2-11U)</t>
  </si>
  <si>
    <t>JB4YVL2</t>
  </si>
  <si>
    <t>140103-2017-000077</t>
  </si>
  <si>
    <t>XD-B02-KP-E04(2-12U)ZCDX-1</t>
  </si>
  <si>
    <t>JB55KL2</t>
  </si>
  <si>
    <t>140103-2017-000086</t>
  </si>
  <si>
    <t>XD-B02-KP-E04(2-12U)ZCDX-10</t>
  </si>
  <si>
    <t>JB57YL2</t>
  </si>
  <si>
    <t>140103-2017-000085</t>
  </si>
  <si>
    <t>XD-B02-KP-E04(2-12U)ZCDX-9</t>
  </si>
  <si>
    <t>JB5VVL2</t>
  </si>
  <si>
    <t>140103-2017-000082</t>
  </si>
  <si>
    <t>XD-B02-KP-E04(2-12U)ZCDX-6</t>
  </si>
  <si>
    <t>JB5YVL2</t>
  </si>
  <si>
    <t>140103-2017-000083</t>
  </si>
  <si>
    <t>XD-B02-KP-E04(2-12U)ZCDX-7</t>
  </si>
  <si>
    <t>JB60WL2</t>
  </si>
  <si>
    <t>140103-2017-000087</t>
  </si>
  <si>
    <t>XD-B02-KP-E04(2-12U)ZCDX-11</t>
  </si>
  <si>
    <t>JB60YL2</t>
  </si>
  <si>
    <t>140103-2017-000084</t>
  </si>
  <si>
    <t>XD-B02-KP-E04(2-12U)ZCDX-8</t>
  </si>
  <si>
    <t>JB62KL2</t>
  </si>
  <si>
    <t>140103-2017-000078</t>
  </si>
  <si>
    <t>XD-B02-KP-E04(2-12U)ZCDX-2</t>
  </si>
  <si>
    <t>JB63YL2</t>
  </si>
  <si>
    <t>140103-2017-000080</t>
  </si>
  <si>
    <t>XD-B02-KP-E04(2-12U)ZCDX-4</t>
  </si>
  <si>
    <t>JB65YL2</t>
  </si>
  <si>
    <t>140103-2017-000081</t>
  </si>
  <si>
    <t>XD-B02-KP-E04(2-12U)ZCDX-5</t>
  </si>
  <si>
    <t>JB6SVL2</t>
  </si>
  <si>
    <t>140103-2017-000079</t>
  </si>
  <si>
    <t>XD-B02-KP-E04(2-12U)ZCDX-3</t>
  </si>
  <si>
    <t>JB6XVL2</t>
  </si>
  <si>
    <t>140103-2017-000088</t>
  </si>
  <si>
    <t>XD-B02-KP-E04(2-12U)ZCDX-12</t>
  </si>
  <si>
    <t>华三H3C S5560X-54C-EI</t>
  </si>
  <si>
    <t>2100235A1XCH178000011</t>
  </si>
  <si>
    <t>140502-2017-000074</t>
  </si>
  <si>
    <t>XD-B02-KP-E04(39-39U)</t>
  </si>
  <si>
    <t>2100235A1XCH178000079</t>
  </si>
  <si>
    <t>140502-2017-000073</t>
  </si>
  <si>
    <t>XD-B02-KP-E04(41-41U)</t>
  </si>
  <si>
    <t>2C42144YHH</t>
  </si>
  <si>
    <t>141106-2012-000703</t>
  </si>
  <si>
    <t>XD-B02-KP-E06(22-22U)</t>
  </si>
  <si>
    <t>06CT299</t>
  </si>
  <si>
    <t>140103-2014-002968</t>
  </si>
  <si>
    <t>XD-B03-BY-A09(12-15U)</t>
  </si>
  <si>
    <t>06CP875</t>
  </si>
  <si>
    <t>140103-2014-002969</t>
  </si>
  <si>
    <t>XD-B03-BY-A09(17-20U)</t>
  </si>
  <si>
    <t>06CP871</t>
  </si>
  <si>
    <t>140103-2014-002970</t>
  </si>
  <si>
    <t>XD-B03-BY-A09(24-27U)</t>
  </si>
  <si>
    <t>06CT280</t>
  </si>
  <si>
    <t>140103-2014-002966</t>
  </si>
  <si>
    <t>XD-B03-BY-A09(2-5U)</t>
  </si>
  <si>
    <t>06CT344</t>
  </si>
  <si>
    <t>140103-2014-002971</t>
  </si>
  <si>
    <t>XD-B03-BY-A09(29-32U)</t>
  </si>
  <si>
    <t>06CT311</t>
  </si>
  <si>
    <t>140103-2014-002972</t>
  </si>
  <si>
    <t>XD-B03-BY-A09(34-37U)</t>
  </si>
  <si>
    <t>06CT291</t>
  </si>
  <si>
    <t>140103-2014-002973</t>
  </si>
  <si>
    <t>XD-B03-BY-A09(39-42U)</t>
  </si>
  <si>
    <t>06CT338</t>
  </si>
  <si>
    <t>140103-2014-002967</t>
  </si>
  <si>
    <t>XD-B03-BY-A09(7-10U)</t>
  </si>
  <si>
    <t>06CT332</t>
  </si>
  <si>
    <t>140103-2014-002976</t>
  </si>
  <si>
    <t>XD-B03-BY-A10(12-15U)</t>
  </si>
  <si>
    <t>06CT303</t>
  </si>
  <si>
    <t>140103-2014-002977</t>
  </si>
  <si>
    <t>XD-B03-BY-A10(17-20U)</t>
  </si>
  <si>
    <t>06CT287</t>
  </si>
  <si>
    <t>140103-2014-002978</t>
  </si>
  <si>
    <t>XD-B03-BY-A10(24-27U)</t>
  </si>
  <si>
    <t>06CT289</t>
  </si>
  <si>
    <t>140103-2014-002974</t>
  </si>
  <si>
    <t>XD-B03-BY-A10(2-5U)</t>
  </si>
  <si>
    <t>06CT296</t>
  </si>
  <si>
    <t>140103-2014-002979</t>
  </si>
  <si>
    <t>XD-B03-BY-A10(29-32U)</t>
  </si>
  <si>
    <t>06CT294</t>
  </si>
  <si>
    <t>140103-2014-002980</t>
  </si>
  <si>
    <t>XD-B03-BY-A10(34-37U)</t>
  </si>
  <si>
    <t>06CP860</t>
  </si>
  <si>
    <t>140103-2014-002981</t>
  </si>
  <si>
    <t>XD-B03-BY-A10(39-42U)</t>
  </si>
  <si>
    <t>06CP874</t>
  </si>
  <si>
    <t>140103-2014-002975</t>
  </si>
  <si>
    <t>XD-B03-BY-A10(7-10U)</t>
  </si>
  <si>
    <t>06CT340</t>
  </si>
  <si>
    <t>140103-2014-002984</t>
  </si>
  <si>
    <t>XD-B03-BY-A11(12-15U)</t>
  </si>
  <si>
    <t>06CT286</t>
  </si>
  <si>
    <t>140103-2014-002985</t>
  </si>
  <si>
    <t>XD-B03-BY-A11(17-20U)</t>
  </si>
  <si>
    <t>06CT297</t>
  </si>
  <si>
    <t>140103-2014-002986</t>
  </si>
  <si>
    <t>XD-B03-BY-A11(24-27U)</t>
  </si>
  <si>
    <t>06CT290</t>
  </si>
  <si>
    <t>140103-2014-002982</t>
  </si>
  <si>
    <t>XD-B03-BY-A11(2-5U)</t>
  </si>
  <si>
    <t>06CT323</t>
  </si>
  <si>
    <t>140103-2014-002987</t>
  </si>
  <si>
    <t>XD-B03-BY-A11(29-32U)</t>
  </si>
  <si>
    <t>06CT301</t>
  </si>
  <si>
    <t>140103-2014-002988</t>
  </si>
  <si>
    <t>XD-B03-BY-A11(34-37U)</t>
  </si>
  <si>
    <t>06CT319</t>
  </si>
  <si>
    <t>140103-2014-002983</t>
  </si>
  <si>
    <t>XD-B03-BY-A11(7-10U)</t>
  </si>
  <si>
    <t>06CT325</t>
  </si>
  <si>
    <t>140103-2014-002991</t>
  </si>
  <si>
    <t>XD-B03-BY-A12(12-15U)</t>
  </si>
  <si>
    <t>06CT298</t>
  </si>
  <si>
    <t>140103-2014-002992</t>
  </si>
  <si>
    <t>XD-B03-BY-A12(17-20U)</t>
  </si>
  <si>
    <t>06CT306</t>
  </si>
  <si>
    <t>140103-2014-002993</t>
  </si>
  <si>
    <t>XD-B03-BY-A12(24-27U)</t>
  </si>
  <si>
    <t>06CT302</t>
  </si>
  <si>
    <t>140103-2014-002989</t>
  </si>
  <si>
    <t>XD-B03-BY-A12(2-5U)</t>
  </si>
  <si>
    <t>06CT337</t>
  </si>
  <si>
    <t>140103-2014-002994</t>
  </si>
  <si>
    <t>XD-B03-BY-A12(29-32U)</t>
  </si>
  <si>
    <t>06CP862</t>
  </si>
  <si>
    <t>140103-2014-002995</t>
  </si>
  <si>
    <t>XD-B03-BY-A12(34-37U)</t>
  </si>
  <si>
    <t>06CT335</t>
  </si>
  <si>
    <t>140103-2014-002990</t>
  </si>
  <si>
    <t>XD-B03-BY-A12(7-10U)</t>
  </si>
  <si>
    <t>J33GL8B</t>
  </si>
  <si>
    <t>140103-2017-000276</t>
  </si>
  <si>
    <t>XD-B03-BY-B05(23-26U)</t>
  </si>
  <si>
    <t>J33GL8F</t>
  </si>
  <si>
    <t>140103-2017-000275</t>
  </si>
  <si>
    <t>XD-B03-BY-B05(27-30U)</t>
  </si>
  <si>
    <t>J33GL8E</t>
  </si>
  <si>
    <t>140103-2017-000278</t>
  </si>
  <si>
    <t>XD-B03-BY-B06(25-28U)</t>
  </si>
  <si>
    <t>J33GL8G</t>
  </si>
  <si>
    <t>140103-2017-000277</t>
  </si>
  <si>
    <t>XD-B03-BY-B06(29-32U)</t>
  </si>
  <si>
    <t>J33GL8H</t>
  </si>
  <si>
    <t>140103-2017-000280</t>
  </si>
  <si>
    <t>XD-B03-BY-B07(29-32U)</t>
  </si>
  <si>
    <t>J33GL8C</t>
  </si>
  <si>
    <t>140103-2017-000279</t>
  </si>
  <si>
    <t>XD-B03-BY-B07(33-36U)</t>
  </si>
  <si>
    <t>JG8XVL2</t>
  </si>
  <si>
    <t>140103-2017-000273</t>
  </si>
  <si>
    <t>XD-B03-BY-B08(13-23U)</t>
  </si>
  <si>
    <t>JGCVVL2</t>
  </si>
  <si>
    <t>140103-2017-000223</t>
  </si>
  <si>
    <t>XD-B03-BY-B08(13-23U)DX3-11</t>
  </si>
  <si>
    <t>JGCZJL2</t>
  </si>
  <si>
    <t>140103-2017-000222</t>
  </si>
  <si>
    <t>XD-B03-BY-B08(13-23U)DX3-10</t>
  </si>
  <si>
    <t>JGD0KL2</t>
  </si>
  <si>
    <t>140103-2017-000214</t>
  </si>
  <si>
    <t>XD-B03-BY-B08(13-23U)DX3-2</t>
  </si>
  <si>
    <t>JGD1YL2</t>
  </si>
  <si>
    <t>140103-2017-000216</t>
  </si>
  <si>
    <t>XD-B03-BY-B08(13-23U)DX3-4</t>
  </si>
  <si>
    <t>JGD3KL2</t>
  </si>
  <si>
    <t>140103-2017-000224</t>
  </si>
  <si>
    <t>XD-B03-BY-B08(13-23U)DX3-12</t>
  </si>
  <si>
    <t>JGD5KL2</t>
  </si>
  <si>
    <t>140103-2017-000217</t>
  </si>
  <si>
    <t>XD-B03-BY-B08(13-23U)DX3-5</t>
  </si>
  <si>
    <t>JGDRVL2</t>
  </si>
  <si>
    <t>140103-2017-000218</t>
  </si>
  <si>
    <t>XD-B03-BY-B08(13-23U)DX3-6</t>
  </si>
  <si>
    <t>JGDVVL2</t>
  </si>
  <si>
    <t>140103-2017-000213</t>
  </si>
  <si>
    <t>XD-B03-BY-B08(13-23U)DX3-1</t>
  </si>
  <si>
    <t>JGDYJL2</t>
  </si>
  <si>
    <t>140103-2017-000227</t>
  </si>
  <si>
    <t>XD-B03-BY-B08(13-23U)DX3-15</t>
  </si>
  <si>
    <t>JGDZVL2</t>
  </si>
  <si>
    <t>140103-2017-000228</t>
  </si>
  <si>
    <t>XD-B03-BY-B08(13-23U)DX3-16</t>
  </si>
  <si>
    <t>JGF0WL2</t>
  </si>
  <si>
    <t>140103-2017-000220</t>
  </si>
  <si>
    <t>XD-B03-BY-B08(13-23U)DX3-8</t>
  </si>
  <si>
    <t>JGF0YL2</t>
  </si>
  <si>
    <t>140103-2017-000226</t>
  </si>
  <si>
    <t>XD-B03-BY-B08(13-23U)DX3-14</t>
  </si>
  <si>
    <t>JGF1YL2</t>
  </si>
  <si>
    <t>140103-2017-000219</t>
  </si>
  <si>
    <t>XD-B03-BY-B08(13-23U)DX3-7</t>
  </si>
  <si>
    <t>JGF2YL2</t>
  </si>
  <si>
    <t>140103-2017-000221</t>
  </si>
  <si>
    <t>XD-B03-BY-B08(13-23U)DX3-9</t>
  </si>
  <si>
    <t>JGF3YL2</t>
  </si>
  <si>
    <t>140103-2017-000215</t>
  </si>
  <si>
    <t>XD-B03-BY-B08(13-23U)DX3-3</t>
  </si>
  <si>
    <t>JGF4YL2</t>
  </si>
  <si>
    <t>140103-2017-000225</t>
  </si>
  <si>
    <t>XD-B03-BY-B08(13-23U)DX3-13</t>
  </si>
  <si>
    <t>J2M0WL2</t>
  </si>
  <si>
    <t>140103-2017-000231</t>
  </si>
  <si>
    <t>XD-B03-BY-B08(2-12U)DX4-3</t>
  </si>
  <si>
    <t>J2MYJL2</t>
  </si>
  <si>
    <t>140103-2017-000233</t>
  </si>
  <si>
    <t>XD-B03-BY-B08(2-12U)DX4-5</t>
  </si>
  <si>
    <t>J2N0YL2</t>
  </si>
  <si>
    <t>140103-2017-000230</t>
  </si>
  <si>
    <t>XD-B03-BY-B08(2-12U)DX4-2</t>
  </si>
  <si>
    <t>J2N4YL2</t>
  </si>
  <si>
    <t>140103-2017-000234</t>
  </si>
  <si>
    <t>XD-B03-BY-B08(2-12U)DX4-6</t>
  </si>
  <si>
    <t>J2NVVL2</t>
  </si>
  <si>
    <t>140103-2017-000244</t>
  </si>
  <si>
    <t>XD-B03-BY-B08(2-12U)DX4-16</t>
  </si>
  <si>
    <t>J2NZVL2</t>
  </si>
  <si>
    <t>140103-2017-000232</t>
  </si>
  <si>
    <t>XD-B03-BY-B08(2-12U)DX4-4</t>
  </si>
  <si>
    <t>J2P1YL2</t>
  </si>
  <si>
    <t>140103-2017-000229</t>
  </si>
  <si>
    <t>XD-B03-BY-B08(2-12U)DX4-1</t>
  </si>
  <si>
    <t>J2P4KL2</t>
  </si>
  <si>
    <t>140103-2017-000235</t>
  </si>
  <si>
    <t>XD-B03-BY-B08(2-12U)DX4-7</t>
  </si>
  <si>
    <t>J2P6YL2</t>
  </si>
  <si>
    <t>140103-2017-000240</t>
  </si>
  <si>
    <t>XD-B03-BY-B08(2-12U)DX4-12</t>
  </si>
  <si>
    <t>J2PWVL2</t>
  </si>
  <si>
    <t>140103-2017-000241</t>
  </si>
  <si>
    <t>XD-B03-BY-B08(2-12U)DX4-13</t>
  </si>
  <si>
    <t>J2PZJL2</t>
  </si>
  <si>
    <t>140103-2017-000243</t>
  </si>
  <si>
    <t>XD-B03-BY-B08(2-12U)DX4-15</t>
  </si>
  <si>
    <t>J2Q0KL2</t>
  </si>
  <si>
    <t>140103-2017-000242</t>
  </si>
  <si>
    <t>XD-B03-BY-B08(2-12U)DX4-14</t>
  </si>
  <si>
    <t>J2Q1KL2</t>
  </si>
  <si>
    <t>140103-2017-000237</t>
  </si>
  <si>
    <t>XD-B03-BY-B08(2-12U)DX4-9</t>
  </si>
  <si>
    <t>J2Q4KL2</t>
  </si>
  <si>
    <t>140103-2017-000236</t>
  </si>
  <si>
    <t>XD-B03-BY-B08(2-12U)DX4-8</t>
  </si>
  <si>
    <t>J2Q6YL2</t>
  </si>
  <si>
    <t>140103-2017-000239</t>
  </si>
  <si>
    <t>XD-B03-BY-B08(2-12U)DX4-11</t>
  </si>
  <si>
    <t>J2QVVL2</t>
  </si>
  <si>
    <t>140103-2017-000238</t>
  </si>
  <si>
    <t>XD-B03-BY-B08(2-12U)DX4-10</t>
  </si>
  <si>
    <t>J2S2KL2</t>
  </si>
  <si>
    <t>140103-2017-000274</t>
  </si>
  <si>
    <t>XD-B03-BY-B08(2-11U)</t>
  </si>
  <si>
    <t>J33GL8D</t>
  </si>
  <si>
    <t>140103-2017-000282</t>
  </si>
  <si>
    <t>XD-B03-BY-B08(26-29U)</t>
  </si>
  <si>
    <t>J33GL8K</t>
  </si>
  <si>
    <t>140103-2017-000281</t>
  </si>
  <si>
    <t>XD-B03-BY-B08(30-33U)</t>
  </si>
  <si>
    <t>210235A0HAH14A000177</t>
  </si>
  <si>
    <t>140502-2014-001056</t>
  </si>
  <si>
    <t>XD-B03-BY-B09(8-8U)</t>
  </si>
  <si>
    <t>210235A1DWH149000093</t>
  </si>
  <si>
    <t>140502-2014-001054</t>
  </si>
  <si>
    <t>XD-B03-BY-B09(12-12U)</t>
  </si>
  <si>
    <t>210235A1DWH149000108</t>
  </si>
  <si>
    <t>140502-2014-001053</t>
  </si>
  <si>
    <t>XD-B03-BY-B09(14-14U)</t>
  </si>
  <si>
    <t>210235A1DWH149000117</t>
  </si>
  <si>
    <t>140502-2014-001052</t>
  </si>
  <si>
    <t>XD-B03-BY-B09(16-16U)</t>
  </si>
  <si>
    <t>210235A1DWH149000106</t>
  </si>
  <si>
    <t>140502-2014-001051</t>
  </si>
  <si>
    <t>XD-B03-BY-B09(18-18U)</t>
  </si>
  <si>
    <t>210235A0HAH14A000187</t>
  </si>
  <si>
    <t>140502-2014-001086</t>
  </si>
  <si>
    <t>XD-B03-BY-B09(6-6U)</t>
  </si>
  <si>
    <t>210235A0HAH14A000039</t>
  </si>
  <si>
    <t>140502-2014-001055</t>
  </si>
  <si>
    <t>XD-B03-BY-B09(10-10U)</t>
  </si>
  <si>
    <t>06CT309</t>
  </si>
  <si>
    <t>140103-2014-003315</t>
  </si>
  <si>
    <t>XD-B03-BY-C02(14-17U)</t>
  </si>
  <si>
    <t>06CT293</t>
  </si>
  <si>
    <t>140103-2014-003316</t>
  </si>
  <si>
    <t>XD-B03-BY-C02(24-27U)</t>
  </si>
  <si>
    <t>06CT305</t>
  </si>
  <si>
    <t>140103-2014-003317</t>
  </si>
  <si>
    <t>XD-B03-BY-C02(29-32U)</t>
  </si>
  <si>
    <t>06CT278</t>
  </si>
  <si>
    <t>140103-2014-003314</t>
  </si>
  <si>
    <t>XD-B03-BY-C02(9-12U)</t>
  </si>
  <si>
    <t>J3NZVL2</t>
  </si>
  <si>
    <t>140103-2017-000293</t>
  </si>
  <si>
    <t>XD-B03-BY-C09(13-22U)SMZDX-11</t>
  </si>
  <si>
    <t>J3P1KL2</t>
  </si>
  <si>
    <t>140103-2017-000286</t>
  </si>
  <si>
    <t>XD-B03-BY-C09(13-22U)SMZDX-4</t>
  </si>
  <si>
    <t>J3P3KL2</t>
  </si>
  <si>
    <t>140103-2017-000297</t>
  </si>
  <si>
    <t>XD-B03-BY-C09(13-22U)SMZDX-15</t>
  </si>
  <si>
    <t>J3P5YL2</t>
  </si>
  <si>
    <t>140103-2017-000285</t>
  </si>
  <si>
    <t>XD-B03-BY-C09(13-22U)SMZDX-3</t>
  </si>
  <si>
    <t>J3PSVL2</t>
  </si>
  <si>
    <t>140103-2017-000294</t>
  </si>
  <si>
    <t>XD-B03-BY-C09(13-22U)SMZDX-12</t>
  </si>
  <si>
    <t>J3PXVL2</t>
  </si>
  <si>
    <t>140103-2017-000284</t>
  </si>
  <si>
    <t>XD-B03-BY-C09(13-22U)SMZDX-2</t>
  </si>
  <si>
    <t>J3PZJL2</t>
  </si>
  <si>
    <t>140103-2017-000292</t>
  </si>
  <si>
    <t>XD-B03-BY-C09(13-22U)SMZDX-10</t>
  </si>
  <si>
    <t>J3Q0KL2</t>
  </si>
  <si>
    <t>140103-2017-000283</t>
  </si>
  <si>
    <t>XD-B03-BY-C09(13-22U)SMZDX-1</t>
  </si>
  <si>
    <t>J3Q2YL2</t>
  </si>
  <si>
    <t>140103-2017-000291</t>
  </si>
  <si>
    <t>XD-B03-BY-C09(13-22U)SMZDX-9</t>
  </si>
  <si>
    <t>J3Q3YL2</t>
  </si>
  <si>
    <t>140103-2017-000295</t>
  </si>
  <si>
    <t>XD-B03-BY-C09(13-22U)SMZDX-13</t>
  </si>
  <si>
    <t>J3Q5YL2</t>
  </si>
  <si>
    <t>140103-2017-000287</t>
  </si>
  <si>
    <t>XD-B03-BY-C09(13-22U)SMZDX-5</t>
  </si>
  <si>
    <t>J3QTVL2</t>
  </si>
  <si>
    <t>140103-2017-000289</t>
  </si>
  <si>
    <t>XD-B03-BY-C09(13-22U)SMZDX-7</t>
  </si>
  <si>
    <t>J3QWVL2</t>
  </si>
  <si>
    <t>140103-2017-000290</t>
  </si>
  <si>
    <t>XD-B03-BY-C09(13-22U)SMZDX-8</t>
  </si>
  <si>
    <t>J3QYVL2</t>
  </si>
  <si>
    <t>140103-2017-000288</t>
  </si>
  <si>
    <t>XD-B03-BY-C09(13-22U)SMZDX-6</t>
  </si>
  <si>
    <t>J3R0WL2</t>
  </si>
  <si>
    <t>140103-2017-000296</t>
  </si>
  <si>
    <t>XD-B03-BY-C09(13-22U)SMZDX-14</t>
  </si>
  <si>
    <t>J3R1YL2</t>
  </si>
  <si>
    <t>140103-2017-000298</t>
  </si>
  <si>
    <t>XD-B03-BY-C09(13-22U)SMZDX-16</t>
  </si>
  <si>
    <t>J3W4KL2</t>
  </si>
  <si>
    <t>140103-2017-000299</t>
  </si>
  <si>
    <t>XD-B03-BY-C09(13-22U)</t>
  </si>
  <si>
    <t>JB94KL2</t>
  </si>
  <si>
    <t>140103-2017-000318</t>
  </si>
  <si>
    <t>XD-B03-BY-C09(2-11U)</t>
  </si>
  <si>
    <t>JBB5YL2</t>
  </si>
  <si>
    <t>140103-2017-000090</t>
  </si>
  <si>
    <t>XD-B03-BY-C09(2-11U)DX-2</t>
  </si>
  <si>
    <t>JBBWVL2</t>
  </si>
  <si>
    <t>140103-2017-000094</t>
  </si>
  <si>
    <t>XD-B03-BY-C09(2-11U)DX-6</t>
  </si>
  <si>
    <t>JBC0KL2</t>
  </si>
  <si>
    <t>140103-2017-000096</t>
  </si>
  <si>
    <t>XD-B03-BY-C09(2-11U)DX-8</t>
  </si>
  <si>
    <t>JBC3KL2</t>
  </si>
  <si>
    <t>140103-2017-000095</t>
  </si>
  <si>
    <t>XD-B03-BY-C09(2-11U)DX-7</t>
  </si>
  <si>
    <t>JBC5YL2</t>
  </si>
  <si>
    <t>140103-2017-000093</t>
  </si>
  <si>
    <t>XD-B03-BY-C09(2-11U)DX-5</t>
  </si>
  <si>
    <t>JBC7YL2</t>
  </si>
  <si>
    <t>140103-2017-000089</t>
  </si>
  <si>
    <t>XD-B03-BY-C09(2-11U)DX-1</t>
  </si>
  <si>
    <t>JBCYVL2</t>
  </si>
  <si>
    <t>140103-2017-000091</t>
  </si>
  <si>
    <t>XD-B03-BY-C09(2-11U)DX-3</t>
  </si>
  <si>
    <t>JBD0WL2</t>
  </si>
  <si>
    <t>140103-2017-000092</t>
  </si>
  <si>
    <t>XD-B03-BY-C09(2-11U)DX-4</t>
  </si>
  <si>
    <t>210235A1XCH178000008</t>
  </si>
  <si>
    <t>140502-2017-000072</t>
  </si>
  <si>
    <t>XD-B03-BY-C09(37-37U)</t>
  </si>
  <si>
    <t>210235A1XCH178000014</t>
  </si>
  <si>
    <t>140502-2017-000071</t>
  </si>
  <si>
    <t>XD-B03-BY-C09(38-38U)</t>
  </si>
  <si>
    <t>华三H3C S6520XE-54QC-HI</t>
  </si>
  <si>
    <t>210235A2D4H177000115</t>
  </si>
  <si>
    <t>140502-2017-000070</t>
  </si>
  <si>
    <t>XD-B03-BY-C09(40-40U)</t>
  </si>
  <si>
    <t>210235A2D4H178000127</t>
  </si>
  <si>
    <t>140502-2017-000069</t>
  </si>
  <si>
    <t>XD-B03-BY-C09(41-41U)</t>
  </si>
  <si>
    <t>J320P3B</t>
  </si>
  <si>
    <t>140103-2016-000340</t>
  </si>
  <si>
    <t>XD-B03-YD-H01(36-37uU)</t>
  </si>
  <si>
    <t>J320P3W</t>
  </si>
  <si>
    <t>140103-2016-000338</t>
  </si>
  <si>
    <t>XD-B03-YD-H01(39-40U)</t>
  </si>
  <si>
    <t>J325T76</t>
  </si>
  <si>
    <t>140103-2016-000411</t>
  </si>
  <si>
    <t>XD-B03-YD-I05(33-34U)</t>
  </si>
  <si>
    <t>J325T9L</t>
  </si>
  <si>
    <t>140103-2016-000412</t>
  </si>
  <si>
    <t>XD-B03-YD-I05(35-36U)</t>
  </si>
  <si>
    <t>YD-SW1G-242EE51B0996</t>
  </si>
  <si>
    <t>140607-2014-000226</t>
  </si>
  <si>
    <t>XD-F02-KF-E08(36-36U)</t>
  </si>
  <si>
    <t>YD-SW1G-242EE51B0997</t>
  </si>
  <si>
    <t>140607-2014-000227</t>
  </si>
  <si>
    <t>XD-F02-KF-G12(33-33U)</t>
  </si>
  <si>
    <t>210235AOHAH127000043</t>
  </si>
  <si>
    <t>140502-2012-000676</t>
  </si>
  <si>
    <t>东升科技园办公区弱电间</t>
  </si>
  <si>
    <t>210235AOHAH127000073</t>
  </si>
  <si>
    <t>140502-2012-000679</t>
  </si>
  <si>
    <t>21156dv</t>
  </si>
  <si>
    <t>140102-2014-000845</t>
  </si>
  <si>
    <t>公安部</t>
  </si>
  <si>
    <t>H3C S5120-24P-EI</t>
  </si>
  <si>
    <t>210235A0BJH13C000558</t>
  </si>
  <si>
    <t>140502-2014-001050</t>
  </si>
  <si>
    <t>西调机房</t>
  </si>
  <si>
    <t>NEC NEC320FD-LR</t>
  </si>
  <si>
    <t>2-1</t>
  </si>
  <si>
    <t>140107-2014-001128</t>
  </si>
  <si>
    <t>中铁科大厦</t>
  </si>
  <si>
    <t>210235A0BJH13C000145</t>
  </si>
  <si>
    <t>140502-2014-001049</t>
  </si>
  <si>
    <t>主楼(假日办、客运营销处)</t>
  </si>
  <si>
    <t>HDS VM</t>
  </si>
  <si>
    <t>212997</t>
  </si>
  <si>
    <t>140201-2014-000643</t>
  </si>
  <si>
    <t>WQ-F04-T8-I07(2-6U)</t>
  </si>
  <si>
    <t>华三 H3C S7510E-X</t>
  </si>
  <si>
    <t>210235A1QQX179000061</t>
  </si>
  <si>
    <t>140502-2017-000250</t>
  </si>
  <si>
    <t>WQ-F04-T8-F06(02-15U)</t>
  </si>
  <si>
    <t>210235A1QQX179000067</t>
  </si>
  <si>
    <t>140502-2017-000249</t>
  </si>
  <si>
    <t>WQ-F04-T8-F07(02-15U)</t>
  </si>
  <si>
    <t>华三 H3C SR6604</t>
  </si>
  <si>
    <t>210235A0F2X179000017</t>
  </si>
  <si>
    <t>140501-2017-000032</t>
  </si>
  <si>
    <t>WQ-F04-T8-J01(15-19U)</t>
  </si>
  <si>
    <t>210235A1G9H178000039</t>
  </si>
  <si>
    <t>140502-2017-000241</t>
  </si>
  <si>
    <t>WQ-F04-T8-J01(21-21U)</t>
  </si>
  <si>
    <t>210235A1G9H178000045</t>
  </si>
  <si>
    <t>140502-2017-000242</t>
  </si>
  <si>
    <t>WQ-F04-T8-J01(23-23U)</t>
  </si>
  <si>
    <t>曙光天阔 I620-G20</t>
  </si>
  <si>
    <t>9800106400931436</t>
  </si>
  <si>
    <t>140103-2017-002050</t>
  </si>
  <si>
    <t>WQ-F04-T8-J02(02-03U)</t>
  </si>
  <si>
    <t>9800106400931427</t>
  </si>
  <si>
    <t>140103-2017-002049</t>
  </si>
  <si>
    <t>WQ-F04-T8-J02(04-05U)</t>
  </si>
  <si>
    <t>9800106400931453</t>
  </si>
  <si>
    <t>140103-2017-002048</t>
  </si>
  <si>
    <t>WQ-F04-T8-J02(06-07U)</t>
  </si>
  <si>
    <t>J33GTT3</t>
  </si>
  <si>
    <t>140103-2017-002120</t>
  </si>
  <si>
    <t>WQ-F04-T8-J02(08-09U)</t>
  </si>
  <si>
    <t>J33GTTL</t>
  </si>
  <si>
    <t>140103-2017-002119</t>
  </si>
  <si>
    <t>WQ-F04-T8-J02(10-11U)</t>
  </si>
  <si>
    <t>J33GTTK</t>
  </si>
  <si>
    <t>140103-2017-002118</t>
  </si>
  <si>
    <t>WQ-F04-T8-J02(12-13U)</t>
  </si>
  <si>
    <t>J33GTTB</t>
  </si>
  <si>
    <t>140103-2017-002117</t>
  </si>
  <si>
    <t>WQ-F04-T8-J02(14-15U)</t>
  </si>
  <si>
    <t>J33GTTT</t>
  </si>
  <si>
    <t>140103-2017-002116</t>
  </si>
  <si>
    <t>WQ-F04-T8-J02(16-17U)</t>
  </si>
  <si>
    <t>J33GTTC</t>
  </si>
  <si>
    <t>140103-2017-002115</t>
  </si>
  <si>
    <t>WQ-F04-T8-J02(18-19U)</t>
  </si>
  <si>
    <t>J33GTRR</t>
  </si>
  <si>
    <t>140103-2017-002114</t>
  </si>
  <si>
    <t>WQ-F04-T8-J02(20-21U)</t>
  </si>
  <si>
    <t>J33GTT5</t>
  </si>
  <si>
    <t>140103-2017-002113</t>
  </si>
  <si>
    <t>WQ-F04-T8-J02(23-24U)</t>
  </si>
  <si>
    <t>J33GTRW</t>
  </si>
  <si>
    <t>140103-2017-002112</t>
  </si>
  <si>
    <t>WQ-F04-T8-J02(25-26U)</t>
  </si>
  <si>
    <t>J33GTTD</t>
  </si>
  <si>
    <t>140103-2017-002111</t>
  </si>
  <si>
    <t>WQ-F04-T8-J02(27-28U)</t>
  </si>
  <si>
    <t>210235A1G9H178000034</t>
  </si>
  <si>
    <t>140502-2017-000248</t>
  </si>
  <si>
    <t>WQ-F04-T8-J02(39-39U)</t>
  </si>
  <si>
    <t>9800106400931446</t>
  </si>
  <si>
    <t>140103-2017-002069</t>
  </si>
  <si>
    <t>WQ-F04-T8-J03(02-03U)</t>
  </si>
  <si>
    <t>9800106400931463</t>
  </si>
  <si>
    <t>140103-2017-002068</t>
  </si>
  <si>
    <t>WQ-F04-T8-J03(04-05U)</t>
  </si>
  <si>
    <t>9800106400931421</t>
  </si>
  <si>
    <t>140103-2017-002067</t>
  </si>
  <si>
    <t>WQ-F04-T8-J03(06-07U)</t>
  </si>
  <si>
    <t>9800106400931457</t>
  </si>
  <si>
    <t>140103-2017-002066</t>
  </si>
  <si>
    <t>WQ-F04-T8-J03(08-09U)</t>
  </si>
  <si>
    <t>9800106400931420</t>
  </si>
  <si>
    <t>140103-2017-002065</t>
  </si>
  <si>
    <t>WQ-F04-T8-J03(10-11U)</t>
  </si>
  <si>
    <t>J33GTT0</t>
  </si>
  <si>
    <t>140103-2017-002110</t>
  </si>
  <si>
    <t>WQ-F04-T8-J03(12-13U)</t>
  </si>
  <si>
    <t>J33GTT4</t>
  </si>
  <si>
    <t>140103-2017-002109</t>
  </si>
  <si>
    <t>WQ-F04-T8-J03(14-15U)</t>
  </si>
  <si>
    <t>J33GTTA</t>
  </si>
  <si>
    <t>140103-2017-002126</t>
  </si>
  <si>
    <t>WQ-F04-T8-J03(16-17U)</t>
  </si>
  <si>
    <t>J33GTRY</t>
  </si>
  <si>
    <t>140103-2017-002125</t>
  </si>
  <si>
    <t>WQ-F04-T8-J03(18-19U)</t>
  </si>
  <si>
    <t>J33GTT1</t>
  </si>
  <si>
    <t>140103-2017-002128</t>
  </si>
  <si>
    <t>WQ-F04-T8-J03(20-21U)</t>
  </si>
  <si>
    <t>J33GTRT</t>
  </si>
  <si>
    <t>140103-2017-002127</t>
  </si>
  <si>
    <t>WQ-F04-T8-J03(23-24U)</t>
  </si>
  <si>
    <t>9800106400931422</t>
  </si>
  <si>
    <t>140103-2017-002064</t>
  </si>
  <si>
    <t>WQ-F04-T8-J03(25-26U)</t>
  </si>
  <si>
    <t>9800106400931466</t>
  </si>
  <si>
    <t>140103-2017-002063</t>
  </si>
  <si>
    <t>WQ-F04-T8-J03(27-28U)</t>
  </si>
  <si>
    <t>9800106400931425</t>
  </si>
  <si>
    <t>140103-2017-002053</t>
  </si>
  <si>
    <t>WQ-F04-T8-J03(29-30U)</t>
  </si>
  <si>
    <t>9800106400931423</t>
  </si>
  <si>
    <t>140103-2017-002052</t>
  </si>
  <si>
    <t>WQ-F04-T8-J03(31-32U)</t>
  </si>
  <si>
    <t>9800106400931433</t>
  </si>
  <si>
    <t>140103-2017-002051</t>
  </si>
  <si>
    <t>WQ-F04-T8-J03(33-34U)</t>
  </si>
  <si>
    <t>210235A1G9H178000001</t>
  </si>
  <si>
    <t>140502-2017-000247</t>
  </si>
  <si>
    <t>WQ-F04-T8-J03(39-39U)</t>
  </si>
  <si>
    <t>9800106400931439</t>
  </si>
  <si>
    <t>140103-2017-002072</t>
  </si>
  <si>
    <t>WQ-F04-T8-J04(02-03U)</t>
  </si>
  <si>
    <t>9800106400931432</t>
  </si>
  <si>
    <t>140103-2017-002071</t>
  </si>
  <si>
    <t>WQ-F04-T8-J04(04-05U)</t>
  </si>
  <si>
    <t>J33GTTF</t>
  </si>
  <si>
    <t>140103-2017-002095</t>
  </si>
  <si>
    <t>WQ-F04-T8-J04(06-07U)</t>
  </si>
  <si>
    <t>J33GTRX</t>
  </si>
  <si>
    <t>140103-2017-002094</t>
  </si>
  <si>
    <t>WQ-F04-T8-J04(08-09U)</t>
  </si>
  <si>
    <t>J33GTT6</t>
  </si>
  <si>
    <t>140103-2017-002093</t>
  </si>
  <si>
    <t>WQ-F04-T8-J04(10-11U)</t>
  </si>
  <si>
    <t>J33GTTM</t>
  </si>
  <si>
    <t>140103-2017-002092</t>
  </si>
  <si>
    <t>WQ-F04-T8-J04(12-13U)</t>
  </si>
  <si>
    <t>J33GTTG</t>
  </si>
  <si>
    <t>140103-2017-002091</t>
  </si>
  <si>
    <t>WQ-F04-T8-J04(14-15U)</t>
  </si>
  <si>
    <t>J33GTRV</t>
  </si>
  <si>
    <t>140103-2017-002090</t>
  </si>
  <si>
    <t>WQ-F04-T8-J04(16-17U)</t>
  </si>
  <si>
    <t>J33GRZ3</t>
  </si>
  <si>
    <t>140103-2017-002098</t>
  </si>
  <si>
    <t>WQ-F04-T8-J04(18-19U)</t>
  </si>
  <si>
    <t>J33GRZ2</t>
  </si>
  <si>
    <t>140103-2017-002097</t>
  </si>
  <si>
    <t>WQ-F04-T8-J04(20-21U)</t>
  </si>
  <si>
    <t>J33GRZ4</t>
  </si>
  <si>
    <t>140103-2017-002096</t>
  </si>
  <si>
    <t>WQ-F04-T8-J04(23-24U)</t>
  </si>
  <si>
    <t>J33GTT9</t>
  </si>
  <si>
    <t>140103-2017-002102</t>
  </si>
  <si>
    <t>WQ-F04-T8-J04(25-26U)</t>
  </si>
  <si>
    <t>J33GTT2</t>
  </si>
  <si>
    <t>140103-2017-002101</t>
  </si>
  <si>
    <t>WQ-F04-T8-J04(27-28U)</t>
  </si>
  <si>
    <t>J33GTTN</t>
  </si>
  <si>
    <t>140103-2017-002100</t>
  </si>
  <si>
    <t>WQ-F04-T8-J04(29-30U)</t>
  </si>
  <si>
    <t>J33GTTP</t>
  </si>
  <si>
    <t>140103-2017-002099</t>
  </si>
  <si>
    <t>WQ-F04-T8-J04(31-32U)</t>
  </si>
  <si>
    <t>9800106400931452</t>
  </si>
  <si>
    <t>140103-2017-002070</t>
  </si>
  <si>
    <t>WQ-F04-T8-J04(33-34U)</t>
  </si>
  <si>
    <t>210235A1G9H178000058</t>
  </si>
  <si>
    <t>140502-2017-000246</t>
  </si>
  <si>
    <t>WQ-F04-T8-J04(39-39U)</t>
  </si>
  <si>
    <t>9800106400931451</t>
  </si>
  <si>
    <t>140103-2017-002088</t>
  </si>
  <si>
    <t>WQ-F04-T8-J05(02-03U)</t>
  </si>
  <si>
    <t>9800106400931426</t>
  </si>
  <si>
    <t>140103-2017-002087</t>
  </si>
  <si>
    <t>WQ-F04-T8-J05(04-05U)</t>
  </si>
  <si>
    <t>9800106400931448</t>
  </si>
  <si>
    <t>140103-2017-002086</t>
  </si>
  <si>
    <t>WQ-F04-T8-J05(06-07U)</t>
  </si>
  <si>
    <t>9800106400931465</t>
  </si>
  <si>
    <t>140103-2017-002085</t>
  </si>
  <si>
    <t>WQ-F04-T8-J05(08-09U)</t>
  </si>
  <si>
    <t>9800106400931461</t>
  </si>
  <si>
    <t>140103-2017-002084</t>
  </si>
  <si>
    <t>WQ-F04-T8-J05(10-11U)</t>
  </si>
  <si>
    <t>9800106400931440</t>
  </si>
  <si>
    <t>140103-2017-002083</t>
  </si>
  <si>
    <t>WQ-F04-T8-J05(12-13U)</t>
  </si>
  <si>
    <t>9800106400931441</t>
  </si>
  <si>
    <t>140103-2017-002082</t>
  </si>
  <si>
    <t>WQ-F04-T8-J05(14-15U)</t>
  </si>
  <si>
    <t>9800106400931462</t>
  </si>
  <si>
    <t>140103-2017-002081</t>
  </si>
  <si>
    <t>WQ-F04-T8-J05(16-17U)</t>
  </si>
  <si>
    <t>9800106400931428</t>
  </si>
  <si>
    <t>140103-2017-002080</t>
  </si>
  <si>
    <t>WQ-F04-T8-J05(18-19U)</t>
  </si>
  <si>
    <t>9800106400931449</t>
  </si>
  <si>
    <t>140103-2017-002079</t>
  </si>
  <si>
    <t>WQ-F04-T8-J05(20-21U)</t>
  </si>
  <si>
    <t>9800106400931444</t>
  </si>
  <si>
    <t>140103-2017-002078</t>
  </si>
  <si>
    <t>WQ-F04-T8-J05(23-24U)</t>
  </si>
  <si>
    <t>9800106400931442</t>
  </si>
  <si>
    <t>140103-2017-002077</t>
  </si>
  <si>
    <t>WQ-F04-T8-J05(25-26U)</t>
  </si>
  <si>
    <t>9800106400931456</t>
  </si>
  <si>
    <t>140103-2017-002076</t>
  </si>
  <si>
    <t>WQ-F04-T8-J05(27-28U)</t>
  </si>
  <si>
    <t>9800106400931445</t>
  </si>
  <si>
    <t>140103-2017-002075</t>
  </si>
  <si>
    <t>WQ-F04-T8-J05(29-30U)</t>
  </si>
  <si>
    <t>9800106400931435</t>
  </si>
  <si>
    <t>140103-2017-002074</t>
  </si>
  <si>
    <t>WQ-F04-T8-J05(31-32U)</t>
  </si>
  <si>
    <t>9800106400931434</t>
  </si>
  <si>
    <t>140103-2017-002073</t>
  </si>
  <si>
    <t>WQ-F04-T8-J05(33-34U)</t>
  </si>
  <si>
    <t>210235A1G9H178000043</t>
  </si>
  <si>
    <t>140502-2017-000245</t>
  </si>
  <si>
    <t>WQ-F04-T8-J05(39-39U)</t>
  </si>
  <si>
    <t>J33GTT8</t>
  </si>
  <si>
    <t>140103-2017-002057</t>
  </si>
  <si>
    <t>WQ-F04-T8-J06(02-03U)</t>
  </si>
  <si>
    <t>J33GTTH</t>
  </si>
  <si>
    <t>140103-2017-002056</t>
  </si>
  <si>
    <t>WQ-F04-T8-J06(04-05U)</t>
  </si>
  <si>
    <t>J33GRX1</t>
  </si>
  <si>
    <t>140103-2017-002062</t>
  </si>
  <si>
    <t>WQ-F04-T8-J06(06-07U)</t>
  </si>
  <si>
    <t>J33GTRM</t>
  </si>
  <si>
    <t>140103-2017-002061</t>
  </si>
  <si>
    <t>WQ-F04-T8-J06(08-09U)</t>
  </si>
  <si>
    <t>J33GRX2</t>
  </si>
  <si>
    <t>140103-2017-002060</t>
  </si>
  <si>
    <t>WQ-F04-T8-J06(10-11U)</t>
  </si>
  <si>
    <t>J33GTRL</t>
  </si>
  <si>
    <t>140103-2017-002059</t>
  </si>
  <si>
    <t>WQ-F04-T8-J06(12-13U)</t>
  </si>
  <si>
    <t>J33GTZ0</t>
  </si>
  <si>
    <t>140103-2017-002058</t>
  </si>
  <si>
    <t>WQ-F04-T8-J06(14-15U)</t>
  </si>
  <si>
    <t>9800106400931443</t>
  </si>
  <si>
    <t>140103-2017-002130</t>
  </si>
  <si>
    <t>WQ-F04-T8-J06(16-17U)</t>
  </si>
  <si>
    <t>9800106400931460</t>
  </si>
  <si>
    <t>140103-2017-002129</t>
  </si>
  <si>
    <t>WQ-F04-T8-J06(18-19U)</t>
  </si>
  <si>
    <t>9800106400931437</t>
  </si>
  <si>
    <t>140103-2017-002108</t>
  </si>
  <si>
    <t>WQ-F04-T8-J06(20-21U)</t>
  </si>
  <si>
    <t>9800106400931438</t>
  </si>
  <si>
    <t>140103-2017-002107</t>
  </si>
  <si>
    <t>WQ-F04-T8-J06(23-24U)</t>
  </si>
  <si>
    <t>9800106400931447</t>
  </si>
  <si>
    <t>140103-2017-002106</t>
  </si>
  <si>
    <t>WQ-F04-T8-J06(25-26U)</t>
  </si>
  <si>
    <t>9800106400931430</t>
  </si>
  <si>
    <t>140103-2017-002105</t>
  </si>
  <si>
    <t>WQ-F04-T8-J06(27-28U)</t>
  </si>
  <si>
    <t>9800106400931458</t>
  </si>
  <si>
    <t>140103-2017-002104</t>
  </si>
  <si>
    <t>WQ-F04-T8-J06(29-30U)</t>
  </si>
  <si>
    <t>9800106400931464</t>
  </si>
  <si>
    <t>140103-2017-002103</t>
  </si>
  <si>
    <t>WQ-F04-T8-J06(31-32U)</t>
  </si>
  <si>
    <t>9800106400931454</t>
  </si>
  <si>
    <t>140103-2017-002089</t>
  </si>
  <si>
    <t>WQ-F04-T8-J06(33-34U)</t>
  </si>
  <si>
    <t>210235A1G9H178000003</t>
  </si>
  <si>
    <t>140502-2017-000244</t>
  </si>
  <si>
    <t>WQ-F04-T8-J06(39-39U)</t>
  </si>
  <si>
    <t>9800106400931418</t>
  </si>
  <si>
    <t>140103-2017-002028</t>
  </si>
  <si>
    <t>WQ-F04-T8-J07(02-03U)</t>
  </si>
  <si>
    <t>J33GHKW</t>
  </si>
  <si>
    <t>140103-2017-002045</t>
  </si>
  <si>
    <t>WQ-F04-T8-J07(08-09U)</t>
  </si>
  <si>
    <t>J33GRYW</t>
  </si>
  <si>
    <t>140103-2017-002044</t>
  </si>
  <si>
    <t>WQ-F04-T8-J07(10-11U)</t>
  </si>
  <si>
    <t>J33GRYX</t>
  </si>
  <si>
    <t>140103-2017-002043</t>
  </si>
  <si>
    <t>WQ-F04-T8-J07(12-13U)</t>
  </si>
  <si>
    <t>J33GTTE</t>
  </si>
  <si>
    <t>140103-2017-002055</t>
  </si>
  <si>
    <t>WQ-F04-T8-J07(14-15U)</t>
  </si>
  <si>
    <t>J33GTTR</t>
  </si>
  <si>
    <t>140103-2017-002054</t>
  </si>
  <si>
    <t>WQ-F04-T8-J07(16-17U)</t>
  </si>
  <si>
    <t>J33GTT7</t>
  </si>
  <si>
    <t>140103-2017-002047</t>
  </si>
  <si>
    <t>WQ-F04-T8-J07(18-19U)</t>
  </si>
  <si>
    <t>J33GTRZ</t>
  </si>
  <si>
    <t>140103-2017-002046</t>
  </si>
  <si>
    <t>WQ-F04-T8-J07(20-21U)</t>
  </si>
  <si>
    <t>9800106400931450</t>
  </si>
  <si>
    <t>140103-2017-002136</t>
  </si>
  <si>
    <t>WQ-F04-T8-J07(23-24U)</t>
  </si>
  <si>
    <t>9800106400931431</t>
  </si>
  <si>
    <t>140103-2017-002135</t>
  </si>
  <si>
    <t>WQ-F04-T8-J07(25-26U)</t>
  </si>
  <si>
    <t>9800106400931424</t>
  </si>
  <si>
    <t>140103-2017-002134</t>
  </si>
  <si>
    <t>WQ-F04-T8-J07(27-28U)</t>
  </si>
  <si>
    <t>9800106400931455</t>
  </si>
  <si>
    <t>140103-2017-002133</t>
  </si>
  <si>
    <t>WQ-F04-T8-J07(29-30U)</t>
  </si>
  <si>
    <t>9800106400931429</t>
  </si>
  <si>
    <t>140103-2017-002132</t>
  </si>
  <si>
    <t>WQ-F04-T8-J07(31-32U)</t>
  </si>
  <si>
    <t>9800106400931459</t>
  </si>
  <si>
    <t>140103-2017-002131</t>
  </si>
  <si>
    <t>WQ-F04-T8-J07(33-34U)</t>
  </si>
  <si>
    <t>210235A1G9H178000005</t>
  </si>
  <si>
    <t>140502-2017-000243</t>
  </si>
  <si>
    <t>WQ-F04-T8-J07(39-39U)</t>
  </si>
  <si>
    <t>J33GRX4</t>
  </si>
  <si>
    <t>140103-2017-002036</t>
  </si>
  <si>
    <t>WQ-F04-T8-J08(10-11U)</t>
  </si>
  <si>
    <t>J33GRX3</t>
  </si>
  <si>
    <t>140103-2017-002035</t>
  </si>
  <si>
    <t>WQ-F04-T8-J08(12-13U)</t>
  </si>
  <si>
    <t>J33GRX0</t>
  </si>
  <si>
    <t>140103-2017-002042</t>
  </si>
  <si>
    <t>WQ-F04-T8-J08(14-15U)</t>
  </si>
  <si>
    <t>J33GRWV</t>
  </si>
  <si>
    <t>140103-2017-002041</t>
  </si>
  <si>
    <t>WQ-F04-T8-J08(16-17U)</t>
  </si>
  <si>
    <t>J33GRWY</t>
  </si>
  <si>
    <t>140103-2017-002040</t>
  </si>
  <si>
    <t>WQ-F04-T8-J08(18-19U)</t>
  </si>
  <si>
    <t>J33GRWZ</t>
  </si>
  <si>
    <t>140103-2017-002039</t>
  </si>
  <si>
    <t>WQ-F04-T8-J08(20-21U)</t>
  </si>
  <si>
    <t>J33GRWW</t>
  </si>
  <si>
    <t>140103-2017-002038</t>
  </si>
  <si>
    <t>WQ-F04-T8-J08(23-24U)</t>
  </si>
  <si>
    <t>J33GRWX</t>
  </si>
  <si>
    <t>140103-2017-002037</t>
  </si>
  <si>
    <t>WQ-F04-T8-J08(25-26U)</t>
  </si>
  <si>
    <t>J33GRYY</t>
  </si>
  <si>
    <t>140103-2017-002124</t>
  </si>
  <si>
    <t>WQ-F04-T8-J08(27-28U)</t>
  </si>
  <si>
    <t>J33GRYZ</t>
  </si>
  <si>
    <t>140103-2017-002123</t>
  </si>
  <si>
    <t>WQ-F04-T8-J08(29-30U)</t>
  </si>
  <si>
    <t>J33GRZ1</t>
  </si>
  <si>
    <t>140103-2017-002122</t>
  </si>
  <si>
    <t>WQ-F04-T8-J08(31-32U)</t>
  </si>
  <si>
    <t>J33GRZ0</t>
  </si>
  <si>
    <t>140103-2017-002121</t>
  </si>
  <si>
    <t>WQ-F04-T8-J08(33-34U)</t>
  </si>
  <si>
    <t>210235A1MKH176000020</t>
  </si>
  <si>
    <t>140502-2017-000240</t>
  </si>
  <si>
    <t>WQ-F04-T8-J08(36-36U)</t>
  </si>
  <si>
    <t>210235A1MKH176000057</t>
  </si>
  <si>
    <t>140502-2017-000239</t>
  </si>
  <si>
    <t>WQ-F04-T8-J08(39-39U)</t>
  </si>
  <si>
    <t>曙光天阔 W780-G20</t>
  </si>
  <si>
    <t>9800106600931680</t>
  </si>
  <si>
    <t>140103-2017-002030</t>
  </si>
  <si>
    <t>WQ-F04-T8-J09(02-05U)</t>
  </si>
  <si>
    <t>9800106600931681</t>
  </si>
  <si>
    <t>140103-2017-002029</t>
  </si>
  <si>
    <t>WQ-F04-T8-J09(07-10U)</t>
  </si>
  <si>
    <t>9800106600931683</t>
  </si>
  <si>
    <t>140103-2017-002032</t>
  </si>
  <si>
    <t>WQ-F04-T8-J09(12-15U)</t>
  </si>
  <si>
    <t>9800106600931682</t>
  </si>
  <si>
    <t>140103-2017-002031</t>
  </si>
  <si>
    <t>WQ-F04-T8-J09(17-20U)</t>
  </si>
  <si>
    <t>曙光天阔 W580-G20</t>
  </si>
  <si>
    <t>9800075800932174</t>
  </si>
  <si>
    <t>140103-2017-002034</t>
  </si>
  <si>
    <t>WQ-F04-T8-J09(22-25U)</t>
  </si>
  <si>
    <t>9800075800932175</t>
  </si>
  <si>
    <t>140103-2017-002033</t>
  </si>
  <si>
    <t>WQ-F04-T8-J09(27-30U)</t>
  </si>
  <si>
    <r>
      <rPr>
        <sz val="12"/>
        <rFont val="宋体"/>
        <charset val="134"/>
      </rPr>
      <t>国信安邮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政务安全邮件系统</t>
    </r>
    <r>
      <rPr>
        <sz val="12"/>
        <rFont val="Arial"/>
        <charset val="134"/>
      </rPr>
      <t>V1.0</t>
    </r>
  </si>
  <si>
    <t>0010F37F2DE0</t>
  </si>
  <si>
    <t>140608-2019-000005</t>
  </si>
  <si>
    <t>WQ-F04-T5-J06(13-14U)</t>
  </si>
  <si>
    <t>国信安邮 政务安全邮件系统V1.0</t>
  </si>
  <si>
    <t>0010F371C26C</t>
  </si>
  <si>
    <t>140608-2019-000006</t>
  </si>
  <si>
    <t>WQ-F04-T5-J06(11-12U)</t>
  </si>
  <si>
    <r>
      <rPr>
        <sz val="12"/>
        <rFont val="宋体"/>
        <charset val="134"/>
      </rPr>
      <t>深圳奥联</t>
    </r>
    <r>
      <rPr>
        <sz val="12"/>
        <rFont val="Arial"/>
        <charset val="134"/>
      </rPr>
      <t xml:space="preserve"> SM9</t>
    </r>
    <r>
      <rPr>
        <sz val="12"/>
        <rFont val="宋体"/>
        <charset val="134"/>
      </rPr>
      <t>加密系统</t>
    </r>
  </si>
  <si>
    <t>0010F36FBAD82800</t>
  </si>
  <si>
    <t>140606-2019-000001</t>
  </si>
  <si>
    <t>WQ-F04-T5-G20(7-8U)</t>
  </si>
  <si>
    <t>深圳奥联 SM9加密系统</t>
  </si>
  <si>
    <t>0010F36FBAD42800</t>
  </si>
  <si>
    <t>140606-2019-000002</t>
  </si>
  <si>
    <t>WQ-F04-T5-G21(7-8U)</t>
  </si>
  <si>
    <r>
      <rPr>
        <sz val="12"/>
        <rFont val="宋体"/>
        <charset val="134"/>
      </rPr>
      <t>敏讯</t>
    </r>
    <r>
      <rPr>
        <sz val="12"/>
        <rFont val="Arial"/>
        <charset val="134"/>
      </rPr>
      <t>Spammark G1000</t>
    </r>
  </si>
  <si>
    <t>SM2014050037</t>
  </si>
  <si>
    <t>140506-2014-000046</t>
  </si>
  <si>
    <t>WQ-F04-T5-J06(32-32U)</t>
  </si>
  <si>
    <t>华为VP9650</t>
  </si>
  <si>
    <t>2102310NPS10F2000001/21S401736010F2000004</t>
  </si>
  <si>
    <t>140103-2014-003474</t>
  </si>
  <si>
    <t>XD-B03-YD-I05(25-26,28-32)</t>
  </si>
  <si>
    <t>120001140103006950</t>
  </si>
  <si>
    <r>
      <rPr>
        <sz val="12"/>
        <rFont val="Arial"/>
        <charset val="134"/>
      </rPr>
      <t>X86</t>
    </r>
    <r>
      <rPr>
        <sz val="12"/>
        <rFont val="宋体"/>
        <charset val="134"/>
      </rPr>
      <t>服务器及其附属设备</t>
    </r>
  </si>
  <si>
    <r>
      <rPr>
        <sz val="12"/>
        <rFont val="Arial"/>
        <charset val="134"/>
      </rPr>
      <t>H3C UniServer R4900 G3</t>
    </r>
    <r>
      <rPr>
        <sz val="12"/>
        <rFont val="宋体"/>
        <charset val="134"/>
      </rPr>
      <t>服务器</t>
    </r>
  </si>
  <si>
    <t>210235A2CR6211F000CV</t>
  </si>
  <si>
    <t>140103-2021-000017</t>
  </si>
  <si>
    <t>XD-B02-KF-B03(02-03U)</t>
  </si>
  <si>
    <t>120001140103006951</t>
  </si>
  <si>
    <t>210235A2CR6211F000D4</t>
  </si>
  <si>
    <t>140103-2021-000018</t>
  </si>
  <si>
    <t>XD-B02-KF-B03(04-05U)</t>
  </si>
  <si>
    <t>120001140103006952</t>
  </si>
  <si>
    <t>210235A2CR6211F000D3</t>
  </si>
  <si>
    <t>140103-2021-000019</t>
  </si>
  <si>
    <t>XD-B02-KF-B03(06-07U)</t>
  </si>
  <si>
    <t>120001140103006953</t>
  </si>
  <si>
    <t>210235A2CR6211F000C2</t>
  </si>
  <si>
    <t>140103-2021-000020</t>
  </si>
  <si>
    <t>XD-B02-KF-B03(08-09U)</t>
  </si>
  <si>
    <t>120001140103006954</t>
  </si>
  <si>
    <t>210235A2CR6211F000D2</t>
  </si>
  <si>
    <t>140103-2021-000021</t>
  </si>
  <si>
    <t>XD-B02-KF-B03(10-11U)</t>
  </si>
  <si>
    <t>120001140103006955</t>
  </si>
  <si>
    <t>210235A2CR6211F000D1</t>
  </si>
  <si>
    <t>140103-2021-000022</t>
  </si>
  <si>
    <t>XD-B02-KF-B03(12-13U)</t>
  </si>
  <si>
    <t>120001140103006956</t>
  </si>
  <si>
    <t>210235A2CR6211F000CK</t>
  </si>
  <si>
    <t>140103-2021-000023</t>
  </si>
  <si>
    <t>XD-B02-KF-B03(14-15U)</t>
  </si>
  <si>
    <t>120001140103006957</t>
  </si>
  <si>
    <t>210235A2CR6211F000C6</t>
  </si>
  <si>
    <t>140103-2021-000024</t>
  </si>
  <si>
    <t>XD-B02-KF-B03(16-17U)</t>
  </si>
  <si>
    <t>120001140103006958</t>
  </si>
  <si>
    <t>210235A2CR6211F000D5</t>
  </si>
  <si>
    <t>140103-2021-000025</t>
  </si>
  <si>
    <t>XD-B02-KF-B03(18-19U)</t>
  </si>
  <si>
    <t>120001140103006959</t>
  </si>
  <si>
    <t>210235A2CR6211F000C7</t>
  </si>
  <si>
    <t>140103-2021-000026</t>
  </si>
  <si>
    <t>XD-B02-KF-B03(20-21U)</t>
  </si>
  <si>
    <t>120001140103006960</t>
  </si>
  <si>
    <t>210235A2CR6211F000CM</t>
  </si>
  <si>
    <t>140103-2021-000027</t>
  </si>
  <si>
    <t>XD-B02-KF-B04(08-09U)</t>
  </si>
  <si>
    <t>120001140103006961</t>
  </si>
  <si>
    <t>210235A2CR6211F000CN</t>
  </si>
  <si>
    <t>140103-2021-000028</t>
  </si>
  <si>
    <t>XD-B02-KF-B04(10-11U)</t>
  </si>
  <si>
    <t>120001140103006962</t>
  </si>
  <si>
    <t>210235A2CR6211F000C3</t>
  </si>
  <si>
    <t>140103-2021-000029</t>
  </si>
  <si>
    <t>XD-B02-KF-B04(12-13U)</t>
  </si>
  <si>
    <t>120001140103006963</t>
  </si>
  <si>
    <t>210235A2CR6211F000BZ</t>
  </si>
  <si>
    <t>140103-2021-000030</t>
  </si>
  <si>
    <t>XD-B02-KF-B04(14-15U)</t>
  </si>
  <si>
    <t>120001140103006964</t>
  </si>
  <si>
    <t>210235A2CR6211F000C4</t>
  </si>
  <si>
    <t>140103-2021-000031</t>
  </si>
  <si>
    <t>XD-B02-KF-B04(16-17U)</t>
  </si>
  <si>
    <t>120001140103006965</t>
  </si>
  <si>
    <t>210235A2CR6211F000CR</t>
  </si>
  <si>
    <t>140103-2021-000032</t>
  </si>
  <si>
    <t>XD-B02-KF-B04(18-19U)</t>
  </si>
  <si>
    <t>120001140103006966</t>
  </si>
  <si>
    <t>210235A2CR6211F000BQ</t>
  </si>
  <si>
    <t>140103-2021-000033</t>
  </si>
  <si>
    <t>XD-B02-KF-B14(02-03U)</t>
  </si>
  <si>
    <t>120001140103006967</t>
  </si>
  <si>
    <t>210235A2CR6211F000CW</t>
  </si>
  <si>
    <t>140103-2021-000034</t>
  </si>
  <si>
    <t>XD-B02-KF-B14(04-05U)</t>
  </si>
  <si>
    <t>120001140103006968</t>
  </si>
  <si>
    <t>210235A2CR6211F000CJ</t>
  </si>
  <si>
    <t>140103-2021-000035</t>
  </si>
  <si>
    <t>XD-B02-KF-B14(06-07U)</t>
  </si>
  <si>
    <t>120001140103006969</t>
  </si>
  <si>
    <t>210235A2CR6211F000C5</t>
  </si>
  <si>
    <t>140103-2021-000036</t>
  </si>
  <si>
    <t>XD-B02-KF-B14(08-09U)</t>
  </si>
  <si>
    <t>120001140103006970</t>
  </si>
  <si>
    <t>210235A2CR6211F000CT</t>
  </si>
  <si>
    <t>140103-2021-000037</t>
  </si>
  <si>
    <t>XD-B02-KF-B14(10-11U)</t>
  </si>
  <si>
    <t>120001140103006971</t>
  </si>
  <si>
    <t>210235A2CR6211F000BW</t>
  </si>
  <si>
    <t>140103-2021-000038</t>
  </si>
  <si>
    <t>XD-B02-KF-B14(12-13U)</t>
  </si>
  <si>
    <t>120001140103006972</t>
  </si>
  <si>
    <t>210235A2CR6211F000CP</t>
  </si>
  <si>
    <t>140103-2021-000039</t>
  </si>
  <si>
    <t>XD-B02-KF-B14(14-15U)</t>
  </si>
  <si>
    <t>120001140103006973</t>
  </si>
  <si>
    <t>210235A2CR6211F000BT</t>
  </si>
  <si>
    <t>140103-2021-000040</t>
  </si>
  <si>
    <t>XD-B02-KF-B14(16-17U)</t>
  </si>
  <si>
    <t>120001140103006974</t>
  </si>
  <si>
    <t>210235A2CR6211F000CS</t>
  </si>
  <si>
    <t>140103-2021-000041</t>
  </si>
  <si>
    <t>XD-B02-KF-B14(18-19U)</t>
  </si>
  <si>
    <t>120001140103006975</t>
  </si>
  <si>
    <t>210235A2CR6211F000BV</t>
  </si>
  <si>
    <t>140103-2021-000042</t>
  </si>
  <si>
    <t>XD-B02-KF-B14(20-21U)</t>
  </si>
  <si>
    <t>120001140103006976</t>
  </si>
  <si>
    <t>210235A2CR6211F000CQ</t>
  </si>
  <si>
    <t>140103-2021-000043</t>
  </si>
  <si>
    <t>XD-B02-KF-B14(23-24U)</t>
  </si>
  <si>
    <t>120001140103006977</t>
  </si>
  <si>
    <t>210235A2CR6211F000BS</t>
  </si>
  <si>
    <t>140103-2021-000044</t>
  </si>
  <si>
    <t>XD-B02-KF-B14(25-26U)</t>
  </si>
  <si>
    <t>120001140103006978</t>
  </si>
  <si>
    <t>210235A2CR6211F000BN</t>
  </si>
  <si>
    <t>140103-2021-000045</t>
  </si>
  <si>
    <t>XD-B02-KF-B15(02-03U)</t>
  </si>
  <si>
    <t>120001140103006979</t>
  </si>
  <si>
    <t>210235A2CR6211F000BR</t>
  </si>
  <si>
    <t>140103-2021-000046</t>
  </si>
  <si>
    <t>XD-B02-KF-B15(04-05U)</t>
  </si>
  <si>
    <t>120001140103006980</t>
  </si>
  <si>
    <t>210235A2CR6211F000BL</t>
  </si>
  <si>
    <t>140103-2021-000047</t>
  </si>
  <si>
    <t>XD-B02-KF-B15(06-07U)</t>
  </si>
  <si>
    <t>120001140103006981</t>
  </si>
  <si>
    <t>210235A2CR6211F000CF</t>
  </si>
  <si>
    <t>140103-2021-000048</t>
  </si>
  <si>
    <t>XD-B02-KF-B15(08-09U)</t>
  </si>
  <si>
    <t>120001140103006982</t>
  </si>
  <si>
    <t>210235A2CR6211F000BX</t>
  </si>
  <si>
    <t>140103-2021-000049</t>
  </si>
  <si>
    <t>XD-B02-KF-B15(10-11U)</t>
  </si>
  <si>
    <t>120001140103006983</t>
  </si>
  <si>
    <t>210235A2CR6211F000CB</t>
  </si>
  <si>
    <t>140103-2021-000050</t>
  </si>
  <si>
    <t>XD-B02-KF-B15(12-13U)</t>
  </si>
  <si>
    <t>120001140103006984</t>
  </si>
  <si>
    <t>210235A2CR6211F000C0</t>
  </si>
  <si>
    <t>140103-2021-000051</t>
  </si>
  <si>
    <t>XD-B02-KF-B15(14-15U)</t>
  </si>
  <si>
    <t>120001140103006985</t>
  </si>
  <si>
    <t>210235A2CR6211F000C1</t>
  </si>
  <si>
    <t>140103-2021-000052</t>
  </si>
  <si>
    <t>XD-B02-KF-B15(16-17U)</t>
  </si>
  <si>
    <t>120001140103006986</t>
  </si>
  <si>
    <t>210235A2CR6211F000CX</t>
  </si>
  <si>
    <t>140103-2021-000053</t>
  </si>
  <si>
    <t>XD-B02-KF-B15(18-19U)</t>
  </si>
  <si>
    <t>120001140103006987</t>
  </si>
  <si>
    <t>210235A2CR6211F000CG</t>
  </si>
  <si>
    <t>140103-2021-000054</t>
  </si>
  <si>
    <t>XD-B02-KF-B15(20-21U)</t>
  </si>
  <si>
    <t>120001140103006988</t>
  </si>
  <si>
    <t>210235A2CR6211F000C9</t>
  </si>
  <si>
    <t>140103-2021-000055</t>
  </si>
  <si>
    <t>XD-B02-KF-B15(23-24U)</t>
  </si>
  <si>
    <t>120001140103006989</t>
  </si>
  <si>
    <t>210235A2CR6211F000C8</t>
  </si>
  <si>
    <t>140103-2021-000056</t>
  </si>
  <si>
    <t>XD-B02-KF-B15(25-26U)</t>
  </si>
  <si>
    <t>120001140103006990</t>
  </si>
  <si>
    <t>140103-2021-000057</t>
  </si>
  <si>
    <t>XD-B02-KF-B16(02-03U)</t>
  </si>
  <si>
    <t>120001140103006991</t>
  </si>
  <si>
    <t>210235A2CR6211F000D6</t>
  </si>
  <si>
    <t>140103-2021-000058</t>
  </si>
  <si>
    <t>XD-B02-KF-B16(04-05U)</t>
  </si>
  <si>
    <t>120001140103006992</t>
  </si>
  <si>
    <t>210235A2CR6211F000BY</t>
  </si>
  <si>
    <t>140103-2021-000059</t>
  </si>
  <si>
    <t>XD-B02-KF-B16(06-07U)</t>
  </si>
  <si>
    <t>120001140103006993</t>
  </si>
  <si>
    <t>210235A2CR6211F000D0</t>
  </si>
  <si>
    <t>140103-2021-000060</t>
  </si>
  <si>
    <t>XD-B02-KF-B16(08-09U)</t>
  </si>
  <si>
    <t>120001140103006994</t>
  </si>
  <si>
    <t>210235A2CR6211F000CZ</t>
  </si>
  <si>
    <t>140103-2021-000061</t>
  </si>
  <si>
    <t>XD-B02-KF-B16(10-11U)</t>
  </si>
  <si>
    <t>120001140103006995</t>
  </si>
  <si>
    <t>210235A2CR6211F000CH</t>
  </si>
  <si>
    <t>140103-2021-000062</t>
  </si>
  <si>
    <t>XD-B02-KF-B16(12-13U)</t>
  </si>
  <si>
    <t>120001140103006996</t>
  </si>
  <si>
    <t>210235A2CR6211F000CD</t>
  </si>
  <si>
    <t>140103-2021-000063</t>
  </si>
  <si>
    <t>XD-B02-KF-B16(14-15U)</t>
  </si>
  <si>
    <t>120001140103006997</t>
  </si>
  <si>
    <t>210235A2CR6211F000CY</t>
  </si>
  <si>
    <t>140103-2021-000064</t>
  </si>
  <si>
    <t>XD-B02-KF-B16(16-17U)</t>
  </si>
  <si>
    <t>120001140103006998</t>
  </si>
  <si>
    <t>210235A2CR6211F000BM</t>
  </si>
  <si>
    <t>140103-2021-000065</t>
  </si>
  <si>
    <t>XD-B02-KF-B16(18-19U)</t>
  </si>
  <si>
    <t>120001140103006999</t>
  </si>
  <si>
    <t>210235A2CR6211F000BP</t>
  </si>
  <si>
    <t>140103-2021-000066</t>
  </si>
  <si>
    <t>XD-B02-KF-B16(20-21U)</t>
  </si>
  <si>
    <t>120001140103007000</t>
  </si>
  <si>
    <t>210235A2CR6211F000CC</t>
  </si>
  <si>
    <t>140103-2021-000067</t>
  </si>
  <si>
    <t>XD-B02-KF-B16(23-24U)</t>
  </si>
  <si>
    <t>120001140103007001</t>
  </si>
  <si>
    <t>210235A2CR6211F000CL</t>
  </si>
  <si>
    <t>140103-2021-000068</t>
  </si>
  <si>
    <t>XD-B02-KF-B16(25-26U)</t>
  </si>
  <si>
    <t>120001140103006934</t>
  </si>
  <si>
    <t>210235A2CT6211F0004Z</t>
  </si>
  <si>
    <t>140103-2021-000001</t>
  </si>
  <si>
    <t>XD-B02-KF-B04(02-03U)</t>
  </si>
  <si>
    <t>120001140103006935</t>
  </si>
  <si>
    <t>210235A2CT6211F00050</t>
  </si>
  <si>
    <t>140103-2021-000002</t>
  </si>
  <si>
    <t>XD-B02-KF-B04(04-05U)</t>
  </si>
  <si>
    <t>120001140103006936</t>
  </si>
  <si>
    <t>210235A2CT6211F00051</t>
  </si>
  <si>
    <t>140103-2021-000003</t>
  </si>
  <si>
    <t>XD-B02-KF-B04(06-07U)</t>
  </si>
  <si>
    <t>120001140103006937</t>
  </si>
  <si>
    <t>210235A2CT6211F0004V</t>
  </si>
  <si>
    <t>140103-2021-000004</t>
  </si>
  <si>
    <t>XD-B02-KF-B17(20-21U)</t>
  </si>
  <si>
    <t>120001140103006938</t>
  </si>
  <si>
    <t>210235A2CT6211F0004Y</t>
  </si>
  <si>
    <t>140103-2021-000005</t>
  </si>
  <si>
    <t>XD-B02-KF-B17(23-24U)</t>
  </si>
  <si>
    <t>120001140103006939</t>
  </si>
  <si>
    <t>210235A2CT6211F0004T</t>
  </si>
  <si>
    <t>140103-2021-000006</t>
  </si>
  <si>
    <t>XD-B02-KF-B17(25-26U)</t>
  </si>
  <si>
    <t>120001140103006940</t>
  </si>
  <si>
    <t>210235A2CT6211F0004X</t>
  </si>
  <si>
    <t>140103-2021-000007</t>
  </si>
  <si>
    <t>XD-B02-KF-B17(27-28U)</t>
  </si>
  <si>
    <t>120001140103006941</t>
  </si>
  <si>
    <t>210235A2CT6211F0004W</t>
  </si>
  <si>
    <t>140103-2021-000008</t>
  </si>
  <si>
    <t>XD-B02-KF-B17(29-30U)</t>
  </si>
  <si>
    <t>120001140102000055</t>
  </si>
  <si>
    <r>
      <rPr>
        <sz val="12"/>
        <rFont val="Arial"/>
        <charset val="134"/>
      </rPr>
      <t>UNIX</t>
    </r>
    <r>
      <rPr>
        <sz val="12"/>
        <rFont val="宋体"/>
        <charset val="134"/>
      </rPr>
      <t>服务器及其附属设备</t>
    </r>
  </si>
  <si>
    <r>
      <rPr>
        <sz val="12"/>
        <rFont val="宋体"/>
        <charset val="134"/>
      </rPr>
      <t>浪商</t>
    </r>
    <r>
      <rPr>
        <sz val="12"/>
        <rFont val="Arial"/>
        <charset val="134"/>
      </rPr>
      <t xml:space="preserve"> K1 POWER E980</t>
    </r>
  </si>
  <si>
    <t>P7854F38</t>
  </si>
  <si>
    <t>140102-2021-000001</t>
  </si>
  <si>
    <t>XD-B02-KF-B12(02-23U)</t>
  </si>
  <si>
    <t>120001140102000056</t>
  </si>
  <si>
    <t>P7854F68</t>
  </si>
  <si>
    <t>140102-2021-000002</t>
  </si>
  <si>
    <t>XD-B02-KF-B13(02-20U)</t>
  </si>
  <si>
    <t>120001140103006942</t>
  </si>
  <si>
    <t>210235A2CR6211F000D7</t>
  </si>
  <si>
    <t>140103-2021-000009</t>
  </si>
  <si>
    <t>XD-B02-KF-B05(31-32U)</t>
  </si>
  <si>
    <t>120001140103006943</t>
  </si>
  <si>
    <t>210235A2CR6211F000D8</t>
  </si>
  <si>
    <t>140103-2021-000010</t>
  </si>
  <si>
    <t>XD-B02-KF-B08(31-32U)</t>
  </si>
  <si>
    <t>120001140103006944</t>
  </si>
  <si>
    <t>210235A2CR6211F000BG</t>
  </si>
  <si>
    <t>140103-2021-000011</t>
  </si>
  <si>
    <t>XD-B02-KF-B03(23-24U)</t>
  </si>
  <si>
    <t>120001140103006945</t>
  </si>
  <si>
    <t>210235A2CR6211F000BH</t>
  </si>
  <si>
    <t>140103-2021-000012</t>
  </si>
  <si>
    <t>XD-B02-KF-B04(23-24U)</t>
  </si>
  <si>
    <t>120001140103006946</t>
  </si>
  <si>
    <t>210235A2CR6211F000BC</t>
  </si>
  <si>
    <t>140103-2021-000013</t>
  </si>
  <si>
    <t>XD-B02-KF-B10(02-03U)</t>
  </si>
  <si>
    <t>120001140103006947</t>
  </si>
  <si>
    <t>210235A2CR6211F000BJ</t>
  </si>
  <si>
    <t>140103-2021-000014</t>
  </si>
  <si>
    <t>XD-B02-KF-B10(04-05U)</t>
  </si>
  <si>
    <t>120001140103006948</t>
  </si>
  <si>
    <t>210235A2CR6211F000BD</t>
  </si>
  <si>
    <t>140103-2021-000015</t>
  </si>
  <si>
    <t>XD-B02-KF-B11(02-03U)</t>
  </si>
  <si>
    <t>120001140103006949</t>
  </si>
  <si>
    <t>210235A2CR6211F000BF</t>
  </si>
  <si>
    <t>140103-2021-000016</t>
  </si>
  <si>
    <t>XD-B02-KF-B11(04-05U)</t>
  </si>
  <si>
    <t>120001140201000121</t>
  </si>
  <si>
    <r>
      <rPr>
        <sz val="12"/>
        <rFont val="宋体"/>
        <charset val="134"/>
      </rPr>
      <t>华为</t>
    </r>
    <r>
      <rPr>
        <sz val="12"/>
        <rFont val="Arial"/>
        <charset val="134"/>
      </rPr>
      <t>OceanStor Dorado 18500 V6</t>
    </r>
  </si>
  <si>
    <t>2102353GWS10LC000011
210235APJ10LC000021</t>
  </si>
  <si>
    <t>140201-2021-000001</t>
  </si>
  <si>
    <t>XD-B02-KF-B06(19-24U)
XD-B02-KF-B06(31-32U)</t>
  </si>
  <si>
    <t>120001140201000127</t>
  </si>
  <si>
    <t>2102353GWS10LC000010
210235APJ10LC000022</t>
  </si>
  <si>
    <t>140201-2021-000002</t>
  </si>
  <si>
    <t>XD-B02-KF-B07(19-24U)
XD-B02-KF-B08(31-32U)</t>
  </si>
  <si>
    <t>120001140201000129</t>
  </si>
  <si>
    <r>
      <rPr>
        <sz val="12"/>
        <rFont val="宋体"/>
        <charset val="134"/>
      </rPr>
      <t>浪潮</t>
    </r>
    <r>
      <rPr>
        <sz val="12"/>
        <rFont val="Arial"/>
        <charset val="134"/>
      </rPr>
      <t>AS18000G5</t>
    </r>
    <r>
      <rPr>
        <sz val="12"/>
        <rFont val="宋体"/>
        <charset val="134"/>
      </rPr>
      <t>高端存储系统</t>
    </r>
  </si>
  <si>
    <t>221330606</t>
  </si>
  <si>
    <t>140201-2021-000003</t>
  </si>
  <si>
    <t>XD-B02-KF-B05(02-21U)</t>
  </si>
  <si>
    <t>120001140201000133</t>
  </si>
  <si>
    <t>221330605</t>
  </si>
  <si>
    <t>140201-2021-000004</t>
  </si>
  <si>
    <t>XD-B02-KF-B08(02-21U)</t>
  </si>
  <si>
    <t>120001140202000046</t>
  </si>
  <si>
    <r>
      <rPr>
        <sz val="12"/>
        <rFont val="Arial"/>
        <charset val="134"/>
      </rPr>
      <t xml:space="preserve">SAN </t>
    </r>
    <r>
      <rPr>
        <sz val="12"/>
        <rFont val="宋体"/>
        <charset val="134"/>
      </rPr>
      <t>交换机</t>
    </r>
  </si>
  <si>
    <r>
      <rPr>
        <sz val="12"/>
        <rFont val="宋体"/>
        <charset val="134"/>
      </rPr>
      <t>同有</t>
    </r>
    <r>
      <rPr>
        <sz val="12"/>
        <rFont val="Arial"/>
        <charset val="134"/>
      </rPr>
      <t>NetStor SW 9705</t>
    </r>
  </si>
  <si>
    <t>TYZJ21D10088</t>
  </si>
  <si>
    <t>140202-2021-000001</t>
  </si>
  <si>
    <t>XD-B02-KF-B06(05-13U)</t>
  </si>
  <si>
    <t>120001140202000047</t>
  </si>
  <si>
    <t>TYZJ21D10089</t>
  </si>
  <si>
    <t>140202-2021-000002</t>
  </si>
  <si>
    <t>XD-B02-KF-B07(05-13U)</t>
  </si>
  <si>
    <t>120001140201000134</t>
  </si>
  <si>
    <r>
      <rPr>
        <sz val="12"/>
        <rFont val="宋体"/>
        <charset val="134"/>
      </rPr>
      <t>浪潮</t>
    </r>
    <r>
      <rPr>
        <sz val="12"/>
        <rFont val="Arial"/>
        <charset val="134"/>
      </rPr>
      <t>AS5300G5 2U12</t>
    </r>
    <r>
      <rPr>
        <sz val="12"/>
        <rFont val="宋体"/>
        <charset val="134"/>
      </rPr>
      <t>主存储系统</t>
    </r>
  </si>
  <si>
    <t>221305849</t>
  </si>
  <si>
    <t>140201-2021-000005</t>
  </si>
  <si>
    <t>XD-B02-KF-B09(12-21U)</t>
  </si>
  <si>
    <t>120001140202000048</t>
  </si>
  <si>
    <r>
      <rPr>
        <sz val="12"/>
        <rFont val="宋体"/>
        <charset val="134"/>
      </rPr>
      <t>同有</t>
    </r>
    <r>
      <rPr>
        <sz val="12"/>
        <rFont val="Arial"/>
        <charset val="134"/>
      </rPr>
      <t>NetStor MDS9148S</t>
    </r>
  </si>
  <si>
    <t>TYZJ21D100090</t>
  </si>
  <si>
    <t>140202-2021-000003</t>
  </si>
  <si>
    <t>XD-B02-KF-B09(33-33U)</t>
  </si>
  <si>
    <t>120001140502003274</t>
  </si>
  <si>
    <t>H3C S6520X-54QC-EI</t>
  </si>
  <si>
    <t>210235A2CJH20C001342</t>
  </si>
  <si>
    <t>140502-2021-000001</t>
  </si>
  <si>
    <t>XD-B02-KF-B12(37-37U)</t>
  </si>
  <si>
    <t>120001140502003275</t>
  </si>
  <si>
    <t>210235A2CJH20C001283</t>
  </si>
  <si>
    <t>140502-2021-000002</t>
  </si>
  <si>
    <t>XD-B02-KF-B13(37-37U)</t>
  </si>
  <si>
    <t>120001140502003276</t>
  </si>
  <si>
    <t>210235A2CJH20C001377</t>
  </si>
  <si>
    <t>140502-2021-000003</t>
  </si>
  <si>
    <t>XD-B02-KF-B03(34-34U)</t>
  </si>
  <si>
    <t>120001140502003277</t>
  </si>
  <si>
    <t>210235A2CJH20C001249</t>
  </si>
  <si>
    <t>140502-2021-000004</t>
  </si>
  <si>
    <t>XD-B02-KF-B03(37-37U)</t>
  </si>
  <si>
    <t>120001140502003279</t>
  </si>
  <si>
    <t>210235A2CJH20C001330</t>
  </si>
  <si>
    <t>140502-2021-000006</t>
  </si>
  <si>
    <t>XD-B02-KF-B04(37-37U)</t>
  </si>
  <si>
    <t>120001140502003280</t>
  </si>
  <si>
    <t>210235A2CJH20C001116</t>
  </si>
  <si>
    <t>140502-2021-000007</t>
  </si>
  <si>
    <t>XD-B02-KF-B10(37-37U)</t>
  </si>
  <si>
    <t>120001140502003281</t>
  </si>
  <si>
    <t>210235A2CJH20C001245</t>
  </si>
  <si>
    <t>140502-2021-000008</t>
  </si>
  <si>
    <t>XD-B02-KF-B11(37-37U)</t>
  </si>
  <si>
    <t>120001140502003282</t>
  </si>
  <si>
    <t>210235A2CJH20C001354</t>
  </si>
  <si>
    <t>140502-2021-000009</t>
  </si>
  <si>
    <t>XD-B02-KF-B14(34-34U)</t>
  </si>
  <si>
    <t>120001140502003283</t>
  </si>
  <si>
    <t>210235A2CJH20C001329</t>
  </si>
  <si>
    <t>140502-2021-000010</t>
  </si>
  <si>
    <t>XD-B02-KF-B14(37-37U)</t>
  </si>
  <si>
    <t>120001140502003284</t>
  </si>
  <si>
    <t>210235A2CJH20C001365</t>
  </si>
  <si>
    <t>140502-2021-000011</t>
  </si>
  <si>
    <t>XD-B02-KF-B15(34-34U)</t>
  </si>
  <si>
    <t>120001140502003285</t>
  </si>
  <si>
    <t>210235A2CJH20C001340</t>
  </si>
  <si>
    <t>140502-2021-000012</t>
  </si>
  <si>
    <t>XD-B02-KF-B15(37-37U)</t>
  </si>
  <si>
    <t>120001140901000218</t>
  </si>
  <si>
    <t>图腾机柜</t>
  </si>
  <si>
    <t>140901-2021-000001</t>
  </si>
  <si>
    <t>XD-B02-KF-B06(42-42U)</t>
  </si>
  <si>
    <t>120001140901000227</t>
  </si>
  <si>
    <t>140901-2021-000002</t>
  </si>
  <si>
    <t>XD-B02-KF-B07(42-42U)</t>
  </si>
  <si>
    <t>120001140901000228</t>
  </si>
  <si>
    <t>140901-2021-000003</t>
  </si>
  <si>
    <t>XD-B02-KF-B09(42-42U)</t>
  </si>
  <si>
    <t>120001140901000229</t>
  </si>
  <si>
    <t>140901-2021-000004</t>
  </si>
  <si>
    <t>XD-B02-KF-B10(42-42U)</t>
  </si>
  <si>
    <t>120001140901000230</t>
  </si>
  <si>
    <t>140901-2021-000005</t>
  </si>
  <si>
    <t>XD-B02-KF-B11(42-42U)</t>
  </si>
  <si>
    <t>120001140403000167</t>
  </si>
  <si>
    <r>
      <rPr>
        <sz val="12"/>
        <rFont val="宋体"/>
        <charset val="134"/>
      </rPr>
      <t>德讯</t>
    </r>
    <r>
      <rPr>
        <sz val="12"/>
        <rFont val="Arial"/>
        <charset val="134"/>
      </rPr>
      <t xml:space="preserve"> DS1716K</t>
    </r>
  </si>
  <si>
    <t>0210303201121</t>
  </si>
  <si>
    <t>140403-2021-000001</t>
  </si>
  <si>
    <t>XD-B02-KF-D12(22-22U)</t>
  </si>
  <si>
    <t>120001140403000168</t>
  </si>
  <si>
    <t>0210303201138</t>
  </si>
  <si>
    <t>140403-2021-000002</t>
  </si>
  <si>
    <t>XD-B02-KF-B08(22-22U)</t>
  </si>
  <si>
    <t>120001140403000169</t>
  </si>
  <si>
    <t>0210303201145</t>
  </si>
  <si>
    <t>140403-2021-000003</t>
  </si>
  <si>
    <t>XD-B02-KF-B15(22-22U)</t>
  </si>
  <si>
    <t>120001140403000170</t>
  </si>
  <si>
    <t>0210303201169</t>
  </si>
  <si>
    <t>140403-2021-000004</t>
  </si>
  <si>
    <t>XD-B02-KF-B03(22-22U)</t>
  </si>
  <si>
    <t>120001140403000171</t>
  </si>
  <si>
    <t>0210303201152</t>
  </si>
  <si>
    <t>140403-2021-000005</t>
  </si>
  <si>
    <t>XD-B02-KF-B16(22-22U)</t>
  </si>
  <si>
    <t>120001140403000172</t>
  </si>
  <si>
    <t>0210303201114</t>
  </si>
  <si>
    <t>140403-2021-000006</t>
  </si>
  <si>
    <t>XD-B02-KF-B05(22-22U)</t>
  </si>
  <si>
    <t>120001140403000173</t>
  </si>
  <si>
    <t>0210303201190</t>
  </si>
  <si>
    <t>140403-2021-000007</t>
  </si>
  <si>
    <t>XD-B02-KF-B14(22-22U)</t>
  </si>
  <si>
    <t>120001140403000174</t>
  </si>
  <si>
    <t>0210303201206</t>
  </si>
  <si>
    <t>140403-2021-000008</t>
  </si>
  <si>
    <t>XD-B02-KF-B04(22-22U)</t>
  </si>
  <si>
    <t>120001140403000175</t>
  </si>
  <si>
    <t>0210303201213</t>
  </si>
  <si>
    <t>140403-2021-000009</t>
  </si>
  <si>
    <t>XD-B02-KF-B17(22-22U)</t>
  </si>
  <si>
    <t>120001140103004750</t>
  </si>
  <si>
    <r>
      <rPr>
        <sz val="12"/>
        <rFont val="宋体"/>
        <charset val="134"/>
      </rPr>
      <t>浪潮英信</t>
    </r>
    <r>
      <rPr>
        <sz val="12"/>
        <rFont val="Arial"/>
        <charset val="134"/>
      </rPr>
      <t>NF5280M5</t>
    </r>
  </si>
  <si>
    <t>819216333</t>
  </si>
  <si>
    <t>140103-2019-000619</t>
  </si>
  <si>
    <t>铁科院科研三号楼数据中心B1112网络机房NA-D05机柜(19-20U)</t>
  </si>
  <si>
    <t>120001140103004751</t>
  </si>
  <si>
    <t>819216337</t>
  </si>
  <si>
    <t>140103-2019-000620</t>
  </si>
  <si>
    <t>铁科院科研三号楼数据中心B1112网络机房NA-D06机柜19-20U</t>
  </si>
  <si>
    <t>120001140103004370</t>
  </si>
  <si>
    <t>机房动环监控设施</t>
  </si>
  <si>
    <t>动环监控系统杭州华塑 CM-02N</t>
  </si>
  <si>
    <t>202005190047</t>
  </si>
  <si>
    <t>140704-2020-000001</t>
  </si>
  <si>
    <t>电子所8号楼1层北侧配电间</t>
  </si>
  <si>
    <t>服务器设备</t>
  </si>
  <si>
    <t>X86机架服务器及其附属设备</t>
  </si>
  <si>
    <t>H3CUniServerR4930G5</t>
  </si>
  <si>
    <t>219801A6E5523CR00105</t>
  </si>
  <si>
    <t>14010104-2023-000253</t>
  </si>
  <si>
    <t>WQ-F04-T3-H03(6U-7U)</t>
  </si>
  <si>
    <t>219801A6E5523CR00027</t>
  </si>
  <si>
    <t>14010104-2023-000259</t>
  </si>
  <si>
    <t>WQ-F04-T3-H03(8U-9U)</t>
  </si>
  <si>
    <t>219801A6E5523CR00103</t>
  </si>
  <si>
    <t>14010104-2023-000315</t>
  </si>
  <si>
    <t>WQ-F04-T3-H03(10U-11U)</t>
  </si>
  <si>
    <t>219801A6E5523CR00088</t>
  </si>
  <si>
    <t>14010104-2023-000288</t>
  </si>
  <si>
    <t>WQ-F04-T3-H03(12U-13U)</t>
  </si>
  <si>
    <t>219801A6E5523CR00122</t>
  </si>
  <si>
    <t>14010104-2023-000173</t>
  </si>
  <si>
    <t>WQ-F04-T3-H17(6U-7U)</t>
  </si>
  <si>
    <t>219801A6E5523CR00125</t>
  </si>
  <si>
    <t>14010104-2023-000153</t>
  </si>
  <si>
    <t>WQ-F04-T3-H17(8U-9U)</t>
  </si>
  <si>
    <t>219801A6E5523CR00123</t>
  </si>
  <si>
    <t>14010104-2023-000167</t>
  </si>
  <si>
    <t>WQ-F04-T3-H17(10U-11U)</t>
  </si>
  <si>
    <t>219801A6E5523CR00165</t>
  </si>
  <si>
    <t>14010104-2023-000302</t>
  </si>
  <si>
    <t>WQ-F04-T3-H03(14U-15U)</t>
  </si>
  <si>
    <t>219801A6E7523CR00012</t>
  </si>
  <si>
    <t>14010104-2023-000010</t>
  </si>
  <si>
    <t>TK-F02-226-A04(9U-10U)</t>
  </si>
  <si>
    <t>219801A6E5523CR00046</t>
  </si>
  <si>
    <t>14010104-2023-000285</t>
  </si>
  <si>
    <t>WQ-F04-T3-F01(4U-5U)</t>
  </si>
  <si>
    <t>219801A6E5523CR00044</t>
  </si>
  <si>
    <t>14010104-2023-000309</t>
  </si>
  <si>
    <t>WQ-F04-T3-F01(6U-7U)</t>
  </si>
  <si>
    <t>219801A6E5523CR00095</t>
  </si>
  <si>
    <t>14010104-2023-000183</t>
  </si>
  <si>
    <t>WQ-F04-T3-H05(2U-3U)</t>
  </si>
  <si>
    <t>219801A6E4523CR00012</t>
  </si>
  <si>
    <t>14010104-2023-000025</t>
  </si>
  <si>
    <t>WQ-F04-T3-E16(8U-9U)</t>
  </si>
  <si>
    <t>219801A6E5523CR00160</t>
  </si>
  <si>
    <t>14010104-2023-000196</t>
  </si>
  <si>
    <t>WQ-F04-T3-H05(4U-5U)</t>
  </si>
  <si>
    <t>219801A6E7523CR00010</t>
  </si>
  <si>
    <t>14010104-2023-000011</t>
  </si>
  <si>
    <t>TK-F02-226-A04(11U-12U)</t>
  </si>
  <si>
    <t>219801A6E5523CR00093</t>
  </si>
  <si>
    <t>14010104-2023-000311</t>
  </si>
  <si>
    <t>WQ-F04-T3-F01(8U-9U)</t>
  </si>
  <si>
    <t>219801A6E5523CR00107</t>
  </si>
  <si>
    <t>14010104-2023-000216</t>
  </si>
  <si>
    <t>WQ-F04-T3-F02(2U-3U)</t>
  </si>
  <si>
    <t>219801A6E5523CR00079</t>
  </si>
  <si>
    <t>14010104-2023-000229</t>
  </si>
  <si>
    <t>WQ-F04-T3-F02(4U-5U)</t>
  </si>
  <si>
    <t>219801A6E5523CR00047</t>
  </si>
  <si>
    <t>14010104-2023-000275</t>
  </si>
  <si>
    <t>WQ-F04-T3-F02(6U-7U)</t>
  </si>
  <si>
    <t>219801A6E5523CR00145</t>
  </si>
  <si>
    <t>14010104-2023-000228</t>
  </si>
  <si>
    <t>WQ-F04-T3-F02(8U-9U)</t>
  </si>
  <si>
    <t>219801A6E4523CR00028</t>
  </si>
  <si>
    <t>14010104-2023-000038</t>
  </si>
  <si>
    <t>WQ-F04-T3-E16(10U-11U)</t>
  </si>
  <si>
    <t>219801A6E4523CR00008</t>
  </si>
  <si>
    <t>14010104-2023-000036</t>
  </si>
  <si>
    <t>WQ-F04-T3-E16(12U-13U)</t>
  </si>
  <si>
    <t>219801A6E5523CR00152</t>
  </si>
  <si>
    <t>14010104-2023-000320</t>
  </si>
  <si>
    <t>WQ-F04-T3-F02(10U-11U)</t>
  </si>
  <si>
    <t>219801A6E5523CR00130</t>
  </si>
  <si>
    <t>14010104-2023-000148</t>
  </si>
  <si>
    <t>WQ-F04-T3-H05(6U-7U)</t>
  </si>
  <si>
    <t>219801A6E5523CR00148</t>
  </si>
  <si>
    <t>14010104-2023-000287</t>
  </si>
  <si>
    <t>WQ-F04-T3-F02(12U-13U)</t>
  </si>
  <si>
    <t>219801A6E5523CR00037</t>
  </si>
  <si>
    <t>14010104-2023-000304</t>
  </si>
  <si>
    <t>WQ-F04-T3-F16(2U-3U)</t>
  </si>
  <si>
    <t>219801A6E5523CR00010</t>
  </si>
  <si>
    <t>14010104-2023-000261</t>
  </si>
  <si>
    <t>WQ-F04-T3-F16(4U-5U)</t>
  </si>
  <si>
    <t>219801A6E5523CR00124</t>
  </si>
  <si>
    <t>14010104-2023-000247</t>
  </si>
  <si>
    <t>WQ-F04-T3-F16(6U-7U)</t>
  </si>
  <si>
    <t>219801A6E5523CR00036</t>
  </si>
  <si>
    <t>14010104-2023-000209</t>
  </si>
  <si>
    <t>WQ-F04-T3-F16(8U-9U)</t>
  </si>
  <si>
    <t>219801A6E5523CR00035</t>
  </si>
  <si>
    <t>14010104-2023-000234</t>
  </si>
  <si>
    <t>WQ-F04-T3-F16(10U-11U)</t>
  </si>
  <si>
    <t>219801A6E4523CR00010</t>
  </si>
  <si>
    <t>14010104-2023-000049</t>
  </si>
  <si>
    <t>WQ-F04-T3-E16(14U-15U)</t>
  </si>
  <si>
    <t>219801A6E5523CR00071</t>
  </si>
  <si>
    <t>14010104-2023-000156</t>
  </si>
  <si>
    <t>WQ-F04-T3-H05(8U-9U)</t>
  </si>
  <si>
    <t>219801A6E4523CR00011</t>
  </si>
  <si>
    <t>14010104-2023-000028</t>
  </si>
  <si>
    <t>WQ-F04-T3-E16(16U-17U)</t>
  </si>
  <si>
    <t>219801A6E4523CR00004</t>
  </si>
  <si>
    <t>14010104-2023-000035</t>
  </si>
  <si>
    <t>WQ-F04-T3-E16(18U-19U)</t>
  </si>
  <si>
    <t>219801A6E5523CR00038</t>
  </si>
  <si>
    <t>14010104-2023-000232</t>
  </si>
  <si>
    <t>WQ-F04-T3-F16(12U-13U)</t>
  </si>
  <si>
    <t>219801A6E5523CR00034</t>
  </si>
  <si>
    <t>14010104-2023-000250</t>
  </si>
  <si>
    <t>WQ-F04-T3-F16(14U-15U)</t>
  </si>
  <si>
    <t>219801A6E5523CR00111</t>
  </si>
  <si>
    <t>14010104-2023-000204</t>
  </si>
  <si>
    <t>WQ-F04-T3-F16(16U-17U)</t>
  </si>
  <si>
    <t>219801A6E5523CR00151</t>
  </si>
  <si>
    <t>14010104-2023-000223</t>
  </si>
  <si>
    <t>WQ-F04-T3-F17(2U-3U)</t>
  </si>
  <si>
    <t>219801A6E5523CR00155</t>
  </si>
  <si>
    <t>14010104-2023-000257</t>
  </si>
  <si>
    <t>WQ-F04-T3-F17(4U-5U)</t>
  </si>
  <si>
    <t>219801A6E5523CR00127</t>
  </si>
  <si>
    <t>14010104-2023-000171</t>
  </si>
  <si>
    <t>WQ-F04-T3-H05(10U-11U)</t>
  </si>
  <si>
    <t>219801A6E5523CR00019</t>
  </si>
  <si>
    <t>14010104-2023-000198</t>
  </si>
  <si>
    <t>WQ-F04-T3-E15(12U-13U)</t>
  </si>
  <si>
    <t>219801A6E5523CR00017</t>
  </si>
  <si>
    <t>14010104-2023-000312</t>
  </si>
  <si>
    <t>WQ-F04-T3-E15(14U-15U)</t>
  </si>
  <si>
    <t>219801A6E5523CR00084</t>
  </si>
  <si>
    <t>14010104-2023-000172</t>
  </si>
  <si>
    <t>WQ-F04-T3-H04(12U-13U)</t>
  </si>
  <si>
    <t>219801A6E5523CR00118</t>
  </si>
  <si>
    <t>14010104-2023-000194</t>
  </si>
  <si>
    <t>WQ-F04-T3-H04(14U-15U)</t>
  </si>
  <si>
    <t>219801A6E5523CR00174</t>
  </si>
  <si>
    <t>14010104-2023-000235</t>
  </si>
  <si>
    <t>WQ-F04-T3-E15(16U-17U)</t>
  </si>
  <si>
    <t>219801A6E5523CR00070</t>
  </si>
  <si>
    <t>14010104-2023-000258</t>
  </si>
  <si>
    <t>WQ-F04-T3-E15(18U-19U)</t>
  </si>
  <si>
    <t>219801A6E5523CR00076</t>
  </si>
  <si>
    <t>14010104-2023-000313</t>
  </si>
  <si>
    <t>WQ-F04-T3-E15(20U-21U)</t>
  </si>
  <si>
    <t>219801A6E5523CR00149</t>
  </si>
  <si>
    <t>14010104-2023-000200</t>
  </si>
  <si>
    <t>WQ-F04-T3-E15(23U-24U)</t>
  </si>
  <si>
    <t>219801A6E5523CR00050</t>
  </si>
  <si>
    <t>14010104-2023-000186</t>
  </si>
  <si>
    <t>WQ-F04-T3-H04(16U-17U)</t>
  </si>
  <si>
    <t>219801A6E4523CR00031</t>
  </si>
  <si>
    <t>14010104-2023-000022</t>
  </si>
  <si>
    <t>TK-F02-226-A04(25U-26U)</t>
  </si>
  <si>
    <t>219801A6E5523CR00073</t>
  </si>
  <si>
    <t>14010104-2023-000221</t>
  </si>
  <si>
    <t>WQ-F04-T3-E15(25U-26U)</t>
  </si>
  <si>
    <t>219801A6E5523CR00082</t>
  </si>
  <si>
    <t>14010104-2023-000184</t>
  </si>
  <si>
    <t>WQ-F04-T3-H04(18U-19U)</t>
  </si>
  <si>
    <t>219801A6E5523CR00059</t>
  </si>
  <si>
    <t>14010104-2023-000189</t>
  </si>
  <si>
    <t>WQ-F04-T3-H04(20U-21U)</t>
  </si>
  <si>
    <t>219801A6E4523CR00026</t>
  </si>
  <si>
    <t>14010104-2023-000046</t>
  </si>
  <si>
    <t>WQ-F04-T3-E16(6U-7U)</t>
  </si>
  <si>
    <t>219801A6E5523CR00115</t>
  </si>
  <si>
    <t>14010104-2023-000166</t>
  </si>
  <si>
    <t>WQ-F04-T3-H04(23U-24U)</t>
  </si>
  <si>
    <t>219801A6E5523CR00116</t>
  </si>
  <si>
    <t>14010104-2023-000296</t>
  </si>
  <si>
    <t>WQ-F04-T3-E15(27U-28U)</t>
  </si>
  <si>
    <t>219801A6E5523CR00117</t>
  </si>
  <si>
    <t>14010104-2023-000177</t>
  </si>
  <si>
    <t>WQ-F04-T3-H04(25U-26U)</t>
  </si>
  <si>
    <t>219801A6E5523CR00061</t>
  </si>
  <si>
    <t>14010104-2023-000242</t>
  </si>
  <si>
    <t>WQ-F04-T3-E15(29U-30U)</t>
  </si>
  <si>
    <t>219801A6E5523CR00108</t>
  </si>
  <si>
    <t>14010104-2023-000251</t>
  </si>
  <si>
    <t>WQ-F04-T3-E16(2U-3U)</t>
  </si>
  <si>
    <t>219801A6E5523CR00102</t>
  </si>
  <si>
    <t>14010104-2023-000195</t>
  </si>
  <si>
    <t>WQ-F04-T3-H04(27U-28U)</t>
  </si>
  <si>
    <t>219801A6E5523CR00162</t>
  </si>
  <si>
    <t>14010104-2023-000168</t>
  </si>
  <si>
    <t>WQ-F04-T3-H04(29U-30U)</t>
  </si>
  <si>
    <t>219801A6E5523CR00087</t>
  </si>
  <si>
    <t>14010104-2023-000254</t>
  </si>
  <si>
    <t>WQ-F04-T3-E16(4U-5U)</t>
  </si>
  <si>
    <t>219801A6E5523CR00042</t>
  </si>
  <si>
    <t>14010104-2023-000227</t>
  </si>
  <si>
    <t>WQ-F04-T3-F01(2U-3U)</t>
  </si>
  <si>
    <t>219801A6E5523CR00056</t>
  </si>
  <si>
    <t>14010104-2023-000180</t>
  </si>
  <si>
    <t>WQ-F04-T3-H04(4U-5U)</t>
  </si>
  <si>
    <t>219801A6E5523CR00023</t>
  </si>
  <si>
    <t>14010104-2023-000265</t>
  </si>
  <si>
    <t>WQ-F04-T3-E14(6U-7U)</t>
  </si>
  <si>
    <t>219801A6E5523CR00097</t>
  </si>
  <si>
    <t>14010104-2023-000276</t>
  </si>
  <si>
    <t>WQ-F04-T3-E14(8U-9U)</t>
  </si>
  <si>
    <t>219801A6E5523CR00068</t>
  </si>
  <si>
    <t>14010104-2023-000264</t>
  </si>
  <si>
    <t>WQ-F04-T3-E14(10U-11U)</t>
  </si>
  <si>
    <t>219801A6E5523CR00141</t>
  </si>
  <si>
    <t>14010104-2023-000220</t>
  </si>
  <si>
    <t>WQ-F04-T3-E14(12U-13U)</t>
  </si>
  <si>
    <t>219801A6E5523CR00091</t>
  </si>
  <si>
    <t>14010104-2023-000314</t>
  </si>
  <si>
    <t>WQ-F04-T3-E14(14U-15U)</t>
  </si>
  <si>
    <t>219801A6E4523CR00016</t>
  </si>
  <si>
    <t>14010104-2023-000032</t>
  </si>
  <si>
    <t>TK-F02-226-A04(17U-18U)</t>
  </si>
  <si>
    <t>219801A6E5523CR00074</t>
  </si>
  <si>
    <t>14010104-2023-000240</t>
  </si>
  <si>
    <t>WQ-F04-T3-E14(16U-17U)</t>
  </si>
  <si>
    <t>219801A6E4523CR00014</t>
  </si>
  <si>
    <t>14010104-2023-000021</t>
  </si>
  <si>
    <t>TK-F02-226-A04(19U-20U)</t>
  </si>
  <si>
    <t>219801A6E5523CR00112</t>
  </si>
  <si>
    <t>14010104-2023-000289</t>
  </si>
  <si>
    <t>WQ-F04-T3-E15(6U-7U)</t>
  </si>
  <si>
    <t>219801A6E5523CR00172</t>
  </si>
  <si>
    <t>14010104-2023-000188</t>
  </si>
  <si>
    <t>WQ-F04-T3-H04(6U-7U)</t>
  </si>
  <si>
    <t>219801A6E4523CR00019</t>
  </si>
  <si>
    <t>14010104-2023-000052</t>
  </si>
  <si>
    <t>TK-F02-226-A04(21U-22U)</t>
  </si>
  <si>
    <t>219801A6E7523CR00006</t>
  </si>
  <si>
    <t>14010104-2023-000015</t>
  </si>
  <si>
    <t>TK-F02-226-A04(7U-8U)</t>
  </si>
  <si>
    <t>219801A6E5523CR00006</t>
  </si>
  <si>
    <t>14010104-2023-000176</t>
  </si>
  <si>
    <t>WQ-F04-T3-H04(8U-9U)</t>
  </si>
  <si>
    <t>219801A6E4523CR00002</t>
  </si>
  <si>
    <t>14010104-2023-000051</t>
  </si>
  <si>
    <t>TK-F02-226-A04(23U-24U)</t>
  </si>
  <si>
    <t>219801A6E5523CR00113</t>
  </si>
  <si>
    <t>14010104-2023-000266</t>
  </si>
  <si>
    <t>WQ-F04-T3-E15(8U-9U)</t>
  </si>
  <si>
    <t>219801A6E5523CR00104</t>
  </si>
  <si>
    <t>14010104-2023-000301</t>
  </si>
  <si>
    <t>WQ-F04-T3-E15(10U-11U)</t>
  </si>
  <si>
    <t>219801A6E5523CR00007</t>
  </si>
  <si>
    <t>14010104-2023-000162</t>
  </si>
  <si>
    <t>WQ-F04-T3-H04(10U-11U)</t>
  </si>
  <si>
    <t>219801A6E5523CR00094</t>
  </si>
  <si>
    <t>14010104-2023-000237</t>
  </si>
  <si>
    <t>WQ-F04-T3-D07(2U-3U)</t>
  </si>
  <si>
    <t>219801A6E5523CR00029</t>
  </si>
  <si>
    <t>14010104-2023-000271</t>
  </si>
  <si>
    <t>WQ-F04-T3-D07(4U-5U)</t>
  </si>
  <si>
    <t>219801A6E5523CR00028</t>
  </si>
  <si>
    <t>14010104-2023-000263</t>
  </si>
  <si>
    <t>WQ-F04-T3-D07(6U-7U)</t>
  </si>
  <si>
    <t>219801A6E5523CR00040</t>
  </si>
  <si>
    <t>14010104-2023-000212</t>
  </si>
  <si>
    <t>WQ-F04-T3-D07(8U-9U)</t>
  </si>
  <si>
    <t>219801A6E5523CR00158</t>
  </si>
  <si>
    <t>14010104-2023-000178</t>
  </si>
  <si>
    <t>WQ-F04-T3-H03(16U-17U)</t>
  </si>
  <si>
    <t>219801A6E5523CR00060</t>
  </si>
  <si>
    <t>14010104-2023-000174</t>
  </si>
  <si>
    <t>WQ-F04-T3-H03(18U-19U)</t>
  </si>
  <si>
    <t>219801A6E5523CR00008</t>
  </si>
  <si>
    <t>14010104-2023-000303</t>
  </si>
  <si>
    <t>WQ-F04-T3-D07(10U-11U)</t>
  </si>
  <si>
    <t>219801A6E5523CR00012</t>
  </si>
  <si>
    <t>14010104-2023-000206</t>
  </si>
  <si>
    <t>WQ-F04-T3-D07(12U-13U)</t>
  </si>
  <si>
    <t>219801A6E5523CR00077</t>
  </si>
  <si>
    <t>14010104-2023-000159</t>
  </si>
  <si>
    <t>WQ-F04-T3-H03(20U-21U)</t>
  </si>
  <si>
    <t>219801A6E5523CR00163</t>
  </si>
  <si>
    <t>14010104-2023-000243</t>
  </si>
  <si>
    <t>WQ-F04-T3-D07(14U-15U)</t>
  </si>
  <si>
    <t>219801A6E5523CR00138</t>
  </si>
  <si>
    <t>14010104-2023-000147</t>
  </si>
  <si>
    <t>WQ-F04-T3-H03(23U-24U)</t>
  </si>
  <si>
    <t>219801A6E5523CR00022</t>
  </si>
  <si>
    <t>14010104-2023-000306</t>
  </si>
  <si>
    <t>WQ-F04-T3-D07(16U-17U)</t>
  </si>
  <si>
    <t>219801A6E5523CR00003</t>
  </si>
  <si>
    <t>14010104-2023-000290</t>
  </si>
  <si>
    <t>WQ-F04-T3-D07(18U-19U)</t>
  </si>
  <si>
    <t>219801A6E5523CR00089</t>
  </si>
  <si>
    <t>14010104-2023-000185</t>
  </si>
  <si>
    <t>WQ-F04-T3-H03(25U-26U)</t>
  </si>
  <si>
    <t>219801A6E5523CR00063</t>
  </si>
  <si>
    <t>14010104-2023-000199</t>
  </si>
  <si>
    <t>WQ-F04-T3-D07(20U-21U)</t>
  </si>
  <si>
    <t>219801A6E5523CR00092</t>
  </si>
  <si>
    <t>14010104-2023-000211</t>
  </si>
  <si>
    <t>WQ-F04-T3-D07(23U-24U)</t>
  </si>
  <si>
    <t>219801A6E4523CR00003</t>
  </si>
  <si>
    <t>14010104-2023-000039</t>
  </si>
  <si>
    <t>TK-F02-226-A04(15U-16U)</t>
  </si>
  <si>
    <t>219801A6E5523CR00013</t>
  </si>
  <si>
    <t>14010104-2023-000230</t>
  </si>
  <si>
    <t>WQ-F04-T3-D07(25U-26U)</t>
  </si>
  <si>
    <t>219801A6E5523CR00161</t>
  </si>
  <si>
    <t>14010104-2023-000316</t>
  </si>
  <si>
    <t>WQ-F04-T3-E13(2U-3U)</t>
  </si>
  <si>
    <t>219801A6E5523CR00083</t>
  </si>
  <si>
    <t>14010104-2023-000295</t>
  </si>
  <si>
    <t>WQ-F04-T3-E13(4U-5U)</t>
  </si>
  <si>
    <t>219801A6E5523CR00169</t>
  </si>
  <si>
    <t>14010104-2023-000181</t>
  </si>
  <si>
    <t>WQ-F04-T3-H03(27U-28U)</t>
  </si>
  <si>
    <t>219801A6E5523CR00146</t>
  </si>
  <si>
    <t>14010104-2023-000218</t>
  </si>
  <si>
    <t>WQ-F04-T3-E13(6U-7U)</t>
  </si>
  <si>
    <t>219801A6E5523CR00009</t>
  </si>
  <si>
    <t>14010104-2023-000270</t>
  </si>
  <si>
    <t>WQ-F04-T3-E13(8U-9U)</t>
  </si>
  <si>
    <t>219801A6E7523CR00001</t>
  </si>
  <si>
    <t>14010104-2023-000020</t>
  </si>
  <si>
    <t>TK-F02-226-A04(3U-4U)</t>
  </si>
  <si>
    <t>219801A6E5523CR00031</t>
  </si>
  <si>
    <t>14010104-2023-000208</t>
  </si>
  <si>
    <t>WQ-F04-T3-E13(10U-11U)</t>
  </si>
  <si>
    <t>219801A6E5523CR00119</t>
  </si>
  <si>
    <t>14010104-2023-000293</t>
  </si>
  <si>
    <t>WQ-F04-T3-E13(12U-13U)</t>
  </si>
  <si>
    <t>219801A6E7523CR00005</t>
  </si>
  <si>
    <t>14010104-2023-000017</t>
  </si>
  <si>
    <t>TK-F02-226-A04(5U-6U)</t>
  </si>
  <si>
    <t>219801A6E5523CR00052</t>
  </si>
  <si>
    <t>14010104-2023-000281</t>
  </si>
  <si>
    <t>WQ-F04-T3-E13(14U-15U)</t>
  </si>
  <si>
    <t>219801A6E5523CR00030</t>
  </si>
  <si>
    <t>14010104-2023-000215</t>
  </si>
  <si>
    <t>WQ-F04-T3-E13(16U-17U)</t>
  </si>
  <si>
    <t>219801A6E5523CR00099</t>
  </si>
  <si>
    <t>14010104-2023-000150</t>
  </si>
  <si>
    <t>WQ-F04-T3-H03(29U-30U)</t>
  </si>
  <si>
    <t>219801A6E5523CR00100</t>
  </si>
  <si>
    <t>14010104-2023-000169</t>
  </si>
  <si>
    <t>WQ-F04-T3-H04(2U-3U)</t>
  </si>
  <si>
    <t>219801A6E5523CR00150</t>
  </si>
  <si>
    <t>14010104-2023-000274</t>
  </si>
  <si>
    <t>WQ-F04-T3-E14(2U-3U)</t>
  </si>
  <si>
    <t>219801A6E5523CR00114</t>
  </si>
  <si>
    <t>14010104-2023-000241</t>
  </si>
  <si>
    <t>WQ-F04-T3-E14(4U-5U)</t>
  </si>
  <si>
    <t>219801A6E4523CR00017</t>
  </si>
  <si>
    <t>14010104-2023-000034</t>
  </si>
  <si>
    <t>XD-B02-KP-B12(13U-14U)</t>
  </si>
  <si>
    <t>219801A6E5523CR00139</t>
  </si>
  <si>
    <t>14010104-2023-000224</t>
  </si>
  <si>
    <t>WQ-F04-T3-H02(8U-9U)</t>
  </si>
  <si>
    <t>219801A6E5523CR00041</t>
  </si>
  <si>
    <t>14010104-2023-000190</t>
  </si>
  <si>
    <t>WQ-F04-T3-H16(16U-17U)</t>
  </si>
  <si>
    <t>219801A6E5523CR00137</t>
  </si>
  <si>
    <t>14010104-2023-000279</t>
  </si>
  <si>
    <t>WQ-F04-T3-H02(10U-11U)</t>
  </si>
  <si>
    <t>219801A6E5523CR00024</t>
  </si>
  <si>
    <t>14010104-2023-000164</t>
  </si>
  <si>
    <t>WQ-F04-T3-H17(2U-3U)</t>
  </si>
  <si>
    <t>219801A6E5523CR00075</t>
  </si>
  <si>
    <t>14010104-2023-000310</t>
  </si>
  <si>
    <t>WQ-F04-T3-H02(12U-13U)</t>
  </si>
  <si>
    <t>219801A6E5523CR00157</t>
  </si>
  <si>
    <t>14010104-2023-000239</t>
  </si>
  <si>
    <t>WQ-F04-T3-H02(14U-15U)</t>
  </si>
  <si>
    <t>219801A6E5523CR00021</t>
  </si>
  <si>
    <t>14010104-2023-000214</t>
  </si>
  <si>
    <t>WQ-F04-T3-H02(16U-17U)</t>
  </si>
  <si>
    <t>219801A6E5523CR00101</t>
  </si>
  <si>
    <t>14010104-2023-000256</t>
  </si>
  <si>
    <t>WQ-F04-T3-H02(18U-19U)</t>
  </si>
  <si>
    <t>219801A6E5523CR00069</t>
  </si>
  <si>
    <t>14010104-2023-000165</t>
  </si>
  <si>
    <t>WQ-F04-T3-H17(4U-5U)</t>
  </si>
  <si>
    <t>219801A6E5523CR00168</t>
  </si>
  <si>
    <t>14010104-2023-000267</t>
  </si>
  <si>
    <t>WQ-F04-T3-H02(20U-21U)</t>
  </si>
  <si>
    <t>219801A6E5523CR00020</t>
  </si>
  <si>
    <t>14010104-2023-000201</t>
  </si>
  <si>
    <t>WQ-F04-T3-H02(23U-24U)</t>
  </si>
  <si>
    <t>219801A64E523CR00022</t>
  </si>
  <si>
    <t>14010104-2023-000047</t>
  </si>
  <si>
    <t>XD-B02-KP-B12(15U-16U)</t>
  </si>
  <si>
    <t>219801A6E5523CR00054</t>
  </si>
  <si>
    <t>14010104-2023-000319</t>
  </si>
  <si>
    <t>WQ-F04-T3-H02(25U-26U)</t>
  </si>
  <si>
    <t>219801A6E5523CR00055</t>
  </si>
  <si>
    <t>14010104-2023-000307</t>
  </si>
  <si>
    <t>WQ-F04-T3-H02(27U-28U)</t>
  </si>
  <si>
    <t>219801A6E4523CH00020</t>
  </si>
  <si>
    <t>14010104-2023-000026</t>
  </si>
  <si>
    <t>XD-B02-KP-B12(17U-18U)</t>
  </si>
  <si>
    <t>219801A6E4523CR00029</t>
  </si>
  <si>
    <t>14010104-2023-000031</t>
  </si>
  <si>
    <t>XD-B02-KP-B12(19U-20U)</t>
  </si>
  <si>
    <t>219801A6E4523CR00015</t>
  </si>
  <si>
    <t>14010104-2023-000037</t>
  </si>
  <si>
    <t>XD-B02-KP-B12(21U-22U)</t>
  </si>
  <si>
    <t>219801A6E5523CR00171</t>
  </si>
  <si>
    <t>14010104-2023-000277</t>
  </si>
  <si>
    <t>WQ-F04-T3-H02(29U-30U)</t>
  </si>
  <si>
    <t>219801A6E4523CR00032</t>
  </si>
  <si>
    <t>14010104-2023-000041</t>
  </si>
  <si>
    <t>XD-B02-KP-B12(41U-42U)</t>
  </si>
  <si>
    <t>219801A6E5523CR00086</t>
  </si>
  <si>
    <t>14010104-2023-000210</t>
  </si>
  <si>
    <t>WQ-F04-T3-H03(2U-3U)</t>
  </si>
  <si>
    <t>219801A6E5523CR00173</t>
  </si>
  <si>
    <t>14010104-2023-000268</t>
  </si>
  <si>
    <t>WQ-F04-T3-H03(4U-5U)</t>
  </si>
  <si>
    <t>219801A6E7523CR00002</t>
  </si>
  <si>
    <t>14010104-2023-000012</t>
  </si>
  <si>
    <t>XD-B02-KP-A02(24U-25U)</t>
  </si>
  <si>
    <t>219801A6E7523CR00011</t>
  </si>
  <si>
    <t>14010104-2023-000016</t>
  </si>
  <si>
    <t>XD-B02-KP-A02(20U-21U)</t>
  </si>
  <si>
    <t>219801A6E4523CR00023</t>
  </si>
  <si>
    <t>14010104-2023-000040</t>
  </si>
  <si>
    <t>WQ-F04-T3-G02(20U-21U)</t>
  </si>
  <si>
    <t>219801A6E6523CR00001</t>
  </si>
  <si>
    <t>14010104-2023-000008</t>
  </si>
  <si>
    <t>WQ-F04-T3-H05(23U-24U)</t>
  </si>
  <si>
    <t>219801A6E5523CR00090</t>
  </si>
  <si>
    <t>14010104-2023-000197</t>
  </si>
  <si>
    <t>WQ-F04-T3-H16(6U-7U)</t>
  </si>
  <si>
    <t>219801A6E5523CR00154</t>
  </si>
  <si>
    <t>14010104-2023-000202</t>
  </si>
  <si>
    <t>WQ-F04-T3-H01(25U-26U)</t>
  </si>
  <si>
    <t>219801A6E7523CR00003</t>
  </si>
  <si>
    <t>14010104-2023-000019</t>
  </si>
  <si>
    <t>XD-B02-KP-A02(22U-23U)</t>
  </si>
  <si>
    <t>219801A6E5523CR00153</t>
  </si>
  <si>
    <t>14010104-2023-000203</t>
  </si>
  <si>
    <t>WQ-F04-T3-H01(27U-28U)</t>
  </si>
  <si>
    <t>219801A6E5523CR00058</t>
  </si>
  <si>
    <t>14010104-2023-000308</t>
  </si>
  <si>
    <t>WQ-F04-T3-H01(29U-30U)</t>
  </si>
  <si>
    <t>219801A6E5523CR00080</t>
  </si>
  <si>
    <t>14010104-2023-000158</t>
  </si>
  <si>
    <t>WQ-F04-T3-H16(8U-9U)</t>
  </si>
  <si>
    <t>219801A6E5523CR00131</t>
  </si>
  <si>
    <t>14010104-2023-000192</t>
  </si>
  <si>
    <t>WQ-F04-T3-H16(10U-11U)</t>
  </si>
  <si>
    <t>219801A6E5523CR00136</t>
  </si>
  <si>
    <t>14010104-2023-000298</t>
  </si>
  <si>
    <t>WQ-F04-T3-H02(2U-3U)</t>
  </si>
  <si>
    <t>219801A6E4523CR00030</t>
  </si>
  <si>
    <t>14010104-2023-000044</t>
  </si>
  <si>
    <t>WQ-F04-T3-G02(23U-24U)</t>
  </si>
  <si>
    <t>219801A6E5523CR00128</t>
  </si>
  <si>
    <t>14010104-2023-000170</t>
  </si>
  <si>
    <t>WQ-F04-T3-H16(12U-13U)</t>
  </si>
  <si>
    <t>219801A6E5523CR00135</t>
  </si>
  <si>
    <t>14010104-2023-000280</t>
  </si>
  <si>
    <t>WQ-F04-T3-H02(4U-5U)</t>
  </si>
  <si>
    <t>219801A6E5523CR00072</t>
  </si>
  <si>
    <t>14010104-2023-000300</t>
  </si>
  <si>
    <t>WQ-F04-T3-H02(6U-7U)</t>
  </si>
  <si>
    <t>219801A6E4523CR00013</t>
  </si>
  <si>
    <t>14010104-2023-000050</t>
  </si>
  <si>
    <t>WQ-F04-T3-G02(25U-26U)</t>
  </si>
  <si>
    <t>219801A6E5523CR00081</t>
  </si>
  <si>
    <t>14010104-2023-000151</t>
  </si>
  <si>
    <t>WQ-F04-T3-H16(14U-15U)</t>
  </si>
  <si>
    <t>219801A6E5523CR00064</t>
  </si>
  <si>
    <t>14010104-2023-000244</t>
  </si>
  <si>
    <t>WQ-F04-T3-F17(6U-7U)</t>
  </si>
  <si>
    <t>219801A6E5523CR00039</t>
  </si>
  <si>
    <t>14010104-2023-000278</t>
  </si>
  <si>
    <t>WQ-F04-T3-F17(8U-9U)</t>
  </si>
  <si>
    <t>219801A6E4523CR00005</t>
  </si>
  <si>
    <t>14010104-2023-000045</t>
  </si>
  <si>
    <t>WQ-F04-T3-E16(20U-21U)</t>
  </si>
  <si>
    <t>219801A6E5523CR00048</t>
  </si>
  <si>
    <t>14010104-2023-000179</t>
  </si>
  <si>
    <t>WQ-F04-T3-H05(12U-13U)</t>
  </si>
  <si>
    <t>219801A6E7523CR00008</t>
  </si>
  <si>
    <t>14010104-2023-000013</t>
  </si>
  <si>
    <t>TK-F02-226-A04(13U-14U)</t>
  </si>
  <si>
    <t>219801A6E5523CR00049</t>
  </si>
  <si>
    <t>14010104-2023-000246</t>
  </si>
  <si>
    <t>WQ-F04-T3-F17(10U-11U)</t>
  </si>
  <si>
    <t>219801A6E5523CR00005</t>
  </si>
  <si>
    <t>14010104-2023-000163</t>
  </si>
  <si>
    <t>WQ-F04-T3-H05(14U-15U)</t>
  </si>
  <si>
    <t>219801A6E4523CR00001</t>
  </si>
  <si>
    <t>14010104-2023-000048</t>
  </si>
  <si>
    <t>WQ-F04-T3-F02(14U-15U)</t>
  </si>
  <si>
    <t>219801A6E5523CR00053</t>
  </si>
  <si>
    <t>14010104-2023-000161</t>
  </si>
  <si>
    <t>WQ-F04-T3-H05(16U-17U)</t>
  </si>
  <si>
    <t>219801A6E4523CR00027</t>
  </si>
  <si>
    <t>14010104-2023-000033</t>
  </si>
  <si>
    <t>WQ-F04-T3-F02(16U-17U)</t>
  </si>
  <si>
    <t>219801A6E4523CR00018</t>
  </si>
  <si>
    <t>14010104-2023-000027</t>
  </si>
  <si>
    <t>WQ-F04-T3-F02(18U-19U)</t>
  </si>
  <si>
    <t>219801A6E5523CR00142</t>
  </si>
  <si>
    <t>14010104-2023-000248</t>
  </si>
  <si>
    <t>WQ-F04-T3-F17(12U-13U)</t>
  </si>
  <si>
    <t>219801A6E5523CR00078</t>
  </si>
  <si>
    <t>14010104-2023-000193</t>
  </si>
  <si>
    <t>WQ-F04-T3-H05(18U-19U)</t>
  </si>
  <si>
    <t>219801A6E4523CR00024</t>
  </si>
  <si>
    <t>14010104-2023-000042</t>
  </si>
  <si>
    <t>WQ-F04-T3-F02(20U-21U)</t>
  </si>
  <si>
    <t>219801A6E5523CR00159</t>
  </si>
  <si>
    <t>14010104-2023-000154</t>
  </si>
  <si>
    <t>WQ-F04-T3-H15(2U-3U)</t>
  </si>
  <si>
    <t>219801A6E5523CR00167</t>
  </si>
  <si>
    <t>14010104-2023-000222</t>
  </si>
  <si>
    <t>WQ-F04-T3-F17(14U-15U)</t>
  </si>
  <si>
    <t>219801A6E5523CR00043</t>
  </si>
  <si>
    <t>14010104-2023-000236</t>
  </si>
  <si>
    <t>WQ-F04-T3-F17(16U-17U)</t>
  </si>
  <si>
    <t>219801A6E5523CR00098</t>
  </si>
  <si>
    <t>14010104-2023-000260</t>
  </si>
  <si>
    <t>WQ-F04-T3-G01(4U-5U)</t>
  </si>
  <si>
    <t>219801A6E5523CR00016</t>
  </si>
  <si>
    <t>14010104-2023-000187</t>
  </si>
  <si>
    <t>WQ-F04-T3-H15(4U-5U)</t>
  </si>
  <si>
    <t>219801A6E5523CR00065</t>
  </si>
  <si>
    <t>14010104-2023-000160</t>
  </si>
  <si>
    <t>WQ-F04-T3-H15(6U-7U)</t>
  </si>
  <si>
    <t>219801A6E5523CR00166</t>
  </si>
  <si>
    <t>14010104-2023-000205</t>
  </si>
  <si>
    <t>WQ-F04-T3-G01(6U-7U)</t>
  </si>
  <si>
    <t>219801A6E5523CR00164</t>
  </si>
  <si>
    <t>14010104-2023-000191</t>
  </si>
  <si>
    <t>WQ-F04-T3-H15(8U-9U)</t>
  </si>
  <si>
    <t>219801A6E5523CR00018</t>
  </si>
  <si>
    <t>14010104-2023-000283</t>
  </si>
  <si>
    <t>WQ-F04-T3-G01(8U-9U)</t>
  </si>
  <si>
    <t>219801A6E5523CR00032</t>
  </si>
  <si>
    <t>14010104-2023-000291</t>
  </si>
  <si>
    <t>WQ-F04-T3-G01(10U-11U)</t>
  </si>
  <si>
    <t>219801A6E5523CR00129</t>
  </si>
  <si>
    <t>14010104-2023-000155</t>
  </si>
  <si>
    <t>WQ-F04-T3-H15(10U-11U)</t>
  </si>
  <si>
    <t>219801A6E5523CR00033</t>
  </si>
  <si>
    <t>14010104-2023-000294</t>
  </si>
  <si>
    <t>WQ-F04-T3-G01(12U-13U)</t>
  </si>
  <si>
    <t>219801A6E5523CR00025</t>
  </si>
  <si>
    <t>14010104-2023-000217</t>
  </si>
  <si>
    <t>WQ-F04-T3-G01(14U-15U)</t>
  </si>
  <si>
    <t>219801A6E5523CR00170</t>
  </si>
  <si>
    <t>14010104-2023-000317</t>
  </si>
  <si>
    <t>WQ-F04-T3-G01(16U-17U)</t>
  </si>
  <si>
    <t>219801A6E5523CR00014</t>
  </si>
  <si>
    <t>14010104-2023-000238</t>
  </si>
  <si>
    <t>WQ-F04-T3-G01(18U-19U)</t>
  </si>
  <si>
    <t>219801A6E5523CR00175</t>
  </si>
  <si>
    <t>14010104-2023-000269</t>
  </si>
  <si>
    <t>WQ-F04-T3-G01(20U-21U)</t>
  </si>
  <si>
    <t>219801A6E5523CR00062</t>
  </si>
  <si>
    <t>14010104-2023-000175</t>
  </si>
  <si>
    <t>WQ-F04-T3-H15(12U-13U)</t>
  </si>
  <si>
    <t>219801A6E5523CR00143</t>
  </si>
  <si>
    <t>14010104-2023-000152</t>
  </si>
  <si>
    <t>WQ-F04-T3-H15(14U-15U)</t>
  </si>
  <si>
    <t>219801A6E5523CR00011</t>
  </si>
  <si>
    <t>14010104-2023-000292</t>
  </si>
  <si>
    <t>WQ-F04-T3-G01(23U-24U)</t>
  </si>
  <si>
    <t>219801A6E5523CR00126</t>
  </si>
  <si>
    <t>14010104-2023-000272</t>
  </si>
  <si>
    <t>WQ-F04-T3-G01(25U-26U)</t>
  </si>
  <si>
    <t>219801A6E5523CR00015</t>
  </si>
  <si>
    <t>14010104-2023-000233</t>
  </si>
  <si>
    <t>WQ-F04-T3-G01(27U-28U)</t>
  </si>
  <si>
    <t>219801A6E5523CR00156</t>
  </si>
  <si>
    <t>14010104-2023-000207</t>
  </si>
  <si>
    <t>WQ-F04-T3-G02(2U-3U)</t>
  </si>
  <si>
    <t>219801A6E5523CR00051</t>
  </si>
  <si>
    <t>14010104-2023-000213</t>
  </si>
  <si>
    <t>WQ-F04-T3-G02(4U-5U)</t>
  </si>
  <si>
    <t>219801A6E5523CR00057</t>
  </si>
  <si>
    <t>14010104-2023-000297</t>
  </si>
  <si>
    <t>WQ-F04-T3-G02(6U-7U)</t>
  </si>
  <si>
    <t>219801A6E5523CR00106</t>
  </si>
  <si>
    <t>14010104-2023-000255</t>
  </si>
  <si>
    <t>WQ-F04-T3-G02(8U-9U)</t>
  </si>
  <si>
    <t>219801A6E5523CR00004</t>
  </si>
  <si>
    <t>14010104-2023-000262</t>
  </si>
  <si>
    <t>WQ-F04-T3-G02(10U-11U)</t>
  </si>
  <si>
    <t>219801A6E5523CR00045</t>
  </si>
  <si>
    <t>14010104-2023-000318</t>
  </si>
  <si>
    <t>WQ-F04-T3-G02(12U-13U)</t>
  </si>
  <si>
    <t>219801A6E5523CR00066</t>
  </si>
  <si>
    <t>14010104-2023-000284</t>
  </si>
  <si>
    <t>WQ-F04-T3-G14(2U-3U)</t>
  </si>
  <si>
    <t>219801A6E7523CR00009</t>
  </si>
  <si>
    <t>14010104-2023-000009</t>
  </si>
  <si>
    <t>XD-B02-KP-A02(14U-15U)</t>
  </si>
  <si>
    <t>219801A6E5523CR00109</t>
  </si>
  <si>
    <t>14010104-2023-000182</t>
  </si>
  <si>
    <t>WQ-F04-T3-H15(16U-17U)</t>
  </si>
  <si>
    <t>219801A6E5523CR00067</t>
  </si>
  <si>
    <t>14010104-2023-000231</t>
  </si>
  <si>
    <t>WQ-F04-T3-G14(4U-5U)</t>
  </si>
  <si>
    <t>219801A6E5523CR00132</t>
  </si>
  <si>
    <t>14010104-2023-000273</t>
  </si>
  <si>
    <t>WQ-F04-T3-G14(6U-7U)</t>
  </si>
  <si>
    <t>219801A6E5523CR00001</t>
  </si>
  <si>
    <t>14010104-2023-000299</t>
  </si>
  <si>
    <t>WQ-F04-T3-H01(2U-3U)</t>
  </si>
  <si>
    <t>219801A6E5523CR00144</t>
  </si>
  <si>
    <t>14010104-2023-000157</t>
  </si>
  <si>
    <t>WQ-F04-T3-H16(2U-3U)</t>
  </si>
  <si>
    <t>219801A6E5523CR00134</t>
  </si>
  <si>
    <t>14010104-2023-000286</t>
  </si>
  <si>
    <t>WQ-F04-T3-H01(4U-5U)</t>
  </si>
  <si>
    <t>219801A6E5523CR00002</t>
  </si>
  <si>
    <t>14010104-2023-000225</t>
  </si>
  <si>
    <t>WQ-F04-T3-H01(6U-7U)</t>
  </si>
  <si>
    <t>219801A6E6523CR00002</t>
  </si>
  <si>
    <t>14010104-2023-000007</t>
  </si>
  <si>
    <t>WQ-F04-T3-H05(20U-21U)</t>
  </si>
  <si>
    <t>219801A6E5523CR00121</t>
  </si>
  <si>
    <t>14010104-2023-000226</t>
  </si>
  <si>
    <t>WQ-F04-T3-H01(8U-9U)</t>
  </si>
  <si>
    <t>219801A6E5523CR00133</t>
  </si>
  <si>
    <t>14010104-2023-000305</t>
  </si>
  <si>
    <t>WQ-F04-T3-H01(10U-11U)</t>
  </si>
  <si>
    <t>219801A6E4523CR00025</t>
  </si>
  <si>
    <t>14010104-2023-000030</t>
  </si>
  <si>
    <t>WQ-F04-T3-F02(23U-24U)</t>
  </si>
  <si>
    <t>219801A6E5523CR00140</t>
  </si>
  <si>
    <t>14010104-2023-000245</t>
  </si>
  <si>
    <t>WQ-F04-T3-H01(12U-13U)</t>
  </si>
  <si>
    <t>219801A6E4523CR00009</t>
  </si>
  <si>
    <t>14010104-2023-000023</t>
  </si>
  <si>
    <t>WQ-F04-T3-F02(25U-26U)</t>
  </si>
  <si>
    <t>219801A6E5523CR00120</t>
  </si>
  <si>
    <t>14010104-2023-000219</t>
  </si>
  <si>
    <t>WQ-F04-T3-H01(14U-15U)</t>
  </si>
  <si>
    <t>219801A6E5523CR00026</t>
  </si>
  <si>
    <t>14010104-2023-000282</t>
  </si>
  <si>
    <t>WQ-F04-T3-H01(16U-17U)</t>
  </si>
  <si>
    <t>219801A6E7523CR00004</t>
  </si>
  <si>
    <t>14010104-2023-000018</t>
  </si>
  <si>
    <t>XD-B02-KP-A02(16U-17U)</t>
  </si>
  <si>
    <t>219801A6E5523CR00096</t>
  </si>
  <si>
    <t>14010104-2023-000149</t>
  </si>
  <si>
    <t>WQ-F04-T3-H16(4U-5U)</t>
  </si>
  <si>
    <t>219801A6E7523CR00007</t>
  </si>
  <si>
    <t>14010104-2023-000014</t>
  </si>
  <si>
    <t>XD-B02-KP-A02(18U-19U)</t>
  </si>
  <si>
    <t>219801A6E5523CR00147</t>
  </si>
  <si>
    <t>14010104-2023-000252</t>
  </si>
  <si>
    <t>WQ-F04-T3-H01(18U-19U)</t>
  </si>
  <si>
    <t>219801A6E5523CR00085</t>
  </si>
  <si>
    <t>14010104-2023-000249</t>
  </si>
  <si>
    <t>WQ-F04-T3-H01(20U-21U)</t>
  </si>
  <si>
    <t>219801A6E5523CR00110</t>
  </si>
  <si>
    <t>14010104-2023-000321</t>
  </si>
  <si>
    <t>WQ-F04-T3-H01(23U-24U)</t>
  </si>
  <si>
    <t>219801A6E4523CR00006</t>
  </si>
  <si>
    <t>14010104-2023-000043</t>
  </si>
  <si>
    <t>WQ-F04-T3-G02(14U-15U)</t>
  </si>
  <si>
    <t>219801A6E4523CR00007</t>
  </si>
  <si>
    <t>14010104-2023-000029</t>
  </si>
  <si>
    <t>WQ-F04-T3-G02(16U-17U)</t>
  </si>
  <si>
    <t>219801A6E4523CR00021</t>
  </si>
  <si>
    <t>14010104-2023-000024</t>
  </si>
  <si>
    <t>WQ-F04-T3-G02(18U-19U)</t>
  </si>
  <si>
    <t>中科可控R6240H0</t>
  </si>
  <si>
    <t>9800183908085849</t>
  </si>
  <si>
    <t>14010104-2023-000452</t>
  </si>
  <si>
    <t>WQ-F04-T3-E07(12U-13U)</t>
  </si>
  <si>
    <t>9800183908085784</t>
  </si>
  <si>
    <t>14010104-2023-000572</t>
  </si>
  <si>
    <t>WQ-F04-T3-E02(4U-5U)</t>
  </si>
  <si>
    <t>9800183908085838</t>
  </si>
  <si>
    <t>14010104-2023-000554</t>
  </si>
  <si>
    <t>WQ-F04-T3-E02(6U-7U)</t>
  </si>
  <si>
    <t>9800183908085801</t>
  </si>
  <si>
    <t>14010104-2023-000527</t>
  </si>
  <si>
    <t>WQ-F04-T3-E02(8U-9U)</t>
  </si>
  <si>
    <t>9800183908085777</t>
  </si>
  <si>
    <t>14010104-2023-000529</t>
  </si>
  <si>
    <t>WQ-F04-T3-E02(10U-11U)</t>
  </si>
  <si>
    <t>9800183908085822</t>
  </si>
  <si>
    <t>14010104-2023-000528</t>
  </si>
  <si>
    <t>WQ-F04-T3-E02(12U-13U)</t>
  </si>
  <si>
    <t>9800183908085859</t>
  </si>
  <si>
    <t>14010104-2023-000376</t>
  </si>
  <si>
    <t>WQ-F04-T3-G04(16U-17U)</t>
  </si>
  <si>
    <t>9800183908085853</t>
  </si>
  <si>
    <t>14010104-2023-000521</t>
  </si>
  <si>
    <t>WQ-F04-T3-E02(14U-15U)</t>
  </si>
  <si>
    <t>9800183908085863</t>
  </si>
  <si>
    <t>14010104-2023-000482</t>
  </si>
  <si>
    <t>WQ-F04-T3-E07(14U-15U)</t>
  </si>
  <si>
    <t>9800183908085861</t>
  </si>
  <si>
    <t>14010104-2023-000400</t>
  </si>
  <si>
    <t>WQ-F04-T3-G05(2U-3U)</t>
  </si>
  <si>
    <t>9800183908085845</t>
  </si>
  <si>
    <t>14010104-2023-000387</t>
  </si>
  <si>
    <t>WQ-F04-T3-G05(4U-5U)</t>
  </si>
  <si>
    <t>9800183908085800</t>
  </si>
  <si>
    <t>14010104-2023-000393</t>
  </si>
  <si>
    <t>WQ-F04-T3-G05(6U-7U)</t>
  </si>
  <si>
    <t>9800183908085803</t>
  </si>
  <si>
    <t>14010104-2023-000520</t>
  </si>
  <si>
    <t>WQ-F04-T3-E02(16U-17U)</t>
  </si>
  <si>
    <t>9800183908085847</t>
  </si>
  <si>
    <t>14010104-2023-000378</t>
  </si>
  <si>
    <t>WQ-F04-T3-G05(8U-9U)</t>
  </si>
  <si>
    <t>9800183908085854</t>
  </si>
  <si>
    <t>14010104-2023-000539</t>
  </si>
  <si>
    <t>WQ-F04-T3-E02(18U-19U)</t>
  </si>
  <si>
    <t>9800183908085695</t>
  </si>
  <si>
    <t>14010104-2023-000461</t>
  </si>
  <si>
    <t>WQ-F04-T3-E07(16U-17U)</t>
  </si>
  <si>
    <t>9800183908085768</t>
  </si>
  <si>
    <t>14010104-2023-000442</t>
  </si>
  <si>
    <t>WQ-F04-T3-E07(18U-19U)</t>
  </si>
  <si>
    <t>9800183908085888</t>
  </si>
  <si>
    <t>14010104-2023-000550</t>
  </si>
  <si>
    <t>WQ-F04-T3-E02(20U-21U)</t>
  </si>
  <si>
    <t>9800183908085891</t>
  </si>
  <si>
    <t>14010104-2023-000494</t>
  </si>
  <si>
    <t>WQ-F04-T3-E07(20U-21U)</t>
  </si>
  <si>
    <t>9800183908085706</t>
  </si>
  <si>
    <t>14010104-2023-000413</t>
  </si>
  <si>
    <t>WQ-F04-T3-G05(10U-11U)</t>
  </si>
  <si>
    <t>9800183908085904</t>
  </si>
  <si>
    <t>14010104-2023-000505</t>
  </si>
  <si>
    <t>WQ-F04-T3-E07(23U-24U)</t>
  </si>
  <si>
    <t>9800183908085844</t>
  </si>
  <si>
    <t>14010104-2023-000409</t>
  </si>
  <si>
    <t>WQ-F04-T3-G05(12U-13U)</t>
  </si>
  <si>
    <t>9800183908085862</t>
  </si>
  <si>
    <t>14010104-2023-000467</t>
  </si>
  <si>
    <t>WQ-F04-T3-E07(25U-26U)</t>
  </si>
  <si>
    <t>9800183908085836</t>
  </si>
  <si>
    <t>14010104-2023-000519</t>
  </si>
  <si>
    <t>WQ-F04-T3-E02(23U-24U)</t>
  </si>
  <si>
    <t>9800183908085720</t>
  </si>
  <si>
    <t>14010104-2023-000416</t>
  </si>
  <si>
    <t>WQ-F04-T3-G05(14U-15U)</t>
  </si>
  <si>
    <t>9800183908085850</t>
  </si>
  <si>
    <t>14010104-2023-000451</t>
  </si>
  <si>
    <t>WQ-F04-T3-E09(27U-28U)</t>
  </si>
  <si>
    <t>9800183908085887</t>
  </si>
  <si>
    <t>14010104-2023-000488</t>
  </si>
  <si>
    <t>WQ-F04-T3-E09(29U-30U)</t>
  </si>
  <si>
    <t>9800183908085846</t>
  </si>
  <si>
    <t>14010104-2023-000366</t>
  </si>
  <si>
    <t>WQ-F04-T3-H09(4U-5U)</t>
  </si>
  <si>
    <t>9800183908085736</t>
  </si>
  <si>
    <t>14010104-2023-000541</t>
  </si>
  <si>
    <t>WQ-F04-T3-E03(27U-28U)</t>
  </si>
  <si>
    <t>9800183908085680</t>
  </si>
  <si>
    <t>14010104-2023-000472</t>
  </si>
  <si>
    <t>WQ-F04-T3-E15(2U-3U)</t>
  </si>
  <si>
    <t>9800183908085819</t>
  </si>
  <si>
    <t>14010104-2023-000574</t>
  </si>
  <si>
    <t>WQ-F04-T3-E03(29U-30U)</t>
  </si>
  <si>
    <t>9800183908085823</t>
  </si>
  <si>
    <t>14010104-2023-000379</t>
  </si>
  <si>
    <t>WQ-F04-T3-H09(6U-7U)</t>
  </si>
  <si>
    <t>9800183908085728</t>
  </si>
  <si>
    <t>14010104-2023-000476</t>
  </si>
  <si>
    <t>WQ-F04-T3-E15(4U-5U)</t>
  </si>
  <si>
    <t>9800183908085889</t>
  </si>
  <si>
    <t>14010104-2023-000525</t>
  </si>
  <si>
    <t>WQ-F04-T3-E04(2U-3U)</t>
  </si>
  <si>
    <t>9800183908085879</t>
  </si>
  <si>
    <t>14010104-2023-000380</t>
  </si>
  <si>
    <t>WQ-F04-T3-H09(8U-9U)</t>
  </si>
  <si>
    <t>9800183908085719</t>
  </si>
  <si>
    <t>14010104-2023-000581</t>
  </si>
  <si>
    <t>WQ-F04-T3-E04(4U-5U)</t>
  </si>
  <si>
    <t>9800183908085730</t>
  </si>
  <si>
    <t>14010104-2023-000427</t>
  </si>
  <si>
    <t>WQ-F04-T3-F03(16U-17U)</t>
  </si>
  <si>
    <t>9800183908085785</t>
  </si>
  <si>
    <t>14010104-2023-000445</t>
  </si>
  <si>
    <t>WQ-F04-T3-F03(18U-19U)</t>
  </si>
  <si>
    <t>9800183908085896</t>
  </si>
  <si>
    <t>14010104-2023-000362</t>
  </si>
  <si>
    <t>WQ-F04-T3-H09(10U-11U)</t>
  </si>
  <si>
    <t>9800183908085873</t>
  </si>
  <si>
    <t>14010104-2023-000386</t>
  </si>
  <si>
    <t>WQ-F04-T3-H09(12U-13U)</t>
  </si>
  <si>
    <t>9800183908085731</t>
  </si>
  <si>
    <t>14010104-2023-000449</t>
  </si>
  <si>
    <t>WQ-F04-T3-F03(20U-21U)</t>
  </si>
  <si>
    <t>9800183908085771</t>
  </si>
  <si>
    <t>14010104-2023-000457</t>
  </si>
  <si>
    <t>WQ-F04-T3-F03(23U-24U)</t>
  </si>
  <si>
    <t>9800183908085723</t>
  </si>
  <si>
    <t>14010104-2023-000422</t>
  </si>
  <si>
    <t>WQ-F04-T3-F03(25U-26U)</t>
  </si>
  <si>
    <t>9800183908085733</t>
  </si>
  <si>
    <t>14010104-2023-000430</t>
  </si>
  <si>
    <t>WQ-F04-T3-F03(27U-28U)</t>
  </si>
  <si>
    <t>9800183908085767</t>
  </si>
  <si>
    <t>14010104-2023-000394</t>
  </si>
  <si>
    <t>WQ-F04-T3-H09(14U-15U)</t>
  </si>
  <si>
    <t>9800183908085780</t>
  </si>
  <si>
    <t>14010104-2023-000515</t>
  </si>
  <si>
    <t>WQ-F04-T3-E04(6U-7U)</t>
  </si>
  <si>
    <t>9800183908085902</t>
  </si>
  <si>
    <t>14010104-2023-000355</t>
  </si>
  <si>
    <t>WQ-F04-T3-H09(16U-17U)</t>
  </si>
  <si>
    <t>9800183908085876</t>
  </si>
  <si>
    <t>14010104-2023-000381</t>
  </si>
  <si>
    <t>WQ-F04-T3-H09(18U-19U)</t>
  </si>
  <si>
    <t>9800183908085894</t>
  </si>
  <si>
    <t>14010104-2023-000360</t>
  </si>
  <si>
    <t>WQ-F04-T3-H09(20U-21U)</t>
  </si>
  <si>
    <t>9800183908085734</t>
  </si>
  <si>
    <t>14010104-2023-000473</t>
  </si>
  <si>
    <t>WQ-F04-T3-F03(29U-30U)</t>
  </si>
  <si>
    <t>9800183908085753</t>
  </si>
  <si>
    <t>14010104-2023-000484</t>
  </si>
  <si>
    <t>WQ-F04-T3-F04(16U-17U)</t>
  </si>
  <si>
    <t>9800183908085895</t>
  </si>
  <si>
    <t>14010104-2023-000391</t>
  </si>
  <si>
    <t>WQ-F04-T3-H09(23U-24U)</t>
  </si>
  <si>
    <t>9800183908085682</t>
  </si>
  <si>
    <t>14010104-2023-000493</t>
  </si>
  <si>
    <t>WQ-F04-T3-E08(23U-24U)</t>
  </si>
  <si>
    <t>9800183908085681</t>
  </si>
  <si>
    <t>14010104-2023-000480</t>
  </si>
  <si>
    <t>WQ-F04-T3-E08(25U-26U)</t>
  </si>
  <si>
    <t>9800183908085839</t>
  </si>
  <si>
    <t>14010104-2023-000580</t>
  </si>
  <si>
    <t>WQ-F04-T3-E03(12U-13U)</t>
  </si>
  <si>
    <t>9800183908085758</t>
  </si>
  <si>
    <t>14010104-2023-000436</t>
  </si>
  <si>
    <t>WQ-F04-T3-E08(27U-28U)</t>
  </si>
  <si>
    <t>9800183908085875</t>
  </si>
  <si>
    <t>14010104-2023-000491</t>
  </si>
  <si>
    <t>WQ-F04-T3-E08(29U-30U)</t>
  </si>
  <si>
    <t>9800183908085834</t>
  </si>
  <si>
    <t>14010104-2023-000463</t>
  </si>
  <si>
    <t>WQ-F04-T3-E09(2U-3U)</t>
  </si>
  <si>
    <t>9800183908085761</t>
  </si>
  <si>
    <t>14010104-2023-000415</t>
  </si>
  <si>
    <t>WQ-F04-T3-H08(20U-21U)</t>
  </si>
  <si>
    <t>9800183908085783</t>
  </si>
  <si>
    <t>14010104-2023-000504</t>
  </si>
  <si>
    <t>WQ-F04-T3-E09(4U-5U)</t>
  </si>
  <si>
    <t>9800183908085799</t>
  </si>
  <si>
    <t>14010104-2023-000506</t>
  </si>
  <si>
    <t>WQ-F04-T3-E09(6U-7U)</t>
  </si>
  <si>
    <t>9800183908085685</t>
  </si>
  <si>
    <t>14010104-2023-000375</t>
  </si>
  <si>
    <t>WQ-F04-T3-H08(23U-24U)</t>
  </si>
  <si>
    <t>9800183908085687</t>
  </si>
  <si>
    <t>14010104-2023-000365</t>
  </si>
  <si>
    <t>WQ-F04-T3-H08(25U-26U)</t>
  </si>
  <si>
    <t>9800183908085752</t>
  </si>
  <si>
    <t>14010104-2023-000543</t>
  </si>
  <si>
    <t>WQ-F04-T3-E03(14U-15U)</t>
  </si>
  <si>
    <t>9800183908085716</t>
  </si>
  <si>
    <t>14010104-2023-000561</t>
  </si>
  <si>
    <t>WQ-F04-T3-E03(16U-17U)</t>
  </si>
  <si>
    <t>9800183908085826</t>
  </si>
  <si>
    <t>14010104-2023-000453</t>
  </si>
  <si>
    <t>WQ-F04-T3-E09(8U-9U)</t>
  </si>
  <si>
    <t>9800183908085878</t>
  </si>
  <si>
    <t>14010104-2023-000489</t>
  </si>
  <si>
    <t>WQ-F04-T3-E09(10U-11U)</t>
  </si>
  <si>
    <t>9800183908085721</t>
  </si>
  <si>
    <t>14010104-2023-000577</t>
  </si>
  <si>
    <t>WQ-F04-T3-E03(18U-19U)</t>
  </si>
  <si>
    <t>9800183908085796</t>
  </si>
  <si>
    <t>14010104-2023-000359</t>
  </si>
  <si>
    <t>WQ-F04-T3-H08(27U-28U)</t>
  </si>
  <si>
    <t>9800183908085892</t>
  </si>
  <si>
    <t>14010104-2023-000401</t>
  </si>
  <si>
    <t>WQ-F04-T3-H08(29U-30U)</t>
  </si>
  <si>
    <t>9800183908085782</t>
  </si>
  <si>
    <t>14010104-2023-000431</t>
  </si>
  <si>
    <t>WQ-F04-T3-E09(12U-13U)</t>
  </si>
  <si>
    <t>9800183908085683</t>
  </si>
  <si>
    <t>14010104-2023-000553</t>
  </si>
  <si>
    <t>WQ-F04-T3-E03(20U-21U)</t>
  </si>
  <si>
    <t>9800183908085906</t>
  </si>
  <si>
    <t>14010104-2023-000479</t>
  </si>
  <si>
    <t>WQ-F04-T3-E09(14U-15U)</t>
  </si>
  <si>
    <t>9800183908085831</t>
  </si>
  <si>
    <t>14010104-2023-000563</t>
  </si>
  <si>
    <t>WQ-F04-T3-E03(23U-24U)</t>
  </si>
  <si>
    <t>9800183908085705</t>
  </si>
  <si>
    <t>14010104-2023-000395</t>
  </si>
  <si>
    <t>WQ-F04-T3-H09(2U-3U)</t>
  </si>
  <si>
    <t>9800183908085717</t>
  </si>
  <si>
    <t>14010104-2023-000492</t>
  </si>
  <si>
    <t>WQ-F04-T3-E09(16U-17U)</t>
  </si>
  <si>
    <t>9800183908085712</t>
  </si>
  <si>
    <t>14010104-2023-000478</t>
  </si>
  <si>
    <t>WQ-F04-T3-E09(18U-19U)</t>
  </si>
  <si>
    <t>9800183908085870</t>
  </si>
  <si>
    <t>14010104-2023-000486</t>
  </si>
  <si>
    <t>WQ-F04-T3-E09(20U-21U)</t>
  </si>
  <si>
    <t>9800183908085832</t>
  </si>
  <si>
    <t>14010104-2023-000443</t>
  </si>
  <si>
    <t>WQ-F04-T3-E09(23U-24U)</t>
  </si>
  <si>
    <t>9800183908085907</t>
  </si>
  <si>
    <t>14010104-2023-000456</t>
  </si>
  <si>
    <t>WQ-F04-T3-E09(25U-26U)</t>
  </si>
  <si>
    <t>9800183908085908</t>
  </si>
  <si>
    <t>14010104-2023-000557</t>
  </si>
  <si>
    <t>WQ-F04-T3-E03(25U-26U)</t>
  </si>
  <si>
    <t>9800183908085701</t>
  </si>
  <si>
    <t>14010104-2023-000373</t>
  </si>
  <si>
    <t>WQ-F04-T3-G04(8U-9U)</t>
  </si>
  <si>
    <t>9800183908085833</t>
  </si>
  <si>
    <t>14010104-2023-000551</t>
  </si>
  <si>
    <t>WQ-F04-T3-E01(20U-21U)</t>
  </si>
  <si>
    <t>9800183908085804</t>
  </si>
  <si>
    <t>14010104-2023-000508</t>
  </si>
  <si>
    <t>WQ-F04-T3-E01(23U-24U)</t>
  </si>
  <si>
    <t>9800183908085877</t>
  </si>
  <si>
    <t>14010104-2023-000446</t>
  </si>
  <si>
    <t>WQ-F04-T3-E07(8U-9U)</t>
  </si>
  <si>
    <t>9800183908085708</t>
  </si>
  <si>
    <t>14010104-2023-000583</t>
  </si>
  <si>
    <t>WQ-F04-T3-E01(25U-26U)</t>
  </si>
  <si>
    <t>9800183908085856</t>
  </si>
  <si>
    <t>14010104-2023-000535</t>
  </si>
  <si>
    <t>WQ-F04-T3-E01(27U-28U)</t>
  </si>
  <si>
    <t>9800183908085810</t>
  </si>
  <si>
    <t>14010104-2023-000411</t>
  </si>
  <si>
    <t>WQ-F04-T3-G04(10U-11U)</t>
  </si>
  <si>
    <t>9800183908085688</t>
  </si>
  <si>
    <t>14010104-2023-000428</t>
  </si>
  <si>
    <t>WQ-F04-T3-E07(10U-11U)</t>
  </si>
  <si>
    <t>9800183908085710</t>
  </si>
  <si>
    <t>14010104-2023-000582</t>
  </si>
  <si>
    <t>WQ-F04-T3-E01(29U-30U)</t>
  </si>
  <si>
    <t>9800183908085813</t>
  </si>
  <si>
    <t>14010104-2023-000371</t>
  </si>
  <si>
    <t>WQ-F04-T3-G04(12U-13U)</t>
  </si>
  <si>
    <t>9800183908085899</t>
  </si>
  <si>
    <t>14010104-2023-000564</t>
  </si>
  <si>
    <t>WQ-F04-T3-E02(2U-3U)</t>
  </si>
  <si>
    <t>9800183908085698</t>
  </si>
  <si>
    <t>14010104-2023-000414</t>
  </si>
  <si>
    <t>WQ-F04-T3-G04(14U-15U)</t>
  </si>
  <si>
    <t>9800183908085711</t>
  </si>
  <si>
    <t>14010104-2023-000570</t>
  </si>
  <si>
    <t>WQ-F04-T3-E05(29U-30U)</t>
  </si>
  <si>
    <t>9800183908085880</t>
  </si>
  <si>
    <t>14010104-2023-000406</t>
  </si>
  <si>
    <t>WQ-F04-T3-H11(25U-26U)</t>
  </si>
  <si>
    <t>9800183908085882</t>
  </si>
  <si>
    <t>14010104-2023-000556</t>
  </si>
  <si>
    <t>WQ-F04-T3-E06(2U-3U)</t>
  </si>
  <si>
    <t>9800183908085842</t>
  </si>
  <si>
    <t>14010104-2023-000560</t>
  </si>
  <si>
    <t>WQ-F04-T3-E06(4U-5U)</t>
  </si>
  <si>
    <t>9800183908085791</t>
  </si>
  <si>
    <t>14010104-2023-000385</t>
  </si>
  <si>
    <t>WQ-F04-T3-H12(2U-3U)</t>
  </si>
  <si>
    <t>9800183908085714</t>
  </si>
  <si>
    <t>14010104-2023-000423</t>
  </si>
  <si>
    <t>WQ-F04-T3-F06(10U-11U)</t>
  </si>
  <si>
    <t>9800183908085726</t>
  </si>
  <si>
    <t>14010104-2023-000383</t>
  </si>
  <si>
    <t>WQ-F04-T3-H12(4U-5U)</t>
  </si>
  <si>
    <t>9800183908085738</t>
  </si>
  <si>
    <t>14010104-2023-000369</t>
  </si>
  <si>
    <t>WQ-F04-T3-H12(6U-7U)</t>
  </si>
  <si>
    <t>9800183908085775</t>
  </si>
  <si>
    <t>14010104-2023-000377</t>
  </si>
  <si>
    <t>WQ-F04-T3-H12(8U-9U)</t>
  </si>
  <si>
    <t>9800183908085787</t>
  </si>
  <si>
    <t>14010104-2023-000363</t>
  </si>
  <si>
    <t>WQ-F04-T3-H12(10U-11U)</t>
  </si>
  <si>
    <t>9800183908085795</t>
  </si>
  <si>
    <t>14010104-2023-000579</t>
  </si>
  <si>
    <t>WQ-F04-T3-E06(6U-7U)</t>
  </si>
  <si>
    <t>9800183908085750</t>
  </si>
  <si>
    <t>14010104-2023-000432</t>
  </si>
  <si>
    <t>WQ-F04-T3-F06(12U-13U)</t>
  </si>
  <si>
    <t>9800183908085742</t>
  </si>
  <si>
    <t>14010104-2023-000392</t>
  </si>
  <si>
    <t>WQ-F04-T3-H12(12U-13U)</t>
  </si>
  <si>
    <t>9800183908085764</t>
  </si>
  <si>
    <t>14010104-2023-000555</t>
  </si>
  <si>
    <t>WQ-F04-T3-E06(8U-9U)</t>
  </si>
  <si>
    <t>9800183908085715</t>
  </si>
  <si>
    <t>14010104-2023-000471</t>
  </si>
  <si>
    <t>WQ-F04-T3-F06(14U-15U)</t>
  </si>
  <si>
    <t>9800183908085811</t>
  </si>
  <si>
    <t>14010104-2023-000474</t>
  </si>
  <si>
    <t>WQ-F04-T3-G03(2U-3U)</t>
  </si>
  <si>
    <t>9800183908085809</t>
  </si>
  <si>
    <t>14010104-2023-000545</t>
  </si>
  <si>
    <t>WQ-F04-T3-E06(10U-11U)</t>
  </si>
  <si>
    <t>9800183908085745</t>
  </si>
  <si>
    <t>14010104-2023-000382</t>
  </si>
  <si>
    <t>WQ-F04-T3-H12(14U-15U)</t>
  </si>
  <si>
    <t>9800183908085741</t>
  </si>
  <si>
    <t>14010104-2023-000361</t>
  </si>
  <si>
    <t>WQ-F04-T3-H12(16U-17U)</t>
  </si>
  <si>
    <t>9800183908085696</t>
  </si>
  <si>
    <t>14010104-2023-000477</t>
  </si>
  <si>
    <t>WQ-F04-T3-G03(4U-5U)</t>
  </si>
  <si>
    <t>9800183908085694</t>
  </si>
  <si>
    <t>14010104-2023-000503</t>
  </si>
  <si>
    <t>WQ-F04-T3-G03(6U-7U)</t>
  </si>
  <si>
    <t>9800183908085686</t>
  </si>
  <si>
    <t>14010104-2023-000466</t>
  </si>
  <si>
    <t>WQ-F04-T3-G03(8U-9U)</t>
  </si>
  <si>
    <t>9800183908085718</t>
  </si>
  <si>
    <t>14010104-2023-000470</t>
  </si>
  <si>
    <t>WQ-F04-T3-G03(10U-11U)</t>
  </si>
  <si>
    <t>9800183908085770</t>
  </si>
  <si>
    <t>14010104-2023-000421</t>
  </si>
  <si>
    <t>WQ-F04-T3-F05(18U-19U)</t>
  </si>
  <si>
    <t>9800183908085776</t>
  </si>
  <si>
    <t>14010104-2023-000499</t>
  </si>
  <si>
    <t>WQ-F04-T3-F05(20U-21U)</t>
  </si>
  <si>
    <t>9800183908085773</t>
  </si>
  <si>
    <t>14010104-2023-000468</t>
  </si>
  <si>
    <t>WQ-F04-T3-F05(23U-24U)</t>
  </si>
  <si>
    <t>9800183908085746</t>
  </si>
  <si>
    <t>14010104-2023-000420</t>
  </si>
  <si>
    <t>WQ-F04-T3-F05(25U-26U)</t>
  </si>
  <si>
    <t>9800183908085829</t>
  </si>
  <si>
    <t>14010104-2023-000518</t>
  </si>
  <si>
    <t>WQ-F04-T3-E05(8U-9U)</t>
  </si>
  <si>
    <t>9800183908085739</t>
  </si>
  <si>
    <t>14010104-2023-000390</t>
  </si>
  <si>
    <t>WQ-F04-T3-H11(10U-11U)</t>
  </si>
  <si>
    <t>9800183908085722</t>
  </si>
  <si>
    <t>14010104-2023-000407</t>
  </si>
  <si>
    <t>WQ-F04-T3-H11(12U-13U)</t>
  </si>
  <si>
    <t>9800183908085724</t>
  </si>
  <si>
    <t>14010104-2023-000502</t>
  </si>
  <si>
    <t>WQ-F04-T3-F05(27U-28U)</t>
  </si>
  <si>
    <t>9800183908085732</t>
  </si>
  <si>
    <t>14010104-2023-000412</t>
  </si>
  <si>
    <t>WQ-F04-T3-H11(14U-15U)</t>
  </si>
  <si>
    <t>9800183908085865</t>
  </si>
  <si>
    <t>14010104-2023-000558</t>
  </si>
  <si>
    <t>WQ-F04-T3-E05(10U-11U)</t>
  </si>
  <si>
    <t>9800183908085729</t>
  </si>
  <si>
    <t>14010104-2023-000501</t>
  </si>
  <si>
    <t>WQ-F04-T3-F05(29U-30U)</t>
  </si>
  <si>
    <t>9800183908085815</t>
  </si>
  <si>
    <t>14010104-2023-000568</t>
  </si>
  <si>
    <t>WQ-F04-T3-E05(12U-13U)</t>
  </si>
  <si>
    <t>9800183908085727</t>
  </si>
  <si>
    <t>14010104-2023-000498</t>
  </si>
  <si>
    <t>WQ-F04-T3-F06(2U-3U)</t>
  </si>
  <si>
    <t>9800183908085786</t>
  </si>
  <si>
    <t>14010104-2023-000403</t>
  </si>
  <si>
    <t>WQ-F04-T3-H11(16U-17U)</t>
  </si>
  <si>
    <t>9800183908085900</t>
  </si>
  <si>
    <t>14010104-2023-000513</t>
  </si>
  <si>
    <t>WQ-F04-T3-E05(14U-15U)</t>
  </si>
  <si>
    <t>9800183908085744</t>
  </si>
  <si>
    <t>14010104-2023-000405</t>
  </si>
  <si>
    <t>WQ-F04-T3-H11(18U-19U)</t>
  </si>
  <si>
    <t>9800183908085774</t>
  </si>
  <si>
    <t>14010104-2023-000448</t>
  </si>
  <si>
    <t>WQ-F04-T3-F06(4U-5U)</t>
  </si>
  <si>
    <t>9800183908085737</t>
  </si>
  <si>
    <t>14010104-2023-000485</t>
  </si>
  <si>
    <t>WQ-F04-T3-F06(6U-7U)</t>
  </si>
  <si>
    <t>9800183908085759</t>
  </si>
  <si>
    <t>14010104-2023-000514</t>
  </si>
  <si>
    <t>WQ-F04-T3-E05(16U-17U)</t>
  </si>
  <si>
    <t>9800183908085788</t>
  </si>
  <si>
    <t>14010104-2023-000429</t>
  </si>
  <si>
    <t>WQ-F04-T3-F06(8U-9U)</t>
  </si>
  <si>
    <t>9800183908085756</t>
  </si>
  <si>
    <t>14010104-2023-000510</t>
  </si>
  <si>
    <t>WQ-F04-T3-E05(18U-19U)</t>
  </si>
  <si>
    <t>9800183908085821</t>
  </si>
  <si>
    <t>14010104-2023-000532</t>
  </si>
  <si>
    <t>WQ-F04-T3-E05(20U-21U)</t>
  </si>
  <si>
    <t>9800183908085806</t>
  </si>
  <si>
    <t>14010104-2023-000576</t>
  </si>
  <si>
    <t>WQ-F04-T3-E05(23U-24U)</t>
  </si>
  <si>
    <t>9800183908085697</t>
  </si>
  <si>
    <t>14010104-2023-000548</t>
  </si>
  <si>
    <t>WQ-F04-T3-E05(25U-26U)</t>
  </si>
  <si>
    <t>9800183908085778</t>
  </si>
  <si>
    <t>14010104-2023-000398</t>
  </si>
  <si>
    <t>WQ-F04-T3-H11(20U-21U)</t>
  </si>
  <si>
    <t>9800183908085830</t>
  </si>
  <si>
    <t>14010104-2023-000573</t>
  </si>
  <si>
    <t>WQ-F04-T3-E05(27U-28U)</t>
  </si>
  <si>
    <t>9800183908085703</t>
  </si>
  <si>
    <t>14010104-2023-000384</t>
  </si>
  <si>
    <t>WQ-F04-T3-H11(23U-24U)</t>
  </si>
  <si>
    <t>9800183908085898</t>
  </si>
  <si>
    <t>14010104-2023-000569</t>
  </si>
  <si>
    <t>WQ-F04-T3-E02(25U-26U)</t>
  </si>
  <si>
    <t>9800183908085883</t>
  </si>
  <si>
    <t>14010104-2023-000549</t>
  </si>
  <si>
    <t>WQ-F04-T3-E02(27U-28U)</t>
  </si>
  <si>
    <t>9800183908085820</t>
  </si>
  <si>
    <t>14010104-2023-000511</t>
  </si>
  <si>
    <t>WQ-F04-T3-E02(29U-30U)</t>
  </si>
  <si>
    <t>9800183908085808</t>
  </si>
  <si>
    <t>14010104-2023-000426</t>
  </si>
  <si>
    <t>WQ-F04-T3-E07(27U-28U)</t>
  </si>
  <si>
    <t>9800183908085763</t>
  </si>
  <si>
    <t>14010104-2023-000481</t>
  </si>
  <si>
    <t>WQ-F04-T3-E07(29U-30U)</t>
  </si>
  <si>
    <t>9800183908085857</t>
  </si>
  <si>
    <t>14010104-2023-000444</t>
  </si>
  <si>
    <t>WQ-F04-T3-E08(2U-3U)</t>
  </si>
  <si>
    <t>9800183908085793</t>
  </si>
  <si>
    <t>14010104-2023-000419</t>
  </si>
  <si>
    <t>WQ-F04-T3-E08(4U-5U)</t>
  </si>
  <si>
    <t>9800183908085766</t>
  </si>
  <si>
    <t>14010104-2023-000447</t>
  </si>
  <si>
    <t>WQ-F04-T3-E08(6U-7U)</t>
  </si>
  <si>
    <t>9800183908085812</t>
  </si>
  <si>
    <t>14010104-2023-000496</t>
  </si>
  <si>
    <t>WQ-F04-T3-E08(8U-9U)</t>
  </si>
  <si>
    <t>9800183908085818</t>
  </si>
  <si>
    <t>14010104-2023-000542</t>
  </si>
  <si>
    <t>WQ-F04-T3-E03(2U-3U)</t>
  </si>
  <si>
    <t>9800183908085699</t>
  </si>
  <si>
    <t>14010104-2023-000500</t>
  </si>
  <si>
    <t>WQ-F04-T3-E08(10U-11U)</t>
  </si>
  <si>
    <t>9800183908085762</t>
  </si>
  <si>
    <t>14010104-2023-000367</t>
  </si>
  <si>
    <t>WQ-F04-T3-G05(16U-17U)</t>
  </si>
  <si>
    <t>9800183908085814</t>
  </si>
  <si>
    <t>14010104-2023-000370</t>
  </si>
  <si>
    <t>WQ-F04-T3-H08(18U-19U)</t>
  </si>
  <si>
    <t>9800183908085684</t>
  </si>
  <si>
    <t>14010104-2023-000495</t>
  </si>
  <si>
    <t>WQ-F04-T3-E08(12U-13U)</t>
  </si>
  <si>
    <t>9800183908085864</t>
  </si>
  <si>
    <t>14010104-2023-000450</t>
  </si>
  <si>
    <t>WQ-F04-T3-E08(14U-15U)</t>
  </si>
  <si>
    <t>9800183908085893</t>
  </si>
  <si>
    <t>14010104-2023-000455</t>
  </si>
  <si>
    <t>WQ-F04-T3-E08(16U-17U)</t>
  </si>
  <si>
    <t>9800183908085872</t>
  </si>
  <si>
    <t>14010104-2023-000540</t>
  </si>
  <si>
    <t>WQ-F04-T3-E03(4U-5U)</t>
  </si>
  <si>
    <t>9800183908085805</t>
  </si>
  <si>
    <t>14010104-2023-000438</t>
  </si>
  <si>
    <t>WQ-F04-T3-E08(18U-19U)</t>
  </si>
  <si>
    <t>9800183908085867</t>
  </si>
  <si>
    <t>14010104-2023-000522</t>
  </si>
  <si>
    <t>WQ-F04-T3-E03(6U-7U)</t>
  </si>
  <si>
    <t>9800183908085817</t>
  </si>
  <si>
    <t>14010104-2023-000567</t>
  </si>
  <si>
    <t>WQ-F04-T3-E03(8U-9U)</t>
  </si>
  <si>
    <t>9800183908085885</t>
  </si>
  <si>
    <t>14010104-2023-000536</t>
  </si>
  <si>
    <t>WQ-F04-T3-E03(10U-11U)</t>
  </si>
  <si>
    <t>9800183908085897</t>
  </si>
  <si>
    <t>14010104-2023-000490</t>
  </si>
  <si>
    <t>WQ-F04-T3-E08(20U-21U)</t>
  </si>
  <si>
    <t>9800183908085884</t>
  </si>
  <si>
    <t>14010104-2023-000575</t>
  </si>
  <si>
    <t>WQ-F04-T3-E04(8U-9U)</t>
  </si>
  <si>
    <t>9800183908085905</t>
  </si>
  <si>
    <t>14010104-2023-000566</t>
  </si>
  <si>
    <t>WQ-F04-T3-E04(10U-11U)</t>
  </si>
  <si>
    <t>9800183908085792</t>
  </si>
  <si>
    <t>14010104-2023-000418</t>
  </si>
  <si>
    <t>WQ-F04-T3-F04(18U-19U)</t>
  </si>
  <si>
    <t>9800183908085789</t>
  </si>
  <si>
    <t>14010104-2023-000469</t>
  </si>
  <si>
    <t>WQ-F04-T3-F04(20U-21U)</t>
  </si>
  <si>
    <t>9800183908085760</t>
  </si>
  <si>
    <t>14010104-2023-000547</t>
  </si>
  <si>
    <t>WQ-F04-T3-E04(12U-13U)</t>
  </si>
  <si>
    <t>9800183908085757</t>
  </si>
  <si>
    <t>14010104-2023-000571</t>
  </si>
  <si>
    <t>WQ-F04-T3-E04(14U-15U)</t>
  </si>
  <si>
    <t>9800183908085843</t>
  </si>
  <si>
    <t>14010104-2023-000397</t>
  </si>
  <si>
    <t>WQ-F04-T3-H09(25U-26U)</t>
  </si>
  <si>
    <t>9800183908085700</t>
  </si>
  <si>
    <t>14010104-2023-000512</t>
  </si>
  <si>
    <t>WQ-F04-T3-E04(16U-17U)</t>
  </si>
  <si>
    <t>9800183908085749</t>
  </si>
  <si>
    <t>14010104-2023-000487</t>
  </si>
  <si>
    <t>WQ-F04-T3-F04(23U-24U)</t>
  </si>
  <si>
    <t>9800183908085798</t>
  </si>
  <si>
    <t>14010104-2023-000417</t>
  </si>
  <si>
    <t>WQ-F04-T3-H09(27U-28U)</t>
  </si>
  <si>
    <t>9800183908085869</t>
  </si>
  <si>
    <t>14010104-2023-000534</t>
  </si>
  <si>
    <t>WQ-F04-T3-E04(18U-19U)</t>
  </si>
  <si>
    <t>9800183908085886</t>
  </si>
  <si>
    <t>14010104-2023-000523</t>
  </si>
  <si>
    <t>WQ-F04-T3-E04(20U-21U)</t>
  </si>
  <si>
    <t>9800183908085852</t>
  </si>
  <si>
    <t>14010104-2023-000565</t>
  </si>
  <si>
    <t>WQ-F04-T3-E04(23U-24U)</t>
  </si>
  <si>
    <t>9800183908085743</t>
  </si>
  <si>
    <t>14010104-2023-000358</t>
  </si>
  <si>
    <t>WQ-F04-T3-H11(2U-3U)</t>
  </si>
  <si>
    <t>9800183908085735</t>
  </si>
  <si>
    <t>14010104-2023-000497</t>
  </si>
  <si>
    <t>WQ-F04-T3-F04(25U-26U)</t>
  </si>
  <si>
    <t>9800183908085704</t>
  </si>
  <si>
    <t>14010104-2023-000524</t>
  </si>
  <si>
    <t>WQ-F04-T3-E04(25U-26U)</t>
  </si>
  <si>
    <t>9800183908085851</t>
  </si>
  <si>
    <t>14010104-2023-000546</t>
  </si>
  <si>
    <t>WQ-F04-T3-E04(27U-28U)</t>
  </si>
  <si>
    <t>9800183908085868</t>
  </si>
  <si>
    <t>14010104-2023-000531</t>
  </si>
  <si>
    <t>WQ-F04-T3-E04(29U-30U)</t>
  </si>
  <si>
    <t>9800183908085754</t>
  </si>
  <si>
    <t>14010104-2023-000537</t>
  </si>
  <si>
    <t>WQ-F04-T3-E05(2U-3U)</t>
  </si>
  <si>
    <t>9800183908085747</t>
  </si>
  <si>
    <t>14010104-2023-000402</t>
  </si>
  <si>
    <t>WQ-F04-T3-H11(4U-5U)</t>
  </si>
  <si>
    <t>9800183908085740</t>
  </si>
  <si>
    <t>14010104-2023-000441</t>
  </si>
  <si>
    <t>WQ-F04-T3-F04(27U-28U)</t>
  </si>
  <si>
    <t>9800183908085772</t>
  </si>
  <si>
    <t>14010104-2023-000368</t>
  </si>
  <si>
    <t>WQ-F04-T3-H11(6U-7U)</t>
  </si>
  <si>
    <t>9800183908085751</t>
  </si>
  <si>
    <t>14010104-2023-000483</t>
  </si>
  <si>
    <t>WQ-F04-T3-F04(29U-30U)</t>
  </si>
  <si>
    <t>9800183908085855</t>
  </si>
  <si>
    <t>14010104-2023-000552</t>
  </si>
  <si>
    <t>WQ-F04-T3-E05(4U-5U)</t>
  </si>
  <si>
    <t>9800183908085781</t>
  </si>
  <si>
    <t>14010104-2023-000562</t>
  </si>
  <si>
    <t>WQ-F04-T3-E05(6U-7U)</t>
  </si>
  <si>
    <t>9800183908085725</t>
  </si>
  <si>
    <t>14010104-2023-000357</t>
  </si>
  <si>
    <t>WQ-F04-T3-H11(8U-9U)</t>
  </si>
  <si>
    <t>9800183908085748</t>
  </si>
  <si>
    <t>14010104-2023-000458</t>
  </si>
  <si>
    <t>WQ-F04-T3-F05(16U-17U)</t>
  </si>
  <si>
    <t>9800183908085692</t>
  </si>
  <si>
    <t>14010104-2023-000465</t>
  </si>
  <si>
    <t>WQ-F04-T3-G03(12U-13U)</t>
  </si>
  <si>
    <t>9800183908085790</t>
  </si>
  <si>
    <t>14010104-2023-000389</t>
  </si>
  <si>
    <t>WQ-F04-T3-H12(18U-19U)</t>
  </si>
  <si>
    <t>9800183908085871</t>
  </si>
  <si>
    <t>14010104-2023-000437</t>
  </si>
  <si>
    <t>WQ-F04-T3-G03(14U-15U)</t>
  </si>
  <si>
    <t>9800183908085866</t>
  </si>
  <si>
    <t>14010104-2023-000459</t>
  </si>
  <si>
    <t>WQ-F04-T3-G03(16U-17U)</t>
  </si>
  <si>
    <t>9800183908085769</t>
  </si>
  <si>
    <t>14010104-2023-000396</t>
  </si>
  <si>
    <t>WQ-F04-T3-H12(20U-21U)</t>
  </si>
  <si>
    <t>9800183908085901</t>
  </si>
  <si>
    <t>14010104-2023-000440</t>
  </si>
  <si>
    <t>WQ-F04-T3-G03(18U-19U)</t>
  </si>
  <si>
    <t>9800183908085689</t>
  </si>
  <si>
    <t>14010104-2023-000404</t>
  </si>
  <si>
    <t>WQ-F04-T3-H12(23U-24U)</t>
  </si>
  <si>
    <t>9800183908085807</t>
  </si>
  <si>
    <t>14010104-2023-000530</t>
  </si>
  <si>
    <t>WQ-F04-T3-E06(12U-13U)</t>
  </si>
  <si>
    <t>9800183908085690</t>
  </si>
  <si>
    <t>14010104-2023-000454</t>
  </si>
  <si>
    <t>WQ-F04-T3-G03(20U-21U)</t>
  </si>
  <si>
    <t>9800183908085797</t>
  </si>
  <si>
    <t>14010104-2023-000578</t>
  </si>
  <si>
    <t>WQ-F04-T3-E06(14U-15U)</t>
  </si>
  <si>
    <t>9800183908085794</t>
  </si>
  <si>
    <t>14010104-2023-000388</t>
  </si>
  <si>
    <t>WQ-F04-T3-H12(25U-26U)</t>
  </si>
  <si>
    <t>9800183908085755</t>
  </si>
  <si>
    <t>14010104-2023-000356</t>
  </si>
  <si>
    <t>WQ-F04-T3-G03(23U-24U)</t>
  </si>
  <si>
    <t>9800183908085713</t>
  </si>
  <si>
    <t>14010104-2023-000475</t>
  </si>
  <si>
    <t>WQ-F04-T3-E06(16U-17U)</t>
  </si>
  <si>
    <t>9800183908085825</t>
  </si>
  <si>
    <t>14010104-2023-000424</t>
  </si>
  <si>
    <t>WQ-F04-T3-E06(18U-19U)</t>
  </si>
  <si>
    <t>9800183908085903</t>
  </si>
  <si>
    <t>14010104-2023-000410</t>
  </si>
  <si>
    <t>WQ-F04-T3-G03(25U-26U)</t>
  </si>
  <si>
    <t>9800183908085841</t>
  </si>
  <si>
    <t>14010104-2023-000433</t>
  </si>
  <si>
    <t>WQ-F04-T3-E06(20U-21U)</t>
  </si>
  <si>
    <t>9800183908085890</t>
  </si>
  <si>
    <t>14010104-2023-000460</t>
  </si>
  <si>
    <t>WQ-F04-T3-E06(23U-24U)</t>
  </si>
  <si>
    <t>9800183908085828</t>
  </si>
  <si>
    <t>14010104-2023-000559</t>
  </si>
  <si>
    <t>WQ-F04-T3-E01(2U-3U)</t>
  </si>
  <si>
    <t>9800183908085709</t>
  </si>
  <si>
    <t>14010104-2023-000464</t>
  </si>
  <si>
    <t>WQ-F04-T3-E06(25U-26U)</t>
  </si>
  <si>
    <t>9800183908085816</t>
  </si>
  <si>
    <t>14010104-2023-000364</t>
  </si>
  <si>
    <t>WQ-F04-T3-G03(27U-28U)</t>
  </si>
  <si>
    <t>9800183908085707</t>
  </si>
  <si>
    <t>14010104-2023-000509</t>
  </si>
  <si>
    <t>WQ-F04-T3-E01(4U-5U)</t>
  </si>
  <si>
    <t>9800183908085779</t>
  </si>
  <si>
    <t>14010104-2023-000507</t>
  </si>
  <si>
    <t>WQ-F04-T3-E01(6U-7U)</t>
  </si>
  <si>
    <t>9800183908085858</t>
  </si>
  <si>
    <t>14010104-2023-000374</t>
  </si>
  <si>
    <t>WQ-F04-T3-G03(29U-30U)</t>
  </si>
  <si>
    <t>9800183908085693</t>
  </si>
  <si>
    <t>14010104-2023-000538</t>
  </si>
  <si>
    <t>WQ-F04-T3-E01(8U-9U)</t>
  </si>
  <si>
    <t>9800183908085824</t>
  </si>
  <si>
    <t>14010104-2023-000462</t>
  </si>
  <si>
    <t>WQ-F04-T3-E06(27U-28U)</t>
  </si>
  <si>
    <t>9800183908085835</t>
  </si>
  <si>
    <t>14010104-2023-000544</t>
  </si>
  <si>
    <t>WQ-F04-T3-E01(10U-11U)</t>
  </si>
  <si>
    <t>9800183908085860</t>
  </si>
  <si>
    <t>14010104-2023-000372</t>
  </si>
  <si>
    <t>WQ-F04-T3-G04(2U-3U)</t>
  </si>
  <si>
    <t>9800183908085802</t>
  </si>
  <si>
    <t>14010104-2023-000435</t>
  </si>
  <si>
    <t>WQ-F04-T3-E06(29U-30U)</t>
  </si>
  <si>
    <t>9800183908085840</t>
  </si>
  <si>
    <t>14010104-2023-000434</t>
  </si>
  <si>
    <t>WQ-F04-T3-E07(2U-3U)</t>
  </si>
  <si>
    <t>9800183908085691</t>
  </si>
  <si>
    <t>14010104-2023-000533</t>
  </si>
  <si>
    <t>WQ-F04-T3-E01(12U-13U)</t>
  </si>
  <si>
    <t>9800183908085765</t>
  </si>
  <si>
    <t>14010104-2023-000516</t>
  </si>
  <si>
    <t>WQ-F04-T3-E01(14U-15U)</t>
  </si>
  <si>
    <t>9800183908085702</t>
  </si>
  <si>
    <t>14010104-2023-000408</t>
  </si>
  <si>
    <t>WQ-F04-T3-G04(4U-5U)</t>
  </si>
  <si>
    <t>9800183908085848</t>
  </si>
  <si>
    <t>14010104-2023-000526</t>
  </si>
  <si>
    <t>WQ-F04-T3-E01(16U-17U)</t>
  </si>
  <si>
    <t>9800183908085874</t>
  </si>
  <si>
    <t>14010104-2023-000399</t>
  </si>
  <si>
    <t>WQ-F04-T3-G04(6U-7U)</t>
  </si>
  <si>
    <t>9800183908085881</t>
  </si>
  <si>
    <t>14010104-2023-000425</t>
  </si>
  <si>
    <t>WQ-F04-T3-E07(4U-5U)</t>
  </si>
  <si>
    <t>9800183908085837</t>
  </si>
  <si>
    <t>14010104-2023-000517</t>
  </si>
  <si>
    <t>WQ-F04-T3-E01(18U-19U)</t>
  </si>
  <si>
    <t>9800183908085827</t>
  </si>
  <si>
    <t>14010104-2023-000439</t>
  </si>
  <si>
    <t>WQ-F04-T3-E07(6U-7U)</t>
  </si>
  <si>
    <t>中科可控X7840H0</t>
  </si>
  <si>
    <t>9800187908086432</t>
  </si>
  <si>
    <t>14010104-2023-000064</t>
  </si>
  <si>
    <t>WQ-F04-T3-C02(2U-5U)</t>
  </si>
  <si>
    <t>9800187908086424</t>
  </si>
  <si>
    <t>14010104-2023-000060</t>
  </si>
  <si>
    <t>WQ-F04-T3-C02(6U-9U)</t>
  </si>
  <si>
    <t>9800187908086431</t>
  </si>
  <si>
    <t>14010104-2023-000053</t>
  </si>
  <si>
    <t>WQ-F04-T3-D14(23U-26U)</t>
  </si>
  <si>
    <t>9800187908086436</t>
  </si>
  <si>
    <t>14010104-2023-000055</t>
  </si>
  <si>
    <t>WQ-F04-T3-D14(6U-9U)</t>
  </si>
  <si>
    <t>9800187908086435</t>
  </si>
  <si>
    <t>14010104-2023-000054</t>
  </si>
  <si>
    <t>WQ-F04-T3-C02(10U-13U)</t>
  </si>
  <si>
    <t>9800187908086430</t>
  </si>
  <si>
    <t>14010104-2023-000058</t>
  </si>
  <si>
    <t>WQ-F04-T3-C02(14U-17U)</t>
  </si>
  <si>
    <t>9800187908086423</t>
  </si>
  <si>
    <t>14010104-2023-000057</t>
  </si>
  <si>
    <t>WQ-F04-T3-D14(10U-13U)</t>
  </si>
  <si>
    <t>9800187908086434</t>
  </si>
  <si>
    <t>14010104-2023-000061</t>
  </si>
  <si>
    <t>WQ-F04-T3-H06(2U-5U)</t>
  </si>
  <si>
    <t>9800187908086429</t>
  </si>
  <si>
    <t>14010104-2023-000065</t>
  </si>
  <si>
    <t>WQ-F04-T3-H06(6U-9U)</t>
  </si>
  <si>
    <t>9800187908086428</t>
  </si>
  <si>
    <t>14010104-2023-000066</t>
  </si>
  <si>
    <t>WQ-F04-T3-C02(18U-21U)</t>
  </si>
  <si>
    <t>9800187908086427</t>
  </si>
  <si>
    <t>14010104-2023-000063</t>
  </si>
  <si>
    <t>WQ-F04-T3-C02(23U-26U)</t>
  </si>
  <si>
    <t>9800187908086425</t>
  </si>
  <si>
    <t>14010104-2023-000056</t>
  </si>
  <si>
    <t>WQ-F04-T3-D14(2U-5U)</t>
  </si>
  <si>
    <t>9800187908086426</t>
  </si>
  <si>
    <t>14010104-2023-000059</t>
  </si>
  <si>
    <t>WQ-F04-T3-D14(14U-17U)</t>
  </si>
  <si>
    <t>9800187908086433</t>
  </si>
  <si>
    <t>14010104-2023-000062</t>
  </si>
  <si>
    <t>WQ-F04-T3-D14(18U-21U)</t>
  </si>
  <si>
    <t>中铁信GTSK2250</t>
  </si>
  <si>
    <t>21811742336A23C27005</t>
  </si>
  <si>
    <t>14010104-2023-000115</t>
  </si>
  <si>
    <t>WQ-F04-T3-F08(4U-5U)</t>
  </si>
  <si>
    <t>21811742336A23C27012</t>
  </si>
  <si>
    <t>14010104-2023-000140</t>
  </si>
  <si>
    <t>WQ-F04-T3-F08(6U-7U)</t>
  </si>
  <si>
    <t>21811742336A23C00005</t>
  </si>
  <si>
    <t>14010104-2023-000137</t>
  </si>
  <si>
    <t>WQ-F04-T3-F08(8U-9U)</t>
  </si>
  <si>
    <t>21811742332A24100015</t>
  </si>
  <si>
    <t>14010104-2023-000339</t>
  </si>
  <si>
    <t>WQ-F04-T3-F05(14U-15U)</t>
  </si>
  <si>
    <t>21811742332A24100008</t>
  </si>
  <si>
    <t>14010104-2023-000350</t>
  </si>
  <si>
    <t>WQ-F04-T3-D13(23U-24U)</t>
  </si>
  <si>
    <t>21811742336A23C27031</t>
  </si>
  <si>
    <t>14010104-2023-000129</t>
  </si>
  <si>
    <t>WQ-F04-T3-D12(4U-5U)</t>
  </si>
  <si>
    <t>21811742336A23C27030</t>
  </si>
  <si>
    <t>14010104-2023-000122</t>
  </si>
  <si>
    <t>WQ-F04-T3-D12(6U-7U)</t>
  </si>
  <si>
    <t>21811742336A23C00009</t>
  </si>
  <si>
    <t>14010104-2023-000085</t>
  </si>
  <si>
    <t>WQ-F04-T3-F08(18U-19U)</t>
  </si>
  <si>
    <t>21811742336A23C27004</t>
  </si>
  <si>
    <t>14010104-2023-000069</t>
  </si>
  <si>
    <t>WQ-F04-T3-F08(20U-21U)</t>
  </si>
  <si>
    <t>21811742336A23C27053</t>
  </si>
  <si>
    <t>14010104-2023-000139</t>
  </si>
  <si>
    <t>WQ-F04-T3-D12(8U-9U)</t>
  </si>
  <si>
    <t>21811742332A24100016</t>
  </si>
  <si>
    <t>14010104-2023-000327</t>
  </si>
  <si>
    <t>WQ-F04-T3-D13(25U-26U)</t>
  </si>
  <si>
    <t>21811742336A23C27040</t>
  </si>
  <si>
    <t>14010104-2023-000123</t>
  </si>
  <si>
    <t>WQ-F04-T3-D12(10U-11U)</t>
  </si>
  <si>
    <t>21811742336A23C00006</t>
  </si>
  <si>
    <t>14010104-2023-000083</t>
  </si>
  <si>
    <t>WQ-F04-T3-F08(23U-24U)</t>
  </si>
  <si>
    <t>21811742336A23C27045</t>
  </si>
  <si>
    <t>14010104-2023-000118</t>
  </si>
  <si>
    <t>WQ-F04-T3-D12(12U-13U)</t>
  </si>
  <si>
    <t>21811742336A23C27029</t>
  </si>
  <si>
    <t>14010104-2023-000068</t>
  </si>
  <si>
    <t>WQ-F04-T3-F08(25U-26U)</t>
  </si>
  <si>
    <t>21811742336A23C27001</t>
  </si>
  <si>
    <t>14010104-2023-000106</t>
  </si>
  <si>
    <t>WQ-F04-T3-F06(20U-21U)</t>
  </si>
  <si>
    <t>21811742336A23C27003</t>
  </si>
  <si>
    <t>14010104-2023-000105</t>
  </si>
  <si>
    <t>WQ-F04-T3-F06(23U-24U)</t>
  </si>
  <si>
    <t>21811742336A23C27009</t>
  </si>
  <si>
    <t>14010104-2023-000127</t>
  </si>
  <si>
    <t>WQ-F04-T3-F06(25U-26U)</t>
  </si>
  <si>
    <t>21811742336A23C27035</t>
  </si>
  <si>
    <t>14010104-2023-000080</t>
  </si>
  <si>
    <t>WQ-F04-T3-F09(12U-13U)</t>
  </si>
  <si>
    <t>21811742332A23C00008</t>
  </si>
  <si>
    <t>14010104-2023-000324</t>
  </si>
  <si>
    <t>WQ-F04-T3-F04(2U-3U)</t>
  </si>
  <si>
    <t>21811742336A23C27013</t>
  </si>
  <si>
    <t>14010104-2023-000100</t>
  </si>
  <si>
    <t>WQ-F04-T3-F06(27U-28U)</t>
  </si>
  <si>
    <t>21811742336A23C27057</t>
  </si>
  <si>
    <t>14010104-2023-000125</t>
  </si>
  <si>
    <t>WQ-F04-T3-F06(29U-30U)</t>
  </si>
  <si>
    <t>21811742332A24100023</t>
  </si>
  <si>
    <t>14010104-2023-000348</t>
  </si>
  <si>
    <t>WQ-F04-T3-D13(29U-30U)</t>
  </si>
  <si>
    <t>21811742332A23C00005</t>
  </si>
  <si>
    <t>14010104-2023-000351</t>
  </si>
  <si>
    <t>WQ-F04-T3-F03(2U-3U)</t>
  </si>
  <si>
    <t>21811742332A23C00009</t>
  </si>
  <si>
    <t>14010104-2023-000335</t>
  </si>
  <si>
    <t>WQ-F04-T3-F03(4U-5U)</t>
  </si>
  <si>
    <t>21811742336A23C27063</t>
  </si>
  <si>
    <t>14010104-2023-000136</t>
  </si>
  <si>
    <t>WQ-F04-T3-D12(29U-30U)</t>
  </si>
  <si>
    <t>21811742336A23C00011</t>
  </si>
  <si>
    <t>14010104-2023-000091</t>
  </si>
  <si>
    <t>WQ-F04-T3-F09(6U-7U)</t>
  </si>
  <si>
    <t>21811742336A23C27054</t>
  </si>
  <si>
    <t>14010104-2023-000102</t>
  </si>
  <si>
    <t>WQ-F04-T3-D13(2U-3U)</t>
  </si>
  <si>
    <t>21811742336A23C00012</t>
  </si>
  <si>
    <t>14010104-2023-000086</t>
  </si>
  <si>
    <t>WQ-F04-T3-F09(8U-9U)</t>
  </si>
  <si>
    <t>21811742336A23C27015</t>
  </si>
  <si>
    <t>14010104-2023-000093</t>
  </si>
  <si>
    <t>WQ-F04-T3-D13(4U-5U)</t>
  </si>
  <si>
    <t>21811742336A23C27047</t>
  </si>
  <si>
    <t>14010104-2023-000117</t>
  </si>
  <si>
    <t>WQ-F04-T3-F06(16U-17U)</t>
  </si>
  <si>
    <t>21811742332A23C00007</t>
  </si>
  <si>
    <t>14010104-2023-000349</t>
  </si>
  <si>
    <t>WQ-F04-T3-F03(6U-7U)</t>
  </si>
  <si>
    <t>21811742336A23C27021</t>
  </si>
  <si>
    <t>14010104-2023-000138</t>
  </si>
  <si>
    <t>WQ-F04-T3-F06(18U-19U)</t>
  </si>
  <si>
    <t>21811742332A23C00006</t>
  </si>
  <si>
    <t>14010104-2023-000337</t>
  </si>
  <si>
    <t>WQ-F04-T3-F03(8U-9U)</t>
  </si>
  <si>
    <t>21811742332A23C00003</t>
  </si>
  <si>
    <t>14010104-2023-000328</t>
  </si>
  <si>
    <t>WQ-F04-T3-F03(10U-11U)</t>
  </si>
  <si>
    <t>21811742332A23C00010</t>
  </si>
  <si>
    <t>14010104-2023-000344</t>
  </si>
  <si>
    <t>WQ-F04-T3-F03(12U-13U)</t>
  </si>
  <si>
    <t>21811742332A23C00001</t>
  </si>
  <si>
    <t>14010104-2023-000332</t>
  </si>
  <si>
    <t>WQ-F04-T3-F03(14U-15U)</t>
  </si>
  <si>
    <t>21811742336A23C27041</t>
  </si>
  <si>
    <t>14010104-2023-000087</t>
  </si>
  <si>
    <t>WQ-F04-T3-F09(10U-11U)</t>
  </si>
  <si>
    <t>21811742336A23C27008</t>
  </si>
  <si>
    <t>14010104-2023-000124</t>
  </si>
  <si>
    <t>WQ-F04-T3-F07(2U-3U)</t>
  </si>
  <si>
    <t>21811742336A23C27002</t>
  </si>
  <si>
    <t>14010104-2023-000131</t>
  </si>
  <si>
    <t>WQ-F04-T3-F07(4U-5U)</t>
  </si>
  <si>
    <t>21811742336A23C27065</t>
  </si>
  <si>
    <t>14010104-2023-000088</t>
  </si>
  <si>
    <t>WQ-F04-T3-F09(14U-15U)</t>
  </si>
  <si>
    <t>21811742336A23C00001</t>
  </si>
  <si>
    <t>14010104-2023-000135</t>
  </si>
  <si>
    <t>WQ-F04-T3-F07(6U-7U)</t>
  </si>
  <si>
    <t>21811742336A23C00008</t>
  </si>
  <si>
    <t>14010104-2023-000141</t>
  </si>
  <si>
    <t>WQ-F04-T3-F07(8U-9U)</t>
  </si>
  <si>
    <t>21811742332A23C00004</t>
  </si>
  <si>
    <t>14010104-2023-000343</t>
  </si>
  <si>
    <t>WQ-F04-T3-F04(4U-5U)</t>
  </si>
  <si>
    <t>21811742332A23C00002</t>
  </si>
  <si>
    <t>14010104-2023-000345</t>
  </si>
  <si>
    <t>WQ-F04-T3-F04(6U-7U)</t>
  </si>
  <si>
    <t>21811742336A23C27050</t>
  </si>
  <si>
    <t>14010104-2023-000074</t>
  </si>
  <si>
    <t>WQ-F04-T3-F09(16U-17U)</t>
  </si>
  <si>
    <t>21811742336A23C00007</t>
  </si>
  <si>
    <t>14010104-2023-000072</t>
  </si>
  <si>
    <t>WQ-F04-T3-F09(18U-19U)</t>
  </si>
  <si>
    <t>21811742332A24100020</t>
  </si>
  <si>
    <t>14010104-2023-000322</t>
  </si>
  <si>
    <t>WQ-F04-T3-F04(8U-9U)</t>
  </si>
  <si>
    <t>21811742336A23C00014</t>
  </si>
  <si>
    <t>14010104-2023-000110</t>
  </si>
  <si>
    <t>WQ-F04-T3-F07(10U-11U)</t>
  </si>
  <si>
    <t>21811742336A23C00003</t>
  </si>
  <si>
    <t>14010104-2023-000144</t>
  </si>
  <si>
    <t>WQ-F04-T3-F07(12U-13U)</t>
  </si>
  <si>
    <t>21811742336A23C27034</t>
  </si>
  <si>
    <t>14010104-2023-000076</t>
  </si>
  <si>
    <t>WQ-F04-T3-F09(20U-21U)</t>
  </si>
  <si>
    <t>21811742336A23C00015</t>
  </si>
  <si>
    <t>14010104-2023-000111</t>
  </si>
  <si>
    <t>WQ-F04-T3-F07(14U-15U)</t>
  </si>
  <si>
    <t>21811742332A24100018</t>
  </si>
  <si>
    <t>14010104-2023-000347</t>
  </si>
  <si>
    <t>WQ-F04-T3-F04(10U-11U)</t>
  </si>
  <si>
    <t>21811742332A24100013</t>
  </si>
  <si>
    <t>14010104-2023-000334</t>
  </si>
  <si>
    <t>WQ-F04-T3-F04(12U-13U)</t>
  </si>
  <si>
    <t>21811742336A23C00004</t>
  </si>
  <si>
    <t>14010104-2023-000142</t>
  </si>
  <si>
    <t>WQ-F04-T3-F07(16U-17U)</t>
  </si>
  <si>
    <t>21811742336A23C27010</t>
  </si>
  <si>
    <t>14010104-2023-000097</t>
  </si>
  <si>
    <t>WQ-F04-T3-F07(18U-19U)</t>
  </si>
  <si>
    <t>21811742332A24100012</t>
  </si>
  <si>
    <t>14010104-2023-000331</t>
  </si>
  <si>
    <t>WQ-F04-T3-F04(14U-15U)</t>
  </si>
  <si>
    <t>21811742336A23C00010</t>
  </si>
  <si>
    <t>14010104-2023-000089</t>
  </si>
  <si>
    <t>WQ-F04-T3-F09(23U-24U)</t>
  </si>
  <si>
    <t>21811742336A23C27055</t>
  </si>
  <si>
    <t>14010104-2023-000095</t>
  </si>
  <si>
    <t>WQ-F04-T3-F07(20U-21U)</t>
  </si>
  <si>
    <t>21811742332A24100007</t>
  </si>
  <si>
    <t>14010104-2023-000342</t>
  </si>
  <si>
    <t>WQ-F04-T3-F05(2U-3U)</t>
  </si>
  <si>
    <t>21811742336A23C27059</t>
  </si>
  <si>
    <t>14010104-2023-000119</t>
  </si>
  <si>
    <t>WQ-F04-T3-F07(23U-24U)</t>
  </si>
  <si>
    <t>21811742336A23C27039</t>
  </si>
  <si>
    <t>14010104-2023-000120</t>
  </si>
  <si>
    <t>WQ-F04-T3-F07(25U-26U)</t>
  </si>
  <si>
    <t>21811742336A23C00013</t>
  </si>
  <si>
    <t>14010104-2023-000101</t>
  </si>
  <si>
    <t>WQ-F04-T3-F07(27U-28U)</t>
  </si>
  <si>
    <t>21811742332A24100010</t>
  </si>
  <si>
    <t>14010104-2023-000326</t>
  </si>
  <si>
    <t>WQ-F04-T3-F05(4U-5U)</t>
  </si>
  <si>
    <t>21811742336A23C27011</t>
  </si>
  <si>
    <t>14010104-2023-000116</t>
  </si>
  <si>
    <t>WQ-F04-T3-F07(29U-30U)</t>
  </si>
  <si>
    <t>21811742336A23C27026</t>
  </si>
  <si>
    <t>14010104-2023-000146</t>
  </si>
  <si>
    <t>WQ-F04-T3-D11(2U-3U)</t>
  </si>
  <si>
    <t>21811742336A23C27064</t>
  </si>
  <si>
    <t>14010104-2023-000133</t>
  </si>
  <si>
    <t>WQ-F04-T3-D11(4U-5U)</t>
  </si>
  <si>
    <t>21811742332A24100022</t>
  </si>
  <si>
    <t>14010104-2023-000329</t>
  </si>
  <si>
    <t>WQ-F04-T3-D13(8U-9U)</t>
  </si>
  <si>
    <t>21811742336A23C27022</t>
  </si>
  <si>
    <t>14010104-2023-000121</t>
  </si>
  <si>
    <t>WQ-F04-T3-D11(6U-7U)</t>
  </si>
  <si>
    <t>21811742336A23C27020</t>
  </si>
  <si>
    <t>14010104-2023-000134</t>
  </si>
  <si>
    <t>WQ-F04-T3-D11(8U-9U)</t>
  </si>
  <si>
    <t>21811742332A24100019</t>
  </si>
  <si>
    <t>14010104-2023-000346</t>
  </si>
  <si>
    <t>WQ-F04-T3-D13(10U-11U)</t>
  </si>
  <si>
    <t>21811742336A23C27048</t>
  </si>
  <si>
    <t>14010104-2023-000082</t>
  </si>
  <si>
    <t>WQ-F04-T3-F08(10U-11U)</t>
  </si>
  <si>
    <t>21811742336A23C27058</t>
  </si>
  <si>
    <t>14010104-2023-000078</t>
  </si>
  <si>
    <t>WQ-F04-T3-F08(12U-13U)</t>
  </si>
  <si>
    <t>21811742336A23C27024</t>
  </si>
  <si>
    <t>14010104-2023-000099</t>
  </si>
  <si>
    <t>WQ-F04-T3-D11(10U-11U)</t>
  </si>
  <si>
    <t>21811742332A24100009</t>
  </si>
  <si>
    <t>14010104-2023-000338</t>
  </si>
  <si>
    <t>WQ-F04-T3-D13(12U-13U)</t>
  </si>
  <si>
    <t>21811742336A23C27042</t>
  </si>
  <si>
    <t>14010104-2023-000112</t>
  </si>
  <si>
    <t>WQ-F04-T3-D11(12U-13U)</t>
  </si>
  <si>
    <t>21811742336A23C27023</t>
  </si>
  <si>
    <t>14010104-2023-000103</t>
  </si>
  <si>
    <t>WQ-F04-T3-D11(14U-15U)</t>
  </si>
  <si>
    <t>21811742336A23C27036</t>
  </si>
  <si>
    <t>14010104-2023-000132</t>
  </si>
  <si>
    <t>WQ-F04-T3-D11(16U-17U)</t>
  </si>
  <si>
    <t>21811742336A23C27017</t>
  </si>
  <si>
    <t>14010104-2023-000096</t>
  </si>
  <si>
    <t>WQ-F04-T3-D11(18U-19U)</t>
  </si>
  <si>
    <t>21811742336A23C27046</t>
  </si>
  <si>
    <t>14010104-2023-000145</t>
  </si>
  <si>
    <t>WQ-F04-T3-D11(20U-21U)</t>
  </si>
  <si>
    <t>21811742336A23C27038</t>
  </si>
  <si>
    <t>14010104-2023-000107</t>
  </si>
  <si>
    <t>WQ-F04-T3-D12(14U-15U)</t>
  </si>
  <si>
    <t>21811742336A23C27043</t>
  </si>
  <si>
    <t>14010104-2023-000143</t>
  </si>
  <si>
    <t>WQ-F04-T3-D12(16U-17U)</t>
  </si>
  <si>
    <t>21811742336A23C27049</t>
  </si>
  <si>
    <t>14010104-2023-000075</t>
  </si>
  <si>
    <t>WQ-F04-T3-F08(27U-28U)</t>
  </si>
  <si>
    <t>21811742336A23C27019</t>
  </si>
  <si>
    <t>14010104-2023-000094</t>
  </si>
  <si>
    <t>WQ-F04-T3-D12(18U-19U)</t>
  </si>
  <si>
    <t>21811742332A24100006</t>
  </si>
  <si>
    <t>14010104-2023-000323</t>
  </si>
  <si>
    <t>WQ-F04-T3-D13(27U-28U)</t>
  </si>
  <si>
    <t>21811742336A23C27032</t>
  </si>
  <si>
    <t>14010104-2023-000109</t>
  </si>
  <si>
    <t>WQ-F04-T3-D12(20U-21U)</t>
  </si>
  <si>
    <t>21811742336A23C27060</t>
  </si>
  <si>
    <t>14010104-2023-000090</t>
  </si>
  <si>
    <t>WQ-F04-T3-F08(29U-30U)</t>
  </si>
  <si>
    <t>21811742336A23C27018</t>
  </si>
  <si>
    <t>14010104-2023-000128</t>
  </si>
  <si>
    <t>WQ-F04-T3-D12(23U-24U)</t>
  </si>
  <si>
    <t>21811742336A23C27028</t>
  </si>
  <si>
    <t>14010104-2023-000077</t>
  </si>
  <si>
    <t>WQ-F04-T3-F09(2U-3U)</t>
  </si>
  <si>
    <t>21811742336A23C27006</t>
  </si>
  <si>
    <t>14010104-2023-000071</t>
  </si>
  <si>
    <t>WQ-F04-T3-F09(4U-5U)</t>
  </si>
  <si>
    <t>21811742336A23C27033</t>
  </si>
  <si>
    <t>14010104-2023-000104</t>
  </si>
  <si>
    <t>WQ-F04-T3-D12(25U-26U)</t>
  </si>
  <si>
    <t>21811742336A23C27062</t>
  </si>
  <si>
    <t>14010104-2023-000130</t>
  </si>
  <si>
    <t>WQ-F04-T3-D12(27U-28U)</t>
  </si>
  <si>
    <t>21811742332A24100017</t>
  </si>
  <si>
    <t>14010104-2023-000325</t>
  </si>
  <si>
    <t>WQ-F04-T3-F05(6U-7U)</t>
  </si>
  <si>
    <t>21811742336A23C27052</t>
  </si>
  <si>
    <t>14010104-2023-000081</t>
  </si>
  <si>
    <t>WQ-F04-T3-F09(25U-26U)</t>
  </si>
  <si>
    <t>21811742336A23C27016</t>
  </si>
  <si>
    <t>14010104-2023-000067</t>
  </si>
  <si>
    <t>WQ-F04-T3-F09(27U-28U)</t>
  </si>
  <si>
    <t>21811742336A23C27007</t>
  </si>
  <si>
    <t>14010104-2023-000070</t>
  </si>
  <si>
    <t>WQ-F04-T3-F09(29U-30U)</t>
  </si>
  <si>
    <t>21811742332A24100014</t>
  </si>
  <si>
    <t>14010104-2023-000353</t>
  </si>
  <si>
    <t>WQ-F04-T3-F05(8U-9U)</t>
  </si>
  <si>
    <t>21811742336A23C27061</t>
  </si>
  <si>
    <t>14010104-2023-000114</t>
  </si>
  <si>
    <t>WQ-F04-T3-F08(2U-3U)</t>
  </si>
  <si>
    <t>21811742332A24100004</t>
  </si>
  <si>
    <t>14010104-2023-000341</t>
  </si>
  <si>
    <t>WQ-F04-T3-F05(10U-11U)</t>
  </si>
  <si>
    <t>21811742336A23C27027</t>
  </si>
  <si>
    <t>14010104-2023-000084</t>
  </si>
  <si>
    <t>WQ-F04-T3-G01(2U-3U)</t>
  </si>
  <si>
    <t>21811742332A24100001</t>
  </si>
  <si>
    <t>14010104-2023-000330</t>
  </si>
  <si>
    <t>WQ-F04-T3-F05(12U-13U)</t>
  </si>
  <si>
    <t>21811742332A24100003</t>
  </si>
  <si>
    <t>14010104-2023-000354</t>
  </si>
  <si>
    <t>WQ-F04-T3-D13(6U-7U)</t>
  </si>
  <si>
    <t>21811742336A23C27037</t>
  </si>
  <si>
    <t>14010104-2023-000108</t>
  </si>
  <si>
    <t>WQ-F04-T3-D11(23U-24U)</t>
  </si>
  <si>
    <t>21811742336A23C27014</t>
  </si>
  <si>
    <t>14010104-2023-000126</t>
  </si>
  <si>
    <t>WQ-F04-T3-D11(25U-26U)</t>
  </si>
  <si>
    <t>21811742336A23C00002</t>
  </si>
  <si>
    <t>14010104-2023-000079</t>
  </si>
  <si>
    <t>WQ-F04-T3-F08(14U-15U)</t>
  </si>
  <si>
    <t>21811742336A23C27056</t>
  </si>
  <si>
    <t>14010104-2023-000073</t>
  </si>
  <si>
    <t>WQ-F04-T3-F08(16U-17U)</t>
  </si>
  <si>
    <t>21811742336A23C27044</t>
  </si>
  <si>
    <t>14010104-2023-000092</t>
  </si>
  <si>
    <t>WQ-F04-T3-D11(27U-28U)</t>
  </si>
  <si>
    <t>21811742336A23C27051</t>
  </si>
  <si>
    <t>14010104-2023-000113</t>
  </si>
  <si>
    <t>WQ-F04-T3-D11(29U-30U)</t>
  </si>
  <si>
    <t>21811742332A24100002</t>
  </si>
  <si>
    <t>14010104-2023-000340</t>
  </si>
  <si>
    <t>WQ-F04-T3-D13(14U-15U)</t>
  </si>
  <si>
    <t>21811742332A24100005</t>
  </si>
  <si>
    <t>14010104-2023-000336</t>
  </si>
  <si>
    <t>WQ-F04-T3-D13(16U-17U)</t>
  </si>
  <si>
    <t>21811742332A24100021</t>
  </si>
  <si>
    <t>14010104-2023-000333</t>
  </si>
  <si>
    <t>WQ-F04-T3-D13(18U-19U)</t>
  </si>
  <si>
    <t>21811742336A23C27025</t>
  </si>
  <si>
    <t>14010104-2023-000098</t>
  </si>
  <si>
    <t>WQ-F04-T3-D12(2U-3U)</t>
  </si>
  <si>
    <t>21811742332A24100011</t>
  </si>
  <si>
    <t>14010104-2023-000352</t>
  </si>
  <si>
    <t>WQ-F04-T3-D13(20U-21U)</t>
  </si>
  <si>
    <t>路由设备</t>
  </si>
  <si>
    <t>H3C MSR3640-G</t>
  </si>
  <si>
    <t>210235A4G95234P0000X</t>
  </si>
  <si>
    <t>14010301-2023-000001</t>
  </si>
  <si>
    <t>XD-B02-KP-B06(35-36U)</t>
  </si>
  <si>
    <t>210235A4G95234P0000S</t>
  </si>
  <si>
    <t>14010301-2023-000002</t>
  </si>
  <si>
    <t>XD-B02-KP-B07(30-31U)</t>
  </si>
  <si>
    <t>华为NE8000EM14</t>
  </si>
  <si>
    <t>2102354JTS10PC100082</t>
  </si>
  <si>
    <t>14010301-2023-000005</t>
  </si>
  <si>
    <t>TK-F01-106-G(10U-14U)</t>
  </si>
  <si>
    <t>2102354JTS10PC100083</t>
  </si>
  <si>
    <t>14010301-2023-000017</t>
  </si>
  <si>
    <t>XD-B01-TX-F03(29U-33U)</t>
  </si>
  <si>
    <t>2102354JTS10PC100087</t>
  </si>
  <si>
    <t>14010301-2023-000004</t>
  </si>
  <si>
    <t>TK-F01-106-G08(4U-8U)</t>
  </si>
  <si>
    <t>2102354JTS10PC100073</t>
  </si>
  <si>
    <t>14010301-2023-000011</t>
  </si>
  <si>
    <t>WQ-F04-T3-D06(16U-20U)</t>
  </si>
  <si>
    <t>2102354JTS10PC100075</t>
  </si>
  <si>
    <t>14010301-2023-000012</t>
  </si>
  <si>
    <t>TK-F01-106-G10(23U-27U)</t>
  </si>
  <si>
    <t>2102354JTS10PC100086</t>
  </si>
  <si>
    <t>14010301-2023-000018</t>
  </si>
  <si>
    <t>XD-B01-TX-F02(29U-33U)</t>
  </si>
  <si>
    <t>2102354JTS10PC100076</t>
  </si>
  <si>
    <t>14010301-2023-000006</t>
  </si>
  <si>
    <t>WQ-F04-T3-D01(15U-19U)</t>
  </si>
  <si>
    <t>2102354JTS10PC100088</t>
  </si>
  <si>
    <t>14010301-2023-000013</t>
  </si>
  <si>
    <t>WQ-F04-T3-D04(16U-20U)</t>
  </si>
  <si>
    <t>2102354JTS10PC100081</t>
  </si>
  <si>
    <t>14010301-2023-000019</t>
  </si>
  <si>
    <t>TK-F01-106-A07(27U-31U)</t>
  </si>
  <si>
    <t>2102354JTS10PC100079</t>
  </si>
  <si>
    <t>14010301-2023-000014</t>
  </si>
  <si>
    <t>WQ-F04-T3-D05(16U-20U)</t>
  </si>
  <si>
    <t>2102354JTS10PC100080</t>
  </si>
  <si>
    <t>14010301-2023-000007</t>
  </si>
  <si>
    <t>TK-F01-106-G10(29U-33U)</t>
  </si>
  <si>
    <t>2102354JTS10PC100085</t>
  </si>
  <si>
    <t>14010301-2023-000008</t>
  </si>
  <si>
    <t>WQ-F04-T3-D03(16U-20U)</t>
  </si>
  <si>
    <t>2102354JTS10PC100084</t>
  </si>
  <si>
    <t>14010301-2023-000020</t>
  </si>
  <si>
    <t>TK-F01-106-A06(27U-31U)</t>
  </si>
  <si>
    <t>2102354JTS10PC100074</t>
  </si>
  <si>
    <t>14010301-2023-000003</t>
  </si>
  <si>
    <t>WQ-F04-T3-D02(15U-19U)</t>
  </si>
  <si>
    <t>2102354JTS10PC100078</t>
  </si>
  <si>
    <t>14010301-2023-000010</t>
  </si>
  <si>
    <t>TK-F01-106-G08(10U-14U)</t>
  </si>
  <si>
    <t>2102354JTS10PC100077</t>
  </si>
  <si>
    <t>14010301-2023-000009</t>
  </si>
  <si>
    <t>TK-F01-106-G08(16U-20U)</t>
  </si>
  <si>
    <t>华为NE8000M6</t>
  </si>
  <si>
    <t>2102353HHF10PC100172</t>
  </si>
  <si>
    <t>14010301-2023-000016</t>
  </si>
  <si>
    <t>WQ-F04-T3-D09(36U-37U)</t>
  </si>
  <si>
    <t>2102353HHF10PC100171</t>
  </si>
  <si>
    <t>14010301-2023-000015</t>
  </si>
  <si>
    <t>WQ-F04-T3-D10(36U-37U)</t>
  </si>
  <si>
    <t>交换设备</t>
  </si>
  <si>
    <t>华三S12504G-AF</t>
  </si>
  <si>
    <t>210235A2LDX2410C700H</t>
  </si>
  <si>
    <t>14010302-2023-000270</t>
  </si>
  <si>
    <t>WQ-F04-T3-H14(3U-8U)</t>
  </si>
  <si>
    <t>210235A2LDX2410C7022</t>
  </si>
  <si>
    <t>14010302-2023-000006</t>
  </si>
  <si>
    <t>WQ-F04-T3-C11(3U-8U)</t>
  </si>
  <si>
    <t>210235A2LDX2410C7001</t>
  </si>
  <si>
    <t>14010302-2023-000010</t>
  </si>
  <si>
    <t>WQ-F04-T3-C09(11U-16U)</t>
  </si>
  <si>
    <t>210235A2LDX2410C700J</t>
  </si>
  <si>
    <t>14010302-2023-000017</t>
  </si>
  <si>
    <t>WQ-F04-T3-C05(15U-20U)</t>
  </si>
  <si>
    <t>210235A2LDX2410C7007</t>
  </si>
  <si>
    <t>14010302-2023-000014</t>
  </si>
  <si>
    <t>WQ-F04-T3-C10(11U-16U)</t>
  </si>
  <si>
    <t>210235A2LDX2410C702D</t>
  </si>
  <si>
    <t>14010302-2023-000015</t>
  </si>
  <si>
    <t>WQ-F04-T3-C11(11U-16U)</t>
  </si>
  <si>
    <t>210235A2LDX2410C702T</t>
  </si>
  <si>
    <t>14010302-2023-000012</t>
  </si>
  <si>
    <t>WQ-F04-T3-C12(11U-16U)</t>
  </si>
  <si>
    <t>210235A2LDX2410C7023</t>
  </si>
  <si>
    <t>14010302-2023-000008</t>
  </si>
  <si>
    <t>WQ-F04-T3-C12(3U-8U)</t>
  </si>
  <si>
    <t>210235A2LDX2410C700C</t>
  </si>
  <si>
    <t>14010302-2023-000011</t>
  </si>
  <si>
    <t>WQ-F04-T3-C04(15U-20U)</t>
  </si>
  <si>
    <t>210235A2LDX2410C700F</t>
  </si>
  <si>
    <t>14010302-2023-000269</t>
  </si>
  <si>
    <t>WQ-F04-T3-H13(3U-8U)</t>
  </si>
  <si>
    <t>210235A2LDX2410C7019</t>
  </si>
  <si>
    <t>14010302-2023-000005</t>
  </si>
  <si>
    <t>WQ-F04-T3-C09(3U-8U)</t>
  </si>
  <si>
    <t>210235A2LDX2410C700S</t>
  </si>
  <si>
    <t>14010302-2023-000018</t>
  </si>
  <si>
    <t>WQ-F04-T3-C03(15U-20U)</t>
  </si>
  <si>
    <t>210235A2LDX2410C701M</t>
  </si>
  <si>
    <t>14010302-2023-000007</t>
  </si>
  <si>
    <t>WQ-F04-T3-C10(3U-8U)</t>
  </si>
  <si>
    <t>210235A2LDX2410C700Q</t>
  </si>
  <si>
    <t>14010302-2023-000009</t>
  </si>
  <si>
    <t>WQ-F04-T3-C06(15U-20U)</t>
  </si>
  <si>
    <t>210235A2LDX2410C701F</t>
  </si>
  <si>
    <t>14010302-2023-000013</t>
  </si>
  <si>
    <t>WQ-F04-T3-C14(15U-20U)</t>
  </si>
  <si>
    <t>210235A2LDX2410C701J</t>
  </si>
  <si>
    <t>14010302-2023-000016</t>
  </si>
  <si>
    <t>WQ-F04-T3-C13(15U-20U)</t>
  </si>
  <si>
    <t>华三S6805-56HF-G</t>
  </si>
  <si>
    <t>210235A2TN523Cl000XL</t>
  </si>
  <si>
    <t>14010302-2023-000185</t>
  </si>
  <si>
    <t>WQ-F04-T3-H11(37U-37U)</t>
  </si>
  <si>
    <t>210235A2TN523CL00153</t>
  </si>
  <si>
    <t>14010302-2023-000214</t>
  </si>
  <si>
    <t>WQ-F04-T3-F03(37U-37U)</t>
  </si>
  <si>
    <t>210235A2TN523CL0016L</t>
  </si>
  <si>
    <t>14010302-2023-000251</t>
  </si>
  <si>
    <t>WQ-F04-T3-H18(31U-31U)</t>
  </si>
  <si>
    <t>210235A2TN523CL0013M</t>
  </si>
  <si>
    <t>14010302-2023-000253</t>
  </si>
  <si>
    <t>WQ-F04-T3-H18(33U-33U)</t>
  </si>
  <si>
    <t>210235A2TN523CL000WP</t>
  </si>
  <si>
    <t>14010302-2023-000173</t>
  </si>
  <si>
    <t>XD-B02-KP-A02(31U-31U)</t>
  </si>
  <si>
    <t>210235A2TN523CL00168</t>
  </si>
  <si>
    <t>14010302-2023-000218</t>
  </si>
  <si>
    <t>WQ-F04-T3-F04(34U-34U)</t>
  </si>
  <si>
    <t>210235A2TN523CL000YV</t>
  </si>
  <si>
    <t>14010302-2023-000195</t>
  </si>
  <si>
    <t>XD-B02-KP-A02(33U-33U)</t>
  </si>
  <si>
    <t>210235A2TN523CL0012T</t>
  </si>
  <si>
    <t>14010302-2023-000233</t>
  </si>
  <si>
    <t>WQ-F04-T3-F04(37U-37U)</t>
  </si>
  <si>
    <t>210235A2TN523CL00166</t>
  </si>
  <si>
    <t>14010302-2023-000238</t>
  </si>
  <si>
    <t>WQ-F04-T3-F05(34U-34U)</t>
  </si>
  <si>
    <t>210235A2TN523CL000WS</t>
  </si>
  <si>
    <t>14010302-2023-000225</t>
  </si>
  <si>
    <t>TK-F01-106-G08(35U-35U)</t>
  </si>
  <si>
    <t>210235A2TN5241L000NG</t>
  </si>
  <si>
    <t>14010302-2023-000100</t>
  </si>
  <si>
    <t>WQ-F04-T3-C02(34U-34U)</t>
  </si>
  <si>
    <t>210235A2TN523CL000Z1</t>
  </si>
  <si>
    <t>14010302-2023-000231</t>
  </si>
  <si>
    <t>TK-F01-106-G08(38U-38U)</t>
  </si>
  <si>
    <t>210235A2TN523CL000WM</t>
  </si>
  <si>
    <t>14010302-2023-000205</t>
  </si>
  <si>
    <t>TK-F01-106-G09(29U-29U)</t>
  </si>
  <si>
    <t>210235A2TN523CL0014H</t>
  </si>
  <si>
    <t>14010302-2023-000189</t>
  </si>
  <si>
    <t>WQ-F04-T3-H05(34U-34U)</t>
  </si>
  <si>
    <t>210235A2TN523CL00159</t>
  </si>
  <si>
    <t>14010302-2023-000180</t>
  </si>
  <si>
    <t>WQ-F04-T3-H05(37U-37U)</t>
  </si>
  <si>
    <t>210235A2TN523CL00156</t>
  </si>
  <si>
    <t>14010302-2023-000209</t>
  </si>
  <si>
    <t>WQ-F04-T3-D11(37U-37U)</t>
  </si>
  <si>
    <t>210235A2TN523CL0010R</t>
  </si>
  <si>
    <t>14010302-2023-000222</t>
  </si>
  <si>
    <t>WQ-F04-T3-D12(34U-34U)</t>
  </si>
  <si>
    <t>210235A2TN523CL00149</t>
  </si>
  <si>
    <t>14010302-2023-000201</t>
  </si>
  <si>
    <t>WQ-F04-T3-D12(37U-37U)</t>
  </si>
  <si>
    <t>210235A2TN523CL00113</t>
  </si>
  <si>
    <t>14010302-2023-000237</t>
  </si>
  <si>
    <t>WQ-F04-T3-D13(34U-34U)</t>
  </si>
  <si>
    <t>210235A2TN523CL00167</t>
  </si>
  <si>
    <t>14010302-2023-000187</t>
  </si>
  <si>
    <t>WQ-F04-T3-H06(34U-34U)</t>
  </si>
  <si>
    <t>210235A2TN523CL00188</t>
  </si>
  <si>
    <t>14010302-2023-000232</t>
  </si>
  <si>
    <t>WQ-F04-T3-D13(37U-37U)</t>
  </si>
  <si>
    <t>210235A2TN523CL0013J</t>
  </si>
  <si>
    <t>14010302-2023-000191</t>
  </si>
  <si>
    <t>WQ-F04-T3-H06(37U-37U)</t>
  </si>
  <si>
    <t>210235A2TN523Cl000WT</t>
  </si>
  <si>
    <t>14010302-2023-000188</t>
  </si>
  <si>
    <t>WQ-F04-T3-H11(34U-34U)</t>
  </si>
  <si>
    <t>210235A2TN523CL000YQ</t>
  </si>
  <si>
    <t>14010302-2023-000254</t>
  </si>
  <si>
    <t>WQ-F04-T3-D10(24U-24U)</t>
  </si>
  <si>
    <t>210235A2TN523CL00160</t>
  </si>
  <si>
    <t>14010302-2023-000229</t>
  </si>
  <si>
    <t>WQ-F04-T3-F03(34U-34U)</t>
  </si>
  <si>
    <t>210235A2TN523CL000X1</t>
  </si>
  <si>
    <t>14010302-2023-000198</t>
  </si>
  <si>
    <t>WQ-F04-T3-H02(37U-37U)</t>
  </si>
  <si>
    <t>210235A2TN523CL00179</t>
  </si>
  <si>
    <t>14010302-2023-000226</t>
  </si>
  <si>
    <t>WQ-F04-T3-D10(31U-31U)</t>
  </si>
  <si>
    <t>210235A2TN523CL000WW</t>
  </si>
  <si>
    <t>14010302-2023-000174</t>
  </si>
  <si>
    <t>WQ-F04-T3-H03(34U-34U)</t>
  </si>
  <si>
    <t>210235A2TN523CL000WR</t>
  </si>
  <si>
    <t>14010302-2023-000177</t>
  </si>
  <si>
    <t>WQ-F04-T3-H03(37U-37U)</t>
  </si>
  <si>
    <t>210235A2TN523CL0012G</t>
  </si>
  <si>
    <t>14010302-2023-000215</t>
  </si>
  <si>
    <t>WQ-F04-T3-D11(34U-34U)</t>
  </si>
  <si>
    <t>210235A2TN523CL000WX</t>
  </si>
  <si>
    <t>14010302-2023-000178</t>
  </si>
  <si>
    <t>WQ-F04-T3-H04(34U-34U)</t>
  </si>
  <si>
    <t>210235A2TN523CL000W6</t>
  </si>
  <si>
    <t>14010302-2023-000193</t>
  </si>
  <si>
    <t>WQ-F04-T3-H04(37U-37U)</t>
  </si>
  <si>
    <t>210235A2TN523CL000ZD</t>
  </si>
  <si>
    <t>14010302-2023-000223</t>
  </si>
  <si>
    <t>WQ-F04-T3-C08(6U-6U)</t>
  </si>
  <si>
    <t>210235A2TN523CL00157</t>
  </si>
  <si>
    <t>14010302-2023-000216</t>
  </si>
  <si>
    <t>WQ-F04-T3-C08(9U-9U)</t>
  </si>
  <si>
    <t>210235A2TN5241L000G8</t>
  </si>
  <si>
    <t>14010302-2023-000099</t>
  </si>
  <si>
    <t>WQ-F04-T3-C02(37U-37U)</t>
  </si>
  <si>
    <t>210235A2TN523CL000XF</t>
  </si>
  <si>
    <t>14010302-2023-000184</t>
  </si>
  <si>
    <t>WQ-F04-T3-F09(37U-37U)</t>
  </si>
  <si>
    <t>210235A2TN523CL000YH</t>
  </si>
  <si>
    <t>14010302-2023-000190</t>
  </si>
  <si>
    <t>WQ-F04-T3-G01(34U-34U)</t>
  </si>
  <si>
    <t>210235A2TN523CL00116</t>
  </si>
  <si>
    <t>14010302-2023-000236</t>
  </si>
  <si>
    <t>WQ-F04-T3-D03(13U-13U)</t>
  </si>
  <si>
    <t>210235A2TN523CL000YL</t>
  </si>
  <si>
    <t>14010302-2023-000207</t>
  </si>
  <si>
    <t>TK-F02-226-D05(36U-36U)</t>
  </si>
  <si>
    <t>210235A2TN523CL000YW</t>
  </si>
  <si>
    <t>14010302-2023-000217</t>
  </si>
  <si>
    <t>TK-F02-226-A04(34U-34U)</t>
  </si>
  <si>
    <t>210235A2TN523CL000Z3</t>
  </si>
  <si>
    <t>14010302-2023-000208</t>
  </si>
  <si>
    <t>TK-F02-226-A04(38U-38U)</t>
  </si>
  <si>
    <t>210235A2TN5241L000JR</t>
  </si>
  <si>
    <t>14010302-2023-000204</t>
  </si>
  <si>
    <t>WQ-F04-T3-C03(31U-31U)</t>
  </si>
  <si>
    <t>210235A2TN523CL000X4</t>
  </si>
  <si>
    <t>14010302-2023-000228</t>
  </si>
  <si>
    <t>WQ-F04-T3-C03(34U-34U)</t>
  </si>
  <si>
    <t>210235A2TN523CL000YM</t>
  </si>
  <si>
    <t>14010302-2023-000192</t>
  </si>
  <si>
    <t>WQ-F04-T3-F07(37U-37U)</t>
  </si>
  <si>
    <t>210235A2TN5241L000KB</t>
  </si>
  <si>
    <t>14010302-2023-000221</t>
  </si>
  <si>
    <t>WQ-F04-T3-C04(31U-31U)</t>
  </si>
  <si>
    <t>210235A2TN523CL000XS</t>
  </si>
  <si>
    <t>14010302-2023-000176</t>
  </si>
  <si>
    <t>WQ-F04-T3-F08(34U-34U)</t>
  </si>
  <si>
    <t>210235A2TN523CL000XC</t>
  </si>
  <si>
    <t>14010302-2023-000220</t>
  </si>
  <si>
    <t>WQ-F04-T3-C04(34U-34U)</t>
  </si>
  <si>
    <t>210235A2TN5241L000KD</t>
  </si>
  <si>
    <t>14010302-2023-000206</t>
  </si>
  <si>
    <t>WQ-F04-T3-C05(35U-35U)</t>
  </si>
  <si>
    <t>210235A2TN523CL000W2</t>
  </si>
  <si>
    <t>14010302-2023-000182</t>
  </si>
  <si>
    <t>WQ-F04-T3-F08(37U-37U)</t>
  </si>
  <si>
    <t>210235A2TN5241L000CT</t>
  </si>
  <si>
    <t>14010302-2023-000219</t>
  </si>
  <si>
    <t>WQ-F04-T3-C06(35U-35U)</t>
  </si>
  <si>
    <t>210235A2TN523CL00176</t>
  </si>
  <si>
    <t>14010302-2023-000203</t>
  </si>
  <si>
    <t>WQ-F04-T3-C07(3U-3U)</t>
  </si>
  <si>
    <t>210235A2TN523CL000WZ</t>
  </si>
  <si>
    <t>14010302-2023-000202</t>
  </si>
  <si>
    <t>WQ-F04-T3-C07(6U-6U)</t>
  </si>
  <si>
    <t>210235A2TN523CL00187</t>
  </si>
  <si>
    <t>14010302-2023-000235</t>
  </si>
  <si>
    <t>WQ-F04-T3-C07(9U-9U)</t>
  </si>
  <si>
    <t>210235A2TN523CL001B1</t>
  </si>
  <si>
    <t>14010302-2023-000199</t>
  </si>
  <si>
    <t>WQ-F04-T3-F09(34U-34U)</t>
  </si>
  <si>
    <t>210235A2TN523CL0017B</t>
  </si>
  <si>
    <t>14010302-2023-000212</t>
  </si>
  <si>
    <t>WQ-F04-T3-C08(3U-3U)</t>
  </si>
  <si>
    <t>210235A2TN523CL0013F</t>
  </si>
  <si>
    <t>14010302-2023-000227</t>
  </si>
  <si>
    <t>WQ-F04-T3-F05(37U-37U)</t>
  </si>
  <si>
    <t>210235A2TN523CL000YS</t>
  </si>
  <si>
    <t>14010302-2023-000183</t>
  </si>
  <si>
    <t>XD-B02-KP-B12(39U-39U)</t>
  </si>
  <si>
    <t>210235A2TN523CL000YR</t>
  </si>
  <si>
    <t>14010302-2023-000175</t>
  </si>
  <si>
    <t>XD-B02-KP-B12(40U-40U)</t>
  </si>
  <si>
    <t>210235A2TN523CL000XP</t>
  </si>
  <si>
    <t>14010302-2023-000200</t>
  </si>
  <si>
    <t>WQ-F04-T3-F06(34U-34U)</t>
  </si>
  <si>
    <t>210235A2TN523CL00154</t>
  </si>
  <si>
    <t>14010302-2023-000194</t>
  </si>
  <si>
    <t>WQ-F04-T3-F06(37U-37U)</t>
  </si>
  <si>
    <t>210235A2TN523CL000YN</t>
  </si>
  <si>
    <t>14010302-2023-000224</t>
  </si>
  <si>
    <t>TK-F01-106-G09(31U-31U)</t>
  </si>
  <si>
    <t>210235A2TN523CL000YZ</t>
  </si>
  <si>
    <t>14010302-2023-000210</t>
  </si>
  <si>
    <t>TK-F02-226-D05(37U-37U)</t>
  </si>
  <si>
    <t>210235A2TN523CL0018L</t>
  </si>
  <si>
    <t>14010302-2023-000196</t>
  </si>
  <si>
    <t>WQ-F04-T3-F07(34U-34U)</t>
  </si>
  <si>
    <t>210235A2TN523CL0013C</t>
  </si>
  <si>
    <t>14010302-2023-000181</t>
  </si>
  <si>
    <t>WQ-F04-T3-G01(37U-37U)</t>
  </si>
  <si>
    <t>210235A2TN523CL000X9</t>
  </si>
  <si>
    <t>14010302-2023-000197</t>
  </si>
  <si>
    <t>WQ-F04-T3-H01(34U-34U)</t>
  </si>
  <si>
    <t>210235A2TN523CL000X7</t>
  </si>
  <si>
    <t>14010302-2023-000186</t>
  </si>
  <si>
    <t>WQ-F04-T3-H01(37U-37U)</t>
  </si>
  <si>
    <t>210235A2TN523CL0013D</t>
  </si>
  <si>
    <t>14010302-2023-000230</t>
  </si>
  <si>
    <t>WQ-F04-T3-D04(13U-13U)</t>
  </si>
  <si>
    <t>210235A2TN523CL0017C</t>
  </si>
  <si>
    <t>14010302-2023-000252</t>
  </si>
  <si>
    <t>WQ-F04-T3-D09(24U-24U)</t>
  </si>
  <si>
    <t>210235A2TN523CL0010Q</t>
  </si>
  <si>
    <t>14010302-2023-000234</t>
  </si>
  <si>
    <t>WQ-F04-T3-D05(13U-13U)</t>
  </si>
  <si>
    <t>210235A2TN523CL0010V</t>
  </si>
  <si>
    <t>14010302-2023-000211</t>
  </si>
  <si>
    <t>WQ-F04-T3-D06(13U-13U)</t>
  </si>
  <si>
    <t>210235A2TN523CL0012D</t>
  </si>
  <si>
    <t>14010302-2023-000213</t>
  </si>
  <si>
    <t>WQ-F04-T3-D09(31U-31U)</t>
  </si>
  <si>
    <t>210235A2TN523CL00189</t>
  </si>
  <si>
    <t>14010302-2023-000179</t>
  </si>
  <si>
    <t>WQ-F04-T3-H02(34U-34U)</t>
  </si>
  <si>
    <t>华为CE16804</t>
  </si>
  <si>
    <t>1023CB559455</t>
  </si>
  <si>
    <t>14010302-2023-000242</t>
  </si>
  <si>
    <t>WQ-F04-T3-E12(3U-12U)</t>
  </si>
  <si>
    <t>1023CB559462</t>
  </si>
  <si>
    <t>14010302-2023-000250</t>
  </si>
  <si>
    <t>WQ-F04-T3-C13(3U-12U)</t>
  </si>
  <si>
    <t>1023CB559466</t>
  </si>
  <si>
    <t>14010302-2023-000245</t>
  </si>
  <si>
    <t>WQ-F04-T3-C14(3U-12U)</t>
  </si>
  <si>
    <t>1023CB559454</t>
  </si>
  <si>
    <t>14010302-2023-000244</t>
  </si>
  <si>
    <t>WQ-F04-T3-F13(3U-12U)</t>
  </si>
  <si>
    <t>1023CB559453</t>
  </si>
  <si>
    <t>14010302-2023-000243</t>
  </si>
  <si>
    <t>WQ-F04-T3-F14(3U-12U)</t>
  </si>
  <si>
    <t>1023CB559467</t>
  </si>
  <si>
    <t>14010302-2023-000241</t>
  </si>
  <si>
    <t>WQ-F04-T3-D01(3U-12U)</t>
  </si>
  <si>
    <t>1023CB559463</t>
  </si>
  <si>
    <t>14010302-2023-000240</t>
  </si>
  <si>
    <t>WQ-F04-T3-D02(3U-12U)</t>
  </si>
  <si>
    <t>1023CB559460</t>
  </si>
  <si>
    <t>14010302-2023-000239</t>
  </si>
  <si>
    <t>WQ-F04-T3-E11(3U-12U)</t>
  </si>
  <si>
    <t>1023CB559458</t>
  </si>
  <si>
    <t>14010302-2023-000246</t>
  </si>
  <si>
    <t>WQ-F04-T3-C05(3U-12U)</t>
  </si>
  <si>
    <t>1023CB559459</t>
  </si>
  <si>
    <t>14010302-2023-000247</t>
  </si>
  <si>
    <t>WQ-F04-T3-G10(3U-12U)</t>
  </si>
  <si>
    <t>1023CB559456</t>
  </si>
  <si>
    <t>14010302-2023-000172</t>
  </si>
  <si>
    <t>WQ-F04-T3-C03(3U-12U)</t>
  </si>
  <si>
    <t>1023CB559461</t>
  </si>
  <si>
    <t>14010302-2023-000171</t>
  </si>
  <si>
    <t>WQ-F04-T3-C04(3U-12U)</t>
  </si>
  <si>
    <t>1023CB559457</t>
  </si>
  <si>
    <t>14010302-2023-000249</t>
  </si>
  <si>
    <t>WQ-F04-T3-G09(3U-12U)</t>
  </si>
  <si>
    <t>1023CB559464</t>
  </si>
  <si>
    <t>14010302-2023-000248</t>
  </si>
  <si>
    <t>WQ-F04-T3-C06(3U-12U)</t>
  </si>
  <si>
    <t>华为CE5735-S48T4XE-V2</t>
  </si>
  <si>
    <t>4E23C0182528</t>
  </si>
  <si>
    <t>14010302-2023-000126</t>
  </si>
  <si>
    <t>WQ-F04-T3-E05(40U-40U)</t>
  </si>
  <si>
    <t>4E23B0085231</t>
  </si>
  <si>
    <t>14010302-2023-000158</t>
  </si>
  <si>
    <t>WQ-F04-T3-E06(40U-40U)</t>
  </si>
  <si>
    <t>4E23B0085233</t>
  </si>
  <si>
    <t>14010302-2023-000135</t>
  </si>
  <si>
    <t>WQ-F04-T3-E07(40U-40U)</t>
  </si>
  <si>
    <t>4E23C0168123</t>
  </si>
  <si>
    <t>14010302-2023-000150</t>
  </si>
  <si>
    <t>WQ-F04-T3-E08(40U-40U)</t>
  </si>
  <si>
    <t>4E23C0168175</t>
  </si>
  <si>
    <t>14010302-2023-000147</t>
  </si>
  <si>
    <t>WQ-F04-T3-E09(40U-40U)</t>
  </si>
  <si>
    <t>4E23C0168137</t>
  </si>
  <si>
    <t>14010302-2023-000121</t>
  </si>
  <si>
    <t>WQ-F04-T3-E10(6U-6U)</t>
  </si>
  <si>
    <t>4E23C0182550</t>
  </si>
  <si>
    <t>14010302-2023-000109</t>
  </si>
  <si>
    <t>WQ-F04-T3-E11(40U-40U)</t>
  </si>
  <si>
    <t>4E23B0085278</t>
  </si>
  <si>
    <t>14010302-2023-000107</t>
  </si>
  <si>
    <t>WQ-F04-T3-E13(40U-40U)</t>
  </si>
  <si>
    <t>4E23C0168266</t>
  </si>
  <si>
    <t>14010302-2023-000151</t>
  </si>
  <si>
    <t>WQ-F04-T3-E14(40U-40U)</t>
  </si>
  <si>
    <t>4E23C0168521</t>
  </si>
  <si>
    <t>14010302-2023-000163</t>
  </si>
  <si>
    <t>WQ-F04-T3-E15(40U-40U)</t>
  </si>
  <si>
    <t>4E23C0182572</t>
  </si>
  <si>
    <t>14010302-2023-000116</t>
  </si>
  <si>
    <t>WQ-F04-T3-D08(6U-6U)</t>
  </si>
  <si>
    <t>4E23C0182358</t>
  </si>
  <si>
    <t>14010302-2023-000131</t>
  </si>
  <si>
    <t>WQ-F04-T3-D08(9U-9U)</t>
  </si>
  <si>
    <t>4E23C0168317</t>
  </si>
  <si>
    <t>14010302-2023-000112</t>
  </si>
  <si>
    <t>WQ-F04-T3-D09(40U-40U)</t>
  </si>
  <si>
    <t>4E23C0168517</t>
  </si>
  <si>
    <t>14010302-2023-000134</t>
  </si>
  <si>
    <t>WQ-F04-T3-D11(40U-40U)</t>
  </si>
  <si>
    <t>4E23C0168243</t>
  </si>
  <si>
    <t>14010302-2023-000114</t>
  </si>
  <si>
    <t>WQ-F04-T3-D12(40U-40U)</t>
  </si>
  <si>
    <t>4E23B0085083</t>
  </si>
  <si>
    <t>14010302-2023-000149</t>
  </si>
  <si>
    <t>WQ-F04-T3-D13(40U-40U)</t>
  </si>
  <si>
    <t>4E23C0182397</t>
  </si>
  <si>
    <t>14010302-2023-000113</t>
  </si>
  <si>
    <t>WQ-F04-T3-D14(40U-40U)</t>
  </si>
  <si>
    <t>4E23C0182360</t>
  </si>
  <si>
    <t>14010302-2023-000152</t>
  </si>
  <si>
    <t>WQ-F04-T3-E01(40U-40U)</t>
  </si>
  <si>
    <t>4E23C0182365</t>
  </si>
  <si>
    <t>14010302-2023-000104</t>
  </si>
  <si>
    <t>WQ-F04-T3-E02(40U-40U)</t>
  </si>
  <si>
    <t>4E23C0168140</t>
  </si>
  <si>
    <t>14010302-2023-000129</t>
  </si>
  <si>
    <t>WQ-F04-T3-E03(40U-40U)</t>
  </si>
  <si>
    <t>4E23C0168085</t>
  </si>
  <si>
    <t>14010302-2023-000157</t>
  </si>
  <si>
    <t>WQ-F04-T3-E04(40U-40U)</t>
  </si>
  <si>
    <t>4E23C0168125</t>
  </si>
  <si>
    <t>14010302-2023-000119</t>
  </si>
  <si>
    <t>WQ-F04-T3-G13(40U-40U)</t>
  </si>
  <si>
    <t>4E23C0182383</t>
  </si>
  <si>
    <t>14010302-2023-000102</t>
  </si>
  <si>
    <t>WQ-F04-T3-H01(40U-40U)</t>
  </si>
  <si>
    <t>4E23C0182530</t>
  </si>
  <si>
    <t>14010302-2023-000130</t>
  </si>
  <si>
    <t>WQ-F04-T3-H02(40U-40U)</t>
  </si>
  <si>
    <t>4E23C0168348</t>
  </si>
  <si>
    <t>14010302-2023-000160</t>
  </si>
  <si>
    <t>WQ-F04-T3-H03(40U-40U)</t>
  </si>
  <si>
    <t>4E23B0085227</t>
  </si>
  <si>
    <t>14010302-2023-000106</t>
  </si>
  <si>
    <t>WQ-F04-T3-H04(40U-40U)</t>
  </si>
  <si>
    <t>4E23C0168090</t>
  </si>
  <si>
    <t>14010302-2023-000154</t>
  </si>
  <si>
    <t>WQ-F04-T3-H05(40U-40U)</t>
  </si>
  <si>
    <t>4E23C0182525</t>
  </si>
  <si>
    <t>14010302-2023-000127</t>
  </si>
  <si>
    <t>WQ-F04-T3-F06(40U-40U)</t>
  </si>
  <si>
    <t>4E23C0182399</t>
  </si>
  <si>
    <t>14010302-2023-000145</t>
  </si>
  <si>
    <t>WQ-F04-T3-F07(40U-40U)</t>
  </si>
  <si>
    <t>4E23C0168261</t>
  </si>
  <si>
    <t>14010302-2023-000132</t>
  </si>
  <si>
    <t>WQ-F04-T3-F08(40U-40U)</t>
  </si>
  <si>
    <t>4E23C0182416</t>
  </si>
  <si>
    <t>14010302-2023-000115</t>
  </si>
  <si>
    <t>WQ-F04-T3-F09(40U-40U)</t>
  </si>
  <si>
    <t>4E23C0168238</t>
  </si>
  <si>
    <t>14010302-2023-000128</t>
  </si>
  <si>
    <t>WQ-F04-T3-F10(3U-3U)</t>
  </si>
  <si>
    <t>4E23C0168179</t>
  </si>
  <si>
    <t>14010302-2023-000136</t>
  </si>
  <si>
    <t>WQ-F04-T3-F10(6U-6U)</t>
  </si>
  <si>
    <t>4E23C0168128</t>
  </si>
  <si>
    <t>14010302-2023-000165</t>
  </si>
  <si>
    <t>WQ-F04-T3-F13(40U-40U)</t>
  </si>
  <si>
    <t>4E23C0168321</t>
  </si>
  <si>
    <t>14010302-2023-000170</t>
  </si>
  <si>
    <t>WQ-F04-T3-E16(40U-40U)</t>
  </si>
  <si>
    <t>4E23C0168486</t>
  </si>
  <si>
    <t>14010302-2023-000156</t>
  </si>
  <si>
    <t>WQ-F04-T3-F01(40U-40U)</t>
  </si>
  <si>
    <t>4E23C0168093</t>
  </si>
  <si>
    <t>14010302-2023-000105</t>
  </si>
  <si>
    <t>WQ-F04-T3-F02(40U-40U)</t>
  </si>
  <si>
    <t>4E23B0085160</t>
  </si>
  <si>
    <t>14010302-2023-000148</t>
  </si>
  <si>
    <t>WQ-F04-T3-F03(40U-40U)</t>
  </si>
  <si>
    <t>4E23C0168341</t>
  </si>
  <si>
    <t>14010302-2023-000146</t>
  </si>
  <si>
    <t>WQ-F04-T3-F04(40U-40U)</t>
  </si>
  <si>
    <t>4E23C0168336</t>
  </si>
  <si>
    <t>14010302-2023-000155</t>
  </si>
  <si>
    <t>WQ-F04-T3-F05(40U-40U)</t>
  </si>
  <si>
    <t>4E23B0085166</t>
  </si>
  <si>
    <t>14010302-2023-000103</t>
  </si>
  <si>
    <t>WQ-F04-T3-C02(40U-40U)</t>
  </si>
  <si>
    <t>4E23C0168209</t>
  </si>
  <si>
    <t>14010302-2023-000108</t>
  </si>
  <si>
    <t>WQ-F04-T3-C05(40U-40U)</t>
  </si>
  <si>
    <t>4E23C0168136</t>
  </si>
  <si>
    <t>14010302-2023-000125</t>
  </si>
  <si>
    <t>WQ-F04-T3-C09(40U-40U)</t>
  </si>
  <si>
    <t>4E23C0168331</t>
  </si>
  <si>
    <t>14010302-2023-000153</t>
  </si>
  <si>
    <t>WQ-F04-T3-C12(40U-40U)</t>
  </si>
  <si>
    <t>4E23C0182334</t>
  </si>
  <si>
    <t>14010302-2023-000141</t>
  </si>
  <si>
    <t>WQ-F04-T3-D02(40U-40U)</t>
  </si>
  <si>
    <t>4E23C0168359</t>
  </si>
  <si>
    <t>14010302-2023-000169</t>
  </si>
  <si>
    <t>WQ-F04-T3-D04(40U-40U)</t>
  </si>
  <si>
    <t>4E23B0085244</t>
  </si>
  <si>
    <t>14010302-2023-000143</t>
  </si>
  <si>
    <t>WQ-F04-T3-D06(40U-40U)</t>
  </si>
  <si>
    <t>4E23C0182320</t>
  </si>
  <si>
    <t>14010302-2023-000167</t>
  </si>
  <si>
    <t>WQ-F04-T3-D07(40U-40U)</t>
  </si>
  <si>
    <t>4E23C0168189</t>
  </si>
  <si>
    <t>14010302-2023-000166</t>
  </si>
  <si>
    <t>WQ-F04-T3-D08(3U-3U)</t>
  </si>
  <si>
    <t>4E23C0168154</t>
  </si>
  <si>
    <t>14010302-2023-000111</t>
  </si>
  <si>
    <t>WQ-F04-T3-H06(40U-40U)</t>
  </si>
  <si>
    <t>4E23C0182408</t>
  </si>
  <si>
    <t>14010302-2023-000144</t>
  </si>
  <si>
    <t>WQ-F04-T3-H08(40U-40U)</t>
  </si>
  <si>
    <t>4E23B0085226</t>
  </si>
  <si>
    <t>14010302-2023-000159</t>
  </si>
  <si>
    <t>WQ-F04-T3-H09(40U-40U)</t>
  </si>
  <si>
    <t>4E23C0182479</t>
  </si>
  <si>
    <t>14010302-2023-000142</t>
  </si>
  <si>
    <t>WQ-F04-T3-H10(3U-3U)</t>
  </si>
  <si>
    <t>4E23C0168231</t>
  </si>
  <si>
    <t>14010302-2023-000137</t>
  </si>
  <si>
    <t>WQ-F04-T3-H11(40U-40U)</t>
  </si>
  <si>
    <t>4E23C0182344</t>
  </si>
  <si>
    <t>14010302-2023-000123</t>
  </si>
  <si>
    <t>WQ-F04-T3-H12(40U-40U)</t>
  </si>
  <si>
    <t>4E23B0085230</t>
  </si>
  <si>
    <t>14010302-2023-000124</t>
  </si>
  <si>
    <t>WQ-F04-T3-H13(40U-40U)</t>
  </si>
  <si>
    <t>4E23C0182184</t>
  </si>
  <si>
    <t>14010302-2023-000168</t>
  </si>
  <si>
    <t>WQ-F04-T3-G03(40U-40U)</t>
  </si>
  <si>
    <t>4E23C0168343</t>
  </si>
  <si>
    <t>14010302-2023-000164</t>
  </si>
  <si>
    <t>WQ-F04-T3-G04(40U-40U)</t>
  </si>
  <si>
    <t>4E23C0182290</t>
  </si>
  <si>
    <t>14010302-2023-000101</t>
  </si>
  <si>
    <t>WQ-F04-T3-G08(6U-6U)</t>
  </si>
  <si>
    <t>4E23C0182395</t>
  </si>
  <si>
    <t>14010302-2023-000133</t>
  </si>
  <si>
    <t>WQ-F04-T3-G08(8U-8U)</t>
  </si>
  <si>
    <t>4E23C0168229</t>
  </si>
  <si>
    <t>14010302-2023-000138</t>
  </si>
  <si>
    <t>WQ-F04-T3-G10(40U-40U)</t>
  </si>
  <si>
    <t>4E23C0182502</t>
  </si>
  <si>
    <t>14010302-2023-000162</t>
  </si>
  <si>
    <t>WQ-F04-T3-G11(40U-40U)</t>
  </si>
  <si>
    <t>4E23C0168358</t>
  </si>
  <si>
    <t>14010302-2023-000122</t>
  </si>
  <si>
    <t>WQ-F04-T3-H15(40U-40U)</t>
  </si>
  <si>
    <t>4E23C0168124</t>
  </si>
  <si>
    <t>14010302-2023-000110</t>
  </si>
  <si>
    <t>WQ-F04-T3-H16(40U-40U)</t>
  </si>
  <si>
    <t>4E23C0168167</t>
  </si>
  <si>
    <t>14010302-2023-000120</t>
  </si>
  <si>
    <t>WQ-F04-T3-H17(40U-40U)</t>
  </si>
  <si>
    <t>4E23C0182370</t>
  </si>
  <si>
    <t>14010302-2023-000140</t>
  </si>
  <si>
    <t>WQ-F04-T3-F15(40U-40U)</t>
  </si>
  <si>
    <t>4E23C0182511</t>
  </si>
  <si>
    <t>14010302-2023-000118</t>
  </si>
  <si>
    <t>WQ-F04-T3-F16(40U-40U)</t>
  </si>
  <si>
    <t>4E23B0085238</t>
  </si>
  <si>
    <t>14010302-2023-000139</t>
  </si>
  <si>
    <t>WQ-F04-T3-F17(40U-40U)</t>
  </si>
  <si>
    <t>4E23C0182230</t>
  </si>
  <si>
    <t>14010302-2023-000161</t>
  </si>
  <si>
    <t>WQ-F04-T3-G01(40U-40U)</t>
  </si>
  <si>
    <t>4E23C0168364</t>
  </si>
  <si>
    <t>14010302-2023-000117</t>
  </si>
  <si>
    <t>WQ-F04-T3-G02(40U-40U)</t>
  </si>
  <si>
    <t>华为CE6881-48S</t>
  </si>
  <si>
    <t>1023CB199904</t>
  </si>
  <si>
    <t>14010302-2023-000074</t>
  </si>
  <si>
    <t>WQ-F04-T3-G05(34U-34U)</t>
  </si>
  <si>
    <t>1023CB199909</t>
  </si>
  <si>
    <t>14010302-2023-000047</t>
  </si>
  <si>
    <t>WQ-F04-T3-G05(37U-37U)</t>
  </si>
  <si>
    <t>1023CB350643</t>
  </si>
  <si>
    <t>14010302-2023-000072</t>
  </si>
  <si>
    <t>WQ-F04-T3-G11(34U-34U)</t>
  </si>
  <si>
    <t>1023CB072128</t>
  </si>
  <si>
    <t>14010302-2023-000034</t>
  </si>
  <si>
    <t>WQ-F04-T3-G11(37U-37U)</t>
  </si>
  <si>
    <t>1023CB072059</t>
  </si>
  <si>
    <t>14010302-2023-000054</t>
  </si>
  <si>
    <t>WQ-F04-T3-G13(34U-34U)</t>
  </si>
  <si>
    <t>1023CB072110</t>
  </si>
  <si>
    <t>14010302-2023-000056</t>
  </si>
  <si>
    <t>WQ-F04-T3-G13(37U-37U)</t>
  </si>
  <si>
    <t>1023CB072080</t>
  </si>
  <si>
    <t>14010302-2023-000063</t>
  </si>
  <si>
    <t>WQ-F04-T3-G14(34U-34U)</t>
  </si>
  <si>
    <t>1023CB072108</t>
  </si>
  <si>
    <t>14010302-2023-000089</t>
  </si>
  <si>
    <t>WQ-F04-T3-G14(37U-37U)</t>
  </si>
  <si>
    <t>1023CB072072</t>
  </si>
  <si>
    <t>14010302-2023-000263</t>
  </si>
  <si>
    <t>WQ-F04-T3-F13(18U-18U)</t>
  </si>
  <si>
    <t>1023CB199907</t>
  </si>
  <si>
    <t>14010302-2023-000088</t>
  </si>
  <si>
    <t>WQ-F04-T3-E08(34U-34U)</t>
  </si>
  <si>
    <t>1023CB199888</t>
  </si>
  <si>
    <t>14010302-2023-000053</t>
  </si>
  <si>
    <t>WQ-F04-T3-E08(37U-37U)</t>
  </si>
  <si>
    <t>1023CB072077</t>
  </si>
  <si>
    <t>14010302-2023-000257</t>
  </si>
  <si>
    <t>WQ-F04-T3-F14(18U-18U)</t>
  </si>
  <si>
    <t>1023CB350680</t>
  </si>
  <si>
    <t>14010302-2023-000258</t>
  </si>
  <si>
    <t>WQ-F04-T3-G05(28U-28U)</t>
  </si>
  <si>
    <t>1023CB350580</t>
  </si>
  <si>
    <t>14010302-2023-000073</t>
  </si>
  <si>
    <t>WQ-F04-T3-E09(34U-34U)</t>
  </si>
  <si>
    <t>1023CB350685</t>
  </si>
  <si>
    <t>14010302-2023-000076</t>
  </si>
  <si>
    <t>WQ-F04-T3-E09(37U-37U)</t>
  </si>
  <si>
    <t>1023CB350694</t>
  </si>
  <si>
    <t>14010302-2023-000077</t>
  </si>
  <si>
    <t>WQ-F04-T3-E13(34U-34U)</t>
  </si>
  <si>
    <t>1023CB350695</t>
  </si>
  <si>
    <t>14010302-2023-000080</t>
  </si>
  <si>
    <t>WQ-F04-T3-E13(37U-37U)</t>
  </si>
  <si>
    <t>1023CB350651</t>
  </si>
  <si>
    <t>14010302-2023-000092</t>
  </si>
  <si>
    <t>WQ-F04-T3-E14(34U-34U)</t>
  </si>
  <si>
    <t>1023CB199875</t>
  </si>
  <si>
    <t>14010302-2023-000019</t>
  </si>
  <si>
    <t>WQ-F04-T3-F11(37U-37U)</t>
  </si>
  <si>
    <t>1023CB199870</t>
  </si>
  <si>
    <t>14010302-2023-000027</t>
  </si>
  <si>
    <t>WQ-F04-T3-F12(34U-34U)</t>
  </si>
  <si>
    <t>1023CB350665</t>
  </si>
  <si>
    <t>14010302-2023-000044</t>
  </si>
  <si>
    <t>WQ-F04-T3-F12(37U-37U)</t>
  </si>
  <si>
    <t>1023CB072100</t>
  </si>
  <si>
    <t>14010302-2023-000094</t>
  </si>
  <si>
    <t>WQ-F04-T3-F15(34U-34U)</t>
  </si>
  <si>
    <t>1023CB072084</t>
  </si>
  <si>
    <t>14010302-2023-000033</t>
  </si>
  <si>
    <t>WQ-F04-T3-F15(37U-37U)</t>
  </si>
  <si>
    <t>1023CB513232</t>
  </si>
  <si>
    <t>14010302-2023-000064</t>
  </si>
  <si>
    <t>WQ-F04-T3-F16(34U-34U)</t>
  </si>
  <si>
    <t>1023CB513309</t>
  </si>
  <si>
    <t>14010302-2023-000057</t>
  </si>
  <si>
    <t>WQ-F04-T3-F16(37U-37U)</t>
  </si>
  <si>
    <t>1023CB513258</t>
  </si>
  <si>
    <t>14010302-2023-000085</t>
  </si>
  <si>
    <t>WQ-F04-T3-F17(34U-34U)</t>
  </si>
  <si>
    <t>1023CB513293</t>
  </si>
  <si>
    <t>14010302-2023-000065</t>
  </si>
  <si>
    <t>WQ-F04-T3-F17(37U-37U)</t>
  </si>
  <si>
    <t>1023CB199868</t>
  </si>
  <si>
    <t>14010302-2023-000050</t>
  </si>
  <si>
    <t>WQ-F04-T3-G02(34U-34U)</t>
  </si>
  <si>
    <t>1023CB199923</t>
  </si>
  <si>
    <t>14010302-2023-000067</t>
  </si>
  <si>
    <t>WQ-F04-T3-G02(37U-37U)</t>
  </si>
  <si>
    <t>1023CB199933</t>
  </si>
  <si>
    <t>14010302-2023-000024</t>
  </si>
  <si>
    <t>WQ-F04-T3-G03(34U-34U)</t>
  </si>
  <si>
    <t>1023CB199900</t>
  </si>
  <si>
    <t>14010302-2023-000059</t>
  </si>
  <si>
    <t>WQ-F04-T3-G03(37U-37U)</t>
  </si>
  <si>
    <t>1023CB350584</t>
  </si>
  <si>
    <t>14010302-2023-000032</t>
  </si>
  <si>
    <t>WQ-F04-T3-G04(34U-34U)</t>
  </si>
  <si>
    <t>1023CB199864</t>
  </si>
  <si>
    <t>14010302-2023-000260</t>
  </si>
  <si>
    <t>WQ-F04-T3-H07(28U-28U)</t>
  </si>
  <si>
    <t>1023CB350591</t>
  </si>
  <si>
    <t>14010302-2023-000264</t>
  </si>
  <si>
    <t>WQ-F04-T3-H07(31U-31U)</t>
  </si>
  <si>
    <t>1023CB350610</t>
  </si>
  <si>
    <t>14010302-2023-000075</t>
  </si>
  <si>
    <t>WQ-F04-T3-G04(37U-37U)</t>
  </si>
  <si>
    <t>1023CB350666</t>
  </si>
  <si>
    <t>14010302-2023-000052</t>
  </si>
  <si>
    <t>TK-F01-106-A06(36U-36U)</t>
  </si>
  <si>
    <t>1023CB350614</t>
  </si>
  <si>
    <t>14010302-2023-000055</t>
  </si>
  <si>
    <t>TK-F01-106-A07(36U-36U)</t>
  </si>
  <si>
    <t>1023CB350637</t>
  </si>
  <si>
    <t>14010302-2023-000078</t>
  </si>
  <si>
    <t>WQ-F04-T3-D03(23U-23U)</t>
  </si>
  <si>
    <t>1023CB350624</t>
  </si>
  <si>
    <t>14010302-2023-000051</t>
  </si>
  <si>
    <t>WQ-F04-T3-D04(23U-23U)</t>
  </si>
  <si>
    <t>1023CB350690</t>
  </si>
  <si>
    <t>14010302-2023-000060</t>
  </si>
  <si>
    <t>WQ-F04-T3-D05(23U-23U)</t>
  </si>
  <si>
    <t>1023CB350629</t>
  </si>
  <si>
    <t>14010302-2023-000037</t>
  </si>
  <si>
    <t>WQ-F04-T3-D06(23U-23U)</t>
  </si>
  <si>
    <t>1023CB350595</t>
  </si>
  <si>
    <t>14010302-2023-000267</t>
  </si>
  <si>
    <t>WQ-F04-T3-D01(38U-38U)</t>
  </si>
  <si>
    <t>1023CB350582</t>
  </si>
  <si>
    <t>14010302-2023-000026</t>
  </si>
  <si>
    <t>WQ-F04-T3-D07(34U-34U)</t>
  </si>
  <si>
    <t>1023CB513286</t>
  </si>
  <si>
    <t>14010302-2023-000029</t>
  </si>
  <si>
    <t>WQ-F04-T3-H07(34U-34U)</t>
  </si>
  <si>
    <t>1023CB513296</t>
  </si>
  <si>
    <t>14010302-2023-000048</t>
  </si>
  <si>
    <t>WQ-F04-T3-H07(37U-37U)</t>
  </si>
  <si>
    <t>1023CB199939</t>
  </si>
  <si>
    <t>14010302-2023-000083</t>
  </si>
  <si>
    <t>WQ-F04-T3-H08(34U-34U)</t>
  </si>
  <si>
    <t>1023CB199905</t>
  </si>
  <si>
    <t>14010302-2023-000261</t>
  </si>
  <si>
    <t>WQ-F04-T3-H13(15U-15U)</t>
  </si>
  <si>
    <t>1023CB199902</t>
  </si>
  <si>
    <t>14010302-2023-000049</t>
  </si>
  <si>
    <t>WQ-F04-T3-H08(37U-37U)</t>
  </si>
  <si>
    <t>1023CB199879</t>
  </si>
  <si>
    <t>14010302-2023-000038</t>
  </si>
  <si>
    <t>WQ-F04-T3-H09(34U-34U)</t>
  </si>
  <si>
    <t>1023CB199869</t>
  </si>
  <si>
    <t>14010302-2023-000066</t>
  </si>
  <si>
    <t>WQ-F04-T3-H09(37U-37U)</t>
  </si>
  <si>
    <t>1023CB350689</t>
  </si>
  <si>
    <t>14010302-2023-000093</t>
  </si>
  <si>
    <t>WQ-F04-T3-H12(34U-34U)</t>
  </si>
  <si>
    <t>1023CB513250</t>
  </si>
  <si>
    <t>14010302-2023-000266</t>
  </si>
  <si>
    <t>WQ-F04-T3-H14(15U-15U)</t>
  </si>
  <si>
    <t>1023CB199866</t>
  </si>
  <si>
    <t>14010302-2023-000097</t>
  </si>
  <si>
    <t>WQ-F04-T3-H12(37U-37U)</t>
  </si>
  <si>
    <t>1023CB350597</t>
  </si>
  <si>
    <t>14010302-2023-000259</t>
  </si>
  <si>
    <t>WQ-F04-T3-D02(38U-38U)</t>
  </si>
  <si>
    <t>1023CB350636</t>
  </si>
  <si>
    <t>14010302-2023-000084</t>
  </si>
  <si>
    <t>WQ-F04-T3-D07(37U-37U)</t>
  </si>
  <si>
    <t>1023CB350601</t>
  </si>
  <si>
    <t>14010302-2023-000096</t>
  </si>
  <si>
    <t>WQ-F04-T3-D14(34U-34U)</t>
  </si>
  <si>
    <t>1023CB199935</t>
  </si>
  <si>
    <t>14010302-2023-000030</t>
  </si>
  <si>
    <t>WQ-F04-T3-D14(37U-37U)</t>
  </si>
  <si>
    <t>1023CB199883</t>
  </si>
  <si>
    <t>14010302-2023-000039</t>
  </si>
  <si>
    <t>WQ-F04-T3-E01(34U-34U)</t>
  </si>
  <si>
    <t>1023CB350620</t>
  </si>
  <si>
    <t>14010302-2023-000068</t>
  </si>
  <si>
    <t>WQ-F04-T3-E01(37U-37U)</t>
  </si>
  <si>
    <t>1023CB199906</t>
  </si>
  <si>
    <t>14010302-2023-000042</t>
  </si>
  <si>
    <t>WQ-F04-T3-E02(34U-34U)</t>
  </si>
  <si>
    <t>1023CB199899</t>
  </si>
  <si>
    <t>14010302-2023-000022</t>
  </si>
  <si>
    <t>WQ-F04-T3-E02(37U-37U)</t>
  </si>
  <si>
    <t>1023CB199877</t>
  </si>
  <si>
    <t>14010302-2023-000070</t>
  </si>
  <si>
    <t>WQ-F04-T3-E03(34U-34U)</t>
  </si>
  <si>
    <t>1023CB199920</t>
  </si>
  <si>
    <t>14010302-2023-000098</t>
  </si>
  <si>
    <t>WQ-F04-T3-E03(37U-37U)</t>
  </si>
  <si>
    <t>1023CB072107</t>
  </si>
  <si>
    <t>14010302-2023-000255</t>
  </si>
  <si>
    <t>WQ-F04-T3-E11(19U-19U)</t>
  </si>
  <si>
    <t>1023CB350697</t>
  </si>
  <si>
    <t>14010302-2023-000021</t>
  </si>
  <si>
    <t>WQ-F04-T3-E04(34U-34U)</t>
  </si>
  <si>
    <t>1023CB072079</t>
  </si>
  <si>
    <t>14010302-2023-000265</t>
  </si>
  <si>
    <t>WQ-F04-T3-E12(19U-19U)</t>
  </si>
  <si>
    <t>1023CB199892</t>
  </si>
  <si>
    <t>14010302-2023-000023</t>
  </si>
  <si>
    <t>WQ-F04-T3-E04(37U-37U)</t>
  </si>
  <si>
    <t>1023CB350634</t>
  </si>
  <si>
    <t>14010302-2023-000040</t>
  </si>
  <si>
    <t>WQ-F04-T3-E05(34U-34U)</t>
  </si>
  <si>
    <t>1023CB350650</t>
  </si>
  <si>
    <t>14010302-2023-000062</t>
  </si>
  <si>
    <t>WQ-F04-T3-E05(37U-37U)</t>
  </si>
  <si>
    <t>1023CB350627</t>
  </si>
  <si>
    <t>14010302-2023-000095</t>
  </si>
  <si>
    <t>WQ-F04-T3-E06(34U-34U)</t>
  </si>
  <si>
    <t>1023CB350609</t>
  </si>
  <si>
    <t>14010302-2023-000082</t>
  </si>
  <si>
    <t>WQ-F04-T3-E06(37U-37U)</t>
  </si>
  <si>
    <t>1023CB350599</t>
  </si>
  <si>
    <t>14010302-2023-000081</t>
  </si>
  <si>
    <t>WQ-F04-T3-E07(34U-34U)</t>
  </si>
  <si>
    <t>1023CB350626</t>
  </si>
  <si>
    <t>14010302-2023-000043</t>
  </si>
  <si>
    <t>WQ-F04-T3-E07(37U-37U)</t>
  </si>
  <si>
    <t>1023CB513229</t>
  </si>
  <si>
    <t>14010302-2023-000036</t>
  </si>
  <si>
    <t>WQ-F04-T3-H15(34U-34U)</t>
  </si>
  <si>
    <t>1023CB350674</t>
  </si>
  <si>
    <t>14010302-2023-000025</t>
  </si>
  <si>
    <t>WQ-F04-T3-H15(37U-37U)</t>
  </si>
  <si>
    <t>1023CB350579</t>
  </si>
  <si>
    <t>14010302-2023-000091</t>
  </si>
  <si>
    <t>WQ-F04-T3-H16(34U-34U)</t>
  </si>
  <si>
    <t>1023CB513253</t>
  </si>
  <si>
    <t>14010302-2023-000028</t>
  </si>
  <si>
    <t>WQ-F04-T3-H16(37U-37U)</t>
  </si>
  <si>
    <t>1023CB350581</t>
  </si>
  <si>
    <t>14010302-2023-000087</t>
  </si>
  <si>
    <t>WQ-F04-T3-H17(34U-34U)</t>
  </si>
  <si>
    <t>1023CB350590</t>
  </si>
  <si>
    <t>14010302-2023-000061</t>
  </si>
  <si>
    <t>WQ-F04-T3-H17(37U-37U)</t>
  </si>
  <si>
    <t>1023CB199901</t>
  </si>
  <si>
    <t>14010302-2023-000069</t>
  </si>
  <si>
    <t>XD-B01-TX-F02(35U-35U)</t>
  </si>
  <si>
    <t>1023CB350644</t>
  </si>
  <si>
    <t>14010302-2023-000020</t>
  </si>
  <si>
    <t>XD-B01-TX-F03(35U-35U)</t>
  </si>
  <si>
    <t>1023CB350652</t>
  </si>
  <si>
    <t>14010302-2023-000079</t>
  </si>
  <si>
    <t>WQ-F04-T3-E14(37U-37U)</t>
  </si>
  <si>
    <t>1023CB350645</t>
  </si>
  <si>
    <t>14010302-2023-000045</t>
  </si>
  <si>
    <t>WQ-F04-T3-E15(34U-34U)</t>
  </si>
  <si>
    <t>1023CB350654</t>
  </si>
  <si>
    <t>14010302-2023-000035</t>
  </si>
  <si>
    <t>WQ-F04-T3-E15(37U-37U)</t>
  </si>
  <si>
    <t>1023CB199915</t>
  </si>
  <si>
    <t>14010302-2023-000090</t>
  </si>
  <si>
    <t>WQ-F04-T3-E16(34U-34U)</t>
  </si>
  <si>
    <t>1023CB199891</t>
  </si>
  <si>
    <t>14010302-2023-000046</t>
  </si>
  <si>
    <t>WQ-F04-T3-E16(37U-37U)</t>
  </si>
  <si>
    <t>1023CB350625</t>
  </si>
  <si>
    <t>14010302-2023-000071</t>
  </si>
  <si>
    <t>WQ-F04-T3-F01(34U-34U)</t>
  </si>
  <si>
    <t>1023CB350682</t>
  </si>
  <si>
    <t>14010302-2023-000268</t>
  </si>
  <si>
    <t>WQ-F04-T3-G05(31U-31U)</t>
  </si>
  <si>
    <t>1023CB350653</t>
  </si>
  <si>
    <t>14010302-2023-000031</t>
  </si>
  <si>
    <t>WQ-F04-T3-F01(37U-37U)</t>
  </si>
  <si>
    <t>1023CB199887</t>
  </si>
  <si>
    <t>14010302-2023-000086</t>
  </si>
  <si>
    <t>WQ-F04-T3-F02(34U-34U)</t>
  </si>
  <si>
    <t>1023CB350671</t>
  </si>
  <si>
    <t>14010302-2023-000262</t>
  </si>
  <si>
    <t>WQ-F04-T3-G09(18U-18U)</t>
  </si>
  <si>
    <t>1023CB072086</t>
  </si>
  <si>
    <t>14010302-2023-000256</t>
  </si>
  <si>
    <t>WQ-F04-T3-G10(18U-18U)</t>
  </si>
  <si>
    <t>1023CB350628</t>
  </si>
  <si>
    <t>14010302-2023-000041</t>
  </si>
  <si>
    <t>WQ-F04-T3-F02(37U-37U)</t>
  </si>
  <si>
    <t>1023CB350623</t>
  </si>
  <si>
    <t>14010302-2023-000058</t>
  </si>
  <si>
    <t>WQ-F04-T3-F11(34U-34U)</t>
  </si>
  <si>
    <t>负载均衡设备</t>
  </si>
  <si>
    <t>信安世纪APV2860</t>
  </si>
  <si>
    <t>23CE10164</t>
  </si>
  <si>
    <t>14010303-2023-000004</t>
  </si>
  <si>
    <t>WQ-F04-T3-E11(36U-36U)</t>
  </si>
  <si>
    <t>23CE10159</t>
  </si>
  <si>
    <t>14010303-2023-000003</t>
  </si>
  <si>
    <t>WQ-F04-T3-F14(36U-36U)</t>
  </si>
  <si>
    <t>23CE10157</t>
  </si>
  <si>
    <t>14010303-2023-000005</t>
  </si>
  <si>
    <t>WQ-F04-T3-E12(36U-36U)</t>
  </si>
  <si>
    <t>23CE10132872806003173204173131</t>
  </si>
  <si>
    <t>14010303-2023-000006</t>
  </si>
  <si>
    <t>WQ-F04-T3-F13(36U-36U)</t>
  </si>
  <si>
    <t>神州云科YK-ADC-i2000-HX2000</t>
  </si>
  <si>
    <t>YK04AA41GAHZ</t>
  </si>
  <si>
    <t>14010303-2023-000019</t>
  </si>
  <si>
    <t>WQ-F04-T3-H13(35U-35U)</t>
  </si>
  <si>
    <t>YKO4AA41YHNN</t>
  </si>
  <si>
    <t>14010303-2023-000022</t>
  </si>
  <si>
    <t>WQ-F04-T3-E11(38U-38U)</t>
  </si>
  <si>
    <t>YK04AA41WSUT</t>
  </si>
  <si>
    <t>14010303-2023-000020</t>
  </si>
  <si>
    <t>WQ-F04-T3-E12(38U-38U)</t>
  </si>
  <si>
    <t>YK04AA41VMSP</t>
  </si>
  <si>
    <t>14010303-2023-000021</t>
  </si>
  <si>
    <t>WQ-F04-T3-F13(38U-38U)</t>
  </si>
  <si>
    <t>YK04AA41VLAM</t>
  </si>
  <si>
    <t>14010303-2023-000018</t>
  </si>
  <si>
    <t>WQ-F04-T3-F14(38U-38U)</t>
  </si>
  <si>
    <t>YK04AA41NEIE</t>
  </si>
  <si>
    <t>14010303-2023-000017</t>
  </si>
  <si>
    <t>WQ-F04-T3-G10(38U-38U)</t>
  </si>
  <si>
    <t>YK04AA41HLXS</t>
  </si>
  <si>
    <t>14010303-2023-000026</t>
  </si>
  <si>
    <t>WQ-F04-T3-H14(35U-35U)</t>
  </si>
  <si>
    <t>YK04AA41PTNB</t>
  </si>
  <si>
    <t>14010303-2023-000023</t>
  </si>
  <si>
    <t>WQ-F04-T3-G09(38U-38U)</t>
  </si>
  <si>
    <t>YK04AA41XNAU</t>
  </si>
  <si>
    <t>14010303-2023-000025</t>
  </si>
  <si>
    <t>WQ-F04-T3-H13(37U-37U)</t>
  </si>
  <si>
    <t>YK04AA41UPPU</t>
  </si>
  <si>
    <t>14010303-2023-000024</t>
  </si>
  <si>
    <t>WQ-F04-T3-H14(37U-37U)</t>
  </si>
  <si>
    <t>神州云科YK-ADC-i2000-HX7000</t>
  </si>
  <si>
    <t>YK04AA41CMQQ</t>
  </si>
  <si>
    <t>14010303-2023-000009</t>
  </si>
  <si>
    <t>WQ-F04-T3-C05(38U-38U)</t>
  </si>
  <si>
    <t>YK04AA41GAGI</t>
  </si>
  <si>
    <t>14010303-2023-000011</t>
  </si>
  <si>
    <t>WQ-F04-T3-D01(27U-27U)</t>
  </si>
  <si>
    <t>YK04AA41AOIO</t>
  </si>
  <si>
    <t>14010303-2023-000013</t>
  </si>
  <si>
    <t>WQ-F04-T3-D02(27U-27U)</t>
  </si>
  <si>
    <t>YK04AA41WUKP</t>
  </si>
  <si>
    <t>14010303-2023-000014</t>
  </si>
  <si>
    <t>WQ-F04-T3-C14(38U-38U)</t>
  </si>
  <si>
    <t>YK04AA41MRJA</t>
  </si>
  <si>
    <t>14010303-2023-000008</t>
  </si>
  <si>
    <t>WQ-F04-T3-D09(29U-29U)</t>
  </si>
  <si>
    <t>YK04AA41VDSZ</t>
  </si>
  <si>
    <t>14010303-2023-000010</t>
  </si>
  <si>
    <t>WQ-F04-T3-D10(29U-29U)</t>
  </si>
  <si>
    <t>YK04AA41MWGM</t>
  </si>
  <si>
    <t>14010303-2023-000016</t>
  </si>
  <si>
    <t>WQ-F04-T3-C10(38U-38U)</t>
  </si>
  <si>
    <t>YK04AA41UOXX</t>
  </si>
  <si>
    <t>14010303-2023-000012</t>
  </si>
  <si>
    <t>WQ-F04-T3-C13(38U-38U)</t>
  </si>
  <si>
    <t>YK04AA41CKYX</t>
  </si>
  <si>
    <t>14010303-2023-000015</t>
  </si>
  <si>
    <t>WQ-F04-T3-C06(38U-38U)</t>
  </si>
  <si>
    <t>YK04AA41PIBW</t>
  </si>
  <si>
    <t>14010303-2023-000007</t>
  </si>
  <si>
    <t>WQ-F04-T3-C09(38U-38U)</t>
  </si>
  <si>
    <t>神州云科YK-ADC-i2000-HX9000</t>
  </si>
  <si>
    <t>YK05AA62UMCA</t>
  </si>
  <si>
    <t>14010303-2023-000031</t>
  </si>
  <si>
    <t>WQ-F04-T3-C04(37U-38U)</t>
  </si>
  <si>
    <t>YK05AA62JIRD</t>
  </si>
  <si>
    <t>14010303-2023-000028</t>
  </si>
  <si>
    <t>WQ-F04-T3-C12(34U-35U)</t>
  </si>
  <si>
    <t>YK05AA62PVMV</t>
  </si>
  <si>
    <t>14010303-2023-000030</t>
  </si>
  <si>
    <t>WQ-F04-T3-C12(37U-38U)</t>
  </si>
  <si>
    <t>YK05AA62PIRD</t>
  </si>
  <si>
    <t>14010303-2023-000027</t>
  </si>
  <si>
    <t>WQ-F04-T3-C03(37U-38U)</t>
  </si>
  <si>
    <t>YK05AA62PXLV</t>
  </si>
  <si>
    <t>14010303-2023-000032</t>
  </si>
  <si>
    <t>WQ-F04-T3-C11(34U-35U)</t>
  </si>
  <si>
    <t>YK05AA71ZNNH</t>
  </si>
  <si>
    <t>14010303-2023-000029</t>
  </si>
  <si>
    <t>WQ-F04-T3-C11(37U-38U)</t>
  </si>
  <si>
    <t>华为OptiXOSN8800T64</t>
  </si>
  <si>
    <t>031GGX10J6001117;1023CA872458;1023CA872460</t>
  </si>
  <si>
    <t>14010399-2023-000003</t>
  </si>
  <si>
    <t>TK-F01-101-G12-TTX(7-8)</t>
  </si>
  <si>
    <t>031GGX10J8000415;1023CA872463;1023CA872468</t>
  </si>
  <si>
    <t>14010399-2023-000004</t>
  </si>
  <si>
    <t>WQ-F04-T6-B-03-TTX(32-33)</t>
  </si>
  <si>
    <t>031GGX10F8000050;1023CA872447;1023CA872454</t>
  </si>
  <si>
    <t>14010399-2023-000001</t>
  </si>
  <si>
    <t>WQ-F04-T6-A-03-TTX(32-33)</t>
  </si>
  <si>
    <t>031GGX10JB000510;1023CA872442;1023CA872446</t>
  </si>
  <si>
    <t>14010399-2023-000002</t>
  </si>
  <si>
    <t>TK-F01-101-G11-TTX(24-25)</t>
  </si>
  <si>
    <t>安全设备</t>
  </si>
  <si>
    <t>H3C NS-SecPath F5000-CN-G65</t>
  </si>
  <si>
    <t>219801A3M2822BX1000N</t>
  </si>
  <si>
    <t>14010401-2023-000002</t>
  </si>
  <si>
    <t>XD-B02-KP-B07(33U)</t>
  </si>
  <si>
    <t>219801A3M2822BX10009</t>
  </si>
  <si>
    <t>14010401-2023-000001</t>
  </si>
  <si>
    <t>XD-B02-KP-B06(37U)</t>
  </si>
  <si>
    <t>华三F5000-CN-G55</t>
  </si>
  <si>
    <t>219801A3M3823CX1000V</t>
  </si>
  <si>
    <t>14010401-2023-000005</t>
  </si>
  <si>
    <t>WQ-F04-T3-C08(16U-16U)</t>
  </si>
  <si>
    <t>219801A3M3823CX1000P</t>
  </si>
  <si>
    <t>14010401-2023-000004</t>
  </si>
  <si>
    <t>WQ-F04-T3-H18(35U-35U)</t>
  </si>
  <si>
    <t>219801A3M3823CX10014</t>
  </si>
  <si>
    <t>14010401-2023-000010</t>
  </si>
  <si>
    <t>WQ-F04-T3-C07(16U-16U)</t>
  </si>
  <si>
    <t>219801A3M3823CX1001R</t>
  </si>
  <si>
    <t>14010401-2023-000009</t>
  </si>
  <si>
    <t>WQ-F04-T3-C08(12U-12U)</t>
  </si>
  <si>
    <t>219801A3M3823CX1001D</t>
  </si>
  <si>
    <t>14010401-2023-000003</t>
  </si>
  <si>
    <t>WQ-F04-T3-C08(14U-14U)</t>
  </si>
  <si>
    <t>219801A3M3823CX1000B</t>
  </si>
  <si>
    <t>14010401-2023-000007</t>
  </si>
  <si>
    <t>WQ-F04-T3-H18(37U-37U)</t>
  </si>
  <si>
    <t>219801A3M3823CX10006</t>
  </si>
  <si>
    <t>14010401-2023-000008</t>
  </si>
  <si>
    <t>WQ-F04-T3-C07(12U-12U)</t>
  </si>
  <si>
    <t>219801A3M3823CX1000X</t>
  </si>
  <si>
    <t>14010401-2023-000006</t>
  </si>
  <si>
    <t>WQ-F04-T3-C07(14U-14U)</t>
  </si>
  <si>
    <t>华三F5000-CN60</t>
  </si>
  <si>
    <t>210235A2X9B23C000005</t>
  </si>
  <si>
    <t>14010401-2023-000033</t>
  </si>
  <si>
    <t>WQ-F04-T3-H14(11U-12U)</t>
  </si>
  <si>
    <t>210235A2X9B23C000029</t>
  </si>
  <si>
    <t>14010401-2023-000027</t>
  </si>
  <si>
    <t>TK-F01-106-G08(25U-26U)</t>
  </si>
  <si>
    <t>210235A2X9B23B000006</t>
  </si>
  <si>
    <t>14010401-2023-000032</t>
  </si>
  <si>
    <t>WQ-F04-T3-D10(26U-27U)</t>
  </si>
  <si>
    <t>210235A2X9B23C000001</t>
  </si>
  <si>
    <t>14010401-2023-000036</t>
  </si>
  <si>
    <t>WQ-F04-T3-C09(19U-20U)</t>
  </si>
  <si>
    <t>210235A2X9B23C000026</t>
  </si>
  <si>
    <t>14010401-2023-000025</t>
  </si>
  <si>
    <t>TK-F01-106-G09(23U-24U)</t>
  </si>
  <si>
    <t>210235A2X9B23C000032</t>
  </si>
  <si>
    <t>14010401-2023-000026</t>
  </si>
  <si>
    <t>TK-F01-106-G09(26U-27U)</t>
  </si>
  <si>
    <t>210235A2X9B23C000007</t>
  </si>
  <si>
    <t>14010401-2023-000035</t>
  </si>
  <si>
    <t>WQ-F04-T3-D09(26U-27U)</t>
  </si>
  <si>
    <t>210235A2X9B23C000036</t>
  </si>
  <si>
    <t>14010401-2023-000029</t>
  </si>
  <si>
    <t>TK-F01-106-G(16U-17U)</t>
  </si>
  <si>
    <t>210235A2X9B23C000002</t>
  </si>
  <si>
    <t>14010401-2023-000030</t>
  </si>
  <si>
    <t>WQ-F04-T3-D10(33U-34U)</t>
  </si>
  <si>
    <t>210235A2X9B23C000003</t>
  </si>
  <si>
    <t>14010401-2023-000034</t>
  </si>
  <si>
    <t>WQ-F04-T3-C10(19U-20U)</t>
  </si>
  <si>
    <t>210235A2X9B23C000006</t>
  </si>
  <si>
    <t>14010401-2023-000031</t>
  </si>
  <si>
    <t>WQ-F04-T3-D09(33U-34U)</t>
  </si>
  <si>
    <t>210235A2X9B23B000004</t>
  </si>
  <si>
    <t>14010401-2023-000037</t>
  </si>
  <si>
    <t>WQ-F04-T3-H13(11U-12U)</t>
  </si>
  <si>
    <t>210235A2X9B23C000013</t>
  </si>
  <si>
    <t>14010401-2023-000028</t>
  </si>
  <si>
    <t>TK-F01-106-G08(22U-23U)</t>
  </si>
  <si>
    <t>210235A2X9B23C000031</t>
  </si>
  <si>
    <t>14010401-2023-000038</t>
  </si>
  <si>
    <t>TK-F01-106-G08(30U-31U)</t>
  </si>
  <si>
    <t>华三M9000-X06</t>
  </si>
  <si>
    <t>210235A2Y0X2410C701H</t>
  </si>
  <si>
    <t>14010401-2023-000056</t>
  </si>
  <si>
    <t>WQ-F04-T3-C11(19U-24U)</t>
  </si>
  <si>
    <t>210235A2Y0X2410C700X</t>
  </si>
  <si>
    <t>14010401-2023-000052</t>
  </si>
  <si>
    <t>WQ-F04-T3-C12(19U-24U)</t>
  </si>
  <si>
    <t>210235A2Y0X2410C7001</t>
  </si>
  <si>
    <t>14010401-2023-000053</t>
  </si>
  <si>
    <t>WQ-F04-T3-C13(23U-28U)</t>
  </si>
  <si>
    <t>210235A2Y0X22B0C7007</t>
  </si>
  <si>
    <t>14010401-2023-000054</t>
  </si>
  <si>
    <t>WQ-F04-T3-C14(23U-28U)</t>
  </si>
  <si>
    <t>210235A2Y0X2410C700B</t>
  </si>
  <si>
    <t>14010401-2023-000051</t>
  </si>
  <si>
    <t>WQ-F04-T3-C05(23U-28U)</t>
  </si>
  <si>
    <t>210235A2Y0X2250P000G</t>
  </si>
  <si>
    <t>14010401-2023-000058</t>
  </si>
  <si>
    <t>WQ-F04-T3-C03(23U-28U)</t>
  </si>
  <si>
    <t>210235A2Y0X2410C701B</t>
  </si>
  <si>
    <t>14010401-2023-000055</t>
  </si>
  <si>
    <t>WQ-F04-T3-C04(23U-28U)</t>
  </si>
  <si>
    <t>210235A2Y0X23A0C700P</t>
  </si>
  <si>
    <t>14010401-2023-000057</t>
  </si>
  <si>
    <t>WQ-F04-T3-C06(23U-28U)</t>
  </si>
  <si>
    <t>华为USG12004-F</t>
  </si>
  <si>
    <t>1023CB525752</t>
  </si>
  <si>
    <t>14010401-2023-000065</t>
  </si>
  <si>
    <t>WQ-F04-T3-D04(3U-10U)</t>
  </si>
  <si>
    <t>1023CB525753</t>
  </si>
  <si>
    <t>14010401-2023-000066</t>
  </si>
  <si>
    <t>WQ-F04-T3-D05(3U-10U)</t>
  </si>
  <si>
    <t>1023CB525755</t>
  </si>
  <si>
    <t>14010401-2023-000068</t>
  </si>
  <si>
    <t>WQ-F04-T3-D06(3U-10U)</t>
  </si>
  <si>
    <t>1023CB525754</t>
  </si>
  <si>
    <t>14010401-2023-000067</t>
  </si>
  <si>
    <t>WQ-F04-T3-D03(3U-10U)</t>
  </si>
  <si>
    <t>华为USG6655F</t>
  </si>
  <si>
    <t>1023CB515359</t>
  </si>
  <si>
    <t>14010401-2023-000049</t>
  </si>
  <si>
    <t>XD-B01-TX-F03(36U-36U)</t>
  </si>
  <si>
    <t>102265368023</t>
  </si>
  <si>
    <t>14010401-2023-000044</t>
  </si>
  <si>
    <t>TK-F01-106-A07(34U-34U)</t>
  </si>
  <si>
    <t>1023CB515365</t>
  </si>
  <si>
    <t>14010401-2023-000020</t>
  </si>
  <si>
    <t>WQ-F04-T3-E11(15U-15U)</t>
  </si>
  <si>
    <t>1023CB515388</t>
  </si>
  <si>
    <t>14010401-2023-000059</t>
  </si>
  <si>
    <t>WQ-F04-T3-C05(31U-31U)</t>
  </si>
  <si>
    <t>1023CB515361</t>
  </si>
  <si>
    <t>14010401-2023-000019</t>
  </si>
  <si>
    <t>WQ-F04-T3-E11(22U-22U)</t>
  </si>
  <si>
    <t>1023CB515387</t>
  </si>
  <si>
    <t>14010401-2023-000045</t>
  </si>
  <si>
    <t>WQ-F04-T3-D04(26U-26U)</t>
  </si>
  <si>
    <t>102265368018</t>
  </si>
  <si>
    <t>14010401-2023-000013</t>
  </si>
  <si>
    <t>WQ-F04-T3-G09(20U-20U)</t>
  </si>
  <si>
    <t>1023CB515363</t>
  </si>
  <si>
    <t>14010401-2023-000021</t>
  </si>
  <si>
    <t>WQ-F04-T3-E12(15U-15U)</t>
  </si>
  <si>
    <t>1023CB515357</t>
  </si>
  <si>
    <t>14010401-2023-000018</t>
  </si>
  <si>
    <t>WQ-F04-T3-E12(22U-22U)</t>
  </si>
  <si>
    <t>1023CB515394</t>
  </si>
  <si>
    <t>14010401-2023-000023</t>
  </si>
  <si>
    <t>WQ-F04-T3-D01(22U-22U)</t>
  </si>
  <si>
    <t>1023CB515367</t>
  </si>
  <si>
    <t>14010401-2023-000039</t>
  </si>
  <si>
    <t>TK-F01-106-A06(34U-34U)</t>
  </si>
  <si>
    <t>1023CB515369</t>
  </si>
  <si>
    <t>14010401-2023-000011</t>
  </si>
  <si>
    <t>WQ-F04-T3-D02(22U-22U)</t>
  </si>
  <si>
    <t>1023CB515382</t>
  </si>
  <si>
    <t>14010401-2023-000047</t>
  </si>
  <si>
    <t>WQ-F04-T3-D01(25U-25U)</t>
  </si>
  <si>
    <t>1023CB515354</t>
  </si>
  <si>
    <t>14010401-2023-000042</t>
  </si>
  <si>
    <t>WQ-F04-T3-D01(36U-36U)</t>
  </si>
  <si>
    <t>1023CB515362</t>
  </si>
  <si>
    <t>14010401-2023-000061</t>
  </si>
  <si>
    <t>WQ-F04-T3-C14(31U-31U)</t>
  </si>
  <si>
    <t>1023CB515372</t>
  </si>
  <si>
    <t>14010401-2023-000017</t>
  </si>
  <si>
    <t>WQ-F04-T3-G10(20U-20U)</t>
  </si>
  <si>
    <t>1023CB515385</t>
  </si>
  <si>
    <t>14010401-2023-000048</t>
  </si>
  <si>
    <t>WQ-F04-T3-D05(26U-26U)</t>
  </si>
  <si>
    <t>1023CB515376</t>
  </si>
  <si>
    <t>14010401-2023-000024</t>
  </si>
  <si>
    <t>WQ-F04-T3-H13(18U-18U)</t>
  </si>
  <si>
    <t>1023CB515384</t>
  </si>
  <si>
    <t>14010401-2023-000062</t>
  </si>
  <si>
    <t>WQ-F04-T3-G09(15U-15U)</t>
  </si>
  <si>
    <t>1023CB515373</t>
  </si>
  <si>
    <t>14010401-2023-000046</t>
  </si>
  <si>
    <t>WQ-F04-T3-D06(26U-26U)</t>
  </si>
  <si>
    <t>1023CB515381</t>
  </si>
  <si>
    <t>14010401-2023-000060</t>
  </si>
  <si>
    <t>WQ-F04-T3-G10(15U-15U)</t>
  </si>
  <si>
    <t>1023CB515392</t>
  </si>
  <si>
    <t>14010401-2023-000022</t>
  </si>
  <si>
    <t>WQ-F04-T3-H14(18U-18U)</t>
  </si>
  <si>
    <t>1023CB515370</t>
  </si>
  <si>
    <t>14010401-2023-000043</t>
  </si>
  <si>
    <t>XD-B01-TX-F02(36U-36U)</t>
  </si>
  <si>
    <t>1023CB515389</t>
  </si>
  <si>
    <t>14010401-2023-000014</t>
  </si>
  <si>
    <t>WQ-F04-T3-F13(15U-15U)</t>
  </si>
  <si>
    <t>1023CB515383</t>
  </si>
  <si>
    <t>14010401-2023-000041</t>
  </si>
  <si>
    <t>WQ-F04-T3-D02(25U-25U)</t>
  </si>
  <si>
    <t>1023CB515378</t>
  </si>
  <si>
    <t>14010401-2023-000063</t>
  </si>
  <si>
    <t>WQ-F04-T3-C06(31U-31U)</t>
  </si>
  <si>
    <t>1023CB515393</t>
  </si>
  <si>
    <t>14010401-2023-000016</t>
  </si>
  <si>
    <t>WQ-F04-T3-F13(20U-20U)</t>
  </si>
  <si>
    <t>1023CB515386</t>
  </si>
  <si>
    <t>14010401-2023-000012</t>
  </si>
  <si>
    <t>WQ-F04-T3-F14(15U-15U)</t>
  </si>
  <si>
    <t>1023CB515355</t>
  </si>
  <si>
    <t>14010401-2023-000050</t>
  </si>
  <si>
    <t>WQ-F04-T3-D02(36U-36U)</t>
  </si>
  <si>
    <t>1023CB515377</t>
  </si>
  <si>
    <t>14010401-2023-000015</t>
  </si>
  <si>
    <t>WQ-F04-T3-F14(20U-20U)</t>
  </si>
  <si>
    <t>1023CB515391</t>
  </si>
  <si>
    <t>14010401-2023-000064</t>
  </si>
  <si>
    <t>WQ-F04-T3-C13(31U-31U)</t>
  </si>
  <si>
    <t>1023CB515374</t>
  </si>
  <si>
    <t>14010401-2023-000040</t>
  </si>
  <si>
    <t>WQ-F04-T3-D03(26U-26U)</t>
  </si>
  <si>
    <t>Web应用防火墙（WAF）</t>
  </si>
  <si>
    <t>长亭科技SL-C10/W10V1.0</t>
  </si>
  <si>
    <t>CT0101202312186795</t>
  </si>
  <si>
    <t>14010403-2023-000001</t>
  </si>
  <si>
    <t>WQ-F04-T3-D09(21U-22U)</t>
  </si>
  <si>
    <t>CT01012023121887CA</t>
  </si>
  <si>
    <t>14010403-2023-000002</t>
  </si>
  <si>
    <t>WQ-F04-T3-D10(21U-22U)</t>
  </si>
  <si>
    <t>安全隔离设备</t>
  </si>
  <si>
    <t>中铁信GTCHSG1000V1.0</t>
  </si>
  <si>
    <t>SRAD24030100006；SRAD24030100005</t>
  </si>
  <si>
    <t>14010406-2023-000008</t>
  </si>
  <si>
    <t>WQ-F04-T3-F11(22U-25U);WQ-F04-T3-F11(27U-30U)</t>
  </si>
  <si>
    <t>SRAD24030100008；SRAD24030100007</t>
  </si>
  <si>
    <t>14010406-2023-000006</t>
  </si>
  <si>
    <t>WQ-F04-T3-F12(2U-5U);WQ-F04-T3-F12(7U-10U)</t>
  </si>
  <si>
    <t>SRAD24030100002；SRAD24030100001</t>
  </si>
  <si>
    <t>14010406-2023-000007</t>
  </si>
  <si>
    <t>WQ-F04-T3-F11(2U-5U);WQ-F04-T3-F11(7U-8U)</t>
  </si>
  <si>
    <t>SRAD24030100004；SRAD24030100003</t>
  </si>
  <si>
    <t>14010406-2023-000004</t>
  </si>
  <si>
    <t>WQ-F04-T3-F11(12U-15U);WQ-F04-T3-F11(17U-20U)</t>
  </si>
  <si>
    <t>SRAD24030100010；SRAD24030100009</t>
  </si>
  <si>
    <t>14010406-2023-000003</t>
  </si>
  <si>
    <t>WQ-F04-T3-F12(12U-15U);WQ-F04-T3-F12(17U-20U)</t>
  </si>
  <si>
    <t>SRAD24030100012；SRAD24030100011</t>
  </si>
  <si>
    <t>14010406-2023-000005</t>
  </si>
  <si>
    <t>WQ-F04-T3-F12(22U-25U);WQ-F04-T3-F12(27U-30U)</t>
  </si>
  <si>
    <t>中铁信安 科博安全隔离与信息交换系统CopGap200-FT10000</t>
  </si>
  <si>
    <t>2305V7219S100302</t>
  </si>
  <si>
    <t>14010406-2023-000001</t>
  </si>
  <si>
    <t>XD-B02-KP-B06(40-41U)</t>
  </si>
  <si>
    <t>2305V7219S100301</t>
  </si>
  <si>
    <t>14010406-2023-000002</t>
  </si>
  <si>
    <t>XD-B02-KP-B07(35-36U)</t>
  </si>
  <si>
    <t>中铁信安CopGap200/V2.3</t>
  </si>
  <si>
    <t>LK240140002</t>
  </si>
  <si>
    <t>14010406-2023-000009</t>
  </si>
  <si>
    <t>WQ-F04-T3-G12(14U-15U)</t>
  </si>
  <si>
    <t>LK240140001</t>
  </si>
  <si>
    <t>14010406-2023-000010</t>
  </si>
  <si>
    <t>WQ-F04-T3-G12(17U-18U)</t>
  </si>
  <si>
    <t>永达ASG10000/V1.0</t>
  </si>
  <si>
    <t>2F20497D31</t>
  </si>
  <si>
    <t>14010406-2023-000013</t>
  </si>
  <si>
    <t>WQ-F04-T3-G12(2U-3U)</t>
  </si>
  <si>
    <t>2F20497D33</t>
  </si>
  <si>
    <t>14010406-2023-000012</t>
  </si>
  <si>
    <t>WQ-F04-T3-G12(8U-9U)</t>
  </si>
  <si>
    <t>2F20497D34</t>
  </si>
  <si>
    <t>14010406-2023-000011</t>
  </si>
  <si>
    <t>WQ-F04-T3-G12(11U-12U)</t>
  </si>
  <si>
    <t>2F20497D32</t>
  </si>
  <si>
    <t>14010406-2023-000014</t>
  </si>
  <si>
    <t>WQ-F04-T3-G12(5U-6U)</t>
  </si>
  <si>
    <t>加解密设备</t>
  </si>
  <si>
    <t>兴唐通信SDT1906</t>
  </si>
  <si>
    <t>S22921001Z400122</t>
  </si>
  <si>
    <t>14010412-2023-000032</t>
  </si>
  <si>
    <t>WQ-F04-T3-H15(21U-21U)</t>
  </si>
  <si>
    <t>S22921001Z400106</t>
  </si>
  <si>
    <t>14010412-2023-000030</t>
  </si>
  <si>
    <t>WQ-F04-T3-H15(19U-19U)</t>
  </si>
  <si>
    <t>S22921001Z400079</t>
  </si>
  <si>
    <t>14010412-2023-000031</t>
  </si>
  <si>
    <t>WQ-F04-T3-H16(19U-19U)</t>
  </si>
  <si>
    <t>S22921001Z400181</t>
  </si>
  <si>
    <t>14010412-2023-000033</t>
  </si>
  <si>
    <t>WQ-F04-T3-H16(24U-24U)</t>
  </si>
  <si>
    <t>S22921001Z400055</t>
  </si>
  <si>
    <t>14010412-2023-000029</t>
  </si>
  <si>
    <t>WQ-F04-T3-H16(21U-21U)</t>
  </si>
  <si>
    <t>S22921001Z400116</t>
  </si>
  <si>
    <t>14010412-2023-000034</t>
  </si>
  <si>
    <t>WQ-F04-T3-H15(24U-24U)</t>
  </si>
  <si>
    <t>兴唐通信SDT1907</t>
  </si>
  <si>
    <t>S22921001Z400037</t>
  </si>
  <si>
    <t>14010412-2023-000047</t>
  </si>
  <si>
    <t>WQ-F04-T3-H16(26U-26U)</t>
  </si>
  <si>
    <t>S22921001Z400118</t>
  </si>
  <si>
    <t>14010412-2023-000048</t>
  </si>
  <si>
    <t>WQ-F04-T3-H15(26U-26U)</t>
  </si>
  <si>
    <t>兴唐通信SJJ1533-G</t>
  </si>
  <si>
    <t>S22921001Z400060</t>
  </si>
  <si>
    <t>14010412-2023-000007</t>
  </si>
  <si>
    <t>WQ-F04-T3-H15(28U-28U)</t>
  </si>
  <si>
    <t>S22921001Z400059</t>
  </si>
  <si>
    <t>14010412-2023-000003</t>
  </si>
  <si>
    <t>WQ-F04-T3-G11(12U-12U)</t>
  </si>
  <si>
    <t>S22921001Z400179</t>
  </si>
  <si>
    <t>14010412-2023-000002</t>
  </si>
  <si>
    <t>WQ-F04-T3-G13(2U-2U)</t>
  </si>
  <si>
    <t>S22921001Z400131</t>
  </si>
  <si>
    <t>14010412-2023-000008</t>
  </si>
  <si>
    <t>WQ-F04-T3-G11(2U-2U)</t>
  </si>
  <si>
    <t>S22921001Z400132</t>
  </si>
  <si>
    <t>14010412-2023-000005</t>
  </si>
  <si>
    <t>WQ-F04-T3-H17(32U-32U)</t>
  </si>
  <si>
    <t>S22921001Z400098</t>
  </si>
  <si>
    <t>14010412-2023-000001</t>
  </si>
  <si>
    <t>WQ-F04-T3-G13(4U-4U)</t>
  </si>
  <si>
    <t>S22921001Z400061</t>
  </si>
  <si>
    <t>14010412-2023-000004</t>
  </si>
  <si>
    <t>WQ-F04-T3-G11(4U-4U)</t>
  </si>
  <si>
    <t>S22921001Z400082</t>
  </si>
  <si>
    <t>14010412-2023-000009</t>
  </si>
  <si>
    <t>WQ-F04-T3-H16(28U-28U)</t>
  </si>
  <si>
    <t>S22921001Z400072</t>
  </si>
  <si>
    <t>14010412-2023-000006</t>
  </si>
  <si>
    <t>WQ-F04-T3-H17(30U-30U)</t>
  </si>
  <si>
    <t>S22921001Z400178</t>
  </si>
  <si>
    <t>14010412-2023-000010</t>
  </si>
  <si>
    <t>WQ-F04-T3-G13(12U-12U)</t>
  </si>
  <si>
    <t>北京数字认证AnySign-AV2.0</t>
  </si>
  <si>
    <t>W80002312004483</t>
  </si>
  <si>
    <t>14010412-2023-000027</t>
  </si>
  <si>
    <t>WQ-F04-T3-F15(6U-7U)</t>
  </si>
  <si>
    <t>W80002312004484</t>
  </si>
  <si>
    <t>14010412-2023-000028</t>
  </si>
  <si>
    <t>WQ-F04-T3-F15(8U-9U)</t>
  </si>
  <si>
    <t>北京数字认证COSS-AV2.0</t>
  </si>
  <si>
    <t>W80002312004524</t>
  </si>
  <si>
    <t>14010412-2023-000058</t>
  </si>
  <si>
    <t>WQ-F04-T3-E13(25U-26U)</t>
  </si>
  <si>
    <t>W80002312004525</t>
  </si>
  <si>
    <t>14010412-2023-000057</t>
  </si>
  <si>
    <t>WQ-F04-T3-E14(25U-26U)</t>
  </si>
  <si>
    <t>北京数字认证CSG-HGV2</t>
  </si>
  <si>
    <t>W80002312004475</t>
  </si>
  <si>
    <t>14010412-2023-000023</t>
  </si>
  <si>
    <t>WQ-F04-T3-D10(18U-19U)</t>
  </si>
  <si>
    <t>W80002312004479</t>
  </si>
  <si>
    <t>14010412-2023-000021</t>
  </si>
  <si>
    <t>WQ-F04-T3-E13(27U-28U)</t>
  </si>
  <si>
    <t>W80002312004467</t>
  </si>
  <si>
    <t>14010412-2023-000024</t>
  </si>
  <si>
    <t>WQ-F04-T3-E14(27U-28U)</t>
  </si>
  <si>
    <t>W80002312004472</t>
  </si>
  <si>
    <t>14010412-2023-000016</t>
  </si>
  <si>
    <t>WQ-F04-T3-G11(6U-7U)</t>
  </si>
  <si>
    <t>W80002312004469</t>
  </si>
  <si>
    <t>14010412-2023-000022</t>
  </si>
  <si>
    <t>WQ-F04-T3-G11(9U-10U)</t>
  </si>
  <si>
    <t>W80002312004471</t>
  </si>
  <si>
    <t>14010412-2023-000025</t>
  </si>
  <si>
    <t>WQ-F04-T3-G11(14U-15U)</t>
  </si>
  <si>
    <t>W80002312004477</t>
  </si>
  <si>
    <t>14010412-2023-000013</t>
  </si>
  <si>
    <t>WQ-F04-T3-G14(28U-29U)</t>
  </si>
  <si>
    <t>W80002312004474</t>
  </si>
  <si>
    <t>14010412-2023-000019</t>
  </si>
  <si>
    <t>WQ-F04-T3-G13(6U-7U)</t>
  </si>
  <si>
    <t>W80002312004478</t>
  </si>
  <si>
    <t>14010412-2023-000020</t>
  </si>
  <si>
    <t>WQ-F04-T3-G13(9U-10U)</t>
  </si>
  <si>
    <t>W80002312004482</t>
  </si>
  <si>
    <t>14010412-2023-000018</t>
  </si>
  <si>
    <t>WQ-F04-T3-D09(18U-19U)</t>
  </si>
  <si>
    <t>W80002312004476</t>
  </si>
  <si>
    <t>14010412-2023-000014</t>
  </si>
  <si>
    <t>WQ-F04-T3-G13(14U-15U)</t>
  </si>
  <si>
    <t>W80002312004481</t>
  </si>
  <si>
    <t>14010412-2023-000011</t>
  </si>
  <si>
    <t>WQ-F04-T3-F15(10U-11U)</t>
  </si>
  <si>
    <t>W80002312004480</t>
  </si>
  <si>
    <t>14010412-2023-000017</t>
  </si>
  <si>
    <t>WQ-F04-T3-F15(12U-13U)</t>
  </si>
  <si>
    <t>W80002312004473</t>
  </si>
  <si>
    <t>14010412-2023-000012</t>
  </si>
  <si>
    <t>WQ-F04-T3-F01(28U-29U)</t>
  </si>
  <si>
    <t>W80002312004468</t>
  </si>
  <si>
    <t>14010412-2023-000015</t>
  </si>
  <si>
    <t>WQ-F04-T3-F01(31U-32U)</t>
  </si>
  <si>
    <t>W80002312004470</t>
  </si>
  <si>
    <t>14010412-2023-000026</t>
  </si>
  <si>
    <t>WQ-F04-T3-G14(31U-32U)</t>
  </si>
  <si>
    <t>北京数字认证DSVS-HGV2</t>
  </si>
  <si>
    <t>W80002312004486</t>
  </si>
  <si>
    <t>14010412-2023-000053</t>
  </si>
  <si>
    <t>WQ-F04-T3-E13(23U-24U)</t>
  </si>
  <si>
    <t>W80002312004491</t>
  </si>
  <si>
    <t>14010412-2023-000050</t>
  </si>
  <si>
    <t>WQ-F04-T3-F16(25U-26U)</t>
  </si>
  <si>
    <t>W80002312004488</t>
  </si>
  <si>
    <t>14010412-2023-000051</t>
  </si>
  <si>
    <t>WQ-F04-T3-F17(27U-28U)</t>
  </si>
  <si>
    <t>W80002312004487</t>
  </si>
  <si>
    <t>14010412-2023-000049</t>
  </si>
  <si>
    <t>WQ-F04-T3-E14(23U-24U)</t>
  </si>
  <si>
    <t>W80002312004489</t>
  </si>
  <si>
    <t>14010412-2023-000052</t>
  </si>
  <si>
    <t>WQ-F04-T3-F16(27U-28U)</t>
  </si>
  <si>
    <t>W80002312004490</t>
  </si>
  <si>
    <t>14010412-2023-000054</t>
  </si>
  <si>
    <t>WQ-F04-T3-F17(25U-26U)</t>
  </si>
  <si>
    <t>北京数字认证HSM-HGV1</t>
  </si>
  <si>
    <t>W80002312004505</t>
  </si>
  <si>
    <t>14010412-2023-000037</t>
  </si>
  <si>
    <t>WQ-F04-T3-E13(18U-19U)</t>
  </si>
  <si>
    <t>W80002312004504</t>
  </si>
  <si>
    <t>14010412-2023-000043</t>
  </si>
  <si>
    <t>WQ-F04-T3-E13(20U-21U)</t>
  </si>
  <si>
    <t>W80002312004506</t>
  </si>
  <si>
    <t>14010412-2023-000035</t>
  </si>
  <si>
    <t>WQ-F04-T3-E14(20U-21U)</t>
  </si>
  <si>
    <t>W80002312004513</t>
  </si>
  <si>
    <t>14010412-2023-000039</t>
  </si>
  <si>
    <t>WQ-F04-T3-F17(23U-24U)</t>
  </si>
  <si>
    <t>W80002312004511</t>
  </si>
  <si>
    <t>14010412-2023-000038</t>
  </si>
  <si>
    <t>WQ-F04-T3-F17(20U-21U)</t>
  </si>
  <si>
    <t>W80002312004507</t>
  </si>
  <si>
    <t>14010412-2023-000044</t>
  </si>
  <si>
    <t>WQ-F04-T3-E14(18U-19U)</t>
  </si>
  <si>
    <t>W80002312004509</t>
  </si>
  <si>
    <t>14010412-2023-000042</t>
  </si>
  <si>
    <t>WQ-F04-T3-F17(18U-19U)</t>
  </si>
  <si>
    <t>W80002312004508</t>
  </si>
  <si>
    <t>14010412-2023-000040</t>
  </si>
  <si>
    <t>WQ-F04-T3-F16(20U-21U)</t>
  </si>
  <si>
    <t>W80002312004512</t>
  </si>
  <si>
    <t>14010412-2023-000036</t>
  </si>
  <si>
    <t>WQ-F04-T3-F16(18U-19U)</t>
  </si>
  <si>
    <t>W80002312004510</t>
  </si>
  <si>
    <t>14010412-2023-000041</t>
  </si>
  <si>
    <t>WQ-F04-T3-F16(23U-24U)</t>
  </si>
  <si>
    <t>北京数字认证SFT1905-G</t>
  </si>
  <si>
    <t>W80002312004495</t>
  </si>
  <si>
    <t>14010412-2023-000045</t>
  </si>
  <si>
    <t>WQ-F04-T3-F15(2U-3U)</t>
  </si>
  <si>
    <t>W80002312004494</t>
  </si>
  <si>
    <t>14010412-2023-000046</t>
  </si>
  <si>
    <t>WQ-F04-T3-F15(4U-5U)</t>
  </si>
  <si>
    <t>北京数字认证TSS-HGV1</t>
  </si>
  <si>
    <t>W80002312004492</t>
  </si>
  <si>
    <t>14010412-2023-000056</t>
  </si>
  <si>
    <t>WQ-F04-T3-F17(29U-30U)</t>
  </si>
  <si>
    <t>W80002312004493</t>
  </si>
  <si>
    <t>14010412-2023-000055</t>
  </si>
  <si>
    <t>WQ-F04-T3-F16(29U-30U)</t>
  </si>
  <si>
    <t>大唐保镖K36042</t>
  </si>
  <si>
    <t>14019901-2020-000008</t>
  </si>
  <si>
    <t>DF-F03-334</t>
  </si>
  <si>
    <t>服务器</t>
  </si>
  <si>
    <t>国铁吉讯 CRGT-MC-RS5802</t>
  </si>
  <si>
    <t>2106195HABX3NC000014</t>
  </si>
  <si>
    <t>14010104-2022-000309</t>
  </si>
  <si>
    <t>WQ-T8-C20-6U-9U</t>
  </si>
  <si>
    <t>2106195HABX3NC000013</t>
  </si>
  <si>
    <t>14010104-2022-000253</t>
  </si>
  <si>
    <t>WQ-T8-C20-2U-5U</t>
  </si>
  <si>
    <t>2106195HABX3NC000012</t>
  </si>
  <si>
    <t>14010104-2022-000252</t>
  </si>
  <si>
    <t>WQ-T8-C20-14U-17U</t>
  </si>
  <si>
    <t>2106195HABX3NC000016</t>
  </si>
  <si>
    <t>14010104-2022-000189</t>
  </si>
  <si>
    <t>WQ-T8-C20-10U-13U</t>
  </si>
  <si>
    <t>2106195HABX3NC000011</t>
  </si>
  <si>
    <t>14010104-2022-000160</t>
  </si>
  <si>
    <t>WQ-T8-C19-2U-5U</t>
  </si>
  <si>
    <t>2106195HABX3NC000010</t>
  </si>
  <si>
    <t>14010104-2022-000183</t>
  </si>
  <si>
    <t>WQ-T8-C19-6U-9U</t>
  </si>
  <si>
    <t>2106195HABX3NC000009</t>
  </si>
  <si>
    <t>14010104-2022-000072</t>
  </si>
  <si>
    <t>WQ-T8-C19-10U-13U</t>
  </si>
  <si>
    <t>2106195HABX3NC000015</t>
  </si>
  <si>
    <t>14010104-2022-000149</t>
  </si>
  <si>
    <t>WQ-T8-C19-14U-17U</t>
  </si>
  <si>
    <t>国铁吉讯 CRGT-MC-RS5800</t>
  </si>
  <si>
    <t>2106195GYUX3NC000002</t>
  </si>
  <si>
    <t>14010104-2022-000100</t>
  </si>
  <si>
    <t>WQ-T8-B01-23U-24U</t>
  </si>
  <si>
    <t>2106195GYUX3NC000016</t>
  </si>
  <si>
    <t>14010104-2022-000101</t>
  </si>
  <si>
    <t>WQ-T8-B01-25U-26U</t>
  </si>
  <si>
    <t>2106195GYUX3NC000015</t>
  </si>
  <si>
    <t>14010104-2022-000306</t>
  </si>
  <si>
    <t>WQ-T8-C20-20U-21U</t>
  </si>
  <si>
    <t>2106195GYUX3NC000014</t>
  </si>
  <si>
    <t>14010104-2022-000097</t>
  </si>
  <si>
    <t>WQ-T8-B01-17U-18U</t>
  </si>
  <si>
    <t>2106195GYUX3NC000013</t>
  </si>
  <si>
    <t>14010104-2022-000095</t>
  </si>
  <si>
    <t>WQ-T8-B01-13U-14U</t>
  </si>
  <si>
    <t>2106195GYUX3NC000012</t>
  </si>
  <si>
    <t>14010104-2022-000096</t>
  </si>
  <si>
    <t>WQ-T8-B01-15U-16U</t>
  </si>
  <si>
    <t>2106195GYUX3NC000011</t>
  </si>
  <si>
    <t>14010104-2022-000099</t>
  </si>
  <si>
    <t>WQ-T8-B01-21U-22U</t>
  </si>
  <si>
    <t>2106195GYUX3NC000010</t>
  </si>
  <si>
    <t>14010104-2022-000098</t>
  </si>
  <si>
    <t>WQ-T8-B01-19U-20U</t>
  </si>
  <si>
    <t>2106195GYUX3NC000005</t>
  </si>
  <si>
    <t>14010104-2022-000102</t>
  </si>
  <si>
    <t>WQ-T8-B01-27U-28U</t>
  </si>
  <si>
    <t>2106195GYUX3NC000008</t>
  </si>
  <si>
    <t>14010104-2022-000307</t>
  </si>
  <si>
    <t>WQ-T8-C20-22U-23U</t>
  </si>
  <si>
    <t>2106195GYUX3NC000004</t>
  </si>
  <si>
    <t>14010104-2022-000305</t>
  </si>
  <si>
    <t>WQ-T8-C20-18U-19U</t>
  </si>
  <si>
    <t>2106195GYUX3NC000007</t>
  </si>
  <si>
    <t>14010104-2022-000308</t>
  </si>
  <si>
    <t>WQ-T8-C20-24U-25U</t>
  </si>
  <si>
    <t>2106195GYUX3NC000009</t>
  </si>
  <si>
    <t>14010104-2022-000301</t>
  </si>
  <si>
    <t>WQ-T8-C19-20U-21U</t>
  </si>
  <si>
    <t>2106195GYUX3NC000006</t>
  </si>
  <si>
    <t>14010104-2022-000304</t>
  </si>
  <si>
    <t>WQ-T8-C19-24U-25U</t>
  </si>
  <si>
    <t>2106195GYUX3NC000003</t>
  </si>
  <si>
    <t>14010104-2022-000300</t>
  </si>
  <si>
    <t>WQ-T8-C19-18U-19U</t>
  </si>
  <si>
    <t>2106195GYUX3NC000001</t>
  </si>
  <si>
    <t>14010104-2022-000302</t>
  </si>
  <si>
    <t>WQ-T8-C19-22U-23U</t>
  </si>
  <si>
    <t>2106195HAJXDNB000004</t>
  </si>
  <si>
    <t>14010104-2022-000142</t>
  </si>
  <si>
    <t>WQ-T8-B08-18U-19U</t>
  </si>
  <si>
    <t>2106195HAJXDNB000001</t>
  </si>
  <si>
    <t>14010104-2022-000141</t>
  </si>
  <si>
    <t>WQ-T8-B08-16U-17U</t>
  </si>
  <si>
    <t>2106195HAJXDNB000003</t>
  </si>
  <si>
    <t>14010104-2022-000139</t>
  </si>
  <si>
    <t>WQ-T8-B08-12U-13U</t>
  </si>
  <si>
    <t>2106195HAJXDNB000002</t>
  </si>
  <si>
    <t>14010104-2022-000140</t>
  </si>
  <si>
    <t>WQ-T8-B08-14U-15U</t>
  </si>
  <si>
    <t>2106195HADX3NC000002</t>
  </si>
  <si>
    <t>14010104-2022-000148</t>
  </si>
  <si>
    <t>WQ-T8-B08-8U-9U</t>
  </si>
  <si>
    <t>2106195HADX3NC000001</t>
  </si>
  <si>
    <t>14010104-2022-000146</t>
  </si>
  <si>
    <t>WQ-T8-B08-6U-7U</t>
  </si>
  <si>
    <t>2106195HADX3NC000003</t>
  </si>
  <si>
    <t>14010104-2022-000138</t>
  </si>
  <si>
    <t>WQ-T8-B08-10U-11U</t>
  </si>
  <si>
    <t>2106195GYYXDNB000002</t>
  </si>
  <si>
    <t>14010104-2022-000292</t>
  </si>
  <si>
    <t>WQ-T8-C16-18U-19U</t>
  </si>
  <si>
    <t>2106195GYYXDNB000004</t>
  </si>
  <si>
    <t>14010104-2022-000291</t>
  </si>
  <si>
    <t>WQ-T8-C16-16U-17U</t>
  </si>
  <si>
    <t>2106195GYYXDNB000003</t>
  </si>
  <si>
    <t>14010104-2022-000289</t>
  </si>
  <si>
    <t>WQ-T8-C16-12U-13U</t>
  </si>
  <si>
    <t>2106195GYYXDNB000001</t>
  </si>
  <si>
    <t>14010104-2022-000288</t>
  </si>
  <si>
    <t>WQ-T8-C16-10U-11U</t>
  </si>
  <si>
    <t>2106195GYYXDNB000005</t>
  </si>
  <si>
    <t>14010104-2022-000293</t>
  </si>
  <si>
    <t>WQ-T8-C16-20U-21U</t>
  </si>
  <si>
    <t>2106195GYYXDNB000006</t>
  </si>
  <si>
    <t>14010104-2022-000290</t>
  </si>
  <si>
    <t>WQ-T8-C16-14U-15U</t>
  </si>
  <si>
    <t>国铁吉讯 CRGT-MC-RS5803</t>
  </si>
  <si>
    <t>2106195GYTXDNC000002</t>
  </si>
  <si>
    <t>14010104-2022-000297</t>
  </si>
  <si>
    <t>WQ-T8-C03-20U-23U</t>
  </si>
  <si>
    <t>2106195GYTXDNC000001</t>
  </si>
  <si>
    <t>14010104-2022-000147</t>
  </si>
  <si>
    <t>WQ-T8-C03-16U-19U</t>
  </si>
  <si>
    <t>紫光恒越 UNISServerR3830G5</t>
  </si>
  <si>
    <t>210235A4BK622CVM000T</t>
  </si>
  <si>
    <t>14010104-2022-000286</t>
  </si>
  <si>
    <t>TK-226-A03-21U-22U</t>
  </si>
  <si>
    <t>210235A4BK622CVM000V</t>
  </si>
  <si>
    <t>14010104-2022-000240</t>
  </si>
  <si>
    <t>TK-226-A03-19U-20U</t>
  </si>
  <si>
    <t>210235A4BK622CVM000X</t>
  </si>
  <si>
    <t>14010104-2022-000232</t>
  </si>
  <si>
    <t>TK-226-A03-17U-18U</t>
  </si>
  <si>
    <t>210235A4BK622CVM000W</t>
  </si>
  <si>
    <t>14010104-2022-000200</t>
  </si>
  <si>
    <t>TK-226-A03-15U-16U</t>
  </si>
  <si>
    <t>210235A4BK622CVM000Z</t>
  </si>
  <si>
    <t>14010104-2022-000086</t>
  </si>
  <si>
    <t>TK-109-B05-26U-27U</t>
  </si>
  <si>
    <t>210235A4BK622CVM000Y</t>
  </si>
  <si>
    <t>14010104-2022-000082</t>
  </si>
  <si>
    <t>TK-109-B05-23U-24U</t>
  </si>
  <si>
    <t>宝德 PR212K</t>
  </si>
  <si>
    <t>PR212K221205SZ00002</t>
  </si>
  <si>
    <t>14010104-2022-000089</t>
  </si>
  <si>
    <t>TK-226-A03-5U-6U</t>
  </si>
  <si>
    <t>PR212K221205SZ00001</t>
  </si>
  <si>
    <t>14010104-2022-000136</t>
  </si>
  <si>
    <t>TK-226-A03-3U-4U</t>
  </si>
  <si>
    <t>PR212K220916SZY00025</t>
  </si>
  <si>
    <t>14010104-2022-000180</t>
  </si>
  <si>
    <t>TK-226-A03-13U-14U</t>
  </si>
  <si>
    <t>PR212K220916SZY00024</t>
  </si>
  <si>
    <t>14010104-2022-000218</t>
  </si>
  <si>
    <t>TK-226-A03-11U-12U</t>
  </si>
  <si>
    <t>PR212K220916SZY00023</t>
  </si>
  <si>
    <t>14010104-2022-000246</t>
  </si>
  <si>
    <t>TK-226-A03-09U-10U</t>
  </si>
  <si>
    <t>PR212K221205SZ00003</t>
  </si>
  <si>
    <t>14010104-2022-000303</t>
  </si>
  <si>
    <t>TK-226-A03-07U-08U</t>
  </si>
  <si>
    <t>2106195HACX3NC000006</t>
  </si>
  <si>
    <t>14010104-2022-000225</t>
  </si>
  <si>
    <t>WQ-T8-C09-18U-19U</t>
  </si>
  <si>
    <t>2106195HACX3NC000004</t>
  </si>
  <si>
    <t>14010104-2022-000226</t>
  </si>
  <si>
    <t>WQ-T8-C09-20U-21U</t>
  </si>
  <si>
    <t>2106195HACX3NC000008</t>
  </si>
  <si>
    <t>14010104-2022-000231</t>
  </si>
  <si>
    <t>WQ-T8-C09-6U-7U</t>
  </si>
  <si>
    <t>2106195HACX3NC000007</t>
  </si>
  <si>
    <t>14010104-2022-000233</t>
  </si>
  <si>
    <t>WQ-T8-C09-8U-9U</t>
  </si>
  <si>
    <t>2106195HACX3NC000003</t>
  </si>
  <si>
    <t>14010104-2022-000223</t>
  </si>
  <si>
    <t>WQ-T8-C09-14U-15U</t>
  </si>
  <si>
    <t>2106195HACX3NC000002</t>
  </si>
  <si>
    <t>14010104-2022-000222</t>
  </si>
  <si>
    <t>WQ-T8-C09-12U-13U</t>
  </si>
  <si>
    <t>2106195HACX3NC000001</t>
  </si>
  <si>
    <t>14010104-2022-000221</t>
  </si>
  <si>
    <t>WQ-T8-C09-10U-11U</t>
  </si>
  <si>
    <t>2106195HACX3NC000011</t>
  </si>
  <si>
    <t>14010104-2022-000227</t>
  </si>
  <si>
    <t>WQ-T8-C09-22U-23U</t>
  </si>
  <si>
    <t>2106195HACX3NC000005</t>
  </si>
  <si>
    <t>14010104-2022-000224</t>
  </si>
  <si>
    <t>WQ-T8-C09-16U-17U</t>
  </si>
  <si>
    <t>2106195HACX3NC000009</t>
  </si>
  <si>
    <t>14010104-2022-000229</t>
  </si>
  <si>
    <t>WQ-T8-C09-2U-3U</t>
  </si>
  <si>
    <t>2106195HACX3NC000010</t>
  </si>
  <si>
    <t>14010104-2022-000228</t>
  </si>
  <si>
    <t>WQ-T8-C09-24U-25U</t>
  </si>
  <si>
    <t>2106195HACX3NC000012</t>
  </si>
  <si>
    <t>14010104-2022-000230</t>
  </si>
  <si>
    <t>WQ-T8-C09-4U-5U</t>
  </si>
  <si>
    <t>2106195HAEX3NC000002</t>
  </si>
  <si>
    <t>14010104-2022-000267</t>
  </si>
  <si>
    <t>WQ-T8-C13-28U-29U</t>
  </si>
  <si>
    <t>2106195HAEX3NC000004</t>
  </si>
  <si>
    <t>14010104-2022-000264</t>
  </si>
  <si>
    <t>WQ-T8-C13-22U-23U</t>
  </si>
  <si>
    <t>2106195HAEX3NC000007</t>
  </si>
  <si>
    <t>14010104-2022-000262</t>
  </si>
  <si>
    <t>WQ-T8-C13-18U-19U</t>
  </si>
  <si>
    <t>2106195HAEX3NC000005</t>
  </si>
  <si>
    <t>14010104-2022-000265</t>
  </si>
  <si>
    <t>WQ-T8-C13-24U-25U</t>
  </si>
  <si>
    <t>2106195HAEX3NC000006</t>
  </si>
  <si>
    <t>14010104-2022-000263</t>
  </si>
  <si>
    <t>WQ-T8-C13-20U-21U</t>
  </si>
  <si>
    <t>2106195HAEX3NC000008</t>
  </si>
  <si>
    <t>14010104-2022-000260</t>
  </si>
  <si>
    <t>WQ-T8-C13-14U-15U</t>
  </si>
  <si>
    <t>2106195HAEX3NC000003</t>
  </si>
  <si>
    <t>14010104-2022-000261</t>
  </si>
  <si>
    <t>WQ-T8-C13-16U-17U</t>
  </si>
  <si>
    <t>2106195HAEX3NC000001</t>
  </si>
  <si>
    <t>14010104-2022-000266</t>
  </si>
  <si>
    <t>WQ-T8-C13-26U-27U</t>
  </si>
  <si>
    <t>2106195HAFXDNC000013</t>
  </si>
  <si>
    <t>14010104-2022-000159</t>
  </si>
  <si>
    <t>WQ-T8-B10-12U-13U</t>
  </si>
  <si>
    <t>2106195HAFXDNC000022</t>
  </si>
  <si>
    <t>14010104-2022-000277</t>
  </si>
  <si>
    <t>WQ-T8-C14-8U-9U</t>
  </si>
  <si>
    <t>2106195HAFXDNC000023</t>
  </si>
  <si>
    <t>14010104-2022-000279</t>
  </si>
  <si>
    <t>WQ-T8-C15-12U-13U</t>
  </si>
  <si>
    <t>2106195HAFXDNC000021</t>
  </si>
  <si>
    <t>14010104-2022-000276</t>
  </si>
  <si>
    <t>WQ-T8-C14-6U-7U</t>
  </si>
  <si>
    <t>2106195HAFXDNC000018</t>
  </si>
  <si>
    <t>14010104-2022-000270</t>
  </si>
  <si>
    <t>WQ-T8-C14-12U-13U</t>
  </si>
  <si>
    <t>2106195HAFXDNC000017</t>
  </si>
  <si>
    <t>14010104-2022-000269</t>
  </si>
  <si>
    <t>WQ-T8-C14-10U-11U</t>
  </si>
  <si>
    <t>2106195HAFXDNC000020</t>
  </si>
  <si>
    <t>14010104-2022-000280</t>
  </si>
  <si>
    <t>WQ-T8-C15-14U-15U</t>
  </si>
  <si>
    <t>2106195HAFXDNC000001</t>
  </si>
  <si>
    <t>14010104-2022-000272</t>
  </si>
  <si>
    <t>WQ-T8-C14-16U-17U</t>
  </si>
  <si>
    <t>2106195HAFXDNC000019</t>
  </si>
  <si>
    <t>14010104-2022-000285</t>
  </si>
  <si>
    <t>WQ-T8-C15-6U-7U</t>
  </si>
  <si>
    <t>2106195HAFXDNC000007</t>
  </si>
  <si>
    <t>14010104-2022-000278</t>
  </si>
  <si>
    <t>WQ-T8-C15-10U-11U</t>
  </si>
  <si>
    <t>2106195HAFXDNC000008</t>
  </si>
  <si>
    <t>14010104-2022-000287</t>
  </si>
  <si>
    <t>WQ-T8-C15-8U-9U</t>
  </si>
  <si>
    <t>2106195HAFXDNC000014</t>
  </si>
  <si>
    <t>14010104-2022-000213</t>
  </si>
  <si>
    <t>WQ-T8-C08-14U-15U</t>
  </si>
  <si>
    <t>2106195HAFXDNC000012</t>
  </si>
  <si>
    <t>14010104-2022-000214</t>
  </si>
  <si>
    <t>WQ-T8-C08-16U-17U</t>
  </si>
  <si>
    <t>2106195HAFXDNC000028</t>
  </si>
  <si>
    <t>14010104-2022-000215</t>
  </si>
  <si>
    <t>WQ-T8-C08-18U-19U</t>
  </si>
  <si>
    <t>2106195HAFXDNC000027</t>
  </si>
  <si>
    <t>14010104-2022-000216</t>
  </si>
  <si>
    <t>WQ-T8-C08-20U-21U</t>
  </si>
  <si>
    <t>2106195HAFXDNC000004</t>
  </si>
  <si>
    <t>14010104-2022-000161</t>
  </si>
  <si>
    <t>WQ-T8-B10-14U-15U</t>
  </si>
  <si>
    <t>2106195HAFXDNC000009</t>
  </si>
  <si>
    <t>14010104-2022-000271</t>
  </si>
  <si>
    <t>WQ-T8-C14-14U-15U</t>
  </si>
  <si>
    <t>2106195HAFXDNC000025</t>
  </si>
  <si>
    <t>14010104-2022-000274</t>
  </si>
  <si>
    <t>WQ-T8-C14-20U-21U</t>
  </si>
  <si>
    <t>2106195HAFXDNC000006</t>
  </si>
  <si>
    <t>14010104-2022-000284</t>
  </si>
  <si>
    <t>WQ-T8-C15-22U-23U</t>
  </si>
  <si>
    <t>2106195HAFXDNC000011</t>
  </si>
  <si>
    <t>14010104-2022-000275</t>
  </si>
  <si>
    <t>WQ-T8-C14-22U-23U</t>
  </si>
  <si>
    <t>2106195HAFXDNC000010</t>
  </si>
  <si>
    <t>14010104-2022-000282</t>
  </si>
  <si>
    <t>WQ-T8-C15-18U-19U</t>
  </si>
  <si>
    <t>2106195HAFXDNC000005</t>
  </si>
  <si>
    <t>14010104-2022-000162</t>
  </si>
  <si>
    <t>WQ-T8-B10-16U-17U</t>
  </si>
  <si>
    <t>2106195HAFXDNC000026</t>
  </si>
  <si>
    <t>14010104-2022-000158</t>
  </si>
  <si>
    <t>WQ-T8-B10-10U-11U</t>
  </si>
  <si>
    <t>2106195HAFXDNC000015</t>
  </si>
  <si>
    <t>14010104-2022-000281</t>
  </si>
  <si>
    <t>WQ-T8-C15-16U-17U</t>
  </si>
  <si>
    <t>2106195HAFXDNC000024</t>
  </si>
  <si>
    <t>14010104-2022-000273</t>
  </si>
  <si>
    <t>WQ-T8-C14-18U-19U</t>
  </si>
  <si>
    <t>2106195HAFXDNC000003</t>
  </si>
  <si>
    <t>14010104-2022-000211</t>
  </si>
  <si>
    <t>WQ-T8-C08-10U-11U</t>
  </si>
  <si>
    <t>2106195HAFXDNC000016</t>
  </si>
  <si>
    <t>14010104-2022-000212</t>
  </si>
  <si>
    <t>WQ-T8-C08-12U-13U</t>
  </si>
  <si>
    <t>2106195HAFXDNC000002</t>
  </si>
  <si>
    <t>14010104-2022-000283</t>
  </si>
  <si>
    <t>WQ-T8-C15-20U-21U</t>
  </si>
  <si>
    <t>2106195HAAXDNC000019</t>
  </si>
  <si>
    <t>14010104-2022-000255</t>
  </si>
  <si>
    <t>WQ-T8-C12-16U-17U</t>
  </si>
  <si>
    <t>2106195HAAXDNC000018</t>
  </si>
  <si>
    <t>14010104-2022-000166</t>
  </si>
  <si>
    <t>WQ-T8-B10-8U-9U</t>
  </si>
  <si>
    <t>2106195HAAXDNC000017</t>
  </si>
  <si>
    <t>14010104-2022-000157</t>
  </si>
  <si>
    <t>WQ-T8-B09-8U-9U</t>
  </si>
  <si>
    <t>2106195HAAXDNC000016</t>
  </si>
  <si>
    <t>14010104-2022-000239</t>
  </si>
  <si>
    <t>WQ-T8-C10-20U-21U</t>
  </si>
  <si>
    <t>2106195HAAXDNC000015</t>
  </si>
  <si>
    <t>14010104-2022-000256</t>
  </si>
  <si>
    <t>WQ-T8-C12-18U-19U</t>
  </si>
  <si>
    <t>2106195HAAXDNC000014</t>
  </si>
  <si>
    <t>14010104-2022-000154</t>
  </si>
  <si>
    <t>WQ-T8-B09-2U-3U</t>
  </si>
  <si>
    <t>2106195HAAXDNC000032</t>
  </si>
  <si>
    <t>14010104-2022-000238</t>
  </si>
  <si>
    <t>WQ-T8-C10-18U-19U</t>
  </si>
  <si>
    <t>2106195HAAXDNC000036</t>
  </si>
  <si>
    <t>14010104-2022-000235</t>
  </si>
  <si>
    <t>WQ-T8-C10-12U-13U</t>
  </si>
  <si>
    <t>2106195HAAXDNC000035</t>
  </si>
  <si>
    <t>14010104-2022-000234</t>
  </si>
  <si>
    <t>WQ-T8-C10-10U-11U</t>
  </si>
  <si>
    <t>2106195HAAXDNC000028</t>
  </si>
  <si>
    <t>14010104-2022-000241</t>
  </si>
  <si>
    <t>WQ-T8-C10-8U-9U</t>
  </si>
  <si>
    <t>2106195HAAXDNC000020</t>
  </si>
  <si>
    <t>14010104-2022-000165</t>
  </si>
  <si>
    <t>WQ-T8-B10-6U-7U</t>
  </si>
  <si>
    <t>2106195HAAXDNC000037</t>
  </si>
  <si>
    <t>14010104-2022-000164</t>
  </si>
  <si>
    <t>WQ-T8-B10-4U-5U</t>
  </si>
  <si>
    <t>2106195HAAXDNC000038</t>
  </si>
  <si>
    <t>14010104-2022-000163</t>
  </si>
  <si>
    <t>WQ-T8-B10-2U-3U</t>
  </si>
  <si>
    <t>2106195HAAXDNC000022</t>
  </si>
  <si>
    <t>14010104-2022-000217</t>
  </si>
  <si>
    <t>WQ-T8-C08-22U-23U</t>
  </si>
  <si>
    <t>2106195HAAXDNC000034</t>
  </si>
  <si>
    <t>14010104-2022-000249</t>
  </si>
  <si>
    <t>WQ-T8-C11-22U-23U</t>
  </si>
  <si>
    <t>2106195HAAXDNC000031</t>
  </si>
  <si>
    <t>14010104-2022-000247</t>
  </si>
  <si>
    <t>WQ-T8-C11-18U-19U</t>
  </si>
  <si>
    <t>2106195HAAXDNC000021</t>
  </si>
  <si>
    <t>14010104-2022-000245</t>
  </si>
  <si>
    <t>WQ-T8-C11-16U-17U</t>
  </si>
  <si>
    <t>2106195HAAXDNC000030</t>
  </si>
  <si>
    <t>14010104-2022-000244</t>
  </si>
  <si>
    <t>WQ-T8-C11-14U-15U</t>
  </si>
  <si>
    <t>2106195HAAXDNC000023</t>
  </si>
  <si>
    <t>14010104-2022-000242</t>
  </si>
  <si>
    <t>WQ-T8-C11-10U-11U</t>
  </si>
  <si>
    <t>2106195HAAXDNC000033</t>
  </si>
  <si>
    <t>14010104-2022-000152</t>
  </si>
  <si>
    <t>WQ-T8-B09-14U-15U</t>
  </si>
  <si>
    <t>2106195HAAXDNC000025</t>
  </si>
  <si>
    <t>14010104-2022-000120</t>
  </si>
  <si>
    <t>WQ-T8-B05-22U-23U</t>
  </si>
  <si>
    <t>2106195HAAXDNC000024</t>
  </si>
  <si>
    <t>14010104-2022-000119</t>
  </si>
  <si>
    <t>WQ-T8-B05-20U-21U</t>
  </si>
  <si>
    <t>2106195HAAXDNC000040</t>
  </si>
  <si>
    <t>14010104-2022-000257</t>
  </si>
  <si>
    <t>WQ-T8-C12-20U-21U</t>
  </si>
  <si>
    <t>2106195HAAXDNC000041</t>
  </si>
  <si>
    <t>14010104-2022-000254</t>
  </si>
  <si>
    <t>WQ-T8-C12-14U-15U</t>
  </si>
  <si>
    <t>2106195HAAXDNC000027</t>
  </si>
  <si>
    <t>14010104-2022-000250</t>
  </si>
  <si>
    <t>WQ-T8-C12-10U-11U</t>
  </si>
  <si>
    <t>2106195HAAXDNC000042</t>
  </si>
  <si>
    <t>14010104-2022-000156</t>
  </si>
  <si>
    <t>WQ-T8-B09-6U-7U</t>
  </si>
  <si>
    <t>2106195HAAXDNC000039</t>
  </si>
  <si>
    <t>14010104-2022-000155</t>
  </si>
  <si>
    <t>WQ-T8-B09-4U-5U</t>
  </si>
  <si>
    <t>2106195HAAXDNC000029</t>
  </si>
  <si>
    <t>14010104-2022-000151</t>
  </si>
  <si>
    <t>WQ-T8-B09-12U-13U</t>
  </si>
  <si>
    <t>2106195HAAXDNC000013</t>
  </si>
  <si>
    <t>14010104-2022-000118</t>
  </si>
  <si>
    <t>WQ-T8-B05-18U-19U</t>
  </si>
  <si>
    <t>2106195HAAXDNC000012</t>
  </si>
  <si>
    <t>14010104-2022-000259</t>
  </si>
  <si>
    <t>WQ-T8-C12-8U-9U</t>
  </si>
  <si>
    <t>2106195HAAXDNC000011</t>
  </si>
  <si>
    <t>14010104-2022-000258</t>
  </si>
  <si>
    <t>WQ-T8-C12-22U-23U</t>
  </si>
  <si>
    <t>2106195HAAXDNC000010</t>
  </si>
  <si>
    <t>14010104-2022-000236</t>
  </si>
  <si>
    <t>WQ-T8-C10-14U-15U</t>
  </si>
  <si>
    <t>2106195HAAXDNC000009</t>
  </si>
  <si>
    <t>14010104-2022-000251</t>
  </si>
  <si>
    <t>WQ-T8-C12-12U-13U</t>
  </si>
  <si>
    <t>2106195HAAXDNC000008</t>
  </si>
  <si>
    <t>14010104-2022-000237</t>
  </si>
  <si>
    <t>WQ-T8-C10-16U-17U</t>
  </si>
  <si>
    <t>2106195HAAXDNC000007</t>
  </si>
  <si>
    <t>14010104-2022-000219</t>
  </si>
  <si>
    <t>WQ-T8-C08-24U-25U</t>
  </si>
  <si>
    <t>2106195HAAXDNC000026</t>
  </si>
  <si>
    <t>14010104-2022-000150</t>
  </si>
  <si>
    <t>WQ-T8-B09-10U-11U</t>
  </si>
  <si>
    <t>2106195HAAXDNC000006</t>
  </si>
  <si>
    <t>14010104-2022-000220</t>
  </si>
  <si>
    <t>WQ-T8-C08-26U-27U</t>
  </si>
  <si>
    <t>2106195HAAXDNC000005</t>
  </si>
  <si>
    <t>14010104-2022-000168</t>
  </si>
  <si>
    <t>WQ-T8-C03-26U-27U</t>
  </si>
  <si>
    <t>2106195HAAXDNC000004</t>
  </si>
  <si>
    <t>14010104-2022-000153</t>
  </si>
  <si>
    <t>WQ-T8-B09-16U-17U</t>
  </si>
  <si>
    <t>2106195HAAXDNC000003</t>
  </si>
  <si>
    <t>14010104-2022-000248</t>
  </si>
  <si>
    <t>WQ-T8-C11-20U-21U</t>
  </si>
  <si>
    <t>2106195HAAXDNC000002</t>
  </si>
  <si>
    <t>14010104-2022-000243</t>
  </si>
  <si>
    <t>WQ-T8-C11-12U-13U</t>
  </si>
  <si>
    <t>2106195HAAXDNC000001</t>
  </si>
  <si>
    <t>14010104-2022-000167</t>
  </si>
  <si>
    <t>WQ-T8-C03-24U-25U</t>
  </si>
  <si>
    <t>2106195HAHXDNC000007</t>
  </si>
  <si>
    <t>14010104-2022-000145</t>
  </si>
  <si>
    <t>WQ-T8-B08-4U-5U</t>
  </si>
  <si>
    <t>2106195HAHXDNC000023</t>
  </si>
  <si>
    <t>14010104-2022-000144</t>
  </si>
  <si>
    <t>WQ-T8-B08-2U-3U</t>
  </si>
  <si>
    <t>2106195HAHXDNC000020</t>
  </si>
  <si>
    <t>14010104-2022-000125</t>
  </si>
  <si>
    <t>WQ-T8-B07-16U-17U</t>
  </si>
  <si>
    <t>2106195HAHXDNC000015</t>
  </si>
  <si>
    <t>14010104-2022-000123</t>
  </si>
  <si>
    <t>WQ-T8-B07-12U-13U</t>
  </si>
  <si>
    <t>2106195HAHXDNC000021</t>
  </si>
  <si>
    <t>14010104-2022-000132</t>
  </si>
  <si>
    <t>WQ-T8-B07-28U-29U</t>
  </si>
  <si>
    <t>2106195HAHXDNC000009</t>
  </si>
  <si>
    <t>14010104-2022-000129</t>
  </si>
  <si>
    <t>WQ-T8-B07-22U-23U</t>
  </si>
  <si>
    <t>2106195HAHXDNC000022</t>
  </si>
  <si>
    <t>14010104-2022-000127</t>
  </si>
  <si>
    <t>WQ-T8-B07-20U-21U</t>
  </si>
  <si>
    <t>2106195HAHXDNC000019</t>
  </si>
  <si>
    <t>14010104-2022-000126</t>
  </si>
  <si>
    <t>WQ-T8-B07-18U-19U</t>
  </si>
  <si>
    <t>2106195HAHXDNC000024</t>
  </si>
  <si>
    <t>14010104-2022-000131</t>
  </si>
  <si>
    <t>WQ-T8-B07-26U-27U</t>
  </si>
  <si>
    <t>2106195HAHXDNC000006</t>
  </si>
  <si>
    <t>14010104-2022-000130</t>
  </si>
  <si>
    <t>WQ-T8-B07-24U-25U</t>
  </si>
  <si>
    <t>2106195HAHXDNC000017</t>
  </si>
  <si>
    <t>14010104-2022-000124</t>
  </si>
  <si>
    <t>WQ-T8-B07-14U-15U</t>
  </si>
  <si>
    <t>2106195HAHXDNC000014</t>
  </si>
  <si>
    <t>14010104-2022-000133</t>
  </si>
  <si>
    <t>WQ-T8-B07-2U-3U</t>
  </si>
  <si>
    <t>2106195HAHXDNC000011</t>
  </si>
  <si>
    <t>14010104-2022-000135</t>
  </si>
  <si>
    <t>WQ-T8-B07-6U-7U</t>
  </si>
  <si>
    <t>2106195HAHXDNC000012</t>
  </si>
  <si>
    <t>14010104-2022-000121</t>
  </si>
  <si>
    <t>WQ-T8-B07-10U-11U</t>
  </si>
  <si>
    <t>2106195HAHXDNC000008</t>
  </si>
  <si>
    <t>14010104-2022-000137</t>
  </si>
  <si>
    <t>WQ-T8-B07-8U-9U</t>
  </si>
  <si>
    <t>2106195HAHXDNC000025</t>
  </si>
  <si>
    <t>14010104-2022-000134</t>
  </si>
  <si>
    <t>WQ-T8-B07-4U-5U</t>
  </si>
  <si>
    <t>2106195HAHXDNC000005</t>
  </si>
  <si>
    <t>14010104-2022-000113</t>
  </si>
  <si>
    <t>WQ-T8-B03-19U-20U</t>
  </si>
  <si>
    <t>2106195HAHXDNC000026</t>
  </si>
  <si>
    <t>14010104-2022-000112</t>
  </si>
  <si>
    <t>WQ-T8-B03-17U-18U</t>
  </si>
  <si>
    <t>2106195HAHXDNC000010</t>
  </si>
  <si>
    <t>14010104-2022-000111</t>
  </si>
  <si>
    <t>WQ-T8-B03-15U-16U</t>
  </si>
  <si>
    <t>2106195HAHXDNC000002</t>
  </si>
  <si>
    <t>14010104-2022-000110</t>
  </si>
  <si>
    <t>WQ-T8-B03-13U-14U</t>
  </si>
  <si>
    <t>2106195HAHXDNC000018</t>
  </si>
  <si>
    <t>14010104-2022-000115</t>
  </si>
  <si>
    <t>WQ-T8-B03-21U-22U</t>
  </si>
  <si>
    <t>2106195HAHXDNC000003</t>
  </si>
  <si>
    <t>14010104-2022-000103</t>
  </si>
  <si>
    <t>WQ-T8-B02-13U-14U</t>
  </si>
  <si>
    <t>2106195HAHXDNC000013</t>
  </si>
  <si>
    <t>14010104-2022-000107</t>
  </si>
  <si>
    <t>WQ-T8-B02-21U-22U</t>
  </si>
  <si>
    <t>2106195HAHXDNC000004</t>
  </si>
  <si>
    <t>14010104-2022-000106</t>
  </si>
  <si>
    <t>WQ-T8-B02-19U-20U</t>
  </si>
  <si>
    <t>2106195HAHXDNC000001</t>
  </si>
  <si>
    <t>14010104-2022-000104</t>
  </si>
  <si>
    <t>WQ-T8-B02-15U-16U</t>
  </si>
  <si>
    <t>2106195HAHXDNC000016</t>
  </si>
  <si>
    <t>14010104-2022-000105</t>
  </si>
  <si>
    <t>WQ-T8-B02-17U-18U</t>
  </si>
  <si>
    <t>2106195GYXXDNB000004</t>
  </si>
  <si>
    <t>14010104-2022-000170</t>
  </si>
  <si>
    <t>WQ-T8-C04-12U-13U</t>
  </si>
  <si>
    <t>2106195GYXXDNB000002</t>
  </si>
  <si>
    <t>14010104-2022-000171</t>
  </si>
  <si>
    <t>WQ-T8-C04-14U-15U</t>
  </si>
  <si>
    <t>2106195GYXXDNB000007</t>
  </si>
  <si>
    <t>14010104-2022-000169</t>
  </si>
  <si>
    <t>WQ-T8-C04-10U-11U</t>
  </si>
  <si>
    <t>2106195GYXXDNB000010</t>
  </si>
  <si>
    <t>14010104-2022-000181</t>
  </si>
  <si>
    <t>WQ-T8-C04-6U-7U</t>
  </si>
  <si>
    <t>2106195GYXXDNB000009</t>
  </si>
  <si>
    <t>14010104-2022-000178</t>
  </si>
  <si>
    <t>WQ-T8-C04-4U-5U</t>
  </si>
  <si>
    <t>2106195GYXXDNB000006</t>
  </si>
  <si>
    <t>14010104-2022-000176</t>
  </si>
  <si>
    <t>WQ-T8-C04-24U-25U</t>
  </si>
  <si>
    <t>2106195GYXXDNB000008</t>
  </si>
  <si>
    <t>14010104-2022-000177</t>
  </si>
  <si>
    <t>WQ-T8-C04-2U-3U</t>
  </si>
  <si>
    <t>2106195GYXXDNB000011</t>
  </si>
  <si>
    <t>14010104-2022-000173</t>
  </si>
  <si>
    <t>WQ-T8-C04-18U-19U</t>
  </si>
  <si>
    <t>2106195GYXXDNB000001</t>
  </si>
  <si>
    <t>14010104-2022-000182</t>
  </si>
  <si>
    <t>WQ-T8-C04-8U-9U</t>
  </si>
  <si>
    <t>2106195GYXXDNB000012</t>
  </si>
  <si>
    <t>14010104-2022-000175</t>
  </si>
  <si>
    <t>WQ-T8-C04-22U-23U</t>
  </si>
  <si>
    <t>2106195GYXXDNB000003</t>
  </si>
  <si>
    <t>14010104-2022-000172</t>
  </si>
  <si>
    <t>WQ-T8-C04-16U-17U</t>
  </si>
  <si>
    <t>2106195GYXXDNB000005</t>
  </si>
  <si>
    <t>14010104-2022-000174</t>
  </si>
  <si>
    <t>WQ-T8-C04-20U-21U</t>
  </si>
  <si>
    <t>2106195HAGX3NC000023</t>
  </si>
  <si>
    <t>14010104-2022-000210</t>
  </si>
  <si>
    <t>WQ-T8-C07-8U-9U</t>
  </si>
  <si>
    <t>2106195HAGX3NC000022</t>
  </si>
  <si>
    <t>14010104-2022-000202</t>
  </si>
  <si>
    <t>WQ-T8-C07-16U-17U</t>
  </si>
  <si>
    <t>2106195HAGX3NC000016</t>
  </si>
  <si>
    <t>14010104-2022-000201</t>
  </si>
  <si>
    <t>WQ-T8-C07-14U-15U</t>
  </si>
  <si>
    <t>2106195HAGX3NC000015</t>
  </si>
  <si>
    <t>14010104-2022-000205</t>
  </si>
  <si>
    <t>WQ-T8-C07-22U-23U</t>
  </si>
  <si>
    <t>2106195HAGX3NC000010</t>
  </si>
  <si>
    <t>14010104-2022-000206</t>
  </si>
  <si>
    <t>WQ-T8-C07-24U-25U</t>
  </si>
  <si>
    <t>2106195HAGX3NC000008</t>
  </si>
  <si>
    <t>14010104-2022-000209</t>
  </si>
  <si>
    <t>WQ-T8-C07-6U-7U</t>
  </si>
  <si>
    <t>2106195HAGX3NC000017</t>
  </si>
  <si>
    <t>14010104-2022-000204</t>
  </si>
  <si>
    <t>WQ-T8-C07-20U-21U</t>
  </si>
  <si>
    <t>2106195HAGX3NC000024</t>
  </si>
  <si>
    <t>14010104-2022-000197</t>
  </si>
  <si>
    <t>WQ-T8-C07-10U-11U</t>
  </si>
  <si>
    <t>2106195HAGX3NC000003</t>
  </si>
  <si>
    <t>14010104-2022-000199</t>
  </si>
  <si>
    <t>WQ-T8-C07-12U-13U</t>
  </si>
  <si>
    <t>2106195HAGX3NC000012</t>
  </si>
  <si>
    <t>14010104-2022-000207</t>
  </si>
  <si>
    <t>WQ-T8-C07-2U-3U</t>
  </si>
  <si>
    <t>2106195HAGX3NC000011</t>
  </si>
  <si>
    <t>14010104-2022-000208</t>
  </si>
  <si>
    <t>WQ-T8-C07-4U-5U</t>
  </si>
  <si>
    <t>2106195HAGX3NC000018</t>
  </si>
  <si>
    <t>14010104-2022-000203</t>
  </si>
  <si>
    <t>WQ-T8-C07-18U-19U</t>
  </si>
  <si>
    <t>2106195HAGX3NC000020</t>
  </si>
  <si>
    <t>14010104-2022-000196</t>
  </si>
  <si>
    <t>WQ-T8-C06-8U-9U</t>
  </si>
  <si>
    <t>2106195HAGX3NC000002</t>
  </si>
  <si>
    <t>14010104-2022-000192</t>
  </si>
  <si>
    <t>WQ-T8-C06-24U-25U</t>
  </si>
  <si>
    <t>2106195HAGX3NC000005</t>
  </si>
  <si>
    <t>14010104-2022-000187</t>
  </si>
  <si>
    <t>WQ-T8-C06-16U-17U</t>
  </si>
  <si>
    <t>2106195HAGX3NC000004</t>
  </si>
  <si>
    <t>14010104-2022-000186</t>
  </si>
  <si>
    <t>WQ-T8-C06-14U-15U</t>
  </si>
  <si>
    <t>2106195HAGX3NC000013</t>
  </si>
  <si>
    <t>14010104-2022-000195</t>
  </si>
  <si>
    <t>WQ-T8-C06-6U-7U</t>
  </si>
  <si>
    <t>2106195HAGX3NC000001</t>
  </si>
  <si>
    <t>14010104-2022-000191</t>
  </si>
  <si>
    <t>WQ-T8-C06-22U-23U</t>
  </si>
  <si>
    <t>2106195HAGX3NC000021</t>
  </si>
  <si>
    <t>14010104-2022-000184</t>
  </si>
  <si>
    <t>WQ-T8-C06-10U-11U</t>
  </si>
  <si>
    <t>2106195HAGX3NC000014</t>
  </si>
  <si>
    <t>14010104-2022-000185</t>
  </si>
  <si>
    <t>WQ-T8-C06-12U-13U</t>
  </si>
  <si>
    <t>2106195HAGX3NC000019</t>
  </si>
  <si>
    <t>14010104-2022-000194</t>
  </si>
  <si>
    <t>WQ-T8-C06-4U-5U</t>
  </si>
  <si>
    <t>2106195HAGX3NC000009</t>
  </si>
  <si>
    <t>14010104-2022-000190</t>
  </si>
  <si>
    <t>WQ-T8-C06-20U-21U</t>
  </si>
  <si>
    <t>2106195HAGX3NC000006</t>
  </si>
  <si>
    <t>14010104-2022-000193</t>
  </si>
  <si>
    <t>WQ-T8-C06-2U-3U</t>
  </si>
  <si>
    <t>2106195HAGX3NC000007</t>
  </si>
  <si>
    <t>14010104-2022-000188</t>
  </si>
  <si>
    <t>WQ-T8-C06-18U-19U</t>
  </si>
  <si>
    <t>国铁吉讯 CRGT-MC-RS5801</t>
  </si>
  <si>
    <t>2106195HAKXENC000002</t>
  </si>
  <si>
    <t>14010104-2022-000128</t>
  </si>
  <si>
    <t>TK-106-F01-32U-33U</t>
  </si>
  <si>
    <t>2106195HAKXENC000005</t>
  </si>
  <si>
    <t>14010104-2022-000114</t>
  </si>
  <si>
    <t>TK-106-F01-30U-31U</t>
  </si>
  <si>
    <t>2106195HAKXENC000001</t>
  </si>
  <si>
    <t>14010104-2022-000179</t>
  </si>
  <si>
    <t>TK-106-F02-21U-22U</t>
  </si>
  <si>
    <t>2106195HAKXENC000003</t>
  </si>
  <si>
    <t>14010104-2022-000294</t>
  </si>
  <si>
    <t>TK-106-F02-25U-26U</t>
  </si>
  <si>
    <t>2106195HAKXENC000004</t>
  </si>
  <si>
    <t>14010104-2022-000198</t>
  </si>
  <si>
    <t>TK-106-F02-23U-24U</t>
  </si>
  <si>
    <t>2106195HAKXENC000006</t>
  </si>
  <si>
    <t>14010104-2022-000143</t>
  </si>
  <si>
    <t>TK-106-F02-19U-20U</t>
  </si>
  <si>
    <t>长虹佳华 CHANGHONGG620</t>
  </si>
  <si>
    <t>FPF1934S0AW</t>
  </si>
  <si>
    <t>14010302-2022-000514</t>
  </si>
  <si>
    <t>WQ-T8-C05-40U-40U</t>
  </si>
  <si>
    <t>FPF1934S0AF</t>
  </si>
  <si>
    <t>14010302-2022-000513</t>
  </si>
  <si>
    <t>WQ-T8-C05-37U-37U</t>
  </si>
  <si>
    <t>FPF1934S0AV</t>
  </si>
  <si>
    <t>14010302-2022-000489</t>
  </si>
  <si>
    <t>TK-106-F02-15U-15U</t>
  </si>
  <si>
    <t>FPF1934S0AC</t>
  </si>
  <si>
    <t>14010302-2022-000512</t>
  </si>
  <si>
    <t>TK-106-F02-17U-17U</t>
  </si>
  <si>
    <t>磁盘阵列</t>
  </si>
  <si>
    <t>华为 Oceanstor5210V5增强版</t>
  </si>
  <si>
    <t>2102354NLJN0NC100020</t>
  </si>
  <si>
    <t>14010201-2022-000003</t>
  </si>
  <si>
    <t>TK-106-F02-2U-13U</t>
  </si>
  <si>
    <t>2102354NLJN0NC100021</t>
  </si>
  <si>
    <t>14010201-2022-000004</t>
  </si>
  <si>
    <t>WQ-T8-C05-2U-23U</t>
  </si>
  <si>
    <t>负载均衡</t>
  </si>
  <si>
    <t>神州云科 YK-ADC-i4600</t>
  </si>
  <si>
    <t>f5-fgti-cmbp</t>
  </si>
  <si>
    <t>14010303-2022-000004</t>
  </si>
  <si>
    <t>WQ-T8-C10-28U-28U</t>
  </si>
  <si>
    <t>f5-erbu-kwvc</t>
  </si>
  <si>
    <t>14010303-2022-000003</t>
  </si>
  <si>
    <t>WQ-T8-C10-26U-26U</t>
  </si>
  <si>
    <t>H3C S6805-56HF-G</t>
  </si>
  <si>
    <t>210235A2TNH22B0C0012</t>
  </si>
  <si>
    <t>14010302-2022-000507</t>
  </si>
  <si>
    <t>WQ-T8-C04-40U-40U</t>
  </si>
  <si>
    <t>210235A2TNH22B0CG022</t>
  </si>
  <si>
    <t>14010302-2022-000518</t>
  </si>
  <si>
    <t>WQ-T8-C07-40U-40U</t>
  </si>
  <si>
    <t>210235A2TNH22B0C0011</t>
  </si>
  <si>
    <t>14010302-2022-000504</t>
  </si>
  <si>
    <t>WQ-T8-B08-40U-40U</t>
  </si>
  <si>
    <t>210235A2TNH22B0C001H</t>
  </si>
  <si>
    <t>14010302-2022-000541</t>
  </si>
  <si>
    <t>WQ-T8-F12-40U-40U</t>
  </si>
  <si>
    <t>210235A2TNH22B0C000P</t>
  </si>
  <si>
    <t>14010302-2022-000540</t>
  </si>
  <si>
    <t>WQ-T8-F11-40U-40U</t>
  </si>
  <si>
    <t>210235A2TNH22B0CG049</t>
  </si>
  <si>
    <t>14010302-2022-000519</t>
  </si>
  <si>
    <t>WQ-T8-C09-37U-37U</t>
  </si>
  <si>
    <t>210235A2TNH22B0CG048</t>
  </si>
  <si>
    <t>14010302-2022-000521</t>
  </si>
  <si>
    <t>WQ-T8-C09-40U-40U</t>
  </si>
  <si>
    <t>210235A2TNH22B0CG044</t>
  </si>
  <si>
    <t>14010302-2022-000517</t>
  </si>
  <si>
    <t>WQ-T8-C07-37U-37U</t>
  </si>
  <si>
    <t>210235A2TNH22B0CG023</t>
  </si>
  <si>
    <t>14010302-2022-000508</t>
  </si>
  <si>
    <t>WQ-T8-C06-31U-31U</t>
  </si>
  <si>
    <t>210235A2TNH22B0CG027</t>
  </si>
  <si>
    <t>14010302-2022-000509</t>
  </si>
  <si>
    <t>WQ-T8-C06-34U-34U</t>
  </si>
  <si>
    <t>210235A2TNH22B0CG047</t>
  </si>
  <si>
    <t>14010302-2022-000510</t>
  </si>
  <si>
    <t>WQ-T8-C06-37U-37U</t>
  </si>
  <si>
    <t>210235A2TNH22B0CG054</t>
  </si>
  <si>
    <t>14010302-2022-000515</t>
  </si>
  <si>
    <t>WQ-T8-C06-40U-40U</t>
  </si>
  <si>
    <t>210235A2TNH22B0CG04K</t>
  </si>
  <si>
    <t>14010302-2022-000506</t>
  </si>
  <si>
    <t>WQ-T8-C04-37U-37U</t>
  </si>
  <si>
    <t>210235A2TNH22B0CG04B</t>
  </si>
  <si>
    <t>14010302-2022-000538</t>
  </si>
  <si>
    <t>WQ-T8-C20-37U-37U</t>
  </si>
  <si>
    <t>210235A2TNH22B0CG02F</t>
  </si>
  <si>
    <t>14010302-2022-000539</t>
  </si>
  <si>
    <t>WQ-T8-C20-40U-40U</t>
  </si>
  <si>
    <t>210235A2TNH22B0CG00J</t>
  </si>
  <si>
    <t>14010302-2022-000526</t>
  </si>
  <si>
    <t>WQ-T8-C13-37U-37U</t>
  </si>
  <si>
    <t>210235A2TNH22B0CG046</t>
  </si>
  <si>
    <t>14010302-2022-000528</t>
  </si>
  <si>
    <t>WQ-T8-C13-40U-40U</t>
  </si>
  <si>
    <t>210235A2TNH22B0C000X</t>
  </si>
  <si>
    <t>14010302-2022-000525</t>
  </si>
  <si>
    <t>WQ-T8-C12-33U-33U</t>
  </si>
  <si>
    <t>210235A2TNH22B0CG01Y</t>
  </si>
  <si>
    <t>14010302-2022-000529</t>
  </si>
  <si>
    <t>WQ-T8-C15-37U-37U</t>
  </si>
  <si>
    <t>210235A2TNH22B0CG04V</t>
  </si>
  <si>
    <t>14010302-2022-000534</t>
  </si>
  <si>
    <t>WQ-T8-C15-40U-40U</t>
  </si>
  <si>
    <t>210235A2TNH22B0C002K</t>
  </si>
  <si>
    <t>14010302-2022-000524</t>
  </si>
  <si>
    <t>WQ-T8-C11-33U-33U</t>
  </si>
  <si>
    <t>210235A2TNH22B0CG02M</t>
  </si>
  <si>
    <t>14010302-2022-000522</t>
  </si>
  <si>
    <t>WQ-T8-C10-37U-37U</t>
  </si>
  <si>
    <t>210235A2TNH22B0CG04H</t>
  </si>
  <si>
    <t>14010302-2022-000523</t>
  </si>
  <si>
    <t>WQ-T8-C10-40U-40U</t>
  </si>
  <si>
    <t>210235A2TNH22B0C001Z</t>
  </si>
  <si>
    <t>14010302-2022-000535</t>
  </si>
  <si>
    <t>WQ-T8-C19-37U-37U</t>
  </si>
  <si>
    <t>210235A2TNH22B0CG04L</t>
  </si>
  <si>
    <t>14010302-2022-000537</t>
  </si>
  <si>
    <t>WQ-T8-C19-40U-40U</t>
  </si>
  <si>
    <t>210235A2TNH22B0CG04N</t>
  </si>
  <si>
    <t>14010302-2022-000502</t>
  </si>
  <si>
    <t>WQ-T8-B08-37U-37U</t>
  </si>
  <si>
    <t>210235A2TNH22B0CG02C</t>
  </si>
  <si>
    <t>14010302-2022-000500</t>
  </si>
  <si>
    <t>WQ-T8-B05-37U-37U</t>
  </si>
  <si>
    <t>210235A2TNH22B0CG01S</t>
  </si>
  <si>
    <t>14010302-2022-000501</t>
  </si>
  <si>
    <t>WQ-T8-B05-40U-40U</t>
  </si>
  <si>
    <t>210235A2TNH22B0C001J</t>
  </si>
  <si>
    <t>14010302-2022-000498</t>
  </si>
  <si>
    <t>WQ-T8-B05-31U-31U</t>
  </si>
  <si>
    <t>210235A2TNH22B0CG063</t>
  </si>
  <si>
    <t>14010302-2022-000499</t>
  </si>
  <si>
    <t>WQ-T8-B05-34U-34U</t>
  </si>
  <si>
    <t>210235A2TNH22B0CG03R</t>
  </si>
  <si>
    <t>14010302-2022-000494</t>
  </si>
  <si>
    <t>WQ-T8-B03-37U-37U</t>
  </si>
  <si>
    <t>210235A2TNH22B0CG04F</t>
  </si>
  <si>
    <t>14010302-2022-000497</t>
  </si>
  <si>
    <t>WQ-T8-B03-40U-40U</t>
  </si>
  <si>
    <t>210235A2TNH22B0C001S</t>
  </si>
  <si>
    <t>14010302-2022-000488</t>
  </si>
  <si>
    <t>TK-106-F02-36U-36U</t>
  </si>
  <si>
    <t>210235A2TNH22B0CG00M</t>
  </si>
  <si>
    <t>14010302-2022-000492</t>
  </si>
  <si>
    <t>TK-106-F02-39U-39U</t>
  </si>
  <si>
    <t>210235A2TNH22B0CG007</t>
  </si>
  <si>
    <t>14010302-2022-000487</t>
  </si>
  <si>
    <t>TK-106-A07-37U-37U</t>
  </si>
  <si>
    <t>210235A2TNH22B0C000J</t>
  </si>
  <si>
    <t>14010302-2022-000486</t>
  </si>
  <si>
    <t>TK-106-A06-37U-37U</t>
  </si>
  <si>
    <t>H3C S5590-48T4XC-EI</t>
  </si>
  <si>
    <t>210235A2F0522AN0006X</t>
  </si>
  <si>
    <t>14010302-2022-000527</t>
  </si>
  <si>
    <t>WQ-T8-C09-34U-34U</t>
  </si>
  <si>
    <t>210235A2F0522AN0007P</t>
  </si>
  <si>
    <t>14010302-2022-000520</t>
  </si>
  <si>
    <t>WQ-T8-C07-34U-34U</t>
  </si>
  <si>
    <t>210235A2F0522AN0007C</t>
  </si>
  <si>
    <t>14010302-2022-000516</t>
  </si>
  <si>
    <t>WQ-T8-C07-31U-31U</t>
  </si>
  <si>
    <t>210235A2F0522AN00071</t>
  </si>
  <si>
    <t>14010302-2022-000505</t>
  </si>
  <si>
    <t>WQ-T8-C04-34U-34U</t>
  </si>
  <si>
    <t>210235A2F0522AN0006W</t>
  </si>
  <si>
    <t>14010302-2022-000536</t>
  </si>
  <si>
    <t>WQ-T8-C19-34U-34U</t>
  </si>
  <si>
    <t>210235A2F0522AN0007K</t>
  </si>
  <si>
    <t>14010302-2022-000532</t>
  </si>
  <si>
    <t>WQ-T8-C17-40U-40U</t>
  </si>
  <si>
    <t>210235A2F0522AN00077</t>
  </si>
  <si>
    <t>14010302-2022-000533</t>
  </si>
  <si>
    <t>WQ-T8-C18-40U-40U</t>
  </si>
  <si>
    <t>210235A2F0522AN0007J</t>
  </si>
  <si>
    <t>14010302-2022-000503</t>
  </si>
  <si>
    <t>WQ-T8-B08-34U-34U</t>
  </si>
  <si>
    <t>210235A2F0522AN0007F</t>
  </si>
  <si>
    <t>14010302-2022-000496</t>
  </si>
  <si>
    <t>WQ-T8-B03-34U-34U</t>
  </si>
  <si>
    <t>210235A2F0522AN0006H</t>
  </si>
  <si>
    <t>14010302-2022-000493</t>
  </si>
  <si>
    <t>TK-226-A03-40U-40U</t>
  </si>
  <si>
    <t>210235A2F0522AN0005C</t>
  </si>
  <si>
    <t>14010302-2022-000490</t>
  </si>
  <si>
    <t>TK-106-F01-41U-41U</t>
  </si>
  <si>
    <t>210235A2F0522AN0006V</t>
  </si>
  <si>
    <t>14010302-2022-000491</t>
  </si>
  <si>
    <t>TK-106-F02-41U-41U</t>
  </si>
  <si>
    <t>H3C MSR3640-X1-HI</t>
  </si>
  <si>
    <t>210235A2YRP22B00000G</t>
  </si>
  <si>
    <t>14010301-2022-000001</t>
  </si>
  <si>
    <t>TK-106-C06(37U-38U)</t>
  </si>
  <si>
    <t>210235A2YRP22B00003V</t>
  </si>
  <si>
    <t>14010301-2022-000002</t>
  </si>
  <si>
    <t>TK-226-H07-25U-26U</t>
  </si>
  <si>
    <t>210235A2YRP22B00000J</t>
  </si>
  <si>
    <t>14010301-2022-000003</t>
  </si>
  <si>
    <t>TK-研一楼四层库房</t>
  </si>
  <si>
    <t>210235A2YRP22B00000P</t>
  </si>
  <si>
    <t>14010301-2022-000004</t>
  </si>
  <si>
    <t>BJJ机房-J05-30U-31U</t>
  </si>
  <si>
    <t>国铁吉讯 CRGT-MC-RS5804</t>
  </si>
  <si>
    <t>2106195GYWX3NC000001</t>
  </si>
  <si>
    <t>14010104-2022-000122</t>
  </si>
  <si>
    <t>TK-107-B1-31-32</t>
  </si>
  <si>
    <t>210235A2F0522AN00076</t>
  </si>
  <si>
    <t>14010302-2022-000511</t>
  </si>
  <si>
    <t>WQ-T8-C06-28U-28U</t>
  </si>
  <si>
    <t>210235A2F0522AN0006P</t>
  </si>
  <si>
    <t>14010302-2022-000531</t>
  </si>
  <si>
    <t>WQ-T8-C15-34U-34U</t>
  </si>
  <si>
    <t>210235A2F0522AN0006L</t>
  </si>
  <si>
    <t>14010302-2022-000530</t>
  </si>
  <si>
    <t>WQ-T8-C13-33U-33U</t>
  </si>
  <si>
    <t>210235A2F0522AN0007H</t>
  </si>
  <si>
    <t>14010302-2022-000495</t>
  </si>
  <si>
    <t>TK-226-A04-40U-40U</t>
  </si>
  <si>
    <t>360 NAC-1500</t>
  </si>
  <si>
    <t>29190254</t>
  </si>
  <si>
    <t>14010499-2022-000002</t>
  </si>
  <si>
    <t>XD-KF-A09-40U-41U</t>
  </si>
  <si>
    <t>永达 AFW-2000NGFWB型</t>
  </si>
  <si>
    <t>AFW2000NGWB2F14C83CD3</t>
  </si>
  <si>
    <t>14010401-2022-000006</t>
  </si>
  <si>
    <t>XD-KF-A10-36U-36U</t>
  </si>
  <si>
    <t>H3C SecPathF1000-AI-35</t>
  </si>
  <si>
    <t>210235A2H5B22A00G0BV</t>
  </si>
  <si>
    <t>14010401-2022-000007</t>
  </si>
  <si>
    <t>H3C SecPathF5030</t>
  </si>
  <si>
    <t>210235A1XXB228000070</t>
  </si>
  <si>
    <t>14010401-2022-000004</t>
  </si>
  <si>
    <t>WQ-T8-C10-30U-31U</t>
  </si>
  <si>
    <t>210235A1XXB228000021</t>
  </si>
  <si>
    <t>14010401-2022-000008</t>
  </si>
  <si>
    <t>WQ-T8-C10-33U-34U</t>
  </si>
  <si>
    <t>H3C SecPathGAP2000-AE</t>
  </si>
  <si>
    <t>219801A293822BJ0001B</t>
  </si>
  <si>
    <t>14010499-2022-000014</t>
  </si>
  <si>
    <t>TK-108-K3-37-38</t>
  </si>
  <si>
    <t>219801A293822CJ00002</t>
  </si>
  <si>
    <t>14010499-2022-000054</t>
  </si>
  <si>
    <t>TK-108-K2-37-38</t>
  </si>
  <si>
    <t>NetTAP MATRIX-SDN</t>
  </si>
  <si>
    <t>DGSCB0600010</t>
  </si>
  <si>
    <t>14010499-2022-000005</t>
  </si>
  <si>
    <t>TK-106-A05-24U-25U</t>
  </si>
  <si>
    <t>NetTAP SDNTAP-C6X48PVPP-II</t>
  </si>
  <si>
    <t>4739443030303939</t>
  </si>
  <si>
    <t>14010499-2022-000085</t>
  </si>
  <si>
    <t>TK-226-E06-35U-35U</t>
  </si>
  <si>
    <t>4739443030303433</t>
  </si>
  <si>
    <t>14010499-2022-000092</t>
  </si>
  <si>
    <t>XD-KP-B05-35U-36U</t>
  </si>
  <si>
    <t>4739443030303434</t>
  </si>
  <si>
    <t>14010499-2022-000075</t>
  </si>
  <si>
    <t>TK-108-J06-32U-32U</t>
  </si>
  <si>
    <t>360 NT-AISA1110</t>
  </si>
  <si>
    <t>29190355</t>
  </si>
  <si>
    <t>14010499-2022-000070</t>
  </si>
  <si>
    <t>XD-KP-B05-40-41U</t>
  </si>
  <si>
    <t>中睿 WX8200</t>
  </si>
  <si>
    <t>BDNZ001180</t>
  </si>
  <si>
    <t>14010499-2022-000053</t>
  </si>
  <si>
    <t>TK-226-E06-20U-21U</t>
  </si>
  <si>
    <t>永达 S-ACF3000/V3.0</t>
  </si>
  <si>
    <t>S-ACF3000/V3.02F14C83CD1</t>
  </si>
  <si>
    <t>14010499-2022-000099</t>
  </si>
  <si>
    <t>XD-KP-B04-19U-20U</t>
  </si>
  <si>
    <t>中睿 NX8200</t>
  </si>
  <si>
    <t>BDGZ001159</t>
  </si>
  <si>
    <t>14010499-2022-000069</t>
  </si>
  <si>
    <t>TK-226-E06-9U-10U</t>
  </si>
  <si>
    <t>BXNZ001617</t>
  </si>
  <si>
    <t>14010499-2022-000032</t>
  </si>
  <si>
    <t>TK-108-J05-30U-31U</t>
  </si>
  <si>
    <t>360 NT-NDR1125</t>
  </si>
  <si>
    <t>29190354</t>
  </si>
  <si>
    <t>14010499-2022-000081</t>
  </si>
  <si>
    <t>XP-KP-B05-37-38U</t>
  </si>
  <si>
    <t>360 BR-LSIB1200-KZZX</t>
  </si>
  <si>
    <t>29190255</t>
  </si>
  <si>
    <t>14010499-2022-000004</t>
  </si>
  <si>
    <t>TK-106-C08-14U-15U</t>
  </si>
  <si>
    <t>中睿 RE-FWL/V4</t>
  </si>
  <si>
    <t>BSJX002898</t>
  </si>
  <si>
    <t>14010499-2022-000058</t>
  </si>
  <si>
    <t>TK-108-J09-32U-33U</t>
  </si>
  <si>
    <t>睿视Reesii NPM-8040-4X</t>
  </si>
  <si>
    <t>VM222S023662</t>
  </si>
  <si>
    <t>14010499-2022-000106</t>
  </si>
  <si>
    <t>XD-KP-B04-38U-39U</t>
  </si>
  <si>
    <t>科来 NGTK-7500SX</t>
  </si>
  <si>
    <t>RD-CAG-000-09713</t>
  </si>
  <si>
    <t>14010499-2022-000050</t>
  </si>
  <si>
    <t>TK-226-E05-30U-31U</t>
  </si>
  <si>
    <t>科来 UPMTK-3010</t>
  </si>
  <si>
    <t>B2J4XF3</t>
  </si>
  <si>
    <t>14010499-2022-000060</t>
  </si>
  <si>
    <t>TK-108-J08-32U-33U</t>
  </si>
  <si>
    <t>深信服 DAS-1000-A640S</t>
  </si>
  <si>
    <t>W1ZCDJ0333</t>
  </si>
  <si>
    <t>14010499-2022-000025</t>
  </si>
  <si>
    <t>TK-108-J05-32U-33U</t>
  </si>
  <si>
    <t>安华金和数据库安全审计系统DASV3.2</t>
  </si>
  <si>
    <t>DBSEC-01-202212-0039</t>
  </si>
  <si>
    <t>14010499-2022-000101</t>
  </si>
  <si>
    <t>XD-KP-B12-35U-36U</t>
  </si>
  <si>
    <t>DBSEC-01-202212-0040</t>
  </si>
  <si>
    <t>14010499-2022-000078</t>
  </si>
  <si>
    <t>XD-KP-B12-37U-38U</t>
  </si>
  <si>
    <t>W1ZCEC0095</t>
  </si>
  <si>
    <t>14010499-2022-000041</t>
  </si>
  <si>
    <t>TK-108-J06-30U-31U</t>
  </si>
  <si>
    <t>深信服 SIP-Logger-E600</t>
  </si>
  <si>
    <t>W1ZCEH0050</t>
  </si>
  <si>
    <t>14010499-2022-000067</t>
  </si>
  <si>
    <t>TK-226-F08-37U-38U</t>
  </si>
  <si>
    <t>W1ZCEH0047</t>
  </si>
  <si>
    <t>14010499-2022-000010</t>
  </si>
  <si>
    <t>TK-107-A03-37U-38U</t>
  </si>
  <si>
    <t>绿盟 RSASNX3-E</t>
  </si>
  <si>
    <t>22-51-Q-0458</t>
  </si>
  <si>
    <t>14010499-2022-000103</t>
  </si>
  <si>
    <t>TK-226-A01-1U-2U</t>
  </si>
  <si>
    <t>软件</t>
  </si>
  <si>
    <t>360 BR-LSIB1200-TSGZ</t>
  </si>
  <si>
    <t>29190257</t>
  </si>
  <si>
    <t>14010499-2022-000040</t>
  </si>
  <si>
    <t>TK-106-E02-5U-6U</t>
  </si>
  <si>
    <t>29190359</t>
  </si>
  <si>
    <t>14010499-2022-000011</t>
  </si>
  <si>
    <t>TK-226-B-4U-5U</t>
  </si>
  <si>
    <t>210235A2H5B22A00G03C</t>
  </si>
  <si>
    <t>14010401-2022-000010</t>
  </si>
  <si>
    <t>210235A2H5B22A00G05H</t>
  </si>
  <si>
    <t>14010401-2022-000003</t>
  </si>
  <si>
    <t>4739443030313031</t>
  </si>
  <si>
    <t>14010499-2022-000061</t>
  </si>
  <si>
    <t>TK-106-D08-32U-32U</t>
  </si>
  <si>
    <t>4739443030303435</t>
  </si>
  <si>
    <t>14010499-2022-000037</t>
  </si>
  <si>
    <t>TK-101-G00-3U-3U</t>
  </si>
  <si>
    <t>NetTAP SDNTAP-C32P</t>
  </si>
  <si>
    <t>5030463030313130</t>
  </si>
  <si>
    <t>14010499-2022-000048</t>
  </si>
  <si>
    <t>TK-226-E06-39U-39U</t>
  </si>
  <si>
    <t>5030463030313131</t>
  </si>
  <si>
    <t>14010499-2022-000006</t>
  </si>
  <si>
    <t>TK-226-E06-37U-37U</t>
  </si>
  <si>
    <t>5030463030313039</t>
  </si>
  <si>
    <t>14010499-2022-000001</t>
  </si>
  <si>
    <t>TK-101-G00-05U-05U</t>
  </si>
  <si>
    <t>DGSCB0600015</t>
  </si>
  <si>
    <t>14010499-2022-000015</t>
  </si>
  <si>
    <t>TK-108-K01-28U-29U</t>
  </si>
  <si>
    <t>BHNZ001396</t>
  </si>
  <si>
    <t>14010499-2022-000098</t>
  </si>
  <si>
    <t>TK-226-E10-9U-10U</t>
  </si>
  <si>
    <t>BCNZ001118</t>
  </si>
  <si>
    <t>14010499-2022-000089</t>
  </si>
  <si>
    <t>TK-226-E06-29U-30U</t>
  </si>
  <si>
    <t>BCNZ001119</t>
  </si>
  <si>
    <t>14010499-2022-000084</t>
  </si>
  <si>
    <t>TK-226-E06-26U-27U</t>
  </si>
  <si>
    <t>BCNZ001120</t>
  </si>
  <si>
    <t>14010499-2022-000071</t>
  </si>
  <si>
    <t>TK-226-E06-23U-24U</t>
  </si>
  <si>
    <t>BDNZ001178</t>
  </si>
  <si>
    <t>14010499-2022-000038</t>
  </si>
  <si>
    <t>TK-226-E06-18U-19U</t>
  </si>
  <si>
    <t>BDNZ001179</t>
  </si>
  <si>
    <t>14010499-2022-000022</t>
  </si>
  <si>
    <t>TK-226-E06-15U-16U</t>
  </si>
  <si>
    <t>BHNZ001395</t>
  </si>
  <si>
    <t>14010499-2022-000017</t>
  </si>
  <si>
    <t>TK-108-J07-28U-29U</t>
  </si>
  <si>
    <t>BHNZ001397</t>
  </si>
  <si>
    <t>14010499-2022-000007</t>
  </si>
  <si>
    <t>TK-106-D05-30U-31U</t>
  </si>
  <si>
    <t>BDGZ001160</t>
  </si>
  <si>
    <t>14010499-2022-000062</t>
  </si>
  <si>
    <t>TK-226-E06-6U-7U</t>
  </si>
  <si>
    <t>BHNZ001402</t>
  </si>
  <si>
    <t>14010499-2022-000076</t>
  </si>
  <si>
    <t>TK-226-E10-12U-13U</t>
  </si>
  <si>
    <t>BDGZ001161</t>
  </si>
  <si>
    <t>14010499-2022-000044</t>
  </si>
  <si>
    <t>TK-226-E06-12U-13U</t>
  </si>
  <si>
    <t>BHNZ001400</t>
  </si>
  <si>
    <t>14010499-2022-000030</t>
  </si>
  <si>
    <t>TK-106-F01-38U-39U</t>
  </si>
  <si>
    <t>BHNZ001401</t>
  </si>
  <si>
    <t>14010499-2022-000020</t>
  </si>
  <si>
    <t>TK-106-D07-30U-31U</t>
  </si>
  <si>
    <t>中睿 RY2200-V2.0</t>
  </si>
  <si>
    <t>LZ22070504</t>
  </si>
  <si>
    <t>14010499-2022-000097</t>
  </si>
  <si>
    <t>TK-108-J01-30U-31U</t>
  </si>
  <si>
    <t>360 BR-LSIB1200-FHQZ</t>
  </si>
  <si>
    <t>29190256</t>
  </si>
  <si>
    <t>14010499-2022-000042</t>
  </si>
  <si>
    <t>TK-106-E02-8U-9U</t>
  </si>
  <si>
    <t>兰云 核心层检测系统V1.0</t>
  </si>
  <si>
    <t>80100873T2212020012212120006</t>
  </si>
  <si>
    <t>14010499-2022-000117</t>
  </si>
  <si>
    <t>WQ-T8-C17-10U-13U</t>
  </si>
  <si>
    <t>C8250FL10P10276</t>
  </si>
  <si>
    <t>14010499-2022-000087</t>
  </si>
  <si>
    <t>WQ-T8-C18-26U-27U</t>
  </si>
  <si>
    <t>80100873T2212020012212120002</t>
  </si>
  <si>
    <t>14010499-2022-000110</t>
  </si>
  <si>
    <t>WQ-T8-C18-30U-33U</t>
  </si>
  <si>
    <t>C8250FL10P10441</t>
  </si>
  <si>
    <t>14010499-2022-000111</t>
  </si>
  <si>
    <t>WQ-T8-C18-24U-25U</t>
  </si>
  <si>
    <t>80100873T2212020012212120009</t>
  </si>
  <si>
    <t>14010499-2022-000116</t>
  </si>
  <si>
    <t>WQ-T8-C17-6U-9U</t>
  </si>
  <si>
    <t>C8250FL10P10270</t>
  </si>
  <si>
    <t>14010499-2022-000119</t>
  </si>
  <si>
    <t>WQ-T8-C18-28U-29U</t>
  </si>
  <si>
    <t>80100873T2212020012212120008</t>
  </si>
  <si>
    <t>14010499-2022-000012</t>
  </si>
  <si>
    <t>WQ-T8-C13-10-13</t>
  </si>
  <si>
    <t>C8250FL10P10440</t>
  </si>
  <si>
    <t>14010499-2022-000118</t>
  </si>
  <si>
    <t>WQ-T8-C18-2U-3U</t>
  </si>
  <si>
    <t>80100873T2212020012212120005</t>
  </si>
  <si>
    <t>14010499-2022-000021</t>
  </si>
  <si>
    <t>WQ-T8-C17-26U-29U</t>
  </si>
  <si>
    <t>C8250FL10P10272</t>
  </si>
  <si>
    <t>14010499-2022-000108</t>
  </si>
  <si>
    <t>WQ-T8-C18-4U-5U</t>
  </si>
  <si>
    <t>80100873T2212020012212120010</t>
  </si>
  <si>
    <t>14010499-2022-000063</t>
  </si>
  <si>
    <t>WQ-T8-C17-30U-33U</t>
  </si>
  <si>
    <t>C8250FL10P10149</t>
  </si>
  <si>
    <t>14010499-2022-000120</t>
  </si>
  <si>
    <t>WQ-T8-C18-6U-7U</t>
  </si>
  <si>
    <t>80100873T2212020012212120004</t>
  </si>
  <si>
    <t>14010499-2022-000112</t>
  </si>
  <si>
    <t>WQ-T8-C16-26U-29U</t>
  </si>
  <si>
    <t>C8250FL10P10446</t>
  </si>
  <si>
    <t>14010499-2022-000109</t>
  </si>
  <si>
    <t>WQ-T8-C18-8U-9U</t>
  </si>
  <si>
    <t>80100873T2212020012212120001</t>
  </si>
  <si>
    <t>14010499-2022-000056</t>
  </si>
  <si>
    <t>WQ-T8-C17-18U-21U</t>
  </si>
  <si>
    <t>C8250FL10P10355</t>
  </si>
  <si>
    <t>14010499-2022-000115</t>
  </si>
  <si>
    <t>WQ-T8-C18-10U-11U</t>
  </si>
  <si>
    <t>80100873T2212020012212120011</t>
  </si>
  <si>
    <t>14010499-2022-000107</t>
  </si>
  <si>
    <t>WQ-T8-C16-6U-9U</t>
  </si>
  <si>
    <t>C8250FL10P10448</t>
  </si>
  <si>
    <t>14010499-2022-000080</t>
  </si>
  <si>
    <t>WQ-T8-C18-12U-13U</t>
  </si>
  <si>
    <t>80100873T2212020012212120003</t>
  </si>
  <si>
    <t>14010499-2022-000008</t>
  </si>
  <si>
    <t>WQ-T8-C16-22U-25U</t>
  </si>
  <si>
    <t>C8250FL10P10445</t>
  </si>
  <si>
    <t>14010499-2022-000045</t>
  </si>
  <si>
    <t>WQ-T8-C18-14U-15U</t>
  </si>
  <si>
    <t>80100873T2212020012212120014</t>
  </si>
  <si>
    <t>14010499-2022-000113</t>
  </si>
  <si>
    <t>WQ-T8-C17-14U-17U</t>
  </si>
  <si>
    <t>C8250FL10P10324</t>
  </si>
  <si>
    <t>14010499-2022-000036</t>
  </si>
  <si>
    <t>WQ-T8-C18-16U-17U</t>
  </si>
  <si>
    <t>80100873T2212020012212120013</t>
  </si>
  <si>
    <t>14010499-2022-000039</t>
  </si>
  <si>
    <t>WQ-T8-C17-22U-25U</t>
  </si>
  <si>
    <t>C8250FL10P10314</t>
  </si>
  <si>
    <t>14010499-2022-000019</t>
  </si>
  <si>
    <t>WQ-T8-C18-18U-19U</t>
  </si>
  <si>
    <t>80100873T2212020012212120007</t>
  </si>
  <si>
    <t>14010499-2022-000114</t>
  </si>
  <si>
    <t>WQ-T8-C17-2U-5U</t>
  </si>
  <si>
    <t>C8250FL10P10338</t>
  </si>
  <si>
    <t>14010499-2022-000046</t>
  </si>
  <si>
    <t>WQ-T8-C18-20U-21U</t>
  </si>
  <si>
    <t>80100873T2212020012212120012</t>
  </si>
  <si>
    <t>14010499-2022-000016</t>
  </si>
  <si>
    <t>WQ-T8-C16-2U-5U</t>
  </si>
  <si>
    <t>C8250FL10P10450</t>
  </si>
  <si>
    <t>14010499-2022-000104</t>
  </si>
  <si>
    <t>WQ-T8-C18-22U-23U</t>
  </si>
  <si>
    <t>2106195GYVX3NC000005</t>
  </si>
  <si>
    <t>14010104-2022-000295</t>
  </si>
  <si>
    <t>WQ-T8-C17-34U-35U</t>
  </si>
  <si>
    <t>2106195GYVX3NC000006</t>
  </si>
  <si>
    <t>14010104-2022-000296</t>
  </si>
  <si>
    <t>WQ-T8-C17-36U-37U</t>
  </si>
  <si>
    <t>2106195GYVX3NC000012</t>
  </si>
  <si>
    <t>14010104-2022-000299</t>
  </si>
  <si>
    <t>WQ-T8-C18-36U-37U</t>
  </si>
  <si>
    <t>2106195GYVX3NC000008</t>
  </si>
  <si>
    <t>14010104-2022-000117</t>
  </si>
  <si>
    <t>WQ-T8-B04-39U-40U</t>
  </si>
  <si>
    <t>2106195GYVX3NC000009</t>
  </si>
  <si>
    <t>14010104-2022-000109</t>
  </si>
  <si>
    <t>WQ-T8-B02-25U-26U</t>
  </si>
  <si>
    <t>2106195GYVX3NC000010</t>
  </si>
  <si>
    <t>14010104-2022-000116</t>
  </si>
  <si>
    <t>WQ-T8-B03-23U-24U</t>
  </si>
  <si>
    <t>2106195GYVX3NC000016</t>
  </si>
  <si>
    <t>14010104-2022-000108</t>
  </si>
  <si>
    <t>WQ-T8-B02-23U-24U</t>
  </si>
  <si>
    <t>2106195GYVX3NC000027</t>
  </si>
  <si>
    <t>14010104-2022-000268</t>
  </si>
  <si>
    <t>WQ-T8-C13-8U-9U</t>
  </si>
  <si>
    <t>2106195GYVX3NC000030</t>
  </si>
  <si>
    <t>14010104-2022-000093</t>
  </si>
  <si>
    <t>WQ-T5-H09-25U-26U</t>
  </si>
  <si>
    <t>2106195GYVX3NC000003</t>
  </si>
  <si>
    <t>14010104-2022-000094</t>
  </si>
  <si>
    <t>WQ-T5-H09-27U-28U</t>
  </si>
  <si>
    <t>2106195GYVX3NC000001</t>
  </si>
  <si>
    <t>14010104-2022-000092</t>
  </si>
  <si>
    <t>WQ-T5-H09-23U-24U</t>
  </si>
  <si>
    <t>2106195GYVX3NC000015</t>
  </si>
  <si>
    <t>14010104-2022-000090</t>
  </si>
  <si>
    <t>WQ-T5-H05-25U-26U</t>
  </si>
  <si>
    <t>2106195GYVX3NC000018</t>
  </si>
  <si>
    <t>14010104-2022-000088</t>
  </si>
  <si>
    <t>WQ-T5-H05-23U-24U</t>
  </si>
  <si>
    <t>2106195GYVX3NC000017</t>
  </si>
  <si>
    <t>14010104-2022-000091</t>
  </si>
  <si>
    <t>WQ-T5-H05-27U-28U</t>
  </si>
  <si>
    <t>2106195GYVX3NC000025</t>
  </si>
  <si>
    <t>14010104-2022-000087</t>
  </si>
  <si>
    <t>WQ-T5-H04-27U-28U</t>
  </si>
  <si>
    <t>2106195GYVX3NC000029</t>
  </si>
  <si>
    <t>14010104-2022-000298</t>
  </si>
  <si>
    <t>WQ-T8-C18-34U-35U</t>
  </si>
  <si>
    <t>2106195GYVX3NC000024</t>
  </si>
  <si>
    <t>14010104-2022-000084</t>
  </si>
  <si>
    <t>WQ-T5-H04-23U-24U</t>
  </si>
  <si>
    <t>2106195GYVX3NC000028</t>
  </si>
  <si>
    <t>14010104-2022-000085</t>
  </si>
  <si>
    <t>WQ-T5-H04-25U-26U</t>
  </si>
  <si>
    <t>2106195GYVX3NC000019</t>
  </si>
  <si>
    <t>14010104-2022-000080</t>
  </si>
  <si>
    <t>WQ-T5-H02-23U-24U</t>
  </si>
  <si>
    <t>2106195GYVX3NC000004</t>
  </si>
  <si>
    <t>14010104-2022-000081</t>
  </si>
  <si>
    <t>WQ-T5-H02-25U-26U</t>
  </si>
  <si>
    <t>2106195GYVX3NC000026</t>
  </si>
  <si>
    <t>14010104-2022-000083</t>
  </si>
  <si>
    <t>WQ-T5-H02-27U-28U</t>
  </si>
  <si>
    <t>2106195GYVX3NC000021</t>
  </si>
  <si>
    <t>14010104-2022-000076</t>
  </si>
  <si>
    <t>WQ-T5-G08-2U-3U</t>
  </si>
  <si>
    <t>2106195GYVX3NC000002</t>
  </si>
  <si>
    <t>14010104-2022-000074</t>
  </si>
  <si>
    <t>WQ-T5-G08-10U-11U</t>
  </si>
  <si>
    <t>2106195GYVX3NC000023</t>
  </si>
  <si>
    <t>14010104-2022-000077</t>
  </si>
  <si>
    <t>WQ-T5-G08-4U-5U</t>
  </si>
  <si>
    <t>2106195GYVX3NC000020</t>
  </si>
  <si>
    <t>14010104-2022-000079</t>
  </si>
  <si>
    <t>WQ-T5-G08-8U-9U</t>
  </si>
  <si>
    <t>2106195GYVX3NC000007</t>
  </si>
  <si>
    <t>14010104-2022-000075</t>
  </si>
  <si>
    <t>WQ-T5-G08-12U-13U</t>
  </si>
  <si>
    <t>2106195GYVX3NC000011</t>
  </si>
  <si>
    <t>14010104-2022-000078</t>
  </si>
  <si>
    <t>WQ-T5-G08-6U-7U</t>
  </si>
  <si>
    <t>2106195GYVX3NC000031</t>
  </si>
  <si>
    <t>14010104-2022-000070</t>
  </si>
  <si>
    <t>WQ-T5-G07-15U-16U</t>
  </si>
  <si>
    <t>2106195GYVX3NC000022</t>
  </si>
  <si>
    <t>14010104-2022-000068</t>
  </si>
  <si>
    <t>WQ-T5-G07-11U-12U</t>
  </si>
  <si>
    <t>2106195GYVX3NC000014</t>
  </si>
  <si>
    <t>14010104-2022-000073</t>
  </si>
  <si>
    <t>WQ-T5-G07-9U-10U</t>
  </si>
  <si>
    <t>2106195GYVX3NC000032</t>
  </si>
  <si>
    <t>14010104-2022-000069</t>
  </si>
  <si>
    <t>WQ-T5-G07-13U-14U</t>
  </si>
  <si>
    <t>2106195GYVX3NC000013</t>
  </si>
  <si>
    <t>14010104-2022-000071</t>
  </si>
  <si>
    <t>WQ-T5-G07-17U-18U</t>
  </si>
  <si>
    <t>RD-CAD-000-09318</t>
  </si>
  <si>
    <t>14010499-2022-000057</t>
  </si>
  <si>
    <t>TK-226-E05-33U-34U</t>
  </si>
  <si>
    <t>RD-CAG-000-09714</t>
  </si>
  <si>
    <t>14010499-2022-000091</t>
  </si>
  <si>
    <t>TK-226-E10-25U-26U</t>
  </si>
  <si>
    <t>NA221200164</t>
  </si>
  <si>
    <t>14010499-2022-000024</t>
  </si>
  <si>
    <t>TK-106-D06-30U-31U</t>
  </si>
  <si>
    <t>VT22D00402</t>
  </si>
  <si>
    <t>14010499-2022-000031</t>
  </si>
  <si>
    <t>TK-108-J07-34U-35U</t>
  </si>
  <si>
    <t>RD-CAD-000-09319</t>
  </si>
  <si>
    <t>14010499-2022-000049</t>
  </si>
  <si>
    <t>TK-226-E05-27U-28U</t>
  </si>
  <si>
    <t>VT22D00401</t>
  </si>
  <si>
    <t>14010499-2022-000095</t>
  </si>
  <si>
    <t>TK-226-E10-28U-32U</t>
  </si>
  <si>
    <t>睿视Reesii CMS-NPM</t>
  </si>
  <si>
    <t>DCTBNM3</t>
  </si>
  <si>
    <t>14010499-2022-000055</t>
  </si>
  <si>
    <t>TK-106-E08-25U-26U</t>
  </si>
  <si>
    <t>W1ZCEC0096</t>
  </si>
  <si>
    <t>14010499-2022-000065</t>
  </si>
  <si>
    <t>TK-226-E05-17U-18U</t>
  </si>
  <si>
    <t>DBSEC-01-202212-0038</t>
  </si>
  <si>
    <t>14010499-2022-000018</t>
  </si>
  <si>
    <t>TK-106-E09-31U-32U</t>
  </si>
  <si>
    <t>DBSEC-01-202212-0037</t>
  </si>
  <si>
    <t>14010499-2022-000013</t>
  </si>
  <si>
    <t>TK-106-E10-31U-32U</t>
  </si>
  <si>
    <t>W1ZCEH0044</t>
  </si>
  <si>
    <t>14010499-2022-000094</t>
  </si>
  <si>
    <t>WQ-T8-C15-30U-31U</t>
  </si>
  <si>
    <t>W1ZCEH0045</t>
  </si>
  <si>
    <t>14010499-2022-000083</t>
  </si>
  <si>
    <t>WQ-T8-C14-30U-31U</t>
  </si>
  <si>
    <t>WIXCEH0241</t>
  </si>
  <si>
    <t>14010499-2022-000026</t>
  </si>
  <si>
    <t>TK-107-A04-37U-38U</t>
  </si>
  <si>
    <t>WIXCEH0239</t>
  </si>
  <si>
    <t>14010499-2022-000059</t>
  </si>
  <si>
    <t>TK-226-F08-34U-35U</t>
  </si>
  <si>
    <t>中睿 CM2200-V2.0</t>
  </si>
  <si>
    <t>BXGZ001259</t>
  </si>
  <si>
    <t>14010499-2022-000064</t>
  </si>
  <si>
    <t>TK-109-A07-28U-29U</t>
  </si>
  <si>
    <t>AFW2000NGFWB2F14C83CD2</t>
  </si>
  <si>
    <t>14010401-2022-000005</t>
  </si>
  <si>
    <t>TK-106-C09-6U-6U</t>
  </si>
  <si>
    <t>AFW2000NGFWB2F14C83CD1</t>
  </si>
  <si>
    <t>14010401-2022-000001</t>
  </si>
  <si>
    <t>TK-106-C09-4U-4U</t>
  </si>
  <si>
    <t>H3C SecPathF1000-AI-65</t>
  </si>
  <si>
    <t>210235A2H7B229000042</t>
  </si>
  <si>
    <t>14010401-2022-000009</t>
  </si>
  <si>
    <t>TK-226-D05-37U</t>
  </si>
  <si>
    <t>210235A2H7B21C000017</t>
  </si>
  <si>
    <t>14010401-2022-000002</t>
  </si>
  <si>
    <t>TK-226-A01-6U-6U</t>
  </si>
  <si>
    <t>永达 ASG10000/V1.0B型</t>
  </si>
  <si>
    <t>ASG10000/V1.0B2F14C83CD1</t>
  </si>
  <si>
    <t>14010499-2022-000077</t>
  </si>
  <si>
    <t>TK-106-B02-35U-36U</t>
  </si>
  <si>
    <t>ASG10000/V1.0B2F14C83CD2</t>
  </si>
  <si>
    <t>14010499-2022-000051</t>
  </si>
  <si>
    <t>BJJ机房-J05-27U-28U</t>
  </si>
  <si>
    <t>兴唐 SDT1906</t>
  </si>
  <si>
    <t>S22921001Z400194</t>
  </si>
  <si>
    <t>14010499-2022-000052</t>
  </si>
  <si>
    <t>TK-108-K4-31-31U</t>
  </si>
  <si>
    <t>S22921001Z400102</t>
  </si>
  <si>
    <t>14010499-2022-000003</t>
  </si>
  <si>
    <t>TK-108-K4-34-34U</t>
  </si>
  <si>
    <t>S22921001Z400048</t>
  </si>
  <si>
    <t>14010499-2022-000009</t>
  </si>
  <si>
    <t>TK-108-K5-34-34U</t>
  </si>
  <si>
    <t>经纬 JWDC2000V1.0</t>
  </si>
  <si>
    <t>20221201011C14002</t>
  </si>
  <si>
    <t>14010499-2022-000096</t>
  </si>
  <si>
    <t>TK-108-K5-31-32U</t>
  </si>
  <si>
    <t>S22921001Z400124</t>
  </si>
  <si>
    <t>14010499-2022-000100</t>
  </si>
  <si>
    <t>TK-107-A4-34-35</t>
  </si>
  <si>
    <t>20221201011C14004</t>
  </si>
  <si>
    <t>14010499-2022-000074</t>
  </si>
  <si>
    <t>TK-107-A03-34-35U</t>
  </si>
  <si>
    <t>20221201011C14003</t>
  </si>
  <si>
    <t>14010499-2022-000072</t>
  </si>
  <si>
    <t>TK-107-A04-31-32U</t>
  </si>
  <si>
    <t>20221201011C14001</t>
  </si>
  <si>
    <t>14010499-2022-000073</t>
  </si>
  <si>
    <t>TK-107-A03-31-32U</t>
  </si>
  <si>
    <t>数字认证 HSMV1</t>
  </si>
  <si>
    <t>W96012212000900</t>
  </si>
  <si>
    <t>14010499-2022-000082</t>
  </si>
  <si>
    <t>TK-106-C2-38-39</t>
  </si>
  <si>
    <t>W96012212000899</t>
  </si>
  <si>
    <t>14010499-2022-000086</t>
  </si>
  <si>
    <t>TK-106-C2-41-42</t>
  </si>
  <si>
    <t>W96012212000898</t>
  </si>
  <si>
    <t>14010499-2022-000079</t>
  </si>
  <si>
    <t>TK-106-C2-35-36</t>
  </si>
  <si>
    <t>W96012212000897</t>
  </si>
  <si>
    <t>14010499-2022-000066</t>
  </si>
  <si>
    <t>TK-106-C2-25-26</t>
  </si>
  <si>
    <t>安全网关</t>
  </si>
  <si>
    <t>兴唐 SDT1904-1</t>
  </si>
  <si>
    <t>S22921001Z400120</t>
  </si>
  <si>
    <t>14010404-2022-000001</t>
  </si>
  <si>
    <t>TK-106-C09-10U-10U</t>
  </si>
  <si>
    <t>S22921001Z400197</t>
  </si>
  <si>
    <t>14010404-2022-000004</t>
  </si>
  <si>
    <t>TK-106-C09-13U-13U</t>
  </si>
  <si>
    <t>数字认证 NAGV2</t>
  </si>
  <si>
    <t>W96012212000919</t>
  </si>
  <si>
    <t>14010404-2022-000003</t>
  </si>
  <si>
    <t>TK-106-C09-36U-36U</t>
  </si>
  <si>
    <t>W96012212000918</t>
  </si>
  <si>
    <t>14010404-2022-000002</t>
  </si>
  <si>
    <t>TK-106-C09-23U-23U</t>
  </si>
  <si>
    <t>JPG194900XK</t>
  </si>
  <si>
    <t>TK-F02-226-B5</t>
  </si>
  <si>
    <t>AMS18160311</t>
  </si>
  <si>
    <t>AMS14420067</t>
  </si>
  <si>
    <t>XD-B02-KF-E03(14u)</t>
  </si>
  <si>
    <t>艾默生PEX系列机房空调</t>
  </si>
  <si>
    <t>P3090FARMS1R</t>
  </si>
  <si>
    <t>21013018452128030005</t>
  </si>
  <si>
    <t>TK-F01-106-4</t>
  </si>
  <si>
    <t>P3090UARMS1R</t>
  </si>
  <si>
    <t>21F01045052128010002</t>
  </si>
  <si>
    <t>TK-F02-226-1</t>
  </si>
  <si>
    <t>序号</t>
  </si>
  <si>
    <t>采购事项</t>
  </si>
  <si>
    <t>产品名称</t>
  </si>
  <si>
    <t>服务期限（月）</t>
  </si>
  <si>
    <t>需求说明</t>
  </si>
  <si>
    <t>EMCNetworkerV8.2</t>
  </si>
  <si>
    <t>中标人提供</t>
  </si>
  <si>
    <r>
      <rPr>
        <sz val="12"/>
        <color theme="1"/>
        <rFont val="Times New Roman"/>
        <charset val="0"/>
      </rPr>
      <t>Oracle 11g</t>
    </r>
    <r>
      <rPr>
        <sz val="12"/>
        <color indexed="8"/>
        <rFont val="仿宋_GB2312"/>
        <charset val="134"/>
      </rPr>
      <t>企业版</t>
    </r>
  </si>
  <si>
    <r>
      <rPr>
        <sz val="12"/>
        <color theme="1"/>
        <rFont val="Times New Roman"/>
        <charset val="0"/>
      </rPr>
      <t>Weblogic</t>
    </r>
    <r>
      <rPr>
        <sz val="12"/>
        <color indexed="8"/>
        <rFont val="仿宋_GB2312"/>
        <charset val="134"/>
      </rPr>
      <t>企业版</t>
    </r>
  </si>
  <si>
    <r>
      <rPr>
        <sz val="12"/>
        <color theme="1"/>
        <rFont val="宋体"/>
        <charset val="134"/>
      </rPr>
      <t>分布式内存数据库软件</t>
    </r>
    <r>
      <rPr>
        <sz val="12"/>
        <color theme="1"/>
        <rFont val="Times New Roman"/>
        <charset val="0"/>
      </rPr>
      <t>PivotalGemFire</t>
    </r>
    <r>
      <rPr>
        <sz val="12"/>
        <color indexed="8"/>
        <rFont val="仿宋_GB2312"/>
        <charset val="134"/>
      </rPr>
      <t>企业版</t>
    </r>
    <r>
      <rPr>
        <sz val="12"/>
        <color theme="1"/>
        <rFont val="Times New Roman"/>
        <charset val="0"/>
      </rPr>
      <t>License</t>
    </r>
  </si>
  <si>
    <t>GoldenGate12CProcessor</t>
  </si>
  <si>
    <t>Oracle linux</t>
  </si>
  <si>
    <t>原厂20人天</t>
  </si>
  <si>
    <r>
      <rPr>
        <sz val="12"/>
        <color theme="1"/>
        <rFont val="Times New Roman"/>
        <charset val="0"/>
      </rPr>
      <t>WCM</t>
    </r>
    <r>
      <rPr>
        <sz val="12"/>
        <color indexed="8"/>
        <rFont val="仿宋_GB2312"/>
        <charset val="134"/>
      </rPr>
      <t>系统</t>
    </r>
  </si>
  <si>
    <r>
      <rPr>
        <sz val="12"/>
        <color theme="1"/>
        <rFont val="宋体"/>
        <charset val="134"/>
      </rPr>
      <t>邮件归档系统</t>
    </r>
    <r>
      <rPr>
        <sz val="12"/>
        <color theme="1"/>
        <rFont val="Times New Roman"/>
        <charset val="0"/>
      </rPr>
      <t>maildatav3.2.3(2</t>
    </r>
    <r>
      <rPr>
        <sz val="12"/>
        <color indexed="8"/>
        <rFont val="仿宋_GB2312"/>
        <charset val="134"/>
      </rPr>
      <t>套</t>
    </r>
    <r>
      <rPr>
        <sz val="12"/>
        <color theme="1"/>
        <rFont val="Times New Roman"/>
        <charset val="0"/>
      </rPr>
      <t>)</t>
    </r>
  </si>
  <si>
    <r>
      <rPr>
        <sz val="12"/>
        <color theme="1"/>
        <rFont val="宋体"/>
        <charset val="134"/>
      </rPr>
      <t>邮件网关系统</t>
    </r>
    <r>
      <rPr>
        <sz val="12"/>
        <color theme="1"/>
        <rFont val="Times New Roman"/>
        <charset val="0"/>
      </rPr>
      <t>maildatav2.8.2(2</t>
    </r>
    <r>
      <rPr>
        <sz val="12"/>
        <color indexed="8"/>
        <rFont val="仿宋_GB2312"/>
        <charset val="134"/>
      </rPr>
      <t>套</t>
    </r>
    <r>
      <rPr>
        <sz val="12"/>
        <color theme="1"/>
        <rFont val="Times New Roman"/>
        <charset val="0"/>
      </rPr>
      <t>)</t>
    </r>
  </si>
  <si>
    <r>
      <rPr>
        <sz val="12"/>
        <color theme="1"/>
        <rFont val="宋体"/>
        <charset val="134"/>
      </rPr>
      <t>邮件网关系统</t>
    </r>
    <r>
      <rPr>
        <sz val="12"/>
        <color theme="1"/>
        <rFont val="Times New Roman"/>
        <charset val="0"/>
      </rPr>
      <t>maildatav2.8.3(2</t>
    </r>
    <r>
      <rPr>
        <sz val="12"/>
        <color indexed="8"/>
        <rFont val="仿宋_GB2312"/>
        <charset val="134"/>
      </rPr>
      <t>套</t>
    </r>
    <r>
      <rPr>
        <sz val="12"/>
        <color theme="1"/>
        <rFont val="Times New Roman"/>
        <charset val="0"/>
      </rPr>
      <t>)</t>
    </r>
  </si>
  <si>
    <r>
      <rPr>
        <sz val="12"/>
        <color theme="1"/>
        <rFont val="宋体"/>
        <charset val="134"/>
      </rPr>
      <t>邮件系统</t>
    </r>
    <r>
      <rPr>
        <sz val="12"/>
        <color theme="1"/>
        <rFont val="Times New Roman"/>
        <charset val="0"/>
      </rPr>
      <t>V7.0(2</t>
    </r>
    <r>
      <rPr>
        <sz val="12"/>
        <color indexed="8"/>
        <rFont val="仿宋_GB2312"/>
        <charset val="134"/>
      </rPr>
      <t>套</t>
    </r>
    <r>
      <rPr>
        <sz val="12"/>
        <color theme="1"/>
        <rFont val="Times New Roman"/>
        <charset val="0"/>
      </rPr>
      <t>)</t>
    </r>
  </si>
  <si>
    <r>
      <rPr>
        <sz val="12"/>
        <color theme="1"/>
        <rFont val="Times New Roman"/>
        <charset val="0"/>
      </rPr>
      <t>TRSWCMv7.01</t>
    </r>
    <r>
      <rPr>
        <sz val="12"/>
        <color indexed="8"/>
        <rFont val="仿宋_GB2312"/>
        <charset val="134"/>
      </rPr>
      <t>套</t>
    </r>
  </si>
  <si>
    <r>
      <rPr>
        <sz val="12"/>
        <color theme="1"/>
        <rFont val="Times New Roman"/>
        <charset val="0"/>
      </rPr>
      <t>TRSWCMv7.02</t>
    </r>
    <r>
      <rPr>
        <sz val="12"/>
        <color indexed="8"/>
        <rFont val="仿宋_GB2312"/>
        <charset val="134"/>
      </rPr>
      <t>套</t>
    </r>
  </si>
  <si>
    <r>
      <rPr>
        <sz val="12"/>
        <color theme="1"/>
        <rFont val="Times New Roman"/>
        <charset val="0"/>
      </rPr>
      <t>iGardv3.04</t>
    </r>
    <r>
      <rPr>
        <sz val="12"/>
        <color indexed="8"/>
        <rFont val="仿宋_GB2312"/>
        <charset val="134"/>
      </rPr>
      <t>个客户端</t>
    </r>
  </si>
  <si>
    <r>
      <rPr>
        <sz val="12"/>
        <color theme="1"/>
        <rFont val="宋体"/>
        <charset val="134"/>
      </rPr>
      <t>红帽</t>
    </r>
    <r>
      <rPr>
        <sz val="12"/>
        <color theme="1"/>
        <rFont val="Times New Roman"/>
        <charset val="0"/>
      </rPr>
      <t>Linux 7.4</t>
    </r>
  </si>
  <si>
    <r>
      <rPr>
        <sz val="12"/>
        <color theme="1"/>
        <rFont val="Times New Roman"/>
        <charset val="0"/>
      </rPr>
      <t>VMware</t>
    </r>
    <r>
      <rPr>
        <sz val="12"/>
        <color theme="1"/>
        <rFont val="宋体"/>
        <charset val="134"/>
      </rPr>
      <t>服务器虚拟化软件</t>
    </r>
    <r>
      <rPr>
        <sz val="12"/>
        <color theme="1"/>
        <rFont val="Arial"/>
        <charset val="0"/>
      </rPr>
      <t xml:space="preserve">vSphere 6 </t>
    </r>
    <r>
      <rPr>
        <sz val="12"/>
        <color theme="1"/>
        <rFont val="宋体"/>
        <charset val="134"/>
      </rPr>
      <t>企业增强版</t>
    </r>
  </si>
  <si>
    <r>
      <rPr>
        <sz val="12"/>
        <color theme="1"/>
        <rFont val="Times New Roman"/>
        <charset val="0"/>
      </rPr>
      <t>VMware</t>
    </r>
    <r>
      <rPr>
        <sz val="12"/>
        <color theme="1"/>
        <rFont val="宋体"/>
        <charset val="134"/>
      </rPr>
      <t>分布式内存数据库软件</t>
    </r>
    <r>
      <rPr>
        <sz val="12"/>
        <color theme="1"/>
        <rFont val="Arial"/>
        <charset val="0"/>
      </rPr>
      <t xml:space="preserve"> GemFire </t>
    </r>
    <r>
      <rPr>
        <sz val="12"/>
        <color theme="1"/>
        <rFont val="宋体"/>
        <charset val="134"/>
      </rPr>
      <t>企业版</t>
    </r>
  </si>
  <si>
    <r>
      <rPr>
        <sz val="12"/>
        <color theme="1"/>
        <rFont val="宋体"/>
        <charset val="134"/>
      </rPr>
      <t>思科</t>
    </r>
    <r>
      <rPr>
        <sz val="12"/>
        <color theme="1"/>
        <rFont val="Arial"/>
        <charset val="0"/>
      </rPr>
      <t xml:space="preserve"> Stealthwatch </t>
    </r>
    <r>
      <rPr>
        <sz val="12"/>
        <color theme="1"/>
        <rFont val="宋体"/>
        <charset val="134"/>
      </rPr>
      <t>流量分析软件</t>
    </r>
  </si>
  <si>
    <r>
      <rPr>
        <sz val="12"/>
        <color theme="1"/>
        <rFont val="Times New Roman"/>
        <charset val="0"/>
      </rPr>
      <t xml:space="preserve">CFCA </t>
    </r>
    <r>
      <rPr>
        <sz val="12"/>
        <color theme="1"/>
        <rFont val="宋体"/>
        <charset val="134"/>
      </rPr>
      <t>密码控件</t>
    </r>
    <r>
      <rPr>
        <sz val="12"/>
        <color theme="1"/>
        <rFont val="Times New Roman"/>
        <charset val="0"/>
      </rPr>
      <t>3.1.0.8</t>
    </r>
  </si>
  <si>
    <r>
      <rPr>
        <sz val="12"/>
        <color theme="1"/>
        <rFont val="Times New Roman"/>
        <charset val="0"/>
      </rPr>
      <t xml:space="preserve">CFCA </t>
    </r>
    <r>
      <rPr>
        <sz val="12"/>
        <color theme="1"/>
        <rFont val="宋体"/>
        <charset val="134"/>
      </rPr>
      <t>无纸化电子签章系统</t>
    </r>
    <r>
      <rPr>
        <sz val="12"/>
        <color theme="1"/>
        <rFont val="Times New Roman"/>
        <charset val="0"/>
      </rPr>
      <t>3.9.3.1</t>
    </r>
  </si>
  <si>
    <t>帆软报表</t>
  </si>
  <si>
    <r>
      <rPr>
        <sz val="12"/>
        <color theme="1"/>
        <rFont val="宋体"/>
        <charset val="134"/>
      </rPr>
      <t>帆软</t>
    </r>
    <r>
      <rPr>
        <sz val="12"/>
        <color theme="1"/>
        <rFont val="Arial"/>
        <charset val="0"/>
      </rPr>
      <t xml:space="preserve"> Finereport V10.0.1</t>
    </r>
  </si>
  <si>
    <t>中标人提供+中标人提供3人天服务</t>
  </si>
  <si>
    <t>多式联运数据交换平台应用软件开发与部署</t>
  </si>
  <si>
    <r>
      <rPr>
        <sz val="12"/>
        <color theme="1"/>
        <rFont val="宋体"/>
        <charset val="134"/>
      </rPr>
      <t>鼎云数据湖软件（非关系型数据库）</t>
    </r>
    <r>
      <rPr>
        <sz val="12"/>
        <color theme="1"/>
        <rFont val="Arial"/>
        <charset val="0"/>
      </rPr>
      <t>V1.0</t>
    </r>
  </si>
  <si>
    <t>中标人提供+中标人提供5人天服务</t>
  </si>
  <si>
    <r>
      <rPr>
        <sz val="12"/>
        <color theme="1"/>
        <rFont val="宋体"/>
        <charset val="134"/>
      </rPr>
      <t>鼎云数据湖软件（数据处理中心）</t>
    </r>
    <r>
      <rPr>
        <sz val="12"/>
        <color theme="1"/>
        <rFont val="Arial"/>
        <charset val="0"/>
      </rPr>
      <t>V1.0</t>
    </r>
  </si>
  <si>
    <t>鼎云日志分析软件</t>
  </si>
  <si>
    <t>中标人提供+中标人提供10人天服务</t>
  </si>
  <si>
    <r>
      <rPr>
        <sz val="12"/>
        <color theme="1"/>
        <rFont val="Arial"/>
        <charset val="0"/>
      </rPr>
      <t>GlobalSign SSL</t>
    </r>
    <r>
      <rPr>
        <sz val="12"/>
        <color theme="1"/>
        <rFont val="宋体"/>
        <charset val="134"/>
      </rPr>
      <t>数字证书</t>
    </r>
  </si>
  <si>
    <r>
      <rPr>
        <sz val="12"/>
        <color theme="1"/>
        <rFont val="Arial"/>
        <charset val="0"/>
      </rPr>
      <t>ZDNS</t>
    </r>
    <r>
      <rPr>
        <sz val="12"/>
        <color theme="1"/>
        <rFont val="宋体"/>
        <charset val="134"/>
      </rPr>
      <t>域名云服务平台</t>
    </r>
  </si>
  <si>
    <r>
      <rPr>
        <sz val="12"/>
        <color theme="1"/>
        <rFont val="宋体"/>
        <charset val="134"/>
      </rPr>
      <t>经纬</t>
    </r>
    <r>
      <rPr>
        <sz val="12"/>
        <color theme="1"/>
        <rFont val="Arial"/>
        <charset val="0"/>
      </rPr>
      <t xml:space="preserve"> </t>
    </r>
    <r>
      <rPr>
        <sz val="12"/>
        <color theme="1"/>
        <rFont val="宋体"/>
        <charset val="134"/>
      </rPr>
      <t>铁路货运</t>
    </r>
    <r>
      <rPr>
        <sz val="12"/>
        <color theme="1"/>
        <rFont val="Arial"/>
        <charset val="0"/>
      </rPr>
      <t>PaaS</t>
    </r>
    <r>
      <rPr>
        <sz val="12"/>
        <color theme="1"/>
        <rFont val="宋体"/>
        <charset val="134"/>
      </rPr>
      <t>平台</t>
    </r>
    <r>
      <rPr>
        <sz val="12"/>
        <color theme="1"/>
        <rFont val="Arial"/>
        <charset val="0"/>
      </rPr>
      <t>V1.0</t>
    </r>
  </si>
  <si>
    <t>中标人提供+中标人提供30人天服务</t>
  </si>
  <si>
    <r>
      <rPr>
        <sz val="12"/>
        <color theme="1"/>
        <rFont val="宋体"/>
        <charset val="134"/>
      </rPr>
      <t>铁路公安系统</t>
    </r>
    <r>
      <rPr>
        <sz val="12"/>
        <color theme="1"/>
        <rFont val="Arial"/>
        <charset val="0"/>
      </rPr>
      <t>V1.0</t>
    </r>
  </si>
  <si>
    <t>360安全浏览软件XC-IIBR1300-C-SW</t>
  </si>
  <si>
    <t>3套</t>
  </si>
  <si>
    <t>原厂标服</t>
  </si>
  <si>
    <t>H3C CAS软件 V7.0</t>
  </si>
  <si>
    <t>1套</t>
  </si>
  <si>
    <t>Oracle Linux</t>
  </si>
  <si>
    <t>177套</t>
  </si>
  <si>
    <t>VMware vSphere  7.0企业增强版</t>
  </si>
  <si>
    <t>Windows Server  2022</t>
  </si>
  <si>
    <t>5套</t>
  </si>
  <si>
    <t>安超虚拟化平台软件 V1.5 标准版</t>
  </si>
  <si>
    <t>北京经纬信息移动安全管理平台V1.0（管理）</t>
  </si>
  <si>
    <t>北京经纬信息移动安全管理平台V1.0（接入）</t>
  </si>
  <si>
    <t>北京酷德啄木鸟CodeCheck源代码缺陷分析系统V4.0、软件成分分析系统</t>
  </si>
  <si>
    <t>北京数字认证SYT1812-G密钥管理系统</t>
  </si>
  <si>
    <t>2套</t>
  </si>
  <si>
    <t>北京数字认证SZT1802-G数字证书认证系统</t>
  </si>
  <si>
    <t>北京数字认证密码服务管理平台CSCP-AV1.0</t>
  </si>
  <si>
    <t>华为DCS虚拟化套件V8 1</t>
  </si>
  <si>
    <t>奇虎360终端安全管理系统软件360XC-SJWS3-C-SW</t>
  </si>
  <si>
    <t>神州泰岳身份与访问安全管理系统ultra-lAM</t>
  </si>
  <si>
    <t>统信服务器操作系统 V20</t>
  </si>
  <si>
    <t>30套</t>
  </si>
  <si>
    <t>原厂标服+20人天现场服务</t>
  </si>
  <si>
    <t>257套</t>
  </si>
  <si>
    <t>兴唐通信SDT1930</t>
  </si>
  <si>
    <t>兴唐通信SDT-KMS</t>
  </si>
  <si>
    <t>兴唐通信密码服务网关系统SDT222201-G</t>
  </si>
  <si>
    <t>银河麒麟高级服务器操作系统V10</t>
  </si>
  <si>
    <t>320套</t>
  </si>
  <si>
    <t>云宏CNware WinSphere服务器虚拟化软件V8.2</t>
  </si>
  <si>
    <t>设备品牌</t>
  </si>
  <si>
    <t>原厂人天</t>
  </si>
  <si>
    <t>中标人人天</t>
  </si>
  <si>
    <t>华为存储</t>
  </si>
  <si>
    <t>宏杉存储</t>
  </si>
  <si>
    <t>思科SAN交换机</t>
  </si>
  <si>
    <t>浪潮存储</t>
  </si>
  <si>
    <t>EMC存储</t>
  </si>
  <si>
    <t>信安世纪负载均衡</t>
  </si>
  <si>
    <t>浪潮小型机</t>
  </si>
  <si>
    <t>思科网络（增强）</t>
  </si>
  <si>
    <t>网络工程师驻厂服务</t>
  </si>
  <si>
    <t>配置2人年的网络维护服务。</t>
  </si>
  <si>
    <t>需求说明：配置2人年的网络维护服务，进行5x8小时网络保障。采购网络工区保障服务，配置2人的保障人员，进行5x8小时网络保障，协助开展公共基础网络设备及链路的监测分析、远程巡检、常规养护、旁站盯控等基础性工作。</t>
  </si>
  <si>
    <t>永达工程师驻场服务</t>
  </si>
  <si>
    <t>配置2人年的永达设备维护服务。</t>
  </si>
  <si>
    <t>需求说明：永达隔离相关设备用于客票网与其他网络的安全隔离，设备数量达到500多台，运维资料不全、设备老旧，需配置2人年的维护服务，进行永达设备维护保障，进行5x8小时的驻场保障服务和7x24小时的二线保障服务，协助开展12306中永达设备的设备巡检、故障处置、问题分析、软件升级等工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</si>
</sst>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name val="Arial"/>
      <charset val="134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rgb="FF000000"/>
      <name val="Times New Roman"/>
      <charset val="134"/>
    </font>
    <font>
      <b/>
      <sz val="12"/>
      <color rgb="FF000000"/>
      <name val="宋体"/>
      <charset val="134"/>
    </font>
    <font>
      <sz val="12"/>
      <color rgb="FF000000"/>
      <name val="Times New Roman"/>
      <charset val="134"/>
    </font>
    <font>
      <sz val="12"/>
      <color rgb="FF000000"/>
      <name val="宋体"/>
      <charset val="134"/>
    </font>
    <font>
      <sz val="12"/>
      <color theme="1"/>
      <name val="Times New Roman"/>
      <charset val="0"/>
    </font>
    <font>
      <sz val="12"/>
      <color theme="1"/>
      <name val="宋体"/>
      <charset val="134"/>
    </font>
    <font>
      <sz val="12"/>
      <color theme="1"/>
      <name val="Arial"/>
      <charset val="0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仿宋_GB2312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3" applyNumberFormat="0" applyAlignment="0" applyProtection="0">
      <alignment vertical="center"/>
    </xf>
    <xf numFmtId="0" fontId="33" fillId="5" borderId="14" applyNumberFormat="0" applyAlignment="0" applyProtection="0">
      <alignment vertical="center"/>
    </xf>
    <xf numFmtId="0" fontId="34" fillId="5" borderId="13" applyNumberFormat="0" applyAlignment="0" applyProtection="0">
      <alignment vertical="center"/>
    </xf>
    <xf numFmtId="0" fontId="35" fillId="6" borderId="15" applyNumberFormat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14" fillId="0" borderId="0"/>
    <xf numFmtId="0" fontId="14" fillId="0" borderId="0">
      <alignment vertical="center"/>
    </xf>
  </cellStyleXfs>
  <cellXfs count="9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NumberFormat="1" applyFill="1"/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7" fillId="0" borderId="4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4" fillId="0" borderId="7" xfId="0" applyNumberFormat="1" applyFont="1" applyBorder="1" applyAlignment="1">
      <alignment horizontal="center" vertical="center" wrapText="1"/>
    </xf>
    <xf numFmtId="0" fontId="18" fillId="0" borderId="4" xfId="0" applyFont="1" applyFill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>
      <alignment horizontal="center" vertical="center" wrapText="1"/>
    </xf>
    <xf numFmtId="14" fontId="14" fillId="0" borderId="4" xfId="0" applyNumberFormat="1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wrapText="1"/>
    </xf>
    <xf numFmtId="0" fontId="19" fillId="0" borderId="1" xfId="0" applyFont="1" applyFill="1" applyBorder="1" applyAlignment="1">
      <alignment horizontal="center"/>
    </xf>
    <xf numFmtId="0" fontId="19" fillId="0" borderId="1" xfId="0" applyNumberFormat="1" applyFont="1" applyFill="1" applyBorder="1" applyAlignment="1">
      <alignment horizontal="center"/>
    </xf>
    <xf numFmtId="0" fontId="19" fillId="0" borderId="0" xfId="0" applyFont="1" applyFill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wrapText="1"/>
    </xf>
    <xf numFmtId="0" fontId="14" fillId="2" borderId="4" xfId="0" applyNumberFormat="1" applyFont="1" applyFill="1" applyBorder="1" applyAlignment="1">
      <alignment horizontal="center" vertical="center" wrapText="1"/>
    </xf>
    <xf numFmtId="0" fontId="19" fillId="2" borderId="1" xfId="0" applyNumberFormat="1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/>
    </xf>
    <xf numFmtId="0" fontId="21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9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0" fontId="21" fillId="0" borderId="2" xfId="0" applyNumberFormat="1" applyFont="1" applyFill="1" applyBorder="1" applyAlignment="1">
      <alignment horizontal="center" vertical="center"/>
    </xf>
    <xf numFmtId="0" fontId="19" fillId="0" borderId="2" xfId="0" applyNumberFormat="1" applyFont="1" applyFill="1" applyBorder="1" applyAlignment="1">
      <alignment horizontal="center"/>
    </xf>
    <xf numFmtId="0" fontId="14" fillId="0" borderId="9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49" fontId="12" fillId="0" borderId="1" xfId="50" applyNumberFormat="1" applyFont="1" applyFill="1" applyBorder="1" applyAlignment="1">
      <alignment horizontal="center" vertical="center"/>
    </xf>
    <xf numFmtId="0" fontId="23" fillId="0" borderId="1" xfId="50" applyFont="1" applyFill="1" applyBorder="1" applyAlignment="1">
      <alignment horizontal="center" vertical="center"/>
    </xf>
    <xf numFmtId="0" fontId="17" fillId="0" borderId="4" xfId="0" applyFont="1" applyFill="1" applyBorder="1" applyAlignment="1" quotePrefix="1">
      <alignment horizontal="center" vertical="center" wrapText="1"/>
    </xf>
    <xf numFmtId="0" fontId="14" fillId="0" borderId="4" xfId="0" applyNumberFormat="1" applyFont="1" applyFill="1" applyBorder="1" applyAlignment="1" quotePrefix="1">
      <alignment horizontal="center" vertical="center" wrapText="1"/>
    </xf>
    <xf numFmtId="0" fontId="20" fillId="0" borderId="1" xfId="0" applyFont="1" applyFill="1" applyBorder="1" applyAlignme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6.8.26-中国铁路信息技术中心人员花名册（3.15）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soul\xwechat_files\wxid_gxkf8u764wz621_a1bb\msg\file\2026-07\&#38468;&#20214;&#65306;2026&#24180;&#24230;&#32500;&#20445;&#28165;&#21333;_12306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硬件清单"/>
      <sheetName val="软件清单"/>
      <sheetName val="现场技术支持服务"/>
    </sheetNames>
    <sheetDataSet>
      <sheetData sheetId="0">
        <row r="1">
          <cell r="F1" t="str">
            <v>S/N</v>
          </cell>
        </row>
        <row r="2">
          <cell r="F2" t="str">
            <v>施耐德：UJ-2W7T04001、伊顿:4L385BAB03</v>
          </cell>
        </row>
        <row r="3">
          <cell r="F3" t="str">
            <v>SNC-4000V3.0-201534-0025
SNC-4000V3.0-201534-0001
SNC-4000V3.0-291215-00211
SNC-4000V3.0-291215-00212
201804260092
201804260032</v>
          </cell>
        </row>
        <row r="4">
          <cell r="F4" t="str">
            <v>SNC-4000V3.0-201534-0027
SNC-4000V3.0-201534-0023
201811220063
201804260095</v>
          </cell>
        </row>
        <row r="5">
          <cell r="F5" t="str">
            <v>SNC-4000V3.0-201534-0026
SNC-4000V3.0-201534-0024
201811220094
201811220027</v>
          </cell>
        </row>
        <row r="6">
          <cell r="F6" t="str">
            <v>SNC-4000V3.0-201534-0021
SNC-4000V3.0-201534-0022
201804260025
201804260021</v>
          </cell>
        </row>
        <row r="7">
          <cell r="F7" t="str">
            <v>2102300653P0KB000260</v>
          </cell>
        </row>
        <row r="8">
          <cell r="F8" t="str">
            <v>2102300653P0KB000259</v>
          </cell>
        </row>
        <row r="9">
          <cell r="F9" t="str">
            <v>2102300653P0KB000261</v>
          </cell>
        </row>
        <row r="10">
          <cell r="F10" t="str">
            <v>MDLZ-K1115-2U16S-2620V4-OBCR</v>
          </cell>
        </row>
        <row r="11">
          <cell r="F11" t="str">
            <v>MDLZ-K1115-2U16S-2620V4-OBCQ</v>
          </cell>
        </row>
        <row r="12">
          <cell r="F12" t="str">
            <v>MDLZ-K1115-2U16S-2620V4-OBEB</v>
          </cell>
        </row>
        <row r="13">
          <cell r="F13" t="str">
            <v>MDLZ-K1115-2U16S-2620V4-OBEA</v>
          </cell>
        </row>
        <row r="14">
          <cell r="F14" t="str">
            <v>chs408148s</v>
          </cell>
        </row>
        <row r="15">
          <cell r="F15" t="str">
            <v>210235G7G510EA000007</v>
          </cell>
        </row>
        <row r="16">
          <cell r="F16" t="str">
            <v>210235AOXXX149000045</v>
          </cell>
        </row>
        <row r="17">
          <cell r="F17" t="str">
            <v>chs408167s</v>
          </cell>
        </row>
        <row r="18">
          <cell r="F18" t="str">
            <v>210235G7G510EA000011</v>
          </cell>
        </row>
        <row r="19">
          <cell r="F19" t="str">
            <v>210235AOXXX149000022</v>
          </cell>
        </row>
        <row r="20">
          <cell r="F20" t="str">
            <v>chs408155s
(bid009916s bid009926s)</v>
          </cell>
        </row>
        <row r="21">
          <cell r="F21" t="str">
            <v>31405652</v>
          </cell>
        </row>
        <row r="22">
          <cell r="F22" t="str">
            <v>31405713</v>
          </cell>
        </row>
        <row r="23">
          <cell r="F23" t="str">
            <v>chs408180s</v>
          </cell>
        </row>
        <row r="24">
          <cell r="F24" t="str">
            <v>210235G7G510EA000008</v>
          </cell>
        </row>
        <row r="25">
          <cell r="F25" t="str">
            <v>chs408153s
(bid009925s bid009913s)</v>
          </cell>
        </row>
        <row r="26">
          <cell r="F26" t="str">
            <v>210235A0HAH14A000296</v>
          </cell>
        </row>
        <row r="27">
          <cell r="F27" t="str">
            <v>chs408149s</v>
          </cell>
        </row>
        <row r="28">
          <cell r="F28" t="str">
            <v>FXS1751Q1KZ</v>
          </cell>
        </row>
        <row r="29">
          <cell r="F29" t="str">
            <v>210235A0HAH14A000246</v>
          </cell>
        </row>
        <row r="30">
          <cell r="F30" t="str">
            <v>chs408151s</v>
          </cell>
        </row>
        <row r="31">
          <cell r="F31" t="str">
            <v>FXS1745Q0TX</v>
          </cell>
        </row>
        <row r="32">
          <cell r="F32" t="str">
            <v>2101301843213b040001</v>
          </cell>
        </row>
        <row r="33">
          <cell r="F33" t="str">
            <v>21013018432133030008</v>
          </cell>
        </row>
        <row r="34">
          <cell r="F34" t="str">
            <v>2102113373POE9000338</v>
          </cell>
        </row>
        <row r="35">
          <cell r="F35" t="str">
            <v>21021133736TEA900017</v>
          </cell>
        </row>
        <row r="36">
          <cell r="F36" t="str">
            <v>210235951510EA000034</v>
          </cell>
        </row>
        <row r="37">
          <cell r="F37" t="str">
            <v>210235951510EA000050</v>
          </cell>
        </row>
        <row r="38">
          <cell r="F38" t="str">
            <v>21021133736TEA900076</v>
          </cell>
        </row>
        <row r="39">
          <cell r="F39" t="str">
            <v>21021133736TEA900021</v>
          </cell>
        </row>
        <row r="40">
          <cell r="F40" t="str">
            <v>21021133736TEA900022</v>
          </cell>
        </row>
        <row r="41">
          <cell r="F41" t="str">
            <v>21021133736TE9900888</v>
          </cell>
        </row>
        <row r="42">
          <cell r="F42" t="str">
            <v>CKM00143803402</v>
          </cell>
        </row>
        <row r="43">
          <cell r="F43" t="str">
            <v>CKM00143802431</v>
          </cell>
        </row>
        <row r="44">
          <cell r="F44" t="str">
            <v>BRCBRW1937K07D</v>
          </cell>
        </row>
        <row r="45">
          <cell r="F45" t="str">
            <v>BRCBRW1937K07G</v>
          </cell>
        </row>
        <row r="46">
          <cell r="F46" t="str">
            <v>FLC00144000082</v>
          </cell>
        </row>
        <row r="47">
          <cell r="F47" t="str">
            <v>CKM00143605115,CK298701610</v>
          </cell>
        </row>
        <row r="48">
          <cell r="F48" t="str">
            <v>CKM00143605115,CK298701601</v>
          </cell>
        </row>
        <row r="49">
          <cell r="F49" t="str">
            <v>2101301845214a010001</v>
          </cell>
        </row>
        <row r="50">
          <cell r="F50" t="str">
            <v>2101301845214A01007
2101301845214A010006</v>
          </cell>
        </row>
        <row r="51">
          <cell r="F51" t="str">
            <v>21013018452153010005</v>
          </cell>
        </row>
        <row r="52">
          <cell r="F52" t="str">
            <v>210235AOE6X126000021</v>
          </cell>
        </row>
        <row r="53">
          <cell r="F53" t="str">
            <v>210235AOE6X126000034</v>
          </cell>
        </row>
        <row r="54">
          <cell r="F54" t="str">
            <v>FOX1629H16F</v>
          </cell>
        </row>
        <row r="55">
          <cell r="F55" t="str">
            <v>FOC1812N2AG</v>
          </cell>
        </row>
        <row r="56">
          <cell r="F56" t="str">
            <v>FOX1630HC6Z</v>
          </cell>
        </row>
        <row r="57">
          <cell r="F57" t="str">
            <v>FOC1815N7WH</v>
          </cell>
        </row>
        <row r="58">
          <cell r="F58" t="str">
            <v>ASG1000III2EDF252893</v>
          </cell>
        </row>
        <row r="59">
          <cell r="F59" t="str">
            <v>AFW20002EF106CB92</v>
          </cell>
        </row>
        <row r="60">
          <cell r="F60" t="str">
            <v>AFW2000II2ED2DCA0B8</v>
          </cell>
        </row>
        <row r="61">
          <cell r="F61" t="str">
            <v>chs405143s</v>
          </cell>
        </row>
        <row r="62">
          <cell r="F62" t="str">
            <v>chs405290s</v>
          </cell>
        </row>
        <row r="63">
          <cell r="F63" t="str">
            <v>ANN2545J00E</v>
          </cell>
        </row>
        <row r="64">
          <cell r="F64" t="str">
            <v>ANN2547J005</v>
          </cell>
        </row>
        <row r="65">
          <cell r="F65" t="str">
            <v>SGH451XFRS/CZC4493705</v>
          </cell>
        </row>
        <row r="66">
          <cell r="F66" t="str">
            <v>SGH451XFS0/CZC45137ER</v>
          </cell>
        </row>
        <row r="67">
          <cell r="F67" t="str">
            <v>ANN2539K021</v>
          </cell>
        </row>
        <row r="68">
          <cell r="F68" t="str">
            <v>ANN2539K01S</v>
          </cell>
        </row>
        <row r="69">
          <cell r="F69" t="str">
            <v>50557
90201664</v>
          </cell>
        </row>
        <row r="70">
          <cell r="F70" t="str">
            <v>无（扩容sn:50557）</v>
          </cell>
        </row>
        <row r="71">
          <cell r="F71" t="str">
            <v>无（扩容sn:50557）</v>
          </cell>
        </row>
        <row r="72">
          <cell r="F72" t="str">
            <v>AMS16191102</v>
          </cell>
        </row>
        <row r="73">
          <cell r="F73" t="str">
            <v>AMS15420566</v>
          </cell>
        </row>
        <row r="74">
          <cell r="F74" t="str">
            <v>BRW2535K06L</v>
          </cell>
        </row>
        <row r="75">
          <cell r="F75" t="str">
            <v>BRW2541K05P</v>
          </cell>
        </row>
        <row r="76">
          <cell r="F76" t="str">
            <v>91266</v>
          </cell>
        </row>
        <row r="77">
          <cell r="F77" t="str">
            <v>91165</v>
          </cell>
        </row>
        <row r="78">
          <cell r="F78" t="str">
            <v>66818</v>
          </cell>
        </row>
        <row r="79">
          <cell r="F79">
            <v>54010</v>
          </cell>
        </row>
        <row r="80">
          <cell r="F80" t="str">
            <v>54042</v>
          </cell>
        </row>
        <row r="81">
          <cell r="F81" t="str">
            <v>21021206134JC4000069</v>
          </cell>
        </row>
        <row r="82">
          <cell r="F82" t="str">
            <v>ASG1000III2EE4FB260A</v>
          </cell>
        </row>
        <row r="83">
          <cell r="F83" t="str">
            <v>ASG1000III2EE4FB258B</v>
          </cell>
        </row>
        <row r="84">
          <cell r="F84" t="str">
            <v>ASG1000III2EE4FB258C</v>
          </cell>
        </row>
        <row r="85">
          <cell r="F85" t="str">
            <v>ASG1000III2EE4FB258E</v>
          </cell>
        </row>
        <row r="86">
          <cell r="F86" t="str">
            <v>ASG1000III2EE4FB2596</v>
          </cell>
        </row>
        <row r="87">
          <cell r="F87" t="str">
            <v>YD-NODE2000S4B07F9362</v>
          </cell>
        </row>
        <row r="88">
          <cell r="F88" t="str">
            <v>YD-LVS3000B4B07F9362</v>
          </cell>
        </row>
        <row r="89">
          <cell r="F89" t="str">
            <v>YD-SMC3000B4B07F9367</v>
          </cell>
        </row>
        <row r="90">
          <cell r="F90" t="str">
            <v>YD-SMC3000B4B07F9360</v>
          </cell>
        </row>
        <row r="91">
          <cell r="F91" t="str">
            <v>YD-SAC3000B4B07F9360</v>
          </cell>
        </row>
        <row r="92">
          <cell r="F92" t="str">
            <v>YD-SAC3000B4B07F936D</v>
          </cell>
        </row>
        <row r="93">
          <cell r="F93" t="str">
            <v>YD-SAC3000B4B07F9376</v>
          </cell>
        </row>
        <row r="94">
          <cell r="F94" t="str">
            <v>YD-SAC3000B4B07F9365</v>
          </cell>
        </row>
        <row r="95">
          <cell r="F95" t="str">
            <v>ASG1000III2EE4FB2597</v>
          </cell>
        </row>
        <row r="96">
          <cell r="F96" t="str">
            <v>ASG1000III2EE4FB2586</v>
          </cell>
        </row>
        <row r="97">
          <cell r="F97" t="str">
            <v>ASG1000III2EE4FB2595</v>
          </cell>
        </row>
        <row r="98">
          <cell r="F98" t="str">
            <v>YD-SDB3000B4B07F9363</v>
          </cell>
        </row>
        <row r="99">
          <cell r="F99" t="str">
            <v>YD-SDB3000B4B07F9361</v>
          </cell>
        </row>
        <row r="100">
          <cell r="F100" t="str">
            <v>7848374</v>
          </cell>
        </row>
        <row r="101">
          <cell r="F101" t="str">
            <v>10395GF</v>
          </cell>
        </row>
        <row r="102">
          <cell r="F102" t="str">
            <v>10394RR</v>
          </cell>
        </row>
        <row r="103">
          <cell r="F103" t="str">
            <v>YD-SAC3000B4B07F9370</v>
          </cell>
        </row>
        <row r="104">
          <cell r="F104" t="str">
            <v>YD-SAC3000B4B07F9371</v>
          </cell>
        </row>
        <row r="105">
          <cell r="F105" t="str">
            <v>YD-SAC3000B4B07F936A</v>
          </cell>
        </row>
        <row r="106">
          <cell r="F106" t="str">
            <v>ASG1000III2EE4FB2604</v>
          </cell>
        </row>
        <row r="107">
          <cell r="F107" t="str">
            <v>ASG1000-II2EEB00BDF1</v>
          </cell>
        </row>
        <row r="108">
          <cell r="F108" t="str">
            <v>ASG1000III2EE4FB2583</v>
          </cell>
        </row>
        <row r="109">
          <cell r="F109" t="str">
            <v>PC00U97Z</v>
          </cell>
        </row>
        <row r="110">
          <cell r="F110" t="str">
            <v>YD-NSDS3000B4B07F9364</v>
          </cell>
        </row>
        <row r="111">
          <cell r="F111" t="str">
            <v>YD-NSDS3000B4B07F9362</v>
          </cell>
        </row>
        <row r="112">
          <cell r="F112" t="str">
            <v>YD-LVS3000B4B07F9367</v>
          </cell>
        </row>
        <row r="113">
          <cell r="F113" t="str">
            <v>YD-LVS3000B4B07F9368</v>
          </cell>
        </row>
        <row r="114">
          <cell r="F114" t="str">
            <v>YD-LVS3000B4B07F9369</v>
          </cell>
        </row>
        <row r="115">
          <cell r="F115" t="str">
            <v>YD-LVS3000B4B07F936B</v>
          </cell>
        </row>
        <row r="116">
          <cell r="F116" t="str">
            <v>YD-SAC3000B4B07F936B</v>
          </cell>
        </row>
        <row r="117">
          <cell r="F117" t="str">
            <v>YD-SAC3000B4B07F9372</v>
          </cell>
        </row>
        <row r="118">
          <cell r="F118" t="str">
            <v>YD-SAC3000B4B07F9373</v>
          </cell>
        </row>
        <row r="119">
          <cell r="F119" t="str">
            <v>ASG1000III2EE4FB2599</v>
          </cell>
        </row>
        <row r="120">
          <cell r="F120" t="str">
            <v>ASG1000III2EE4FB2605</v>
          </cell>
        </row>
        <row r="121">
          <cell r="F121" t="str">
            <v>ASG1000III2EE4FB2589</v>
          </cell>
        </row>
        <row r="122">
          <cell r="F122" t="str">
            <v>ASG1000III2EE4FB2580</v>
          </cell>
        </row>
        <row r="123">
          <cell r="F123" t="str">
            <v>ASG1000III2EE4FB2606</v>
          </cell>
        </row>
        <row r="124">
          <cell r="F124" t="str">
            <v>ASG1000III2EE4FB259F</v>
          </cell>
        </row>
        <row r="125">
          <cell r="F125" t="str">
            <v>ASG1000III2EE4FB259C</v>
          </cell>
        </row>
        <row r="126">
          <cell r="F126" t="str">
            <v>YD-NODE2000S4B07F9361</v>
          </cell>
        </row>
        <row r="127">
          <cell r="F127" t="str">
            <v>YD-LVS3000B4B07F9365</v>
          </cell>
        </row>
        <row r="128">
          <cell r="F128" t="str">
            <v>YD-SMC3000B4B07F9366</v>
          </cell>
        </row>
        <row r="129">
          <cell r="F129" t="str">
            <v>YD-SMC3000B4B07F9365</v>
          </cell>
        </row>
        <row r="130">
          <cell r="F130" t="str">
            <v>YD-SAC3000B4B07F9362</v>
          </cell>
        </row>
        <row r="131">
          <cell r="F131" t="str">
            <v>YD-SAC3000B4B07F9361</v>
          </cell>
        </row>
        <row r="132">
          <cell r="F132" t="str">
            <v>YD-SAC3000B4B07F936C</v>
          </cell>
        </row>
        <row r="133">
          <cell r="F133" t="str">
            <v>YD-SAC3000B4B07F936E</v>
          </cell>
        </row>
        <row r="134">
          <cell r="F134" t="str">
            <v>ASG1000III2EE4FB2587</v>
          </cell>
        </row>
        <row r="135">
          <cell r="F135" t="str">
            <v>ASG1000III2EE4FB2607</v>
          </cell>
        </row>
        <row r="136">
          <cell r="F136" t="str">
            <v>ASG1000III2EE4FB2591</v>
          </cell>
        </row>
        <row r="137">
          <cell r="F137" t="str">
            <v>ASG1000III2EE4FB258F</v>
          </cell>
        </row>
        <row r="138">
          <cell r="F138" t="str">
            <v>ASG1000III2EE4FB2593</v>
          </cell>
        </row>
        <row r="139">
          <cell r="F139" t="str">
            <v>ASG1000III2EE4FB2584</v>
          </cell>
        </row>
        <row r="140">
          <cell r="F140" t="str">
            <v>ASG1000III2EE4FB259B</v>
          </cell>
        </row>
        <row r="141">
          <cell r="F141" t="str">
            <v>YD-NODE2000S4B07F9364</v>
          </cell>
        </row>
        <row r="142">
          <cell r="F142" t="str">
            <v>YD-LVS3000B4B07F9366</v>
          </cell>
        </row>
        <row r="143">
          <cell r="F143" t="str">
            <v>YD-LVS3000B4B07F9363</v>
          </cell>
        </row>
        <row r="144">
          <cell r="F144" t="str">
            <v>YD-SAC3000B4B07F9377</v>
          </cell>
        </row>
        <row r="145">
          <cell r="F145" t="str">
            <v>YD-SAC3000B4B07F9375</v>
          </cell>
        </row>
        <row r="146">
          <cell r="F146" t="str">
            <v>YD-SAC3000B4B07F936F</v>
          </cell>
        </row>
        <row r="147">
          <cell r="F147" t="str">
            <v>YD-SAC3000B4B07F9374</v>
          </cell>
        </row>
        <row r="148">
          <cell r="F148" t="str">
            <v>YD-SAC3000B4B07F9369</v>
          </cell>
        </row>
        <row r="149">
          <cell r="F149" t="str">
            <v>ASG1000III2EE4FB2600</v>
          </cell>
        </row>
        <row r="150">
          <cell r="F150" t="str">
            <v>ASG1000III2EE4FB2590</v>
          </cell>
        </row>
        <row r="151">
          <cell r="F151" t="str">
            <v>7848462</v>
          </cell>
        </row>
        <row r="152">
          <cell r="F152" t="str">
            <v>YD-RA3000B4B07F9360</v>
          </cell>
        </row>
        <row r="153">
          <cell r="F153" t="str">
            <v>YD-LDAP3000B4B07F9360</v>
          </cell>
        </row>
        <row r="154">
          <cell r="F154" t="str">
            <v>10395PN</v>
          </cell>
        </row>
        <row r="155">
          <cell r="F155" t="str">
            <v>10394XV</v>
          </cell>
        </row>
        <row r="156">
          <cell r="F156" t="str">
            <v>YD-SCP3000B4B07F9361</v>
          </cell>
        </row>
        <row r="157">
          <cell r="F157" t="str">
            <v>YD-SCP3000B4B07F9360</v>
          </cell>
        </row>
        <row r="158">
          <cell r="F158" t="str">
            <v>AFW20004B07F9365</v>
          </cell>
        </row>
        <row r="159">
          <cell r="F159" t="str">
            <v>AFW20004B07F9362</v>
          </cell>
        </row>
        <row r="160">
          <cell r="F160" t="str">
            <v>WT363MA07EW2UC02022</v>
          </cell>
        </row>
        <row r="161">
          <cell r="F161" t="str">
            <v>WT363MA07EW2UC02021</v>
          </cell>
        </row>
        <row r="162">
          <cell r="F162" t="str">
            <v>YD-SDB3000B4B07F9360</v>
          </cell>
        </row>
        <row r="163">
          <cell r="F163" t="str">
            <v>YD-SDB3000B4B07F9362</v>
          </cell>
        </row>
        <row r="164">
          <cell r="F164" t="str">
            <v>YD-SJK0812B4B07F9360</v>
          </cell>
        </row>
        <row r="165">
          <cell r="F165" t="str">
            <v>YD-SQY084B07F9361</v>
          </cell>
        </row>
        <row r="166">
          <cell r="F166" t="str">
            <v>YD-LVS3000B4B07F9364</v>
          </cell>
        </row>
        <row r="167">
          <cell r="F167" t="str">
            <v>YD-LVS3000B4B07F936A</v>
          </cell>
        </row>
        <row r="168">
          <cell r="F168" t="str">
            <v>YD-SMC3000B4B07F9362</v>
          </cell>
        </row>
        <row r="169">
          <cell r="F169" t="str">
            <v>YD-SMC3000B4B07F9363</v>
          </cell>
        </row>
        <row r="170">
          <cell r="F170" t="str">
            <v>YD-NET2000S4B07F9360</v>
          </cell>
        </row>
        <row r="171">
          <cell r="F171" t="str">
            <v>AFW20004B07F9364</v>
          </cell>
        </row>
        <row r="172">
          <cell r="F172" t="str">
            <v>AFW20004B07F9361</v>
          </cell>
        </row>
        <row r="173">
          <cell r="F173" t="str">
            <v>AFW20004B07F9363</v>
          </cell>
        </row>
        <row r="174">
          <cell r="F174" t="str">
            <v>YD-NSDS3000B4B07F9360</v>
          </cell>
        </row>
        <row r="175">
          <cell r="F175" t="str">
            <v>YD-SMC3000B4B07F9361</v>
          </cell>
        </row>
        <row r="176">
          <cell r="F176" t="str">
            <v>YD-SMC3000B4B07F9364</v>
          </cell>
        </row>
        <row r="177">
          <cell r="F177" t="str">
            <v>YD-NODE2000S4B07F9360</v>
          </cell>
        </row>
        <row r="178">
          <cell r="F178" t="str">
            <v>YD-NODE2000S4B07F9365</v>
          </cell>
        </row>
        <row r="179">
          <cell r="F179" t="str">
            <v>PC00T84H</v>
          </cell>
        </row>
        <row r="180">
          <cell r="F180" t="str">
            <v>AFW2000III4B07F9360</v>
          </cell>
        </row>
        <row r="181">
          <cell r="F181" t="str">
            <v>ASG1000III2EE4FB2608</v>
          </cell>
        </row>
        <row r="182">
          <cell r="F182" t="str">
            <v>ASG1000III2EE4FB2588</v>
          </cell>
        </row>
        <row r="183">
          <cell r="F183" t="str">
            <v>YD-SGW3000B4B07F9361</v>
          </cell>
        </row>
        <row r="184">
          <cell r="F184" t="str">
            <v>YD-SGW3000B4B07F9362</v>
          </cell>
        </row>
        <row r="185">
          <cell r="F185" t="str">
            <v>ASG1000III2EE4FB2592</v>
          </cell>
        </row>
        <row r="186">
          <cell r="F186" t="str">
            <v>ASG1000III2EE4FB2601</v>
          </cell>
        </row>
        <row r="187">
          <cell r="F187" t="str">
            <v>ASG1000III2EE4FB2594</v>
          </cell>
        </row>
        <row r="188">
          <cell r="F188" t="str">
            <v>ASG1000III2EE4FB2609</v>
          </cell>
        </row>
        <row r="189">
          <cell r="F189" t="str">
            <v>ASG1000III2EE4FB258D</v>
          </cell>
        </row>
        <row r="190">
          <cell r="F190" t="str">
            <v>YD-NODE2000S4B07F9363</v>
          </cell>
        </row>
        <row r="191">
          <cell r="F191" t="str">
            <v>YD-LVS3000B4B07F9360</v>
          </cell>
        </row>
        <row r="192">
          <cell r="F192" t="str">
            <v>YD-LVS3000B4B07F9361</v>
          </cell>
        </row>
        <row r="193">
          <cell r="F193" t="str">
            <v>YD-SAC3000B4B07F9368</v>
          </cell>
        </row>
        <row r="194">
          <cell r="F194" t="str">
            <v>YD-SAC3000B4B07F9363</v>
          </cell>
        </row>
        <row r="195">
          <cell r="F195" t="str">
            <v>YD-SAC3000B4B07F9367</v>
          </cell>
        </row>
        <row r="196">
          <cell r="F196" t="str">
            <v>YD-SAC3000B4B07F9364</v>
          </cell>
        </row>
        <row r="197">
          <cell r="F197" t="str">
            <v>YD-SAC3000B4B07F9366</v>
          </cell>
        </row>
        <row r="198">
          <cell r="F198" t="str">
            <v>ASG1000III2EE4FB2602</v>
          </cell>
        </row>
        <row r="199">
          <cell r="F199" t="str">
            <v>ASG1000III2EE4FB258A</v>
          </cell>
        </row>
        <row r="200">
          <cell r="F200" t="str">
            <v>ASG1000III2EE4FB2585</v>
          </cell>
        </row>
        <row r="201">
          <cell r="F201" t="str">
            <v>2101301845214A010002</v>
          </cell>
        </row>
        <row r="202">
          <cell r="F202" t="str">
            <v>2101301845214a010005</v>
          </cell>
        </row>
        <row r="203">
          <cell r="F203" t="str">
            <v>BK-F01-HK-01</v>
          </cell>
        </row>
        <row r="204">
          <cell r="F204" t="str">
            <v>210235G6TP10EA000010</v>
          </cell>
        </row>
        <row r="205">
          <cell r="F205" t="str">
            <v>JAF1830ACNH</v>
          </cell>
        </row>
        <row r="206">
          <cell r="F206" t="str">
            <v>210235G6TP10EA000009</v>
          </cell>
        </row>
        <row r="207">
          <cell r="F207" t="str">
            <v>JAF1830ACNK</v>
          </cell>
        </row>
        <row r="208">
          <cell r="F208" t="str">
            <v>FXS1751Q1L8</v>
          </cell>
        </row>
        <row r="209">
          <cell r="F209" t="str">
            <v>31405262</v>
          </cell>
        </row>
        <row r="210">
          <cell r="F210" t="str">
            <v>FXS1751Q1L3</v>
          </cell>
        </row>
        <row r="211">
          <cell r="F211" t="str">
            <v>31405251</v>
          </cell>
        </row>
        <row r="212">
          <cell r="F212" t="str">
            <v>31407256</v>
          </cell>
        </row>
        <row r="213">
          <cell r="F213" t="str">
            <v>31407315</v>
          </cell>
        </row>
        <row r="214">
          <cell r="F214" t="str">
            <v>31407268</v>
          </cell>
        </row>
        <row r="215">
          <cell r="F215" t="str">
            <v>31407272</v>
          </cell>
        </row>
        <row r="216">
          <cell r="F216" t="str">
            <v>21013018452128030001</v>
          </cell>
        </row>
        <row r="217">
          <cell r="F217" t="str">
            <v>21013018432133030006</v>
          </cell>
        </row>
        <row r="218">
          <cell r="F218" t="str">
            <v>2101301843213b060001</v>
          </cell>
        </row>
        <row r="219">
          <cell r="F219" t="str">
            <v>2101301845215301001</v>
          </cell>
        </row>
        <row r="220">
          <cell r="F220" t="str">
            <v>21013018452153010006</v>
          </cell>
        </row>
        <row r="221">
          <cell r="F221" t="str">
            <v>21902044</v>
          </cell>
        </row>
        <row r="222">
          <cell r="F222" t="str">
            <v>21902047</v>
          </cell>
        </row>
        <row r="223">
          <cell r="F223" t="str">
            <v>31401362</v>
          </cell>
        </row>
        <row r="224">
          <cell r="F224" t="str">
            <v>31401375</v>
          </cell>
        </row>
        <row r="225">
          <cell r="F225" t="str">
            <v>CKM00145100130,CN492600677</v>
          </cell>
        </row>
        <row r="226">
          <cell r="F226" t="str">
            <v>CKM00145100123,CN492600678</v>
          </cell>
        </row>
        <row r="227">
          <cell r="F227" t="str">
            <v>4H364BAA03</v>
          </cell>
        </row>
        <row r="228">
          <cell r="F228" t="str">
            <v>4H365BAA01</v>
          </cell>
        </row>
        <row r="229">
          <cell r="F229" t="str">
            <v>无</v>
          </cell>
        </row>
        <row r="230">
          <cell r="F230" t="str">
            <v>无</v>
          </cell>
        </row>
        <row r="231">
          <cell r="F231" t="str">
            <v>无</v>
          </cell>
        </row>
        <row r="232">
          <cell r="F232" t="str">
            <v>无</v>
          </cell>
        </row>
        <row r="233">
          <cell r="F233" t="str">
            <v>无</v>
          </cell>
        </row>
        <row r="234">
          <cell r="F234" t="str">
            <v>无</v>
          </cell>
        </row>
        <row r="235">
          <cell r="F235" t="str">
            <v>无</v>
          </cell>
        </row>
        <row r="236">
          <cell r="F236" t="str">
            <v>无</v>
          </cell>
        </row>
        <row r="237">
          <cell r="F237" t="str">
            <v>无</v>
          </cell>
        </row>
        <row r="238">
          <cell r="F238" t="str">
            <v>UJ2W7N19001/UJ2W7N18003</v>
          </cell>
        </row>
        <row r="239">
          <cell r="F239" t="str">
            <v>21013018452153010002</v>
          </cell>
        </row>
        <row r="240">
          <cell r="F240" t="str">
            <v>2101301845214a010004</v>
          </cell>
        </row>
        <row r="241">
          <cell r="F241" t="str">
            <v>2101301845214a010003</v>
          </cell>
        </row>
        <row r="242">
          <cell r="F242" t="str">
            <v>210235A27RX12B000052</v>
          </cell>
        </row>
        <row r="243">
          <cell r="F243" t="str">
            <v>210235A27RX12B000055</v>
          </cell>
        </row>
        <row r="244">
          <cell r="F244" t="str">
            <v>YD-CICMSY300B2EE519F821</v>
          </cell>
        </row>
        <row r="245">
          <cell r="F245" t="str">
            <v>YD-LDAP3000B2EE519F821</v>
          </cell>
        </row>
        <row r="246">
          <cell r="F246" t="str">
            <v>YD-KMC3000B2EE519F821</v>
          </cell>
        </row>
        <row r="247">
          <cell r="F247" t="str">
            <v>YD-CA3000B2EE519F821</v>
          </cell>
        </row>
        <row r="248">
          <cell r="F248" t="str">
            <v>YD-CFG2000S2EE51B0991</v>
          </cell>
        </row>
        <row r="249">
          <cell r="F249" t="str">
            <v>YD-RA3000B2EE519F821</v>
          </cell>
        </row>
        <row r="250">
          <cell r="F250" t="str">
            <v>SHJ0901-B2EE51B0991</v>
          </cell>
        </row>
        <row r="251">
          <cell r="F251" t="str">
            <v>YD-CICMT3000B2EE5190991</v>
          </cell>
        </row>
        <row r="252">
          <cell r="F252" t="str">
            <v>YD-CMSMT300B2EE51B0991</v>
          </cell>
        </row>
        <row r="253">
          <cell r="F253" t="str">
            <v>YD-SDA10T2EE51982F1</v>
          </cell>
        </row>
        <row r="254">
          <cell r="F254" t="str">
            <v>YD-CRMQST300B2EE51B991</v>
          </cell>
        </row>
        <row r="255">
          <cell r="F255" t="str">
            <v>YD-CICMSY300B2EE51982F1</v>
          </cell>
        </row>
        <row r="256">
          <cell r="F256" t="str">
            <v>YD-OCSP3000B2EE519F821</v>
          </cell>
        </row>
        <row r="257">
          <cell r="F257" t="str">
            <v>SHJ0901-B2EE51B0992</v>
          </cell>
        </row>
        <row r="258">
          <cell r="F258" t="str">
            <v>SJK0812-B2EEA8636C1</v>
          </cell>
        </row>
        <row r="259">
          <cell r="F259" t="str">
            <v>YD-SFSW4082EE51B0992</v>
          </cell>
        </row>
        <row r="260">
          <cell r="F260" t="str">
            <v>YD-SFSW4082EE51B0991</v>
          </cell>
        </row>
        <row r="261">
          <cell r="F261" t="str">
            <v>YD-SDB3000S2EE519F822</v>
          </cell>
        </row>
        <row r="262">
          <cell r="F262" t="str">
            <v>YD-SMC3000B2EE519F824</v>
          </cell>
        </row>
        <row r="263">
          <cell r="F263" t="str">
            <v>YD-SMC3000B2EE519F826</v>
          </cell>
        </row>
        <row r="264">
          <cell r="F264" t="str">
            <v>YD-SMC3000B2EE519F825</v>
          </cell>
        </row>
        <row r="265">
          <cell r="F265" t="str">
            <v>YD-SMC3000B2EE519F823</v>
          </cell>
        </row>
        <row r="266">
          <cell r="F266" t="str">
            <v>FAX1751QIKT</v>
          </cell>
        </row>
        <row r="267">
          <cell r="F267" t="str">
            <v>210235A0E6X11A000023</v>
          </cell>
        </row>
        <row r="268">
          <cell r="F268" t="str">
            <v>210231A0QBH148000002</v>
          </cell>
        </row>
        <row r="269">
          <cell r="F269" t="str">
            <v>FAX1745QDHY</v>
          </cell>
        </row>
        <row r="270">
          <cell r="F270" t="str">
            <v>210235A0E6X11A000037</v>
          </cell>
        </row>
        <row r="271">
          <cell r="F271" t="str">
            <v>210231A0QBH148000019</v>
          </cell>
        </row>
        <row r="272">
          <cell r="F272" t="str">
            <v>DZHZB0130251</v>
          </cell>
        </row>
        <row r="273">
          <cell r="F273" t="str">
            <v>DZHZB0130255</v>
          </cell>
        </row>
        <row r="274">
          <cell r="F274" t="str">
            <v>YD-SDA10T2EE519F821</v>
          </cell>
        </row>
        <row r="275">
          <cell r="F275" t="str">
            <v>YD-SFSW4082EE519F821</v>
          </cell>
        </row>
        <row r="276">
          <cell r="F276" t="str">
            <v>YD-SFSW4082EE519F822</v>
          </cell>
        </row>
        <row r="277">
          <cell r="F277" t="str">
            <v>YD-SCP3000B2EE519F822</v>
          </cell>
        </row>
        <row r="278">
          <cell r="F278" t="str">
            <v>YD-LVS3000B2EE519F821</v>
          </cell>
        </row>
        <row r="279">
          <cell r="F279" t="str">
            <v>YD-SMC3000B2EE519F821</v>
          </cell>
        </row>
        <row r="280">
          <cell r="F280" t="str">
            <v>YD-SDB3000B2EE519F822</v>
          </cell>
        </row>
        <row r="281">
          <cell r="F281" t="str">
            <v>AFW20002EE519F825</v>
          </cell>
        </row>
        <row r="282">
          <cell r="F282" t="str">
            <v>AFW20002EE519F823</v>
          </cell>
        </row>
        <row r="283">
          <cell r="F283" t="str">
            <v>AFW20002EE519F821</v>
          </cell>
        </row>
        <row r="284">
          <cell r="F284" t="str">
            <v>YD-SDB3000B2EE519F821</v>
          </cell>
        </row>
        <row r="285">
          <cell r="F285" t="str">
            <v>SGH51190NR、SGH51481BT</v>
          </cell>
        </row>
        <row r="286">
          <cell r="F286" t="str">
            <v>扩容设备SGH51190NR</v>
          </cell>
        </row>
        <row r="287">
          <cell r="F287" t="str">
            <v>扩容设备SGH51190PD</v>
          </cell>
        </row>
        <row r="288">
          <cell r="F288" t="str">
            <v>SGH51190PD</v>
          </cell>
        </row>
        <row r="289">
          <cell r="F289" t="str">
            <v>YD-NODE2000S2EE519F821</v>
          </cell>
        </row>
        <row r="290">
          <cell r="F290" t="str">
            <v>YD-NODE2000S2EE519F822</v>
          </cell>
        </row>
        <row r="291">
          <cell r="F291" t="str">
            <v>YD-LVS3000B2EE519F822</v>
          </cell>
        </row>
        <row r="292">
          <cell r="F292" t="str">
            <v>YD-SCP3000B2EE519F821</v>
          </cell>
        </row>
        <row r="293">
          <cell r="F293" t="str">
            <v>YD-SMC3000B2EE519F822</v>
          </cell>
        </row>
        <row r="294">
          <cell r="F294" t="str">
            <v>YD-NET2000S2EE519F821</v>
          </cell>
        </row>
        <row r="295">
          <cell r="F295" t="str">
            <v>AFW20002EE519F822</v>
          </cell>
        </row>
        <row r="296">
          <cell r="F296" t="str">
            <v>AFW20002EE519F826</v>
          </cell>
        </row>
        <row r="297">
          <cell r="F297" t="str">
            <v>YD-NSDS3000B2EE519F821</v>
          </cell>
        </row>
        <row r="298">
          <cell r="F298" t="str">
            <v>AFW20002EE519F824</v>
          </cell>
        </row>
        <row r="299">
          <cell r="F299" t="str">
            <v>SQY-082EE51B0991</v>
          </cell>
        </row>
        <row r="300">
          <cell r="F300" t="str">
            <v>SQY-082EE51B0992</v>
          </cell>
        </row>
        <row r="301">
          <cell r="F301" t="str">
            <v>67041</v>
          </cell>
        </row>
        <row r="302">
          <cell r="F302" t="str">
            <v>67073</v>
          </cell>
        </row>
        <row r="303">
          <cell r="F303" t="str">
            <v>31101244</v>
          </cell>
        </row>
        <row r="304">
          <cell r="F304" t="str">
            <v>31101196</v>
          </cell>
        </row>
        <row r="305">
          <cell r="F305" t="str">
            <v>ASG10002ED8E3BFAA</v>
          </cell>
        </row>
        <row r="306">
          <cell r="F306" t="str">
            <v>ASG10002ED4BD5931</v>
          </cell>
        </row>
        <row r="307">
          <cell r="F307" t="str">
            <v>ASG10002ED8E3BFA2</v>
          </cell>
        </row>
        <row r="308">
          <cell r="F308" t="str">
            <v>LVS2000E2ED328EBD6</v>
          </cell>
        </row>
        <row r="309">
          <cell r="F309" t="str">
            <v>06DTRK1</v>
          </cell>
        </row>
        <row r="310">
          <cell r="F310" t="str">
            <v>06DTRN7</v>
          </cell>
        </row>
        <row r="311">
          <cell r="F311" t="str">
            <v>06DPPX1</v>
          </cell>
        </row>
        <row r="312">
          <cell r="F312" t="str">
            <v>06DPPT4</v>
          </cell>
        </row>
        <row r="313">
          <cell r="F313" t="str">
            <v>06DKNA9</v>
          </cell>
        </row>
        <row r="314">
          <cell r="F314" t="str">
            <v>ASG10002ED8D2337A</v>
          </cell>
        </row>
        <row r="315">
          <cell r="F315" t="str">
            <v>ASG10002ED8D2337C</v>
          </cell>
        </row>
        <row r="316">
          <cell r="F316" t="str">
            <v>ASG1000-12EF691DCD2</v>
          </cell>
        </row>
        <row r="317">
          <cell r="F317" t="str">
            <v>ASG10002ED8D23375</v>
          </cell>
        </row>
        <row r="318">
          <cell r="F318" t="str">
            <v>J32MC9Z</v>
          </cell>
        </row>
        <row r="319">
          <cell r="F319" t="str">
            <v>LVS2000E2ED31ABB01</v>
          </cell>
        </row>
        <row r="320">
          <cell r="F320" t="str">
            <v>06DTRM5</v>
          </cell>
        </row>
        <row r="321">
          <cell r="F321" t="str">
            <v>06DKNC8</v>
          </cell>
        </row>
        <row r="322">
          <cell r="F322" t="str">
            <v>06DPPT9</v>
          </cell>
        </row>
        <row r="323">
          <cell r="F323" t="str">
            <v>06DTRN5</v>
          </cell>
        </row>
        <row r="324">
          <cell r="F324" t="str">
            <v>ASG10002ED8D2337D</v>
          </cell>
        </row>
        <row r="325">
          <cell r="F325" t="str">
            <v>ASG10002ED8D2337B</v>
          </cell>
        </row>
        <row r="326">
          <cell r="F326" t="str">
            <v>LVS2000E2ED8D4083A</v>
          </cell>
        </row>
        <row r="327">
          <cell r="F327" t="str">
            <v>ASG10002ED8E3BFA9</v>
          </cell>
        </row>
        <row r="328">
          <cell r="F328" t="str">
            <v>ASG10002ED8E3BFA3</v>
          </cell>
        </row>
        <row r="329">
          <cell r="F329" t="str">
            <v>J32MC9Y</v>
          </cell>
        </row>
        <row r="330">
          <cell r="F330" t="str">
            <v>06DPPT6</v>
          </cell>
        </row>
        <row r="331">
          <cell r="F331" t="str">
            <v>06DPPN5</v>
          </cell>
        </row>
        <row r="332">
          <cell r="F332" t="str">
            <v>06DPPP6</v>
          </cell>
        </row>
        <row r="333">
          <cell r="F333" t="str">
            <v>06DKND1</v>
          </cell>
        </row>
        <row r="334">
          <cell r="F334" t="str">
            <v>ASG10002ED8E3BFA6</v>
          </cell>
        </row>
        <row r="335">
          <cell r="F335" t="str">
            <v>ASG10002ED8E3BFA7</v>
          </cell>
        </row>
        <row r="336">
          <cell r="F336" t="str">
            <v>LVS2000E2ED8D40839</v>
          </cell>
        </row>
        <row r="337">
          <cell r="F337" t="str">
            <v>ASG10002ED8E3BFA5</v>
          </cell>
        </row>
        <row r="338">
          <cell r="F338" t="str">
            <v>ASG10002EF6BBFA11</v>
          </cell>
        </row>
        <row r="339">
          <cell r="F339" t="str">
            <v>ASG1000-S2EF691DCD4</v>
          </cell>
        </row>
        <row r="340">
          <cell r="F340" t="str">
            <v>06DKGG8</v>
          </cell>
        </row>
        <row r="341">
          <cell r="F341" t="str">
            <v>06DPPW9</v>
          </cell>
        </row>
        <row r="342">
          <cell r="F342" t="str">
            <v>06DPPT8</v>
          </cell>
        </row>
        <row r="343">
          <cell r="F343" t="str">
            <v>06DPPW2</v>
          </cell>
        </row>
        <row r="344">
          <cell r="F344" t="str">
            <v>06DKNC9</v>
          </cell>
        </row>
        <row r="345">
          <cell r="F345" t="str">
            <v>ASG10002ED8D23379</v>
          </cell>
        </row>
        <row r="346">
          <cell r="F346" t="str">
            <v>ASG10002ED8E3BFA1</v>
          </cell>
        </row>
        <row r="347">
          <cell r="F347" t="str">
            <v>31101239</v>
          </cell>
        </row>
        <row r="348">
          <cell r="F348" t="str">
            <v>31101232</v>
          </cell>
        </row>
        <row r="349">
          <cell r="F349" t="str">
            <v>31101242</v>
          </cell>
        </row>
        <row r="350">
          <cell r="F350" t="str">
            <v>31101237</v>
          </cell>
        </row>
        <row r="351">
          <cell r="F351" t="str">
            <v>31904720</v>
          </cell>
        </row>
        <row r="352">
          <cell r="F352" t="str">
            <v>31202271</v>
          </cell>
        </row>
        <row r="353">
          <cell r="F353" t="str">
            <v>FLC00144000081</v>
          </cell>
        </row>
        <row r="354">
          <cell r="F354" t="str">
            <v>LQ20151033（柜）</v>
          </cell>
        </row>
        <row r="355">
          <cell r="F355" t="str">
            <v>ANN2539K024</v>
          </cell>
        </row>
        <row r="356">
          <cell r="F356" t="str">
            <v>ANN2539K022</v>
          </cell>
        </row>
        <row r="357">
          <cell r="F357" t="str">
            <v>50532
91217198</v>
          </cell>
        </row>
        <row r="358">
          <cell r="F358" t="str">
            <v>无（扩容硬盘，SN:50532）</v>
          </cell>
        </row>
        <row r="359">
          <cell r="F359" t="str">
            <v>2102310CWN10D4000019</v>
          </cell>
        </row>
        <row r="360">
          <cell r="F360" t="str">
            <v>F5-LVKI-PYPO</v>
          </cell>
        </row>
        <row r="361">
          <cell r="F361" t="str">
            <v>F5-ZZOT-FLJQ</v>
          </cell>
        </row>
        <row r="362">
          <cell r="F362" t="str">
            <v>YDTSA26502F02D64625</v>
          </cell>
        </row>
        <row r="363">
          <cell r="F363" t="str">
            <v>ASG1000-III2F02D64626</v>
          </cell>
        </row>
        <row r="364">
          <cell r="F364" t="str">
            <v>YDTSA26502F02D64624</v>
          </cell>
        </row>
        <row r="365">
          <cell r="F365" t="str">
            <v>YD-SW10G-242F02D84209</v>
          </cell>
        </row>
        <row r="366">
          <cell r="F366" t="str">
            <v>YD-SW10G-242F02D84206</v>
          </cell>
        </row>
        <row r="367">
          <cell r="F367" t="str">
            <v>YDTSA26502F02D64623</v>
          </cell>
        </row>
        <row r="368">
          <cell r="F368" t="str">
            <v>YDTSA26502F02D64622</v>
          </cell>
        </row>
        <row r="369">
          <cell r="F369" t="str">
            <v>YD-SW10G-242F02D84203</v>
          </cell>
        </row>
        <row r="370">
          <cell r="F370" t="str">
            <v>YD-SW10G-242F02D84200</v>
          </cell>
        </row>
        <row r="371">
          <cell r="F371" t="str">
            <v>ASG1000-III2F02D64625</v>
          </cell>
        </row>
        <row r="372">
          <cell r="F372" t="str">
            <v>ASG1000-III2F02D64624</v>
          </cell>
        </row>
        <row r="373">
          <cell r="F373" t="str">
            <v>ASG1000-III2F02D64623</v>
          </cell>
        </row>
        <row r="374">
          <cell r="F374" t="str">
            <v>YDTSA26502F02D66D39</v>
          </cell>
        </row>
        <row r="375">
          <cell r="F375" t="str">
            <v>YDTSA26502F02D66D38</v>
          </cell>
        </row>
        <row r="376">
          <cell r="F376" t="str">
            <v>LVS2000S2F02B8D5E7</v>
          </cell>
        </row>
        <row r="377">
          <cell r="F377" t="str">
            <v>LVS2000S2F02B8D5E5</v>
          </cell>
        </row>
        <row r="378">
          <cell r="F378" t="str">
            <v>EME42802EFCEF805F</v>
          </cell>
        </row>
        <row r="379">
          <cell r="F379" t="str">
            <v>YD-SW10G-242F02D841FD</v>
          </cell>
        </row>
        <row r="380">
          <cell r="F380" t="str">
            <v>YD-SW10G-242F02D84207</v>
          </cell>
        </row>
        <row r="381">
          <cell r="F381" t="str">
            <v>YD-SW10G-242F02D84204</v>
          </cell>
        </row>
        <row r="382">
          <cell r="F382" t="str">
            <v>YD-SW10G-242F02D84201</v>
          </cell>
        </row>
        <row r="383">
          <cell r="F383" t="str">
            <v>YDTSA26502F02D66D3A</v>
          </cell>
        </row>
        <row r="384">
          <cell r="F384" t="str">
            <v>YDTSA26502F02D66D31</v>
          </cell>
        </row>
        <row r="385">
          <cell r="F385" t="str">
            <v>LVS2000S2F02B8D5E8</v>
          </cell>
        </row>
        <row r="386">
          <cell r="F386" t="str">
            <v>LVS2000S2F02B8D5E6</v>
          </cell>
        </row>
        <row r="387">
          <cell r="F387" t="str">
            <v>YD-SW10G-242F02D841FE</v>
          </cell>
        </row>
        <row r="388">
          <cell r="F388" t="str">
            <v>ASG1000-III2F02D64628</v>
          </cell>
        </row>
        <row r="389">
          <cell r="F389" t="str">
            <v>YD-SW10G-242F02D84208</v>
          </cell>
        </row>
        <row r="390">
          <cell r="F390" t="str">
            <v>YD-SW10G-242F02D84205</v>
          </cell>
        </row>
        <row r="391">
          <cell r="F391" t="str">
            <v>YD-SW10G-242F02D84202</v>
          </cell>
        </row>
        <row r="392">
          <cell r="F392" t="str">
            <v>ASG1000-III2F02D64627</v>
          </cell>
        </row>
        <row r="393">
          <cell r="F393" t="str">
            <v>YDTSA26502F02D66D37</v>
          </cell>
        </row>
        <row r="394">
          <cell r="F394" t="str">
            <v>YDTSA26502F02D66D36</v>
          </cell>
        </row>
        <row r="395">
          <cell r="F395" t="str">
            <v>DE500194300143</v>
          </cell>
        </row>
        <row r="396">
          <cell r="F396" t="str">
            <v>DE500194300144</v>
          </cell>
        </row>
        <row r="397">
          <cell r="F397" t="str">
            <v>DE500194300145</v>
          </cell>
        </row>
        <row r="398">
          <cell r="F398" t="str">
            <v>DE500194300146</v>
          </cell>
        </row>
        <row r="399">
          <cell r="F399" t="str">
            <v>DE500194300147</v>
          </cell>
        </row>
        <row r="400">
          <cell r="F400" t="str">
            <v>DE500194300148</v>
          </cell>
        </row>
        <row r="401">
          <cell r="F401" t="str">
            <v>DE500194300149</v>
          </cell>
        </row>
        <row r="402">
          <cell r="F402" t="str">
            <v>DE500194300140</v>
          </cell>
        </row>
        <row r="403">
          <cell r="F403" t="str">
            <v>DE500194300141</v>
          </cell>
        </row>
        <row r="404">
          <cell r="F404" t="str">
            <v>DE500194300142</v>
          </cell>
        </row>
        <row r="405">
          <cell r="F405" t="str">
            <v>DE500194300153</v>
          </cell>
        </row>
        <row r="406">
          <cell r="F406" t="str">
            <v>DE500194300154</v>
          </cell>
        </row>
        <row r="407">
          <cell r="F407" t="str">
            <v>DE500194300155</v>
          </cell>
        </row>
        <row r="408">
          <cell r="F408" t="str">
            <v>DE500194300156</v>
          </cell>
        </row>
        <row r="409">
          <cell r="F409" t="str">
            <v>DE500194300157</v>
          </cell>
        </row>
        <row r="410">
          <cell r="F410" t="str">
            <v>DE500194300158</v>
          </cell>
        </row>
        <row r="411">
          <cell r="F411" t="str">
            <v>DE500194300159</v>
          </cell>
        </row>
        <row r="412">
          <cell r="F412" t="str">
            <v>DE500194300150</v>
          </cell>
        </row>
        <row r="413">
          <cell r="F413" t="str">
            <v>DE500194300151</v>
          </cell>
        </row>
        <row r="414">
          <cell r="F414" t="str">
            <v>DE500194300152</v>
          </cell>
        </row>
        <row r="415">
          <cell r="F415" t="str">
            <v>416007
481990
CKM00194201523</v>
          </cell>
        </row>
        <row r="416">
          <cell r="F416" t="str">
            <v>JPG2334007T</v>
          </cell>
        </row>
        <row r="417">
          <cell r="F417" t="str">
            <v>JPG233200BM</v>
          </cell>
        </row>
        <row r="418">
          <cell r="F418" t="str">
            <v>YK-0000-0314</v>
          </cell>
        </row>
        <row r="419">
          <cell r="F419" t="str">
            <v>YK-0000-0422</v>
          </cell>
        </row>
        <row r="420">
          <cell r="F420" t="str">
            <v>CN497800027
CKM00194200021
BRCCCD1939Q068</v>
          </cell>
        </row>
        <row r="421">
          <cell r="F421" t="str">
            <v>CN497800026
CKM00194200029
BRCCCD1939Q067</v>
          </cell>
        </row>
        <row r="422">
          <cell r="F422" t="str">
            <v>2102310KFE10H6000036</v>
          </cell>
        </row>
        <row r="423">
          <cell r="F423" t="str">
            <v>2102310KFE10H6000034</v>
          </cell>
        </row>
        <row r="424">
          <cell r="F424" t="str">
            <v>2102310KFE10H6000038</v>
          </cell>
        </row>
        <row r="425">
          <cell r="F425" t="str">
            <v>219801A293820BJ00007？</v>
          </cell>
        </row>
        <row r="426">
          <cell r="F426" t="str">
            <v>219801A293820BJ0000B</v>
          </cell>
        </row>
        <row r="427">
          <cell r="F427" t="str">
            <v>417562（G900）
481824（仲裁）
CKM00194200008（备份）</v>
          </cell>
        </row>
        <row r="428">
          <cell r="F428" t="str">
            <v>JPG2334007M</v>
          </cell>
        </row>
        <row r="429">
          <cell r="F429" t="str">
            <v>JPG2334009E</v>
          </cell>
        </row>
        <row r="430">
          <cell r="F430" t="str">
            <v>LZ19101101</v>
          </cell>
        </row>
        <row r="431">
          <cell r="F431" t="str">
            <v>LZ18110644</v>
          </cell>
        </row>
        <row r="432">
          <cell r="F432" t="str">
            <v>AMS18200797</v>
          </cell>
        </row>
        <row r="433">
          <cell r="F433" t="str">
            <v>AMS18230116</v>
          </cell>
        </row>
        <row r="434">
          <cell r="F434" t="str">
            <v>BRCCCD1937K02Y</v>
          </cell>
        </row>
        <row r="435">
          <cell r="F435" t="str">
            <v>CNG230SH6V</v>
          </cell>
        </row>
        <row r="436">
          <cell r="F436" t="str">
            <v>CNG230SH6P</v>
          </cell>
        </row>
        <row r="437">
          <cell r="F437" t="str">
            <v>CNG230SH6Y</v>
          </cell>
        </row>
        <row r="438">
          <cell r="F438" t="str">
            <v>CNG230SH6W</v>
          </cell>
        </row>
        <row r="439">
          <cell r="F439" t="str">
            <v>CNG230SH6T</v>
          </cell>
        </row>
        <row r="440">
          <cell r="F440" t="str">
            <v>CNG230SH73</v>
          </cell>
        </row>
        <row r="441">
          <cell r="F441" t="str">
            <v>CNG230SH6S</v>
          </cell>
        </row>
        <row r="442">
          <cell r="F442" t="str">
            <v>CNG230SH6L</v>
          </cell>
        </row>
        <row r="443">
          <cell r="F443" t="str">
            <v>2102300742N0GA000126(左)  210230102810GA000104（右）</v>
          </cell>
        </row>
        <row r="444">
          <cell r="F444" t="str">
            <v>2102300742N0GA000124(左)  210230102810GA000103（右）</v>
          </cell>
        </row>
        <row r="445">
          <cell r="F445" t="str">
            <v>SGH316SK9T</v>
          </cell>
        </row>
        <row r="446">
          <cell r="F446" t="str">
            <v>6CU3260R21</v>
          </cell>
        </row>
        <row r="447">
          <cell r="F447" t="str">
            <v>FM5XJG2</v>
          </cell>
        </row>
        <row r="448">
          <cell r="F448" t="str">
            <v>15GZLG2</v>
          </cell>
        </row>
        <row r="449">
          <cell r="F449" t="str">
            <v>CNG230SH6N</v>
          </cell>
        </row>
        <row r="450">
          <cell r="F450" t="str">
            <v>CNG230SH70</v>
          </cell>
        </row>
        <row r="451">
          <cell r="F451" t="str">
            <v>06D7169</v>
          </cell>
        </row>
        <row r="452">
          <cell r="F452" t="str">
            <v>06D7175</v>
          </cell>
        </row>
        <row r="453">
          <cell r="F453" t="str">
            <v>06D7170</v>
          </cell>
        </row>
        <row r="454">
          <cell r="F454" t="str">
            <v>06D7173</v>
          </cell>
        </row>
        <row r="455">
          <cell r="F455" t="str">
            <v>FOX1623GPGX</v>
          </cell>
        </row>
        <row r="456">
          <cell r="F456" t="str">
            <v>FOX1623GTMY</v>
          </cell>
        </row>
        <row r="457">
          <cell r="F457" t="str">
            <v>FOX1618G6L6</v>
          </cell>
        </row>
        <row r="458">
          <cell r="F458" t="str">
            <v>FOX1623GPGF</v>
          </cell>
        </row>
        <row r="459">
          <cell r="F459" t="str">
            <v>FOX1621H2YD</v>
          </cell>
        </row>
        <row r="460">
          <cell r="F460" t="str">
            <v>FOX1618GDRF</v>
          </cell>
        </row>
        <row r="461">
          <cell r="F461" t="str">
            <v>8LPDF3X</v>
          </cell>
        </row>
        <row r="462">
          <cell r="F462" t="str">
            <v>9MPDF3X</v>
          </cell>
        </row>
        <row r="463">
          <cell r="F463" t="str">
            <v>GJPDF3X</v>
          </cell>
        </row>
        <row r="464">
          <cell r="F464" t="str">
            <v>BQPDF3X</v>
          </cell>
        </row>
        <row r="465">
          <cell r="F465" t="str">
            <v>CRPDF3X</v>
          </cell>
        </row>
        <row r="466">
          <cell r="F466" t="str">
            <v>65PDF3X</v>
          </cell>
        </row>
        <row r="467">
          <cell r="F467" t="str">
            <v>06D7165</v>
          </cell>
        </row>
        <row r="468">
          <cell r="F468" t="str">
            <v>06D7172</v>
          </cell>
        </row>
        <row r="469">
          <cell r="F469" t="str">
            <v>06D7186</v>
          </cell>
        </row>
        <row r="470">
          <cell r="F470" t="str">
            <v>06D7180</v>
          </cell>
        </row>
        <row r="471">
          <cell r="F471" t="str">
            <v>06D7181</v>
          </cell>
        </row>
        <row r="472">
          <cell r="F472" t="str">
            <v>06D7168</v>
          </cell>
        </row>
        <row r="473">
          <cell r="F473" t="str">
            <v>06D7184</v>
          </cell>
        </row>
        <row r="474">
          <cell r="F474" t="str">
            <v>06D7185</v>
          </cell>
        </row>
        <row r="475">
          <cell r="F475" t="str">
            <v>06D7183</v>
          </cell>
        </row>
        <row r="476">
          <cell r="F476" t="str">
            <v>06D7182</v>
          </cell>
        </row>
        <row r="477">
          <cell r="F477" t="str">
            <v>06D7166</v>
          </cell>
        </row>
        <row r="478">
          <cell r="F478" t="str">
            <v>210230074210D2000037</v>
          </cell>
        </row>
        <row r="479">
          <cell r="F479" t="str">
            <v>210230074210D2000036</v>
          </cell>
        </row>
        <row r="480">
          <cell r="F480" t="str">
            <v>1305BD4131</v>
          </cell>
        </row>
        <row r="481">
          <cell r="F481" t="str">
            <v>1305BD412C</v>
          </cell>
        </row>
        <row r="482">
          <cell r="F482" t="str">
            <v>FOX1702GT3E</v>
          </cell>
        </row>
        <row r="483">
          <cell r="F483" t="str">
            <v>FOX1703G8WX</v>
          </cell>
        </row>
        <row r="484">
          <cell r="F484" t="str">
            <v>FOX1703GVU7
</v>
          </cell>
        </row>
        <row r="485">
          <cell r="F485" t="str">
            <v>5A1443T03118</v>
          </cell>
        </row>
        <row r="486">
          <cell r="F486" t="str">
            <v>bld019568s/bld019594s</v>
          </cell>
        </row>
        <row r="487">
          <cell r="F487" t="str">
            <v>210231AGH73000007/
210231ACAH64000025</v>
          </cell>
        </row>
        <row r="488">
          <cell r="F488" t="str">
            <v>210235G6WP10EA000001</v>
          </cell>
        </row>
        <row r="489">
          <cell r="F489" t="str">
            <v>bld020147s/bld020160s</v>
          </cell>
        </row>
        <row r="490">
          <cell r="F490" t="str">
            <v>210231AGH73000008/
210231ACAH64000007</v>
          </cell>
        </row>
        <row r="491">
          <cell r="F491" t="str">
            <v>5A1443T08813</v>
          </cell>
        </row>
        <row r="492">
          <cell r="F492" t="str">
            <v>bld019560s/bld019118s</v>
          </cell>
        </row>
        <row r="493">
          <cell r="F493" t="str">
            <v>00900B34B8AA</v>
          </cell>
        </row>
        <row r="494">
          <cell r="F494" t="str">
            <v>bld019564s/bld019093s</v>
          </cell>
        </row>
        <row r="495">
          <cell r="F495" t="str">
            <v>bld020111s/bld020081s</v>
          </cell>
        </row>
        <row r="496">
          <cell r="F496" t="str">
            <v>bld019106s/bld019069s</v>
          </cell>
        </row>
        <row r="497">
          <cell r="F497" t="str">
            <v>bld018495s</v>
          </cell>
        </row>
        <row r="498">
          <cell r="F498" t="str">
            <v>BK-F01-PD-BL05</v>
          </cell>
        </row>
        <row r="499">
          <cell r="F499" t="str">
            <v>BK-F01-PD-LT05</v>
          </cell>
        </row>
        <row r="500">
          <cell r="F500" t="str">
            <v>BK-F01-PD-BL06</v>
          </cell>
        </row>
        <row r="501">
          <cell r="F501" t="str">
            <v>BK-F01-PD-LT06</v>
          </cell>
        </row>
        <row r="502">
          <cell r="F502" t="str">
            <v>5A1445T01489</v>
          </cell>
        </row>
        <row r="503">
          <cell r="F503" t="str">
            <v>无</v>
          </cell>
        </row>
        <row r="504">
          <cell r="F504" t="str">
            <v>无</v>
          </cell>
        </row>
        <row r="505">
          <cell r="F505" t="str">
            <v>CN496800490</v>
          </cell>
        </row>
        <row r="506">
          <cell r="F506" t="str">
            <v>CN496800489</v>
          </cell>
        </row>
        <row r="507">
          <cell r="F507" t="str">
            <v>HCPG70049</v>
          </cell>
        </row>
        <row r="508">
          <cell r="F508" t="str">
            <v>5A1441T15413</v>
          </cell>
        </row>
        <row r="509">
          <cell r="F509" t="str">
            <v>CHQ404IN00B</v>
          </cell>
        </row>
        <row r="510">
          <cell r="F510" t="str">
            <v>CHQ404IN001</v>
          </cell>
        </row>
        <row r="511">
          <cell r="F511" t="str">
            <v>BK-F01-PD-BL07</v>
          </cell>
        </row>
        <row r="512">
          <cell r="F512" t="str">
            <v>BK-F01-PD-LT07</v>
          </cell>
        </row>
        <row r="513">
          <cell r="F513" t="str">
            <v>BK-F01-PD-BL08</v>
          </cell>
        </row>
        <row r="514">
          <cell r="F514" t="str">
            <v>BK-F01-PD-LT08</v>
          </cell>
        </row>
        <row r="515">
          <cell r="F515" t="str">
            <v>5A1443T08942</v>
          </cell>
        </row>
        <row r="516">
          <cell r="F516" t="str">
            <v>210231A0QCH16B000010</v>
          </cell>
        </row>
        <row r="517">
          <cell r="F517" t="str">
            <v>210231A0QCH16B000010</v>
          </cell>
        </row>
        <row r="518">
          <cell r="F518" t="str">
            <v>5A1441T15412</v>
          </cell>
        </row>
        <row r="519">
          <cell r="F519" t="str">
            <v>F5-CJXU-PYJA</v>
          </cell>
        </row>
        <row r="520">
          <cell r="F520" t="str">
            <v>F5-IKMR-EIML</v>
          </cell>
        </row>
        <row r="521">
          <cell r="F521" t="str">
            <v>F5-SQTY-DDPK</v>
          </cell>
        </row>
        <row r="522">
          <cell r="F522" t="str">
            <v>05-1402E-201</v>
          </cell>
        </row>
        <row r="523">
          <cell r="F523" t="str">
            <v>05-1403E-214</v>
          </cell>
        </row>
        <row r="524">
          <cell r="F524" t="str">
            <v>SGH230A2A2</v>
          </cell>
        </row>
        <row r="525">
          <cell r="F525" t="str">
            <v>SGH230A29S</v>
          </cell>
        </row>
        <row r="526">
          <cell r="F526" t="str">
            <v>F5-AHKD-CMVF</v>
          </cell>
        </row>
        <row r="527">
          <cell r="F527" t="str">
            <v>F5-NBUJ-OSBT</v>
          </cell>
        </row>
        <row r="528">
          <cell r="F528" t="str">
            <v>F5-OIGZ-UVJG</v>
          </cell>
        </row>
        <row r="529">
          <cell r="F529" t="str">
            <v>5A1441T15396</v>
          </cell>
        </row>
        <row r="530">
          <cell r="F530" t="str">
            <v>5A1441T15246</v>
          </cell>
        </row>
        <row r="531">
          <cell r="F531" t="str">
            <v>BK-F01-PD-BL11</v>
          </cell>
        </row>
        <row r="532">
          <cell r="F532" t="str">
            <v>BK-F01-PD-LT11</v>
          </cell>
        </row>
        <row r="533">
          <cell r="F533" t="str">
            <v>BK-F01-PD-BL22</v>
          </cell>
        </row>
        <row r="534">
          <cell r="F534" t="str">
            <v>BK-F01-PD-LT22</v>
          </cell>
        </row>
        <row r="535">
          <cell r="F535" t="str">
            <v>无</v>
          </cell>
        </row>
        <row r="536">
          <cell r="F536" t="str">
            <v>BK-F01-PD-BL18</v>
          </cell>
        </row>
        <row r="537">
          <cell r="F537" t="str">
            <v>BK-F01-PD-LT18</v>
          </cell>
        </row>
        <row r="538">
          <cell r="F538" t="str">
            <v>BK-F01-PD-BL17</v>
          </cell>
        </row>
        <row r="539">
          <cell r="F539" t="str">
            <v>BK-F01-PD-LT17</v>
          </cell>
        </row>
        <row r="540">
          <cell r="F540" t="str">
            <v>BK-F01-PD-BL12</v>
          </cell>
        </row>
        <row r="541">
          <cell r="F541" t="str">
            <v>BK-F01-PD-LT12</v>
          </cell>
        </row>
        <row r="542">
          <cell r="F542" t="str">
            <v>无</v>
          </cell>
        </row>
        <row r="543">
          <cell r="F543" t="str">
            <v>无</v>
          </cell>
        </row>
        <row r="544">
          <cell r="F544" t="str">
            <v>5A1510T02768</v>
          </cell>
        </row>
        <row r="545">
          <cell r="F545" t="str">
            <v>WTACDHSMPTHI2DGE01004</v>
          </cell>
        </row>
        <row r="546">
          <cell r="F546" t="str">
            <v>WTACDHSMPTHI2DGE01002</v>
          </cell>
        </row>
        <row r="547">
          <cell r="F547" t="str">
            <v>WTACDHSMPTHI2DGE01001</v>
          </cell>
        </row>
        <row r="548">
          <cell r="F548" t="str">
            <v>WTACDHSMPTHI2DGE01003</v>
          </cell>
        </row>
        <row r="549">
          <cell r="F549" t="str">
            <v>HCPG50175</v>
          </cell>
        </row>
        <row r="550">
          <cell r="F550" t="str">
            <v>5A1441T98726</v>
          </cell>
        </row>
        <row r="551">
          <cell r="F551" t="str">
            <v>5A1445T21723</v>
          </cell>
        </row>
        <row r="552">
          <cell r="F552" t="str">
            <v>5A1441T67428</v>
          </cell>
        </row>
        <row r="553">
          <cell r="F553" t="str">
            <v>5A1445T46320</v>
          </cell>
        </row>
        <row r="554">
          <cell r="F554" t="str">
            <v>5A1441T15425</v>
          </cell>
        </row>
        <row r="555">
          <cell r="F555" t="str">
            <v>5A1442T06997</v>
          </cell>
        </row>
        <row r="556">
          <cell r="F556" t="str">
            <v>5A1441T15620</v>
          </cell>
        </row>
        <row r="557">
          <cell r="F557" t="str">
            <v>5A1441T45821</v>
          </cell>
        </row>
        <row r="558">
          <cell r="F558" t="str">
            <v>5A1443T76421</v>
          </cell>
        </row>
        <row r="559">
          <cell r="F559" t="str">
            <v>5A1441T32526</v>
          </cell>
        </row>
        <row r="560">
          <cell r="F560" t="str">
            <v>BK-F01-PD-BL09</v>
          </cell>
        </row>
        <row r="561">
          <cell r="F561" t="str">
            <v>BK-F01-PD-LT09</v>
          </cell>
        </row>
        <row r="562">
          <cell r="F562" t="str">
            <v>BK-F01-PD-BL10</v>
          </cell>
        </row>
        <row r="563">
          <cell r="F563" t="str">
            <v>BK-F01-PD-LT10</v>
          </cell>
        </row>
        <row r="564">
          <cell r="F564" t="str">
            <v>DS122G11411030</v>
          </cell>
        </row>
        <row r="565">
          <cell r="F565" t="str">
            <v>JAE213901KF</v>
          </cell>
        </row>
        <row r="566">
          <cell r="F566" t="str">
            <v>00900B2ABCF6</v>
          </cell>
        </row>
        <row r="567">
          <cell r="F567" t="str">
            <v>JAE2138054J</v>
          </cell>
        </row>
        <row r="568">
          <cell r="F568" t="str">
            <v>5A1445T01507</v>
          </cell>
        </row>
        <row r="569">
          <cell r="F569" t="str">
            <v>BK-F01-PD-BL03</v>
          </cell>
        </row>
        <row r="570">
          <cell r="F570" t="str">
            <v>BK-F01-PD-LT03</v>
          </cell>
        </row>
        <row r="571">
          <cell r="F571" t="str">
            <v>BK-F01-PD-BL04</v>
          </cell>
        </row>
        <row r="572">
          <cell r="F572" t="str">
            <v>BK-F01-PD-LT04</v>
          </cell>
        </row>
        <row r="573">
          <cell r="F573" t="str">
            <v>BK-F01-PD-BL01</v>
          </cell>
        </row>
        <row r="574">
          <cell r="F574" t="str">
            <v>BK-F01-PD-LT01</v>
          </cell>
        </row>
        <row r="575">
          <cell r="F575" t="str">
            <v>BK-F01-PD-BL02</v>
          </cell>
        </row>
        <row r="576">
          <cell r="F576" t="str">
            <v>BK-F01-PD-LT02</v>
          </cell>
        </row>
        <row r="577">
          <cell r="F577" t="str">
            <v>05-1403E-213</v>
          </cell>
        </row>
        <row r="578">
          <cell r="F578" t="str">
            <v>05-1403E-217</v>
          </cell>
        </row>
        <row r="579">
          <cell r="F579" t="str">
            <v>5A1437T11803</v>
          </cell>
        </row>
        <row r="580">
          <cell r="F580" t="str">
            <v>BK-F01-PD-BL23</v>
          </cell>
        </row>
        <row r="581">
          <cell r="F581" t="str">
            <v>BK-F01-PD-LT23</v>
          </cell>
        </row>
        <row r="582">
          <cell r="F582" t="str">
            <v>BK-F01-PD-LT13</v>
          </cell>
        </row>
        <row r="583">
          <cell r="F583" t="str">
            <v>BK-F01-PD-LT20</v>
          </cell>
        </row>
        <row r="584">
          <cell r="F584" t="str">
            <v>BK-F01-PD-BL24</v>
          </cell>
        </row>
        <row r="585">
          <cell r="F585" t="str">
            <v>BK-F01-PD-LT24</v>
          </cell>
        </row>
        <row r="586">
          <cell r="F586" t="str">
            <v>BK-F01-PD-BL19</v>
          </cell>
        </row>
        <row r="587">
          <cell r="F587" t="str">
            <v>BK-F01-PD-LT19</v>
          </cell>
        </row>
        <row r="588">
          <cell r="F588" t="str">
            <v>BK-F01-PD-BL14</v>
          </cell>
        </row>
        <row r="589">
          <cell r="F589" t="str">
            <v>BK-F01-PD-BL16</v>
          </cell>
        </row>
        <row r="590">
          <cell r="F590" t="str">
            <v>BK-F01-PD-LT14</v>
          </cell>
        </row>
        <row r="591">
          <cell r="F591" t="str">
            <v>BK-F01-PD-LT16</v>
          </cell>
        </row>
        <row r="592">
          <cell r="F592" t="str">
            <v>5A1437T11799</v>
          </cell>
        </row>
        <row r="593">
          <cell r="F593" t="str">
            <v>5A1147T10212</v>
          </cell>
        </row>
        <row r="594">
          <cell r="F594" t="str">
            <v>5A1441T15409</v>
          </cell>
        </row>
        <row r="595">
          <cell r="F595" t="str">
            <v>BK-F01-PD-BL21</v>
          </cell>
        </row>
        <row r="596">
          <cell r="F596" t="str">
            <v>BK-F01-PD-LT21</v>
          </cell>
        </row>
        <row r="597">
          <cell r="F597" t="str">
            <v>BK-F01-PD-BL15</v>
          </cell>
        </row>
        <row r="598">
          <cell r="F598" t="str">
            <v>BK-F01-PD-LT15</v>
          </cell>
        </row>
        <row r="599">
          <cell r="F599" t="str">
            <v>F5-DIWE-VIIX</v>
          </cell>
        </row>
        <row r="600">
          <cell r="F600" t="str">
            <v>BK-F01-PD-D32</v>
          </cell>
        </row>
        <row r="601">
          <cell r="F601" t="str">
            <v>BK-F01-PD-D33</v>
          </cell>
        </row>
        <row r="602">
          <cell r="F602" t="str">
            <v>BK-F01-PD-D01</v>
          </cell>
        </row>
        <row r="603">
          <cell r="F603" t="str">
            <v>BK-F01-PD-D03</v>
          </cell>
        </row>
        <row r="604">
          <cell r="F604" t="str">
            <v>BK-F01-PD-D05</v>
          </cell>
        </row>
        <row r="605">
          <cell r="F605" t="str">
            <v>BK-F01-PD-D07</v>
          </cell>
        </row>
        <row r="606">
          <cell r="F606" t="str">
            <v>BK-F01-PD-D08</v>
          </cell>
        </row>
        <row r="607">
          <cell r="F607" t="str">
            <v>BK-F01-PD-D11</v>
          </cell>
        </row>
        <row r="608">
          <cell r="F608" t="str">
            <v>BK-F01-PD-D12</v>
          </cell>
        </row>
        <row r="609">
          <cell r="F609" t="str">
            <v>BK-F01-PD-D15</v>
          </cell>
        </row>
        <row r="610">
          <cell r="F610" t="str">
            <v>BK-F01-PD-D16</v>
          </cell>
        </row>
        <row r="611">
          <cell r="F611" t="str">
            <v>BK-F01-PD-D19</v>
          </cell>
        </row>
        <row r="612">
          <cell r="F612" t="str">
            <v>BK-F01-PD-D20</v>
          </cell>
        </row>
        <row r="613">
          <cell r="F613" t="str">
            <v>BK-F01-PD-D23</v>
          </cell>
        </row>
        <row r="614">
          <cell r="F614" t="str">
            <v>BK-F01-PD-D24</v>
          </cell>
        </row>
        <row r="615">
          <cell r="F615" t="str">
            <v>BK-F01-PD-D31</v>
          </cell>
        </row>
        <row r="616">
          <cell r="F616" t="str">
            <v>BK-F01-PD-D27</v>
          </cell>
        </row>
        <row r="617">
          <cell r="F617" t="str">
            <v>BK-F01-PD-D28</v>
          </cell>
        </row>
        <row r="618">
          <cell r="F618" t="str">
            <v>BK-F01-PD-D02</v>
          </cell>
        </row>
        <row r="619">
          <cell r="F619" t="str">
            <v>BK-F01-PD-D04</v>
          </cell>
        </row>
        <row r="620">
          <cell r="F620" t="str">
            <v>BK-F01-PD-D06</v>
          </cell>
        </row>
        <row r="621">
          <cell r="F621" t="str">
            <v>BK-F01-PD-D09</v>
          </cell>
        </row>
        <row r="622">
          <cell r="F622" t="str">
            <v>BK-F01-PD-D10</v>
          </cell>
        </row>
        <row r="623">
          <cell r="F623" t="str">
            <v>BK-F01-PD-D13</v>
          </cell>
        </row>
        <row r="624">
          <cell r="F624" t="str">
            <v>BK-F01-PD-D14</v>
          </cell>
        </row>
        <row r="625">
          <cell r="F625" t="str">
            <v>BK-F01-PD-D17</v>
          </cell>
        </row>
        <row r="626">
          <cell r="F626" t="str">
            <v>BK-F01-PD-D18</v>
          </cell>
        </row>
        <row r="627">
          <cell r="F627" t="str">
            <v>BK-F01-PD-D21</v>
          </cell>
        </row>
        <row r="628">
          <cell r="F628" t="str">
            <v>BK-F01-PD-D22</v>
          </cell>
        </row>
        <row r="629">
          <cell r="F629" t="str">
            <v>BK-F01-PD-D25</v>
          </cell>
        </row>
        <row r="630">
          <cell r="F630" t="str">
            <v>BK-F01-PD-D26</v>
          </cell>
        </row>
        <row r="631">
          <cell r="F631" t="str">
            <v>BK-F01-PD-D29</v>
          </cell>
        </row>
        <row r="632">
          <cell r="F632" t="str">
            <v>BK-F01-PD-D30</v>
          </cell>
        </row>
        <row r="633">
          <cell r="F633" t="str">
            <v>WT3961MEWAI1DGE01052</v>
          </cell>
        </row>
        <row r="634">
          <cell r="F634" t="str">
            <v>WT3961MEWAI1DGE01071</v>
          </cell>
        </row>
        <row r="635">
          <cell r="F635" t="str">
            <v>WT3961MEWAI1DGE01040</v>
          </cell>
        </row>
        <row r="636">
          <cell r="F636" t="str">
            <v>0</v>
          </cell>
        </row>
        <row r="637">
          <cell r="F637" t="str">
            <v>0</v>
          </cell>
        </row>
        <row r="638">
          <cell r="F638" t="str">
            <v>无（扩容）</v>
          </cell>
        </row>
        <row r="639">
          <cell r="F639" t="str">
            <v>BRCCCD1937K03C</v>
          </cell>
        </row>
        <row r="640">
          <cell r="F640" t="str">
            <v>210235A1XXB206000040</v>
          </cell>
        </row>
        <row r="641">
          <cell r="F641" t="str">
            <v>210235A1XXB208000174</v>
          </cell>
        </row>
        <row r="642">
          <cell r="F642" t="str">
            <v>AMS16030945</v>
          </cell>
        </row>
        <row r="643">
          <cell r="F643" t="str">
            <v>AMS16030987</v>
          </cell>
        </row>
        <row r="644">
          <cell r="F644" t="str">
            <v>102010065077</v>
          </cell>
        </row>
        <row r="645">
          <cell r="F645" t="str">
            <v>102010065078</v>
          </cell>
        </row>
        <row r="646">
          <cell r="F646" t="str">
            <v>chs402626s;404731s;407582s;408064s;411041s</v>
          </cell>
        </row>
        <row r="647">
          <cell r="F647" t="str">
            <v>chs402635s;404829s;409200s;410306s;406948s</v>
          </cell>
        </row>
        <row r="648">
          <cell r="F648" t="str">
            <v>FOX2138P6NQ</v>
          </cell>
        </row>
        <row r="649">
          <cell r="F649" t="str">
            <v>FOX2138P9AK</v>
          </cell>
        </row>
        <row r="650">
          <cell r="F650" t="str">
            <v>FDO21090N29</v>
          </cell>
        </row>
        <row r="651">
          <cell r="F651" t="str">
            <v>FDO21020ZH5</v>
          </cell>
        </row>
        <row r="652">
          <cell r="F652" t="str">
            <v>SGH230A202、SGH230A203、SGH230A204</v>
          </cell>
        </row>
        <row r="653">
          <cell r="F653" t="str">
            <v>SGH230A1E0、SGH230A1E1、SGH230A1E2</v>
          </cell>
        </row>
        <row r="654">
          <cell r="F654" t="str">
            <v>chs412271s
bld201011s
bld201010s</v>
          </cell>
        </row>
        <row r="655">
          <cell r="F655" t="str">
            <v>bld019636s;bld019667s（扩容主机SN:chs412271s）</v>
          </cell>
        </row>
        <row r="656">
          <cell r="F656" t="str">
            <v>chs413559s</v>
          </cell>
        </row>
        <row r="657">
          <cell r="F657" t="str">
            <v>Slot3:bld019605s（扩容主机SN:chs413559s）</v>
          </cell>
        </row>
        <row r="658">
          <cell r="F658" t="str">
            <v>Slot4:bld019582s（扩容主机SN:chs413559s）</v>
          </cell>
        </row>
        <row r="659">
          <cell r="F659" t="str">
            <v>bld019567s（扩容主机SN:chs413559s）</v>
          </cell>
        </row>
        <row r="660">
          <cell r="F660" t="str">
            <v>Slot2:bld019556s（扩容主机SN:chs413559s）</v>
          </cell>
        </row>
        <row r="661">
          <cell r="F661" t="str">
            <v>chs413567s; Slot1:bld019648s; Slot2:bld019566s</v>
          </cell>
        </row>
        <row r="662">
          <cell r="F662" t="str">
            <v>Slot3:bld019586s（扩容主机SN:chs413567s）</v>
          </cell>
        </row>
        <row r="663">
          <cell r="F663" t="str">
            <v>Slot4:bld019569s（扩容主机SN:chs413567s）</v>
          </cell>
        </row>
        <row r="664">
          <cell r="F664" t="str">
            <v>bld019562s（扩容主机SN:chs403139s）</v>
          </cell>
        </row>
        <row r="665">
          <cell r="F665" t="str">
            <v>chs403139s;bld009922s</v>
          </cell>
        </row>
        <row r="666">
          <cell r="F666" t="str">
            <v>bld019609s（扩容主机SN:chs413749s）</v>
          </cell>
        </row>
        <row r="667">
          <cell r="F667" t="str">
            <v>bld019626s（扩容主机SN:chs413749s）</v>
          </cell>
        </row>
        <row r="668">
          <cell r="F668" t="str">
            <v>chs413749s;019602s;019599s;019626s;019609s</v>
          </cell>
        </row>
        <row r="669">
          <cell r="F669" t="str">
            <v>bld019470s（扩容主机SN:chs413560s）</v>
          </cell>
        </row>
        <row r="670">
          <cell r="F670" t="str">
            <v>bld019639s（扩容主机SN:chs413560s）</v>
          </cell>
        </row>
        <row r="671">
          <cell r="F671" t="str">
            <v>chs413560s;019561s;019553s;019639s;019470s</v>
          </cell>
        </row>
        <row r="672">
          <cell r="F672" t="str">
            <v>140225008</v>
          </cell>
        </row>
        <row r="673">
          <cell r="F673" t="str">
            <v>140225004</v>
          </cell>
        </row>
        <row r="674">
          <cell r="F674" t="str">
            <v>chs413776s</v>
          </cell>
        </row>
        <row r="675">
          <cell r="F675" t="str">
            <v>210235G7G610H9000024</v>
          </cell>
        </row>
        <row r="676">
          <cell r="F676" t="str">
            <v>chs413558s</v>
          </cell>
        </row>
        <row r="677">
          <cell r="F677" t="str">
            <v>5061004973</v>
          </cell>
        </row>
        <row r="678">
          <cell r="F678" t="str">
            <v>5061004974</v>
          </cell>
        </row>
        <row r="679">
          <cell r="F679" t="str">
            <v>SS0S197001</v>
          </cell>
        </row>
        <row r="680">
          <cell r="F680" t="str">
            <v>909174200022 E5GGQJ09003354</v>
          </cell>
        </row>
        <row r="681">
          <cell r="F681" t="str">
            <v>904174200040 E5GGQJ09003351</v>
          </cell>
        </row>
        <row r="682">
          <cell r="F682" t="str">
            <v>943174200132 E5GGQJ09003363</v>
          </cell>
        </row>
        <row r="683">
          <cell r="F683" t="str">
            <v>943174200131 E5GGQJ09003362</v>
          </cell>
        </row>
        <row r="684">
          <cell r="F684" t="str">
            <v>901174200012 E5GGQJ09003360</v>
          </cell>
        </row>
        <row r="685">
          <cell r="F685" t="str">
            <v>5061004975</v>
          </cell>
        </row>
        <row r="686">
          <cell r="F686" t="str">
            <v>5061004982</v>
          </cell>
        </row>
        <row r="687">
          <cell r="F687" t="str">
            <v>5061004972</v>
          </cell>
        </row>
        <row r="688">
          <cell r="F688" t="str">
            <v>210235A1GFX201000012</v>
          </cell>
        </row>
        <row r="689">
          <cell r="F689" t="str">
            <v>210235A1GFX20100001B</v>
          </cell>
        </row>
        <row r="690">
          <cell r="F690" t="str">
            <v>102020031562</v>
          </cell>
        </row>
        <row r="691">
          <cell r="F691" t="str">
            <v>210235A3SVH199000017</v>
          </cell>
        </row>
        <row r="692">
          <cell r="F692" t="str">
            <v>见附件</v>
          </cell>
        </row>
        <row r="693">
          <cell r="F693" t="str">
            <v>见附件</v>
          </cell>
        </row>
        <row r="694">
          <cell r="F694" t="str">
            <v>2818WS2</v>
          </cell>
        </row>
        <row r="695">
          <cell r="F695" t="str">
            <v>CSXCWS2</v>
          </cell>
        </row>
        <row r="696">
          <cell r="F696" t="str">
            <v>26H9WS2</v>
          </cell>
        </row>
        <row r="697">
          <cell r="F697" t="str">
            <v>210235A3U6H195000019</v>
          </cell>
        </row>
        <row r="698">
          <cell r="F698" t="str">
            <v>210235A3U6H195000020</v>
          </cell>
        </row>
        <row r="699">
          <cell r="F699" t="str">
            <v>210235A3U6H195000024</v>
          </cell>
        </row>
        <row r="700">
          <cell r="F700" t="str">
            <v>210235A3U6H195000013</v>
          </cell>
        </row>
        <row r="701">
          <cell r="F701" t="str">
            <v>210235A3U6H195000008</v>
          </cell>
        </row>
        <row r="702">
          <cell r="F702" t="str">
            <v>210235A3U6H195000005</v>
          </cell>
        </row>
        <row r="703">
          <cell r="F703" t="str">
            <v>210200A00QH193002317</v>
          </cell>
        </row>
        <row r="704">
          <cell r="F704" t="str">
            <v>210200A00QH193002313</v>
          </cell>
        </row>
        <row r="705">
          <cell r="F705" t="str">
            <v>210235A3SUH19A000371</v>
          </cell>
        </row>
        <row r="706">
          <cell r="F706" t="str">
            <v>210235A3SUH19A000137</v>
          </cell>
        </row>
        <row r="707">
          <cell r="F707" t="str">
            <v>210235A3SUH19A000077</v>
          </cell>
        </row>
        <row r="708">
          <cell r="F708" t="str">
            <v>210235A3SUH19A000138</v>
          </cell>
        </row>
        <row r="709">
          <cell r="F709" t="str">
            <v>210235A3SUH19A000334</v>
          </cell>
        </row>
        <row r="710">
          <cell r="F710" t="str">
            <v>210235A3SUH19A000140</v>
          </cell>
        </row>
        <row r="711">
          <cell r="F711" t="str">
            <v>210235A3SUH19A000230</v>
          </cell>
        </row>
        <row r="712">
          <cell r="F712" t="str">
            <v>210235A3SUH19A000127</v>
          </cell>
        </row>
        <row r="713">
          <cell r="F713" t="str">
            <v>210235A3SUH19A000110</v>
          </cell>
        </row>
        <row r="714">
          <cell r="F714" t="str">
            <v>210235A3SUH19A000100</v>
          </cell>
        </row>
        <row r="715">
          <cell r="F715" t="str">
            <v>210235A3SUH19A000126</v>
          </cell>
        </row>
        <row r="716">
          <cell r="F716" t="str">
            <v>210235A3SUH19A000121</v>
          </cell>
        </row>
        <row r="717">
          <cell r="F717" t="str">
            <v>210235A3SUH19A000278</v>
          </cell>
        </row>
        <row r="718">
          <cell r="F718" t="str">
            <v>210235A3SUH19A000205</v>
          </cell>
        </row>
        <row r="719">
          <cell r="F719" t="str">
            <v>210235A3SUH19A000148</v>
          </cell>
        </row>
        <row r="720">
          <cell r="F720" t="str">
            <v>210235A3SUH19A000131</v>
          </cell>
        </row>
        <row r="721">
          <cell r="F721" t="str">
            <v>无（扩容）</v>
          </cell>
        </row>
        <row r="722">
          <cell r="F722" t="str">
            <v>无（扩容）</v>
          </cell>
        </row>
        <row r="723">
          <cell r="F723" t="str">
            <v>J301DX81</v>
          </cell>
        </row>
        <row r="724">
          <cell r="F724" t="str">
            <v>J301DX7F</v>
          </cell>
        </row>
        <row r="725">
          <cell r="F725" t="str">
            <v>J301DX7G</v>
          </cell>
        </row>
        <row r="726">
          <cell r="F726" t="str">
            <v>J301DX7K</v>
          </cell>
        </row>
        <row r="727">
          <cell r="F727" t="str">
            <v>J301DX80</v>
          </cell>
        </row>
        <row r="728">
          <cell r="F728" t="str">
            <v>J301DX7L</v>
          </cell>
        </row>
        <row r="729">
          <cell r="F729" t="str">
            <v>J301DX7H</v>
          </cell>
        </row>
        <row r="730">
          <cell r="F730" t="str">
            <v>J301DX7N</v>
          </cell>
        </row>
        <row r="731">
          <cell r="F731" t="str">
            <v>TKM20370191</v>
          </cell>
        </row>
        <row r="732">
          <cell r="F732" t="str">
            <v>TKM20320117</v>
          </cell>
        </row>
        <row r="733">
          <cell r="F733" t="str">
            <v>31707206</v>
          </cell>
        </row>
        <row r="734">
          <cell r="F734" t="str">
            <v>31707213</v>
          </cell>
        </row>
        <row r="735">
          <cell r="F735" t="str">
            <v>31904416</v>
          </cell>
        </row>
        <row r="736">
          <cell r="F736" t="str">
            <v>31202897</v>
          </cell>
        </row>
        <row r="737">
          <cell r="F737">
            <v>31202877</v>
          </cell>
        </row>
        <row r="738">
          <cell r="F738">
            <v>31202876</v>
          </cell>
        </row>
        <row r="739">
          <cell r="F739" t="str">
            <v>31202910</v>
          </cell>
        </row>
        <row r="740">
          <cell r="F740" t="str">
            <v>31202891</v>
          </cell>
        </row>
        <row r="741">
          <cell r="F741" t="str">
            <v>31202872</v>
          </cell>
        </row>
        <row r="742">
          <cell r="F742" t="str">
            <v>31202873</v>
          </cell>
        </row>
        <row r="743">
          <cell r="F743" t="str">
            <v>f5-vyie-rhtx</v>
          </cell>
        </row>
        <row r="744">
          <cell r="F744" t="str">
            <v>f5-zqgx-zmkc</v>
          </cell>
        </row>
        <row r="745">
          <cell r="F745" t="str">
            <v>f5-xoro-dijj</v>
          </cell>
        </row>
        <row r="746">
          <cell r="F746" t="str">
            <v>f5-kwak-ireb</v>
          </cell>
        </row>
        <row r="747">
          <cell r="F747" t="str">
            <v>219801A12T9201Q000K7</v>
          </cell>
        </row>
        <row r="748">
          <cell r="F748" t="str">
            <v>219801A12T9201Q00011</v>
          </cell>
        </row>
        <row r="749">
          <cell r="F749" t="str">
            <v>J301DX7V</v>
          </cell>
        </row>
        <row r="750">
          <cell r="F750" t="str">
            <v>J301DX7E</v>
          </cell>
        </row>
        <row r="751">
          <cell r="F751" t="str">
            <v>J301DXMN</v>
          </cell>
        </row>
        <row r="752">
          <cell r="F752" t="str">
            <v>J301DX7R</v>
          </cell>
        </row>
        <row r="753">
          <cell r="F753" t="str">
            <v>J301DX82</v>
          </cell>
        </row>
        <row r="754">
          <cell r="F754" t="str">
            <v>J301DX7D</v>
          </cell>
        </row>
        <row r="755">
          <cell r="F755" t="str">
            <v>J301DXML</v>
          </cell>
        </row>
        <row r="756">
          <cell r="F756" t="str">
            <v>J301DX7Z</v>
          </cell>
        </row>
        <row r="757">
          <cell r="F757" t="str">
            <v>J301DX7P</v>
          </cell>
        </row>
        <row r="758">
          <cell r="F758" t="str">
            <v>J301DX7X</v>
          </cell>
        </row>
        <row r="759">
          <cell r="F759" t="str">
            <v>J301DX7M</v>
          </cell>
        </row>
        <row r="760">
          <cell r="F760" t="str">
            <v>J301DX85</v>
          </cell>
        </row>
        <row r="761">
          <cell r="F761" t="str">
            <v>J301DX84</v>
          </cell>
        </row>
        <row r="762">
          <cell r="F762" t="str">
            <v>J301DXMG</v>
          </cell>
        </row>
        <row r="763">
          <cell r="F763" t="str">
            <v>J301DXMP</v>
          </cell>
        </row>
        <row r="764">
          <cell r="F764" t="str">
            <v>J301DX7T</v>
          </cell>
        </row>
        <row r="765">
          <cell r="F765" t="str">
            <v>J301DX7Y</v>
          </cell>
        </row>
        <row r="766">
          <cell r="F766" t="str">
            <v>J301DX83</v>
          </cell>
        </row>
        <row r="767">
          <cell r="F767" t="str">
            <v>J301DX7W</v>
          </cell>
        </row>
        <row r="768">
          <cell r="F768" t="str">
            <v>J301DXMK</v>
          </cell>
        </row>
        <row r="769">
          <cell r="F769" t="str">
            <v>J301DXMM</v>
          </cell>
        </row>
        <row r="770">
          <cell r="F770" t="str">
            <v>J301DXMH</v>
          </cell>
        </row>
        <row r="771">
          <cell r="F771" t="str">
            <v>ASG10002ED8E3BFA4</v>
          </cell>
        </row>
        <row r="772">
          <cell r="F772" t="str">
            <v>31707209</v>
          </cell>
        </row>
        <row r="773">
          <cell r="F773" t="str">
            <v>31705201</v>
          </cell>
        </row>
        <row r="774">
          <cell r="F774" t="str">
            <v>31604211</v>
          </cell>
        </row>
        <row r="775">
          <cell r="F775" t="str">
            <v>31604209</v>
          </cell>
        </row>
        <row r="776">
          <cell r="F776" t="str">
            <v>41609133</v>
          </cell>
        </row>
        <row r="777">
          <cell r="F777" t="str">
            <v>41609132</v>
          </cell>
        </row>
        <row r="778">
          <cell r="F778" t="str">
            <v>YD-SC42004B07F9362</v>
          </cell>
        </row>
        <row r="779">
          <cell r="F779" t="str">
            <v>210235A0D1H13A000074</v>
          </cell>
        </row>
        <row r="780">
          <cell r="F780" t="str">
            <v>210235A0D1H137000321</v>
          </cell>
        </row>
        <row r="781">
          <cell r="F781" t="str">
            <v>SAC26502EF6DC2C48</v>
          </cell>
        </row>
        <row r="782">
          <cell r="F782" t="str">
            <v>SAC26502EF6DC2C47</v>
          </cell>
        </row>
        <row r="783">
          <cell r="F783" t="str">
            <v>SAC26502EF6DC2C46</v>
          </cell>
        </row>
        <row r="784">
          <cell r="F784" t="str">
            <v>SAC26502EF6DC2C45</v>
          </cell>
        </row>
        <row r="785">
          <cell r="F785" t="str">
            <v>YD-SW1G-242EF6DC2C41</v>
          </cell>
        </row>
        <row r="786">
          <cell r="F786" t="str">
            <v>SAC26502EF6DC2C44</v>
          </cell>
        </row>
        <row r="787">
          <cell r="F787" t="str">
            <v>SAC26502EF6DC2C43</v>
          </cell>
        </row>
        <row r="788">
          <cell r="F788" t="str">
            <v>SAC26502EF6DC2C42</v>
          </cell>
        </row>
        <row r="789">
          <cell r="F789" t="str">
            <v>LVS2000E2EEADFA161</v>
          </cell>
        </row>
        <row r="790">
          <cell r="F790" t="str">
            <v>LVS2000S2EF6DC2C42</v>
          </cell>
        </row>
        <row r="791">
          <cell r="F791" t="str">
            <v>SAC26502EF6DC2C4C</v>
          </cell>
        </row>
        <row r="792">
          <cell r="F792" t="str">
            <v>YD-SW10G-242EF6DC7A61</v>
          </cell>
        </row>
        <row r="793">
          <cell r="F793" t="str">
            <v>YD-SW1G-242EF6DC2C42</v>
          </cell>
        </row>
        <row r="794">
          <cell r="F794" t="str">
            <v>YD-SW10G-242EF6DC7A62</v>
          </cell>
        </row>
        <row r="795">
          <cell r="F795" t="str">
            <v>YD-SW1G-242EF6DC2C43</v>
          </cell>
        </row>
        <row r="796">
          <cell r="F796" t="str">
            <v>SAC26502EF6DC2C4B</v>
          </cell>
        </row>
        <row r="797">
          <cell r="F797" t="str">
            <v>SAC26502EF6DC2C4A</v>
          </cell>
        </row>
        <row r="798">
          <cell r="F798" t="str">
            <v>SAC26502EF6DC2C49</v>
          </cell>
        </row>
        <row r="799">
          <cell r="F799" t="str">
            <v>ASG1000-III2EF6DC2C50</v>
          </cell>
        </row>
        <row r="800">
          <cell r="F800" t="str">
            <v>ASG1000-III2EF6DC2C49</v>
          </cell>
        </row>
        <row r="801">
          <cell r="F801" t="str">
            <v>ASG1000-III2EF6DC2C4D</v>
          </cell>
        </row>
        <row r="802">
          <cell r="F802" t="str">
            <v>ASG1000-III2EF6DC2C4C</v>
          </cell>
        </row>
        <row r="803">
          <cell r="F803" t="str">
            <v>ASG1000-III2EF6DC2C4F</v>
          </cell>
        </row>
        <row r="804">
          <cell r="F804" t="str">
            <v>LVS2000S2EF6DC2C41</v>
          </cell>
        </row>
        <row r="805">
          <cell r="F805" t="str">
            <v>SH09012EF6DC2C42</v>
          </cell>
        </row>
        <row r="806">
          <cell r="F806" t="str">
            <v>SAC26502EF6DC2C4D</v>
          </cell>
        </row>
        <row r="807">
          <cell r="F807" t="str">
            <v>YD-SW1G-242EF6DC2C4C</v>
          </cell>
        </row>
        <row r="808">
          <cell r="F808" t="str">
            <v>YD-SW10G-242EF6DC7A68</v>
          </cell>
        </row>
        <row r="809">
          <cell r="F809" t="str">
            <v>YD-SW1G-242EF6DC2C4B</v>
          </cell>
        </row>
        <row r="810">
          <cell r="F810" t="str">
            <v>YD-SW10G-242EF6DC7A67</v>
          </cell>
        </row>
        <row r="811">
          <cell r="F811" t="str">
            <v>YD-SW1G-242EF6DC2C4A</v>
          </cell>
        </row>
        <row r="812">
          <cell r="F812" t="str">
            <v>ASG1000-III2EF6DC2C46</v>
          </cell>
        </row>
        <row r="813">
          <cell r="F813" t="str">
            <v>ASG1000-III2EF6DC2C48</v>
          </cell>
        </row>
        <row r="814">
          <cell r="F814" t="str">
            <v>ASG1000-III2EF6DC2C4A</v>
          </cell>
        </row>
        <row r="815">
          <cell r="F815" t="str">
            <v>ASG1000-III2EF6DC2C45</v>
          </cell>
        </row>
        <row r="816">
          <cell r="F816" t="str">
            <v>ASG1000-III2EF6DC2C41</v>
          </cell>
        </row>
        <row r="817">
          <cell r="F817" t="str">
            <v>ASG1000-III2EF6DC2C44</v>
          </cell>
        </row>
        <row r="818">
          <cell r="F818" t="str">
            <v>ASG1000-III2EF6DC2C4E</v>
          </cell>
        </row>
        <row r="819">
          <cell r="F819" t="str">
            <v>ASG1000-III2EF6DC2C4B</v>
          </cell>
        </row>
        <row r="820">
          <cell r="F820" t="str">
            <v>LVS2000S2EF6A0A9EC</v>
          </cell>
        </row>
        <row r="821">
          <cell r="F821" t="str">
            <v>YD-LDAP2000B2EF6DC2C42</v>
          </cell>
        </row>
        <row r="822">
          <cell r="F822" t="str">
            <v>SH09012EF6DC2C41</v>
          </cell>
        </row>
        <row r="823">
          <cell r="F823" t="str">
            <v>YD-SW1G-242EF6DC2C4D</v>
          </cell>
        </row>
        <row r="824">
          <cell r="F824" t="str">
            <v>YD-SW1G-242EF6DC2C4E</v>
          </cell>
        </row>
        <row r="825">
          <cell r="F825" t="str">
            <v>YD-SW10G-242EF6DC7A6C</v>
          </cell>
        </row>
        <row r="826">
          <cell r="F826" t="str">
            <v>YD-SW1G-242EF6DC2C4F</v>
          </cell>
        </row>
        <row r="827">
          <cell r="F827" t="str">
            <v>YD-SW10G-242EF6DC7A6B</v>
          </cell>
        </row>
        <row r="828">
          <cell r="F828" t="str">
            <v>YD-SW1G-242EF6DC2C50</v>
          </cell>
        </row>
        <row r="829">
          <cell r="F829" t="str">
            <v>ASG1000-III2EF6DC2C47</v>
          </cell>
        </row>
        <row r="830">
          <cell r="F830" t="str">
            <v>ASG1000-III2EF6DC2C42</v>
          </cell>
        </row>
        <row r="831">
          <cell r="F831" t="str">
            <v>ASG1000-III2EF6DC2C43</v>
          </cell>
        </row>
        <row r="832">
          <cell r="F832" t="str">
            <v>EME42802EF6ADA235</v>
          </cell>
        </row>
        <row r="833">
          <cell r="F833" t="str">
            <v>EME42802EF6BDF5E2</v>
          </cell>
        </row>
        <row r="834">
          <cell r="F834" t="str">
            <v>EME42802EF6A0A9E1</v>
          </cell>
        </row>
        <row r="835">
          <cell r="F835" t="str">
            <v>EME42802EF6ADA234</v>
          </cell>
        </row>
        <row r="836">
          <cell r="F836" t="str">
            <v>EME42802EF6DC2C48</v>
          </cell>
        </row>
        <row r="837">
          <cell r="F837" t="str">
            <v>LVS2000S2EF6A0A9F3</v>
          </cell>
        </row>
        <row r="838">
          <cell r="F838" t="str">
            <v>LVS2000S2EF6A0A9F5</v>
          </cell>
        </row>
        <row r="839">
          <cell r="F839" t="str">
            <v>YD-LDAP2000B2EF6DC2C41</v>
          </cell>
        </row>
        <row r="840">
          <cell r="F840" t="str">
            <v>YD-SW1G-242EF6DC2C54</v>
          </cell>
        </row>
        <row r="841">
          <cell r="F841" t="str">
            <v>YD-SW1G-242EF6DC2C53</v>
          </cell>
        </row>
        <row r="842">
          <cell r="F842" t="str">
            <v>YD-SW10G-242EF6DC7A6A</v>
          </cell>
        </row>
        <row r="843">
          <cell r="F843" t="str">
            <v>YD-SW1G-242EF6DC2C52</v>
          </cell>
        </row>
        <row r="844">
          <cell r="F844" t="str">
            <v>YD-SW10G-242EF6DC7A69</v>
          </cell>
        </row>
        <row r="845">
          <cell r="F845" t="str">
            <v>YD-SW1G-242EF6DC2C51</v>
          </cell>
        </row>
        <row r="846">
          <cell r="F846" t="str">
            <v>EME42802EF6BDF5E1</v>
          </cell>
        </row>
        <row r="847">
          <cell r="F847" t="str">
            <v>EME42802EF6BDF5E3</v>
          </cell>
        </row>
        <row r="848">
          <cell r="F848" t="str">
            <v>EME42802EF6DC2C47</v>
          </cell>
        </row>
        <row r="849">
          <cell r="F849" t="str">
            <v>SAC26502EF6DC2C54</v>
          </cell>
        </row>
        <row r="850">
          <cell r="F850" t="str">
            <v>SAC26502EF6DC2C53</v>
          </cell>
        </row>
        <row r="851">
          <cell r="F851" t="str">
            <v>SAC26502EF6DC2C52</v>
          </cell>
        </row>
        <row r="852">
          <cell r="F852" t="str">
            <v>SAC26502EF6DC2C51</v>
          </cell>
        </row>
        <row r="853">
          <cell r="F853" t="str">
            <v>YD-SW1G-242EF6DC2C46</v>
          </cell>
        </row>
        <row r="854">
          <cell r="F854" t="str">
            <v>SAC26502EF6DC2C50</v>
          </cell>
        </row>
        <row r="855">
          <cell r="F855" t="str">
            <v>SAC26502EF6DC2C4F</v>
          </cell>
        </row>
        <row r="856">
          <cell r="F856" t="str">
            <v>SAC26502EF6DC2C4E</v>
          </cell>
        </row>
        <row r="857">
          <cell r="F857" t="str">
            <v>LVS2000S2EF6DC2C43</v>
          </cell>
        </row>
        <row r="858">
          <cell r="F858" t="str">
            <v>SAC26502EF6DC2C58</v>
          </cell>
        </row>
        <row r="859">
          <cell r="F859" t="str">
            <v>YD-SW10G-242EF6DC7A64</v>
          </cell>
        </row>
        <row r="860">
          <cell r="F860" t="str">
            <v>YD-SW1G-242EF6DC2C45</v>
          </cell>
        </row>
        <row r="861">
          <cell r="F861" t="str">
            <v>YD-SW10G-242EF6DC7A63</v>
          </cell>
        </row>
        <row r="862">
          <cell r="F862" t="str">
            <v>YD-SW1G-242EF6DC2C44</v>
          </cell>
        </row>
        <row r="863">
          <cell r="F863" t="str">
            <v>SAC26502EF6DC2C57</v>
          </cell>
        </row>
        <row r="864">
          <cell r="F864" t="str">
            <v>SAC26502EF6DC2C56</v>
          </cell>
        </row>
        <row r="865">
          <cell r="F865" t="str">
            <v>SAC26502EF6DC2C55</v>
          </cell>
        </row>
        <row r="866">
          <cell r="F866" t="str">
            <v>SAC26502EF6DC2C60</v>
          </cell>
        </row>
        <row r="867">
          <cell r="F867" t="str">
            <v>SAC26502EF6DC2C5F</v>
          </cell>
        </row>
        <row r="868">
          <cell r="F868" t="str">
            <v>SAC26502EF6DC2C5E</v>
          </cell>
        </row>
        <row r="869">
          <cell r="F869" t="str">
            <v>SAC26502EF6DC2C5D</v>
          </cell>
        </row>
        <row r="870">
          <cell r="F870" t="str">
            <v>YD-SW1G-242EF6DC2C47</v>
          </cell>
        </row>
        <row r="871">
          <cell r="F871" t="str">
            <v>SAC26502EF6DC2C5C</v>
          </cell>
        </row>
        <row r="872">
          <cell r="F872" t="str">
            <v>SAC26502EF6DC2C5B</v>
          </cell>
        </row>
        <row r="873">
          <cell r="F873" t="str">
            <v>SAC26502EF6DC2C5A</v>
          </cell>
        </row>
        <row r="874">
          <cell r="F874" t="str">
            <v>SAC26502EF6DC2C59</v>
          </cell>
        </row>
        <row r="875">
          <cell r="F875" t="str">
            <v>SAC26502EF6DC2C41</v>
          </cell>
        </row>
        <row r="876">
          <cell r="F876" t="str">
            <v>SAC26502EF6DC2C64</v>
          </cell>
        </row>
        <row r="877">
          <cell r="F877" t="str">
            <v>YD-SW10G-242EF6DC7A66</v>
          </cell>
        </row>
        <row r="878">
          <cell r="F878" t="str">
            <v>YD-SW1G-242EF6DC2C48</v>
          </cell>
        </row>
        <row r="879">
          <cell r="F879" t="str">
            <v>YD-SW10G-242EF6DC7A65</v>
          </cell>
        </row>
        <row r="880">
          <cell r="F880" t="str">
            <v>YD-SW1G-242EF6DC2C49</v>
          </cell>
        </row>
        <row r="881">
          <cell r="F881" t="str">
            <v>SAC26502EF6DC2C63</v>
          </cell>
        </row>
        <row r="882">
          <cell r="F882" t="str">
            <v>SAC26502EF6DC2C62</v>
          </cell>
        </row>
        <row r="883">
          <cell r="F883" t="str">
            <v>SAC26502EF6DC2C61</v>
          </cell>
        </row>
        <row r="884">
          <cell r="F884" t="str">
            <v>AFW20002ED8D40835</v>
          </cell>
        </row>
        <row r="885">
          <cell r="F885" t="str">
            <v>AFW20002ED8D40831</v>
          </cell>
        </row>
        <row r="886">
          <cell r="F886" t="str">
            <v>AFW20002ED8D40836</v>
          </cell>
        </row>
        <row r="887">
          <cell r="F887" t="str">
            <v>210235AOD1H123000108</v>
          </cell>
        </row>
        <row r="888">
          <cell r="F888" t="str">
            <v>210235AOD1H123000151</v>
          </cell>
        </row>
        <row r="889">
          <cell r="F889" t="str">
            <v>210235AOD1H123000029</v>
          </cell>
        </row>
        <row r="890">
          <cell r="F890" t="str">
            <v>210235AOD1H123000008</v>
          </cell>
        </row>
        <row r="891">
          <cell r="F891" t="str">
            <v>AFW20002ED8D40834</v>
          </cell>
        </row>
        <row r="892">
          <cell r="F892" t="str">
            <v>AFW20002ED8D40832</v>
          </cell>
        </row>
        <row r="893">
          <cell r="F893" t="str">
            <v>AFW20002ED8D40833</v>
          </cell>
        </row>
        <row r="894">
          <cell r="F894" t="str">
            <v>SAC265921D8D40836</v>
          </cell>
        </row>
        <row r="895">
          <cell r="F895" t="str">
            <v>SAC26502ED8D40835</v>
          </cell>
        </row>
        <row r="896">
          <cell r="F896" t="str">
            <v>LVS2000E2ED8D40837</v>
          </cell>
        </row>
        <row r="897">
          <cell r="F897" t="str">
            <v>210235A24WH125000206</v>
          </cell>
        </row>
        <row r="898">
          <cell r="F898" t="str">
            <v>LVS2000S2EF6A0A9F7</v>
          </cell>
        </row>
        <row r="899">
          <cell r="F899" t="str">
            <v>210235A24WH125000070</v>
          </cell>
        </row>
        <row r="900">
          <cell r="F900" t="str">
            <v>210235A24WH125000090</v>
          </cell>
        </row>
        <row r="901">
          <cell r="F901" t="str">
            <v>SAC26502ED8D40834</v>
          </cell>
        </row>
        <row r="902">
          <cell r="F902" t="str">
            <v>SAC265921D8D40833</v>
          </cell>
        </row>
        <row r="903">
          <cell r="F903" t="str">
            <v>SAC26502ED8D40832</v>
          </cell>
        </row>
        <row r="904">
          <cell r="F904" t="str">
            <v>SAC26502ED8D40831</v>
          </cell>
        </row>
        <row r="905">
          <cell r="F905" t="str">
            <v>SAC26502ED8D40838</v>
          </cell>
        </row>
        <row r="906">
          <cell r="F906" t="str">
            <v>SAC26502ED8D40837</v>
          </cell>
        </row>
        <row r="907">
          <cell r="F907" t="str">
            <v>SAC26502ED8D4080</v>
          </cell>
        </row>
        <row r="908">
          <cell r="F908" t="str">
            <v>SAC26502ED8D4083F</v>
          </cell>
        </row>
        <row r="909">
          <cell r="F909" t="str">
            <v>LVS2000E2ED8D40833</v>
          </cell>
        </row>
        <row r="910">
          <cell r="F910" t="str">
            <v>210235A24WH12400686</v>
          </cell>
        </row>
        <row r="911">
          <cell r="F911" t="str">
            <v>LVS2000S2EF6A0A9F6</v>
          </cell>
        </row>
        <row r="912">
          <cell r="F912" t="str">
            <v>LVS2000E2EEADFA162</v>
          </cell>
        </row>
        <row r="913">
          <cell r="F913" t="str">
            <v>210235A24WH125000056</v>
          </cell>
        </row>
        <row r="914">
          <cell r="F914" t="str">
            <v>210235A24WH125000025</v>
          </cell>
        </row>
        <row r="915">
          <cell r="F915" t="str">
            <v>SAC26502ED8D4083D</v>
          </cell>
        </row>
        <row r="916">
          <cell r="F916" t="str">
            <v>SAC265921D8D4083C</v>
          </cell>
        </row>
        <row r="917">
          <cell r="F917" t="str">
            <v>SAC26502ED8D4083A</v>
          </cell>
        </row>
        <row r="918">
          <cell r="F918" t="str">
            <v>SAC26502ED8D40839</v>
          </cell>
        </row>
        <row r="919">
          <cell r="F919" t="str">
            <v>SAC26502ED8D4083B</v>
          </cell>
        </row>
        <row r="920">
          <cell r="F920" t="str">
            <v>SAC26502ED8D4083E</v>
          </cell>
        </row>
        <row r="921">
          <cell r="F921" t="str">
            <v>ASG10002ED8C0CE64</v>
          </cell>
        </row>
        <row r="922">
          <cell r="F922" t="str">
            <v>ASG1000III2EE4FB259D</v>
          </cell>
        </row>
        <row r="923">
          <cell r="F923" t="str">
            <v>210235AOD1H123000051</v>
          </cell>
        </row>
        <row r="924">
          <cell r="F924" t="str">
            <v>ASG10002ED2EB1F85</v>
          </cell>
        </row>
        <row r="925">
          <cell r="F925" t="str">
            <v>210235A0D1H121000039</v>
          </cell>
        </row>
        <row r="926">
          <cell r="F926" t="str">
            <v>210235A0D1H121000056</v>
          </cell>
        </row>
        <row r="927">
          <cell r="F927" t="str">
            <v>210235A0D1H121000017</v>
          </cell>
        </row>
        <row r="928">
          <cell r="F928" t="str">
            <v>LVS2000E2ED8D40832</v>
          </cell>
        </row>
        <row r="929">
          <cell r="F929" t="str">
            <v>LVS2000E2ED8D40834</v>
          </cell>
        </row>
        <row r="930">
          <cell r="F930" t="str">
            <v>ASG1000III2EE4FN2592</v>
          </cell>
        </row>
        <row r="931">
          <cell r="F931" t="str">
            <v>ASG10002ED8C0CE5C</v>
          </cell>
        </row>
        <row r="932">
          <cell r="F932" t="str">
            <v>EME42802ED8D40831</v>
          </cell>
        </row>
        <row r="933">
          <cell r="F933" t="str">
            <v>LVS2000E2ED8D40835</v>
          </cell>
        </row>
        <row r="934">
          <cell r="F934" t="str">
            <v>ASG10002ED8C0CE5B</v>
          </cell>
        </row>
        <row r="935">
          <cell r="F935" t="str">
            <v>210235A0D1H121000025</v>
          </cell>
        </row>
        <row r="936">
          <cell r="F936" t="str">
            <v>EME42802ED8D40839</v>
          </cell>
        </row>
        <row r="937">
          <cell r="F937" t="str">
            <v>EME42802ED8D40837</v>
          </cell>
        </row>
        <row r="938">
          <cell r="F938" t="str">
            <v>EME42802ED8D40833</v>
          </cell>
        </row>
        <row r="939">
          <cell r="F939" t="str">
            <v>EME42802ED8D40832</v>
          </cell>
        </row>
        <row r="940">
          <cell r="F940" t="str">
            <v>EME42802ED8D40834</v>
          </cell>
        </row>
        <row r="941">
          <cell r="F941" t="str">
            <v>LVS2000E2ED8D40831</v>
          </cell>
        </row>
        <row r="942">
          <cell r="F942" t="str">
            <v>210235A0D1H121000044</v>
          </cell>
        </row>
        <row r="943">
          <cell r="F943" t="str">
            <v>EME42802ED8D4083A</v>
          </cell>
        </row>
        <row r="944">
          <cell r="F944" t="str">
            <v>EME42802ED8D40838</v>
          </cell>
        </row>
        <row r="945">
          <cell r="F945" t="str">
            <v>EME42802ED8D40836</v>
          </cell>
        </row>
        <row r="946">
          <cell r="F946" t="str">
            <v>EME42802ED8D40835</v>
          </cell>
        </row>
        <row r="947">
          <cell r="F947" t="str">
            <v>210235A0D1H13A000162</v>
          </cell>
        </row>
        <row r="948">
          <cell r="F948" t="str">
            <v>210235A0D1H14A000011</v>
          </cell>
        </row>
        <row r="949">
          <cell r="F949" t="str">
            <v>210235A377H14A000031</v>
          </cell>
        </row>
        <row r="950">
          <cell r="F950" t="str">
            <v>210235A377H14A000039</v>
          </cell>
        </row>
        <row r="951">
          <cell r="F951" t="str">
            <v>210235A0D1H138000009</v>
          </cell>
        </row>
        <row r="952">
          <cell r="F952" t="str">
            <v>210235A377H14A000018</v>
          </cell>
        </row>
        <row r="953">
          <cell r="F953" t="str">
            <v>210235A377H139000111</v>
          </cell>
        </row>
        <row r="954">
          <cell r="F954" t="str">
            <v>210235A0D1H137000324</v>
          </cell>
        </row>
        <row r="955">
          <cell r="F955" t="str">
            <v>210235A377H14A000030</v>
          </cell>
        </row>
        <row r="956">
          <cell r="F956" t="str">
            <v>210235A0D1H148000079</v>
          </cell>
        </row>
        <row r="957">
          <cell r="F957" t="str">
            <v>210235A0D1H14A000050</v>
          </cell>
        </row>
        <row r="958">
          <cell r="F958" t="str">
            <v>210235A0D1H149000217</v>
          </cell>
        </row>
        <row r="959">
          <cell r="F959" t="str">
            <v>210235A377H14A000037</v>
          </cell>
        </row>
        <row r="960">
          <cell r="F960" t="str">
            <v>21023A0D1H149000242</v>
          </cell>
        </row>
        <row r="961">
          <cell r="F961" t="str">
            <v>210235A377H14A000017</v>
          </cell>
        </row>
        <row r="962">
          <cell r="F962" t="str">
            <v>210235A0D1H14A000078</v>
          </cell>
        </row>
        <row r="963">
          <cell r="F963" t="str">
            <v>210235A0D1H149000170</v>
          </cell>
        </row>
        <row r="964">
          <cell r="F964" t="str">
            <v>210235A0D1H13A000077</v>
          </cell>
        </row>
        <row r="965">
          <cell r="F965" t="str">
            <v>210235A0D1H138000064</v>
          </cell>
        </row>
        <row r="966">
          <cell r="F966" t="str">
            <v>210235A0D1H39000013</v>
          </cell>
        </row>
        <row r="967">
          <cell r="F967" t="str">
            <v>210235A0D1H148000133</v>
          </cell>
        </row>
        <row r="968">
          <cell r="F968" t="str">
            <v>ASG1000III2EE4FB2596</v>
          </cell>
        </row>
        <row r="969">
          <cell r="F969" t="str">
            <v>YD-SC10004B07F9360</v>
          </cell>
        </row>
        <row r="970">
          <cell r="F970" t="str">
            <v>210235A36TH148000257</v>
          </cell>
        </row>
        <row r="971">
          <cell r="F971" t="str">
            <v>210235A0D1H149000215</v>
          </cell>
        </row>
        <row r="972">
          <cell r="F972" t="str">
            <v>210235A377H148000117</v>
          </cell>
        </row>
        <row r="973">
          <cell r="F973" t="str">
            <v>210235A377H139000129</v>
          </cell>
        </row>
        <row r="974">
          <cell r="F974" t="str">
            <v>AFW20004B07F9360</v>
          </cell>
        </row>
        <row r="975">
          <cell r="F975" t="str">
            <v>210235A36TH148000242</v>
          </cell>
        </row>
        <row r="976">
          <cell r="F976" t="str">
            <v>210235A36TH148000093</v>
          </cell>
        </row>
        <row r="977">
          <cell r="F977" t="str">
            <v>210235A0D1H138000045</v>
          </cell>
        </row>
        <row r="978">
          <cell r="F978" t="str">
            <v>210235A0D1H14A000016</v>
          </cell>
        </row>
        <row r="979">
          <cell r="F979" t="str">
            <v>210235A36TH148000245</v>
          </cell>
        </row>
        <row r="980">
          <cell r="F980" t="str">
            <v>210235A377H139000126</v>
          </cell>
        </row>
        <row r="981">
          <cell r="F981" t="str">
            <v>210235A377H139000129</v>
          </cell>
        </row>
        <row r="982">
          <cell r="F982" t="str">
            <v>210235A36TH148000255</v>
          </cell>
        </row>
        <row r="983">
          <cell r="F983" t="str">
            <v>210235A36TH148000207</v>
          </cell>
        </row>
        <row r="984">
          <cell r="F984" t="str">
            <v>210235A0D1H149000018</v>
          </cell>
        </row>
        <row r="985">
          <cell r="F985" t="str">
            <v>YD-SC42004B07F9360</v>
          </cell>
        </row>
        <row r="986">
          <cell r="F986" t="str">
            <v>YD-SQY084B07F9360</v>
          </cell>
        </row>
        <row r="987">
          <cell r="F987" t="str">
            <v>100个锁无序列号</v>
          </cell>
        </row>
        <row r="988">
          <cell r="F988" t="str">
            <v>210235A0D1H149000159</v>
          </cell>
        </row>
        <row r="989">
          <cell r="F989" t="str">
            <v>210235A0D1H14A000028</v>
          </cell>
        </row>
        <row r="990">
          <cell r="F990" t="str">
            <v>210235A0D1H139000112</v>
          </cell>
        </row>
        <row r="991">
          <cell r="F991" t="str">
            <v>ASG1000III2EE4FB260A</v>
          </cell>
        </row>
        <row r="992">
          <cell r="F992" t="str">
            <v>210235A0D1H139000092</v>
          </cell>
        </row>
        <row r="993">
          <cell r="F993" t="str">
            <v>210235A0D1H149000162</v>
          </cell>
        </row>
        <row r="994">
          <cell r="F994" t="str">
            <v>210235A0D1H149000034</v>
          </cell>
        </row>
        <row r="995">
          <cell r="F995" t="str">
            <v>210235A0D1H138000051</v>
          </cell>
        </row>
        <row r="996">
          <cell r="F996" t="str">
            <v>210235A0D1H14A000060</v>
          </cell>
        </row>
        <row r="997">
          <cell r="F997" t="str">
            <v>41611354</v>
          </cell>
        </row>
        <row r="998">
          <cell r="F998" t="str">
            <v>41611371</v>
          </cell>
        </row>
        <row r="999">
          <cell r="F999" t="str">
            <v>ASG1000III2EDF25289B</v>
          </cell>
        </row>
        <row r="1000">
          <cell r="F1000" t="str">
            <v>YD-SC42004B07F9363</v>
          </cell>
        </row>
        <row r="1001">
          <cell r="F1001" t="str">
            <v>YD-SC42004B07F9361</v>
          </cell>
        </row>
        <row r="1002">
          <cell r="F1002" t="str">
            <v>YD-SC10002EE51B0994</v>
          </cell>
        </row>
        <row r="1003">
          <cell r="F1003" t="str">
            <v>YD-SDB3000S2EE519F821</v>
          </cell>
        </row>
        <row r="1004">
          <cell r="F1004" t="str">
            <v>YD-SC10002EE51B0992</v>
          </cell>
        </row>
        <row r="1005">
          <cell r="F1005" t="str">
            <v>YD-AFW2000S2EF0F4XA32</v>
          </cell>
        </row>
        <row r="1006">
          <cell r="F1006" t="str">
            <v>YD-AFW2000S2EF0F4XA31</v>
          </cell>
        </row>
        <row r="1007">
          <cell r="F1007" t="str">
            <v>31412130</v>
          </cell>
        </row>
        <row r="1008">
          <cell r="F1008" t="str">
            <v>31001327-1</v>
          </cell>
        </row>
        <row r="1009">
          <cell r="F1009" t="str">
            <v>ASG10002ED328EBD2</v>
          </cell>
        </row>
        <row r="1010">
          <cell r="F1010" t="str">
            <v>ASG10002ED328EBD6</v>
          </cell>
        </row>
        <row r="1011">
          <cell r="F1011" t="str">
            <v>210235AD01H10B000010</v>
          </cell>
        </row>
        <row r="1012">
          <cell r="F1012" t="str">
            <v>210235AD01H10B000031</v>
          </cell>
        </row>
        <row r="1013">
          <cell r="F1013" t="str">
            <v>210235AD01H10B000082</v>
          </cell>
        </row>
        <row r="1014">
          <cell r="F1014" t="str">
            <v>06LCD23</v>
          </cell>
        </row>
        <row r="1015">
          <cell r="F1015" t="str">
            <v>06LCD06</v>
          </cell>
        </row>
        <row r="1016">
          <cell r="F1016" t="str">
            <v>06LCD12</v>
          </cell>
        </row>
        <row r="1017">
          <cell r="F1017" t="str">
            <v>06LCD08</v>
          </cell>
        </row>
        <row r="1018">
          <cell r="F1018" t="str">
            <v>210235AD01H10B000121</v>
          </cell>
        </row>
        <row r="1019">
          <cell r="F1019" t="str">
            <v>ASG10002ED2EB1F90</v>
          </cell>
        </row>
        <row r="1020">
          <cell r="F1020" t="str">
            <v>ASG10002ED328EBD5</v>
          </cell>
        </row>
        <row r="1021">
          <cell r="F1021" t="str">
            <v>ASG10002ED328EBD3</v>
          </cell>
        </row>
        <row r="1022">
          <cell r="F1022" t="str">
            <v>ASG10002ED328EBD4</v>
          </cell>
        </row>
        <row r="1023">
          <cell r="F1023" t="str">
            <v>210235AD01H10B000041</v>
          </cell>
        </row>
        <row r="1024">
          <cell r="F1024" t="str">
            <v>210235AD01H10B000026</v>
          </cell>
        </row>
        <row r="1025">
          <cell r="F1025" t="str">
            <v>210235AD01H10B000027</v>
          </cell>
        </row>
        <row r="1026">
          <cell r="F1026" t="str">
            <v>06LCD20</v>
          </cell>
        </row>
        <row r="1027">
          <cell r="F1027" t="str">
            <v>06NDA84</v>
          </cell>
        </row>
        <row r="1028">
          <cell r="F1028" t="str">
            <v>06LCC89</v>
          </cell>
        </row>
        <row r="1029">
          <cell r="F1029" t="str">
            <v>06LCD18</v>
          </cell>
        </row>
        <row r="1030">
          <cell r="F1030" t="str">
            <v>210235AD01H10B000122</v>
          </cell>
        </row>
        <row r="1031">
          <cell r="F1031" t="str">
            <v>HSA10002ED328EBD1</v>
          </cell>
        </row>
        <row r="1032">
          <cell r="F1032" t="str">
            <v>ASG10002ED328EBD8</v>
          </cell>
        </row>
        <row r="1033">
          <cell r="F1033" t="str">
            <v>YD-SC10002EE51B0991</v>
          </cell>
        </row>
        <row r="1034">
          <cell r="F1034" t="str">
            <v>H119000066</v>
          </cell>
        </row>
        <row r="1035">
          <cell r="F1035" t="str">
            <v>H125000127</v>
          </cell>
        </row>
        <row r="1036">
          <cell r="F1036" t="str">
            <v>H119000573</v>
          </cell>
        </row>
        <row r="1037">
          <cell r="F1037" t="str">
            <v>H126000111</v>
          </cell>
        </row>
        <row r="1038">
          <cell r="F1038" t="str">
            <v>H125000127</v>
          </cell>
        </row>
        <row r="1039">
          <cell r="F1039" t="str">
            <v>H12500084</v>
          </cell>
        </row>
        <row r="1040">
          <cell r="F1040" t="str">
            <v>H126000122</v>
          </cell>
        </row>
        <row r="1041">
          <cell r="F1041" t="str">
            <v>H126000473</v>
          </cell>
        </row>
        <row r="1042">
          <cell r="F1042" t="str">
            <v>H126000176</v>
          </cell>
        </row>
        <row r="1043">
          <cell r="F1043" t="str">
            <v>H126000147</v>
          </cell>
        </row>
        <row r="1044">
          <cell r="F1044" t="str">
            <v>H126000157</v>
          </cell>
        </row>
        <row r="1045">
          <cell r="F1045" t="str">
            <v>H126000126</v>
          </cell>
        </row>
        <row r="1046">
          <cell r="F1046" t="str">
            <v>H1190000473</v>
          </cell>
        </row>
        <row r="1047">
          <cell r="F1047" t="str">
            <v>H126000129</v>
          </cell>
        </row>
        <row r="1048">
          <cell r="F1048" t="str">
            <v>H119000530</v>
          </cell>
        </row>
        <row r="1049">
          <cell r="F1049" t="str">
            <v>H126000129</v>
          </cell>
        </row>
        <row r="1050">
          <cell r="F1050" t="str">
            <v>ASG10002ED2CDAC74</v>
          </cell>
        </row>
        <row r="1051">
          <cell r="F1051" t="str">
            <v>ASG1000112EEB00BDF2</v>
          </cell>
        </row>
        <row r="1052">
          <cell r="F1052" t="str">
            <v>LVS2000E2ECCD66BE1</v>
          </cell>
        </row>
        <row r="1053">
          <cell r="F1053" t="str">
            <v>210235A04QH098000493</v>
          </cell>
        </row>
        <row r="1054">
          <cell r="F1054" t="str">
            <v>LVS2000E2ED2BDCDF6</v>
          </cell>
        </row>
        <row r="1055">
          <cell r="F1055" t="str">
            <v>210235A04QH098000323</v>
          </cell>
        </row>
        <row r="1056">
          <cell r="F1056" t="str">
            <v>99R1866</v>
          </cell>
        </row>
        <row r="1057">
          <cell r="F1057" t="str">
            <v>IBM3650M22ECCD66BE2</v>
          </cell>
        </row>
        <row r="1058">
          <cell r="F1058" t="str">
            <v>IBM3650M22ECCD66BE2</v>
          </cell>
        </row>
        <row r="1059">
          <cell r="F1059" t="str">
            <v>99R1863</v>
          </cell>
        </row>
        <row r="1060">
          <cell r="F1060" t="str">
            <v>LVS2000E2ECCD66BE2</v>
          </cell>
        </row>
        <row r="1061">
          <cell r="F1061" t="str">
            <v>210235A04QH098000369</v>
          </cell>
        </row>
        <row r="1062">
          <cell r="F1062" t="str">
            <v>210235A04QH098000320</v>
          </cell>
        </row>
        <row r="1063">
          <cell r="F1063" t="str">
            <v>ASG10002ED2CDAC72</v>
          </cell>
        </row>
        <row r="1064">
          <cell r="F1064" t="str">
            <v>ASG10002ED2CDAC73</v>
          </cell>
        </row>
        <row r="1065">
          <cell r="F1065" t="str">
            <v>ASG10002ED29FBEB2</v>
          </cell>
        </row>
        <row r="1066">
          <cell r="F1066" t="str">
            <v>ASG10002ED29FBEAA</v>
          </cell>
        </row>
        <row r="1067">
          <cell r="F1067" t="str">
            <v>210235A04QH098000038</v>
          </cell>
        </row>
        <row r="1068">
          <cell r="F1068" t="str">
            <v>LVS2000E2ED2BDCDF8</v>
          </cell>
        </row>
        <row r="1069">
          <cell r="F1069" t="str">
            <v>LVS2000E22ED2BDCDF1</v>
          </cell>
        </row>
        <row r="1070">
          <cell r="F1070" t="str">
            <v>210235A04QH098000151</v>
          </cell>
        </row>
        <row r="1071">
          <cell r="F1071" t="str">
            <v>99H5768</v>
          </cell>
        </row>
        <row r="1072">
          <cell r="F1072" t="str">
            <v>99H5772</v>
          </cell>
        </row>
        <row r="1073">
          <cell r="F1073" t="str">
            <v>99H5756</v>
          </cell>
        </row>
        <row r="1074">
          <cell r="F1074" t="str">
            <v>99H5765</v>
          </cell>
        </row>
        <row r="1075">
          <cell r="F1075" t="str">
            <v>LVS2000E22ED2BDCDF2</v>
          </cell>
        </row>
        <row r="1076">
          <cell r="F1076" t="str">
            <v>210235A04QH098000147</v>
          </cell>
        </row>
        <row r="1077">
          <cell r="F1077" t="str">
            <v>210235A04QH098000325</v>
          </cell>
        </row>
        <row r="1078">
          <cell r="F1078" t="str">
            <v>ASG10002ED29FBEA5</v>
          </cell>
        </row>
        <row r="1079">
          <cell r="F1079" t="str">
            <v>ASG10002ED29FBEAB</v>
          </cell>
        </row>
        <row r="1080">
          <cell r="F1080" t="str">
            <v>108723T</v>
          </cell>
        </row>
        <row r="1081">
          <cell r="F1081" t="str">
            <v>99B5739</v>
          </cell>
        </row>
        <row r="1082">
          <cell r="F1082" t="str">
            <v>2ECD4385A0</v>
          </cell>
        </row>
        <row r="1083">
          <cell r="F1083" t="str">
            <v>2ECD43859A</v>
          </cell>
        </row>
        <row r="1084">
          <cell r="F1084" t="str">
            <v>LVS2000E2ED2DBCDF4</v>
          </cell>
        </row>
        <row r="1085">
          <cell r="F1085" t="str">
            <v>LVS2000E2ED2DBCDF7</v>
          </cell>
        </row>
        <row r="1086">
          <cell r="F1086" t="str">
            <v>210235A04QH098000079</v>
          </cell>
        </row>
        <row r="1087">
          <cell r="F1087" t="str">
            <v>78K0P1Y</v>
          </cell>
        </row>
        <row r="1088">
          <cell r="F1088" t="str">
            <v>108719H</v>
          </cell>
        </row>
        <row r="1089">
          <cell r="F1089" t="str">
            <v>99B5742</v>
          </cell>
        </row>
        <row r="1090">
          <cell r="F1090" t="str">
            <v>1-5-7</v>
          </cell>
        </row>
        <row r="1091">
          <cell r="F1091" t="str">
            <v>YD-AFW2000-12EDD7CBE1</v>
          </cell>
        </row>
        <row r="1092">
          <cell r="F1092" t="str">
            <v>ASG1000-III2EF690CB61</v>
          </cell>
        </row>
        <row r="1093">
          <cell r="F1093" t="str">
            <v>ASG10002ED2EB1F92</v>
          </cell>
        </row>
        <row r="1094">
          <cell r="F1094" t="str">
            <v>YDSGW3000B4B07F9360</v>
          </cell>
        </row>
        <row r="1095">
          <cell r="F1095" t="str">
            <v>210235A0D1H149000065</v>
          </cell>
        </row>
        <row r="1096">
          <cell r="F1096" t="str">
            <v>210235A0D1H14A000175</v>
          </cell>
        </row>
        <row r="1097">
          <cell r="F1097" t="str">
            <v>YD-NSDS3000B4B07F9361</v>
          </cell>
        </row>
        <row r="1098">
          <cell r="F1098" t="str">
            <v>YD-NSDS3000B4B07F9363</v>
          </cell>
        </row>
        <row r="1099">
          <cell r="F1099" t="str">
            <v>41609101</v>
          </cell>
        </row>
        <row r="1100">
          <cell r="F1100" t="str">
            <v>41609102</v>
          </cell>
        </row>
        <row r="1101">
          <cell r="F1101" t="str">
            <v>YD-SC10002EE51B0993</v>
          </cell>
        </row>
        <row r="1102">
          <cell r="F1102" t="str">
            <v>无</v>
          </cell>
        </row>
        <row r="1103">
          <cell r="F1103" t="str">
            <v>F4CA32</v>
          </cell>
        </row>
        <row r="1104">
          <cell r="F1104" t="str">
            <v>YD-KPKVMJ82EFOF4CA31</v>
          </cell>
        </row>
        <row r="1105">
          <cell r="F1105" t="str">
            <v>210235A3SVH19B000004</v>
          </cell>
        </row>
        <row r="1106">
          <cell r="F1106" t="str">
            <v>210235A3SVH19B000010</v>
          </cell>
        </row>
        <row r="1107">
          <cell r="F1107" t="str">
            <v>210235A3SVH19B000006</v>
          </cell>
        </row>
        <row r="1108">
          <cell r="F1108" t="str">
            <v>210235A3SVH19A000012</v>
          </cell>
        </row>
        <row r="1109">
          <cell r="F1109" t="str">
            <v>210235A3SVH199000018</v>
          </cell>
        </row>
        <row r="1110">
          <cell r="F1110" t="str">
            <v>210235A3SVH19B000007</v>
          </cell>
        </row>
        <row r="1111">
          <cell r="F1111" t="str">
            <v>210235A3SVH19B000003</v>
          </cell>
        </row>
        <row r="1112">
          <cell r="F1112" t="str">
            <v>210235A3SVH199000009</v>
          </cell>
        </row>
        <row r="1113">
          <cell r="F1113" t="str">
            <v>210235A3SVH19A000002</v>
          </cell>
        </row>
        <row r="1114">
          <cell r="F1114" t="str">
            <v>210235A3SVH19A000005</v>
          </cell>
        </row>
        <row r="1115">
          <cell r="F1115" t="str">
            <v>210235A3SVH19B000001</v>
          </cell>
        </row>
        <row r="1116">
          <cell r="F1116" t="str">
            <v>2102350DLVDMGB000380</v>
          </cell>
        </row>
        <row r="1117">
          <cell r="F1117" t="str">
            <v>2102350DLVDMGB000364</v>
          </cell>
        </row>
        <row r="1118">
          <cell r="F1118" t="str">
            <v>210235A2CT620BF000C5</v>
          </cell>
        </row>
        <row r="1119">
          <cell r="F1119" t="str">
            <v>210235A2CT620BF000C4</v>
          </cell>
        </row>
        <row r="1120">
          <cell r="F1120" t="str">
            <v>210235A2CT620BF000C1</v>
          </cell>
        </row>
        <row r="1121">
          <cell r="F1121" t="str">
            <v>210235A2CT620BF000BZ</v>
          </cell>
        </row>
        <row r="1122">
          <cell r="F1122" t="str">
            <v>210235A2CT620BF000BY</v>
          </cell>
        </row>
        <row r="1123">
          <cell r="F1123" t="str">
            <v>210235A2BBP20A000778</v>
          </cell>
        </row>
        <row r="1124">
          <cell r="F1124" t="str">
            <v>210235A2BBP20A000754</v>
          </cell>
        </row>
        <row r="1125">
          <cell r="F1125" t="str">
            <v>210235A2BBP20A00075M</v>
          </cell>
        </row>
        <row r="1126">
          <cell r="F1126" t="str">
            <v>210235A2BBP20A00075G</v>
          </cell>
        </row>
        <row r="1127">
          <cell r="F1127" t="str">
            <v>210235A3SUH19A000217</v>
          </cell>
        </row>
        <row r="1128">
          <cell r="F1128" t="str">
            <v>210235A3SUH19A000213</v>
          </cell>
        </row>
        <row r="1129">
          <cell r="F1129" t="str">
            <v>210235A3SUH19A000109</v>
          </cell>
        </row>
        <row r="1130">
          <cell r="F1130" t="str">
            <v>210235A3SUH19A000343</v>
          </cell>
        </row>
        <row r="1131">
          <cell r="F1131" t="str">
            <v>210235A3SUH19A000386</v>
          </cell>
        </row>
        <row r="1132">
          <cell r="F1132" t="str">
            <v>210235A3SUH19A000322</v>
          </cell>
        </row>
        <row r="1133">
          <cell r="F1133" t="str">
            <v>210235A3SUH19A000269</v>
          </cell>
        </row>
        <row r="1134">
          <cell r="F1134" t="str">
            <v>210235A3SUH19A000113</v>
          </cell>
        </row>
        <row r="1135">
          <cell r="F1135" t="str">
            <v>210235A3SUH19A000211</v>
          </cell>
        </row>
        <row r="1136">
          <cell r="F1136" t="str">
            <v>210235A3SUH19A000342</v>
          </cell>
        </row>
        <row r="1137">
          <cell r="F1137" t="str">
            <v>210235A3SUH19B000145</v>
          </cell>
        </row>
        <row r="1138">
          <cell r="F1138" t="str">
            <v>210235A3SUH19B000097</v>
          </cell>
        </row>
        <row r="1139">
          <cell r="F1139" t="str">
            <v>J301D841</v>
          </cell>
        </row>
        <row r="1140">
          <cell r="F1140" t="str">
            <v>J301D840</v>
          </cell>
        </row>
        <row r="1141">
          <cell r="F1141" t="str">
            <v>1103201798</v>
          </cell>
        </row>
        <row r="1142">
          <cell r="F1142" t="str">
            <v>210235A3SUH19A000162</v>
          </cell>
        </row>
        <row r="1143">
          <cell r="F1143" t="str">
            <v>210235A3SUH19A000160</v>
          </cell>
        </row>
        <row r="1144">
          <cell r="F1144" t="str">
            <v>210235A3SUH19A000194</v>
          </cell>
        </row>
        <row r="1145">
          <cell r="F1145" t="str">
            <v>210235A3SUH19A000291</v>
          </cell>
        </row>
        <row r="1146">
          <cell r="F1146" t="str">
            <v>210235A3SUH19A000271</v>
          </cell>
        </row>
        <row r="1147">
          <cell r="F1147" t="str">
            <v>210235A3SUH19A000157</v>
          </cell>
        </row>
        <row r="1148">
          <cell r="F1148" t="str">
            <v>210235A3SUH19A000290</v>
          </cell>
        </row>
        <row r="1149">
          <cell r="F1149" t="str">
            <v>210235A3SUH19A000202</v>
          </cell>
        </row>
        <row r="1150">
          <cell r="F1150" t="str">
            <v>210235A3SUH19A000195</v>
          </cell>
        </row>
        <row r="1151">
          <cell r="F1151" t="str">
            <v>210235A3SUH19A000183</v>
          </cell>
        </row>
        <row r="1152">
          <cell r="F1152" t="str">
            <v>210235A3SUH19A000267</v>
          </cell>
        </row>
        <row r="1153">
          <cell r="F1153" t="str">
            <v>210235A3SUH19A000196</v>
          </cell>
        </row>
        <row r="1154">
          <cell r="F1154" t="str">
            <v>210235A3SUH19A000154</v>
          </cell>
        </row>
        <row r="1155">
          <cell r="F1155" t="str">
            <v>210235A3SUH19A000197</v>
          </cell>
        </row>
        <row r="1156">
          <cell r="F1156" t="str">
            <v>210235A3SUH19A000331</v>
          </cell>
        </row>
        <row r="1157">
          <cell r="F1157" t="str">
            <v>210235A3SUH19A000216</v>
          </cell>
        </row>
        <row r="1158">
          <cell r="F1158" t="str">
            <v>210235A3SUH19A000134</v>
          </cell>
        </row>
        <row r="1159">
          <cell r="F1159" t="str">
            <v>210235A3SUH19A000301</v>
          </cell>
        </row>
        <row r="1160">
          <cell r="F1160" t="str">
            <v>210235A3SUH19A000099</v>
          </cell>
        </row>
        <row r="1161">
          <cell r="F1161" t="str">
            <v>210235A3SUH19A000337</v>
          </cell>
        </row>
        <row r="1162">
          <cell r="F1162" t="str">
            <v>210235A3SUH19A000221</v>
          </cell>
        </row>
        <row r="1163">
          <cell r="F1163" t="str">
            <v>210235A3SUH19A000186</v>
          </cell>
        </row>
        <row r="1164">
          <cell r="F1164" t="str">
            <v>210235A3SUH19A000333</v>
          </cell>
        </row>
        <row r="1165">
          <cell r="F1165" t="str">
            <v>210235A3SUH19A000369</v>
          </cell>
        </row>
        <row r="1166">
          <cell r="F1166" t="str">
            <v>210235A3SUH19A000373</v>
          </cell>
        </row>
        <row r="1167">
          <cell r="F1167" t="str">
            <v>210235A3SUH19A000086</v>
          </cell>
        </row>
        <row r="1168">
          <cell r="F1168" t="str">
            <v>J301DX29</v>
          </cell>
        </row>
        <row r="1169">
          <cell r="F1169" t="str">
            <v>J301DX25</v>
          </cell>
        </row>
        <row r="1170">
          <cell r="F1170" t="str">
            <v>J301DX26</v>
          </cell>
        </row>
        <row r="1171">
          <cell r="F1171" t="str">
            <v>J301DX1Z</v>
          </cell>
        </row>
        <row r="1172">
          <cell r="F1172" t="str">
            <v>J301DX20</v>
          </cell>
        </row>
        <row r="1173">
          <cell r="F1173" t="str">
            <v>J301DX22</v>
          </cell>
        </row>
        <row r="1174">
          <cell r="F1174" t="str">
            <v>J301DX21</v>
          </cell>
        </row>
        <row r="1175">
          <cell r="F1175" t="str">
            <v>J301DX23</v>
          </cell>
        </row>
        <row r="1176">
          <cell r="F1176" t="str">
            <v>J301DX2A</v>
          </cell>
        </row>
        <row r="1177">
          <cell r="F1177" t="str">
            <v>J301DX1Y</v>
          </cell>
        </row>
        <row r="1178">
          <cell r="F1178" t="str">
            <v>1103201828</v>
          </cell>
        </row>
        <row r="1179">
          <cell r="F1179" t="str">
            <v>1103201804</v>
          </cell>
        </row>
        <row r="1180">
          <cell r="F1180" t="str">
            <v>210235A3SUH19A000088</v>
          </cell>
        </row>
        <row r="1181">
          <cell r="F1181" t="str">
            <v>210235A3SUH19A000277</v>
          </cell>
        </row>
        <row r="1182">
          <cell r="F1182" t="str">
            <v>210235A3SUH19A000051</v>
          </cell>
        </row>
        <row r="1183">
          <cell r="F1183" t="str">
            <v>210235A3SUH19A000169</v>
          </cell>
        </row>
        <row r="1184">
          <cell r="F1184" t="str">
            <v>210235A3SUH19B000046</v>
          </cell>
        </row>
        <row r="1185">
          <cell r="F1185" t="str">
            <v>210235A3SUH19B000033</v>
          </cell>
        </row>
        <row r="1186">
          <cell r="F1186" t="str">
            <v>210235A3SUH19B000112</v>
          </cell>
        </row>
        <row r="1187">
          <cell r="F1187" t="str">
            <v>210235A3SUH19B000116</v>
          </cell>
        </row>
        <row r="1188">
          <cell r="F1188" t="str">
            <v>210235A3SUH19B000032</v>
          </cell>
        </row>
        <row r="1189">
          <cell r="F1189" t="str">
            <v>210235A3SUH19B000017</v>
          </cell>
        </row>
        <row r="1190">
          <cell r="F1190" t="str">
            <v>J301DX2B</v>
          </cell>
        </row>
        <row r="1191">
          <cell r="F1191" t="str">
            <v>J301DX24</v>
          </cell>
        </row>
        <row r="1192">
          <cell r="F1192" t="str">
            <v>J301DX28</v>
          </cell>
        </row>
        <row r="1193">
          <cell r="F1193" t="str">
            <v>J301DX27</v>
          </cell>
        </row>
        <row r="1194">
          <cell r="F1194" t="str">
            <v>210235A3GLH19B000010</v>
          </cell>
        </row>
        <row r="1195">
          <cell r="F1195" t="str">
            <v>210235A3GLH19B000009</v>
          </cell>
        </row>
        <row r="1196">
          <cell r="F1196" t="str">
            <v>210235A3GLH19B000005</v>
          </cell>
        </row>
        <row r="1197">
          <cell r="F1197" t="str">
            <v>210235A3GLH19B000003</v>
          </cell>
        </row>
        <row r="1198">
          <cell r="F1198" t="str">
            <v>2102350DLVDMK9000079</v>
          </cell>
        </row>
        <row r="1199">
          <cell r="F1199" t="str">
            <v>2102350DLVDMK8001583</v>
          </cell>
        </row>
        <row r="1200">
          <cell r="F1200" t="str">
            <v>2102350DLVDMK9000061</v>
          </cell>
        </row>
        <row r="1201">
          <cell r="F1201" t="str">
            <v>2102350DLVDMK9000107</v>
          </cell>
        </row>
        <row r="1202">
          <cell r="F1202" t="str">
            <v>YDTSA26501910240017</v>
          </cell>
        </row>
        <row r="1203">
          <cell r="F1203" t="str">
            <v>YDTSA26501910240020</v>
          </cell>
        </row>
        <row r="1204">
          <cell r="F1204" t="str">
            <v>YDTSA26501910240007</v>
          </cell>
        </row>
        <row r="1205">
          <cell r="F1205" t="str">
            <v>YDTSA26501910240012</v>
          </cell>
        </row>
        <row r="1206">
          <cell r="F1206" t="str">
            <v>YDTSA26501910240015</v>
          </cell>
        </row>
        <row r="1207">
          <cell r="F1207" t="str">
            <v>YDTSA26501910240014</v>
          </cell>
        </row>
        <row r="1208">
          <cell r="F1208" t="str">
            <v>YDTSA26501910240001</v>
          </cell>
        </row>
        <row r="1209">
          <cell r="F1209" t="str">
            <v>YDTSA26501910240019</v>
          </cell>
        </row>
        <row r="1210">
          <cell r="F1210" t="str">
            <v>YDTSA26501910240016</v>
          </cell>
        </row>
        <row r="1211">
          <cell r="F1211" t="str">
            <v>YDTSA26501910240013</v>
          </cell>
        </row>
        <row r="1212">
          <cell r="F1212" t="str">
            <v>ASG1000-III2F02D64621</v>
          </cell>
        </row>
        <row r="1213">
          <cell r="F1213" t="str">
            <v>ASG1000-III2F02D64622</v>
          </cell>
        </row>
        <row r="1214">
          <cell r="F1214" t="str">
            <v>ASG1000-III2F0289ACC1</v>
          </cell>
        </row>
        <row r="1215">
          <cell r="F1215" t="str">
            <v>ASG1000-III2F0289ACC2</v>
          </cell>
        </row>
        <row r="1216">
          <cell r="F1216" t="str">
            <v>LVS2000S2F02B8D5E1</v>
          </cell>
        </row>
        <row r="1217">
          <cell r="F1217" t="str">
            <v>LVS2000S2F02B8D5E2</v>
          </cell>
        </row>
        <row r="1218">
          <cell r="F1218" t="str">
            <v>LVS2000S2F02B8D5E3</v>
          </cell>
        </row>
        <row r="1219">
          <cell r="F1219" t="str">
            <v>LVS2000S2F02B8D5E4</v>
          </cell>
        </row>
        <row r="1220">
          <cell r="F1220" t="str">
            <v>EME42802F027C3F46</v>
          </cell>
        </row>
        <row r="1221">
          <cell r="F1221" t="str">
            <v>YD-SW10-242F02D841F1</v>
          </cell>
        </row>
        <row r="1222">
          <cell r="F1222" t="str">
            <v>YD-SW10-242F02D841F2</v>
          </cell>
        </row>
        <row r="1223">
          <cell r="F1223" t="str">
            <v>YD-SW10-242F02D841F3</v>
          </cell>
        </row>
        <row r="1224">
          <cell r="F1224" t="str">
            <v>YD-SW10-242F02D841F4</v>
          </cell>
        </row>
        <row r="1225">
          <cell r="F1225" t="str">
            <v>YD-SW10-242F02D841F5</v>
          </cell>
        </row>
        <row r="1226">
          <cell r="F1226" t="str">
            <v>YD-SW10-242F02D841F9</v>
          </cell>
        </row>
        <row r="1227">
          <cell r="F1227" t="str">
            <v>YD-SW10-242F02D841F7</v>
          </cell>
        </row>
        <row r="1228">
          <cell r="F1228" t="str">
            <v>YD-SW10-242F02D841F8</v>
          </cell>
        </row>
        <row r="1229">
          <cell r="F1229" t="str">
            <v>YD-SW10-242F02D841F6</v>
          </cell>
        </row>
        <row r="1230">
          <cell r="F1230" t="str">
            <v>YD-SW10-242F02D841FA</v>
          </cell>
        </row>
        <row r="1231">
          <cell r="F1231" t="str">
            <v>YD-SW10-242F02D841FB</v>
          </cell>
        </row>
        <row r="1232">
          <cell r="F1232" t="str">
            <v>YD-SW10-242F02D841FC</v>
          </cell>
        </row>
        <row r="1233">
          <cell r="F1233" t="str">
            <v>1103201835</v>
          </cell>
        </row>
        <row r="1234">
          <cell r="F1234" t="str">
            <v>1103201811</v>
          </cell>
        </row>
        <row r="1235">
          <cell r="F1235" t="str">
            <v>\</v>
          </cell>
        </row>
        <row r="1236">
          <cell r="F1236" t="str">
            <v>1019B0087960
1019B0087962
1019B0085124    
1019B0085123
1019B0085114
1019B0085111</v>
          </cell>
        </row>
        <row r="1237">
          <cell r="F1237" t="str">
            <v>1019B0087958
1019B0087961
1019B0085126
1019B0085125
1019B0085122
1019B0085112</v>
          </cell>
        </row>
        <row r="1238">
          <cell r="F1238" t="str">
            <v>210235A3SUH198000031</v>
          </cell>
        </row>
        <row r="1239">
          <cell r="F1239" t="str">
            <v>210235A3SUH19B000084</v>
          </cell>
        </row>
        <row r="1240">
          <cell r="F1240" t="str">
            <v>210235A3SUH19A000272</v>
          </cell>
        </row>
        <row r="1241">
          <cell r="F1241" t="str">
            <v>210235A3SUH19A000188</v>
          </cell>
        </row>
        <row r="1242">
          <cell r="F1242" t="str">
            <v>210235A3SUH19B000082</v>
          </cell>
        </row>
        <row r="1243">
          <cell r="F1243" t="str">
            <v>210235A3SUH19A000228</v>
          </cell>
        </row>
        <row r="1244">
          <cell r="F1244" t="str">
            <v>210235A3SUH19B000083</v>
          </cell>
        </row>
        <row r="1245">
          <cell r="F1245" t="str">
            <v>210235A3SUH19A000159</v>
          </cell>
        </row>
        <row r="1246">
          <cell r="F1246" t="str">
            <v>210235A3SUH19B000062</v>
          </cell>
        </row>
        <row r="1247">
          <cell r="F1247" t="str">
            <v>210235A3SUH19B000024</v>
          </cell>
        </row>
        <row r="1248">
          <cell r="F1248" t="str">
            <v>210235A3SUH19A000178</v>
          </cell>
        </row>
        <row r="1249">
          <cell r="F1249" t="str">
            <v>210235A3SUH19A000306</v>
          </cell>
        </row>
        <row r="1250">
          <cell r="F1250" t="str">
            <v>210235A3SUH19B000092</v>
          </cell>
        </row>
        <row r="1251">
          <cell r="F1251" t="str">
            <v>210235A3SUH19B000081</v>
          </cell>
        </row>
        <row r="1252">
          <cell r="F1252" t="str">
            <v>210235A3SUH19B000031</v>
          </cell>
        </row>
        <row r="1253">
          <cell r="F1253" t="str">
            <v>210235A3SUH19B000019</v>
          </cell>
        </row>
        <row r="1254">
          <cell r="F1254" t="str">
            <v>210235A3SUH19A000163</v>
          </cell>
        </row>
        <row r="1255">
          <cell r="F1255" t="str">
            <v>210235A3SUH19B000029</v>
          </cell>
        </row>
        <row r="1256">
          <cell r="F1256" t="str">
            <v>210235A3SUH19A000219</v>
          </cell>
        </row>
        <row r="1257">
          <cell r="F1257" t="str">
            <v>210235A3SUH19A000189</v>
          </cell>
        </row>
        <row r="1258">
          <cell r="F1258" t="str">
            <v>210235A3SUH19A000156</v>
          </cell>
        </row>
        <row r="1259">
          <cell r="F1259" t="str">
            <v>210235A3SUH19B000027</v>
          </cell>
        </row>
        <row r="1260">
          <cell r="F1260" t="str">
            <v>210235A3SUH19B000016</v>
          </cell>
        </row>
        <row r="1261">
          <cell r="F1261" t="str">
            <v>210235A3SUH19B000085</v>
          </cell>
        </row>
        <row r="1262">
          <cell r="F1262" t="str">
            <v>210235A3SUH19A000218</v>
          </cell>
        </row>
        <row r="1263">
          <cell r="F1263" t="str">
            <v>210235A3SUH19A000176</v>
          </cell>
        </row>
        <row r="1264">
          <cell r="F1264" t="str">
            <v>210235A3SUH19A000192</v>
          </cell>
        </row>
        <row r="1265">
          <cell r="F1265" t="str">
            <v>210235A3SUH19B000079</v>
          </cell>
        </row>
        <row r="1266">
          <cell r="F1266" t="str">
            <v>210235A3SUH19B000030</v>
          </cell>
        </row>
        <row r="1267">
          <cell r="F1267" t="str">
            <v>210235A3SUH19B000014</v>
          </cell>
        </row>
        <row r="1268">
          <cell r="F1268" t="str">
            <v>210235A3SUH19A000226</v>
          </cell>
        </row>
        <row r="1269">
          <cell r="F1269" t="str">
            <v>210235A3SUH19A000227</v>
          </cell>
        </row>
        <row r="1270">
          <cell r="F1270" t="str">
            <v>210235A3SUH19B000075</v>
          </cell>
        </row>
        <row r="1271">
          <cell r="F1271" t="str">
            <v>210235A3SUH19B000072</v>
          </cell>
        </row>
        <row r="1272">
          <cell r="F1272" t="str">
            <v>210235A3SUH19B000026</v>
          </cell>
        </row>
        <row r="1273">
          <cell r="F1273" t="str">
            <v>210235A3SUH19B000023</v>
          </cell>
        </row>
        <row r="1274">
          <cell r="F1274" t="str">
            <v>210235A3SUH19A000165</v>
          </cell>
        </row>
        <row r="1275">
          <cell r="F1275" t="str">
            <v>210235A3SUH19A000190</v>
          </cell>
        </row>
        <row r="1276">
          <cell r="F1276" t="str">
            <v>210235A3SUH19A000182</v>
          </cell>
        </row>
        <row r="1277">
          <cell r="F1277" t="str">
            <v>210235A3SUH19A000155</v>
          </cell>
        </row>
        <row r="1278">
          <cell r="F1278" t="str">
            <v>210235A3SUH19A000174</v>
          </cell>
        </row>
        <row r="1279">
          <cell r="F1279" t="str">
            <v>210235A3SUH19A000158</v>
          </cell>
        </row>
        <row r="1280">
          <cell r="F1280" t="str">
            <v>210235A3SUH195000049</v>
          </cell>
        </row>
        <row r="1281">
          <cell r="F1281" t="str">
            <v>210235A3SUH19A000179</v>
          </cell>
        </row>
        <row r="1282">
          <cell r="F1282" t="str">
            <v>210235A3SUH19A000275</v>
          </cell>
        </row>
        <row r="1283">
          <cell r="F1283" t="str">
            <v>210235A3SUH19B000066</v>
          </cell>
        </row>
        <row r="1284">
          <cell r="F1284" t="str">
            <v>210235A3SUH19B000074</v>
          </cell>
        </row>
        <row r="1285">
          <cell r="F1285" t="str">
            <v>210235A3SUH199000056</v>
          </cell>
        </row>
        <row r="1286">
          <cell r="F1286" t="str">
            <v>210235A3SUH19B000034</v>
          </cell>
        </row>
        <row r="1287">
          <cell r="F1287" t="str">
            <v>210235A3SUH19B000120</v>
          </cell>
        </row>
        <row r="1288">
          <cell r="F1288" t="str">
            <v>210235A3SUH19B000080</v>
          </cell>
        </row>
        <row r="1289">
          <cell r="F1289" t="str">
            <v>210235A3SUH19B000077</v>
          </cell>
        </row>
        <row r="1290">
          <cell r="F1290" t="str">
            <v>210235A3SUH19A000270</v>
          </cell>
        </row>
        <row r="1291">
          <cell r="F1291" t="str">
            <v>210235A3SUH19B000025</v>
          </cell>
        </row>
        <row r="1292">
          <cell r="F1292" t="str">
            <v>210235A3SUH19A000161</v>
          </cell>
        </row>
        <row r="1293">
          <cell r="F1293" t="str">
            <v>210235A3SUH19B000076</v>
          </cell>
        </row>
        <row r="1294">
          <cell r="F1294" t="str">
            <v>210235A3SUH19A000177</v>
          </cell>
        </row>
        <row r="1295">
          <cell r="F1295" t="str">
            <v>210235A3SUH19B000067</v>
          </cell>
        </row>
        <row r="1296">
          <cell r="F1296" t="str">
            <v>210235A3SUH19A000172</v>
          </cell>
        </row>
        <row r="1297">
          <cell r="F1297" t="str">
            <v>210235A3SUH19B000028</v>
          </cell>
        </row>
        <row r="1298">
          <cell r="F1298" t="str">
            <v>210235A3SUH19B000069</v>
          </cell>
        </row>
        <row r="1299">
          <cell r="F1299" t="str">
            <v>210235A3SUH19B000011</v>
          </cell>
        </row>
        <row r="1300">
          <cell r="F1300" t="str">
            <v>210235A3SUH19B000018</v>
          </cell>
        </row>
        <row r="1301">
          <cell r="F1301" t="str">
            <v>210235A3SUH19B000015</v>
          </cell>
        </row>
        <row r="1302">
          <cell r="F1302" t="str">
            <v>210235A3SUH19A000215</v>
          </cell>
        </row>
        <row r="1303">
          <cell r="F1303" t="str">
            <v>210235A3SUH19A000214</v>
          </cell>
        </row>
        <row r="1304">
          <cell r="F1304" t="str">
            <v>210235A3SUH19A000133</v>
          </cell>
        </row>
        <row r="1305">
          <cell r="F1305" t="str">
            <v>210235A3SUH19A000276</v>
          </cell>
        </row>
        <row r="1306">
          <cell r="F1306" t="str">
            <v>210235A3SUH19A000082</v>
          </cell>
        </row>
        <row r="1307">
          <cell r="F1307" t="str">
            <v>210235A3SUH19A000185</v>
          </cell>
        </row>
        <row r="1308">
          <cell r="F1308" t="str">
            <v>210235A3SUH19A000220</v>
          </cell>
        </row>
        <row r="1309">
          <cell r="F1309" t="str">
            <v>210235A3SUH19A000201</v>
          </cell>
        </row>
        <row r="1310">
          <cell r="F1310" t="str">
            <v>210235A3SUH19A000372</v>
          </cell>
        </row>
        <row r="1311">
          <cell r="F1311" t="str">
            <v>210235A3SUH19A000187</v>
          </cell>
        </row>
        <row r="1312">
          <cell r="F1312" t="str">
            <v>210235A3SUH198000024</v>
          </cell>
        </row>
        <row r="1313">
          <cell r="F1313" t="str">
            <v>210235A3SUH19A000255</v>
          </cell>
        </row>
        <row r="1314">
          <cell r="F1314" t="str">
            <v>210235A3SUH19A000335</v>
          </cell>
        </row>
        <row r="1315">
          <cell r="F1315" t="str">
            <v>210235A3SUH19A000164</v>
          </cell>
        </row>
        <row r="1316">
          <cell r="F1316" t="str">
            <v>210235A3SUH19A000078</v>
          </cell>
        </row>
        <row r="1317">
          <cell r="F1317" t="str">
            <v>210235A3SUH197000021</v>
          </cell>
        </row>
        <row r="1318">
          <cell r="F1318" t="str">
            <v>J301D843</v>
          </cell>
        </row>
        <row r="1319">
          <cell r="F1319" t="str">
            <v>J301D842</v>
          </cell>
        </row>
        <row r="1320">
          <cell r="F1320" t="str">
            <v>210235A3GLH19B000002</v>
          </cell>
        </row>
        <row r="1321">
          <cell r="F1321" t="str">
            <v>210235A3GLH19B000001</v>
          </cell>
        </row>
        <row r="1322">
          <cell r="F1322" t="str">
            <v>210235A3GLH19B000006</v>
          </cell>
        </row>
        <row r="1323">
          <cell r="F1323" t="str">
            <v>210235A3GLH19B000008</v>
          </cell>
        </row>
        <row r="1324">
          <cell r="F1324" t="str">
            <v>2102350DLVDMK9000066</v>
          </cell>
        </row>
        <row r="1325">
          <cell r="F1325" t="str">
            <v>2102350DLVDMK9000088</v>
          </cell>
        </row>
        <row r="1326">
          <cell r="F1326" t="str">
            <v>ASG1000-III2F0289ACC3</v>
          </cell>
        </row>
        <row r="1327">
          <cell r="F1327" t="str">
            <v>ASG1000-III2F0289ACC4</v>
          </cell>
        </row>
        <row r="1328">
          <cell r="F1328" t="str">
            <v>210235A3SVH19B000004</v>
          </cell>
        </row>
        <row r="1329">
          <cell r="F1329" t="str">
            <v>210235A3SVH19B000011</v>
          </cell>
        </row>
        <row r="1330">
          <cell r="F1330" t="str">
            <v>210235A3SVH19B000026</v>
          </cell>
        </row>
        <row r="1331">
          <cell r="F1331" t="str">
            <v>210235A3SVH19B000008</v>
          </cell>
        </row>
        <row r="1332">
          <cell r="F1332" t="str">
            <v>210235A3SVH199000020</v>
          </cell>
        </row>
        <row r="1333">
          <cell r="F1333" t="str">
            <v>210235A3SVH19B000012</v>
          </cell>
        </row>
        <row r="1334">
          <cell r="F1334" t="str">
            <v>210235A3SVH19B000002</v>
          </cell>
        </row>
        <row r="1335">
          <cell r="F1335" t="str">
            <v>210235A3SVH19A000011</v>
          </cell>
        </row>
        <row r="1336">
          <cell r="F1336" t="str">
            <v>J320P49</v>
          </cell>
        </row>
        <row r="1337">
          <cell r="F1337" t="str">
            <v>DRPDF3X</v>
          </cell>
        </row>
        <row r="1338">
          <cell r="F1338" t="str">
            <v>1SPDF3X</v>
          </cell>
        </row>
        <row r="1339">
          <cell r="F1339" t="str">
            <v>2SPDF3X</v>
          </cell>
        </row>
        <row r="1340">
          <cell r="F1340" t="str">
            <v>AK00249837</v>
          </cell>
        </row>
        <row r="1341">
          <cell r="F1341" t="str">
            <v>1442NMY01R</v>
          </cell>
        </row>
        <row r="1342">
          <cell r="F1342" t="str">
            <v>1442NMY00K</v>
          </cell>
        </row>
        <row r="1343">
          <cell r="F1343" t="str">
            <v>1442NMY00U</v>
          </cell>
        </row>
        <row r="1344">
          <cell r="F1344" t="str">
            <v>1442NMY01C</v>
          </cell>
        </row>
        <row r="1345">
          <cell r="F1345" t="str">
            <v>1442NMY01V</v>
          </cell>
        </row>
        <row r="1346">
          <cell r="F1346" t="str">
            <v>1442NMY01J</v>
          </cell>
        </row>
        <row r="1347">
          <cell r="F1347" t="str">
            <v>1442NMY007</v>
          </cell>
        </row>
        <row r="1348">
          <cell r="F1348" t="str">
            <v>1442NMY005</v>
          </cell>
        </row>
        <row r="1349">
          <cell r="F1349" t="str">
            <v>1442NMY010</v>
          </cell>
        </row>
        <row r="1350">
          <cell r="F1350" t="str">
            <v>1442NMY00R</v>
          </cell>
        </row>
        <row r="1351">
          <cell r="F1351" t="str">
            <v>AK00249838</v>
          </cell>
        </row>
        <row r="1352">
          <cell r="F1352" t="str">
            <v>1442NMY01M</v>
          </cell>
        </row>
        <row r="1353">
          <cell r="F1353" t="str">
            <v>1442NMY01E</v>
          </cell>
        </row>
        <row r="1354">
          <cell r="F1354" t="str">
            <v>1442NMY01K</v>
          </cell>
        </row>
        <row r="1355">
          <cell r="F1355" t="str">
            <v>1442NMY01F</v>
          </cell>
        </row>
        <row r="1356">
          <cell r="F1356" t="str">
            <v>1442NMY009</v>
          </cell>
        </row>
        <row r="1357">
          <cell r="F1357" t="str">
            <v>1442NMY00C</v>
          </cell>
        </row>
        <row r="1358">
          <cell r="F1358" t="str">
            <v>1442NMY01W</v>
          </cell>
        </row>
        <row r="1359">
          <cell r="F1359" t="str">
            <v>1442NMY00F</v>
          </cell>
        </row>
        <row r="1360">
          <cell r="F1360" t="str">
            <v>1442NMY006</v>
          </cell>
        </row>
        <row r="1361">
          <cell r="F1361" t="str">
            <v>1442NMY00J</v>
          </cell>
        </row>
        <row r="1362">
          <cell r="F1362" t="str">
            <v>AK00249842</v>
          </cell>
        </row>
        <row r="1363">
          <cell r="F1363" t="str">
            <v>1442NMY01N</v>
          </cell>
        </row>
        <row r="1364">
          <cell r="F1364" t="str">
            <v>1442NMY008</v>
          </cell>
        </row>
        <row r="1365">
          <cell r="F1365" t="str">
            <v>1442NMY020</v>
          </cell>
        </row>
        <row r="1366">
          <cell r="F1366" t="str">
            <v>1442NMY01Y</v>
          </cell>
        </row>
        <row r="1367">
          <cell r="F1367" t="str">
            <v>1442NMY00D</v>
          </cell>
        </row>
        <row r="1368">
          <cell r="F1368" t="str">
            <v>1442NMY00G</v>
          </cell>
        </row>
        <row r="1369">
          <cell r="F1369" t="str">
            <v>1442NMY01X</v>
          </cell>
        </row>
        <row r="1370">
          <cell r="F1370" t="str">
            <v>1442NMY003</v>
          </cell>
        </row>
        <row r="1371">
          <cell r="F1371" t="str">
            <v>1442NMY00E</v>
          </cell>
        </row>
        <row r="1372">
          <cell r="F1372" t="str">
            <v>J301DXT7</v>
          </cell>
        </row>
        <row r="1373">
          <cell r="F1373" t="str">
            <v>J301DXRW</v>
          </cell>
        </row>
        <row r="1374">
          <cell r="F1374" t="str">
            <v>J301DXTH</v>
          </cell>
        </row>
        <row r="1375">
          <cell r="F1375" t="str">
            <v>J301DXTA</v>
          </cell>
        </row>
        <row r="1376">
          <cell r="F1376" t="str">
            <v>J301DXT6</v>
          </cell>
        </row>
        <row r="1377">
          <cell r="F1377" t="str">
            <v>J301DXRX</v>
          </cell>
        </row>
        <row r="1378">
          <cell r="F1378" t="str">
            <v>J301DXRV</v>
          </cell>
        </row>
        <row r="1379">
          <cell r="F1379" t="str">
            <v>J301DXT8</v>
          </cell>
        </row>
        <row r="1380">
          <cell r="F1380" t="str">
            <v>J301EBDE</v>
          </cell>
        </row>
        <row r="1381">
          <cell r="F1381" t="str">
            <v>J301DXTG</v>
          </cell>
        </row>
        <row r="1382">
          <cell r="F1382" t="str">
            <v>J301DXT5</v>
          </cell>
        </row>
        <row r="1383">
          <cell r="F1383" t="str">
            <v>J301DXT4</v>
          </cell>
        </row>
        <row r="1384">
          <cell r="F1384" t="str">
            <v>J301D84F</v>
          </cell>
        </row>
        <row r="1385">
          <cell r="F1385" t="str">
            <v>J301D84R</v>
          </cell>
        </row>
        <row r="1386">
          <cell r="F1386" t="str">
            <v>J301D84D</v>
          </cell>
        </row>
        <row r="1387">
          <cell r="F1387" t="str">
            <v>J301D84H</v>
          </cell>
        </row>
        <row r="1388">
          <cell r="F1388" t="str">
            <v>J301D84G</v>
          </cell>
        </row>
        <row r="1389">
          <cell r="F1389" t="str">
            <v>J301D84T</v>
          </cell>
        </row>
        <row r="1390">
          <cell r="F1390" t="str">
            <v>J301D84C</v>
          </cell>
        </row>
        <row r="1391">
          <cell r="F1391" t="str">
            <v>J301D84A</v>
          </cell>
        </row>
        <row r="1392">
          <cell r="F1392" t="str">
            <v>J301D84W</v>
          </cell>
        </row>
        <row r="1393">
          <cell r="F1393" t="str">
            <v>J301D848</v>
          </cell>
        </row>
        <row r="1394">
          <cell r="F1394" t="str">
            <v>J301D84P</v>
          </cell>
        </row>
        <row r="1395">
          <cell r="F1395" t="str">
            <v>J301D84V</v>
          </cell>
        </row>
        <row r="1396">
          <cell r="F1396" t="str">
            <v>J301D84B</v>
          </cell>
        </row>
        <row r="1397">
          <cell r="F1397" t="str">
            <v>J301D846</v>
          </cell>
        </row>
        <row r="1398">
          <cell r="F1398" t="str">
            <v>J301D845</v>
          </cell>
        </row>
        <row r="1399">
          <cell r="F1399" t="str">
            <v>J301D84L</v>
          </cell>
        </row>
        <row r="1400">
          <cell r="F1400" t="str">
            <v>J301D847</v>
          </cell>
        </row>
        <row r="1401">
          <cell r="F1401" t="str">
            <v>J301D84E</v>
          </cell>
        </row>
        <row r="1402">
          <cell r="F1402" t="str">
            <v>J301D84X</v>
          </cell>
        </row>
        <row r="1403">
          <cell r="F1403" t="str">
            <v>J301D84N</v>
          </cell>
        </row>
        <row r="1404">
          <cell r="F1404" t="str">
            <v>J301DXRZ</v>
          </cell>
        </row>
        <row r="1405">
          <cell r="F1405" t="str">
            <v>J301DXTF</v>
          </cell>
        </row>
        <row r="1406">
          <cell r="F1406" t="str">
            <v>J301DXT3</v>
          </cell>
        </row>
        <row r="1407">
          <cell r="F1407" t="str">
            <v>J301DXRY</v>
          </cell>
        </row>
        <row r="1408">
          <cell r="F1408" t="str">
            <v>J301DXT9</v>
          </cell>
        </row>
        <row r="1409">
          <cell r="F1409" t="str">
            <v>J301DXT1</v>
          </cell>
        </row>
        <row r="1410">
          <cell r="F1410" t="str">
            <v>J301DXT0</v>
          </cell>
        </row>
        <row r="1411">
          <cell r="F1411" t="str">
            <v>J301DXTD</v>
          </cell>
        </row>
        <row r="1412">
          <cell r="F1412" t="str">
            <v>J301DXTE</v>
          </cell>
        </row>
        <row r="1413">
          <cell r="F1413" t="str">
            <v>J301DXTB</v>
          </cell>
        </row>
        <row r="1414">
          <cell r="F1414" t="str">
            <v>J301DXTC</v>
          </cell>
        </row>
        <row r="1415">
          <cell r="F1415" t="str">
            <v>J301DXT2</v>
          </cell>
        </row>
        <row r="1416">
          <cell r="F1416" t="str">
            <v>J301D84M</v>
          </cell>
        </row>
        <row r="1417">
          <cell r="F1417" t="str">
            <v>J301D844</v>
          </cell>
        </row>
        <row r="1418">
          <cell r="F1418" t="str">
            <v>J301D849</v>
          </cell>
        </row>
        <row r="1419">
          <cell r="F1419" t="str">
            <v>J301D84K</v>
          </cell>
        </row>
        <row r="1420">
          <cell r="F1420" t="str">
            <v>191103201750</v>
          </cell>
        </row>
        <row r="1421">
          <cell r="F1421" t="str">
            <v>191103201712</v>
          </cell>
        </row>
        <row r="1422">
          <cell r="F1422" t="str">
            <v>191103201781</v>
          </cell>
        </row>
        <row r="1423">
          <cell r="F1423" t="str">
            <v>1019B0052331</v>
          </cell>
        </row>
        <row r="1424">
          <cell r="F1424" t="str">
            <v>1019B0052328</v>
          </cell>
        </row>
        <row r="1425">
          <cell r="F1425" t="str">
            <v>2102350DLVDMK9000110</v>
          </cell>
        </row>
        <row r="1426">
          <cell r="F1426" t="str">
            <v>2102350DLVDMK9000070</v>
          </cell>
        </row>
        <row r="1427">
          <cell r="F1427" t="str">
            <v>1442NMY01L</v>
          </cell>
        </row>
        <row r="1428">
          <cell r="F1428" t="str">
            <v>84829BV</v>
          </cell>
        </row>
        <row r="1429">
          <cell r="F1429" t="str">
            <v>84829CV</v>
          </cell>
        </row>
        <row r="1430">
          <cell r="F1430" t="str">
            <v>FCH2120V263</v>
          </cell>
        </row>
        <row r="1431">
          <cell r="F1431" t="str">
            <v>FCH2125V1VM</v>
          </cell>
        </row>
        <row r="1432">
          <cell r="F1432" t="str">
            <v>FCH2138V0U6</v>
          </cell>
        </row>
        <row r="1433">
          <cell r="F1433" t="str">
            <v>FCH2126V17G</v>
          </cell>
        </row>
        <row r="1434">
          <cell r="F1434" t="str">
            <v>FCH2126V17E</v>
          </cell>
        </row>
        <row r="1435">
          <cell r="F1435" t="str">
            <v>FCH2120V264</v>
          </cell>
        </row>
        <row r="1436">
          <cell r="F1436" t="str">
            <v>FCH2138V0VD</v>
          </cell>
        </row>
        <row r="1437">
          <cell r="F1437" t="str">
            <v>FCH2120V25X</v>
          </cell>
        </row>
        <row r="1438">
          <cell r="F1438" t="str">
            <v>FCH2120V28M</v>
          </cell>
        </row>
        <row r="1439">
          <cell r="F1439" t="str">
            <v>FCH2120V286</v>
          </cell>
        </row>
        <row r="1440">
          <cell r="F1440" t="str">
            <v>FCH2120V26U</v>
          </cell>
        </row>
        <row r="1441">
          <cell r="F1441" t="str">
            <v>FCH2126V169</v>
          </cell>
        </row>
        <row r="1442">
          <cell r="F1442" t="str">
            <v>FCH2120V27T</v>
          </cell>
        </row>
        <row r="1443">
          <cell r="F1443" t="str">
            <v>FCH2138V0YX</v>
          </cell>
        </row>
        <row r="1444">
          <cell r="F1444" t="str">
            <v>J320C2H</v>
          </cell>
        </row>
        <row r="1445">
          <cell r="F1445" t="str">
            <v>J320C2L</v>
          </cell>
        </row>
        <row r="1446">
          <cell r="F1446" t="str">
            <v>J33GHLP</v>
          </cell>
        </row>
        <row r="1447">
          <cell r="F1447" t="str">
            <v>J33GHLV</v>
          </cell>
        </row>
        <row r="1448">
          <cell r="F1448" t="str">
            <v>J33GT03</v>
          </cell>
        </row>
        <row r="1449">
          <cell r="F1449" t="str">
            <v>J33GRZX</v>
          </cell>
        </row>
        <row r="1450">
          <cell r="F1450" t="str">
            <v>J33GHMF</v>
          </cell>
        </row>
        <row r="1451">
          <cell r="F1451" t="str">
            <v>J33GHM4</v>
          </cell>
        </row>
        <row r="1452">
          <cell r="F1452" t="str">
            <v>J33GHLL</v>
          </cell>
        </row>
        <row r="1453">
          <cell r="F1453" t="str">
            <v>J33GHLN</v>
          </cell>
        </row>
        <row r="1454">
          <cell r="F1454" t="str">
            <v>J33GHLM</v>
          </cell>
        </row>
        <row r="1455">
          <cell r="F1455" t="str">
            <v>J33GHMR</v>
          </cell>
        </row>
        <row r="1456">
          <cell r="F1456" t="str">
            <v>J33GHMA</v>
          </cell>
        </row>
        <row r="1457">
          <cell r="F1457" t="str">
            <v>J33GRZW</v>
          </cell>
        </row>
        <row r="1458">
          <cell r="F1458" t="str">
            <v>J33GHN1</v>
          </cell>
        </row>
        <row r="1459">
          <cell r="F1459" t="str">
            <v>J33GHL0</v>
          </cell>
        </row>
        <row r="1460">
          <cell r="F1460" t="str">
            <v>J33GHMY</v>
          </cell>
        </row>
        <row r="1461">
          <cell r="F1461" t="str">
            <v>J33GHLX</v>
          </cell>
        </row>
        <row r="1462">
          <cell r="F1462" t="str">
            <v>J33GT0M</v>
          </cell>
        </row>
        <row r="1463">
          <cell r="F1463" t="str">
            <v>J33GHM7</v>
          </cell>
        </row>
        <row r="1464">
          <cell r="F1464" t="str">
            <v>J33GT0D</v>
          </cell>
        </row>
        <row r="1465">
          <cell r="F1465" t="str">
            <v>J33GHLW</v>
          </cell>
        </row>
        <row r="1466">
          <cell r="F1466" t="str">
            <v>J33GT12</v>
          </cell>
        </row>
        <row r="1467">
          <cell r="F1467" t="str">
            <v>J33GT0V</v>
          </cell>
        </row>
        <row r="1468">
          <cell r="F1468" t="str">
            <v>J33GT0X</v>
          </cell>
        </row>
        <row r="1469">
          <cell r="F1469" t="str">
            <v>J33GRZR</v>
          </cell>
        </row>
        <row r="1470">
          <cell r="F1470" t="str">
            <v>J33GRZV</v>
          </cell>
        </row>
        <row r="1471">
          <cell r="F1471" t="str">
            <v>J33GRZC</v>
          </cell>
        </row>
        <row r="1472">
          <cell r="F1472" t="str">
            <v>J33GRZN</v>
          </cell>
        </row>
        <row r="1473">
          <cell r="F1473" t="str">
            <v>J33GT2B</v>
          </cell>
        </row>
        <row r="1474">
          <cell r="F1474" t="str">
            <v>J33GT05</v>
          </cell>
        </row>
        <row r="1475">
          <cell r="F1475" t="str">
            <v>J33GT32</v>
          </cell>
        </row>
        <row r="1476">
          <cell r="F1476" t="str">
            <v>J33GT04</v>
          </cell>
        </row>
        <row r="1477">
          <cell r="F1477" t="str">
            <v>J33GHM9</v>
          </cell>
        </row>
        <row r="1478">
          <cell r="F1478" t="str">
            <v>J33GT19</v>
          </cell>
        </row>
        <row r="1479">
          <cell r="F1479" t="str">
            <v>J33GRZB</v>
          </cell>
        </row>
        <row r="1480">
          <cell r="F1480" t="str">
            <v>J33GT2L</v>
          </cell>
        </row>
        <row r="1481">
          <cell r="F1481" t="str">
            <v>J33GHMN</v>
          </cell>
        </row>
        <row r="1482">
          <cell r="F1482" t="str">
            <v>J33GT23</v>
          </cell>
        </row>
        <row r="1483">
          <cell r="F1483" t="str">
            <v>J33GT2K</v>
          </cell>
        </row>
        <row r="1484">
          <cell r="F1484" t="str">
            <v>J33GHN5</v>
          </cell>
        </row>
        <row r="1485">
          <cell r="F1485" t="str">
            <v>J33GT00</v>
          </cell>
        </row>
        <row r="1486">
          <cell r="F1486" t="str">
            <v>J33GHM1</v>
          </cell>
        </row>
        <row r="1487">
          <cell r="F1487" t="str">
            <v>J33GT14</v>
          </cell>
        </row>
        <row r="1488">
          <cell r="F1488" t="str">
            <v>J33GT1G</v>
          </cell>
        </row>
        <row r="1489">
          <cell r="F1489" t="str">
            <v>J33GT33</v>
          </cell>
        </row>
        <row r="1490">
          <cell r="F1490" t="str">
            <v>J33GT2T</v>
          </cell>
        </row>
        <row r="1491">
          <cell r="F1491" t="str">
            <v>J33GT06</v>
          </cell>
        </row>
        <row r="1492">
          <cell r="F1492" t="str">
            <v>J33GHLB</v>
          </cell>
        </row>
        <row r="1493">
          <cell r="F1493" t="str">
            <v>J33GHLD</v>
          </cell>
        </row>
        <row r="1494">
          <cell r="F1494" t="str">
            <v>J33GHMZ</v>
          </cell>
        </row>
        <row r="1495">
          <cell r="F1495" t="str">
            <v>J33GRZE</v>
          </cell>
        </row>
        <row r="1496">
          <cell r="F1496" t="str">
            <v>J33GHLG</v>
          </cell>
        </row>
        <row r="1497">
          <cell r="F1497" t="str">
            <v>J33GHLC</v>
          </cell>
        </row>
        <row r="1498">
          <cell r="F1498" t="str">
            <v>J33GT1F</v>
          </cell>
        </row>
        <row r="1499">
          <cell r="F1499" t="str">
            <v>J33GHM3</v>
          </cell>
        </row>
        <row r="1500">
          <cell r="F1500" t="str">
            <v>J33GT0W</v>
          </cell>
        </row>
        <row r="1501">
          <cell r="F1501" t="str">
            <v>J33GT0F</v>
          </cell>
        </row>
        <row r="1502">
          <cell r="F1502" t="str">
            <v>J33GT2A</v>
          </cell>
        </row>
        <row r="1503">
          <cell r="F1503" t="str">
            <v>J33GHLZ</v>
          </cell>
        </row>
        <row r="1504">
          <cell r="F1504" t="str">
            <v>J33GHN6</v>
          </cell>
        </row>
        <row r="1505">
          <cell r="F1505" t="str">
            <v>J33GT17</v>
          </cell>
        </row>
        <row r="1506">
          <cell r="F1506" t="str">
            <v>J33GT13</v>
          </cell>
        </row>
        <row r="1507">
          <cell r="F1507" t="str">
            <v>J33GT0H</v>
          </cell>
        </row>
        <row r="1508">
          <cell r="F1508" t="str">
            <v>J33GT11</v>
          </cell>
        </row>
        <row r="1509">
          <cell r="F1509" t="str">
            <v>J33GT2P</v>
          </cell>
        </row>
        <row r="1510">
          <cell r="F1510" t="str">
            <v>J33GT02</v>
          </cell>
        </row>
        <row r="1511">
          <cell r="F1511" t="str">
            <v>J33GT2X</v>
          </cell>
        </row>
        <row r="1512">
          <cell r="F1512" t="str">
            <v>J33GHMD</v>
          </cell>
        </row>
        <row r="1513">
          <cell r="F1513" t="str">
            <v>J33GT1M</v>
          </cell>
        </row>
        <row r="1514">
          <cell r="F1514" t="str">
            <v>J33GT10</v>
          </cell>
        </row>
        <row r="1515">
          <cell r="F1515" t="str">
            <v>J33GT1A</v>
          </cell>
        </row>
        <row r="1516">
          <cell r="F1516" t="str">
            <v>J33GRZT</v>
          </cell>
        </row>
        <row r="1517">
          <cell r="F1517" t="str">
            <v>J33GRZF</v>
          </cell>
        </row>
        <row r="1518">
          <cell r="F1518" t="str">
            <v>J33GT1B</v>
          </cell>
        </row>
        <row r="1519">
          <cell r="F1519" t="str">
            <v>J33GT09</v>
          </cell>
        </row>
        <row r="1520">
          <cell r="F1520" t="str">
            <v>J33GRZZ</v>
          </cell>
        </row>
        <row r="1521">
          <cell r="F1521" t="str">
            <v>J33GT31</v>
          </cell>
        </row>
        <row r="1522">
          <cell r="F1522" t="str">
            <v>J33GT1Z</v>
          </cell>
        </row>
        <row r="1523">
          <cell r="F1523" t="str">
            <v>J33GT26</v>
          </cell>
        </row>
        <row r="1524">
          <cell r="F1524" t="str">
            <v>J33GRZY</v>
          </cell>
        </row>
        <row r="1525">
          <cell r="F1525" t="str">
            <v>J33GT0A</v>
          </cell>
        </row>
        <row r="1526">
          <cell r="F1526" t="str">
            <v>J33GT21</v>
          </cell>
        </row>
        <row r="1527">
          <cell r="F1527" t="str">
            <v>J33GT0Z</v>
          </cell>
        </row>
        <row r="1528">
          <cell r="F1528" t="str">
            <v>J33GT16</v>
          </cell>
        </row>
        <row r="1529">
          <cell r="F1529" t="str">
            <v>J33GHM6</v>
          </cell>
        </row>
        <row r="1530">
          <cell r="F1530" t="str">
            <v>J33GT2Z</v>
          </cell>
        </row>
        <row r="1531">
          <cell r="F1531" t="str">
            <v>J33GT2C</v>
          </cell>
        </row>
        <row r="1532">
          <cell r="F1532" t="str">
            <v>J33GHN0</v>
          </cell>
        </row>
        <row r="1533">
          <cell r="F1533" t="str">
            <v>J33GHKV</v>
          </cell>
        </row>
        <row r="1534">
          <cell r="F1534" t="str">
            <v>J33GHM5</v>
          </cell>
        </row>
        <row r="1535">
          <cell r="F1535" t="str">
            <v>J33GT29</v>
          </cell>
        </row>
        <row r="1536">
          <cell r="F1536" t="str">
            <v>J33GT1V</v>
          </cell>
        </row>
        <row r="1537">
          <cell r="F1537" t="str">
            <v>J33GT1D</v>
          </cell>
        </row>
        <row r="1538">
          <cell r="F1538" t="str">
            <v>J33GRZM</v>
          </cell>
        </row>
        <row r="1539">
          <cell r="F1539" t="str">
            <v>J33GRZP</v>
          </cell>
        </row>
        <row r="1540">
          <cell r="F1540" t="str">
            <v>J33GT0K</v>
          </cell>
        </row>
        <row r="1541">
          <cell r="F1541" t="str">
            <v>J33GT0T</v>
          </cell>
        </row>
        <row r="1542">
          <cell r="F1542" t="str">
            <v>J33GT0R</v>
          </cell>
        </row>
        <row r="1543">
          <cell r="F1543" t="str">
            <v>J33GT24</v>
          </cell>
        </row>
        <row r="1544">
          <cell r="F1544" t="str">
            <v>J33GT1Y</v>
          </cell>
        </row>
        <row r="1545">
          <cell r="F1545" t="str">
            <v>J33GT1C</v>
          </cell>
        </row>
        <row r="1546">
          <cell r="F1546" t="str">
            <v>J33GHMX</v>
          </cell>
        </row>
        <row r="1547">
          <cell r="F1547" t="str">
            <v>J33GHLF</v>
          </cell>
        </row>
        <row r="1548">
          <cell r="F1548" t="str">
            <v>J33GT2N</v>
          </cell>
        </row>
        <row r="1549">
          <cell r="F1549" t="str">
            <v>J33GHM2</v>
          </cell>
        </row>
        <row r="1550">
          <cell r="F1550" t="str">
            <v>J33GT2G</v>
          </cell>
        </row>
        <row r="1551">
          <cell r="F1551" t="str">
            <v>J33GHMM</v>
          </cell>
        </row>
        <row r="1552">
          <cell r="F1552" t="str">
            <v>J33GT2W</v>
          </cell>
        </row>
        <row r="1553">
          <cell r="F1553" t="str">
            <v>J33GT0N</v>
          </cell>
        </row>
        <row r="1554">
          <cell r="F1554" t="str">
            <v>J33GRZG</v>
          </cell>
        </row>
        <row r="1555">
          <cell r="F1555" t="str">
            <v>J33GT0B</v>
          </cell>
        </row>
        <row r="1556">
          <cell r="F1556" t="str">
            <v>J33GRZ9</v>
          </cell>
        </row>
        <row r="1557">
          <cell r="F1557" t="str">
            <v>J33GHKZ</v>
          </cell>
        </row>
        <row r="1558">
          <cell r="F1558" t="str">
            <v>J33GRZH</v>
          </cell>
        </row>
        <row r="1559">
          <cell r="F1559" t="str">
            <v>J33GT1X</v>
          </cell>
        </row>
        <row r="1560">
          <cell r="F1560" t="str">
            <v>J33GT2V</v>
          </cell>
        </row>
        <row r="1561">
          <cell r="F1561" t="str">
            <v>J33GRZD</v>
          </cell>
        </row>
        <row r="1562">
          <cell r="F1562" t="str">
            <v>J33GHMG</v>
          </cell>
        </row>
        <row r="1563">
          <cell r="F1563" t="str">
            <v>J33GT0L</v>
          </cell>
        </row>
        <row r="1564">
          <cell r="F1564" t="str">
            <v>J33GT2D</v>
          </cell>
        </row>
        <row r="1565">
          <cell r="F1565" t="str">
            <v>J33GHMW</v>
          </cell>
        </row>
        <row r="1566">
          <cell r="F1566" t="str">
            <v>J33GHN3</v>
          </cell>
        </row>
        <row r="1567">
          <cell r="F1567" t="str">
            <v>J33GT2Y</v>
          </cell>
        </row>
        <row r="1568">
          <cell r="F1568" t="str">
            <v>J33GHKT</v>
          </cell>
        </row>
        <row r="1569">
          <cell r="F1569" t="str">
            <v>J33GHLT</v>
          </cell>
        </row>
        <row r="1570">
          <cell r="F1570" t="str">
            <v>J33GHLH</v>
          </cell>
        </row>
        <row r="1571">
          <cell r="F1571" t="str">
            <v>J33GT18</v>
          </cell>
        </row>
        <row r="1572">
          <cell r="F1572" t="str">
            <v>J33GHLE</v>
          </cell>
        </row>
        <row r="1573">
          <cell r="F1573" t="str">
            <v>J33GT1W</v>
          </cell>
        </row>
        <row r="1574">
          <cell r="F1574" t="str">
            <v>J33GHMK</v>
          </cell>
        </row>
        <row r="1575">
          <cell r="F1575" t="str">
            <v>J33GT07</v>
          </cell>
        </row>
        <row r="1576">
          <cell r="F1576" t="str">
            <v>J33GHMT</v>
          </cell>
        </row>
        <row r="1577">
          <cell r="F1577" t="str">
            <v>J33GT0C</v>
          </cell>
        </row>
        <row r="1578">
          <cell r="F1578" t="str">
            <v>J33GT1R</v>
          </cell>
        </row>
        <row r="1579">
          <cell r="F1579" t="str">
            <v>J33GT0G</v>
          </cell>
        </row>
        <row r="1580">
          <cell r="F1580" t="str">
            <v>J33GHN2</v>
          </cell>
        </row>
        <row r="1581">
          <cell r="F1581" t="str">
            <v>J33GT1T</v>
          </cell>
        </row>
        <row r="1582">
          <cell r="F1582" t="str">
            <v>J33GHN4</v>
          </cell>
        </row>
        <row r="1583">
          <cell r="F1583" t="str">
            <v>J33GT0E</v>
          </cell>
        </row>
        <row r="1584">
          <cell r="F1584" t="str">
            <v>J33GHMB</v>
          </cell>
        </row>
        <row r="1585">
          <cell r="F1585" t="str">
            <v>J33GHMC</v>
          </cell>
        </row>
        <row r="1586">
          <cell r="F1586" t="str">
            <v>J320C2K</v>
          </cell>
        </row>
        <row r="1587">
          <cell r="F1587" t="str">
            <v>J33GHMP</v>
          </cell>
        </row>
        <row r="1588">
          <cell r="F1588" t="str">
            <v>J33GT25</v>
          </cell>
        </row>
        <row r="1589">
          <cell r="F1589" t="str">
            <v>J33GT2M</v>
          </cell>
        </row>
        <row r="1590">
          <cell r="F1590" t="str">
            <v>J33GT30</v>
          </cell>
        </row>
        <row r="1591">
          <cell r="F1591" t="str">
            <v>J320C2G</v>
          </cell>
        </row>
        <row r="1592">
          <cell r="F1592" t="str">
            <v>J33GT0P</v>
          </cell>
        </row>
        <row r="1593">
          <cell r="F1593" t="str">
            <v>J33GHM0</v>
          </cell>
        </row>
        <row r="1594">
          <cell r="F1594" t="str">
            <v>J33GT0Y</v>
          </cell>
        </row>
        <row r="1595">
          <cell r="F1595" t="str">
            <v>J33GT2E</v>
          </cell>
        </row>
        <row r="1596">
          <cell r="F1596" t="str">
            <v>J33GHME</v>
          </cell>
        </row>
        <row r="1597">
          <cell r="F1597" t="str">
            <v>J33GRZA</v>
          </cell>
        </row>
        <row r="1598">
          <cell r="F1598" t="str">
            <v>J33GHN7</v>
          </cell>
        </row>
        <row r="1599">
          <cell r="F1599" t="str">
            <v>J33GHL1</v>
          </cell>
        </row>
        <row r="1600">
          <cell r="F1600" t="str">
            <v>J33GRZL</v>
          </cell>
        </row>
        <row r="1601">
          <cell r="F1601" t="str">
            <v>J33GT1N</v>
          </cell>
        </row>
        <row r="1602">
          <cell r="F1602" t="str">
            <v>J33GT1L</v>
          </cell>
        </row>
        <row r="1603">
          <cell r="F1603" t="str">
            <v>J33GT1E</v>
          </cell>
        </row>
        <row r="1604">
          <cell r="F1604" t="str">
            <v>J33GT1H</v>
          </cell>
        </row>
        <row r="1605">
          <cell r="F1605" t="str">
            <v>J33GHLY</v>
          </cell>
        </row>
        <row r="1606">
          <cell r="F1606" t="str">
            <v>J33GHLK</v>
          </cell>
        </row>
        <row r="1607">
          <cell r="F1607" t="str">
            <v>J33GHMV</v>
          </cell>
        </row>
        <row r="1608">
          <cell r="F1608" t="str">
            <v>J33GHML</v>
          </cell>
        </row>
        <row r="1609">
          <cell r="F1609" t="str">
            <v>J33GT28</v>
          </cell>
        </row>
        <row r="1610">
          <cell r="F1610" t="str">
            <v>J33GHLR</v>
          </cell>
        </row>
        <row r="1611">
          <cell r="F1611" t="str">
            <v>J33GT1P</v>
          </cell>
        </row>
        <row r="1612">
          <cell r="F1612" t="str">
            <v>J33GT01</v>
          </cell>
        </row>
        <row r="1613">
          <cell r="F1613" t="str">
            <v>J33GRZK</v>
          </cell>
        </row>
        <row r="1614">
          <cell r="F1614" t="str">
            <v>J33GT08</v>
          </cell>
        </row>
        <row r="1615">
          <cell r="F1615" t="str">
            <v>J33GT2H</v>
          </cell>
        </row>
        <row r="1616">
          <cell r="F1616" t="str">
            <v>J33GHLA</v>
          </cell>
        </row>
        <row r="1617">
          <cell r="F1617" t="str">
            <v>J33GT2R</v>
          </cell>
        </row>
        <row r="1618">
          <cell r="F1618" t="str">
            <v>J33GHMH</v>
          </cell>
        </row>
        <row r="1619">
          <cell r="F1619" t="str">
            <v>J33GT2F</v>
          </cell>
        </row>
        <row r="1620">
          <cell r="F1620" t="str">
            <v>J33GT20</v>
          </cell>
        </row>
        <row r="1621">
          <cell r="F1621" t="str">
            <v>J33GHM8</v>
          </cell>
        </row>
        <row r="1622">
          <cell r="F1622" t="str">
            <v>J33GT1K</v>
          </cell>
        </row>
        <row r="1623">
          <cell r="F1623" t="str">
            <v>J33GT15</v>
          </cell>
        </row>
        <row r="1624">
          <cell r="F1624" t="str">
            <v>J33GT22</v>
          </cell>
        </row>
        <row r="1625">
          <cell r="F1625" t="str">
            <v>J33GT27</v>
          </cell>
        </row>
        <row r="1626">
          <cell r="F1626" t="str">
            <v>217400370</v>
          </cell>
        </row>
        <row r="1627">
          <cell r="F1627" t="str">
            <v>J33GRWP</v>
          </cell>
        </row>
        <row r="1628">
          <cell r="F1628" t="str">
            <v>J33GRWC</v>
          </cell>
        </row>
        <row r="1629">
          <cell r="F1629" t="str">
            <v>J33GRWE</v>
          </cell>
        </row>
        <row r="1630">
          <cell r="F1630" t="str">
            <v>J33GRWH</v>
          </cell>
        </row>
        <row r="1631">
          <cell r="F1631" t="str">
            <v>J33GRWF</v>
          </cell>
        </row>
        <row r="1632">
          <cell r="F1632" t="str">
            <v>J33GRWN</v>
          </cell>
        </row>
        <row r="1633">
          <cell r="F1633" t="str">
            <v>J33GRWA</v>
          </cell>
        </row>
        <row r="1634">
          <cell r="F1634" t="str">
            <v>J33GRWK</v>
          </cell>
        </row>
        <row r="1635">
          <cell r="F1635" t="str">
            <v>J33GRWB</v>
          </cell>
        </row>
        <row r="1636">
          <cell r="F1636" t="str">
            <v>217400368</v>
          </cell>
        </row>
        <row r="1637">
          <cell r="F1637" t="str">
            <v>217400369</v>
          </cell>
        </row>
        <row r="1638">
          <cell r="F1638" t="str">
            <v>217400367</v>
          </cell>
        </row>
        <row r="1639">
          <cell r="F1639" t="str">
            <v>217400376</v>
          </cell>
        </row>
        <row r="1640">
          <cell r="F1640" t="str">
            <v>217400373</v>
          </cell>
        </row>
        <row r="1641">
          <cell r="F1641" t="str">
            <v>217400375</v>
          </cell>
        </row>
        <row r="1642">
          <cell r="F1642" t="str">
            <v>217400371</v>
          </cell>
        </row>
        <row r="1643">
          <cell r="F1643" t="str">
            <v>217400374</v>
          </cell>
        </row>
        <row r="1644">
          <cell r="F1644" t="str">
            <v>217400372</v>
          </cell>
        </row>
        <row r="1645">
          <cell r="F1645" t="str">
            <v>210235A3SUH19A000104</v>
          </cell>
        </row>
        <row r="1646">
          <cell r="F1646" t="str">
            <v>210235A3SUH19A000136</v>
          </cell>
        </row>
        <row r="1647">
          <cell r="F1647" t="str">
            <v>210235A3SUH19A000223</v>
          </cell>
        </row>
        <row r="1648">
          <cell r="F1648" t="str">
            <v>210235A3SUH19A000367</v>
          </cell>
        </row>
        <row r="1649">
          <cell r="F1649" t="str">
            <v>210235A3SUH19A000288</v>
          </cell>
        </row>
        <row r="1650">
          <cell r="F1650" t="str">
            <v>210235A3SUH19A000146</v>
          </cell>
        </row>
        <row r="1651">
          <cell r="F1651" t="str">
            <v>210235A3SUH19A000091</v>
          </cell>
        </row>
        <row r="1652">
          <cell r="F1652" t="str">
            <v>210235A3SUH19A000222</v>
          </cell>
        </row>
        <row r="1653">
          <cell r="F1653" t="str">
            <v>210235A3SUH19A000120</v>
          </cell>
        </row>
        <row r="1654">
          <cell r="F1654" t="str">
            <v>210235A3SUH19A000305</v>
          </cell>
        </row>
        <row r="1655">
          <cell r="F1655" t="str">
            <v>210235A3SUH19A000281</v>
          </cell>
        </row>
        <row r="1656">
          <cell r="F1656" t="str">
            <v>210235A3SUH19A000130</v>
          </cell>
        </row>
        <row r="1657">
          <cell r="F1657" t="str">
            <v>210235A3SUH19A000308</v>
          </cell>
        </row>
        <row r="1658">
          <cell r="F1658" t="str">
            <v>210235A3SUH19A000124</v>
          </cell>
        </row>
        <row r="1659">
          <cell r="F1659" t="str">
            <v>210235A3SUH19A000299</v>
          </cell>
        </row>
        <row r="1660">
          <cell r="F1660" t="str">
            <v>210235A3SUH19A000266</v>
          </cell>
        </row>
        <row r="1661">
          <cell r="F1661" t="str">
            <v>J301DN2G</v>
          </cell>
        </row>
        <row r="1662">
          <cell r="F1662" t="str">
            <v>J301DN2M</v>
          </cell>
        </row>
        <row r="1663">
          <cell r="F1663" t="str">
            <v>J301DN2F</v>
          </cell>
        </row>
        <row r="1664">
          <cell r="F1664" t="str">
            <v>210235A3SUH19A000106</v>
          </cell>
        </row>
        <row r="1665">
          <cell r="F1665" t="str">
            <v>210235A3SUH19A000256</v>
          </cell>
        </row>
        <row r="1666">
          <cell r="F1666" t="str">
            <v>210235A3SUH19A000147</v>
          </cell>
        </row>
        <row r="1667">
          <cell r="F1667" t="str">
            <v>210235A3SUH19A000340</v>
          </cell>
        </row>
        <row r="1668">
          <cell r="F1668" t="str">
            <v>210235A3SUH19A000307</v>
          </cell>
        </row>
        <row r="1669">
          <cell r="F1669" t="str">
            <v>210235A3SUH19A000361</v>
          </cell>
        </row>
        <row r="1670">
          <cell r="F1670" t="str">
            <v>210235A3SUH19A000129</v>
          </cell>
        </row>
        <row r="1671">
          <cell r="F1671" t="str">
            <v>210235A3SUH19A000229</v>
          </cell>
        </row>
        <row r="1672">
          <cell r="F1672" t="str">
            <v>210235A3SUH19A000212</v>
          </cell>
        </row>
        <row r="1673">
          <cell r="F1673" t="str">
            <v>210235A3SUH19A000377</v>
          </cell>
        </row>
        <row r="1674">
          <cell r="F1674" t="str">
            <v>210235A3SUH19A000375</v>
          </cell>
        </row>
        <row r="1675">
          <cell r="F1675" t="str">
            <v>210235A3SUH199000144</v>
          </cell>
        </row>
        <row r="1676">
          <cell r="F1676" t="str">
            <v>210235A3SUH19A000171</v>
          </cell>
        </row>
        <row r="1677">
          <cell r="F1677" t="str">
            <v>210235A3SUH19A000298</v>
          </cell>
        </row>
        <row r="1678">
          <cell r="F1678" t="str">
            <v>210235A3SUH19A000094</v>
          </cell>
        </row>
        <row r="1679">
          <cell r="F1679" t="str">
            <v>210235A3SUH199000017</v>
          </cell>
        </row>
        <row r="1680">
          <cell r="F1680" t="str">
            <v>J301DN2L</v>
          </cell>
        </row>
        <row r="1681">
          <cell r="F1681" t="str">
            <v>J301DN2H</v>
          </cell>
        </row>
        <row r="1682">
          <cell r="F1682" t="str">
            <v>J301DN2K</v>
          </cell>
        </row>
        <row r="1683">
          <cell r="F1683" t="str">
            <v>210235A3SUH19B000021</v>
          </cell>
        </row>
        <row r="1684">
          <cell r="F1684" t="str">
            <v>210235A3SUH19B000106</v>
          </cell>
        </row>
        <row r="1685">
          <cell r="F1685" t="str">
            <v>210235A3SUH19B000127</v>
          </cell>
        </row>
        <row r="1686">
          <cell r="F1686" t="str">
            <v>210235A3SUH19B000059</v>
          </cell>
        </row>
        <row r="1687">
          <cell r="F1687" t="str">
            <v>210235A3SUH19B000126</v>
          </cell>
        </row>
        <row r="1688">
          <cell r="F1688" t="str">
            <v>210235A3SUH19B000168</v>
          </cell>
        </row>
        <row r="1689">
          <cell r="F1689" t="str">
            <v>210235A3SUH19B000165</v>
          </cell>
        </row>
        <row r="1690">
          <cell r="F1690" t="str">
            <v>210235A3SUH19B000150</v>
          </cell>
        </row>
        <row r="1691">
          <cell r="F1691" t="str">
            <v>210235A3SUH19B000166</v>
          </cell>
        </row>
        <row r="1692">
          <cell r="F1692" t="str">
            <v>210235A3SUH19B000061</v>
          </cell>
        </row>
        <row r="1693">
          <cell r="F1693" t="str">
            <v>210235A3SUH19B000105</v>
          </cell>
        </row>
        <row r="1694">
          <cell r="F1694" t="str">
            <v>210235A3SUH19B000162</v>
          </cell>
        </row>
        <row r="1695">
          <cell r="F1695" t="str">
            <v>210235A3SUH19B000169</v>
          </cell>
        </row>
        <row r="1696">
          <cell r="F1696" t="str">
            <v>210235A3SUH19B000160</v>
          </cell>
        </row>
        <row r="1697">
          <cell r="F1697" t="str">
            <v>210235A3SUH19A000344</v>
          </cell>
        </row>
        <row r="1698">
          <cell r="F1698" t="str">
            <v>210235A3SUH19A000101</v>
          </cell>
        </row>
        <row r="1699">
          <cell r="F1699" t="str">
            <v>210235A3U6H195000026</v>
          </cell>
        </row>
        <row r="1700">
          <cell r="F1700" t="str">
            <v>210235A3U6H195000022</v>
          </cell>
        </row>
        <row r="1701">
          <cell r="F1701" t="str">
            <v>210235A3U6H195000025</v>
          </cell>
        </row>
        <row r="1702">
          <cell r="F1702" t="str">
            <v>210235A3U6H195000029</v>
          </cell>
        </row>
        <row r="1703">
          <cell r="F1703" t="str">
            <v>210235A3U6H195000027</v>
          </cell>
        </row>
        <row r="1704">
          <cell r="F1704" t="str">
            <v>210235A3U6H195000023</v>
          </cell>
        </row>
        <row r="1705">
          <cell r="F1705" t="str">
            <v>210235A3U6H195000021</v>
          </cell>
        </row>
        <row r="1706">
          <cell r="F1706" t="str">
            <v>210235A3U6H195000031</v>
          </cell>
        </row>
        <row r="1707">
          <cell r="F1707" t="str">
            <v>210235A3U6H195000032</v>
          </cell>
        </row>
        <row r="1708">
          <cell r="F1708" t="str">
            <v>210235A3U6H195000028</v>
          </cell>
        </row>
        <row r="1709">
          <cell r="F1709" t="str">
            <v>210235A3U6H195000030</v>
          </cell>
        </row>
        <row r="1710">
          <cell r="F1710" t="str">
            <v>210235A3U6H195000018</v>
          </cell>
        </row>
        <row r="1711">
          <cell r="F1711" t="str">
            <v>210235A3U6H195000017</v>
          </cell>
        </row>
        <row r="1712">
          <cell r="F1712" t="str">
            <v>210235A3U6H195000015</v>
          </cell>
        </row>
        <row r="1713">
          <cell r="F1713" t="str">
            <v>210235A3U6H195000011</v>
          </cell>
        </row>
        <row r="1714">
          <cell r="F1714" t="str">
            <v>210235A3U6H195000014</v>
          </cell>
        </row>
        <row r="1715">
          <cell r="F1715" t="str">
            <v>210235A3U6H195000016</v>
          </cell>
        </row>
        <row r="1716">
          <cell r="F1716" t="str">
            <v>210235A3U6H195000003</v>
          </cell>
        </row>
        <row r="1717">
          <cell r="F1717" t="str">
            <v>210235A3U6H195000001</v>
          </cell>
        </row>
        <row r="1718">
          <cell r="F1718" t="str">
            <v>210235A3U6H195000010</v>
          </cell>
        </row>
        <row r="1719">
          <cell r="F1719" t="str">
            <v>210235A3U6H195000009</v>
          </cell>
        </row>
        <row r="1720">
          <cell r="F1720" t="str">
            <v>210235A3U6H195000012</v>
          </cell>
        </row>
        <row r="1721">
          <cell r="F1721" t="str">
            <v>210235A3U6H195000004</v>
          </cell>
        </row>
        <row r="1722">
          <cell r="F1722" t="str">
            <v>210235A3U6H195000006</v>
          </cell>
        </row>
        <row r="1723">
          <cell r="F1723" t="str">
            <v>210235A3U6H195000002</v>
          </cell>
        </row>
        <row r="1724">
          <cell r="F1724" t="str">
            <v>210235A3U6H195000007</v>
          </cell>
        </row>
        <row r="1725">
          <cell r="F1725" t="str">
            <v>210235A3SUH19A000365</v>
          </cell>
        </row>
        <row r="1726">
          <cell r="F1726" t="str">
            <v>210235A3SUH19A000289</v>
          </cell>
        </row>
        <row r="1727">
          <cell r="F1727" t="str">
            <v>210235A3SUH19A000092</v>
          </cell>
        </row>
        <row r="1728">
          <cell r="F1728" t="str">
            <v>210235A3SUH19A000339</v>
          </cell>
        </row>
        <row r="1729">
          <cell r="F1729" t="str">
            <v>210235A3SUH195000050</v>
          </cell>
        </row>
        <row r="1730">
          <cell r="F1730" t="str">
            <v>210235A3SUH19A000210</v>
          </cell>
        </row>
        <row r="1731">
          <cell r="F1731" t="str">
            <v>210235A3SUH19A000381</v>
          </cell>
        </row>
        <row r="1732">
          <cell r="F1732" t="str">
            <v>210235A3SUH19A000141</v>
          </cell>
        </row>
        <row r="1733">
          <cell r="F1733" t="str">
            <v>210235A3SUH19A000098</v>
          </cell>
        </row>
        <row r="1734">
          <cell r="F1734" t="str">
            <v>210235A3SUH19A000209</v>
          </cell>
        </row>
        <row r="1735">
          <cell r="F1735" t="str">
            <v>210235A3SUH19A000354</v>
          </cell>
        </row>
        <row r="1736">
          <cell r="F1736" t="str">
            <v>210235A3SUH19A000332</v>
          </cell>
        </row>
        <row r="1737">
          <cell r="F1737" t="str">
            <v>210235A3SUH19A000145</v>
          </cell>
        </row>
        <row r="1738">
          <cell r="F1738" t="str">
            <v>210235A3SUH19A000125</v>
          </cell>
        </row>
        <row r="1739">
          <cell r="F1739" t="str">
            <v>210235A3SUH19A000151</v>
          </cell>
        </row>
        <row r="1740">
          <cell r="F1740" t="str">
            <v>210235A3SUH19A000199</v>
          </cell>
        </row>
        <row r="1741">
          <cell r="F1741" t="str">
            <v>210235A3SUH19A000293</v>
          </cell>
        </row>
        <row r="1742">
          <cell r="F1742" t="str">
            <v>210235A3SUH19A000330</v>
          </cell>
        </row>
        <row r="1743">
          <cell r="F1743" t="str">
            <v>210235A3SUH19A000184</v>
          </cell>
        </row>
        <row r="1744">
          <cell r="F1744" t="str">
            <v>210235A3SUH19A000122</v>
          </cell>
        </row>
        <row r="1745">
          <cell r="F1745" t="str">
            <v>210235A3SUH19A000111</v>
          </cell>
        </row>
        <row r="1746">
          <cell r="F1746" t="str">
            <v>210235A3SUH19A000180</v>
          </cell>
        </row>
        <row r="1747">
          <cell r="F1747" t="str">
            <v>210235A3SUH19B000136</v>
          </cell>
        </row>
        <row r="1748">
          <cell r="F1748" t="str">
            <v>210235A3SUH19B000113</v>
          </cell>
        </row>
        <row r="1749">
          <cell r="F1749" t="str">
            <v>210235A3SUH19A000107</v>
          </cell>
        </row>
        <row r="1750">
          <cell r="F1750" t="str">
            <v>210235A3SUH19A000103</v>
          </cell>
        </row>
        <row r="1751">
          <cell r="F1751" t="str">
            <v>210235A3SUH19A000336</v>
          </cell>
        </row>
        <row r="1752">
          <cell r="F1752" t="str">
            <v>210235A3SUH19A000382</v>
          </cell>
        </row>
        <row r="1753">
          <cell r="F1753" t="str">
            <v>210235A3SUH19A000341</v>
          </cell>
        </row>
        <row r="1754">
          <cell r="F1754" t="str">
            <v>210235A3SUH19A000312</v>
          </cell>
        </row>
        <row r="1755">
          <cell r="F1755" t="str">
            <v>210235A3SUH19A000314</v>
          </cell>
        </row>
        <row r="1756">
          <cell r="F1756" t="str">
            <v>210235A3SUH19A000297</v>
          </cell>
        </row>
        <row r="1757">
          <cell r="F1757" t="str">
            <v>210235A3SUH19A000083</v>
          </cell>
        </row>
        <row r="1758">
          <cell r="F1758" t="str">
            <v>210235A3SUH199000066</v>
          </cell>
        </row>
        <row r="1759">
          <cell r="F1759" t="str">
            <v>210235A3SUH19A000311</v>
          </cell>
        </row>
        <row r="1760">
          <cell r="F1760" t="str">
            <v>210235A3SUH19A000114</v>
          </cell>
        </row>
        <row r="1761">
          <cell r="F1761" t="str">
            <v>210235A3SUH19A000225</v>
          </cell>
        </row>
        <row r="1762">
          <cell r="F1762" t="str">
            <v>210235A3SUH19A000093</v>
          </cell>
        </row>
        <row r="1763">
          <cell r="F1763" t="str">
            <v>210235A3SUH19A000358</v>
          </cell>
        </row>
        <row r="1764">
          <cell r="F1764" t="str">
            <v>210235A3SUH19B000020</v>
          </cell>
        </row>
        <row r="1765">
          <cell r="F1765" t="str">
            <v>210235A3SUH19A000302</v>
          </cell>
        </row>
        <row r="1766">
          <cell r="F1766" t="str">
            <v>210235A3SUH19B000010</v>
          </cell>
        </row>
        <row r="1767">
          <cell r="F1767" t="str">
            <v>210235A3SUH19A000355</v>
          </cell>
        </row>
        <row r="1768">
          <cell r="F1768" t="str">
            <v>210235A3SUH199000053</v>
          </cell>
        </row>
        <row r="1769">
          <cell r="F1769" t="str">
            <v>210235A3SUH19A000170</v>
          </cell>
        </row>
        <row r="1770">
          <cell r="F1770" t="str">
            <v>210235A3SUH19A000095</v>
          </cell>
        </row>
        <row r="1771">
          <cell r="F1771" t="str">
            <v>210235A3SUH19A000198</v>
          </cell>
        </row>
        <row r="1772">
          <cell r="F1772" t="str">
            <v>210235A3SUH19A000135</v>
          </cell>
        </row>
        <row r="1773">
          <cell r="F1773" t="str">
            <v>210235A3SUH19A000080</v>
          </cell>
        </row>
        <row r="1774">
          <cell r="F1774" t="str">
            <v>210235A3SUH19A000316</v>
          </cell>
        </row>
        <row r="1775">
          <cell r="F1775" t="str">
            <v>210235A3SUH19A000359</v>
          </cell>
        </row>
        <row r="1776">
          <cell r="F1776" t="str">
            <v>210235A3SUH19A000366</v>
          </cell>
        </row>
        <row r="1777">
          <cell r="F1777" t="str">
            <v>210235A3SUH19A000356</v>
          </cell>
        </row>
        <row r="1778">
          <cell r="F1778" t="str">
            <v>210235A3SUH19A000132</v>
          </cell>
        </row>
        <row r="1779">
          <cell r="F1779" t="str">
            <v>210235A3SUH19A000383</v>
          </cell>
        </row>
        <row r="1780">
          <cell r="F1780" t="str">
            <v>210235A3SUH19B000068</v>
          </cell>
        </row>
        <row r="1781">
          <cell r="F1781" t="str">
            <v>210235A3SUH19A000102</v>
          </cell>
        </row>
        <row r="1782">
          <cell r="F1782" t="str">
            <v>210235A3SUH19A000149</v>
          </cell>
        </row>
        <row r="1783">
          <cell r="F1783" t="str">
            <v>210235A3SUH19A000363</v>
          </cell>
        </row>
        <row r="1784">
          <cell r="F1784" t="str">
            <v>210235A3SUH19A000319</v>
          </cell>
        </row>
        <row r="1785">
          <cell r="F1785" t="str">
            <v>210235A3SUH19A000191</v>
          </cell>
        </row>
        <row r="1786">
          <cell r="F1786" t="str">
            <v>210235A3SUH19A000117</v>
          </cell>
        </row>
        <row r="1787">
          <cell r="F1787" t="str">
            <v>210235A3SUH19A000175</v>
          </cell>
        </row>
        <row r="1788">
          <cell r="F1788" t="str">
            <v>210235A3SUH19A000096</v>
          </cell>
        </row>
        <row r="1789">
          <cell r="F1789" t="str">
            <v>210235A3SUH19B000103</v>
          </cell>
        </row>
        <row r="1790">
          <cell r="F1790" t="str">
            <v>210235A3SUH19B000125</v>
          </cell>
        </row>
        <row r="1791">
          <cell r="F1791" t="str">
            <v>210235A3SUH19B000101</v>
          </cell>
        </row>
        <row r="1792">
          <cell r="F1792" t="str">
            <v>210235A3SUH19B000163</v>
          </cell>
        </row>
        <row r="1793">
          <cell r="F1793" t="str">
            <v>210235A3SUH19B000123</v>
          </cell>
        </row>
        <row r="1794">
          <cell r="F1794" t="str">
            <v>210235A3SUH19B000001</v>
          </cell>
        </row>
        <row r="1795">
          <cell r="F1795" t="str">
            <v>210235A3SUH19B000147</v>
          </cell>
        </row>
        <row r="1796">
          <cell r="F1796" t="str">
            <v>210235A3SUH19B000158</v>
          </cell>
        </row>
        <row r="1797">
          <cell r="F1797" t="str">
            <v>210235A3SUH19B000013</v>
          </cell>
        </row>
        <row r="1798">
          <cell r="F1798" t="str">
            <v>210235A3SUH19B000122</v>
          </cell>
        </row>
        <row r="1799">
          <cell r="F1799" t="str">
            <v>210235A3SUH19B000133</v>
          </cell>
        </row>
        <row r="1800">
          <cell r="F1800" t="str">
            <v>210235A3SUH19B000119</v>
          </cell>
        </row>
        <row r="1801">
          <cell r="F1801" t="str">
            <v>210235A3SUH19B000131</v>
          </cell>
        </row>
        <row r="1802">
          <cell r="F1802" t="str">
            <v>210235A3SUH19B000104</v>
          </cell>
        </row>
        <row r="1803">
          <cell r="F1803" t="str">
            <v>210235A3SUH19B000056</v>
          </cell>
        </row>
        <row r="1804">
          <cell r="F1804" t="str">
            <v>210235A3SUH19B000054</v>
          </cell>
        </row>
        <row r="1805">
          <cell r="F1805" t="str">
            <v>210235A3SUH19B000157</v>
          </cell>
        </row>
        <row r="1806">
          <cell r="F1806" t="str">
            <v>210235A3SUH19B000108</v>
          </cell>
        </row>
        <row r="1807">
          <cell r="F1807" t="str">
            <v>210235A3SUH19B000036</v>
          </cell>
        </row>
        <row r="1808">
          <cell r="F1808" t="str">
            <v>210235A3SUH19B000057</v>
          </cell>
        </row>
        <row r="1809">
          <cell r="F1809" t="str">
            <v>210235A3SUH19B000118</v>
          </cell>
        </row>
        <row r="1810">
          <cell r="F1810" t="str">
            <v>210235A3SUH19B000117</v>
          </cell>
        </row>
        <row r="1811">
          <cell r="F1811" t="str">
            <v>210235A3SUH19B000155</v>
          </cell>
        </row>
        <row r="1812">
          <cell r="F1812" t="str">
            <v>210235A3SUH19B000055</v>
          </cell>
        </row>
        <row r="1813">
          <cell r="F1813" t="str">
            <v>210235A3SUH19B000058</v>
          </cell>
        </row>
        <row r="1814">
          <cell r="F1814" t="str">
            <v>210235A3SUH19B000130</v>
          </cell>
        </row>
        <row r="1815">
          <cell r="F1815" t="str">
            <v>210235A3SUH19B000128</v>
          </cell>
        </row>
        <row r="1816">
          <cell r="F1816" t="str">
            <v>210235A3SUH19B000096</v>
          </cell>
        </row>
        <row r="1817">
          <cell r="F1817" t="str">
            <v>210235A3SUH19B000167</v>
          </cell>
        </row>
        <row r="1818">
          <cell r="F1818" t="str">
            <v>210235A3SUH19B000161</v>
          </cell>
        </row>
        <row r="1819">
          <cell r="F1819" t="str">
            <v>210235A3SUH19B000129</v>
          </cell>
        </row>
        <row r="1820">
          <cell r="F1820" t="str">
            <v>210235A3SUH19B000124</v>
          </cell>
        </row>
        <row r="1821">
          <cell r="F1821" t="str">
            <v>210235A3SUH19B000038</v>
          </cell>
        </row>
        <row r="1822">
          <cell r="F1822" t="str">
            <v>210235A3SUH19B000039</v>
          </cell>
        </row>
        <row r="1823">
          <cell r="F1823" t="str">
            <v>210235A3SUH19B000035</v>
          </cell>
        </row>
        <row r="1824">
          <cell r="F1824" t="str">
            <v>210235A3SUH19B000045</v>
          </cell>
        </row>
        <row r="1825">
          <cell r="F1825" t="str">
            <v>210235A3SUH19B000111</v>
          </cell>
        </row>
        <row r="1826">
          <cell r="F1826" t="str">
            <v>210235A3SUH19B000099</v>
          </cell>
        </row>
        <row r="1827">
          <cell r="F1827" t="str">
            <v>210235A3SUH19A000173</v>
          </cell>
        </row>
        <row r="1828">
          <cell r="F1828" t="str">
            <v>210235A3SUH19A000376</v>
          </cell>
        </row>
        <row r="1829">
          <cell r="F1829" t="str">
            <v>210235A3SUH19B000110</v>
          </cell>
        </row>
        <row r="1830">
          <cell r="F1830" t="str">
            <v>210235A3SUH19B000138</v>
          </cell>
        </row>
        <row r="1831">
          <cell r="F1831" t="str">
            <v>210235A3SUH19B000040</v>
          </cell>
        </row>
        <row r="1832">
          <cell r="F1832" t="str">
            <v>210235A3SUH19B000109</v>
          </cell>
        </row>
        <row r="1833">
          <cell r="F1833" t="str">
            <v>210235A3SUH19B000037</v>
          </cell>
        </row>
        <row r="1834">
          <cell r="F1834" t="str">
            <v>210235A3SUH19B000042</v>
          </cell>
        </row>
        <row r="1835">
          <cell r="F1835" t="str">
            <v>210235A3SUH19B000041</v>
          </cell>
        </row>
        <row r="1836">
          <cell r="F1836" t="str">
            <v>210235A3SUH19B000102</v>
          </cell>
        </row>
        <row r="1837">
          <cell r="F1837" t="str">
            <v>210235A3SUH19A000108</v>
          </cell>
        </row>
        <row r="1838">
          <cell r="F1838" t="str">
            <v>210235A3SUH19A000076</v>
          </cell>
        </row>
        <row r="1839">
          <cell r="F1839" t="str">
            <v>210235A3SUH19A000380</v>
          </cell>
        </row>
        <row r="1840">
          <cell r="F1840" t="str">
            <v>210235A3SUH19A000374</v>
          </cell>
        </row>
        <row r="1841">
          <cell r="F1841" t="str">
            <v>210235A3SUH19A000087</v>
          </cell>
        </row>
        <row r="1842">
          <cell r="F1842" t="str">
            <v>210235A3SUH19A000274</v>
          </cell>
        </row>
        <row r="1843">
          <cell r="F1843" t="str">
            <v>210235A3SUH19A000105</v>
          </cell>
        </row>
        <row r="1844">
          <cell r="F1844" t="str">
            <v>210235A3SUH19A000123</v>
          </cell>
        </row>
        <row r="1845">
          <cell r="F1845" t="str">
            <v>210235A3SUH19A000224</v>
          </cell>
        </row>
        <row r="1846">
          <cell r="F1846" t="str">
            <v>210235A3SUH19A000085</v>
          </cell>
        </row>
        <row r="1847">
          <cell r="F1847" t="str">
            <v>210235A3SUH19A000346</v>
          </cell>
        </row>
        <row r="1848">
          <cell r="F1848" t="str">
            <v>210235A3SUH19A000144</v>
          </cell>
        </row>
        <row r="1849">
          <cell r="F1849" t="str">
            <v>210235A3SUH19A000287</v>
          </cell>
        </row>
        <row r="1850">
          <cell r="F1850" t="str">
            <v>210235A3SUH19A000203</v>
          </cell>
        </row>
        <row r="1851">
          <cell r="F1851" t="str">
            <v>210235A3SUH19A000309</v>
          </cell>
        </row>
        <row r="1852">
          <cell r="F1852" t="str">
            <v>210235A3SUH19A000300</v>
          </cell>
        </row>
        <row r="1853">
          <cell r="F1853" t="str">
            <v>J33GRWD</v>
          </cell>
        </row>
        <row r="1854">
          <cell r="F1854" t="str">
            <v>J33GRWL</v>
          </cell>
        </row>
        <row r="1855">
          <cell r="F1855" t="str">
            <v>J33GRWT</v>
          </cell>
        </row>
        <row r="1856">
          <cell r="F1856" t="str">
            <v>J33GRWG</v>
          </cell>
        </row>
        <row r="1857">
          <cell r="F1857" t="str">
            <v>J33GRWR</v>
          </cell>
        </row>
        <row r="1858">
          <cell r="F1858" t="str">
            <v>J33GRWM</v>
          </cell>
        </row>
        <row r="1859">
          <cell r="F1859" t="str">
            <v>J33GRYL</v>
          </cell>
        </row>
        <row r="1860">
          <cell r="F1860" t="str">
            <v>J33GRYK</v>
          </cell>
        </row>
        <row r="1861">
          <cell r="F1861" t="str">
            <v>J33GYDA</v>
          </cell>
        </row>
        <row r="1862">
          <cell r="F1862" t="str">
            <v>J33H3EM</v>
          </cell>
        </row>
        <row r="1863">
          <cell r="F1863" t="str">
            <v>J33GYDB</v>
          </cell>
        </row>
        <row r="1864">
          <cell r="F1864" t="str">
            <v>J33H3EL</v>
          </cell>
        </row>
        <row r="1865">
          <cell r="F1865" t="str">
            <v>J33GRYM</v>
          </cell>
        </row>
        <row r="1866">
          <cell r="F1866" t="str">
            <v>J33GRYP</v>
          </cell>
        </row>
        <row r="1867">
          <cell r="F1867" t="str">
            <v>J33GRYR</v>
          </cell>
        </row>
        <row r="1868">
          <cell r="F1868" t="str">
            <v>J33GRYH</v>
          </cell>
        </row>
        <row r="1869">
          <cell r="F1869" t="str">
            <v>J33GRYG</v>
          </cell>
        </row>
        <row r="1870">
          <cell r="F1870" t="str">
            <v>J33GRYN</v>
          </cell>
        </row>
        <row r="1871">
          <cell r="F1871" t="str">
            <v>210235A0J7X149000005</v>
          </cell>
        </row>
        <row r="1872">
          <cell r="F1872" t="str">
            <v>210235A0J7X149000002</v>
          </cell>
        </row>
        <row r="1873">
          <cell r="F1873" t="str">
            <v>FDO1710P1GZ</v>
          </cell>
        </row>
        <row r="1874">
          <cell r="F1874" t="str">
            <v>219801A12T9198Q001JN</v>
          </cell>
        </row>
        <row r="1875">
          <cell r="F1875" t="str">
            <v>2102350DLVDMK8001019</v>
          </cell>
        </row>
        <row r="1876">
          <cell r="F1876" t="str">
            <v>FDO1710P1CP</v>
          </cell>
        </row>
        <row r="1877">
          <cell r="F1877" t="str">
            <v>219801A12T919AQ00024</v>
          </cell>
        </row>
        <row r="1878">
          <cell r="F1878" t="str">
            <v>2102350DLVDMK8001609</v>
          </cell>
        </row>
        <row r="1879">
          <cell r="F1879" t="str">
            <v>SGH118XNTC</v>
          </cell>
        </row>
        <row r="1880">
          <cell r="F1880" t="str">
            <v>J33GRYB</v>
          </cell>
        </row>
        <row r="1881">
          <cell r="F1881" t="str">
            <v>J33GRY7</v>
          </cell>
        </row>
        <row r="1882">
          <cell r="F1882" t="str">
            <v>J33GRY8</v>
          </cell>
        </row>
        <row r="1883">
          <cell r="F1883" t="str">
            <v>J33GRYF</v>
          </cell>
        </row>
        <row r="1884">
          <cell r="F1884" t="str">
            <v>J33GRYD</v>
          </cell>
        </row>
        <row r="1885">
          <cell r="F1885" t="str">
            <v>J33GRYA</v>
          </cell>
        </row>
        <row r="1886">
          <cell r="F1886" t="str">
            <v>J33GRYC</v>
          </cell>
        </row>
        <row r="1887">
          <cell r="F1887" t="str">
            <v>J33GRY9</v>
          </cell>
        </row>
        <row r="1888">
          <cell r="F1888" t="str">
            <v>J33GRYE</v>
          </cell>
        </row>
        <row r="1889">
          <cell r="F1889" t="str">
            <v>2102350DLVDMK8000148</v>
          </cell>
        </row>
        <row r="1890">
          <cell r="F1890" t="str">
            <v>2102350DLVDMK8000096</v>
          </cell>
        </row>
        <row r="1891">
          <cell r="F1891" t="str">
            <v>2102350DLVDMK8001611</v>
          </cell>
        </row>
        <row r="1892">
          <cell r="F1892" t="str">
            <v>219801A12T9198Q00179</v>
          </cell>
        </row>
        <row r="1893">
          <cell r="F1893" t="str">
            <v>2102350DLVDMK8001040</v>
          </cell>
        </row>
        <row r="1894">
          <cell r="F1894" t="str">
            <v>JPQYVL2</v>
          </cell>
        </row>
        <row r="1895">
          <cell r="F1895" t="str">
            <v>JPR5KL2</v>
          </cell>
        </row>
        <row r="1896">
          <cell r="F1896" t="str">
            <v>JPRYVL2</v>
          </cell>
        </row>
        <row r="1897">
          <cell r="F1897" t="str">
            <v>JPRXJL2</v>
          </cell>
        </row>
        <row r="1898">
          <cell r="F1898" t="str">
            <v>JPRSVL2</v>
          </cell>
        </row>
        <row r="1899">
          <cell r="F1899" t="str">
            <v>JPR5YL2</v>
          </cell>
        </row>
        <row r="1900">
          <cell r="F1900" t="str">
            <v>JPRTVL2</v>
          </cell>
        </row>
        <row r="1901">
          <cell r="F1901" t="str">
            <v>JPRYJL2</v>
          </cell>
        </row>
        <row r="1902">
          <cell r="F1902" t="str">
            <v>JPRWVL2</v>
          </cell>
        </row>
        <row r="1903">
          <cell r="F1903" t="str">
            <v>JPRZXL2</v>
          </cell>
        </row>
        <row r="1904">
          <cell r="F1904" t="str">
            <v>JPS0WL2</v>
          </cell>
        </row>
        <row r="1905">
          <cell r="F1905" t="str">
            <v>JPRXVL2</v>
          </cell>
        </row>
        <row r="1906">
          <cell r="F1906" t="str">
            <v>JPS0YL2</v>
          </cell>
        </row>
        <row r="1907">
          <cell r="F1907" t="str">
            <v>JPRYXL2</v>
          </cell>
        </row>
        <row r="1908">
          <cell r="F1908" t="str">
            <v>JPRVVL2</v>
          </cell>
        </row>
        <row r="1909">
          <cell r="F1909" t="str">
            <v>JPR6YL2</v>
          </cell>
        </row>
        <row r="1910">
          <cell r="F1910" t="str">
            <v>JPRRVL2</v>
          </cell>
        </row>
        <row r="1911">
          <cell r="F1911" t="str">
            <v>JG8YJL2</v>
          </cell>
        </row>
        <row r="1912">
          <cell r="F1912" t="str">
            <v>JGC5KL2</v>
          </cell>
        </row>
        <row r="1913">
          <cell r="F1913" t="str">
            <v>JGDYVL2</v>
          </cell>
        </row>
        <row r="1914">
          <cell r="F1914" t="str">
            <v>JGC3YL2</v>
          </cell>
        </row>
        <row r="1915">
          <cell r="F1915" t="str">
            <v>JGD4KL2</v>
          </cell>
        </row>
        <row r="1916">
          <cell r="F1916" t="str">
            <v>JGCZXL2</v>
          </cell>
        </row>
        <row r="1917">
          <cell r="F1917" t="str">
            <v>JGC6YL2</v>
          </cell>
        </row>
        <row r="1918">
          <cell r="F1918" t="str">
            <v>JGCXVL2</v>
          </cell>
        </row>
        <row r="1919">
          <cell r="F1919" t="str">
            <v>JGBZXL2</v>
          </cell>
        </row>
        <row r="1920">
          <cell r="F1920" t="str">
            <v>JGD6KL2</v>
          </cell>
        </row>
        <row r="1921">
          <cell r="F1921" t="str">
            <v>JGDWVL2</v>
          </cell>
        </row>
        <row r="1922">
          <cell r="F1922" t="str">
            <v>JGDSVL2</v>
          </cell>
        </row>
        <row r="1923">
          <cell r="F1923" t="str">
            <v>JGC1YL2</v>
          </cell>
        </row>
        <row r="1924">
          <cell r="F1924" t="str">
            <v>JGDZXL2</v>
          </cell>
        </row>
        <row r="1925">
          <cell r="F1925" t="str">
            <v>JGCSVL2</v>
          </cell>
        </row>
        <row r="1926">
          <cell r="F1926" t="str">
            <v>JGD0YL2</v>
          </cell>
        </row>
        <row r="1927">
          <cell r="F1927" t="str">
            <v>JGD2YL2</v>
          </cell>
        </row>
        <row r="1928">
          <cell r="F1928" t="str">
            <v>JGFTVL2</v>
          </cell>
        </row>
        <row r="1929">
          <cell r="F1929" t="str">
            <v>JG9TVL2</v>
          </cell>
        </row>
        <row r="1930">
          <cell r="F1930" t="str">
            <v>JG9ZVL2</v>
          </cell>
        </row>
        <row r="1931">
          <cell r="F1931" t="str">
            <v>JGB4KL2</v>
          </cell>
        </row>
        <row r="1932">
          <cell r="F1932" t="str">
            <v>JGB0WL2</v>
          </cell>
        </row>
        <row r="1933">
          <cell r="F1933" t="str">
            <v>JG92KL2</v>
          </cell>
        </row>
        <row r="1934">
          <cell r="F1934" t="str">
            <v>JG97YL2</v>
          </cell>
        </row>
        <row r="1935">
          <cell r="F1935" t="str">
            <v>JG9YJL2</v>
          </cell>
        </row>
        <row r="1936">
          <cell r="F1936" t="str">
            <v>JG8VVL2</v>
          </cell>
        </row>
        <row r="1937">
          <cell r="F1937" t="str">
            <v>JG8ZVL2</v>
          </cell>
        </row>
        <row r="1938">
          <cell r="F1938" t="str">
            <v>JG93KL2</v>
          </cell>
        </row>
        <row r="1939">
          <cell r="F1939" t="str">
            <v>JG90WL2</v>
          </cell>
        </row>
        <row r="1940">
          <cell r="F1940" t="str">
            <v>JG95KL2</v>
          </cell>
        </row>
        <row r="1941">
          <cell r="F1941" t="str">
            <v>JG8ZJL2</v>
          </cell>
        </row>
        <row r="1942">
          <cell r="F1942" t="str">
            <v>JGD0WL2</v>
          </cell>
        </row>
        <row r="1943">
          <cell r="F1943" t="str">
            <v>JGD2KL2</v>
          </cell>
        </row>
        <row r="1944">
          <cell r="F1944" t="str">
            <v>JGCYVL2</v>
          </cell>
        </row>
        <row r="1945">
          <cell r="F1945" t="str">
            <v>JGBZJL2</v>
          </cell>
        </row>
        <row r="1946">
          <cell r="F1946" t="str">
            <v>JGC6KL2</v>
          </cell>
        </row>
        <row r="1947">
          <cell r="F1947" t="str">
            <v>JGD4YL2</v>
          </cell>
        </row>
        <row r="1948">
          <cell r="F1948" t="str">
            <v>JGD6YL2</v>
          </cell>
        </row>
        <row r="1949">
          <cell r="F1949" t="str">
            <v>JGC3KL2</v>
          </cell>
        </row>
        <row r="1950">
          <cell r="F1950" t="str">
            <v>JGC4YL2</v>
          </cell>
        </row>
        <row r="1951">
          <cell r="F1951" t="str">
            <v>JGCRVL2</v>
          </cell>
        </row>
        <row r="1952">
          <cell r="F1952" t="str">
            <v>JGCWVL2</v>
          </cell>
        </row>
        <row r="1953">
          <cell r="F1953" t="str">
            <v>JGC0YL2</v>
          </cell>
        </row>
        <row r="1954">
          <cell r="F1954" t="str">
            <v>210305613210GA001640</v>
          </cell>
        </row>
        <row r="1955">
          <cell r="F1955" t="str">
            <v>210305613210GA001641</v>
          </cell>
        </row>
        <row r="1956">
          <cell r="F1956" t="str">
            <v>210305613210GA001649</v>
          </cell>
        </row>
        <row r="1957">
          <cell r="F1957" t="str">
            <v>210305613210GA001657</v>
          </cell>
        </row>
        <row r="1958">
          <cell r="F1958" t="str">
            <v>210305613210GA001644</v>
          </cell>
        </row>
        <row r="1959">
          <cell r="F1959" t="str">
            <v>210305613210GA001655</v>
          </cell>
        </row>
        <row r="1960">
          <cell r="F1960" t="str">
            <v>210305613210GA001647</v>
          </cell>
        </row>
        <row r="1961">
          <cell r="F1961" t="str">
            <v>210305613210GA001638</v>
          </cell>
        </row>
        <row r="1962">
          <cell r="F1962" t="str">
            <v>210305613210GA001652</v>
          </cell>
        </row>
        <row r="1963">
          <cell r="F1963" t="str">
            <v>210305613210GA001639</v>
          </cell>
        </row>
        <row r="1964">
          <cell r="F1964" t="str">
            <v>210305613210GA001658</v>
          </cell>
        </row>
        <row r="1965">
          <cell r="F1965" t="str">
            <v>210305613210GA001650</v>
          </cell>
        </row>
        <row r="1966">
          <cell r="F1966" t="str">
            <v>210305613210GA001646</v>
          </cell>
        </row>
        <row r="1967">
          <cell r="F1967" t="str">
            <v>210305613210GA001648</v>
          </cell>
        </row>
        <row r="1968">
          <cell r="F1968" t="str">
            <v>210305613210GA001643</v>
          </cell>
        </row>
        <row r="1969">
          <cell r="F1969" t="str">
            <v>210305613210GA001642</v>
          </cell>
        </row>
        <row r="1970">
          <cell r="F1970" t="str">
            <v>210305613210GA001656</v>
          </cell>
        </row>
        <row r="1971">
          <cell r="F1971" t="str">
            <v>210305613210GA001659</v>
          </cell>
        </row>
        <row r="1972">
          <cell r="F1972" t="str">
            <v>210305613210GA001660</v>
          </cell>
        </row>
        <row r="1973">
          <cell r="F1973" t="str">
            <v>210305613210GA001653</v>
          </cell>
        </row>
        <row r="1974">
          <cell r="F1974" t="str">
            <v>210305613210GA001654</v>
          </cell>
        </row>
        <row r="1975">
          <cell r="F1975" t="str">
            <v>210305613210GA001637</v>
          </cell>
        </row>
        <row r="1976">
          <cell r="F1976" t="str">
            <v>210305613210GA001645</v>
          </cell>
        </row>
        <row r="1977">
          <cell r="F1977" t="str">
            <v>210305613210GA001651</v>
          </cell>
        </row>
        <row r="1978">
          <cell r="F1978" t="str">
            <v>6CU315YJZY</v>
          </cell>
        </row>
        <row r="1979">
          <cell r="F1979" t="str">
            <v>6CU315YJZM</v>
          </cell>
        </row>
        <row r="1980">
          <cell r="F1980" t="str">
            <v>6CU314YGVK</v>
          </cell>
        </row>
        <row r="1981">
          <cell r="F1981" t="str">
            <v>6CU3454YRG</v>
          </cell>
        </row>
        <row r="1982">
          <cell r="F1982" t="str">
            <v>6CU3454YRL</v>
          </cell>
        </row>
        <row r="1983">
          <cell r="F1983" t="str">
            <v>6CU315YJZH</v>
          </cell>
        </row>
        <row r="1984">
          <cell r="F1984" t="str">
            <v>6CU314YGVH</v>
          </cell>
        </row>
        <row r="1985">
          <cell r="F1985" t="str">
            <v>6CU3454YRQ</v>
          </cell>
        </row>
        <row r="1986">
          <cell r="F1986" t="str">
            <v>6CU314YGVT</v>
          </cell>
        </row>
        <row r="1987">
          <cell r="F1987" t="str">
            <v>6CU320ZTY1</v>
          </cell>
        </row>
        <row r="1988">
          <cell r="F1988" t="str">
            <v>6CU314YGVW</v>
          </cell>
        </row>
        <row r="1989">
          <cell r="F1989" t="str">
            <v>6CU314YGVR</v>
          </cell>
        </row>
        <row r="1990">
          <cell r="F1990" t="str">
            <v>SNC-400v3.0-150519-00913
SNC-400v3.0-262137-01018</v>
          </cell>
        </row>
        <row r="1991">
          <cell r="F1991" t="str">
            <v>6CU320ZTY2</v>
          </cell>
        </row>
        <row r="1992">
          <cell r="F1992" t="str">
            <v>6CU314YGVM</v>
          </cell>
        </row>
        <row r="1993">
          <cell r="F1993" t="str">
            <v>6CU319ZQWJ</v>
          </cell>
        </row>
        <row r="1994">
          <cell r="F1994" t="str">
            <v>6CU315YJZT</v>
          </cell>
        </row>
        <row r="1995">
          <cell r="F1995" t="str">
            <v>6CU3454YRN</v>
          </cell>
        </row>
        <row r="1996">
          <cell r="F1996" t="str">
            <v>6CU314YGVP</v>
          </cell>
        </row>
        <row r="1997">
          <cell r="F1997" t="str">
            <v>6CU320ZTXZ</v>
          </cell>
        </row>
        <row r="1998">
          <cell r="F1998" t="str">
            <v>6CU33631B0</v>
          </cell>
        </row>
        <row r="1999">
          <cell r="F1999" t="str">
            <v>6CU33631C4</v>
          </cell>
        </row>
        <row r="2000">
          <cell r="F2000" t="str">
            <v>6CU319ZQW2</v>
          </cell>
        </row>
        <row r="2001">
          <cell r="F2001" t="str">
            <v>6CU319ZQWL</v>
          </cell>
        </row>
        <row r="2002">
          <cell r="F2002" t="str">
            <v>6CU3454YRJ</v>
          </cell>
        </row>
        <row r="2003">
          <cell r="F2003" t="str">
            <v>AK00250144</v>
          </cell>
        </row>
        <row r="2004">
          <cell r="F2004" t="str">
            <v>A00K250143</v>
          </cell>
        </row>
        <row r="2005">
          <cell r="F2005" t="str">
            <v>159SLG2</v>
          </cell>
        </row>
        <row r="2006">
          <cell r="F2006" t="str">
            <v>158WLG2</v>
          </cell>
        </row>
        <row r="2007">
          <cell r="F2007" t="str">
            <v>15C1MG2</v>
          </cell>
        </row>
        <row r="2008">
          <cell r="F2008" t="str">
            <v>15CZLG2</v>
          </cell>
        </row>
        <row r="2009">
          <cell r="F2009" t="str">
            <v>159XLG2</v>
          </cell>
        </row>
        <row r="2010">
          <cell r="F2010" t="str">
            <v>1500MG2</v>
          </cell>
        </row>
        <row r="2011">
          <cell r="F2011" t="str">
            <v>1581MG2</v>
          </cell>
        </row>
        <row r="2012">
          <cell r="F2012" t="str">
            <v>15DTLG2</v>
          </cell>
        </row>
        <row r="2013">
          <cell r="F2013" t="str">
            <v>15DXLG2</v>
          </cell>
        </row>
        <row r="2014">
          <cell r="F2014" t="str">
            <v>15BXLG2</v>
          </cell>
        </row>
        <row r="2015">
          <cell r="F2015" t="str">
            <v>15BSLG2</v>
          </cell>
        </row>
        <row r="2016">
          <cell r="F2016" t="str">
            <v>1540MG2</v>
          </cell>
        </row>
        <row r="2017">
          <cell r="F2017" t="str">
            <v>156WLG2</v>
          </cell>
        </row>
        <row r="2018">
          <cell r="F2018" t="str">
            <v>155YLG2</v>
          </cell>
        </row>
        <row r="2019">
          <cell r="F2019" t="str">
            <v>15CWLG2</v>
          </cell>
        </row>
        <row r="2020">
          <cell r="F2020" t="str">
            <v>157SLG2</v>
          </cell>
        </row>
        <row r="2021">
          <cell r="F2021" t="str">
            <v>FLZGHG2</v>
          </cell>
        </row>
        <row r="2022">
          <cell r="F2022" t="str">
            <v>FM11KG2</v>
          </cell>
        </row>
        <row r="2023">
          <cell r="F2023" t="str">
            <v>FM04KG2</v>
          </cell>
        </row>
        <row r="2024">
          <cell r="F2024" t="str">
            <v>FLZ1KG2</v>
          </cell>
        </row>
        <row r="2025">
          <cell r="F2025" t="str">
            <v>FM0NHG2</v>
          </cell>
        </row>
        <row r="2026">
          <cell r="F2026" t="str">
            <v>FLZ4KG2</v>
          </cell>
        </row>
        <row r="2027">
          <cell r="F2027" t="str">
            <v>FLYWJG2</v>
          </cell>
        </row>
        <row r="2028">
          <cell r="F2028" t="str">
            <v>FM0YJG2</v>
          </cell>
        </row>
        <row r="2029">
          <cell r="F2029" t="str">
            <v>FM1PHG2</v>
          </cell>
        </row>
        <row r="2030">
          <cell r="F2030" t="str">
            <v>FM15KG2</v>
          </cell>
        </row>
        <row r="2031">
          <cell r="F2031" t="str">
            <v>FLZZJG2</v>
          </cell>
        </row>
        <row r="2032">
          <cell r="F2032" t="str">
            <v>FLZXJG2</v>
          </cell>
        </row>
        <row r="2033">
          <cell r="F2033" t="str">
            <v>FM1KHG2</v>
          </cell>
        </row>
        <row r="2034">
          <cell r="F2034" t="str">
            <v>FLZHHG2</v>
          </cell>
        </row>
        <row r="2035">
          <cell r="F2035" t="str">
            <v>FLZKHG2</v>
          </cell>
        </row>
        <row r="2036">
          <cell r="F2036" t="str">
            <v>FM0JHG2</v>
          </cell>
        </row>
        <row r="2037">
          <cell r="F2037" t="str">
            <v>CJ45YK2</v>
          </cell>
        </row>
        <row r="2038">
          <cell r="F2038" t="str">
            <v>CJ49YK2</v>
          </cell>
        </row>
        <row r="2039">
          <cell r="F2039" t="str">
            <v>CJ5BYK2</v>
          </cell>
        </row>
        <row r="2040">
          <cell r="F2040" t="str">
            <v>CJ6CYK2</v>
          </cell>
        </row>
        <row r="2041">
          <cell r="F2041" t="str">
            <v>8426KL2</v>
          </cell>
        </row>
        <row r="2042">
          <cell r="F2042" t="str">
            <v>8425KL2</v>
          </cell>
        </row>
        <row r="2043">
          <cell r="F2043" t="str">
            <v>8424KL2</v>
          </cell>
        </row>
        <row r="2044">
          <cell r="F2044" t="str">
            <v>J33924B</v>
          </cell>
        </row>
        <row r="2045">
          <cell r="F2045" t="str">
            <v>J339246</v>
          </cell>
        </row>
        <row r="2046">
          <cell r="F2046" t="str">
            <v>2102311QGN10GB000072</v>
          </cell>
        </row>
        <row r="2047">
          <cell r="F2047" t="str">
            <v>2102311ESF10H2000175</v>
          </cell>
        </row>
        <row r="2048">
          <cell r="F2048" t="str">
            <v>2102310YPY10H6005035</v>
          </cell>
        </row>
        <row r="2049">
          <cell r="F2049" t="str">
            <v>2102310YPY10H6005027</v>
          </cell>
        </row>
        <row r="2050">
          <cell r="F2050" t="str">
            <v>2102310YPY10H6005036</v>
          </cell>
        </row>
        <row r="2051">
          <cell r="F2051" t="str">
            <v>2102310YPY10H6005030</v>
          </cell>
        </row>
        <row r="2052">
          <cell r="F2052" t="str">
            <v>2102310YPY10H6005038</v>
          </cell>
        </row>
        <row r="2053">
          <cell r="F2053" t="str">
            <v>2102310YPY10H6005028</v>
          </cell>
        </row>
        <row r="2054">
          <cell r="F2054" t="str">
            <v>DGM3YK2</v>
          </cell>
        </row>
        <row r="2055">
          <cell r="F2055" t="str">
            <v>DGK7YK2</v>
          </cell>
        </row>
        <row r="2056">
          <cell r="F2056" t="str">
            <v>DGPCYK2</v>
          </cell>
        </row>
        <row r="2057">
          <cell r="F2057" t="str">
            <v>DGL9YK2</v>
          </cell>
        </row>
        <row r="2058">
          <cell r="F2058" t="str">
            <v>2102311QGN10GB000115</v>
          </cell>
        </row>
        <row r="2059">
          <cell r="F2059" t="str">
            <v>2102311QGN10GB000059</v>
          </cell>
        </row>
        <row r="2060">
          <cell r="F2060" t="str">
            <v>2102310YPY10H6005034</v>
          </cell>
        </row>
        <row r="2061">
          <cell r="F2061" t="str">
            <v>2102310YPY10H6005033</v>
          </cell>
        </row>
        <row r="2062">
          <cell r="F2062" t="str">
            <v>2102310YPY10H6005032</v>
          </cell>
        </row>
        <row r="2063">
          <cell r="F2063" t="str">
            <v>2102310YPY10H6005029</v>
          </cell>
        </row>
        <row r="2064">
          <cell r="F2064" t="str">
            <v>2102310YPY10H6005031</v>
          </cell>
        </row>
        <row r="2065">
          <cell r="F2065" t="str">
            <v>2102310YPY10H6005037</v>
          </cell>
        </row>
        <row r="2066">
          <cell r="F2066" t="str">
            <v>DGNCYK2</v>
          </cell>
        </row>
        <row r="2067">
          <cell r="F2067" t="str">
            <v>DGR8YK2</v>
          </cell>
        </row>
        <row r="2068">
          <cell r="F2068" t="str">
            <v>DGN5YK2</v>
          </cell>
        </row>
        <row r="2069">
          <cell r="F2069" t="str">
            <v>DGP7YK2</v>
          </cell>
        </row>
        <row r="2070">
          <cell r="F2070" t="str">
            <v>99W3431</v>
          </cell>
        </row>
        <row r="2071">
          <cell r="F2071" t="str">
            <v>99W3440</v>
          </cell>
        </row>
        <row r="2072">
          <cell r="F2072" t="str">
            <v>99W3435</v>
          </cell>
        </row>
        <row r="2073">
          <cell r="F2073" t="str">
            <v>99W3428</v>
          </cell>
        </row>
        <row r="2074">
          <cell r="F2074" t="str">
            <v>99W3436</v>
          </cell>
        </row>
        <row r="2075">
          <cell r="F2075" t="str">
            <v>99W3434</v>
          </cell>
        </row>
        <row r="2076">
          <cell r="F2076" t="str">
            <v>99W3425</v>
          </cell>
        </row>
        <row r="2077">
          <cell r="F2077" t="str">
            <v>99W3438</v>
          </cell>
        </row>
        <row r="2078">
          <cell r="F2078" t="str">
            <v>99W3448</v>
          </cell>
        </row>
        <row r="2079">
          <cell r="F2079" t="str">
            <v>99W3446</v>
          </cell>
        </row>
        <row r="2080">
          <cell r="F2080" t="str">
            <v>99W3447</v>
          </cell>
        </row>
        <row r="2081">
          <cell r="F2081" t="str">
            <v>99W3439</v>
          </cell>
        </row>
        <row r="2082">
          <cell r="F2082" t="str">
            <v>99W3441</v>
          </cell>
        </row>
        <row r="2083">
          <cell r="F2083" t="str">
            <v>99W3449</v>
          </cell>
        </row>
        <row r="2084">
          <cell r="F2084" t="str">
            <v>99W3327</v>
          </cell>
        </row>
        <row r="2085">
          <cell r="F2085" t="str">
            <v>99G7860</v>
          </cell>
        </row>
        <row r="2086">
          <cell r="F2086" t="str">
            <v>99W3223</v>
          </cell>
        </row>
        <row r="2087">
          <cell r="F2087" t="str">
            <v>99W3226</v>
          </cell>
        </row>
        <row r="2088">
          <cell r="F2088" t="str">
            <v>99W3260</v>
          </cell>
        </row>
        <row r="2089">
          <cell r="F2089" t="str">
            <v>99W3229</v>
          </cell>
        </row>
        <row r="2090">
          <cell r="F2090" t="str">
            <v>99W3198</v>
          </cell>
        </row>
        <row r="2091">
          <cell r="F2091" t="str">
            <v>99W3301</v>
          </cell>
        </row>
        <row r="2092">
          <cell r="F2092" t="str">
            <v>99W3210</v>
          </cell>
        </row>
        <row r="2093">
          <cell r="F2093" t="str">
            <v>99W3214</v>
          </cell>
        </row>
        <row r="2094">
          <cell r="F2094" t="str">
            <v>99W3188</v>
          </cell>
        </row>
        <row r="2095">
          <cell r="F2095" t="str">
            <v>99W3215</v>
          </cell>
        </row>
        <row r="2096">
          <cell r="F2096" t="str">
            <v>99W3241</v>
          </cell>
        </row>
        <row r="2097">
          <cell r="F2097" t="str">
            <v>210235A1TXH179000206</v>
          </cell>
        </row>
        <row r="2098">
          <cell r="F2098" t="str">
            <v>219801A12T9199Q000M0</v>
          </cell>
        </row>
        <row r="2099">
          <cell r="F2099" t="str">
            <v>219801A12T919AQ000ML</v>
          </cell>
        </row>
        <row r="2100">
          <cell r="F2100" t="str">
            <v>2102350DLVDMK8000129</v>
          </cell>
        </row>
        <row r="2101">
          <cell r="F2101" t="str">
            <v>210235A1TXH179000335</v>
          </cell>
        </row>
        <row r="2102">
          <cell r="F2102" t="str">
            <v>219801A12T9198Q001H8</v>
          </cell>
        </row>
        <row r="2103">
          <cell r="F2103" t="str">
            <v>219801A12T9198Q0016R</v>
          </cell>
        </row>
        <row r="2104">
          <cell r="F2104" t="str">
            <v>2102350DLVDMK8000137</v>
          </cell>
        </row>
        <row r="2105">
          <cell r="F2105" t="str">
            <v>0650FBP</v>
          </cell>
        </row>
        <row r="2106">
          <cell r="F2106" t="str">
            <v>0650D6P</v>
          </cell>
        </row>
        <row r="2107">
          <cell r="F2107" t="str">
            <v>210235A0H9H119000165</v>
          </cell>
        </row>
        <row r="2108">
          <cell r="F2108" t="str">
            <v>0650B6P</v>
          </cell>
        </row>
        <row r="2109">
          <cell r="F2109" t="str">
            <v>0650D2P</v>
          </cell>
        </row>
        <row r="2110">
          <cell r="F2110" t="str">
            <v>06B920P</v>
          </cell>
        </row>
        <row r="2111">
          <cell r="F2111" t="str">
            <v>06B91EP</v>
          </cell>
        </row>
        <row r="2112">
          <cell r="F2112" t="str">
            <v>SGH117XB2F</v>
          </cell>
        </row>
        <row r="2113">
          <cell r="F2113" t="str">
            <v>SGH118XKV1</v>
          </cell>
        </row>
        <row r="2114">
          <cell r="F2114" t="str">
            <v>SGH118XJP1</v>
          </cell>
        </row>
        <row r="2115">
          <cell r="F2115" t="str">
            <v>SGH118XKVJ</v>
          </cell>
        </row>
        <row r="2116">
          <cell r="F2116" t="str">
            <v>SGH118XFT6</v>
          </cell>
        </row>
        <row r="2117">
          <cell r="F2117" t="str">
            <v>SGH118XJTT</v>
          </cell>
        </row>
        <row r="2118">
          <cell r="F2118" t="str">
            <v>SGH118XKXS</v>
          </cell>
        </row>
        <row r="2119">
          <cell r="F2119" t="str">
            <v>SGH117XB2Y</v>
          </cell>
        </row>
        <row r="2120">
          <cell r="F2120" t="str">
            <v>SGH118XKXT</v>
          </cell>
        </row>
        <row r="2121">
          <cell r="F2121" t="str">
            <v>SGH118XJTS</v>
          </cell>
        </row>
        <row r="2122">
          <cell r="F2122" t="str">
            <v>SGH118XK5F</v>
          </cell>
        </row>
        <row r="2123">
          <cell r="F2123" t="str">
            <v>SGH118XHHD</v>
          </cell>
        </row>
        <row r="2124">
          <cell r="F2124" t="str">
            <v>SGH118XHHD</v>
          </cell>
        </row>
        <row r="2125">
          <cell r="F2125" t="str">
            <v>SGH230A2A4(升级870C I2)</v>
          </cell>
        </row>
        <row r="2126">
          <cell r="F2126" t="str">
            <v>SGH230A2A4(升级870C I2)</v>
          </cell>
        </row>
        <row r="2127">
          <cell r="F2127" t="str">
            <v>SGH230A2A3(升级870C I2)</v>
          </cell>
        </row>
        <row r="2128">
          <cell r="F2128" t="str">
            <v>SGH230A2A3(升级870C I2)</v>
          </cell>
        </row>
        <row r="2129">
          <cell r="F2129" t="str">
            <v>SGH230A2A0(升级870C I2)</v>
          </cell>
        </row>
        <row r="2130">
          <cell r="F2130" t="str">
            <v>SGH230A29Y(升级870C I2)</v>
          </cell>
        </row>
        <row r="2131">
          <cell r="F2131" t="str">
            <v>SGH230A29Y(升级870C I2)</v>
          </cell>
        </row>
        <row r="2132">
          <cell r="F2132" t="str">
            <v>SGH230A2A0﹝升级870C I2﹞</v>
          </cell>
        </row>
        <row r="2133">
          <cell r="F2133" t="str">
            <v>FOX1834GTFL</v>
          </cell>
        </row>
        <row r="2134">
          <cell r="F2134" t="str">
            <v>FCH1834J6PX</v>
          </cell>
        </row>
        <row r="2135">
          <cell r="F2135" t="str">
            <v>FCH1834J0JL</v>
          </cell>
        </row>
        <row r="2136">
          <cell r="F2136" t="str">
            <v>FCH1834J0PD</v>
          </cell>
        </row>
        <row r="2137">
          <cell r="F2137" t="str">
            <v>FCH1834JEQ6</v>
          </cell>
        </row>
        <row r="2138">
          <cell r="F2138" t="str">
            <v>FCH1834JEPH</v>
          </cell>
        </row>
        <row r="2139">
          <cell r="F2139" t="str">
            <v>FCH1834JDRY</v>
          </cell>
        </row>
        <row r="2140">
          <cell r="F2140" t="str">
            <v>FCH1834JDNQ</v>
          </cell>
        </row>
        <row r="2141">
          <cell r="F2141" t="str">
            <v>FCH18347Q27</v>
          </cell>
        </row>
        <row r="2142">
          <cell r="F2142" t="str">
            <v>FOX1842GHVG</v>
          </cell>
        </row>
        <row r="2143">
          <cell r="F2143" t="str">
            <v>FCH18347JT2</v>
          </cell>
        </row>
        <row r="2144">
          <cell r="F2144" t="str">
            <v>FCH18347HVG</v>
          </cell>
        </row>
        <row r="2145">
          <cell r="F2145" t="str">
            <v>FCH18347HRA</v>
          </cell>
        </row>
        <row r="2146">
          <cell r="F2146" t="str">
            <v>FCH18347KZU</v>
          </cell>
        </row>
        <row r="2147">
          <cell r="F2147" t="str">
            <v>FCH18347HUZ</v>
          </cell>
        </row>
        <row r="2148">
          <cell r="F2148" t="str">
            <v>FCH18347HCZ</v>
          </cell>
        </row>
        <row r="2149">
          <cell r="F2149" t="str">
            <v>FCH18347JCE</v>
          </cell>
        </row>
        <row r="2150">
          <cell r="F2150" t="str">
            <v>FCH18347KP9</v>
          </cell>
        </row>
        <row r="2151">
          <cell r="F2151" t="str">
            <v>FOX1842G6HM</v>
          </cell>
        </row>
        <row r="2152">
          <cell r="F2152" t="str">
            <v>FCH18347HAF</v>
          </cell>
        </row>
        <row r="2153">
          <cell r="F2153" t="str">
            <v>FCH18347K43</v>
          </cell>
        </row>
        <row r="2154">
          <cell r="F2154" t="str">
            <v>FCH18347JYX</v>
          </cell>
        </row>
        <row r="2155">
          <cell r="F2155" t="str">
            <v>FCH18347K2E</v>
          </cell>
        </row>
        <row r="2156">
          <cell r="F2156" t="str">
            <v>FCH18347KD3</v>
          </cell>
        </row>
        <row r="2157">
          <cell r="F2157" t="str">
            <v>FCH18347M8L</v>
          </cell>
        </row>
        <row r="2158">
          <cell r="F2158" t="str">
            <v>FCH18347LOL</v>
          </cell>
        </row>
        <row r="2159">
          <cell r="F2159" t="str">
            <v>FCH18347KDC</v>
          </cell>
        </row>
        <row r="2160">
          <cell r="F2160" t="str">
            <v>FOX1838GTEG</v>
          </cell>
        </row>
        <row r="2161">
          <cell r="F2161" t="str">
            <v>FCH1834JDMH</v>
          </cell>
        </row>
        <row r="2162">
          <cell r="F2162" t="str">
            <v>FCH1834JE4B</v>
          </cell>
        </row>
        <row r="2163">
          <cell r="F2163" t="str">
            <v>FCH1834JDPZ</v>
          </cell>
        </row>
        <row r="2164">
          <cell r="F2164" t="str">
            <v>FCH18347Q24</v>
          </cell>
        </row>
        <row r="2165">
          <cell r="F2165" t="str">
            <v>FCH1834JERN</v>
          </cell>
        </row>
        <row r="2166">
          <cell r="F2166" t="str">
            <v>FCH1834JEAY</v>
          </cell>
        </row>
        <row r="2167">
          <cell r="F2167" t="str">
            <v>FCH1834JDKV</v>
          </cell>
        </row>
        <row r="2168">
          <cell r="F2168" t="str">
            <v>FCH1834JEBK</v>
          </cell>
        </row>
        <row r="2169">
          <cell r="F2169" t="str">
            <v>FOX1842GHWG</v>
          </cell>
        </row>
        <row r="2170">
          <cell r="F2170" t="str">
            <v>FCH18347HTE</v>
          </cell>
        </row>
        <row r="2171">
          <cell r="F2171" t="str">
            <v>FCH18347JD7</v>
          </cell>
        </row>
        <row r="2172">
          <cell r="F2172" t="str">
            <v>FCH18347K08</v>
          </cell>
        </row>
        <row r="2173">
          <cell r="F2173" t="str">
            <v>FCH18347K3J</v>
          </cell>
        </row>
        <row r="2174">
          <cell r="F2174" t="str">
            <v>FCH18407JSW</v>
          </cell>
        </row>
        <row r="2175">
          <cell r="F2175" t="str">
            <v>FOX1842GJ1R</v>
          </cell>
        </row>
        <row r="2176">
          <cell r="F2176" t="str">
            <v>FCH18347J1R</v>
          </cell>
        </row>
        <row r="2177">
          <cell r="F2177" t="str">
            <v>FCH18347HS4</v>
          </cell>
        </row>
        <row r="2178">
          <cell r="F2178" t="str">
            <v>FCH18347KXU</v>
          </cell>
        </row>
        <row r="2179">
          <cell r="F2179" t="str">
            <v>FCH18347LGP</v>
          </cell>
        </row>
        <row r="2180">
          <cell r="F2180" t="str">
            <v>FCH18407HCA</v>
          </cell>
        </row>
        <row r="2181">
          <cell r="F2181" t="str">
            <v>FOX1841G3NY</v>
          </cell>
        </row>
        <row r="2182">
          <cell r="F2182" t="str">
            <v>FCH18347HXQ</v>
          </cell>
        </row>
        <row r="2183">
          <cell r="F2183" t="str">
            <v>FCH18347KMQ</v>
          </cell>
        </row>
        <row r="2184">
          <cell r="F2184" t="str">
            <v>FCH18347J58</v>
          </cell>
        </row>
        <row r="2185">
          <cell r="F2185" t="str">
            <v>FCH18347J6S</v>
          </cell>
        </row>
        <row r="2186">
          <cell r="F2186" t="str">
            <v>FCH18347KG9</v>
          </cell>
        </row>
        <row r="2187">
          <cell r="F2187" t="str">
            <v>FCH18347HT4</v>
          </cell>
        </row>
        <row r="2188">
          <cell r="F2188" t="str">
            <v>FCH18347J6Z</v>
          </cell>
        </row>
        <row r="2189">
          <cell r="F2189" t="str">
            <v>FCH18347JKH</v>
          </cell>
        </row>
        <row r="2190">
          <cell r="F2190" t="str">
            <v>CNG230S8Z8</v>
          </cell>
        </row>
        <row r="2191">
          <cell r="F2191" t="str">
            <v>CNG230S8Z6</v>
          </cell>
        </row>
        <row r="2192">
          <cell r="F2192" t="str">
            <v>99W3250</v>
          </cell>
        </row>
        <row r="2193">
          <cell r="F2193" t="str">
            <v>99W3444</v>
          </cell>
        </row>
        <row r="2194">
          <cell r="F2194" t="str">
            <v>99W3450</v>
          </cell>
        </row>
        <row r="2195">
          <cell r="F2195" t="str">
            <v>99W3429</v>
          </cell>
        </row>
        <row r="2196">
          <cell r="F2196" t="str">
            <v>99W3433</v>
          </cell>
        </row>
        <row r="2197">
          <cell r="F2197" t="str">
            <v>99W3267</v>
          </cell>
        </row>
        <row r="2198">
          <cell r="F2198" t="str">
            <v>99W3277</v>
          </cell>
        </row>
        <row r="2199">
          <cell r="F2199" t="str">
            <v>99W3432</v>
          </cell>
        </row>
        <row r="2200">
          <cell r="F2200" t="str">
            <v>99W3445</v>
          </cell>
        </row>
        <row r="2201">
          <cell r="F2201" t="str">
            <v>99W3440</v>
          </cell>
        </row>
        <row r="2202">
          <cell r="F2202" t="str">
            <v>99W3443</v>
          </cell>
        </row>
        <row r="2203">
          <cell r="F2203" t="str">
            <v>99W3426</v>
          </cell>
        </row>
        <row r="2204">
          <cell r="F2204" t="str">
            <v>99W3427</v>
          </cell>
        </row>
        <row r="2205">
          <cell r="F2205" t="str">
            <v>99W3442</v>
          </cell>
        </row>
        <row r="2206">
          <cell r="F2206" t="str">
            <v>99W3437</v>
          </cell>
        </row>
        <row r="2207">
          <cell r="F2207" t="str">
            <v>99W3197</v>
          </cell>
        </row>
        <row r="2208">
          <cell r="F2208" t="str">
            <v>99W3282</v>
          </cell>
        </row>
        <row r="2209">
          <cell r="F2209" t="str">
            <v>99W3243</v>
          </cell>
        </row>
        <row r="2210">
          <cell r="F2210" t="str">
            <v>99W3271</v>
          </cell>
        </row>
        <row r="2211">
          <cell r="F2211" t="str">
            <v>99W3230</v>
          </cell>
        </row>
        <row r="2212">
          <cell r="F2212" t="str">
            <v>99W3219</v>
          </cell>
        </row>
        <row r="2213">
          <cell r="F2213" t="str">
            <v>99W3274</v>
          </cell>
        </row>
        <row r="2214">
          <cell r="F2214" t="str">
            <v>99W3220</v>
          </cell>
        </row>
        <row r="2215">
          <cell r="F2215" t="str">
            <v>99W3199</v>
          </cell>
        </row>
        <row r="2216">
          <cell r="F2216" t="str">
            <v>99W3299</v>
          </cell>
        </row>
        <row r="2217">
          <cell r="F2217" t="str">
            <v>99W3281</v>
          </cell>
        </row>
        <row r="2218">
          <cell r="F2218" t="str">
            <v>99W3298</v>
          </cell>
        </row>
        <row r="2219">
          <cell r="F2219" t="str">
            <v>99W3234</v>
          </cell>
        </row>
        <row r="2220">
          <cell r="F2220" t="str">
            <v>99W3287</v>
          </cell>
        </row>
        <row r="2221">
          <cell r="F2221" t="str">
            <v>99W3185</v>
          </cell>
        </row>
        <row r="2222">
          <cell r="F2222" t="str">
            <v>99W3189</v>
          </cell>
        </row>
        <row r="2223">
          <cell r="F2223" t="str">
            <v>99W3183</v>
          </cell>
        </row>
        <row r="2224">
          <cell r="F2224" t="str">
            <v>99W3246</v>
          </cell>
        </row>
        <row r="2225">
          <cell r="F2225" t="str">
            <v>99W3307</v>
          </cell>
        </row>
        <row r="2226">
          <cell r="F2226" t="str">
            <v>99W3265</v>
          </cell>
        </row>
        <row r="2227">
          <cell r="F2227" t="str">
            <v>99W3244</v>
          </cell>
        </row>
        <row r="2228">
          <cell r="F2228" t="str">
            <v>99W3269</v>
          </cell>
        </row>
        <row r="2229">
          <cell r="F2229" t="str">
            <v>99W3270</v>
          </cell>
        </row>
        <row r="2230">
          <cell r="F2230" t="str">
            <v>99W3248</v>
          </cell>
        </row>
        <row r="2231">
          <cell r="F2231" t="str">
            <v>99W3242</v>
          </cell>
        </row>
        <row r="2232">
          <cell r="F2232" t="str">
            <v>99W3323</v>
          </cell>
        </row>
        <row r="2233">
          <cell r="F2233" t="str">
            <v>99W3318</v>
          </cell>
        </row>
        <row r="2234">
          <cell r="F2234" t="str">
            <v>99W3314</v>
          </cell>
        </row>
        <row r="2235">
          <cell r="F2235" t="str">
            <v>99W3204</v>
          </cell>
        </row>
        <row r="2236">
          <cell r="F2236" t="str">
            <v>99W3227</v>
          </cell>
        </row>
        <row r="2237">
          <cell r="F2237" t="str">
            <v>99W3300</v>
          </cell>
        </row>
        <row r="2238">
          <cell r="F2238" t="str">
            <v>99W3309</v>
          </cell>
        </row>
        <row r="2239">
          <cell r="F2239" t="str">
            <v>99W3263</v>
          </cell>
        </row>
        <row r="2240">
          <cell r="F2240" t="str">
            <v>99W3190</v>
          </cell>
        </row>
        <row r="2241">
          <cell r="F2241" t="str">
            <v>99W3225</v>
          </cell>
        </row>
        <row r="2242">
          <cell r="F2242" t="str">
            <v>99W3209</v>
          </cell>
        </row>
        <row r="2243">
          <cell r="F2243" t="str">
            <v>99W3181</v>
          </cell>
        </row>
        <row r="2244">
          <cell r="F2244" t="str">
            <v>99W3297</v>
          </cell>
        </row>
        <row r="2245">
          <cell r="F2245" t="str">
            <v>99W3295</v>
          </cell>
        </row>
        <row r="2246">
          <cell r="F2246" t="str">
            <v>99W3289</v>
          </cell>
        </row>
        <row r="2247">
          <cell r="F2247" t="str">
            <v>99W3193</v>
          </cell>
        </row>
        <row r="2248">
          <cell r="F2248" t="str">
            <v>99W3296</v>
          </cell>
        </row>
        <row r="2249">
          <cell r="F2249" t="str">
            <v>06YG384</v>
          </cell>
        </row>
        <row r="2250">
          <cell r="F2250" t="str">
            <v>06YG377</v>
          </cell>
        </row>
        <row r="2251">
          <cell r="F2251" t="str">
            <v>06YG377</v>
          </cell>
        </row>
        <row r="2252">
          <cell r="F2252" t="str">
            <v>99W3316</v>
          </cell>
        </row>
        <row r="2253">
          <cell r="F2253" t="str">
            <v>99W3294</v>
          </cell>
        </row>
        <row r="2254">
          <cell r="F2254" t="str">
            <v>99W3195</v>
          </cell>
        </row>
        <row r="2255">
          <cell r="F2255" t="str">
            <v>99W3207</v>
          </cell>
        </row>
        <row r="2256">
          <cell r="F2256" t="str">
            <v>99W3329</v>
          </cell>
        </row>
        <row r="2257">
          <cell r="F2257" t="str">
            <v>99W3232</v>
          </cell>
        </row>
        <row r="2258">
          <cell r="F2258" t="str">
            <v>99W3224</v>
          </cell>
        </row>
        <row r="2259">
          <cell r="F2259" t="str">
            <v>99W3315</v>
          </cell>
        </row>
        <row r="2260">
          <cell r="F2260" t="str">
            <v>99W3304</v>
          </cell>
        </row>
        <row r="2261">
          <cell r="F2261" t="str">
            <v>99W3182</v>
          </cell>
        </row>
        <row r="2262">
          <cell r="F2262" t="str">
            <v>99W3180</v>
          </cell>
        </row>
        <row r="2263">
          <cell r="F2263" t="str">
            <v>99W3236</v>
          </cell>
        </row>
        <row r="2264">
          <cell r="F2264" t="str">
            <v>99W3203</v>
          </cell>
        </row>
        <row r="2265">
          <cell r="F2265" t="str">
            <v>99W3216</v>
          </cell>
        </row>
        <row r="2266">
          <cell r="F2266" t="str">
            <v>2102350DLVDMK8000141</v>
          </cell>
        </row>
        <row r="2267">
          <cell r="F2267" t="str">
            <v>2102350DLVDMK8000101</v>
          </cell>
        </row>
        <row r="2268">
          <cell r="F2268" t="str">
            <v>219801A12T9198Q0016L</v>
          </cell>
        </row>
        <row r="2269">
          <cell r="F2269" t="str">
            <v>219801A12T9198Q0016H</v>
          </cell>
        </row>
        <row r="2270">
          <cell r="F2270" t="str">
            <v>2102350DLVDMK8000138</v>
          </cell>
        </row>
        <row r="2271">
          <cell r="F2271" t="str">
            <v>2102350DLVDMK8000144</v>
          </cell>
        </row>
        <row r="2272">
          <cell r="F2272" t="str">
            <v>219801A12T9199Q000M8</v>
          </cell>
        </row>
        <row r="2273">
          <cell r="F2273" t="str">
            <v>219801A12T9198Q001HQ</v>
          </cell>
        </row>
        <row r="2274">
          <cell r="F2274" t="str">
            <v>JGFYJL2</v>
          </cell>
        </row>
        <row r="2275">
          <cell r="F2275" t="str">
            <v>JGBXVL2</v>
          </cell>
        </row>
        <row r="2276">
          <cell r="F2276" t="str">
            <v>JGBYVL2</v>
          </cell>
        </row>
        <row r="2277">
          <cell r="F2277" t="str">
            <v>JG93YL2</v>
          </cell>
        </row>
        <row r="2278">
          <cell r="F2278" t="str">
            <v>JG9WVL2</v>
          </cell>
        </row>
        <row r="2279">
          <cell r="F2279" t="str">
            <v>JGC2YL2</v>
          </cell>
        </row>
        <row r="2280">
          <cell r="F2280" t="str">
            <v>JGB2YL2</v>
          </cell>
        </row>
        <row r="2281">
          <cell r="F2281" t="str">
            <v>JGB1KL2</v>
          </cell>
        </row>
        <row r="2282">
          <cell r="F2282" t="str">
            <v>JGB0KL2</v>
          </cell>
        </row>
        <row r="2283">
          <cell r="F2283" t="str">
            <v>JGB6KL2</v>
          </cell>
        </row>
        <row r="2284">
          <cell r="F2284" t="str">
            <v>JGBRVL2</v>
          </cell>
        </row>
        <row r="2285">
          <cell r="F2285" t="str">
            <v>JGB4YL2</v>
          </cell>
        </row>
        <row r="2286">
          <cell r="F2286" t="str">
            <v>JG9RVL2</v>
          </cell>
        </row>
        <row r="2287">
          <cell r="F2287" t="str">
            <v>JG96KL2</v>
          </cell>
        </row>
        <row r="2288">
          <cell r="F2288" t="str">
            <v>JGBVVL2</v>
          </cell>
        </row>
        <row r="2289">
          <cell r="F2289" t="str">
            <v>JGC0WL2</v>
          </cell>
        </row>
        <row r="2290">
          <cell r="F2290" t="str">
            <v>JG9YVL2</v>
          </cell>
        </row>
        <row r="2291">
          <cell r="F2291" t="str">
            <v>JGB2KL2</v>
          </cell>
        </row>
        <row r="2292">
          <cell r="F2292" t="str">
            <v>JGF5YL2</v>
          </cell>
        </row>
        <row r="2293">
          <cell r="F2293" t="str">
            <v>JGF3KL2</v>
          </cell>
        </row>
        <row r="2294">
          <cell r="F2294" t="str">
            <v>JGF4KL2</v>
          </cell>
        </row>
        <row r="2295">
          <cell r="F2295" t="str">
            <v>JGF0KL2</v>
          </cell>
        </row>
        <row r="2296">
          <cell r="F2296" t="str">
            <v>JGF6KL2</v>
          </cell>
        </row>
        <row r="2297">
          <cell r="F2297" t="str">
            <v>JGF1KL2</v>
          </cell>
        </row>
        <row r="2298">
          <cell r="F2298" t="str">
            <v>JGF2KL2</v>
          </cell>
        </row>
        <row r="2299">
          <cell r="F2299" t="str">
            <v>JGDTVL2</v>
          </cell>
        </row>
        <row r="2300">
          <cell r="F2300" t="str">
            <v>JGD3YL2</v>
          </cell>
        </row>
        <row r="2301">
          <cell r="F2301" t="str">
            <v>JGD5YL2</v>
          </cell>
        </row>
        <row r="2302">
          <cell r="F2302" t="str">
            <v>JGCZVL2</v>
          </cell>
        </row>
        <row r="2303">
          <cell r="F2303" t="str">
            <v>JGDZJL2</v>
          </cell>
        </row>
        <row r="2304">
          <cell r="F2304" t="str">
            <v>JGD7YL2</v>
          </cell>
        </row>
        <row r="2305">
          <cell r="F2305" t="str">
            <v>JGDXVL2</v>
          </cell>
        </row>
        <row r="2306">
          <cell r="F2306" t="str">
            <v>JGF5KL2</v>
          </cell>
        </row>
        <row r="2307">
          <cell r="F2307" t="str">
            <v>JGD1KL2</v>
          </cell>
        </row>
        <row r="2308">
          <cell r="F2308" t="str">
            <v>JPS1KL2</v>
          </cell>
        </row>
        <row r="2309">
          <cell r="F2309" t="str">
            <v>JPR2YL2</v>
          </cell>
        </row>
        <row r="2310">
          <cell r="F2310" t="str">
            <v>JPQ5KL2</v>
          </cell>
        </row>
        <row r="2311">
          <cell r="F2311" t="str">
            <v>JPR1KL2</v>
          </cell>
        </row>
        <row r="2312">
          <cell r="F2312" t="str">
            <v>JPR0YL2</v>
          </cell>
        </row>
        <row r="2313">
          <cell r="F2313" t="str">
            <v>JPR3YL2</v>
          </cell>
        </row>
        <row r="2314">
          <cell r="F2314" t="str">
            <v>JPQXVL2</v>
          </cell>
        </row>
        <row r="2315">
          <cell r="F2315" t="str">
            <v>JPR4YL2</v>
          </cell>
        </row>
        <row r="2316">
          <cell r="F2316" t="str">
            <v>JPR3KL2</v>
          </cell>
        </row>
        <row r="2317">
          <cell r="F2317" t="str">
            <v>JPQTVL2</v>
          </cell>
        </row>
        <row r="2318">
          <cell r="F2318" t="str">
            <v>JPQRVL2</v>
          </cell>
        </row>
        <row r="2319">
          <cell r="F2319" t="str">
            <v>JPR0KL2</v>
          </cell>
        </row>
        <row r="2320">
          <cell r="F2320" t="str">
            <v>JPR4KL2</v>
          </cell>
        </row>
        <row r="2321">
          <cell r="F2321" t="str">
            <v>JPR2KL2</v>
          </cell>
        </row>
        <row r="2322">
          <cell r="F2322" t="str">
            <v>JPR1YL2</v>
          </cell>
        </row>
        <row r="2323">
          <cell r="F2323" t="str">
            <v>JPQZVL2</v>
          </cell>
        </row>
        <row r="2324">
          <cell r="F2324" t="str">
            <v>JPQWVL2</v>
          </cell>
        </row>
        <row r="2325">
          <cell r="F2325" t="str">
            <v>JPRZJL2</v>
          </cell>
        </row>
        <row r="2326">
          <cell r="F2326" t="str">
            <v>JPQ6YL2</v>
          </cell>
        </row>
        <row r="2327">
          <cell r="F2327" t="str">
            <v>JPQZJL2</v>
          </cell>
        </row>
        <row r="2328">
          <cell r="F2328" t="str">
            <v>JPQZXL2</v>
          </cell>
        </row>
        <row r="2329">
          <cell r="F2329" t="str">
            <v>JPQ4YL2</v>
          </cell>
        </row>
        <row r="2330">
          <cell r="F2330" t="str">
            <v>JPQ2KL2</v>
          </cell>
        </row>
        <row r="2331">
          <cell r="F2331" t="str">
            <v>JPQ5YL2</v>
          </cell>
        </row>
        <row r="2332">
          <cell r="F2332" t="str">
            <v>JPQSVL2</v>
          </cell>
        </row>
        <row r="2333">
          <cell r="F2333" t="str">
            <v>JPQ0YL2</v>
          </cell>
        </row>
        <row r="2334">
          <cell r="F2334" t="str">
            <v>JPQXJL2</v>
          </cell>
        </row>
        <row r="2335">
          <cell r="F2335" t="str">
            <v>JPQ4KL2</v>
          </cell>
        </row>
        <row r="2336">
          <cell r="F2336" t="str">
            <v>JPQ2YL2</v>
          </cell>
        </row>
        <row r="2337">
          <cell r="F2337" t="str">
            <v>JPQ3KL2</v>
          </cell>
        </row>
        <row r="2338">
          <cell r="F2338" t="str">
            <v>JPR0WL2</v>
          </cell>
        </row>
        <row r="2339">
          <cell r="F2339" t="str">
            <v>JPQ1YL2</v>
          </cell>
        </row>
        <row r="2340">
          <cell r="F2340" t="str">
            <v>JPQYJL2</v>
          </cell>
        </row>
        <row r="2341">
          <cell r="F2341" t="str">
            <v>JPQVVL2</v>
          </cell>
        </row>
        <row r="2342">
          <cell r="F2342" t="str">
            <v>210235A1TXH179000311</v>
          </cell>
        </row>
        <row r="2343">
          <cell r="F2343" t="str">
            <v>210235A1TXH179000356</v>
          </cell>
        </row>
        <row r="2344">
          <cell r="F2344" t="str">
            <v>CNG230S8ZD</v>
          </cell>
        </row>
        <row r="2345">
          <cell r="F2345" t="str">
            <v>FDO1630R19E</v>
          </cell>
        </row>
        <row r="2346">
          <cell r="F2346" t="str">
            <v>210235A0HAH126000162</v>
          </cell>
        </row>
        <row r="2347">
          <cell r="F2347" t="str">
            <v>210235A0HAH127000040</v>
          </cell>
        </row>
        <row r="2348">
          <cell r="F2348" t="str">
            <v>FD01630P0KT</v>
          </cell>
        </row>
        <row r="2349">
          <cell r="F2349" t="str">
            <v>FD01630R153</v>
          </cell>
        </row>
        <row r="2350">
          <cell r="F2350" t="str">
            <v>210235A0HAH127000062</v>
          </cell>
        </row>
        <row r="2351">
          <cell r="F2351" t="str">
            <v>210235A0HAH126000126</v>
          </cell>
        </row>
        <row r="2352">
          <cell r="F2352" t="str">
            <v>CNG230S9BG</v>
          </cell>
        </row>
        <row r="2353">
          <cell r="F2353" t="str">
            <v>CNG230S9B8</v>
          </cell>
        </row>
        <row r="2354">
          <cell r="F2354" t="str">
            <v>CNG230S98Z</v>
          </cell>
        </row>
        <row r="2355">
          <cell r="F2355" t="str">
            <v>CNG230S993</v>
          </cell>
        </row>
        <row r="2356">
          <cell r="F2356" t="str">
            <v>CNG230S98S</v>
          </cell>
        </row>
        <row r="2357">
          <cell r="F2357" t="str">
            <v>CNG230S995</v>
          </cell>
        </row>
        <row r="2358">
          <cell r="F2358" t="str">
            <v>CNG230S96D</v>
          </cell>
        </row>
        <row r="2359">
          <cell r="F2359" t="str">
            <v>CNG230S986</v>
          </cell>
        </row>
        <row r="2360">
          <cell r="F2360" t="str">
            <v>CNG230S98V</v>
          </cell>
        </row>
        <row r="2361">
          <cell r="F2361" t="str">
            <v>CNG230S96J</v>
          </cell>
        </row>
        <row r="2362">
          <cell r="F2362" t="str">
            <v>CNG230S99M</v>
          </cell>
        </row>
        <row r="2363">
          <cell r="F2363" t="str">
            <v>CNG230S984</v>
          </cell>
        </row>
        <row r="2364">
          <cell r="F2364" t="str">
            <v>CNG230S99W</v>
          </cell>
        </row>
        <row r="2365">
          <cell r="F2365" t="str">
            <v>CNG230S99T</v>
          </cell>
        </row>
        <row r="2366">
          <cell r="F2366" t="str">
            <v>CNG230S97T</v>
          </cell>
        </row>
        <row r="2367">
          <cell r="F2367" t="str">
            <v>CNG230S980</v>
          </cell>
        </row>
        <row r="2368">
          <cell r="F2368" t="str">
            <v>CNG230S98J</v>
          </cell>
        </row>
        <row r="2369">
          <cell r="F2369" t="str">
            <v>CNG230S97Y</v>
          </cell>
        </row>
        <row r="2370">
          <cell r="F2370" t="str">
            <v>CNG230S97F</v>
          </cell>
        </row>
        <row r="2371">
          <cell r="F2371" t="str">
            <v>CNG230S975</v>
          </cell>
        </row>
        <row r="2372">
          <cell r="F2372" t="str">
            <v>CNG230S96S</v>
          </cell>
        </row>
        <row r="2373">
          <cell r="F2373" t="str">
            <v>CNG230S99H</v>
          </cell>
        </row>
        <row r="2374">
          <cell r="F2374" t="str">
            <v>CNG230S97R</v>
          </cell>
        </row>
        <row r="2375">
          <cell r="F2375" t="str">
            <v>CNG230S96N</v>
          </cell>
        </row>
        <row r="2376">
          <cell r="F2376" t="str">
            <v>CNG230S96G</v>
          </cell>
        </row>
        <row r="2377">
          <cell r="F2377" t="str">
            <v>CNG230S9BD</v>
          </cell>
        </row>
        <row r="2378">
          <cell r="F2378" t="str">
            <v>CNG230S97C</v>
          </cell>
        </row>
        <row r="2379">
          <cell r="F2379" t="str">
            <v>CNG230S988</v>
          </cell>
        </row>
        <row r="2380">
          <cell r="F2380" t="str">
            <v>CNG230S96X</v>
          </cell>
        </row>
        <row r="2381">
          <cell r="F2381" t="str">
            <v>CNG230S9B4</v>
          </cell>
        </row>
        <row r="2382">
          <cell r="F2382" t="str">
            <v>CNG230S98D</v>
          </cell>
        </row>
        <row r="2383">
          <cell r="F2383" t="str">
            <v>CNG230S96Z</v>
          </cell>
        </row>
        <row r="2384">
          <cell r="F2384" t="str">
            <v>CNG230S9N8</v>
          </cell>
        </row>
        <row r="2385">
          <cell r="F2385" t="str">
            <v>CNG230S9KP</v>
          </cell>
        </row>
        <row r="2386">
          <cell r="F2386" t="str">
            <v>CNG230S9KW</v>
          </cell>
        </row>
        <row r="2387">
          <cell r="F2387" t="str">
            <v>CNG230S9J2</v>
          </cell>
        </row>
        <row r="2388">
          <cell r="F2388" t="str">
            <v>CNG230S9ND</v>
          </cell>
        </row>
        <row r="2389">
          <cell r="F2389" t="str">
            <v>CNG230S9M9</v>
          </cell>
        </row>
        <row r="2390">
          <cell r="F2390" t="str">
            <v>CNG230S9JV</v>
          </cell>
        </row>
        <row r="2391">
          <cell r="F2391" t="str">
            <v>CNG230S9N4</v>
          </cell>
        </row>
        <row r="2392">
          <cell r="F2392" t="str">
            <v>CNG230S9NZ</v>
          </cell>
        </row>
        <row r="2393">
          <cell r="F2393" t="str">
            <v>CNG230S9KF</v>
          </cell>
        </row>
        <row r="2394">
          <cell r="F2394" t="str">
            <v>CNG230S9GN</v>
          </cell>
        </row>
        <row r="2395">
          <cell r="F2395" t="str">
            <v>CNG230S9N0</v>
          </cell>
        </row>
        <row r="2396">
          <cell r="F2396" t="str">
            <v>CNG230S9HH</v>
          </cell>
        </row>
        <row r="2397">
          <cell r="F2397" t="str">
            <v>CNG230S9HK</v>
          </cell>
        </row>
        <row r="2398">
          <cell r="F2398" t="str">
            <v>CNG230S9Q2</v>
          </cell>
        </row>
        <row r="2399">
          <cell r="F2399" t="str">
            <v>CNG230S9NN</v>
          </cell>
        </row>
        <row r="2400">
          <cell r="F2400" t="str">
            <v>CNG230S9P3</v>
          </cell>
        </row>
        <row r="2401">
          <cell r="F2401" t="str">
            <v>CNG230S9MR</v>
          </cell>
        </row>
        <row r="2402">
          <cell r="F2402" t="str">
            <v>CNG230S9QJ</v>
          </cell>
        </row>
        <row r="2403">
          <cell r="F2403" t="str">
            <v>CNG230S9LN</v>
          </cell>
        </row>
        <row r="2404">
          <cell r="F2404" t="str">
            <v>CNG230S9R7</v>
          </cell>
        </row>
        <row r="2405">
          <cell r="F2405" t="str">
            <v>CNG230S9LX</v>
          </cell>
        </row>
        <row r="2406">
          <cell r="F2406" t="str">
            <v>CNG230S9N6</v>
          </cell>
        </row>
        <row r="2407">
          <cell r="F2407" t="str">
            <v>CNG230S9HC</v>
          </cell>
        </row>
        <row r="2408">
          <cell r="F2408" t="str">
            <v>CNG230S9GS</v>
          </cell>
        </row>
        <row r="2409">
          <cell r="F2409" t="str">
            <v>CNG230S9HW</v>
          </cell>
        </row>
        <row r="2410">
          <cell r="F2410" t="str">
            <v>CNG230S9L4</v>
          </cell>
        </row>
        <row r="2411">
          <cell r="F2411" t="str">
            <v>CNG230S9NJ</v>
          </cell>
        </row>
        <row r="2412">
          <cell r="F2412" t="str">
            <v>CNG230S9M5</v>
          </cell>
        </row>
        <row r="2413">
          <cell r="F2413" t="str">
            <v>CNG230S9MP</v>
          </cell>
        </row>
        <row r="2414">
          <cell r="F2414" t="str">
            <v>CNG230S9LS</v>
          </cell>
        </row>
        <row r="2415">
          <cell r="F2415" t="str">
            <v>CNG230S9JX</v>
          </cell>
        </row>
        <row r="2416">
          <cell r="F2416" t="str">
            <v>DW3JZZ1</v>
          </cell>
        </row>
        <row r="2417">
          <cell r="F2417" t="str">
            <v>CNG230S9QD</v>
          </cell>
        </row>
        <row r="2418">
          <cell r="F2418" t="str">
            <v>CNG230S9P1</v>
          </cell>
        </row>
        <row r="2419">
          <cell r="F2419" t="str">
            <v>CNG230S9RM</v>
          </cell>
        </row>
        <row r="2420">
          <cell r="F2420" t="str">
            <v>CNG230S9MF</v>
          </cell>
        </row>
        <row r="2421">
          <cell r="F2421" t="str">
            <v>CNG230S9Q4</v>
          </cell>
        </row>
        <row r="2422">
          <cell r="F2422" t="str">
            <v>CNG230S9RR</v>
          </cell>
        </row>
        <row r="2423">
          <cell r="F2423" t="str">
            <v>CNG230S9MY</v>
          </cell>
        </row>
        <row r="2424">
          <cell r="F2424" t="str">
            <v>CNG230S9K7</v>
          </cell>
        </row>
        <row r="2425">
          <cell r="F2425" t="str">
            <v>CNG230S9HM</v>
          </cell>
        </row>
        <row r="2426">
          <cell r="F2426" t="str">
            <v>CNG230S9RP</v>
          </cell>
        </row>
        <row r="2427">
          <cell r="F2427" t="str">
            <v>CNG230S9RK</v>
          </cell>
        </row>
        <row r="2428">
          <cell r="F2428" t="str">
            <v>CNG230S9J0</v>
          </cell>
        </row>
        <row r="2429">
          <cell r="F2429" t="str">
            <v>CNG230S9NL</v>
          </cell>
        </row>
        <row r="2430">
          <cell r="F2430" t="str">
            <v>CNG230S9M1</v>
          </cell>
        </row>
        <row r="2431">
          <cell r="F2431" t="str">
            <v>CNG230S9N2</v>
          </cell>
        </row>
        <row r="2432">
          <cell r="F2432" t="str">
            <v>CNG230S9LV</v>
          </cell>
        </row>
        <row r="2433">
          <cell r="F2433" t="str">
            <v>6W3JZZ1</v>
          </cell>
        </row>
        <row r="2434">
          <cell r="F2434" t="str">
            <v>1X3JZZ1</v>
          </cell>
        </row>
        <row r="2435">
          <cell r="F2435" t="str">
            <v>BW3JZZ1</v>
          </cell>
        </row>
        <row r="2436">
          <cell r="F2436" t="str">
            <v>FW3JZZ1</v>
          </cell>
        </row>
        <row r="2437">
          <cell r="F2437" t="str">
            <v>CW3JZZ1</v>
          </cell>
        </row>
        <row r="2438">
          <cell r="F2438" t="str">
            <v>7W3JZZ1</v>
          </cell>
        </row>
        <row r="2439">
          <cell r="F2439" t="str">
            <v>9W3JZZ1</v>
          </cell>
        </row>
        <row r="2440">
          <cell r="F2440" t="str">
            <v>JW3JZZ1</v>
          </cell>
        </row>
        <row r="2441">
          <cell r="F2441" t="str">
            <v>CNG230S97P</v>
          </cell>
        </row>
        <row r="2442">
          <cell r="F2442" t="str">
            <v>CNG230S979</v>
          </cell>
        </row>
        <row r="2443">
          <cell r="F2443" t="str">
            <v>CNG230S971</v>
          </cell>
        </row>
        <row r="2444">
          <cell r="F2444" t="str">
            <v>CNG230S99P</v>
          </cell>
        </row>
        <row r="2445">
          <cell r="F2445" t="str">
            <v>CNG230S98L</v>
          </cell>
        </row>
        <row r="2446">
          <cell r="F2446" t="str">
            <v>CNG230S99Y</v>
          </cell>
        </row>
        <row r="2447">
          <cell r="F2447" t="str">
            <v>CNG230S999</v>
          </cell>
        </row>
        <row r="2448">
          <cell r="F2448" t="str">
            <v>CNG230S96L</v>
          </cell>
        </row>
        <row r="2449">
          <cell r="F2449" t="str">
            <v>CNG230S9B6</v>
          </cell>
        </row>
        <row r="2450">
          <cell r="F2450" t="str">
            <v>CNG230S997</v>
          </cell>
        </row>
        <row r="2451">
          <cell r="F2451" t="str">
            <v>CNG230S9BJ</v>
          </cell>
        </row>
        <row r="2452">
          <cell r="F2452" t="str">
            <v>CNG230S97K</v>
          </cell>
        </row>
        <row r="2453">
          <cell r="F2453" t="str">
            <v>CNG230S98B</v>
          </cell>
        </row>
        <row r="2454">
          <cell r="F2454" t="str">
            <v>CNG230S97H</v>
          </cell>
        </row>
        <row r="2455">
          <cell r="F2455" t="str">
            <v>CNG230S968</v>
          </cell>
        </row>
        <row r="2456">
          <cell r="F2456" t="str">
            <v>CNG230S9Y8</v>
          </cell>
        </row>
        <row r="2457">
          <cell r="F2457" t="str">
            <v>CNG230S98N</v>
          </cell>
        </row>
        <row r="2458">
          <cell r="F2458" t="str">
            <v>CNG230S99C</v>
          </cell>
        </row>
        <row r="2459">
          <cell r="F2459" t="str">
            <v>CNG230S96Q</v>
          </cell>
        </row>
        <row r="2460">
          <cell r="F2460" t="str">
            <v>CNG230S97M</v>
          </cell>
        </row>
        <row r="2461">
          <cell r="F2461" t="str">
            <v>CNG230S99R</v>
          </cell>
        </row>
        <row r="2462">
          <cell r="F2462" t="str">
            <v>CNG230S98Q</v>
          </cell>
        </row>
        <row r="2463">
          <cell r="F2463" t="str">
            <v>CNG230S982</v>
          </cell>
        </row>
        <row r="2464">
          <cell r="F2464" t="str">
            <v>CNG230S977</v>
          </cell>
        </row>
        <row r="2465">
          <cell r="F2465" t="str">
            <v>CNG230S9B0</v>
          </cell>
        </row>
        <row r="2466">
          <cell r="F2466" t="str">
            <v>CNG230S9B2</v>
          </cell>
        </row>
        <row r="2467">
          <cell r="F2467" t="str">
            <v>CNG230S98G</v>
          </cell>
        </row>
        <row r="2468">
          <cell r="F2468" t="str">
            <v>CNG230S98X</v>
          </cell>
        </row>
        <row r="2469">
          <cell r="F2469" t="str">
            <v>CNG230S96B</v>
          </cell>
        </row>
        <row r="2470">
          <cell r="F2470" t="str">
            <v>CNG230S99K</v>
          </cell>
        </row>
        <row r="2471">
          <cell r="F2471" t="str">
            <v>CNG230S9BL</v>
          </cell>
        </row>
        <row r="2472">
          <cell r="F2472" t="str">
            <v>CNG230S99F</v>
          </cell>
        </row>
        <row r="2473">
          <cell r="F2473" t="str">
            <v>CNG230S9MH</v>
          </cell>
        </row>
        <row r="2474">
          <cell r="F2474" t="str">
            <v>CNG230S9RT</v>
          </cell>
        </row>
        <row r="2475">
          <cell r="F2475" t="str">
            <v>CNG230S9PW</v>
          </cell>
        </row>
        <row r="2476">
          <cell r="F2476" t="str">
            <v>CNG230S9L8</v>
          </cell>
        </row>
        <row r="2477">
          <cell r="F2477" t="str">
            <v>CNG230S9K3</v>
          </cell>
        </row>
        <row r="2478">
          <cell r="F2478" t="str">
            <v>CNG230S9QN</v>
          </cell>
        </row>
        <row r="2479">
          <cell r="F2479" t="str">
            <v>CNG230S9R3</v>
          </cell>
        </row>
        <row r="2480">
          <cell r="F2480" t="str">
            <v>CNG230S9QZ</v>
          </cell>
        </row>
        <row r="2481">
          <cell r="F2481" t="str">
            <v>CNG230S9H9</v>
          </cell>
        </row>
        <row r="2482">
          <cell r="F2482" t="str">
            <v>CNG230S9NX</v>
          </cell>
        </row>
        <row r="2483">
          <cell r="F2483" t="str">
            <v>CNG230S9QO</v>
          </cell>
        </row>
        <row r="2484">
          <cell r="F2484" t="str">
            <v>CNG230S9SO</v>
          </cell>
        </row>
        <row r="2485">
          <cell r="F2485" t="str">
            <v>CNG230S9Q6</v>
          </cell>
        </row>
        <row r="2486">
          <cell r="F2486" t="str">
            <v>CNG230S9P5</v>
          </cell>
        </row>
        <row r="2487">
          <cell r="F2487" t="str">
            <v>CNG230S9JJ</v>
          </cell>
        </row>
        <row r="2488">
          <cell r="F2488" t="str">
            <v>CNG230S9KC</v>
          </cell>
        </row>
        <row r="2489">
          <cell r="F2489" t="str">
            <v>CNG230S9M3</v>
          </cell>
        </row>
        <row r="2490">
          <cell r="F2490" t="str">
            <v>CNG230S97W</v>
          </cell>
        </row>
        <row r="2491">
          <cell r="F2491" t="str">
            <v>CNG230S9NV</v>
          </cell>
        </row>
        <row r="2492">
          <cell r="F2492" t="str">
            <v>CNG230S9LZ</v>
          </cell>
        </row>
        <row r="2493">
          <cell r="F2493" t="str">
            <v>CNG230S9PH</v>
          </cell>
        </row>
        <row r="2494">
          <cell r="F2494" t="str">
            <v>CNG230S9P9</v>
          </cell>
        </row>
        <row r="2495">
          <cell r="F2495" t="str">
            <v>CNG230S9LJ</v>
          </cell>
        </row>
        <row r="2496">
          <cell r="F2496" t="str">
            <v>CNG230S9QV</v>
          </cell>
        </row>
        <row r="2497">
          <cell r="F2497" t="str">
            <v>CNG230S9H7</v>
          </cell>
        </row>
        <row r="2498">
          <cell r="F2498" t="str">
            <v>CNG230S9RY</v>
          </cell>
        </row>
        <row r="2499">
          <cell r="F2499" t="str">
            <v>FDO1630P0LZ</v>
          </cell>
        </row>
        <row r="2500">
          <cell r="F2500" t="str">
            <v>FDO1630R19F</v>
          </cell>
        </row>
        <row r="2501">
          <cell r="F2501" t="str">
            <v>210235A0HAH126000124</v>
          </cell>
        </row>
        <row r="2502">
          <cell r="F2502" t="str">
            <v>210235A0HAH127000015</v>
          </cell>
        </row>
        <row r="2503">
          <cell r="F2503" t="str">
            <v>210235A1DWH149000084</v>
          </cell>
        </row>
        <row r="2504">
          <cell r="F2504" t="str">
            <v>210235A1DWH149000113</v>
          </cell>
        </row>
        <row r="2505">
          <cell r="F2505" t="str">
            <v>06ACNR3</v>
          </cell>
        </row>
        <row r="2506">
          <cell r="F2506" t="str">
            <v>06ACNL8</v>
          </cell>
        </row>
        <row r="2507">
          <cell r="F2507" t="str">
            <v>06ACPT1</v>
          </cell>
        </row>
        <row r="2508">
          <cell r="F2508" t="str">
            <v>06ACPC8</v>
          </cell>
        </row>
        <row r="2509">
          <cell r="F2509" t="str">
            <v>06ACPY5</v>
          </cell>
        </row>
        <row r="2510">
          <cell r="F2510" t="str">
            <v>06ACNX4</v>
          </cell>
        </row>
        <row r="2511">
          <cell r="F2511" t="str">
            <v>06ACNP8</v>
          </cell>
        </row>
        <row r="2512">
          <cell r="F2512" t="str">
            <v>06ACNV4</v>
          </cell>
        </row>
        <row r="2513">
          <cell r="F2513" t="str">
            <v>06ACNX5</v>
          </cell>
        </row>
        <row r="2514">
          <cell r="F2514" t="str">
            <v>06ACPW0</v>
          </cell>
        </row>
        <row r="2515">
          <cell r="F2515" t="str">
            <v>06ACNL9</v>
          </cell>
        </row>
        <row r="2516">
          <cell r="F2516" t="str">
            <v>06ACPN0</v>
          </cell>
        </row>
        <row r="2517">
          <cell r="F2517" t="str">
            <v>06ACNV7</v>
          </cell>
        </row>
        <row r="2518">
          <cell r="F2518" t="str">
            <v>06ACPE9</v>
          </cell>
        </row>
        <row r="2519">
          <cell r="F2519" t="str">
            <v>06ACPL9</v>
          </cell>
        </row>
        <row r="2520">
          <cell r="F2520" t="str">
            <v>06ACNL7</v>
          </cell>
        </row>
        <row r="2521">
          <cell r="F2521" t="str">
            <v>06ACPY2</v>
          </cell>
        </row>
        <row r="2522">
          <cell r="F2522" t="str">
            <v>06ACNP7</v>
          </cell>
        </row>
        <row r="2523">
          <cell r="F2523" t="str">
            <v>06ACPK4</v>
          </cell>
        </row>
        <row r="2524">
          <cell r="F2524" t="str">
            <v>06ACPA6</v>
          </cell>
        </row>
        <row r="2525">
          <cell r="F2525" t="str">
            <v>06ACPT3</v>
          </cell>
        </row>
        <row r="2526">
          <cell r="F2526" t="str">
            <v>06ACNP2</v>
          </cell>
        </row>
        <row r="2527">
          <cell r="F2527" t="str">
            <v>06ACPB0</v>
          </cell>
        </row>
        <row r="2528">
          <cell r="F2528" t="str">
            <v>06ACNT7</v>
          </cell>
        </row>
        <row r="2529">
          <cell r="F2529" t="str">
            <v>06ACPP1</v>
          </cell>
        </row>
        <row r="2530">
          <cell r="F2530" t="str">
            <v>06ACNR8</v>
          </cell>
        </row>
        <row r="2531">
          <cell r="F2531" t="str">
            <v>06ACPC6</v>
          </cell>
        </row>
        <row r="2532">
          <cell r="F2532" t="str">
            <v>06ACPF9</v>
          </cell>
        </row>
        <row r="2533">
          <cell r="F2533" t="str">
            <v>06ACPE1</v>
          </cell>
        </row>
        <row r="2534">
          <cell r="F2534" t="str">
            <v>06ACNW8</v>
          </cell>
        </row>
        <row r="2535">
          <cell r="F2535" t="str">
            <v>06ACPH5</v>
          </cell>
        </row>
        <row r="2536">
          <cell r="F2536" t="str">
            <v>06ACNM1</v>
          </cell>
        </row>
        <row r="2537">
          <cell r="F2537" t="str">
            <v>06ACNP0</v>
          </cell>
        </row>
        <row r="2538">
          <cell r="F2538" t="str">
            <v>06ACPH2</v>
          </cell>
        </row>
        <row r="2539">
          <cell r="F2539" t="str">
            <v>06ACPV5</v>
          </cell>
        </row>
        <row r="2540">
          <cell r="F2540" t="str">
            <v>06ACNL6</v>
          </cell>
        </row>
        <row r="2541">
          <cell r="F2541" t="str">
            <v>06ACPK5</v>
          </cell>
        </row>
        <row r="2542">
          <cell r="F2542" t="str">
            <v>06ACPP7</v>
          </cell>
        </row>
        <row r="2543">
          <cell r="F2543" t="str">
            <v>06ACNP1</v>
          </cell>
        </row>
        <row r="2544">
          <cell r="F2544" t="str">
            <v>06ACPK9</v>
          </cell>
        </row>
        <row r="2545">
          <cell r="F2545" t="str">
            <v>06ACPF8</v>
          </cell>
        </row>
        <row r="2546">
          <cell r="F2546" t="str">
            <v>06ACPT8</v>
          </cell>
        </row>
        <row r="2547">
          <cell r="F2547" t="str">
            <v>06ACPY1</v>
          </cell>
        </row>
        <row r="2548">
          <cell r="F2548" t="str">
            <v>06ACNP3</v>
          </cell>
        </row>
        <row r="2549">
          <cell r="F2549" t="str">
            <v>06ACPX4</v>
          </cell>
        </row>
        <row r="2550">
          <cell r="F2550" t="str">
            <v>06ACPN9</v>
          </cell>
        </row>
        <row r="2551">
          <cell r="F2551" t="str">
            <v>06ACPY4</v>
          </cell>
        </row>
        <row r="2552">
          <cell r="F2552" t="str">
            <v>06ACPK1</v>
          </cell>
        </row>
        <row r="2553">
          <cell r="F2553" t="str">
            <v>06ACPC0</v>
          </cell>
        </row>
        <row r="2554">
          <cell r="F2554" t="str">
            <v>06ACPL4</v>
          </cell>
        </row>
        <row r="2555">
          <cell r="F2555" t="str">
            <v>FCH16287K76</v>
          </cell>
        </row>
        <row r="2556">
          <cell r="F2556" t="str">
            <v>FCH16297CPZ</v>
          </cell>
        </row>
        <row r="2557">
          <cell r="F2557" t="str">
            <v>FCH16287JVF</v>
          </cell>
        </row>
        <row r="2558">
          <cell r="F2558" t="str">
            <v>FCH16287KDK</v>
          </cell>
        </row>
        <row r="2559">
          <cell r="F2559" t="str">
            <v>FCH16287JVL</v>
          </cell>
        </row>
        <row r="2560">
          <cell r="F2560" t="str">
            <v>FCH16297CRY</v>
          </cell>
        </row>
        <row r="2561">
          <cell r="F2561" t="str">
            <v>FCH16247QZM</v>
          </cell>
        </row>
        <row r="2562">
          <cell r="F2562" t="str">
            <v>FCH16287JX1</v>
          </cell>
        </row>
        <row r="2563">
          <cell r="F2563" t="str">
            <v>FCH16287KL4</v>
          </cell>
        </row>
        <row r="2564">
          <cell r="F2564" t="str">
            <v>FCH16277YK9</v>
          </cell>
        </row>
        <row r="2565">
          <cell r="F2565" t="str">
            <v>FCH16287K49</v>
          </cell>
        </row>
        <row r="2566">
          <cell r="F2566" t="str">
            <v>FCH16297QMT</v>
          </cell>
        </row>
        <row r="2567">
          <cell r="F2567" t="str">
            <v>FCH16277Z7W</v>
          </cell>
        </row>
        <row r="2568">
          <cell r="F2568" t="str">
            <v>FCH160779DB</v>
          </cell>
        </row>
        <row r="2569">
          <cell r="F2569" t="str">
            <v>FCH16277YFM</v>
          </cell>
        </row>
        <row r="2570">
          <cell r="F2570" t="str">
            <v>FCH16297CUF</v>
          </cell>
        </row>
        <row r="2571">
          <cell r="F2571" t="str">
            <v>FCH16277ZJS</v>
          </cell>
        </row>
        <row r="2572">
          <cell r="F2572" t="str">
            <v>FCH1813762Z</v>
          </cell>
        </row>
        <row r="2573">
          <cell r="F2573" t="str">
            <v>FCH16287K2L</v>
          </cell>
        </row>
        <row r="2574">
          <cell r="F2574" t="str">
            <v>FCH16287K1N</v>
          </cell>
        </row>
        <row r="2575">
          <cell r="F2575" t="str">
            <v>FCH16287K41</v>
          </cell>
        </row>
        <row r="2576">
          <cell r="F2576" t="str">
            <v>FCH16297CA4</v>
          </cell>
        </row>
        <row r="2577">
          <cell r="F2577" t="str">
            <v>FCH16277OC6</v>
          </cell>
        </row>
        <row r="2578">
          <cell r="F2578" t="str">
            <v>FCH16237JUH</v>
          </cell>
        </row>
        <row r="2579">
          <cell r="F2579" t="str">
            <v>FCH16277DEZ</v>
          </cell>
        </row>
        <row r="2580">
          <cell r="F2580" t="str">
            <v>FCH162770AE</v>
          </cell>
        </row>
        <row r="2581">
          <cell r="F2581" t="str">
            <v>FCH16287KGC</v>
          </cell>
        </row>
        <row r="2582">
          <cell r="F2582" t="str">
            <v>FCH16277YME</v>
          </cell>
        </row>
        <row r="2583">
          <cell r="F2583" t="str">
            <v>FCH16277YAJ</v>
          </cell>
        </row>
        <row r="2584">
          <cell r="F2584" t="str">
            <v>FCH16287KD7</v>
          </cell>
        </row>
        <row r="2585">
          <cell r="F2585" t="str">
            <v>FCH16297DEV</v>
          </cell>
        </row>
        <row r="2586">
          <cell r="F2586" t="str">
            <v>FCH16277Y9U</v>
          </cell>
        </row>
        <row r="2587">
          <cell r="F2587" t="str">
            <v>FCH16277YD5</v>
          </cell>
        </row>
        <row r="2588">
          <cell r="F2588" t="str">
            <v>FCH16287KEN</v>
          </cell>
        </row>
        <row r="2589">
          <cell r="F2589" t="str">
            <v>FCH162770WP</v>
          </cell>
        </row>
        <row r="2590">
          <cell r="F2590" t="str">
            <v>FCH16287K3C</v>
          </cell>
        </row>
        <row r="2591">
          <cell r="F2591" t="str">
            <v>FCH16287K65</v>
          </cell>
        </row>
        <row r="2592">
          <cell r="F2592" t="str">
            <v>FCH16287KA9</v>
          </cell>
        </row>
        <row r="2593">
          <cell r="F2593" t="str">
            <v>FCH16277YYD</v>
          </cell>
        </row>
        <row r="2594">
          <cell r="F2594" t="str">
            <v>FCH16277YY8</v>
          </cell>
        </row>
        <row r="2595">
          <cell r="F2595" t="str">
            <v>FCH16297CNR</v>
          </cell>
        </row>
        <row r="2596">
          <cell r="F2596" t="str">
            <v>FCH16237K1X</v>
          </cell>
        </row>
        <row r="2597">
          <cell r="F2597" t="str">
            <v>FCH16287KBE</v>
          </cell>
        </row>
        <row r="2598">
          <cell r="F2598" t="str">
            <v>FCH16287JTC</v>
          </cell>
        </row>
        <row r="2599">
          <cell r="F2599" t="str">
            <v>FCH16287K1C</v>
          </cell>
        </row>
        <row r="2600">
          <cell r="F2600" t="str">
            <v>FCH16297DMU</v>
          </cell>
        </row>
        <row r="2601">
          <cell r="F2601" t="str">
            <v>FCH16277YMP</v>
          </cell>
        </row>
        <row r="2602">
          <cell r="F2602" t="str">
            <v>FCH162772LD</v>
          </cell>
        </row>
        <row r="2603">
          <cell r="F2603" t="str">
            <v>F0X1744H0JK</v>
          </cell>
        </row>
        <row r="2604">
          <cell r="F2604" t="str">
            <v>FCH1744JJUN</v>
          </cell>
        </row>
        <row r="2605">
          <cell r="F2605" t="str">
            <v>FCH1744JGGJ</v>
          </cell>
        </row>
        <row r="2606">
          <cell r="F2606" t="str">
            <v>FCH1744JJUT</v>
          </cell>
        </row>
        <row r="2607">
          <cell r="F2607" t="str">
            <v>FCH1744JLK5</v>
          </cell>
        </row>
        <row r="2608">
          <cell r="F2608" t="str">
            <v>FCH1744JJLG</v>
          </cell>
        </row>
        <row r="2609">
          <cell r="F2609" t="str">
            <v>FCH1744JMTV</v>
          </cell>
        </row>
        <row r="2610">
          <cell r="F2610" t="str">
            <v>FCH1744JJNQ</v>
          </cell>
        </row>
        <row r="2611">
          <cell r="F2611" t="str">
            <v>FCH1744JMKY</v>
          </cell>
        </row>
        <row r="2612">
          <cell r="F2612" t="str">
            <v>FOX1744GZFX</v>
          </cell>
        </row>
        <row r="2613">
          <cell r="F2613" t="str">
            <v>FCH1744JKSP</v>
          </cell>
        </row>
        <row r="2614">
          <cell r="F2614" t="str">
            <v>FCH1744JJR9</v>
          </cell>
        </row>
        <row r="2615">
          <cell r="F2615" t="str">
            <v>FCH1744JN23</v>
          </cell>
        </row>
        <row r="2616">
          <cell r="F2616" t="str">
            <v>FCH1744JMRO</v>
          </cell>
        </row>
        <row r="2617">
          <cell r="F2617" t="str">
            <v>FCH1744JLBR</v>
          </cell>
        </row>
        <row r="2618">
          <cell r="F2618" t="str">
            <v>FCH1744JLBJ</v>
          </cell>
        </row>
        <row r="2619">
          <cell r="F2619" t="str">
            <v>FCH1744JFDZ</v>
          </cell>
        </row>
        <row r="2620">
          <cell r="F2620" t="str">
            <v>FCH1744JKUV</v>
          </cell>
        </row>
        <row r="2621">
          <cell r="F2621" t="str">
            <v>FCH1744JJUS</v>
          </cell>
        </row>
        <row r="2622">
          <cell r="F2622" t="str">
            <v>FCH1744JMVH</v>
          </cell>
        </row>
        <row r="2623">
          <cell r="F2623" t="str">
            <v>FCH1744JKRZ</v>
          </cell>
        </row>
        <row r="2624">
          <cell r="F2624" t="str">
            <v>FCH1744JFFJ</v>
          </cell>
        </row>
        <row r="2625">
          <cell r="F2625" t="str">
            <v>FCH1744JFHY</v>
          </cell>
        </row>
        <row r="2626">
          <cell r="F2626" t="str">
            <v>FCH1744JJS3</v>
          </cell>
        </row>
        <row r="2627">
          <cell r="F2627" t="str">
            <v>FCH1744JJVS</v>
          </cell>
        </row>
        <row r="2628">
          <cell r="F2628" t="str">
            <v>FCH1744JMM2</v>
          </cell>
        </row>
        <row r="2629">
          <cell r="F2629" t="str">
            <v>FOX1744H0J2</v>
          </cell>
        </row>
        <row r="2630">
          <cell r="F2630" t="str">
            <v>FOX1744H0J5</v>
          </cell>
        </row>
        <row r="2631">
          <cell r="F2631" t="str">
            <v>FCH1744JL3A</v>
          </cell>
        </row>
        <row r="2632">
          <cell r="F2632" t="str">
            <v>FCH1744JLB3</v>
          </cell>
        </row>
        <row r="2633">
          <cell r="F2633" t="str">
            <v>FCH1744JL0L</v>
          </cell>
        </row>
        <row r="2634">
          <cell r="F2634" t="str">
            <v>FCH1744JGGF</v>
          </cell>
        </row>
        <row r="2635">
          <cell r="F2635" t="str">
            <v>FCH1744JGAF</v>
          </cell>
        </row>
        <row r="2636">
          <cell r="F2636" t="str">
            <v>FCH1744JLK4</v>
          </cell>
        </row>
        <row r="2637">
          <cell r="F2637" t="str">
            <v>FCH1744JJKV</v>
          </cell>
        </row>
        <row r="2638">
          <cell r="F2638" t="str">
            <v>FCH1744JLCE</v>
          </cell>
        </row>
        <row r="2639">
          <cell r="F2639" t="str">
            <v>FDO1630P0KU</v>
          </cell>
        </row>
        <row r="2640">
          <cell r="F2640" t="str">
            <v>FDO1630P0LX</v>
          </cell>
        </row>
        <row r="2641">
          <cell r="F2641" t="str">
            <v>210235A0HAH127000089</v>
          </cell>
        </row>
        <row r="2642">
          <cell r="F2642" t="str">
            <v>210235A0HAH126000123</v>
          </cell>
        </row>
        <row r="2643">
          <cell r="F2643" t="str">
            <v>2102300742N0DB000043</v>
          </cell>
        </row>
        <row r="2644">
          <cell r="F2644" t="str">
            <v>210305485510DB000037</v>
          </cell>
        </row>
        <row r="2645">
          <cell r="F2645" t="str">
            <v>210305485510DB000045</v>
          </cell>
        </row>
        <row r="2646">
          <cell r="F2646" t="str">
            <v>210305485510DB000043</v>
          </cell>
        </row>
        <row r="2647">
          <cell r="F2647" t="str">
            <v>210305485510DB000030</v>
          </cell>
        </row>
        <row r="2648">
          <cell r="F2648" t="str">
            <v>210305485510DB000040</v>
          </cell>
        </row>
        <row r="2649">
          <cell r="F2649" t="str">
            <v>210305485510DB000046</v>
          </cell>
        </row>
        <row r="2650">
          <cell r="F2650" t="str">
            <v>210305485510DB000048</v>
          </cell>
        </row>
        <row r="2651">
          <cell r="F2651" t="str">
            <v>210305485510DB000031</v>
          </cell>
        </row>
        <row r="2652">
          <cell r="F2652" t="str">
            <v>210305485510DB000047</v>
          </cell>
        </row>
        <row r="2653">
          <cell r="F2653" t="str">
            <v>210305485510DB000039</v>
          </cell>
        </row>
        <row r="2654">
          <cell r="F2654" t="str">
            <v>210305485510DB000038</v>
          </cell>
        </row>
        <row r="2655">
          <cell r="F2655" t="str">
            <v>210305485510DB000036</v>
          </cell>
        </row>
        <row r="2656">
          <cell r="F2656" t="str">
            <v>210305485510DB000044</v>
          </cell>
        </row>
        <row r="2657">
          <cell r="F2657" t="str">
            <v>210305485510DB000041</v>
          </cell>
        </row>
        <row r="2658">
          <cell r="F2658" t="str">
            <v>210305485510DB000032</v>
          </cell>
        </row>
        <row r="2659">
          <cell r="F2659" t="str">
            <v>210305485510DB000042</v>
          </cell>
        </row>
        <row r="2660">
          <cell r="F2660" t="str">
            <v>GS79D02</v>
          </cell>
        </row>
        <row r="2661">
          <cell r="F2661" t="str">
            <v>FLPDF3X</v>
          </cell>
        </row>
        <row r="2662">
          <cell r="F2662" t="str">
            <v>JLPDF3X</v>
          </cell>
        </row>
        <row r="2663">
          <cell r="F2663" t="str">
            <v>4MPDF3X</v>
          </cell>
        </row>
        <row r="2664">
          <cell r="F2664" t="str">
            <v>1MPDF3X</v>
          </cell>
        </row>
        <row r="2665">
          <cell r="F2665" t="str">
            <v>6SPDF3X</v>
          </cell>
        </row>
        <row r="2666">
          <cell r="F2666" t="str">
            <v>GRPDF3X</v>
          </cell>
        </row>
        <row r="2667">
          <cell r="F2667" t="str">
            <v>FRPDF3X</v>
          </cell>
        </row>
        <row r="2668">
          <cell r="F2668" t="str">
            <v>3SPDF3X</v>
          </cell>
        </row>
        <row r="2669">
          <cell r="F2669" t="str">
            <v>CLPDF3X</v>
          </cell>
        </row>
        <row r="2670">
          <cell r="F2670" t="str">
            <v>GLPDF3X</v>
          </cell>
        </row>
        <row r="2671">
          <cell r="F2671" t="str">
            <v>3MPDF3X</v>
          </cell>
        </row>
        <row r="2672">
          <cell r="F2672" t="str">
            <v>9LPDF3X</v>
          </cell>
        </row>
        <row r="2673">
          <cell r="F2673" t="str">
            <v>DLPDF3X</v>
          </cell>
        </row>
        <row r="2674">
          <cell r="F2674" t="str">
            <v>2MPDF3X</v>
          </cell>
        </row>
        <row r="2675">
          <cell r="F2675" t="str">
            <v>BLPDF3X</v>
          </cell>
        </row>
        <row r="2676">
          <cell r="F2676" t="str">
            <v>HLPDF3X</v>
          </cell>
        </row>
        <row r="2677">
          <cell r="F2677" t="str">
            <v>4NPDF3X</v>
          </cell>
        </row>
        <row r="2678">
          <cell r="F2678" t="str">
            <v>DMPDF3X</v>
          </cell>
        </row>
        <row r="2679">
          <cell r="F2679" t="str">
            <v>1NPDF3X</v>
          </cell>
        </row>
        <row r="2680">
          <cell r="F2680" t="str">
            <v>FMPDF3X</v>
          </cell>
        </row>
        <row r="2681">
          <cell r="F2681" t="str">
            <v>HRPDF3X</v>
          </cell>
        </row>
        <row r="2682">
          <cell r="F2682" t="str">
            <v>GMPDF3X</v>
          </cell>
        </row>
        <row r="2683">
          <cell r="F2683" t="str">
            <v>CMPDF3X</v>
          </cell>
        </row>
        <row r="2684">
          <cell r="F2684" t="str">
            <v>BMPDF3X</v>
          </cell>
        </row>
        <row r="2685">
          <cell r="F2685" t="str">
            <v>2NPDF3X</v>
          </cell>
        </row>
        <row r="2686">
          <cell r="F2686" t="str">
            <v>3NPDF3X</v>
          </cell>
        </row>
        <row r="2687">
          <cell r="F2687" t="str">
            <v>5NPDF3X</v>
          </cell>
        </row>
        <row r="2688">
          <cell r="F2688" t="str">
            <v>JMPDF3X</v>
          </cell>
        </row>
        <row r="2689">
          <cell r="F2689" t="str">
            <v>HMPDF3X</v>
          </cell>
        </row>
        <row r="2690">
          <cell r="F2690" t="str">
            <v>1KPDF3X</v>
          </cell>
        </row>
        <row r="2691">
          <cell r="F2691" t="str">
            <v>6KPDF3X</v>
          </cell>
        </row>
        <row r="2692">
          <cell r="F2692" t="str">
            <v>HJPDF3X</v>
          </cell>
        </row>
        <row r="2693">
          <cell r="F2693" t="str">
            <v>4KPDF3X</v>
          </cell>
        </row>
        <row r="2694">
          <cell r="F2694" t="str">
            <v>85PDF3X</v>
          </cell>
        </row>
        <row r="2695">
          <cell r="F2695" t="str">
            <v>95PDF3X</v>
          </cell>
        </row>
        <row r="2696">
          <cell r="F2696" t="str">
            <v>75PDF3X</v>
          </cell>
        </row>
        <row r="2697">
          <cell r="F2697" t="str">
            <v>G5PDF3X</v>
          </cell>
        </row>
        <row r="2698">
          <cell r="F2698" t="str">
            <v>5KPDF3X</v>
          </cell>
        </row>
        <row r="2699">
          <cell r="F2699" t="str">
            <v>JJPDF3X</v>
          </cell>
        </row>
        <row r="2700">
          <cell r="F2700" t="str">
            <v>9KPDF3X</v>
          </cell>
        </row>
        <row r="2701">
          <cell r="F2701" t="str">
            <v>3KPDF3X</v>
          </cell>
        </row>
        <row r="2702">
          <cell r="F2702" t="str">
            <v>2KPDF3X</v>
          </cell>
        </row>
        <row r="2703">
          <cell r="F2703" t="str">
            <v>BKPDF3X</v>
          </cell>
        </row>
        <row r="2704">
          <cell r="F2704" t="str">
            <v>7KPDF3X</v>
          </cell>
        </row>
        <row r="2705">
          <cell r="F2705" t="str">
            <v>8KPDF3X</v>
          </cell>
        </row>
        <row r="2706">
          <cell r="F2706" t="str">
            <v>1RPDF3X</v>
          </cell>
        </row>
        <row r="2707">
          <cell r="F2707" t="str">
            <v>FQPDF3X</v>
          </cell>
        </row>
        <row r="2708">
          <cell r="F2708" t="str">
            <v>GQPDF3X</v>
          </cell>
        </row>
        <row r="2709">
          <cell r="F2709" t="str">
            <v>JQPDF3X</v>
          </cell>
        </row>
        <row r="2710">
          <cell r="F2710" t="str">
            <v>4SPDF3X</v>
          </cell>
        </row>
        <row r="2711">
          <cell r="F2711" t="str">
            <v>JRPDF3X</v>
          </cell>
        </row>
        <row r="2712">
          <cell r="F2712" t="str">
            <v>7SPDF3X</v>
          </cell>
        </row>
        <row r="2713">
          <cell r="F2713" t="str">
            <v>5SPDF3X</v>
          </cell>
        </row>
        <row r="2714">
          <cell r="F2714" t="str">
            <v>2RPDF3X</v>
          </cell>
        </row>
        <row r="2715">
          <cell r="F2715" t="str">
            <v>3RPDF3X</v>
          </cell>
        </row>
        <row r="2716">
          <cell r="F2716" t="str">
            <v>4RPDF3X</v>
          </cell>
        </row>
        <row r="2717">
          <cell r="F2717" t="str">
            <v>5RPDF3X</v>
          </cell>
        </row>
        <row r="2718">
          <cell r="F2718" t="str">
            <v>6RPDF3X</v>
          </cell>
        </row>
        <row r="2719">
          <cell r="F2719" t="str">
            <v>CQPDF3X</v>
          </cell>
        </row>
        <row r="2720">
          <cell r="F2720" t="str">
            <v>HQPDF3X</v>
          </cell>
        </row>
        <row r="2721">
          <cell r="F2721" t="str">
            <v>DQPDF3X</v>
          </cell>
        </row>
        <row r="2722">
          <cell r="F2722" t="str">
            <v>B5PDF3X</v>
          </cell>
        </row>
        <row r="2723">
          <cell r="F2723" t="str">
            <v>C5PDF3X</v>
          </cell>
        </row>
        <row r="2724">
          <cell r="F2724" t="str">
            <v>D5PDF3X</v>
          </cell>
        </row>
        <row r="2725">
          <cell r="F2725" t="str">
            <v>F5PDF3X</v>
          </cell>
        </row>
        <row r="2726">
          <cell r="F2726" t="str">
            <v>44LDF3X</v>
          </cell>
        </row>
        <row r="2727">
          <cell r="F2727" t="str">
            <v>94LDF3X</v>
          </cell>
        </row>
        <row r="2728">
          <cell r="F2728" t="str">
            <v>25LDF3X</v>
          </cell>
        </row>
        <row r="2729">
          <cell r="F2729" t="str">
            <v>G4LDF3X</v>
          </cell>
        </row>
        <row r="2730">
          <cell r="F2730" t="str">
            <v>FDO1630P0JT</v>
          </cell>
        </row>
        <row r="2731">
          <cell r="F2731" t="str">
            <v>FDO1630R10N</v>
          </cell>
        </row>
        <row r="2732">
          <cell r="F2732" t="str">
            <v>210235AOHAH126000180</v>
          </cell>
        </row>
        <row r="2733">
          <cell r="F2733" t="str">
            <v>210235AOHAH127000096</v>
          </cell>
        </row>
        <row r="2734">
          <cell r="F2734" t="str">
            <v>06XNAL1</v>
          </cell>
        </row>
        <row r="2735">
          <cell r="F2735" t="str">
            <v>06XNAK2</v>
          </cell>
        </row>
        <row r="2736">
          <cell r="F2736" t="str">
            <v>06XNAL9</v>
          </cell>
        </row>
        <row r="2737">
          <cell r="F2737" t="str">
            <v>06XNAK8</v>
          </cell>
        </row>
        <row r="2738">
          <cell r="F2738" t="str">
            <v>06XNAH7</v>
          </cell>
        </row>
        <row r="2739">
          <cell r="F2739" t="str">
            <v>06XNAL5</v>
          </cell>
        </row>
        <row r="2740">
          <cell r="F2740" t="str">
            <v>06XNAL2</v>
          </cell>
        </row>
        <row r="2741">
          <cell r="F2741" t="str">
            <v>06XNAK1</v>
          </cell>
        </row>
        <row r="2742">
          <cell r="F2742" t="str">
            <v>06XNAK4</v>
          </cell>
        </row>
        <row r="2743">
          <cell r="F2743" t="str">
            <v>06XNAK7</v>
          </cell>
        </row>
        <row r="2744">
          <cell r="F2744" t="str">
            <v>06XNAH8</v>
          </cell>
        </row>
        <row r="2745">
          <cell r="F2745" t="str">
            <v>06XNAL4</v>
          </cell>
        </row>
        <row r="2746">
          <cell r="F2746" t="str">
            <v>06ACPX7</v>
          </cell>
        </row>
        <row r="2747">
          <cell r="F2747" t="str">
            <v>06ACNM8</v>
          </cell>
        </row>
        <row r="2748">
          <cell r="F2748" t="str">
            <v>06ACNV3</v>
          </cell>
        </row>
        <row r="2749">
          <cell r="F2749" t="str">
            <v>06ACPF6</v>
          </cell>
        </row>
        <row r="2750">
          <cell r="F2750" t="str">
            <v>06ACPG0</v>
          </cell>
        </row>
        <row r="2751">
          <cell r="F2751" t="str">
            <v>06ACNL5</v>
          </cell>
        </row>
        <row r="2752">
          <cell r="F2752" t="str">
            <v>06ACNM7</v>
          </cell>
        </row>
        <row r="2753">
          <cell r="F2753" t="str">
            <v>06ACNT5</v>
          </cell>
        </row>
        <row r="2754">
          <cell r="F2754" t="str">
            <v>06ACPN5</v>
          </cell>
        </row>
        <row r="2755">
          <cell r="F2755" t="str">
            <v>06ACNW7</v>
          </cell>
        </row>
        <row r="2756">
          <cell r="F2756" t="str">
            <v>06ACPB4</v>
          </cell>
        </row>
        <row r="2757">
          <cell r="F2757" t="str">
            <v>06ACNT4</v>
          </cell>
        </row>
        <row r="2758">
          <cell r="F2758" t="str">
            <v>06ACPD5</v>
          </cell>
        </row>
        <row r="2759">
          <cell r="F2759" t="str">
            <v>06ACPH1</v>
          </cell>
        </row>
        <row r="2760">
          <cell r="F2760" t="str">
            <v>06ACNM6</v>
          </cell>
        </row>
        <row r="2761">
          <cell r="F2761" t="str">
            <v>06ACPY3</v>
          </cell>
        </row>
        <row r="2762">
          <cell r="F2762" t="str">
            <v>06ACPX1</v>
          </cell>
        </row>
        <row r="2763">
          <cell r="F2763" t="str">
            <v>06ACPN4</v>
          </cell>
        </row>
        <row r="2764">
          <cell r="F2764" t="str">
            <v>06ACNW2</v>
          </cell>
        </row>
        <row r="2765">
          <cell r="F2765" t="str">
            <v>06ACPF3</v>
          </cell>
        </row>
        <row r="2766">
          <cell r="F2766" t="str">
            <v>06ACNN1</v>
          </cell>
        </row>
        <row r="2767">
          <cell r="F2767" t="str">
            <v>06ACPX9</v>
          </cell>
        </row>
        <row r="2768">
          <cell r="F2768" t="str">
            <v>06ACPW3</v>
          </cell>
        </row>
        <row r="2769">
          <cell r="F2769" t="str">
            <v>06ACPX6</v>
          </cell>
        </row>
        <row r="2770">
          <cell r="F2770" t="str">
            <v>06ACPG8</v>
          </cell>
        </row>
        <row r="2771">
          <cell r="F2771" t="str">
            <v>06ACPH6</v>
          </cell>
        </row>
        <row r="2772">
          <cell r="F2772" t="str">
            <v>06ACPG2</v>
          </cell>
        </row>
        <row r="2773">
          <cell r="F2773" t="str">
            <v>06L1859</v>
          </cell>
        </row>
        <row r="2774">
          <cell r="F2774" t="str">
            <v>06L1860</v>
          </cell>
        </row>
        <row r="2775">
          <cell r="F2775" t="str">
            <v>06ACPF5</v>
          </cell>
        </row>
        <row r="2776">
          <cell r="F2776" t="str">
            <v>06ACPT0</v>
          </cell>
        </row>
        <row r="2777">
          <cell r="F2777" t="str">
            <v>06ACPL0</v>
          </cell>
        </row>
        <row r="2778">
          <cell r="F2778" t="str">
            <v>06ACPR6</v>
          </cell>
        </row>
        <row r="2779">
          <cell r="F2779" t="str">
            <v>06ACNW4</v>
          </cell>
        </row>
        <row r="2780">
          <cell r="F2780" t="str">
            <v>06ACPL1</v>
          </cell>
        </row>
        <row r="2781">
          <cell r="F2781" t="str">
            <v>06ACNP5</v>
          </cell>
        </row>
        <row r="2782">
          <cell r="F2782" t="str">
            <v>06ACPM9</v>
          </cell>
        </row>
        <row r="2783">
          <cell r="F2783" t="str">
            <v>06ACPM8</v>
          </cell>
        </row>
        <row r="2784">
          <cell r="F2784" t="str">
            <v>06ACPT4</v>
          </cell>
        </row>
        <row r="2785">
          <cell r="F2785" t="str">
            <v>06ACPD6</v>
          </cell>
        </row>
        <row r="2786">
          <cell r="F2786" t="str">
            <v>06ACNM4</v>
          </cell>
        </row>
        <row r="2787">
          <cell r="F2787" t="str">
            <v>06ACNW9</v>
          </cell>
        </row>
        <row r="2788">
          <cell r="F2788" t="str">
            <v>06ACPM2</v>
          </cell>
        </row>
        <row r="2789">
          <cell r="F2789" t="str">
            <v>06ACPF7</v>
          </cell>
        </row>
        <row r="2790">
          <cell r="F2790" t="str">
            <v>06ACPV0</v>
          </cell>
        </row>
        <row r="2791">
          <cell r="F2791" t="str">
            <v>06ACPT2</v>
          </cell>
        </row>
        <row r="2792">
          <cell r="F2792" t="str">
            <v>06ACNT2</v>
          </cell>
        </row>
        <row r="2793">
          <cell r="F2793" t="str">
            <v>06ACNX7</v>
          </cell>
        </row>
        <row r="2794">
          <cell r="F2794" t="str">
            <v>06ACPK0</v>
          </cell>
        </row>
        <row r="2795">
          <cell r="F2795" t="str">
            <v>06ACNZ5</v>
          </cell>
        </row>
        <row r="2796">
          <cell r="F2796" t="str">
            <v>06ACPW1</v>
          </cell>
        </row>
        <row r="2797">
          <cell r="F2797" t="str">
            <v>06ACPY9</v>
          </cell>
        </row>
        <row r="2798">
          <cell r="F2798" t="str">
            <v>06ACPL3</v>
          </cell>
        </row>
        <row r="2799">
          <cell r="F2799" t="str">
            <v>06ACNX8</v>
          </cell>
        </row>
        <row r="2800">
          <cell r="F2800" t="str">
            <v>06ACPD3</v>
          </cell>
        </row>
        <row r="2801">
          <cell r="F2801" t="str">
            <v>06ACPE7</v>
          </cell>
        </row>
        <row r="2802">
          <cell r="F2802" t="str">
            <v>06ACPV1</v>
          </cell>
        </row>
        <row r="2803">
          <cell r="F2803" t="str">
            <v>06ACNY4</v>
          </cell>
        </row>
        <row r="2804">
          <cell r="F2804" t="str">
            <v>06ACPV2</v>
          </cell>
        </row>
        <row r="2805">
          <cell r="F2805" t="str">
            <v>06ACPA1</v>
          </cell>
        </row>
        <row r="2806">
          <cell r="F2806" t="str">
            <v>06ACNV0</v>
          </cell>
        </row>
        <row r="2807">
          <cell r="F2807" t="str">
            <v>06ACNW3</v>
          </cell>
        </row>
        <row r="2808">
          <cell r="F2808" t="str">
            <v>06ACNR0</v>
          </cell>
        </row>
        <row r="2809">
          <cell r="F2809" t="str">
            <v>06ACNT1</v>
          </cell>
        </row>
        <row r="2810">
          <cell r="F2810" t="str">
            <v>06ACPB5</v>
          </cell>
        </row>
        <row r="2811">
          <cell r="F2811" t="str">
            <v>06ACPG9</v>
          </cell>
        </row>
        <row r="2812">
          <cell r="F2812" t="str">
            <v>06ACNT0</v>
          </cell>
        </row>
        <row r="2813">
          <cell r="F2813" t="str">
            <v>06ACPC1</v>
          </cell>
        </row>
        <row r="2814">
          <cell r="F2814" t="str">
            <v>06ACNR4</v>
          </cell>
        </row>
        <row r="2815">
          <cell r="F2815" t="str">
            <v>06ACNP9</v>
          </cell>
        </row>
        <row r="2816">
          <cell r="F2816" t="str">
            <v>06ACPP6</v>
          </cell>
        </row>
        <row r="2817">
          <cell r="F2817" t="str">
            <v>06ACPX8</v>
          </cell>
        </row>
        <row r="2818">
          <cell r="F2818" t="str">
            <v>06ACPP4</v>
          </cell>
        </row>
        <row r="2819">
          <cell r="F2819" t="str">
            <v>06ACNM2</v>
          </cell>
        </row>
        <row r="2820">
          <cell r="F2820" t="str">
            <v>06ACNY5</v>
          </cell>
        </row>
        <row r="2821">
          <cell r="F2821" t="str">
            <v>06ACNM9</v>
          </cell>
        </row>
        <row r="2822">
          <cell r="F2822" t="str">
            <v>06ACPL8</v>
          </cell>
        </row>
        <row r="2823">
          <cell r="F2823" t="str">
            <v>06ACPL5</v>
          </cell>
        </row>
        <row r="2824">
          <cell r="F2824" t="str">
            <v>06ACPP5</v>
          </cell>
        </row>
        <row r="2825">
          <cell r="F2825" t="str">
            <v>06ACPP9</v>
          </cell>
        </row>
        <row r="2826">
          <cell r="F2826" t="str">
            <v>06ACPV8</v>
          </cell>
        </row>
        <row r="2827">
          <cell r="F2827" t="str">
            <v>06ACPR7</v>
          </cell>
        </row>
        <row r="2828">
          <cell r="F2828" t="str">
            <v>06ACPC4</v>
          </cell>
        </row>
        <row r="2829">
          <cell r="F2829" t="str">
            <v>06ACPZ2</v>
          </cell>
        </row>
        <row r="2830">
          <cell r="F2830" t="str">
            <v>06ACPR4</v>
          </cell>
        </row>
        <row r="2831">
          <cell r="F2831" t="str">
            <v>06XNAK6</v>
          </cell>
        </row>
        <row r="2832">
          <cell r="F2832" t="str">
            <v>06XNAL8</v>
          </cell>
        </row>
        <row r="2833">
          <cell r="F2833" t="str">
            <v>06XNAH9</v>
          </cell>
        </row>
        <row r="2834">
          <cell r="F2834" t="str">
            <v>06XNAH6</v>
          </cell>
        </row>
        <row r="2835">
          <cell r="F2835" t="str">
            <v>06XNAL7</v>
          </cell>
        </row>
        <row r="2836">
          <cell r="F2836" t="str">
            <v>06XNAK5</v>
          </cell>
        </row>
        <row r="2837">
          <cell r="F2837" t="str">
            <v>06XNAL6</v>
          </cell>
        </row>
        <row r="2838">
          <cell r="F2838" t="str">
            <v>06XNAL0</v>
          </cell>
        </row>
        <row r="2839">
          <cell r="F2839" t="str">
            <v>06XNAK3</v>
          </cell>
        </row>
        <row r="2840">
          <cell r="F2840" t="str">
            <v>06XNAL3</v>
          </cell>
        </row>
        <row r="2841">
          <cell r="F2841" t="str">
            <v>06XNAK0</v>
          </cell>
        </row>
        <row r="2842">
          <cell r="F2842" t="str">
            <v>06XNAK9</v>
          </cell>
        </row>
        <row r="2843">
          <cell r="F2843" t="str">
            <v>06ACNY1</v>
          </cell>
        </row>
        <row r="2844">
          <cell r="F2844" t="str">
            <v>06ACPG6</v>
          </cell>
        </row>
        <row r="2845">
          <cell r="F2845" t="str">
            <v>06ACNN9</v>
          </cell>
        </row>
        <row r="2846">
          <cell r="F2846" t="str">
            <v>06ACPE0</v>
          </cell>
        </row>
        <row r="2847">
          <cell r="F2847" t="str">
            <v>06ACPG3</v>
          </cell>
        </row>
        <row r="2848">
          <cell r="F2848" t="str">
            <v>06ACNN8</v>
          </cell>
        </row>
        <row r="2849">
          <cell r="F2849" t="str">
            <v>06ACNY0</v>
          </cell>
        </row>
        <row r="2850">
          <cell r="F2850" t="str">
            <v>06ACPP0</v>
          </cell>
        </row>
        <row r="2851">
          <cell r="F2851" t="str">
            <v>06ACPY0</v>
          </cell>
        </row>
        <row r="2852">
          <cell r="F2852" t="str">
            <v>06ACNP6</v>
          </cell>
        </row>
        <row r="2853">
          <cell r="F2853" t="str">
            <v>06ACPW5</v>
          </cell>
        </row>
        <row r="2854">
          <cell r="F2854" t="str">
            <v>06ACNN0</v>
          </cell>
        </row>
        <row r="2855">
          <cell r="F2855" t="str">
            <v>06ACPT9</v>
          </cell>
        </row>
        <row r="2856">
          <cell r="F2856" t="str">
            <v>06ACPN7</v>
          </cell>
        </row>
        <row r="2857">
          <cell r="F2857" t="str">
            <v>06ACNM3</v>
          </cell>
        </row>
        <row r="2858">
          <cell r="F2858" t="str">
            <v>06ACPH4</v>
          </cell>
        </row>
        <row r="2859">
          <cell r="F2859" t="str">
            <v>06ACPM6</v>
          </cell>
        </row>
        <row r="2860">
          <cell r="F2860" t="str">
            <v>06ACNR6</v>
          </cell>
        </row>
        <row r="2861">
          <cell r="F2861" t="str">
            <v>06ACPM4</v>
          </cell>
        </row>
        <row r="2862">
          <cell r="F2862" t="str">
            <v>06ACNN3</v>
          </cell>
        </row>
        <row r="2863">
          <cell r="F2863" t="str">
            <v>06ACPM7</v>
          </cell>
        </row>
        <row r="2864">
          <cell r="F2864" t="str">
            <v>06ACNR5</v>
          </cell>
        </row>
        <row r="2865">
          <cell r="F2865" t="str">
            <v>06ACPM5</v>
          </cell>
        </row>
        <row r="2866">
          <cell r="F2866" t="str">
            <v>06ACPG7</v>
          </cell>
        </row>
        <row r="2867">
          <cell r="F2867" t="str">
            <v>06ACPF4</v>
          </cell>
        </row>
        <row r="2868">
          <cell r="F2868" t="str">
            <v>06ACNR2</v>
          </cell>
        </row>
        <row r="2869">
          <cell r="F2869" t="str">
            <v>06ACNV2</v>
          </cell>
        </row>
        <row r="2870">
          <cell r="F2870" t="str">
            <v>06ACNT8</v>
          </cell>
        </row>
        <row r="2871">
          <cell r="F2871" t="str">
            <v>06ACNX6</v>
          </cell>
        </row>
        <row r="2872">
          <cell r="F2872" t="str">
            <v>06ACNZ1</v>
          </cell>
        </row>
        <row r="2873">
          <cell r="F2873" t="str">
            <v>06ACNZ0</v>
          </cell>
        </row>
        <row r="2874">
          <cell r="F2874" t="str">
            <v>06ACPN3</v>
          </cell>
        </row>
        <row r="2875">
          <cell r="F2875" t="str">
            <v>06ACPH7</v>
          </cell>
        </row>
        <row r="2876">
          <cell r="F2876" t="str">
            <v>06ACPP8</v>
          </cell>
        </row>
        <row r="2877">
          <cell r="F2877" t="str">
            <v>06ACPK7</v>
          </cell>
        </row>
        <row r="2878">
          <cell r="F2878" t="str">
            <v>06ACNT3</v>
          </cell>
        </row>
        <row r="2879">
          <cell r="F2879" t="str">
            <v>06ACPK6</v>
          </cell>
        </row>
        <row r="2880">
          <cell r="F2880" t="str">
            <v>06ACPL6</v>
          </cell>
        </row>
        <row r="2881">
          <cell r="F2881" t="str">
            <v>06ACPT5</v>
          </cell>
        </row>
        <row r="2882">
          <cell r="F2882" t="str">
            <v>06ACPA7</v>
          </cell>
        </row>
        <row r="2883">
          <cell r="F2883" t="str">
            <v>06ACPA4</v>
          </cell>
        </row>
        <row r="2884">
          <cell r="F2884" t="str">
            <v>06ACPH0</v>
          </cell>
        </row>
        <row r="2885">
          <cell r="F2885" t="str">
            <v>06ACNY6</v>
          </cell>
        </row>
        <row r="2886">
          <cell r="F2886" t="str">
            <v>99R7052</v>
          </cell>
        </row>
        <row r="2887">
          <cell r="F2887" t="str">
            <v>99R7064</v>
          </cell>
        </row>
        <row r="2888">
          <cell r="F2888" t="str">
            <v>210235A1DWH149000110</v>
          </cell>
        </row>
        <row r="2889">
          <cell r="F2889" t="str">
            <v>210235A0HAH139000180</v>
          </cell>
        </row>
        <row r="2890">
          <cell r="F2890" t="str">
            <v>2102350DLVDMH9001489</v>
          </cell>
        </row>
        <row r="2891">
          <cell r="F2891" t="str">
            <v>210235A1DWH149000080</v>
          </cell>
        </row>
        <row r="2892">
          <cell r="F2892" t="str">
            <v>210235A0HAH13A000011</v>
          </cell>
        </row>
        <row r="2893">
          <cell r="F2893" t="str">
            <v>SGH204YBJV</v>
          </cell>
        </row>
        <row r="2894">
          <cell r="F2894" t="str">
            <v>SGH117XBS0</v>
          </cell>
        </row>
        <row r="2895">
          <cell r="F2895" t="str">
            <v>SGH204YBZN</v>
          </cell>
        </row>
        <row r="2896">
          <cell r="F2896" t="str">
            <v>SGH117XBR6</v>
          </cell>
        </row>
        <row r="2897">
          <cell r="F2897" t="str">
            <v>SGH117XBSR</v>
          </cell>
        </row>
        <row r="2898">
          <cell r="F2898" t="str">
            <v>06MZMW1</v>
          </cell>
        </row>
        <row r="2899">
          <cell r="F2899" t="str">
            <v>06ACNL3</v>
          </cell>
        </row>
        <row r="2900">
          <cell r="F2900" t="str">
            <v>06ACPM1</v>
          </cell>
        </row>
        <row r="2901">
          <cell r="F2901" t="str">
            <v>06ACNL0</v>
          </cell>
        </row>
        <row r="2902">
          <cell r="F2902" t="str">
            <v>06ACNR1</v>
          </cell>
        </row>
        <row r="2903">
          <cell r="F2903" t="str">
            <v>06MZMW3</v>
          </cell>
        </row>
        <row r="2904">
          <cell r="F2904" t="str">
            <v>06MZMW4</v>
          </cell>
        </row>
        <row r="2905">
          <cell r="F2905" t="str">
            <v>06MZMW9</v>
          </cell>
        </row>
        <row r="2906">
          <cell r="F2906" t="str">
            <v>06ACNK9</v>
          </cell>
        </row>
        <row r="2907">
          <cell r="F2907" t="str">
            <v>06MZMW2</v>
          </cell>
        </row>
        <row r="2908">
          <cell r="F2908" t="str">
            <v>06MZMW0</v>
          </cell>
        </row>
        <row r="2909">
          <cell r="F2909" t="str">
            <v>06MZMV1</v>
          </cell>
        </row>
        <row r="2910">
          <cell r="F2910" t="str">
            <v>06MZMV7</v>
          </cell>
        </row>
        <row r="2911">
          <cell r="F2911" t="str">
            <v>06MZMV4</v>
          </cell>
        </row>
        <row r="2912">
          <cell r="F2912" t="str">
            <v>06MZMV3</v>
          </cell>
        </row>
        <row r="2913">
          <cell r="F2913" t="str">
            <v>06MZMV2</v>
          </cell>
        </row>
        <row r="2914">
          <cell r="F2914" t="str">
            <v>06MZMV6</v>
          </cell>
        </row>
        <row r="2915">
          <cell r="F2915" t="str">
            <v>06MZMV5</v>
          </cell>
        </row>
        <row r="2916">
          <cell r="F2916" t="str">
            <v>06ACNK8</v>
          </cell>
        </row>
        <row r="2917">
          <cell r="F2917" t="str">
            <v>06ACNL1</v>
          </cell>
        </row>
        <row r="2918">
          <cell r="F2918" t="str">
            <v>06ACPM3</v>
          </cell>
        </row>
        <row r="2919">
          <cell r="F2919" t="str">
            <v>06ACNL2</v>
          </cell>
        </row>
        <row r="2920">
          <cell r="F2920" t="str">
            <v>06ACNL4</v>
          </cell>
        </row>
        <row r="2921">
          <cell r="F2921" t="str">
            <v>J33GRZ7</v>
          </cell>
        </row>
        <row r="2922">
          <cell r="F2922" t="str">
            <v>J33GRZ5</v>
          </cell>
        </row>
        <row r="2923">
          <cell r="F2923" t="str">
            <v>J320EAB</v>
          </cell>
        </row>
        <row r="2924">
          <cell r="F2924" t="str">
            <v>J320EAC</v>
          </cell>
        </row>
        <row r="2925">
          <cell r="F2925" t="str">
            <v>J33GRZ6</v>
          </cell>
        </row>
        <row r="2926">
          <cell r="F2926" t="str">
            <v>J33GRZ8</v>
          </cell>
        </row>
        <row r="2927">
          <cell r="F2927" t="str">
            <v>2102359504DMKB000186</v>
          </cell>
        </row>
        <row r="2928">
          <cell r="F2928" t="str">
            <v>2102359504DMKB000005</v>
          </cell>
        </row>
        <row r="2929">
          <cell r="F2929" t="str">
            <v>2102359504DMKB000243</v>
          </cell>
        </row>
        <row r="2930">
          <cell r="F2930" t="str">
            <v>2LQQ1T2</v>
          </cell>
        </row>
        <row r="2931">
          <cell r="F2931" t="str">
            <v>2GSK1T2</v>
          </cell>
        </row>
        <row r="2932">
          <cell r="F2932" t="str">
            <v>ZM173S021312</v>
          </cell>
        </row>
        <row r="2933">
          <cell r="F2933" t="str">
            <v>ZM172S034073</v>
          </cell>
        </row>
        <row r="2934">
          <cell r="F2934" t="str">
            <v>ZM172S034327</v>
          </cell>
        </row>
        <row r="2935">
          <cell r="F2935" t="str">
            <v>ZM172S034309</v>
          </cell>
        </row>
        <row r="2936">
          <cell r="F2936" t="str">
            <v>ZM172S036004</v>
          </cell>
        </row>
        <row r="2937">
          <cell r="F2937" t="str">
            <v>ZM172S036336</v>
          </cell>
        </row>
        <row r="2938">
          <cell r="F2938" t="str">
            <v>ZM172S036348</v>
          </cell>
        </row>
        <row r="2939">
          <cell r="F2939" t="str">
            <v>ZM172S036391</v>
          </cell>
        </row>
        <row r="2940">
          <cell r="F2940" t="str">
            <v>ZM172S035644</v>
          </cell>
        </row>
        <row r="2941">
          <cell r="F2941" t="str">
            <v>ZM16CS040861</v>
          </cell>
        </row>
        <row r="2942">
          <cell r="F2942" t="str">
            <v>ZM172S033875</v>
          </cell>
        </row>
        <row r="2943">
          <cell r="F2943" t="str">
            <v>ZM172S034319</v>
          </cell>
        </row>
        <row r="2944">
          <cell r="F2944" t="str">
            <v>ZM172S034290</v>
          </cell>
        </row>
        <row r="2945">
          <cell r="F2945" t="str">
            <v>ZM172S036295</v>
          </cell>
        </row>
        <row r="2946">
          <cell r="F2946" t="str">
            <v>ZM172S036357</v>
          </cell>
        </row>
        <row r="2947">
          <cell r="F2947" t="str">
            <v>ZM172S036396</v>
          </cell>
        </row>
        <row r="2948">
          <cell r="F2948" t="str">
            <v>ZM172S036387</v>
          </cell>
        </row>
        <row r="2949">
          <cell r="F2949" t="str">
            <v>ZM173S021149</v>
          </cell>
        </row>
        <row r="2950">
          <cell r="F2950" t="str">
            <v>ZM172S035620</v>
          </cell>
        </row>
        <row r="2951">
          <cell r="F2951" t="str">
            <v>ZM172S035604</v>
          </cell>
        </row>
        <row r="2952">
          <cell r="F2952" t="str">
            <v>ZM172S036217</v>
          </cell>
        </row>
        <row r="2953">
          <cell r="F2953" t="str">
            <v>ZM172S035623</v>
          </cell>
        </row>
        <row r="2954">
          <cell r="F2954" t="str">
            <v>ZM172S034312</v>
          </cell>
        </row>
        <row r="2955">
          <cell r="F2955" t="str">
            <v>ZM172S036353</v>
          </cell>
        </row>
        <row r="2956">
          <cell r="F2956" t="str">
            <v>ZM172S036345</v>
          </cell>
        </row>
        <row r="2957">
          <cell r="F2957" t="str">
            <v>ZM172S036339</v>
          </cell>
        </row>
        <row r="2958">
          <cell r="F2958" t="str">
            <v>ZM172S034322</v>
          </cell>
        </row>
        <row r="2959">
          <cell r="F2959" t="str">
            <v>ZM172S036341</v>
          </cell>
        </row>
        <row r="2960">
          <cell r="F2960" t="str">
            <v>SRIE2017RAFHV10122</v>
          </cell>
        </row>
        <row r="2961">
          <cell r="F2961" t="str">
            <v>SRAD11410240037</v>
          </cell>
        </row>
        <row r="2962">
          <cell r="F2962" t="str">
            <v>SRAD11410240038</v>
          </cell>
        </row>
        <row r="2963">
          <cell r="F2963" t="str">
            <v>SRAD11410240039</v>
          </cell>
        </row>
        <row r="2964">
          <cell r="F2964" t="str">
            <v>SRAD11410240035</v>
          </cell>
        </row>
        <row r="2965">
          <cell r="F2965" t="str">
            <v>SRAD11410240040</v>
          </cell>
        </row>
        <row r="2966">
          <cell r="F2966" t="str">
            <v>SRAD11410240041</v>
          </cell>
        </row>
        <row r="2967">
          <cell r="F2967" t="str">
            <v>SRAD11410240042</v>
          </cell>
        </row>
        <row r="2968">
          <cell r="F2968" t="str">
            <v>SRAD11410240036</v>
          </cell>
        </row>
        <row r="2969">
          <cell r="F2969" t="str">
            <v>SRAD11410240045</v>
          </cell>
        </row>
        <row r="2970">
          <cell r="F2970" t="str">
            <v>SRAD11410240046</v>
          </cell>
        </row>
        <row r="2971">
          <cell r="F2971" t="str">
            <v>SRAD11410240047</v>
          </cell>
        </row>
        <row r="2972">
          <cell r="F2972" t="str">
            <v>SRAD11410240043</v>
          </cell>
        </row>
        <row r="2973">
          <cell r="F2973" t="str">
            <v>SRAD11410240048</v>
          </cell>
        </row>
        <row r="2974">
          <cell r="F2974" t="str">
            <v>SRAD11410240049</v>
          </cell>
        </row>
        <row r="2975">
          <cell r="F2975" t="str">
            <v>SRAD11410240050</v>
          </cell>
        </row>
        <row r="2976">
          <cell r="F2976" t="str">
            <v>SRAD11410240044</v>
          </cell>
        </row>
        <row r="2977">
          <cell r="F2977" t="str">
            <v>SRAD11410240053</v>
          </cell>
        </row>
        <row r="2978">
          <cell r="F2978" t="str">
            <v>SRAD11410240054</v>
          </cell>
        </row>
        <row r="2979">
          <cell r="F2979" t="str">
            <v>SRAD11410240055</v>
          </cell>
        </row>
        <row r="2980">
          <cell r="F2980" t="str">
            <v>SRAD11410240051</v>
          </cell>
        </row>
        <row r="2981">
          <cell r="F2981" t="str">
            <v>SRAD11410240056</v>
          </cell>
        </row>
        <row r="2982">
          <cell r="F2982" t="str">
            <v>SRAD11410240052</v>
          </cell>
        </row>
        <row r="2983">
          <cell r="F2983" t="str">
            <v>SRAD11410240060</v>
          </cell>
        </row>
        <row r="2984">
          <cell r="F2984" t="str">
            <v>SRAD11410240061</v>
          </cell>
        </row>
        <row r="2985">
          <cell r="F2985" t="str">
            <v>SRAD11410240063</v>
          </cell>
        </row>
        <row r="2986">
          <cell r="F2986" t="str">
            <v>SRAD11410240062</v>
          </cell>
        </row>
        <row r="2987">
          <cell r="F2987" t="str">
            <v>SRAD11410240076</v>
          </cell>
        </row>
        <row r="2988">
          <cell r="F2988" t="str">
            <v>SRAD11410240058</v>
          </cell>
        </row>
        <row r="2989">
          <cell r="F2989" t="str">
            <v>SRIE2017RAFHV10121</v>
          </cell>
        </row>
        <row r="2990">
          <cell r="F2990" t="str">
            <v>SRIE2017CJTZV10121C
SRIE2017CJTZV10121A
SRIE2017CJTZV10121D</v>
          </cell>
        </row>
        <row r="2991">
          <cell r="F2991" t="str">
            <v>SRAD11710060131</v>
          </cell>
        </row>
        <row r="2992">
          <cell r="F2992" t="str">
            <v>SRAD11710060141</v>
          </cell>
        </row>
        <row r="2993">
          <cell r="F2993" t="str">
            <v>SRAD11710060130</v>
          </cell>
        </row>
        <row r="2994">
          <cell r="F2994" t="str">
            <v>SRAD11710060129</v>
          </cell>
        </row>
        <row r="2995">
          <cell r="F2995" t="str">
            <v>SRAD11710060150</v>
          </cell>
        </row>
        <row r="2996">
          <cell r="F2996" t="str">
            <v>SRAD11710060144</v>
          </cell>
        </row>
        <row r="2997">
          <cell r="F2997" t="str">
            <v>SRAD11710060138</v>
          </cell>
        </row>
        <row r="2998">
          <cell r="F2998" t="str">
            <v>SRAD11710060142</v>
          </cell>
        </row>
        <row r="2999">
          <cell r="F2999" t="str">
            <v>SRAD11710060137</v>
          </cell>
        </row>
        <row r="3000">
          <cell r="F3000" t="str">
            <v>SRAD11710060135</v>
          </cell>
        </row>
        <row r="3001">
          <cell r="F3001" t="str">
            <v>SRAD11710060133</v>
          </cell>
        </row>
        <row r="3002">
          <cell r="F3002" t="str">
            <v>SRIE2017CJTZV10122C
SRIE2017CJTZV10122A
SRIE2017CJTZV10122D</v>
          </cell>
        </row>
        <row r="3003">
          <cell r="F3003" t="str">
            <v>SRAD11710060140</v>
          </cell>
        </row>
        <row r="3004">
          <cell r="F3004" t="str">
            <v>SRAD11710060134</v>
          </cell>
        </row>
        <row r="3005">
          <cell r="F3005" t="str">
            <v>SRAD11710060139</v>
          </cell>
        </row>
        <row r="3006">
          <cell r="F3006" t="str">
            <v>SRAD11710060132</v>
          </cell>
        </row>
        <row r="3007">
          <cell r="F3007" t="str">
            <v>SRAD11710060143</v>
          </cell>
        </row>
        <row r="3008">
          <cell r="F3008" t="str">
            <v>SRAD11710060145</v>
          </cell>
        </row>
        <row r="3009">
          <cell r="F3009" t="str">
            <v>SRAD11710060146</v>
          </cell>
        </row>
        <row r="3010">
          <cell r="F3010" t="str">
            <v>SRAD11710060148</v>
          </cell>
        </row>
        <row r="3011">
          <cell r="F3011" t="str">
            <v>SRAD11710060149</v>
          </cell>
        </row>
        <row r="3012">
          <cell r="F3012" t="str">
            <v>SRAD11410240092</v>
          </cell>
        </row>
        <row r="3013">
          <cell r="F3013" t="str">
            <v>SRAD11410240074</v>
          </cell>
        </row>
        <row r="3014">
          <cell r="F3014" t="str">
            <v>SRAD11410240075</v>
          </cell>
        </row>
        <row r="3015">
          <cell r="F3015" t="str">
            <v>SRAD11410240059</v>
          </cell>
        </row>
        <row r="3016">
          <cell r="F3016" t="str">
            <v>SRAD11410240077</v>
          </cell>
        </row>
        <row r="3017">
          <cell r="F3017" t="str">
            <v>SRAD11410240078</v>
          </cell>
        </row>
        <row r="3018">
          <cell r="F3018" t="str">
            <v>SRAD11410240079</v>
          </cell>
        </row>
        <row r="3019">
          <cell r="F3019" t="str">
            <v>SRAD11410240080</v>
          </cell>
        </row>
        <row r="3020">
          <cell r="F3020" t="str">
            <v>SRAD11410240081</v>
          </cell>
        </row>
        <row r="3021">
          <cell r="F3021" t="str">
            <v>SRAD11410240082</v>
          </cell>
        </row>
        <row r="3022">
          <cell r="F3022" t="str">
            <v>SRAD11410240083</v>
          </cell>
        </row>
        <row r="3023">
          <cell r="F3023" t="str">
            <v>SRAD11410240084</v>
          </cell>
        </row>
        <row r="3024">
          <cell r="F3024" t="str">
            <v>SRAD11410240085</v>
          </cell>
        </row>
        <row r="3025">
          <cell r="F3025" t="str">
            <v>SRAD11410240086</v>
          </cell>
        </row>
        <row r="3026">
          <cell r="F3026" t="str">
            <v>SRAD11410240091</v>
          </cell>
        </row>
        <row r="3027">
          <cell r="F3027" t="str">
            <v>SRAD11410240088</v>
          </cell>
        </row>
        <row r="3028">
          <cell r="F3028" t="str">
            <v>SRAD11711150002</v>
          </cell>
        </row>
        <row r="3029">
          <cell r="F3029" t="str">
            <v>SRAD11711150009</v>
          </cell>
        </row>
        <row r="3030">
          <cell r="F3030" t="str">
            <v>SRAD11711150004</v>
          </cell>
        </row>
        <row r="3031">
          <cell r="F3031" t="str">
            <v>SRAD11711150010</v>
          </cell>
        </row>
        <row r="3032">
          <cell r="F3032" t="str">
            <v>SRAD11711150006</v>
          </cell>
        </row>
        <row r="3033">
          <cell r="F3033" t="str">
            <v>SRAD11711150007</v>
          </cell>
        </row>
        <row r="3034">
          <cell r="F3034" t="str">
            <v>SRAD11711150003</v>
          </cell>
        </row>
        <row r="3035">
          <cell r="F3035" t="str">
            <v>SRAD11711150001</v>
          </cell>
        </row>
        <row r="3036">
          <cell r="F3036" t="str">
            <v>SRAD11711150017</v>
          </cell>
        </row>
        <row r="3037">
          <cell r="F3037" t="str">
            <v>SRAD11711150016</v>
          </cell>
        </row>
        <row r="3038">
          <cell r="F3038" t="str">
            <v>SRAD11711150034</v>
          </cell>
        </row>
        <row r="3039">
          <cell r="F3039" t="str">
            <v>SRAD11711150024</v>
          </cell>
        </row>
        <row r="3040">
          <cell r="F3040" t="str">
            <v>SRAD11711150033</v>
          </cell>
        </row>
        <row r="3041">
          <cell r="F3041" t="str">
            <v>SRAD11711150013</v>
          </cell>
        </row>
        <row r="3042">
          <cell r="F3042" t="str">
            <v>SRAD11711150027</v>
          </cell>
        </row>
        <row r="3043">
          <cell r="F3043" t="str">
            <v>SRAD11711150026</v>
          </cell>
        </row>
        <row r="3044">
          <cell r="F3044" t="str">
            <v>SRAD11711150036</v>
          </cell>
        </row>
        <row r="3045">
          <cell r="F3045" t="str">
            <v>SRAD11711150012</v>
          </cell>
        </row>
        <row r="3046">
          <cell r="F3046" t="str">
            <v>SRAD11711150037</v>
          </cell>
        </row>
        <row r="3047">
          <cell r="F3047" t="str">
            <v>SRAD11711150031</v>
          </cell>
        </row>
        <row r="3048">
          <cell r="F3048" t="str">
            <v>SRAD11711150038</v>
          </cell>
        </row>
        <row r="3049">
          <cell r="F3049" t="str">
            <v>SRAD11711150030</v>
          </cell>
        </row>
        <row r="3050">
          <cell r="F3050" t="str">
            <v>SRAD11711150035</v>
          </cell>
        </row>
        <row r="3051">
          <cell r="F3051" t="str">
            <v>SRAD11711150020</v>
          </cell>
        </row>
        <row r="3052">
          <cell r="F3052" t="str">
            <v>SRAD11711150028</v>
          </cell>
        </row>
        <row r="3053">
          <cell r="F3053" t="str">
            <v>SRAD11711150014</v>
          </cell>
        </row>
        <row r="3054">
          <cell r="F3054" t="str">
            <v>SRAD11711150011</v>
          </cell>
        </row>
        <row r="3055">
          <cell r="F3055" t="str">
            <v>SRAD11711150022</v>
          </cell>
        </row>
        <row r="3056">
          <cell r="F3056" t="str">
            <v>SRAD11711150039</v>
          </cell>
        </row>
        <row r="3057">
          <cell r="F3057" t="str">
            <v>SRAD11711150029</v>
          </cell>
        </row>
        <row r="3058">
          <cell r="F3058" t="str">
            <v>SRAD11410240067</v>
          </cell>
        </row>
        <row r="3059">
          <cell r="F3059" t="str">
            <v>SRAD11410240068</v>
          </cell>
        </row>
        <row r="3060">
          <cell r="F3060" t="str">
            <v>SRAD11711150015</v>
          </cell>
        </row>
        <row r="3061">
          <cell r="F3061" t="str">
            <v>SRAD11410240065</v>
          </cell>
        </row>
        <row r="3062">
          <cell r="F3062" t="str">
            <v>SRAD11711150005</v>
          </cell>
        </row>
        <row r="3063">
          <cell r="F3063" t="str">
            <v>SRAD11711150018</v>
          </cell>
        </row>
        <row r="3064">
          <cell r="F3064" t="str">
            <v>SRAD11711150025</v>
          </cell>
        </row>
        <row r="3065">
          <cell r="F3065" t="str">
            <v>SRAD11410240066</v>
          </cell>
        </row>
        <row r="3066">
          <cell r="F3066" t="str">
            <v>SRAD11410240071</v>
          </cell>
        </row>
        <row r="3067">
          <cell r="F3067" t="str">
            <v>SRAD11410240072</v>
          </cell>
        </row>
        <row r="3068">
          <cell r="F3068" t="str">
            <v>SRAD11410240087</v>
          </cell>
        </row>
        <row r="3069">
          <cell r="F3069" t="str">
            <v>SRAD11711150019</v>
          </cell>
        </row>
        <row r="3070">
          <cell r="F3070" t="str">
            <v>SRAD11711150008</v>
          </cell>
        </row>
        <row r="3071">
          <cell r="F3071" t="str">
            <v>SRAD11410240070</v>
          </cell>
        </row>
        <row r="3072">
          <cell r="F3072" t="str">
            <v>SRIE2017CJTZV10119B
SRIE2017CJTZV10119B
SRIE2017CJTZV10119B
SRIE2017CJTZV10119B</v>
          </cell>
        </row>
        <row r="3073">
          <cell r="F3073" t="str">
            <v>SRIE2017CJTZV10120B
SRIE2017CJTZV10120B
SRIE2017CJTZV10120B
SRIE2017CJTZV10120B</v>
          </cell>
        </row>
        <row r="3074">
          <cell r="F3074" t="str">
            <v>SRIE2015RAQZV14005</v>
          </cell>
        </row>
        <row r="3075">
          <cell r="F3075" t="str">
            <v>SRIE2015RAQZV14002</v>
          </cell>
        </row>
        <row r="3076">
          <cell r="F3076" t="str">
            <v>SRAD11911250001</v>
          </cell>
        </row>
        <row r="3077">
          <cell r="F3077" t="str">
            <v>SRAD11911250003</v>
          </cell>
        </row>
        <row r="3078">
          <cell r="F3078" t="str">
            <v>SRAD11911250005</v>
          </cell>
        </row>
        <row r="3079">
          <cell r="F3079" t="str">
            <v>SRAD11911250008</v>
          </cell>
        </row>
        <row r="3080">
          <cell r="F3080" t="str">
            <v>SRAD11911250002</v>
          </cell>
        </row>
        <row r="3081">
          <cell r="F3081" t="str">
            <v>SRAD11911250004</v>
          </cell>
        </row>
        <row r="3082">
          <cell r="F3082" t="str">
            <v>SRAD11911250006</v>
          </cell>
        </row>
        <row r="3083">
          <cell r="F3083" t="str">
            <v>SRAD11911250007</v>
          </cell>
        </row>
        <row r="3084">
          <cell r="F3084" t="str">
            <v>451440000134/451440000135</v>
          </cell>
        </row>
        <row r="3085">
          <cell r="F3085" t="str">
            <v>451440000136/451440000137</v>
          </cell>
        </row>
        <row r="3086">
          <cell r="F3086" t="str">
            <v>无</v>
          </cell>
        </row>
        <row r="3087">
          <cell r="F3087" t="str">
            <v>171003201036</v>
          </cell>
        </row>
        <row r="3088">
          <cell r="F3088" t="str">
            <v>171003201029</v>
          </cell>
        </row>
        <row r="3089">
          <cell r="F3089" t="str">
            <v>0180103201341</v>
          </cell>
        </row>
        <row r="3090">
          <cell r="F3090" t="str">
            <v>0180103201372</v>
          </cell>
        </row>
        <row r="3091">
          <cell r="F3091" t="str">
            <v>0180103201334</v>
          </cell>
        </row>
        <row r="3092">
          <cell r="F3092" t="str">
            <v>180103201280</v>
          </cell>
        </row>
        <row r="3093">
          <cell r="F3093" t="str">
            <v>180103201143</v>
          </cell>
        </row>
        <row r="3094">
          <cell r="F3094" t="str">
            <v>161103200480</v>
          </cell>
        </row>
        <row r="3095">
          <cell r="F3095" t="str">
            <v>161103200756</v>
          </cell>
        </row>
        <row r="3096">
          <cell r="F3096" t="str">
            <v>161103200770</v>
          </cell>
        </row>
        <row r="3097">
          <cell r="F3097" t="str">
            <v>161103200817</v>
          </cell>
        </row>
        <row r="3098">
          <cell r="F3098" t="str">
            <v>161103200633</v>
          </cell>
        </row>
        <row r="3099">
          <cell r="F3099" t="str">
            <v>180103201273</v>
          </cell>
        </row>
        <row r="3100">
          <cell r="F3100" t="str">
            <v>180103201150</v>
          </cell>
        </row>
        <row r="3101">
          <cell r="F3101" t="str">
            <v>161103200510</v>
          </cell>
        </row>
        <row r="3102">
          <cell r="F3102" t="str">
            <v>161103200640</v>
          </cell>
        </row>
        <row r="3103">
          <cell r="F3103" t="str">
            <v>180103201204</v>
          </cell>
        </row>
        <row r="3104">
          <cell r="F3104" t="str">
            <v>171003201043</v>
          </cell>
        </row>
        <row r="3105">
          <cell r="F3105" t="str">
            <v>170902201956</v>
          </cell>
        </row>
        <row r="3106">
          <cell r="F3106" t="str">
            <v>170902201611</v>
          </cell>
        </row>
        <row r="3107">
          <cell r="F3107" t="str">
            <v>170902201697</v>
          </cell>
        </row>
        <row r="3108">
          <cell r="F3108" t="str">
            <v>170902202199</v>
          </cell>
        </row>
        <row r="3109">
          <cell r="F3109" t="str">
            <v>170902201628</v>
          </cell>
        </row>
        <row r="3110">
          <cell r="F3110" t="str">
            <v>170902201703</v>
          </cell>
        </row>
        <row r="3111">
          <cell r="F3111" t="str">
            <v>170902201307</v>
          </cell>
        </row>
        <row r="3112">
          <cell r="F3112" t="str">
            <v>170902201390</v>
          </cell>
        </row>
        <row r="3113">
          <cell r="F3113" t="str">
            <v>170902201901</v>
          </cell>
        </row>
        <row r="3114">
          <cell r="F3114" t="str">
            <v>170902201550</v>
          </cell>
        </row>
        <row r="3115">
          <cell r="F3115" t="str">
            <v>170902201505</v>
          </cell>
        </row>
        <row r="3116">
          <cell r="F3116" t="str">
            <v>170902201741</v>
          </cell>
        </row>
        <row r="3117">
          <cell r="F3117" t="str">
            <v>170902201383</v>
          </cell>
        </row>
        <row r="3118">
          <cell r="F3118" t="str">
            <v>170902201345</v>
          </cell>
        </row>
        <row r="3119">
          <cell r="F3119" t="str">
            <v>170902202014</v>
          </cell>
        </row>
        <row r="3120">
          <cell r="F3120" t="str">
            <v>170902201222</v>
          </cell>
        </row>
        <row r="3121">
          <cell r="F3121" t="str">
            <v>170902201321</v>
          </cell>
        </row>
        <row r="3122">
          <cell r="F3122" t="str">
            <v>170902201475</v>
          </cell>
        </row>
        <row r="3123">
          <cell r="F3123" t="str">
            <v>170902201680</v>
          </cell>
        </row>
        <row r="3124">
          <cell r="F3124" t="str">
            <v>170902202120</v>
          </cell>
        </row>
        <row r="3125">
          <cell r="F3125" t="str">
            <v>170902201857</v>
          </cell>
        </row>
        <row r="3126">
          <cell r="F3126" t="str">
            <v>191103201743</v>
          </cell>
        </row>
        <row r="3127">
          <cell r="F3127" t="str">
            <v>191103201767</v>
          </cell>
        </row>
        <row r="3128">
          <cell r="F3128" t="str">
            <v>170902201482</v>
          </cell>
        </row>
        <row r="3129">
          <cell r="F3129" t="str">
            <v>170902201338</v>
          </cell>
        </row>
        <row r="3130">
          <cell r="F3130" t="str">
            <v>2C42144YE2</v>
          </cell>
        </row>
        <row r="3131">
          <cell r="F3131" t="str">
            <v>MM11290</v>
          </cell>
        </row>
        <row r="3132">
          <cell r="F3132" t="str">
            <v>Z8C4W021E080038</v>
          </cell>
        </row>
        <row r="3133">
          <cell r="F3133" t="str">
            <v>6VR2TS1</v>
          </cell>
        </row>
        <row r="3134">
          <cell r="F3134" t="str">
            <v>7833TS1</v>
          </cell>
        </row>
        <row r="3135">
          <cell r="F3135" t="str">
            <v>MM11291</v>
          </cell>
        </row>
        <row r="3136">
          <cell r="F3136" t="str">
            <v>MM11334</v>
          </cell>
        </row>
        <row r="3137">
          <cell r="F3137" t="str">
            <v>MM11295</v>
          </cell>
        </row>
        <row r="3138">
          <cell r="F3138" t="str">
            <v>MDAA030H294-H1020-LGXXZ-0AEG</v>
          </cell>
        </row>
        <row r="3139">
          <cell r="F3139" t="str">
            <v>MDAA030H294-H1020-LGXXZ-0AEF</v>
          </cell>
        </row>
        <row r="3140">
          <cell r="F3140" t="str">
            <v>MDG 030H294-H1020-LGXXZ-0AEI</v>
          </cell>
        </row>
        <row r="3141">
          <cell r="F3141" t="str">
            <v>MDG 030H294-H1020-LGXXZ-0AEH</v>
          </cell>
        </row>
        <row r="3142">
          <cell r="F3142" t="str">
            <v>191103201736</v>
          </cell>
        </row>
        <row r="3143">
          <cell r="F3143" t="str">
            <v>191103201729</v>
          </cell>
        </row>
        <row r="3144">
          <cell r="F3144" t="str">
            <v>191103201774</v>
          </cell>
        </row>
        <row r="3145">
          <cell r="F3145" t="str">
            <v>HK198701409</v>
          </cell>
        </row>
        <row r="3146">
          <cell r="F3146" t="str">
            <v>HK198701416</v>
          </cell>
        </row>
        <row r="3147">
          <cell r="F3147" t="str">
            <v>SGH51190PW</v>
          </cell>
        </row>
        <row r="3148">
          <cell r="F3148" t="str">
            <v>SGH51190S1</v>
          </cell>
        </row>
        <row r="3149">
          <cell r="F3149" t="str">
            <v>1001020049316100087</v>
          </cell>
        </row>
        <row r="3150">
          <cell r="F3150" t="str">
            <v>1001020049316100097</v>
          </cell>
        </row>
        <row r="3151">
          <cell r="F3151" t="str">
            <v>CN492600292</v>
          </cell>
        </row>
        <row r="3152">
          <cell r="F3152" t="str">
            <v>CN492600291</v>
          </cell>
        </row>
        <row r="3153">
          <cell r="F3153" t="str">
            <v>210235947910F7000003</v>
          </cell>
        </row>
        <row r="3154">
          <cell r="F3154" t="str">
            <v>210235G7G610E8000001</v>
          </cell>
        </row>
        <row r="3155">
          <cell r="F3155" t="str">
            <v>210235947910F7000004</v>
          </cell>
        </row>
        <row r="3156">
          <cell r="F3156" t="str">
            <v>210235G7G610E8000002</v>
          </cell>
        </row>
        <row r="3157">
          <cell r="F3157" t="str">
            <v>P785E110</v>
          </cell>
        </row>
        <row r="3158">
          <cell r="F3158" t="str">
            <v>P785DFA0</v>
          </cell>
        </row>
        <row r="3159">
          <cell r="F3159" t="str">
            <v>102010065079</v>
          </cell>
        </row>
        <row r="3160">
          <cell r="F3160" t="str">
            <v>210235A3SVH19A000024</v>
          </cell>
        </row>
        <row r="3161">
          <cell r="F3161" t="str">
            <v>210235A3SVH19A000022</v>
          </cell>
        </row>
        <row r="3162">
          <cell r="F3162" t="str">
            <v>210235A3SUH19A000090</v>
          </cell>
        </row>
        <row r="3163">
          <cell r="F3163" t="str">
            <v>210235A3SUH19A000204</v>
          </cell>
        </row>
        <row r="3164">
          <cell r="F3164" t="str">
            <v>210235A3SUH19A000153</v>
          </cell>
        </row>
        <row r="3165">
          <cell r="F3165" t="str">
            <v>210235A3SUH19A000364</v>
          </cell>
        </row>
        <row r="3166">
          <cell r="F3166" t="str">
            <v>210235A3SUH19A000116</v>
          </cell>
        </row>
        <row r="3167">
          <cell r="F3167" t="str">
            <v>210235A3SUH19A000119</v>
          </cell>
        </row>
        <row r="3168">
          <cell r="F3168" t="str">
            <v>210235A3SUH19A000295</v>
          </cell>
        </row>
        <row r="3169">
          <cell r="F3169" t="str">
            <v>210235A3SUH19A000139</v>
          </cell>
        </row>
        <row r="3170">
          <cell r="F3170" t="str">
            <v>210235A3SUH19A000112</v>
          </cell>
        </row>
        <row r="3171">
          <cell r="F3171" t="str">
            <v>210235A3SUH19A000150</v>
          </cell>
        </row>
        <row r="3172">
          <cell r="F3172" t="str">
            <v>210235A3SUH19A000286</v>
          </cell>
        </row>
        <row r="3173">
          <cell r="F3173" t="str">
            <v>210235A3SUH19A000378</v>
          </cell>
        </row>
        <row r="3174">
          <cell r="F3174" t="str">
            <v>210235A3SUH19A000379</v>
          </cell>
        </row>
        <row r="3175">
          <cell r="F3175" t="str">
            <v>210235A3SUH19A000385</v>
          </cell>
        </row>
        <row r="3176">
          <cell r="F3176" t="str">
            <v>210235A3SUH19A000115</v>
          </cell>
        </row>
        <row r="3177">
          <cell r="F3177" t="str">
            <v>210235A3SUH19A000142</v>
          </cell>
        </row>
        <row r="3178">
          <cell r="F3178" t="str">
            <v>210235A3SUH19B000132</v>
          </cell>
        </row>
        <row r="3179">
          <cell r="F3179" t="str">
            <v>210235A3SUH19A000368</v>
          </cell>
        </row>
        <row r="3180">
          <cell r="F3180" t="str">
            <v>210235A3SUH19A000207</v>
          </cell>
        </row>
        <row r="3181">
          <cell r="F3181" t="str">
            <v>210235A3SUH19A000118</v>
          </cell>
        </row>
        <row r="3182">
          <cell r="F3182" t="str">
            <v>210235A3SUH19B000144</v>
          </cell>
        </row>
        <row r="3183">
          <cell r="F3183" t="str">
            <v>210235A3SUH19A000294</v>
          </cell>
        </row>
        <row r="3184">
          <cell r="F3184" t="str">
            <v>210235A3SUH19A000370</v>
          </cell>
        </row>
        <row r="3185">
          <cell r="F3185" t="str">
            <v>210235A3SUH19A000296</v>
          </cell>
        </row>
        <row r="3186">
          <cell r="F3186" t="str">
            <v>210235A3SUH197000110</v>
          </cell>
        </row>
        <row r="3187">
          <cell r="F3187" t="str">
            <v>210235A3SUH19A000320</v>
          </cell>
        </row>
        <row r="3188">
          <cell r="F3188" t="str">
            <v>210235A3SUH19A000292</v>
          </cell>
        </row>
        <row r="3189">
          <cell r="F3189" t="str">
            <v>210235A3SUH19A000079</v>
          </cell>
        </row>
        <row r="3190">
          <cell r="F3190" t="str">
            <v>210235A3SUH19B000149</v>
          </cell>
        </row>
        <row r="3191">
          <cell r="F3191" t="str">
            <v>210235A3SUH19B000053</v>
          </cell>
        </row>
        <row r="3192">
          <cell r="F3192" t="str">
            <v>210235A3SUH19B000164</v>
          </cell>
        </row>
        <row r="3193">
          <cell r="F3193" t="str">
            <v>210235A3SUH19B000095</v>
          </cell>
        </row>
        <row r="3194">
          <cell r="F3194" t="str">
            <v>210235A1GFX19C000020</v>
          </cell>
        </row>
        <row r="3195">
          <cell r="F3195" t="str">
            <v>210235A1GFX19C00001Y</v>
          </cell>
        </row>
        <row r="3196">
          <cell r="F3196" t="str">
            <v>yk-0000-0329</v>
          </cell>
        </row>
        <row r="3197">
          <cell r="F3197" t="str">
            <v>yk-0000-0330</v>
          </cell>
        </row>
        <row r="3198">
          <cell r="F3198" t="str">
            <v>102020031564</v>
          </cell>
        </row>
        <row r="3199">
          <cell r="F3199" t="str">
            <v>98E9U304038-001</v>
          </cell>
        </row>
        <row r="3200">
          <cell r="F3200" t="str">
            <v>06D7189</v>
          </cell>
        </row>
        <row r="3201">
          <cell r="F3201" t="str">
            <v>06D7187</v>
          </cell>
        </row>
        <row r="3202">
          <cell r="F3202" t="str">
            <v>FOX1619GMJP</v>
          </cell>
        </row>
        <row r="3203">
          <cell r="F3203" t="str">
            <v>219555993</v>
          </cell>
        </row>
        <row r="3204">
          <cell r="F3204" t="str">
            <v>219548291</v>
          </cell>
        </row>
        <row r="3205">
          <cell r="F3205" t="str">
            <v>219556101</v>
          </cell>
        </row>
        <row r="3206">
          <cell r="F3206" t="str">
            <v>219556097</v>
          </cell>
        </row>
        <row r="3207">
          <cell r="F3207" t="str">
            <v>219556099</v>
          </cell>
        </row>
        <row r="3208">
          <cell r="F3208" t="str">
            <v>219555975</v>
          </cell>
        </row>
        <row r="3209">
          <cell r="F3209" t="str">
            <v>219555983</v>
          </cell>
        </row>
        <row r="3210">
          <cell r="F3210" t="str">
            <v>219555981</v>
          </cell>
        </row>
        <row r="3211">
          <cell r="F3211" t="str">
            <v>219555974</v>
          </cell>
        </row>
        <row r="3212">
          <cell r="F3212" t="str">
            <v>219555979</v>
          </cell>
        </row>
        <row r="3213">
          <cell r="F3213" t="str">
            <v>219555980</v>
          </cell>
        </row>
        <row r="3214">
          <cell r="F3214" t="str">
            <v>219555976</v>
          </cell>
        </row>
        <row r="3215">
          <cell r="F3215" t="str">
            <v>219555984</v>
          </cell>
        </row>
        <row r="3216">
          <cell r="F3216" t="str">
            <v>219555978</v>
          </cell>
        </row>
        <row r="3217">
          <cell r="F3217" t="str">
            <v>219555985</v>
          </cell>
        </row>
        <row r="3218">
          <cell r="F3218" t="str">
            <v>219555982</v>
          </cell>
        </row>
        <row r="3219">
          <cell r="F3219" t="str">
            <v>219555977</v>
          </cell>
        </row>
        <row r="3220">
          <cell r="F3220" t="str">
            <v>219556089</v>
          </cell>
        </row>
        <row r="3221">
          <cell r="F3221" t="str">
            <v>219556093</v>
          </cell>
        </row>
        <row r="3222">
          <cell r="F3222" t="str">
            <v>219556087</v>
          </cell>
        </row>
        <row r="3223">
          <cell r="F3223" t="str">
            <v>219556088</v>
          </cell>
        </row>
        <row r="3224">
          <cell r="F3224" t="str">
            <v>219556085</v>
          </cell>
        </row>
        <row r="3225">
          <cell r="F3225" t="str">
            <v>219556092</v>
          </cell>
        </row>
        <row r="3226">
          <cell r="F3226" t="str">
            <v>219556090</v>
          </cell>
        </row>
        <row r="3227">
          <cell r="F3227" t="str">
            <v>219556084</v>
          </cell>
        </row>
        <row r="3228">
          <cell r="F3228" t="str">
            <v>219556091</v>
          </cell>
        </row>
        <row r="3229">
          <cell r="F3229" t="str">
            <v>219556083</v>
          </cell>
        </row>
        <row r="3230">
          <cell r="F3230" t="str">
            <v>219556094</v>
          </cell>
        </row>
        <row r="3231">
          <cell r="F3231" t="str">
            <v>219556086</v>
          </cell>
        </row>
        <row r="3232">
          <cell r="F3232" t="str">
            <v>219556100</v>
          </cell>
        </row>
        <row r="3233">
          <cell r="F3233" t="str">
            <v>219556096</v>
          </cell>
        </row>
        <row r="3234">
          <cell r="F3234" t="str">
            <v>219562799</v>
          </cell>
        </row>
        <row r="3235">
          <cell r="F3235" t="str">
            <v>219562798</v>
          </cell>
        </row>
        <row r="3236">
          <cell r="F3236" t="str">
            <v>219556095</v>
          </cell>
        </row>
        <row r="3237">
          <cell r="F3237" t="str">
            <v>219556098</v>
          </cell>
        </row>
        <row r="3238">
          <cell r="F3238" t="str">
            <v>219555994</v>
          </cell>
        </row>
        <row r="3239">
          <cell r="F3239" t="str">
            <v>219555992</v>
          </cell>
        </row>
        <row r="3240">
          <cell r="F3240" t="str">
            <v>219555988</v>
          </cell>
        </row>
        <row r="3241">
          <cell r="F3241" t="str">
            <v>219555991</v>
          </cell>
        </row>
        <row r="3242">
          <cell r="F3242" t="str">
            <v>219555990</v>
          </cell>
        </row>
        <row r="3243">
          <cell r="F3243" t="str">
            <v>219555995</v>
          </cell>
        </row>
        <row r="3244">
          <cell r="F3244" t="str">
            <v>219555987</v>
          </cell>
        </row>
        <row r="3245">
          <cell r="F3245" t="str">
            <v>219555989</v>
          </cell>
        </row>
        <row r="3246">
          <cell r="F3246" t="str">
            <v>219562779</v>
          </cell>
        </row>
        <row r="3247">
          <cell r="F3247" t="str">
            <v>219562778</v>
          </cell>
        </row>
        <row r="3248">
          <cell r="F3248" t="str">
            <v>219562781</v>
          </cell>
        </row>
        <row r="3249">
          <cell r="F3249" t="str">
            <v>219562780</v>
          </cell>
        </row>
        <row r="3250">
          <cell r="F3250" t="str">
            <v>219555986</v>
          </cell>
        </row>
        <row r="3251">
          <cell r="F3251" t="str">
            <v>219556082</v>
          </cell>
        </row>
        <row r="3252">
          <cell r="F3252" t="str">
            <v>FNPDF3X</v>
          </cell>
        </row>
        <row r="3253">
          <cell r="F3253" t="str">
            <v>2102350DLUDMGB000499</v>
          </cell>
        </row>
        <row r="3254">
          <cell r="F3254" t="str">
            <v>06ACPF0</v>
          </cell>
        </row>
        <row r="3255">
          <cell r="F3255" t="str">
            <v>210235A1DWH149000107</v>
          </cell>
        </row>
        <row r="3256">
          <cell r="F3256" t="str">
            <v>210235A1DWH149000111</v>
          </cell>
        </row>
        <row r="3257">
          <cell r="F3257" t="str">
            <v>2102113373P0E9000496</v>
          </cell>
        </row>
        <row r="3258">
          <cell r="F3258" t="str">
            <v>210235AOHAH14A000366</v>
          </cell>
        </row>
        <row r="3259">
          <cell r="F3259" t="str">
            <v>210235AOHAH14A000076</v>
          </cell>
        </row>
        <row r="3260">
          <cell r="F3260" t="str">
            <v>210235AOHAH14A000397</v>
          </cell>
        </row>
        <row r="3261">
          <cell r="F3261" t="str">
            <v>210235AOHAH14A000246</v>
          </cell>
        </row>
        <row r="3262">
          <cell r="F3262" t="str">
            <v>210235A1G9H178000018</v>
          </cell>
        </row>
        <row r="3263">
          <cell r="F3263" t="str">
            <v>210235A1G9H178000016</v>
          </cell>
        </row>
        <row r="3264">
          <cell r="F3264" t="str">
            <v>210235A36XH149000035</v>
          </cell>
        </row>
        <row r="3265">
          <cell r="F3265" t="str">
            <v>210235A36XH149000087</v>
          </cell>
        </row>
        <row r="3266">
          <cell r="F3266" t="str">
            <v>21013031272161020009（107）;  21013031272161020006（107）; 2101302474217A020009（103）; 2101302474217A020006（103）; 2101302474217A020008（103）;  2101302474217A02000A（103）;</v>
          </cell>
        </row>
        <row r="3267">
          <cell r="F3267" t="str">
            <v>210235A1G9H178000028</v>
          </cell>
        </row>
        <row r="3268">
          <cell r="F3268" t="str">
            <v>210235A1G9H179000017</v>
          </cell>
        </row>
        <row r="3269">
          <cell r="F3269" t="str">
            <v>210235A1G9H178000055</v>
          </cell>
        </row>
        <row r="3270">
          <cell r="F3270" t="str">
            <v>210235A1G9H178000036</v>
          </cell>
        </row>
        <row r="3271">
          <cell r="F3271" t="str">
            <v>210235A1TXH179000255</v>
          </cell>
        </row>
        <row r="3272">
          <cell r="F3272" t="str">
            <v>210235A1TXH179000243</v>
          </cell>
        </row>
        <row r="3273">
          <cell r="F3273" t="str">
            <v>J33GRYV</v>
          </cell>
        </row>
        <row r="3274">
          <cell r="F3274" t="str">
            <v>J33GRYT</v>
          </cell>
        </row>
        <row r="3275">
          <cell r="F3275" t="str">
            <v>210235A1G9H178000046</v>
          </cell>
        </row>
        <row r="3276">
          <cell r="F3276" t="str">
            <v>217399866-10A</v>
          </cell>
        </row>
        <row r="3277">
          <cell r="F3277" t="str">
            <v>217399866-11A</v>
          </cell>
        </row>
        <row r="3278">
          <cell r="F3278" t="str">
            <v>217399866-12A</v>
          </cell>
        </row>
        <row r="3279">
          <cell r="F3279" t="str">
            <v>217399866-13A</v>
          </cell>
        </row>
        <row r="3280">
          <cell r="F3280" t="str">
            <v>217399866-14A</v>
          </cell>
        </row>
        <row r="3281">
          <cell r="F3281" t="str">
            <v>217399866-15A</v>
          </cell>
        </row>
        <row r="3282">
          <cell r="F3282" t="str">
            <v>217399866-16A</v>
          </cell>
        </row>
        <row r="3283">
          <cell r="F3283" t="str">
            <v>217399866-17A</v>
          </cell>
        </row>
        <row r="3284">
          <cell r="F3284" t="str">
            <v>217399866-18A</v>
          </cell>
        </row>
        <row r="3285">
          <cell r="F3285" t="str">
            <v>217399866-19A</v>
          </cell>
        </row>
        <row r="3286">
          <cell r="F3286" t="str">
            <v>217399866-30A</v>
          </cell>
        </row>
        <row r="3287">
          <cell r="F3287" t="str">
            <v>217399866-20A</v>
          </cell>
        </row>
        <row r="3288">
          <cell r="F3288" t="str">
            <v>217399866-21A</v>
          </cell>
        </row>
        <row r="3289">
          <cell r="F3289" t="str">
            <v>217399866-22A</v>
          </cell>
        </row>
        <row r="3290">
          <cell r="F3290" t="str">
            <v>217399866-23A</v>
          </cell>
        </row>
        <row r="3291">
          <cell r="F3291" t="str">
            <v>217399866-24A</v>
          </cell>
        </row>
        <row r="3292">
          <cell r="F3292" t="str">
            <v>217399866-31A</v>
          </cell>
        </row>
        <row r="3293">
          <cell r="F3293" t="str">
            <v>217399866-25A</v>
          </cell>
        </row>
        <row r="3294">
          <cell r="F3294" t="str">
            <v>217399866-26A</v>
          </cell>
        </row>
        <row r="3295">
          <cell r="F3295" t="str">
            <v>217399866-27A</v>
          </cell>
        </row>
        <row r="3296">
          <cell r="F3296" t="str">
            <v>217399866-28A</v>
          </cell>
        </row>
        <row r="3297">
          <cell r="F3297" t="str">
            <v>217399866-29A</v>
          </cell>
        </row>
        <row r="3298">
          <cell r="F3298" t="str">
            <v>217399866-01A</v>
          </cell>
        </row>
        <row r="3299">
          <cell r="F3299" t="str">
            <v>217399866-02A</v>
          </cell>
        </row>
        <row r="3300">
          <cell r="F3300" t="str">
            <v>217399866-32A</v>
          </cell>
        </row>
        <row r="3301">
          <cell r="F3301" t="str">
            <v>217399866-03A</v>
          </cell>
        </row>
        <row r="3302">
          <cell r="F3302" t="str">
            <v>217399866-04A</v>
          </cell>
        </row>
        <row r="3303">
          <cell r="F3303" t="str">
            <v>217399866-05A</v>
          </cell>
        </row>
        <row r="3304">
          <cell r="F3304" t="str">
            <v>217399866-06A</v>
          </cell>
        </row>
        <row r="3305">
          <cell r="F3305" t="str">
            <v>217399866-07A</v>
          </cell>
        </row>
        <row r="3306">
          <cell r="F3306" t="str">
            <v>217399866-08A</v>
          </cell>
        </row>
        <row r="3307">
          <cell r="F3307" t="str">
            <v>217399866-09A</v>
          </cell>
        </row>
        <row r="3308">
          <cell r="F3308" t="str">
            <v>217399899-10A</v>
          </cell>
        </row>
        <row r="3309">
          <cell r="F3309" t="str">
            <v>217399899-11A</v>
          </cell>
        </row>
        <row r="3310">
          <cell r="F3310" t="str">
            <v>217399899-12A</v>
          </cell>
        </row>
        <row r="3311">
          <cell r="F3311" t="str">
            <v>217399899-13A</v>
          </cell>
        </row>
        <row r="3312">
          <cell r="F3312" t="str">
            <v>217399899-14A</v>
          </cell>
        </row>
        <row r="3313">
          <cell r="F3313" t="str">
            <v>217399899-15A</v>
          </cell>
        </row>
        <row r="3314">
          <cell r="F3314" t="str">
            <v>217399899-16A</v>
          </cell>
        </row>
        <row r="3315">
          <cell r="F3315" t="str">
            <v>217399899-17A</v>
          </cell>
        </row>
        <row r="3316">
          <cell r="F3316" t="str">
            <v>217399899-18A</v>
          </cell>
        </row>
        <row r="3317">
          <cell r="F3317" t="str">
            <v>217399899-19A</v>
          </cell>
        </row>
        <row r="3318">
          <cell r="F3318" t="str">
            <v>217399899-01A</v>
          </cell>
        </row>
        <row r="3319">
          <cell r="F3319" t="str">
            <v>217399899-20A</v>
          </cell>
        </row>
        <row r="3320">
          <cell r="F3320" t="str">
            <v>217399899-21A</v>
          </cell>
        </row>
        <row r="3321">
          <cell r="F3321" t="str">
            <v>217399899-22A</v>
          </cell>
        </row>
        <row r="3322">
          <cell r="F3322" t="str">
            <v>217399899-23A</v>
          </cell>
        </row>
        <row r="3323">
          <cell r="F3323" t="str">
            <v>217399899-24A</v>
          </cell>
        </row>
        <row r="3324">
          <cell r="F3324" t="str">
            <v>217399899-02A</v>
          </cell>
        </row>
        <row r="3325">
          <cell r="F3325" t="str">
            <v>217399899-25A</v>
          </cell>
        </row>
        <row r="3326">
          <cell r="F3326" t="str">
            <v>217399899-26A</v>
          </cell>
        </row>
        <row r="3327">
          <cell r="F3327" t="str">
            <v>217399899-27A</v>
          </cell>
        </row>
        <row r="3328">
          <cell r="F3328" t="str">
            <v>217399899-28A</v>
          </cell>
        </row>
        <row r="3329">
          <cell r="F3329" t="str">
            <v>217399899-29A</v>
          </cell>
        </row>
        <row r="3330">
          <cell r="F3330" t="str">
            <v>217399899-30A</v>
          </cell>
        </row>
        <row r="3331">
          <cell r="F3331" t="str">
            <v>217399899-31A</v>
          </cell>
        </row>
        <row r="3332">
          <cell r="F3332" t="str">
            <v>217399899-32A</v>
          </cell>
        </row>
        <row r="3333">
          <cell r="F3333" t="str">
            <v>217399899-03A</v>
          </cell>
        </row>
        <row r="3334">
          <cell r="F3334" t="str">
            <v>217399899-04A</v>
          </cell>
        </row>
        <row r="3335">
          <cell r="F3335" t="str">
            <v>217399899-05A</v>
          </cell>
        </row>
        <row r="3336">
          <cell r="F3336" t="str">
            <v>217399899-06A</v>
          </cell>
        </row>
        <row r="3337">
          <cell r="F3337" t="str">
            <v>217399899-07A</v>
          </cell>
        </row>
        <row r="3338">
          <cell r="F3338" t="str">
            <v>217399899-08A</v>
          </cell>
        </row>
        <row r="3339">
          <cell r="F3339" t="str">
            <v>217399899-09A</v>
          </cell>
        </row>
        <row r="3340">
          <cell r="F3340" t="str">
            <v>无</v>
          </cell>
        </row>
        <row r="3341">
          <cell r="F3341" t="str">
            <v>217399932-10A</v>
          </cell>
        </row>
        <row r="3342">
          <cell r="F3342" t="str">
            <v>217399932-30A</v>
          </cell>
        </row>
        <row r="3343">
          <cell r="F3343" t="str">
            <v>217399932-31A</v>
          </cell>
        </row>
        <row r="3344">
          <cell r="F3344" t="str">
            <v>217399932-25A</v>
          </cell>
        </row>
        <row r="3345">
          <cell r="F3345" t="str">
            <v>217399932-26A</v>
          </cell>
        </row>
        <row r="3346">
          <cell r="F3346" t="str">
            <v>217399932-27A</v>
          </cell>
        </row>
        <row r="3347">
          <cell r="F3347" t="str">
            <v>217399932-28A</v>
          </cell>
        </row>
        <row r="3348">
          <cell r="F3348" t="str">
            <v>217399932-29A</v>
          </cell>
        </row>
        <row r="3349">
          <cell r="F3349" t="str">
            <v>217399932-18A</v>
          </cell>
        </row>
        <row r="3350">
          <cell r="F3350" t="str">
            <v>217399932-19A</v>
          </cell>
        </row>
        <row r="3351">
          <cell r="F3351" t="str">
            <v>217399932-01A</v>
          </cell>
        </row>
        <row r="3352">
          <cell r="F3352" t="str">
            <v>217399932-20A</v>
          </cell>
        </row>
        <row r="3353">
          <cell r="F3353" t="str">
            <v>217399932-21A</v>
          </cell>
        </row>
        <row r="3354">
          <cell r="F3354" t="str">
            <v>217399932-22A</v>
          </cell>
        </row>
        <row r="3355">
          <cell r="F3355" t="str">
            <v>217399932-23A</v>
          </cell>
        </row>
        <row r="3356">
          <cell r="F3356" t="str">
            <v>217399932-24A</v>
          </cell>
        </row>
        <row r="3357">
          <cell r="F3357" t="str">
            <v>217399932-02A</v>
          </cell>
        </row>
        <row r="3358">
          <cell r="F3358" t="str">
            <v>217399932-13A</v>
          </cell>
        </row>
        <row r="3359">
          <cell r="F3359" t="str">
            <v>217399932-14A</v>
          </cell>
        </row>
        <row r="3360">
          <cell r="F3360" t="str">
            <v>217399932-15A</v>
          </cell>
        </row>
        <row r="3361">
          <cell r="F3361" t="str">
            <v>217399932-16A</v>
          </cell>
        </row>
        <row r="3362">
          <cell r="F3362" t="str">
            <v>217399932-17A</v>
          </cell>
        </row>
        <row r="3363">
          <cell r="F3363" t="str">
            <v>217399932-11A</v>
          </cell>
        </row>
        <row r="3364">
          <cell r="F3364" t="str">
            <v>217399932-12A</v>
          </cell>
        </row>
        <row r="3365">
          <cell r="F3365" t="str">
            <v>217399932-32A</v>
          </cell>
        </row>
        <row r="3366">
          <cell r="F3366" t="str">
            <v>217399932-03A</v>
          </cell>
        </row>
        <row r="3367">
          <cell r="F3367" t="str">
            <v>217399932-04A</v>
          </cell>
        </row>
        <row r="3368">
          <cell r="F3368" t="str">
            <v>217399932-05A</v>
          </cell>
        </row>
        <row r="3369">
          <cell r="F3369" t="str">
            <v>217399932-06A</v>
          </cell>
        </row>
        <row r="3370">
          <cell r="F3370" t="str">
            <v>217399932-07A</v>
          </cell>
        </row>
        <row r="3371">
          <cell r="F3371" t="str">
            <v>217399932-08A</v>
          </cell>
        </row>
        <row r="3372">
          <cell r="F3372" t="str">
            <v>217399932-09A</v>
          </cell>
        </row>
        <row r="3373">
          <cell r="F3373" t="str">
            <v>217399800-10A</v>
          </cell>
        </row>
        <row r="3374">
          <cell r="F3374" t="str">
            <v>217399800-17A</v>
          </cell>
        </row>
        <row r="3375">
          <cell r="F3375" t="str">
            <v>217399800-18A</v>
          </cell>
        </row>
        <row r="3376">
          <cell r="F3376" t="str">
            <v>217399800-19A</v>
          </cell>
        </row>
        <row r="3377">
          <cell r="F3377" t="str">
            <v>217399800-20A</v>
          </cell>
        </row>
        <row r="3378">
          <cell r="F3378" t="str">
            <v>217399800-21A</v>
          </cell>
        </row>
        <row r="3379">
          <cell r="F3379" t="str">
            <v>217399800-22A</v>
          </cell>
        </row>
        <row r="3380">
          <cell r="F3380" t="str">
            <v>217399800-11A</v>
          </cell>
        </row>
        <row r="3381">
          <cell r="F3381" t="str">
            <v>217399800-12A</v>
          </cell>
        </row>
        <row r="3382">
          <cell r="F3382" t="str">
            <v>217399800-13A</v>
          </cell>
        </row>
        <row r="3383">
          <cell r="F3383" t="str">
            <v>217399800-01A</v>
          </cell>
        </row>
        <row r="3384">
          <cell r="F3384" t="str">
            <v>217399800-14A</v>
          </cell>
        </row>
        <row r="3385">
          <cell r="F3385" t="str">
            <v>217399800-15A</v>
          </cell>
        </row>
        <row r="3386">
          <cell r="F3386" t="str">
            <v>217399800-16A</v>
          </cell>
        </row>
        <row r="3387">
          <cell r="F3387" t="str">
            <v>217399800-23A</v>
          </cell>
        </row>
        <row r="3388">
          <cell r="F3388" t="str">
            <v>217399800-24A</v>
          </cell>
        </row>
        <row r="3389">
          <cell r="F3389" t="str">
            <v>217399800-02A</v>
          </cell>
        </row>
        <row r="3390">
          <cell r="F3390" t="str">
            <v>217399800-25A</v>
          </cell>
        </row>
        <row r="3391">
          <cell r="F3391" t="str">
            <v>217399800-26A</v>
          </cell>
        </row>
        <row r="3392">
          <cell r="F3392" t="str">
            <v>217399800-27A</v>
          </cell>
        </row>
        <row r="3393">
          <cell r="F3393" t="str">
            <v>217399800-28A</v>
          </cell>
        </row>
        <row r="3394">
          <cell r="F3394" t="str">
            <v>217399800-29A</v>
          </cell>
        </row>
        <row r="3395">
          <cell r="F3395" t="str">
            <v>217399800-30A</v>
          </cell>
        </row>
        <row r="3396">
          <cell r="F3396" t="str">
            <v>217399800-31A</v>
          </cell>
        </row>
        <row r="3397">
          <cell r="F3397" t="str">
            <v>217399800-32A</v>
          </cell>
        </row>
        <row r="3398">
          <cell r="F3398" t="str">
            <v>217399800-03A</v>
          </cell>
        </row>
        <row r="3399">
          <cell r="F3399" t="str">
            <v>217399800-04A</v>
          </cell>
        </row>
        <row r="3400">
          <cell r="F3400" t="str">
            <v>217399800-05A</v>
          </cell>
        </row>
        <row r="3401">
          <cell r="F3401" t="str">
            <v>217399800-06A</v>
          </cell>
        </row>
        <row r="3402">
          <cell r="F3402" t="str">
            <v>217399800-07A</v>
          </cell>
        </row>
        <row r="3403">
          <cell r="F3403" t="str">
            <v>217399800-08A</v>
          </cell>
        </row>
        <row r="3404">
          <cell r="F3404" t="str">
            <v>217399800-09A</v>
          </cell>
        </row>
        <row r="3405">
          <cell r="F3405" t="str">
            <v>217399833-10A</v>
          </cell>
        </row>
        <row r="3406">
          <cell r="F3406" t="str">
            <v>217399833-11A</v>
          </cell>
        </row>
        <row r="3407">
          <cell r="F3407" t="str">
            <v>217399833-12A</v>
          </cell>
        </row>
        <row r="3408">
          <cell r="F3408" t="str">
            <v>217399833-13A</v>
          </cell>
        </row>
        <row r="3409">
          <cell r="F3409" t="str">
            <v>217399833-14A</v>
          </cell>
        </row>
        <row r="3410">
          <cell r="F3410" t="str">
            <v>217399833-15A</v>
          </cell>
        </row>
        <row r="3411">
          <cell r="F3411" t="str">
            <v>217399833-16A</v>
          </cell>
        </row>
        <row r="3412">
          <cell r="F3412" t="str">
            <v>217399833-17A</v>
          </cell>
        </row>
        <row r="3413">
          <cell r="F3413" t="str">
            <v>217399833-18A</v>
          </cell>
        </row>
        <row r="3414">
          <cell r="F3414" t="str">
            <v>217399833-19A</v>
          </cell>
        </row>
        <row r="3415">
          <cell r="F3415" t="str">
            <v>217399833-01A</v>
          </cell>
        </row>
        <row r="3416">
          <cell r="F3416" t="str">
            <v>217399833-20A</v>
          </cell>
        </row>
        <row r="3417">
          <cell r="F3417" t="str">
            <v>217399833-21A</v>
          </cell>
        </row>
        <row r="3418">
          <cell r="F3418" t="str">
            <v>217399833-22A</v>
          </cell>
        </row>
        <row r="3419">
          <cell r="F3419" t="str">
            <v>217399833-23A</v>
          </cell>
        </row>
        <row r="3420">
          <cell r="F3420" t="str">
            <v>217399833-24A</v>
          </cell>
        </row>
        <row r="3421">
          <cell r="F3421" t="str">
            <v>217399833-02A</v>
          </cell>
        </row>
        <row r="3422">
          <cell r="F3422" t="str">
            <v>217399833-25A</v>
          </cell>
        </row>
        <row r="3423">
          <cell r="F3423" t="str">
            <v>217399833-26A</v>
          </cell>
        </row>
        <row r="3424">
          <cell r="F3424" t="str">
            <v>217399833-27A</v>
          </cell>
        </row>
        <row r="3425">
          <cell r="F3425" t="str">
            <v>217399833-28A</v>
          </cell>
        </row>
        <row r="3426">
          <cell r="F3426" t="str">
            <v>217399833-29A</v>
          </cell>
        </row>
        <row r="3427">
          <cell r="F3427" t="str">
            <v>217399833-30A</v>
          </cell>
        </row>
        <row r="3428">
          <cell r="F3428" t="str">
            <v>217399833-31A</v>
          </cell>
        </row>
        <row r="3429">
          <cell r="F3429" t="str">
            <v>217399833-32A</v>
          </cell>
        </row>
        <row r="3430">
          <cell r="F3430" t="str">
            <v>217399833-03A</v>
          </cell>
        </row>
        <row r="3431">
          <cell r="F3431" t="str">
            <v>217399833-04A</v>
          </cell>
        </row>
        <row r="3432">
          <cell r="F3432" t="str">
            <v>217399833-05A</v>
          </cell>
        </row>
        <row r="3433">
          <cell r="F3433" t="str">
            <v>217399833-06A</v>
          </cell>
        </row>
        <row r="3434">
          <cell r="F3434" t="str">
            <v>217399833-07A</v>
          </cell>
        </row>
        <row r="3435">
          <cell r="F3435" t="str">
            <v>217399833-08A</v>
          </cell>
        </row>
        <row r="3436">
          <cell r="F3436" t="str">
            <v>217399833-09A</v>
          </cell>
        </row>
        <row r="3437">
          <cell r="F3437" t="str">
            <v>217399769-10A</v>
          </cell>
        </row>
        <row r="3438">
          <cell r="F3438" t="str">
            <v>217399769-11A</v>
          </cell>
        </row>
        <row r="3439">
          <cell r="F3439" t="str">
            <v>217399769-12A</v>
          </cell>
        </row>
        <row r="3440">
          <cell r="F3440" t="str">
            <v>217399769-13A</v>
          </cell>
        </row>
        <row r="3441">
          <cell r="F3441" t="str">
            <v>217399769-14A</v>
          </cell>
        </row>
        <row r="3442">
          <cell r="F3442" t="str">
            <v>217399769-15A</v>
          </cell>
        </row>
        <row r="3443">
          <cell r="F3443" t="str">
            <v>217399769-16A</v>
          </cell>
        </row>
        <row r="3444">
          <cell r="F3444" t="str">
            <v>217399769-17A</v>
          </cell>
        </row>
        <row r="3445">
          <cell r="F3445" t="str">
            <v>217399769-18A</v>
          </cell>
        </row>
        <row r="3446">
          <cell r="F3446" t="str">
            <v>217399769-19A</v>
          </cell>
        </row>
        <row r="3447">
          <cell r="F3447" t="str">
            <v>217399769-01A</v>
          </cell>
        </row>
        <row r="3448">
          <cell r="F3448" t="str">
            <v>217399769-20A</v>
          </cell>
        </row>
        <row r="3449">
          <cell r="F3449" t="str">
            <v>217399769-21A</v>
          </cell>
        </row>
        <row r="3450">
          <cell r="F3450" t="str">
            <v>217399769-22A</v>
          </cell>
        </row>
        <row r="3451">
          <cell r="F3451" t="str">
            <v>217399769-23A</v>
          </cell>
        </row>
        <row r="3452">
          <cell r="F3452" t="str">
            <v>217399769-24A</v>
          </cell>
        </row>
        <row r="3453">
          <cell r="F3453" t="str">
            <v>217399769-02A</v>
          </cell>
        </row>
        <row r="3454">
          <cell r="F3454" t="str">
            <v>217399769-25A</v>
          </cell>
        </row>
        <row r="3455">
          <cell r="F3455" t="str">
            <v>217399769-26A</v>
          </cell>
        </row>
        <row r="3456">
          <cell r="F3456" t="str">
            <v>217399769-27A</v>
          </cell>
        </row>
        <row r="3457">
          <cell r="F3457" t="str">
            <v>217399769-28A</v>
          </cell>
        </row>
        <row r="3458">
          <cell r="F3458" t="str">
            <v>217399769-03A</v>
          </cell>
        </row>
        <row r="3459">
          <cell r="F3459" t="str">
            <v>217399769-04A</v>
          </cell>
        </row>
        <row r="3460">
          <cell r="F3460" t="str">
            <v>217399769-29A</v>
          </cell>
        </row>
        <row r="3461">
          <cell r="F3461" t="str">
            <v>217399769-30A</v>
          </cell>
        </row>
        <row r="3462">
          <cell r="F3462" t="str">
            <v>217399769-05A</v>
          </cell>
        </row>
        <row r="3463">
          <cell r="F3463" t="str">
            <v>217399769-06A</v>
          </cell>
        </row>
        <row r="3464">
          <cell r="F3464" t="str">
            <v>217399769-07A</v>
          </cell>
        </row>
        <row r="3465">
          <cell r="F3465" t="str">
            <v>217399769-08A</v>
          </cell>
        </row>
        <row r="3466">
          <cell r="F3466" t="str">
            <v>217399769-09A</v>
          </cell>
        </row>
        <row r="3467">
          <cell r="F3467" t="str">
            <v>J33GRX9</v>
          </cell>
        </row>
        <row r="3468">
          <cell r="F3468" t="str">
            <v>J33GRXD</v>
          </cell>
        </row>
        <row r="3469">
          <cell r="F3469" t="str">
            <v>J33GRXG</v>
          </cell>
        </row>
        <row r="3470">
          <cell r="F3470" t="str">
            <v>J33GRY5</v>
          </cell>
        </row>
        <row r="3471">
          <cell r="F3471" t="str">
            <v>J33GRXP</v>
          </cell>
        </row>
        <row r="3472">
          <cell r="F3472" t="str">
            <v>J33GRXB</v>
          </cell>
        </row>
        <row r="3473">
          <cell r="F3473" t="str">
            <v>J33GRXY</v>
          </cell>
        </row>
        <row r="3474">
          <cell r="F3474" t="str">
            <v>J33GRY4</v>
          </cell>
        </row>
        <row r="3475">
          <cell r="F3475" t="str">
            <v>J33GRX8</v>
          </cell>
        </row>
        <row r="3476">
          <cell r="F3476" t="str">
            <v>J33GRXX</v>
          </cell>
        </row>
        <row r="3477">
          <cell r="F3477" t="str">
            <v>J33GRXE</v>
          </cell>
        </row>
        <row r="3478">
          <cell r="F3478" t="str">
            <v>J33GRXZ</v>
          </cell>
        </row>
        <row r="3479">
          <cell r="F3479" t="str">
            <v>J33GRXA</v>
          </cell>
        </row>
        <row r="3480">
          <cell r="F3480" t="str">
            <v>210235A1G9H178000044</v>
          </cell>
        </row>
        <row r="3481">
          <cell r="F3481" t="str">
            <v>210235A1TXH179000287</v>
          </cell>
        </row>
        <row r="3482">
          <cell r="F3482" t="str">
            <v>210235A1TXH179000280</v>
          </cell>
        </row>
        <row r="3483">
          <cell r="F3483" t="str">
            <v>J33GRXT</v>
          </cell>
        </row>
        <row r="3484">
          <cell r="F3484" t="str">
            <v>J33GRXC</v>
          </cell>
        </row>
        <row r="3485">
          <cell r="F3485" t="str">
            <v>J33GRXM</v>
          </cell>
        </row>
        <row r="3486">
          <cell r="F3486" t="str">
            <v>J33GRXH</v>
          </cell>
        </row>
        <row r="3487">
          <cell r="F3487" t="str">
            <v>J33GRXL</v>
          </cell>
        </row>
        <row r="3488">
          <cell r="F3488" t="str">
            <v>J33GRY6</v>
          </cell>
        </row>
        <row r="3489">
          <cell r="F3489" t="str">
            <v>J33GRXN</v>
          </cell>
        </row>
        <row r="3490">
          <cell r="F3490" t="str">
            <v>J33GRX6</v>
          </cell>
        </row>
        <row r="3491">
          <cell r="F3491" t="str">
            <v>J33GRXW</v>
          </cell>
        </row>
        <row r="3492">
          <cell r="F3492" t="str">
            <v>J33GRXV</v>
          </cell>
        </row>
        <row r="3493">
          <cell r="F3493" t="str">
            <v>J33GRXR</v>
          </cell>
        </row>
        <row r="3494">
          <cell r="F3494" t="str">
            <v>J33GRX5</v>
          </cell>
        </row>
        <row r="3495">
          <cell r="F3495" t="str">
            <v>J33GRXK</v>
          </cell>
        </row>
        <row r="3496">
          <cell r="F3496" t="str">
            <v>J33GRY3</v>
          </cell>
        </row>
        <row r="3497">
          <cell r="F3497" t="str">
            <v>J33GRXF</v>
          </cell>
        </row>
        <row r="3498">
          <cell r="F3498" t="str">
            <v>J33GRY2</v>
          </cell>
        </row>
        <row r="3499">
          <cell r="F3499" t="str">
            <v>J33GRY0</v>
          </cell>
        </row>
        <row r="3500">
          <cell r="F3500" t="str">
            <v>J33GRX7</v>
          </cell>
        </row>
        <row r="3501">
          <cell r="F3501" t="str">
            <v>J33GRY1</v>
          </cell>
        </row>
        <row r="3502">
          <cell r="F3502" t="str">
            <v>FDO1833E1PV</v>
          </cell>
        </row>
        <row r="3503">
          <cell r="F3503" t="str">
            <v>FDO1837E288</v>
          </cell>
        </row>
        <row r="3504">
          <cell r="F3504" t="str">
            <v>FDO1832E2CB</v>
          </cell>
        </row>
        <row r="3505">
          <cell r="F3505" t="str">
            <v>FOC2036R2Y2</v>
          </cell>
        </row>
        <row r="3506">
          <cell r="F3506" t="str">
            <v>FOC2036R2DK</v>
          </cell>
        </row>
        <row r="3507">
          <cell r="F3507" t="str">
            <v>FOC1838R2SM</v>
          </cell>
        </row>
        <row r="3508">
          <cell r="F3508" t="str">
            <v>FOC1838R16X</v>
          </cell>
        </row>
        <row r="3509">
          <cell r="F3509" t="str">
            <v>J320C2F</v>
          </cell>
        </row>
        <row r="3510">
          <cell r="F3510" t="str">
            <v>J320C2B</v>
          </cell>
        </row>
        <row r="3511">
          <cell r="F3511" t="str">
            <v>J320C26</v>
          </cell>
        </row>
        <row r="3512">
          <cell r="F3512" t="str">
            <v>J320C2C</v>
          </cell>
        </row>
        <row r="3513">
          <cell r="F3513" t="str">
            <v>J320C2E</v>
          </cell>
        </row>
        <row r="3514">
          <cell r="F3514" t="str">
            <v>J320C28</v>
          </cell>
        </row>
        <row r="3515">
          <cell r="F3515" t="str">
            <v>210305613210GA001979</v>
          </cell>
        </row>
        <row r="3516">
          <cell r="F3516" t="str">
            <v>210305613210GA001929</v>
          </cell>
        </row>
        <row r="3517">
          <cell r="F3517" t="str">
            <v>210305613210GA001978</v>
          </cell>
        </row>
        <row r="3518">
          <cell r="F3518" t="str">
            <v>210305613210GA001927</v>
          </cell>
        </row>
        <row r="3519">
          <cell r="F3519" t="str">
            <v>210305613210GA001925</v>
          </cell>
        </row>
        <row r="3520">
          <cell r="F3520" t="str">
            <v>210305613210GA001926</v>
          </cell>
        </row>
        <row r="3521">
          <cell r="F3521" t="str">
            <v>210305613210GA001923</v>
          </cell>
        </row>
        <row r="3522">
          <cell r="F3522" t="str">
            <v>210305613210GA001924</v>
          </cell>
        </row>
        <row r="3523">
          <cell r="F3523" t="str">
            <v>210305613210GA001928</v>
          </cell>
        </row>
        <row r="3524">
          <cell r="F3524" t="str">
            <v>210305613210GA001980</v>
          </cell>
        </row>
        <row r="3525">
          <cell r="F3525" t="str">
            <v>210305613210GA001930</v>
          </cell>
        </row>
        <row r="3526">
          <cell r="F3526" t="str">
            <v>210305613210GA001981</v>
          </cell>
        </row>
        <row r="3527">
          <cell r="F3527" t="str">
            <v>J320C2A</v>
          </cell>
        </row>
        <row r="3528">
          <cell r="F3528" t="str">
            <v>2102300742N0EA000086</v>
          </cell>
        </row>
        <row r="3529">
          <cell r="F3529" t="str">
            <v>210305485510EA000451</v>
          </cell>
        </row>
        <row r="3530">
          <cell r="F3530" t="str">
            <v>210305485510EA000312</v>
          </cell>
        </row>
        <row r="3531">
          <cell r="F3531" t="str">
            <v>210305485510EA000390</v>
          </cell>
        </row>
        <row r="3532">
          <cell r="F3532" t="str">
            <v>210305485510EA000410</v>
          </cell>
        </row>
        <row r="3533">
          <cell r="F3533" t="str">
            <v>210305485510EA000322</v>
          </cell>
        </row>
        <row r="3534">
          <cell r="F3534" t="str">
            <v>210305485510EA000341</v>
          </cell>
        </row>
        <row r="3535">
          <cell r="F3535" t="str">
            <v>210305485510EA000610</v>
          </cell>
        </row>
        <row r="3536">
          <cell r="F3536" t="str">
            <v>210305485510EA000531</v>
          </cell>
        </row>
        <row r="3537">
          <cell r="F3537" t="str">
            <v>210305485510EA000570</v>
          </cell>
        </row>
        <row r="3538">
          <cell r="F3538" t="str">
            <v>210305485510EA000426</v>
          </cell>
        </row>
        <row r="3539">
          <cell r="F3539" t="str">
            <v>210305485510EA000440</v>
          </cell>
        </row>
        <row r="3540">
          <cell r="F3540" t="str">
            <v>210305485510EA000478</v>
          </cell>
        </row>
        <row r="3541">
          <cell r="F3541" t="str">
            <v>210305485510EA000470</v>
          </cell>
        </row>
        <row r="3542">
          <cell r="F3542" t="str">
            <v>210305485510EA000533</v>
          </cell>
        </row>
        <row r="3543">
          <cell r="F3543" t="str">
            <v>210305485510EA000300</v>
          </cell>
        </row>
        <row r="3544">
          <cell r="F3544" t="str">
            <v>210305485510EA000536</v>
          </cell>
        </row>
        <row r="3545">
          <cell r="F3545" t="str">
            <v>214637694</v>
          </cell>
        </row>
        <row r="3546">
          <cell r="F3546" t="str">
            <v>214637683</v>
          </cell>
        </row>
        <row r="3547">
          <cell r="F3547" t="str">
            <v>214637690</v>
          </cell>
        </row>
        <row r="3548">
          <cell r="F3548" t="str">
            <v>214637678</v>
          </cell>
        </row>
        <row r="3549">
          <cell r="F3549" t="str">
            <v>J320C27</v>
          </cell>
        </row>
        <row r="3550">
          <cell r="F3550" t="str">
            <v>214637697</v>
          </cell>
        </row>
        <row r="3551">
          <cell r="F3551" t="str">
            <v>2102300742N0EA000082</v>
          </cell>
        </row>
        <row r="3552">
          <cell r="F3552" t="str">
            <v>210305485510EA000446</v>
          </cell>
        </row>
        <row r="3553">
          <cell r="F3553" t="str">
            <v>210305485510EA000477</v>
          </cell>
        </row>
        <row r="3554">
          <cell r="F3554" t="str">
            <v>210305485510EA000445</v>
          </cell>
        </row>
        <row r="3555">
          <cell r="F3555" t="str">
            <v>210305485510EA000571</v>
          </cell>
        </row>
        <row r="3556">
          <cell r="F3556" t="str">
            <v>210305485510EA000462</v>
          </cell>
        </row>
        <row r="3557">
          <cell r="F3557" t="str">
            <v>210305485510EA000608</v>
          </cell>
        </row>
        <row r="3558">
          <cell r="F3558" t="str">
            <v>210305485510EA000305</v>
          </cell>
        </row>
        <row r="3559">
          <cell r="F3559" t="str">
            <v>210305485510EA000587</v>
          </cell>
        </row>
        <row r="3560">
          <cell r="F3560" t="str">
            <v>210305485510EA000438</v>
          </cell>
        </row>
        <row r="3561">
          <cell r="F3561" t="str">
            <v>210305485510EA000576</v>
          </cell>
        </row>
        <row r="3562">
          <cell r="F3562" t="str">
            <v>210305485510EA000391</v>
          </cell>
        </row>
        <row r="3563">
          <cell r="F3563" t="str">
            <v>210305485510EA000454</v>
          </cell>
        </row>
        <row r="3564">
          <cell r="F3564" t="str">
            <v>06CT277</v>
          </cell>
        </row>
        <row r="3565">
          <cell r="F3565" t="str">
            <v>06CT314</v>
          </cell>
        </row>
        <row r="3566">
          <cell r="F3566" t="str">
            <v>06CT292</v>
          </cell>
        </row>
        <row r="3567">
          <cell r="F3567" t="str">
            <v>06CT343</v>
          </cell>
        </row>
        <row r="3568">
          <cell r="F3568" t="str">
            <v>06CT281</v>
          </cell>
        </row>
        <row r="3569">
          <cell r="F3569" t="str">
            <v>06CT300</v>
          </cell>
        </row>
        <row r="3570">
          <cell r="F3570" t="str">
            <v>6CU4421WC6</v>
          </cell>
        </row>
        <row r="3571">
          <cell r="F3571" t="str">
            <v>6CU4421WCC</v>
          </cell>
        </row>
        <row r="3572">
          <cell r="F3572" t="str">
            <v>06CP869</v>
          </cell>
        </row>
        <row r="3573">
          <cell r="F3573" t="str">
            <v>06CP867</v>
          </cell>
        </row>
        <row r="3574">
          <cell r="F3574" t="str">
            <v>06CT282</v>
          </cell>
        </row>
        <row r="3575">
          <cell r="F3575" t="str">
            <v>06CT320</v>
          </cell>
        </row>
        <row r="3576">
          <cell r="F3576" t="str">
            <v>06CT310</v>
          </cell>
        </row>
        <row r="3577">
          <cell r="F3577" t="str">
            <v>06CP870</v>
          </cell>
        </row>
        <row r="3578">
          <cell r="F3578" t="str">
            <v>06CT334</v>
          </cell>
        </row>
        <row r="3579">
          <cell r="F3579" t="str">
            <v>06CT276</v>
          </cell>
        </row>
        <row r="3580">
          <cell r="F3580" t="str">
            <v>J320C2D</v>
          </cell>
        </row>
        <row r="3581">
          <cell r="F3581" t="str">
            <v>J320C29</v>
          </cell>
        </row>
        <row r="3582">
          <cell r="F3582" t="str">
            <v>210231AOQBH148000001</v>
          </cell>
        </row>
        <row r="3583">
          <cell r="F3583" t="str">
            <v>210235A3GLH195000042</v>
          </cell>
        </row>
        <row r="3584">
          <cell r="F3584" t="str">
            <v>210235A3GLH195000030</v>
          </cell>
        </row>
        <row r="3585">
          <cell r="F3585" t="str">
            <v>210231AOQBH148000028</v>
          </cell>
        </row>
        <row r="3586">
          <cell r="F3586" t="str">
            <v>06ACPF2</v>
          </cell>
        </row>
        <row r="3587">
          <cell r="F3587" t="str">
            <v>06ACPR1</v>
          </cell>
        </row>
        <row r="3588">
          <cell r="F3588" t="str">
            <v>06ACPB7</v>
          </cell>
        </row>
        <row r="3589">
          <cell r="F3589" t="str">
            <v>06ACPA5</v>
          </cell>
        </row>
        <row r="3590">
          <cell r="F3590" t="str">
            <v>06ACPN1</v>
          </cell>
        </row>
        <row r="3591">
          <cell r="F3591" t="str">
            <v>06ACNW0</v>
          </cell>
        </row>
        <row r="3592">
          <cell r="F3592" t="str">
            <v>06ACPZ3</v>
          </cell>
        </row>
        <row r="3593">
          <cell r="F3593" t="str">
            <v>06ACPZ1</v>
          </cell>
        </row>
        <row r="3594">
          <cell r="F3594" t="str">
            <v>06ACPZ0</v>
          </cell>
        </row>
        <row r="3595">
          <cell r="F3595" t="str">
            <v>06ACPR9</v>
          </cell>
        </row>
        <row r="3596">
          <cell r="F3596" t="str">
            <v>06ACPW2</v>
          </cell>
        </row>
        <row r="3597">
          <cell r="F3597" t="str">
            <v>06ACNT9</v>
          </cell>
        </row>
        <row r="3598">
          <cell r="F3598" t="str">
            <v>06ACPA0</v>
          </cell>
        </row>
        <row r="3599">
          <cell r="F3599" t="str">
            <v>06ACP83</v>
          </cell>
        </row>
        <row r="3600">
          <cell r="F3600" t="str">
            <v>06ACPB2</v>
          </cell>
        </row>
        <row r="3601">
          <cell r="F3601" t="str">
            <v>06ACNX0</v>
          </cell>
        </row>
        <row r="3602">
          <cell r="F3602" t="str">
            <v>06ACNM5</v>
          </cell>
        </row>
        <row r="3603">
          <cell r="F3603" t="str">
            <v>06ACPD2</v>
          </cell>
        </row>
        <row r="3604">
          <cell r="F3604" t="str">
            <v>06ACNY7</v>
          </cell>
        </row>
        <row r="3605">
          <cell r="F3605" t="str">
            <v>06ACPW6</v>
          </cell>
        </row>
        <row r="3606">
          <cell r="F3606" t="str">
            <v>06ACPV4</v>
          </cell>
        </row>
        <row r="3607">
          <cell r="F3607" t="str">
            <v>06ACPC7</v>
          </cell>
        </row>
        <row r="3608">
          <cell r="F3608" t="str">
            <v>06ACPB8</v>
          </cell>
        </row>
        <row r="3609">
          <cell r="F3609" t="str">
            <v>06ACPR2</v>
          </cell>
        </row>
        <row r="3610">
          <cell r="F3610" t="str">
            <v>06ACNN2</v>
          </cell>
        </row>
        <row r="3611">
          <cell r="F3611" t="str">
            <v>06ACPW9</v>
          </cell>
        </row>
        <row r="3612">
          <cell r="F3612" t="str">
            <v>06AAFCX</v>
          </cell>
        </row>
        <row r="3613">
          <cell r="F3613" t="str">
            <v>06AAFCG</v>
          </cell>
        </row>
        <row r="3614">
          <cell r="F3614" t="str">
            <v>CNG230S9S6</v>
          </cell>
        </row>
        <row r="3615">
          <cell r="F3615" t="str">
            <v>CNG230S9SG</v>
          </cell>
        </row>
        <row r="3616">
          <cell r="F3616" t="str">
            <v>06ZPHT6</v>
          </cell>
        </row>
        <row r="3617">
          <cell r="F3617" t="str">
            <v>06AAFCN</v>
          </cell>
        </row>
        <row r="3618">
          <cell r="F3618" t="str">
            <v>06AAFCW</v>
          </cell>
        </row>
        <row r="3619">
          <cell r="F3619" t="str">
            <v>06AAFCH</v>
          </cell>
        </row>
        <row r="3620">
          <cell r="F3620" t="str">
            <v>06AAFCF</v>
          </cell>
        </row>
        <row r="3621">
          <cell r="F3621" t="str">
            <v>06AAFCM</v>
          </cell>
        </row>
        <row r="3622">
          <cell r="F3622" t="str">
            <v>06AAFCK</v>
          </cell>
        </row>
        <row r="3623">
          <cell r="F3623" t="str">
            <v>06AAFCY</v>
          </cell>
        </row>
        <row r="3624">
          <cell r="F3624" t="str">
            <v>06AAFCZ</v>
          </cell>
        </row>
        <row r="3625">
          <cell r="F3625" t="str">
            <v>210235AOHAH14A000027</v>
          </cell>
        </row>
        <row r="3626">
          <cell r="F3626" t="str">
            <v>210235AOHAH14A000330</v>
          </cell>
        </row>
        <row r="3627">
          <cell r="F3627" t="str">
            <v>2102350DLVDMK8001542</v>
          </cell>
        </row>
        <row r="3628">
          <cell r="F3628" t="str">
            <v>2102350DLVDMK8001515</v>
          </cell>
        </row>
        <row r="3629">
          <cell r="F3629" t="str">
            <v>JAE23070N5F</v>
          </cell>
        </row>
        <row r="3630">
          <cell r="F3630" t="str">
            <v>214635986</v>
          </cell>
        </row>
        <row r="3631">
          <cell r="F3631" t="str">
            <v>214635986-01A</v>
          </cell>
        </row>
        <row r="3632">
          <cell r="F3632" t="str">
            <v>214635986-02A</v>
          </cell>
        </row>
        <row r="3633">
          <cell r="F3633" t="str">
            <v>214635986-03A</v>
          </cell>
        </row>
        <row r="3634">
          <cell r="F3634" t="str">
            <v>214635986-04A</v>
          </cell>
        </row>
        <row r="3635">
          <cell r="F3635" t="str">
            <v>214635986-05A</v>
          </cell>
        </row>
        <row r="3636">
          <cell r="F3636" t="str">
            <v>214635986-06A</v>
          </cell>
        </row>
        <row r="3637">
          <cell r="F3637" t="str">
            <v>214635986-07A</v>
          </cell>
        </row>
        <row r="3638">
          <cell r="F3638" t="str">
            <v>214635986-08A</v>
          </cell>
        </row>
        <row r="3639">
          <cell r="F3639" t="str">
            <v>214635986-09A</v>
          </cell>
        </row>
        <row r="3640">
          <cell r="F3640" t="str">
            <v>214635986-10A</v>
          </cell>
        </row>
        <row r="3641">
          <cell r="F3641" t="str">
            <v>214635986-11A</v>
          </cell>
        </row>
        <row r="3642">
          <cell r="F3642" t="str">
            <v>214635986-12A</v>
          </cell>
        </row>
        <row r="3643">
          <cell r="F3643" t="str">
            <v>214635986-13A</v>
          </cell>
        </row>
        <row r="3644">
          <cell r="F3644" t="str">
            <v>214635986-14A</v>
          </cell>
        </row>
        <row r="3645">
          <cell r="F3645" t="str">
            <v>214635986-15A</v>
          </cell>
        </row>
        <row r="3646">
          <cell r="F3646" t="str">
            <v>214635986-16A</v>
          </cell>
        </row>
        <row r="3647">
          <cell r="F3647" t="str">
            <v>214635986-17A</v>
          </cell>
        </row>
        <row r="3648">
          <cell r="F3648" t="str">
            <v>214635986-18A</v>
          </cell>
        </row>
        <row r="3649">
          <cell r="F3649" t="str">
            <v>214635986-19A</v>
          </cell>
        </row>
        <row r="3650">
          <cell r="F3650" t="str">
            <v>214635986-20A</v>
          </cell>
        </row>
        <row r="3651">
          <cell r="F3651" t="str">
            <v>214635986-26A</v>
          </cell>
        </row>
        <row r="3652">
          <cell r="F3652" t="str">
            <v>214635986-27A</v>
          </cell>
        </row>
        <row r="3653">
          <cell r="F3653" t="str">
            <v>214635986-28A</v>
          </cell>
        </row>
        <row r="3654">
          <cell r="F3654" t="str">
            <v>214635986-29A</v>
          </cell>
        </row>
        <row r="3655">
          <cell r="F3655" t="str">
            <v>214635986-30A</v>
          </cell>
        </row>
        <row r="3656">
          <cell r="F3656" t="str">
            <v>214635986-31A</v>
          </cell>
        </row>
        <row r="3657">
          <cell r="F3657" t="str">
            <v>214635986-32A</v>
          </cell>
        </row>
        <row r="3658">
          <cell r="F3658" t="str">
            <v>214635986-33A</v>
          </cell>
        </row>
        <row r="3659">
          <cell r="F3659" t="str">
            <v>214635986-34A</v>
          </cell>
        </row>
        <row r="3660">
          <cell r="F3660" t="str">
            <v>214635986-35A</v>
          </cell>
        </row>
        <row r="3661">
          <cell r="F3661" t="str">
            <v>214635986-36A</v>
          </cell>
        </row>
        <row r="3662">
          <cell r="F3662" t="str">
            <v>214635986-37A</v>
          </cell>
        </row>
        <row r="3663">
          <cell r="F3663" t="str">
            <v>1TB1132</v>
          </cell>
        </row>
        <row r="3664">
          <cell r="F3664" t="str">
            <v>66MZ032</v>
          </cell>
        </row>
        <row r="3665">
          <cell r="F3665" t="str">
            <v>JDLZ032</v>
          </cell>
        </row>
        <row r="3666">
          <cell r="F3666" t="str">
            <v>BDLZ032</v>
          </cell>
        </row>
        <row r="3667">
          <cell r="F3667" t="str">
            <v>3MD6132</v>
          </cell>
        </row>
        <row r="3668">
          <cell r="F3668" t="str">
            <v>FLD6132</v>
          </cell>
        </row>
        <row r="3669">
          <cell r="F3669" t="str">
            <v>96MZ032</v>
          </cell>
        </row>
        <row r="3670">
          <cell r="F3670" t="str">
            <v>JFLZ032</v>
          </cell>
        </row>
        <row r="3671">
          <cell r="F3671" t="str">
            <v>5J00132</v>
          </cell>
        </row>
        <row r="3672">
          <cell r="F3672" t="str">
            <v>9H00132</v>
          </cell>
        </row>
        <row r="3673">
          <cell r="F3673" t="str">
            <v>6WLZ032</v>
          </cell>
        </row>
        <row r="3674">
          <cell r="F3674" t="str">
            <v>6210132</v>
          </cell>
        </row>
        <row r="3675">
          <cell r="F3675" t="str">
            <v>B310132</v>
          </cell>
        </row>
        <row r="3676">
          <cell r="F3676" t="str">
            <v>HCLZ032</v>
          </cell>
        </row>
        <row r="3677">
          <cell r="F3677" t="str">
            <v>BVZZ032</v>
          </cell>
        </row>
        <row r="3678">
          <cell r="F3678" t="str">
            <v>36MZ032</v>
          </cell>
        </row>
        <row r="3679">
          <cell r="F3679" t="str">
            <v>1J00132</v>
          </cell>
        </row>
        <row r="3680">
          <cell r="F3680" t="str">
            <v>214637692</v>
          </cell>
        </row>
        <row r="3681">
          <cell r="F3681" t="str">
            <v>214637691</v>
          </cell>
        </row>
        <row r="3682">
          <cell r="F3682" t="str">
            <v>9TB1132</v>
          </cell>
        </row>
        <row r="3683">
          <cell r="F3683" t="str">
            <v>D5MZ032</v>
          </cell>
        </row>
        <row r="3684">
          <cell r="F3684" t="str">
            <v>H5MZ032</v>
          </cell>
        </row>
        <row r="3685">
          <cell r="F3685" t="str">
            <v>95MZ032</v>
          </cell>
        </row>
        <row r="3686">
          <cell r="F3686" t="str">
            <v>46MZ032</v>
          </cell>
        </row>
        <row r="3687">
          <cell r="F3687" t="str">
            <v>9FLZ032</v>
          </cell>
        </row>
        <row r="3688">
          <cell r="F3688" t="str">
            <v>JG00132</v>
          </cell>
        </row>
        <row r="3689">
          <cell r="F3689" t="str">
            <v>6410132</v>
          </cell>
        </row>
        <row r="3690">
          <cell r="F3690" t="str">
            <v>1XLZ032</v>
          </cell>
        </row>
        <row r="3691">
          <cell r="F3691" t="str">
            <v>1WZZ032</v>
          </cell>
        </row>
        <row r="3692">
          <cell r="F3692" t="str">
            <v>C600132</v>
          </cell>
        </row>
        <row r="3693">
          <cell r="F3693" t="str">
            <v>6JD6132</v>
          </cell>
        </row>
        <row r="3694">
          <cell r="F3694" t="str">
            <v>CTZZ032</v>
          </cell>
        </row>
        <row r="3695">
          <cell r="F3695" t="str">
            <v>2VZZ032</v>
          </cell>
        </row>
        <row r="3696">
          <cell r="F3696" t="str">
            <v>CJ00132</v>
          </cell>
        </row>
        <row r="3697">
          <cell r="F3697" t="str">
            <v>214637693</v>
          </cell>
        </row>
        <row r="3698">
          <cell r="F3698" t="str">
            <v>214637680</v>
          </cell>
        </row>
        <row r="3699">
          <cell r="F3699" t="str">
            <v>214635817-05A</v>
          </cell>
        </row>
        <row r="3700">
          <cell r="F3700" t="str">
            <v>FDO1841H09M</v>
          </cell>
        </row>
        <row r="3701">
          <cell r="F3701" t="str">
            <v>FDO1841P0BM</v>
          </cell>
        </row>
        <row r="3702">
          <cell r="F3702" t="str">
            <v>210235a1dwh151000008</v>
          </cell>
        </row>
        <row r="3703">
          <cell r="F3703" t="str">
            <v>06CP596</v>
          </cell>
        </row>
        <row r="3704">
          <cell r="F3704" t="str">
            <v>06CP600</v>
          </cell>
        </row>
        <row r="3705">
          <cell r="F3705" t="str">
            <v>06CP590</v>
          </cell>
        </row>
        <row r="3706">
          <cell r="F3706" t="str">
            <v>06CP579</v>
          </cell>
        </row>
        <row r="3707">
          <cell r="F3707" t="str">
            <v>2700232</v>
          </cell>
        </row>
        <row r="3708">
          <cell r="F3708" t="str">
            <v>CNG227TLSX</v>
          </cell>
        </row>
        <row r="3709">
          <cell r="F3709" t="str">
            <v>6CU4421WCS</v>
          </cell>
        </row>
        <row r="3710">
          <cell r="F3710" t="str">
            <v>06L1639</v>
          </cell>
        </row>
        <row r="3711">
          <cell r="F3711" t="str">
            <v>214637696</v>
          </cell>
        </row>
        <row r="3712">
          <cell r="F3712" t="str">
            <v>214637695</v>
          </cell>
        </row>
        <row r="3713">
          <cell r="F3713" t="str">
            <v>J301D83Z</v>
          </cell>
        </row>
        <row r="3714">
          <cell r="F3714" t="str">
            <v>J301D83Y</v>
          </cell>
        </row>
        <row r="3715">
          <cell r="F3715" t="str">
            <v>06H8420</v>
          </cell>
        </row>
        <row r="3716">
          <cell r="F3716" t="str">
            <v>210235A0HAH14A000305</v>
          </cell>
        </row>
        <row r="3717">
          <cell r="F3717" t="str">
            <v>6CU44945F1</v>
          </cell>
        </row>
        <row r="3718">
          <cell r="F3718" t="str">
            <v>210235A1DWH149000109</v>
          </cell>
        </row>
        <row r="3719">
          <cell r="F3719" t="str">
            <v>GW3JZZ1</v>
          </cell>
        </row>
        <row r="3720">
          <cell r="F3720" t="str">
            <v>2Y3JZZ1</v>
          </cell>
        </row>
        <row r="3721">
          <cell r="F3721" t="str">
            <v>2X3JZZ1</v>
          </cell>
        </row>
        <row r="3722">
          <cell r="F3722" t="str">
            <v>HX3JZZ1</v>
          </cell>
        </row>
        <row r="3723">
          <cell r="F3723" t="str">
            <v>FX3JZZ1</v>
          </cell>
        </row>
        <row r="3724">
          <cell r="F3724" t="str">
            <v>DX3JZZ1</v>
          </cell>
        </row>
        <row r="3725">
          <cell r="F3725" t="str">
            <v>FY3JZZ1</v>
          </cell>
        </row>
        <row r="3726">
          <cell r="F3726" t="str">
            <v>4X3JZZ1</v>
          </cell>
        </row>
        <row r="3727">
          <cell r="F3727" t="str">
            <v>HY3JZZ1</v>
          </cell>
        </row>
        <row r="3728">
          <cell r="F3728" t="str">
            <v>JY3JZZ1</v>
          </cell>
        </row>
        <row r="3729">
          <cell r="F3729" t="str">
            <v>5Y3JZZ1</v>
          </cell>
        </row>
        <row r="3730">
          <cell r="F3730" t="str">
            <v>5X3JZZ1</v>
          </cell>
        </row>
        <row r="3731">
          <cell r="F3731" t="str">
            <v>6X3JZZ1</v>
          </cell>
        </row>
        <row r="3732">
          <cell r="F3732" t="str">
            <v>3X3JZZ1</v>
          </cell>
        </row>
        <row r="3733">
          <cell r="F3733" t="str">
            <v>210235A0HAH139000149</v>
          </cell>
        </row>
        <row r="3734">
          <cell r="F3734" t="str">
            <v>210235A0HAH139000100</v>
          </cell>
        </row>
        <row r="3735">
          <cell r="F3735" t="str">
            <v>H0WHZZ1</v>
          </cell>
        </row>
        <row r="3736">
          <cell r="F3736" t="str">
            <v>36WHZZ1</v>
          </cell>
        </row>
        <row r="3737">
          <cell r="F3737" t="str">
            <v>C9WHZZ1</v>
          </cell>
        </row>
        <row r="3738">
          <cell r="F3738" t="str">
            <v>H7WHZZ1</v>
          </cell>
        </row>
        <row r="3739">
          <cell r="F3739" t="str">
            <v>CBWHZZ1</v>
          </cell>
        </row>
        <row r="3740">
          <cell r="F3740" t="str">
            <v>C8WHZZ1</v>
          </cell>
        </row>
        <row r="3741">
          <cell r="F3741" t="str">
            <v>49WHZZ1</v>
          </cell>
        </row>
        <row r="3742">
          <cell r="F3742" t="str">
            <v>1CWHZZ1</v>
          </cell>
        </row>
        <row r="3743">
          <cell r="F3743" t="str">
            <v>FCWHZZ1</v>
          </cell>
        </row>
        <row r="3744">
          <cell r="F3744" t="str">
            <v>H9WHZZ1</v>
          </cell>
        </row>
        <row r="3745">
          <cell r="F3745" t="str">
            <v>D5WHZZ1</v>
          </cell>
        </row>
        <row r="3746">
          <cell r="F3746" t="str">
            <v>B6WHZZ1</v>
          </cell>
        </row>
        <row r="3747">
          <cell r="F3747" t="str">
            <v>87WHZZ1</v>
          </cell>
        </row>
        <row r="3748">
          <cell r="F3748" t="str">
            <v>48WHZZ1</v>
          </cell>
        </row>
        <row r="3749">
          <cell r="F3749" t="str">
            <v>8CWHZZ1</v>
          </cell>
        </row>
        <row r="3750">
          <cell r="F3750" t="str">
            <v>6BWHZZ1</v>
          </cell>
        </row>
        <row r="3751">
          <cell r="F3751" t="str">
            <v>2DWHZZ1</v>
          </cell>
        </row>
        <row r="3752">
          <cell r="F3752" t="str">
            <v>1000132</v>
          </cell>
        </row>
        <row r="3753">
          <cell r="F3753" t="str">
            <v>1VZZ032</v>
          </cell>
        </row>
        <row r="3754">
          <cell r="F3754" t="str">
            <v>1ZZZ032</v>
          </cell>
        </row>
        <row r="3755">
          <cell r="F3755" t="str">
            <v>4700132</v>
          </cell>
        </row>
        <row r="3756">
          <cell r="F3756" t="str">
            <v>4800132</v>
          </cell>
        </row>
        <row r="3757">
          <cell r="F3757" t="str">
            <v>4HLZ032</v>
          </cell>
        </row>
        <row r="3758">
          <cell r="F3758" t="str">
            <v>5610132</v>
          </cell>
        </row>
        <row r="3759">
          <cell r="F3759" t="str">
            <v>6TZZ032</v>
          </cell>
        </row>
        <row r="3760">
          <cell r="F3760" t="str">
            <v>7XLZ032</v>
          </cell>
        </row>
        <row r="3761">
          <cell r="F3761" t="str">
            <v>86MZ032</v>
          </cell>
        </row>
        <row r="3762">
          <cell r="F3762" t="str">
            <v>CSB1132</v>
          </cell>
        </row>
        <row r="3763">
          <cell r="F3763" t="str">
            <v>D700132</v>
          </cell>
        </row>
        <row r="3764">
          <cell r="F3764" t="str">
            <v>DJD6132</v>
          </cell>
        </row>
        <row r="3765">
          <cell r="F3765" t="str">
            <v>DVZZ032</v>
          </cell>
        </row>
        <row r="3766">
          <cell r="F3766" t="str">
            <v>FTZZ032</v>
          </cell>
        </row>
        <row r="3767">
          <cell r="F3767" t="str">
            <v>G000132</v>
          </cell>
        </row>
        <row r="3768">
          <cell r="F3768" t="str">
            <v>JHLZ032</v>
          </cell>
        </row>
        <row r="3769">
          <cell r="F3769" t="str">
            <v>FCH16287KP5</v>
          </cell>
        </row>
        <row r="3770">
          <cell r="F3770" t="str">
            <v>FCH16297D6Y</v>
          </cell>
        </row>
        <row r="3771">
          <cell r="F3771" t="str">
            <v>FCH162772TP</v>
          </cell>
        </row>
        <row r="3772">
          <cell r="F3772" t="str">
            <v>FCH16287KCL</v>
          </cell>
        </row>
        <row r="3773">
          <cell r="F3773" t="str">
            <v>FCH16277YM3</v>
          </cell>
        </row>
        <row r="3774">
          <cell r="F3774" t="str">
            <v>FCH16287KN0</v>
          </cell>
        </row>
        <row r="3775">
          <cell r="F3775" t="str">
            <v>FCH16287JV5</v>
          </cell>
        </row>
        <row r="3776">
          <cell r="F3776" t="str">
            <v>FCH16287KOE</v>
          </cell>
        </row>
        <row r="3777">
          <cell r="F3777" t="str">
            <v>4YB1132</v>
          </cell>
        </row>
        <row r="3778">
          <cell r="F3778" t="str">
            <v>7000132</v>
          </cell>
        </row>
        <row r="3779">
          <cell r="F3779" t="str">
            <v>G510132</v>
          </cell>
        </row>
        <row r="3780">
          <cell r="F3780" t="str">
            <v>8HD6132</v>
          </cell>
        </row>
        <row r="3781">
          <cell r="F3781" t="str">
            <v>HJLZ032</v>
          </cell>
        </row>
        <row r="3782">
          <cell r="F3782" t="str">
            <v>7TZZ032</v>
          </cell>
        </row>
        <row r="3783">
          <cell r="F3783" t="str">
            <v>D710132</v>
          </cell>
        </row>
        <row r="3784">
          <cell r="F3784" t="str">
            <v>5810132</v>
          </cell>
        </row>
        <row r="3785">
          <cell r="F3785" t="str">
            <v>76MZ032</v>
          </cell>
        </row>
        <row r="3786">
          <cell r="F3786" t="str">
            <v>G5MZ032</v>
          </cell>
        </row>
        <row r="3787">
          <cell r="F3787" t="str">
            <v>B6MZ032</v>
          </cell>
        </row>
        <row r="3788">
          <cell r="F3788" t="str">
            <v>D6MZ032</v>
          </cell>
        </row>
        <row r="3789">
          <cell r="F3789" t="str">
            <v>1TZZ032</v>
          </cell>
        </row>
        <row r="3790">
          <cell r="F3790" t="str">
            <v>DZ3JZZ1</v>
          </cell>
        </row>
        <row r="3791">
          <cell r="F3791" t="str">
            <v>204JZZ1</v>
          </cell>
        </row>
        <row r="3792">
          <cell r="F3792" t="str">
            <v>GZ3JZZ1</v>
          </cell>
        </row>
        <row r="3793">
          <cell r="F3793" t="str">
            <v>210235A0HAH139000118</v>
          </cell>
        </row>
        <row r="3794">
          <cell r="F3794" t="str">
            <v>210235A0HAH139000176</v>
          </cell>
        </row>
        <row r="3795">
          <cell r="F3795" t="str">
            <v>210235A0HAH139000182</v>
          </cell>
        </row>
        <row r="3796">
          <cell r="F3796" t="str">
            <v>210235A0HAH139000133</v>
          </cell>
        </row>
        <row r="3797">
          <cell r="F3797" t="str">
            <v>210235A0HAH139000120</v>
          </cell>
        </row>
        <row r="3798">
          <cell r="F3798" t="str">
            <v>210235A0HAH139000253</v>
          </cell>
        </row>
        <row r="3799">
          <cell r="F3799" t="str">
            <v>210235A0HAH139000134</v>
          </cell>
        </row>
        <row r="3800">
          <cell r="F3800" t="str">
            <v>210235A0HAH139000157</v>
          </cell>
        </row>
        <row r="3801">
          <cell r="F3801" t="str">
            <v>J5MZ032</v>
          </cell>
        </row>
        <row r="3802">
          <cell r="F3802" t="str">
            <v>G810132</v>
          </cell>
        </row>
        <row r="3803">
          <cell r="F3803" t="str">
            <v>H210132</v>
          </cell>
        </row>
        <row r="3804">
          <cell r="F3804" t="str">
            <v>6CU4421WBP</v>
          </cell>
        </row>
        <row r="3805">
          <cell r="F3805" t="str">
            <v>210235A0HAH139000223</v>
          </cell>
        </row>
        <row r="3806">
          <cell r="F3806" t="str">
            <v>J33GL84</v>
          </cell>
        </row>
        <row r="3807">
          <cell r="F3807" t="str">
            <v>J33GL86</v>
          </cell>
        </row>
        <row r="3808">
          <cell r="F3808" t="str">
            <v>J33GL85</v>
          </cell>
        </row>
        <row r="3809">
          <cell r="F3809" t="str">
            <v>2102350DLVDMK8001540</v>
          </cell>
        </row>
        <row r="3810">
          <cell r="F3810" t="str">
            <v>210235AOHAH14A000233</v>
          </cell>
        </row>
        <row r="3811">
          <cell r="F3811" t="str">
            <v>210235AOHAH14A000201</v>
          </cell>
        </row>
        <row r="3812">
          <cell r="F3812" t="str">
            <v>210235A0HAH139000187</v>
          </cell>
        </row>
        <row r="3813">
          <cell r="F3813" t="str">
            <v>210235AOHAH14A000201</v>
          </cell>
        </row>
        <row r="3814">
          <cell r="F3814" t="str">
            <v>210235A1DWH149000081</v>
          </cell>
        </row>
        <row r="3815">
          <cell r="F3815" t="str">
            <v>210235A1DWH149000092</v>
          </cell>
        </row>
        <row r="3816">
          <cell r="F3816" t="str">
            <v>210235A1DWH149000100</v>
          </cell>
        </row>
        <row r="3817">
          <cell r="F3817" t="str">
            <v>210235A1DWH149000089</v>
          </cell>
        </row>
        <row r="3818">
          <cell r="F3818" t="str">
            <v>06CT308</v>
          </cell>
        </row>
        <row r="3819">
          <cell r="F3819" t="str">
            <v>06CP864</v>
          </cell>
        </row>
        <row r="3820">
          <cell r="F3820" t="str">
            <v>06CT339</v>
          </cell>
        </row>
        <row r="3821">
          <cell r="F3821" t="str">
            <v>06CP866</v>
          </cell>
        </row>
        <row r="3822">
          <cell r="F3822" t="str">
            <v>06CP859</v>
          </cell>
        </row>
        <row r="3823">
          <cell r="F3823" t="str">
            <v>06CT295</v>
          </cell>
        </row>
        <row r="3824">
          <cell r="F3824" t="str">
            <v>06CP868</v>
          </cell>
        </row>
        <row r="3825">
          <cell r="F3825" t="str">
            <v>06CT327</v>
          </cell>
        </row>
        <row r="3826">
          <cell r="F3826" t="str">
            <v>06CT331</v>
          </cell>
        </row>
        <row r="3827">
          <cell r="F3827" t="str">
            <v>06CP865</v>
          </cell>
        </row>
        <row r="3828">
          <cell r="F3828" t="str">
            <v>06CT346</v>
          </cell>
        </row>
        <row r="3829">
          <cell r="F3829" t="str">
            <v>06CT316</v>
          </cell>
        </row>
        <row r="3830">
          <cell r="F3830" t="str">
            <v>06CT328</v>
          </cell>
        </row>
        <row r="3831">
          <cell r="F3831" t="str">
            <v>06CT329</v>
          </cell>
        </row>
        <row r="3832">
          <cell r="F3832" t="str">
            <v>06CT313</v>
          </cell>
        </row>
        <row r="3833">
          <cell r="F3833" t="str">
            <v>06CP872</v>
          </cell>
        </row>
        <row r="3834">
          <cell r="F3834" t="str">
            <v>06CT432</v>
          </cell>
        </row>
        <row r="3835">
          <cell r="F3835" t="str">
            <v>06CT288</v>
          </cell>
        </row>
        <row r="3836">
          <cell r="F3836" t="str">
            <v>06CT284</v>
          </cell>
        </row>
        <row r="3837">
          <cell r="F3837" t="str">
            <v>06CT324</v>
          </cell>
        </row>
        <row r="3838">
          <cell r="F3838" t="str">
            <v>06Z7420</v>
          </cell>
        </row>
        <row r="3839">
          <cell r="F3839" t="str">
            <v>06Z7425</v>
          </cell>
        </row>
        <row r="3840">
          <cell r="F3840" t="str">
            <v>06Z7417</v>
          </cell>
        </row>
        <row r="3841">
          <cell r="F3841" t="str">
            <v>06Z7419</v>
          </cell>
        </row>
        <row r="3842">
          <cell r="F3842" t="str">
            <v>06Z7418</v>
          </cell>
        </row>
        <row r="3843">
          <cell r="F3843" t="str">
            <v>06Z7422</v>
          </cell>
        </row>
        <row r="3844">
          <cell r="F3844" t="str">
            <v>06Z7413</v>
          </cell>
        </row>
        <row r="3845">
          <cell r="F3845" t="str">
            <v>06Z7421</v>
          </cell>
        </row>
        <row r="3846">
          <cell r="F3846" t="str">
            <v>06Z7415</v>
          </cell>
        </row>
        <row r="3847">
          <cell r="F3847" t="str">
            <v>J33GL83</v>
          </cell>
        </row>
        <row r="3848">
          <cell r="F3848" t="str">
            <v>J33GL89</v>
          </cell>
        </row>
        <row r="3849">
          <cell r="F3849" t="str">
            <v>J33GL87</v>
          </cell>
        </row>
        <row r="3850">
          <cell r="F3850" t="str">
            <v>06Z7424</v>
          </cell>
        </row>
        <row r="3851">
          <cell r="F3851" t="str">
            <v>06Z7416</v>
          </cell>
        </row>
        <row r="3852">
          <cell r="F3852" t="str">
            <v>06Z7423</v>
          </cell>
        </row>
        <row r="3853">
          <cell r="F3853" t="str">
            <v>06Z7412</v>
          </cell>
        </row>
        <row r="3854">
          <cell r="F3854" t="str">
            <v>06Z7414</v>
          </cell>
        </row>
        <row r="3855">
          <cell r="F3855" t="str">
            <v>J33GL8A</v>
          </cell>
        </row>
        <row r="3856">
          <cell r="F3856" t="str">
            <v>J33GL88</v>
          </cell>
        </row>
        <row r="3857">
          <cell r="F3857" t="str">
            <v>6CU44945ET</v>
          </cell>
        </row>
        <row r="3858">
          <cell r="F3858" t="str">
            <v>6CU4421WAT</v>
          </cell>
        </row>
        <row r="3859">
          <cell r="F3859" t="str">
            <v>6CU4421WBT</v>
          </cell>
        </row>
        <row r="3860">
          <cell r="F3860" t="str">
            <v>210235A0HAH139000098</v>
          </cell>
        </row>
        <row r="3861">
          <cell r="F3861" t="str">
            <v>210235A0HAH139000095</v>
          </cell>
        </row>
        <row r="3862">
          <cell r="F3862" t="str">
            <v>6CU44945F3</v>
          </cell>
        </row>
        <row r="3863">
          <cell r="F3863" t="str">
            <v>6CU44945F5</v>
          </cell>
        </row>
        <row r="3864">
          <cell r="F3864" t="str">
            <v>6CU44945EY</v>
          </cell>
        </row>
        <row r="3865">
          <cell r="F3865" t="str">
            <v>210235AOHAH14A000277</v>
          </cell>
        </row>
        <row r="3866">
          <cell r="F3866" t="str">
            <v>210235aohah163000035</v>
          </cell>
        </row>
        <row r="3867">
          <cell r="F3867" t="str">
            <v>210235AOHAH14A000248</v>
          </cell>
        </row>
        <row r="3868">
          <cell r="F3868" t="str">
            <v>9179MHB06C5DDR</v>
          </cell>
        </row>
        <row r="3869">
          <cell r="F3869" t="str">
            <v>9179MHB06C5DBR</v>
          </cell>
        </row>
        <row r="3870">
          <cell r="F3870" t="str">
            <v>210235A1TXH179000212</v>
          </cell>
        </row>
        <row r="3871">
          <cell r="F3871" t="str">
            <v>210235A1TXH179000412</v>
          </cell>
        </row>
        <row r="3872">
          <cell r="F3872" t="str">
            <v>210235A1TXH179000401</v>
          </cell>
        </row>
        <row r="3873">
          <cell r="F3873" t="str">
            <v>210235A1TXH179000314</v>
          </cell>
        </row>
        <row r="3874">
          <cell r="F3874" t="str">
            <v>210235A1G9H179000006</v>
          </cell>
        </row>
        <row r="3875">
          <cell r="F3875" t="str">
            <v>210235A1G9H178000037</v>
          </cell>
        </row>
        <row r="3876">
          <cell r="F3876" t="str">
            <v>210235A1G9H178000025</v>
          </cell>
        </row>
        <row r="3877">
          <cell r="F3877" t="str">
            <v>2102300742N0H9000494/210230102810HA000050</v>
          </cell>
        </row>
        <row r="3878">
          <cell r="F3878" t="str">
            <v>210305756810HA000619</v>
          </cell>
        </row>
        <row r="3879">
          <cell r="F3879" t="str">
            <v>210305756810HA000622</v>
          </cell>
        </row>
        <row r="3880">
          <cell r="F3880" t="str">
            <v>210305756810HA000231</v>
          </cell>
        </row>
        <row r="3881">
          <cell r="F3881" t="str">
            <v>210305756810HA000495</v>
          </cell>
        </row>
        <row r="3882">
          <cell r="F3882" t="str">
            <v>210305756810HA000465</v>
          </cell>
        </row>
        <row r="3883">
          <cell r="F3883" t="str">
            <v>210305756810HA000409</v>
          </cell>
        </row>
        <row r="3884">
          <cell r="F3884" t="str">
            <v>210305756810HA000463</v>
          </cell>
        </row>
        <row r="3885">
          <cell r="F3885" t="str">
            <v>210305756810HA000404</v>
          </cell>
        </row>
        <row r="3886">
          <cell r="F3886" t="str">
            <v>210305756810HA000161</v>
          </cell>
        </row>
        <row r="3887">
          <cell r="F3887" t="str">
            <v>210305756810HA000616</v>
          </cell>
        </row>
        <row r="3888">
          <cell r="F3888" t="str">
            <v>210305756810HA000596</v>
          </cell>
        </row>
        <row r="3889">
          <cell r="F3889" t="str">
            <v>210305756810HA000595</v>
          </cell>
        </row>
        <row r="3890">
          <cell r="F3890" t="str">
            <v>210305756810HA000620</v>
          </cell>
        </row>
        <row r="3891">
          <cell r="F3891" t="str">
            <v>210305756810HA000607</v>
          </cell>
        </row>
        <row r="3892">
          <cell r="F3892" t="str">
            <v>210305756810HA000186</v>
          </cell>
        </row>
        <row r="3893">
          <cell r="F3893" t="str">
            <v>210305756810HA000449</v>
          </cell>
        </row>
        <row r="3894">
          <cell r="F3894" t="str">
            <v>2102300742N0H9000630/210230102810HA000095</v>
          </cell>
        </row>
        <row r="3895">
          <cell r="F3895" t="str">
            <v>210305756810HA000227</v>
          </cell>
        </row>
        <row r="3896">
          <cell r="F3896" t="str">
            <v>210305756810HA000164</v>
          </cell>
        </row>
        <row r="3897">
          <cell r="F3897" t="str">
            <v>210305756810HA000195</v>
          </cell>
        </row>
        <row r="3898">
          <cell r="F3898" t="str">
            <v>210305756810HA000392</v>
          </cell>
        </row>
        <row r="3899">
          <cell r="F3899" t="str">
            <v>210305756810HA000393</v>
          </cell>
        </row>
        <row r="3900">
          <cell r="F3900" t="str">
            <v>210305756810HA000215</v>
          </cell>
        </row>
        <row r="3901">
          <cell r="F3901" t="str">
            <v>210305756810HA000169</v>
          </cell>
        </row>
        <row r="3902">
          <cell r="F3902" t="str">
            <v>210305756810HA000606</v>
          </cell>
        </row>
        <row r="3903">
          <cell r="F3903" t="str">
            <v>210305756810HA000480</v>
          </cell>
        </row>
        <row r="3904">
          <cell r="F3904" t="str">
            <v>210305756810HA000386</v>
          </cell>
        </row>
        <row r="3905">
          <cell r="F3905" t="str">
            <v>210305756810HA000160</v>
          </cell>
        </row>
        <row r="3906">
          <cell r="F3906" t="str">
            <v>210305756810HA000362</v>
          </cell>
        </row>
        <row r="3907">
          <cell r="F3907" t="str">
            <v>210305756810HA000487</v>
          </cell>
        </row>
        <row r="3908">
          <cell r="F3908" t="str">
            <v>210305756810HA000202</v>
          </cell>
        </row>
        <row r="3909">
          <cell r="F3909" t="str">
            <v>210305756810HA000443</v>
          </cell>
        </row>
        <row r="3910">
          <cell r="F3910" t="str">
            <v>210305756810HA000196</v>
          </cell>
        </row>
        <row r="3911">
          <cell r="F3911" t="str">
            <v>210305756810HA000345</v>
          </cell>
        </row>
        <row r="3912">
          <cell r="F3912" t="str">
            <v>210305756810HA000314</v>
          </cell>
        </row>
        <row r="3913">
          <cell r="F3913" t="str">
            <v>210305756810HA000574</v>
          </cell>
        </row>
        <row r="3914">
          <cell r="F3914" t="str">
            <v>210305756810HA000581</v>
          </cell>
        </row>
        <row r="3915">
          <cell r="F3915" t="str">
            <v>210305756810HA000341</v>
          </cell>
        </row>
        <row r="3916">
          <cell r="F3916" t="str">
            <v>210305756810HA000332</v>
          </cell>
        </row>
        <row r="3917">
          <cell r="F3917" t="str">
            <v>210305756810HA000265</v>
          </cell>
        </row>
        <row r="3918">
          <cell r="F3918" t="str">
            <v>210305756810HA000317</v>
          </cell>
        </row>
        <row r="3919">
          <cell r="F3919" t="str">
            <v>210305756810HA000337</v>
          </cell>
        </row>
        <row r="3920">
          <cell r="F3920" t="str">
            <v>210305756810HA000320</v>
          </cell>
        </row>
        <row r="3921">
          <cell r="F3921" t="str">
            <v>210305756810HA000307</v>
          </cell>
        </row>
        <row r="3922">
          <cell r="F3922" t="str">
            <v>210305756810HA000259</v>
          </cell>
        </row>
        <row r="3923">
          <cell r="F3923" t="str">
            <v>210305756810HA000589</v>
          </cell>
        </row>
        <row r="3924">
          <cell r="F3924" t="str">
            <v>210305756810HA000319</v>
          </cell>
        </row>
        <row r="3925">
          <cell r="F3925" t="str">
            <v>210305756810HA000342</v>
          </cell>
        </row>
        <row r="3926">
          <cell r="F3926" t="str">
            <v>210305756810HA000313</v>
          </cell>
        </row>
        <row r="3927">
          <cell r="F3927" t="str">
            <v>210305756810HA000333</v>
          </cell>
        </row>
        <row r="3928">
          <cell r="F3928" t="str">
            <v>210305756810HA000255</v>
          </cell>
        </row>
        <row r="3929">
          <cell r="F3929" t="str">
            <v>210305756810HA000217</v>
          </cell>
        </row>
        <row r="3930">
          <cell r="F3930" t="str">
            <v>210305756810HA000580</v>
          </cell>
        </row>
        <row r="3931">
          <cell r="F3931" t="str">
            <v>210305756810HA000631</v>
          </cell>
        </row>
        <row r="3932">
          <cell r="F3932" t="str">
            <v>210305756810HA000240</v>
          </cell>
        </row>
        <row r="3933">
          <cell r="F3933" t="str">
            <v>210305756810HA000263</v>
          </cell>
        </row>
        <row r="3934">
          <cell r="F3934" t="str">
            <v>210305756810HA000321</v>
          </cell>
        </row>
        <row r="3935">
          <cell r="F3935" t="str">
            <v>210305756810HA000458</v>
          </cell>
        </row>
        <row r="3936">
          <cell r="F3936" t="str">
            <v>210305756810HA000249</v>
          </cell>
        </row>
        <row r="3937">
          <cell r="F3937" t="str">
            <v>210305756810HA000235</v>
          </cell>
        </row>
        <row r="3938">
          <cell r="F3938" t="str">
            <v>210305756810HA000322</v>
          </cell>
        </row>
        <row r="3939">
          <cell r="F3939" t="str">
            <v>210305756810HA000338</v>
          </cell>
        </row>
        <row r="3940">
          <cell r="F3940" t="str">
            <v>210305756810HA000584</v>
          </cell>
        </row>
        <row r="3941">
          <cell r="F3941" t="str">
            <v>210305756810HA000585</v>
          </cell>
        </row>
        <row r="3942">
          <cell r="F3942" t="str">
            <v>210305756810HA000318</v>
          </cell>
        </row>
        <row r="3943">
          <cell r="F3943" t="str">
            <v>2102300742N0H9000505/210230102810HA000029</v>
          </cell>
        </row>
        <row r="3944">
          <cell r="F3944" t="str">
            <v>210305756810HA000578</v>
          </cell>
        </row>
        <row r="3945">
          <cell r="F3945" t="str">
            <v>210305756810HA000593</v>
          </cell>
        </row>
        <row r="3946">
          <cell r="F3946" t="str">
            <v>210305756810HA000456</v>
          </cell>
        </row>
        <row r="3947">
          <cell r="F3947" t="str">
            <v>210305756810HA000331</v>
          </cell>
        </row>
        <row r="3948">
          <cell r="F3948" t="str">
            <v>210305756810HA000420</v>
          </cell>
        </row>
        <row r="3949">
          <cell r="F3949" t="str">
            <v>210305756810HA000243</v>
          </cell>
        </row>
        <row r="3950">
          <cell r="F3950" t="str">
            <v>210305756810HA000504</v>
          </cell>
        </row>
        <row r="3951">
          <cell r="F3951" t="str">
            <v>210305756810HA000236</v>
          </cell>
        </row>
        <row r="3952">
          <cell r="F3952" t="str">
            <v>210305756810HA000591</v>
          </cell>
        </row>
        <row r="3953">
          <cell r="F3953" t="str">
            <v>210305756810HA000274</v>
          </cell>
        </row>
        <row r="3954">
          <cell r="F3954" t="str">
            <v>210305756810HA000316</v>
          </cell>
        </row>
        <row r="3955">
          <cell r="F3955" t="str">
            <v>210305756810HA000339</v>
          </cell>
        </row>
        <row r="3956">
          <cell r="F3956" t="str">
            <v>210305756810HA000323</v>
          </cell>
        </row>
        <row r="3957">
          <cell r="F3957" t="str">
            <v>210305756810HA000346</v>
          </cell>
        </row>
        <row r="3958">
          <cell r="F3958" t="str">
            <v>210305756810HA000242</v>
          </cell>
        </row>
        <row r="3959">
          <cell r="F3959" t="str">
            <v>210305756810HA000262</v>
          </cell>
        </row>
        <row r="3960">
          <cell r="F3960" t="str">
            <v>210305756810HA000271</v>
          </cell>
        </row>
        <row r="3961">
          <cell r="F3961" t="str">
            <v>210305756810HA000253</v>
          </cell>
        </row>
        <row r="3962">
          <cell r="F3962" t="str">
            <v>210305756810HA000302</v>
          </cell>
        </row>
        <row r="3963">
          <cell r="F3963" t="str">
            <v>210305756810HA000428</v>
          </cell>
        </row>
        <row r="3964">
          <cell r="F3964" t="str">
            <v>210305756810HA000241</v>
          </cell>
        </row>
        <row r="3965">
          <cell r="F3965" t="str">
            <v>210305756810HA000327</v>
          </cell>
        </row>
        <row r="3966">
          <cell r="F3966" t="str">
            <v>210305756810HA000257</v>
          </cell>
        </row>
        <row r="3967">
          <cell r="F3967" t="str">
            <v>210305756810HA000232</v>
          </cell>
        </row>
        <row r="3968">
          <cell r="F3968" t="str">
            <v>210305756810HA000293</v>
          </cell>
        </row>
        <row r="3969">
          <cell r="F3969" t="str">
            <v>210305756810HA000344</v>
          </cell>
        </row>
        <row r="3970">
          <cell r="F3970" t="str">
            <v>210305756810HA000256</v>
          </cell>
        </row>
        <row r="3971">
          <cell r="F3971" t="str">
            <v>210305756810HA000261</v>
          </cell>
        </row>
        <row r="3972">
          <cell r="F3972" t="str">
            <v>210305756810HA000283</v>
          </cell>
        </row>
        <row r="3973">
          <cell r="F3973" t="str">
            <v>210305756810HA000301</v>
          </cell>
        </row>
        <row r="3974">
          <cell r="F3974" t="str">
            <v>210305756810HA000219</v>
          </cell>
        </row>
        <row r="3975">
          <cell r="F3975" t="str">
            <v>210305756810HA000334</v>
          </cell>
        </row>
        <row r="3976">
          <cell r="F3976" t="str">
            <v>2102300742N0H9000552/
210230102810HA000024</v>
          </cell>
        </row>
        <row r="3977">
          <cell r="F3977" t="str">
            <v>210305756810HA000233</v>
          </cell>
        </row>
        <row r="3978">
          <cell r="F3978" t="str">
            <v>210305756810HA000568</v>
          </cell>
        </row>
        <row r="3979">
          <cell r="F3979" t="str">
            <v>210305756810HA000340</v>
          </cell>
        </row>
        <row r="3980">
          <cell r="F3980" t="str">
            <v>210305756810HA000326</v>
          </cell>
        </row>
        <row r="3981">
          <cell r="F3981" t="str">
            <v>210305756810HA000505</v>
          </cell>
        </row>
        <row r="3982">
          <cell r="F3982" t="str">
            <v>210305756810HA000433</v>
          </cell>
        </row>
        <row r="3983">
          <cell r="F3983" t="str">
            <v>210305756810HA000315</v>
          </cell>
        </row>
        <row r="3984">
          <cell r="F3984" t="str">
            <v>210305756810HA000309</v>
          </cell>
        </row>
        <row r="3985">
          <cell r="F3985" t="str">
            <v>210305756810HA000267</v>
          </cell>
        </row>
        <row r="3986">
          <cell r="F3986" t="str">
            <v>210305756810HA000254</v>
          </cell>
        </row>
        <row r="3987">
          <cell r="F3987" t="str">
            <v>210305756810HA000250</v>
          </cell>
        </row>
        <row r="3988">
          <cell r="F3988" t="str">
            <v>210305756810HA000252</v>
          </cell>
        </row>
        <row r="3989">
          <cell r="F3989" t="str">
            <v>210305756810HA000507</v>
          </cell>
        </row>
        <row r="3990">
          <cell r="F3990" t="str">
            <v>210305756810HA000427</v>
          </cell>
        </row>
        <row r="3991">
          <cell r="F3991" t="str">
            <v>210305756810HA000277</v>
          </cell>
        </row>
        <row r="3992">
          <cell r="F3992" t="str">
            <v>210305756810HA000579</v>
          </cell>
        </row>
        <row r="3993">
          <cell r="F3993" t="str">
            <v>2102300742N0H9000528/210230102810HA000038</v>
          </cell>
        </row>
        <row r="3994">
          <cell r="F3994" t="str">
            <v>2102300742N0H9000454/210230102810HA000027</v>
          </cell>
        </row>
        <row r="3995">
          <cell r="F3995" t="str">
            <v>2102300742N0H9000536/210230102810HA000035</v>
          </cell>
        </row>
        <row r="3996">
          <cell r="F3996" t="str">
            <v>2102300742N0H9000586/
210230102810HA000101</v>
          </cell>
        </row>
        <row r="3997">
          <cell r="F3997" t="str">
            <v>210305756810HA000436</v>
          </cell>
        </row>
        <row r="3998">
          <cell r="F3998" t="str">
            <v>210305756810HA000625</v>
          </cell>
        </row>
        <row r="3999">
          <cell r="F3999" t="str">
            <v>210305756810HA000572</v>
          </cell>
        </row>
        <row r="4000">
          <cell r="F4000" t="str">
            <v>210305756810HA000245</v>
          </cell>
        </row>
        <row r="4001">
          <cell r="F4001" t="str">
            <v>210305756810HA000422</v>
          </cell>
        </row>
        <row r="4002">
          <cell r="F4002" t="str">
            <v>210305756810HA000330</v>
          </cell>
        </row>
        <row r="4003">
          <cell r="F4003" t="str">
            <v>210305756810HA000264</v>
          </cell>
        </row>
        <row r="4004">
          <cell r="F4004" t="str">
            <v>210305756810HA000506</v>
          </cell>
        </row>
        <row r="4005">
          <cell r="F4005" t="str">
            <v>210305756810HA000567</v>
          </cell>
        </row>
        <row r="4006">
          <cell r="F4006" t="str">
            <v>210305756810HA000248</v>
          </cell>
        </row>
        <row r="4007">
          <cell r="F4007" t="str">
            <v>210305756810HA000577</v>
          </cell>
        </row>
        <row r="4008">
          <cell r="F4008" t="str">
            <v>210305756810HA000418</v>
          </cell>
        </row>
        <row r="4009">
          <cell r="F4009" t="str">
            <v>210305756810HA000576</v>
          </cell>
        </row>
        <row r="4010">
          <cell r="F4010" t="str">
            <v>210305756810HA000294</v>
          </cell>
        </row>
        <row r="4011">
          <cell r="F4011" t="str">
            <v>210305756810HA000308</v>
          </cell>
        </row>
        <row r="4012">
          <cell r="F4012" t="str">
            <v>210305756810HA000295</v>
          </cell>
        </row>
        <row r="4013">
          <cell r="F4013" t="str">
            <v>J302XHL</v>
          </cell>
        </row>
        <row r="4014">
          <cell r="F4014" t="str">
            <v>06HNAVT</v>
          </cell>
        </row>
        <row r="4015">
          <cell r="F4015" t="str">
            <v>J302XHC</v>
          </cell>
        </row>
        <row r="4016">
          <cell r="F4016" t="str">
            <v>2102300742N0H9000548/210230102810HA000034</v>
          </cell>
        </row>
        <row r="4017">
          <cell r="F4017" t="str">
            <v>210305756810HA000282</v>
          </cell>
        </row>
        <row r="4018">
          <cell r="F4018" t="str">
            <v>210305756810HA000399</v>
          </cell>
        </row>
        <row r="4019">
          <cell r="F4019" t="str">
            <v>210305756810HA000347</v>
          </cell>
        </row>
        <row r="4020">
          <cell r="F4020" t="str">
            <v>210305756810HA000401</v>
          </cell>
        </row>
        <row r="4021">
          <cell r="F4021" t="str">
            <v>210305756810HA000402</v>
          </cell>
        </row>
        <row r="4022">
          <cell r="F4022" t="str">
            <v>210305756810HA000400</v>
          </cell>
        </row>
        <row r="4023">
          <cell r="F4023" t="str">
            <v>210305756810HA000280</v>
          </cell>
        </row>
        <row r="4024">
          <cell r="F4024" t="str">
            <v>210305756810HA000226</v>
          </cell>
        </row>
        <row r="4025">
          <cell r="F4025" t="str">
            <v>210305756810HA000220</v>
          </cell>
        </row>
        <row r="4026">
          <cell r="F4026" t="str">
            <v>210305756810HA000278</v>
          </cell>
        </row>
        <row r="4027">
          <cell r="F4027" t="str">
            <v>210305756810HA000216</v>
          </cell>
        </row>
        <row r="4028">
          <cell r="F4028" t="str">
            <v>210305756810HA000225</v>
          </cell>
        </row>
        <row r="4029">
          <cell r="F4029" t="str">
            <v>210305756810HA000281</v>
          </cell>
        </row>
        <row r="4030">
          <cell r="F4030" t="str">
            <v>210305756810HA000258</v>
          </cell>
        </row>
        <row r="4031">
          <cell r="F4031" t="str">
            <v>210305756810HA000348</v>
          </cell>
        </row>
        <row r="4032">
          <cell r="F4032" t="str">
            <v>210305756810HA000279</v>
          </cell>
        </row>
        <row r="4033">
          <cell r="F4033" t="str">
            <v>2102300742N0H9000464/210230102810HA000036</v>
          </cell>
        </row>
        <row r="4034">
          <cell r="F4034" t="str">
            <v>210305756810HA001854</v>
          </cell>
        </row>
        <row r="4035">
          <cell r="F4035" t="str">
            <v>210305756810HA001575</v>
          </cell>
        </row>
        <row r="4036">
          <cell r="F4036" t="str">
            <v>210305756810HA001570</v>
          </cell>
        </row>
        <row r="4037">
          <cell r="F4037" t="str">
            <v>210305756810HA001559</v>
          </cell>
        </row>
        <row r="4038">
          <cell r="F4038" t="str">
            <v>210305756810HA001572</v>
          </cell>
        </row>
        <row r="4039">
          <cell r="F4039" t="str">
            <v>210305756810HA001846</v>
          </cell>
        </row>
        <row r="4040">
          <cell r="F4040" t="str">
            <v>210305756810HA001852</v>
          </cell>
        </row>
        <row r="4041">
          <cell r="F4041" t="str">
            <v>210305756810HA001837</v>
          </cell>
        </row>
        <row r="4042">
          <cell r="F4042" t="str">
            <v>210305756810HA001844</v>
          </cell>
        </row>
        <row r="4043">
          <cell r="F4043" t="str">
            <v>210305756810HA001561</v>
          </cell>
        </row>
        <row r="4044">
          <cell r="F4044" t="str">
            <v>210305756810HA001842</v>
          </cell>
        </row>
        <row r="4045">
          <cell r="F4045" t="str">
            <v>210305756810HA001853</v>
          </cell>
        </row>
        <row r="4046">
          <cell r="F4046" t="str">
            <v>210305756810HA001562</v>
          </cell>
        </row>
        <row r="4047">
          <cell r="F4047" t="str">
            <v>210305756810HA001845</v>
          </cell>
        </row>
        <row r="4048">
          <cell r="F4048" t="str">
            <v>210305756810HA001841</v>
          </cell>
        </row>
        <row r="4049">
          <cell r="F4049" t="str">
            <v>210305756810HA001839</v>
          </cell>
        </row>
        <row r="4050">
          <cell r="F4050" t="str">
            <v>J320EAM</v>
          </cell>
        </row>
        <row r="4051">
          <cell r="F4051" t="str">
            <v>J320EAN</v>
          </cell>
        </row>
        <row r="4052">
          <cell r="F4052" t="str">
            <v>J320EAP</v>
          </cell>
        </row>
        <row r="4053">
          <cell r="F4053" t="str">
            <v>无</v>
          </cell>
        </row>
        <row r="4054">
          <cell r="F4054" t="str">
            <v>J30R7Y3</v>
          </cell>
        </row>
        <row r="4055">
          <cell r="F4055" t="str">
            <v>J30R7Y4</v>
          </cell>
        </row>
        <row r="4056">
          <cell r="F4056" t="str">
            <v>J320D8V</v>
          </cell>
        </row>
        <row r="4057">
          <cell r="F4057" t="str">
            <v>J320D8K</v>
          </cell>
        </row>
        <row r="4058">
          <cell r="F4058" t="str">
            <v>J30TK5G</v>
          </cell>
        </row>
        <row r="4059">
          <cell r="F4059" t="str">
            <v>J320D8T</v>
          </cell>
        </row>
        <row r="4060">
          <cell r="F4060" t="str">
            <v>210235A1C3H158000020</v>
          </cell>
        </row>
        <row r="4061">
          <cell r="F4061" t="str">
            <v>210235A1C3H158000030</v>
          </cell>
        </row>
        <row r="4062">
          <cell r="F4062" t="str">
            <v>J30ZYR5</v>
          </cell>
        </row>
        <row r="4063">
          <cell r="F4063" t="str">
            <v>J320D8H</v>
          </cell>
        </row>
        <row r="4064">
          <cell r="F4064" t="str">
            <v>J320D8L</v>
          </cell>
        </row>
        <row r="4065">
          <cell r="F4065" t="str">
            <v>J320D8P</v>
          </cell>
        </row>
        <row r="4066">
          <cell r="F4066" t="str">
            <v>J320D8M</v>
          </cell>
        </row>
        <row r="4067">
          <cell r="F4067" t="str">
            <v>J320D8G</v>
          </cell>
        </row>
        <row r="4068">
          <cell r="F4068" t="str">
            <v>J320D8N</v>
          </cell>
        </row>
        <row r="4069">
          <cell r="F4069" t="str">
            <v>J320D8R</v>
          </cell>
        </row>
        <row r="4070">
          <cell r="F4070" t="str">
            <v>2102300742N0H9000554/210230102810HA000044</v>
          </cell>
        </row>
        <row r="4071">
          <cell r="F4071" t="str">
            <v>2102300742N0H9000560/210230102810HA000040</v>
          </cell>
        </row>
        <row r="4072">
          <cell r="F4072" t="str">
            <v>2102300742N0H9000588/210230102810HA000098</v>
          </cell>
        </row>
        <row r="4073">
          <cell r="F4073" t="str">
            <v>210305756810HA000673</v>
          </cell>
        </row>
        <row r="4074">
          <cell r="F4074" t="str">
            <v>210305756810HA000189</v>
          </cell>
        </row>
        <row r="4075">
          <cell r="F4075" t="str">
            <v>210305756810HA000639</v>
          </cell>
        </row>
        <row r="4076">
          <cell r="F4076" t="str">
            <v>210305756810HA000493</v>
          </cell>
        </row>
        <row r="4077">
          <cell r="F4077" t="str">
            <v>210305756810HA000623</v>
          </cell>
        </row>
        <row r="4078">
          <cell r="F4078" t="str">
            <v>210305756810HA000175</v>
          </cell>
        </row>
        <row r="4079">
          <cell r="F4079" t="str">
            <v>210305756810HA000445</v>
          </cell>
        </row>
        <row r="4080">
          <cell r="F4080" t="str">
            <v>210305756810HA000191</v>
          </cell>
        </row>
        <row r="4081">
          <cell r="F4081" t="str">
            <v>2102300742N0H9000569/210230102810HA000042</v>
          </cell>
        </row>
        <row r="4082">
          <cell r="F4082" t="str">
            <v>210305756810HA000398</v>
          </cell>
        </row>
        <row r="4083">
          <cell r="F4083" t="str">
            <v>210305756810HA000648</v>
          </cell>
        </row>
        <row r="4084">
          <cell r="F4084" t="str">
            <v>210305756810HA000663</v>
          </cell>
        </row>
        <row r="4085">
          <cell r="F4085" t="str">
            <v>210305756810HA000412</v>
          </cell>
        </row>
        <row r="4086">
          <cell r="F4086" t="str">
            <v>210305756810HA000406</v>
          </cell>
        </row>
        <row r="4087">
          <cell r="F4087" t="str">
            <v>210305756810HA000180</v>
          </cell>
        </row>
        <row r="4088">
          <cell r="F4088" t="str">
            <v>210305756810HA000481</v>
          </cell>
        </row>
        <row r="4089">
          <cell r="F4089" t="str">
            <v>210305756810HA000179</v>
          </cell>
        </row>
        <row r="4090">
          <cell r="F4090" t="str">
            <v>2102300742N0G6000381/210230102810HA000053</v>
          </cell>
        </row>
        <row r="4091">
          <cell r="F4091" t="str">
            <v>2102300742N0H9000540/210230102810HA000052</v>
          </cell>
        </row>
        <row r="4092">
          <cell r="F4092" t="str">
            <v>2102300742N0H9000549/210230102810HA000017</v>
          </cell>
        </row>
        <row r="4093">
          <cell r="F4093" t="str">
            <v>2102300742N0H9000559/210230102810HA000039</v>
          </cell>
        </row>
        <row r="4094">
          <cell r="F4094" t="str">
            <v>2102300742N0H9000642/210230102810HA000096</v>
          </cell>
        </row>
        <row r="4095">
          <cell r="F4095" t="str">
            <v>2102300742N0H9000567/210230102810HA000041</v>
          </cell>
        </row>
        <row r="4096">
          <cell r="F4096" t="str">
            <v>210305756810HA000207</v>
          </cell>
        </row>
        <row r="4097">
          <cell r="F4097" t="str">
            <v>210305756810HA000173</v>
          </cell>
        </row>
        <row r="4098">
          <cell r="F4098" t="str">
            <v>210305756810HA000157</v>
          </cell>
        </row>
        <row r="4099">
          <cell r="F4099" t="str">
            <v>210305756810HA000159</v>
          </cell>
        </row>
        <row r="4100">
          <cell r="F4100" t="str">
            <v>210305756810HA000651</v>
          </cell>
        </row>
        <row r="4101">
          <cell r="F4101" t="str">
            <v>210305756810HA000476</v>
          </cell>
        </row>
        <row r="4102">
          <cell r="F4102" t="str">
            <v>210305756810HA000410</v>
          </cell>
        </row>
        <row r="4103">
          <cell r="F4103" t="str">
            <v>210305756810HA000292</v>
          </cell>
        </row>
        <row r="4104">
          <cell r="F4104" t="str">
            <v>210305756810HA000198</v>
          </cell>
        </row>
        <row r="4105">
          <cell r="F4105" t="str">
            <v>210305756810HA000150</v>
          </cell>
        </row>
        <row r="4106">
          <cell r="F4106" t="str">
            <v>210305756810HA000197</v>
          </cell>
        </row>
        <row r="4107">
          <cell r="F4107" t="str">
            <v>210305756810HA000490</v>
          </cell>
        </row>
        <row r="4108">
          <cell r="F4108" t="str">
            <v>210305756810HA000407</v>
          </cell>
        </row>
        <row r="4109">
          <cell r="F4109" t="str">
            <v>210305756810HA000213</v>
          </cell>
        </row>
        <row r="4110">
          <cell r="F4110" t="str">
            <v>210305756810HA000200</v>
          </cell>
        </row>
        <row r="4111">
          <cell r="F4111" t="str">
            <v>210305756810HA000156</v>
          </cell>
        </row>
        <row r="4112">
          <cell r="F4112" t="str">
            <v>210305756810HA000158</v>
          </cell>
        </row>
        <row r="4113">
          <cell r="F4113" t="str">
            <v>210305756810HA000181</v>
          </cell>
        </row>
        <row r="4114">
          <cell r="F4114" t="str">
            <v>210305756810HA000187</v>
          </cell>
        </row>
        <row r="4115">
          <cell r="F4115" t="str">
            <v>210305756810HA000382</v>
          </cell>
        </row>
        <row r="4116">
          <cell r="F4116" t="str">
            <v>210305756810HA000379</v>
          </cell>
        </row>
        <row r="4117">
          <cell r="F4117" t="str">
            <v>210305756810HA000439</v>
          </cell>
        </row>
        <row r="4118">
          <cell r="F4118" t="str">
            <v>210305756810HA000469</v>
          </cell>
        </row>
        <row r="4119">
          <cell r="F4119" t="str">
            <v>210305756810HA000442</v>
          </cell>
        </row>
        <row r="4120">
          <cell r="F4120" t="str">
            <v>210305756810HA000162</v>
          </cell>
        </row>
        <row r="4121">
          <cell r="F4121" t="str">
            <v>210305756810HA000498</v>
          </cell>
        </row>
        <row r="4122">
          <cell r="F4122" t="str">
            <v>210305756810HA000165</v>
          </cell>
        </row>
        <row r="4123">
          <cell r="F4123" t="str">
            <v>210305756810HA000177</v>
          </cell>
        </row>
        <row r="4124">
          <cell r="F4124" t="str">
            <v>210305756810HA000478</v>
          </cell>
        </row>
        <row r="4125">
          <cell r="F4125" t="str">
            <v>210305756810HA000370</v>
          </cell>
        </row>
        <row r="4126">
          <cell r="F4126" t="str">
            <v>210305756810HA000496</v>
          </cell>
        </row>
        <row r="4127">
          <cell r="F4127" t="str">
            <v>210305756810HA000230</v>
          </cell>
        </row>
        <row r="4128">
          <cell r="F4128" t="str">
            <v>210305756810HA000208</v>
          </cell>
        </row>
        <row r="4129">
          <cell r="F4129" t="str">
            <v>210305756810HA000503</v>
          </cell>
        </row>
        <row r="4130">
          <cell r="F4130" t="str">
            <v>210305756810HA000193</v>
          </cell>
        </row>
        <row r="4131">
          <cell r="F4131" t="str">
            <v>210305756810HA000669</v>
          </cell>
        </row>
        <row r="4132">
          <cell r="F4132" t="str">
            <v>210305756810HA001278</v>
          </cell>
        </row>
        <row r="4133">
          <cell r="F4133" t="str">
            <v>210305756810HA001273</v>
          </cell>
        </row>
        <row r="4134">
          <cell r="F4134" t="str">
            <v>210305756810HA001274</v>
          </cell>
        </row>
        <row r="4135">
          <cell r="F4135" t="str">
            <v>210305756810HA001277</v>
          </cell>
        </row>
        <row r="4136">
          <cell r="F4136" t="str">
            <v>210305756810HA000210</v>
          </cell>
        </row>
        <row r="4137">
          <cell r="F4137" t="str">
            <v>210305756810HA000450</v>
          </cell>
        </row>
        <row r="4138">
          <cell r="F4138" t="str">
            <v>210305756810HA000194</v>
          </cell>
        </row>
        <row r="4139">
          <cell r="F4139" t="str">
            <v>210305756810HA000453</v>
          </cell>
        </row>
        <row r="4140">
          <cell r="F4140" t="str">
            <v>210305756810HA000645</v>
          </cell>
        </row>
        <row r="4141">
          <cell r="F4141" t="str">
            <v>210305756810HA000464</v>
          </cell>
        </row>
        <row r="4142">
          <cell r="F4142" t="str">
            <v>210305756810HA000633</v>
          </cell>
        </row>
        <row r="4143">
          <cell r="F4143" t="str">
            <v>210305756810HA000163</v>
          </cell>
        </row>
        <row r="4144">
          <cell r="F4144" t="str">
            <v>210305756810HA000149</v>
          </cell>
        </row>
        <row r="4145">
          <cell r="F4145" t="str">
            <v>210305756810HA000599</v>
          </cell>
        </row>
        <row r="4146">
          <cell r="F4146" t="str">
            <v>210305756810HA000446</v>
          </cell>
        </row>
        <row r="4147">
          <cell r="F4147" t="str">
            <v>210305756810HA000642</v>
          </cell>
        </row>
        <row r="4148">
          <cell r="F4148" t="str">
            <v>210305756810HA000640</v>
          </cell>
        </row>
        <row r="4149">
          <cell r="F4149" t="str">
            <v>210305756810HA000646</v>
          </cell>
        </row>
        <row r="4150">
          <cell r="F4150" t="str">
            <v>210305756810HA000285</v>
          </cell>
        </row>
        <row r="4151">
          <cell r="F4151" t="str">
            <v>210305756810HA000618</v>
          </cell>
        </row>
        <row r="4152">
          <cell r="F4152" t="str">
            <v>210305756810HA000609</v>
          </cell>
        </row>
        <row r="4153">
          <cell r="F4153" t="str">
            <v>210305756810HA000170</v>
          </cell>
        </row>
        <row r="4154">
          <cell r="F4154" t="str">
            <v>210305756810HA000638</v>
          </cell>
        </row>
        <row r="4155">
          <cell r="F4155" t="str">
            <v>210305756810HA000647</v>
          </cell>
        </row>
        <row r="4156">
          <cell r="F4156" t="str">
            <v>210305756810HA000190</v>
          </cell>
        </row>
        <row r="4157">
          <cell r="F4157" t="str">
            <v>210305756810HA000155</v>
          </cell>
        </row>
        <row r="4158">
          <cell r="F4158" t="str">
            <v>210305756810HA000653</v>
          </cell>
        </row>
        <row r="4159">
          <cell r="F4159" t="str">
            <v>210305756810HA000288</v>
          </cell>
        </row>
        <row r="4160">
          <cell r="F4160" t="str">
            <v>210305756810HA000201</v>
          </cell>
        </row>
        <row r="4161">
          <cell r="F4161" t="str">
            <v>210305756810HA000660</v>
          </cell>
        </row>
        <row r="4162">
          <cell r="F4162" t="str">
            <v>210305756810HA000634</v>
          </cell>
        </row>
        <row r="4163">
          <cell r="F4163" t="str">
            <v>210305756810HA000411</v>
          </cell>
        </row>
        <row r="4164">
          <cell r="F4164" t="str">
            <v>210305756810HA000390</v>
          </cell>
        </row>
        <row r="4165">
          <cell r="F4165" t="str">
            <v>210305756810HA000178</v>
          </cell>
        </row>
        <row r="4166">
          <cell r="F4166" t="str">
            <v>210305756810HA000497</v>
          </cell>
        </row>
        <row r="4167">
          <cell r="F4167" t="str">
            <v>210305756810HA000659</v>
          </cell>
        </row>
        <row r="4168">
          <cell r="F4168" t="str">
            <v>210305756810HA000229</v>
          </cell>
        </row>
        <row r="4169">
          <cell r="F4169" t="str">
            <v>210305756810HA000494</v>
          </cell>
        </row>
        <row r="4170">
          <cell r="F4170" t="str">
            <v>210305756810HA000501</v>
          </cell>
        </row>
        <row r="4171">
          <cell r="F4171" t="str">
            <v>210305756810HA000378</v>
          </cell>
        </row>
        <row r="4172">
          <cell r="F4172" t="str">
            <v>210305756810HA000614</v>
          </cell>
        </row>
        <row r="4173">
          <cell r="F4173" t="str">
            <v>210305756810HA000654</v>
          </cell>
        </row>
        <row r="4174">
          <cell r="F4174" t="str">
            <v>210305756810HA000636</v>
          </cell>
        </row>
        <row r="4175">
          <cell r="F4175" t="str">
            <v>210305756810HA000212</v>
          </cell>
        </row>
        <row r="4176">
          <cell r="F4176" t="str">
            <v>210305756810HA000396</v>
          </cell>
        </row>
        <row r="4177">
          <cell r="F4177" t="str">
            <v>210305756810HA000367</v>
          </cell>
        </row>
        <row r="4178">
          <cell r="F4178" t="str">
            <v>210305756810HA000394</v>
          </cell>
        </row>
        <row r="4179">
          <cell r="F4179" t="str">
            <v>210305756810HA000364</v>
          </cell>
        </row>
        <row r="4180">
          <cell r="F4180" t="str">
            <v>210305756810HA000369</v>
          </cell>
        </row>
        <row r="4181">
          <cell r="F4181" t="str">
            <v>210305756810HA000366</v>
          </cell>
        </row>
        <row r="4182">
          <cell r="F4182" t="str">
            <v>210305756810HA000357</v>
          </cell>
        </row>
        <row r="4183">
          <cell r="F4183" t="str">
            <v>210305756810HA000624</v>
          </cell>
        </row>
        <row r="4184">
          <cell r="F4184" t="str">
            <v>210305756810HA000204</v>
          </cell>
        </row>
        <row r="4185">
          <cell r="F4185" t="str">
            <v>210305756810HA000368</v>
          </cell>
        </row>
        <row r="4186">
          <cell r="F4186" t="str">
            <v>210305756810HA000361</v>
          </cell>
        </row>
        <row r="4187">
          <cell r="F4187" t="str">
            <v>210305756810HA000489</v>
          </cell>
        </row>
        <row r="4188">
          <cell r="F4188" t="str">
            <v>210305756810HA000199</v>
          </cell>
        </row>
        <row r="4189">
          <cell r="F4189" t="str">
            <v>210305756810HA000375</v>
          </cell>
        </row>
        <row r="4190">
          <cell r="F4190" t="str">
            <v>210305756810HA000597</v>
          </cell>
        </row>
        <row r="4191">
          <cell r="F4191" t="str">
            <v>210305756810HA000372</v>
          </cell>
        </row>
        <row r="4192">
          <cell r="F4192" t="str">
            <v>210305756810HA000472</v>
          </cell>
        </row>
        <row r="4193">
          <cell r="F4193" t="str">
            <v>210305756810HA000291</v>
          </cell>
        </row>
        <row r="4194">
          <cell r="F4194" t="str">
            <v>210305756810HA000151</v>
          </cell>
        </row>
        <row r="4195">
          <cell r="F4195" t="str">
            <v>210305756810HA000670</v>
          </cell>
        </row>
        <row r="4196">
          <cell r="F4196" t="str">
            <v>210305756810HA000363</v>
          </cell>
        </row>
        <row r="4197">
          <cell r="F4197" t="str">
            <v>210305756810HA000206</v>
          </cell>
        </row>
        <row r="4198">
          <cell r="F4198" t="str">
            <v>210305756810HA000359</v>
          </cell>
        </row>
        <row r="4199">
          <cell r="F4199" t="str">
            <v>210305756810HA000176</v>
          </cell>
        </row>
        <row r="4200">
          <cell r="F4200" t="str">
            <v>210305756810HA000408</v>
          </cell>
        </row>
        <row r="4201">
          <cell r="F4201" t="str">
            <v>210305756810HA000655</v>
          </cell>
        </row>
        <row r="4202">
          <cell r="F4202" t="str">
            <v>210305756810HA000384</v>
          </cell>
        </row>
        <row r="4203">
          <cell r="F4203" t="str">
            <v>210305756810HA000499</v>
          </cell>
        </row>
        <row r="4204">
          <cell r="F4204" t="str">
            <v>210305756810HA000644</v>
          </cell>
        </row>
        <row r="4205">
          <cell r="F4205" t="str">
            <v>210305756810HA000373</v>
          </cell>
        </row>
        <row r="4206">
          <cell r="F4206" t="str">
            <v>210305756810HA000358</v>
          </cell>
        </row>
        <row r="4207">
          <cell r="F4207" t="str">
            <v>210305756810HA000466</v>
          </cell>
        </row>
        <row r="4208">
          <cell r="F4208" t="str">
            <v>210305756810HA000479</v>
          </cell>
        </row>
        <row r="4209">
          <cell r="F4209" t="str">
            <v>210305756810HA000451</v>
          </cell>
        </row>
        <row r="4210">
          <cell r="F4210" t="str">
            <v>210305756810HA000486</v>
          </cell>
        </row>
        <row r="4211">
          <cell r="F4211" t="str">
            <v>210305756810HA000612</v>
          </cell>
        </row>
        <row r="4212">
          <cell r="F4212" t="str">
            <v>210305756810HA000488</v>
          </cell>
        </row>
        <row r="4213">
          <cell r="F4213" t="str">
            <v>210305756810HA000444</v>
          </cell>
        </row>
        <row r="4214">
          <cell r="F4214" t="str">
            <v>210305756810HA000380</v>
          </cell>
        </row>
        <row r="4215">
          <cell r="F4215" t="str">
            <v>210305756810HA000668</v>
          </cell>
        </row>
        <row r="4216">
          <cell r="F4216" t="str">
            <v>210305756810HA000492</v>
          </cell>
        </row>
        <row r="4217">
          <cell r="F4217" t="str">
            <v>210305756810HA001832</v>
          </cell>
        </row>
        <row r="4218">
          <cell r="F4218" t="str">
            <v>210305756810HA000448</v>
          </cell>
        </row>
        <row r="4219">
          <cell r="F4219" t="str">
            <v>210305756810HA000377</v>
          </cell>
        </row>
        <row r="4220">
          <cell r="F4220" t="str">
            <v>210305756810HA000502</v>
          </cell>
        </row>
        <row r="4221">
          <cell r="F4221" t="str">
            <v>210305756810HA000405</v>
          </cell>
        </row>
        <row r="4222">
          <cell r="F4222" t="str">
            <v>210305756810HA000500</v>
          </cell>
        </row>
        <row r="4223">
          <cell r="F4223" t="str">
            <v>210305756810HA000211</v>
          </cell>
        </row>
        <row r="4224">
          <cell r="F4224" t="str">
            <v>210305756810HA000467</v>
          </cell>
        </row>
        <row r="4225">
          <cell r="F4225" t="str">
            <v>210305756810HA000391</v>
          </cell>
        </row>
        <row r="4226">
          <cell r="F4226" t="str">
            <v>210305756810HA000185</v>
          </cell>
        </row>
        <row r="4227">
          <cell r="F4227" t="str">
            <v>210305756810HA000461</v>
          </cell>
        </row>
        <row r="4228">
          <cell r="F4228" t="str">
            <v>210305756810HA000650</v>
          </cell>
        </row>
        <row r="4229">
          <cell r="F4229" t="str">
            <v>210305756810HA000172</v>
          </cell>
        </row>
        <row r="4230">
          <cell r="F4230" t="str">
            <v>210305756810HA000615</v>
          </cell>
        </row>
        <row r="4231">
          <cell r="F4231" t="str">
            <v>210305756810HA000381</v>
          </cell>
        </row>
        <row r="4232">
          <cell r="F4232" t="str">
            <v>210305756810HA000661</v>
          </cell>
        </row>
        <row r="4233">
          <cell r="F4233" t="str">
            <v>210305756810HA000152</v>
          </cell>
        </row>
        <row r="4234">
          <cell r="F4234" t="str">
            <v>210305756810HA000652</v>
          </cell>
        </row>
        <row r="4235">
          <cell r="F4235" t="str">
            <v>210305756810HA000611</v>
          </cell>
        </row>
        <row r="4236">
          <cell r="F4236" t="str">
            <v>210305756810HA000438</v>
          </cell>
        </row>
        <row r="4237">
          <cell r="F4237" t="str">
            <v>210305756810HA000610</v>
          </cell>
        </row>
        <row r="4238">
          <cell r="F4238" t="str">
            <v>210305756810HA000192</v>
          </cell>
        </row>
        <row r="4239">
          <cell r="F4239" t="str">
            <v>210305756810HA000665</v>
          </cell>
        </row>
        <row r="4240">
          <cell r="F4240" t="str">
            <v>2102300742N0H5000359/
210230102810HA000056</v>
          </cell>
        </row>
        <row r="4241">
          <cell r="F4241" t="str">
            <v>210305756810HA000601</v>
          </cell>
        </row>
        <row r="4242">
          <cell r="F4242" t="str">
            <v>210305756810HA000290</v>
          </cell>
        </row>
        <row r="4243">
          <cell r="F4243" t="str">
            <v>210305756810HA000483</v>
          </cell>
        </row>
        <row r="4244">
          <cell r="F4244" t="str">
            <v>210305756810HA000289</v>
          </cell>
        </row>
        <row r="4245">
          <cell r="F4245" t="str">
            <v>210305756810HA000664</v>
          </cell>
        </row>
        <row r="4246">
          <cell r="F4246" t="str">
            <v>210305756810HA000454</v>
          </cell>
        </row>
        <row r="4247">
          <cell r="F4247" t="str">
            <v>210305756810HA000667</v>
          </cell>
        </row>
        <row r="4248">
          <cell r="F4248" t="str">
            <v>210305756810HA000477</v>
          </cell>
        </row>
        <row r="4249">
          <cell r="F4249" t="str">
            <v>210305756810HA000287</v>
          </cell>
        </row>
        <row r="4250">
          <cell r="F4250" t="str">
            <v>210305756810HA000672</v>
          </cell>
        </row>
        <row r="4251">
          <cell r="F4251" t="str">
            <v>210305756810HA000389</v>
          </cell>
        </row>
        <row r="4252">
          <cell r="F4252" t="str">
            <v>210305756810HA000441</v>
          </cell>
        </row>
        <row r="4253">
          <cell r="F4253" t="str">
            <v>210305756810HA000600</v>
          </cell>
        </row>
        <row r="4254">
          <cell r="F4254" t="str">
            <v>210305756810HA000462</v>
          </cell>
        </row>
        <row r="4255">
          <cell r="F4255" t="str">
            <v>210305756810HA000621</v>
          </cell>
        </row>
        <row r="4256">
          <cell r="F4256" t="str">
            <v>210305756810HA000209</v>
          </cell>
        </row>
        <row r="4257">
          <cell r="F4257" t="str">
            <v>2102300742N0G6000384/
210230102810HA000057</v>
          </cell>
        </row>
        <row r="4258">
          <cell r="F4258" t="str">
            <v>210305756810HA000385</v>
          </cell>
        </row>
        <row r="4259">
          <cell r="F4259" t="str">
            <v>210305756810HA000383</v>
          </cell>
        </row>
        <row r="4260">
          <cell r="F4260" t="str">
            <v>210305756810HA000649</v>
          </cell>
        </row>
        <row r="4261">
          <cell r="F4261" t="str">
            <v>210305756810HA000182</v>
          </cell>
        </row>
        <row r="4262">
          <cell r="F4262" t="str">
            <v>210305756810HA000658</v>
          </cell>
        </row>
        <row r="4263">
          <cell r="F4263" t="str">
            <v>210305756810HA000153</v>
          </cell>
        </row>
        <row r="4264">
          <cell r="F4264" t="str">
            <v>210305756810HA000184</v>
          </cell>
        </row>
        <row r="4265">
          <cell r="F4265" t="str">
            <v>210305756810HA000662</v>
          </cell>
        </row>
        <row r="4266">
          <cell r="F4266" t="str">
            <v>210305756810HA000286</v>
          </cell>
        </row>
        <row r="4267">
          <cell r="F4267" t="str">
            <v>210305756810HA000613</v>
          </cell>
        </row>
        <row r="4268">
          <cell r="F4268" t="str">
            <v>210305756810HA000167</v>
          </cell>
        </row>
        <row r="4269">
          <cell r="F4269" t="str">
            <v>210305756810HA000608</v>
          </cell>
        </row>
        <row r="4270">
          <cell r="F4270" t="str">
            <v>210305756810HA000284</v>
          </cell>
        </row>
        <row r="4271">
          <cell r="F4271" t="str">
            <v>210305756810HA000643</v>
          </cell>
        </row>
        <row r="4272">
          <cell r="F4272" t="str">
            <v>210305756810HA000602</v>
          </cell>
        </row>
        <row r="4273">
          <cell r="F4273" t="str">
            <v>210305756810HA000214</v>
          </cell>
        </row>
        <row r="4274">
          <cell r="F4274" t="str">
            <v>2102300742N0H9000471/
210230102810HA000060</v>
          </cell>
        </row>
        <row r="4275">
          <cell r="F4275" t="str">
            <v>210305756810HA000657</v>
          </cell>
        </row>
        <row r="4276">
          <cell r="F4276" t="str">
            <v>210305756810HA000473</v>
          </cell>
        </row>
        <row r="4277">
          <cell r="F4277" t="str">
            <v>210305756810HA000460</v>
          </cell>
        </row>
        <row r="4278">
          <cell r="F4278" t="str">
            <v>210305756810HA000166</v>
          </cell>
        </row>
        <row r="4279">
          <cell r="F4279" t="str">
            <v>210305756810HA000671</v>
          </cell>
        </row>
        <row r="4280">
          <cell r="F4280" t="str">
            <v>210305756810HA000641</v>
          </cell>
        </row>
        <row r="4281">
          <cell r="F4281" t="str">
            <v>210305756810HA000475</v>
          </cell>
        </row>
        <row r="4282">
          <cell r="F4282" t="str">
            <v>210305756810HA000485</v>
          </cell>
        </row>
        <row r="4283">
          <cell r="F4283" t="str">
            <v>210305756810HA000154</v>
          </cell>
        </row>
        <row r="4284">
          <cell r="F4284" t="str">
            <v>210305756810HA000471</v>
          </cell>
        </row>
        <row r="4285">
          <cell r="F4285" t="str">
            <v>210305756810HA000470</v>
          </cell>
        </row>
        <row r="4286">
          <cell r="F4286" t="str">
            <v>210305756810HA000468</v>
          </cell>
        </row>
        <row r="4287">
          <cell r="F4287" t="str">
            <v>210305756810HA000397</v>
          </cell>
        </row>
        <row r="4288">
          <cell r="F4288" t="str">
            <v>210305756810HA000635</v>
          </cell>
        </row>
        <row r="4289">
          <cell r="F4289" t="str">
            <v>210305756810HA000637</v>
          </cell>
        </row>
        <row r="4290">
          <cell r="F4290" t="str">
            <v>210305756810HA000403</v>
          </cell>
        </row>
        <row r="4291">
          <cell r="F4291" t="str">
            <v>2102300742N0H9000537/
210230102810HA000016</v>
          </cell>
        </row>
        <row r="4292">
          <cell r="F4292" t="str">
            <v>210305756810HA000484</v>
          </cell>
        </row>
        <row r="4293">
          <cell r="F4293" t="str">
            <v>210305756810HA000598</v>
          </cell>
        </row>
        <row r="4294">
          <cell r="F4294" t="str">
            <v>210305756810HA000395</v>
          </cell>
        </row>
        <row r="4295">
          <cell r="F4295" t="str">
            <v>210305756810HA000376</v>
          </cell>
        </row>
        <row r="4296">
          <cell r="F4296" t="str">
            <v>210305756810HA000452</v>
          </cell>
        </row>
        <row r="4297">
          <cell r="F4297" t="str">
            <v>210305756810HA000632</v>
          </cell>
        </row>
        <row r="4298">
          <cell r="F4298" t="str">
            <v>210305756810HA000666</v>
          </cell>
        </row>
        <row r="4299">
          <cell r="F4299" t="str">
            <v>210305756810HA000387</v>
          </cell>
        </row>
        <row r="4300">
          <cell r="F4300" t="str">
            <v>210305756810HA000171</v>
          </cell>
        </row>
        <row r="4301">
          <cell r="F4301" t="str">
            <v>210305756810HA000360</v>
          </cell>
        </row>
        <row r="4302">
          <cell r="F4302" t="str">
            <v>210305756810HA000604</v>
          </cell>
        </row>
        <row r="4303">
          <cell r="F4303" t="str">
            <v>210305756810HA000168</v>
          </cell>
        </row>
        <row r="4304">
          <cell r="F4304" t="str">
            <v>210305756810HA000388</v>
          </cell>
        </row>
        <row r="4305">
          <cell r="F4305" t="str">
            <v>210305756810HA000474</v>
          </cell>
        </row>
        <row r="4306">
          <cell r="F4306" t="str">
            <v>210305756810HA000447</v>
          </cell>
        </row>
        <row r="4307">
          <cell r="F4307" t="str">
            <v>210305756810HA000617</v>
          </cell>
        </row>
        <row r="4308">
          <cell r="F4308" t="str">
            <v>2102300742N0H9000545/
210230102810HA000019</v>
          </cell>
        </row>
        <row r="4309">
          <cell r="F4309" t="str">
            <v>210305756810HA000183</v>
          </cell>
        </row>
        <row r="4310">
          <cell r="F4310" t="str">
            <v>210305756810HA000674</v>
          </cell>
        </row>
        <row r="4311">
          <cell r="F4311" t="str">
            <v>210305756810HA000205</v>
          </cell>
        </row>
        <row r="4312">
          <cell r="F4312" t="str">
            <v>210305756810HA001177</v>
          </cell>
        </row>
        <row r="4313">
          <cell r="F4313" t="str">
            <v>210305756810HA000931</v>
          </cell>
        </row>
        <row r="4314">
          <cell r="F4314" t="str">
            <v>210305756810HA001148</v>
          </cell>
        </row>
        <row r="4315">
          <cell r="F4315" t="str">
            <v>210305756810HA001133</v>
          </cell>
        </row>
        <row r="4316">
          <cell r="F4316" t="str">
            <v>210305756810HA001089</v>
          </cell>
        </row>
        <row r="4317">
          <cell r="F4317" t="str">
            <v>210305756810HA000482</v>
          </cell>
        </row>
        <row r="4318">
          <cell r="F4318" t="str">
            <v>210305756810HA000365</v>
          </cell>
        </row>
        <row r="4319">
          <cell r="F4319" t="str">
            <v>210305756810HA000203</v>
          </cell>
        </row>
        <row r="4320">
          <cell r="F4320" t="str">
            <v>210305756810HA000603</v>
          </cell>
        </row>
        <row r="4321">
          <cell r="F4321" t="str">
            <v>210305756810HA000605</v>
          </cell>
        </row>
        <row r="4322">
          <cell r="F4322" t="str">
            <v>210305756810HA000374</v>
          </cell>
        </row>
        <row r="4323">
          <cell r="F4323" t="str">
            <v>210305756810HA000371</v>
          </cell>
        </row>
        <row r="4324">
          <cell r="F4324" t="str">
            <v>210305756810HA000440</v>
          </cell>
        </row>
        <row r="4325">
          <cell r="F4325" t="str">
            <v>2102300742N0H9000553/
210230102810HA000014</v>
          </cell>
        </row>
        <row r="4326">
          <cell r="F4326" t="str">
            <v>210305756810HA001166</v>
          </cell>
        </row>
        <row r="4327">
          <cell r="F4327" t="str">
            <v>210305756810HA001107</v>
          </cell>
        </row>
        <row r="4328">
          <cell r="F4328" t="str">
            <v>210305756810HA001169</v>
          </cell>
        </row>
        <row r="4329">
          <cell r="F4329" t="str">
            <v>210305756810HA000836</v>
          </cell>
        </row>
        <row r="4330">
          <cell r="F4330" t="str">
            <v>210305756810HA001117</v>
          </cell>
        </row>
        <row r="4331">
          <cell r="F4331" t="str">
            <v>210305756810HA001173</v>
          </cell>
        </row>
        <row r="4332">
          <cell r="F4332" t="str">
            <v>210305756810HA001090</v>
          </cell>
        </row>
        <row r="4333">
          <cell r="F4333" t="str">
            <v>210305756810HA001091</v>
          </cell>
        </row>
        <row r="4334">
          <cell r="F4334" t="str">
            <v>210305756810HA000881</v>
          </cell>
        </row>
        <row r="4335">
          <cell r="F4335" t="str">
            <v>210305756810HA001152</v>
          </cell>
        </row>
        <row r="4336">
          <cell r="F4336" t="str">
            <v>210305756810HA001139</v>
          </cell>
        </row>
        <row r="4337">
          <cell r="F4337" t="str">
            <v>210305756810HA000861</v>
          </cell>
        </row>
        <row r="4338">
          <cell r="F4338" t="str">
            <v>210305756810HA000827</v>
          </cell>
        </row>
        <row r="4339">
          <cell r="F4339" t="str">
            <v>210305756810HA000840</v>
          </cell>
        </row>
        <row r="4340">
          <cell r="F4340" t="str">
            <v>210305756810HA000835</v>
          </cell>
        </row>
        <row r="4341">
          <cell r="F4341" t="str">
            <v>210305756810HA000879</v>
          </cell>
        </row>
        <row r="4342">
          <cell r="F4342" t="str">
            <v>210235A1G9H179000005</v>
          </cell>
        </row>
        <row r="4343">
          <cell r="F4343" t="str">
            <v>210235A1G9H178000023</v>
          </cell>
        </row>
        <row r="4344">
          <cell r="F4344" t="str">
            <v>210235A1G9H178000010</v>
          </cell>
        </row>
        <row r="4345">
          <cell r="F4345" t="str">
            <v>210235A1TXH179000419</v>
          </cell>
        </row>
        <row r="4346">
          <cell r="F4346" t="str">
            <v>210235A1TXH179000325</v>
          </cell>
        </row>
        <row r="4347">
          <cell r="F4347" t="str">
            <v>210235A1G9H178000017</v>
          </cell>
        </row>
        <row r="4348">
          <cell r="F4348" t="str">
            <v>210235A1G9H179000020</v>
          </cell>
        </row>
        <row r="4349">
          <cell r="F4349" t="str">
            <v>210235A1G9H178000048</v>
          </cell>
        </row>
        <row r="4350">
          <cell r="F4350" t="str">
            <v>210235A1G9H179000025</v>
          </cell>
        </row>
        <row r="4351">
          <cell r="F4351" t="str">
            <v>2102300742N0H6000477/210230102810HA000059</v>
          </cell>
        </row>
        <row r="4352">
          <cell r="F4352" t="str">
            <v>210305756810HA001180</v>
          </cell>
        </row>
        <row r="4353">
          <cell r="F4353" t="str">
            <v>210305756810HA001065</v>
          </cell>
        </row>
        <row r="4354">
          <cell r="F4354" t="str">
            <v>210305756810HA001092</v>
          </cell>
        </row>
        <row r="4355">
          <cell r="F4355" t="str">
            <v>210305756810HA001074</v>
          </cell>
        </row>
        <row r="4356">
          <cell r="F4356" t="str">
            <v>210305756810HA000945</v>
          </cell>
        </row>
        <row r="4357">
          <cell r="F4357" t="str">
            <v>210305756810HA001172</v>
          </cell>
        </row>
        <row r="4358">
          <cell r="F4358" t="str">
            <v>210305756810HA000741</v>
          </cell>
        </row>
        <row r="4359">
          <cell r="F4359" t="str">
            <v>210305756810HA000895</v>
          </cell>
        </row>
        <row r="4360">
          <cell r="F4360" t="str">
            <v>210305756810HA001094</v>
          </cell>
        </row>
        <row r="4361">
          <cell r="F4361" t="str">
            <v>210305756810HA001068</v>
          </cell>
        </row>
        <row r="4362">
          <cell r="F4362" t="str">
            <v>210305756810HA001167</v>
          </cell>
        </row>
        <row r="4363">
          <cell r="F4363" t="str">
            <v>210305756810HA001096</v>
          </cell>
        </row>
        <row r="4364">
          <cell r="F4364" t="str">
            <v>210305756810HA001067</v>
          </cell>
        </row>
        <row r="4365">
          <cell r="F4365" t="str">
            <v>210305756810HA001066</v>
          </cell>
        </row>
        <row r="4366">
          <cell r="F4366" t="str">
            <v>210305756810HA000899</v>
          </cell>
        </row>
        <row r="4367">
          <cell r="F4367" t="str">
            <v>210305756810HA001112</v>
          </cell>
        </row>
        <row r="4368">
          <cell r="F4368" t="str">
            <v>2102300742N0H9000578/210230102810HA000055</v>
          </cell>
        </row>
        <row r="4369">
          <cell r="F4369" t="str">
            <v>210305756810HA001175</v>
          </cell>
        </row>
        <row r="4370">
          <cell r="F4370" t="str">
            <v>210305756810HA001058</v>
          </cell>
        </row>
        <row r="4371">
          <cell r="F4371" t="str">
            <v>210305756810HA001108</v>
          </cell>
        </row>
        <row r="4372">
          <cell r="F4372" t="str">
            <v>210305756810HA001130</v>
          </cell>
        </row>
        <row r="4373">
          <cell r="F4373" t="str">
            <v>210305756810HA000926</v>
          </cell>
        </row>
        <row r="4374">
          <cell r="F4374" t="str">
            <v>210305756810HA001097</v>
          </cell>
        </row>
        <row r="4375">
          <cell r="F4375" t="str">
            <v>210305756810HA000898</v>
          </cell>
        </row>
        <row r="4376">
          <cell r="F4376" t="str">
            <v>210305756810HA000950</v>
          </cell>
        </row>
        <row r="4377">
          <cell r="F4377" t="str">
            <v>210305756810HA000902</v>
          </cell>
        </row>
        <row r="4378">
          <cell r="F4378" t="str">
            <v>210305756810HA000943</v>
          </cell>
        </row>
        <row r="4379">
          <cell r="F4379" t="str">
            <v>210305756810HA001114</v>
          </cell>
        </row>
        <row r="4380">
          <cell r="F4380" t="str">
            <v>210305756810HA001110</v>
          </cell>
        </row>
        <row r="4381">
          <cell r="F4381" t="str">
            <v>210305756810HA001064</v>
          </cell>
        </row>
        <row r="4382">
          <cell r="F4382" t="str">
            <v>210305756810HA001063</v>
          </cell>
        </row>
        <row r="4383">
          <cell r="F4383" t="str">
            <v>210305756810HA000904</v>
          </cell>
        </row>
        <row r="4384">
          <cell r="F4384" t="str">
            <v>210305756810HA000907</v>
          </cell>
        </row>
        <row r="4385">
          <cell r="F4385" t="str">
            <v>2102300742N0H9000504/210230102810HA000025</v>
          </cell>
        </row>
        <row r="4386">
          <cell r="F4386" t="str">
            <v>210305756810HA000310</v>
          </cell>
        </row>
        <row r="4387">
          <cell r="F4387" t="str">
            <v>210305756810HA000592</v>
          </cell>
        </row>
        <row r="4388">
          <cell r="F4388" t="str">
            <v>210305756810HA000431</v>
          </cell>
        </row>
        <row r="4389">
          <cell r="F4389" t="str">
            <v>210305756810HA000244</v>
          </cell>
        </row>
        <row r="4390">
          <cell r="F4390" t="str">
            <v>210305756810HA000457</v>
          </cell>
        </row>
        <row r="4391">
          <cell r="F4391" t="str">
            <v>210305756810HA000455</v>
          </cell>
        </row>
        <row r="4392">
          <cell r="F4392" t="str">
            <v>210305756810HA000415</v>
          </cell>
        </row>
        <row r="4393">
          <cell r="F4393" t="str">
            <v>210305756810HA000459</v>
          </cell>
        </row>
        <row r="4394">
          <cell r="F4394" t="str">
            <v>210305756810HA000311</v>
          </cell>
        </row>
        <row r="4395">
          <cell r="F4395" t="str">
            <v>210305756810HA000306</v>
          </cell>
        </row>
        <row r="4396">
          <cell r="F4396" t="str">
            <v>210305756810HA000300</v>
          </cell>
        </row>
        <row r="4397">
          <cell r="F4397" t="str">
            <v>210305756810HA000276</v>
          </cell>
        </row>
        <row r="4398">
          <cell r="F4398" t="str">
            <v>210305756810HA000423</v>
          </cell>
        </row>
        <row r="4399">
          <cell r="F4399" t="str">
            <v>210305756810HA000565</v>
          </cell>
        </row>
        <row r="4400">
          <cell r="F4400" t="str">
            <v>210305756810HA000582</v>
          </cell>
        </row>
        <row r="4401">
          <cell r="F4401" t="str">
            <v>210305756810HA000630</v>
          </cell>
        </row>
        <row r="4402">
          <cell r="F4402" t="str">
            <v>2102300742N0H9000593/210230102810HA000099</v>
          </cell>
        </row>
        <row r="4403">
          <cell r="F4403" t="str">
            <v>210305756810HA000238</v>
          </cell>
        </row>
        <row r="4404">
          <cell r="F4404" t="str">
            <v>210305756810HA000312</v>
          </cell>
        </row>
        <row r="4405">
          <cell r="F4405" t="str">
            <v>210305756810HA000570</v>
          </cell>
        </row>
        <row r="4406">
          <cell r="F4406" t="str">
            <v>210305756810HA000417</v>
          </cell>
        </row>
        <row r="4407">
          <cell r="F4407" t="str">
            <v>210305756810HA000335</v>
          </cell>
        </row>
        <row r="4408">
          <cell r="F4408" t="str">
            <v>210305756810HA000228</v>
          </cell>
        </row>
        <row r="4409">
          <cell r="F4409" t="str">
            <v>210305756810HA000268</v>
          </cell>
        </row>
        <row r="4410">
          <cell r="F4410" t="str">
            <v>210305756810HA000273</v>
          </cell>
        </row>
        <row r="4411">
          <cell r="F4411" t="str">
            <v>210305756810HA000583</v>
          </cell>
        </row>
        <row r="4412">
          <cell r="F4412" t="str">
            <v>210305756810HA000297</v>
          </cell>
        </row>
        <row r="4413">
          <cell r="F4413" t="str">
            <v>210305756810HA000329</v>
          </cell>
        </row>
        <row r="4414">
          <cell r="F4414" t="str">
            <v>210305756810HA000566</v>
          </cell>
        </row>
        <row r="4415">
          <cell r="F4415" t="str">
            <v>210305756810HA000569</v>
          </cell>
        </row>
        <row r="4416">
          <cell r="F4416" t="str">
            <v>210305756810HA000571</v>
          </cell>
        </row>
        <row r="4417">
          <cell r="F4417" t="str">
            <v>210305756810HA000303</v>
          </cell>
        </row>
        <row r="4418">
          <cell r="F4418" t="str">
            <v>210305756810HA000270</v>
          </cell>
        </row>
        <row r="4419">
          <cell r="F4419" t="str">
            <v>2102300742N0H9000589/210230102810HA000100</v>
          </cell>
        </row>
        <row r="4420">
          <cell r="F4420" t="str">
            <v>210305756810HA000564</v>
          </cell>
        </row>
        <row r="4421">
          <cell r="F4421" t="str">
            <v>210305756810HA000414</v>
          </cell>
        </row>
        <row r="4422">
          <cell r="F4422" t="str">
            <v>210305756810HA000413</v>
          </cell>
        </row>
        <row r="4423">
          <cell r="F4423" t="str">
            <v>210305756810HA000432</v>
          </cell>
        </row>
        <row r="4424">
          <cell r="F4424" t="str">
            <v>210305756810HA000590</v>
          </cell>
        </row>
        <row r="4425">
          <cell r="F4425" t="str">
            <v>210305756810HA000246</v>
          </cell>
        </row>
        <row r="4426">
          <cell r="F4426" t="str">
            <v>210305756810HA000429</v>
          </cell>
        </row>
        <row r="4427">
          <cell r="F4427" t="str">
            <v>210305756810HA000218</v>
          </cell>
        </row>
        <row r="4428">
          <cell r="F4428" t="str">
            <v>210305756810HA000266</v>
          </cell>
        </row>
        <row r="4429">
          <cell r="F4429" t="str">
            <v>210305756810HA000421</v>
          </cell>
        </row>
        <row r="4430">
          <cell r="F4430" t="str">
            <v>210305756810HA000430</v>
          </cell>
        </row>
        <row r="4431">
          <cell r="F4431" t="str">
            <v>210305756810HA000234</v>
          </cell>
        </row>
        <row r="4432">
          <cell r="F4432" t="str">
            <v>210305756810HA000416</v>
          </cell>
        </row>
        <row r="4433">
          <cell r="F4433" t="str">
            <v>210305756810HA000222</v>
          </cell>
        </row>
        <row r="4434">
          <cell r="F4434" t="str">
            <v>210305756810HA000434</v>
          </cell>
        </row>
        <row r="4435">
          <cell r="F4435" t="str">
            <v>210305756810HA000247</v>
          </cell>
        </row>
        <row r="4436">
          <cell r="F4436" t="str">
            <v>2102300742N0H9000256/210230102810HA000026</v>
          </cell>
        </row>
        <row r="4437">
          <cell r="F4437" t="str">
            <v>210305756810HA000627</v>
          </cell>
        </row>
        <row r="4438">
          <cell r="F4438" t="str">
            <v>210305756810HA000324</v>
          </cell>
        </row>
        <row r="4439">
          <cell r="F4439" t="str">
            <v>210305756810HA000260</v>
          </cell>
        </row>
        <row r="4440">
          <cell r="F4440" t="str">
            <v>210305756810HA000573</v>
          </cell>
        </row>
        <row r="4441">
          <cell r="F4441" t="str">
            <v>210305756810HA000328</v>
          </cell>
        </row>
        <row r="4442">
          <cell r="F4442" t="str">
            <v>210305756810HA000275</v>
          </cell>
        </row>
        <row r="4443">
          <cell r="F4443" t="str">
            <v>210305756810HA000325</v>
          </cell>
        </row>
        <row r="4444">
          <cell r="F4444" t="str">
            <v>210305756810HA000336</v>
          </cell>
        </row>
        <row r="4445">
          <cell r="F4445" t="str">
            <v>210305756810HA000299</v>
          </cell>
        </row>
        <row r="4446">
          <cell r="F4446" t="str">
            <v>210305756810HA000269</v>
          </cell>
        </row>
        <row r="4447">
          <cell r="F4447" t="str">
            <v>210305756810HA000298</v>
          </cell>
        </row>
        <row r="4448">
          <cell r="F4448" t="str">
            <v>210305756810HA000435</v>
          </cell>
        </row>
        <row r="4449">
          <cell r="F4449" t="str">
            <v>210305756810HA000239</v>
          </cell>
        </row>
        <row r="4450">
          <cell r="F4450" t="str">
            <v>210305756810HA000628</v>
          </cell>
        </row>
        <row r="4451">
          <cell r="F4451" t="str">
            <v>210305756810HA000221</v>
          </cell>
        </row>
        <row r="4452">
          <cell r="F4452" t="str">
            <v>210305756810HA000588</v>
          </cell>
        </row>
        <row r="4453">
          <cell r="F4453" t="str">
            <v>2102300742N0H9000671/
210230102810HA000177</v>
          </cell>
        </row>
        <row r="4454">
          <cell r="F4454" t="str">
            <v>210305756810HA000343</v>
          </cell>
        </row>
        <row r="4455">
          <cell r="F4455" t="str">
            <v>210305756810HA001843</v>
          </cell>
        </row>
        <row r="4456">
          <cell r="F4456" t="str">
            <v>210305756810HA001850</v>
          </cell>
        </row>
        <row r="4457">
          <cell r="F4457" t="str">
            <v>210305756810HA001840</v>
          </cell>
        </row>
        <row r="4458">
          <cell r="F4458" t="str">
            <v>210305756810HA001847</v>
          </cell>
        </row>
        <row r="4459">
          <cell r="F4459" t="str">
            <v>210305756810HA001851</v>
          </cell>
        </row>
        <row r="4460">
          <cell r="F4460" t="str">
            <v>210305756810HA001571</v>
          </cell>
        </row>
        <row r="4461">
          <cell r="F4461" t="str">
            <v>210305756810HA001558</v>
          </cell>
        </row>
        <row r="4462">
          <cell r="F4462" t="str">
            <v>210305756810HA000251</v>
          </cell>
        </row>
        <row r="4463">
          <cell r="F4463" t="str">
            <v>210305756810HA000296</v>
          </cell>
        </row>
        <row r="4464">
          <cell r="F4464" t="str">
            <v>210305756810HA000272</v>
          </cell>
        </row>
        <row r="4465">
          <cell r="F4465" t="str">
            <v>210305756810HA000509</v>
          </cell>
        </row>
        <row r="4466">
          <cell r="F4466" t="str">
            <v>210305756810HA000419</v>
          </cell>
        </row>
        <row r="4467">
          <cell r="F4467" t="str">
            <v>210305756810HA001838</v>
          </cell>
        </row>
        <row r="4468">
          <cell r="F4468" t="str">
            <v>210305756810HA001849</v>
          </cell>
        </row>
        <row r="4469">
          <cell r="F4469" t="str">
            <v>210305756810HA001855</v>
          </cell>
        </row>
        <row r="4470">
          <cell r="F4470" t="str">
            <v>2102300742N0H9000420/
210230102810HA000028</v>
          </cell>
        </row>
        <row r="4471">
          <cell r="F4471" t="str">
            <v>210305756810HA000223</v>
          </cell>
        </row>
        <row r="4472">
          <cell r="F4472" t="str">
            <v>210305756810HA000586</v>
          </cell>
        </row>
        <row r="4473">
          <cell r="F4473" t="str">
            <v>210305756810HA000626</v>
          </cell>
        </row>
        <row r="4474">
          <cell r="F4474" t="str">
            <v>210305756810HA000508</v>
          </cell>
        </row>
        <row r="4475">
          <cell r="F4475" t="str">
            <v>210305756810HA000424</v>
          </cell>
        </row>
        <row r="4476">
          <cell r="F4476" t="str">
            <v>210305756810HA000426</v>
          </cell>
        </row>
        <row r="4477">
          <cell r="F4477" t="str">
            <v>210305756810HA000575</v>
          </cell>
        </row>
        <row r="4478">
          <cell r="F4478" t="str">
            <v>210305756810HA000224</v>
          </cell>
        </row>
        <row r="4479">
          <cell r="F4479" t="str">
            <v>210305756810HA000425</v>
          </cell>
        </row>
        <row r="4480">
          <cell r="F4480" t="str">
            <v>210305756810HA000305</v>
          </cell>
        </row>
        <row r="4481">
          <cell r="F4481" t="str">
            <v>210305756810HA000587</v>
          </cell>
        </row>
        <row r="4482">
          <cell r="F4482" t="str">
            <v>210305756810HA000510</v>
          </cell>
        </row>
        <row r="4483">
          <cell r="F4483" t="str">
            <v>210305756810HA000437</v>
          </cell>
        </row>
        <row r="4484">
          <cell r="F4484" t="str">
            <v>210305756810HA000629</v>
          </cell>
        </row>
        <row r="4485">
          <cell r="F4485" t="str">
            <v>210305756810HA000237</v>
          </cell>
        </row>
        <row r="4486">
          <cell r="F4486" t="str">
            <v>210305756810HA000304</v>
          </cell>
        </row>
        <row r="4487">
          <cell r="F4487" t="str">
            <v>2102300742N0HA000006/210230102810HA000179</v>
          </cell>
        </row>
        <row r="4488">
          <cell r="F4488" t="str">
            <v>210305756810HA001268</v>
          </cell>
        </row>
        <row r="4489">
          <cell r="F4489" t="str">
            <v>210305756810HA001283</v>
          </cell>
        </row>
        <row r="4490">
          <cell r="F4490" t="str">
            <v>210305756810HA001263</v>
          </cell>
        </row>
        <row r="4491">
          <cell r="F4491" t="str">
            <v>210305756810HA001848</v>
          </cell>
        </row>
        <row r="4492">
          <cell r="F4492" t="str">
            <v>210305756810HA001569</v>
          </cell>
        </row>
        <row r="4493">
          <cell r="F4493" t="str">
            <v>210305756810HA001836</v>
          </cell>
        </row>
        <row r="4494">
          <cell r="F4494" t="str">
            <v>210305756810HA001573</v>
          </cell>
        </row>
        <row r="4495">
          <cell r="F4495" t="str">
            <v>210305756810HA001574</v>
          </cell>
        </row>
        <row r="4496">
          <cell r="F4496" t="str">
            <v>210305756810HA001280</v>
          </cell>
        </row>
        <row r="4497">
          <cell r="F4497" t="str">
            <v>210305756810HA001285</v>
          </cell>
        </row>
        <row r="4498">
          <cell r="F4498" t="str">
            <v>210305756810HA001272</v>
          </cell>
        </row>
        <row r="4499">
          <cell r="F4499" t="str">
            <v>210305756810HA001260</v>
          </cell>
        </row>
        <row r="4500">
          <cell r="F4500" t="str">
            <v>210305756810HA001267</v>
          </cell>
        </row>
        <row r="4501">
          <cell r="F4501" t="str">
            <v>210305756810HA001266</v>
          </cell>
        </row>
        <row r="4502">
          <cell r="F4502" t="str">
            <v>210305756810HA001269</v>
          </cell>
        </row>
        <row r="4503">
          <cell r="F4503" t="str">
            <v>210305756810HA001279</v>
          </cell>
        </row>
        <row r="4504">
          <cell r="F4504" t="str">
            <v>2102300742N0H9000689/210230102810HA000178</v>
          </cell>
        </row>
        <row r="4505">
          <cell r="F4505" t="str">
            <v>210305756810HA001258</v>
          </cell>
        </row>
        <row r="4506">
          <cell r="F4506" t="str">
            <v>210305756810HA001255</v>
          </cell>
        </row>
        <row r="4507">
          <cell r="F4507" t="str">
            <v>210305756810HA001256</v>
          </cell>
        </row>
        <row r="4508">
          <cell r="F4508" t="str">
            <v>210305756810HA001286</v>
          </cell>
        </row>
        <row r="4509">
          <cell r="F4509" t="str">
            <v>210305756810HA001271</v>
          </cell>
        </row>
        <row r="4510">
          <cell r="F4510" t="str">
            <v>210305756810HA001282</v>
          </cell>
        </row>
        <row r="4511">
          <cell r="F4511" t="str">
            <v>210305756810HA001270</v>
          </cell>
        </row>
        <row r="4512">
          <cell r="F4512" t="str">
            <v>210305756810HA001264</v>
          </cell>
        </row>
        <row r="4513">
          <cell r="F4513" t="str">
            <v>210305756810HA001281</v>
          </cell>
        </row>
        <row r="4514">
          <cell r="F4514" t="str">
            <v>210305756810HA001275</v>
          </cell>
        </row>
        <row r="4515">
          <cell r="F4515" t="str">
            <v>210305756810HA001261</v>
          </cell>
        </row>
        <row r="4516">
          <cell r="F4516" t="str">
            <v>210305756810HA001265</v>
          </cell>
        </row>
        <row r="4517">
          <cell r="F4517" t="str">
            <v>210305756810HA001284</v>
          </cell>
        </row>
        <row r="4518">
          <cell r="F4518" t="str">
            <v>210305756810HA001257</v>
          </cell>
        </row>
        <row r="4519">
          <cell r="F4519" t="str">
            <v>210305756810HA001262</v>
          </cell>
        </row>
        <row r="4520">
          <cell r="F4520" t="str">
            <v>210305756810HA001259</v>
          </cell>
        </row>
        <row r="4521">
          <cell r="F4521" t="str">
            <v>FCH2141V1X4</v>
          </cell>
        </row>
        <row r="4522">
          <cell r="F4522" t="str">
            <v>FCH2142V1ZF</v>
          </cell>
        </row>
        <row r="4523">
          <cell r="F4523" t="str">
            <v>FCH2142V1Y3</v>
          </cell>
        </row>
        <row r="4524">
          <cell r="F4524" t="str">
            <v>FCH2141V2MT</v>
          </cell>
        </row>
        <row r="4525">
          <cell r="F4525" t="str">
            <v>FCH2107V0XU</v>
          </cell>
        </row>
        <row r="4526">
          <cell r="F4526" t="str">
            <v>FCH2138V06N</v>
          </cell>
        </row>
        <row r="4527">
          <cell r="F4527" t="str">
            <v>FCH2132V06Q</v>
          </cell>
        </row>
        <row r="4528">
          <cell r="F4528" t="str">
            <v>FCH2138V07F</v>
          </cell>
        </row>
        <row r="4529">
          <cell r="F4529" t="str">
            <v>210235A1TXH179000264</v>
          </cell>
        </row>
        <row r="4530">
          <cell r="F4530" t="str">
            <v>210235A1TXH179000420</v>
          </cell>
        </row>
        <row r="4531">
          <cell r="F4531" t="str">
            <v>FCH2137V24V</v>
          </cell>
        </row>
        <row r="4532">
          <cell r="F4532" t="str">
            <v>FCH2141V1X6</v>
          </cell>
        </row>
        <row r="4533">
          <cell r="F4533" t="str">
            <v>FCH2141V1WX</v>
          </cell>
        </row>
        <row r="4534">
          <cell r="F4534" t="str">
            <v>2102300742N0H9000547/210230102810HA000022</v>
          </cell>
        </row>
        <row r="4535">
          <cell r="F4535" t="str">
            <v>210305756810HA000764</v>
          </cell>
        </row>
        <row r="4536">
          <cell r="F4536" t="str">
            <v>210305756810HA000746</v>
          </cell>
        </row>
        <row r="4537">
          <cell r="F4537" t="str">
            <v>210305756810HA000919</v>
          </cell>
        </row>
        <row r="4538">
          <cell r="F4538" t="str">
            <v>210305756810HA000938</v>
          </cell>
        </row>
        <row r="4539">
          <cell r="F4539" t="str">
            <v>210305756810HA000910</v>
          </cell>
        </row>
        <row r="4540">
          <cell r="F4540" t="str">
            <v>210305756810HA001061</v>
          </cell>
        </row>
        <row r="4541">
          <cell r="F4541" t="str">
            <v>210305756810HA000901</v>
          </cell>
        </row>
        <row r="4542">
          <cell r="F4542" t="str">
            <v>210305756810HA000908</v>
          </cell>
        </row>
        <row r="4543">
          <cell r="F4543" t="str">
            <v>210305756810HA000928</v>
          </cell>
        </row>
        <row r="4544">
          <cell r="F4544" t="str">
            <v>210305756810HA001062</v>
          </cell>
        </row>
        <row r="4545">
          <cell r="F4545" t="str">
            <v>210305756810HA000912</v>
          </cell>
        </row>
        <row r="4546">
          <cell r="F4546" t="str">
            <v>210305756810HA000866</v>
          </cell>
        </row>
        <row r="4547">
          <cell r="F4547" t="str">
            <v>210305756810HA001113</v>
          </cell>
        </row>
        <row r="4548">
          <cell r="F4548" t="str">
            <v>210305756810HA001104</v>
          </cell>
        </row>
        <row r="4549">
          <cell r="F4549" t="str">
            <v>210305756810HA000922</v>
          </cell>
        </row>
        <row r="4550">
          <cell r="F4550" t="str">
            <v>210305756810HA000750</v>
          </cell>
        </row>
        <row r="4551">
          <cell r="F4551" t="str">
            <v>2102300742N0H9000507/210230102810HA000021</v>
          </cell>
        </row>
        <row r="4552">
          <cell r="F4552" t="str">
            <v>210305756810HA000875</v>
          </cell>
        </row>
        <row r="4553">
          <cell r="F4553" t="str">
            <v>210305756810HA000850</v>
          </cell>
        </row>
        <row r="4554">
          <cell r="F4554" t="str">
            <v>210305756810HA001163</v>
          </cell>
        </row>
        <row r="4555">
          <cell r="F4555" t="str">
            <v>210305756810HA000852</v>
          </cell>
        </row>
        <row r="4556">
          <cell r="F4556" t="str">
            <v>210305756810HA000882</v>
          </cell>
        </row>
        <row r="4557">
          <cell r="F4557" t="str">
            <v>210305756810HA001077</v>
          </cell>
        </row>
        <row r="4558">
          <cell r="F4558" t="str">
            <v>210305756810HA001080</v>
          </cell>
        </row>
        <row r="4559">
          <cell r="F4559" t="str">
            <v>210305756810HA000856</v>
          </cell>
        </row>
        <row r="4560">
          <cell r="F4560" t="str">
            <v>210305756810HA000832</v>
          </cell>
        </row>
        <row r="4561">
          <cell r="F4561" t="str">
            <v>210305756810HA001181</v>
          </cell>
        </row>
        <row r="4562">
          <cell r="F4562" t="str">
            <v>210305756810HA000842</v>
          </cell>
        </row>
        <row r="4563">
          <cell r="F4563" t="str">
            <v>210305756810HA000864</v>
          </cell>
        </row>
        <row r="4564">
          <cell r="F4564" t="str">
            <v>210305756810HA000837</v>
          </cell>
        </row>
        <row r="4565">
          <cell r="F4565" t="str">
            <v>210305756810HA001142</v>
          </cell>
        </row>
        <row r="4566">
          <cell r="F4566" t="str">
            <v>210305756810HA000868</v>
          </cell>
        </row>
        <row r="4567">
          <cell r="F4567" t="str">
            <v>210305756810HA001126</v>
          </cell>
        </row>
        <row r="4568">
          <cell r="F4568" t="str">
            <v>2102300742N0H9000473/210230102810HA000061</v>
          </cell>
        </row>
        <row r="4569">
          <cell r="F4569" t="str">
            <v>210305756810HA000939</v>
          </cell>
        </row>
        <row r="4570">
          <cell r="F4570" t="str">
            <v>210305756810HA001095</v>
          </cell>
        </row>
        <row r="4571">
          <cell r="F4571" t="str">
            <v>210305756810HA000941</v>
          </cell>
        </row>
        <row r="4572">
          <cell r="F4572" t="str">
            <v>210305756810HA001098</v>
          </cell>
        </row>
        <row r="4573">
          <cell r="F4573" t="str">
            <v>210305756810HA000905</v>
          </cell>
        </row>
        <row r="4574">
          <cell r="F4574" t="str">
            <v>210305756810HA000924</v>
          </cell>
        </row>
        <row r="4575">
          <cell r="F4575" t="str">
            <v>210305756810HA001081</v>
          </cell>
        </row>
        <row r="4576">
          <cell r="F4576" t="str">
            <v>210305756810HA000916</v>
          </cell>
        </row>
        <row r="4577">
          <cell r="F4577" t="str">
            <v>210305756810HA000897</v>
          </cell>
        </row>
        <row r="4578">
          <cell r="F4578" t="str">
            <v>210305756810HA000917</v>
          </cell>
        </row>
        <row r="4579">
          <cell r="F4579" t="str">
            <v>210305756810HA000768</v>
          </cell>
        </row>
        <row r="4580">
          <cell r="F4580" t="str">
            <v>210305756810HA001102</v>
          </cell>
        </row>
        <row r="4581">
          <cell r="F4581" t="str">
            <v>210305756810HA000763</v>
          </cell>
        </row>
        <row r="4582">
          <cell r="F4582" t="str">
            <v>210305756810HA001123</v>
          </cell>
        </row>
        <row r="4583">
          <cell r="F4583" t="str">
            <v>210305756810HA000935</v>
          </cell>
        </row>
        <row r="4584">
          <cell r="F4584" t="str">
            <v>210305756810HA000777</v>
          </cell>
        </row>
        <row r="4585">
          <cell r="F4585" t="str">
            <v>2102300742N0H9000551/210230102810HA000020</v>
          </cell>
        </row>
        <row r="4586">
          <cell r="F4586" t="str">
            <v>210305756810HA000759</v>
          </cell>
        </row>
        <row r="4587">
          <cell r="F4587" t="str">
            <v>210305756810HA001105</v>
          </cell>
        </row>
        <row r="4588">
          <cell r="F4588" t="str">
            <v>210305756810HA000828</v>
          </cell>
        </row>
        <row r="4589">
          <cell r="F4589" t="str">
            <v>210305756810HA000767</v>
          </cell>
        </row>
        <row r="4590">
          <cell r="F4590" t="str">
            <v>210305756810HA000932</v>
          </cell>
        </row>
        <row r="4591">
          <cell r="F4591" t="str">
            <v>210305756810HA001103</v>
          </cell>
        </row>
        <row r="4592">
          <cell r="F4592" t="str">
            <v>210305756810HA000865</v>
          </cell>
        </row>
        <row r="4593">
          <cell r="F4593" t="str">
            <v>210305756810HA000940</v>
          </cell>
        </row>
        <row r="4594">
          <cell r="F4594" t="str">
            <v>210305756810HA001083</v>
          </cell>
        </row>
        <row r="4595">
          <cell r="F4595" t="str">
            <v>210305756810HA000952</v>
          </cell>
        </row>
        <row r="4596">
          <cell r="F4596" t="str">
            <v>210305756810HA000944</v>
          </cell>
        </row>
        <row r="4597">
          <cell r="F4597" t="str">
            <v>210305756810HA001093</v>
          </cell>
        </row>
        <row r="4598">
          <cell r="F4598" t="str">
            <v>210305756810HA000847</v>
          </cell>
        </row>
        <row r="4599">
          <cell r="F4599" t="str">
            <v>210305756810HA001146</v>
          </cell>
        </row>
        <row r="4600">
          <cell r="F4600" t="str">
            <v>210305756810HA001128</v>
          </cell>
        </row>
        <row r="4601">
          <cell r="F4601" t="str">
            <v>210305756810HA000948</v>
          </cell>
        </row>
        <row r="4602">
          <cell r="F4602" t="str">
            <v>2102300742N0H9000543/210230102810HA000018</v>
          </cell>
        </row>
        <row r="4603">
          <cell r="F4603" t="str">
            <v>210305756810HA000747</v>
          </cell>
        </row>
        <row r="4604">
          <cell r="F4604" t="str">
            <v>210305756810HA000936</v>
          </cell>
        </row>
        <row r="4605">
          <cell r="F4605" t="str">
            <v>210305756810HA000825</v>
          </cell>
        </row>
        <row r="4606">
          <cell r="F4606" t="str">
            <v>210305756810HA001143</v>
          </cell>
        </row>
        <row r="4607">
          <cell r="F4607" t="str">
            <v>210305756810HA001082</v>
          </cell>
        </row>
        <row r="4608">
          <cell r="F4608" t="str">
            <v>210305756810HA001115</v>
          </cell>
        </row>
        <row r="4609">
          <cell r="F4609" t="str">
            <v>210305756810HA000753</v>
          </cell>
        </row>
        <row r="4610">
          <cell r="F4610" t="str">
            <v>210305756810HA000911</v>
          </cell>
        </row>
        <row r="4611">
          <cell r="F4611" t="str">
            <v>210305756810HA001153</v>
          </cell>
        </row>
        <row r="4612">
          <cell r="F4612" t="str">
            <v>210305756810HA000826</v>
          </cell>
        </row>
        <row r="4613">
          <cell r="F4613" t="str">
            <v>210305756810HA000930</v>
          </cell>
        </row>
        <row r="4614">
          <cell r="F4614" t="str">
            <v>210305756810HA001087</v>
          </cell>
        </row>
        <row r="4615">
          <cell r="F4615" t="str">
            <v>210305756810HA001059</v>
          </cell>
        </row>
        <row r="4616">
          <cell r="F4616" t="str">
            <v>210305756810HA000900</v>
          </cell>
        </row>
        <row r="4617">
          <cell r="F4617" t="str">
            <v>210305756810HA000903</v>
          </cell>
        </row>
        <row r="4618">
          <cell r="F4618" t="str">
            <v>210305756810HA000762</v>
          </cell>
        </row>
        <row r="4619">
          <cell r="F4619" t="str">
            <v>2102300742N0H9000608/210230102810HA000094</v>
          </cell>
        </row>
        <row r="4620">
          <cell r="F4620" t="str">
            <v>210305756810HA001129</v>
          </cell>
        </row>
        <row r="4621">
          <cell r="F4621" t="str">
            <v>210305756810HA000743</v>
          </cell>
        </row>
        <row r="4622">
          <cell r="F4622" t="str">
            <v>210305756810HA001099</v>
          </cell>
        </row>
        <row r="4623">
          <cell r="F4623" t="str">
            <v>210305756810HA001060</v>
          </cell>
        </row>
        <row r="4624">
          <cell r="F4624" t="str">
            <v>210305756810HA001106</v>
          </cell>
        </row>
        <row r="4625">
          <cell r="F4625" t="str">
            <v>210305756810HA001075</v>
          </cell>
        </row>
        <row r="4626">
          <cell r="F4626" t="str">
            <v>210305756810HA001078</v>
          </cell>
        </row>
        <row r="4627">
          <cell r="F4627" t="str">
            <v>210305756810HA000769</v>
          </cell>
        </row>
        <row r="4628">
          <cell r="F4628" t="str">
            <v>210305756810HA001101</v>
          </cell>
        </row>
        <row r="4629">
          <cell r="F4629" t="str">
            <v>210305756810HA000934</v>
          </cell>
        </row>
        <row r="4630">
          <cell r="F4630" t="str">
            <v>210305756810HA001176</v>
          </cell>
        </row>
        <row r="4631">
          <cell r="F4631" t="str">
            <v>210305756810HA001125</v>
          </cell>
        </row>
        <row r="4632">
          <cell r="F4632" t="str">
            <v>210305756810HA000923</v>
          </cell>
        </row>
        <row r="4633">
          <cell r="F4633" t="str">
            <v>210305756810HA001127</v>
          </cell>
        </row>
        <row r="4634">
          <cell r="F4634" t="str">
            <v>210305756810HA001116</v>
          </cell>
        </row>
        <row r="4635">
          <cell r="F4635" t="str">
            <v>210305756810HA001111</v>
          </cell>
        </row>
        <row r="4636">
          <cell r="F4636" t="str">
            <v>2102300742N0H9000557/210230102810HA000043</v>
          </cell>
        </row>
        <row r="4637">
          <cell r="F4637" t="str">
            <v>210305756810HA000843</v>
          </cell>
        </row>
        <row r="4638">
          <cell r="F4638" t="str">
            <v>210305756810HA000850</v>
          </cell>
        </row>
        <row r="4639">
          <cell r="F4639" t="str">
            <v>210305756810HA000854</v>
          </cell>
        </row>
        <row r="4640">
          <cell r="F4640" t="str">
            <v>210305756810HA001154</v>
          </cell>
        </row>
        <row r="4641">
          <cell r="F4641" t="str">
            <v>210305756810HA001100</v>
          </cell>
        </row>
        <row r="4642">
          <cell r="F4642" t="str">
            <v>210305756810HA000831</v>
          </cell>
        </row>
        <row r="4643">
          <cell r="F4643" t="str">
            <v>210305756810HA000711</v>
          </cell>
        </row>
        <row r="4644">
          <cell r="F4644" t="str">
            <v>210305756810HA000846</v>
          </cell>
        </row>
        <row r="4645">
          <cell r="F4645" t="str">
            <v>210305756810HA000872</v>
          </cell>
        </row>
        <row r="4646">
          <cell r="F4646" t="str">
            <v>210305756810HA000867</v>
          </cell>
        </row>
        <row r="4647">
          <cell r="F4647" t="str">
            <v>210305756810HA000876</v>
          </cell>
        </row>
        <row r="4648">
          <cell r="F4648" t="str">
            <v>210305756810HA001170</v>
          </cell>
        </row>
        <row r="4649">
          <cell r="F4649" t="str">
            <v>210305756810HA000883</v>
          </cell>
        </row>
        <row r="4650">
          <cell r="F4650" t="str">
            <v>210305756810HA000873</v>
          </cell>
        </row>
        <row r="4651">
          <cell r="F4651" t="str">
            <v>210305756810HA000859</v>
          </cell>
        </row>
        <row r="4652">
          <cell r="F4652" t="str">
            <v>210305756810HA001071</v>
          </cell>
        </row>
        <row r="4653">
          <cell r="F4653" t="str">
            <v>2102300742N0H9000550/210230102810HA000015</v>
          </cell>
        </row>
        <row r="4654">
          <cell r="F4654" t="str">
            <v>210305756810HA001171</v>
          </cell>
        </row>
        <row r="4655">
          <cell r="F4655" t="str">
            <v>210305756810HA000853</v>
          </cell>
        </row>
        <row r="4656">
          <cell r="F4656" t="str">
            <v>210305756810HA000707</v>
          </cell>
        </row>
        <row r="4657">
          <cell r="F4657" t="str">
            <v>210305756810HA001178</v>
          </cell>
        </row>
        <row r="4658">
          <cell r="F4658" t="str">
            <v>210305756810HA000913</v>
          </cell>
        </row>
        <row r="4659">
          <cell r="F4659" t="str">
            <v>210305756810HA000851</v>
          </cell>
        </row>
        <row r="4660">
          <cell r="F4660" t="str">
            <v>210305756810HA000947</v>
          </cell>
        </row>
        <row r="4661">
          <cell r="F4661" t="str">
            <v>210305756810HA000929</v>
          </cell>
        </row>
        <row r="4662">
          <cell r="F4662" t="str">
            <v>210305756810HA000869</v>
          </cell>
        </row>
        <row r="4663">
          <cell r="F4663" t="str">
            <v>210305756810HA000848</v>
          </cell>
        </row>
        <row r="4664">
          <cell r="F4664" t="str">
            <v>210305756810HA000761</v>
          </cell>
        </row>
        <row r="4665">
          <cell r="F4665" t="str">
            <v>210305756810HA000755</v>
          </cell>
        </row>
        <row r="4666">
          <cell r="F4666" t="str">
            <v>210305756810HA000745</v>
          </cell>
        </row>
        <row r="4667">
          <cell r="F4667" t="str">
            <v>210305756810HA001174</v>
          </cell>
        </row>
        <row r="4668">
          <cell r="F4668" t="str">
            <v>210305756810HA001141</v>
          </cell>
        </row>
        <row r="4669">
          <cell r="F4669" t="str">
            <v>210305756810HA001134</v>
          </cell>
        </row>
        <row r="4670">
          <cell r="F4670" t="str">
            <v>2102300742N0H9000643/210230102810HA000097</v>
          </cell>
        </row>
        <row r="4671">
          <cell r="F4671" t="str">
            <v>210305756810HA001109</v>
          </cell>
        </row>
        <row r="4672">
          <cell r="F4672" t="str">
            <v>210305756810HA001073</v>
          </cell>
        </row>
        <row r="4673">
          <cell r="F4673" t="str">
            <v>210305756810HA000925</v>
          </cell>
        </row>
        <row r="4674">
          <cell r="F4674" t="str">
            <v>210305756810HA000844</v>
          </cell>
        </row>
        <row r="4675">
          <cell r="F4675" t="str">
            <v>210305756810HA000894</v>
          </cell>
        </row>
        <row r="4676">
          <cell r="F4676" t="str">
            <v>210305756810HA000860</v>
          </cell>
        </row>
        <row r="4677">
          <cell r="F4677" t="str">
            <v>210305756810HA000774</v>
          </cell>
        </row>
        <row r="4678">
          <cell r="F4678" t="str">
            <v>210305756810HA000749</v>
          </cell>
        </row>
        <row r="4679">
          <cell r="F4679" t="str">
            <v>210305756810HA000830</v>
          </cell>
        </row>
        <row r="4680">
          <cell r="F4680" t="str">
            <v>210305756810HA000878</v>
          </cell>
        </row>
        <row r="4681">
          <cell r="F4681" t="str">
            <v>210305756810HA000877</v>
          </cell>
        </row>
        <row r="4682">
          <cell r="F4682" t="str">
            <v>210305756810HA001150</v>
          </cell>
        </row>
        <row r="4683">
          <cell r="F4683" t="str">
            <v>210305756810HA000710</v>
          </cell>
        </row>
        <row r="4684">
          <cell r="F4684" t="str">
            <v>210305756810HA001079</v>
          </cell>
        </row>
        <row r="4685">
          <cell r="F4685" t="str">
            <v>210305756810HA000756</v>
          </cell>
        </row>
        <row r="4686">
          <cell r="F4686" t="str">
            <v>210305756810HA000757</v>
          </cell>
        </row>
        <row r="4687">
          <cell r="F4687" t="str">
            <v>2102300742N0H9000457/210230102810HA000051</v>
          </cell>
        </row>
        <row r="4688">
          <cell r="F4688" t="str">
            <v>210305756810HA000833</v>
          </cell>
        </row>
        <row r="4689">
          <cell r="F4689" t="str">
            <v>210305756810HA001140</v>
          </cell>
        </row>
        <row r="4690">
          <cell r="F4690" t="str">
            <v>210305756810HA001135</v>
          </cell>
        </row>
        <row r="4691">
          <cell r="F4691" t="str">
            <v>210305756810HA001157</v>
          </cell>
        </row>
        <row r="4692">
          <cell r="F4692" t="str">
            <v>210305756810HA000946</v>
          </cell>
        </row>
        <row r="4693">
          <cell r="F4693" t="str">
            <v>210305756810HA000778</v>
          </cell>
        </row>
        <row r="4694">
          <cell r="F4694" t="str">
            <v>210305756810HA001158</v>
          </cell>
        </row>
        <row r="4695">
          <cell r="F4695" t="str">
            <v>210305756810HA000909</v>
          </cell>
        </row>
        <row r="4696">
          <cell r="F4696" t="str">
            <v>210305756810HA000937</v>
          </cell>
        </row>
        <row r="4697">
          <cell r="F4697" t="str">
            <v>210305756810HA000896</v>
          </cell>
        </row>
        <row r="4698">
          <cell r="F4698" t="str">
            <v>210305756810HA000709</v>
          </cell>
        </row>
        <row r="4699">
          <cell r="F4699" t="str">
            <v>210305756810HA000870</v>
          </cell>
        </row>
        <row r="4700">
          <cell r="F4700" t="str">
            <v>210305756810HA001137</v>
          </cell>
        </row>
        <row r="4701">
          <cell r="F4701" t="str">
            <v>210305756810HA001132</v>
          </cell>
        </row>
        <row r="4702">
          <cell r="F4702" t="str">
            <v>210305756810HA001151</v>
          </cell>
        </row>
        <row r="4703">
          <cell r="F4703" t="str">
            <v>210305756810HA000849</v>
          </cell>
        </row>
        <row r="4704">
          <cell r="F4704" t="str">
            <v>2102300742N0H8000165/
210230102810HA000058</v>
          </cell>
        </row>
        <row r="4705">
          <cell r="F4705" t="str">
            <v>210305756810HA000748</v>
          </cell>
        </row>
        <row r="4706">
          <cell r="F4706" t="str">
            <v>210305756810HA000735</v>
          </cell>
        </row>
        <row r="4707">
          <cell r="F4707" t="str">
            <v>210305756810HA000893</v>
          </cell>
        </row>
        <row r="4708">
          <cell r="F4708" t="str">
            <v>210305756810HA000927</v>
          </cell>
        </row>
        <row r="4709">
          <cell r="F4709" t="str">
            <v>210305756810HA001145</v>
          </cell>
        </row>
        <row r="4710">
          <cell r="F4710" t="str">
            <v>210305756810HA001164</v>
          </cell>
        </row>
        <row r="4711">
          <cell r="F4711" t="str">
            <v>210305756810HA000855</v>
          </cell>
        </row>
        <row r="4712">
          <cell r="F4712" t="str">
            <v>210305756810HA001136</v>
          </cell>
        </row>
        <row r="4713">
          <cell r="F4713" t="str">
            <v>210305756810HA000708</v>
          </cell>
        </row>
        <row r="4714">
          <cell r="F4714" t="str">
            <v>210305756810HA000758</v>
          </cell>
        </row>
        <row r="4715">
          <cell r="F4715" t="str">
            <v>210305756810HA000765</v>
          </cell>
        </row>
        <row r="4716">
          <cell r="F4716" t="str">
            <v>210305756810HA000834</v>
          </cell>
        </row>
        <row r="4717">
          <cell r="F4717" t="str">
            <v>210305756810HA000838</v>
          </cell>
        </row>
        <row r="4718">
          <cell r="F4718" t="str">
            <v>210305756810HA000829</v>
          </cell>
        </row>
        <row r="4719">
          <cell r="F4719" t="str">
            <v>210305756810HA000871</v>
          </cell>
        </row>
        <row r="4720">
          <cell r="F4720" t="str">
            <v>210305756810HA000771</v>
          </cell>
        </row>
        <row r="4721">
          <cell r="F4721" t="str">
            <v>2102300742N0G6000474/
210230102810HA000062</v>
          </cell>
        </row>
        <row r="4722">
          <cell r="F4722" t="str">
            <v>210305756810HA000766</v>
          </cell>
        </row>
        <row r="4723">
          <cell r="F4723" t="str">
            <v>210305756810HA000754</v>
          </cell>
        </row>
        <row r="4724">
          <cell r="F4724" t="str">
            <v>210305756810HA000773</v>
          </cell>
        </row>
        <row r="4725">
          <cell r="F4725" t="str">
            <v>210305756810HA001138</v>
          </cell>
        </row>
        <row r="4726">
          <cell r="F4726" t="str">
            <v>210305756810HA000772</v>
          </cell>
        </row>
        <row r="4727">
          <cell r="F4727" t="str">
            <v>210305756810HA001084</v>
          </cell>
        </row>
        <row r="4728">
          <cell r="F4728" t="str">
            <v>210305756810HA000770</v>
          </cell>
        </row>
        <row r="4729">
          <cell r="F4729" t="str">
            <v>210305756810HA000760</v>
          </cell>
        </row>
        <row r="4730">
          <cell r="F4730" t="str">
            <v>210305756810HA000742</v>
          </cell>
        </row>
        <row r="4731">
          <cell r="F4731" t="str">
            <v>210305756810HA000737</v>
          </cell>
        </row>
        <row r="4732">
          <cell r="F4732" t="str">
            <v>210305756810HA000740</v>
          </cell>
        </row>
        <row r="4733">
          <cell r="F4733" t="str">
            <v>210305756810HA000736</v>
          </cell>
        </row>
        <row r="4734">
          <cell r="F4734" t="str">
            <v>210305756810HA000738</v>
          </cell>
        </row>
        <row r="4735">
          <cell r="F4735" t="str">
            <v>210305756810HA000775</v>
          </cell>
        </row>
        <row r="4736">
          <cell r="F4736" t="str">
            <v>210305756810HA000751</v>
          </cell>
        </row>
        <row r="4737">
          <cell r="F4737" t="str">
            <v>210305756810HA000942</v>
          </cell>
        </row>
        <row r="4738">
          <cell r="F4738" t="str">
            <v>2102300742N0H9000688/
210230102810HA000176</v>
          </cell>
        </row>
        <row r="4739">
          <cell r="F4739" t="str">
            <v>210305756810HA000752</v>
          </cell>
        </row>
        <row r="4740">
          <cell r="F4740" t="str">
            <v>210305756810HA000712</v>
          </cell>
        </row>
        <row r="4741">
          <cell r="F4741" t="str">
            <v>210305756810HA000776</v>
          </cell>
        </row>
        <row r="4742">
          <cell r="F4742" t="str">
            <v>210305756810HA000874</v>
          </cell>
        </row>
        <row r="4743">
          <cell r="F4743" t="str">
            <v>210305756810HA000884</v>
          </cell>
        </row>
        <row r="4744">
          <cell r="F4744" t="str">
            <v>210305756810HA001088</v>
          </cell>
        </row>
        <row r="4745">
          <cell r="F4745" t="str">
            <v>210305756810HA000880</v>
          </cell>
        </row>
        <row r="4746">
          <cell r="F4746" t="str">
            <v>210305756810HA000841</v>
          </cell>
        </row>
        <row r="4747">
          <cell r="F4747" t="str">
            <v>210305756810HA000951</v>
          </cell>
        </row>
        <row r="4748">
          <cell r="F4748" t="str">
            <v>210305756810HA000863</v>
          </cell>
        </row>
        <row r="4749">
          <cell r="F4749" t="str">
            <v>210305756810HA001086</v>
          </cell>
        </row>
        <row r="4750">
          <cell r="F4750" t="str">
            <v>210305756810HA001155</v>
          </cell>
        </row>
        <row r="4751">
          <cell r="F4751" t="str">
            <v>210305756810HA001149</v>
          </cell>
        </row>
        <row r="4752">
          <cell r="F4752" t="str">
            <v>210305756810HA000933</v>
          </cell>
        </row>
        <row r="4753">
          <cell r="F4753" t="str">
            <v>210305756810HA001159</v>
          </cell>
        </row>
        <row r="4754">
          <cell r="F4754" t="str">
            <v>210305756810HA000744</v>
          </cell>
        </row>
        <row r="4755">
          <cell r="F4755" t="str">
            <v>2102300742N0HA000057/
210230102810HA000173</v>
          </cell>
        </row>
        <row r="4756">
          <cell r="F4756" t="str">
            <v>210305756810HA001144</v>
          </cell>
        </row>
        <row r="4757">
          <cell r="F4757" t="str">
            <v>210305756810HA000918</v>
          </cell>
        </row>
        <row r="4758">
          <cell r="F4758" t="str">
            <v>210305756810HA001122</v>
          </cell>
        </row>
        <row r="4759">
          <cell r="F4759" t="str">
            <v>210305756810HA000920</v>
          </cell>
        </row>
        <row r="4760">
          <cell r="F4760" t="str">
            <v>210305756810HA001162</v>
          </cell>
        </row>
        <row r="4761">
          <cell r="F4761" t="str">
            <v>210305756810HA001124</v>
          </cell>
        </row>
        <row r="4762">
          <cell r="F4762" t="str">
            <v>210305756810HA001076</v>
          </cell>
        </row>
        <row r="4763">
          <cell r="F4763" t="str">
            <v>210305756810HA000739</v>
          </cell>
        </row>
        <row r="4764">
          <cell r="F4764" t="str">
            <v>210305756810HA001072</v>
          </cell>
        </row>
        <row r="4765">
          <cell r="F4765" t="str">
            <v>210305756810HA000858</v>
          </cell>
        </row>
        <row r="4766">
          <cell r="F4766" t="str">
            <v>210305756810HA000915</v>
          </cell>
        </row>
        <row r="4767">
          <cell r="F4767" t="str">
            <v>210305756810HA001070</v>
          </cell>
        </row>
        <row r="4768">
          <cell r="F4768" t="str">
            <v>210305756810HA000914</v>
          </cell>
        </row>
        <row r="4769">
          <cell r="F4769" t="str">
            <v>210305756810HA000921</v>
          </cell>
        </row>
        <row r="4770">
          <cell r="F4770" t="str">
            <v>210305756810HA000845</v>
          </cell>
        </row>
        <row r="4771">
          <cell r="F4771" t="str">
            <v>210305756810HA001156</v>
          </cell>
        </row>
        <row r="4772">
          <cell r="F4772" t="str">
            <v>2102300742N0H9000700/
210230102810HA000174</v>
          </cell>
        </row>
        <row r="4773">
          <cell r="F4773" t="str">
            <v>210305756810HA000594</v>
          </cell>
        </row>
        <row r="4774">
          <cell r="F4774" t="str">
            <v>210305756810HA001563</v>
          </cell>
        </row>
        <row r="4775">
          <cell r="F4775" t="str">
            <v>210305756810HA001833</v>
          </cell>
        </row>
        <row r="4776">
          <cell r="F4776" t="str">
            <v>210305756810HA001560</v>
          </cell>
        </row>
        <row r="4777">
          <cell r="F4777" t="str">
            <v>210305756810HA001834</v>
          </cell>
        </row>
        <row r="4778">
          <cell r="F4778" t="str">
            <v>210305756810HA001565</v>
          </cell>
        </row>
        <row r="4779">
          <cell r="F4779" t="str">
            <v>210305756810HA001566</v>
          </cell>
        </row>
        <row r="4780">
          <cell r="F4780" t="str">
            <v>210305756810HA001567</v>
          </cell>
        </row>
        <row r="4781">
          <cell r="F4781" t="str">
            <v>210305756810HA000491</v>
          </cell>
        </row>
        <row r="4782">
          <cell r="F4782" t="str">
            <v>210305756810HA000656</v>
          </cell>
        </row>
        <row r="4783">
          <cell r="F4783" t="str">
            <v>210305756810HA000174</v>
          </cell>
        </row>
        <row r="4784">
          <cell r="F4784" t="str">
            <v>210305756810HA001276</v>
          </cell>
        </row>
        <row r="4785">
          <cell r="F4785" t="str">
            <v>210305756810HA001564</v>
          </cell>
        </row>
        <row r="4786">
          <cell r="F4786" t="str">
            <v>210305756810HA001835</v>
          </cell>
        </row>
        <row r="4787">
          <cell r="F4787" t="str">
            <v>210305756810HA001557</v>
          </cell>
        </row>
        <row r="4788">
          <cell r="F4788" t="str">
            <v>210305756810HA001568</v>
          </cell>
        </row>
        <row r="4789">
          <cell r="F4789" t="str">
            <v>2102300742N0HA000003/
210230102810HA000175</v>
          </cell>
        </row>
        <row r="4790">
          <cell r="F4790" t="str">
            <v>210305756810HA000857</v>
          </cell>
        </row>
        <row r="4791">
          <cell r="F4791" t="str">
            <v>210305756810HA001165</v>
          </cell>
        </row>
        <row r="4792">
          <cell r="F4792" t="str">
            <v>210305756810HA000949</v>
          </cell>
        </row>
        <row r="4793">
          <cell r="F4793" t="str">
            <v>210305756810HA001069</v>
          </cell>
        </row>
        <row r="4794">
          <cell r="F4794" t="str">
            <v>210305756810HA001161</v>
          </cell>
        </row>
        <row r="4795">
          <cell r="F4795" t="str">
            <v>210305756810HA001168</v>
          </cell>
        </row>
        <row r="4796">
          <cell r="F4796" t="str">
            <v>210305756810HA001085</v>
          </cell>
        </row>
        <row r="4797">
          <cell r="F4797" t="str">
            <v>210305756810HA001160</v>
          </cell>
        </row>
        <row r="4798">
          <cell r="F4798" t="str">
            <v>210305756810HA000839</v>
          </cell>
        </row>
        <row r="4799">
          <cell r="F4799" t="str">
            <v>210305756810HA000906</v>
          </cell>
        </row>
        <row r="4800">
          <cell r="F4800" t="str">
            <v>210305756810HA001179</v>
          </cell>
        </row>
        <row r="4801">
          <cell r="F4801" t="str">
            <v>210305756810HA001147</v>
          </cell>
        </row>
        <row r="4802">
          <cell r="F4802" t="str">
            <v>210305756810HA001131</v>
          </cell>
        </row>
        <row r="4803">
          <cell r="F4803" t="str">
            <v>2102350DLVDMK8001514</v>
          </cell>
        </row>
        <row r="4804">
          <cell r="F4804" t="str">
            <v>217203519-10A</v>
          </cell>
        </row>
        <row r="4805">
          <cell r="F4805" t="str">
            <v>217203519-11A</v>
          </cell>
        </row>
        <row r="4806">
          <cell r="F4806" t="str">
            <v>217203519-12A</v>
          </cell>
        </row>
        <row r="4807">
          <cell r="F4807" t="str">
            <v>217203519-13A</v>
          </cell>
        </row>
        <row r="4808">
          <cell r="F4808" t="str">
            <v>217203519-14A</v>
          </cell>
        </row>
        <row r="4809">
          <cell r="F4809" t="str">
            <v>217203519-15A</v>
          </cell>
        </row>
        <row r="4810">
          <cell r="F4810" t="str">
            <v>217203519-16A</v>
          </cell>
        </row>
        <row r="4811">
          <cell r="F4811" t="str">
            <v>217203519-17A</v>
          </cell>
        </row>
        <row r="4812">
          <cell r="F4812" t="str">
            <v>217203519-18A</v>
          </cell>
        </row>
        <row r="4813">
          <cell r="F4813" t="str">
            <v>217203519-19A</v>
          </cell>
        </row>
        <row r="4814">
          <cell r="F4814" t="str">
            <v>217203519-01A</v>
          </cell>
        </row>
        <row r="4815">
          <cell r="F4815" t="str">
            <v>217203519-20A</v>
          </cell>
        </row>
        <row r="4816">
          <cell r="F4816" t="str">
            <v>217203519-21A</v>
          </cell>
        </row>
        <row r="4817">
          <cell r="F4817" t="str">
            <v>217203519-22A</v>
          </cell>
        </row>
        <row r="4818">
          <cell r="F4818" t="str">
            <v>217203519-23A</v>
          </cell>
        </row>
        <row r="4819">
          <cell r="F4819" t="str">
            <v>217203519-24A</v>
          </cell>
        </row>
        <row r="4820">
          <cell r="F4820" t="str">
            <v>217203519-02A</v>
          </cell>
        </row>
        <row r="4821">
          <cell r="F4821" t="str">
            <v>217203519-25A</v>
          </cell>
        </row>
        <row r="4822">
          <cell r="F4822" t="str">
            <v>217203519-26A</v>
          </cell>
        </row>
        <row r="4823">
          <cell r="F4823" t="str">
            <v>217203519-27A</v>
          </cell>
        </row>
        <row r="4824">
          <cell r="F4824" t="str">
            <v>217203519-28A</v>
          </cell>
        </row>
        <row r="4825">
          <cell r="F4825" t="str">
            <v>217203519-29A</v>
          </cell>
        </row>
        <row r="4826">
          <cell r="F4826" t="str">
            <v>217203519-30A</v>
          </cell>
        </row>
        <row r="4827">
          <cell r="F4827" t="str">
            <v>217203519-31A</v>
          </cell>
        </row>
        <row r="4828">
          <cell r="F4828" t="str">
            <v>217203519-32A</v>
          </cell>
        </row>
        <row r="4829">
          <cell r="F4829" t="str">
            <v>217203519-03A</v>
          </cell>
        </row>
        <row r="4830">
          <cell r="F4830" t="str">
            <v>217203519-04A</v>
          </cell>
        </row>
        <row r="4831">
          <cell r="F4831" t="str">
            <v>217203519-05A</v>
          </cell>
        </row>
        <row r="4832">
          <cell r="F4832" t="str">
            <v>217203519-06A</v>
          </cell>
        </row>
        <row r="4833">
          <cell r="F4833" t="str">
            <v>217203519-07A</v>
          </cell>
        </row>
        <row r="4834">
          <cell r="F4834" t="str">
            <v>217203519-08A</v>
          </cell>
        </row>
        <row r="4835">
          <cell r="F4835" t="str">
            <v>217203519-09A</v>
          </cell>
        </row>
        <row r="4836">
          <cell r="F4836" t="str">
            <v>CNG230S8ZB</v>
          </cell>
        </row>
        <row r="4837">
          <cell r="F4837" t="str">
            <v>CNG230S8Z4</v>
          </cell>
        </row>
        <row r="4838">
          <cell r="F4838" t="str">
            <v>2102300742N0EA000065</v>
          </cell>
        </row>
        <row r="4839">
          <cell r="F4839" t="str">
            <v>210305485510EA000450</v>
          </cell>
        </row>
        <row r="4840">
          <cell r="F4840" t="str">
            <v>210305485510EA000421</v>
          </cell>
        </row>
        <row r="4841">
          <cell r="F4841" t="str">
            <v>210305485510EA000394</v>
          </cell>
        </row>
        <row r="4842">
          <cell r="F4842" t="str">
            <v>210305485510EA000521</v>
          </cell>
        </row>
        <row r="4843">
          <cell r="F4843" t="str">
            <v>210305485510EA000475</v>
          </cell>
        </row>
        <row r="4844">
          <cell r="F4844" t="str">
            <v>210305485510EA000605</v>
          </cell>
        </row>
        <row r="4845">
          <cell r="F4845" t="str">
            <v>210305485510EA000340</v>
          </cell>
        </row>
        <row r="4846">
          <cell r="F4846" t="str">
            <v>210305485510EA000343</v>
          </cell>
        </row>
        <row r="4847">
          <cell r="F4847" t="str">
            <v>210305485510EA000453</v>
          </cell>
        </row>
        <row r="4848">
          <cell r="F4848" t="str">
            <v>210305485510EA000313</v>
          </cell>
        </row>
        <row r="4849">
          <cell r="F4849" t="str">
            <v>210305485510EA000416</v>
          </cell>
        </row>
        <row r="4850">
          <cell r="F4850" t="str">
            <v>210305485510EA000503</v>
          </cell>
        </row>
        <row r="4851">
          <cell r="F4851" t="str">
            <v>210305485510EA000420</v>
          </cell>
        </row>
        <row r="4852">
          <cell r="F4852" t="str">
            <v>210305485510EA000326</v>
          </cell>
        </row>
        <row r="4853">
          <cell r="F4853" t="str">
            <v>210305485510EA000298</v>
          </cell>
        </row>
        <row r="4854">
          <cell r="F4854" t="str">
            <v>210305485510EA000342</v>
          </cell>
        </row>
        <row r="4855">
          <cell r="F4855" t="str">
            <v>2102300742N0EA000067</v>
          </cell>
        </row>
        <row r="4856">
          <cell r="F4856" t="str">
            <v>210305485510EA000609</v>
          </cell>
        </row>
        <row r="4857">
          <cell r="F4857" t="str">
            <v>210305485510EA000302</v>
          </cell>
        </row>
        <row r="4858">
          <cell r="F4858" t="str">
            <v>210305485510EA000526</v>
          </cell>
        </row>
        <row r="4859">
          <cell r="F4859" t="str">
            <v>210305485510EA000519</v>
          </cell>
        </row>
        <row r="4860">
          <cell r="F4860" t="str">
            <v>210305485510EA000525</v>
          </cell>
        </row>
        <row r="4861">
          <cell r="F4861" t="str">
            <v>210305485510EA000427</v>
          </cell>
        </row>
        <row r="4862">
          <cell r="F4862" t="str">
            <v>210305485510EA000597</v>
          </cell>
        </row>
        <row r="4863">
          <cell r="F4863" t="str">
            <v>210305485510EA000399</v>
          </cell>
        </row>
        <row r="4864">
          <cell r="F4864" t="str">
            <v>210305485510EA000468</v>
          </cell>
        </row>
        <row r="4865">
          <cell r="F4865" t="str">
            <v>210305485510EA000501</v>
          </cell>
        </row>
        <row r="4866">
          <cell r="F4866" t="str">
            <v>210305485510EA000310</v>
          </cell>
        </row>
        <row r="4867">
          <cell r="F4867" t="str">
            <v>210305485510EA000467</v>
          </cell>
        </row>
        <row r="4868">
          <cell r="F4868" t="str">
            <v>210305485510EA000539</v>
          </cell>
        </row>
        <row r="4869">
          <cell r="F4869" t="str">
            <v>210305485510EA000419</v>
          </cell>
        </row>
        <row r="4870">
          <cell r="F4870" t="str">
            <v>210305485510EA000592</v>
          </cell>
        </row>
        <row r="4871">
          <cell r="F4871" t="str">
            <v>210305485510EA000514</v>
          </cell>
        </row>
        <row r="4872">
          <cell r="F4872" t="str">
            <v>2102300742N0EA000001</v>
          </cell>
        </row>
        <row r="4873">
          <cell r="F4873" t="str">
            <v>210305485510EA000461</v>
          </cell>
        </row>
        <row r="4874">
          <cell r="F4874" t="str">
            <v>210305485510EA000595</v>
          </cell>
        </row>
        <row r="4875">
          <cell r="F4875" t="str">
            <v>210305485510EA000586</v>
          </cell>
        </row>
        <row r="4876">
          <cell r="F4876" t="str">
            <v>210305485510EA000465</v>
          </cell>
        </row>
        <row r="4877">
          <cell r="F4877" t="str">
            <v>210305485510EA000345</v>
          </cell>
        </row>
        <row r="4878">
          <cell r="F4878" t="str">
            <v>210305485510EA000574</v>
          </cell>
        </row>
        <row r="4879">
          <cell r="F4879" t="str">
            <v>210305485510EA000504</v>
          </cell>
        </row>
        <row r="4880">
          <cell r="F4880" t="str">
            <v>210305485510EA000449</v>
          </cell>
        </row>
        <row r="4881">
          <cell r="F4881" t="str">
            <v>210305485510EA000471</v>
          </cell>
        </row>
        <row r="4882">
          <cell r="F4882" t="str">
            <v>210305485510EA000447</v>
          </cell>
        </row>
        <row r="4883">
          <cell r="F4883" t="str">
            <v>210305485510EA000507</v>
          </cell>
        </row>
        <row r="4884">
          <cell r="F4884" t="str">
            <v>210305485510EA000581</v>
          </cell>
        </row>
        <row r="4885">
          <cell r="F4885" t="str">
            <v>210305485510EA000546</v>
          </cell>
        </row>
        <row r="4886">
          <cell r="F4886" t="str">
            <v>210305485510EA000324</v>
          </cell>
        </row>
        <row r="4887">
          <cell r="F4887" t="str">
            <v>210305485510EA000415</v>
          </cell>
        </row>
        <row r="4888">
          <cell r="F4888" t="str">
            <v>210305485510EA000325</v>
          </cell>
        </row>
        <row r="4889">
          <cell r="F4889" t="str">
            <v>2102300742N0EA000061</v>
          </cell>
        </row>
        <row r="4890">
          <cell r="F4890" t="str">
            <v>210305485510EA000402</v>
          </cell>
        </row>
        <row r="4891">
          <cell r="F4891" t="str">
            <v>210305485510EA000424</v>
          </cell>
        </row>
        <row r="4892">
          <cell r="F4892" t="str">
            <v>210305485510EA000582</v>
          </cell>
        </row>
        <row r="4893">
          <cell r="F4893" t="str">
            <v>210305485510EA000330</v>
          </cell>
        </row>
        <row r="4894">
          <cell r="F4894" t="str">
            <v>210305485510EA000331</v>
          </cell>
        </row>
        <row r="4895">
          <cell r="F4895" t="str">
            <v>210305485510EA000455</v>
          </cell>
        </row>
        <row r="4896">
          <cell r="F4896" t="str">
            <v>210305485510EA000596</v>
          </cell>
        </row>
        <row r="4897">
          <cell r="F4897" t="str">
            <v>210305485510EA000304</v>
          </cell>
        </row>
        <row r="4898">
          <cell r="F4898" t="str">
            <v>210305485510EA000430</v>
          </cell>
        </row>
        <row r="4899">
          <cell r="F4899" t="str">
            <v>210305485510EA000538</v>
          </cell>
        </row>
        <row r="4900">
          <cell r="F4900" t="str">
            <v>210305485510EA000307</v>
          </cell>
        </row>
        <row r="4901">
          <cell r="F4901" t="str">
            <v>210305485510EA000599</v>
          </cell>
        </row>
        <row r="4902">
          <cell r="F4902" t="str">
            <v>210305485510EA000508</v>
          </cell>
        </row>
        <row r="4903">
          <cell r="F4903" t="str">
            <v>210305485510EA000333</v>
          </cell>
        </row>
        <row r="4904">
          <cell r="F4904" t="str">
            <v>210305485510EA000437</v>
          </cell>
        </row>
        <row r="4905">
          <cell r="F4905" t="str">
            <v>210305485510EA000594</v>
          </cell>
        </row>
        <row r="4906">
          <cell r="F4906" t="str">
            <v>2102300742N0EA000063</v>
          </cell>
        </row>
        <row r="4907">
          <cell r="F4907" t="str">
            <v>210305485510EA000585</v>
          </cell>
        </row>
        <row r="4908">
          <cell r="F4908" t="str">
            <v>210305485510EA000338</v>
          </cell>
        </row>
        <row r="4909">
          <cell r="F4909" t="str">
            <v>210305485510EA000411</v>
          </cell>
        </row>
        <row r="4910">
          <cell r="F4910" t="str">
            <v>210305485510EA000411</v>
          </cell>
        </row>
        <row r="4911">
          <cell r="F4911" t="str">
            <v>210305485510EA000297</v>
          </cell>
        </row>
        <row r="4912">
          <cell r="F4912" t="str">
            <v>210305485510EA000400</v>
          </cell>
        </row>
        <row r="4913">
          <cell r="F4913" t="str">
            <v>210305485510EA000520</v>
          </cell>
        </row>
        <row r="4914">
          <cell r="F4914" t="str">
            <v>210305485510EA000425</v>
          </cell>
        </row>
        <row r="4915">
          <cell r="F4915" t="str">
            <v>210305485510EA000314</v>
          </cell>
        </row>
        <row r="4916">
          <cell r="F4916" t="str">
            <v>210305485510EA000579</v>
          </cell>
        </row>
        <row r="4917">
          <cell r="F4917" t="str">
            <v>210305485510EA000344</v>
          </cell>
        </row>
        <row r="4918">
          <cell r="F4918" t="str">
            <v>210305485510EA000439</v>
          </cell>
        </row>
        <row r="4919">
          <cell r="F4919" t="str">
            <v>210305485510EA000323</v>
          </cell>
        </row>
        <row r="4920">
          <cell r="F4920" t="str">
            <v>2102300742N0EA000058</v>
          </cell>
        </row>
        <row r="4921">
          <cell r="F4921" t="str">
            <v>210305485510EA000435</v>
          </cell>
        </row>
        <row r="4922">
          <cell r="F4922" t="str">
            <v>210305485510EA000466</v>
          </cell>
        </row>
        <row r="4923">
          <cell r="F4923" t="str">
            <v>210305485510EA000543</v>
          </cell>
        </row>
        <row r="4924">
          <cell r="F4924" t="str">
            <v>210305485510EA000535</v>
          </cell>
        </row>
        <row r="4925">
          <cell r="F4925" t="str">
            <v>210305485510EA000334</v>
          </cell>
        </row>
        <row r="4926">
          <cell r="F4926" t="str">
            <v>210305485510EA000469</v>
          </cell>
        </row>
        <row r="4927">
          <cell r="F4927" t="str">
            <v>210305485510EA000593</v>
          </cell>
        </row>
        <row r="4928">
          <cell r="F4928" t="str">
            <v>210305485510EA000523</v>
          </cell>
        </row>
        <row r="4929">
          <cell r="F4929" t="str">
            <v>210305485510EA000528</v>
          </cell>
        </row>
        <row r="4930">
          <cell r="F4930" t="str">
            <v>210305485510EA000335</v>
          </cell>
        </row>
        <row r="4931">
          <cell r="F4931" t="str">
            <v>210305485510EA000418</v>
          </cell>
        </row>
        <row r="4932">
          <cell r="F4932" t="str">
            <v>210305485510EA000591</v>
          </cell>
        </row>
        <row r="4933">
          <cell r="F4933" t="str">
            <v>210305485510EA000602</v>
          </cell>
        </row>
        <row r="4934">
          <cell r="F4934" t="str">
            <v>BK-F01-DOOR-01</v>
          </cell>
        </row>
        <row r="4935">
          <cell r="F4935" t="str">
            <v>FOC1838R2S2</v>
          </cell>
        </row>
        <row r="4936">
          <cell r="F4936" t="str">
            <v>FOC1838R2UP</v>
          </cell>
        </row>
        <row r="4937">
          <cell r="F4937" t="str">
            <v>210235A1G9H178000035</v>
          </cell>
        </row>
        <row r="4938">
          <cell r="F4938" t="str">
            <v>210235A1G9H178000052</v>
          </cell>
        </row>
        <row r="4939">
          <cell r="F4939" t="str">
            <v>214635684-01A</v>
          </cell>
        </row>
        <row r="4940">
          <cell r="F4940" t="str">
            <v>214635717</v>
          </cell>
        </row>
        <row r="4941">
          <cell r="F4941" t="str">
            <v>214635717-01A</v>
          </cell>
        </row>
        <row r="4942">
          <cell r="F4942" t="str">
            <v>214635717-10A</v>
          </cell>
        </row>
        <row r="4943">
          <cell r="F4943" t="str">
            <v>214635717-11A</v>
          </cell>
        </row>
        <row r="4944">
          <cell r="F4944" t="str">
            <v>214635717-12A</v>
          </cell>
        </row>
        <row r="4945">
          <cell r="F4945" t="str">
            <v>214635717-13A</v>
          </cell>
        </row>
        <row r="4946">
          <cell r="F4946" t="str">
            <v>214635717-14A</v>
          </cell>
        </row>
        <row r="4947">
          <cell r="F4947" t="str">
            <v>214635717-15A</v>
          </cell>
        </row>
        <row r="4948">
          <cell r="F4948" t="str">
            <v>214635717-16A</v>
          </cell>
        </row>
        <row r="4949">
          <cell r="F4949" t="str">
            <v>214635717-17A</v>
          </cell>
        </row>
        <row r="4950">
          <cell r="F4950" t="str">
            <v>214635717-18A</v>
          </cell>
        </row>
        <row r="4951">
          <cell r="F4951" t="str">
            <v>214635717-19A</v>
          </cell>
        </row>
        <row r="4952">
          <cell r="F4952" t="str">
            <v>214635717-02A</v>
          </cell>
        </row>
        <row r="4953">
          <cell r="F4953" t="str">
            <v>214635717-26A</v>
          </cell>
        </row>
        <row r="4954">
          <cell r="F4954" t="str">
            <v>214635717-27A</v>
          </cell>
        </row>
        <row r="4955">
          <cell r="F4955" t="str">
            <v>214635717-28A</v>
          </cell>
        </row>
        <row r="4956">
          <cell r="F4956" t="str">
            <v>214635717-29A</v>
          </cell>
        </row>
        <row r="4957">
          <cell r="F4957" t="str">
            <v>214635717-03A</v>
          </cell>
        </row>
        <row r="4958">
          <cell r="F4958" t="str">
            <v>214635717-30A</v>
          </cell>
        </row>
        <row r="4959">
          <cell r="F4959" t="str">
            <v>214635717-31A</v>
          </cell>
        </row>
        <row r="4960">
          <cell r="F4960" t="str">
            <v>214635717-32A</v>
          </cell>
        </row>
        <row r="4961">
          <cell r="F4961" t="str">
            <v>214635717-33A</v>
          </cell>
        </row>
        <row r="4962">
          <cell r="F4962" t="str">
            <v>214635717-34A</v>
          </cell>
        </row>
        <row r="4963">
          <cell r="F4963" t="str">
            <v>214635717-35A</v>
          </cell>
        </row>
        <row r="4964">
          <cell r="F4964" t="str">
            <v>214635717-36A</v>
          </cell>
        </row>
        <row r="4965">
          <cell r="F4965" t="str">
            <v>214635717-37A</v>
          </cell>
        </row>
        <row r="4966">
          <cell r="F4966" t="str">
            <v>214635717-04A</v>
          </cell>
        </row>
        <row r="4967">
          <cell r="F4967" t="str">
            <v>214635717-05A</v>
          </cell>
        </row>
        <row r="4968">
          <cell r="F4968" t="str">
            <v>214635717-06A</v>
          </cell>
        </row>
        <row r="4969">
          <cell r="F4969" t="str">
            <v>214635717-07A</v>
          </cell>
        </row>
        <row r="4970">
          <cell r="F4970" t="str">
            <v>214635717-08A</v>
          </cell>
        </row>
        <row r="4971">
          <cell r="F4971" t="str">
            <v>214635717-09A</v>
          </cell>
        </row>
        <row r="4972">
          <cell r="F4972" t="str">
            <v>214635750</v>
          </cell>
        </row>
        <row r="4973">
          <cell r="F4973" t="str">
            <v>214635750-01A</v>
          </cell>
        </row>
        <row r="4974">
          <cell r="F4974" t="str">
            <v>214635750-10A</v>
          </cell>
        </row>
        <row r="4975">
          <cell r="F4975" t="str">
            <v>214635750-11A</v>
          </cell>
        </row>
        <row r="4976">
          <cell r="F4976" t="str">
            <v>214635750-12A</v>
          </cell>
        </row>
        <row r="4977">
          <cell r="F4977" t="str">
            <v>214635750-13A</v>
          </cell>
        </row>
        <row r="4978">
          <cell r="F4978" t="str">
            <v>214635750-14A</v>
          </cell>
        </row>
        <row r="4979">
          <cell r="F4979" t="str">
            <v>214635750-15A</v>
          </cell>
        </row>
        <row r="4980">
          <cell r="F4980" t="str">
            <v>214635750-16A</v>
          </cell>
        </row>
        <row r="4981">
          <cell r="F4981" t="str">
            <v>214635750-17A</v>
          </cell>
        </row>
        <row r="4982">
          <cell r="F4982" t="str">
            <v>214635750-18A</v>
          </cell>
        </row>
        <row r="4983">
          <cell r="F4983" t="str">
            <v>214635750-19A</v>
          </cell>
        </row>
        <row r="4984">
          <cell r="F4984" t="str">
            <v>214635750-02A</v>
          </cell>
        </row>
        <row r="4985">
          <cell r="F4985" t="str">
            <v>214635750-20A</v>
          </cell>
        </row>
        <row r="4986">
          <cell r="F4986" t="str">
            <v>214635750-26A</v>
          </cell>
        </row>
        <row r="4987">
          <cell r="F4987" t="str">
            <v>214635750-27A</v>
          </cell>
        </row>
        <row r="4988">
          <cell r="F4988" t="str">
            <v>214635750-28A</v>
          </cell>
        </row>
        <row r="4989">
          <cell r="F4989" t="str">
            <v>214635750-29A</v>
          </cell>
        </row>
        <row r="4990">
          <cell r="F4990" t="str">
            <v>214635750-03A</v>
          </cell>
        </row>
        <row r="4991">
          <cell r="F4991" t="str">
            <v>214635750-30A</v>
          </cell>
        </row>
        <row r="4992">
          <cell r="F4992" t="str">
            <v>214635750-31A</v>
          </cell>
        </row>
        <row r="4993">
          <cell r="F4993" t="str">
            <v>214635750-32A</v>
          </cell>
        </row>
        <row r="4994">
          <cell r="F4994" t="str">
            <v>214635750-33A</v>
          </cell>
        </row>
        <row r="4995">
          <cell r="F4995" t="str">
            <v>214635750-34A</v>
          </cell>
        </row>
        <row r="4996">
          <cell r="F4996" t="str">
            <v>214635750-35A</v>
          </cell>
        </row>
        <row r="4997">
          <cell r="F4997" t="str">
            <v>214635750-36A</v>
          </cell>
        </row>
        <row r="4998">
          <cell r="F4998" t="str">
            <v>214635750-37A</v>
          </cell>
        </row>
        <row r="4999">
          <cell r="F4999" t="str">
            <v>214635750-04A</v>
          </cell>
        </row>
        <row r="5000">
          <cell r="F5000" t="str">
            <v>214635750-05A</v>
          </cell>
        </row>
        <row r="5001">
          <cell r="F5001" t="str">
            <v>214635750-06A</v>
          </cell>
        </row>
        <row r="5002">
          <cell r="F5002" t="str">
            <v>214635750-07A</v>
          </cell>
        </row>
        <row r="5003">
          <cell r="F5003" t="str">
            <v>214635750-09A</v>
          </cell>
        </row>
        <row r="5004">
          <cell r="F5004" t="str">
            <v>214635953</v>
          </cell>
        </row>
        <row r="5005">
          <cell r="F5005" t="str">
            <v>214635953-01A</v>
          </cell>
        </row>
        <row r="5006">
          <cell r="F5006" t="str">
            <v>214635953-10A</v>
          </cell>
        </row>
        <row r="5007">
          <cell r="F5007" t="str">
            <v>214635953-11A</v>
          </cell>
        </row>
        <row r="5008">
          <cell r="F5008" t="str">
            <v>214635953-12A</v>
          </cell>
        </row>
        <row r="5009">
          <cell r="F5009" t="str">
            <v>214635953-13A</v>
          </cell>
        </row>
        <row r="5010">
          <cell r="F5010" t="str">
            <v>214635953-14A</v>
          </cell>
        </row>
        <row r="5011">
          <cell r="F5011" t="str">
            <v>214635953-15A</v>
          </cell>
        </row>
        <row r="5012">
          <cell r="F5012" t="str">
            <v>214635953-16A</v>
          </cell>
        </row>
        <row r="5013">
          <cell r="F5013" t="str">
            <v>214635953-17A</v>
          </cell>
        </row>
        <row r="5014">
          <cell r="F5014" t="str">
            <v>214635953-18A</v>
          </cell>
        </row>
        <row r="5015">
          <cell r="F5015" t="str">
            <v>214635953-19A</v>
          </cell>
        </row>
        <row r="5016">
          <cell r="F5016" t="str">
            <v>214635953-02A</v>
          </cell>
        </row>
        <row r="5017">
          <cell r="F5017" t="str">
            <v>214635953-20A</v>
          </cell>
        </row>
        <row r="5018">
          <cell r="F5018" t="str">
            <v>214635953-26A</v>
          </cell>
        </row>
        <row r="5019">
          <cell r="F5019" t="str">
            <v>214635953-27A</v>
          </cell>
        </row>
        <row r="5020">
          <cell r="F5020" t="str">
            <v>214635953-28A</v>
          </cell>
        </row>
        <row r="5021">
          <cell r="F5021" t="str">
            <v>214635953-29A</v>
          </cell>
        </row>
        <row r="5022">
          <cell r="F5022" t="str">
            <v>214635953-03A</v>
          </cell>
        </row>
        <row r="5023">
          <cell r="F5023" t="str">
            <v>214635953-30A</v>
          </cell>
        </row>
        <row r="5024">
          <cell r="F5024" t="str">
            <v>214635953-31A</v>
          </cell>
        </row>
        <row r="5025">
          <cell r="F5025" t="str">
            <v>214635953-32A</v>
          </cell>
        </row>
        <row r="5026">
          <cell r="F5026" t="str">
            <v>214635953-33A</v>
          </cell>
        </row>
        <row r="5027">
          <cell r="F5027" t="str">
            <v>214635953-34A</v>
          </cell>
        </row>
        <row r="5028">
          <cell r="F5028" t="str">
            <v>214635953-35A</v>
          </cell>
        </row>
        <row r="5029">
          <cell r="F5029" t="str">
            <v>214635953-36A</v>
          </cell>
        </row>
        <row r="5030">
          <cell r="F5030" t="str">
            <v>214635953-37A</v>
          </cell>
        </row>
        <row r="5031">
          <cell r="F5031" t="str">
            <v>214635953-04A</v>
          </cell>
        </row>
        <row r="5032">
          <cell r="F5032" t="str">
            <v>214635953-05A</v>
          </cell>
        </row>
        <row r="5033">
          <cell r="F5033" t="str">
            <v>214635953-06A</v>
          </cell>
        </row>
        <row r="5034">
          <cell r="F5034" t="str">
            <v>214635953-07A</v>
          </cell>
        </row>
        <row r="5035">
          <cell r="F5035" t="str">
            <v>214635953-08A</v>
          </cell>
        </row>
        <row r="5036">
          <cell r="F5036" t="str">
            <v>214635953-09A</v>
          </cell>
        </row>
        <row r="5037">
          <cell r="F5037" t="str">
            <v>6CU4421WAK</v>
          </cell>
        </row>
        <row r="5038">
          <cell r="F5038" t="str">
            <v>6CU4421WH4</v>
          </cell>
        </row>
        <row r="5039">
          <cell r="F5039" t="str">
            <v>6CU4421WFX</v>
          </cell>
        </row>
        <row r="5040">
          <cell r="F5040" t="str">
            <v>6CU4421WEP</v>
          </cell>
        </row>
        <row r="5041">
          <cell r="F5041" t="str">
            <v>6CU4421WFV</v>
          </cell>
        </row>
        <row r="5042">
          <cell r="F5042" t="str">
            <v>6CU4421WEK</v>
          </cell>
        </row>
        <row r="5043">
          <cell r="F5043" t="str">
            <v>6CU4421WFM</v>
          </cell>
        </row>
        <row r="5044">
          <cell r="F5044" t="str">
            <v>6CU4421WF2</v>
          </cell>
        </row>
        <row r="5045">
          <cell r="F5045" t="str">
            <v>6CU4421WFE</v>
          </cell>
        </row>
        <row r="5046">
          <cell r="F5046" t="str">
            <v>6CU4421WF4</v>
          </cell>
        </row>
        <row r="5047">
          <cell r="F5047" t="str">
            <v>6CU4421WF6</v>
          </cell>
        </row>
        <row r="5048">
          <cell r="F5048" t="str">
            <v>6CU4421WFK</v>
          </cell>
        </row>
        <row r="5049">
          <cell r="F5049" t="str">
            <v>6CU4421WEV</v>
          </cell>
        </row>
        <row r="5050">
          <cell r="F5050" t="str">
            <v>6CU4421WFA</v>
          </cell>
        </row>
        <row r="5051">
          <cell r="F5051" t="str">
            <v>6CU4421WEM</v>
          </cell>
        </row>
        <row r="5052">
          <cell r="F5052" t="str">
            <v>6CU4421WFS</v>
          </cell>
        </row>
        <row r="5053">
          <cell r="F5053" t="str">
            <v>6CU4421WFH</v>
          </cell>
        </row>
        <row r="5054">
          <cell r="F5054" t="str">
            <v>6CU4421WCA</v>
          </cell>
        </row>
        <row r="5055">
          <cell r="F5055" t="str">
            <v>6CU4421WAM</v>
          </cell>
        </row>
        <row r="5056">
          <cell r="F5056" t="str">
            <v>6CU4421WF8</v>
          </cell>
        </row>
        <row r="5057">
          <cell r="F5057" t="str">
            <v>6CU4421WH0</v>
          </cell>
        </row>
        <row r="5058">
          <cell r="F5058" t="str">
            <v>6CU4421WEX</v>
          </cell>
        </row>
        <row r="5059">
          <cell r="F5059" t="str">
            <v>6CU4421WFC</v>
          </cell>
        </row>
        <row r="5060">
          <cell r="F5060" t="str">
            <v>6CU4421WF0</v>
          </cell>
        </row>
        <row r="5061">
          <cell r="F5061" t="str">
            <v>6CU4421WH2</v>
          </cell>
        </row>
        <row r="5062">
          <cell r="F5062" t="str">
            <v>6CU4421WH8</v>
          </cell>
        </row>
        <row r="5063">
          <cell r="F5063" t="str">
            <v>6CU4421WFP</v>
          </cell>
        </row>
        <row r="5064">
          <cell r="F5064" t="str">
            <v>6CU4421WH6</v>
          </cell>
        </row>
        <row r="5065">
          <cell r="F5065" t="str">
            <v>6CU4421WES</v>
          </cell>
        </row>
        <row r="5066">
          <cell r="F5066" t="str">
            <v>214637686</v>
          </cell>
        </row>
        <row r="5067">
          <cell r="F5067" t="str">
            <v>210305485510EA000505</v>
          </cell>
        </row>
        <row r="5068">
          <cell r="F5068" t="str">
            <v>210305485510EA000530</v>
          </cell>
        </row>
        <row r="5069">
          <cell r="F5069" t="str">
            <v>210235AOHAH14A000399</v>
          </cell>
        </row>
        <row r="5070">
          <cell r="F5070" t="str">
            <v>210235A0HAH14A000036</v>
          </cell>
        </row>
        <row r="5071">
          <cell r="F5071" t="str">
            <v>210235A0HAH14A000170</v>
          </cell>
        </row>
        <row r="5072">
          <cell r="F5072" t="str">
            <v>210235A0HAH14A000093</v>
          </cell>
        </row>
        <row r="5073">
          <cell r="F5073" t="str">
            <v>210235A0HAH14A000024</v>
          </cell>
        </row>
        <row r="5074">
          <cell r="F5074" t="str">
            <v>FDO1833E1PH</v>
          </cell>
        </row>
        <row r="5075">
          <cell r="F5075" t="str">
            <v>FOC1838R16B</v>
          </cell>
        </row>
        <row r="5076">
          <cell r="F5076" t="str">
            <v>FOC1838R2T6</v>
          </cell>
        </row>
        <row r="5077">
          <cell r="F5077" t="str">
            <v>FOC2004R0M4</v>
          </cell>
        </row>
        <row r="5078">
          <cell r="F5078" t="str">
            <v>210235A1G9H178000002</v>
          </cell>
        </row>
        <row r="5079">
          <cell r="F5079" t="str">
            <v>FDO1837E287</v>
          </cell>
        </row>
        <row r="5080">
          <cell r="F5080" t="str">
            <v>FDO1829Q1P3</v>
          </cell>
        </row>
        <row r="5081">
          <cell r="F5081" t="str">
            <v>0191103201705</v>
          </cell>
        </row>
        <row r="5082">
          <cell r="F5082" t="str">
            <v>210235A3GLH195000052</v>
          </cell>
        </row>
        <row r="5083">
          <cell r="F5083" t="str">
            <v>210235A3GLH197000011</v>
          </cell>
        </row>
        <row r="5084">
          <cell r="F5084" t="str">
            <v>0191103201682</v>
          </cell>
        </row>
        <row r="5085">
          <cell r="F5085" t="str">
            <v>2102350DLVDMK8001534</v>
          </cell>
        </row>
        <row r="5086">
          <cell r="F5086" t="str">
            <v>210235A3GLH195000038</v>
          </cell>
        </row>
        <row r="5087">
          <cell r="F5087" t="str">
            <v>210235A3GLH195000028</v>
          </cell>
        </row>
        <row r="5088">
          <cell r="F5088" t="str">
            <v>J301DX2H</v>
          </cell>
        </row>
        <row r="5089">
          <cell r="F5089" t="str">
            <v>J301DX2P</v>
          </cell>
        </row>
        <row r="5090">
          <cell r="F5090" t="str">
            <v>J301DX2N</v>
          </cell>
        </row>
        <row r="5091">
          <cell r="F5091" t="str">
            <v>J301DX2F</v>
          </cell>
        </row>
        <row r="5092">
          <cell r="F5092" t="str">
            <v>J301DX2C</v>
          </cell>
        </row>
        <row r="5093">
          <cell r="F5093" t="str">
            <v>J301DX2D</v>
          </cell>
        </row>
        <row r="5094">
          <cell r="F5094" t="str">
            <v>210235A3GLH195000010</v>
          </cell>
        </row>
        <row r="5095">
          <cell r="F5095" t="str">
            <v>210235A3GLH195000024</v>
          </cell>
        </row>
        <row r="5096">
          <cell r="F5096" t="str">
            <v>J301DX2T</v>
          </cell>
        </row>
        <row r="5097">
          <cell r="F5097" t="str">
            <v>J301DX2R</v>
          </cell>
        </row>
        <row r="5098">
          <cell r="F5098" t="str">
            <v>J301DX2L</v>
          </cell>
        </row>
        <row r="5099">
          <cell r="F5099" t="str">
            <v>0191103201675</v>
          </cell>
        </row>
        <row r="5100">
          <cell r="F5100" t="str">
            <v>J301DX2V</v>
          </cell>
        </row>
        <row r="5101">
          <cell r="F5101" t="str">
            <v>J301DX2M</v>
          </cell>
        </row>
        <row r="5102">
          <cell r="F5102" t="str">
            <v>J301DX2E</v>
          </cell>
        </row>
        <row r="5103">
          <cell r="F5103" t="str">
            <v>J301DX2K</v>
          </cell>
        </row>
        <row r="5104">
          <cell r="F5104" t="str">
            <v>210235A3GLH195000055</v>
          </cell>
        </row>
        <row r="5105">
          <cell r="F5105" t="str">
            <v>210235A3GLH195000007</v>
          </cell>
        </row>
        <row r="5106">
          <cell r="F5106" t="str">
            <v>J301DX2G</v>
          </cell>
        </row>
        <row r="5107">
          <cell r="F5107" t="str">
            <v>2102350DLVDMK8001530</v>
          </cell>
        </row>
        <row r="5108">
          <cell r="F5108" t="str">
            <v>819482670</v>
          </cell>
        </row>
        <row r="5109">
          <cell r="F5109" t="str">
            <v>819482669</v>
          </cell>
        </row>
        <row r="5110">
          <cell r="F5110" t="str">
            <v>819482668</v>
          </cell>
        </row>
        <row r="5111">
          <cell r="F5111" t="str">
            <v>819482667</v>
          </cell>
        </row>
        <row r="5112">
          <cell r="F5112" t="str">
            <v>0191103201644</v>
          </cell>
        </row>
        <row r="5113">
          <cell r="F5113" t="str">
            <v>819482666</v>
          </cell>
        </row>
        <row r="5114">
          <cell r="F5114" t="str">
            <v>819482673</v>
          </cell>
        </row>
        <row r="5115">
          <cell r="F5115" t="str">
            <v>819482672</v>
          </cell>
        </row>
        <row r="5116">
          <cell r="F5116" t="str">
            <v>819482671</v>
          </cell>
        </row>
        <row r="5117">
          <cell r="F5117" t="str">
            <v>219555967</v>
          </cell>
        </row>
        <row r="5118">
          <cell r="F5118" t="str">
            <v>219555966</v>
          </cell>
        </row>
        <row r="5119">
          <cell r="F5119" t="str">
            <v>219555971</v>
          </cell>
        </row>
        <row r="5120">
          <cell r="F5120" t="str">
            <v>219555970</v>
          </cell>
        </row>
        <row r="5121">
          <cell r="F5121" t="str">
            <v>219555972</v>
          </cell>
        </row>
        <row r="5122">
          <cell r="F5122" t="str">
            <v>219555973</v>
          </cell>
        </row>
        <row r="5123">
          <cell r="F5123" t="str">
            <v>219555969</v>
          </cell>
        </row>
        <row r="5124">
          <cell r="F5124" t="str">
            <v>219555968</v>
          </cell>
        </row>
        <row r="5125">
          <cell r="F5125" t="str">
            <v>219555941</v>
          </cell>
        </row>
        <row r="5126">
          <cell r="F5126" t="str">
            <v>219555940</v>
          </cell>
        </row>
        <row r="5127">
          <cell r="F5127" t="str">
            <v>219555934</v>
          </cell>
        </row>
        <row r="5128">
          <cell r="F5128" t="str">
            <v>219555935</v>
          </cell>
        </row>
        <row r="5129">
          <cell r="F5129" t="str">
            <v>219555936</v>
          </cell>
        </row>
        <row r="5130">
          <cell r="F5130" t="str">
            <v>219555937</v>
          </cell>
        </row>
        <row r="5131">
          <cell r="F5131" t="str">
            <v>219555939</v>
          </cell>
        </row>
        <row r="5132">
          <cell r="F5132" t="str">
            <v>219555938</v>
          </cell>
        </row>
        <row r="5133">
          <cell r="F5133" t="str">
            <v>219556053</v>
          </cell>
        </row>
        <row r="5134">
          <cell r="F5134" t="str">
            <v>219556052</v>
          </cell>
        </row>
        <row r="5135">
          <cell r="F5135" t="str">
            <v>219556054</v>
          </cell>
        </row>
        <row r="5136">
          <cell r="F5136" t="str">
            <v>219556055</v>
          </cell>
        </row>
        <row r="5137">
          <cell r="F5137" t="str">
            <v>219556058</v>
          </cell>
        </row>
        <row r="5138">
          <cell r="F5138" t="str">
            <v>219556059</v>
          </cell>
        </row>
        <row r="5139">
          <cell r="F5139" t="str">
            <v>219556057</v>
          </cell>
        </row>
        <row r="5140">
          <cell r="F5140" t="str">
            <v>219556056</v>
          </cell>
        </row>
        <row r="5141">
          <cell r="F5141" t="str">
            <v>219548297</v>
          </cell>
        </row>
        <row r="5142">
          <cell r="F5142" t="str">
            <v>219548296</v>
          </cell>
        </row>
        <row r="5143">
          <cell r="F5143" t="str">
            <v>219548294</v>
          </cell>
        </row>
        <row r="5144">
          <cell r="F5144" t="str">
            <v>219548295</v>
          </cell>
        </row>
        <row r="5145">
          <cell r="F5145" t="str">
            <v>219548292</v>
          </cell>
        </row>
        <row r="5146">
          <cell r="F5146" t="str">
            <v>219548293</v>
          </cell>
        </row>
        <row r="5147">
          <cell r="F5147" t="str">
            <v>219555952</v>
          </cell>
        </row>
        <row r="5148">
          <cell r="F5148" t="str">
            <v>219555953</v>
          </cell>
        </row>
        <row r="5149">
          <cell r="F5149" t="str">
            <v>219555951</v>
          </cell>
        </row>
        <row r="5150">
          <cell r="F5150" t="str">
            <v>219555950</v>
          </cell>
        </row>
        <row r="5151">
          <cell r="F5151" t="str">
            <v>219555957</v>
          </cell>
        </row>
        <row r="5152">
          <cell r="F5152" t="str">
            <v>219555956</v>
          </cell>
        </row>
        <row r="5153">
          <cell r="F5153" t="str">
            <v>219555954</v>
          </cell>
        </row>
        <row r="5154">
          <cell r="F5154" t="str">
            <v>219555955</v>
          </cell>
        </row>
        <row r="5155">
          <cell r="F5155" t="str">
            <v>2102350DLVDMK8001543</v>
          </cell>
        </row>
        <row r="5156">
          <cell r="F5156" t="str">
            <v>2102350DLVDMK8001528</v>
          </cell>
        </row>
        <row r="5157">
          <cell r="F5157" t="str">
            <v>210235A3GLH197000010</v>
          </cell>
        </row>
        <row r="5158">
          <cell r="F5158" t="str">
            <v>210235A3GLH195000057</v>
          </cell>
        </row>
        <row r="5159">
          <cell r="F5159" t="str">
            <v>219555732</v>
          </cell>
        </row>
        <row r="5160">
          <cell r="F5160" t="str">
            <v>219555731</v>
          </cell>
        </row>
        <row r="5161">
          <cell r="F5161" t="str">
            <v>219555730</v>
          </cell>
        </row>
        <row r="5162">
          <cell r="F5162" t="str">
            <v>219555729</v>
          </cell>
        </row>
        <row r="5163">
          <cell r="F5163" t="str">
            <v>219555763</v>
          </cell>
        </row>
        <row r="5164">
          <cell r="F5164" t="str">
            <v>219555764</v>
          </cell>
        </row>
        <row r="5165">
          <cell r="F5165" t="str">
            <v>219555761</v>
          </cell>
        </row>
        <row r="5166">
          <cell r="F5166" t="str">
            <v>219555762</v>
          </cell>
        </row>
        <row r="5167">
          <cell r="F5167" t="str">
            <v>219555756</v>
          </cell>
        </row>
        <row r="5168">
          <cell r="F5168" t="str">
            <v>219555755</v>
          </cell>
        </row>
        <row r="5169">
          <cell r="F5169" t="str">
            <v>219555753</v>
          </cell>
        </row>
        <row r="5170">
          <cell r="F5170" t="str">
            <v>219555754</v>
          </cell>
        </row>
        <row r="5171">
          <cell r="F5171" t="str">
            <v>219555726</v>
          </cell>
        </row>
        <row r="5172">
          <cell r="F5172" t="str">
            <v>219555725</v>
          </cell>
        </row>
        <row r="5173">
          <cell r="F5173" t="str">
            <v>219555728</v>
          </cell>
        </row>
        <row r="5174">
          <cell r="F5174" t="str">
            <v>219555727</v>
          </cell>
        </row>
        <row r="5175">
          <cell r="F5175" t="str">
            <v>219555745</v>
          </cell>
        </row>
        <row r="5176">
          <cell r="F5176" t="str">
            <v>219555746</v>
          </cell>
        </row>
        <row r="5177">
          <cell r="F5177" t="str">
            <v>219555748</v>
          </cell>
        </row>
        <row r="5178">
          <cell r="F5178" t="str">
            <v>219555747</v>
          </cell>
        </row>
        <row r="5179">
          <cell r="F5179" t="str">
            <v>219555752</v>
          </cell>
        </row>
        <row r="5180">
          <cell r="F5180" t="str">
            <v>219555751</v>
          </cell>
        </row>
        <row r="5181">
          <cell r="F5181" t="str">
            <v>219555749</v>
          </cell>
        </row>
        <row r="5182">
          <cell r="F5182" t="str">
            <v>219555750</v>
          </cell>
        </row>
        <row r="5183">
          <cell r="F5183" t="str">
            <v>219555734</v>
          </cell>
        </row>
        <row r="5184">
          <cell r="F5184" t="str">
            <v>219555733</v>
          </cell>
        </row>
        <row r="5185">
          <cell r="F5185" t="str">
            <v>219555736</v>
          </cell>
        </row>
        <row r="5186">
          <cell r="F5186" t="str">
            <v>219555735</v>
          </cell>
        </row>
        <row r="5187">
          <cell r="F5187" t="str">
            <v>219555767</v>
          </cell>
        </row>
        <row r="5188">
          <cell r="F5188" t="str">
            <v>219555768</v>
          </cell>
        </row>
        <row r="5189">
          <cell r="F5189" t="str">
            <v>219555766</v>
          </cell>
        </row>
        <row r="5190">
          <cell r="F5190" t="str">
            <v>219555765</v>
          </cell>
        </row>
        <row r="5191">
          <cell r="F5191" t="str">
            <v>219555741</v>
          </cell>
        </row>
        <row r="5192">
          <cell r="F5192" t="str">
            <v>219555742</v>
          </cell>
        </row>
        <row r="5193">
          <cell r="F5193" t="str">
            <v>219555744</v>
          </cell>
        </row>
        <row r="5194">
          <cell r="F5194" t="str">
            <v>219555743</v>
          </cell>
        </row>
        <row r="5195">
          <cell r="F5195" t="str">
            <v>219555770</v>
          </cell>
        </row>
        <row r="5196">
          <cell r="F5196" t="str">
            <v>219555769</v>
          </cell>
        </row>
        <row r="5197">
          <cell r="F5197" t="str">
            <v>219555771</v>
          </cell>
        </row>
        <row r="5198">
          <cell r="F5198" t="str">
            <v>219555772</v>
          </cell>
        </row>
        <row r="5199">
          <cell r="F5199" t="str">
            <v>0191103201637</v>
          </cell>
        </row>
        <row r="5200">
          <cell r="F5200" t="str">
            <v>219555758</v>
          </cell>
        </row>
        <row r="5201">
          <cell r="F5201" t="str">
            <v>219555757</v>
          </cell>
        </row>
        <row r="5202">
          <cell r="F5202" t="str">
            <v>219555759</v>
          </cell>
        </row>
        <row r="5203">
          <cell r="F5203" t="str">
            <v>219555760</v>
          </cell>
        </row>
        <row r="5204">
          <cell r="F5204" t="str">
            <v>219555738</v>
          </cell>
        </row>
        <row r="5205">
          <cell r="F5205" t="str">
            <v>219555737</v>
          </cell>
        </row>
        <row r="5206">
          <cell r="F5206" t="str">
            <v>219555739</v>
          </cell>
        </row>
        <row r="5207">
          <cell r="F5207" t="str">
            <v>219555740</v>
          </cell>
        </row>
        <row r="5208">
          <cell r="F5208" t="str">
            <v>219555829</v>
          </cell>
        </row>
        <row r="5209">
          <cell r="F5209" t="str">
            <v>219555830</v>
          </cell>
        </row>
        <row r="5210">
          <cell r="F5210" t="str">
            <v>219555831</v>
          </cell>
        </row>
        <row r="5211">
          <cell r="F5211" t="str">
            <v>219555832</v>
          </cell>
        </row>
        <row r="5212">
          <cell r="F5212" t="str">
            <v>219555833</v>
          </cell>
        </row>
        <row r="5213">
          <cell r="F5213" t="str">
            <v>219555834</v>
          </cell>
        </row>
        <row r="5214">
          <cell r="F5214" t="str">
            <v>219555835</v>
          </cell>
        </row>
        <row r="5215">
          <cell r="F5215" t="str">
            <v>219555836</v>
          </cell>
        </row>
        <row r="5216">
          <cell r="F5216" t="str">
            <v>219555861</v>
          </cell>
        </row>
        <row r="5217">
          <cell r="F5217" t="str">
            <v>219555862</v>
          </cell>
        </row>
        <row r="5218">
          <cell r="F5218" t="str">
            <v>219555863</v>
          </cell>
        </row>
        <row r="5219">
          <cell r="F5219" t="str">
            <v>219555864</v>
          </cell>
        </row>
        <row r="5220">
          <cell r="F5220" t="str">
            <v>219555865</v>
          </cell>
        </row>
        <row r="5221">
          <cell r="F5221" t="str">
            <v>219555866</v>
          </cell>
        </row>
        <row r="5222">
          <cell r="F5222" t="str">
            <v>219555867</v>
          </cell>
        </row>
        <row r="5223">
          <cell r="F5223" t="str">
            <v>219555868</v>
          </cell>
        </row>
        <row r="5224">
          <cell r="F5224" t="str">
            <v>219555813</v>
          </cell>
        </row>
        <row r="5225">
          <cell r="F5225" t="str">
            <v>219555814</v>
          </cell>
        </row>
        <row r="5226">
          <cell r="F5226" t="str">
            <v>219555815</v>
          </cell>
        </row>
        <row r="5227">
          <cell r="F5227" t="str">
            <v>219555816</v>
          </cell>
        </row>
        <row r="5228">
          <cell r="F5228" t="str">
            <v>219555817</v>
          </cell>
        </row>
        <row r="5229">
          <cell r="F5229" t="str">
            <v>219555818</v>
          </cell>
        </row>
        <row r="5230">
          <cell r="F5230" t="str">
            <v>219555819</v>
          </cell>
        </row>
        <row r="5231">
          <cell r="F5231" t="str">
            <v>219555820</v>
          </cell>
        </row>
        <row r="5232">
          <cell r="F5232" t="str">
            <v>219555821</v>
          </cell>
        </row>
        <row r="5233">
          <cell r="F5233" t="str">
            <v>219555822</v>
          </cell>
        </row>
        <row r="5234">
          <cell r="F5234" t="str">
            <v>219555823</v>
          </cell>
        </row>
        <row r="5235">
          <cell r="F5235" t="str">
            <v>219555824</v>
          </cell>
        </row>
        <row r="5236">
          <cell r="F5236" t="str">
            <v>219555825</v>
          </cell>
        </row>
        <row r="5237">
          <cell r="F5237" t="str">
            <v>219555826</v>
          </cell>
        </row>
        <row r="5238">
          <cell r="F5238" t="str">
            <v>219555827</v>
          </cell>
        </row>
        <row r="5239">
          <cell r="F5239" t="str">
            <v>219555828</v>
          </cell>
        </row>
        <row r="5240">
          <cell r="F5240" t="str">
            <v>219555802</v>
          </cell>
        </row>
        <row r="5241">
          <cell r="F5241" t="str">
            <v>219555801</v>
          </cell>
        </row>
        <row r="5242">
          <cell r="F5242" t="str">
            <v>219555797</v>
          </cell>
        </row>
        <row r="5243">
          <cell r="F5243" t="str">
            <v>219555798</v>
          </cell>
        </row>
        <row r="5244">
          <cell r="F5244" t="str">
            <v>219555799</v>
          </cell>
        </row>
        <row r="5245">
          <cell r="F5245" t="str">
            <v>219555803</v>
          </cell>
        </row>
        <row r="5246">
          <cell r="F5246" t="str">
            <v>219555804</v>
          </cell>
        </row>
        <row r="5247">
          <cell r="F5247" t="str">
            <v>219555800</v>
          </cell>
        </row>
        <row r="5248">
          <cell r="F5248" t="str">
            <v>219555858</v>
          </cell>
        </row>
        <row r="5249">
          <cell r="F5249" t="str">
            <v>219555855</v>
          </cell>
        </row>
        <row r="5250">
          <cell r="F5250" t="str">
            <v>219555856</v>
          </cell>
        </row>
        <row r="5251">
          <cell r="F5251" t="str">
            <v>219555857</v>
          </cell>
        </row>
        <row r="5252">
          <cell r="F5252" t="str">
            <v>219555860</v>
          </cell>
        </row>
        <row r="5253">
          <cell r="F5253" t="str">
            <v>219555859</v>
          </cell>
        </row>
        <row r="5254">
          <cell r="F5254" t="str">
            <v>219555853</v>
          </cell>
        </row>
        <row r="5255">
          <cell r="F5255" t="str">
            <v>219555854</v>
          </cell>
        </row>
        <row r="5256">
          <cell r="F5256" t="str">
            <v>0191103201668</v>
          </cell>
        </row>
        <row r="5257">
          <cell r="F5257" t="str">
            <v>219555841</v>
          </cell>
        </row>
        <row r="5258">
          <cell r="F5258" t="str">
            <v>219555842</v>
          </cell>
        </row>
        <row r="5259">
          <cell r="F5259" t="str">
            <v>219555839</v>
          </cell>
        </row>
        <row r="5260">
          <cell r="F5260" t="str">
            <v>219555840</v>
          </cell>
        </row>
        <row r="5261">
          <cell r="F5261" t="str">
            <v>219555838</v>
          </cell>
        </row>
        <row r="5262">
          <cell r="F5262" t="str">
            <v>219555837</v>
          </cell>
        </row>
        <row r="5263">
          <cell r="F5263" t="str">
            <v>219555844</v>
          </cell>
        </row>
        <row r="5264">
          <cell r="F5264" t="str">
            <v>219555843</v>
          </cell>
        </row>
        <row r="5265">
          <cell r="F5265" t="str">
            <v>219555794</v>
          </cell>
        </row>
        <row r="5266">
          <cell r="F5266" t="str">
            <v>219555793</v>
          </cell>
        </row>
        <row r="5267">
          <cell r="F5267" t="str">
            <v>219555789</v>
          </cell>
        </row>
        <row r="5268">
          <cell r="F5268" t="str">
            <v>219555790</v>
          </cell>
        </row>
        <row r="5269">
          <cell r="F5269" t="str">
            <v>219555792</v>
          </cell>
        </row>
        <row r="5270">
          <cell r="F5270" t="str">
            <v>219555795</v>
          </cell>
        </row>
        <row r="5271">
          <cell r="F5271" t="str">
            <v>219555796</v>
          </cell>
        </row>
        <row r="5272">
          <cell r="F5272" t="str">
            <v>219555791</v>
          </cell>
        </row>
        <row r="5273">
          <cell r="F5273" t="str">
            <v>219555845</v>
          </cell>
        </row>
        <row r="5274">
          <cell r="F5274" t="str">
            <v>219555846</v>
          </cell>
        </row>
        <row r="5275">
          <cell r="F5275" t="str">
            <v>219555847</v>
          </cell>
        </row>
        <row r="5276">
          <cell r="F5276" t="str">
            <v>219555850</v>
          </cell>
        </row>
        <row r="5277">
          <cell r="F5277" t="str">
            <v>219555849</v>
          </cell>
        </row>
        <row r="5278">
          <cell r="F5278" t="str">
            <v>219555851</v>
          </cell>
        </row>
        <row r="5279">
          <cell r="F5279" t="str">
            <v>219555852</v>
          </cell>
        </row>
        <row r="5280">
          <cell r="F5280" t="str">
            <v>219555848</v>
          </cell>
        </row>
        <row r="5281">
          <cell r="F5281" t="str">
            <v>219555784</v>
          </cell>
        </row>
        <row r="5282">
          <cell r="F5282" t="str">
            <v>219555783</v>
          </cell>
        </row>
        <row r="5283">
          <cell r="F5283" t="str">
            <v>219555788</v>
          </cell>
        </row>
        <row r="5284">
          <cell r="F5284" t="str">
            <v>219555787</v>
          </cell>
        </row>
        <row r="5285">
          <cell r="F5285" t="str">
            <v>219555781</v>
          </cell>
        </row>
        <row r="5286">
          <cell r="F5286" t="str">
            <v>219555782</v>
          </cell>
        </row>
        <row r="5287">
          <cell r="F5287" t="str">
            <v>219555785</v>
          </cell>
        </row>
        <row r="5288">
          <cell r="F5288" t="str">
            <v>219555786</v>
          </cell>
        </row>
        <row r="5289">
          <cell r="F5289" t="str">
            <v>219555870</v>
          </cell>
        </row>
        <row r="5290">
          <cell r="F5290" t="str">
            <v>219555869</v>
          </cell>
        </row>
        <row r="5291">
          <cell r="F5291" t="str">
            <v>219555872</v>
          </cell>
        </row>
        <row r="5292">
          <cell r="F5292" t="str">
            <v>219555871</v>
          </cell>
        </row>
        <row r="5293">
          <cell r="F5293" t="str">
            <v>219555876</v>
          </cell>
        </row>
        <row r="5294">
          <cell r="F5294" t="str">
            <v>219555875</v>
          </cell>
        </row>
        <row r="5295">
          <cell r="F5295" t="str">
            <v>219555874</v>
          </cell>
        </row>
        <row r="5296">
          <cell r="F5296" t="str">
            <v>219555873</v>
          </cell>
        </row>
        <row r="5297">
          <cell r="F5297" t="str">
            <v>219555808</v>
          </cell>
        </row>
        <row r="5298">
          <cell r="F5298" t="str">
            <v>219555807</v>
          </cell>
        </row>
        <row r="5299">
          <cell r="F5299" t="str">
            <v>219555811</v>
          </cell>
        </row>
        <row r="5300">
          <cell r="F5300" t="str">
            <v>219555812</v>
          </cell>
        </row>
        <row r="5301">
          <cell r="F5301" t="str">
            <v>219555810</v>
          </cell>
        </row>
        <row r="5302">
          <cell r="F5302" t="str">
            <v>219555809</v>
          </cell>
        </row>
        <row r="5303">
          <cell r="F5303" t="str">
            <v>219555806</v>
          </cell>
        </row>
        <row r="5304">
          <cell r="F5304" t="str">
            <v>219555805</v>
          </cell>
        </row>
        <row r="5305">
          <cell r="F5305" t="str">
            <v>FOC21172AF5</v>
          </cell>
        </row>
        <row r="5306">
          <cell r="F5306" t="str">
            <v>210235A0U0H134000226</v>
          </cell>
        </row>
        <row r="5307">
          <cell r="F5307" t="str">
            <v>210235A0U0H137000015</v>
          </cell>
        </row>
        <row r="5308">
          <cell r="F5308" t="str">
            <v>210235A0U0H139000108</v>
          </cell>
        </row>
        <row r="5309">
          <cell r="F5309" t="str">
            <v>JAE23070N69</v>
          </cell>
        </row>
        <row r="5310">
          <cell r="F5310" t="str">
            <v>210235A0U0H137000032</v>
          </cell>
        </row>
        <row r="5311">
          <cell r="F5311" t="str">
            <v>210235A1DWH165000050</v>
          </cell>
        </row>
        <row r="5312">
          <cell r="F5312" t="str">
            <v>210235A1DWH165000006</v>
          </cell>
        </row>
        <row r="5313">
          <cell r="F5313" t="str">
            <v>FOC2004R0ZE</v>
          </cell>
        </row>
        <row r="5314">
          <cell r="F5314" t="str">
            <v>210235AOHAH14A000395</v>
          </cell>
        </row>
        <row r="5315">
          <cell r="F5315" t="str">
            <v>210235AOHAH14A000310</v>
          </cell>
        </row>
        <row r="5316">
          <cell r="F5316" t="str">
            <v>210235AOHAH14A000243</v>
          </cell>
        </row>
        <row r="5317">
          <cell r="F5317" t="str">
            <v>210235AOHAH127000138</v>
          </cell>
        </row>
        <row r="5318">
          <cell r="F5318" t="str">
            <v>210235A1TXH179000211</v>
          </cell>
        </row>
        <row r="5319">
          <cell r="F5319" t="str">
            <v>210235A1TXH179000231</v>
          </cell>
        </row>
        <row r="5320">
          <cell r="F5320" t="str">
            <v>JAE23070N6K</v>
          </cell>
        </row>
        <row r="5321">
          <cell r="F5321" t="str">
            <v>2102350DLVDMK8000258</v>
          </cell>
        </row>
        <row r="5322">
          <cell r="F5322" t="str">
            <v>210235a0h9h149000010</v>
          </cell>
        </row>
        <row r="5323">
          <cell r="F5323" t="str">
            <v>210235A0H9H149000013</v>
          </cell>
        </row>
        <row r="5324">
          <cell r="F5324" t="str">
            <v>210235A0HAH14A000001</v>
          </cell>
        </row>
        <row r="5325">
          <cell r="F5325" t="str">
            <v>210235A0HAH14A000022</v>
          </cell>
        </row>
        <row r="5326">
          <cell r="F5326" t="str">
            <v>210235A0HAH14A000354</v>
          </cell>
        </row>
        <row r="5327">
          <cell r="F5327" t="str">
            <v>210235A0HAH14A000101</v>
          </cell>
        </row>
        <row r="5328">
          <cell r="F5328" t="str">
            <v>210235A0HAH14A000110</v>
          </cell>
        </row>
        <row r="5329">
          <cell r="F5329" t="str">
            <v>210235A0HAH14A000107</v>
          </cell>
        </row>
        <row r="5330">
          <cell r="F5330" t="str">
            <v>210235A0HAH14A000199</v>
          </cell>
        </row>
        <row r="5331">
          <cell r="F5331" t="str">
            <v>210235AOHAH14A000368</v>
          </cell>
        </row>
        <row r="5332">
          <cell r="F5332" t="str">
            <v>210235AOHAH14A000298</v>
          </cell>
        </row>
        <row r="5333">
          <cell r="F5333" t="str">
            <v>210235AOHAH14A000294</v>
          </cell>
        </row>
        <row r="5334">
          <cell r="F5334" t="str">
            <v>210235AOHAH14A000309</v>
          </cell>
        </row>
        <row r="5335">
          <cell r="F5335" t="str">
            <v>06CT312</v>
          </cell>
        </row>
        <row r="5336">
          <cell r="F5336" t="str">
            <v>06CT304</v>
          </cell>
        </row>
        <row r="5337">
          <cell r="F5337" t="str">
            <v>06CP863</v>
          </cell>
        </row>
        <row r="5338">
          <cell r="F5338" t="str">
            <v>06CT341</v>
          </cell>
        </row>
        <row r="5339">
          <cell r="F5339" t="str">
            <v>06CP587</v>
          </cell>
        </row>
        <row r="5340">
          <cell r="F5340" t="str">
            <v>06CP591</v>
          </cell>
        </row>
        <row r="5341">
          <cell r="F5341" t="str">
            <v>06CP588</v>
          </cell>
        </row>
        <row r="5342">
          <cell r="F5342" t="str">
            <v>06CP592</v>
          </cell>
        </row>
        <row r="5343">
          <cell r="F5343" t="str">
            <v>06CP582</v>
          </cell>
        </row>
        <row r="5344">
          <cell r="F5344" t="str">
            <v>06CT317</v>
          </cell>
        </row>
        <row r="5345">
          <cell r="F5345" t="str">
            <v>06CP589</v>
          </cell>
        </row>
        <row r="5346">
          <cell r="F5346" t="str">
            <v>06CP581</v>
          </cell>
        </row>
        <row r="5347">
          <cell r="F5347" t="str">
            <v>06CP586</v>
          </cell>
        </row>
        <row r="5348">
          <cell r="F5348" t="str">
            <v>06CT345</v>
          </cell>
        </row>
        <row r="5349">
          <cell r="F5349" t="str">
            <v>06CT285</v>
          </cell>
        </row>
        <row r="5350">
          <cell r="F5350" t="str">
            <v>06CT330</v>
          </cell>
        </row>
        <row r="5351">
          <cell r="F5351" t="str">
            <v>06CT315</v>
          </cell>
        </row>
        <row r="5352">
          <cell r="F5352" t="str">
            <v>06CP861</v>
          </cell>
        </row>
        <row r="5353">
          <cell r="F5353" t="str">
            <v>2102300742N0F3000277</v>
          </cell>
        </row>
        <row r="5354">
          <cell r="F5354" t="str">
            <v>210305485510F4000998</v>
          </cell>
        </row>
        <row r="5355">
          <cell r="F5355" t="str">
            <v>210305485510F4001009</v>
          </cell>
        </row>
        <row r="5356">
          <cell r="F5356" t="str">
            <v>210305485510F4001006</v>
          </cell>
        </row>
        <row r="5357">
          <cell r="F5357" t="str">
            <v>210305485510F4001012</v>
          </cell>
        </row>
        <row r="5358">
          <cell r="F5358" t="str">
            <v>210305485510F4000997</v>
          </cell>
        </row>
        <row r="5359">
          <cell r="F5359" t="str">
            <v>210305485510F4001015</v>
          </cell>
        </row>
        <row r="5360">
          <cell r="F5360" t="str">
            <v>210305485510F4001008</v>
          </cell>
        </row>
        <row r="5361">
          <cell r="F5361" t="str">
            <v>210305485510F4001007</v>
          </cell>
        </row>
        <row r="5362">
          <cell r="F5362" t="str">
            <v>210305485510F4000999</v>
          </cell>
        </row>
        <row r="5363">
          <cell r="F5363" t="str">
            <v>210305485510F4001000</v>
          </cell>
        </row>
        <row r="5364">
          <cell r="F5364" t="str">
            <v>210305485510F4001011</v>
          </cell>
        </row>
        <row r="5365">
          <cell r="F5365" t="str">
            <v>210305485510F4001019</v>
          </cell>
        </row>
        <row r="5366">
          <cell r="F5366" t="str">
            <v>2102300742N0F4000161</v>
          </cell>
        </row>
        <row r="5367">
          <cell r="F5367" t="str">
            <v>210305485510F4001010</v>
          </cell>
        </row>
        <row r="5368">
          <cell r="F5368" t="str">
            <v>210305485510F4000992</v>
          </cell>
        </row>
        <row r="5369">
          <cell r="F5369" t="str">
            <v>210305485510F4001005</v>
          </cell>
        </row>
        <row r="5370">
          <cell r="F5370" t="str">
            <v>210305485510F4001017</v>
          </cell>
        </row>
        <row r="5371">
          <cell r="F5371" t="str">
            <v>210305485510F4000996</v>
          </cell>
        </row>
        <row r="5372">
          <cell r="F5372" t="str">
            <v>210305485510F4000995</v>
          </cell>
        </row>
        <row r="5373">
          <cell r="F5373" t="str">
            <v>210305485510F4001018</v>
          </cell>
        </row>
        <row r="5374">
          <cell r="F5374" t="str">
            <v>210305485510F4000994</v>
          </cell>
        </row>
        <row r="5375">
          <cell r="F5375" t="str">
            <v>210305485510F4000991</v>
          </cell>
        </row>
        <row r="5376">
          <cell r="F5376" t="str">
            <v>210305485510F4000990</v>
          </cell>
        </row>
        <row r="5377">
          <cell r="F5377" t="str">
            <v>210305485510F4000988</v>
          </cell>
        </row>
        <row r="5378">
          <cell r="F5378" t="str">
            <v>210305485510F4000984</v>
          </cell>
        </row>
        <row r="5379">
          <cell r="F5379" t="str">
            <v>210305485510F4000989</v>
          </cell>
        </row>
        <row r="5380">
          <cell r="F5380" t="str">
            <v>210305485510F4000985</v>
          </cell>
        </row>
        <row r="5381">
          <cell r="F5381" t="str">
            <v>210305485510F4000987</v>
          </cell>
        </row>
        <row r="5382">
          <cell r="F5382" t="str">
            <v>210305485510F4000986</v>
          </cell>
        </row>
        <row r="5383">
          <cell r="F5383" t="str">
            <v>2102300742N0F4000027</v>
          </cell>
        </row>
        <row r="5384">
          <cell r="F5384" t="str">
            <v>210305485510F4000588</v>
          </cell>
        </row>
        <row r="5385">
          <cell r="F5385" t="str">
            <v>210305485510F4000587</v>
          </cell>
        </row>
        <row r="5386">
          <cell r="F5386" t="str">
            <v>210305485510F4000584</v>
          </cell>
        </row>
        <row r="5387">
          <cell r="F5387" t="str">
            <v>210305485510F4000583</v>
          </cell>
        </row>
        <row r="5388">
          <cell r="F5388" t="str">
            <v>210305485510F4000582</v>
          </cell>
        </row>
        <row r="5389">
          <cell r="F5389" t="str">
            <v>210305485510F4000592</v>
          </cell>
        </row>
        <row r="5390">
          <cell r="F5390" t="str">
            <v>210305485510F4000585</v>
          </cell>
        </row>
        <row r="5391">
          <cell r="F5391" t="str">
            <v>210305485510F4000579</v>
          </cell>
        </row>
        <row r="5392">
          <cell r="F5392" t="str">
            <v>210305485510F4000591</v>
          </cell>
        </row>
        <row r="5393">
          <cell r="F5393" t="str">
            <v>210305485510F4000578</v>
          </cell>
        </row>
        <row r="5394">
          <cell r="F5394" t="str">
            <v>210305485510F4000593</v>
          </cell>
        </row>
        <row r="5395">
          <cell r="F5395" t="str">
            <v>210305485510F4000580</v>
          </cell>
        </row>
        <row r="5396">
          <cell r="F5396" t="str">
            <v>210305485510F4000586</v>
          </cell>
        </row>
        <row r="5397">
          <cell r="F5397" t="str">
            <v>210305485510F4000581</v>
          </cell>
        </row>
        <row r="5398">
          <cell r="F5398" t="str">
            <v>210305485510F4000590</v>
          </cell>
        </row>
        <row r="5399">
          <cell r="F5399" t="str">
            <v>210305485510F4000589</v>
          </cell>
        </row>
        <row r="5400">
          <cell r="F5400" t="str">
            <v>2102300742N0F4000025</v>
          </cell>
        </row>
        <row r="5401">
          <cell r="F5401" t="str">
            <v>210305485210F4000002</v>
          </cell>
        </row>
        <row r="5402">
          <cell r="F5402" t="str">
            <v>210305485210F4000005</v>
          </cell>
        </row>
        <row r="5403">
          <cell r="F5403" t="str">
            <v>210305485210F4000004</v>
          </cell>
        </row>
        <row r="5404">
          <cell r="F5404" t="str">
            <v>210305485210F4000008</v>
          </cell>
        </row>
        <row r="5405">
          <cell r="F5405" t="str">
            <v>210305485210F4000001</v>
          </cell>
        </row>
        <row r="5406">
          <cell r="F5406" t="str">
            <v>210305485210F4000003</v>
          </cell>
        </row>
        <row r="5407">
          <cell r="F5407" t="str">
            <v>210305485210F5000086</v>
          </cell>
        </row>
        <row r="5408">
          <cell r="F5408" t="str">
            <v>210305485210F4000006</v>
          </cell>
        </row>
        <row r="5409">
          <cell r="F5409" t="str">
            <v>219555960</v>
          </cell>
        </row>
        <row r="5410">
          <cell r="F5410" t="str">
            <v>219555961</v>
          </cell>
        </row>
        <row r="5411">
          <cell r="F5411" t="str">
            <v>219555964</v>
          </cell>
        </row>
        <row r="5412">
          <cell r="F5412" t="str">
            <v>219555965</v>
          </cell>
        </row>
        <row r="5413">
          <cell r="F5413" t="str">
            <v>219555963</v>
          </cell>
        </row>
        <row r="5414">
          <cell r="F5414" t="str">
            <v>219555962</v>
          </cell>
        </row>
        <row r="5415">
          <cell r="F5415" t="str">
            <v>219555958</v>
          </cell>
        </row>
        <row r="5416">
          <cell r="F5416" t="str">
            <v>219555959</v>
          </cell>
        </row>
        <row r="5417">
          <cell r="F5417" t="str">
            <v>219555927</v>
          </cell>
        </row>
        <row r="5418">
          <cell r="F5418" t="str">
            <v>219555926</v>
          </cell>
        </row>
        <row r="5419">
          <cell r="F5419" t="str">
            <v>219555933</v>
          </cell>
        </row>
        <row r="5420">
          <cell r="F5420" t="str">
            <v>219555932</v>
          </cell>
        </row>
        <row r="5421">
          <cell r="F5421" t="str">
            <v>219555929</v>
          </cell>
        </row>
        <row r="5422">
          <cell r="F5422" t="str">
            <v>219555928</v>
          </cell>
        </row>
        <row r="5423">
          <cell r="F5423" t="str">
            <v>219555930</v>
          </cell>
        </row>
        <row r="5424">
          <cell r="F5424" t="str">
            <v>219555931</v>
          </cell>
        </row>
        <row r="5425">
          <cell r="F5425" t="str">
            <v>219562811</v>
          </cell>
        </row>
        <row r="5426">
          <cell r="F5426" t="str">
            <v>219562810</v>
          </cell>
        </row>
        <row r="5427">
          <cell r="F5427" t="str">
            <v>219562813</v>
          </cell>
        </row>
        <row r="5428">
          <cell r="F5428" t="str">
            <v>219562812</v>
          </cell>
        </row>
        <row r="5429">
          <cell r="F5429" t="str">
            <v>219562809</v>
          </cell>
        </row>
        <row r="5430">
          <cell r="F5430" t="str">
            <v>219562808</v>
          </cell>
        </row>
        <row r="5431">
          <cell r="F5431" t="str">
            <v>219562815</v>
          </cell>
        </row>
        <row r="5432">
          <cell r="F5432" t="str">
            <v>219562814</v>
          </cell>
        </row>
        <row r="5433">
          <cell r="F5433" t="str">
            <v>219562807</v>
          </cell>
        </row>
        <row r="5434">
          <cell r="F5434" t="str">
            <v>219562806</v>
          </cell>
        </row>
        <row r="5435">
          <cell r="F5435" t="str">
            <v>219562803</v>
          </cell>
        </row>
        <row r="5436">
          <cell r="F5436" t="str">
            <v>219562802</v>
          </cell>
        </row>
        <row r="5437">
          <cell r="F5437" t="str">
            <v>219562804</v>
          </cell>
        </row>
        <row r="5438">
          <cell r="F5438" t="str">
            <v>219562805</v>
          </cell>
        </row>
        <row r="5439">
          <cell r="F5439" t="str">
            <v>219562800</v>
          </cell>
        </row>
        <row r="5440">
          <cell r="F5440" t="str">
            <v>219562801</v>
          </cell>
        </row>
        <row r="5441">
          <cell r="F5441" t="str">
            <v>210235A1DWH149000055</v>
          </cell>
        </row>
        <row r="5442">
          <cell r="F5442" t="str">
            <v>210235A1DWH149000088</v>
          </cell>
        </row>
        <row r="5443">
          <cell r="F5443" t="str">
            <v>210235A1DWH149000072</v>
          </cell>
        </row>
        <row r="5444">
          <cell r="F5444" t="str">
            <v>210235A1DWH149000073</v>
          </cell>
        </row>
        <row r="5445">
          <cell r="F5445" t="str">
            <v>BJ201401D1048</v>
          </cell>
        </row>
        <row r="5446">
          <cell r="F5446" t="str">
            <v>210235AOHAH14A000296</v>
          </cell>
        </row>
        <row r="5447">
          <cell r="F5447" t="str">
            <v>210235A0HAH14A000250</v>
          </cell>
        </row>
        <row r="5448">
          <cell r="F5448" t="str">
            <v>210235A0HAH163000002</v>
          </cell>
        </row>
        <row r="5449">
          <cell r="F5449" t="str">
            <v>CNG230SHDQ</v>
          </cell>
        </row>
        <row r="5450">
          <cell r="F5450" t="str">
            <v>CNG230SHC7</v>
          </cell>
        </row>
        <row r="5451">
          <cell r="F5451" t="str">
            <v>210235AOHAH127000045</v>
          </cell>
        </row>
        <row r="5452">
          <cell r="F5452" t="str">
            <v>6C07422HLW</v>
          </cell>
        </row>
        <row r="5453">
          <cell r="F5453" t="str">
            <v>6CU7421X9X</v>
          </cell>
        </row>
        <row r="5454">
          <cell r="F5454" t="str">
            <v>6CU7421XAP</v>
          </cell>
        </row>
        <row r="5455">
          <cell r="F5455" t="str">
            <v>6CU7421X93</v>
          </cell>
        </row>
        <row r="5456">
          <cell r="F5456" t="str">
            <v>6CU7421X9L</v>
          </cell>
        </row>
        <row r="5457">
          <cell r="F5457" t="str">
            <v>6CU7421XA2</v>
          </cell>
        </row>
        <row r="5458">
          <cell r="F5458" t="str">
            <v>6CU7421XAV</v>
          </cell>
        </row>
        <row r="5459">
          <cell r="F5459" t="str">
            <v>6CU7421X9R</v>
          </cell>
        </row>
        <row r="5460">
          <cell r="F5460" t="str">
            <v>6CU7421XAA</v>
          </cell>
        </row>
        <row r="5461">
          <cell r="F5461" t="str">
            <v>6CU7421XAK</v>
          </cell>
        </row>
        <row r="5462">
          <cell r="F5462" t="str">
            <v>6CU7421X9F</v>
          </cell>
        </row>
        <row r="5463">
          <cell r="F5463" t="str">
            <v>6CU7421XAE</v>
          </cell>
        </row>
        <row r="5464">
          <cell r="F5464" t="str">
            <v>6CU7421XB4</v>
          </cell>
        </row>
        <row r="5465">
          <cell r="F5465" t="str">
            <v>6CU7421X97</v>
          </cell>
        </row>
        <row r="5466">
          <cell r="F5466" t="str">
            <v>6CU7421X9B</v>
          </cell>
        </row>
        <row r="5467">
          <cell r="F5467" t="str">
            <v>6CU7421XA6</v>
          </cell>
        </row>
        <row r="5468">
          <cell r="F5468" t="str">
            <v>6CU7421XB0</v>
          </cell>
        </row>
        <row r="5469">
          <cell r="F5469" t="str">
            <v>CNG230S9SJ</v>
          </cell>
        </row>
        <row r="5470">
          <cell r="F5470" t="str">
            <v>CNG230SHCR</v>
          </cell>
        </row>
        <row r="5471">
          <cell r="F5471" t="str">
            <v>CNG230SHDG</v>
          </cell>
        </row>
        <row r="5472">
          <cell r="F5472" t="str">
            <v>CNG230SHC5</v>
          </cell>
        </row>
        <row r="5473">
          <cell r="F5473" t="str">
            <v>CNG230SHCW</v>
          </cell>
        </row>
        <row r="5474">
          <cell r="F5474" t="str">
            <v>CNG230SHC3</v>
          </cell>
        </row>
        <row r="5475">
          <cell r="F5475" t="str">
            <v>CNG230SHCC</v>
          </cell>
        </row>
        <row r="5476">
          <cell r="F5476" t="str">
            <v>CNG230SHCM</v>
          </cell>
        </row>
        <row r="5477">
          <cell r="F5477" t="str">
            <v>CNG230SHD0</v>
          </cell>
        </row>
        <row r="5478">
          <cell r="F5478" t="str">
            <v>CNG230SHD4</v>
          </cell>
        </row>
        <row r="5479">
          <cell r="F5479" t="str">
            <v>210235AOHAH14A000033</v>
          </cell>
        </row>
        <row r="5480">
          <cell r="F5480" t="str">
            <v>CNG230SHDL</v>
          </cell>
        </row>
        <row r="5481">
          <cell r="F5481" t="str">
            <v>CNG230SHBC</v>
          </cell>
        </row>
        <row r="5482">
          <cell r="F5482" t="str">
            <v>CNG230SHCH</v>
          </cell>
        </row>
        <row r="5483">
          <cell r="F5483" t="str">
            <v>CNG230SHDV</v>
          </cell>
        </row>
        <row r="5484">
          <cell r="F5484" t="str">
            <v>210235AOHAH127000097</v>
          </cell>
        </row>
        <row r="5485">
          <cell r="F5485" t="str">
            <v>6CU4421WCK</v>
          </cell>
        </row>
        <row r="5486">
          <cell r="F5486" t="str">
            <v>6CU4421WCP</v>
          </cell>
        </row>
        <row r="5487">
          <cell r="F5487" t="str">
            <v>06ACPP2</v>
          </cell>
        </row>
        <row r="5488">
          <cell r="F5488" t="str">
            <v>6CU44945EW</v>
          </cell>
        </row>
        <row r="5489">
          <cell r="F5489" t="str">
            <v>06H8419</v>
          </cell>
        </row>
        <row r="5490">
          <cell r="F5490" t="str">
            <v>6C07422HLR</v>
          </cell>
        </row>
        <row r="5491">
          <cell r="F5491" t="str">
            <v>6CU742XJJH</v>
          </cell>
        </row>
        <row r="5492">
          <cell r="F5492" t="str">
            <v>6CU742XJKE</v>
          </cell>
        </row>
        <row r="5493">
          <cell r="F5493" t="str">
            <v>6CU742XJKA</v>
          </cell>
        </row>
        <row r="5494">
          <cell r="F5494" t="str">
            <v>6CU742XJJM</v>
          </cell>
        </row>
        <row r="5495">
          <cell r="F5495" t="str">
            <v>6CU742XJJX</v>
          </cell>
        </row>
        <row r="5496">
          <cell r="F5496" t="str">
            <v>6CU742XJK2</v>
          </cell>
        </row>
        <row r="5497">
          <cell r="F5497" t="str">
            <v>6CU742XJK6</v>
          </cell>
        </row>
        <row r="5498">
          <cell r="F5498" t="str">
            <v>6CU742XJJS</v>
          </cell>
        </row>
        <row r="5499">
          <cell r="F5499" t="str">
            <v>6C07422HM6</v>
          </cell>
        </row>
        <row r="5500">
          <cell r="F5500" t="str">
            <v>6CU7421XBC</v>
          </cell>
        </row>
        <row r="5501">
          <cell r="F5501" t="str">
            <v>6CU7421XBH</v>
          </cell>
        </row>
        <row r="5502">
          <cell r="F5502" t="str">
            <v>6CU7421XCP</v>
          </cell>
        </row>
        <row r="5503">
          <cell r="F5503" t="str">
            <v>6CU7421XCE</v>
          </cell>
        </row>
        <row r="5504">
          <cell r="F5504" t="str">
            <v>6CU7421XC6</v>
          </cell>
        </row>
        <row r="5505">
          <cell r="F5505" t="str">
            <v>6CU7421XBX</v>
          </cell>
        </row>
        <row r="5506">
          <cell r="F5506" t="str">
            <v>6CU7421XD0</v>
          </cell>
        </row>
        <row r="5507">
          <cell r="F5507" t="str">
            <v>6CU7421XCV</v>
          </cell>
        </row>
        <row r="5508">
          <cell r="F5508" t="str">
            <v>6CU7421XC2</v>
          </cell>
        </row>
        <row r="5509">
          <cell r="F5509" t="str">
            <v>6CU7421XB8</v>
          </cell>
        </row>
        <row r="5510">
          <cell r="F5510" t="str">
            <v>6CU7421XBS</v>
          </cell>
        </row>
        <row r="5511">
          <cell r="F5511" t="str">
            <v>6CU7421XCA</v>
          </cell>
        </row>
        <row r="5512">
          <cell r="F5512" t="str">
            <v>6CU7421XBM</v>
          </cell>
        </row>
        <row r="5513">
          <cell r="F5513" t="str">
            <v>6CU7421XCK</v>
          </cell>
        </row>
        <row r="5514">
          <cell r="F5514" t="str">
            <v>FDO2139Q1KW</v>
          </cell>
        </row>
        <row r="5515">
          <cell r="F5515" t="str">
            <v>FDO2138Q1T4</v>
          </cell>
        </row>
        <row r="5516">
          <cell r="F5516" t="str">
            <v>FDO2139Q1KM</v>
          </cell>
        </row>
        <row r="5517">
          <cell r="F5517" t="str">
            <v>FOC2129R0CU</v>
          </cell>
        </row>
        <row r="5518">
          <cell r="F5518" t="str">
            <v>FOC2125R0VN</v>
          </cell>
        </row>
        <row r="5519">
          <cell r="F5519" t="str">
            <v>FDO2138E1ZE</v>
          </cell>
        </row>
        <row r="5520">
          <cell r="F5520" t="str">
            <v>FDO2138E12Z</v>
          </cell>
        </row>
        <row r="5521">
          <cell r="F5521" t="str">
            <v>6C07422HM1</v>
          </cell>
        </row>
        <row r="5522">
          <cell r="F5522" t="str">
            <v>6CU7421Y5M</v>
          </cell>
        </row>
        <row r="5523">
          <cell r="F5523" t="str">
            <v>6CU7421Y58</v>
          </cell>
        </row>
        <row r="5524">
          <cell r="F5524" t="str">
            <v>6CU7421Y98</v>
          </cell>
        </row>
        <row r="5525">
          <cell r="F5525" t="str">
            <v>6CU7421YEA</v>
          </cell>
        </row>
        <row r="5526">
          <cell r="F5526" t="str">
            <v>6CU7421XTS</v>
          </cell>
        </row>
        <row r="5527">
          <cell r="F5527" t="str">
            <v>6CU7421YCK</v>
          </cell>
        </row>
        <row r="5528">
          <cell r="F5528" t="str">
            <v>6CU7421XXE</v>
          </cell>
        </row>
        <row r="5529">
          <cell r="F5529" t="str">
            <v>6CU7421Y8V</v>
          </cell>
        </row>
        <row r="5530">
          <cell r="F5530" t="str">
            <v>6CU7421XVE</v>
          </cell>
        </row>
        <row r="5531">
          <cell r="F5531" t="str">
            <v>6CU7421XTX</v>
          </cell>
        </row>
        <row r="5532">
          <cell r="F5532" t="str">
            <v>6CU7421YC2</v>
          </cell>
        </row>
        <row r="5533">
          <cell r="F5533" t="str">
            <v>6CU7421YAA</v>
          </cell>
        </row>
        <row r="5534">
          <cell r="F5534" t="str">
            <v>6CU7421XWX</v>
          </cell>
        </row>
        <row r="5535">
          <cell r="F5535" t="str">
            <v>6CU7421Y66</v>
          </cell>
        </row>
        <row r="5536">
          <cell r="F5536" t="str">
            <v>6CU7421Y1M</v>
          </cell>
        </row>
        <row r="5537">
          <cell r="F5537" t="str">
            <v>6CU7421Y9M</v>
          </cell>
        </row>
        <row r="5538">
          <cell r="F5538" t="str">
            <v>210235AOHAH127000146</v>
          </cell>
        </row>
        <row r="5539">
          <cell r="F5539" t="str">
            <v>6C07422HM2</v>
          </cell>
        </row>
        <row r="5540">
          <cell r="F5540" t="str">
            <v>6CU7421Y94</v>
          </cell>
        </row>
        <row r="5541">
          <cell r="F5541" t="str">
            <v>6CU7421YCE</v>
          </cell>
        </row>
        <row r="5542">
          <cell r="F5542" t="str">
            <v>6CU7421Y5H</v>
          </cell>
        </row>
        <row r="5543">
          <cell r="F5543" t="str">
            <v>6CU7421XWS</v>
          </cell>
        </row>
        <row r="5544">
          <cell r="F5544" t="str">
            <v>6CU7421XTC</v>
          </cell>
        </row>
        <row r="5545">
          <cell r="F5545" t="str">
            <v>6CU7421Y5X</v>
          </cell>
        </row>
        <row r="5546">
          <cell r="F5546" t="str">
            <v>6CU7421XYM</v>
          </cell>
        </row>
        <row r="5547">
          <cell r="F5547" t="str">
            <v>6CU7421YA2</v>
          </cell>
        </row>
        <row r="5548">
          <cell r="F5548" t="str">
            <v>6CU7421XT8</v>
          </cell>
        </row>
        <row r="5549">
          <cell r="F5549" t="str">
            <v>6CU7421Y7H</v>
          </cell>
        </row>
        <row r="5550">
          <cell r="F5550" t="str">
            <v>6CU7421Y9H</v>
          </cell>
        </row>
        <row r="5551">
          <cell r="F5551" t="str">
            <v>6CU7421YDH</v>
          </cell>
        </row>
        <row r="5552">
          <cell r="F5552" t="str">
            <v>6CU7421XXA</v>
          </cell>
        </row>
        <row r="5553">
          <cell r="F5553" t="str">
            <v>6CU7421YEP</v>
          </cell>
        </row>
        <row r="5554">
          <cell r="F5554" t="str">
            <v>6CU7421XTH</v>
          </cell>
        </row>
        <row r="5555">
          <cell r="F5555" t="str">
            <v>6CU7421Y0A</v>
          </cell>
        </row>
        <row r="5556">
          <cell r="F5556" t="str">
            <v>FCH2142W01D</v>
          </cell>
        </row>
        <row r="5557">
          <cell r="F5557" t="str">
            <v>FCH2029W01A</v>
          </cell>
        </row>
        <row r="5558">
          <cell r="F5558" t="str">
            <v>FCH2143W014</v>
          </cell>
        </row>
        <row r="5559">
          <cell r="F5559" t="str">
            <v>FCH2143W00N</v>
          </cell>
        </row>
        <row r="5560">
          <cell r="F5560" t="str">
            <v>FCH2142W01E</v>
          </cell>
        </row>
        <row r="5561">
          <cell r="F5561" t="str">
            <v>FCH2130W004</v>
          </cell>
        </row>
        <row r="5562">
          <cell r="F5562" t="str">
            <v>FCH2142W01C</v>
          </cell>
        </row>
        <row r="5563">
          <cell r="F5563" t="str">
            <v>FCH2139W04B</v>
          </cell>
        </row>
        <row r="5564">
          <cell r="F5564" t="str">
            <v>6C07422HM3</v>
          </cell>
        </row>
        <row r="5565">
          <cell r="F5565" t="str">
            <v>6CU7421YDM</v>
          </cell>
        </row>
        <row r="5566">
          <cell r="F5566" t="str">
            <v>6CU7421YAE</v>
          </cell>
        </row>
        <row r="5567">
          <cell r="F5567" t="str">
            <v>6CU7421YEK</v>
          </cell>
        </row>
        <row r="5568">
          <cell r="F5568" t="str">
            <v>6CU7421XWC</v>
          </cell>
        </row>
        <row r="5569">
          <cell r="F5569" t="str">
            <v>6CU7421XY8</v>
          </cell>
        </row>
        <row r="5570">
          <cell r="F5570" t="str">
            <v>6CU7421Y9C</v>
          </cell>
        </row>
        <row r="5571">
          <cell r="F5571" t="str">
            <v>6CU7421Y34</v>
          </cell>
        </row>
        <row r="5572">
          <cell r="F5572" t="str">
            <v>6CU7421YDS</v>
          </cell>
        </row>
        <row r="5573">
          <cell r="F5573" t="str">
            <v>6CU7421XY0</v>
          </cell>
        </row>
        <row r="5574">
          <cell r="F5574" t="str">
            <v>6CU7421Y2A</v>
          </cell>
        </row>
        <row r="5575">
          <cell r="F5575" t="str">
            <v>6CU7421Y5S</v>
          </cell>
        </row>
        <row r="5576">
          <cell r="F5576" t="str">
            <v>6CU7421YB8</v>
          </cell>
        </row>
        <row r="5577">
          <cell r="F5577" t="str">
            <v>6CU7421XSV</v>
          </cell>
        </row>
        <row r="5578">
          <cell r="F5578" t="str">
            <v>6CU7421Y6K</v>
          </cell>
        </row>
        <row r="5579">
          <cell r="F5579" t="str">
            <v>6CU7421YCP</v>
          </cell>
        </row>
        <row r="5580">
          <cell r="F5580" t="str">
            <v>6CU7421Y0P</v>
          </cell>
        </row>
        <row r="5581">
          <cell r="F5581" t="str">
            <v>6C07422HM4</v>
          </cell>
        </row>
        <row r="5582">
          <cell r="F5582" t="str">
            <v>6CU7421XWM</v>
          </cell>
        </row>
        <row r="5583">
          <cell r="F5583" t="str">
            <v>6CU7421XV6</v>
          </cell>
        </row>
        <row r="5584">
          <cell r="F5584" t="str">
            <v>6CU7421Y7M</v>
          </cell>
        </row>
        <row r="5585">
          <cell r="F5585" t="str">
            <v>6CU7421XYS</v>
          </cell>
        </row>
        <row r="5586">
          <cell r="F5586" t="str">
            <v>6CU7421Y3H</v>
          </cell>
        </row>
        <row r="5587">
          <cell r="F5587" t="str">
            <v>6CU7421Y3X</v>
          </cell>
        </row>
        <row r="5588">
          <cell r="F5588" t="str">
            <v>6CU7421YEE</v>
          </cell>
        </row>
        <row r="5589">
          <cell r="F5589" t="str">
            <v>6CU7421Y6P</v>
          </cell>
        </row>
        <row r="5590">
          <cell r="F5590" t="str">
            <v>6CU7421Y6E</v>
          </cell>
        </row>
        <row r="5591">
          <cell r="F5591" t="str">
            <v>6CU7421YC6</v>
          </cell>
        </row>
        <row r="5592">
          <cell r="F5592" t="str">
            <v>6CU7421Y8P</v>
          </cell>
        </row>
        <row r="5593">
          <cell r="F5593" t="str">
            <v>6CU7421XT4</v>
          </cell>
        </row>
        <row r="5594">
          <cell r="F5594" t="str">
            <v>6CU7421XT0</v>
          </cell>
        </row>
        <row r="5595">
          <cell r="F5595" t="str">
            <v>6CU7421XXP</v>
          </cell>
        </row>
        <row r="5596">
          <cell r="F5596" t="str">
            <v>6CU7421YE2</v>
          </cell>
        </row>
        <row r="5597">
          <cell r="F5597" t="str">
            <v>6CU7421XWH</v>
          </cell>
        </row>
        <row r="5598">
          <cell r="F5598" t="str">
            <v>6C07422HM9</v>
          </cell>
        </row>
        <row r="5599">
          <cell r="F5599" t="str">
            <v>6CU7421YDC</v>
          </cell>
        </row>
        <row r="5600">
          <cell r="F5600" t="str">
            <v>6CU7421XY4</v>
          </cell>
        </row>
        <row r="5601">
          <cell r="F5601" t="str">
            <v>6CU7421Y62</v>
          </cell>
        </row>
        <row r="5602">
          <cell r="F5602" t="str">
            <v>6CU7421Y6A</v>
          </cell>
        </row>
        <row r="5603">
          <cell r="F5603" t="str">
            <v>6CU7421Y8A</v>
          </cell>
        </row>
        <row r="5604">
          <cell r="F5604" t="str">
            <v>6CU7421XXK</v>
          </cell>
        </row>
        <row r="5605">
          <cell r="F5605" t="str">
            <v>6CU7421Y06</v>
          </cell>
        </row>
        <row r="5606">
          <cell r="F5606" t="str">
            <v>6CU7421Y7C</v>
          </cell>
        </row>
        <row r="5607">
          <cell r="F5607" t="str">
            <v>6CU7421Y2P</v>
          </cell>
        </row>
        <row r="5608">
          <cell r="F5608" t="str">
            <v>6CU7421YBM</v>
          </cell>
        </row>
        <row r="5609">
          <cell r="F5609" t="str">
            <v>6CU7421XYH</v>
          </cell>
        </row>
        <row r="5610">
          <cell r="F5610" t="str">
            <v>6CU7421Y4V</v>
          </cell>
        </row>
        <row r="5611">
          <cell r="F5611" t="str">
            <v>6CU7421YCA</v>
          </cell>
        </row>
        <row r="5612">
          <cell r="F5612" t="str">
            <v>6CU7421XW8</v>
          </cell>
        </row>
        <row r="5613">
          <cell r="F5613" t="str">
            <v>6CU7421YD0</v>
          </cell>
        </row>
        <row r="5614">
          <cell r="F5614" t="str">
            <v>6CU7421Y0E</v>
          </cell>
        </row>
        <row r="5615">
          <cell r="F5615" t="str">
            <v>6C07422HLV</v>
          </cell>
        </row>
        <row r="5616">
          <cell r="F5616" t="str">
            <v>6CU7421YDX</v>
          </cell>
        </row>
        <row r="5617">
          <cell r="F5617" t="str">
            <v>6CU7421Y3M</v>
          </cell>
        </row>
        <row r="5618">
          <cell r="F5618" t="str">
            <v>6CU7421Y38</v>
          </cell>
        </row>
        <row r="5619">
          <cell r="F5619" t="str">
            <v>6CU7421YB4</v>
          </cell>
        </row>
        <row r="5620">
          <cell r="F5620" t="str">
            <v>6CU7421Y42</v>
          </cell>
        </row>
        <row r="5621">
          <cell r="F5621" t="str">
            <v>6CU7421XX6</v>
          </cell>
        </row>
        <row r="5622">
          <cell r="F5622" t="str">
            <v>6CU7421XYC</v>
          </cell>
        </row>
        <row r="5623">
          <cell r="F5623" t="str">
            <v>6CU7421XVA</v>
          </cell>
        </row>
        <row r="5624">
          <cell r="F5624" t="str">
            <v>6CU7421Y8E</v>
          </cell>
        </row>
        <row r="5625">
          <cell r="F5625" t="str">
            <v>6CU7421XW0</v>
          </cell>
        </row>
        <row r="5626">
          <cell r="F5626" t="str">
            <v>6CU7421Y2E</v>
          </cell>
        </row>
        <row r="5627">
          <cell r="F5627" t="str">
            <v>6CU7421YBH</v>
          </cell>
        </row>
        <row r="5628">
          <cell r="F5628" t="str">
            <v>6CU7421Y54</v>
          </cell>
        </row>
        <row r="5629">
          <cell r="F5629" t="str">
            <v>6CU7421YBC</v>
          </cell>
        </row>
        <row r="5630">
          <cell r="F5630" t="str">
            <v>6CU7421Y0K</v>
          </cell>
        </row>
        <row r="5631">
          <cell r="F5631" t="str">
            <v>6CU7421Y1S</v>
          </cell>
        </row>
        <row r="5632">
          <cell r="F5632" t="str">
            <v>06HNAVL</v>
          </cell>
        </row>
        <row r="5633">
          <cell r="F5633" t="str">
            <v>06HNAWK</v>
          </cell>
        </row>
        <row r="5634">
          <cell r="F5634" t="str">
            <v>06HNAWM</v>
          </cell>
        </row>
        <row r="5635">
          <cell r="F5635" t="str">
            <v>J302XHE</v>
          </cell>
        </row>
        <row r="5636">
          <cell r="F5636" t="str">
            <v>06HNAVD</v>
          </cell>
        </row>
        <row r="5637">
          <cell r="F5637" t="str">
            <v>6C07422HM0</v>
          </cell>
        </row>
        <row r="5638">
          <cell r="F5638" t="str">
            <v>6CU7421Y0V</v>
          </cell>
        </row>
        <row r="5639">
          <cell r="F5639" t="str">
            <v>6CU7421XXV</v>
          </cell>
        </row>
        <row r="5640">
          <cell r="F5640" t="str">
            <v>6CU7421Y4K</v>
          </cell>
        </row>
        <row r="5641">
          <cell r="F5641" t="str">
            <v>6CU7421Y6V</v>
          </cell>
        </row>
        <row r="5642">
          <cell r="F5642" t="str">
            <v>6CU7421XYX</v>
          </cell>
        </row>
        <row r="5643">
          <cell r="F5643" t="str">
            <v>6CU7421XW4</v>
          </cell>
        </row>
        <row r="5644">
          <cell r="F5644" t="str">
            <v>6CU7421YD8</v>
          </cell>
        </row>
        <row r="5645">
          <cell r="F5645" t="str">
            <v>6CU7421YBX</v>
          </cell>
        </row>
        <row r="5646">
          <cell r="F5646" t="str">
            <v>6CU7421Y30</v>
          </cell>
        </row>
        <row r="5647">
          <cell r="F5647" t="str">
            <v>6CU7421Y10</v>
          </cell>
        </row>
        <row r="5648">
          <cell r="F5648" t="str">
            <v>6CU7421XVV</v>
          </cell>
        </row>
        <row r="5649">
          <cell r="F5649" t="str">
            <v>6CU7421Y74</v>
          </cell>
        </row>
        <row r="5650">
          <cell r="F5650" t="str">
            <v>6CU7421Y2V</v>
          </cell>
        </row>
        <row r="5651">
          <cell r="F5651" t="str">
            <v>6CU7421Y4P</v>
          </cell>
        </row>
        <row r="5652">
          <cell r="F5652" t="str">
            <v>6CU7421Y78</v>
          </cell>
        </row>
        <row r="5653">
          <cell r="F5653" t="str">
            <v>6CU7421Y50</v>
          </cell>
        </row>
        <row r="5654">
          <cell r="F5654" t="str">
            <v>6C07422HLX</v>
          </cell>
        </row>
        <row r="5655">
          <cell r="F5655" t="str">
            <v>6CU7421Y9X</v>
          </cell>
        </row>
        <row r="5656">
          <cell r="F5656" t="str">
            <v>6CU7421Y18</v>
          </cell>
        </row>
        <row r="5657">
          <cell r="F5657" t="str">
            <v>6CU7421Y9S</v>
          </cell>
        </row>
        <row r="5658">
          <cell r="F5658" t="str">
            <v>6CU7421Y46</v>
          </cell>
        </row>
        <row r="5659">
          <cell r="F5659" t="str">
            <v>6CU7421Y8K</v>
          </cell>
        </row>
        <row r="5660">
          <cell r="F5660" t="str">
            <v>6CU7421Y26</v>
          </cell>
        </row>
        <row r="5661">
          <cell r="F5661" t="str">
            <v>6CU7421Y22</v>
          </cell>
        </row>
        <row r="5662">
          <cell r="F5662" t="str">
            <v>6CU7421YD4</v>
          </cell>
        </row>
        <row r="5663">
          <cell r="F5663" t="str">
            <v>6CU7421Y5C</v>
          </cell>
        </row>
        <row r="5664">
          <cell r="F5664" t="str">
            <v>6CU7421YAP</v>
          </cell>
        </row>
        <row r="5665">
          <cell r="F5665" t="str">
            <v>6CU7421XX2</v>
          </cell>
        </row>
        <row r="5666">
          <cell r="F5666" t="str">
            <v>6CU7421Y7X</v>
          </cell>
        </row>
        <row r="5667">
          <cell r="F5667" t="str">
            <v>6CU7421YBS</v>
          </cell>
        </row>
        <row r="5668">
          <cell r="F5668" t="str">
            <v>6CU7421YAV</v>
          </cell>
        </row>
        <row r="5669">
          <cell r="F5669" t="str">
            <v>6CU7421Y1H</v>
          </cell>
        </row>
        <row r="5670">
          <cell r="F5670" t="str">
            <v>6CU7421YAK</v>
          </cell>
        </row>
        <row r="5671">
          <cell r="F5671" t="str">
            <v>J302XHK</v>
          </cell>
        </row>
        <row r="5672">
          <cell r="F5672" t="str">
            <v>06HNALV</v>
          </cell>
        </row>
        <row r="5673">
          <cell r="F5673" t="str">
            <v>06HNATM</v>
          </cell>
        </row>
        <row r="5674">
          <cell r="F5674" t="str">
            <v>J302XK3</v>
          </cell>
        </row>
        <row r="5675">
          <cell r="F5675" t="str">
            <v>06HNAVX</v>
          </cell>
        </row>
        <row r="5676">
          <cell r="F5676" t="str">
            <v>6CU7422HLS</v>
          </cell>
        </row>
        <row r="5677">
          <cell r="F5677" t="str">
            <v>6CU7421XTM</v>
          </cell>
        </row>
        <row r="5678">
          <cell r="F5678" t="str">
            <v>6CU7421YE6</v>
          </cell>
        </row>
        <row r="5679">
          <cell r="F5679" t="str">
            <v>6CU7421Y02</v>
          </cell>
        </row>
        <row r="5680">
          <cell r="F5680" t="str">
            <v>6CU7421Y90</v>
          </cell>
        </row>
        <row r="5681">
          <cell r="F5681" t="str">
            <v>6CU7421Y2K</v>
          </cell>
        </row>
        <row r="5682">
          <cell r="F5682" t="str">
            <v>6CU7421YA6</v>
          </cell>
        </row>
        <row r="5683">
          <cell r="F5683" t="str">
            <v>6CU7421Y4E</v>
          </cell>
        </row>
        <row r="5684">
          <cell r="F5684" t="str">
            <v>6CU7421Y7S</v>
          </cell>
        </row>
        <row r="5685">
          <cell r="F5685" t="str">
            <v>6CU7421Y86</v>
          </cell>
        </row>
        <row r="5686">
          <cell r="F5686" t="str">
            <v>6CU7421Y3C</v>
          </cell>
        </row>
        <row r="5687">
          <cell r="F5687" t="str">
            <v>6CU7421Y82</v>
          </cell>
        </row>
        <row r="5688">
          <cell r="F5688" t="str">
            <v>6CU7421Y1X</v>
          </cell>
        </row>
        <row r="5689">
          <cell r="F5689" t="str">
            <v>6CU7421XVK</v>
          </cell>
        </row>
        <row r="5690">
          <cell r="F5690" t="str">
            <v>6CU7421XVP</v>
          </cell>
        </row>
        <row r="5691">
          <cell r="F5691" t="str">
            <v>6CU7421XV2</v>
          </cell>
        </row>
        <row r="5692">
          <cell r="F5692" t="str">
            <v>6CU7421Y70</v>
          </cell>
        </row>
        <row r="5693">
          <cell r="F5693" t="str">
            <v>6C07422HM7</v>
          </cell>
        </row>
        <row r="5694">
          <cell r="F5694" t="str">
            <v>6CU7421YB0</v>
          </cell>
        </row>
        <row r="5695">
          <cell r="F5695" t="str">
            <v>6CU7421X3Y</v>
          </cell>
        </row>
        <row r="5696">
          <cell r="F5696" t="str">
            <v>6CU7421X39</v>
          </cell>
        </row>
        <row r="5697">
          <cell r="F5697" t="str">
            <v>6CU7421X3J</v>
          </cell>
        </row>
        <row r="5698">
          <cell r="F5698" t="str">
            <v>6CU7421X3T</v>
          </cell>
        </row>
        <row r="5699">
          <cell r="F5699" t="str">
            <v>6CU7421X3D</v>
          </cell>
        </row>
        <row r="5700">
          <cell r="F5700" t="str">
            <v>6CU7421XE0</v>
          </cell>
        </row>
        <row r="5701">
          <cell r="F5701" t="str">
            <v>6CU7421XM9</v>
          </cell>
        </row>
        <row r="5702">
          <cell r="F5702" t="str">
            <v>6CU7421YCV</v>
          </cell>
        </row>
        <row r="5703">
          <cell r="F5703" t="str">
            <v>6CU7421Y1C</v>
          </cell>
        </row>
        <row r="5704">
          <cell r="F5704" t="str">
            <v>6CU7421Y3S</v>
          </cell>
        </row>
        <row r="5705">
          <cell r="F5705" t="str">
            <v>6CU7421Y14</v>
          </cell>
        </row>
        <row r="5706">
          <cell r="F5706" t="str">
            <v>6CU7421Y4A</v>
          </cell>
        </row>
        <row r="5707">
          <cell r="F5707" t="str">
            <v>6CU7421X43</v>
          </cell>
        </row>
        <row r="5708">
          <cell r="F5708" t="str">
            <v>6CU7421X47</v>
          </cell>
        </row>
        <row r="5709">
          <cell r="F5709" t="str">
            <v>6CU7421X3N</v>
          </cell>
        </row>
        <row r="5710">
          <cell r="F5710" t="str">
            <v>J302XHH</v>
          </cell>
        </row>
        <row r="5711">
          <cell r="F5711" t="str">
            <v>06HNAVG</v>
          </cell>
        </row>
        <row r="5712">
          <cell r="F5712" t="str">
            <v>06HNATA</v>
          </cell>
        </row>
        <row r="5713">
          <cell r="F5713" t="str">
            <v>06HNAMD</v>
          </cell>
        </row>
        <row r="5714">
          <cell r="F5714" t="str">
            <v>06HNAVF</v>
          </cell>
        </row>
        <row r="5715">
          <cell r="F5715" t="str">
            <v>6C07422HM5</v>
          </cell>
        </row>
        <row r="5716">
          <cell r="F5716" t="str">
            <v>6CU7421XLL</v>
          </cell>
        </row>
        <row r="5717">
          <cell r="F5717" t="str">
            <v>6CU7421XJF</v>
          </cell>
        </row>
        <row r="5718">
          <cell r="F5718" t="str">
            <v>6CU7421XEH</v>
          </cell>
        </row>
        <row r="5719">
          <cell r="F5719" t="str">
            <v>6CU7421XM5</v>
          </cell>
        </row>
        <row r="5720">
          <cell r="F5720" t="str">
            <v>6CU7421XM1</v>
          </cell>
        </row>
        <row r="5721">
          <cell r="F5721" t="str">
            <v>6CU7421XLB</v>
          </cell>
        </row>
        <row r="5722">
          <cell r="F5722" t="str">
            <v>6CU7421XEM</v>
          </cell>
        </row>
        <row r="5723">
          <cell r="F5723" t="str">
            <v>6CU7421XE4</v>
          </cell>
        </row>
        <row r="5724">
          <cell r="F5724" t="str">
            <v>6CU7421XHD</v>
          </cell>
        </row>
        <row r="5725">
          <cell r="F5725" t="str">
            <v>6CU7421XJW</v>
          </cell>
        </row>
        <row r="5726">
          <cell r="F5726" t="str">
            <v>6CU7421XF2</v>
          </cell>
        </row>
        <row r="5727">
          <cell r="F5727" t="str">
            <v>6CU7421XH9</v>
          </cell>
        </row>
        <row r="5728">
          <cell r="F5728" t="str">
            <v>6CU7421XHN</v>
          </cell>
        </row>
        <row r="5729">
          <cell r="F5729" t="str">
            <v>6CU7421XL7</v>
          </cell>
        </row>
        <row r="5730">
          <cell r="F5730" t="str">
            <v>6CU7421XES</v>
          </cell>
        </row>
        <row r="5731">
          <cell r="F5731" t="str">
            <v>6CU7421XFW</v>
          </cell>
        </row>
        <row r="5732">
          <cell r="F5732" t="str">
            <v>6C07422HM8</v>
          </cell>
        </row>
        <row r="5733">
          <cell r="F5733" t="str">
            <v>6CU7421XL3</v>
          </cell>
        </row>
        <row r="5734">
          <cell r="F5734" t="str">
            <v>6CU7421XKJ</v>
          </cell>
        </row>
        <row r="5735">
          <cell r="F5735" t="str">
            <v>6CU7421XEX</v>
          </cell>
        </row>
        <row r="5736">
          <cell r="F5736" t="str">
            <v>6CU7421XKT</v>
          </cell>
        </row>
        <row r="5737">
          <cell r="F5737" t="str">
            <v>6CU7421XKN</v>
          </cell>
        </row>
        <row r="5738">
          <cell r="F5738" t="str">
            <v>6CU7421XFL</v>
          </cell>
        </row>
        <row r="5739">
          <cell r="F5739" t="str">
            <v>6CU7421XKY</v>
          </cell>
        </row>
        <row r="5740">
          <cell r="F5740" t="str">
            <v>6CU7421XHY</v>
          </cell>
        </row>
        <row r="5741">
          <cell r="F5741" t="str">
            <v>6CU7421XLW</v>
          </cell>
        </row>
        <row r="5742">
          <cell r="F5742" t="str">
            <v>6CU7421XF6</v>
          </cell>
        </row>
        <row r="5743">
          <cell r="F5743" t="str">
            <v>6CU7421XH5</v>
          </cell>
        </row>
        <row r="5744">
          <cell r="F5744" t="str">
            <v>6CU7421XK5</v>
          </cell>
        </row>
        <row r="5745">
          <cell r="F5745" t="str">
            <v>6CU7421XE8</v>
          </cell>
        </row>
        <row r="5746">
          <cell r="F5746" t="str">
            <v>6CU7421XMD</v>
          </cell>
        </row>
        <row r="5747">
          <cell r="F5747" t="str">
            <v>6CU7421XLF</v>
          </cell>
        </row>
        <row r="5748">
          <cell r="F5748" t="str">
            <v>6CU7421XFA</v>
          </cell>
        </row>
        <row r="5749">
          <cell r="F5749" t="str">
            <v>J302XKF</v>
          </cell>
        </row>
        <row r="5750">
          <cell r="F5750" t="str">
            <v>J302XK0</v>
          </cell>
        </row>
        <row r="5751">
          <cell r="F5751" t="str">
            <v>06HNAKN</v>
          </cell>
        </row>
        <row r="5752">
          <cell r="F5752" t="str">
            <v>06HNAVW</v>
          </cell>
        </row>
        <row r="5753">
          <cell r="F5753" t="str">
            <v>J302XK1</v>
          </cell>
        </row>
        <row r="5754">
          <cell r="F5754" t="str">
            <v>6C07422HLT</v>
          </cell>
        </row>
        <row r="5755">
          <cell r="F5755" t="str">
            <v>6CU7421XJL</v>
          </cell>
        </row>
        <row r="5756">
          <cell r="F5756" t="str">
            <v>6CU7421XJ3</v>
          </cell>
        </row>
        <row r="5757">
          <cell r="F5757" t="str">
            <v>6CU7421XFF</v>
          </cell>
        </row>
        <row r="5758">
          <cell r="F5758" t="str">
            <v>6CU7421XJR</v>
          </cell>
        </row>
        <row r="5759">
          <cell r="F5759" t="str">
            <v>6CU7421XHT</v>
          </cell>
        </row>
        <row r="5760">
          <cell r="F5760" t="str">
            <v>6CU7421XK9</v>
          </cell>
        </row>
        <row r="5761">
          <cell r="F5761" t="str">
            <v>6CU7421XJB</v>
          </cell>
        </row>
        <row r="5762">
          <cell r="F5762" t="str">
            <v>6CU7421XKD</v>
          </cell>
        </row>
        <row r="5763">
          <cell r="F5763" t="str">
            <v>6CU7421XFR</v>
          </cell>
        </row>
        <row r="5764">
          <cell r="F5764" t="str">
            <v>6CU7421XLR</v>
          </cell>
        </row>
        <row r="5765">
          <cell r="F5765" t="str">
            <v>6CU7421XH1</v>
          </cell>
        </row>
        <row r="5766">
          <cell r="F5766" t="str">
            <v>6CU7421XJ7</v>
          </cell>
        </row>
        <row r="5767">
          <cell r="F5767" t="str">
            <v>6CU7421XK1</v>
          </cell>
        </row>
        <row r="5768">
          <cell r="F5768" t="str">
            <v>6CU7421XEC</v>
          </cell>
        </row>
        <row r="5769">
          <cell r="F5769" t="str">
            <v>6CU7421XMJ</v>
          </cell>
        </row>
        <row r="5770">
          <cell r="F5770" t="str">
            <v>6CU7421XHJ</v>
          </cell>
        </row>
        <row r="5771">
          <cell r="F5771" t="str">
            <v>6C07422HLY</v>
          </cell>
        </row>
        <row r="5772">
          <cell r="F5772" t="str">
            <v>6CU7421X2J</v>
          </cell>
        </row>
        <row r="5773">
          <cell r="F5773" t="str">
            <v>6CU7421X7D</v>
          </cell>
        </row>
        <row r="5774">
          <cell r="F5774" t="str">
            <v>6CU7421X8B</v>
          </cell>
        </row>
        <row r="5775">
          <cell r="F5775" t="str">
            <v>6CU7421X7J</v>
          </cell>
        </row>
        <row r="5776">
          <cell r="F5776" t="str">
            <v>6CU7421X87</v>
          </cell>
        </row>
        <row r="5777">
          <cell r="F5777" t="str">
            <v>6CU7421X8H</v>
          </cell>
        </row>
        <row r="5778">
          <cell r="F5778" t="str">
            <v>6CU7421X7N</v>
          </cell>
        </row>
        <row r="5779">
          <cell r="F5779" t="str">
            <v>6CU7421X83</v>
          </cell>
        </row>
        <row r="5780">
          <cell r="F5780" t="str">
            <v>6CU7421X29</v>
          </cell>
        </row>
        <row r="5781">
          <cell r="F5781" t="str">
            <v>6CU7421X25</v>
          </cell>
        </row>
        <row r="5782">
          <cell r="F5782" t="str">
            <v>6CU7421X2N</v>
          </cell>
        </row>
        <row r="5783">
          <cell r="F5783" t="str">
            <v>6CU7421X2D</v>
          </cell>
        </row>
        <row r="5784">
          <cell r="F5784" t="str">
            <v>6CU7421X2T</v>
          </cell>
        </row>
        <row r="5785">
          <cell r="F5785" t="str">
            <v>6CU7421X79</v>
          </cell>
        </row>
        <row r="5786">
          <cell r="F5786" t="str">
            <v>6CU7421X7Y</v>
          </cell>
        </row>
        <row r="5787">
          <cell r="F5787" t="str">
            <v>6CU7421X7T</v>
          </cell>
        </row>
        <row r="5788">
          <cell r="F5788" t="str">
            <v>06HNATL</v>
          </cell>
        </row>
        <row r="5789">
          <cell r="F5789" t="str">
            <v>J302XHG</v>
          </cell>
        </row>
        <row r="5790">
          <cell r="F5790" t="str">
            <v>06HNAVR</v>
          </cell>
        </row>
        <row r="5791">
          <cell r="F5791" t="str">
            <v>06HNAWN</v>
          </cell>
        </row>
        <row r="5792">
          <cell r="F5792" t="str">
            <v>FCH2138V1VG</v>
          </cell>
        </row>
        <row r="5793">
          <cell r="F5793" t="str">
            <v>FCH2138V1VJ</v>
          </cell>
        </row>
        <row r="5794">
          <cell r="F5794" t="str">
            <v>FCH2138V1SV</v>
          </cell>
        </row>
        <row r="5795">
          <cell r="F5795" t="str">
            <v>FCH2138V1VK</v>
          </cell>
        </row>
        <row r="5796">
          <cell r="F5796" t="str">
            <v>FCH2138V1UQ</v>
          </cell>
        </row>
        <row r="5797">
          <cell r="F5797" t="str">
            <v>FCH2138V1UR</v>
          </cell>
        </row>
        <row r="5798">
          <cell r="F5798" t="str">
            <v>FCH2138V1UX</v>
          </cell>
        </row>
        <row r="5799">
          <cell r="F5799" t="str">
            <v>FCH2138V1UT</v>
          </cell>
        </row>
        <row r="5800">
          <cell r="F5800" t="str">
            <v>FCH2132V1FE</v>
          </cell>
        </row>
        <row r="5801">
          <cell r="F5801" t="str">
            <v>FCH2132V0ZT</v>
          </cell>
        </row>
        <row r="5802">
          <cell r="F5802" t="str">
            <v>FCH2138V1U0</v>
          </cell>
        </row>
        <row r="5803">
          <cell r="F5803" t="str">
            <v>FCH2138V1SY</v>
          </cell>
        </row>
        <row r="5804">
          <cell r="F5804" t="str">
            <v>FCH2138V1SX</v>
          </cell>
        </row>
        <row r="5805">
          <cell r="F5805" t="str">
            <v>FCH2142W019</v>
          </cell>
        </row>
        <row r="5806">
          <cell r="F5806" t="str">
            <v>FCH2139W01Y</v>
          </cell>
        </row>
        <row r="5807">
          <cell r="F5807" t="str">
            <v>FCH2138V1US</v>
          </cell>
        </row>
        <row r="5808">
          <cell r="F5808" t="str">
            <v>FCH2138V1UW</v>
          </cell>
        </row>
        <row r="5809">
          <cell r="F5809" t="str">
            <v>FCH2138V1UY</v>
          </cell>
        </row>
        <row r="5810">
          <cell r="F5810" t="str">
            <v>FCH2142W01K</v>
          </cell>
        </row>
        <row r="5811">
          <cell r="F5811" t="str">
            <v>FCH2138V1AS</v>
          </cell>
        </row>
        <row r="5812">
          <cell r="F5812" t="str">
            <v>FCH2014V12P</v>
          </cell>
        </row>
        <row r="5813">
          <cell r="F5813" t="str">
            <v>FDO2138Q1SV</v>
          </cell>
        </row>
        <row r="5814">
          <cell r="F5814" t="str">
            <v>F0C21211SYG</v>
          </cell>
        </row>
        <row r="5815">
          <cell r="F5815" t="str">
            <v>FCH2139W046</v>
          </cell>
        </row>
        <row r="5816">
          <cell r="F5816" t="str">
            <v>210235A3GLH195000015</v>
          </cell>
        </row>
        <row r="5817">
          <cell r="F5817" t="str">
            <v>210235A3GLH195000014</v>
          </cell>
        </row>
        <row r="5818">
          <cell r="F5818" t="str">
            <v>FOC2207R09X</v>
          </cell>
        </row>
        <row r="5819">
          <cell r="F5819" t="str">
            <v>FOC2301R0NW</v>
          </cell>
        </row>
        <row r="5820">
          <cell r="F5820" t="str">
            <v>210235A3GLH195000045</v>
          </cell>
        </row>
        <row r="5821">
          <cell r="F5821" t="str">
            <v>210235A3GLH195000023</v>
          </cell>
        </row>
        <row r="5822">
          <cell r="F5822" t="str">
            <v>FOC2109R1HZ</v>
          </cell>
        </row>
        <row r="5823">
          <cell r="F5823" t="str">
            <v>FOC2302R0P9</v>
          </cell>
        </row>
        <row r="5824">
          <cell r="F5824" t="str">
            <v>2102350DLVDMK8001548</v>
          </cell>
        </row>
        <row r="5825">
          <cell r="F5825" t="str">
            <v>JAE23070N5G</v>
          </cell>
        </row>
        <row r="5826">
          <cell r="F5826" t="str">
            <v>219555924</v>
          </cell>
        </row>
        <row r="5827">
          <cell r="F5827" t="str">
            <v>219555925</v>
          </cell>
        </row>
        <row r="5828">
          <cell r="F5828" t="str">
            <v>219555923</v>
          </cell>
        </row>
        <row r="5829">
          <cell r="F5829" t="str">
            <v>219555922</v>
          </cell>
        </row>
        <row r="5830">
          <cell r="F5830" t="str">
            <v>219555921</v>
          </cell>
        </row>
        <row r="5831">
          <cell r="F5831" t="str">
            <v>219555920</v>
          </cell>
        </row>
        <row r="5832">
          <cell r="F5832" t="str">
            <v>219555919</v>
          </cell>
        </row>
        <row r="5833">
          <cell r="F5833" t="str">
            <v>219555918</v>
          </cell>
        </row>
        <row r="5834">
          <cell r="F5834" t="str">
            <v>219555946</v>
          </cell>
        </row>
        <row r="5835">
          <cell r="F5835" t="str">
            <v>219555947</v>
          </cell>
        </row>
        <row r="5836">
          <cell r="F5836" t="str">
            <v>219555948</v>
          </cell>
        </row>
        <row r="5837">
          <cell r="F5837" t="str">
            <v>219555949</v>
          </cell>
        </row>
        <row r="5838">
          <cell r="F5838" t="str">
            <v>219555942</v>
          </cell>
        </row>
        <row r="5839">
          <cell r="F5839" t="str">
            <v>219555944</v>
          </cell>
        </row>
        <row r="5840">
          <cell r="F5840" t="str">
            <v>219555945</v>
          </cell>
        </row>
        <row r="5841">
          <cell r="F5841" t="str">
            <v>219555943</v>
          </cell>
        </row>
        <row r="5842">
          <cell r="F5842" t="str">
            <v>219556065</v>
          </cell>
        </row>
        <row r="5843">
          <cell r="F5843" t="str">
            <v>219556064</v>
          </cell>
        </row>
        <row r="5844">
          <cell r="F5844" t="str">
            <v>219556066</v>
          </cell>
        </row>
        <row r="5845">
          <cell r="F5845" t="str">
            <v>219556067</v>
          </cell>
        </row>
        <row r="5846">
          <cell r="F5846" t="str">
            <v>219556061</v>
          </cell>
        </row>
        <row r="5847">
          <cell r="F5847" t="str">
            <v>219556060</v>
          </cell>
        </row>
        <row r="5848">
          <cell r="F5848" t="str">
            <v>219556062</v>
          </cell>
        </row>
        <row r="5849">
          <cell r="F5849" t="str">
            <v>219556063</v>
          </cell>
        </row>
        <row r="5850">
          <cell r="F5850" t="str">
            <v>219556046</v>
          </cell>
        </row>
        <row r="5851">
          <cell r="F5851" t="str">
            <v>219556047</v>
          </cell>
        </row>
        <row r="5852">
          <cell r="F5852" t="str">
            <v>219556048</v>
          </cell>
        </row>
        <row r="5853">
          <cell r="F5853" t="str">
            <v>219556049</v>
          </cell>
        </row>
        <row r="5854">
          <cell r="F5854" t="str">
            <v>219556044</v>
          </cell>
        </row>
        <row r="5855">
          <cell r="F5855" t="str">
            <v>219556045</v>
          </cell>
        </row>
        <row r="5856">
          <cell r="F5856" t="str">
            <v>219556050</v>
          </cell>
        </row>
        <row r="5857">
          <cell r="F5857" t="str">
            <v>219556051</v>
          </cell>
        </row>
        <row r="5858">
          <cell r="F5858" t="str">
            <v>219556019</v>
          </cell>
        </row>
        <row r="5859">
          <cell r="F5859" t="str">
            <v>219556018</v>
          </cell>
        </row>
        <row r="5860">
          <cell r="F5860" t="str">
            <v>219556017</v>
          </cell>
        </row>
        <row r="5861">
          <cell r="F5861" t="str">
            <v>219556016</v>
          </cell>
        </row>
        <row r="5862">
          <cell r="F5862" t="str">
            <v>219556014</v>
          </cell>
        </row>
        <row r="5863">
          <cell r="F5863" t="str">
            <v>219556013</v>
          </cell>
        </row>
        <row r="5864">
          <cell r="F5864" t="str">
            <v>219556012</v>
          </cell>
        </row>
        <row r="5865">
          <cell r="F5865" t="str">
            <v>219556015</v>
          </cell>
        </row>
        <row r="5866">
          <cell r="F5866" t="str">
            <v>219556038</v>
          </cell>
        </row>
        <row r="5867">
          <cell r="F5867" t="str">
            <v>219556039</v>
          </cell>
        </row>
        <row r="5868">
          <cell r="F5868" t="str">
            <v>219556037</v>
          </cell>
        </row>
        <row r="5869">
          <cell r="F5869" t="str">
            <v>219556036</v>
          </cell>
        </row>
        <row r="5870">
          <cell r="F5870" t="str">
            <v>219556043</v>
          </cell>
        </row>
        <row r="5871">
          <cell r="F5871" t="str">
            <v>219556042</v>
          </cell>
        </row>
        <row r="5872">
          <cell r="F5872" t="str">
            <v>219556041</v>
          </cell>
        </row>
        <row r="5873">
          <cell r="F5873" t="str">
            <v>219556040</v>
          </cell>
        </row>
        <row r="5874">
          <cell r="F5874" t="str">
            <v>0191103201651</v>
          </cell>
        </row>
        <row r="5875">
          <cell r="F5875" t="str">
            <v>219556033</v>
          </cell>
        </row>
        <row r="5876">
          <cell r="F5876" t="str">
            <v>219556032</v>
          </cell>
        </row>
        <row r="5877">
          <cell r="F5877" t="str">
            <v>219556031</v>
          </cell>
        </row>
        <row r="5878">
          <cell r="F5878" t="str">
            <v>219556030</v>
          </cell>
        </row>
        <row r="5879">
          <cell r="F5879" t="str">
            <v>219556035</v>
          </cell>
        </row>
        <row r="5880">
          <cell r="F5880" t="str">
            <v>219556034</v>
          </cell>
        </row>
        <row r="5881">
          <cell r="F5881" t="str">
            <v>219556028</v>
          </cell>
        </row>
        <row r="5882">
          <cell r="F5882" t="str">
            <v>219556029</v>
          </cell>
        </row>
        <row r="5883">
          <cell r="F5883" t="str">
            <v>219556074</v>
          </cell>
        </row>
        <row r="5884">
          <cell r="F5884" t="str">
            <v>219556075</v>
          </cell>
        </row>
        <row r="5885">
          <cell r="F5885" t="str">
            <v>219556069</v>
          </cell>
        </row>
        <row r="5886">
          <cell r="F5886" t="str">
            <v>219556068</v>
          </cell>
        </row>
        <row r="5887">
          <cell r="F5887" t="str">
            <v>219556071</v>
          </cell>
        </row>
        <row r="5888">
          <cell r="F5888" t="str">
            <v>219556070</v>
          </cell>
        </row>
        <row r="5889">
          <cell r="F5889" t="str">
            <v>219556073</v>
          </cell>
        </row>
        <row r="5890">
          <cell r="F5890" t="str">
            <v>219556072</v>
          </cell>
        </row>
        <row r="5891">
          <cell r="F5891" t="str">
            <v>210235AOHAH14A000026</v>
          </cell>
        </row>
        <row r="5892">
          <cell r="F5892" t="str">
            <v>J301D83W</v>
          </cell>
        </row>
        <row r="5893">
          <cell r="F5893" t="str">
            <v>J301D83X</v>
          </cell>
        </row>
        <row r="5894">
          <cell r="F5894" t="str">
            <v>219556010</v>
          </cell>
        </row>
        <row r="5895">
          <cell r="F5895" t="str">
            <v>219556011</v>
          </cell>
        </row>
        <row r="5896">
          <cell r="F5896" t="str">
            <v>219556007</v>
          </cell>
        </row>
        <row r="5897">
          <cell r="F5897" t="str">
            <v>219556006</v>
          </cell>
        </row>
        <row r="5898">
          <cell r="F5898" t="str">
            <v>219556009</v>
          </cell>
        </row>
        <row r="5899">
          <cell r="F5899" t="str">
            <v>219556008</v>
          </cell>
        </row>
        <row r="5900">
          <cell r="F5900" t="str">
            <v>219556005</v>
          </cell>
        </row>
        <row r="5901">
          <cell r="F5901" t="str">
            <v>219556004</v>
          </cell>
        </row>
        <row r="5902">
          <cell r="F5902" t="str">
            <v>210235A0HAH14A000026</v>
          </cell>
        </row>
        <row r="5903">
          <cell r="F5903" t="str">
            <v>2102350DLVDMK8001512</v>
          </cell>
        </row>
        <row r="5904">
          <cell r="F5904" t="str">
            <v>2102350DLVDMK8000274</v>
          </cell>
        </row>
        <row r="5905">
          <cell r="F5905" t="str">
            <v>219556020</v>
          </cell>
        </row>
        <row r="5906">
          <cell r="F5906" t="str">
            <v>219556021</v>
          </cell>
        </row>
        <row r="5907">
          <cell r="F5907" t="str">
            <v>219556022</v>
          </cell>
        </row>
        <row r="5908">
          <cell r="F5908" t="str">
            <v>219556023</v>
          </cell>
        </row>
        <row r="5909">
          <cell r="F5909" t="str">
            <v>219556024</v>
          </cell>
        </row>
        <row r="5910">
          <cell r="F5910" t="str">
            <v>219556025</v>
          </cell>
        </row>
        <row r="5911">
          <cell r="F5911" t="str">
            <v>219556026</v>
          </cell>
        </row>
        <row r="5912">
          <cell r="F5912" t="str">
            <v>219556027</v>
          </cell>
        </row>
        <row r="5913">
          <cell r="F5913" t="str">
            <v>219562786</v>
          </cell>
        </row>
        <row r="5914">
          <cell r="F5914" t="str">
            <v>219562787</v>
          </cell>
        </row>
        <row r="5915">
          <cell r="F5915" t="str">
            <v>219562788</v>
          </cell>
        </row>
        <row r="5916">
          <cell r="F5916" t="str">
            <v>219562789</v>
          </cell>
        </row>
        <row r="5917">
          <cell r="F5917" t="str">
            <v>219562785</v>
          </cell>
        </row>
        <row r="5918">
          <cell r="F5918" t="str">
            <v>219562784</v>
          </cell>
        </row>
        <row r="5919">
          <cell r="F5919" t="str">
            <v>219562783</v>
          </cell>
        </row>
        <row r="5920">
          <cell r="F5920" t="str">
            <v>219562782</v>
          </cell>
        </row>
        <row r="5921">
          <cell r="F5921" t="str">
            <v>219562794</v>
          </cell>
        </row>
        <row r="5922">
          <cell r="F5922" t="str">
            <v>219562795</v>
          </cell>
        </row>
        <row r="5923">
          <cell r="F5923" t="str">
            <v>219562796</v>
          </cell>
        </row>
        <row r="5924">
          <cell r="F5924" t="str">
            <v>219562797</v>
          </cell>
        </row>
        <row r="5925">
          <cell r="F5925" t="str">
            <v>219562792</v>
          </cell>
        </row>
        <row r="5926">
          <cell r="F5926" t="str">
            <v>219562793</v>
          </cell>
        </row>
        <row r="5927">
          <cell r="F5927" t="str">
            <v>219562791</v>
          </cell>
        </row>
        <row r="5928">
          <cell r="F5928" t="str">
            <v>219562790</v>
          </cell>
        </row>
        <row r="5929">
          <cell r="F5929" t="str">
            <v>J301DX2X</v>
          </cell>
        </row>
        <row r="5930">
          <cell r="F5930" t="str">
            <v>J301DX2W</v>
          </cell>
        </row>
        <row r="5931">
          <cell r="F5931" t="str">
            <v>0191103201699</v>
          </cell>
        </row>
        <row r="5932">
          <cell r="F5932" t="str">
            <v>219556000</v>
          </cell>
        </row>
        <row r="5933">
          <cell r="F5933" t="str">
            <v>219556001</v>
          </cell>
        </row>
        <row r="5934">
          <cell r="F5934" t="str">
            <v>219555996</v>
          </cell>
        </row>
        <row r="5935">
          <cell r="F5935" t="str">
            <v>219555997</v>
          </cell>
        </row>
        <row r="5936">
          <cell r="F5936" t="str">
            <v>219555998</v>
          </cell>
        </row>
        <row r="5937">
          <cell r="F5937" t="str">
            <v>219555999</v>
          </cell>
        </row>
        <row r="5938">
          <cell r="F5938" t="str">
            <v>219556002</v>
          </cell>
        </row>
        <row r="5939">
          <cell r="F5939" t="str">
            <v>219556003</v>
          </cell>
        </row>
        <row r="5940">
          <cell r="F5940" t="str">
            <v>219555773</v>
          </cell>
        </row>
        <row r="5941">
          <cell r="F5941" t="str">
            <v>219555774</v>
          </cell>
        </row>
        <row r="5942">
          <cell r="F5942" t="str">
            <v>219555775</v>
          </cell>
        </row>
        <row r="5943">
          <cell r="F5943" t="str">
            <v>219555776</v>
          </cell>
        </row>
        <row r="5944">
          <cell r="F5944" t="str">
            <v>219555777</v>
          </cell>
        </row>
        <row r="5945">
          <cell r="F5945" t="str">
            <v>219555778</v>
          </cell>
        </row>
        <row r="5946">
          <cell r="F5946" t="str">
            <v>219555779</v>
          </cell>
        </row>
        <row r="5947">
          <cell r="F5947" t="str">
            <v>219555780</v>
          </cell>
        </row>
        <row r="5948">
          <cell r="F5948" t="str">
            <v>210235A1DWH149000155</v>
          </cell>
        </row>
        <row r="5949">
          <cell r="F5949" t="str">
            <v>210235A1DWH149000097</v>
          </cell>
        </row>
        <row r="5950">
          <cell r="F5950" t="str">
            <v>170902201574</v>
          </cell>
        </row>
        <row r="5951">
          <cell r="F5951" t="str">
            <v>170902201758</v>
          </cell>
        </row>
        <row r="5952">
          <cell r="F5952" t="str">
            <v>无</v>
          </cell>
        </row>
        <row r="5953">
          <cell r="F5953" t="str">
            <v>210235A1G9H178000006</v>
          </cell>
        </row>
        <row r="5954">
          <cell r="F5954" t="str">
            <v>210235A1G9H178000006</v>
          </cell>
        </row>
        <row r="5955">
          <cell r="F5955" t="str">
            <v>210235A1G9H178000038</v>
          </cell>
        </row>
        <row r="5956">
          <cell r="F5956" t="str">
            <v>210235A1XCH178000186</v>
          </cell>
        </row>
        <row r="5957">
          <cell r="F5957" t="str">
            <v>210235A1XCH178000194</v>
          </cell>
        </row>
        <row r="5958">
          <cell r="F5958" t="str">
            <v>210235AOH9H119000168</v>
          </cell>
        </row>
        <row r="5959">
          <cell r="F5959" t="str">
            <v>210235AOHAH127000069</v>
          </cell>
        </row>
        <row r="5960">
          <cell r="F5960" t="str">
            <v>FDO1838E09J</v>
          </cell>
        </row>
        <row r="5961">
          <cell r="F5961" t="str">
            <v>FDO1837E0ZE</v>
          </cell>
        </row>
        <row r="5962">
          <cell r="F5962" t="str">
            <v>无</v>
          </cell>
        </row>
        <row r="5963">
          <cell r="F5963" t="str">
            <v>210235AOHAH127000105</v>
          </cell>
        </row>
        <row r="5964">
          <cell r="F5964" t="str">
            <v>170902202076</v>
          </cell>
        </row>
        <row r="5965">
          <cell r="F5965" t="str">
            <v>170902202182</v>
          </cell>
        </row>
        <row r="5966">
          <cell r="F5966" t="str">
            <v>210235AOH9H11A000156</v>
          </cell>
        </row>
        <row r="5967">
          <cell r="F5967" t="str">
            <v>210235A0HAH163000218</v>
          </cell>
        </row>
        <row r="5968">
          <cell r="F5968" t="str">
            <v>无</v>
          </cell>
        </row>
        <row r="5969">
          <cell r="F5969" t="str">
            <v>170902201635</v>
          </cell>
        </row>
        <row r="5970">
          <cell r="F5970" t="str">
            <v>无</v>
          </cell>
        </row>
        <row r="5971">
          <cell r="F5971" t="str">
            <v>3837I01-06EH077</v>
          </cell>
        </row>
        <row r="5972">
          <cell r="F5972" t="str">
            <v>3837I01-06EH132</v>
          </cell>
        </row>
        <row r="5973">
          <cell r="F5973" t="str">
            <v>BK-F01-PD-DC01</v>
          </cell>
        </row>
        <row r="5974">
          <cell r="F5974" t="str">
            <v>BK-F01-PD-DC02</v>
          </cell>
        </row>
        <row r="5975">
          <cell r="F5975" t="str">
            <v>无</v>
          </cell>
        </row>
        <row r="5976">
          <cell r="F5976" t="str">
            <v>J320P3F</v>
          </cell>
        </row>
        <row r="5977">
          <cell r="F5977" t="str">
            <v>06ACPE6</v>
          </cell>
        </row>
        <row r="5978">
          <cell r="F5978" t="str">
            <v>06ACPX2</v>
          </cell>
        </row>
        <row r="5979">
          <cell r="F5979" t="str">
            <v>06ACPH3</v>
          </cell>
        </row>
        <row r="5980">
          <cell r="F5980" t="str">
            <v>06ACNZ2</v>
          </cell>
        </row>
        <row r="5981">
          <cell r="F5981" t="str">
            <v>06ACNW5</v>
          </cell>
        </row>
        <row r="5982">
          <cell r="F5982" t="str">
            <v>06ACPE8</v>
          </cell>
        </row>
        <row r="5983">
          <cell r="F5983" t="str">
            <v>06ACPD1</v>
          </cell>
        </row>
        <row r="5984">
          <cell r="F5984" t="str">
            <v>06ACPW7</v>
          </cell>
        </row>
        <row r="5985">
          <cell r="F5985" t="str">
            <v>06ACNV5</v>
          </cell>
        </row>
        <row r="5986">
          <cell r="F5986" t="str">
            <v>06ACPB1</v>
          </cell>
        </row>
        <row r="5987">
          <cell r="F5987" t="str">
            <v>06ACPD9</v>
          </cell>
        </row>
        <row r="5988">
          <cell r="F5988" t="str">
            <v>06ACPR8</v>
          </cell>
        </row>
        <row r="5989">
          <cell r="F5989" t="str">
            <v>06ACNV6</v>
          </cell>
        </row>
        <row r="5990">
          <cell r="F5990" t="str">
            <v>06ACNZ3</v>
          </cell>
        </row>
        <row r="5991">
          <cell r="F5991" t="str">
            <v>06ACPN2</v>
          </cell>
        </row>
        <row r="5992">
          <cell r="F5992" t="str">
            <v>06ACNP4</v>
          </cell>
        </row>
        <row r="5993">
          <cell r="F5993" t="str">
            <v>06ACPY7</v>
          </cell>
        </row>
        <row r="5994">
          <cell r="F5994" t="str">
            <v>06ACNX3</v>
          </cell>
        </row>
        <row r="5995">
          <cell r="F5995" t="str">
            <v>06ACNW6</v>
          </cell>
        </row>
        <row r="5996">
          <cell r="F5996" t="str">
            <v>06ACPV3</v>
          </cell>
        </row>
        <row r="5997">
          <cell r="F5997" t="str">
            <v>06ACNY2</v>
          </cell>
        </row>
        <row r="5998">
          <cell r="F5998" t="str">
            <v>06ACNN6</v>
          </cell>
        </row>
        <row r="5999">
          <cell r="F5999" t="str">
            <v>06ACNN5</v>
          </cell>
        </row>
        <row r="6000">
          <cell r="F6000" t="str">
            <v>06ACPN8</v>
          </cell>
        </row>
        <row r="6001">
          <cell r="F6001" t="str">
            <v>06ACPW8</v>
          </cell>
        </row>
        <row r="6002">
          <cell r="F6002" t="str">
            <v>06ACPC2</v>
          </cell>
        </row>
        <row r="6003">
          <cell r="F6003" t="str">
            <v>06ACPD4</v>
          </cell>
        </row>
        <row r="6004">
          <cell r="F6004" t="str">
            <v>06ACPB9</v>
          </cell>
        </row>
        <row r="6005">
          <cell r="F6005" t="str">
            <v>06ACPP3</v>
          </cell>
        </row>
        <row r="6006">
          <cell r="F6006" t="str">
            <v>06ACPK3</v>
          </cell>
        </row>
        <row r="6007">
          <cell r="F6007" t="str">
            <v>06ACNX2</v>
          </cell>
        </row>
        <row r="6008">
          <cell r="F6008" t="str">
            <v>06ACPC9</v>
          </cell>
        </row>
        <row r="6009">
          <cell r="F6009" t="str">
            <v>06ACPC3</v>
          </cell>
        </row>
        <row r="6010">
          <cell r="F6010" t="str">
            <v>06ACNN4</v>
          </cell>
        </row>
        <row r="6011">
          <cell r="F6011" t="str">
            <v>06ACPN6</v>
          </cell>
        </row>
        <row r="6012">
          <cell r="F6012" t="str">
            <v>06ACPE4</v>
          </cell>
        </row>
        <row r="6013">
          <cell r="F6013" t="str">
            <v>06ACPD8</v>
          </cell>
        </row>
        <row r="6014">
          <cell r="F6014" t="str">
            <v>06ACPX0</v>
          </cell>
        </row>
        <row r="6015">
          <cell r="F6015" t="str">
            <v>06ACPL2</v>
          </cell>
        </row>
        <row r="6016">
          <cell r="F6016" t="str">
            <v>06ACNW1</v>
          </cell>
        </row>
        <row r="6017">
          <cell r="F6017" t="str">
            <v>06ACPK2</v>
          </cell>
        </row>
        <row r="6018">
          <cell r="F6018" t="str">
            <v>06ACNM0</v>
          </cell>
        </row>
        <row r="6019">
          <cell r="F6019" t="str">
            <v>10C32CB</v>
          </cell>
        </row>
        <row r="6020">
          <cell r="F6020" t="str">
            <v>06ACPD7</v>
          </cell>
        </row>
        <row r="6021">
          <cell r="F6021" t="str">
            <v>YD-SW1G-242EE51B0995</v>
          </cell>
        </row>
        <row r="6022">
          <cell r="F6022" t="str">
            <v>YD-SW1G-242EE51B0998</v>
          </cell>
        </row>
        <row r="6023">
          <cell r="F6023" t="str">
            <v>YD-SW1G-242EE51B0993</v>
          </cell>
        </row>
        <row r="6024">
          <cell r="F6024" t="str">
            <v>YD-SW1G-242EE51B0992</v>
          </cell>
        </row>
        <row r="6025">
          <cell r="F6025" t="str">
            <v>214637677</v>
          </cell>
        </row>
        <row r="6026">
          <cell r="F6026" t="str">
            <v>214637689</v>
          </cell>
        </row>
        <row r="6027">
          <cell r="F6027" t="str">
            <v>214637688</v>
          </cell>
        </row>
        <row r="6028">
          <cell r="F6028" t="str">
            <v>2102350DLUDMGB000206</v>
          </cell>
        </row>
        <row r="6029">
          <cell r="F6029" t="str">
            <v>2102350DLUDMGB000221</v>
          </cell>
        </row>
        <row r="6030">
          <cell r="F6030" t="str">
            <v>FOX2137P7S0</v>
          </cell>
        </row>
        <row r="6031">
          <cell r="F6031" t="str">
            <v>FOX2137P7S4</v>
          </cell>
        </row>
        <row r="6032">
          <cell r="F6032" t="str">
            <v>180103201112</v>
          </cell>
        </row>
        <row r="6033">
          <cell r="F6033" t="str">
            <v>2102350RTC6TH9001182</v>
          </cell>
        </row>
        <row r="6034">
          <cell r="F6034" t="str">
            <v>180103201136</v>
          </cell>
        </row>
        <row r="6035">
          <cell r="F6035" t="str">
            <v>2102350RTC6TH9001185</v>
          </cell>
        </row>
        <row r="6036">
          <cell r="F6036" t="str">
            <v>171003201050</v>
          </cell>
        </row>
        <row r="6037">
          <cell r="F6037" t="str">
            <v>180103201198</v>
          </cell>
        </row>
        <row r="6038">
          <cell r="F6038" t="str">
            <v>210235A1LTH169000410</v>
          </cell>
        </row>
        <row r="6039">
          <cell r="F6039" t="str">
            <v>210235A1LTH169000414</v>
          </cell>
        </row>
        <row r="6040">
          <cell r="F6040" t="str">
            <v>YD-SW1G-242EE51B0994</v>
          </cell>
        </row>
        <row r="6041">
          <cell r="F6041" t="str">
            <v>FXS2139Q1PZ</v>
          </cell>
        </row>
        <row r="6042">
          <cell r="F6042" t="str">
            <v>FXS2139Q1PM</v>
          </cell>
        </row>
        <row r="6043">
          <cell r="F6043" t="str">
            <v>210235AOHAH127000033</v>
          </cell>
        </row>
        <row r="6044">
          <cell r="F6044" t="str">
            <v>210235A0H9H11A000110</v>
          </cell>
        </row>
        <row r="6045">
          <cell r="F6045" t="str">
            <v>210235A0H9H11A000117</v>
          </cell>
        </row>
        <row r="6046">
          <cell r="F6046" t="str">
            <v>210235A24WH119000320</v>
          </cell>
        </row>
        <row r="6047">
          <cell r="F6047" t="str">
            <v>YD-SW1G-242EE51B0991</v>
          </cell>
        </row>
        <row r="6048">
          <cell r="F6048" t="str">
            <v>YD-SW1G-242EE51B199A</v>
          </cell>
        </row>
        <row r="6049">
          <cell r="F6049" t="str">
            <v>210235A24WH113000499</v>
          </cell>
        </row>
        <row r="6050">
          <cell r="F6050" t="str">
            <v>YD-SW1G-242EE51B0999</v>
          </cell>
        </row>
        <row r="6051">
          <cell r="F6051" t="str">
            <v>JG9VVL2</v>
          </cell>
        </row>
        <row r="6052">
          <cell r="F6052" t="str">
            <v>JG9ZXL2</v>
          </cell>
        </row>
        <row r="6053">
          <cell r="F6053" t="str">
            <v>JGB0YL2</v>
          </cell>
        </row>
        <row r="6054">
          <cell r="F6054" t="str">
            <v>JGB3KL2</v>
          </cell>
        </row>
        <row r="6055">
          <cell r="F6055" t="str">
            <v>JGB5KL2</v>
          </cell>
        </row>
        <row r="6056">
          <cell r="F6056" t="str">
            <v>JGB6YL2</v>
          </cell>
        </row>
        <row r="6057">
          <cell r="F6057" t="str">
            <v>JGBSVL2</v>
          </cell>
        </row>
        <row r="6058">
          <cell r="F6058" t="str">
            <v>JGBWVL2</v>
          </cell>
        </row>
        <row r="6059">
          <cell r="F6059" t="str">
            <v>JGBYJL2</v>
          </cell>
        </row>
        <row r="6060">
          <cell r="F6060" t="str">
            <v>JGC0KL2</v>
          </cell>
        </row>
        <row r="6061">
          <cell r="F6061" t="str">
            <v>JGC2KL2</v>
          </cell>
        </row>
        <row r="6062">
          <cell r="F6062" t="str">
            <v>JGC4KL2</v>
          </cell>
        </row>
        <row r="6063">
          <cell r="F6063" t="str">
            <v>JGC5YL2</v>
          </cell>
        </row>
        <row r="6064">
          <cell r="F6064" t="str">
            <v>JGC7YL2</v>
          </cell>
        </row>
        <row r="6065">
          <cell r="F6065" t="str">
            <v>JGCTVL2</v>
          </cell>
        </row>
        <row r="6066">
          <cell r="F6066" t="str">
            <v>JGCYJL2</v>
          </cell>
        </row>
        <row r="6067">
          <cell r="F6067" t="str">
            <v>JGFSVL2</v>
          </cell>
        </row>
        <row r="6068">
          <cell r="F6068" t="str">
            <v>JG8WVL2</v>
          </cell>
        </row>
        <row r="6069">
          <cell r="F6069" t="str">
            <v>JG8ZXL2</v>
          </cell>
        </row>
        <row r="6070">
          <cell r="F6070" t="str">
            <v>JG90KL2</v>
          </cell>
        </row>
        <row r="6071">
          <cell r="F6071" t="str">
            <v>JG91YL2</v>
          </cell>
        </row>
        <row r="6072">
          <cell r="F6072" t="str">
            <v>JG92YL2</v>
          </cell>
        </row>
        <row r="6073">
          <cell r="F6073" t="str">
            <v>JG94KL2</v>
          </cell>
        </row>
        <row r="6074">
          <cell r="F6074" t="str">
            <v>JG95YL2</v>
          </cell>
        </row>
        <row r="6075">
          <cell r="F6075" t="str">
            <v>JG96YL2</v>
          </cell>
        </row>
        <row r="6076">
          <cell r="F6076" t="str">
            <v>JG9SVL2</v>
          </cell>
        </row>
        <row r="6077">
          <cell r="F6077" t="str">
            <v>JG9XVL2</v>
          </cell>
        </row>
        <row r="6078">
          <cell r="F6078" t="str">
            <v>JG9ZJL2</v>
          </cell>
        </row>
        <row r="6079">
          <cell r="F6079" t="str">
            <v>JGB1YL2</v>
          </cell>
        </row>
        <row r="6080">
          <cell r="F6080" t="str">
            <v>JGB3YL2</v>
          </cell>
        </row>
        <row r="6081">
          <cell r="F6081" t="str">
            <v>JGB5YL2</v>
          </cell>
        </row>
        <row r="6082">
          <cell r="F6082" t="str">
            <v>JGB7YL2</v>
          </cell>
        </row>
        <row r="6083">
          <cell r="F6083" t="str">
            <v>JGBTVL2</v>
          </cell>
        </row>
        <row r="6084">
          <cell r="F6084" t="str">
            <v>JGFZJL2</v>
          </cell>
        </row>
        <row r="6085">
          <cell r="F6085" t="str">
            <v>2PPDF3X</v>
          </cell>
        </row>
        <row r="6086">
          <cell r="F6086" t="str">
            <v>4PPDF3X</v>
          </cell>
        </row>
        <row r="6087">
          <cell r="F6087" t="str">
            <v>JX3JZZ1</v>
          </cell>
        </row>
        <row r="6088">
          <cell r="F6088" t="str">
            <v>DY3JZZ1</v>
          </cell>
        </row>
        <row r="6089">
          <cell r="F6089" t="str">
            <v>CX3JZZ1</v>
          </cell>
        </row>
        <row r="6090">
          <cell r="F6090" t="str">
            <v>6Y3JZZ1</v>
          </cell>
        </row>
        <row r="6091">
          <cell r="F6091" t="str">
            <v>5PPDF3X</v>
          </cell>
        </row>
        <row r="6092">
          <cell r="F6092" t="str">
            <v>GNPDF3X</v>
          </cell>
        </row>
        <row r="6093">
          <cell r="F6093" t="str">
            <v>1PPDF3X</v>
          </cell>
        </row>
        <row r="6094">
          <cell r="F6094" t="str">
            <v>JNPDF3X</v>
          </cell>
        </row>
        <row r="6095">
          <cell r="F6095" t="str">
            <v>3PPDF3X</v>
          </cell>
        </row>
        <row r="6096">
          <cell r="F6096" t="str">
            <v>HNPDF3X</v>
          </cell>
        </row>
        <row r="6097">
          <cell r="F6097" t="str">
            <v>FNPDF3X</v>
          </cell>
        </row>
        <row r="6098">
          <cell r="F6098" t="str">
            <v>6PPDF3X</v>
          </cell>
        </row>
        <row r="6099">
          <cell r="F6099" t="str">
            <v>210235A0HAH126000163</v>
          </cell>
        </row>
        <row r="6100">
          <cell r="F6100" t="str">
            <v>210235AOHAH127000001</v>
          </cell>
        </row>
        <row r="6101">
          <cell r="F6101" t="str">
            <v>210235A0H9H11A000233</v>
          </cell>
        </row>
        <row r="6102">
          <cell r="F6102" t="str">
            <v>210235A0H9H11A000103</v>
          </cell>
        </row>
        <row r="6103">
          <cell r="F6103" t="str">
            <v>210235AOHAH126000125</v>
          </cell>
        </row>
        <row r="6104">
          <cell r="F6104" t="str">
            <v>06C5D7R</v>
          </cell>
        </row>
        <row r="6105">
          <cell r="F6105" t="str">
            <v>MM11299</v>
          </cell>
        </row>
        <row r="6106">
          <cell r="F6106" t="str">
            <v>06ACPR3</v>
          </cell>
        </row>
        <row r="6107">
          <cell r="F6107" t="str">
            <v>06ACPA9</v>
          </cell>
        </row>
        <row r="6108">
          <cell r="F6108" t="str">
            <v>06ACPA8</v>
          </cell>
        </row>
        <row r="6109">
          <cell r="F6109" t="str">
            <v>06ACNY8</v>
          </cell>
        </row>
        <row r="6110">
          <cell r="F6110" t="str">
            <v>06ACNX9</v>
          </cell>
        </row>
        <row r="6111">
          <cell r="F6111" t="str">
            <v>06ACNV8</v>
          </cell>
        </row>
        <row r="6112">
          <cell r="F6112" t="str">
            <v>06ACPG5</v>
          </cell>
        </row>
        <row r="6113">
          <cell r="F6113" t="str">
            <v>06ACNZ4</v>
          </cell>
        </row>
        <row r="6114">
          <cell r="F6114" t="str">
            <v>06ACPK8</v>
          </cell>
        </row>
        <row r="6115">
          <cell r="F6115" t="str">
            <v>102415B</v>
          </cell>
        </row>
        <row r="6116">
          <cell r="F6116" t="str">
            <v>06ACPV6</v>
          </cell>
        </row>
        <row r="6117">
          <cell r="F6117" t="str">
            <v>06ACPR0</v>
          </cell>
        </row>
        <row r="6118">
          <cell r="F6118" t="str">
            <v>06ACNY3</v>
          </cell>
        </row>
        <row r="6119">
          <cell r="F6119" t="str">
            <v>06ACPG1</v>
          </cell>
        </row>
        <row r="6120">
          <cell r="F6120" t="str">
            <v>06ACNZ9</v>
          </cell>
        </row>
        <row r="6121">
          <cell r="F6121" t="str">
            <v>06ACPT6</v>
          </cell>
        </row>
        <row r="6122">
          <cell r="F6122" t="str">
            <v>06ACPF1</v>
          </cell>
        </row>
        <row r="6123">
          <cell r="F6123" t="str">
            <v>06ACNR7</v>
          </cell>
        </row>
        <row r="6124">
          <cell r="F6124" t="str">
            <v>06ACPD0</v>
          </cell>
        </row>
        <row r="6125">
          <cell r="F6125" t="str">
            <v>06ACNZ6</v>
          </cell>
        </row>
        <row r="6126">
          <cell r="F6126" t="str">
            <v>06ACNV1</v>
          </cell>
        </row>
        <row r="6127">
          <cell r="F6127" t="str">
            <v>06ACPH8</v>
          </cell>
        </row>
        <row r="6128">
          <cell r="F6128" t="str">
            <v>06ACPX5</v>
          </cell>
        </row>
        <row r="6129">
          <cell r="F6129" t="str">
            <v>06ACPB6</v>
          </cell>
        </row>
        <row r="6130">
          <cell r="F6130" t="str">
            <v>06ACPW4</v>
          </cell>
        </row>
        <row r="6131">
          <cell r="F6131" t="str">
            <v>06ACPV7</v>
          </cell>
        </row>
        <row r="6132">
          <cell r="F6132" t="str">
            <v>06C5DCR</v>
          </cell>
        </row>
        <row r="6133">
          <cell r="F6133" t="str">
            <v>2639311</v>
          </cell>
        </row>
        <row r="6134">
          <cell r="F6134" t="str">
            <v>06C68CR</v>
          </cell>
        </row>
        <row r="6135">
          <cell r="F6135" t="str">
            <v>348HF3X</v>
          </cell>
        </row>
        <row r="6136">
          <cell r="F6136" t="str">
            <v>548HF3X</v>
          </cell>
        </row>
        <row r="6137">
          <cell r="F6137" t="str">
            <v>448HF3X</v>
          </cell>
        </row>
        <row r="6138">
          <cell r="F6138" t="str">
            <v>C48HF3X</v>
          </cell>
        </row>
        <row r="6139">
          <cell r="F6139" t="str">
            <v>648HF3X</v>
          </cell>
        </row>
        <row r="6140">
          <cell r="F6140" t="str">
            <v>748HF3X</v>
          </cell>
        </row>
        <row r="6141">
          <cell r="F6141" t="str">
            <v>B48HF3X</v>
          </cell>
        </row>
        <row r="6142">
          <cell r="F6142" t="str">
            <v>D48HF3X</v>
          </cell>
        </row>
        <row r="6143">
          <cell r="F6143" t="str">
            <v>948HF3X</v>
          </cell>
        </row>
        <row r="6144">
          <cell r="F6144" t="str">
            <v>848HF3X</v>
          </cell>
        </row>
        <row r="6145">
          <cell r="F6145" t="str">
            <v>248HF3X</v>
          </cell>
        </row>
        <row r="6146">
          <cell r="F6146" t="str">
            <v>CNG230S9MC</v>
          </cell>
        </row>
        <row r="6147">
          <cell r="F6147" t="str">
            <v>CNG230S9J8</v>
          </cell>
        </row>
        <row r="6148">
          <cell r="F6148" t="str">
            <v>CNG230S9GQ</v>
          </cell>
        </row>
        <row r="6149">
          <cell r="F6149" t="str">
            <v>CNG230S9GJ</v>
          </cell>
        </row>
        <row r="6150">
          <cell r="F6150" t="str">
            <v>CNG230S9PM</v>
          </cell>
        </row>
        <row r="6151">
          <cell r="F6151" t="str">
            <v>CNG230S9MW</v>
          </cell>
        </row>
        <row r="6152">
          <cell r="F6152" t="str">
            <v>CNG230S9QX</v>
          </cell>
        </row>
        <row r="6153">
          <cell r="F6153" t="str">
            <v>CNG230S9HF</v>
          </cell>
        </row>
        <row r="6154">
          <cell r="F6154" t="str">
            <v>CNG230S9QQ</v>
          </cell>
        </row>
        <row r="6155">
          <cell r="F6155" t="str">
            <v>CNG230S9LL</v>
          </cell>
        </row>
        <row r="6156">
          <cell r="F6156" t="str">
            <v>CNG230S9HY</v>
          </cell>
        </row>
        <row r="6157">
          <cell r="F6157" t="str">
            <v>CNG230S9JL</v>
          </cell>
        </row>
        <row r="6158">
          <cell r="F6158" t="str">
            <v>CNG230S9JD</v>
          </cell>
        </row>
        <row r="6159">
          <cell r="F6159" t="str">
            <v>CNG230S9GV</v>
          </cell>
        </row>
        <row r="6160">
          <cell r="F6160" t="str">
            <v>CNG230S9K1</v>
          </cell>
        </row>
        <row r="6161">
          <cell r="F6161" t="str">
            <v>CNG230S9KT</v>
          </cell>
        </row>
        <row r="6162">
          <cell r="F6162" t="str">
            <v>2C42144YDY</v>
          </cell>
        </row>
        <row r="6163">
          <cell r="F6163" t="str">
            <v>06ACPY6</v>
          </cell>
        </row>
        <row r="6164">
          <cell r="F6164" t="str">
            <v>06ACNN7</v>
          </cell>
        </row>
        <row r="6165">
          <cell r="F6165" t="str">
            <v>06ACNV9</v>
          </cell>
        </row>
        <row r="6166">
          <cell r="F6166" t="str">
            <v>06ACPM0</v>
          </cell>
        </row>
        <row r="6167">
          <cell r="F6167" t="str">
            <v>06ACPA3</v>
          </cell>
        </row>
        <row r="6168">
          <cell r="F6168" t="str">
            <v>06ACPG4</v>
          </cell>
        </row>
        <row r="6169">
          <cell r="F6169" t="str">
            <v>06ACPR5</v>
          </cell>
        </row>
        <row r="6170">
          <cell r="F6170" t="str">
            <v>06ACNZ8</v>
          </cell>
        </row>
        <row r="6171">
          <cell r="F6171" t="str">
            <v>06ACPA2</v>
          </cell>
        </row>
        <row r="6172">
          <cell r="F6172" t="str">
            <v>06ACPY8</v>
          </cell>
        </row>
        <row r="6173">
          <cell r="F6173" t="str">
            <v>06ACNT6</v>
          </cell>
        </row>
        <row r="6174">
          <cell r="F6174" t="str">
            <v>06ACNR9</v>
          </cell>
        </row>
        <row r="6175">
          <cell r="F6175" t="str">
            <v>06ACNX1</v>
          </cell>
        </row>
        <row r="6176">
          <cell r="F6176" t="str">
            <v>06ACNZ7</v>
          </cell>
        </row>
        <row r="6177">
          <cell r="F6177" t="str">
            <v>99C6575</v>
          </cell>
        </row>
        <row r="6178">
          <cell r="F6178" t="str">
            <v>210235A0HAH14A000035</v>
          </cell>
        </row>
        <row r="6179">
          <cell r="F6179" t="str">
            <v>210235A0HAH14A000182</v>
          </cell>
        </row>
        <row r="6180">
          <cell r="F6180" t="str">
            <v>210235A24WH113000385</v>
          </cell>
        </row>
        <row r="6181">
          <cell r="F6181" t="str">
            <v>210235A24WH113000059</v>
          </cell>
        </row>
        <row r="6182">
          <cell r="F6182" t="str">
            <v>210235A24WH113000158</v>
          </cell>
        </row>
        <row r="6183">
          <cell r="F6183" t="str">
            <v>210235A24WH113000512</v>
          </cell>
        </row>
        <row r="6184">
          <cell r="F6184" t="str">
            <v>2102312066N04B000063</v>
          </cell>
        </row>
        <row r="6185">
          <cell r="F6185" t="str">
            <v>06C39CA</v>
          </cell>
        </row>
        <row r="6186">
          <cell r="F6186" t="str">
            <v>06C3D0A</v>
          </cell>
        </row>
        <row r="6187">
          <cell r="F6187" t="str">
            <v>06C399A</v>
          </cell>
        </row>
        <row r="6188">
          <cell r="F6188" t="str">
            <v>06C39AA</v>
          </cell>
        </row>
        <row r="6189">
          <cell r="F6189" t="str">
            <v>06C38DA</v>
          </cell>
        </row>
        <row r="6190">
          <cell r="F6190" t="str">
            <v>06C38BA</v>
          </cell>
        </row>
        <row r="6191">
          <cell r="F6191" t="str">
            <v>06C396A</v>
          </cell>
        </row>
        <row r="6192">
          <cell r="F6192" t="str">
            <v>06C38AA</v>
          </cell>
        </row>
        <row r="6193">
          <cell r="F6193" t="str">
            <v>06C393A</v>
          </cell>
        </row>
        <row r="6194">
          <cell r="F6194" t="str">
            <v>06C3F0A</v>
          </cell>
        </row>
        <row r="6195">
          <cell r="F6195" t="str">
            <v>06C394A</v>
          </cell>
        </row>
        <row r="6196">
          <cell r="F6196" t="str">
            <v>06C39DA</v>
          </cell>
        </row>
        <row r="6197">
          <cell r="F6197" t="str">
            <v>06C3C5A</v>
          </cell>
        </row>
        <row r="6198">
          <cell r="F6198" t="str">
            <v>06C39EA</v>
          </cell>
        </row>
        <row r="6199">
          <cell r="F6199" t="str">
            <v>1FZ0415007</v>
          </cell>
        </row>
        <row r="6200">
          <cell r="F6200" t="str">
            <v>99E3618</v>
          </cell>
        </row>
        <row r="6201">
          <cell r="F6201" t="str">
            <v>06YW847</v>
          </cell>
        </row>
        <row r="6202">
          <cell r="F6202" t="str">
            <v>06YW879</v>
          </cell>
        </row>
        <row r="6203">
          <cell r="F6203" t="str">
            <v>99E3623</v>
          </cell>
        </row>
        <row r="6204">
          <cell r="F6204" t="str">
            <v>06YW867</v>
          </cell>
        </row>
        <row r="6205">
          <cell r="F6205" t="str">
            <v>06YW872</v>
          </cell>
        </row>
        <row r="6206">
          <cell r="F6206" t="str">
            <v>06YW884</v>
          </cell>
        </row>
        <row r="6207">
          <cell r="F6207" t="str">
            <v>06YW870</v>
          </cell>
        </row>
        <row r="6208">
          <cell r="F6208" t="str">
            <v>06YW866</v>
          </cell>
        </row>
        <row r="6209">
          <cell r="F6209" t="str">
            <v>06YW857</v>
          </cell>
        </row>
        <row r="6210">
          <cell r="F6210" t="str">
            <v>06YW835</v>
          </cell>
        </row>
        <row r="6211">
          <cell r="F6211" t="str">
            <v>06YW859</v>
          </cell>
        </row>
        <row r="6212">
          <cell r="F6212" t="str">
            <v>06YW852</v>
          </cell>
        </row>
        <row r="6213">
          <cell r="F6213" t="str">
            <v>06YW849</v>
          </cell>
        </row>
        <row r="6214">
          <cell r="F6214" t="str">
            <v>06YW871</v>
          </cell>
        </row>
        <row r="6215">
          <cell r="F6215" t="str">
            <v>06YW886</v>
          </cell>
        </row>
        <row r="6216">
          <cell r="F6216" t="str">
            <v>06YW868</v>
          </cell>
        </row>
        <row r="6217">
          <cell r="F6217" t="str">
            <v>06YW882</v>
          </cell>
        </row>
        <row r="6218">
          <cell r="F6218" t="str">
            <v>06YW883</v>
          </cell>
        </row>
        <row r="6219">
          <cell r="F6219" t="str">
            <v>99V4413</v>
          </cell>
        </row>
        <row r="6220">
          <cell r="F6220" t="str">
            <v>06YW875</v>
          </cell>
        </row>
        <row r="6221">
          <cell r="F6221" t="str">
            <v>06YW873</v>
          </cell>
        </row>
        <row r="6222">
          <cell r="F6222" t="str">
            <v>06YW865</v>
          </cell>
        </row>
        <row r="6223">
          <cell r="F6223" t="str">
            <v>06YW881</v>
          </cell>
        </row>
        <row r="6224">
          <cell r="F6224" t="str">
            <v>06YW831</v>
          </cell>
        </row>
        <row r="6225">
          <cell r="F6225" t="str">
            <v>06YW880</v>
          </cell>
        </row>
        <row r="6226">
          <cell r="F6226" t="str">
            <v>06YW864</v>
          </cell>
        </row>
        <row r="6227">
          <cell r="F6227" t="str">
            <v>06YW840</v>
          </cell>
        </row>
        <row r="6228">
          <cell r="F6228" t="str">
            <v>06YW845</v>
          </cell>
        </row>
        <row r="6229">
          <cell r="F6229" t="str">
            <v>06YW843</v>
          </cell>
        </row>
        <row r="6230">
          <cell r="F6230" t="str">
            <v>06YW851</v>
          </cell>
        </row>
        <row r="6231">
          <cell r="F6231" t="str">
            <v>06YW838</v>
          </cell>
        </row>
        <row r="6232">
          <cell r="F6232" t="str">
            <v>99E3622</v>
          </cell>
        </row>
        <row r="6233">
          <cell r="F6233" t="str">
            <v>06A74CP</v>
          </cell>
        </row>
        <row r="6234">
          <cell r="F6234" t="str">
            <v>06A74FP</v>
          </cell>
        </row>
        <row r="6235">
          <cell r="F6235" t="str">
            <v>210235A24WH113000323</v>
          </cell>
        </row>
        <row r="6236">
          <cell r="F6236" t="str">
            <v>210235A24WH113000061</v>
          </cell>
        </row>
        <row r="6237">
          <cell r="F6237" t="str">
            <v>210235A24WH113000330</v>
          </cell>
        </row>
        <row r="6238">
          <cell r="F6238" t="str">
            <v>06ZPHT7</v>
          </cell>
        </row>
        <row r="6239">
          <cell r="F6239" t="str">
            <v>06AAFCP</v>
          </cell>
        </row>
        <row r="6240">
          <cell r="F6240" t="str">
            <v>06AAFCR</v>
          </cell>
        </row>
        <row r="6241">
          <cell r="F6241" t="str">
            <v>06AAFDA</v>
          </cell>
        </row>
        <row r="6242">
          <cell r="F6242" t="str">
            <v>06LXHC9</v>
          </cell>
        </row>
        <row r="6243">
          <cell r="F6243" t="str">
            <v>06AAFDC</v>
          </cell>
        </row>
        <row r="6244">
          <cell r="F6244" t="str">
            <v>06AAFCV</v>
          </cell>
        </row>
        <row r="6245">
          <cell r="F6245" t="str">
            <v>06AAFCL</v>
          </cell>
        </row>
        <row r="6246">
          <cell r="F6246" t="str">
            <v>06AAFCT</v>
          </cell>
        </row>
        <row r="6247">
          <cell r="F6247" t="str">
            <v>3TB1132</v>
          </cell>
        </row>
        <row r="6248">
          <cell r="F6248" t="str">
            <v>9V00132</v>
          </cell>
        </row>
        <row r="6249">
          <cell r="F6249" t="str">
            <v>GFZZ032</v>
          </cell>
        </row>
        <row r="6250">
          <cell r="F6250" t="str">
            <v>9DZZ032</v>
          </cell>
        </row>
        <row r="6251">
          <cell r="F6251" t="str">
            <v>4NC6132</v>
          </cell>
        </row>
        <row r="6252">
          <cell r="F6252" t="str">
            <v>2V00132</v>
          </cell>
        </row>
        <row r="6253">
          <cell r="F6253" t="str">
            <v>4T00132</v>
          </cell>
        </row>
        <row r="6254">
          <cell r="F6254" t="str">
            <v>BT00132</v>
          </cell>
        </row>
        <row r="6255">
          <cell r="F6255" t="str">
            <v>8CZZ032</v>
          </cell>
        </row>
        <row r="6256">
          <cell r="F6256" t="str">
            <v>06CP601</v>
          </cell>
        </row>
        <row r="6257">
          <cell r="F6257" t="str">
            <v>06CP593</v>
          </cell>
        </row>
        <row r="6258">
          <cell r="F6258" t="str">
            <v>6cu4421wcm</v>
          </cell>
        </row>
        <row r="6259">
          <cell r="F6259" t="str">
            <v>6cu4421wch</v>
          </cell>
        </row>
        <row r="6260">
          <cell r="F6260" t="str">
            <v>FD01630R14F</v>
          </cell>
        </row>
        <row r="6261">
          <cell r="F6261" t="str">
            <v>AMS16030997</v>
          </cell>
        </row>
        <row r="6262">
          <cell r="F6262" t="str">
            <v>AMS15470269</v>
          </cell>
        </row>
        <row r="6263">
          <cell r="F6263" t="str">
            <v>FCN00122600085</v>
          </cell>
        </row>
        <row r="6264">
          <cell r="F6264" t="str">
            <v>2C42144YEE</v>
          </cell>
        </row>
        <row r="6265">
          <cell r="F6265" t="str">
            <v>JB15YL2</v>
          </cell>
        </row>
        <row r="6266">
          <cell r="F6266" t="str">
            <v>JB4YVL2</v>
          </cell>
        </row>
        <row r="6267">
          <cell r="F6267" t="str">
            <v>JB55KL2</v>
          </cell>
        </row>
        <row r="6268">
          <cell r="F6268" t="str">
            <v>JB57YL2</v>
          </cell>
        </row>
        <row r="6269">
          <cell r="F6269" t="str">
            <v>JB5VVL2</v>
          </cell>
        </row>
        <row r="6270">
          <cell r="F6270" t="str">
            <v>JB5YVL2</v>
          </cell>
        </row>
        <row r="6271">
          <cell r="F6271" t="str">
            <v>JB60WL2</v>
          </cell>
        </row>
        <row r="6272">
          <cell r="F6272" t="str">
            <v>JB60YL2</v>
          </cell>
        </row>
        <row r="6273">
          <cell r="F6273" t="str">
            <v>JB62KL2</v>
          </cell>
        </row>
        <row r="6274">
          <cell r="F6274" t="str">
            <v>JB63YL2</v>
          </cell>
        </row>
        <row r="6275">
          <cell r="F6275" t="str">
            <v>JB65YL2</v>
          </cell>
        </row>
        <row r="6276">
          <cell r="F6276" t="str">
            <v>JB6SVL2</v>
          </cell>
        </row>
        <row r="6277">
          <cell r="F6277" t="str">
            <v>JB6XVL2</v>
          </cell>
        </row>
        <row r="6278">
          <cell r="F6278" t="str">
            <v>2100235A1XCH178000011</v>
          </cell>
        </row>
        <row r="6279">
          <cell r="F6279" t="str">
            <v>2100235A1XCH178000079</v>
          </cell>
        </row>
        <row r="6280">
          <cell r="F6280" t="str">
            <v>2C42144YHH</v>
          </cell>
        </row>
        <row r="6281">
          <cell r="F6281" t="str">
            <v>06CT299</v>
          </cell>
        </row>
        <row r="6282">
          <cell r="F6282" t="str">
            <v>06CP875</v>
          </cell>
        </row>
        <row r="6283">
          <cell r="F6283" t="str">
            <v>06CP871</v>
          </cell>
        </row>
        <row r="6284">
          <cell r="F6284" t="str">
            <v>06CT280</v>
          </cell>
        </row>
        <row r="6285">
          <cell r="F6285" t="str">
            <v>06CT344</v>
          </cell>
        </row>
        <row r="6286">
          <cell r="F6286" t="str">
            <v>06CT311</v>
          </cell>
        </row>
        <row r="6287">
          <cell r="F6287" t="str">
            <v>06CT291</v>
          </cell>
        </row>
        <row r="6288">
          <cell r="F6288" t="str">
            <v>06CT338</v>
          </cell>
        </row>
        <row r="6289">
          <cell r="F6289" t="str">
            <v>06CT332</v>
          </cell>
        </row>
        <row r="6290">
          <cell r="F6290" t="str">
            <v>06CT303</v>
          </cell>
        </row>
        <row r="6291">
          <cell r="F6291" t="str">
            <v>06CT287</v>
          </cell>
        </row>
        <row r="6292">
          <cell r="F6292" t="str">
            <v>06CT289</v>
          </cell>
        </row>
        <row r="6293">
          <cell r="F6293" t="str">
            <v>06CT296</v>
          </cell>
        </row>
        <row r="6294">
          <cell r="F6294" t="str">
            <v>06CT294</v>
          </cell>
        </row>
        <row r="6295">
          <cell r="F6295" t="str">
            <v>06CP860</v>
          </cell>
        </row>
        <row r="6296">
          <cell r="F6296" t="str">
            <v>06CP874</v>
          </cell>
        </row>
        <row r="6297">
          <cell r="F6297" t="str">
            <v>06CT340</v>
          </cell>
        </row>
        <row r="6298">
          <cell r="F6298" t="str">
            <v>06CT286</v>
          </cell>
        </row>
        <row r="6299">
          <cell r="F6299" t="str">
            <v>06CT297</v>
          </cell>
        </row>
        <row r="6300">
          <cell r="F6300" t="str">
            <v>06CT290</v>
          </cell>
        </row>
        <row r="6301">
          <cell r="F6301" t="str">
            <v>06CT323</v>
          </cell>
        </row>
        <row r="6302">
          <cell r="F6302" t="str">
            <v>06CT301</v>
          </cell>
        </row>
        <row r="6303">
          <cell r="F6303" t="str">
            <v>06CT319</v>
          </cell>
        </row>
        <row r="6304">
          <cell r="F6304" t="str">
            <v>06CT325</v>
          </cell>
        </row>
        <row r="6305">
          <cell r="F6305" t="str">
            <v>06CT298</v>
          </cell>
        </row>
        <row r="6306">
          <cell r="F6306" t="str">
            <v>06CT306</v>
          </cell>
        </row>
        <row r="6307">
          <cell r="F6307" t="str">
            <v>06CT302</v>
          </cell>
        </row>
        <row r="6308">
          <cell r="F6308" t="str">
            <v>06CT337</v>
          </cell>
        </row>
        <row r="6309">
          <cell r="F6309" t="str">
            <v>06CP862</v>
          </cell>
        </row>
        <row r="6310">
          <cell r="F6310" t="str">
            <v>06CT335</v>
          </cell>
        </row>
        <row r="6311">
          <cell r="F6311" t="str">
            <v>J33GL8B</v>
          </cell>
        </row>
        <row r="6312">
          <cell r="F6312" t="str">
            <v>J33GL8F</v>
          </cell>
        </row>
        <row r="6313">
          <cell r="F6313" t="str">
            <v>J33GL8E</v>
          </cell>
        </row>
        <row r="6314">
          <cell r="F6314" t="str">
            <v>J33GL8G</v>
          </cell>
        </row>
        <row r="6315">
          <cell r="F6315" t="str">
            <v>J33GL8H</v>
          </cell>
        </row>
        <row r="6316">
          <cell r="F6316" t="str">
            <v>J33GL8C</v>
          </cell>
        </row>
        <row r="6317">
          <cell r="F6317" t="str">
            <v>JG8XVL2</v>
          </cell>
        </row>
        <row r="6318">
          <cell r="F6318" t="str">
            <v>JGCVVL2</v>
          </cell>
        </row>
        <row r="6319">
          <cell r="F6319" t="str">
            <v>JGCZJL2</v>
          </cell>
        </row>
        <row r="6320">
          <cell r="F6320" t="str">
            <v>JGD0KL2</v>
          </cell>
        </row>
        <row r="6321">
          <cell r="F6321" t="str">
            <v>JGD1YL2</v>
          </cell>
        </row>
        <row r="6322">
          <cell r="F6322" t="str">
            <v>JGD3KL2</v>
          </cell>
        </row>
        <row r="6323">
          <cell r="F6323" t="str">
            <v>JGD5KL2</v>
          </cell>
        </row>
        <row r="6324">
          <cell r="F6324" t="str">
            <v>JGDRVL2</v>
          </cell>
        </row>
        <row r="6325">
          <cell r="F6325" t="str">
            <v>JGDVVL2</v>
          </cell>
        </row>
        <row r="6326">
          <cell r="F6326" t="str">
            <v>JGDYJL2</v>
          </cell>
        </row>
        <row r="6327">
          <cell r="F6327" t="str">
            <v>JGDZVL2</v>
          </cell>
        </row>
        <row r="6328">
          <cell r="F6328" t="str">
            <v>JGF0WL2</v>
          </cell>
        </row>
        <row r="6329">
          <cell r="F6329" t="str">
            <v>JGF0YL2</v>
          </cell>
        </row>
        <row r="6330">
          <cell r="F6330" t="str">
            <v>JGF1YL2</v>
          </cell>
        </row>
        <row r="6331">
          <cell r="F6331" t="str">
            <v>JGF2YL2</v>
          </cell>
        </row>
        <row r="6332">
          <cell r="F6332" t="str">
            <v>JGF3YL2</v>
          </cell>
        </row>
        <row r="6333">
          <cell r="F6333" t="str">
            <v>JGF4YL2</v>
          </cell>
        </row>
        <row r="6334">
          <cell r="F6334" t="str">
            <v>J2M0WL2</v>
          </cell>
        </row>
        <row r="6335">
          <cell r="F6335" t="str">
            <v>J2MYJL2</v>
          </cell>
        </row>
        <row r="6336">
          <cell r="F6336" t="str">
            <v>J2N0YL2</v>
          </cell>
        </row>
        <row r="6337">
          <cell r="F6337" t="str">
            <v>J2N4YL2</v>
          </cell>
        </row>
        <row r="6338">
          <cell r="F6338" t="str">
            <v>J2NVVL2</v>
          </cell>
        </row>
        <row r="6339">
          <cell r="F6339" t="str">
            <v>J2NZVL2</v>
          </cell>
        </row>
        <row r="6340">
          <cell r="F6340" t="str">
            <v>J2P1YL2</v>
          </cell>
        </row>
        <row r="6341">
          <cell r="F6341" t="str">
            <v>J2P4KL2</v>
          </cell>
        </row>
        <row r="6342">
          <cell r="F6342" t="str">
            <v>J2P6YL2</v>
          </cell>
        </row>
        <row r="6343">
          <cell r="F6343" t="str">
            <v>J2PWVL2</v>
          </cell>
        </row>
        <row r="6344">
          <cell r="F6344" t="str">
            <v>J2PZJL2</v>
          </cell>
        </row>
        <row r="6345">
          <cell r="F6345" t="str">
            <v>J2Q0KL2</v>
          </cell>
        </row>
        <row r="6346">
          <cell r="F6346" t="str">
            <v>J2Q1KL2</v>
          </cell>
        </row>
        <row r="6347">
          <cell r="F6347" t="str">
            <v>J2Q4KL2</v>
          </cell>
        </row>
        <row r="6348">
          <cell r="F6348" t="str">
            <v>J2Q6YL2</v>
          </cell>
        </row>
        <row r="6349">
          <cell r="F6349" t="str">
            <v>J2QVVL2</v>
          </cell>
        </row>
        <row r="6350">
          <cell r="F6350" t="str">
            <v>J2S2KL2</v>
          </cell>
        </row>
        <row r="6351">
          <cell r="F6351" t="str">
            <v>J33GL8D</v>
          </cell>
        </row>
        <row r="6352">
          <cell r="F6352" t="str">
            <v>J33GL8K</v>
          </cell>
        </row>
        <row r="6353">
          <cell r="F6353" t="str">
            <v>210235A0HAH14A000177</v>
          </cell>
        </row>
        <row r="6354">
          <cell r="F6354" t="str">
            <v>210235A1DWH149000093</v>
          </cell>
        </row>
        <row r="6355">
          <cell r="F6355" t="str">
            <v>210235A1DWH149000108</v>
          </cell>
        </row>
        <row r="6356">
          <cell r="F6356" t="str">
            <v>210235A1DWH149000117</v>
          </cell>
        </row>
        <row r="6357">
          <cell r="F6357" t="str">
            <v>210235A1DWH149000106</v>
          </cell>
        </row>
        <row r="6358">
          <cell r="F6358" t="str">
            <v>210235A0HAH14A000187</v>
          </cell>
        </row>
        <row r="6359">
          <cell r="F6359" t="str">
            <v>210235A0HAH14A000039</v>
          </cell>
        </row>
        <row r="6360">
          <cell r="F6360" t="str">
            <v>06CT309</v>
          </cell>
        </row>
        <row r="6361">
          <cell r="F6361" t="str">
            <v>06CT293</v>
          </cell>
        </row>
        <row r="6362">
          <cell r="F6362" t="str">
            <v>06CT305</v>
          </cell>
        </row>
        <row r="6363">
          <cell r="F6363" t="str">
            <v>06CT278</v>
          </cell>
        </row>
        <row r="6364">
          <cell r="F6364" t="str">
            <v>J3NZVL2</v>
          </cell>
        </row>
        <row r="6365">
          <cell r="F6365" t="str">
            <v>J3P1KL2</v>
          </cell>
        </row>
        <row r="6366">
          <cell r="F6366" t="str">
            <v>J3P3KL2</v>
          </cell>
        </row>
        <row r="6367">
          <cell r="F6367" t="str">
            <v>J3P5YL2</v>
          </cell>
        </row>
        <row r="6368">
          <cell r="F6368" t="str">
            <v>J3PSVL2</v>
          </cell>
        </row>
        <row r="6369">
          <cell r="F6369" t="str">
            <v>J3PXVL2</v>
          </cell>
        </row>
        <row r="6370">
          <cell r="F6370" t="str">
            <v>J3PZJL2</v>
          </cell>
        </row>
        <row r="6371">
          <cell r="F6371" t="str">
            <v>J3Q0KL2</v>
          </cell>
        </row>
        <row r="6372">
          <cell r="F6372" t="str">
            <v>J3Q2YL2</v>
          </cell>
        </row>
        <row r="6373">
          <cell r="F6373" t="str">
            <v>J3Q3YL2</v>
          </cell>
        </row>
        <row r="6374">
          <cell r="F6374" t="str">
            <v>J3Q5YL2</v>
          </cell>
        </row>
        <row r="6375">
          <cell r="F6375" t="str">
            <v>J3QTVL2</v>
          </cell>
        </row>
        <row r="6376">
          <cell r="F6376" t="str">
            <v>J3QWVL2</v>
          </cell>
        </row>
        <row r="6377">
          <cell r="F6377" t="str">
            <v>J3QYVL2</v>
          </cell>
        </row>
        <row r="6378">
          <cell r="F6378" t="str">
            <v>J3R0WL2</v>
          </cell>
        </row>
        <row r="6379">
          <cell r="F6379" t="str">
            <v>J3R1YL2</v>
          </cell>
        </row>
        <row r="6380">
          <cell r="F6380" t="str">
            <v>J3W4KL2</v>
          </cell>
        </row>
        <row r="6381">
          <cell r="F6381" t="str">
            <v>JB94KL2</v>
          </cell>
        </row>
        <row r="6382">
          <cell r="F6382" t="str">
            <v>JBB5YL2</v>
          </cell>
        </row>
        <row r="6383">
          <cell r="F6383" t="str">
            <v>JBBWVL2</v>
          </cell>
        </row>
        <row r="6384">
          <cell r="F6384" t="str">
            <v>JBC0KL2</v>
          </cell>
        </row>
        <row r="6385">
          <cell r="F6385" t="str">
            <v>JBC3KL2</v>
          </cell>
        </row>
        <row r="6386">
          <cell r="F6386" t="str">
            <v>JBC5YL2</v>
          </cell>
        </row>
        <row r="6387">
          <cell r="F6387" t="str">
            <v>JBC7YL2</v>
          </cell>
        </row>
        <row r="6388">
          <cell r="F6388" t="str">
            <v>JBCYVL2</v>
          </cell>
        </row>
        <row r="6389">
          <cell r="F6389" t="str">
            <v>JBD0WL2</v>
          </cell>
        </row>
        <row r="6390">
          <cell r="F6390" t="str">
            <v>210235A1XCH178000008</v>
          </cell>
        </row>
        <row r="6391">
          <cell r="F6391" t="str">
            <v>210235A1XCH178000014</v>
          </cell>
        </row>
        <row r="6392">
          <cell r="F6392" t="str">
            <v>210235A2D4H177000115</v>
          </cell>
        </row>
        <row r="6393">
          <cell r="F6393" t="str">
            <v>210235A2D4H178000127</v>
          </cell>
        </row>
        <row r="6394">
          <cell r="F6394" t="str">
            <v>J320P3B</v>
          </cell>
        </row>
        <row r="6395">
          <cell r="F6395" t="str">
            <v>J320P3W</v>
          </cell>
        </row>
        <row r="6396">
          <cell r="F6396" t="str">
            <v>J325T76</v>
          </cell>
        </row>
        <row r="6397">
          <cell r="F6397" t="str">
            <v>J325T9L</v>
          </cell>
        </row>
        <row r="6398">
          <cell r="F6398" t="str">
            <v>YD-SW1G-242EE51B0996</v>
          </cell>
        </row>
        <row r="6399">
          <cell r="F6399" t="str">
            <v>YD-SW1G-242EE51B0997</v>
          </cell>
        </row>
        <row r="6400">
          <cell r="F6400" t="str">
            <v>210235AOHAH127000043</v>
          </cell>
        </row>
        <row r="6401">
          <cell r="F6401" t="str">
            <v>210235AOHAH127000073</v>
          </cell>
        </row>
        <row r="6402">
          <cell r="F6402" t="str">
            <v>21156dv</v>
          </cell>
        </row>
        <row r="6403">
          <cell r="F6403" t="str">
            <v>210235A0BJH13C000558</v>
          </cell>
        </row>
        <row r="6404">
          <cell r="F6404" t="str">
            <v>2-1</v>
          </cell>
        </row>
        <row r="6405">
          <cell r="F6405" t="str">
            <v>210235A0BJH13C000145</v>
          </cell>
        </row>
        <row r="6406">
          <cell r="F6406" t="str">
            <v>212997</v>
          </cell>
        </row>
        <row r="6407">
          <cell r="F6407" t="str">
            <v>210235A1QQX179000061</v>
          </cell>
        </row>
        <row r="6408">
          <cell r="F6408" t="str">
            <v>210235A1QQX179000067</v>
          </cell>
        </row>
        <row r="6409">
          <cell r="F6409" t="str">
            <v>210235A0F2X179000017</v>
          </cell>
        </row>
        <row r="6410">
          <cell r="F6410" t="str">
            <v>210235A1G9H178000039</v>
          </cell>
        </row>
        <row r="6411">
          <cell r="F6411" t="str">
            <v>210235A1G9H178000045</v>
          </cell>
        </row>
        <row r="6412">
          <cell r="F6412" t="str">
            <v>9800106400931436</v>
          </cell>
        </row>
        <row r="6413">
          <cell r="F6413" t="str">
            <v>9800106400931427</v>
          </cell>
        </row>
        <row r="6414">
          <cell r="F6414" t="str">
            <v>9800106400931453</v>
          </cell>
        </row>
        <row r="6415">
          <cell r="F6415" t="str">
            <v>J33GTT3</v>
          </cell>
        </row>
        <row r="6416">
          <cell r="F6416" t="str">
            <v>J33GTTL</v>
          </cell>
        </row>
        <row r="6417">
          <cell r="F6417" t="str">
            <v>J33GTTK</v>
          </cell>
        </row>
        <row r="6418">
          <cell r="F6418" t="str">
            <v>J33GTTB</v>
          </cell>
        </row>
        <row r="6419">
          <cell r="F6419" t="str">
            <v>J33GTTT</v>
          </cell>
        </row>
        <row r="6420">
          <cell r="F6420" t="str">
            <v>J33GTTC</v>
          </cell>
        </row>
        <row r="6421">
          <cell r="F6421" t="str">
            <v>J33GTRR</v>
          </cell>
        </row>
        <row r="6422">
          <cell r="F6422" t="str">
            <v>J33GTT5</v>
          </cell>
        </row>
        <row r="6423">
          <cell r="F6423" t="str">
            <v>J33GTRW</v>
          </cell>
        </row>
        <row r="6424">
          <cell r="F6424" t="str">
            <v>J33GTTD</v>
          </cell>
        </row>
        <row r="6425">
          <cell r="F6425" t="str">
            <v>210235A1G9H178000034</v>
          </cell>
        </row>
        <row r="6426">
          <cell r="F6426" t="str">
            <v>9800106400931446</v>
          </cell>
        </row>
        <row r="6427">
          <cell r="F6427" t="str">
            <v>9800106400931463</v>
          </cell>
        </row>
        <row r="6428">
          <cell r="F6428" t="str">
            <v>9800106400931421</v>
          </cell>
        </row>
        <row r="6429">
          <cell r="F6429" t="str">
            <v>9800106400931457</v>
          </cell>
        </row>
        <row r="6430">
          <cell r="F6430" t="str">
            <v>9800106400931420</v>
          </cell>
        </row>
        <row r="6431">
          <cell r="F6431" t="str">
            <v>J33GTT0</v>
          </cell>
        </row>
        <row r="6432">
          <cell r="F6432" t="str">
            <v>J33GTT4</v>
          </cell>
        </row>
        <row r="6433">
          <cell r="F6433" t="str">
            <v>J33GTTA</v>
          </cell>
        </row>
        <row r="6434">
          <cell r="F6434" t="str">
            <v>J33GTRY</v>
          </cell>
        </row>
        <row r="6435">
          <cell r="F6435" t="str">
            <v>J33GTT1</v>
          </cell>
        </row>
        <row r="6436">
          <cell r="F6436" t="str">
            <v>J33GTRT</v>
          </cell>
        </row>
        <row r="6437">
          <cell r="F6437" t="str">
            <v>9800106400931422</v>
          </cell>
        </row>
        <row r="6438">
          <cell r="F6438" t="str">
            <v>9800106400931466</v>
          </cell>
        </row>
        <row r="6439">
          <cell r="F6439" t="str">
            <v>9800106400931425</v>
          </cell>
        </row>
        <row r="6440">
          <cell r="F6440" t="str">
            <v>9800106400931423</v>
          </cell>
        </row>
        <row r="6441">
          <cell r="F6441" t="str">
            <v>9800106400931433</v>
          </cell>
        </row>
        <row r="6442">
          <cell r="F6442" t="str">
            <v>210235A1G9H178000001</v>
          </cell>
        </row>
        <row r="6443">
          <cell r="F6443" t="str">
            <v>9800106400931439</v>
          </cell>
        </row>
        <row r="6444">
          <cell r="F6444" t="str">
            <v>9800106400931432</v>
          </cell>
        </row>
        <row r="6445">
          <cell r="F6445" t="str">
            <v>J33GTTF</v>
          </cell>
        </row>
        <row r="6446">
          <cell r="F6446" t="str">
            <v>J33GTRX</v>
          </cell>
        </row>
        <row r="6447">
          <cell r="F6447" t="str">
            <v>J33GTT6</v>
          </cell>
        </row>
        <row r="6448">
          <cell r="F6448" t="str">
            <v>J33GTTM</v>
          </cell>
        </row>
        <row r="6449">
          <cell r="F6449" t="str">
            <v>J33GTTG</v>
          </cell>
        </row>
        <row r="6450">
          <cell r="F6450" t="str">
            <v>J33GTRV</v>
          </cell>
        </row>
        <row r="6451">
          <cell r="F6451" t="str">
            <v>J33GRZ3</v>
          </cell>
        </row>
        <row r="6452">
          <cell r="F6452" t="str">
            <v>J33GRZ2</v>
          </cell>
        </row>
        <row r="6453">
          <cell r="F6453" t="str">
            <v>J33GRZ4</v>
          </cell>
        </row>
        <row r="6454">
          <cell r="F6454" t="str">
            <v>J33GTT9</v>
          </cell>
        </row>
        <row r="6455">
          <cell r="F6455" t="str">
            <v>J33GTT2</v>
          </cell>
        </row>
        <row r="6456">
          <cell r="F6456" t="str">
            <v>J33GTTN</v>
          </cell>
        </row>
        <row r="6457">
          <cell r="F6457" t="str">
            <v>J33GTTP</v>
          </cell>
        </row>
        <row r="6458">
          <cell r="F6458" t="str">
            <v>9800106400931452</v>
          </cell>
        </row>
        <row r="6459">
          <cell r="F6459" t="str">
            <v>210235A1G9H178000058</v>
          </cell>
        </row>
        <row r="6460">
          <cell r="F6460" t="str">
            <v>9800106400931451</v>
          </cell>
        </row>
        <row r="6461">
          <cell r="F6461" t="str">
            <v>9800106400931426</v>
          </cell>
        </row>
        <row r="6462">
          <cell r="F6462" t="str">
            <v>9800106400931448</v>
          </cell>
        </row>
        <row r="6463">
          <cell r="F6463" t="str">
            <v>9800106400931465</v>
          </cell>
        </row>
        <row r="6464">
          <cell r="F6464" t="str">
            <v>9800106400931461</v>
          </cell>
        </row>
        <row r="6465">
          <cell r="F6465" t="str">
            <v>9800106400931440</v>
          </cell>
        </row>
        <row r="6466">
          <cell r="F6466" t="str">
            <v>9800106400931441</v>
          </cell>
        </row>
        <row r="6467">
          <cell r="F6467" t="str">
            <v>9800106400931462</v>
          </cell>
        </row>
        <row r="6468">
          <cell r="F6468" t="str">
            <v>9800106400931428</v>
          </cell>
        </row>
        <row r="6469">
          <cell r="F6469" t="str">
            <v>9800106400931449</v>
          </cell>
        </row>
        <row r="6470">
          <cell r="F6470" t="str">
            <v>9800106400931444</v>
          </cell>
        </row>
        <row r="6471">
          <cell r="F6471" t="str">
            <v>9800106400931442</v>
          </cell>
        </row>
        <row r="6472">
          <cell r="F6472" t="str">
            <v>9800106400931456</v>
          </cell>
        </row>
        <row r="6473">
          <cell r="F6473" t="str">
            <v>9800106400931445</v>
          </cell>
        </row>
        <row r="6474">
          <cell r="F6474" t="str">
            <v>9800106400931435</v>
          </cell>
        </row>
        <row r="6475">
          <cell r="F6475" t="str">
            <v>9800106400931434</v>
          </cell>
        </row>
        <row r="6476">
          <cell r="F6476" t="str">
            <v>210235A1G9H178000043</v>
          </cell>
        </row>
        <row r="6477">
          <cell r="F6477" t="str">
            <v>J33GTT8</v>
          </cell>
        </row>
        <row r="6478">
          <cell r="F6478" t="str">
            <v>J33GTTH</v>
          </cell>
        </row>
        <row r="6479">
          <cell r="F6479" t="str">
            <v>J33GRX1</v>
          </cell>
        </row>
        <row r="6480">
          <cell r="F6480" t="str">
            <v>J33GTRM</v>
          </cell>
        </row>
        <row r="6481">
          <cell r="F6481" t="str">
            <v>J33GRX2</v>
          </cell>
        </row>
        <row r="6482">
          <cell r="F6482" t="str">
            <v>J33GTRL</v>
          </cell>
        </row>
        <row r="6483">
          <cell r="F6483" t="str">
            <v>J33GTZ0</v>
          </cell>
        </row>
        <row r="6484">
          <cell r="F6484" t="str">
            <v>9800106400931443</v>
          </cell>
        </row>
        <row r="6485">
          <cell r="F6485" t="str">
            <v>9800106400931460</v>
          </cell>
        </row>
        <row r="6486">
          <cell r="F6486" t="str">
            <v>9800106400931437</v>
          </cell>
        </row>
        <row r="6487">
          <cell r="F6487" t="str">
            <v>9800106400931438</v>
          </cell>
        </row>
        <row r="6488">
          <cell r="F6488" t="str">
            <v>9800106400931447</v>
          </cell>
        </row>
        <row r="6489">
          <cell r="F6489" t="str">
            <v>9800106400931430</v>
          </cell>
        </row>
        <row r="6490">
          <cell r="F6490" t="str">
            <v>9800106400931458</v>
          </cell>
        </row>
        <row r="6491">
          <cell r="F6491" t="str">
            <v>9800106400931464</v>
          </cell>
        </row>
        <row r="6492">
          <cell r="F6492" t="str">
            <v>9800106400931454</v>
          </cell>
        </row>
        <row r="6493">
          <cell r="F6493" t="str">
            <v>210235A1G9H178000003</v>
          </cell>
        </row>
        <row r="6494">
          <cell r="F6494" t="str">
            <v>9800106400931418</v>
          </cell>
        </row>
        <row r="6495">
          <cell r="F6495" t="str">
            <v>J33GHKW</v>
          </cell>
        </row>
        <row r="6496">
          <cell r="F6496" t="str">
            <v>J33GRYW</v>
          </cell>
        </row>
        <row r="6497">
          <cell r="F6497" t="str">
            <v>J33GRYX</v>
          </cell>
        </row>
        <row r="6498">
          <cell r="F6498" t="str">
            <v>J33GTTE</v>
          </cell>
        </row>
        <row r="6499">
          <cell r="F6499" t="str">
            <v>J33GTTR</v>
          </cell>
        </row>
        <row r="6500">
          <cell r="F6500" t="str">
            <v>J33GTT7</v>
          </cell>
        </row>
        <row r="6501">
          <cell r="F6501" t="str">
            <v>J33GTRZ</v>
          </cell>
        </row>
        <row r="6502">
          <cell r="F6502" t="str">
            <v>9800106400931450</v>
          </cell>
        </row>
        <row r="6503">
          <cell r="F6503" t="str">
            <v>9800106400931431</v>
          </cell>
        </row>
        <row r="6504">
          <cell r="F6504" t="str">
            <v>9800106400931424</v>
          </cell>
        </row>
        <row r="6505">
          <cell r="F6505" t="str">
            <v>9800106400931455</v>
          </cell>
        </row>
        <row r="6506">
          <cell r="F6506" t="str">
            <v>9800106400931429</v>
          </cell>
        </row>
        <row r="6507">
          <cell r="F6507" t="str">
            <v>9800106400931459</v>
          </cell>
        </row>
        <row r="6508">
          <cell r="F6508" t="str">
            <v>210235A1G9H178000005</v>
          </cell>
        </row>
        <row r="6509">
          <cell r="F6509" t="str">
            <v>J33GRX4</v>
          </cell>
        </row>
        <row r="6510">
          <cell r="F6510" t="str">
            <v>J33GRX3</v>
          </cell>
        </row>
        <row r="6511">
          <cell r="F6511" t="str">
            <v>J33GRX0</v>
          </cell>
        </row>
        <row r="6512">
          <cell r="F6512" t="str">
            <v>J33GRWV</v>
          </cell>
        </row>
        <row r="6513">
          <cell r="F6513" t="str">
            <v>J33GRWY</v>
          </cell>
        </row>
        <row r="6514">
          <cell r="F6514" t="str">
            <v>J33GRWZ</v>
          </cell>
        </row>
        <row r="6515">
          <cell r="F6515" t="str">
            <v>J33GRWW</v>
          </cell>
        </row>
        <row r="6516">
          <cell r="F6516" t="str">
            <v>J33GRWX</v>
          </cell>
        </row>
        <row r="6517">
          <cell r="F6517" t="str">
            <v>J33GRYY</v>
          </cell>
        </row>
        <row r="6518">
          <cell r="F6518" t="str">
            <v>J33GRYZ</v>
          </cell>
        </row>
        <row r="6519">
          <cell r="F6519" t="str">
            <v>J33GRZ1</v>
          </cell>
        </row>
        <row r="6520">
          <cell r="F6520" t="str">
            <v>J33GRZ0</v>
          </cell>
        </row>
        <row r="6521">
          <cell r="F6521" t="str">
            <v>210235A1MKH176000020</v>
          </cell>
        </row>
        <row r="6522">
          <cell r="F6522" t="str">
            <v>210235A1MKH176000057</v>
          </cell>
        </row>
        <row r="6523">
          <cell r="F6523" t="str">
            <v>9800106600931680</v>
          </cell>
        </row>
        <row r="6524">
          <cell r="F6524" t="str">
            <v>9800106600931681</v>
          </cell>
        </row>
        <row r="6525">
          <cell r="F6525" t="str">
            <v>9800106600931683</v>
          </cell>
        </row>
        <row r="6526">
          <cell r="F6526" t="str">
            <v>9800106600931682</v>
          </cell>
        </row>
        <row r="6527">
          <cell r="F6527" t="str">
            <v>9800075800932174</v>
          </cell>
        </row>
        <row r="6528">
          <cell r="F6528" t="str">
            <v>9800075800932175</v>
          </cell>
        </row>
        <row r="6529">
          <cell r="F6529" t="str">
            <v>0010F37F2DE0</v>
          </cell>
        </row>
        <row r="6530">
          <cell r="F6530" t="str">
            <v>0010F371C26C</v>
          </cell>
        </row>
        <row r="6531">
          <cell r="F6531" t="str">
            <v>0010F36FBAD82800</v>
          </cell>
        </row>
        <row r="6532">
          <cell r="F6532" t="str">
            <v>0010F36FBAD42800</v>
          </cell>
        </row>
        <row r="6533">
          <cell r="F6533" t="str">
            <v>SM2014050037</v>
          </cell>
        </row>
        <row r="6534">
          <cell r="F6534" t="str">
            <v>2102310NPS10F2000001/21S401736010F2000004</v>
          </cell>
        </row>
        <row r="6535">
          <cell r="F6535" t="str">
            <v>210235A2CR6211F000CV</v>
          </cell>
        </row>
        <row r="6536">
          <cell r="F6536" t="str">
            <v>210235A2CR6211F000D4</v>
          </cell>
        </row>
        <row r="6537">
          <cell r="F6537" t="str">
            <v>210235A2CR6211F000D3</v>
          </cell>
        </row>
        <row r="6538">
          <cell r="F6538" t="str">
            <v>210235A2CR6211F000C2</v>
          </cell>
        </row>
        <row r="6539">
          <cell r="F6539" t="str">
            <v>210235A2CR6211F000D2</v>
          </cell>
        </row>
        <row r="6540">
          <cell r="F6540" t="str">
            <v>210235A2CR6211F000D1</v>
          </cell>
        </row>
        <row r="6541">
          <cell r="F6541" t="str">
            <v>210235A2CR6211F000CK</v>
          </cell>
        </row>
        <row r="6542">
          <cell r="F6542" t="str">
            <v>210235A2CR6211F000C6</v>
          </cell>
        </row>
        <row r="6543">
          <cell r="F6543" t="str">
            <v>210235A2CR6211F000D5</v>
          </cell>
        </row>
        <row r="6544">
          <cell r="F6544" t="str">
            <v>210235A2CR6211F000C7</v>
          </cell>
        </row>
        <row r="6545">
          <cell r="F6545" t="str">
            <v>210235A2CR6211F000CM</v>
          </cell>
        </row>
        <row r="6546">
          <cell r="F6546" t="str">
            <v>210235A2CR6211F000CN</v>
          </cell>
        </row>
        <row r="6547">
          <cell r="F6547" t="str">
            <v>210235A2CR6211F000C3</v>
          </cell>
        </row>
        <row r="6548">
          <cell r="F6548" t="str">
            <v>210235A2CR6211F000BZ</v>
          </cell>
        </row>
        <row r="6549">
          <cell r="F6549" t="str">
            <v>210235A2CR6211F000C4</v>
          </cell>
        </row>
        <row r="6550">
          <cell r="F6550" t="str">
            <v>210235A2CR6211F000CR</v>
          </cell>
        </row>
        <row r="6551">
          <cell r="F6551" t="str">
            <v>210235A2CR6211F000BQ</v>
          </cell>
        </row>
        <row r="6552">
          <cell r="F6552" t="str">
            <v>210235A2CR6211F000CW</v>
          </cell>
        </row>
        <row r="6553">
          <cell r="F6553" t="str">
            <v>210235A2CR6211F000CJ</v>
          </cell>
        </row>
        <row r="6554">
          <cell r="F6554" t="str">
            <v>210235A2CR6211F000C5</v>
          </cell>
        </row>
        <row r="6555">
          <cell r="F6555" t="str">
            <v>210235A2CR6211F000CT</v>
          </cell>
        </row>
        <row r="6556">
          <cell r="F6556" t="str">
            <v>210235A2CR6211F000BW</v>
          </cell>
        </row>
        <row r="6557">
          <cell r="F6557" t="str">
            <v>210235A2CR6211F000CP</v>
          </cell>
        </row>
        <row r="6558">
          <cell r="F6558" t="str">
            <v>210235A2CR6211F000BT</v>
          </cell>
        </row>
        <row r="6559">
          <cell r="F6559" t="str">
            <v>210235A2CR6211F000CS</v>
          </cell>
        </row>
        <row r="6560">
          <cell r="F6560" t="str">
            <v>210235A2CR6211F000BV</v>
          </cell>
        </row>
        <row r="6561">
          <cell r="F6561" t="str">
            <v>210235A2CR6211F000CQ</v>
          </cell>
        </row>
        <row r="6562">
          <cell r="F6562" t="str">
            <v>210235A2CR6211F000BS</v>
          </cell>
        </row>
        <row r="6563">
          <cell r="F6563" t="str">
            <v>210235A2CR6211F000BN</v>
          </cell>
        </row>
        <row r="6564">
          <cell r="F6564" t="str">
            <v>210235A2CR6211F000BR</v>
          </cell>
        </row>
        <row r="6565">
          <cell r="F6565" t="str">
            <v>210235A2CR6211F000BL</v>
          </cell>
        </row>
        <row r="6566">
          <cell r="F6566" t="str">
            <v>210235A2CR6211F000CF</v>
          </cell>
        </row>
        <row r="6567">
          <cell r="F6567" t="str">
            <v>210235A2CR6211F000BX</v>
          </cell>
        </row>
        <row r="6568">
          <cell r="F6568" t="str">
            <v>210235A2CR6211F000CB</v>
          </cell>
        </row>
        <row r="6569">
          <cell r="F6569" t="str">
            <v>210235A2CR6211F000C0</v>
          </cell>
        </row>
        <row r="6570">
          <cell r="F6570" t="str">
            <v>210235A2CR6211F000C1</v>
          </cell>
        </row>
        <row r="6571">
          <cell r="F6571" t="str">
            <v>210235A2CR6211F000CX</v>
          </cell>
        </row>
        <row r="6572">
          <cell r="F6572" t="str">
            <v>210235A2CR6211F000CG</v>
          </cell>
        </row>
        <row r="6573">
          <cell r="F6573" t="str">
            <v>210235A2CR6211F000C9</v>
          </cell>
        </row>
        <row r="6574">
          <cell r="F6574" t="str">
            <v>210235A2CR6211F000C8</v>
          </cell>
        </row>
        <row r="6575">
          <cell r="F6575" t="str">
            <v>210235A2CR6211F000BX</v>
          </cell>
        </row>
        <row r="6576">
          <cell r="F6576" t="str">
            <v>210235A2CR6211F000D6</v>
          </cell>
        </row>
        <row r="6577">
          <cell r="F6577" t="str">
            <v>210235A2CR6211F000BY</v>
          </cell>
        </row>
        <row r="6578">
          <cell r="F6578" t="str">
            <v>210235A2CR6211F000D0</v>
          </cell>
        </row>
        <row r="6579">
          <cell r="F6579" t="str">
            <v>210235A2CR6211F000CZ</v>
          </cell>
        </row>
        <row r="6580">
          <cell r="F6580" t="str">
            <v>210235A2CR6211F000CH</v>
          </cell>
        </row>
        <row r="6581">
          <cell r="F6581" t="str">
            <v>210235A2CR6211F000CD</v>
          </cell>
        </row>
        <row r="6582">
          <cell r="F6582" t="str">
            <v>210235A2CR6211F000CY</v>
          </cell>
        </row>
        <row r="6583">
          <cell r="F6583" t="str">
            <v>210235A2CR6211F000BM</v>
          </cell>
        </row>
        <row r="6584">
          <cell r="F6584" t="str">
            <v>210235A2CR6211F000BP</v>
          </cell>
        </row>
        <row r="6585">
          <cell r="F6585" t="str">
            <v>210235A2CR6211F000CC</v>
          </cell>
        </row>
        <row r="6586">
          <cell r="F6586" t="str">
            <v>210235A2CR6211F000CL</v>
          </cell>
        </row>
        <row r="6587">
          <cell r="F6587" t="str">
            <v>210235A2CT6211F0004Z</v>
          </cell>
        </row>
        <row r="6588">
          <cell r="F6588" t="str">
            <v>210235A2CT6211F00050</v>
          </cell>
        </row>
        <row r="6589">
          <cell r="F6589" t="str">
            <v>210235A2CT6211F00051</v>
          </cell>
        </row>
        <row r="6590">
          <cell r="F6590" t="str">
            <v>210235A2CT6211F0004V</v>
          </cell>
        </row>
        <row r="6591">
          <cell r="F6591" t="str">
            <v>210235A2CT6211F0004Y</v>
          </cell>
        </row>
        <row r="6592">
          <cell r="F6592" t="str">
            <v>210235A2CT6211F0004T</v>
          </cell>
        </row>
        <row r="6593">
          <cell r="F6593" t="str">
            <v>210235A2CT6211F0004X</v>
          </cell>
        </row>
        <row r="6594">
          <cell r="F6594" t="str">
            <v>210235A2CT6211F0004W</v>
          </cell>
        </row>
        <row r="6595">
          <cell r="F6595" t="str">
            <v>P7854F38</v>
          </cell>
        </row>
        <row r="6596">
          <cell r="F6596" t="str">
            <v>P7854F68</v>
          </cell>
        </row>
        <row r="6597">
          <cell r="F6597" t="str">
            <v>210235A2CR6211F000D7</v>
          </cell>
        </row>
        <row r="6598">
          <cell r="F6598" t="str">
            <v>210235A2CR6211F000D8</v>
          </cell>
        </row>
        <row r="6599">
          <cell r="F6599" t="str">
            <v>210235A2CR6211F000BG</v>
          </cell>
        </row>
        <row r="6600">
          <cell r="F6600" t="str">
            <v>210235A2CR6211F000BH</v>
          </cell>
        </row>
        <row r="6601">
          <cell r="F6601" t="str">
            <v>210235A2CR6211F000BC</v>
          </cell>
        </row>
        <row r="6602">
          <cell r="F6602" t="str">
            <v>210235A2CR6211F000BJ</v>
          </cell>
        </row>
        <row r="6603">
          <cell r="F6603" t="str">
            <v>210235A2CR6211F000BD</v>
          </cell>
        </row>
        <row r="6604">
          <cell r="F6604" t="str">
            <v>210235A2CR6211F000BF</v>
          </cell>
        </row>
        <row r="6605">
          <cell r="F6605" t="str">
            <v>2102353GWS10LC000011
210235APJ10LC000021</v>
          </cell>
        </row>
        <row r="6606">
          <cell r="F6606" t="str">
            <v>2102353GWS10LC000010
210235APJ10LC000022</v>
          </cell>
        </row>
        <row r="6607">
          <cell r="F6607" t="str">
            <v>221330606</v>
          </cell>
        </row>
        <row r="6608">
          <cell r="F6608" t="str">
            <v>221330605</v>
          </cell>
        </row>
        <row r="6609">
          <cell r="F6609" t="str">
            <v>TYZJ21D10088</v>
          </cell>
        </row>
        <row r="6610">
          <cell r="F6610" t="str">
            <v>TYZJ21D10089</v>
          </cell>
        </row>
        <row r="6611">
          <cell r="F6611" t="str">
            <v>221305849</v>
          </cell>
        </row>
        <row r="6612">
          <cell r="F6612" t="str">
            <v>TYZJ21D100090</v>
          </cell>
        </row>
        <row r="6613">
          <cell r="F6613" t="str">
            <v>210235A2CJH20C001342</v>
          </cell>
        </row>
        <row r="6614">
          <cell r="F6614" t="str">
            <v>210235A2CJH20C001283</v>
          </cell>
        </row>
        <row r="6615">
          <cell r="F6615" t="str">
            <v>210235A2CJH20C001377</v>
          </cell>
        </row>
        <row r="6616">
          <cell r="F6616" t="str">
            <v>210235A2CJH20C001249</v>
          </cell>
        </row>
        <row r="6617">
          <cell r="F6617" t="str">
            <v>210235A2CJH20C001330</v>
          </cell>
        </row>
        <row r="6618">
          <cell r="F6618" t="str">
            <v>210235A2CJH20C001116</v>
          </cell>
        </row>
        <row r="6619">
          <cell r="F6619" t="str">
            <v>210235A2CJH20C001245</v>
          </cell>
        </row>
        <row r="6620">
          <cell r="F6620" t="str">
            <v>210235A2CJH20C001354</v>
          </cell>
        </row>
        <row r="6621">
          <cell r="F6621" t="str">
            <v>210235A2CJH20C001329</v>
          </cell>
        </row>
        <row r="6622">
          <cell r="F6622" t="str">
            <v>210235A2CJH20C001365</v>
          </cell>
        </row>
        <row r="6623">
          <cell r="F6623" t="str">
            <v>210235A2CJH20C001340</v>
          </cell>
        </row>
        <row r="6624">
          <cell r="F6624" t="str">
            <v>无</v>
          </cell>
        </row>
        <row r="6625">
          <cell r="F6625" t="str">
            <v>无</v>
          </cell>
        </row>
        <row r="6626">
          <cell r="F6626" t="str">
            <v>无</v>
          </cell>
        </row>
        <row r="6627">
          <cell r="F6627" t="str">
            <v>无</v>
          </cell>
        </row>
        <row r="6628">
          <cell r="F6628" t="str">
            <v>无</v>
          </cell>
        </row>
        <row r="6629">
          <cell r="F6629" t="str">
            <v>0210303201121</v>
          </cell>
        </row>
        <row r="6630">
          <cell r="F6630" t="str">
            <v>0210303201138</v>
          </cell>
        </row>
        <row r="6631">
          <cell r="F6631" t="str">
            <v>0210303201145</v>
          </cell>
        </row>
        <row r="6632">
          <cell r="F6632" t="str">
            <v>0210303201169</v>
          </cell>
        </row>
        <row r="6633">
          <cell r="F6633" t="str">
            <v>0210303201152</v>
          </cell>
        </row>
        <row r="6634">
          <cell r="F6634" t="str">
            <v>0210303201114</v>
          </cell>
        </row>
        <row r="6635">
          <cell r="F6635" t="str">
            <v>0210303201190</v>
          </cell>
        </row>
        <row r="6636">
          <cell r="F6636" t="str">
            <v>0210303201206</v>
          </cell>
        </row>
        <row r="6637">
          <cell r="F6637" t="str">
            <v>0210303201213</v>
          </cell>
        </row>
        <row r="6638">
          <cell r="F6638" t="str">
            <v>819216333</v>
          </cell>
        </row>
        <row r="6639">
          <cell r="F6639" t="str">
            <v>819216337</v>
          </cell>
        </row>
        <row r="6640">
          <cell r="F6640" t="str">
            <v>202005190047</v>
          </cell>
        </row>
        <row r="6641">
          <cell r="F6641" t="str">
            <v>219801A6E5523CR00105</v>
          </cell>
        </row>
        <row r="6642">
          <cell r="F6642" t="str">
            <v>219801A6E5523CR00027</v>
          </cell>
        </row>
        <row r="6643">
          <cell r="F6643" t="str">
            <v>219801A6E5523CR00103</v>
          </cell>
        </row>
        <row r="6644">
          <cell r="F6644" t="str">
            <v>219801A6E5523CR00088</v>
          </cell>
        </row>
        <row r="6645">
          <cell r="F6645" t="str">
            <v>219801A6E5523CR00122</v>
          </cell>
        </row>
        <row r="6646">
          <cell r="F6646" t="str">
            <v>219801A6E5523CR00125</v>
          </cell>
        </row>
        <row r="6647">
          <cell r="F6647" t="str">
            <v>219801A6E5523CR00123</v>
          </cell>
        </row>
        <row r="6648">
          <cell r="F6648" t="str">
            <v>219801A6E5523CR00165</v>
          </cell>
        </row>
        <row r="6649">
          <cell r="F6649" t="str">
            <v>219801A6E7523CR00012</v>
          </cell>
        </row>
        <row r="6650">
          <cell r="F6650" t="str">
            <v>219801A6E5523CR00046</v>
          </cell>
        </row>
        <row r="6651">
          <cell r="F6651" t="str">
            <v>219801A6E5523CR00044</v>
          </cell>
        </row>
        <row r="6652">
          <cell r="F6652" t="str">
            <v>219801A6E5523CR00095</v>
          </cell>
        </row>
        <row r="6653">
          <cell r="F6653" t="str">
            <v>219801A6E4523CR00012</v>
          </cell>
        </row>
        <row r="6654">
          <cell r="F6654" t="str">
            <v>219801A6E5523CR00160</v>
          </cell>
        </row>
        <row r="6655">
          <cell r="F6655" t="str">
            <v>219801A6E7523CR00010</v>
          </cell>
        </row>
        <row r="6656">
          <cell r="F6656" t="str">
            <v>219801A6E5523CR00093</v>
          </cell>
        </row>
        <row r="6657">
          <cell r="F6657" t="str">
            <v>219801A6E5523CR00107</v>
          </cell>
        </row>
        <row r="6658">
          <cell r="F6658" t="str">
            <v>219801A6E5523CR00079</v>
          </cell>
        </row>
        <row r="6659">
          <cell r="F6659" t="str">
            <v>219801A6E5523CR00047</v>
          </cell>
        </row>
        <row r="6660">
          <cell r="F6660" t="str">
            <v>219801A6E5523CR00145</v>
          </cell>
        </row>
        <row r="6661">
          <cell r="F6661" t="str">
            <v>219801A6E4523CR00028</v>
          </cell>
        </row>
        <row r="6662">
          <cell r="F6662" t="str">
            <v>219801A6E4523CR00008</v>
          </cell>
        </row>
        <row r="6663">
          <cell r="F6663" t="str">
            <v>219801A6E5523CR00152</v>
          </cell>
        </row>
        <row r="6664">
          <cell r="F6664" t="str">
            <v>219801A6E5523CR00130</v>
          </cell>
        </row>
        <row r="6665">
          <cell r="F6665" t="str">
            <v>219801A6E5523CR00148</v>
          </cell>
        </row>
        <row r="6666">
          <cell r="F6666" t="str">
            <v>219801A6E5523CR00037</v>
          </cell>
        </row>
        <row r="6667">
          <cell r="F6667" t="str">
            <v>219801A6E5523CR00010</v>
          </cell>
        </row>
        <row r="6668">
          <cell r="F6668" t="str">
            <v>219801A6E5523CR00124</v>
          </cell>
        </row>
        <row r="6669">
          <cell r="F6669" t="str">
            <v>219801A6E5523CR00036</v>
          </cell>
        </row>
        <row r="6670">
          <cell r="F6670" t="str">
            <v>219801A6E5523CR00035</v>
          </cell>
        </row>
        <row r="6671">
          <cell r="F6671" t="str">
            <v>219801A6E4523CR00010</v>
          </cell>
        </row>
        <row r="6672">
          <cell r="F6672" t="str">
            <v>219801A6E5523CR00071</v>
          </cell>
        </row>
        <row r="6673">
          <cell r="F6673" t="str">
            <v>219801A6E4523CR00011</v>
          </cell>
        </row>
        <row r="6674">
          <cell r="F6674" t="str">
            <v>219801A6E4523CR00004</v>
          </cell>
        </row>
        <row r="6675">
          <cell r="F6675" t="str">
            <v>219801A6E5523CR00038</v>
          </cell>
        </row>
        <row r="6676">
          <cell r="F6676" t="str">
            <v>219801A6E5523CR00034</v>
          </cell>
        </row>
        <row r="6677">
          <cell r="F6677" t="str">
            <v>219801A6E5523CR00111</v>
          </cell>
        </row>
        <row r="6678">
          <cell r="F6678" t="str">
            <v>219801A6E5523CR00151</v>
          </cell>
        </row>
        <row r="6679">
          <cell r="F6679" t="str">
            <v>219801A6E5523CR00155</v>
          </cell>
        </row>
        <row r="6680">
          <cell r="F6680" t="str">
            <v>219801A6E5523CR00127</v>
          </cell>
        </row>
        <row r="6681">
          <cell r="F6681" t="str">
            <v>219801A6E5523CR00019</v>
          </cell>
        </row>
        <row r="6682">
          <cell r="F6682" t="str">
            <v>219801A6E5523CR00017</v>
          </cell>
        </row>
        <row r="6683">
          <cell r="F6683" t="str">
            <v>219801A6E5523CR00084</v>
          </cell>
        </row>
        <row r="6684">
          <cell r="F6684" t="str">
            <v>219801A6E5523CR00118</v>
          </cell>
        </row>
        <row r="6685">
          <cell r="F6685" t="str">
            <v>219801A6E5523CR00174</v>
          </cell>
        </row>
        <row r="6686">
          <cell r="F6686" t="str">
            <v>219801A6E5523CR00070</v>
          </cell>
        </row>
        <row r="6687">
          <cell r="F6687" t="str">
            <v>219801A6E5523CR00076</v>
          </cell>
        </row>
        <row r="6688">
          <cell r="F6688" t="str">
            <v>219801A6E5523CR00149</v>
          </cell>
        </row>
        <row r="6689">
          <cell r="F6689" t="str">
            <v>219801A6E5523CR00050</v>
          </cell>
        </row>
        <row r="6690">
          <cell r="F6690" t="str">
            <v>219801A6E4523CR00031</v>
          </cell>
        </row>
        <row r="6691">
          <cell r="F6691" t="str">
            <v>219801A6E5523CR00073</v>
          </cell>
        </row>
        <row r="6692">
          <cell r="F6692" t="str">
            <v>219801A6E5523CR00082</v>
          </cell>
        </row>
        <row r="6693">
          <cell r="F6693" t="str">
            <v>219801A6E5523CR00059</v>
          </cell>
        </row>
        <row r="6694">
          <cell r="F6694" t="str">
            <v>219801A6E4523CR00026</v>
          </cell>
        </row>
        <row r="6695">
          <cell r="F6695" t="str">
            <v>219801A6E5523CR00115</v>
          </cell>
        </row>
        <row r="6696">
          <cell r="F6696" t="str">
            <v>219801A6E5523CR00116</v>
          </cell>
        </row>
        <row r="6697">
          <cell r="F6697" t="str">
            <v>219801A6E5523CR00117</v>
          </cell>
        </row>
        <row r="6698">
          <cell r="F6698" t="str">
            <v>219801A6E5523CR00061</v>
          </cell>
        </row>
        <row r="6699">
          <cell r="F6699" t="str">
            <v>219801A6E5523CR00108</v>
          </cell>
        </row>
        <row r="6700">
          <cell r="F6700" t="str">
            <v>219801A6E5523CR00102</v>
          </cell>
        </row>
        <row r="6701">
          <cell r="F6701" t="str">
            <v>219801A6E5523CR00162</v>
          </cell>
        </row>
        <row r="6702">
          <cell r="F6702" t="str">
            <v>219801A6E5523CR00087</v>
          </cell>
        </row>
        <row r="6703">
          <cell r="F6703" t="str">
            <v>219801A6E5523CR00042</v>
          </cell>
        </row>
        <row r="6704">
          <cell r="F6704" t="str">
            <v>219801A6E5523CR00056</v>
          </cell>
        </row>
        <row r="6705">
          <cell r="F6705" t="str">
            <v>219801A6E5523CR00023</v>
          </cell>
        </row>
        <row r="6706">
          <cell r="F6706" t="str">
            <v>219801A6E5523CR00097</v>
          </cell>
        </row>
        <row r="6707">
          <cell r="F6707" t="str">
            <v>219801A6E5523CR00068</v>
          </cell>
        </row>
        <row r="6708">
          <cell r="F6708" t="str">
            <v>219801A6E5523CR00141</v>
          </cell>
        </row>
        <row r="6709">
          <cell r="F6709" t="str">
            <v>219801A6E5523CR00091</v>
          </cell>
        </row>
        <row r="6710">
          <cell r="F6710" t="str">
            <v>219801A6E4523CR00016</v>
          </cell>
        </row>
        <row r="6711">
          <cell r="F6711" t="str">
            <v>219801A6E5523CR00074</v>
          </cell>
        </row>
        <row r="6712">
          <cell r="F6712" t="str">
            <v>219801A6E4523CR00014</v>
          </cell>
        </row>
        <row r="6713">
          <cell r="F6713" t="str">
            <v>219801A6E5523CR00112</v>
          </cell>
        </row>
        <row r="6714">
          <cell r="F6714" t="str">
            <v>219801A6E5523CR00172</v>
          </cell>
        </row>
        <row r="6715">
          <cell r="F6715" t="str">
            <v>219801A6E4523CR00019</v>
          </cell>
        </row>
        <row r="6716">
          <cell r="F6716" t="str">
            <v>219801A6E7523CR00006</v>
          </cell>
        </row>
        <row r="6717">
          <cell r="F6717" t="str">
            <v>219801A6E5523CR00006</v>
          </cell>
        </row>
        <row r="6718">
          <cell r="F6718" t="str">
            <v>219801A6E4523CR00002</v>
          </cell>
        </row>
        <row r="6719">
          <cell r="F6719" t="str">
            <v>219801A6E5523CR00113</v>
          </cell>
        </row>
        <row r="6720">
          <cell r="F6720" t="str">
            <v>219801A6E5523CR00104</v>
          </cell>
        </row>
        <row r="6721">
          <cell r="F6721" t="str">
            <v>219801A6E5523CR00007</v>
          </cell>
        </row>
        <row r="6722">
          <cell r="F6722" t="str">
            <v>219801A6E5523CR00094</v>
          </cell>
        </row>
        <row r="6723">
          <cell r="F6723" t="str">
            <v>219801A6E5523CR00029</v>
          </cell>
        </row>
        <row r="6724">
          <cell r="F6724" t="str">
            <v>219801A6E5523CR00028</v>
          </cell>
        </row>
        <row r="6725">
          <cell r="F6725" t="str">
            <v>219801A6E5523CR00040</v>
          </cell>
        </row>
        <row r="6726">
          <cell r="F6726" t="str">
            <v>219801A6E5523CR00158</v>
          </cell>
        </row>
        <row r="6727">
          <cell r="F6727" t="str">
            <v>219801A6E5523CR00060</v>
          </cell>
        </row>
        <row r="6728">
          <cell r="F6728" t="str">
            <v>219801A6E5523CR00008</v>
          </cell>
        </row>
        <row r="6729">
          <cell r="F6729" t="str">
            <v>219801A6E5523CR00012</v>
          </cell>
        </row>
        <row r="6730">
          <cell r="F6730" t="str">
            <v>219801A6E5523CR00077</v>
          </cell>
        </row>
        <row r="6731">
          <cell r="F6731" t="str">
            <v>219801A6E5523CR00163</v>
          </cell>
        </row>
        <row r="6732">
          <cell r="F6732" t="str">
            <v>219801A6E5523CR00138</v>
          </cell>
        </row>
        <row r="6733">
          <cell r="F6733" t="str">
            <v>219801A6E5523CR00022</v>
          </cell>
        </row>
        <row r="6734">
          <cell r="F6734" t="str">
            <v>219801A6E5523CR00003</v>
          </cell>
        </row>
        <row r="6735">
          <cell r="F6735" t="str">
            <v>219801A6E5523CR00089</v>
          </cell>
        </row>
        <row r="6736">
          <cell r="F6736" t="str">
            <v>219801A6E5523CR00063</v>
          </cell>
        </row>
        <row r="6737">
          <cell r="F6737" t="str">
            <v>219801A6E5523CR00092</v>
          </cell>
        </row>
        <row r="6738">
          <cell r="F6738" t="str">
            <v>219801A6E4523CR00003</v>
          </cell>
        </row>
        <row r="6739">
          <cell r="F6739" t="str">
            <v>219801A6E5523CR00013</v>
          </cell>
        </row>
        <row r="6740">
          <cell r="F6740" t="str">
            <v>219801A6E5523CR00161</v>
          </cell>
        </row>
        <row r="6741">
          <cell r="F6741" t="str">
            <v>219801A6E5523CR00083</v>
          </cell>
        </row>
        <row r="6742">
          <cell r="F6742" t="str">
            <v>219801A6E5523CR00169</v>
          </cell>
        </row>
        <row r="6743">
          <cell r="F6743" t="str">
            <v>219801A6E5523CR00146</v>
          </cell>
        </row>
        <row r="6744">
          <cell r="F6744" t="str">
            <v>219801A6E5523CR00009</v>
          </cell>
        </row>
        <row r="6745">
          <cell r="F6745" t="str">
            <v>219801A6E7523CR00001</v>
          </cell>
        </row>
        <row r="6746">
          <cell r="F6746" t="str">
            <v>219801A6E5523CR00031</v>
          </cell>
        </row>
        <row r="6747">
          <cell r="F6747" t="str">
            <v>219801A6E5523CR00119</v>
          </cell>
        </row>
        <row r="6748">
          <cell r="F6748" t="str">
            <v>219801A6E7523CR00005</v>
          </cell>
        </row>
        <row r="6749">
          <cell r="F6749" t="str">
            <v>219801A6E5523CR00052</v>
          </cell>
        </row>
        <row r="6750">
          <cell r="F6750" t="str">
            <v>219801A6E5523CR00030</v>
          </cell>
        </row>
        <row r="6751">
          <cell r="F6751" t="str">
            <v>219801A6E5523CR00099</v>
          </cell>
        </row>
        <row r="6752">
          <cell r="F6752" t="str">
            <v>219801A6E5523CR00100</v>
          </cell>
        </row>
        <row r="6753">
          <cell r="F6753" t="str">
            <v>219801A6E5523CR00150</v>
          </cell>
        </row>
        <row r="6754">
          <cell r="F6754" t="str">
            <v>219801A6E5523CR00114</v>
          </cell>
        </row>
        <row r="6755">
          <cell r="F6755" t="str">
            <v>219801A6E4523CR00017</v>
          </cell>
        </row>
        <row r="6756">
          <cell r="F6756" t="str">
            <v>219801A6E5523CR00139</v>
          </cell>
        </row>
        <row r="6757">
          <cell r="F6757" t="str">
            <v>219801A6E5523CR00041</v>
          </cell>
        </row>
        <row r="6758">
          <cell r="F6758" t="str">
            <v>219801A6E5523CR00137</v>
          </cell>
        </row>
        <row r="6759">
          <cell r="F6759" t="str">
            <v>219801A6E5523CR00024</v>
          </cell>
        </row>
        <row r="6760">
          <cell r="F6760" t="str">
            <v>219801A6E5523CR00075</v>
          </cell>
        </row>
        <row r="6761">
          <cell r="F6761" t="str">
            <v>219801A6E5523CR00157</v>
          </cell>
        </row>
        <row r="6762">
          <cell r="F6762" t="str">
            <v>219801A6E5523CR00021</v>
          </cell>
        </row>
        <row r="6763">
          <cell r="F6763" t="str">
            <v>219801A6E5523CR00101</v>
          </cell>
        </row>
        <row r="6764">
          <cell r="F6764" t="str">
            <v>219801A6E5523CR00069</v>
          </cell>
        </row>
        <row r="6765">
          <cell r="F6765" t="str">
            <v>219801A6E5523CR00168</v>
          </cell>
        </row>
        <row r="6766">
          <cell r="F6766" t="str">
            <v>219801A6E5523CR00020</v>
          </cell>
        </row>
        <row r="6767">
          <cell r="F6767" t="str">
            <v>219801A64E523CR00022</v>
          </cell>
        </row>
        <row r="6768">
          <cell r="F6768" t="str">
            <v>219801A6E5523CR00054</v>
          </cell>
        </row>
        <row r="6769">
          <cell r="F6769" t="str">
            <v>219801A6E5523CR00055</v>
          </cell>
        </row>
        <row r="6770">
          <cell r="F6770" t="str">
            <v>219801A6E4523CH00020</v>
          </cell>
        </row>
        <row r="6771">
          <cell r="F6771" t="str">
            <v>219801A6E4523CR00029</v>
          </cell>
        </row>
        <row r="6772">
          <cell r="F6772" t="str">
            <v>219801A6E4523CR00015</v>
          </cell>
        </row>
        <row r="6773">
          <cell r="F6773" t="str">
            <v>219801A6E5523CR00171</v>
          </cell>
        </row>
        <row r="6774">
          <cell r="F6774" t="str">
            <v>219801A6E4523CR00032</v>
          </cell>
        </row>
        <row r="6775">
          <cell r="F6775" t="str">
            <v>219801A6E5523CR00086</v>
          </cell>
        </row>
        <row r="6776">
          <cell r="F6776" t="str">
            <v>219801A6E5523CR00173</v>
          </cell>
        </row>
        <row r="6777">
          <cell r="F6777" t="str">
            <v>219801A6E7523CR00002</v>
          </cell>
        </row>
        <row r="6778">
          <cell r="F6778" t="str">
            <v>219801A6E7523CR00011</v>
          </cell>
        </row>
        <row r="6779">
          <cell r="F6779" t="str">
            <v>219801A6E4523CR00023</v>
          </cell>
        </row>
        <row r="6780">
          <cell r="F6780" t="str">
            <v>219801A6E6523CR00001</v>
          </cell>
        </row>
        <row r="6781">
          <cell r="F6781" t="str">
            <v>219801A6E5523CR00090</v>
          </cell>
        </row>
        <row r="6782">
          <cell r="F6782" t="str">
            <v>219801A6E5523CR00154</v>
          </cell>
        </row>
        <row r="6783">
          <cell r="F6783" t="str">
            <v>219801A6E7523CR00003</v>
          </cell>
        </row>
        <row r="6784">
          <cell r="F6784" t="str">
            <v>219801A6E5523CR00153</v>
          </cell>
        </row>
        <row r="6785">
          <cell r="F6785" t="str">
            <v>219801A6E5523CR00058</v>
          </cell>
        </row>
        <row r="6786">
          <cell r="F6786" t="str">
            <v>219801A6E5523CR00080</v>
          </cell>
        </row>
        <row r="6787">
          <cell r="F6787" t="str">
            <v>219801A6E5523CR00131</v>
          </cell>
        </row>
        <row r="6788">
          <cell r="F6788" t="str">
            <v>219801A6E5523CR00136</v>
          </cell>
        </row>
        <row r="6789">
          <cell r="F6789" t="str">
            <v>219801A6E4523CR00030</v>
          </cell>
        </row>
        <row r="6790">
          <cell r="F6790" t="str">
            <v>219801A6E5523CR00128</v>
          </cell>
        </row>
        <row r="6791">
          <cell r="F6791" t="str">
            <v>219801A6E5523CR00135</v>
          </cell>
        </row>
        <row r="6792">
          <cell r="F6792" t="str">
            <v>219801A6E5523CR00072</v>
          </cell>
        </row>
        <row r="6793">
          <cell r="F6793" t="str">
            <v>219801A6E4523CR00013</v>
          </cell>
        </row>
        <row r="6794">
          <cell r="F6794" t="str">
            <v>219801A6E5523CR00081</v>
          </cell>
        </row>
        <row r="6795">
          <cell r="F6795" t="str">
            <v>219801A6E5523CR00064</v>
          </cell>
        </row>
        <row r="6796">
          <cell r="F6796" t="str">
            <v>219801A6E5523CR00039</v>
          </cell>
        </row>
        <row r="6797">
          <cell r="F6797" t="str">
            <v>219801A6E4523CR00005</v>
          </cell>
        </row>
        <row r="6798">
          <cell r="F6798" t="str">
            <v>219801A6E5523CR00048</v>
          </cell>
        </row>
        <row r="6799">
          <cell r="F6799" t="str">
            <v>219801A6E7523CR00008</v>
          </cell>
        </row>
        <row r="6800">
          <cell r="F6800" t="str">
            <v>219801A6E5523CR00049</v>
          </cell>
        </row>
        <row r="6801">
          <cell r="F6801" t="str">
            <v>219801A6E5523CR00005</v>
          </cell>
        </row>
        <row r="6802">
          <cell r="F6802" t="str">
            <v>219801A6E4523CR00001</v>
          </cell>
        </row>
        <row r="6803">
          <cell r="F6803" t="str">
            <v>219801A6E5523CR00053</v>
          </cell>
        </row>
        <row r="6804">
          <cell r="F6804" t="str">
            <v>219801A6E4523CR00027</v>
          </cell>
        </row>
        <row r="6805">
          <cell r="F6805" t="str">
            <v>219801A6E4523CR00018</v>
          </cell>
        </row>
        <row r="6806">
          <cell r="F6806" t="str">
            <v>219801A6E5523CR00142</v>
          </cell>
        </row>
        <row r="6807">
          <cell r="F6807" t="str">
            <v>219801A6E5523CR00078</v>
          </cell>
        </row>
        <row r="6808">
          <cell r="F6808" t="str">
            <v>219801A6E4523CR00024</v>
          </cell>
        </row>
        <row r="6809">
          <cell r="F6809" t="str">
            <v>219801A6E5523CR00159</v>
          </cell>
        </row>
        <row r="6810">
          <cell r="F6810" t="str">
            <v>219801A6E5523CR00167</v>
          </cell>
        </row>
        <row r="6811">
          <cell r="F6811" t="str">
            <v>219801A6E5523CR00043</v>
          </cell>
        </row>
        <row r="6812">
          <cell r="F6812" t="str">
            <v>219801A6E5523CR00098</v>
          </cell>
        </row>
        <row r="6813">
          <cell r="F6813" t="str">
            <v>219801A6E5523CR00016</v>
          </cell>
        </row>
        <row r="6814">
          <cell r="F6814" t="str">
            <v>219801A6E5523CR00065</v>
          </cell>
        </row>
        <row r="6815">
          <cell r="F6815" t="str">
            <v>219801A6E5523CR00166</v>
          </cell>
        </row>
        <row r="6816">
          <cell r="F6816" t="str">
            <v>219801A6E5523CR00164</v>
          </cell>
        </row>
        <row r="6817">
          <cell r="F6817" t="str">
            <v>219801A6E5523CR00018</v>
          </cell>
        </row>
        <row r="6818">
          <cell r="F6818" t="str">
            <v>219801A6E5523CR00032</v>
          </cell>
        </row>
        <row r="6819">
          <cell r="F6819" t="str">
            <v>219801A6E5523CR00129</v>
          </cell>
        </row>
        <row r="6820">
          <cell r="F6820" t="str">
            <v>219801A6E5523CR00033</v>
          </cell>
        </row>
        <row r="6821">
          <cell r="F6821" t="str">
            <v>219801A6E5523CR00025</v>
          </cell>
        </row>
        <row r="6822">
          <cell r="F6822" t="str">
            <v>219801A6E5523CR00170</v>
          </cell>
        </row>
        <row r="6823">
          <cell r="F6823" t="str">
            <v>219801A6E5523CR00014</v>
          </cell>
        </row>
        <row r="6824">
          <cell r="F6824" t="str">
            <v>219801A6E5523CR00175</v>
          </cell>
        </row>
        <row r="6825">
          <cell r="F6825" t="str">
            <v>219801A6E5523CR00062</v>
          </cell>
        </row>
        <row r="6826">
          <cell r="F6826" t="str">
            <v>219801A6E5523CR00143</v>
          </cell>
        </row>
        <row r="6827">
          <cell r="F6827" t="str">
            <v>219801A6E5523CR00011</v>
          </cell>
        </row>
        <row r="6828">
          <cell r="F6828" t="str">
            <v>219801A6E5523CR00126</v>
          </cell>
        </row>
        <row r="6829">
          <cell r="F6829" t="str">
            <v>219801A6E5523CR00015</v>
          </cell>
        </row>
        <row r="6830">
          <cell r="F6830" t="str">
            <v>219801A6E5523CR00156</v>
          </cell>
        </row>
        <row r="6831">
          <cell r="F6831" t="str">
            <v>219801A6E5523CR00051</v>
          </cell>
        </row>
        <row r="6832">
          <cell r="F6832" t="str">
            <v>219801A6E5523CR00057</v>
          </cell>
        </row>
        <row r="6833">
          <cell r="F6833" t="str">
            <v>219801A6E5523CR00106</v>
          </cell>
        </row>
        <row r="6834">
          <cell r="F6834" t="str">
            <v>219801A6E5523CR00004</v>
          </cell>
        </row>
        <row r="6835">
          <cell r="F6835" t="str">
            <v>219801A6E5523CR00045</v>
          </cell>
        </row>
        <row r="6836">
          <cell r="F6836" t="str">
            <v>219801A6E5523CR00066</v>
          </cell>
        </row>
        <row r="6837">
          <cell r="F6837" t="str">
            <v>219801A6E7523CR00009</v>
          </cell>
        </row>
        <row r="6838">
          <cell r="F6838" t="str">
            <v>219801A6E5523CR00109</v>
          </cell>
        </row>
        <row r="6839">
          <cell r="F6839" t="str">
            <v>219801A6E5523CR00067</v>
          </cell>
        </row>
        <row r="6840">
          <cell r="F6840" t="str">
            <v>219801A6E5523CR00132</v>
          </cell>
        </row>
        <row r="6841">
          <cell r="F6841" t="str">
            <v>219801A6E5523CR00001</v>
          </cell>
        </row>
        <row r="6842">
          <cell r="F6842" t="str">
            <v>219801A6E5523CR00144</v>
          </cell>
        </row>
        <row r="6843">
          <cell r="F6843" t="str">
            <v>219801A6E5523CR00134</v>
          </cell>
        </row>
        <row r="6844">
          <cell r="F6844" t="str">
            <v>219801A6E5523CR00002</v>
          </cell>
        </row>
        <row r="6845">
          <cell r="F6845" t="str">
            <v>219801A6E6523CR00002</v>
          </cell>
        </row>
        <row r="6846">
          <cell r="F6846" t="str">
            <v>219801A6E5523CR00121</v>
          </cell>
        </row>
        <row r="6847">
          <cell r="F6847" t="str">
            <v>219801A6E5523CR00133</v>
          </cell>
        </row>
        <row r="6848">
          <cell r="F6848" t="str">
            <v>219801A6E4523CR00025</v>
          </cell>
        </row>
        <row r="6849">
          <cell r="F6849" t="str">
            <v>219801A6E5523CR00140</v>
          </cell>
        </row>
        <row r="6850">
          <cell r="F6850" t="str">
            <v>219801A6E4523CR00009</v>
          </cell>
        </row>
        <row r="6851">
          <cell r="F6851" t="str">
            <v>219801A6E5523CR00120</v>
          </cell>
        </row>
        <row r="6852">
          <cell r="F6852" t="str">
            <v>219801A6E5523CR00026</v>
          </cell>
        </row>
        <row r="6853">
          <cell r="F6853" t="str">
            <v>219801A6E7523CR00004</v>
          </cell>
        </row>
        <row r="6854">
          <cell r="F6854" t="str">
            <v>219801A6E5523CR00096</v>
          </cell>
        </row>
        <row r="6855">
          <cell r="F6855" t="str">
            <v>219801A6E7523CR00007</v>
          </cell>
        </row>
        <row r="6856">
          <cell r="F6856" t="str">
            <v>219801A6E5523CR00147</v>
          </cell>
        </row>
        <row r="6857">
          <cell r="F6857" t="str">
            <v>219801A6E5523CR00085</v>
          </cell>
        </row>
        <row r="6858">
          <cell r="F6858" t="str">
            <v>219801A6E5523CR00110</v>
          </cell>
        </row>
        <row r="6859">
          <cell r="F6859" t="str">
            <v>219801A6E4523CR00006</v>
          </cell>
        </row>
        <row r="6860">
          <cell r="F6860" t="str">
            <v>219801A6E4523CR00007</v>
          </cell>
        </row>
        <row r="6861">
          <cell r="F6861" t="str">
            <v>219801A6E4523CR00021</v>
          </cell>
        </row>
        <row r="6862">
          <cell r="F6862" t="str">
            <v>9800183908085849</v>
          </cell>
        </row>
        <row r="6863">
          <cell r="F6863" t="str">
            <v>9800183908085784</v>
          </cell>
        </row>
        <row r="6864">
          <cell r="F6864" t="str">
            <v>9800183908085838</v>
          </cell>
        </row>
        <row r="6865">
          <cell r="F6865" t="str">
            <v>9800183908085801</v>
          </cell>
        </row>
        <row r="6866">
          <cell r="F6866" t="str">
            <v>9800183908085777</v>
          </cell>
        </row>
        <row r="6867">
          <cell r="F6867" t="str">
            <v>9800183908085822</v>
          </cell>
        </row>
        <row r="6868">
          <cell r="F6868" t="str">
            <v>9800183908085859</v>
          </cell>
        </row>
        <row r="6869">
          <cell r="F6869" t="str">
            <v>9800183908085853</v>
          </cell>
        </row>
        <row r="6870">
          <cell r="F6870" t="str">
            <v>9800183908085863</v>
          </cell>
        </row>
        <row r="6871">
          <cell r="F6871" t="str">
            <v>9800183908085861</v>
          </cell>
        </row>
        <row r="6872">
          <cell r="F6872" t="str">
            <v>9800183908085845</v>
          </cell>
        </row>
        <row r="6873">
          <cell r="F6873" t="str">
            <v>9800183908085800</v>
          </cell>
        </row>
        <row r="6874">
          <cell r="F6874" t="str">
            <v>9800183908085803</v>
          </cell>
        </row>
        <row r="6875">
          <cell r="F6875" t="str">
            <v>9800183908085847</v>
          </cell>
        </row>
        <row r="6876">
          <cell r="F6876" t="str">
            <v>9800183908085854</v>
          </cell>
        </row>
        <row r="6877">
          <cell r="F6877" t="str">
            <v>9800183908085695</v>
          </cell>
        </row>
        <row r="6878">
          <cell r="F6878" t="str">
            <v>9800183908085768</v>
          </cell>
        </row>
        <row r="6879">
          <cell r="F6879" t="str">
            <v>9800183908085888</v>
          </cell>
        </row>
        <row r="6880">
          <cell r="F6880" t="str">
            <v>9800183908085891</v>
          </cell>
        </row>
        <row r="6881">
          <cell r="F6881" t="str">
            <v>9800183908085706</v>
          </cell>
        </row>
        <row r="6882">
          <cell r="F6882" t="str">
            <v>9800183908085904</v>
          </cell>
        </row>
        <row r="6883">
          <cell r="F6883" t="str">
            <v>9800183908085844</v>
          </cell>
        </row>
        <row r="6884">
          <cell r="F6884" t="str">
            <v>9800183908085862</v>
          </cell>
        </row>
        <row r="6885">
          <cell r="F6885" t="str">
            <v>9800183908085836</v>
          </cell>
        </row>
        <row r="6886">
          <cell r="F6886" t="str">
            <v>9800183908085720</v>
          </cell>
        </row>
        <row r="6887">
          <cell r="F6887" t="str">
            <v>9800183908085850</v>
          </cell>
        </row>
        <row r="6888">
          <cell r="F6888" t="str">
            <v>9800183908085887</v>
          </cell>
        </row>
        <row r="6889">
          <cell r="F6889" t="str">
            <v>9800183908085846</v>
          </cell>
        </row>
        <row r="6890">
          <cell r="F6890" t="str">
            <v>9800183908085736</v>
          </cell>
        </row>
        <row r="6891">
          <cell r="F6891" t="str">
            <v>9800183908085680</v>
          </cell>
        </row>
        <row r="6892">
          <cell r="F6892" t="str">
            <v>9800183908085819</v>
          </cell>
        </row>
        <row r="6893">
          <cell r="F6893" t="str">
            <v>9800183908085823</v>
          </cell>
        </row>
        <row r="6894">
          <cell r="F6894" t="str">
            <v>9800183908085728</v>
          </cell>
        </row>
        <row r="6895">
          <cell r="F6895" t="str">
            <v>9800183908085889</v>
          </cell>
        </row>
        <row r="6896">
          <cell r="F6896" t="str">
            <v>9800183908085879</v>
          </cell>
        </row>
        <row r="6897">
          <cell r="F6897" t="str">
            <v>9800183908085719</v>
          </cell>
        </row>
        <row r="6898">
          <cell r="F6898" t="str">
            <v>9800183908085730</v>
          </cell>
        </row>
        <row r="6899">
          <cell r="F6899" t="str">
            <v>9800183908085785</v>
          </cell>
        </row>
        <row r="6900">
          <cell r="F6900" t="str">
            <v>9800183908085896</v>
          </cell>
        </row>
        <row r="6901">
          <cell r="F6901" t="str">
            <v>9800183908085873</v>
          </cell>
        </row>
        <row r="6902">
          <cell r="F6902" t="str">
            <v>9800183908085731</v>
          </cell>
        </row>
        <row r="6903">
          <cell r="F6903" t="str">
            <v>9800183908085771</v>
          </cell>
        </row>
        <row r="6904">
          <cell r="F6904" t="str">
            <v>9800183908085723</v>
          </cell>
        </row>
        <row r="6905">
          <cell r="F6905" t="str">
            <v>9800183908085733</v>
          </cell>
        </row>
        <row r="6906">
          <cell r="F6906" t="str">
            <v>9800183908085767</v>
          </cell>
        </row>
        <row r="6907">
          <cell r="F6907" t="str">
            <v>9800183908085780</v>
          </cell>
        </row>
        <row r="6908">
          <cell r="F6908" t="str">
            <v>9800183908085902</v>
          </cell>
        </row>
        <row r="6909">
          <cell r="F6909" t="str">
            <v>9800183908085876</v>
          </cell>
        </row>
        <row r="6910">
          <cell r="F6910" t="str">
            <v>9800183908085894</v>
          </cell>
        </row>
        <row r="6911">
          <cell r="F6911" t="str">
            <v>9800183908085734</v>
          </cell>
        </row>
        <row r="6912">
          <cell r="F6912" t="str">
            <v>9800183908085753</v>
          </cell>
        </row>
        <row r="6913">
          <cell r="F6913" t="str">
            <v>9800183908085895</v>
          </cell>
        </row>
        <row r="6914">
          <cell r="F6914" t="str">
            <v>9800183908085682</v>
          </cell>
        </row>
        <row r="6915">
          <cell r="F6915" t="str">
            <v>9800183908085681</v>
          </cell>
        </row>
        <row r="6916">
          <cell r="F6916" t="str">
            <v>9800183908085839</v>
          </cell>
        </row>
        <row r="6917">
          <cell r="F6917" t="str">
            <v>9800183908085758</v>
          </cell>
        </row>
        <row r="6918">
          <cell r="F6918" t="str">
            <v>9800183908085875</v>
          </cell>
        </row>
        <row r="6919">
          <cell r="F6919" t="str">
            <v>9800183908085834</v>
          </cell>
        </row>
        <row r="6920">
          <cell r="F6920" t="str">
            <v>9800183908085761</v>
          </cell>
        </row>
        <row r="6921">
          <cell r="F6921" t="str">
            <v>9800183908085783</v>
          </cell>
        </row>
        <row r="6922">
          <cell r="F6922" t="str">
            <v>9800183908085799</v>
          </cell>
        </row>
        <row r="6923">
          <cell r="F6923" t="str">
            <v>9800183908085685</v>
          </cell>
        </row>
        <row r="6924">
          <cell r="F6924" t="str">
            <v>9800183908085687</v>
          </cell>
        </row>
        <row r="6925">
          <cell r="F6925" t="str">
            <v>9800183908085752</v>
          </cell>
        </row>
        <row r="6926">
          <cell r="F6926" t="str">
            <v>9800183908085716</v>
          </cell>
        </row>
        <row r="6927">
          <cell r="F6927" t="str">
            <v>9800183908085826</v>
          </cell>
        </row>
        <row r="6928">
          <cell r="F6928" t="str">
            <v>9800183908085878</v>
          </cell>
        </row>
        <row r="6929">
          <cell r="F6929" t="str">
            <v>9800183908085721</v>
          </cell>
        </row>
        <row r="6930">
          <cell r="F6930" t="str">
            <v>9800183908085796</v>
          </cell>
        </row>
        <row r="6931">
          <cell r="F6931" t="str">
            <v>9800183908085892</v>
          </cell>
        </row>
        <row r="6932">
          <cell r="F6932" t="str">
            <v>9800183908085782</v>
          </cell>
        </row>
        <row r="6933">
          <cell r="F6933" t="str">
            <v>9800183908085683</v>
          </cell>
        </row>
        <row r="6934">
          <cell r="F6934" t="str">
            <v>9800183908085906</v>
          </cell>
        </row>
        <row r="6935">
          <cell r="F6935" t="str">
            <v>9800183908085831</v>
          </cell>
        </row>
        <row r="6936">
          <cell r="F6936" t="str">
            <v>9800183908085705</v>
          </cell>
        </row>
        <row r="6937">
          <cell r="F6937" t="str">
            <v>9800183908085717</v>
          </cell>
        </row>
        <row r="6938">
          <cell r="F6938" t="str">
            <v>9800183908085712</v>
          </cell>
        </row>
        <row r="6939">
          <cell r="F6939" t="str">
            <v>9800183908085870</v>
          </cell>
        </row>
        <row r="6940">
          <cell r="F6940" t="str">
            <v>9800183908085832</v>
          </cell>
        </row>
        <row r="6941">
          <cell r="F6941" t="str">
            <v>9800183908085907</v>
          </cell>
        </row>
        <row r="6942">
          <cell r="F6942" t="str">
            <v>9800183908085908</v>
          </cell>
        </row>
        <row r="6943">
          <cell r="F6943" t="str">
            <v>9800183908085701</v>
          </cell>
        </row>
        <row r="6944">
          <cell r="F6944" t="str">
            <v>9800183908085833</v>
          </cell>
        </row>
        <row r="6945">
          <cell r="F6945" t="str">
            <v>9800183908085804</v>
          </cell>
        </row>
        <row r="6946">
          <cell r="F6946" t="str">
            <v>9800183908085877</v>
          </cell>
        </row>
        <row r="6947">
          <cell r="F6947" t="str">
            <v>9800183908085708</v>
          </cell>
        </row>
        <row r="6948">
          <cell r="F6948" t="str">
            <v>9800183908085856</v>
          </cell>
        </row>
        <row r="6949">
          <cell r="F6949" t="str">
            <v>9800183908085810</v>
          </cell>
        </row>
        <row r="6950">
          <cell r="F6950" t="str">
            <v>9800183908085688</v>
          </cell>
        </row>
        <row r="6951">
          <cell r="F6951" t="str">
            <v>9800183908085710</v>
          </cell>
        </row>
        <row r="6952">
          <cell r="F6952" t="str">
            <v>9800183908085813</v>
          </cell>
        </row>
        <row r="6953">
          <cell r="F6953" t="str">
            <v>9800183908085899</v>
          </cell>
        </row>
        <row r="6954">
          <cell r="F6954" t="str">
            <v>9800183908085698</v>
          </cell>
        </row>
        <row r="6955">
          <cell r="F6955" t="str">
            <v>9800183908085711</v>
          </cell>
        </row>
        <row r="6956">
          <cell r="F6956" t="str">
            <v>9800183908085880</v>
          </cell>
        </row>
        <row r="6957">
          <cell r="F6957" t="str">
            <v>9800183908085882</v>
          </cell>
        </row>
        <row r="6958">
          <cell r="F6958" t="str">
            <v>9800183908085842</v>
          </cell>
        </row>
        <row r="6959">
          <cell r="F6959" t="str">
            <v>9800183908085791</v>
          </cell>
        </row>
        <row r="6960">
          <cell r="F6960" t="str">
            <v>9800183908085714</v>
          </cell>
        </row>
        <row r="6961">
          <cell r="F6961" t="str">
            <v>9800183908085726</v>
          </cell>
        </row>
        <row r="6962">
          <cell r="F6962" t="str">
            <v>9800183908085738</v>
          </cell>
        </row>
        <row r="6963">
          <cell r="F6963" t="str">
            <v>9800183908085775</v>
          </cell>
        </row>
        <row r="6964">
          <cell r="F6964" t="str">
            <v>9800183908085787</v>
          </cell>
        </row>
        <row r="6965">
          <cell r="F6965" t="str">
            <v>9800183908085795</v>
          </cell>
        </row>
        <row r="6966">
          <cell r="F6966" t="str">
            <v>9800183908085750</v>
          </cell>
        </row>
        <row r="6967">
          <cell r="F6967" t="str">
            <v>9800183908085742</v>
          </cell>
        </row>
        <row r="6968">
          <cell r="F6968" t="str">
            <v>9800183908085764</v>
          </cell>
        </row>
        <row r="6969">
          <cell r="F6969" t="str">
            <v>9800183908085715</v>
          </cell>
        </row>
        <row r="6970">
          <cell r="F6970" t="str">
            <v>9800183908085811</v>
          </cell>
        </row>
        <row r="6971">
          <cell r="F6971" t="str">
            <v>9800183908085809</v>
          </cell>
        </row>
        <row r="6972">
          <cell r="F6972" t="str">
            <v>9800183908085745</v>
          </cell>
        </row>
        <row r="6973">
          <cell r="F6973" t="str">
            <v>9800183908085741</v>
          </cell>
        </row>
        <row r="6974">
          <cell r="F6974" t="str">
            <v>9800183908085696</v>
          </cell>
        </row>
        <row r="6975">
          <cell r="F6975" t="str">
            <v>9800183908085694</v>
          </cell>
        </row>
        <row r="6976">
          <cell r="F6976" t="str">
            <v>9800183908085686</v>
          </cell>
        </row>
        <row r="6977">
          <cell r="F6977" t="str">
            <v>9800183908085718</v>
          </cell>
        </row>
        <row r="6978">
          <cell r="F6978" t="str">
            <v>9800183908085770</v>
          </cell>
        </row>
        <row r="6979">
          <cell r="F6979" t="str">
            <v>9800183908085776</v>
          </cell>
        </row>
        <row r="6980">
          <cell r="F6980" t="str">
            <v>9800183908085773</v>
          </cell>
        </row>
        <row r="6981">
          <cell r="F6981" t="str">
            <v>9800183908085746</v>
          </cell>
        </row>
        <row r="6982">
          <cell r="F6982" t="str">
            <v>9800183908085829</v>
          </cell>
        </row>
        <row r="6983">
          <cell r="F6983" t="str">
            <v>9800183908085739</v>
          </cell>
        </row>
        <row r="6984">
          <cell r="F6984" t="str">
            <v>9800183908085722</v>
          </cell>
        </row>
        <row r="6985">
          <cell r="F6985" t="str">
            <v>9800183908085724</v>
          </cell>
        </row>
        <row r="6986">
          <cell r="F6986" t="str">
            <v>9800183908085732</v>
          </cell>
        </row>
        <row r="6987">
          <cell r="F6987" t="str">
            <v>9800183908085865</v>
          </cell>
        </row>
        <row r="6988">
          <cell r="F6988" t="str">
            <v>9800183908085729</v>
          </cell>
        </row>
        <row r="6989">
          <cell r="F6989" t="str">
            <v>9800183908085815</v>
          </cell>
        </row>
        <row r="6990">
          <cell r="F6990" t="str">
            <v>9800183908085727</v>
          </cell>
        </row>
        <row r="6991">
          <cell r="F6991" t="str">
            <v>9800183908085786</v>
          </cell>
        </row>
        <row r="6992">
          <cell r="F6992" t="str">
            <v>9800183908085900</v>
          </cell>
        </row>
        <row r="6993">
          <cell r="F6993" t="str">
            <v>9800183908085744</v>
          </cell>
        </row>
        <row r="6994">
          <cell r="F6994" t="str">
            <v>9800183908085774</v>
          </cell>
        </row>
        <row r="6995">
          <cell r="F6995" t="str">
            <v>9800183908085737</v>
          </cell>
        </row>
        <row r="6996">
          <cell r="F6996" t="str">
            <v>9800183908085759</v>
          </cell>
        </row>
        <row r="6997">
          <cell r="F6997" t="str">
            <v>9800183908085788</v>
          </cell>
        </row>
        <row r="6998">
          <cell r="F6998" t="str">
            <v>9800183908085756</v>
          </cell>
        </row>
        <row r="6999">
          <cell r="F6999" t="str">
            <v>9800183908085821</v>
          </cell>
        </row>
        <row r="7000">
          <cell r="F7000" t="str">
            <v>9800183908085806</v>
          </cell>
        </row>
        <row r="7001">
          <cell r="F7001" t="str">
            <v>9800183908085697</v>
          </cell>
        </row>
        <row r="7002">
          <cell r="F7002" t="str">
            <v>9800183908085778</v>
          </cell>
        </row>
        <row r="7003">
          <cell r="F7003" t="str">
            <v>9800183908085830</v>
          </cell>
        </row>
        <row r="7004">
          <cell r="F7004" t="str">
            <v>9800183908085703</v>
          </cell>
        </row>
        <row r="7005">
          <cell r="F7005" t="str">
            <v>9800183908085898</v>
          </cell>
        </row>
        <row r="7006">
          <cell r="F7006" t="str">
            <v>9800183908085883</v>
          </cell>
        </row>
        <row r="7007">
          <cell r="F7007" t="str">
            <v>9800183908085820</v>
          </cell>
        </row>
        <row r="7008">
          <cell r="F7008" t="str">
            <v>9800183908085808</v>
          </cell>
        </row>
        <row r="7009">
          <cell r="F7009" t="str">
            <v>9800183908085763</v>
          </cell>
        </row>
        <row r="7010">
          <cell r="F7010" t="str">
            <v>9800183908085857</v>
          </cell>
        </row>
        <row r="7011">
          <cell r="F7011" t="str">
            <v>9800183908085793</v>
          </cell>
        </row>
        <row r="7012">
          <cell r="F7012" t="str">
            <v>9800183908085766</v>
          </cell>
        </row>
        <row r="7013">
          <cell r="F7013" t="str">
            <v>9800183908085812</v>
          </cell>
        </row>
        <row r="7014">
          <cell r="F7014" t="str">
            <v>9800183908085818</v>
          </cell>
        </row>
        <row r="7015">
          <cell r="F7015" t="str">
            <v>9800183908085699</v>
          </cell>
        </row>
        <row r="7016">
          <cell r="F7016" t="str">
            <v>9800183908085762</v>
          </cell>
        </row>
        <row r="7017">
          <cell r="F7017" t="str">
            <v>9800183908085814</v>
          </cell>
        </row>
        <row r="7018">
          <cell r="F7018" t="str">
            <v>9800183908085684</v>
          </cell>
        </row>
        <row r="7019">
          <cell r="F7019" t="str">
            <v>9800183908085864</v>
          </cell>
        </row>
        <row r="7020">
          <cell r="F7020" t="str">
            <v>9800183908085893</v>
          </cell>
        </row>
        <row r="7021">
          <cell r="F7021" t="str">
            <v>9800183908085872</v>
          </cell>
        </row>
        <row r="7022">
          <cell r="F7022" t="str">
            <v>9800183908085805</v>
          </cell>
        </row>
        <row r="7023">
          <cell r="F7023" t="str">
            <v>9800183908085867</v>
          </cell>
        </row>
        <row r="7024">
          <cell r="F7024" t="str">
            <v>9800183908085817</v>
          </cell>
        </row>
        <row r="7025">
          <cell r="F7025" t="str">
            <v>9800183908085885</v>
          </cell>
        </row>
        <row r="7026">
          <cell r="F7026" t="str">
            <v>9800183908085897</v>
          </cell>
        </row>
        <row r="7027">
          <cell r="F7027" t="str">
            <v>9800183908085884</v>
          </cell>
        </row>
        <row r="7028">
          <cell r="F7028" t="str">
            <v>9800183908085905</v>
          </cell>
        </row>
        <row r="7029">
          <cell r="F7029" t="str">
            <v>9800183908085792</v>
          </cell>
        </row>
        <row r="7030">
          <cell r="F7030" t="str">
            <v>9800183908085789</v>
          </cell>
        </row>
        <row r="7031">
          <cell r="F7031" t="str">
            <v>9800183908085760</v>
          </cell>
        </row>
        <row r="7032">
          <cell r="F7032" t="str">
            <v>9800183908085757</v>
          </cell>
        </row>
        <row r="7033">
          <cell r="F7033" t="str">
            <v>9800183908085843</v>
          </cell>
        </row>
        <row r="7034">
          <cell r="F7034" t="str">
            <v>9800183908085700</v>
          </cell>
        </row>
        <row r="7035">
          <cell r="F7035" t="str">
            <v>9800183908085749</v>
          </cell>
        </row>
        <row r="7036">
          <cell r="F7036" t="str">
            <v>9800183908085798</v>
          </cell>
        </row>
        <row r="7037">
          <cell r="F7037" t="str">
            <v>9800183908085869</v>
          </cell>
        </row>
        <row r="7038">
          <cell r="F7038" t="str">
            <v>9800183908085886</v>
          </cell>
        </row>
        <row r="7039">
          <cell r="F7039" t="str">
            <v>9800183908085852</v>
          </cell>
        </row>
        <row r="7040">
          <cell r="F7040" t="str">
            <v>9800183908085743</v>
          </cell>
        </row>
        <row r="7041">
          <cell r="F7041" t="str">
            <v>9800183908085735</v>
          </cell>
        </row>
        <row r="7042">
          <cell r="F7042" t="str">
            <v>9800183908085704</v>
          </cell>
        </row>
        <row r="7043">
          <cell r="F7043" t="str">
            <v>9800183908085851</v>
          </cell>
        </row>
        <row r="7044">
          <cell r="F7044" t="str">
            <v>9800183908085868</v>
          </cell>
        </row>
        <row r="7045">
          <cell r="F7045" t="str">
            <v>9800183908085754</v>
          </cell>
        </row>
        <row r="7046">
          <cell r="F7046" t="str">
            <v>9800183908085747</v>
          </cell>
        </row>
        <row r="7047">
          <cell r="F7047" t="str">
            <v>9800183908085740</v>
          </cell>
        </row>
        <row r="7048">
          <cell r="F7048" t="str">
            <v>9800183908085772</v>
          </cell>
        </row>
        <row r="7049">
          <cell r="F7049" t="str">
            <v>9800183908085751</v>
          </cell>
        </row>
        <row r="7050">
          <cell r="F7050" t="str">
            <v>9800183908085855</v>
          </cell>
        </row>
        <row r="7051">
          <cell r="F7051" t="str">
            <v>9800183908085781</v>
          </cell>
        </row>
        <row r="7052">
          <cell r="F7052" t="str">
            <v>9800183908085725</v>
          </cell>
        </row>
        <row r="7053">
          <cell r="F7053" t="str">
            <v>9800183908085748</v>
          </cell>
        </row>
        <row r="7054">
          <cell r="F7054" t="str">
            <v>9800183908085692</v>
          </cell>
        </row>
        <row r="7055">
          <cell r="F7055" t="str">
            <v>9800183908085790</v>
          </cell>
        </row>
        <row r="7056">
          <cell r="F7056" t="str">
            <v>9800183908085871</v>
          </cell>
        </row>
        <row r="7057">
          <cell r="F7057" t="str">
            <v>9800183908085866</v>
          </cell>
        </row>
        <row r="7058">
          <cell r="F7058" t="str">
            <v>9800183908085769</v>
          </cell>
        </row>
        <row r="7059">
          <cell r="F7059" t="str">
            <v>9800183908085901</v>
          </cell>
        </row>
        <row r="7060">
          <cell r="F7060" t="str">
            <v>9800183908085689</v>
          </cell>
        </row>
        <row r="7061">
          <cell r="F7061" t="str">
            <v>9800183908085807</v>
          </cell>
        </row>
        <row r="7062">
          <cell r="F7062" t="str">
            <v>9800183908085690</v>
          </cell>
        </row>
        <row r="7063">
          <cell r="F7063" t="str">
            <v>9800183908085797</v>
          </cell>
        </row>
        <row r="7064">
          <cell r="F7064" t="str">
            <v>9800183908085794</v>
          </cell>
        </row>
        <row r="7065">
          <cell r="F7065" t="str">
            <v>9800183908085755</v>
          </cell>
        </row>
        <row r="7066">
          <cell r="F7066" t="str">
            <v>9800183908085713</v>
          </cell>
        </row>
        <row r="7067">
          <cell r="F7067" t="str">
            <v>9800183908085825</v>
          </cell>
        </row>
        <row r="7068">
          <cell r="F7068" t="str">
            <v>9800183908085903</v>
          </cell>
        </row>
        <row r="7069">
          <cell r="F7069" t="str">
            <v>9800183908085841</v>
          </cell>
        </row>
        <row r="7070">
          <cell r="F7070" t="str">
            <v>9800183908085890</v>
          </cell>
        </row>
        <row r="7071">
          <cell r="F7071" t="str">
            <v>9800183908085828</v>
          </cell>
        </row>
        <row r="7072">
          <cell r="F7072" t="str">
            <v>9800183908085709</v>
          </cell>
        </row>
        <row r="7073">
          <cell r="F7073" t="str">
            <v>9800183908085816</v>
          </cell>
        </row>
        <row r="7074">
          <cell r="F7074" t="str">
            <v>9800183908085707</v>
          </cell>
        </row>
        <row r="7075">
          <cell r="F7075" t="str">
            <v>9800183908085779</v>
          </cell>
        </row>
        <row r="7076">
          <cell r="F7076" t="str">
            <v>9800183908085858</v>
          </cell>
        </row>
        <row r="7077">
          <cell r="F7077" t="str">
            <v>9800183908085693</v>
          </cell>
        </row>
        <row r="7078">
          <cell r="F7078" t="str">
            <v>9800183908085824</v>
          </cell>
        </row>
        <row r="7079">
          <cell r="F7079" t="str">
            <v>9800183908085835</v>
          </cell>
        </row>
        <row r="7080">
          <cell r="F7080" t="str">
            <v>9800183908085860</v>
          </cell>
        </row>
        <row r="7081">
          <cell r="F7081" t="str">
            <v>9800183908085802</v>
          </cell>
        </row>
        <row r="7082">
          <cell r="F7082" t="str">
            <v>9800183908085840</v>
          </cell>
        </row>
        <row r="7083">
          <cell r="F7083" t="str">
            <v>9800183908085691</v>
          </cell>
        </row>
        <row r="7084">
          <cell r="F7084" t="str">
            <v>9800183908085765</v>
          </cell>
        </row>
        <row r="7085">
          <cell r="F7085" t="str">
            <v>9800183908085702</v>
          </cell>
        </row>
        <row r="7086">
          <cell r="F7086" t="str">
            <v>9800183908085848</v>
          </cell>
        </row>
        <row r="7087">
          <cell r="F7087" t="str">
            <v>9800183908085874</v>
          </cell>
        </row>
        <row r="7088">
          <cell r="F7088" t="str">
            <v>9800183908085881</v>
          </cell>
        </row>
        <row r="7089">
          <cell r="F7089" t="str">
            <v>9800183908085837</v>
          </cell>
        </row>
        <row r="7090">
          <cell r="F7090" t="str">
            <v>9800183908085827</v>
          </cell>
        </row>
        <row r="7091">
          <cell r="F7091" t="str">
            <v>9800187908086432</v>
          </cell>
        </row>
        <row r="7092">
          <cell r="F7092" t="str">
            <v>9800187908086424</v>
          </cell>
        </row>
        <row r="7093">
          <cell r="F7093" t="str">
            <v>9800187908086431</v>
          </cell>
        </row>
        <row r="7094">
          <cell r="F7094" t="str">
            <v>9800187908086436</v>
          </cell>
        </row>
        <row r="7095">
          <cell r="F7095" t="str">
            <v>9800187908086435</v>
          </cell>
        </row>
        <row r="7096">
          <cell r="F7096" t="str">
            <v>9800187908086430</v>
          </cell>
        </row>
        <row r="7097">
          <cell r="F7097" t="str">
            <v>9800187908086423</v>
          </cell>
        </row>
        <row r="7098">
          <cell r="F7098" t="str">
            <v>9800187908086434</v>
          </cell>
        </row>
        <row r="7099">
          <cell r="F7099" t="str">
            <v>9800187908086429</v>
          </cell>
        </row>
        <row r="7100">
          <cell r="F7100" t="str">
            <v>9800187908086428</v>
          </cell>
        </row>
        <row r="7101">
          <cell r="F7101" t="str">
            <v>9800187908086427</v>
          </cell>
        </row>
        <row r="7102">
          <cell r="F7102" t="str">
            <v>9800187908086425</v>
          </cell>
        </row>
        <row r="7103">
          <cell r="F7103" t="str">
            <v>9800187908086426</v>
          </cell>
        </row>
        <row r="7104">
          <cell r="F7104" t="str">
            <v>9800187908086433</v>
          </cell>
        </row>
        <row r="7105">
          <cell r="F7105" t="str">
            <v>21811742336A23C27005</v>
          </cell>
        </row>
        <row r="7106">
          <cell r="F7106" t="str">
            <v>21811742336A23C27012</v>
          </cell>
        </row>
        <row r="7107">
          <cell r="F7107" t="str">
            <v>21811742336A23C00005</v>
          </cell>
        </row>
        <row r="7108">
          <cell r="F7108" t="str">
            <v>21811742332A24100015</v>
          </cell>
        </row>
        <row r="7109">
          <cell r="F7109" t="str">
            <v>21811742332A24100008</v>
          </cell>
        </row>
        <row r="7110">
          <cell r="F7110" t="str">
            <v>21811742336A23C27031</v>
          </cell>
        </row>
        <row r="7111">
          <cell r="F7111" t="str">
            <v>21811742336A23C27030</v>
          </cell>
        </row>
        <row r="7112">
          <cell r="F7112" t="str">
            <v>21811742336A23C00009</v>
          </cell>
        </row>
        <row r="7113">
          <cell r="F7113" t="str">
            <v>21811742336A23C27004</v>
          </cell>
        </row>
        <row r="7114">
          <cell r="F7114" t="str">
            <v>21811742336A23C27053</v>
          </cell>
        </row>
        <row r="7115">
          <cell r="F7115" t="str">
            <v>21811742332A24100016</v>
          </cell>
        </row>
        <row r="7116">
          <cell r="F7116" t="str">
            <v>21811742336A23C27040</v>
          </cell>
        </row>
        <row r="7117">
          <cell r="F7117" t="str">
            <v>21811742336A23C00006</v>
          </cell>
        </row>
        <row r="7118">
          <cell r="F7118" t="str">
            <v>21811742336A23C27045</v>
          </cell>
        </row>
        <row r="7119">
          <cell r="F7119" t="str">
            <v>21811742336A23C27029</v>
          </cell>
        </row>
        <row r="7120">
          <cell r="F7120" t="str">
            <v>21811742336A23C27001</v>
          </cell>
        </row>
        <row r="7121">
          <cell r="F7121" t="str">
            <v>21811742336A23C27003</v>
          </cell>
        </row>
        <row r="7122">
          <cell r="F7122" t="str">
            <v>21811742336A23C27009</v>
          </cell>
        </row>
        <row r="7123">
          <cell r="F7123" t="str">
            <v>21811742336A23C27035</v>
          </cell>
        </row>
        <row r="7124">
          <cell r="F7124" t="str">
            <v>21811742332A23C00008</v>
          </cell>
        </row>
        <row r="7125">
          <cell r="F7125" t="str">
            <v>21811742336A23C27013</v>
          </cell>
        </row>
        <row r="7126">
          <cell r="F7126" t="str">
            <v>21811742336A23C27057</v>
          </cell>
        </row>
        <row r="7127">
          <cell r="F7127" t="str">
            <v>21811742332A24100023</v>
          </cell>
        </row>
        <row r="7128">
          <cell r="F7128" t="str">
            <v>21811742332A23C00005</v>
          </cell>
        </row>
        <row r="7129">
          <cell r="F7129" t="str">
            <v>21811742332A23C00009</v>
          </cell>
        </row>
        <row r="7130">
          <cell r="F7130" t="str">
            <v>21811742336A23C27063</v>
          </cell>
        </row>
        <row r="7131">
          <cell r="F7131" t="str">
            <v>21811742336A23C00011</v>
          </cell>
        </row>
        <row r="7132">
          <cell r="F7132" t="str">
            <v>21811742336A23C27054</v>
          </cell>
        </row>
        <row r="7133">
          <cell r="F7133" t="str">
            <v>21811742336A23C00012</v>
          </cell>
        </row>
        <row r="7134">
          <cell r="F7134" t="str">
            <v>21811742336A23C27015</v>
          </cell>
        </row>
        <row r="7135">
          <cell r="F7135" t="str">
            <v>21811742336A23C27047</v>
          </cell>
        </row>
        <row r="7136">
          <cell r="F7136" t="str">
            <v>21811742332A23C00007</v>
          </cell>
        </row>
        <row r="7137">
          <cell r="F7137" t="str">
            <v>21811742336A23C27021</v>
          </cell>
        </row>
        <row r="7138">
          <cell r="F7138" t="str">
            <v>21811742332A23C00006</v>
          </cell>
        </row>
        <row r="7139">
          <cell r="F7139" t="str">
            <v>21811742332A23C00003</v>
          </cell>
        </row>
        <row r="7140">
          <cell r="F7140" t="str">
            <v>21811742332A23C00010</v>
          </cell>
        </row>
        <row r="7141">
          <cell r="F7141" t="str">
            <v>21811742332A23C00001</v>
          </cell>
        </row>
        <row r="7142">
          <cell r="F7142" t="str">
            <v>21811742336A23C27041</v>
          </cell>
        </row>
        <row r="7143">
          <cell r="F7143" t="str">
            <v>21811742336A23C27008</v>
          </cell>
        </row>
        <row r="7144">
          <cell r="F7144" t="str">
            <v>21811742336A23C27002</v>
          </cell>
        </row>
        <row r="7145">
          <cell r="F7145" t="str">
            <v>21811742336A23C27065</v>
          </cell>
        </row>
        <row r="7146">
          <cell r="F7146" t="str">
            <v>21811742336A23C00001</v>
          </cell>
        </row>
        <row r="7147">
          <cell r="F7147" t="str">
            <v>21811742336A23C00008</v>
          </cell>
        </row>
        <row r="7148">
          <cell r="F7148" t="str">
            <v>21811742332A23C00004</v>
          </cell>
        </row>
        <row r="7149">
          <cell r="F7149" t="str">
            <v>21811742332A23C00002</v>
          </cell>
        </row>
        <row r="7150">
          <cell r="F7150" t="str">
            <v>21811742336A23C27050</v>
          </cell>
        </row>
        <row r="7151">
          <cell r="F7151" t="str">
            <v>21811742336A23C00007</v>
          </cell>
        </row>
        <row r="7152">
          <cell r="F7152" t="str">
            <v>21811742332A24100020</v>
          </cell>
        </row>
        <row r="7153">
          <cell r="F7153" t="str">
            <v>21811742336A23C00014</v>
          </cell>
        </row>
        <row r="7154">
          <cell r="F7154" t="str">
            <v>21811742336A23C00003</v>
          </cell>
        </row>
        <row r="7155">
          <cell r="F7155" t="str">
            <v>21811742336A23C27034</v>
          </cell>
        </row>
        <row r="7156">
          <cell r="F7156" t="str">
            <v>21811742336A23C00015</v>
          </cell>
        </row>
        <row r="7157">
          <cell r="F7157" t="str">
            <v>21811742332A24100018</v>
          </cell>
        </row>
        <row r="7158">
          <cell r="F7158" t="str">
            <v>21811742332A24100013</v>
          </cell>
        </row>
        <row r="7159">
          <cell r="F7159" t="str">
            <v>21811742336A23C00004</v>
          </cell>
        </row>
        <row r="7160">
          <cell r="F7160" t="str">
            <v>21811742336A23C27010</v>
          </cell>
        </row>
        <row r="7161">
          <cell r="F7161" t="str">
            <v>21811742332A24100012</v>
          </cell>
        </row>
        <row r="7162">
          <cell r="F7162" t="str">
            <v>21811742336A23C00010</v>
          </cell>
        </row>
        <row r="7163">
          <cell r="F7163" t="str">
            <v>21811742336A23C27055</v>
          </cell>
        </row>
        <row r="7164">
          <cell r="F7164" t="str">
            <v>21811742332A24100007</v>
          </cell>
        </row>
        <row r="7165">
          <cell r="F7165" t="str">
            <v>21811742336A23C27059</v>
          </cell>
        </row>
        <row r="7166">
          <cell r="F7166" t="str">
            <v>21811742336A23C27039</v>
          </cell>
        </row>
        <row r="7167">
          <cell r="F7167" t="str">
            <v>21811742336A23C00013</v>
          </cell>
        </row>
        <row r="7168">
          <cell r="F7168" t="str">
            <v>21811742332A24100010</v>
          </cell>
        </row>
        <row r="7169">
          <cell r="F7169" t="str">
            <v>21811742336A23C27011</v>
          </cell>
        </row>
        <row r="7170">
          <cell r="F7170" t="str">
            <v>21811742336A23C27026</v>
          </cell>
        </row>
        <row r="7171">
          <cell r="F7171" t="str">
            <v>21811742336A23C27064</v>
          </cell>
        </row>
        <row r="7172">
          <cell r="F7172" t="str">
            <v>21811742332A24100022</v>
          </cell>
        </row>
        <row r="7173">
          <cell r="F7173" t="str">
            <v>21811742336A23C27022</v>
          </cell>
        </row>
        <row r="7174">
          <cell r="F7174" t="str">
            <v>21811742336A23C27020</v>
          </cell>
        </row>
        <row r="7175">
          <cell r="F7175" t="str">
            <v>21811742332A24100019</v>
          </cell>
        </row>
        <row r="7176">
          <cell r="F7176" t="str">
            <v>21811742336A23C27048</v>
          </cell>
        </row>
        <row r="7177">
          <cell r="F7177" t="str">
            <v>21811742336A23C27058</v>
          </cell>
        </row>
        <row r="7178">
          <cell r="F7178" t="str">
            <v>21811742336A23C27024</v>
          </cell>
        </row>
        <row r="7179">
          <cell r="F7179" t="str">
            <v>21811742332A24100009</v>
          </cell>
        </row>
        <row r="7180">
          <cell r="F7180" t="str">
            <v>21811742336A23C27042</v>
          </cell>
        </row>
        <row r="7181">
          <cell r="F7181" t="str">
            <v>21811742336A23C27023</v>
          </cell>
        </row>
        <row r="7182">
          <cell r="F7182" t="str">
            <v>21811742336A23C27036</v>
          </cell>
        </row>
        <row r="7183">
          <cell r="F7183" t="str">
            <v>21811742336A23C27017</v>
          </cell>
        </row>
        <row r="7184">
          <cell r="F7184" t="str">
            <v>21811742336A23C27046</v>
          </cell>
        </row>
        <row r="7185">
          <cell r="F7185" t="str">
            <v>21811742336A23C27038</v>
          </cell>
        </row>
        <row r="7186">
          <cell r="F7186" t="str">
            <v>21811742336A23C27043</v>
          </cell>
        </row>
        <row r="7187">
          <cell r="F7187" t="str">
            <v>21811742336A23C27049</v>
          </cell>
        </row>
        <row r="7188">
          <cell r="F7188" t="str">
            <v>21811742336A23C27019</v>
          </cell>
        </row>
        <row r="7189">
          <cell r="F7189" t="str">
            <v>21811742332A24100006</v>
          </cell>
        </row>
        <row r="7190">
          <cell r="F7190" t="str">
            <v>21811742336A23C27032</v>
          </cell>
        </row>
        <row r="7191">
          <cell r="F7191" t="str">
            <v>21811742336A23C27060</v>
          </cell>
        </row>
        <row r="7192">
          <cell r="F7192" t="str">
            <v>21811742336A23C27018</v>
          </cell>
        </row>
        <row r="7193">
          <cell r="F7193" t="str">
            <v>21811742336A23C27028</v>
          </cell>
        </row>
        <row r="7194">
          <cell r="F7194" t="str">
            <v>21811742336A23C27006</v>
          </cell>
        </row>
        <row r="7195">
          <cell r="F7195" t="str">
            <v>21811742336A23C27033</v>
          </cell>
        </row>
        <row r="7196">
          <cell r="F7196" t="str">
            <v>21811742336A23C27062</v>
          </cell>
        </row>
        <row r="7197">
          <cell r="F7197" t="str">
            <v>21811742332A24100017</v>
          </cell>
        </row>
        <row r="7198">
          <cell r="F7198" t="str">
            <v>21811742336A23C27052</v>
          </cell>
        </row>
        <row r="7199">
          <cell r="F7199" t="str">
            <v>21811742336A23C27016</v>
          </cell>
        </row>
        <row r="7200">
          <cell r="F7200" t="str">
            <v>21811742336A23C27007</v>
          </cell>
        </row>
        <row r="7201">
          <cell r="F7201" t="str">
            <v>21811742332A24100014</v>
          </cell>
        </row>
        <row r="7202">
          <cell r="F7202" t="str">
            <v>21811742336A23C27061</v>
          </cell>
        </row>
        <row r="7203">
          <cell r="F7203" t="str">
            <v>21811742332A24100004</v>
          </cell>
        </row>
        <row r="7204">
          <cell r="F7204" t="str">
            <v>21811742336A23C27027</v>
          </cell>
        </row>
        <row r="7205">
          <cell r="F7205" t="str">
            <v>21811742332A24100001</v>
          </cell>
        </row>
        <row r="7206">
          <cell r="F7206" t="str">
            <v>21811742332A24100003</v>
          </cell>
        </row>
        <row r="7207">
          <cell r="F7207" t="str">
            <v>21811742336A23C27037</v>
          </cell>
        </row>
        <row r="7208">
          <cell r="F7208" t="str">
            <v>21811742336A23C27014</v>
          </cell>
        </row>
        <row r="7209">
          <cell r="F7209" t="str">
            <v>21811742336A23C00002</v>
          </cell>
        </row>
        <row r="7210">
          <cell r="F7210" t="str">
            <v>21811742336A23C27056</v>
          </cell>
        </row>
        <row r="7211">
          <cell r="F7211" t="str">
            <v>21811742336A23C27044</v>
          </cell>
        </row>
        <row r="7212">
          <cell r="F7212" t="str">
            <v>21811742336A23C27051</v>
          </cell>
        </row>
        <row r="7213">
          <cell r="F7213" t="str">
            <v>21811742332A24100002</v>
          </cell>
        </row>
        <row r="7214">
          <cell r="F7214" t="str">
            <v>21811742332A24100005</v>
          </cell>
        </row>
        <row r="7215">
          <cell r="F7215" t="str">
            <v>21811742332A24100021</v>
          </cell>
        </row>
        <row r="7216">
          <cell r="F7216" t="str">
            <v>21811742336A23C27025</v>
          </cell>
        </row>
        <row r="7217">
          <cell r="F7217" t="str">
            <v>21811742332A24100011</v>
          </cell>
        </row>
        <row r="7218">
          <cell r="F7218" t="str">
            <v>210235A4G95234P0000X</v>
          </cell>
        </row>
        <row r="7219">
          <cell r="F7219" t="str">
            <v>210235A4G95234P0000S</v>
          </cell>
        </row>
        <row r="7220">
          <cell r="F7220" t="str">
            <v>2102354JTS10PC100082</v>
          </cell>
        </row>
        <row r="7221">
          <cell r="F7221" t="str">
            <v>2102354JTS10PC100083</v>
          </cell>
        </row>
        <row r="7222">
          <cell r="F7222" t="str">
            <v>2102354JTS10PC100087</v>
          </cell>
        </row>
        <row r="7223">
          <cell r="F7223" t="str">
            <v>2102354JTS10PC100073</v>
          </cell>
        </row>
        <row r="7224">
          <cell r="F7224" t="str">
            <v>2102354JTS10PC100075</v>
          </cell>
        </row>
        <row r="7225">
          <cell r="F7225" t="str">
            <v>2102354JTS10PC100086</v>
          </cell>
        </row>
        <row r="7226">
          <cell r="F7226" t="str">
            <v>2102354JTS10PC100076</v>
          </cell>
        </row>
        <row r="7227">
          <cell r="F7227" t="str">
            <v>2102354JTS10PC100088</v>
          </cell>
        </row>
        <row r="7228">
          <cell r="F7228" t="str">
            <v>2102354JTS10PC100081</v>
          </cell>
        </row>
        <row r="7229">
          <cell r="F7229" t="str">
            <v>2102354JTS10PC100079</v>
          </cell>
        </row>
        <row r="7230">
          <cell r="F7230" t="str">
            <v>2102354JTS10PC100080</v>
          </cell>
        </row>
        <row r="7231">
          <cell r="F7231" t="str">
            <v>2102354JTS10PC100085</v>
          </cell>
        </row>
        <row r="7232">
          <cell r="F7232" t="str">
            <v>2102354JTS10PC100084</v>
          </cell>
        </row>
        <row r="7233">
          <cell r="F7233" t="str">
            <v>2102354JTS10PC100074</v>
          </cell>
        </row>
        <row r="7234">
          <cell r="F7234" t="str">
            <v>2102354JTS10PC100078</v>
          </cell>
        </row>
        <row r="7235">
          <cell r="F7235" t="str">
            <v>2102354JTS10PC100077</v>
          </cell>
        </row>
        <row r="7236">
          <cell r="F7236" t="str">
            <v>2102353HHF10PC100172</v>
          </cell>
        </row>
        <row r="7237">
          <cell r="F7237" t="str">
            <v>2102353HHF10PC100171</v>
          </cell>
        </row>
        <row r="7238">
          <cell r="F7238" t="str">
            <v>210235A2LDX2410C700H</v>
          </cell>
        </row>
        <row r="7239">
          <cell r="F7239" t="str">
            <v>210235A2LDX2410C7022</v>
          </cell>
        </row>
        <row r="7240">
          <cell r="F7240" t="str">
            <v>210235A2LDX2410C7001</v>
          </cell>
        </row>
        <row r="7241">
          <cell r="F7241" t="str">
            <v>210235A2LDX2410C700J</v>
          </cell>
        </row>
        <row r="7242">
          <cell r="F7242" t="str">
            <v>210235A2LDX2410C7007</v>
          </cell>
        </row>
        <row r="7243">
          <cell r="F7243" t="str">
            <v>210235A2LDX2410C702D</v>
          </cell>
        </row>
        <row r="7244">
          <cell r="F7244" t="str">
            <v>210235A2LDX2410C702T</v>
          </cell>
        </row>
        <row r="7245">
          <cell r="F7245" t="str">
            <v>210235A2LDX2410C7023</v>
          </cell>
        </row>
        <row r="7246">
          <cell r="F7246" t="str">
            <v>210235A2LDX2410C700C</v>
          </cell>
        </row>
        <row r="7247">
          <cell r="F7247" t="str">
            <v>210235A2LDX2410C700F</v>
          </cell>
        </row>
        <row r="7248">
          <cell r="F7248" t="str">
            <v>210235A2LDX2410C7019</v>
          </cell>
        </row>
        <row r="7249">
          <cell r="F7249" t="str">
            <v>210235A2LDX2410C700S</v>
          </cell>
        </row>
        <row r="7250">
          <cell r="F7250" t="str">
            <v>210235A2LDX2410C701M</v>
          </cell>
        </row>
        <row r="7251">
          <cell r="F7251" t="str">
            <v>210235A2LDX2410C700Q</v>
          </cell>
        </row>
        <row r="7252">
          <cell r="F7252" t="str">
            <v>210235A2LDX2410C701F</v>
          </cell>
        </row>
        <row r="7253">
          <cell r="F7253" t="str">
            <v>210235A2LDX2410C701J</v>
          </cell>
        </row>
        <row r="7254">
          <cell r="F7254" t="str">
            <v>210235A2TN523Cl000XL</v>
          </cell>
        </row>
        <row r="7255">
          <cell r="F7255" t="str">
            <v>210235A2TN523CL00153</v>
          </cell>
        </row>
        <row r="7256">
          <cell r="F7256" t="str">
            <v>210235A2TN523CL0016L</v>
          </cell>
        </row>
        <row r="7257">
          <cell r="F7257" t="str">
            <v>210235A2TN523CL0013M</v>
          </cell>
        </row>
        <row r="7258">
          <cell r="F7258" t="str">
            <v>210235A2TN523CL000WP</v>
          </cell>
        </row>
        <row r="7259">
          <cell r="F7259" t="str">
            <v>210235A2TN523CL00168</v>
          </cell>
        </row>
        <row r="7260">
          <cell r="F7260" t="str">
            <v>210235A2TN523CL000YV</v>
          </cell>
        </row>
        <row r="7261">
          <cell r="F7261" t="str">
            <v>210235A2TN523CL0012T</v>
          </cell>
        </row>
        <row r="7262">
          <cell r="F7262" t="str">
            <v>210235A2TN523CL00166</v>
          </cell>
        </row>
        <row r="7263">
          <cell r="F7263" t="str">
            <v>210235A2TN523CL000WS</v>
          </cell>
        </row>
        <row r="7264">
          <cell r="F7264" t="str">
            <v>210235A2TN5241L000NG</v>
          </cell>
        </row>
        <row r="7265">
          <cell r="F7265" t="str">
            <v>210235A2TN523CL000Z1</v>
          </cell>
        </row>
        <row r="7266">
          <cell r="F7266" t="str">
            <v>210235A2TN523CL000WM</v>
          </cell>
        </row>
        <row r="7267">
          <cell r="F7267" t="str">
            <v>210235A2TN523CL0014H</v>
          </cell>
        </row>
        <row r="7268">
          <cell r="F7268" t="str">
            <v>210235A2TN523CL00159</v>
          </cell>
        </row>
        <row r="7269">
          <cell r="F7269" t="str">
            <v>210235A2TN523CL00156</v>
          </cell>
        </row>
        <row r="7270">
          <cell r="F7270" t="str">
            <v>210235A2TN523CL0010R</v>
          </cell>
        </row>
        <row r="7271">
          <cell r="F7271" t="str">
            <v>210235A2TN523CL00149</v>
          </cell>
        </row>
        <row r="7272">
          <cell r="F7272" t="str">
            <v>210235A2TN523CL00113</v>
          </cell>
        </row>
        <row r="7273">
          <cell r="F7273" t="str">
            <v>210235A2TN523CL00167</v>
          </cell>
        </row>
        <row r="7274">
          <cell r="F7274" t="str">
            <v>210235A2TN523CL00188</v>
          </cell>
        </row>
        <row r="7275">
          <cell r="F7275" t="str">
            <v>210235A2TN523CL0013J</v>
          </cell>
        </row>
        <row r="7276">
          <cell r="F7276" t="str">
            <v>210235A2TN523Cl000WT</v>
          </cell>
        </row>
        <row r="7277">
          <cell r="F7277" t="str">
            <v>210235A2TN523CL000YQ</v>
          </cell>
        </row>
        <row r="7278">
          <cell r="F7278" t="str">
            <v>210235A2TN523CL00160</v>
          </cell>
        </row>
        <row r="7279">
          <cell r="F7279" t="str">
            <v>210235A2TN523CL000X1</v>
          </cell>
        </row>
        <row r="7280">
          <cell r="F7280" t="str">
            <v>210235A2TN523CL00179</v>
          </cell>
        </row>
        <row r="7281">
          <cell r="F7281" t="str">
            <v>210235A2TN523CL000WW</v>
          </cell>
        </row>
        <row r="7282">
          <cell r="F7282" t="str">
            <v>210235A2TN523CL000WR</v>
          </cell>
        </row>
        <row r="7283">
          <cell r="F7283" t="str">
            <v>210235A2TN523CL0012G</v>
          </cell>
        </row>
        <row r="7284">
          <cell r="F7284" t="str">
            <v>210235A2TN523CL000WX</v>
          </cell>
        </row>
        <row r="7285">
          <cell r="F7285" t="str">
            <v>210235A2TN523CL000W6</v>
          </cell>
        </row>
        <row r="7286">
          <cell r="F7286" t="str">
            <v>210235A2TN523CL000ZD</v>
          </cell>
        </row>
        <row r="7287">
          <cell r="F7287" t="str">
            <v>210235A2TN523CL00157</v>
          </cell>
        </row>
        <row r="7288">
          <cell r="F7288" t="str">
            <v>210235A2TN5241L000G8</v>
          </cell>
        </row>
        <row r="7289">
          <cell r="F7289" t="str">
            <v>210235A2TN523CL000XF</v>
          </cell>
        </row>
        <row r="7290">
          <cell r="F7290" t="str">
            <v>210235A2TN523CL000YH</v>
          </cell>
        </row>
        <row r="7291">
          <cell r="F7291" t="str">
            <v>210235A2TN523CL00116</v>
          </cell>
        </row>
        <row r="7292">
          <cell r="F7292" t="str">
            <v>210235A2TN523CL000YL</v>
          </cell>
        </row>
        <row r="7293">
          <cell r="F7293" t="str">
            <v>210235A2TN523CL000YW</v>
          </cell>
        </row>
        <row r="7294">
          <cell r="F7294" t="str">
            <v>210235A2TN523CL000Z3</v>
          </cell>
        </row>
        <row r="7295">
          <cell r="F7295" t="str">
            <v>210235A2TN5241L000JR</v>
          </cell>
        </row>
        <row r="7296">
          <cell r="F7296" t="str">
            <v>210235A2TN523CL000X4</v>
          </cell>
        </row>
        <row r="7297">
          <cell r="F7297" t="str">
            <v>210235A2TN523CL000YM</v>
          </cell>
        </row>
        <row r="7298">
          <cell r="F7298" t="str">
            <v>210235A2TN5241L000KB</v>
          </cell>
        </row>
        <row r="7299">
          <cell r="F7299" t="str">
            <v>210235A2TN523CL000XS</v>
          </cell>
        </row>
        <row r="7300">
          <cell r="F7300" t="str">
            <v>210235A2TN523CL000XC</v>
          </cell>
        </row>
        <row r="7301">
          <cell r="F7301" t="str">
            <v>210235A2TN5241L000KD</v>
          </cell>
        </row>
        <row r="7302">
          <cell r="F7302" t="str">
            <v>210235A2TN523CL000W2</v>
          </cell>
        </row>
        <row r="7303">
          <cell r="F7303" t="str">
            <v>210235A2TN5241L000CT</v>
          </cell>
        </row>
        <row r="7304">
          <cell r="F7304" t="str">
            <v>210235A2TN523CL00176</v>
          </cell>
        </row>
        <row r="7305">
          <cell r="F7305" t="str">
            <v>210235A2TN523CL000WZ</v>
          </cell>
        </row>
        <row r="7306">
          <cell r="F7306" t="str">
            <v>210235A2TN523CL00187</v>
          </cell>
        </row>
        <row r="7307">
          <cell r="F7307" t="str">
            <v>210235A2TN523CL001B1</v>
          </cell>
        </row>
        <row r="7308">
          <cell r="F7308" t="str">
            <v>210235A2TN523CL0017B</v>
          </cell>
        </row>
        <row r="7309">
          <cell r="F7309" t="str">
            <v>210235A2TN523CL0013F</v>
          </cell>
        </row>
        <row r="7310">
          <cell r="F7310" t="str">
            <v>210235A2TN523CL000YS</v>
          </cell>
        </row>
        <row r="7311">
          <cell r="F7311" t="str">
            <v>210235A2TN523CL000YR</v>
          </cell>
        </row>
        <row r="7312">
          <cell r="F7312" t="str">
            <v>210235A2TN523CL000XP</v>
          </cell>
        </row>
        <row r="7313">
          <cell r="F7313" t="str">
            <v>210235A2TN523CL00154</v>
          </cell>
        </row>
        <row r="7314">
          <cell r="F7314" t="str">
            <v>210235A2TN523CL000YN</v>
          </cell>
        </row>
        <row r="7315">
          <cell r="F7315" t="str">
            <v>210235A2TN523CL000YZ</v>
          </cell>
        </row>
        <row r="7316">
          <cell r="F7316" t="str">
            <v>210235A2TN523CL0018L</v>
          </cell>
        </row>
        <row r="7317">
          <cell r="F7317" t="str">
            <v>210235A2TN523CL0013C</v>
          </cell>
        </row>
        <row r="7318">
          <cell r="F7318" t="str">
            <v>210235A2TN523CL000X9</v>
          </cell>
        </row>
        <row r="7319">
          <cell r="F7319" t="str">
            <v>210235A2TN523CL000X7</v>
          </cell>
        </row>
        <row r="7320">
          <cell r="F7320" t="str">
            <v>210235A2TN523CL0013D</v>
          </cell>
        </row>
        <row r="7321">
          <cell r="F7321" t="str">
            <v>210235A2TN523CL0017C</v>
          </cell>
        </row>
        <row r="7322">
          <cell r="F7322" t="str">
            <v>210235A2TN523CL0010Q</v>
          </cell>
        </row>
        <row r="7323">
          <cell r="F7323" t="str">
            <v>210235A2TN523CL0010V</v>
          </cell>
        </row>
        <row r="7324">
          <cell r="F7324" t="str">
            <v>210235A2TN523CL0012D</v>
          </cell>
        </row>
        <row r="7325">
          <cell r="F7325" t="str">
            <v>210235A2TN523CL00189</v>
          </cell>
        </row>
        <row r="7326">
          <cell r="F7326" t="str">
            <v>1023CB559455</v>
          </cell>
        </row>
        <row r="7327">
          <cell r="F7327" t="str">
            <v>1023CB559462</v>
          </cell>
        </row>
        <row r="7328">
          <cell r="F7328" t="str">
            <v>1023CB559466</v>
          </cell>
        </row>
        <row r="7329">
          <cell r="F7329" t="str">
            <v>1023CB559454</v>
          </cell>
        </row>
        <row r="7330">
          <cell r="F7330" t="str">
            <v>1023CB559453</v>
          </cell>
        </row>
        <row r="7331">
          <cell r="F7331" t="str">
            <v>1023CB559467</v>
          </cell>
        </row>
        <row r="7332">
          <cell r="F7332" t="str">
            <v>1023CB559463</v>
          </cell>
        </row>
        <row r="7333">
          <cell r="F7333" t="str">
            <v>1023CB559460</v>
          </cell>
        </row>
        <row r="7334">
          <cell r="F7334" t="str">
            <v>1023CB559458</v>
          </cell>
        </row>
        <row r="7335">
          <cell r="F7335" t="str">
            <v>1023CB559459</v>
          </cell>
        </row>
        <row r="7336">
          <cell r="F7336" t="str">
            <v>1023CB559456</v>
          </cell>
        </row>
        <row r="7337">
          <cell r="F7337" t="str">
            <v>1023CB559461</v>
          </cell>
        </row>
        <row r="7338">
          <cell r="F7338" t="str">
            <v>1023CB559457</v>
          </cell>
        </row>
        <row r="7339">
          <cell r="F7339" t="str">
            <v>1023CB559464</v>
          </cell>
        </row>
        <row r="7340">
          <cell r="F7340" t="str">
            <v>4E23C0182528</v>
          </cell>
        </row>
        <row r="7341">
          <cell r="F7341" t="str">
            <v>4E23B0085231</v>
          </cell>
        </row>
        <row r="7342">
          <cell r="F7342" t="str">
            <v>4E23B0085233</v>
          </cell>
        </row>
        <row r="7343">
          <cell r="F7343" t="str">
            <v>4E23C0168123</v>
          </cell>
        </row>
        <row r="7344">
          <cell r="F7344" t="str">
            <v>4E23C0168175</v>
          </cell>
        </row>
        <row r="7345">
          <cell r="F7345" t="str">
            <v>4E23C0168137</v>
          </cell>
        </row>
        <row r="7346">
          <cell r="F7346" t="str">
            <v>4E23C0182550</v>
          </cell>
        </row>
        <row r="7347">
          <cell r="F7347" t="str">
            <v>4E23B0085278</v>
          </cell>
        </row>
        <row r="7348">
          <cell r="F7348" t="str">
            <v>4E23C0168266</v>
          </cell>
        </row>
        <row r="7349">
          <cell r="F7349" t="str">
            <v>4E23C0168521</v>
          </cell>
        </row>
        <row r="7350">
          <cell r="F7350" t="str">
            <v>4E23C0182572</v>
          </cell>
        </row>
        <row r="7351">
          <cell r="F7351" t="str">
            <v>4E23C0182358</v>
          </cell>
        </row>
        <row r="7352">
          <cell r="F7352" t="str">
            <v>4E23C0168317</v>
          </cell>
        </row>
        <row r="7353">
          <cell r="F7353" t="str">
            <v>4E23C0168517</v>
          </cell>
        </row>
        <row r="7354">
          <cell r="F7354" t="str">
            <v>4E23C0168243</v>
          </cell>
        </row>
        <row r="7355">
          <cell r="F7355" t="str">
            <v>4E23B0085083</v>
          </cell>
        </row>
        <row r="7356">
          <cell r="F7356" t="str">
            <v>4E23C0182397</v>
          </cell>
        </row>
        <row r="7357">
          <cell r="F7357" t="str">
            <v>4E23C0182360</v>
          </cell>
        </row>
        <row r="7358">
          <cell r="F7358" t="str">
            <v>4E23C0182365</v>
          </cell>
        </row>
        <row r="7359">
          <cell r="F7359" t="str">
            <v>4E23C0168140</v>
          </cell>
        </row>
        <row r="7360">
          <cell r="F7360" t="str">
            <v>4E23C0168085</v>
          </cell>
        </row>
        <row r="7361">
          <cell r="F7361" t="str">
            <v>4E23C0168125</v>
          </cell>
        </row>
        <row r="7362">
          <cell r="F7362" t="str">
            <v>4E23C0182383</v>
          </cell>
        </row>
        <row r="7363">
          <cell r="F7363" t="str">
            <v>4E23C0182530</v>
          </cell>
        </row>
        <row r="7364">
          <cell r="F7364" t="str">
            <v>4E23C0168348</v>
          </cell>
        </row>
        <row r="7365">
          <cell r="F7365" t="str">
            <v>4E23B0085227</v>
          </cell>
        </row>
        <row r="7366">
          <cell r="F7366" t="str">
            <v>4E23C0168090</v>
          </cell>
        </row>
        <row r="7367">
          <cell r="F7367" t="str">
            <v>4E23C0182525</v>
          </cell>
        </row>
        <row r="7368">
          <cell r="F7368" t="str">
            <v>4E23C0182399</v>
          </cell>
        </row>
        <row r="7369">
          <cell r="F7369" t="str">
            <v>4E23C0168261</v>
          </cell>
        </row>
        <row r="7370">
          <cell r="F7370" t="str">
            <v>4E23C0182416</v>
          </cell>
        </row>
        <row r="7371">
          <cell r="F7371" t="str">
            <v>4E23C0168238</v>
          </cell>
        </row>
        <row r="7372">
          <cell r="F7372" t="str">
            <v>4E23C0168179</v>
          </cell>
        </row>
        <row r="7373">
          <cell r="F7373" t="str">
            <v>4E23C0168128</v>
          </cell>
        </row>
        <row r="7374">
          <cell r="F7374" t="str">
            <v>4E23C0168321</v>
          </cell>
        </row>
        <row r="7375">
          <cell r="F7375" t="str">
            <v>4E23C0168486</v>
          </cell>
        </row>
        <row r="7376">
          <cell r="F7376" t="str">
            <v>4E23C0168093</v>
          </cell>
        </row>
        <row r="7377">
          <cell r="F7377" t="str">
            <v>4E23B0085160</v>
          </cell>
        </row>
        <row r="7378">
          <cell r="F7378" t="str">
            <v>4E23C0168341</v>
          </cell>
        </row>
        <row r="7379">
          <cell r="F7379" t="str">
            <v>4E23C0168336</v>
          </cell>
        </row>
        <row r="7380">
          <cell r="F7380" t="str">
            <v>4E23B0085166</v>
          </cell>
        </row>
        <row r="7381">
          <cell r="F7381" t="str">
            <v>4E23C0168209</v>
          </cell>
        </row>
        <row r="7382">
          <cell r="F7382" t="str">
            <v>4E23C0168136</v>
          </cell>
        </row>
        <row r="7383">
          <cell r="F7383" t="str">
            <v>4E23C0168331</v>
          </cell>
        </row>
        <row r="7384">
          <cell r="F7384" t="str">
            <v>4E23C0182334</v>
          </cell>
        </row>
        <row r="7385">
          <cell r="F7385" t="str">
            <v>4E23C0168359</v>
          </cell>
        </row>
        <row r="7386">
          <cell r="F7386" t="str">
            <v>4E23B0085244</v>
          </cell>
        </row>
        <row r="7387">
          <cell r="F7387" t="str">
            <v>4E23C0182320</v>
          </cell>
        </row>
        <row r="7388">
          <cell r="F7388" t="str">
            <v>4E23C0168189</v>
          </cell>
        </row>
        <row r="7389">
          <cell r="F7389" t="str">
            <v>4E23C0168154</v>
          </cell>
        </row>
        <row r="7390">
          <cell r="F7390" t="str">
            <v>4E23C0182408</v>
          </cell>
        </row>
        <row r="7391">
          <cell r="F7391" t="str">
            <v>4E23B0085226</v>
          </cell>
        </row>
        <row r="7392">
          <cell r="F7392" t="str">
            <v>4E23C0182479</v>
          </cell>
        </row>
        <row r="7393">
          <cell r="F7393" t="str">
            <v>4E23C0168231</v>
          </cell>
        </row>
        <row r="7394">
          <cell r="F7394" t="str">
            <v>4E23C0182344</v>
          </cell>
        </row>
        <row r="7395">
          <cell r="F7395" t="str">
            <v>4E23B0085230</v>
          </cell>
        </row>
        <row r="7396">
          <cell r="F7396" t="str">
            <v>4E23C0182184</v>
          </cell>
        </row>
        <row r="7397">
          <cell r="F7397" t="str">
            <v>4E23C0168343</v>
          </cell>
        </row>
        <row r="7398">
          <cell r="F7398" t="str">
            <v>4E23C0182290</v>
          </cell>
        </row>
        <row r="7399">
          <cell r="F7399" t="str">
            <v>4E23C0182395</v>
          </cell>
        </row>
        <row r="7400">
          <cell r="F7400" t="str">
            <v>4E23C0168229</v>
          </cell>
        </row>
        <row r="7401">
          <cell r="F7401" t="str">
            <v>4E23C0182502</v>
          </cell>
        </row>
        <row r="7402">
          <cell r="F7402" t="str">
            <v>4E23C0168358</v>
          </cell>
        </row>
        <row r="7403">
          <cell r="F7403" t="str">
            <v>4E23C0168124</v>
          </cell>
        </row>
        <row r="7404">
          <cell r="F7404" t="str">
            <v>4E23C0168167</v>
          </cell>
        </row>
        <row r="7405">
          <cell r="F7405" t="str">
            <v>4E23C0182370</v>
          </cell>
        </row>
        <row r="7406">
          <cell r="F7406" t="str">
            <v>4E23C0182511</v>
          </cell>
        </row>
        <row r="7407">
          <cell r="F7407" t="str">
            <v>4E23B0085238</v>
          </cell>
        </row>
        <row r="7408">
          <cell r="F7408" t="str">
            <v>4E23C0182230</v>
          </cell>
        </row>
        <row r="7409">
          <cell r="F7409" t="str">
            <v>4E23C0168364</v>
          </cell>
        </row>
        <row r="7410">
          <cell r="F7410" t="str">
            <v>1023CB199904</v>
          </cell>
        </row>
        <row r="7411">
          <cell r="F7411" t="str">
            <v>1023CB199909</v>
          </cell>
        </row>
        <row r="7412">
          <cell r="F7412" t="str">
            <v>1023CB350643</v>
          </cell>
        </row>
        <row r="7413">
          <cell r="F7413" t="str">
            <v>1023CB072128</v>
          </cell>
        </row>
        <row r="7414">
          <cell r="F7414" t="str">
            <v>1023CB072059</v>
          </cell>
        </row>
        <row r="7415">
          <cell r="F7415" t="str">
            <v>1023CB072110</v>
          </cell>
        </row>
        <row r="7416">
          <cell r="F7416" t="str">
            <v>1023CB072080</v>
          </cell>
        </row>
        <row r="7417">
          <cell r="F7417" t="str">
            <v>1023CB072108</v>
          </cell>
        </row>
        <row r="7418">
          <cell r="F7418" t="str">
            <v>1023CB072072</v>
          </cell>
        </row>
        <row r="7419">
          <cell r="F7419" t="str">
            <v>1023CB199907</v>
          </cell>
        </row>
        <row r="7420">
          <cell r="F7420" t="str">
            <v>1023CB199888</v>
          </cell>
        </row>
        <row r="7421">
          <cell r="F7421" t="str">
            <v>1023CB072077</v>
          </cell>
        </row>
        <row r="7422">
          <cell r="F7422" t="str">
            <v>1023CB350680</v>
          </cell>
        </row>
        <row r="7423">
          <cell r="F7423" t="str">
            <v>1023CB350580</v>
          </cell>
        </row>
        <row r="7424">
          <cell r="F7424" t="str">
            <v>1023CB350685</v>
          </cell>
        </row>
        <row r="7425">
          <cell r="F7425" t="str">
            <v>1023CB350694</v>
          </cell>
        </row>
        <row r="7426">
          <cell r="F7426" t="str">
            <v>1023CB350695</v>
          </cell>
        </row>
        <row r="7427">
          <cell r="F7427" t="str">
            <v>1023CB350651</v>
          </cell>
        </row>
        <row r="7428">
          <cell r="F7428" t="str">
            <v>1023CB199875</v>
          </cell>
        </row>
        <row r="7429">
          <cell r="F7429" t="str">
            <v>1023CB199870</v>
          </cell>
        </row>
        <row r="7430">
          <cell r="F7430" t="str">
            <v>1023CB350665</v>
          </cell>
        </row>
        <row r="7431">
          <cell r="F7431" t="str">
            <v>1023CB072100</v>
          </cell>
        </row>
        <row r="7432">
          <cell r="F7432" t="str">
            <v>1023CB072084</v>
          </cell>
        </row>
        <row r="7433">
          <cell r="F7433" t="str">
            <v>1023CB513232</v>
          </cell>
        </row>
        <row r="7434">
          <cell r="F7434" t="str">
            <v>1023CB513309</v>
          </cell>
        </row>
        <row r="7435">
          <cell r="F7435" t="str">
            <v>1023CB513258</v>
          </cell>
        </row>
        <row r="7436">
          <cell r="F7436" t="str">
            <v>1023CB513293</v>
          </cell>
        </row>
        <row r="7437">
          <cell r="F7437" t="str">
            <v>1023CB199868</v>
          </cell>
        </row>
        <row r="7438">
          <cell r="F7438" t="str">
            <v>1023CB199923</v>
          </cell>
        </row>
        <row r="7439">
          <cell r="F7439" t="str">
            <v>1023CB199933</v>
          </cell>
        </row>
        <row r="7440">
          <cell r="F7440" t="str">
            <v>1023CB199900</v>
          </cell>
        </row>
        <row r="7441">
          <cell r="F7441" t="str">
            <v>1023CB350584</v>
          </cell>
        </row>
        <row r="7442">
          <cell r="F7442" t="str">
            <v>1023CB199864</v>
          </cell>
        </row>
        <row r="7443">
          <cell r="F7443" t="str">
            <v>1023CB350591</v>
          </cell>
        </row>
        <row r="7444">
          <cell r="F7444" t="str">
            <v>1023CB350610</v>
          </cell>
        </row>
        <row r="7445">
          <cell r="F7445" t="str">
            <v>1023CB350666</v>
          </cell>
        </row>
        <row r="7446">
          <cell r="F7446" t="str">
            <v>1023CB350614</v>
          </cell>
        </row>
        <row r="7447">
          <cell r="F7447" t="str">
            <v>1023CB350637</v>
          </cell>
        </row>
        <row r="7448">
          <cell r="F7448" t="str">
            <v>1023CB350624</v>
          </cell>
        </row>
        <row r="7449">
          <cell r="F7449" t="str">
            <v>1023CB350690</v>
          </cell>
        </row>
        <row r="7450">
          <cell r="F7450" t="str">
            <v>1023CB350629</v>
          </cell>
        </row>
        <row r="7451">
          <cell r="F7451" t="str">
            <v>1023CB350595</v>
          </cell>
        </row>
        <row r="7452">
          <cell r="F7452" t="str">
            <v>1023CB350582</v>
          </cell>
        </row>
        <row r="7453">
          <cell r="F7453" t="str">
            <v>1023CB513286</v>
          </cell>
        </row>
        <row r="7454">
          <cell r="F7454" t="str">
            <v>1023CB513296</v>
          </cell>
        </row>
        <row r="7455">
          <cell r="F7455" t="str">
            <v>1023CB199939</v>
          </cell>
        </row>
        <row r="7456">
          <cell r="F7456" t="str">
            <v>1023CB199905</v>
          </cell>
        </row>
        <row r="7457">
          <cell r="F7457" t="str">
            <v>1023CB199902</v>
          </cell>
        </row>
        <row r="7458">
          <cell r="F7458" t="str">
            <v>1023CB199879</v>
          </cell>
        </row>
        <row r="7459">
          <cell r="F7459" t="str">
            <v>1023CB199869</v>
          </cell>
        </row>
        <row r="7460">
          <cell r="F7460" t="str">
            <v>1023CB350689</v>
          </cell>
        </row>
        <row r="7461">
          <cell r="F7461" t="str">
            <v>1023CB513250</v>
          </cell>
        </row>
        <row r="7462">
          <cell r="F7462" t="str">
            <v>1023CB199866</v>
          </cell>
        </row>
        <row r="7463">
          <cell r="F7463" t="str">
            <v>1023CB350597</v>
          </cell>
        </row>
        <row r="7464">
          <cell r="F7464" t="str">
            <v>1023CB350636</v>
          </cell>
        </row>
        <row r="7465">
          <cell r="F7465" t="str">
            <v>1023CB350601</v>
          </cell>
        </row>
        <row r="7466">
          <cell r="F7466" t="str">
            <v>1023CB199935</v>
          </cell>
        </row>
        <row r="7467">
          <cell r="F7467" t="str">
            <v>1023CB199883</v>
          </cell>
        </row>
        <row r="7468">
          <cell r="F7468" t="str">
            <v>1023CB350620</v>
          </cell>
        </row>
        <row r="7469">
          <cell r="F7469" t="str">
            <v>1023CB199906</v>
          </cell>
        </row>
        <row r="7470">
          <cell r="F7470" t="str">
            <v>1023CB199899</v>
          </cell>
        </row>
        <row r="7471">
          <cell r="F7471" t="str">
            <v>1023CB199877</v>
          </cell>
        </row>
        <row r="7472">
          <cell r="F7472" t="str">
            <v>1023CB199920</v>
          </cell>
        </row>
        <row r="7473">
          <cell r="F7473" t="str">
            <v>1023CB072107</v>
          </cell>
        </row>
        <row r="7474">
          <cell r="F7474" t="str">
            <v>1023CB350697</v>
          </cell>
        </row>
        <row r="7475">
          <cell r="F7475" t="str">
            <v>1023CB072079</v>
          </cell>
        </row>
        <row r="7476">
          <cell r="F7476" t="str">
            <v>1023CB199892</v>
          </cell>
        </row>
        <row r="7477">
          <cell r="F7477" t="str">
            <v>1023CB350634</v>
          </cell>
        </row>
        <row r="7478">
          <cell r="F7478" t="str">
            <v>1023CB350650</v>
          </cell>
        </row>
        <row r="7479">
          <cell r="F7479" t="str">
            <v>1023CB350627</v>
          </cell>
        </row>
        <row r="7480">
          <cell r="F7480" t="str">
            <v>1023CB350609</v>
          </cell>
        </row>
        <row r="7481">
          <cell r="F7481" t="str">
            <v>1023CB350599</v>
          </cell>
        </row>
        <row r="7482">
          <cell r="F7482" t="str">
            <v>1023CB350626</v>
          </cell>
        </row>
        <row r="7483">
          <cell r="F7483" t="str">
            <v>1023CB513229</v>
          </cell>
        </row>
        <row r="7484">
          <cell r="F7484" t="str">
            <v>1023CB350674</v>
          </cell>
        </row>
        <row r="7485">
          <cell r="F7485" t="str">
            <v>1023CB350579</v>
          </cell>
        </row>
        <row r="7486">
          <cell r="F7486" t="str">
            <v>1023CB513253</v>
          </cell>
        </row>
        <row r="7487">
          <cell r="F7487" t="str">
            <v>1023CB350581</v>
          </cell>
        </row>
        <row r="7488">
          <cell r="F7488" t="str">
            <v>1023CB350590</v>
          </cell>
        </row>
        <row r="7489">
          <cell r="F7489" t="str">
            <v>1023CB199901</v>
          </cell>
        </row>
        <row r="7490">
          <cell r="F7490" t="str">
            <v>1023CB350644</v>
          </cell>
        </row>
        <row r="7491">
          <cell r="F7491" t="str">
            <v>1023CB350652</v>
          </cell>
        </row>
        <row r="7492">
          <cell r="F7492" t="str">
            <v>1023CB350645</v>
          </cell>
        </row>
        <row r="7493">
          <cell r="F7493" t="str">
            <v>1023CB350654</v>
          </cell>
        </row>
        <row r="7494">
          <cell r="F7494" t="str">
            <v>1023CB199915</v>
          </cell>
        </row>
        <row r="7495">
          <cell r="F7495" t="str">
            <v>1023CB199891</v>
          </cell>
        </row>
        <row r="7496">
          <cell r="F7496" t="str">
            <v>1023CB350625</v>
          </cell>
        </row>
        <row r="7497">
          <cell r="F7497" t="str">
            <v>1023CB350682</v>
          </cell>
        </row>
        <row r="7498">
          <cell r="F7498" t="str">
            <v>1023CB350653</v>
          </cell>
        </row>
        <row r="7499">
          <cell r="F7499" t="str">
            <v>1023CB199887</v>
          </cell>
        </row>
        <row r="7500">
          <cell r="F7500" t="str">
            <v>1023CB350671</v>
          </cell>
        </row>
        <row r="7501">
          <cell r="F7501" t="str">
            <v>1023CB072086</v>
          </cell>
        </row>
        <row r="7502">
          <cell r="F7502" t="str">
            <v>1023CB350628</v>
          </cell>
        </row>
        <row r="7503">
          <cell r="F7503" t="str">
            <v>1023CB350623</v>
          </cell>
        </row>
        <row r="7504">
          <cell r="F7504" t="str">
            <v>23CE10164</v>
          </cell>
        </row>
        <row r="7505">
          <cell r="F7505" t="str">
            <v>23CE10159</v>
          </cell>
        </row>
        <row r="7506">
          <cell r="F7506" t="str">
            <v>23CE10157</v>
          </cell>
        </row>
        <row r="7507">
          <cell r="F7507" t="str">
            <v>23CE10132872806003173204173131</v>
          </cell>
        </row>
        <row r="7508">
          <cell r="F7508" t="str">
            <v>YK04AA41GAHZ</v>
          </cell>
        </row>
        <row r="7509">
          <cell r="F7509" t="str">
            <v>YKO4AA41YHNN</v>
          </cell>
        </row>
        <row r="7510">
          <cell r="F7510" t="str">
            <v>YK04AA41WSUT</v>
          </cell>
        </row>
        <row r="7511">
          <cell r="F7511" t="str">
            <v>YK04AA41VMSP</v>
          </cell>
        </row>
        <row r="7512">
          <cell r="F7512" t="str">
            <v>YK04AA41VLAM</v>
          </cell>
        </row>
        <row r="7513">
          <cell r="F7513" t="str">
            <v>YK04AA41NEIE</v>
          </cell>
        </row>
        <row r="7514">
          <cell r="F7514" t="str">
            <v>YK04AA41HLXS</v>
          </cell>
        </row>
        <row r="7515">
          <cell r="F7515" t="str">
            <v>YK04AA41PTNB</v>
          </cell>
        </row>
        <row r="7516">
          <cell r="F7516" t="str">
            <v>YK04AA41XNAU</v>
          </cell>
        </row>
        <row r="7517">
          <cell r="F7517" t="str">
            <v>YK04AA41UPPU</v>
          </cell>
        </row>
        <row r="7518">
          <cell r="F7518" t="str">
            <v>YK04AA41CMQQ</v>
          </cell>
        </row>
        <row r="7519">
          <cell r="F7519" t="str">
            <v>YK04AA41GAGI</v>
          </cell>
        </row>
        <row r="7520">
          <cell r="F7520" t="str">
            <v>YK04AA41AOIO</v>
          </cell>
        </row>
        <row r="7521">
          <cell r="F7521" t="str">
            <v>YK04AA41WUKP</v>
          </cell>
        </row>
        <row r="7522">
          <cell r="F7522" t="str">
            <v>YK04AA41MRJA</v>
          </cell>
        </row>
        <row r="7523">
          <cell r="F7523" t="str">
            <v>YK04AA41VDSZ</v>
          </cell>
        </row>
        <row r="7524">
          <cell r="F7524" t="str">
            <v>YK04AA41MWGM</v>
          </cell>
        </row>
        <row r="7525">
          <cell r="F7525" t="str">
            <v>YK04AA41UOXX</v>
          </cell>
        </row>
        <row r="7526">
          <cell r="F7526" t="str">
            <v>YK04AA41CKYX</v>
          </cell>
        </row>
        <row r="7527">
          <cell r="F7527" t="str">
            <v>YK04AA41PIBW</v>
          </cell>
        </row>
        <row r="7528">
          <cell r="F7528" t="str">
            <v>YK05AA62UMCA</v>
          </cell>
        </row>
        <row r="7529">
          <cell r="F7529" t="str">
            <v>YK05AA62JIRD</v>
          </cell>
        </row>
        <row r="7530">
          <cell r="F7530" t="str">
            <v>YK05AA62PVMV</v>
          </cell>
        </row>
        <row r="7531">
          <cell r="F7531" t="str">
            <v>YK05AA62PIRD</v>
          </cell>
        </row>
        <row r="7532">
          <cell r="F7532" t="str">
            <v>YK05AA62PXLV</v>
          </cell>
        </row>
        <row r="7533">
          <cell r="F7533" t="str">
            <v>YK05AA71ZNNH</v>
          </cell>
        </row>
        <row r="7534">
          <cell r="F7534" t="str">
            <v>031GGX10J6001117;1023CA872458;1023CA872460</v>
          </cell>
        </row>
        <row r="7535">
          <cell r="F7535" t="str">
            <v>031GGX10J8000415;1023CA872463;1023CA872468</v>
          </cell>
        </row>
        <row r="7536">
          <cell r="F7536" t="str">
            <v>031GGX10F8000050;1023CA872447;1023CA872454</v>
          </cell>
        </row>
        <row r="7537">
          <cell r="F7537" t="str">
            <v>031GGX10JB000510;1023CA872442;1023CA872446</v>
          </cell>
        </row>
        <row r="7538">
          <cell r="F7538" t="str">
            <v>219801A3M2822BX1000N</v>
          </cell>
        </row>
        <row r="7539">
          <cell r="F7539" t="str">
            <v>219801A3M2822BX10009</v>
          </cell>
        </row>
        <row r="7540">
          <cell r="F7540" t="str">
            <v>219801A3M3823CX1000V</v>
          </cell>
        </row>
        <row r="7541">
          <cell r="F7541" t="str">
            <v>219801A3M3823CX1000P</v>
          </cell>
        </row>
        <row r="7542">
          <cell r="F7542" t="str">
            <v>219801A3M3823CX10014</v>
          </cell>
        </row>
        <row r="7543">
          <cell r="F7543" t="str">
            <v>219801A3M3823CX1001R</v>
          </cell>
        </row>
        <row r="7544">
          <cell r="F7544" t="str">
            <v>219801A3M3823CX1001D</v>
          </cell>
        </row>
        <row r="7545">
          <cell r="F7545" t="str">
            <v>219801A3M3823CX1000B</v>
          </cell>
        </row>
        <row r="7546">
          <cell r="F7546" t="str">
            <v>219801A3M3823CX10006</v>
          </cell>
        </row>
        <row r="7547">
          <cell r="F7547" t="str">
            <v>219801A3M3823CX1000X</v>
          </cell>
        </row>
        <row r="7548">
          <cell r="F7548" t="str">
            <v>210235A2X9B23C000005</v>
          </cell>
        </row>
        <row r="7549">
          <cell r="F7549" t="str">
            <v>210235A2X9B23C000029</v>
          </cell>
        </row>
        <row r="7550">
          <cell r="F7550" t="str">
            <v>210235A2X9B23B000006</v>
          </cell>
        </row>
        <row r="7551">
          <cell r="F7551" t="str">
            <v>210235A2X9B23C000001</v>
          </cell>
        </row>
        <row r="7552">
          <cell r="F7552" t="str">
            <v>210235A2X9B23C000026</v>
          </cell>
        </row>
        <row r="7553">
          <cell r="F7553" t="str">
            <v>210235A2X9B23C000032</v>
          </cell>
        </row>
        <row r="7554">
          <cell r="F7554" t="str">
            <v>210235A2X9B23C000007</v>
          </cell>
        </row>
        <row r="7555">
          <cell r="F7555" t="str">
            <v>210235A2X9B23C000036</v>
          </cell>
        </row>
        <row r="7556">
          <cell r="F7556" t="str">
            <v>210235A2X9B23C000002</v>
          </cell>
        </row>
        <row r="7557">
          <cell r="F7557" t="str">
            <v>210235A2X9B23C000003</v>
          </cell>
        </row>
        <row r="7558">
          <cell r="F7558" t="str">
            <v>210235A2X9B23C000006</v>
          </cell>
        </row>
        <row r="7559">
          <cell r="F7559" t="str">
            <v>210235A2X9B23B000004</v>
          </cell>
        </row>
        <row r="7560">
          <cell r="F7560" t="str">
            <v>210235A2X9B23C000013</v>
          </cell>
        </row>
        <row r="7561">
          <cell r="F7561" t="str">
            <v>210235A2X9B23C000031</v>
          </cell>
        </row>
        <row r="7562">
          <cell r="F7562" t="str">
            <v>210235A2Y0X2410C701H</v>
          </cell>
        </row>
        <row r="7563">
          <cell r="F7563" t="str">
            <v>210235A2Y0X2410C700X</v>
          </cell>
        </row>
        <row r="7564">
          <cell r="F7564" t="str">
            <v>210235A2Y0X2410C7001</v>
          </cell>
        </row>
        <row r="7565">
          <cell r="F7565" t="str">
            <v>210235A2Y0X22B0C7007</v>
          </cell>
        </row>
        <row r="7566">
          <cell r="F7566" t="str">
            <v>210235A2Y0X2410C700B</v>
          </cell>
        </row>
        <row r="7567">
          <cell r="F7567" t="str">
            <v>210235A2Y0X2250P000G</v>
          </cell>
        </row>
        <row r="7568">
          <cell r="F7568" t="str">
            <v>210235A2Y0X2410C701B</v>
          </cell>
        </row>
        <row r="7569">
          <cell r="F7569" t="str">
            <v>210235A2Y0X23A0C700P</v>
          </cell>
        </row>
        <row r="7570">
          <cell r="F7570" t="str">
            <v>1023CB525752</v>
          </cell>
        </row>
        <row r="7571">
          <cell r="F7571" t="str">
            <v>1023CB525753</v>
          </cell>
        </row>
        <row r="7572">
          <cell r="F7572" t="str">
            <v>1023CB525755</v>
          </cell>
        </row>
        <row r="7573">
          <cell r="F7573" t="str">
            <v>1023CB525754</v>
          </cell>
        </row>
        <row r="7574">
          <cell r="F7574" t="str">
            <v>1023CB515359</v>
          </cell>
        </row>
        <row r="7575">
          <cell r="F7575" t="str">
            <v>102265368023</v>
          </cell>
        </row>
        <row r="7576">
          <cell r="F7576" t="str">
            <v>1023CB515365</v>
          </cell>
        </row>
        <row r="7577">
          <cell r="F7577" t="str">
            <v>1023CB515388</v>
          </cell>
        </row>
        <row r="7578">
          <cell r="F7578" t="str">
            <v>1023CB515361</v>
          </cell>
        </row>
        <row r="7579">
          <cell r="F7579" t="str">
            <v>1023CB515387</v>
          </cell>
        </row>
        <row r="7580">
          <cell r="F7580" t="str">
            <v>102265368018</v>
          </cell>
        </row>
        <row r="7581">
          <cell r="F7581" t="str">
            <v>1023CB515363</v>
          </cell>
        </row>
        <row r="7582">
          <cell r="F7582" t="str">
            <v>1023CB515357</v>
          </cell>
        </row>
        <row r="7583">
          <cell r="F7583" t="str">
            <v>1023CB515394</v>
          </cell>
        </row>
        <row r="7584">
          <cell r="F7584" t="str">
            <v>1023CB515367</v>
          </cell>
        </row>
        <row r="7585">
          <cell r="F7585" t="str">
            <v>1023CB515369</v>
          </cell>
        </row>
        <row r="7586">
          <cell r="F7586" t="str">
            <v>1023CB515382</v>
          </cell>
        </row>
        <row r="7587">
          <cell r="F7587" t="str">
            <v>1023CB515354</v>
          </cell>
        </row>
        <row r="7588">
          <cell r="F7588" t="str">
            <v>1023CB515362</v>
          </cell>
        </row>
        <row r="7589">
          <cell r="F7589" t="str">
            <v>1023CB515372</v>
          </cell>
        </row>
        <row r="7590">
          <cell r="F7590" t="str">
            <v>1023CB515385</v>
          </cell>
        </row>
        <row r="7591">
          <cell r="F7591" t="str">
            <v>1023CB515376</v>
          </cell>
        </row>
        <row r="7592">
          <cell r="F7592" t="str">
            <v>1023CB515384</v>
          </cell>
        </row>
        <row r="7593">
          <cell r="F7593" t="str">
            <v>1023CB515373</v>
          </cell>
        </row>
        <row r="7594">
          <cell r="F7594" t="str">
            <v>1023CB515381</v>
          </cell>
        </row>
        <row r="7595">
          <cell r="F7595" t="str">
            <v>1023CB515392</v>
          </cell>
        </row>
        <row r="7596">
          <cell r="F7596" t="str">
            <v>1023CB515370</v>
          </cell>
        </row>
        <row r="7597">
          <cell r="F7597" t="str">
            <v>1023CB515389</v>
          </cell>
        </row>
        <row r="7598">
          <cell r="F7598" t="str">
            <v>1023CB515383</v>
          </cell>
        </row>
        <row r="7599">
          <cell r="F7599" t="str">
            <v>1023CB515378</v>
          </cell>
        </row>
        <row r="7600">
          <cell r="F7600" t="str">
            <v>1023CB515393</v>
          </cell>
        </row>
        <row r="7601">
          <cell r="F7601" t="str">
            <v>1023CB515386</v>
          </cell>
        </row>
        <row r="7602">
          <cell r="F7602" t="str">
            <v>1023CB515355</v>
          </cell>
        </row>
        <row r="7603">
          <cell r="F7603" t="str">
            <v>1023CB515377</v>
          </cell>
        </row>
        <row r="7604">
          <cell r="F7604" t="str">
            <v>1023CB515391</v>
          </cell>
        </row>
        <row r="7605">
          <cell r="F7605" t="str">
            <v>1023CB515374</v>
          </cell>
        </row>
        <row r="7606">
          <cell r="F7606" t="str">
            <v>CT0101202312186795</v>
          </cell>
        </row>
        <row r="7607">
          <cell r="F7607" t="str">
            <v>CT01012023121887CA</v>
          </cell>
        </row>
        <row r="7608">
          <cell r="F7608" t="str">
            <v>2305V7219S100302</v>
          </cell>
        </row>
        <row r="7609">
          <cell r="F7609" t="str">
            <v>2305V7219S100301</v>
          </cell>
        </row>
        <row r="7610">
          <cell r="F7610" t="str">
            <v>LK240140002</v>
          </cell>
        </row>
        <row r="7611">
          <cell r="F7611" t="str">
            <v>LK240140001</v>
          </cell>
        </row>
        <row r="7612">
          <cell r="F7612" t="str">
            <v>2F20497D31</v>
          </cell>
        </row>
        <row r="7613">
          <cell r="F7613" t="str">
            <v>2F20497D33</v>
          </cell>
        </row>
        <row r="7614">
          <cell r="F7614" t="str">
            <v>2F20497D34</v>
          </cell>
        </row>
        <row r="7615">
          <cell r="F7615" t="str">
            <v>2F20497D32</v>
          </cell>
        </row>
        <row r="7616">
          <cell r="F7616" t="str">
            <v>S22921001Z400122</v>
          </cell>
        </row>
        <row r="7617">
          <cell r="F7617" t="str">
            <v>S22921001Z400106</v>
          </cell>
        </row>
        <row r="7618">
          <cell r="F7618" t="str">
            <v>S22921001Z400079</v>
          </cell>
        </row>
        <row r="7619">
          <cell r="F7619" t="str">
            <v>S22921001Z400181</v>
          </cell>
        </row>
        <row r="7620">
          <cell r="F7620" t="str">
            <v>S22921001Z400055</v>
          </cell>
        </row>
        <row r="7621">
          <cell r="F7621" t="str">
            <v>S22921001Z400116</v>
          </cell>
        </row>
        <row r="7622">
          <cell r="F7622" t="str">
            <v>S22921001Z400037</v>
          </cell>
        </row>
        <row r="7623">
          <cell r="F7623" t="str">
            <v>S22921001Z400118</v>
          </cell>
        </row>
        <row r="7624">
          <cell r="F7624" t="str">
            <v>S22921001Z400060</v>
          </cell>
        </row>
        <row r="7625">
          <cell r="F7625" t="str">
            <v>S22921001Z400059</v>
          </cell>
        </row>
        <row r="7626">
          <cell r="F7626" t="str">
            <v>S22921001Z400179</v>
          </cell>
        </row>
        <row r="7627">
          <cell r="F7627" t="str">
            <v>S22921001Z400131</v>
          </cell>
        </row>
        <row r="7628">
          <cell r="F7628" t="str">
            <v>S22921001Z400132</v>
          </cell>
        </row>
        <row r="7629">
          <cell r="F7629" t="str">
            <v>S22921001Z400098</v>
          </cell>
        </row>
        <row r="7630">
          <cell r="F7630" t="str">
            <v>S22921001Z400061</v>
          </cell>
        </row>
        <row r="7631">
          <cell r="F7631" t="str">
            <v>S22921001Z400082</v>
          </cell>
        </row>
        <row r="7632">
          <cell r="F7632" t="str">
            <v>S22921001Z400072</v>
          </cell>
        </row>
        <row r="7633">
          <cell r="F7633" t="str">
            <v>S22921001Z400178</v>
          </cell>
        </row>
        <row r="7634">
          <cell r="F7634" t="str">
            <v>W80002312004483</v>
          </cell>
        </row>
        <row r="7635">
          <cell r="F7635" t="str">
            <v>W80002312004484</v>
          </cell>
        </row>
        <row r="7636">
          <cell r="F7636" t="str">
            <v>W80002312004524</v>
          </cell>
        </row>
        <row r="7637">
          <cell r="F7637" t="str">
            <v>W80002312004525</v>
          </cell>
        </row>
        <row r="7638">
          <cell r="F7638" t="str">
            <v>W80002312004475</v>
          </cell>
        </row>
        <row r="7639">
          <cell r="F7639" t="str">
            <v>W80002312004479</v>
          </cell>
        </row>
        <row r="7640">
          <cell r="F7640" t="str">
            <v>W80002312004467</v>
          </cell>
        </row>
        <row r="7641">
          <cell r="F7641" t="str">
            <v>W80002312004472</v>
          </cell>
        </row>
        <row r="7642">
          <cell r="F7642" t="str">
            <v>W80002312004469</v>
          </cell>
        </row>
        <row r="7643">
          <cell r="F7643" t="str">
            <v>W80002312004471</v>
          </cell>
        </row>
        <row r="7644">
          <cell r="F7644" t="str">
            <v>W80002312004477</v>
          </cell>
        </row>
        <row r="7645">
          <cell r="F7645" t="str">
            <v>W80002312004474</v>
          </cell>
        </row>
        <row r="7646">
          <cell r="F7646" t="str">
            <v>W80002312004478</v>
          </cell>
        </row>
        <row r="7647">
          <cell r="F7647" t="str">
            <v>W80002312004482</v>
          </cell>
        </row>
        <row r="7648">
          <cell r="F7648" t="str">
            <v>W80002312004476</v>
          </cell>
        </row>
        <row r="7649">
          <cell r="F7649" t="str">
            <v>W80002312004481</v>
          </cell>
        </row>
        <row r="7650">
          <cell r="F7650" t="str">
            <v>W80002312004480</v>
          </cell>
        </row>
        <row r="7651">
          <cell r="F7651" t="str">
            <v>W80002312004473</v>
          </cell>
        </row>
        <row r="7652">
          <cell r="F7652" t="str">
            <v>W80002312004468</v>
          </cell>
        </row>
        <row r="7653">
          <cell r="F7653" t="str">
            <v>W80002312004470</v>
          </cell>
        </row>
        <row r="7654">
          <cell r="F7654" t="str">
            <v>W80002312004486</v>
          </cell>
        </row>
        <row r="7655">
          <cell r="F7655" t="str">
            <v>W80002312004491</v>
          </cell>
        </row>
        <row r="7656">
          <cell r="F7656" t="str">
            <v>W80002312004488</v>
          </cell>
        </row>
        <row r="7657">
          <cell r="F7657" t="str">
            <v>W80002312004487</v>
          </cell>
        </row>
        <row r="7658">
          <cell r="F7658" t="str">
            <v>W80002312004489</v>
          </cell>
        </row>
        <row r="7659">
          <cell r="F7659" t="str">
            <v>W80002312004490</v>
          </cell>
        </row>
        <row r="7660">
          <cell r="F7660" t="str">
            <v>W80002312004505</v>
          </cell>
        </row>
        <row r="7661">
          <cell r="F7661" t="str">
            <v>W80002312004504</v>
          </cell>
        </row>
        <row r="7662">
          <cell r="F7662" t="str">
            <v>W80002312004506</v>
          </cell>
        </row>
        <row r="7663">
          <cell r="F7663" t="str">
            <v>W80002312004513</v>
          </cell>
        </row>
        <row r="7664">
          <cell r="F7664" t="str">
            <v>W80002312004511</v>
          </cell>
        </row>
        <row r="7665">
          <cell r="F7665" t="str">
            <v>W80002312004507</v>
          </cell>
        </row>
        <row r="7666">
          <cell r="F7666" t="str">
            <v>W80002312004509</v>
          </cell>
        </row>
        <row r="7667">
          <cell r="F7667" t="str">
            <v>W80002312004508</v>
          </cell>
        </row>
        <row r="7668">
          <cell r="F7668" t="str">
            <v>W80002312004512</v>
          </cell>
        </row>
        <row r="7669">
          <cell r="F7669" t="str">
            <v>W80002312004510</v>
          </cell>
        </row>
        <row r="7670">
          <cell r="F7670" t="str">
            <v>W80002312004495</v>
          </cell>
        </row>
        <row r="7671">
          <cell r="F7671" t="str">
            <v>W80002312004494</v>
          </cell>
        </row>
        <row r="7672">
          <cell r="F7672" t="str">
            <v>W80002312004492</v>
          </cell>
        </row>
        <row r="7673">
          <cell r="F7673" t="str">
            <v>W80002312004493</v>
          </cell>
        </row>
        <row r="7674">
          <cell r="F7674" t="str">
            <v>无</v>
          </cell>
        </row>
        <row r="7675">
          <cell r="F7675" t="str">
            <v>2106195HABX3NC000014</v>
          </cell>
        </row>
        <row r="7676">
          <cell r="F7676" t="str">
            <v>2106195HABX3NC000013</v>
          </cell>
        </row>
        <row r="7677">
          <cell r="F7677" t="str">
            <v>2106195HABX3NC000012</v>
          </cell>
        </row>
        <row r="7678">
          <cell r="F7678" t="str">
            <v>2106195HABX3NC000016</v>
          </cell>
        </row>
        <row r="7679">
          <cell r="F7679" t="str">
            <v>2106195HABX3NC000011</v>
          </cell>
        </row>
        <row r="7680">
          <cell r="F7680" t="str">
            <v>2106195HABX3NC000010</v>
          </cell>
        </row>
        <row r="7681">
          <cell r="F7681" t="str">
            <v>2106195HABX3NC000009</v>
          </cell>
        </row>
        <row r="7682">
          <cell r="F7682" t="str">
            <v>2106195HABX3NC000015</v>
          </cell>
        </row>
        <row r="7683">
          <cell r="F7683" t="str">
            <v>2106195GYUX3NC000002</v>
          </cell>
        </row>
        <row r="7684">
          <cell r="F7684" t="str">
            <v>2106195GYUX3NC000016</v>
          </cell>
        </row>
        <row r="7685">
          <cell r="F7685" t="str">
            <v>2106195GYUX3NC000015</v>
          </cell>
        </row>
        <row r="7686">
          <cell r="F7686" t="str">
            <v>2106195GYUX3NC000014</v>
          </cell>
        </row>
        <row r="7687">
          <cell r="F7687" t="str">
            <v>2106195GYUX3NC000013</v>
          </cell>
        </row>
        <row r="7688">
          <cell r="F7688" t="str">
            <v>2106195GYUX3NC000012</v>
          </cell>
        </row>
        <row r="7689">
          <cell r="F7689" t="str">
            <v>2106195GYUX3NC000011</v>
          </cell>
        </row>
        <row r="7690">
          <cell r="F7690" t="str">
            <v>2106195GYUX3NC000010</v>
          </cell>
        </row>
        <row r="7691">
          <cell r="F7691" t="str">
            <v>2106195GYUX3NC000005</v>
          </cell>
        </row>
        <row r="7692">
          <cell r="F7692" t="str">
            <v>2106195GYUX3NC000008</v>
          </cell>
        </row>
        <row r="7693">
          <cell r="F7693" t="str">
            <v>2106195GYUX3NC000004</v>
          </cell>
        </row>
        <row r="7694">
          <cell r="F7694" t="str">
            <v>2106195GYUX3NC000007</v>
          </cell>
        </row>
        <row r="7695">
          <cell r="F7695" t="str">
            <v>2106195GYUX3NC000009</v>
          </cell>
        </row>
        <row r="7696">
          <cell r="F7696" t="str">
            <v>2106195GYUX3NC000006</v>
          </cell>
        </row>
        <row r="7697">
          <cell r="F7697" t="str">
            <v>2106195GYUX3NC000003</v>
          </cell>
        </row>
        <row r="7698">
          <cell r="F7698" t="str">
            <v>2106195GYUX3NC000001</v>
          </cell>
        </row>
        <row r="7699">
          <cell r="F7699" t="str">
            <v>2106195HAJXDNB000004</v>
          </cell>
        </row>
        <row r="7700">
          <cell r="F7700" t="str">
            <v>2106195HAJXDNB000001</v>
          </cell>
        </row>
        <row r="7701">
          <cell r="F7701" t="str">
            <v>2106195HAJXDNB000003</v>
          </cell>
        </row>
        <row r="7702">
          <cell r="F7702" t="str">
            <v>2106195HAJXDNB000002</v>
          </cell>
        </row>
        <row r="7703">
          <cell r="F7703" t="str">
            <v>2106195HADX3NC000002</v>
          </cell>
        </row>
        <row r="7704">
          <cell r="F7704" t="str">
            <v>2106195HADX3NC000001</v>
          </cell>
        </row>
        <row r="7705">
          <cell r="F7705" t="str">
            <v>2106195HADX3NC000003</v>
          </cell>
        </row>
        <row r="7706">
          <cell r="F7706" t="str">
            <v>2106195GYYXDNB000002</v>
          </cell>
        </row>
        <row r="7707">
          <cell r="F7707" t="str">
            <v>2106195GYYXDNB000004</v>
          </cell>
        </row>
        <row r="7708">
          <cell r="F7708" t="str">
            <v>2106195GYYXDNB000003</v>
          </cell>
        </row>
        <row r="7709">
          <cell r="F7709" t="str">
            <v>2106195GYYXDNB000001</v>
          </cell>
        </row>
        <row r="7710">
          <cell r="F7710" t="str">
            <v>2106195GYYXDNB000005</v>
          </cell>
        </row>
        <row r="7711">
          <cell r="F7711" t="str">
            <v>2106195GYYXDNB000006</v>
          </cell>
        </row>
        <row r="7712">
          <cell r="F7712" t="str">
            <v>2106195GYTXDNC000002</v>
          </cell>
        </row>
        <row r="7713">
          <cell r="F7713" t="str">
            <v>2106195GYTXDNC000001</v>
          </cell>
        </row>
        <row r="7714">
          <cell r="F7714" t="str">
            <v>210235A4BK622CVM000T</v>
          </cell>
        </row>
        <row r="7715">
          <cell r="F7715" t="str">
            <v>210235A4BK622CVM000V</v>
          </cell>
        </row>
        <row r="7716">
          <cell r="F7716" t="str">
            <v>210235A4BK622CVM000X</v>
          </cell>
        </row>
        <row r="7717">
          <cell r="F7717" t="str">
            <v>210235A4BK622CVM000W</v>
          </cell>
        </row>
        <row r="7718">
          <cell r="F7718" t="str">
            <v>210235A4BK622CVM000Z</v>
          </cell>
        </row>
        <row r="7719">
          <cell r="F7719" t="str">
            <v>210235A4BK622CVM000Y</v>
          </cell>
        </row>
        <row r="7720">
          <cell r="F7720" t="str">
            <v>PR212K221205SZ00002</v>
          </cell>
        </row>
        <row r="7721">
          <cell r="F7721" t="str">
            <v>PR212K221205SZ00001</v>
          </cell>
        </row>
        <row r="7722">
          <cell r="F7722" t="str">
            <v>PR212K220916SZY00025</v>
          </cell>
        </row>
        <row r="7723">
          <cell r="F7723" t="str">
            <v>PR212K220916SZY00024</v>
          </cell>
        </row>
        <row r="7724">
          <cell r="F7724" t="str">
            <v>PR212K220916SZY00023</v>
          </cell>
        </row>
        <row r="7725">
          <cell r="F7725" t="str">
            <v>PR212K221205SZ00003</v>
          </cell>
        </row>
        <row r="7726">
          <cell r="F7726" t="str">
            <v>2106195HACX3NC000006</v>
          </cell>
        </row>
        <row r="7727">
          <cell r="F7727" t="str">
            <v>2106195HACX3NC000004</v>
          </cell>
        </row>
        <row r="7728">
          <cell r="F7728" t="str">
            <v>2106195HACX3NC000008</v>
          </cell>
        </row>
        <row r="7729">
          <cell r="F7729" t="str">
            <v>2106195HACX3NC000007</v>
          </cell>
        </row>
        <row r="7730">
          <cell r="F7730" t="str">
            <v>2106195HACX3NC000003</v>
          </cell>
        </row>
        <row r="7731">
          <cell r="F7731" t="str">
            <v>2106195HACX3NC000002</v>
          </cell>
        </row>
        <row r="7732">
          <cell r="F7732" t="str">
            <v>2106195HACX3NC000001</v>
          </cell>
        </row>
        <row r="7733">
          <cell r="F7733" t="str">
            <v>2106195HACX3NC000011</v>
          </cell>
        </row>
        <row r="7734">
          <cell r="F7734" t="str">
            <v>2106195HACX3NC000005</v>
          </cell>
        </row>
        <row r="7735">
          <cell r="F7735" t="str">
            <v>2106195HACX3NC000009</v>
          </cell>
        </row>
        <row r="7736">
          <cell r="F7736" t="str">
            <v>2106195HACX3NC000010</v>
          </cell>
        </row>
        <row r="7737">
          <cell r="F7737" t="str">
            <v>2106195HACX3NC000012</v>
          </cell>
        </row>
        <row r="7738">
          <cell r="F7738" t="str">
            <v>2106195HAEX3NC000002</v>
          </cell>
        </row>
        <row r="7739">
          <cell r="F7739" t="str">
            <v>2106195HAEX3NC000004</v>
          </cell>
        </row>
        <row r="7740">
          <cell r="F7740" t="str">
            <v>2106195HAEX3NC000007</v>
          </cell>
        </row>
        <row r="7741">
          <cell r="F7741" t="str">
            <v>2106195HAEX3NC000005</v>
          </cell>
        </row>
        <row r="7742">
          <cell r="F7742" t="str">
            <v>2106195HAEX3NC000006</v>
          </cell>
        </row>
        <row r="7743">
          <cell r="F7743" t="str">
            <v>2106195HAEX3NC000008</v>
          </cell>
        </row>
        <row r="7744">
          <cell r="F7744" t="str">
            <v>2106195HAEX3NC000003</v>
          </cell>
        </row>
        <row r="7745">
          <cell r="F7745" t="str">
            <v>2106195HAEX3NC000001</v>
          </cell>
        </row>
        <row r="7746">
          <cell r="F7746" t="str">
            <v>2106195HAFXDNC000013</v>
          </cell>
        </row>
        <row r="7747">
          <cell r="F7747" t="str">
            <v>2106195HAFXDNC000022</v>
          </cell>
        </row>
        <row r="7748">
          <cell r="F7748" t="str">
            <v>2106195HAFXDNC000023</v>
          </cell>
        </row>
        <row r="7749">
          <cell r="F7749" t="str">
            <v>2106195HAFXDNC000021</v>
          </cell>
        </row>
        <row r="7750">
          <cell r="F7750" t="str">
            <v>2106195HAFXDNC000018</v>
          </cell>
        </row>
        <row r="7751">
          <cell r="F7751" t="str">
            <v>2106195HAFXDNC000017</v>
          </cell>
        </row>
        <row r="7752">
          <cell r="F7752" t="str">
            <v>2106195HAFXDNC000020</v>
          </cell>
        </row>
        <row r="7753">
          <cell r="F7753" t="str">
            <v>2106195HAFXDNC000001</v>
          </cell>
        </row>
        <row r="7754">
          <cell r="F7754" t="str">
            <v>2106195HAFXDNC000019</v>
          </cell>
        </row>
        <row r="7755">
          <cell r="F7755" t="str">
            <v>2106195HAFXDNC000007</v>
          </cell>
        </row>
        <row r="7756">
          <cell r="F7756" t="str">
            <v>2106195HAFXDNC000008</v>
          </cell>
        </row>
        <row r="7757">
          <cell r="F7757" t="str">
            <v>2106195HAFXDNC000014</v>
          </cell>
        </row>
        <row r="7758">
          <cell r="F7758" t="str">
            <v>2106195HAFXDNC000012</v>
          </cell>
        </row>
        <row r="7759">
          <cell r="F7759" t="str">
            <v>2106195HAFXDNC000028</v>
          </cell>
        </row>
        <row r="7760">
          <cell r="F7760" t="str">
            <v>2106195HAFXDNC000027</v>
          </cell>
        </row>
        <row r="7761">
          <cell r="F7761" t="str">
            <v>2106195HAFXDNC000004</v>
          </cell>
        </row>
        <row r="7762">
          <cell r="F7762" t="str">
            <v>2106195HAFXDNC000009</v>
          </cell>
        </row>
        <row r="7763">
          <cell r="F7763" t="str">
            <v>2106195HAFXDNC000025</v>
          </cell>
        </row>
        <row r="7764">
          <cell r="F7764" t="str">
            <v>2106195HAFXDNC000006</v>
          </cell>
        </row>
        <row r="7765">
          <cell r="F7765" t="str">
            <v>2106195HAFXDNC000011</v>
          </cell>
        </row>
        <row r="7766">
          <cell r="F7766" t="str">
            <v>2106195HAFXDNC000010</v>
          </cell>
        </row>
        <row r="7767">
          <cell r="F7767" t="str">
            <v>2106195HAFXDNC000005</v>
          </cell>
        </row>
        <row r="7768">
          <cell r="F7768" t="str">
            <v>2106195HAFXDNC000026</v>
          </cell>
        </row>
        <row r="7769">
          <cell r="F7769" t="str">
            <v>2106195HAFXDNC000015</v>
          </cell>
        </row>
        <row r="7770">
          <cell r="F7770" t="str">
            <v>2106195HAFXDNC000024</v>
          </cell>
        </row>
        <row r="7771">
          <cell r="F7771" t="str">
            <v>2106195HAFXDNC000003</v>
          </cell>
        </row>
        <row r="7772">
          <cell r="F7772" t="str">
            <v>2106195HAFXDNC000016</v>
          </cell>
        </row>
        <row r="7773">
          <cell r="F7773" t="str">
            <v>2106195HAFXDNC000002</v>
          </cell>
        </row>
        <row r="7774">
          <cell r="F7774" t="str">
            <v>2106195HAAXDNC000019</v>
          </cell>
        </row>
        <row r="7775">
          <cell r="F7775" t="str">
            <v>2106195HAAXDNC000018</v>
          </cell>
        </row>
        <row r="7776">
          <cell r="F7776" t="str">
            <v>2106195HAAXDNC000017</v>
          </cell>
        </row>
        <row r="7777">
          <cell r="F7777" t="str">
            <v>2106195HAAXDNC000016</v>
          </cell>
        </row>
        <row r="7778">
          <cell r="F7778" t="str">
            <v>2106195HAAXDNC000015</v>
          </cell>
        </row>
        <row r="7779">
          <cell r="F7779" t="str">
            <v>2106195HAAXDNC000014</v>
          </cell>
        </row>
        <row r="7780">
          <cell r="F7780" t="str">
            <v>2106195HAAXDNC000032</v>
          </cell>
        </row>
        <row r="7781">
          <cell r="F7781" t="str">
            <v>2106195HAAXDNC000036</v>
          </cell>
        </row>
        <row r="7782">
          <cell r="F7782" t="str">
            <v>2106195HAAXDNC000035</v>
          </cell>
        </row>
        <row r="7783">
          <cell r="F7783" t="str">
            <v>2106195HAAXDNC000028</v>
          </cell>
        </row>
        <row r="7784">
          <cell r="F7784" t="str">
            <v>2106195HAAXDNC000020</v>
          </cell>
        </row>
        <row r="7785">
          <cell r="F7785" t="str">
            <v>2106195HAAXDNC000037</v>
          </cell>
        </row>
        <row r="7786">
          <cell r="F7786" t="str">
            <v>2106195HAAXDNC000038</v>
          </cell>
        </row>
        <row r="7787">
          <cell r="F7787" t="str">
            <v>2106195HAAXDNC000022</v>
          </cell>
        </row>
        <row r="7788">
          <cell r="F7788" t="str">
            <v>2106195HAAXDNC000034</v>
          </cell>
        </row>
        <row r="7789">
          <cell r="F7789" t="str">
            <v>2106195HAAXDNC000031</v>
          </cell>
        </row>
        <row r="7790">
          <cell r="F7790" t="str">
            <v>2106195HAAXDNC000021</v>
          </cell>
        </row>
        <row r="7791">
          <cell r="F7791" t="str">
            <v>2106195HAAXDNC000030</v>
          </cell>
        </row>
        <row r="7792">
          <cell r="F7792" t="str">
            <v>2106195HAAXDNC000023</v>
          </cell>
        </row>
        <row r="7793">
          <cell r="F7793" t="str">
            <v>2106195HAAXDNC000033</v>
          </cell>
        </row>
        <row r="7794">
          <cell r="F7794" t="str">
            <v>2106195HAAXDNC000025</v>
          </cell>
        </row>
        <row r="7795">
          <cell r="F7795" t="str">
            <v>2106195HAAXDNC000024</v>
          </cell>
        </row>
        <row r="7796">
          <cell r="F7796" t="str">
            <v>2106195HAAXDNC000040</v>
          </cell>
        </row>
        <row r="7797">
          <cell r="F7797" t="str">
            <v>2106195HAAXDNC000041</v>
          </cell>
        </row>
        <row r="7798">
          <cell r="F7798" t="str">
            <v>2106195HAAXDNC000027</v>
          </cell>
        </row>
        <row r="7799">
          <cell r="F7799" t="str">
            <v>2106195HAAXDNC000042</v>
          </cell>
        </row>
        <row r="7800">
          <cell r="F7800" t="str">
            <v>2106195HAAXDNC000039</v>
          </cell>
        </row>
        <row r="7801">
          <cell r="F7801" t="str">
            <v>2106195HAAXDNC000029</v>
          </cell>
        </row>
        <row r="7802">
          <cell r="F7802" t="str">
            <v>2106195HAAXDNC000013</v>
          </cell>
        </row>
        <row r="7803">
          <cell r="F7803" t="str">
            <v>2106195HAAXDNC000012</v>
          </cell>
        </row>
        <row r="7804">
          <cell r="F7804" t="str">
            <v>2106195HAAXDNC000011</v>
          </cell>
        </row>
        <row r="7805">
          <cell r="F7805" t="str">
            <v>2106195HAAXDNC000010</v>
          </cell>
        </row>
        <row r="7806">
          <cell r="F7806" t="str">
            <v>2106195HAAXDNC000009</v>
          </cell>
        </row>
        <row r="7807">
          <cell r="F7807" t="str">
            <v>2106195HAAXDNC000008</v>
          </cell>
        </row>
        <row r="7808">
          <cell r="F7808" t="str">
            <v>2106195HAAXDNC000007</v>
          </cell>
        </row>
        <row r="7809">
          <cell r="F7809" t="str">
            <v>2106195HAAXDNC000026</v>
          </cell>
        </row>
        <row r="7810">
          <cell r="F7810" t="str">
            <v>2106195HAAXDNC000006</v>
          </cell>
        </row>
        <row r="7811">
          <cell r="F7811" t="str">
            <v>2106195HAAXDNC000005</v>
          </cell>
        </row>
        <row r="7812">
          <cell r="F7812" t="str">
            <v>2106195HAAXDNC000004</v>
          </cell>
        </row>
        <row r="7813">
          <cell r="F7813" t="str">
            <v>2106195HAAXDNC000003</v>
          </cell>
        </row>
        <row r="7814">
          <cell r="F7814" t="str">
            <v>2106195HAAXDNC000002</v>
          </cell>
        </row>
        <row r="7815">
          <cell r="F7815" t="str">
            <v>2106195HAAXDNC000001</v>
          </cell>
        </row>
        <row r="7816">
          <cell r="F7816" t="str">
            <v>2106195HAHXDNC000007</v>
          </cell>
        </row>
        <row r="7817">
          <cell r="F7817" t="str">
            <v>2106195HAHXDNC000023</v>
          </cell>
        </row>
        <row r="7818">
          <cell r="F7818" t="str">
            <v>2106195HAHXDNC000020</v>
          </cell>
        </row>
        <row r="7819">
          <cell r="F7819" t="str">
            <v>2106195HAHXDNC000015</v>
          </cell>
        </row>
        <row r="7820">
          <cell r="F7820" t="str">
            <v>2106195HAHXDNC000021</v>
          </cell>
        </row>
        <row r="7821">
          <cell r="F7821" t="str">
            <v>2106195HAHXDNC000009</v>
          </cell>
        </row>
        <row r="7822">
          <cell r="F7822" t="str">
            <v>2106195HAHXDNC000022</v>
          </cell>
        </row>
        <row r="7823">
          <cell r="F7823" t="str">
            <v>2106195HAHXDNC000019</v>
          </cell>
        </row>
        <row r="7824">
          <cell r="F7824" t="str">
            <v>2106195HAHXDNC000024</v>
          </cell>
        </row>
        <row r="7825">
          <cell r="F7825" t="str">
            <v>2106195HAHXDNC000006</v>
          </cell>
        </row>
        <row r="7826">
          <cell r="F7826" t="str">
            <v>2106195HAHXDNC000017</v>
          </cell>
        </row>
        <row r="7827">
          <cell r="F7827" t="str">
            <v>2106195HAHXDNC000014</v>
          </cell>
        </row>
        <row r="7828">
          <cell r="F7828" t="str">
            <v>2106195HAHXDNC000011</v>
          </cell>
        </row>
        <row r="7829">
          <cell r="F7829" t="str">
            <v>2106195HAHXDNC000012</v>
          </cell>
        </row>
        <row r="7830">
          <cell r="F7830" t="str">
            <v>2106195HAHXDNC000008</v>
          </cell>
        </row>
        <row r="7831">
          <cell r="F7831" t="str">
            <v>2106195HAHXDNC000025</v>
          </cell>
        </row>
        <row r="7832">
          <cell r="F7832" t="str">
            <v>2106195HAHXDNC000005</v>
          </cell>
        </row>
        <row r="7833">
          <cell r="F7833" t="str">
            <v>2106195HAHXDNC000026</v>
          </cell>
        </row>
        <row r="7834">
          <cell r="F7834" t="str">
            <v>2106195HAHXDNC000010</v>
          </cell>
        </row>
        <row r="7835">
          <cell r="F7835" t="str">
            <v>2106195HAHXDNC000002</v>
          </cell>
        </row>
        <row r="7836">
          <cell r="F7836" t="str">
            <v>2106195HAHXDNC000018</v>
          </cell>
        </row>
        <row r="7837">
          <cell r="F7837" t="str">
            <v>2106195HAHXDNC000003</v>
          </cell>
        </row>
        <row r="7838">
          <cell r="F7838" t="str">
            <v>2106195HAHXDNC000013</v>
          </cell>
        </row>
        <row r="7839">
          <cell r="F7839" t="str">
            <v>2106195HAHXDNC000004</v>
          </cell>
        </row>
        <row r="7840">
          <cell r="F7840" t="str">
            <v>2106195HAHXDNC000001</v>
          </cell>
        </row>
        <row r="7841">
          <cell r="F7841" t="str">
            <v>2106195HAHXDNC000016</v>
          </cell>
        </row>
        <row r="7842">
          <cell r="F7842" t="str">
            <v>2106195GYXXDNB000004</v>
          </cell>
        </row>
        <row r="7843">
          <cell r="F7843" t="str">
            <v>2106195GYXXDNB000002</v>
          </cell>
        </row>
        <row r="7844">
          <cell r="F7844" t="str">
            <v>2106195GYXXDNB000007</v>
          </cell>
        </row>
        <row r="7845">
          <cell r="F7845" t="str">
            <v>2106195GYXXDNB000010</v>
          </cell>
        </row>
        <row r="7846">
          <cell r="F7846" t="str">
            <v>2106195GYXXDNB000009</v>
          </cell>
        </row>
        <row r="7847">
          <cell r="F7847" t="str">
            <v>2106195GYXXDNB000006</v>
          </cell>
        </row>
        <row r="7848">
          <cell r="F7848" t="str">
            <v>2106195GYXXDNB000008</v>
          </cell>
        </row>
        <row r="7849">
          <cell r="F7849" t="str">
            <v>2106195GYXXDNB000011</v>
          </cell>
        </row>
        <row r="7850">
          <cell r="F7850" t="str">
            <v>2106195GYXXDNB000001</v>
          </cell>
        </row>
        <row r="7851">
          <cell r="F7851" t="str">
            <v>2106195GYXXDNB000012</v>
          </cell>
        </row>
        <row r="7852">
          <cell r="F7852" t="str">
            <v>2106195GYXXDNB000003</v>
          </cell>
        </row>
        <row r="7853">
          <cell r="F7853" t="str">
            <v>2106195GYXXDNB000005</v>
          </cell>
        </row>
        <row r="7854">
          <cell r="F7854" t="str">
            <v>2106195HAGX3NC000023</v>
          </cell>
        </row>
        <row r="7855">
          <cell r="F7855" t="str">
            <v>2106195HAGX3NC000022</v>
          </cell>
        </row>
        <row r="7856">
          <cell r="F7856" t="str">
            <v>2106195HAGX3NC000016</v>
          </cell>
        </row>
        <row r="7857">
          <cell r="F7857" t="str">
            <v>2106195HAGX3NC000015</v>
          </cell>
        </row>
        <row r="7858">
          <cell r="F7858" t="str">
            <v>2106195HAGX3NC000010</v>
          </cell>
        </row>
        <row r="7859">
          <cell r="F7859" t="str">
            <v>2106195HAGX3NC000008</v>
          </cell>
        </row>
        <row r="7860">
          <cell r="F7860" t="str">
            <v>2106195HAGX3NC000017</v>
          </cell>
        </row>
        <row r="7861">
          <cell r="F7861" t="str">
            <v>2106195HAGX3NC000024</v>
          </cell>
        </row>
        <row r="7862">
          <cell r="F7862" t="str">
            <v>2106195HAGX3NC000003</v>
          </cell>
        </row>
        <row r="7863">
          <cell r="F7863" t="str">
            <v>2106195HAGX3NC000012</v>
          </cell>
        </row>
        <row r="7864">
          <cell r="F7864" t="str">
            <v>2106195HAGX3NC000011</v>
          </cell>
        </row>
        <row r="7865">
          <cell r="F7865" t="str">
            <v>2106195HAGX3NC000018</v>
          </cell>
        </row>
        <row r="7866">
          <cell r="F7866" t="str">
            <v>2106195HAGX3NC000020</v>
          </cell>
        </row>
        <row r="7867">
          <cell r="F7867" t="str">
            <v>2106195HAGX3NC000002</v>
          </cell>
        </row>
        <row r="7868">
          <cell r="F7868" t="str">
            <v>2106195HAGX3NC000005</v>
          </cell>
        </row>
        <row r="7869">
          <cell r="F7869" t="str">
            <v>2106195HAGX3NC000004</v>
          </cell>
        </row>
        <row r="7870">
          <cell r="F7870" t="str">
            <v>2106195HAGX3NC000013</v>
          </cell>
        </row>
        <row r="7871">
          <cell r="F7871" t="str">
            <v>2106195HAGX3NC000001</v>
          </cell>
        </row>
        <row r="7872">
          <cell r="F7872" t="str">
            <v>2106195HAGX3NC000021</v>
          </cell>
        </row>
        <row r="7873">
          <cell r="F7873" t="str">
            <v>2106195HAGX3NC000014</v>
          </cell>
        </row>
        <row r="7874">
          <cell r="F7874" t="str">
            <v>2106195HAGX3NC000019</v>
          </cell>
        </row>
        <row r="7875">
          <cell r="F7875" t="str">
            <v>2106195HAGX3NC000009</v>
          </cell>
        </row>
        <row r="7876">
          <cell r="F7876" t="str">
            <v>2106195HAGX3NC000006</v>
          </cell>
        </row>
        <row r="7877">
          <cell r="F7877" t="str">
            <v>2106195HAGX3NC000007</v>
          </cell>
        </row>
        <row r="7878">
          <cell r="F7878" t="str">
            <v>2106195HAKXENC000002</v>
          </cell>
        </row>
        <row r="7879">
          <cell r="F7879" t="str">
            <v>2106195HAKXENC000005</v>
          </cell>
        </row>
        <row r="7880">
          <cell r="F7880" t="str">
            <v>2106195HAKXENC000001</v>
          </cell>
        </row>
        <row r="7881">
          <cell r="F7881" t="str">
            <v>2106195HAKXENC000003</v>
          </cell>
        </row>
        <row r="7882">
          <cell r="F7882" t="str">
            <v>2106195HAKXENC000004</v>
          </cell>
        </row>
        <row r="7883">
          <cell r="F7883" t="str">
            <v>2106195HAKXENC000006</v>
          </cell>
        </row>
        <row r="7884">
          <cell r="F7884" t="str">
            <v>FPF1934S0AW</v>
          </cell>
        </row>
        <row r="7885">
          <cell r="F7885" t="str">
            <v>FPF1934S0AF</v>
          </cell>
        </row>
        <row r="7886">
          <cell r="F7886" t="str">
            <v>FPF1934S0AV</v>
          </cell>
        </row>
        <row r="7887">
          <cell r="F7887" t="str">
            <v>FPF1934S0AC</v>
          </cell>
        </row>
        <row r="7888">
          <cell r="F7888" t="str">
            <v>2102354NLJN0NC100020</v>
          </cell>
        </row>
        <row r="7889">
          <cell r="F7889" t="str">
            <v>2102354NLJN0NC100021</v>
          </cell>
        </row>
        <row r="7890">
          <cell r="F7890" t="str">
            <v>f5-fgti-cmbp</v>
          </cell>
        </row>
        <row r="7891">
          <cell r="F7891" t="str">
            <v>f5-erbu-kwvc</v>
          </cell>
        </row>
        <row r="7892">
          <cell r="F7892" t="str">
            <v>210235A2TNH22B0C0012</v>
          </cell>
        </row>
        <row r="7893">
          <cell r="F7893" t="str">
            <v>210235A2TNH22B0CG022</v>
          </cell>
        </row>
        <row r="7894">
          <cell r="F7894" t="str">
            <v>210235A2TNH22B0C0011</v>
          </cell>
        </row>
        <row r="7895">
          <cell r="F7895" t="str">
            <v>210235A2TNH22B0C001H</v>
          </cell>
        </row>
        <row r="7896">
          <cell r="F7896" t="str">
            <v>210235A2TNH22B0C000P</v>
          </cell>
        </row>
        <row r="7897">
          <cell r="F7897" t="str">
            <v>210235A2TNH22B0CG049</v>
          </cell>
        </row>
        <row r="7898">
          <cell r="F7898" t="str">
            <v>210235A2TNH22B0CG048</v>
          </cell>
        </row>
        <row r="7899">
          <cell r="F7899" t="str">
            <v>210235A2TNH22B0CG044</v>
          </cell>
        </row>
        <row r="7900">
          <cell r="F7900" t="str">
            <v>210235A2TNH22B0CG023</v>
          </cell>
        </row>
        <row r="7901">
          <cell r="F7901" t="str">
            <v>210235A2TNH22B0CG027</v>
          </cell>
        </row>
        <row r="7902">
          <cell r="F7902" t="str">
            <v>210235A2TNH22B0CG047</v>
          </cell>
        </row>
        <row r="7903">
          <cell r="F7903" t="str">
            <v>210235A2TNH22B0CG054</v>
          </cell>
        </row>
        <row r="7904">
          <cell r="F7904" t="str">
            <v>210235A2TNH22B0CG04K</v>
          </cell>
        </row>
        <row r="7905">
          <cell r="F7905" t="str">
            <v>210235A2TNH22B0CG04B</v>
          </cell>
        </row>
        <row r="7906">
          <cell r="F7906" t="str">
            <v>210235A2TNH22B0CG02F</v>
          </cell>
        </row>
        <row r="7907">
          <cell r="F7907" t="str">
            <v>210235A2TNH22B0CG00J</v>
          </cell>
        </row>
        <row r="7908">
          <cell r="F7908" t="str">
            <v>210235A2TNH22B0CG046</v>
          </cell>
        </row>
        <row r="7909">
          <cell r="F7909" t="str">
            <v>210235A2TNH22B0C000X</v>
          </cell>
        </row>
        <row r="7910">
          <cell r="F7910" t="str">
            <v>210235A2TNH22B0CG01Y</v>
          </cell>
        </row>
        <row r="7911">
          <cell r="F7911" t="str">
            <v>210235A2TNH22B0CG04V</v>
          </cell>
        </row>
        <row r="7912">
          <cell r="F7912" t="str">
            <v>210235A2TNH22B0C002K</v>
          </cell>
        </row>
        <row r="7913">
          <cell r="F7913" t="str">
            <v>210235A2TNH22B0CG02M</v>
          </cell>
        </row>
        <row r="7914">
          <cell r="F7914" t="str">
            <v>210235A2TNH22B0CG04H</v>
          </cell>
        </row>
        <row r="7915">
          <cell r="F7915" t="str">
            <v>210235A2TNH22B0C001Z</v>
          </cell>
        </row>
        <row r="7916">
          <cell r="F7916" t="str">
            <v>210235A2TNH22B0CG04L</v>
          </cell>
        </row>
        <row r="7917">
          <cell r="F7917" t="str">
            <v>210235A2TNH22B0CG04N</v>
          </cell>
        </row>
        <row r="7918">
          <cell r="F7918" t="str">
            <v>210235A2TNH22B0CG02C</v>
          </cell>
        </row>
        <row r="7919">
          <cell r="F7919" t="str">
            <v>210235A2TNH22B0CG01S</v>
          </cell>
        </row>
        <row r="7920">
          <cell r="F7920" t="str">
            <v>210235A2TNH22B0C001J</v>
          </cell>
        </row>
        <row r="7921">
          <cell r="F7921" t="str">
            <v>210235A2TNH22B0CG063</v>
          </cell>
        </row>
        <row r="7922">
          <cell r="F7922" t="str">
            <v>210235A2TNH22B0CG03R</v>
          </cell>
        </row>
        <row r="7923">
          <cell r="F7923" t="str">
            <v>210235A2TNH22B0CG04F</v>
          </cell>
        </row>
        <row r="7924">
          <cell r="F7924" t="str">
            <v>210235A2TNH22B0C001S</v>
          </cell>
        </row>
        <row r="7925">
          <cell r="F7925" t="str">
            <v>210235A2TNH22B0CG00M</v>
          </cell>
        </row>
        <row r="7926">
          <cell r="F7926" t="str">
            <v>210235A2TNH22B0CG007</v>
          </cell>
        </row>
        <row r="7927">
          <cell r="F7927" t="str">
            <v>210235A2TNH22B0C000J</v>
          </cell>
        </row>
        <row r="7928">
          <cell r="F7928" t="str">
            <v>210235A2F0522AN0006X</v>
          </cell>
        </row>
        <row r="7929">
          <cell r="F7929" t="str">
            <v>210235A2F0522AN0007P</v>
          </cell>
        </row>
        <row r="7930">
          <cell r="F7930" t="str">
            <v>210235A2F0522AN0007C</v>
          </cell>
        </row>
        <row r="7931">
          <cell r="F7931" t="str">
            <v>210235A2F0522AN00071</v>
          </cell>
        </row>
        <row r="7932">
          <cell r="F7932" t="str">
            <v>210235A2F0522AN0006W</v>
          </cell>
        </row>
        <row r="7933">
          <cell r="F7933" t="str">
            <v>210235A2F0522AN0007K</v>
          </cell>
        </row>
        <row r="7934">
          <cell r="F7934" t="str">
            <v>210235A2F0522AN00077</v>
          </cell>
        </row>
        <row r="7935">
          <cell r="F7935" t="str">
            <v>210235A2F0522AN0007J</v>
          </cell>
        </row>
        <row r="7936">
          <cell r="F7936" t="str">
            <v>210235A2F0522AN0007F</v>
          </cell>
        </row>
        <row r="7937">
          <cell r="F7937" t="str">
            <v>210235A2F0522AN0006H</v>
          </cell>
        </row>
        <row r="7938">
          <cell r="F7938" t="str">
            <v>210235A2F0522AN0005C</v>
          </cell>
        </row>
        <row r="7939">
          <cell r="F7939" t="str">
            <v>210235A2F0522AN0006V</v>
          </cell>
        </row>
        <row r="7940">
          <cell r="F7940" t="str">
            <v>210235A2YRP22B00000G</v>
          </cell>
        </row>
        <row r="7941">
          <cell r="F7941" t="str">
            <v>210235A2YRP22B00003V</v>
          </cell>
        </row>
        <row r="7942">
          <cell r="F7942" t="str">
            <v>210235A2YRP22B00000J</v>
          </cell>
        </row>
        <row r="7943">
          <cell r="F7943" t="str">
            <v>210235A2YRP22B00000P</v>
          </cell>
        </row>
        <row r="7944">
          <cell r="F7944" t="str">
            <v>2106195GYWX3NC000001</v>
          </cell>
        </row>
        <row r="7945">
          <cell r="F7945" t="str">
            <v>210235A2F0522AN00076</v>
          </cell>
        </row>
        <row r="7946">
          <cell r="F7946" t="str">
            <v>210235A2F0522AN0006P</v>
          </cell>
        </row>
        <row r="7947">
          <cell r="F7947" t="str">
            <v>210235A2F0522AN0006L</v>
          </cell>
        </row>
        <row r="7948">
          <cell r="F7948" t="str">
            <v>210235A2F0522AN0007H</v>
          </cell>
        </row>
        <row r="7949">
          <cell r="F7949" t="str">
            <v>29190254</v>
          </cell>
        </row>
        <row r="7950">
          <cell r="F7950" t="str">
            <v>AFW2000NGWB2F14C83CD3</v>
          </cell>
        </row>
        <row r="7951">
          <cell r="F7951" t="str">
            <v>210235A2H5B22A00G0BV</v>
          </cell>
        </row>
        <row r="7952">
          <cell r="F7952" t="str">
            <v>210235A1XXB228000070</v>
          </cell>
        </row>
        <row r="7953">
          <cell r="F7953" t="str">
            <v>210235A1XXB228000021</v>
          </cell>
        </row>
        <row r="7954">
          <cell r="F7954" t="str">
            <v>219801A293822BJ0001B</v>
          </cell>
        </row>
        <row r="7955">
          <cell r="F7955" t="str">
            <v>219801A293822CJ00002</v>
          </cell>
        </row>
        <row r="7956">
          <cell r="F7956" t="str">
            <v>DGSCB0600010</v>
          </cell>
        </row>
        <row r="7957">
          <cell r="F7957" t="str">
            <v>4739443030303939</v>
          </cell>
        </row>
        <row r="7958">
          <cell r="F7958" t="str">
            <v>4739443030303433</v>
          </cell>
        </row>
        <row r="7959">
          <cell r="F7959" t="str">
            <v>4739443030303434</v>
          </cell>
        </row>
        <row r="7960">
          <cell r="F7960" t="str">
            <v>29190355</v>
          </cell>
        </row>
        <row r="7961">
          <cell r="F7961" t="str">
            <v>BDNZ001180</v>
          </cell>
        </row>
        <row r="7962">
          <cell r="F7962" t="str">
            <v>S-ACF3000/V3.02F14C83CD1</v>
          </cell>
        </row>
        <row r="7963">
          <cell r="F7963" t="str">
            <v>BDGZ001159</v>
          </cell>
        </row>
        <row r="7964">
          <cell r="F7964" t="str">
            <v>BXNZ001617</v>
          </cell>
        </row>
        <row r="7965">
          <cell r="F7965" t="str">
            <v>29190354</v>
          </cell>
        </row>
        <row r="7966">
          <cell r="F7966" t="str">
            <v>29190255</v>
          </cell>
        </row>
        <row r="7967">
          <cell r="F7967" t="str">
            <v>BSJX002898</v>
          </cell>
        </row>
        <row r="7968">
          <cell r="F7968" t="str">
            <v>VM222S023662</v>
          </cell>
        </row>
        <row r="7969">
          <cell r="F7969" t="str">
            <v>RD-CAG-000-09713</v>
          </cell>
        </row>
        <row r="7970">
          <cell r="F7970" t="str">
            <v>B2J4XF3</v>
          </cell>
        </row>
        <row r="7971">
          <cell r="F7971" t="str">
            <v>W1ZCDJ0333</v>
          </cell>
        </row>
        <row r="7972">
          <cell r="F7972" t="str">
            <v>DBSEC-01-202212-0039</v>
          </cell>
        </row>
        <row r="7973">
          <cell r="F7973" t="str">
            <v>DBSEC-01-202212-0040</v>
          </cell>
        </row>
        <row r="7974">
          <cell r="F7974" t="str">
            <v>W1ZCEC0095</v>
          </cell>
        </row>
        <row r="7975">
          <cell r="F7975" t="str">
            <v>W1ZCEH0050</v>
          </cell>
        </row>
        <row r="7976">
          <cell r="F7976" t="str">
            <v>W1ZCEH0047</v>
          </cell>
        </row>
        <row r="7977">
          <cell r="F7977" t="str">
            <v>22-51-Q-0458</v>
          </cell>
        </row>
        <row r="7979">
          <cell r="F7979" t="str">
            <v>29190257</v>
          </cell>
        </row>
        <row r="7980">
          <cell r="F7980" t="str">
            <v>29190359</v>
          </cell>
        </row>
        <row r="7981">
          <cell r="F7981" t="str">
            <v>210235A2H5B22A00G03C</v>
          </cell>
        </row>
        <row r="7982">
          <cell r="F7982" t="str">
            <v>210235A2H5B22A00G05H</v>
          </cell>
        </row>
        <row r="7983">
          <cell r="F7983" t="str">
            <v>4739443030313031</v>
          </cell>
        </row>
        <row r="7984">
          <cell r="F7984" t="str">
            <v>4739443030303435</v>
          </cell>
        </row>
        <row r="7985">
          <cell r="F7985" t="str">
            <v>5030463030313130</v>
          </cell>
        </row>
        <row r="7986">
          <cell r="F7986" t="str">
            <v>5030463030313131</v>
          </cell>
        </row>
        <row r="7987">
          <cell r="F7987" t="str">
            <v>5030463030313039</v>
          </cell>
        </row>
        <row r="7988">
          <cell r="F7988" t="str">
            <v>DGSCB0600015</v>
          </cell>
        </row>
        <row r="7989">
          <cell r="F7989" t="str">
            <v>BHNZ001396</v>
          </cell>
        </row>
        <row r="7990">
          <cell r="F7990" t="str">
            <v>BCNZ001118</v>
          </cell>
        </row>
        <row r="7991">
          <cell r="F7991" t="str">
            <v>BCNZ001119</v>
          </cell>
        </row>
        <row r="7992">
          <cell r="F7992" t="str">
            <v>BCNZ001120</v>
          </cell>
        </row>
        <row r="7993">
          <cell r="F7993" t="str">
            <v>BDNZ001178</v>
          </cell>
        </row>
        <row r="7994">
          <cell r="F7994" t="str">
            <v>BDNZ001179</v>
          </cell>
        </row>
        <row r="7995">
          <cell r="F7995" t="str">
            <v>BHNZ001395</v>
          </cell>
        </row>
        <row r="7996">
          <cell r="F7996" t="str">
            <v>BHNZ001397</v>
          </cell>
        </row>
        <row r="7997">
          <cell r="F7997" t="str">
            <v>BDGZ001160</v>
          </cell>
        </row>
        <row r="7998">
          <cell r="F7998" t="str">
            <v>BHNZ001402</v>
          </cell>
        </row>
        <row r="7999">
          <cell r="F7999" t="str">
            <v>BDGZ001161</v>
          </cell>
        </row>
        <row r="8000">
          <cell r="F8000" t="str">
            <v>BHNZ001400</v>
          </cell>
        </row>
        <row r="8001">
          <cell r="F8001" t="str">
            <v>BHNZ001401</v>
          </cell>
        </row>
        <row r="8002">
          <cell r="F8002" t="str">
            <v>LZ22070504</v>
          </cell>
        </row>
        <row r="8003">
          <cell r="F8003" t="str">
            <v>29190256</v>
          </cell>
        </row>
        <row r="8004">
          <cell r="F8004" t="str">
            <v>80100873T2212020012212120006</v>
          </cell>
        </row>
        <row r="8005">
          <cell r="F8005" t="str">
            <v>C8250FL10P10276</v>
          </cell>
        </row>
        <row r="8006">
          <cell r="F8006" t="str">
            <v>80100873T2212020012212120002</v>
          </cell>
        </row>
        <row r="8007">
          <cell r="F8007" t="str">
            <v>C8250FL10P10441</v>
          </cell>
        </row>
        <row r="8008">
          <cell r="F8008" t="str">
            <v>80100873T2212020012212120009</v>
          </cell>
        </row>
        <row r="8009">
          <cell r="F8009" t="str">
            <v>C8250FL10P10270</v>
          </cell>
        </row>
        <row r="8010">
          <cell r="F8010" t="str">
            <v>80100873T2212020012212120008</v>
          </cell>
        </row>
        <row r="8011">
          <cell r="F8011" t="str">
            <v>C8250FL10P10440</v>
          </cell>
        </row>
        <row r="8012">
          <cell r="F8012" t="str">
            <v>80100873T2212020012212120005</v>
          </cell>
        </row>
        <row r="8013">
          <cell r="F8013" t="str">
            <v>C8250FL10P10272</v>
          </cell>
        </row>
        <row r="8014">
          <cell r="F8014" t="str">
            <v>80100873T2212020012212120010</v>
          </cell>
        </row>
        <row r="8015">
          <cell r="F8015" t="str">
            <v>C8250FL10P10149</v>
          </cell>
        </row>
        <row r="8016">
          <cell r="F8016" t="str">
            <v>80100873T2212020012212120004</v>
          </cell>
        </row>
        <row r="8017">
          <cell r="F8017" t="str">
            <v>C8250FL10P10446</v>
          </cell>
        </row>
        <row r="8018">
          <cell r="F8018" t="str">
            <v>80100873T2212020012212120001</v>
          </cell>
        </row>
        <row r="8019">
          <cell r="F8019" t="str">
            <v>C8250FL10P10355</v>
          </cell>
        </row>
        <row r="8020">
          <cell r="F8020" t="str">
            <v>80100873T2212020012212120011</v>
          </cell>
        </row>
        <row r="8021">
          <cell r="F8021" t="str">
            <v>C8250FL10P10448</v>
          </cell>
        </row>
        <row r="8022">
          <cell r="F8022" t="str">
            <v>80100873T2212020012212120003</v>
          </cell>
        </row>
        <row r="8023">
          <cell r="F8023" t="str">
            <v>C8250FL10P10445</v>
          </cell>
        </row>
        <row r="8024">
          <cell r="F8024" t="str">
            <v>80100873T2212020012212120014</v>
          </cell>
        </row>
        <row r="8025">
          <cell r="F8025" t="str">
            <v>C8250FL10P10324</v>
          </cell>
        </row>
        <row r="8026">
          <cell r="F8026" t="str">
            <v>80100873T2212020012212120013</v>
          </cell>
        </row>
        <row r="8027">
          <cell r="F8027" t="str">
            <v>C8250FL10P10314</v>
          </cell>
        </row>
        <row r="8028">
          <cell r="F8028" t="str">
            <v>80100873T2212020012212120007</v>
          </cell>
        </row>
        <row r="8029">
          <cell r="F8029" t="str">
            <v>C8250FL10P10338</v>
          </cell>
        </row>
        <row r="8030">
          <cell r="F8030" t="str">
            <v>80100873T2212020012212120012</v>
          </cell>
        </row>
        <row r="8031">
          <cell r="F8031" t="str">
            <v>C8250FL10P10450</v>
          </cell>
        </row>
        <row r="8032">
          <cell r="F8032" t="str">
            <v>2106195GYVX3NC000005</v>
          </cell>
        </row>
        <row r="8033">
          <cell r="F8033" t="str">
            <v>2106195GYVX3NC000006</v>
          </cell>
        </row>
        <row r="8034">
          <cell r="F8034" t="str">
            <v>2106195GYVX3NC000012</v>
          </cell>
        </row>
        <row r="8035">
          <cell r="F8035" t="str">
            <v>2106195GYVX3NC000008</v>
          </cell>
        </row>
        <row r="8036">
          <cell r="F8036" t="str">
            <v>2106195GYVX3NC000009</v>
          </cell>
        </row>
        <row r="8037">
          <cell r="F8037" t="str">
            <v>2106195GYVX3NC000010</v>
          </cell>
        </row>
        <row r="8038">
          <cell r="F8038" t="str">
            <v>2106195GYVX3NC000016</v>
          </cell>
        </row>
        <row r="8039">
          <cell r="F8039" t="str">
            <v>2106195GYVX3NC000027</v>
          </cell>
        </row>
        <row r="8040">
          <cell r="F8040" t="str">
            <v>2106195GYVX3NC000030</v>
          </cell>
        </row>
        <row r="8041">
          <cell r="F8041" t="str">
            <v>2106195GYVX3NC000003</v>
          </cell>
        </row>
        <row r="8042">
          <cell r="F8042" t="str">
            <v>2106195GYVX3NC000001</v>
          </cell>
        </row>
        <row r="8043">
          <cell r="F8043" t="str">
            <v>2106195GYVX3NC000015</v>
          </cell>
        </row>
        <row r="8044">
          <cell r="F8044" t="str">
            <v>2106195GYVX3NC000018</v>
          </cell>
        </row>
        <row r="8045">
          <cell r="F8045" t="str">
            <v>2106195GYVX3NC000017</v>
          </cell>
        </row>
        <row r="8046">
          <cell r="F8046" t="str">
            <v>2106195GYVX3NC000025</v>
          </cell>
        </row>
        <row r="8047">
          <cell r="F8047" t="str">
            <v>2106195GYVX3NC000029</v>
          </cell>
        </row>
        <row r="8048">
          <cell r="F8048" t="str">
            <v>2106195GYVX3NC000024</v>
          </cell>
        </row>
        <row r="8049">
          <cell r="F8049" t="str">
            <v>2106195GYVX3NC000028</v>
          </cell>
        </row>
        <row r="8050">
          <cell r="F8050" t="str">
            <v>2106195GYVX3NC000019</v>
          </cell>
        </row>
        <row r="8051">
          <cell r="F8051" t="str">
            <v>2106195GYVX3NC000004</v>
          </cell>
        </row>
        <row r="8052">
          <cell r="F8052" t="str">
            <v>2106195GYVX3NC000026</v>
          </cell>
        </row>
        <row r="8053">
          <cell r="F8053" t="str">
            <v>2106195GYVX3NC000021</v>
          </cell>
        </row>
        <row r="8054">
          <cell r="F8054" t="str">
            <v>2106195GYVX3NC000002</v>
          </cell>
        </row>
        <row r="8055">
          <cell r="F8055" t="str">
            <v>2106195GYVX3NC000023</v>
          </cell>
        </row>
        <row r="8056">
          <cell r="F8056" t="str">
            <v>2106195GYVX3NC000020</v>
          </cell>
        </row>
        <row r="8057">
          <cell r="F8057" t="str">
            <v>2106195GYVX3NC000007</v>
          </cell>
        </row>
        <row r="8058">
          <cell r="F8058" t="str">
            <v>2106195GYVX3NC000011</v>
          </cell>
        </row>
        <row r="8059">
          <cell r="F8059" t="str">
            <v>2106195GYVX3NC000031</v>
          </cell>
        </row>
        <row r="8060">
          <cell r="F8060" t="str">
            <v>2106195GYVX3NC000022</v>
          </cell>
        </row>
        <row r="8061">
          <cell r="F8061" t="str">
            <v>2106195GYVX3NC000014</v>
          </cell>
        </row>
        <row r="8062">
          <cell r="F8062" t="str">
            <v>2106195GYVX3NC000032</v>
          </cell>
        </row>
        <row r="8063">
          <cell r="F8063" t="str">
            <v>2106195GYVX3NC000013</v>
          </cell>
        </row>
        <row r="8064">
          <cell r="F8064" t="str">
            <v>RD-CAD-000-09318</v>
          </cell>
        </row>
        <row r="8065">
          <cell r="F8065" t="str">
            <v>RD-CAG-000-09714</v>
          </cell>
        </row>
        <row r="8066">
          <cell r="F8066" t="str">
            <v>NA221200164</v>
          </cell>
        </row>
        <row r="8067">
          <cell r="F8067" t="str">
            <v>VT22D00402</v>
          </cell>
        </row>
        <row r="8068">
          <cell r="F8068" t="str">
            <v>RD-CAD-000-09319</v>
          </cell>
        </row>
        <row r="8069">
          <cell r="F8069" t="str">
            <v>VT22D00401</v>
          </cell>
        </row>
        <row r="8070">
          <cell r="F8070" t="str">
            <v>DCTBNM3</v>
          </cell>
        </row>
        <row r="8071">
          <cell r="F8071" t="str">
            <v>W1ZCEC0096</v>
          </cell>
        </row>
        <row r="8072">
          <cell r="F8072" t="str">
            <v>DBSEC-01-202212-0038</v>
          </cell>
        </row>
        <row r="8073">
          <cell r="F8073" t="str">
            <v>DBSEC-01-202212-0037</v>
          </cell>
        </row>
        <row r="8074">
          <cell r="F8074" t="str">
            <v>W1ZCEH0044</v>
          </cell>
        </row>
        <row r="8075">
          <cell r="F8075" t="str">
            <v>W1ZCEH0045</v>
          </cell>
        </row>
        <row r="8076">
          <cell r="F8076" t="str">
            <v>WIXCEH0241</v>
          </cell>
        </row>
        <row r="8077">
          <cell r="F8077" t="str">
            <v>WIXCEH0239</v>
          </cell>
        </row>
        <row r="8078">
          <cell r="F8078" t="str">
            <v>BXGZ001259</v>
          </cell>
        </row>
        <row r="8079">
          <cell r="F8079" t="str">
            <v>AFW2000NGFWB2F14C83CD2</v>
          </cell>
        </row>
        <row r="8080">
          <cell r="F8080" t="str">
            <v>AFW2000NGFWB2F14C83CD1</v>
          </cell>
        </row>
        <row r="8081">
          <cell r="F8081" t="str">
            <v>210235A2H7B229000042</v>
          </cell>
        </row>
        <row r="8082">
          <cell r="F8082" t="str">
            <v>210235A2H7B21C000017</v>
          </cell>
        </row>
        <row r="8083">
          <cell r="F8083" t="str">
            <v>ASG10000/V1.0B2F14C83CD1</v>
          </cell>
        </row>
        <row r="8084">
          <cell r="F8084" t="str">
            <v>ASG10000/V1.0B2F14C83CD2</v>
          </cell>
        </row>
        <row r="8085">
          <cell r="F8085" t="str">
            <v>S22921001Z400194</v>
          </cell>
        </row>
        <row r="8086">
          <cell r="F8086" t="str">
            <v>S22921001Z400102</v>
          </cell>
        </row>
        <row r="8087">
          <cell r="F8087" t="str">
            <v>S22921001Z400048</v>
          </cell>
        </row>
        <row r="8088">
          <cell r="F8088" t="str">
            <v>20221201011C14002</v>
          </cell>
        </row>
        <row r="8089">
          <cell r="F8089" t="str">
            <v>S22921001Z400124</v>
          </cell>
        </row>
        <row r="8090">
          <cell r="F8090" t="str">
            <v>20221201011C14004</v>
          </cell>
        </row>
        <row r="8091">
          <cell r="F8091" t="str">
            <v>20221201011C14003</v>
          </cell>
        </row>
        <row r="8092">
          <cell r="F8092" t="str">
            <v>20221201011C14001</v>
          </cell>
        </row>
        <row r="8093">
          <cell r="F8093" t="str">
            <v>W96012212000900</v>
          </cell>
        </row>
        <row r="8094">
          <cell r="F8094" t="str">
            <v>W96012212000899</v>
          </cell>
        </row>
        <row r="8095">
          <cell r="F8095" t="str">
            <v>W96012212000898</v>
          </cell>
        </row>
        <row r="8096">
          <cell r="F8096" t="str">
            <v>W96012212000897</v>
          </cell>
        </row>
        <row r="8097">
          <cell r="F8097" t="str">
            <v>S22921001Z400120</v>
          </cell>
        </row>
        <row r="8098">
          <cell r="F8098" t="str">
            <v>S22921001Z400197</v>
          </cell>
        </row>
        <row r="8099">
          <cell r="F8099" t="str">
            <v>W96012212000919</v>
          </cell>
        </row>
        <row r="8100">
          <cell r="F8100" t="str">
            <v>W96012212000918</v>
          </cell>
        </row>
        <row r="8101">
          <cell r="F8101" t="str">
            <v>JPG194900XK</v>
          </cell>
        </row>
        <row r="8102">
          <cell r="F8102" t="str">
            <v>AMS18160311</v>
          </cell>
        </row>
        <row r="8103">
          <cell r="F8103" t="str">
            <v>AMS14420067</v>
          </cell>
        </row>
        <row r="8104">
          <cell r="F8104" t="str">
            <v>21013018452128030005</v>
          </cell>
        </row>
        <row r="8105">
          <cell r="F8105" t="str">
            <v>21F01045052128010002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8111"/>
  <sheetViews>
    <sheetView tabSelected="1" view="pageBreakPreview" zoomScale="85" zoomScaleNormal="70" workbookViewId="0">
      <pane xSplit="6" ySplit="1" topLeftCell="G8097" activePane="bottomRight" state="frozen"/>
      <selection/>
      <selection pane="topRight"/>
      <selection pane="bottomLeft"/>
      <selection pane="bottomRight" activeCell="J1" sqref="J1"/>
    </sheetView>
  </sheetViews>
  <sheetFormatPr defaultColWidth="17.0925925925926" defaultRowHeight="13.2"/>
  <cols>
    <col min="1" max="1" width="8.90740740740741" customWidth="1"/>
    <col min="2" max="2" width="7.63888888888889" hidden="1" customWidth="1"/>
    <col min="3" max="3" width="7.22222222222222" hidden="1" customWidth="1"/>
    <col min="4" max="4" width="15.3055555555556" style="30" customWidth="1"/>
    <col min="5" max="5" width="18.4814814814815" style="31" customWidth="1"/>
    <col min="6" max="6" width="26.3888888888889" style="30" customWidth="1"/>
    <col min="7" max="7" width="26.712962962963" style="26" customWidth="1"/>
    <col min="8" max="8" width="23.7777777777778" style="26" customWidth="1"/>
    <col min="9" max="10" width="19.3796296296296" style="32" customWidth="1"/>
    <col min="11" max="11" width="15.9166666666667" style="26" customWidth="1"/>
    <col min="12" max="12" width="22.2407407407407" style="26" customWidth="1"/>
    <col min="13" max="13" width="21.8703703703704" customWidth="1"/>
  </cols>
  <sheetData>
    <row r="1" ht="31" customHeight="1" spans="1:13">
      <c r="A1" s="33" t="s">
        <v>0</v>
      </c>
      <c r="B1" s="33" t="s">
        <v>1</v>
      </c>
      <c r="C1" s="33" t="s">
        <v>2</v>
      </c>
      <c r="D1" s="34" t="s">
        <v>3</v>
      </c>
      <c r="E1" s="34" t="s">
        <v>4</v>
      </c>
      <c r="F1" s="33" t="s">
        <v>5</v>
      </c>
      <c r="G1" s="35" t="s">
        <v>6</v>
      </c>
      <c r="H1" s="36" t="s">
        <v>7</v>
      </c>
      <c r="I1" s="37" t="s">
        <v>8</v>
      </c>
      <c r="J1" s="38"/>
      <c r="K1" s="39" t="s">
        <v>9</v>
      </c>
      <c r="L1" s="39" t="s">
        <v>10</v>
      </c>
      <c r="M1" s="40" t="s">
        <v>11</v>
      </c>
    </row>
    <row r="2" ht="30" customHeight="1" spans="1:13">
      <c r="A2" s="41">
        <f>IF(C2="","",SUBTOTAL(103,$C$2:C2))</f>
        <v>1</v>
      </c>
      <c r="B2" s="41">
        <v>806</v>
      </c>
      <c r="C2" s="41">
        <v>5381</v>
      </c>
      <c r="D2" s="41" t="s">
        <v>12</v>
      </c>
      <c r="E2" s="41" t="s">
        <v>13</v>
      </c>
      <c r="F2" s="42" t="s">
        <v>14</v>
      </c>
      <c r="G2" s="42" t="s">
        <v>15</v>
      </c>
      <c r="H2" s="41" t="s">
        <v>16</v>
      </c>
      <c r="I2" s="43">
        <v>12</v>
      </c>
      <c r="J2" s="44" t="str">
        <f>VLOOKUP(G2,[1]硬件清单!$F:$F,1,0)</f>
        <v>施耐德：UJ-2W7T04001、伊顿:4L385BAB03</v>
      </c>
      <c r="K2" s="44" t="str">
        <f>VLOOKUP(G2,[1]硬件清单!$F:$F,1,0)</f>
        <v>施耐德：UJ-2W7T04001、伊顿:4L385BAB03</v>
      </c>
      <c r="L2" s="44" t="s">
        <v>17</v>
      </c>
      <c r="M2" s="45" t="s">
        <v>18</v>
      </c>
    </row>
    <row r="3" ht="43" customHeight="1" spans="1:13">
      <c r="A3" s="41">
        <f>IF(C3="","",SUBTOTAL(103,$C$2:C3))</f>
        <v>2</v>
      </c>
      <c r="B3" s="41">
        <v>5298</v>
      </c>
      <c r="C3" s="41">
        <v>713</v>
      </c>
      <c r="D3" s="41" t="s">
        <v>19</v>
      </c>
      <c r="E3" s="41" t="s">
        <v>20</v>
      </c>
      <c r="F3" s="41" t="s">
        <v>21</v>
      </c>
      <c r="G3" s="41" t="s">
        <v>22</v>
      </c>
      <c r="H3" s="41" t="s">
        <v>23</v>
      </c>
      <c r="I3" s="43">
        <v>12</v>
      </c>
      <c r="J3" s="44" t="str">
        <f>VLOOKUP(G3,[1]硬件清单!$F:$F,1,0)</f>
        <v>SNC-4000V3.0-201534-0025
SNC-4000V3.0-201534-0001
SNC-4000V3.0-291215-00211
SNC-4000V3.0-291215-00212
201804260092
201804260032</v>
      </c>
      <c r="K3" s="44" t="str">
        <f>VLOOKUP(G3,[1]硬件清单!$F:$F,1,0)</f>
        <v>SNC-4000V3.0-201534-0025
SNC-4000V3.0-201534-0001
SNC-4000V3.0-291215-00211
SNC-4000V3.0-291215-00212
201804260092
201804260032</v>
      </c>
      <c r="L3" s="44"/>
      <c r="M3" s="45" t="s">
        <v>24</v>
      </c>
    </row>
    <row r="4" ht="30" customHeight="1" spans="1:13">
      <c r="A4" s="41">
        <f>IF(C4="","",SUBTOTAL(103,$C$2:C4))</f>
        <v>3</v>
      </c>
      <c r="B4" s="41">
        <v>5299</v>
      </c>
      <c r="C4" s="41">
        <v>714</v>
      </c>
      <c r="D4" s="41" t="s">
        <v>19</v>
      </c>
      <c r="E4" s="41" t="s">
        <v>20</v>
      </c>
      <c r="F4" s="41" t="s">
        <v>21</v>
      </c>
      <c r="G4" s="41" t="s">
        <v>25</v>
      </c>
      <c r="H4" s="41" t="s">
        <v>26</v>
      </c>
      <c r="I4" s="43">
        <v>12</v>
      </c>
      <c r="J4" s="44" t="str">
        <f>VLOOKUP(G4,[1]硬件清单!$F:$F,1,0)</f>
        <v>SNC-4000V3.0-201534-0027
SNC-4000V3.0-201534-0023
201811220063
201804260095</v>
      </c>
      <c r="K4" s="44" t="str">
        <f>VLOOKUP(G4,[1]硬件清单!$F:$F,1,0)</f>
        <v>SNC-4000V3.0-201534-0027
SNC-4000V3.0-201534-0023
201811220063
201804260095</v>
      </c>
      <c r="L4" s="44"/>
      <c r="M4" s="45" t="s">
        <v>27</v>
      </c>
    </row>
    <row r="5" ht="30" customHeight="1" spans="1:13">
      <c r="A5" s="41">
        <f>IF(C5="","",SUBTOTAL(103,$C$2:C5))</f>
        <v>4</v>
      </c>
      <c r="B5" s="41">
        <v>5300</v>
      </c>
      <c r="C5" s="41">
        <v>715</v>
      </c>
      <c r="D5" s="41" t="s">
        <v>19</v>
      </c>
      <c r="E5" s="41" t="s">
        <v>20</v>
      </c>
      <c r="F5" s="41" t="s">
        <v>21</v>
      </c>
      <c r="G5" s="41" t="s">
        <v>28</v>
      </c>
      <c r="H5" s="41" t="s">
        <v>29</v>
      </c>
      <c r="I5" s="43">
        <v>12</v>
      </c>
      <c r="J5" s="44" t="str">
        <f>VLOOKUP(G5,[1]硬件清单!$F:$F,1,0)</f>
        <v>SNC-4000V3.0-201534-0026
SNC-4000V3.0-201534-0024
201811220094
201811220027</v>
      </c>
      <c r="K5" s="44" t="str">
        <f>VLOOKUP(G5,[1]硬件清单!$F:$F,1,0)</f>
        <v>SNC-4000V3.0-201534-0026
SNC-4000V3.0-201534-0024
201811220094
201811220027</v>
      </c>
      <c r="L5" s="44"/>
      <c r="M5" s="45" t="s">
        <v>30</v>
      </c>
    </row>
    <row r="6" ht="30" customHeight="1" spans="1:13">
      <c r="A6" s="41">
        <f>IF(C6="","",SUBTOTAL(103,$C$2:C6))</f>
        <v>5</v>
      </c>
      <c r="B6" s="41">
        <v>5301</v>
      </c>
      <c r="C6" s="41">
        <v>716</v>
      </c>
      <c r="D6" s="41" t="s">
        <v>19</v>
      </c>
      <c r="E6" s="41" t="s">
        <v>20</v>
      </c>
      <c r="F6" s="41" t="s">
        <v>21</v>
      </c>
      <c r="G6" s="41" t="s">
        <v>31</v>
      </c>
      <c r="H6" s="41" t="s">
        <v>32</v>
      </c>
      <c r="I6" s="43">
        <v>12</v>
      </c>
      <c r="J6" s="44" t="str">
        <f>VLOOKUP(G6,[1]硬件清单!$F:$F,1,0)</f>
        <v>SNC-4000V3.0-201534-0021
SNC-4000V3.0-201534-0022
201804260025
201804260021</v>
      </c>
      <c r="K6" s="44" t="str">
        <f>VLOOKUP(G6,[1]硬件清单!$F:$F,1,0)</f>
        <v>SNC-4000V3.0-201534-0021
SNC-4000V3.0-201534-0022
201804260025
201804260021</v>
      </c>
      <c r="L6" s="44"/>
      <c r="M6" s="45" t="s">
        <v>33</v>
      </c>
    </row>
    <row r="7" ht="30" customHeight="1" spans="1:13">
      <c r="A7" s="41">
        <f>IF(C7="","",SUBTOTAL(103,$C$2:C7))</f>
        <v>6</v>
      </c>
      <c r="B7" s="41">
        <v>5302</v>
      </c>
      <c r="C7" s="41">
        <v>717</v>
      </c>
      <c r="D7" s="41" t="s">
        <v>19</v>
      </c>
      <c r="E7" s="41" t="s">
        <v>34</v>
      </c>
      <c r="F7" s="41" t="s">
        <v>35</v>
      </c>
      <c r="G7" s="41" t="s">
        <v>36</v>
      </c>
      <c r="H7" s="41" t="s">
        <v>37</v>
      </c>
      <c r="I7" s="43">
        <v>12</v>
      </c>
      <c r="J7" s="44" t="str">
        <f>VLOOKUP(G7,[1]硬件清单!$F:$F,1,0)</f>
        <v>2102300653P0KB000260</v>
      </c>
      <c r="K7" s="44" t="str">
        <f>VLOOKUP(G7,[1]硬件清单!$F:$F,1,0)</f>
        <v>2102300653P0KB000260</v>
      </c>
      <c r="L7" s="44"/>
      <c r="M7" s="45" t="s">
        <v>38</v>
      </c>
    </row>
    <row r="8" ht="30" customHeight="1" spans="1:13">
      <c r="A8" s="41">
        <f>IF(C8="","",SUBTOTAL(103,$C$2:C8))</f>
        <v>7</v>
      </c>
      <c r="B8" s="41">
        <v>5303</v>
      </c>
      <c r="C8" s="41">
        <v>718</v>
      </c>
      <c r="D8" s="41" t="s">
        <v>19</v>
      </c>
      <c r="E8" s="41" t="s">
        <v>34</v>
      </c>
      <c r="F8" s="41" t="s">
        <v>35</v>
      </c>
      <c r="G8" s="41" t="s">
        <v>39</v>
      </c>
      <c r="H8" s="41" t="s">
        <v>40</v>
      </c>
      <c r="I8" s="43">
        <v>12</v>
      </c>
      <c r="J8" s="44" t="str">
        <f>VLOOKUP(G8,[1]硬件清单!$F:$F,1,0)</f>
        <v>2102300653P0KB000259</v>
      </c>
      <c r="K8" s="44" t="str">
        <f>VLOOKUP(G8,[1]硬件清单!$F:$F,1,0)</f>
        <v>2102300653P0KB000259</v>
      </c>
      <c r="L8" s="44"/>
      <c r="M8" s="45" t="s">
        <v>41</v>
      </c>
    </row>
    <row r="9" ht="30" customHeight="1" spans="1:13">
      <c r="A9" s="41">
        <f>IF(C9="","",SUBTOTAL(103,$C$2:C9))</f>
        <v>8</v>
      </c>
      <c r="B9" s="41">
        <v>5304</v>
      </c>
      <c r="C9" s="41">
        <v>719</v>
      </c>
      <c r="D9" s="41" t="s">
        <v>19</v>
      </c>
      <c r="E9" s="41" t="s">
        <v>34</v>
      </c>
      <c r="F9" s="41" t="s">
        <v>35</v>
      </c>
      <c r="G9" s="41" t="s">
        <v>42</v>
      </c>
      <c r="H9" s="41" t="s">
        <v>43</v>
      </c>
      <c r="I9" s="43">
        <v>12</v>
      </c>
      <c r="J9" s="44" t="str">
        <f>VLOOKUP(G9,[1]硬件清单!$F:$F,1,0)</f>
        <v>2102300653P0KB000261</v>
      </c>
      <c r="K9" s="44" t="str">
        <f>VLOOKUP(G9,[1]硬件清单!$F:$F,1,0)</f>
        <v>2102300653P0KB000261</v>
      </c>
      <c r="L9" s="44"/>
      <c r="M9" s="45" t="s">
        <v>44</v>
      </c>
    </row>
    <row r="10" ht="30" customHeight="1" spans="1:13">
      <c r="A10" s="41">
        <f>IF(C10="","",SUBTOTAL(103,$C$2:C10))</f>
        <v>9</v>
      </c>
      <c r="B10" s="41">
        <v>11512</v>
      </c>
      <c r="C10" s="41">
        <v>169</v>
      </c>
      <c r="D10" s="41" t="s">
        <v>45</v>
      </c>
      <c r="E10" s="41" t="s">
        <v>46</v>
      </c>
      <c r="F10" s="41" t="s">
        <v>47</v>
      </c>
      <c r="G10" s="41" t="s">
        <v>48</v>
      </c>
      <c r="H10" s="41" t="s">
        <v>49</v>
      </c>
      <c r="I10" s="43">
        <v>12</v>
      </c>
      <c r="J10" s="44" t="str">
        <f>VLOOKUP(G10,[1]硬件清单!$F:$F,1,0)</f>
        <v>MDLZ-K1115-2U16S-2620V4-OBCR</v>
      </c>
      <c r="K10" s="44" t="str">
        <f>VLOOKUP(G10,[1]硬件清单!$F:$F,1,0)</f>
        <v>MDLZ-K1115-2U16S-2620V4-OBCR</v>
      </c>
      <c r="L10" s="44"/>
      <c r="M10" s="45" t="s">
        <v>50</v>
      </c>
    </row>
    <row r="11" ht="30" customHeight="1" spans="1:13">
      <c r="A11" s="41">
        <f>IF(C11="","",SUBTOTAL(103,$C$2:C11))</f>
        <v>10</v>
      </c>
      <c r="B11" s="41">
        <v>11513</v>
      </c>
      <c r="C11" s="41">
        <v>170</v>
      </c>
      <c r="D11" s="41" t="s">
        <v>45</v>
      </c>
      <c r="E11" s="41" t="s">
        <v>46</v>
      </c>
      <c r="F11" s="41" t="s">
        <v>47</v>
      </c>
      <c r="G11" s="41" t="s">
        <v>51</v>
      </c>
      <c r="H11" s="41" t="s">
        <v>52</v>
      </c>
      <c r="I11" s="43">
        <v>12</v>
      </c>
      <c r="J11" s="44" t="str">
        <f>VLOOKUP(G11,[1]硬件清单!$F:$F,1,0)</f>
        <v>MDLZ-K1115-2U16S-2620V4-OBCQ</v>
      </c>
      <c r="K11" s="44" t="str">
        <f>VLOOKUP(G11,[1]硬件清单!$F:$F,1,0)</f>
        <v>MDLZ-K1115-2U16S-2620V4-OBCQ</v>
      </c>
      <c r="L11" s="44"/>
      <c r="M11" s="45" t="s">
        <v>53</v>
      </c>
    </row>
    <row r="12" ht="30" customHeight="1" spans="1:13">
      <c r="A12" s="41">
        <f>IF(C12="","",SUBTOTAL(103,$C$2:C12))</f>
        <v>11</v>
      </c>
      <c r="B12" s="41">
        <v>11514</v>
      </c>
      <c r="C12" s="41">
        <v>184</v>
      </c>
      <c r="D12" s="41" t="s">
        <v>45</v>
      </c>
      <c r="E12" s="41" t="s">
        <v>46</v>
      </c>
      <c r="F12" s="41" t="s">
        <v>47</v>
      </c>
      <c r="G12" s="41" t="s">
        <v>54</v>
      </c>
      <c r="H12" s="41" t="s">
        <v>55</v>
      </c>
      <c r="I12" s="43">
        <v>12</v>
      </c>
      <c r="J12" s="44" t="str">
        <f>VLOOKUP(G12,[1]硬件清单!$F:$F,1,0)</f>
        <v>MDLZ-K1115-2U16S-2620V4-OBEB</v>
      </c>
      <c r="K12" s="44" t="str">
        <f>VLOOKUP(G12,[1]硬件清单!$F:$F,1,0)</f>
        <v>MDLZ-K1115-2U16S-2620V4-OBEB</v>
      </c>
      <c r="L12" s="44"/>
      <c r="M12" s="45" t="s">
        <v>56</v>
      </c>
    </row>
    <row r="13" ht="30" customHeight="1" spans="1:13">
      <c r="A13" s="41">
        <f>IF(C13="","",SUBTOTAL(103,$C$2:C13))</f>
        <v>12</v>
      </c>
      <c r="B13" s="41">
        <v>11515</v>
      </c>
      <c r="C13" s="41">
        <v>185</v>
      </c>
      <c r="D13" s="41" t="s">
        <v>45</v>
      </c>
      <c r="E13" s="41" t="s">
        <v>46</v>
      </c>
      <c r="F13" s="41" t="s">
        <v>47</v>
      </c>
      <c r="G13" s="41" t="s">
        <v>57</v>
      </c>
      <c r="H13" s="41" t="s">
        <v>58</v>
      </c>
      <c r="I13" s="43">
        <v>12</v>
      </c>
      <c r="J13" s="44" t="str">
        <f>VLOOKUP(G13,[1]硬件清单!$F:$F,1,0)</f>
        <v>MDLZ-K1115-2U16S-2620V4-OBEA</v>
      </c>
      <c r="K13" s="44" t="str">
        <f>VLOOKUP(G13,[1]硬件清单!$F:$F,1,0)</f>
        <v>MDLZ-K1115-2U16S-2620V4-OBEA</v>
      </c>
      <c r="L13" s="44"/>
      <c r="M13" s="45" t="s">
        <v>59</v>
      </c>
    </row>
    <row r="14" ht="30" customHeight="1" spans="1:13">
      <c r="A14" s="41">
        <f>IF(C14="","",SUBTOTAL(103,$C$2:C14))</f>
        <v>13</v>
      </c>
      <c r="B14" s="41">
        <v>1</v>
      </c>
      <c r="C14" s="41">
        <v>11183</v>
      </c>
      <c r="D14" s="41" t="s">
        <v>19</v>
      </c>
      <c r="E14" s="41" t="s">
        <v>60</v>
      </c>
      <c r="F14" s="41" t="s">
        <v>61</v>
      </c>
      <c r="G14" s="41" t="s">
        <v>62</v>
      </c>
      <c r="H14" s="41" t="s">
        <v>63</v>
      </c>
      <c r="I14" s="43">
        <v>12</v>
      </c>
      <c r="J14" s="44" t="str">
        <f>VLOOKUP(G14,[1]硬件清单!$F:$F,1,0)</f>
        <v>chs408148s</v>
      </c>
      <c r="K14" s="44" t="str">
        <f>VLOOKUP(G14,[1]硬件清单!$F:$F,1,0)</f>
        <v>chs408148s</v>
      </c>
      <c r="L14" s="44" t="s">
        <v>17</v>
      </c>
      <c r="M14" s="45" t="s">
        <v>64</v>
      </c>
    </row>
    <row r="15" ht="30" customHeight="1" spans="1:13">
      <c r="A15" s="41">
        <f>IF(C15="","",SUBTOTAL(103,$C$2:C15))</f>
        <v>14</v>
      </c>
      <c r="B15" s="41">
        <v>2</v>
      </c>
      <c r="C15" s="41">
        <v>11201</v>
      </c>
      <c r="D15" s="41" t="s">
        <v>65</v>
      </c>
      <c r="E15" s="41" t="s">
        <v>66</v>
      </c>
      <c r="F15" s="41" t="s">
        <v>67</v>
      </c>
      <c r="G15" s="41" t="s">
        <v>68</v>
      </c>
      <c r="H15" s="41" t="s">
        <v>69</v>
      </c>
      <c r="I15" s="43">
        <v>12</v>
      </c>
      <c r="J15" s="44" t="str">
        <f>VLOOKUP(G15,[1]硬件清单!$F:$F,1,0)</f>
        <v>210235G7G510EA000007</v>
      </c>
      <c r="K15" s="44" t="str">
        <f>VLOOKUP(G15,[1]硬件清单!$F:$F,1,0)</f>
        <v>210235G7G510EA000007</v>
      </c>
      <c r="L15" s="44"/>
      <c r="M15" s="45" t="s">
        <v>70</v>
      </c>
    </row>
    <row r="16" ht="30" customHeight="1" spans="1:13">
      <c r="A16" s="41">
        <f>IF(C16="","",SUBTOTAL(103,$C$2:C16))</f>
        <v>15</v>
      </c>
      <c r="B16" s="41">
        <v>3</v>
      </c>
      <c r="C16" s="41">
        <v>11100</v>
      </c>
      <c r="D16" s="41" t="s">
        <v>19</v>
      </c>
      <c r="E16" s="41" t="s">
        <v>20</v>
      </c>
      <c r="F16" s="41" t="s">
        <v>71</v>
      </c>
      <c r="G16" s="41" t="s">
        <v>72</v>
      </c>
      <c r="H16" s="41" t="s">
        <v>73</v>
      </c>
      <c r="I16" s="43">
        <v>12</v>
      </c>
      <c r="J16" s="44" t="str">
        <f>VLOOKUP(G16,[1]硬件清单!$F:$F,1,0)</f>
        <v>210235AOXXX149000045</v>
      </c>
      <c r="K16" s="44" t="str">
        <f>VLOOKUP(G16,[1]硬件清单!$F:$F,1,0)</f>
        <v>210235AOXXX149000045</v>
      </c>
      <c r="L16" s="44" t="s">
        <v>17</v>
      </c>
      <c r="M16" s="45" t="s">
        <v>74</v>
      </c>
    </row>
    <row r="17" ht="30" customHeight="1" spans="1:13">
      <c r="A17" s="41">
        <f>IF(C17="","",SUBTOTAL(103,$C$2:C17))</f>
        <v>16</v>
      </c>
      <c r="B17" s="41">
        <v>4</v>
      </c>
      <c r="C17" s="41">
        <v>11184</v>
      </c>
      <c r="D17" s="41" t="s">
        <v>19</v>
      </c>
      <c r="E17" s="41" t="s">
        <v>60</v>
      </c>
      <c r="F17" s="41" t="s">
        <v>61</v>
      </c>
      <c r="G17" s="41" t="s">
        <v>75</v>
      </c>
      <c r="H17" s="41" t="s">
        <v>76</v>
      </c>
      <c r="I17" s="43">
        <v>12</v>
      </c>
      <c r="J17" s="44" t="str">
        <f>VLOOKUP(G17,[1]硬件清单!$F:$F,1,0)</f>
        <v>chs408167s</v>
      </c>
      <c r="K17" s="44" t="str">
        <f>VLOOKUP(G17,[1]硬件清单!$F:$F,1,0)</f>
        <v>chs408167s</v>
      </c>
      <c r="L17" s="44" t="s">
        <v>17</v>
      </c>
      <c r="M17" s="45" t="s">
        <v>77</v>
      </c>
    </row>
    <row r="18" ht="30" customHeight="1" spans="1:13">
      <c r="A18" s="41">
        <f>IF(C18="","",SUBTOTAL(103,$C$2:C18))</f>
        <v>17</v>
      </c>
      <c r="B18" s="41">
        <v>5</v>
      </c>
      <c r="C18" s="41">
        <v>11202</v>
      </c>
      <c r="D18" s="41" t="s">
        <v>65</v>
      </c>
      <c r="E18" s="41" t="s">
        <v>66</v>
      </c>
      <c r="F18" s="41" t="s">
        <v>67</v>
      </c>
      <c r="G18" s="41" t="s">
        <v>78</v>
      </c>
      <c r="H18" s="41" t="s">
        <v>79</v>
      </c>
      <c r="I18" s="43">
        <v>12</v>
      </c>
      <c r="J18" s="44" t="str">
        <f>VLOOKUP(G18,[1]硬件清单!$F:$F,1,0)</f>
        <v>210235G7G510EA000011</v>
      </c>
      <c r="K18" s="44" t="str">
        <f>VLOOKUP(G18,[1]硬件清单!$F:$F,1,0)</f>
        <v>210235G7G510EA000011</v>
      </c>
      <c r="L18" s="44"/>
      <c r="M18" s="45" t="s">
        <v>80</v>
      </c>
    </row>
    <row r="19" ht="30" customHeight="1" spans="1:13">
      <c r="A19" s="41">
        <f>IF(C19="","",SUBTOTAL(103,$C$2:C19))</f>
        <v>18</v>
      </c>
      <c r="B19" s="41">
        <v>6</v>
      </c>
      <c r="C19" s="41">
        <v>11101</v>
      </c>
      <c r="D19" s="41" t="s">
        <v>19</v>
      </c>
      <c r="E19" s="41" t="s">
        <v>20</v>
      </c>
      <c r="F19" s="41" t="s">
        <v>71</v>
      </c>
      <c r="G19" s="41" t="s">
        <v>81</v>
      </c>
      <c r="H19" s="41" t="s">
        <v>82</v>
      </c>
      <c r="I19" s="43">
        <v>12</v>
      </c>
      <c r="J19" s="44" t="str">
        <f>VLOOKUP(G19,[1]硬件清单!$F:$F,1,0)</f>
        <v>210235AOXXX149000022</v>
      </c>
      <c r="K19" s="44" t="str">
        <f>VLOOKUP(G19,[1]硬件清单!$F:$F,1,0)</f>
        <v>210235AOXXX149000022</v>
      </c>
      <c r="L19" s="44" t="s">
        <v>17</v>
      </c>
      <c r="M19" s="45" t="s">
        <v>83</v>
      </c>
    </row>
    <row r="20" ht="30" customHeight="1" spans="1:13">
      <c r="A20" s="41">
        <f>IF(C20="","",SUBTOTAL(103,$C$2:C20))</f>
        <v>19</v>
      </c>
      <c r="B20" s="41">
        <v>7</v>
      </c>
      <c r="C20" s="41">
        <v>10150</v>
      </c>
      <c r="D20" s="41" t="s">
        <v>19</v>
      </c>
      <c r="E20" s="41" t="s">
        <v>84</v>
      </c>
      <c r="F20" s="41" t="s">
        <v>85</v>
      </c>
      <c r="G20" s="41" t="s">
        <v>86</v>
      </c>
      <c r="H20" s="41" t="s">
        <v>87</v>
      </c>
      <c r="I20" s="43">
        <v>12</v>
      </c>
      <c r="J20" s="44" t="str">
        <f>VLOOKUP(G20,[1]硬件清单!$F:$F,1,0)</f>
        <v>chs408155s
(bid009916s bid009926s)</v>
      </c>
      <c r="K20" s="44" t="str">
        <f>VLOOKUP(G20,[1]硬件清单!$F:$F,1,0)</f>
        <v>chs408155s
(bid009916s bid009926s)</v>
      </c>
      <c r="L20" s="44" t="s">
        <v>17</v>
      </c>
      <c r="M20" s="45" t="s">
        <v>88</v>
      </c>
    </row>
    <row r="21" ht="30" customHeight="1" spans="1:13">
      <c r="A21" s="41">
        <f>IF(C21="","",SUBTOTAL(103,$C$2:C21))</f>
        <v>20</v>
      </c>
      <c r="B21" s="41">
        <v>8</v>
      </c>
      <c r="C21" s="41">
        <v>10151</v>
      </c>
      <c r="D21" s="41" t="s">
        <v>19</v>
      </c>
      <c r="E21" s="41" t="s">
        <v>84</v>
      </c>
      <c r="F21" s="41" t="s">
        <v>89</v>
      </c>
      <c r="G21" s="41" t="s">
        <v>90</v>
      </c>
      <c r="H21" s="41" t="s">
        <v>91</v>
      </c>
      <c r="I21" s="43">
        <v>12</v>
      </c>
      <c r="J21" s="44" t="str">
        <f>VLOOKUP(G21,[1]硬件清单!$F:$F,1,0)</f>
        <v>31405652</v>
      </c>
      <c r="K21" s="44" t="str">
        <f>VLOOKUP(G21,[1]硬件清单!$F:$F,1,0)</f>
        <v>31405652</v>
      </c>
      <c r="L21" s="44"/>
      <c r="M21" s="45" t="s">
        <v>92</v>
      </c>
    </row>
    <row r="22" ht="30" customHeight="1" spans="1:13">
      <c r="A22" s="41">
        <f>IF(C22="","",SUBTOTAL(103,$C$2:C22))</f>
        <v>21</v>
      </c>
      <c r="B22" s="41">
        <v>9</v>
      </c>
      <c r="C22" s="41">
        <v>10152</v>
      </c>
      <c r="D22" s="41" t="s">
        <v>19</v>
      </c>
      <c r="E22" s="41" t="s">
        <v>84</v>
      </c>
      <c r="F22" s="41" t="s">
        <v>89</v>
      </c>
      <c r="G22" s="41" t="s">
        <v>93</v>
      </c>
      <c r="H22" s="41" t="s">
        <v>94</v>
      </c>
      <c r="I22" s="43">
        <v>12</v>
      </c>
      <c r="J22" s="44" t="str">
        <f>VLOOKUP(G22,[1]硬件清单!$F:$F,1,0)</f>
        <v>31405713</v>
      </c>
      <c r="K22" s="44" t="str">
        <f>VLOOKUP(G22,[1]硬件清单!$F:$F,1,0)</f>
        <v>31405713</v>
      </c>
      <c r="L22" s="44"/>
      <c r="M22" s="45" t="s">
        <v>95</v>
      </c>
    </row>
    <row r="23" ht="30" customHeight="1" spans="1:13">
      <c r="A23" s="41">
        <f>IF(C23="","",SUBTOTAL(103,$C$2:C23))</f>
        <v>22</v>
      </c>
      <c r="B23" s="41">
        <v>10</v>
      </c>
      <c r="C23" s="41">
        <v>11214</v>
      </c>
      <c r="D23" s="41" t="s">
        <v>65</v>
      </c>
      <c r="E23" s="41" t="s">
        <v>96</v>
      </c>
      <c r="F23" s="41" t="s">
        <v>61</v>
      </c>
      <c r="G23" s="41" t="s">
        <v>97</v>
      </c>
      <c r="H23" s="41" t="s">
        <v>98</v>
      </c>
      <c r="I23" s="43">
        <v>12</v>
      </c>
      <c r="J23" s="44" t="str">
        <f>VLOOKUP(G23,[1]硬件清单!$F:$F,1,0)</f>
        <v>chs408180s</v>
      </c>
      <c r="K23" s="44" t="str">
        <f>VLOOKUP(G23,[1]硬件清单!$F:$F,1,0)</f>
        <v>chs408180s</v>
      </c>
      <c r="L23" s="44" t="s">
        <v>17</v>
      </c>
      <c r="M23" s="45" t="s">
        <v>99</v>
      </c>
    </row>
    <row r="24" ht="30" customHeight="1" spans="1:13">
      <c r="A24" s="41">
        <f>IF(C24="","",SUBTOTAL(103,$C$2:C24))</f>
        <v>23</v>
      </c>
      <c r="B24" s="41">
        <v>11</v>
      </c>
      <c r="C24" s="41">
        <v>11203</v>
      </c>
      <c r="D24" s="41" t="s">
        <v>65</v>
      </c>
      <c r="E24" s="41" t="s">
        <v>66</v>
      </c>
      <c r="F24" s="41" t="s">
        <v>67</v>
      </c>
      <c r="G24" s="41" t="s">
        <v>100</v>
      </c>
      <c r="H24" s="41" t="s">
        <v>101</v>
      </c>
      <c r="I24" s="43">
        <v>12</v>
      </c>
      <c r="J24" s="44" t="str">
        <f>VLOOKUP(G24,[1]硬件清单!$F:$F,1,0)</f>
        <v>210235G7G510EA000008</v>
      </c>
      <c r="K24" s="44" t="str">
        <f>VLOOKUP(G24,[1]硬件清单!$F:$F,1,0)</f>
        <v>210235G7G510EA000008</v>
      </c>
      <c r="L24" s="44"/>
      <c r="M24" s="45" t="s">
        <v>102</v>
      </c>
    </row>
    <row r="25" ht="35" customHeight="1" spans="1:13">
      <c r="A25" s="41">
        <f>IF(C25="","",SUBTOTAL(103,$C$2:C25))</f>
        <v>24</v>
      </c>
      <c r="B25" s="41">
        <v>12</v>
      </c>
      <c r="C25" s="41">
        <v>10149</v>
      </c>
      <c r="D25" s="41" t="s">
        <v>19</v>
      </c>
      <c r="E25" s="41" t="s">
        <v>84</v>
      </c>
      <c r="F25" s="41" t="s">
        <v>85</v>
      </c>
      <c r="G25" s="41" t="s">
        <v>103</v>
      </c>
      <c r="H25" s="41" t="s">
        <v>104</v>
      </c>
      <c r="I25" s="43">
        <v>12</v>
      </c>
      <c r="J25" s="44" t="str">
        <f>VLOOKUP(G25,[1]硬件清单!$F:$F,1,0)</f>
        <v>chs408153s
(bid009925s bid009913s)</v>
      </c>
      <c r="K25" s="44" t="str">
        <f>VLOOKUP(G25,[1]硬件清单!$F:$F,1,0)</f>
        <v>chs408153s
(bid009925s bid009913s)</v>
      </c>
      <c r="L25" s="44"/>
      <c r="M25" s="45" t="s">
        <v>105</v>
      </c>
    </row>
    <row r="26" ht="30" customHeight="1" spans="1:13">
      <c r="A26" s="41">
        <f>IF(C26="","",SUBTOTAL(103,$C$2:C26))</f>
        <v>25</v>
      </c>
      <c r="B26" s="41">
        <v>14</v>
      </c>
      <c r="C26" s="41">
        <v>11204</v>
      </c>
      <c r="D26" s="41" t="s">
        <v>65</v>
      </c>
      <c r="E26" s="41" t="s">
        <v>66</v>
      </c>
      <c r="F26" s="41" t="s">
        <v>106</v>
      </c>
      <c r="G26" s="41" t="s">
        <v>107</v>
      </c>
      <c r="H26" s="41" t="s">
        <v>108</v>
      </c>
      <c r="I26" s="43">
        <v>12</v>
      </c>
      <c r="J26" s="44" t="str">
        <f>VLOOKUP(G26,[1]硬件清单!$F:$F,1,0)</f>
        <v>210235A0HAH14A000296</v>
      </c>
      <c r="K26" s="44" t="str">
        <f>VLOOKUP(G26,[1]硬件清单!$F:$F,1,0)</f>
        <v>210235A0HAH14A000296</v>
      </c>
      <c r="L26" s="44"/>
      <c r="M26" s="45" t="s">
        <v>109</v>
      </c>
    </row>
    <row r="27" ht="30" customHeight="1" spans="1:13">
      <c r="A27" s="41">
        <f>IF(C27="","",SUBTOTAL(103,$C$2:C27))</f>
        <v>26</v>
      </c>
      <c r="B27" s="41">
        <v>15</v>
      </c>
      <c r="C27" s="41">
        <v>11215</v>
      </c>
      <c r="D27" s="41" t="s">
        <v>65</v>
      </c>
      <c r="E27" s="41" t="s">
        <v>96</v>
      </c>
      <c r="F27" s="41" t="s">
        <v>61</v>
      </c>
      <c r="G27" s="41" t="s">
        <v>110</v>
      </c>
      <c r="H27" s="41" t="s">
        <v>111</v>
      </c>
      <c r="I27" s="43">
        <v>12</v>
      </c>
      <c r="J27" s="44" t="str">
        <f>VLOOKUP(G27,[1]硬件清单!$F:$F,1,0)</f>
        <v>chs408149s</v>
      </c>
      <c r="K27" s="44" t="str">
        <f>VLOOKUP(G27,[1]硬件清单!$F:$F,1,0)</f>
        <v>chs408149s</v>
      </c>
      <c r="L27" s="44" t="s">
        <v>17</v>
      </c>
      <c r="M27" s="45" t="s">
        <v>112</v>
      </c>
    </row>
    <row r="28" ht="30" customHeight="1" spans="1:13">
      <c r="A28" s="41">
        <f>IF(C28="","",SUBTOTAL(103,$C$2:C28))</f>
        <v>27</v>
      </c>
      <c r="B28" s="41">
        <v>16</v>
      </c>
      <c r="C28" s="41">
        <v>11084</v>
      </c>
      <c r="D28" s="41" t="s">
        <v>19</v>
      </c>
      <c r="E28" s="41" t="s">
        <v>113</v>
      </c>
      <c r="F28" s="41" t="s">
        <v>114</v>
      </c>
      <c r="G28" s="41" t="s">
        <v>115</v>
      </c>
      <c r="H28" s="41" t="s">
        <v>116</v>
      </c>
      <c r="I28" s="43">
        <v>12</v>
      </c>
      <c r="J28" s="44" t="str">
        <f>VLOOKUP(G28,[1]硬件清单!$F:$F,1,0)</f>
        <v>FXS1751Q1KZ</v>
      </c>
      <c r="K28" s="44" t="str">
        <f>VLOOKUP(G28,[1]硬件清单!$F:$F,1,0)</f>
        <v>FXS1751Q1KZ</v>
      </c>
      <c r="L28" s="44" t="s">
        <v>17</v>
      </c>
      <c r="M28" s="45" t="s">
        <v>117</v>
      </c>
    </row>
    <row r="29" ht="30" customHeight="1" spans="1:13">
      <c r="A29" s="41">
        <f>IF(C29="","",SUBTOTAL(103,$C$2:C29))</f>
        <v>28</v>
      </c>
      <c r="B29" s="41">
        <v>19</v>
      </c>
      <c r="C29" s="41">
        <v>11205</v>
      </c>
      <c r="D29" s="41" t="s">
        <v>65</v>
      </c>
      <c r="E29" s="41" t="s">
        <v>66</v>
      </c>
      <c r="F29" s="41" t="s">
        <v>106</v>
      </c>
      <c r="G29" s="41" t="s">
        <v>118</v>
      </c>
      <c r="H29" s="41" t="s">
        <v>119</v>
      </c>
      <c r="I29" s="43">
        <v>12</v>
      </c>
      <c r="J29" s="44" t="str">
        <f>VLOOKUP(G29,[1]硬件清单!$F:$F,1,0)</f>
        <v>210235A0HAH14A000246</v>
      </c>
      <c r="K29" s="44" t="str">
        <f>VLOOKUP(G29,[1]硬件清单!$F:$F,1,0)</f>
        <v>210235A0HAH14A000246</v>
      </c>
      <c r="L29" s="44"/>
      <c r="M29" s="45" t="s">
        <v>120</v>
      </c>
    </row>
    <row r="30" ht="30" customHeight="1" spans="1:13">
      <c r="A30" s="41">
        <f>IF(C30="","",SUBTOTAL(103,$C$2:C30))</f>
        <v>29</v>
      </c>
      <c r="B30" s="41">
        <v>20</v>
      </c>
      <c r="C30" s="41">
        <v>11216</v>
      </c>
      <c r="D30" s="41" t="s">
        <v>65</v>
      </c>
      <c r="E30" s="41" t="s">
        <v>96</v>
      </c>
      <c r="F30" s="41" t="s">
        <v>61</v>
      </c>
      <c r="G30" s="41" t="s">
        <v>121</v>
      </c>
      <c r="H30" s="41" t="s">
        <v>122</v>
      </c>
      <c r="I30" s="43">
        <v>12</v>
      </c>
      <c r="J30" s="44" t="str">
        <f>VLOOKUP(G30,[1]硬件清单!$F:$F,1,0)</f>
        <v>chs408151s</v>
      </c>
      <c r="K30" s="44" t="str">
        <f>VLOOKUP(G30,[1]硬件清单!$F:$F,1,0)</f>
        <v>chs408151s</v>
      </c>
      <c r="L30" s="44" t="s">
        <v>17</v>
      </c>
      <c r="M30" s="45" t="s">
        <v>123</v>
      </c>
    </row>
    <row r="31" ht="30" customHeight="1" spans="1:13">
      <c r="A31" s="41">
        <f>IF(C31="","",SUBTOTAL(103,$C$2:C31))</f>
        <v>30</v>
      </c>
      <c r="B31" s="41">
        <v>21</v>
      </c>
      <c r="C31" s="41">
        <v>11085</v>
      </c>
      <c r="D31" s="41" t="s">
        <v>19</v>
      </c>
      <c r="E31" s="41" t="s">
        <v>113</v>
      </c>
      <c r="F31" s="41" t="s">
        <v>114</v>
      </c>
      <c r="G31" s="41" t="s">
        <v>124</v>
      </c>
      <c r="H31" s="41" t="s">
        <v>125</v>
      </c>
      <c r="I31" s="43">
        <v>12</v>
      </c>
      <c r="J31" s="44" t="str">
        <f>VLOOKUP(G31,[1]硬件清单!$F:$F,1,0)</f>
        <v>FXS1745Q0TX</v>
      </c>
      <c r="K31" s="44" t="str">
        <f>VLOOKUP(G31,[1]硬件清单!$F:$F,1,0)</f>
        <v>FXS1745Q0TX</v>
      </c>
      <c r="L31" s="44"/>
      <c r="M31" s="45" t="s">
        <v>126</v>
      </c>
    </row>
    <row r="32" ht="30" customHeight="1" spans="1:13">
      <c r="A32" s="41">
        <f>IF(C32="","",SUBTOTAL(103,$C$2:C32))</f>
        <v>31</v>
      </c>
      <c r="B32" s="41">
        <v>23</v>
      </c>
      <c r="C32" s="41">
        <v>11413</v>
      </c>
      <c r="D32" s="41" t="s">
        <v>12</v>
      </c>
      <c r="E32" s="41" t="s">
        <v>127</v>
      </c>
      <c r="F32" s="41" t="s">
        <v>128</v>
      </c>
      <c r="G32" s="41" t="s">
        <v>129</v>
      </c>
      <c r="H32" s="41" t="s">
        <v>130</v>
      </c>
      <c r="I32" s="43">
        <v>12</v>
      </c>
      <c r="J32" s="44" t="str">
        <f>VLOOKUP(G32,[1]硬件清单!$F:$F,1,0)</f>
        <v>2101301843213b040001</v>
      </c>
      <c r="K32" s="44" t="str">
        <f>VLOOKUP(G32,[1]硬件清单!$F:$F,1,0)</f>
        <v>2101301843213b040001</v>
      </c>
      <c r="L32" s="44"/>
      <c r="M32" s="45" t="s">
        <v>131</v>
      </c>
    </row>
    <row r="33" ht="30" customHeight="1" spans="1:13">
      <c r="A33" s="41">
        <f>IF(C33="","",SUBTOTAL(103,$C$2:C33))</f>
        <v>32</v>
      </c>
      <c r="B33" s="41">
        <v>24</v>
      </c>
      <c r="C33" s="41">
        <v>11414</v>
      </c>
      <c r="D33" s="41" t="s">
        <v>12</v>
      </c>
      <c r="E33" s="41" t="s">
        <v>127</v>
      </c>
      <c r="F33" s="41" t="s">
        <v>128</v>
      </c>
      <c r="G33" s="41" t="s">
        <v>132</v>
      </c>
      <c r="H33" s="41" t="s">
        <v>133</v>
      </c>
      <c r="I33" s="43">
        <v>12</v>
      </c>
      <c r="J33" s="44" t="str">
        <f>VLOOKUP(G33,[1]硬件清单!$F:$F,1,0)</f>
        <v>21013018432133030008</v>
      </c>
      <c r="K33" s="44" t="str">
        <f>VLOOKUP(G33,[1]硬件清单!$F:$F,1,0)</f>
        <v>21013018432133030008</v>
      </c>
      <c r="L33" s="44"/>
      <c r="M33" s="45" t="s">
        <v>134</v>
      </c>
    </row>
    <row r="34" ht="30" customHeight="1" spans="1:13">
      <c r="A34" s="41">
        <f>IF(C34="","",SUBTOTAL(103,$C$2:C34))</f>
        <v>33</v>
      </c>
      <c r="B34" s="41">
        <v>25</v>
      </c>
      <c r="C34" s="46">
        <v>11097</v>
      </c>
      <c r="D34" s="46" t="s">
        <v>19</v>
      </c>
      <c r="E34" s="46" t="s">
        <v>113</v>
      </c>
      <c r="F34" s="46" t="s">
        <v>135</v>
      </c>
      <c r="G34" s="41" t="s">
        <v>136</v>
      </c>
      <c r="H34" s="41" t="s">
        <v>137</v>
      </c>
      <c r="I34" s="43">
        <v>12</v>
      </c>
      <c r="J34" s="44" t="str">
        <f>VLOOKUP(G34,[1]硬件清单!$F:$F,1,0)</f>
        <v>2102113373POE9000338</v>
      </c>
      <c r="K34" s="44" t="str">
        <f>VLOOKUP(G34,[1]硬件清单!$F:$F,1,0)</f>
        <v>2102113373POE9000338</v>
      </c>
      <c r="L34" s="44"/>
      <c r="M34" s="45" t="s">
        <v>138</v>
      </c>
    </row>
    <row r="35" ht="30" customHeight="1" spans="1:13">
      <c r="A35" s="41">
        <f>IF(C35="","",SUBTOTAL(103,$C$2:C35))</f>
        <v>34</v>
      </c>
      <c r="B35" s="41">
        <v>26</v>
      </c>
      <c r="C35" s="46">
        <v>11096</v>
      </c>
      <c r="D35" s="46" t="s">
        <v>19</v>
      </c>
      <c r="E35" s="46" t="s">
        <v>113</v>
      </c>
      <c r="F35" s="46" t="s">
        <v>135</v>
      </c>
      <c r="G35" s="41" t="s">
        <v>139</v>
      </c>
      <c r="H35" s="41" t="s">
        <v>140</v>
      </c>
      <c r="I35" s="43">
        <v>12</v>
      </c>
      <c r="J35" s="44" t="str">
        <f>VLOOKUP(G35,[1]硬件清单!$F:$F,1,0)</f>
        <v>21021133736TEA900017</v>
      </c>
      <c r="K35" s="44" t="str">
        <f>VLOOKUP(G35,[1]硬件清单!$F:$F,1,0)</f>
        <v>21021133736TEA900017</v>
      </c>
      <c r="L35" s="44"/>
      <c r="M35" s="45" t="s">
        <v>141</v>
      </c>
    </row>
    <row r="36" ht="30" customHeight="1" spans="1:13">
      <c r="A36" s="41">
        <f>IF(C36="","",SUBTOTAL(103,$C$2:C36))</f>
        <v>35</v>
      </c>
      <c r="B36" s="41">
        <v>27</v>
      </c>
      <c r="C36" s="41">
        <v>11213</v>
      </c>
      <c r="D36" s="41" t="s">
        <v>65</v>
      </c>
      <c r="E36" s="41" t="s">
        <v>66</v>
      </c>
      <c r="F36" s="41" t="s">
        <v>142</v>
      </c>
      <c r="G36" s="41" t="s">
        <v>143</v>
      </c>
      <c r="H36" s="41" t="s">
        <v>144</v>
      </c>
      <c r="I36" s="43">
        <v>12</v>
      </c>
      <c r="J36" s="44" t="str">
        <f>VLOOKUP(G36,[1]硬件清单!$F:$F,1,0)</f>
        <v>210235951510EA000034</v>
      </c>
      <c r="K36" s="44" t="str">
        <f>VLOOKUP(G36,[1]硬件清单!$F:$F,1,0)</f>
        <v>210235951510EA000034</v>
      </c>
      <c r="L36" s="44"/>
      <c r="M36" s="45" t="s">
        <v>145</v>
      </c>
    </row>
    <row r="37" ht="30" customHeight="1" spans="1:13">
      <c r="A37" s="41">
        <f>IF(C37="","",SUBTOTAL(103,$C$2:C37))</f>
        <v>36</v>
      </c>
      <c r="B37" s="41">
        <v>28</v>
      </c>
      <c r="C37" s="41">
        <v>11212</v>
      </c>
      <c r="D37" s="41" t="s">
        <v>65</v>
      </c>
      <c r="E37" s="41" t="s">
        <v>66</v>
      </c>
      <c r="F37" s="41" t="s">
        <v>142</v>
      </c>
      <c r="G37" s="41" t="s">
        <v>146</v>
      </c>
      <c r="H37" s="41" t="s">
        <v>147</v>
      </c>
      <c r="I37" s="43">
        <v>12</v>
      </c>
      <c r="J37" s="44" t="str">
        <f>VLOOKUP(G37,[1]硬件清单!$F:$F,1,0)</f>
        <v>210235951510EA000050</v>
      </c>
      <c r="K37" s="44" t="str">
        <f>VLOOKUP(G37,[1]硬件清单!$F:$F,1,0)</f>
        <v>210235951510EA000050</v>
      </c>
      <c r="L37" s="44"/>
      <c r="M37" s="45" t="s">
        <v>148</v>
      </c>
    </row>
    <row r="38" ht="38.15" customHeight="1" spans="1:13">
      <c r="A38" s="41">
        <f>IF(C38="","",SUBTOTAL(103,$C$2:C38))</f>
        <v>37</v>
      </c>
      <c r="B38" s="41">
        <v>29</v>
      </c>
      <c r="C38" s="41">
        <v>11093</v>
      </c>
      <c r="D38" s="41" t="s">
        <v>19</v>
      </c>
      <c r="E38" s="41" t="s">
        <v>113</v>
      </c>
      <c r="F38" s="41" t="s">
        <v>135</v>
      </c>
      <c r="G38" s="41" t="s">
        <v>149</v>
      </c>
      <c r="H38" s="41" t="s">
        <v>150</v>
      </c>
      <c r="I38" s="43">
        <v>12</v>
      </c>
      <c r="J38" s="44" t="str">
        <f>VLOOKUP(G38,[1]硬件清单!$F:$F,1,0)</f>
        <v>21021133736TEA900076</v>
      </c>
      <c r="K38" s="44" t="str">
        <f>VLOOKUP(G38,[1]硬件清单!$F:$F,1,0)</f>
        <v>21021133736TEA900076</v>
      </c>
      <c r="L38" s="44"/>
      <c r="M38" s="45" t="s">
        <v>151</v>
      </c>
    </row>
    <row r="39" ht="30" customHeight="1" spans="1:13">
      <c r="A39" s="41">
        <f>IF(C39="","",SUBTOTAL(103,$C$2:C39))</f>
        <v>38</v>
      </c>
      <c r="B39" s="41">
        <v>30</v>
      </c>
      <c r="C39" s="41">
        <v>11092</v>
      </c>
      <c r="D39" s="41" t="s">
        <v>19</v>
      </c>
      <c r="E39" s="41" t="s">
        <v>113</v>
      </c>
      <c r="F39" s="41" t="s">
        <v>135</v>
      </c>
      <c r="G39" s="41" t="s">
        <v>152</v>
      </c>
      <c r="H39" s="41" t="s">
        <v>153</v>
      </c>
      <c r="I39" s="43">
        <v>12</v>
      </c>
      <c r="J39" s="44" t="str">
        <f>VLOOKUP(G39,[1]硬件清单!$F:$F,1,0)</f>
        <v>21021133736TEA900021</v>
      </c>
      <c r="K39" s="44" t="str">
        <f>VLOOKUP(G39,[1]硬件清单!$F:$F,1,0)</f>
        <v>21021133736TEA900021</v>
      </c>
      <c r="L39" s="44"/>
      <c r="M39" s="45" t="s">
        <v>154</v>
      </c>
    </row>
    <row r="40" ht="30" customHeight="1" spans="1:13">
      <c r="A40" s="41">
        <f>IF(C40="","",SUBTOTAL(103,$C$2:C40))</f>
        <v>39</v>
      </c>
      <c r="B40" s="41">
        <v>31</v>
      </c>
      <c r="C40" s="41">
        <v>11095</v>
      </c>
      <c r="D40" s="41" t="s">
        <v>19</v>
      </c>
      <c r="E40" s="41" t="s">
        <v>113</v>
      </c>
      <c r="F40" s="41" t="s">
        <v>135</v>
      </c>
      <c r="G40" s="41" t="s">
        <v>155</v>
      </c>
      <c r="H40" s="41" t="s">
        <v>156</v>
      </c>
      <c r="I40" s="43">
        <v>12</v>
      </c>
      <c r="J40" s="44" t="str">
        <f>VLOOKUP(G40,[1]硬件清单!$F:$F,1,0)</f>
        <v>21021133736TEA900022</v>
      </c>
      <c r="K40" s="44" t="str">
        <f>VLOOKUP(G40,[1]硬件清单!$F:$F,1,0)</f>
        <v>21021133736TEA900022</v>
      </c>
      <c r="L40" s="44"/>
      <c r="M40" s="45" t="s">
        <v>157</v>
      </c>
    </row>
    <row r="41" ht="30" customHeight="1" spans="1:13">
      <c r="A41" s="41">
        <f>IF(C41="","",SUBTOTAL(103,$C$2:C41))</f>
        <v>40</v>
      </c>
      <c r="B41" s="41">
        <v>32</v>
      </c>
      <c r="C41" s="41">
        <v>11094</v>
      </c>
      <c r="D41" s="41" t="s">
        <v>19</v>
      </c>
      <c r="E41" s="41" t="s">
        <v>113</v>
      </c>
      <c r="F41" s="41" t="s">
        <v>135</v>
      </c>
      <c r="G41" s="41" t="s">
        <v>158</v>
      </c>
      <c r="H41" s="41" t="s">
        <v>159</v>
      </c>
      <c r="I41" s="43">
        <v>12</v>
      </c>
      <c r="J41" s="44" t="str">
        <f>VLOOKUP(G41,[1]硬件清单!$F:$F,1,0)</f>
        <v>21021133736TE9900888</v>
      </c>
      <c r="K41" s="44" t="str">
        <f>VLOOKUP(G41,[1]硬件清单!$F:$F,1,0)</f>
        <v>21021133736TE9900888</v>
      </c>
      <c r="L41" s="44"/>
      <c r="M41" s="45" t="s">
        <v>160</v>
      </c>
    </row>
    <row r="42" ht="30" customHeight="1" spans="1:13">
      <c r="A42" s="41">
        <f>IF(C42="","",SUBTOTAL(103,$C$2:C42))</f>
        <v>41</v>
      </c>
      <c r="B42" s="41">
        <v>33</v>
      </c>
      <c r="C42" s="41">
        <v>11073</v>
      </c>
      <c r="D42" s="41" t="s">
        <v>161</v>
      </c>
      <c r="E42" s="41" t="s">
        <v>162</v>
      </c>
      <c r="F42" s="41" t="s">
        <v>163</v>
      </c>
      <c r="G42" s="41" t="s">
        <v>164</v>
      </c>
      <c r="H42" s="41" t="s">
        <v>165</v>
      </c>
      <c r="I42" s="43">
        <v>12</v>
      </c>
      <c r="J42" s="44" t="str">
        <f>VLOOKUP(G42,[1]硬件清单!$F:$F,1,0)</f>
        <v>CKM00143803402</v>
      </c>
      <c r="K42" s="44" t="str">
        <f>VLOOKUP(G42,[1]硬件清单!$F:$F,1,0)</f>
        <v>CKM00143803402</v>
      </c>
      <c r="L42" s="44"/>
      <c r="M42" s="45" t="s">
        <v>166</v>
      </c>
    </row>
    <row r="43" ht="30" customHeight="1" spans="1:13">
      <c r="A43" s="41">
        <f>IF(C43="","",SUBTOTAL(103,$C$2:C43))</f>
        <v>42</v>
      </c>
      <c r="B43" s="41">
        <v>34</v>
      </c>
      <c r="C43" s="41">
        <v>11074</v>
      </c>
      <c r="D43" s="41" t="s">
        <v>161</v>
      </c>
      <c r="E43" s="41" t="s">
        <v>162</v>
      </c>
      <c r="F43" s="41" t="s">
        <v>163</v>
      </c>
      <c r="G43" s="41" t="s">
        <v>167</v>
      </c>
      <c r="H43" s="41" t="s">
        <v>168</v>
      </c>
      <c r="I43" s="43">
        <v>12</v>
      </c>
      <c r="J43" s="44" t="str">
        <f>VLOOKUP(G43,[1]硬件清单!$F:$F,1,0)</f>
        <v>CKM00143802431</v>
      </c>
      <c r="K43" s="44" t="str">
        <f>VLOOKUP(G43,[1]硬件清单!$F:$F,1,0)</f>
        <v>CKM00143802431</v>
      </c>
      <c r="L43" s="44"/>
      <c r="M43" s="45" t="s">
        <v>169</v>
      </c>
    </row>
    <row r="44" ht="30" customHeight="1" spans="1:13">
      <c r="A44" s="41">
        <f>IF(C44="","",SUBTOTAL(103,$C$2:C44))</f>
        <v>43</v>
      </c>
      <c r="B44" s="41">
        <v>35</v>
      </c>
      <c r="C44" s="41">
        <v>11071</v>
      </c>
      <c r="D44" s="41" t="s">
        <v>161</v>
      </c>
      <c r="E44" s="41" t="s">
        <v>162</v>
      </c>
      <c r="F44" s="41" t="s">
        <v>170</v>
      </c>
      <c r="G44" s="41" t="s">
        <v>171</v>
      </c>
      <c r="H44" s="41" t="s">
        <v>172</v>
      </c>
      <c r="I44" s="43">
        <v>12</v>
      </c>
      <c r="J44" s="44" t="str">
        <f>VLOOKUP(G44,[1]硬件清单!$F:$F,1,0)</f>
        <v>BRCBRW1937K07D</v>
      </c>
      <c r="K44" s="44" t="str">
        <f>VLOOKUP(G44,[1]硬件清单!$F:$F,1,0)</f>
        <v>BRCBRW1937K07D</v>
      </c>
      <c r="L44" s="44"/>
      <c r="M44" s="45" t="s">
        <v>173</v>
      </c>
    </row>
    <row r="45" ht="30" customHeight="1" spans="1:13">
      <c r="A45" s="41">
        <f>IF(C45="","",SUBTOTAL(103,$C$2:C45))</f>
        <v>44</v>
      </c>
      <c r="B45" s="41">
        <v>36</v>
      </c>
      <c r="C45" s="41">
        <v>11072</v>
      </c>
      <c r="D45" s="41" t="s">
        <v>161</v>
      </c>
      <c r="E45" s="41" t="s">
        <v>162</v>
      </c>
      <c r="F45" s="41" t="s">
        <v>170</v>
      </c>
      <c r="G45" s="41" t="s">
        <v>174</v>
      </c>
      <c r="H45" s="41" t="s">
        <v>175</v>
      </c>
      <c r="I45" s="43">
        <v>12</v>
      </c>
      <c r="J45" s="44" t="str">
        <f>VLOOKUP(G45,[1]硬件清单!$F:$F,1,0)</f>
        <v>BRCBRW1937K07G</v>
      </c>
      <c r="K45" s="44" t="str">
        <f>VLOOKUP(G45,[1]硬件清单!$F:$F,1,0)</f>
        <v>BRCBRW1937K07G</v>
      </c>
      <c r="L45" s="44"/>
      <c r="M45" s="45" t="s">
        <v>176</v>
      </c>
    </row>
    <row r="46" ht="30" customHeight="1" spans="1:13">
      <c r="A46" s="41">
        <f>IF(C46="","",SUBTOTAL(103,$C$2:C46))</f>
        <v>45</v>
      </c>
      <c r="B46" s="41">
        <v>37</v>
      </c>
      <c r="C46" s="41">
        <v>11075</v>
      </c>
      <c r="D46" s="41" t="s">
        <v>161</v>
      </c>
      <c r="E46" s="41" t="s">
        <v>162</v>
      </c>
      <c r="F46" s="41" t="s">
        <v>177</v>
      </c>
      <c r="G46" s="41" t="s">
        <v>178</v>
      </c>
      <c r="H46" s="41" t="s">
        <v>179</v>
      </c>
      <c r="I46" s="43">
        <v>12</v>
      </c>
      <c r="J46" s="44" t="str">
        <f>VLOOKUP(G46,[1]硬件清单!$F:$F,1,0)</f>
        <v>FLC00144000082</v>
      </c>
      <c r="K46" s="44" t="str">
        <f>VLOOKUP(G46,[1]硬件清单!$F:$F,1,0)</f>
        <v>FLC00144000082</v>
      </c>
      <c r="L46" s="44"/>
      <c r="M46" s="45" t="s">
        <v>180</v>
      </c>
    </row>
    <row r="47" ht="30" customHeight="1" spans="1:13">
      <c r="A47" s="41">
        <f>IF(C47="","",SUBTOTAL(103,$C$2:C47))</f>
        <v>46</v>
      </c>
      <c r="B47" s="41">
        <v>38</v>
      </c>
      <c r="C47" s="41">
        <v>11069</v>
      </c>
      <c r="D47" s="41" t="s">
        <v>161</v>
      </c>
      <c r="E47" s="41" t="s">
        <v>162</v>
      </c>
      <c r="F47" s="41" t="s">
        <v>181</v>
      </c>
      <c r="G47" s="41" t="s">
        <v>182</v>
      </c>
      <c r="H47" s="41" t="s">
        <v>183</v>
      </c>
      <c r="I47" s="43">
        <v>12</v>
      </c>
      <c r="J47" s="44" t="str">
        <f>VLOOKUP(G47,[1]硬件清单!$F:$F,1,0)</f>
        <v>CKM00143605115,CK298701610</v>
      </c>
      <c r="K47" s="44" t="str">
        <f>VLOOKUP(G47,[1]硬件清单!$F:$F,1,0)</f>
        <v>CKM00143605115,CK298701610</v>
      </c>
      <c r="L47" s="44"/>
      <c r="M47" s="45" t="s">
        <v>184</v>
      </c>
    </row>
    <row r="48" s="26" customFormat="1" ht="30" customHeight="1" spans="1:13">
      <c r="A48" s="41">
        <f>IF(C48="","",SUBTOTAL(103,$C$2:C48))</f>
        <v>47</v>
      </c>
      <c r="B48" s="41">
        <v>39</v>
      </c>
      <c r="C48" s="41">
        <v>11070</v>
      </c>
      <c r="D48" s="41" t="s">
        <v>161</v>
      </c>
      <c r="E48" s="41" t="s">
        <v>162</v>
      </c>
      <c r="F48" s="41" t="s">
        <v>181</v>
      </c>
      <c r="G48" s="41" t="s">
        <v>185</v>
      </c>
      <c r="H48" s="41" t="s">
        <v>186</v>
      </c>
      <c r="I48" s="43">
        <v>12</v>
      </c>
      <c r="J48" s="44" t="str">
        <f>VLOOKUP(G48,[1]硬件清单!$F:$F,1,0)</f>
        <v>CKM00143605115,CK298701601</v>
      </c>
      <c r="K48" s="44" t="str">
        <f>VLOOKUP(G48,[1]硬件清单!$F:$F,1,0)</f>
        <v>CKM00143605115,CK298701601</v>
      </c>
      <c r="L48" s="44"/>
      <c r="M48" s="45" t="s">
        <v>187</v>
      </c>
    </row>
    <row r="49" s="26" customFormat="1" ht="30" customHeight="1" spans="1:13">
      <c r="A49" s="41">
        <f>IF(C49="","",SUBTOTAL(103,$C$2:C49))</f>
        <v>48</v>
      </c>
      <c r="B49" s="41">
        <v>40</v>
      </c>
      <c r="C49" s="41">
        <v>11418</v>
      </c>
      <c r="D49" s="41" t="s">
        <v>12</v>
      </c>
      <c r="E49" s="41" t="s">
        <v>127</v>
      </c>
      <c r="F49" s="41" t="s">
        <v>188</v>
      </c>
      <c r="G49" s="41" t="s">
        <v>189</v>
      </c>
      <c r="H49" s="41" t="s">
        <v>190</v>
      </c>
      <c r="I49" s="43">
        <v>12</v>
      </c>
      <c r="J49" s="44" t="str">
        <f>VLOOKUP(G49,[1]硬件清单!$F:$F,1,0)</f>
        <v>2101301845214a010001</v>
      </c>
      <c r="K49" s="44" t="str">
        <f>VLOOKUP(G49,[1]硬件清单!$F:$F,1,0)</f>
        <v>2101301845214a010001</v>
      </c>
      <c r="L49" s="44"/>
      <c r="M49" s="45" t="s">
        <v>191</v>
      </c>
    </row>
    <row r="50" s="26" customFormat="1" ht="30" customHeight="1" spans="1:13">
      <c r="A50" s="41">
        <f>IF(C50="","",SUBTOTAL(103,$C$2:C50))</f>
        <v>49</v>
      </c>
      <c r="B50" s="41">
        <v>41</v>
      </c>
      <c r="C50" s="41">
        <v>11423</v>
      </c>
      <c r="D50" s="41" t="s">
        <v>12</v>
      </c>
      <c r="E50" s="41" t="s">
        <v>127</v>
      </c>
      <c r="F50" s="42" t="s">
        <v>192</v>
      </c>
      <c r="G50" s="41" t="s">
        <v>193</v>
      </c>
      <c r="H50" s="41" t="s">
        <v>194</v>
      </c>
      <c r="I50" s="43">
        <v>12</v>
      </c>
      <c r="J50" s="44" t="str">
        <f>VLOOKUP(G50,[1]硬件清单!$F:$F,1,0)</f>
        <v>2101301845214A01007
2101301845214A010006</v>
      </c>
      <c r="K50" s="44" t="str">
        <f>VLOOKUP(G50,[1]硬件清单!$F:$F,1,0)</f>
        <v>2101301845214A01007
2101301845214A010006</v>
      </c>
      <c r="L50" s="44"/>
      <c r="M50" s="45" t="s">
        <v>195</v>
      </c>
    </row>
    <row r="51" s="26" customFormat="1" ht="30" customHeight="1" spans="1:13">
      <c r="A51" s="41">
        <f>IF(C51="","",SUBTOTAL(103,$C$2:C51))</f>
        <v>50</v>
      </c>
      <c r="B51" s="41">
        <v>42</v>
      </c>
      <c r="C51" s="41">
        <v>11421</v>
      </c>
      <c r="D51" s="41" t="s">
        <v>12</v>
      </c>
      <c r="E51" s="41" t="s">
        <v>127</v>
      </c>
      <c r="F51" s="41" t="s">
        <v>188</v>
      </c>
      <c r="G51" s="90" t="s">
        <v>196</v>
      </c>
      <c r="H51" s="41" t="s">
        <v>197</v>
      </c>
      <c r="I51" s="43">
        <v>12</v>
      </c>
      <c r="J51" s="91" t="str">
        <f>VLOOKUP(G51,[1]硬件清单!$F:$F,1,0)</f>
        <v>21013018452153010005</v>
      </c>
      <c r="K51" s="91" t="str">
        <f>VLOOKUP(G51,[1]硬件清单!$F:$F,1,0)</f>
        <v>21013018452153010005</v>
      </c>
      <c r="L51" s="44"/>
      <c r="M51" s="45" t="s">
        <v>198</v>
      </c>
    </row>
    <row r="52" s="26" customFormat="1" ht="30" customHeight="1" spans="1:13">
      <c r="A52" s="41">
        <f>IF(C52="","",SUBTOTAL(103,$C$2:C52))</f>
        <v>51</v>
      </c>
      <c r="B52" s="41">
        <v>43</v>
      </c>
      <c r="C52" s="41">
        <v>10119</v>
      </c>
      <c r="D52" s="41" t="s">
        <v>19</v>
      </c>
      <c r="E52" s="41" t="s">
        <v>20</v>
      </c>
      <c r="F52" s="41" t="s">
        <v>199</v>
      </c>
      <c r="G52" s="41" t="s">
        <v>200</v>
      </c>
      <c r="H52" s="41" t="s">
        <v>201</v>
      </c>
      <c r="I52" s="43">
        <v>12</v>
      </c>
      <c r="J52" s="44" t="str">
        <f>VLOOKUP(G52,[1]硬件清单!$F:$F,1,0)</f>
        <v>210235AOE6X126000021</v>
      </c>
      <c r="K52" s="44" t="str">
        <f>VLOOKUP(G52,[1]硬件清单!$F:$F,1,0)</f>
        <v>210235AOE6X126000021</v>
      </c>
      <c r="L52" s="44" t="s">
        <v>17</v>
      </c>
      <c r="M52" s="45" t="s">
        <v>202</v>
      </c>
    </row>
    <row r="53" s="26" customFormat="1" ht="30" customHeight="1" spans="1:13">
      <c r="A53" s="41">
        <f>IF(C53="","",SUBTOTAL(103,$C$2:C53))</f>
        <v>52</v>
      </c>
      <c r="B53" s="41">
        <v>44</v>
      </c>
      <c r="C53" s="41">
        <v>10120</v>
      </c>
      <c r="D53" s="41" t="s">
        <v>19</v>
      </c>
      <c r="E53" s="41" t="s">
        <v>20</v>
      </c>
      <c r="F53" s="41" t="s">
        <v>199</v>
      </c>
      <c r="G53" s="41" t="s">
        <v>203</v>
      </c>
      <c r="H53" s="41" t="s">
        <v>204</v>
      </c>
      <c r="I53" s="43">
        <v>12</v>
      </c>
      <c r="J53" s="44" t="str">
        <f>VLOOKUP(G53,[1]硬件清单!$F:$F,1,0)</f>
        <v>210235AOE6X126000034</v>
      </c>
      <c r="K53" s="44" t="str">
        <f>VLOOKUP(G53,[1]硬件清单!$F:$F,1,0)</f>
        <v>210235AOE6X126000034</v>
      </c>
      <c r="L53" s="44" t="s">
        <v>17</v>
      </c>
      <c r="M53" s="45" t="s">
        <v>205</v>
      </c>
    </row>
    <row r="54" s="26" customFormat="1" ht="30" customHeight="1" spans="1:13">
      <c r="A54" s="41">
        <f>IF(C54="","",SUBTOTAL(103,$C$2:C54))</f>
        <v>53</v>
      </c>
      <c r="B54" s="41">
        <v>45</v>
      </c>
      <c r="C54" s="41">
        <v>10101</v>
      </c>
      <c r="D54" s="41" t="s">
        <v>19</v>
      </c>
      <c r="E54" s="41" t="s">
        <v>113</v>
      </c>
      <c r="F54" s="41" t="s">
        <v>206</v>
      </c>
      <c r="G54" s="41" t="s">
        <v>207</v>
      </c>
      <c r="H54" s="41" t="s">
        <v>208</v>
      </c>
      <c r="I54" s="43">
        <v>12</v>
      </c>
      <c r="J54" s="44" t="str">
        <f>VLOOKUP(G54,[1]硬件清单!$F:$F,1,0)</f>
        <v>FOX1629H16F</v>
      </c>
      <c r="K54" s="44" t="str">
        <f>VLOOKUP(G54,[1]硬件清单!$F:$F,1,0)</f>
        <v>FOX1629H16F</v>
      </c>
      <c r="L54" s="44" t="s">
        <v>17</v>
      </c>
      <c r="M54" s="45" t="s">
        <v>209</v>
      </c>
    </row>
    <row r="55" s="26" customFormat="1" ht="30" customHeight="1" spans="1:13">
      <c r="A55" s="41">
        <f>IF(C55="","",SUBTOTAL(103,$C$2:C55))</f>
        <v>54</v>
      </c>
      <c r="B55" s="41">
        <v>46</v>
      </c>
      <c r="C55" s="41">
        <v>11088</v>
      </c>
      <c r="D55" s="41" t="s">
        <v>19</v>
      </c>
      <c r="E55" s="41" t="s">
        <v>113</v>
      </c>
      <c r="F55" s="41" t="s">
        <v>210</v>
      </c>
      <c r="G55" s="41" t="s">
        <v>211</v>
      </c>
      <c r="H55" s="41" t="s">
        <v>212</v>
      </c>
      <c r="I55" s="43">
        <v>12</v>
      </c>
      <c r="J55" s="44" t="str">
        <f>VLOOKUP(G55,[1]硬件清单!$F:$F,1,0)</f>
        <v>FOC1812N2AG</v>
      </c>
      <c r="K55" s="44" t="str">
        <f>VLOOKUP(G55,[1]硬件清单!$F:$F,1,0)</f>
        <v>FOC1812N2AG</v>
      </c>
      <c r="L55" s="44" t="s">
        <v>17</v>
      </c>
      <c r="M55" s="45" t="s">
        <v>213</v>
      </c>
    </row>
    <row r="56" ht="30" customHeight="1" spans="1:13">
      <c r="A56" s="41">
        <f>IF(C56="","",SUBTOTAL(103,$C$2:C56))</f>
        <v>55</v>
      </c>
      <c r="B56" s="41">
        <v>47</v>
      </c>
      <c r="C56" s="41">
        <v>10102</v>
      </c>
      <c r="D56" s="41" t="s">
        <v>19</v>
      </c>
      <c r="E56" s="41" t="s">
        <v>113</v>
      </c>
      <c r="F56" s="41" t="s">
        <v>206</v>
      </c>
      <c r="G56" s="41" t="s">
        <v>214</v>
      </c>
      <c r="H56" s="41" t="s">
        <v>215</v>
      </c>
      <c r="I56" s="43">
        <v>12</v>
      </c>
      <c r="J56" s="44" t="str">
        <f>VLOOKUP(G56,[1]硬件清单!$F:$F,1,0)</f>
        <v>FOX1630HC6Z</v>
      </c>
      <c r="K56" s="44" t="str">
        <f>VLOOKUP(G56,[1]硬件清单!$F:$F,1,0)</f>
        <v>FOX1630HC6Z</v>
      </c>
      <c r="L56" s="44" t="s">
        <v>17</v>
      </c>
      <c r="M56" s="45" t="s">
        <v>216</v>
      </c>
    </row>
    <row r="57" ht="30" customHeight="1" spans="1:13">
      <c r="A57" s="41">
        <f>IF(C57="","",SUBTOTAL(103,$C$2:C57))</f>
        <v>56</v>
      </c>
      <c r="B57" s="41">
        <v>48</v>
      </c>
      <c r="C57" s="41">
        <v>11089</v>
      </c>
      <c r="D57" s="41" t="s">
        <v>19</v>
      </c>
      <c r="E57" s="41" t="s">
        <v>113</v>
      </c>
      <c r="F57" s="41" t="s">
        <v>210</v>
      </c>
      <c r="G57" s="41" t="s">
        <v>217</v>
      </c>
      <c r="H57" s="41" t="s">
        <v>218</v>
      </c>
      <c r="I57" s="43">
        <v>12</v>
      </c>
      <c r="J57" s="44" t="str">
        <f>VLOOKUP(G57,[1]硬件清单!$F:$F,1,0)</f>
        <v>FOC1815N7WH</v>
      </c>
      <c r="K57" s="44" t="str">
        <f>VLOOKUP(G57,[1]硬件清单!$F:$F,1,0)</f>
        <v>FOC1815N7WH</v>
      </c>
      <c r="L57" s="44" t="s">
        <v>17</v>
      </c>
      <c r="M57" s="45" t="s">
        <v>219</v>
      </c>
    </row>
    <row r="58" s="26" customFormat="1" ht="30" customHeight="1" spans="1:13">
      <c r="A58" s="41">
        <f>IF(C58="","",SUBTOTAL(103,$C$2:C58))</f>
        <v>57</v>
      </c>
      <c r="B58" s="41">
        <v>52</v>
      </c>
      <c r="C58" s="41">
        <v>11394</v>
      </c>
      <c r="D58" s="41" t="s">
        <v>65</v>
      </c>
      <c r="E58" s="41" t="s">
        <v>220</v>
      </c>
      <c r="F58" s="41" t="s">
        <v>221</v>
      </c>
      <c r="G58" s="41" t="s">
        <v>222</v>
      </c>
      <c r="H58" s="41" t="s">
        <v>223</v>
      </c>
      <c r="I58" s="43">
        <v>12</v>
      </c>
      <c r="J58" s="44" t="str">
        <f>VLOOKUP(G58,[1]硬件清单!$F:$F,1,0)</f>
        <v>ASG1000III2EDF252893</v>
      </c>
      <c r="K58" s="44" t="str">
        <f>VLOOKUP(G58,[1]硬件清单!$F:$F,1,0)</f>
        <v>ASG1000III2EDF252893</v>
      </c>
      <c r="L58" s="44"/>
      <c r="M58" s="45" t="s">
        <v>224</v>
      </c>
    </row>
    <row r="59" ht="30" customHeight="1" spans="1:13">
      <c r="A59" s="41">
        <f>IF(C59="","",SUBTOTAL(103,$C$2:C59))</f>
        <v>58</v>
      </c>
      <c r="B59" s="41">
        <v>53</v>
      </c>
      <c r="C59" s="41">
        <v>11391</v>
      </c>
      <c r="D59" s="41" t="s">
        <v>65</v>
      </c>
      <c r="E59" s="41" t="s">
        <v>220</v>
      </c>
      <c r="F59" s="41" t="s">
        <v>225</v>
      </c>
      <c r="G59" s="41" t="s">
        <v>226</v>
      </c>
      <c r="H59" s="41" t="s">
        <v>227</v>
      </c>
      <c r="I59" s="43">
        <v>12</v>
      </c>
      <c r="J59" s="44" t="str">
        <f>VLOOKUP(G59,[1]硬件清单!$F:$F,1,0)</f>
        <v>AFW20002EF106CB92</v>
      </c>
      <c r="K59" s="44" t="str">
        <f>VLOOKUP(G59,[1]硬件清单!$F:$F,1,0)</f>
        <v>AFW20002EF106CB92</v>
      </c>
      <c r="L59" s="44"/>
      <c r="M59" s="45" t="s">
        <v>228</v>
      </c>
    </row>
    <row r="60" ht="30" customHeight="1" spans="1:13">
      <c r="A60" s="41">
        <f>IF(C60="","",SUBTOTAL(103,$C$2:C60))</f>
        <v>59</v>
      </c>
      <c r="B60" s="41">
        <v>54</v>
      </c>
      <c r="C60" s="41">
        <v>11392</v>
      </c>
      <c r="D60" s="41" t="s">
        <v>65</v>
      </c>
      <c r="E60" s="41" t="s">
        <v>220</v>
      </c>
      <c r="F60" s="41" t="s">
        <v>225</v>
      </c>
      <c r="G60" s="41" t="s">
        <v>229</v>
      </c>
      <c r="H60" s="41" t="s">
        <v>230</v>
      </c>
      <c r="I60" s="43">
        <v>12</v>
      </c>
      <c r="J60" s="44" t="str">
        <f>VLOOKUP(G60,[1]硬件清单!$F:$F,1,0)</f>
        <v>AFW2000II2ED2DCA0B8</v>
      </c>
      <c r="K60" s="44" t="str">
        <f>VLOOKUP(G60,[1]硬件清单!$F:$F,1,0)</f>
        <v>AFW2000II2ED2DCA0B8</v>
      </c>
      <c r="L60" s="44"/>
      <c r="M60" s="45" t="s">
        <v>231</v>
      </c>
    </row>
    <row r="61" ht="30" customHeight="1" spans="1:13">
      <c r="A61" s="41">
        <f>IF(C61="","",SUBTOTAL(103,$C$2:C61))</f>
        <v>60</v>
      </c>
      <c r="B61" s="41">
        <v>55</v>
      </c>
      <c r="C61" s="41">
        <v>10156</v>
      </c>
      <c r="D61" s="41" t="s">
        <v>19</v>
      </c>
      <c r="E61" s="41" t="s">
        <v>84</v>
      </c>
      <c r="F61" s="41" t="s">
        <v>85</v>
      </c>
      <c r="G61" s="41" t="s">
        <v>232</v>
      </c>
      <c r="H61" s="41" t="s">
        <v>233</v>
      </c>
      <c r="I61" s="43">
        <v>12</v>
      </c>
      <c r="J61" s="44" t="str">
        <f>VLOOKUP(G61,[1]硬件清单!$F:$F,1,0)</f>
        <v>chs405143s</v>
      </c>
      <c r="K61" s="44" t="str">
        <f>VLOOKUP(G61,[1]硬件清单!$F:$F,1,0)</f>
        <v>chs405143s</v>
      </c>
      <c r="L61" s="44" t="s">
        <v>17</v>
      </c>
      <c r="M61" s="45" t="s">
        <v>234</v>
      </c>
    </row>
    <row r="62" ht="30" customHeight="1" spans="1:13">
      <c r="A62" s="41">
        <f>IF(C62="","",SUBTOTAL(103,$C$2:C62))</f>
        <v>61</v>
      </c>
      <c r="B62" s="41">
        <v>56</v>
      </c>
      <c r="C62" s="41">
        <v>10155</v>
      </c>
      <c r="D62" s="41" t="s">
        <v>19</v>
      </c>
      <c r="E62" s="41" t="s">
        <v>84</v>
      </c>
      <c r="F62" s="41" t="s">
        <v>85</v>
      </c>
      <c r="G62" s="41" t="s">
        <v>235</v>
      </c>
      <c r="H62" s="41" t="s">
        <v>236</v>
      </c>
      <c r="I62" s="43">
        <v>12</v>
      </c>
      <c r="J62" s="44" t="str">
        <f>VLOOKUP(G62,[1]硬件清单!$F:$F,1,0)</f>
        <v>chs405290s</v>
      </c>
      <c r="K62" s="44" t="str">
        <f>VLOOKUP(G62,[1]硬件清单!$F:$F,1,0)</f>
        <v>chs405290s</v>
      </c>
      <c r="L62" s="44" t="s">
        <v>17</v>
      </c>
      <c r="M62" s="45" t="s">
        <v>237</v>
      </c>
    </row>
    <row r="63" ht="30" customHeight="1" spans="1:13">
      <c r="A63" s="41">
        <f>IF(C63="","",SUBTOTAL(103,$C$2:C63))</f>
        <v>62</v>
      </c>
      <c r="B63" s="41">
        <v>57</v>
      </c>
      <c r="C63" s="41">
        <v>11078</v>
      </c>
      <c r="D63" s="41" t="s">
        <v>161</v>
      </c>
      <c r="E63" s="41" t="s">
        <v>238</v>
      </c>
      <c r="F63" s="41" t="s">
        <v>239</v>
      </c>
      <c r="G63" s="41" t="s">
        <v>240</v>
      </c>
      <c r="H63" s="41" t="s">
        <v>241</v>
      </c>
      <c r="I63" s="43">
        <v>12</v>
      </c>
      <c r="J63" s="44" t="str">
        <f>VLOOKUP(G63,[1]硬件清单!$F:$F,1,0)</f>
        <v>ANN2545J00E</v>
      </c>
      <c r="K63" s="44" t="str">
        <f>VLOOKUP(G63,[1]硬件清单!$F:$F,1,0)</f>
        <v>ANN2545J00E</v>
      </c>
      <c r="L63" s="44"/>
      <c r="M63" s="45" t="s">
        <v>242</v>
      </c>
    </row>
    <row r="64" ht="30" customHeight="1" spans="1:13">
      <c r="A64" s="41">
        <f>IF(C64="","",SUBTOTAL(103,$C$2:C64))</f>
        <v>63</v>
      </c>
      <c r="B64" s="41">
        <v>58</v>
      </c>
      <c r="C64" s="41">
        <v>11079</v>
      </c>
      <c r="D64" s="41" t="s">
        <v>161</v>
      </c>
      <c r="E64" s="41" t="s">
        <v>238</v>
      </c>
      <c r="F64" s="41" t="s">
        <v>239</v>
      </c>
      <c r="G64" s="41" t="s">
        <v>243</v>
      </c>
      <c r="H64" s="41" t="s">
        <v>244</v>
      </c>
      <c r="I64" s="43">
        <v>12</v>
      </c>
      <c r="J64" s="44" t="str">
        <f>VLOOKUP(G64,[1]硬件清单!$F:$F,1,0)</f>
        <v>ANN2547J005</v>
      </c>
      <c r="K64" s="44" t="str">
        <f>VLOOKUP(G64,[1]硬件清单!$F:$F,1,0)</f>
        <v>ANN2547J005</v>
      </c>
      <c r="L64" s="44"/>
      <c r="M64" s="45" t="s">
        <v>245</v>
      </c>
    </row>
    <row r="65" ht="30" customHeight="1" spans="1:13">
      <c r="A65" s="41">
        <f>IF(C65="","",SUBTOTAL(103,$C$2:C65))</f>
        <v>64</v>
      </c>
      <c r="B65" s="41">
        <v>59</v>
      </c>
      <c r="C65" s="46">
        <v>5994</v>
      </c>
      <c r="D65" s="46" t="s">
        <v>45</v>
      </c>
      <c r="E65" s="46" t="s">
        <v>246</v>
      </c>
      <c r="F65" s="46" t="s">
        <v>247</v>
      </c>
      <c r="G65" s="41" t="s">
        <v>248</v>
      </c>
      <c r="H65" s="41" t="s">
        <v>249</v>
      </c>
      <c r="I65" s="43">
        <v>12</v>
      </c>
      <c r="J65" s="44" t="str">
        <f>VLOOKUP(G65,[1]硬件清单!$F:$F,1,0)</f>
        <v>SGH451XFRS/CZC4493705</v>
      </c>
      <c r="K65" s="44" t="s">
        <v>250</v>
      </c>
      <c r="L65" s="44" t="s">
        <v>17</v>
      </c>
      <c r="M65" s="45" t="s">
        <v>251</v>
      </c>
    </row>
    <row r="66" ht="30" customHeight="1" spans="1:13">
      <c r="A66" s="41">
        <f>IF(C66="","",SUBTOTAL(103,$C$2:C66))</f>
        <v>65</v>
      </c>
      <c r="B66" s="41">
        <v>60</v>
      </c>
      <c r="C66" s="46">
        <v>5993</v>
      </c>
      <c r="D66" s="46" t="s">
        <v>45</v>
      </c>
      <c r="E66" s="46" t="s">
        <v>246</v>
      </c>
      <c r="F66" s="46" t="s">
        <v>247</v>
      </c>
      <c r="G66" s="41" t="s">
        <v>252</v>
      </c>
      <c r="H66" s="41" t="s">
        <v>253</v>
      </c>
      <c r="I66" s="43">
        <v>12</v>
      </c>
      <c r="J66" s="44" t="str">
        <f>VLOOKUP(G66,[1]硬件清单!$F:$F,1,0)</f>
        <v>SGH451XFS0/CZC45137ER</v>
      </c>
      <c r="K66" s="44" t="s">
        <v>250</v>
      </c>
      <c r="L66" s="44" t="s">
        <v>17</v>
      </c>
      <c r="M66" s="45" t="s">
        <v>254</v>
      </c>
    </row>
    <row r="67" ht="30" customHeight="1" spans="1:13">
      <c r="A67" s="41">
        <f>IF(C67="","",SUBTOTAL(103,$C$2:C67))</f>
        <v>66</v>
      </c>
      <c r="B67" s="41">
        <v>61</v>
      </c>
      <c r="C67" s="41">
        <v>10097</v>
      </c>
      <c r="D67" s="41" t="s">
        <v>161</v>
      </c>
      <c r="E67" s="41" t="s">
        <v>238</v>
      </c>
      <c r="F67" s="41" t="s">
        <v>255</v>
      </c>
      <c r="G67" s="41" t="s">
        <v>256</v>
      </c>
      <c r="H67" s="41" t="s">
        <v>257</v>
      </c>
      <c r="I67" s="43">
        <v>12</v>
      </c>
      <c r="J67" s="44" t="str">
        <f>VLOOKUP(G67,[1]硬件清单!$F:$F,1,0)</f>
        <v>ANN2539K021</v>
      </c>
      <c r="K67" s="43"/>
      <c r="L67" s="44"/>
      <c r="M67" s="45" t="s">
        <v>258</v>
      </c>
    </row>
    <row r="68" ht="30" customHeight="1" spans="1:13">
      <c r="A68" s="41">
        <f>IF(C68="","",SUBTOTAL(103,$C$2:C68))</f>
        <v>67</v>
      </c>
      <c r="B68" s="41">
        <v>62</v>
      </c>
      <c r="C68" s="41">
        <v>10096</v>
      </c>
      <c r="D68" s="41" t="s">
        <v>161</v>
      </c>
      <c r="E68" s="41" t="s">
        <v>238</v>
      </c>
      <c r="F68" s="41" t="s">
        <v>255</v>
      </c>
      <c r="G68" s="41" t="s">
        <v>259</v>
      </c>
      <c r="H68" s="41" t="s">
        <v>260</v>
      </c>
      <c r="I68" s="43">
        <v>12</v>
      </c>
      <c r="J68" s="44" t="str">
        <f>VLOOKUP(G68,[1]硬件清单!$F:$F,1,0)</f>
        <v>ANN2539K01S</v>
      </c>
      <c r="K68" s="43"/>
      <c r="L68" s="44"/>
      <c r="M68" s="45" t="s">
        <v>261</v>
      </c>
    </row>
    <row r="69" ht="30" customHeight="1" spans="1:13">
      <c r="A69" s="41">
        <f>IF(C69="","",SUBTOTAL(103,$C$2:C69))</f>
        <v>68</v>
      </c>
      <c r="B69" s="41">
        <v>63</v>
      </c>
      <c r="C69" s="41">
        <v>10093</v>
      </c>
      <c r="D69" s="41" t="s">
        <v>161</v>
      </c>
      <c r="E69" s="41" t="s">
        <v>162</v>
      </c>
      <c r="F69" s="41" t="s">
        <v>262</v>
      </c>
      <c r="G69" s="41" t="s">
        <v>263</v>
      </c>
      <c r="H69" s="41" t="s">
        <v>264</v>
      </c>
      <c r="I69" s="43">
        <v>12</v>
      </c>
      <c r="J69" s="44" t="str">
        <f>VLOOKUP(G69,[1]硬件清单!$F:$F,1,0)</f>
        <v>50557
90201664</v>
      </c>
      <c r="K69" s="44" t="s">
        <v>250</v>
      </c>
      <c r="L69" s="44" t="s">
        <v>17</v>
      </c>
      <c r="M69" s="45" t="s">
        <v>265</v>
      </c>
    </row>
    <row r="70" ht="30" customHeight="1" spans="1:13">
      <c r="A70" s="41">
        <f>IF(C70="","",SUBTOTAL(103,$C$2:C70))</f>
        <v>69</v>
      </c>
      <c r="B70" s="41">
        <v>64</v>
      </c>
      <c r="C70" s="41">
        <v>14269</v>
      </c>
      <c r="D70" s="41" t="s">
        <v>161</v>
      </c>
      <c r="E70" s="41" t="s">
        <v>266</v>
      </c>
      <c r="F70" s="41" t="s">
        <v>267</v>
      </c>
      <c r="G70" s="41" t="s">
        <v>268</v>
      </c>
      <c r="H70" s="41" t="s">
        <v>269</v>
      </c>
      <c r="I70" s="43">
        <v>12</v>
      </c>
      <c r="J70" s="44" t="str">
        <f>VLOOKUP(G70,[1]硬件清单!$F:$F,1,0)</f>
        <v>无（扩容sn:50557）</v>
      </c>
      <c r="K70" s="44" t="s">
        <v>250</v>
      </c>
      <c r="L70" s="44"/>
      <c r="M70" s="45" t="s">
        <v>265</v>
      </c>
    </row>
    <row r="71" ht="30" customHeight="1" spans="1:13">
      <c r="A71" s="41">
        <f>IF(C71="","",SUBTOTAL(103,$C$2:C71))</f>
        <v>70</v>
      </c>
      <c r="B71" s="41">
        <v>65</v>
      </c>
      <c r="C71" s="41">
        <v>14268</v>
      </c>
      <c r="D71" s="41" t="s">
        <v>161</v>
      </c>
      <c r="E71" s="41" t="s">
        <v>162</v>
      </c>
      <c r="F71" s="41" t="s">
        <v>267</v>
      </c>
      <c r="G71" s="41" t="s">
        <v>268</v>
      </c>
      <c r="H71" s="41" t="s">
        <v>270</v>
      </c>
      <c r="I71" s="43">
        <v>12</v>
      </c>
      <c r="J71" s="44" t="str">
        <f>VLOOKUP(G71,[1]硬件清单!$F:$F,1,0)</f>
        <v>无（扩容sn:50557）</v>
      </c>
      <c r="K71" s="44" t="s">
        <v>250</v>
      </c>
      <c r="L71" s="44"/>
      <c r="M71" s="45" t="s">
        <v>271</v>
      </c>
    </row>
    <row r="72" ht="30" customHeight="1" spans="1:13">
      <c r="A72" s="41">
        <f>IF(C72="","",SUBTOTAL(103,$C$2:C72))</f>
        <v>71</v>
      </c>
      <c r="B72" s="41">
        <v>66</v>
      </c>
      <c r="C72" s="46">
        <v>10090</v>
      </c>
      <c r="D72" s="46" t="s">
        <v>161</v>
      </c>
      <c r="E72" s="46" t="s">
        <v>162</v>
      </c>
      <c r="F72" s="46" t="s">
        <v>272</v>
      </c>
      <c r="G72" s="41" t="s">
        <v>273</v>
      </c>
      <c r="H72" s="41" t="s">
        <v>274</v>
      </c>
      <c r="I72" s="43">
        <v>12</v>
      </c>
      <c r="J72" s="44" t="str">
        <f>VLOOKUP(G72,[1]硬件清单!$F:$F,1,0)</f>
        <v>AMS16191102</v>
      </c>
      <c r="K72" s="43"/>
      <c r="L72" s="44"/>
      <c r="M72" s="45" t="s">
        <v>275</v>
      </c>
    </row>
    <row r="73" ht="30" customHeight="1" spans="1:13">
      <c r="A73" s="41">
        <f>IF(C73="","",SUBTOTAL(103,$C$2:C73))</f>
        <v>72</v>
      </c>
      <c r="B73" s="41">
        <v>67</v>
      </c>
      <c r="C73" s="46">
        <v>10089</v>
      </c>
      <c r="D73" s="46" t="s">
        <v>161</v>
      </c>
      <c r="E73" s="46" t="s">
        <v>162</v>
      </c>
      <c r="F73" s="46" t="s">
        <v>272</v>
      </c>
      <c r="G73" s="41" t="s">
        <v>276</v>
      </c>
      <c r="H73" s="41" t="s">
        <v>277</v>
      </c>
      <c r="I73" s="43">
        <v>12</v>
      </c>
      <c r="J73" s="44" t="str">
        <f>VLOOKUP(G73,[1]硬件清单!$F:$F,1,0)</f>
        <v>AMS15420566</v>
      </c>
      <c r="K73" s="43"/>
      <c r="L73" s="44"/>
      <c r="M73" s="45" t="s">
        <v>278</v>
      </c>
    </row>
    <row r="74" ht="30" customHeight="1" spans="1:13">
      <c r="A74" s="41">
        <f>IF(C74="","",SUBTOTAL(103,$C$2:C74))</f>
        <v>73</v>
      </c>
      <c r="B74" s="41">
        <v>68</v>
      </c>
      <c r="C74" s="41">
        <v>10095</v>
      </c>
      <c r="D74" s="41" t="s">
        <v>161</v>
      </c>
      <c r="E74" s="41" t="s">
        <v>238</v>
      </c>
      <c r="F74" s="41" t="s">
        <v>279</v>
      </c>
      <c r="G74" s="41" t="s">
        <v>280</v>
      </c>
      <c r="H74" s="41" t="s">
        <v>281</v>
      </c>
      <c r="I74" s="43">
        <v>12</v>
      </c>
      <c r="J74" s="44" t="str">
        <f>VLOOKUP(G74,[1]硬件清单!$F:$F,1,0)</f>
        <v>BRW2535K06L</v>
      </c>
      <c r="K74" s="43"/>
      <c r="L74" s="44"/>
      <c r="M74" s="45" t="s">
        <v>282</v>
      </c>
    </row>
    <row r="75" ht="30" customHeight="1" spans="1:13">
      <c r="A75" s="41">
        <f>IF(C75="","",SUBTOTAL(103,$C$2:C75))</f>
        <v>74</v>
      </c>
      <c r="B75" s="41">
        <v>69</v>
      </c>
      <c r="C75" s="41">
        <v>10094</v>
      </c>
      <c r="D75" s="41" t="s">
        <v>161</v>
      </c>
      <c r="E75" s="41" t="s">
        <v>238</v>
      </c>
      <c r="F75" s="41" t="s">
        <v>279</v>
      </c>
      <c r="G75" s="41" t="s">
        <v>283</v>
      </c>
      <c r="H75" s="41" t="s">
        <v>284</v>
      </c>
      <c r="I75" s="43">
        <v>12</v>
      </c>
      <c r="J75" s="44" t="str">
        <f>VLOOKUP(G75,[1]硬件清单!$F:$F,1,0)</f>
        <v>BRW2541K05P</v>
      </c>
      <c r="K75" s="43"/>
      <c r="L75" s="44"/>
      <c r="M75" s="45" t="s">
        <v>285</v>
      </c>
    </row>
    <row r="76" ht="30" customHeight="1" spans="1:13">
      <c r="A76" s="41">
        <f>IF(C76="","",SUBTOTAL(103,$C$2:C76))</f>
        <v>75</v>
      </c>
      <c r="B76" s="41">
        <v>71</v>
      </c>
      <c r="C76" s="41">
        <v>10091</v>
      </c>
      <c r="D76" s="41" t="s">
        <v>161</v>
      </c>
      <c r="E76" s="41" t="s">
        <v>162</v>
      </c>
      <c r="F76" s="41" t="s">
        <v>286</v>
      </c>
      <c r="G76" s="41" t="s">
        <v>287</v>
      </c>
      <c r="H76" s="41" t="s">
        <v>288</v>
      </c>
      <c r="I76" s="43">
        <v>12</v>
      </c>
      <c r="J76" s="44" t="str">
        <f>VLOOKUP(G76,[1]硬件清单!$F:$F,1,0)</f>
        <v>91266</v>
      </c>
      <c r="K76" s="43"/>
      <c r="L76" s="44"/>
      <c r="M76" s="45" t="s">
        <v>289</v>
      </c>
    </row>
    <row r="77" ht="30" customHeight="1" spans="1:13">
      <c r="A77" s="41">
        <f>IF(C77="","",SUBTOTAL(103,$C$2:C77))</f>
        <v>76</v>
      </c>
      <c r="B77" s="41">
        <v>72</v>
      </c>
      <c r="C77" s="41">
        <v>10092</v>
      </c>
      <c r="D77" s="41" t="s">
        <v>161</v>
      </c>
      <c r="E77" s="41" t="s">
        <v>162</v>
      </c>
      <c r="F77" s="41" t="s">
        <v>286</v>
      </c>
      <c r="G77" s="41" t="s">
        <v>290</v>
      </c>
      <c r="H77" s="41" t="s">
        <v>291</v>
      </c>
      <c r="I77" s="43">
        <v>12</v>
      </c>
      <c r="J77" s="44" t="str">
        <f>VLOOKUP(G77,[1]硬件清单!$F:$F,1,0)</f>
        <v>91165</v>
      </c>
      <c r="K77" s="43"/>
      <c r="L77" s="44"/>
      <c r="M77" s="45" t="s">
        <v>292</v>
      </c>
    </row>
    <row r="78" ht="30" customHeight="1" spans="1:13">
      <c r="A78" s="41">
        <f>IF(C78="","",SUBTOTAL(103,$C$2:C78))</f>
        <v>77</v>
      </c>
      <c r="B78" s="41">
        <v>73</v>
      </c>
      <c r="C78" s="41">
        <v>10088</v>
      </c>
      <c r="D78" s="41" t="s">
        <v>161</v>
      </c>
      <c r="E78" s="41" t="s">
        <v>162</v>
      </c>
      <c r="F78" s="41" t="s">
        <v>286</v>
      </c>
      <c r="G78" s="41" t="s">
        <v>293</v>
      </c>
      <c r="H78" s="41" t="s">
        <v>294</v>
      </c>
      <c r="I78" s="43">
        <v>12</v>
      </c>
      <c r="J78" s="44" t="str">
        <f>VLOOKUP(G78,[1]硬件清单!$F:$F,1,0)</f>
        <v>66818</v>
      </c>
      <c r="K78" s="43"/>
      <c r="L78" s="44"/>
      <c r="M78" s="45" t="s">
        <v>295</v>
      </c>
    </row>
    <row r="79" ht="30" customHeight="1" spans="1:13">
      <c r="A79" s="41">
        <f>IF(C79="","",SUBTOTAL(103,$C$2:C79))</f>
        <v>78</v>
      </c>
      <c r="B79" s="41">
        <v>75</v>
      </c>
      <c r="C79" s="41">
        <v>16527</v>
      </c>
      <c r="D79" s="41" t="s">
        <v>161</v>
      </c>
      <c r="E79" s="41" t="s">
        <v>162</v>
      </c>
      <c r="F79" s="41" t="s">
        <v>286</v>
      </c>
      <c r="G79" s="41">
        <v>54010</v>
      </c>
      <c r="H79" s="41" t="s">
        <v>296</v>
      </c>
      <c r="I79" s="43">
        <v>12</v>
      </c>
      <c r="J79" s="44">
        <f>VLOOKUP(G79,[1]硬件清单!$F:$F,1,0)</f>
        <v>54010</v>
      </c>
      <c r="K79" s="43"/>
      <c r="L79" s="44"/>
      <c r="M79" s="45" t="s">
        <v>297</v>
      </c>
    </row>
    <row r="80" ht="30" customHeight="1" spans="1:13">
      <c r="A80" s="41">
        <f>IF(C80="","",SUBTOTAL(103,$C$2:C80))</f>
        <v>79</v>
      </c>
      <c r="B80" s="41">
        <v>76</v>
      </c>
      <c r="C80" s="41">
        <v>16528</v>
      </c>
      <c r="D80" s="41" t="s">
        <v>161</v>
      </c>
      <c r="E80" s="41" t="s">
        <v>162</v>
      </c>
      <c r="F80" s="41" t="s">
        <v>286</v>
      </c>
      <c r="G80" s="41" t="s">
        <v>298</v>
      </c>
      <c r="H80" s="41" t="s">
        <v>299</v>
      </c>
      <c r="I80" s="43">
        <v>12</v>
      </c>
      <c r="J80" s="44" t="str">
        <f>VLOOKUP(G80,[1]硬件清单!$F:$F,1,0)</f>
        <v>54042</v>
      </c>
      <c r="K80" s="43"/>
      <c r="L80" s="44"/>
      <c r="M80" s="45" t="s">
        <v>300</v>
      </c>
    </row>
    <row r="81" ht="30" customHeight="1" spans="1:13">
      <c r="A81" s="41">
        <f>IF(C81="","",SUBTOTAL(103,$C$2:C81))</f>
        <v>80</v>
      </c>
      <c r="B81" s="41">
        <v>79</v>
      </c>
      <c r="C81" s="41">
        <v>7317</v>
      </c>
      <c r="D81" s="41" t="s">
        <v>19</v>
      </c>
      <c r="E81" s="41" t="s">
        <v>113</v>
      </c>
      <c r="F81" s="41" t="s">
        <v>135</v>
      </c>
      <c r="G81" s="41" t="s">
        <v>301</v>
      </c>
      <c r="H81" s="41" t="s">
        <v>302</v>
      </c>
      <c r="I81" s="43">
        <v>12</v>
      </c>
      <c r="J81" s="44" t="str">
        <f>VLOOKUP(G81,[1]硬件清单!$F:$F,1,0)</f>
        <v>21021206134JC4000069</v>
      </c>
      <c r="K81" s="43"/>
      <c r="L81" s="44"/>
      <c r="M81" s="45" t="s">
        <v>303</v>
      </c>
    </row>
    <row r="82" ht="30" customHeight="1" spans="1:13">
      <c r="A82" s="41">
        <f>IF(C82="","",SUBTOTAL(103,$C$2:C82))</f>
        <v>81</v>
      </c>
      <c r="B82" s="41">
        <v>80</v>
      </c>
      <c r="C82" s="41">
        <v>10189</v>
      </c>
      <c r="D82" s="41" t="s">
        <v>65</v>
      </c>
      <c r="E82" s="41" t="s">
        <v>304</v>
      </c>
      <c r="F82" s="41" t="s">
        <v>305</v>
      </c>
      <c r="G82" s="41" t="s">
        <v>306</v>
      </c>
      <c r="H82" s="41" t="s">
        <v>307</v>
      </c>
      <c r="I82" s="43">
        <v>12</v>
      </c>
      <c r="J82" s="44" t="str">
        <f>VLOOKUP(G82,[1]硬件清单!$F:$F,1,0)</f>
        <v>ASG1000III2EE4FB260A</v>
      </c>
      <c r="K82" s="43"/>
      <c r="L82" s="44"/>
      <c r="M82" s="45" t="s">
        <v>308</v>
      </c>
    </row>
    <row r="83" ht="30" customHeight="1" spans="1:13">
      <c r="A83" s="41">
        <f>IF(C83="","",SUBTOTAL(103,$C$2:C83))</f>
        <v>82</v>
      </c>
      <c r="B83" s="41">
        <v>81</v>
      </c>
      <c r="C83" s="41">
        <v>11309</v>
      </c>
      <c r="D83" s="41" t="s">
        <v>65</v>
      </c>
      <c r="E83" s="41" t="s">
        <v>220</v>
      </c>
      <c r="F83" s="41" t="s">
        <v>221</v>
      </c>
      <c r="G83" s="41" t="s">
        <v>309</v>
      </c>
      <c r="H83" s="41" t="s">
        <v>310</v>
      </c>
      <c r="I83" s="43">
        <v>12</v>
      </c>
      <c r="J83" s="44" t="str">
        <f>VLOOKUP(G83,[1]硬件清单!$F:$F,1,0)</f>
        <v>ASG1000III2EE4FB258B</v>
      </c>
      <c r="K83" s="43"/>
      <c r="L83" s="44"/>
      <c r="M83" s="45" t="s">
        <v>311</v>
      </c>
    </row>
    <row r="84" ht="30" customHeight="1" spans="1:13">
      <c r="A84" s="41">
        <f>IF(C84="","",SUBTOTAL(103,$C$2:C84))</f>
        <v>83</v>
      </c>
      <c r="B84" s="41">
        <v>82</v>
      </c>
      <c r="C84" s="41">
        <v>11303</v>
      </c>
      <c r="D84" s="41" t="s">
        <v>65</v>
      </c>
      <c r="E84" s="41" t="s">
        <v>220</v>
      </c>
      <c r="F84" s="41" t="s">
        <v>221</v>
      </c>
      <c r="G84" s="41" t="s">
        <v>312</v>
      </c>
      <c r="H84" s="41" t="s">
        <v>313</v>
      </c>
      <c r="I84" s="43">
        <v>12</v>
      </c>
      <c r="J84" s="44" t="str">
        <f>VLOOKUP(G84,[1]硬件清单!$F:$F,1,0)</f>
        <v>ASG1000III2EE4FB258C</v>
      </c>
      <c r="K84" s="43"/>
      <c r="L84" s="44"/>
      <c r="M84" s="45" t="s">
        <v>314</v>
      </c>
    </row>
    <row r="85" ht="30" customHeight="1" spans="1:13">
      <c r="A85" s="41">
        <f>IF(C85="","",SUBTOTAL(103,$C$2:C85))</f>
        <v>84</v>
      </c>
      <c r="B85" s="41">
        <v>83</v>
      </c>
      <c r="C85" s="41">
        <v>11305</v>
      </c>
      <c r="D85" s="41" t="s">
        <v>65</v>
      </c>
      <c r="E85" s="41" t="s">
        <v>220</v>
      </c>
      <c r="F85" s="41" t="s">
        <v>221</v>
      </c>
      <c r="G85" s="41" t="s">
        <v>315</v>
      </c>
      <c r="H85" s="41" t="s">
        <v>316</v>
      </c>
      <c r="I85" s="43">
        <v>12</v>
      </c>
      <c r="J85" s="44" t="str">
        <f>VLOOKUP(G85,[1]硬件清单!$F:$F,1,0)</f>
        <v>ASG1000III2EE4FB258E</v>
      </c>
      <c r="K85" s="43"/>
      <c r="L85" s="44"/>
      <c r="M85" s="45" t="s">
        <v>317</v>
      </c>
    </row>
    <row r="86" ht="30" customHeight="1" spans="1:13">
      <c r="A86" s="41">
        <f>IF(C86="","",SUBTOTAL(103,$C$2:C86))</f>
        <v>85</v>
      </c>
      <c r="B86" s="41">
        <v>84</v>
      </c>
      <c r="C86" s="41">
        <v>11307</v>
      </c>
      <c r="D86" s="41" t="s">
        <v>65</v>
      </c>
      <c r="E86" s="41" t="s">
        <v>220</v>
      </c>
      <c r="F86" s="41" t="s">
        <v>221</v>
      </c>
      <c r="G86" s="41" t="s">
        <v>318</v>
      </c>
      <c r="H86" s="41" t="s">
        <v>319</v>
      </c>
      <c r="I86" s="43">
        <v>12</v>
      </c>
      <c r="J86" s="44" t="str">
        <f>VLOOKUP(G86,[1]硬件清单!$F:$F,1,0)</f>
        <v>ASG1000III2EE4FB2596</v>
      </c>
      <c r="K86" s="43"/>
      <c r="L86" s="44"/>
      <c r="M86" s="45" t="s">
        <v>320</v>
      </c>
    </row>
    <row r="87" ht="30" customHeight="1" spans="1:13">
      <c r="A87" s="41">
        <f>IF(C87="","",SUBTOTAL(103,$C$2:C87))</f>
        <v>86</v>
      </c>
      <c r="B87" s="41">
        <v>85</v>
      </c>
      <c r="C87" s="41">
        <v>11373</v>
      </c>
      <c r="D87" s="41" t="s">
        <v>65</v>
      </c>
      <c r="E87" s="41" t="s">
        <v>220</v>
      </c>
      <c r="F87" s="41" t="s">
        <v>321</v>
      </c>
      <c r="G87" s="41" t="s">
        <v>322</v>
      </c>
      <c r="H87" s="41" t="s">
        <v>323</v>
      </c>
      <c r="I87" s="43">
        <v>12</v>
      </c>
      <c r="J87" s="44" t="str">
        <f>VLOOKUP(G87,[1]硬件清单!$F:$F,1,0)</f>
        <v>YD-NODE2000S4B07F9362</v>
      </c>
      <c r="K87" s="43"/>
      <c r="L87" s="44"/>
      <c r="M87" s="45" t="s">
        <v>324</v>
      </c>
    </row>
    <row r="88" ht="30" customHeight="1" spans="1:13">
      <c r="A88" s="41">
        <f>IF(C88="","",SUBTOTAL(103,$C$2:C88))</f>
        <v>87</v>
      </c>
      <c r="B88" s="41">
        <v>86</v>
      </c>
      <c r="C88" s="41">
        <v>11328</v>
      </c>
      <c r="D88" s="41" t="s">
        <v>65</v>
      </c>
      <c r="E88" s="41" t="s">
        <v>220</v>
      </c>
      <c r="F88" s="41" t="s">
        <v>325</v>
      </c>
      <c r="G88" s="41" t="s">
        <v>326</v>
      </c>
      <c r="H88" s="41" t="s">
        <v>327</v>
      </c>
      <c r="I88" s="43">
        <v>12</v>
      </c>
      <c r="J88" s="44" t="str">
        <f>VLOOKUP(G88,[1]硬件清单!$F:$F,1,0)</f>
        <v>YD-LVS3000B4B07F9362</v>
      </c>
      <c r="K88" s="43"/>
      <c r="L88" s="44"/>
      <c r="M88" s="45" t="s">
        <v>328</v>
      </c>
    </row>
    <row r="89" ht="30" customHeight="1" spans="1:13">
      <c r="A89" s="41">
        <f>IF(C89="","",SUBTOTAL(103,$C$2:C89))</f>
        <v>88</v>
      </c>
      <c r="B89" s="41">
        <v>87</v>
      </c>
      <c r="C89" s="41">
        <v>11337</v>
      </c>
      <c r="D89" s="41" t="s">
        <v>65</v>
      </c>
      <c r="E89" s="41" t="s">
        <v>220</v>
      </c>
      <c r="F89" s="41" t="s">
        <v>329</v>
      </c>
      <c r="G89" s="41" t="s">
        <v>330</v>
      </c>
      <c r="H89" s="41" t="s">
        <v>331</v>
      </c>
      <c r="I89" s="43">
        <v>12</v>
      </c>
      <c r="J89" s="44" t="str">
        <f>VLOOKUP(G89,[1]硬件清单!$F:$F,1,0)</f>
        <v>YD-SMC3000B4B07F9367</v>
      </c>
      <c r="K89" s="43"/>
      <c r="L89" s="44"/>
      <c r="M89" s="45" t="s">
        <v>332</v>
      </c>
    </row>
    <row r="90" ht="30" customHeight="1" spans="1:13">
      <c r="A90" s="41">
        <f>IF(C90="","",SUBTOTAL(103,$C$2:C90))</f>
        <v>89</v>
      </c>
      <c r="B90" s="41">
        <v>88</v>
      </c>
      <c r="C90" s="41">
        <v>11336</v>
      </c>
      <c r="D90" s="41" t="s">
        <v>65</v>
      </c>
      <c r="E90" s="41" t="s">
        <v>220</v>
      </c>
      <c r="F90" s="41" t="s">
        <v>329</v>
      </c>
      <c r="G90" s="41" t="s">
        <v>333</v>
      </c>
      <c r="H90" s="41" t="s">
        <v>334</v>
      </c>
      <c r="I90" s="43">
        <v>12</v>
      </c>
      <c r="J90" s="44" t="str">
        <f>VLOOKUP(G90,[1]硬件清单!$F:$F,1,0)</f>
        <v>YD-SMC3000B4B07F9360</v>
      </c>
      <c r="K90" s="43"/>
      <c r="L90" s="44"/>
      <c r="M90" s="45" t="s">
        <v>335</v>
      </c>
    </row>
    <row r="91" ht="30" customHeight="1" spans="1:13">
      <c r="A91" s="41">
        <f>IF(C91="","",SUBTOTAL(103,$C$2:C91))</f>
        <v>90</v>
      </c>
      <c r="B91" s="41">
        <v>89</v>
      </c>
      <c r="C91" s="41">
        <v>11273</v>
      </c>
      <c r="D91" s="41" t="s">
        <v>65</v>
      </c>
      <c r="E91" s="41" t="s">
        <v>220</v>
      </c>
      <c r="F91" s="41" t="s">
        <v>336</v>
      </c>
      <c r="G91" s="41" t="s">
        <v>337</v>
      </c>
      <c r="H91" s="41" t="s">
        <v>338</v>
      </c>
      <c r="I91" s="43">
        <v>12</v>
      </c>
      <c r="J91" s="44" t="str">
        <f>VLOOKUP(G91,[1]硬件清单!$F:$F,1,0)</f>
        <v>YD-SAC3000B4B07F9360</v>
      </c>
      <c r="K91" s="43"/>
      <c r="L91" s="44"/>
      <c r="M91" s="45" t="s">
        <v>339</v>
      </c>
    </row>
    <row r="92" ht="30" customHeight="1" spans="1:13">
      <c r="A92" s="41">
        <f>IF(C92="","",SUBTOTAL(103,$C$2:C92))</f>
        <v>91</v>
      </c>
      <c r="B92" s="41">
        <v>90</v>
      </c>
      <c r="C92" s="41">
        <v>11276</v>
      </c>
      <c r="D92" s="41" t="s">
        <v>65</v>
      </c>
      <c r="E92" s="41" t="s">
        <v>220</v>
      </c>
      <c r="F92" s="41" t="s">
        <v>336</v>
      </c>
      <c r="G92" s="41" t="s">
        <v>340</v>
      </c>
      <c r="H92" s="41" t="s">
        <v>341</v>
      </c>
      <c r="I92" s="43">
        <v>12</v>
      </c>
      <c r="J92" s="44" t="str">
        <f>VLOOKUP(G92,[1]硬件清单!$F:$F,1,0)</f>
        <v>YD-SAC3000B4B07F936D</v>
      </c>
      <c r="K92" s="43"/>
      <c r="L92" s="44"/>
      <c r="M92" s="45" t="s">
        <v>342</v>
      </c>
    </row>
    <row r="93" ht="30" customHeight="1" spans="1:13">
      <c r="A93" s="41">
        <f>IF(C93="","",SUBTOTAL(103,$C$2:C93))</f>
        <v>92</v>
      </c>
      <c r="B93" s="41">
        <v>91</v>
      </c>
      <c r="C93" s="41">
        <v>11275</v>
      </c>
      <c r="D93" s="41" t="s">
        <v>65</v>
      </c>
      <c r="E93" s="41" t="s">
        <v>220</v>
      </c>
      <c r="F93" s="41" t="s">
        <v>336</v>
      </c>
      <c r="G93" s="41" t="s">
        <v>343</v>
      </c>
      <c r="H93" s="41" t="s">
        <v>344</v>
      </c>
      <c r="I93" s="43">
        <v>12</v>
      </c>
      <c r="J93" s="44" t="str">
        <f>VLOOKUP(G93,[1]硬件清单!$F:$F,1,0)</f>
        <v>YD-SAC3000B4B07F9376</v>
      </c>
      <c r="K93" s="43"/>
      <c r="L93" s="44"/>
      <c r="M93" s="45" t="s">
        <v>345</v>
      </c>
    </row>
    <row r="94" ht="30" customHeight="1" spans="1:13">
      <c r="A94" s="41">
        <f>IF(C94="","",SUBTOTAL(103,$C$2:C94))</f>
        <v>93</v>
      </c>
      <c r="B94" s="41">
        <v>92</v>
      </c>
      <c r="C94" s="41">
        <v>11274</v>
      </c>
      <c r="D94" s="41" t="s">
        <v>65</v>
      </c>
      <c r="E94" s="41" t="s">
        <v>220</v>
      </c>
      <c r="F94" s="41" t="s">
        <v>336</v>
      </c>
      <c r="G94" s="41" t="s">
        <v>346</v>
      </c>
      <c r="H94" s="41" t="s">
        <v>347</v>
      </c>
      <c r="I94" s="43">
        <v>12</v>
      </c>
      <c r="J94" s="44" t="str">
        <f>VLOOKUP(G94,[1]硬件清单!$F:$F,1,0)</f>
        <v>YD-SAC3000B4B07F9365</v>
      </c>
      <c r="K94" s="43"/>
      <c r="L94" s="44"/>
      <c r="M94" s="45" t="s">
        <v>348</v>
      </c>
    </row>
    <row r="95" ht="30" customHeight="1" spans="1:13">
      <c r="A95" s="41">
        <f>IF(C95="","",SUBTOTAL(103,$C$2:C95))</f>
        <v>94</v>
      </c>
      <c r="B95" s="41">
        <v>93</v>
      </c>
      <c r="C95" s="41">
        <v>11306</v>
      </c>
      <c r="D95" s="41" t="s">
        <v>65</v>
      </c>
      <c r="E95" s="41" t="s">
        <v>220</v>
      </c>
      <c r="F95" s="41" t="s">
        <v>221</v>
      </c>
      <c r="G95" s="41" t="s">
        <v>349</v>
      </c>
      <c r="H95" s="41" t="s">
        <v>350</v>
      </c>
      <c r="I95" s="43">
        <v>12</v>
      </c>
      <c r="J95" s="44" t="str">
        <f>VLOOKUP(G95,[1]硬件清单!$F:$F,1,0)</f>
        <v>ASG1000III2EE4FB2597</v>
      </c>
      <c r="K95" s="43"/>
      <c r="L95" s="44"/>
      <c r="M95" s="45" t="s">
        <v>351</v>
      </c>
    </row>
    <row r="96" ht="30" customHeight="1" spans="1:13">
      <c r="A96" s="41">
        <f>IF(C96="","",SUBTOTAL(103,$C$2:C96))</f>
        <v>95</v>
      </c>
      <c r="B96" s="41">
        <v>94</v>
      </c>
      <c r="C96" s="41">
        <v>11308</v>
      </c>
      <c r="D96" s="41" t="s">
        <v>65</v>
      </c>
      <c r="E96" s="41" t="s">
        <v>220</v>
      </c>
      <c r="F96" s="41" t="s">
        <v>221</v>
      </c>
      <c r="G96" s="41" t="s">
        <v>352</v>
      </c>
      <c r="H96" s="41" t="s">
        <v>353</v>
      </c>
      <c r="I96" s="43">
        <v>12</v>
      </c>
      <c r="J96" s="44" t="str">
        <f>VLOOKUP(G96,[1]硬件清单!$F:$F,1,0)</f>
        <v>ASG1000III2EE4FB2586</v>
      </c>
      <c r="K96" s="43"/>
      <c r="L96" s="44"/>
      <c r="M96" s="45" t="s">
        <v>354</v>
      </c>
    </row>
    <row r="97" ht="30" customHeight="1" spans="1:13">
      <c r="A97" s="41">
        <f>IF(C97="","",SUBTOTAL(103,$C$2:C97))</f>
        <v>96</v>
      </c>
      <c r="B97" s="41">
        <v>95</v>
      </c>
      <c r="C97" s="41">
        <v>11304</v>
      </c>
      <c r="D97" s="41" t="s">
        <v>65</v>
      </c>
      <c r="E97" s="41" t="s">
        <v>220</v>
      </c>
      <c r="F97" s="41" t="s">
        <v>221</v>
      </c>
      <c r="G97" s="41" t="s">
        <v>355</v>
      </c>
      <c r="H97" s="41" t="s">
        <v>356</v>
      </c>
      <c r="I97" s="43">
        <v>12</v>
      </c>
      <c r="J97" s="44" t="str">
        <f>VLOOKUP(G97,[1]硬件清单!$F:$F,1,0)</f>
        <v>ASG1000III2EE4FB2595</v>
      </c>
      <c r="K97" s="43"/>
      <c r="L97" s="44"/>
      <c r="M97" s="45" t="s">
        <v>357</v>
      </c>
    </row>
    <row r="98" ht="30" customHeight="1" spans="1:13">
      <c r="A98" s="41">
        <f>IF(C98="","",SUBTOTAL(103,$C$2:C98))</f>
        <v>97</v>
      </c>
      <c r="B98" s="41">
        <v>96</v>
      </c>
      <c r="C98" s="41">
        <v>11342</v>
      </c>
      <c r="D98" s="41" t="s">
        <v>65</v>
      </c>
      <c r="E98" s="41" t="s">
        <v>220</v>
      </c>
      <c r="F98" s="41" t="s">
        <v>358</v>
      </c>
      <c r="G98" s="41" t="s">
        <v>359</v>
      </c>
      <c r="H98" s="41" t="s">
        <v>360</v>
      </c>
      <c r="I98" s="43">
        <v>12</v>
      </c>
      <c r="J98" s="44" t="str">
        <f>VLOOKUP(G98,[1]硬件清单!$F:$F,1,0)</f>
        <v>YD-SDB3000B4B07F9363</v>
      </c>
      <c r="K98" s="43"/>
      <c r="L98" s="44"/>
      <c r="M98" s="45" t="s">
        <v>361</v>
      </c>
    </row>
    <row r="99" ht="30" customHeight="1" spans="1:13">
      <c r="A99" s="41">
        <f>IF(C99="","",SUBTOTAL(103,$C$2:C99))</f>
        <v>98</v>
      </c>
      <c r="B99" s="41">
        <v>97</v>
      </c>
      <c r="C99" s="41">
        <v>11341</v>
      </c>
      <c r="D99" s="41" t="s">
        <v>65</v>
      </c>
      <c r="E99" s="41" t="s">
        <v>220</v>
      </c>
      <c r="F99" s="41" t="s">
        <v>358</v>
      </c>
      <c r="G99" s="41" t="s">
        <v>362</v>
      </c>
      <c r="H99" s="41" t="s">
        <v>363</v>
      </c>
      <c r="I99" s="43">
        <v>12</v>
      </c>
      <c r="J99" s="44" t="str">
        <f>VLOOKUP(G99,[1]硬件清单!$F:$F,1,0)</f>
        <v>YD-SDB3000B4B07F9361</v>
      </c>
      <c r="K99" s="43"/>
      <c r="L99" s="44"/>
      <c r="M99" s="45" t="s">
        <v>364</v>
      </c>
    </row>
    <row r="100" ht="30" customHeight="1" spans="1:13">
      <c r="A100" s="41">
        <f>IF(C100="","",SUBTOTAL(103,$C$2:C100))</f>
        <v>99</v>
      </c>
      <c r="B100" s="41">
        <v>98</v>
      </c>
      <c r="C100" s="41">
        <v>11340</v>
      </c>
      <c r="D100" s="41" t="s">
        <v>65</v>
      </c>
      <c r="E100" s="41" t="s">
        <v>220</v>
      </c>
      <c r="F100" s="41" t="s">
        <v>365</v>
      </c>
      <c r="G100" s="41" t="s">
        <v>366</v>
      </c>
      <c r="H100" s="41" t="s">
        <v>367</v>
      </c>
      <c r="I100" s="43">
        <v>12</v>
      </c>
      <c r="J100" s="44" t="str">
        <f>VLOOKUP(G100,[1]硬件清单!$F:$F,1,0)</f>
        <v>7848374</v>
      </c>
      <c r="K100" s="43"/>
      <c r="L100" s="44"/>
      <c r="M100" s="45" t="s">
        <v>368</v>
      </c>
    </row>
    <row r="101" ht="30" customHeight="1" spans="1:13">
      <c r="A101" s="41">
        <f>IF(C101="","",SUBTOTAL(103,$C$2:C101))</f>
        <v>100</v>
      </c>
      <c r="B101" s="41">
        <v>99</v>
      </c>
      <c r="C101" s="41">
        <v>11344</v>
      </c>
      <c r="D101" s="41" t="s">
        <v>65</v>
      </c>
      <c r="E101" s="41" t="s">
        <v>220</v>
      </c>
      <c r="F101" s="41" t="s">
        <v>369</v>
      </c>
      <c r="G101" s="41" t="s">
        <v>370</v>
      </c>
      <c r="H101" s="41" t="s">
        <v>371</v>
      </c>
      <c r="I101" s="43">
        <v>12</v>
      </c>
      <c r="J101" s="44" t="str">
        <f>VLOOKUP(G101,[1]硬件清单!$F:$F,1,0)</f>
        <v>10395GF</v>
      </c>
      <c r="K101" s="43"/>
      <c r="L101" s="44"/>
      <c r="M101" s="45" t="s">
        <v>372</v>
      </c>
    </row>
    <row r="102" ht="30" customHeight="1" spans="1:13">
      <c r="A102" s="41">
        <f>IF(C102="","",SUBTOTAL(103,$C$2:C102))</f>
        <v>101</v>
      </c>
      <c r="B102" s="41">
        <v>100</v>
      </c>
      <c r="C102" s="41">
        <v>11343</v>
      </c>
      <c r="D102" s="41" t="s">
        <v>65</v>
      </c>
      <c r="E102" s="41" t="s">
        <v>220</v>
      </c>
      <c r="F102" s="41" t="s">
        <v>369</v>
      </c>
      <c r="G102" s="41" t="s">
        <v>373</v>
      </c>
      <c r="H102" s="41" t="s">
        <v>374</v>
      </c>
      <c r="I102" s="43">
        <v>12</v>
      </c>
      <c r="J102" s="44" t="str">
        <f>VLOOKUP(G102,[1]硬件清单!$F:$F,1,0)</f>
        <v>10394RR</v>
      </c>
      <c r="K102" s="43"/>
      <c r="L102" s="44"/>
      <c r="M102" s="45" t="s">
        <v>375</v>
      </c>
    </row>
    <row r="103" ht="30" customHeight="1" spans="1:13">
      <c r="A103" s="41">
        <f>IF(C103="","",SUBTOTAL(103,$C$2:C103))</f>
        <v>102</v>
      </c>
      <c r="B103" s="41">
        <v>101</v>
      </c>
      <c r="C103" s="41">
        <v>11277</v>
      </c>
      <c r="D103" s="41" t="s">
        <v>65</v>
      </c>
      <c r="E103" s="41" t="s">
        <v>220</v>
      </c>
      <c r="F103" s="41" t="s">
        <v>336</v>
      </c>
      <c r="G103" s="41" t="s">
        <v>376</v>
      </c>
      <c r="H103" s="41" t="s">
        <v>377</v>
      </c>
      <c r="I103" s="43">
        <v>12</v>
      </c>
      <c r="J103" s="44" t="str">
        <f>VLOOKUP(G103,[1]硬件清单!$F:$F,1,0)</f>
        <v>YD-SAC3000B4B07F9370</v>
      </c>
      <c r="K103" s="43"/>
      <c r="L103" s="44"/>
      <c r="M103" s="45" t="s">
        <v>378</v>
      </c>
    </row>
    <row r="104" ht="30" customHeight="1" spans="1:13">
      <c r="A104" s="41">
        <f>IF(C104="","",SUBTOTAL(103,$C$2:C104))</f>
        <v>103</v>
      </c>
      <c r="B104" s="41">
        <v>102</v>
      </c>
      <c r="C104" s="41">
        <v>11278</v>
      </c>
      <c r="D104" s="41" t="s">
        <v>65</v>
      </c>
      <c r="E104" s="41" t="s">
        <v>220</v>
      </c>
      <c r="F104" s="41" t="s">
        <v>336</v>
      </c>
      <c r="G104" s="41" t="s">
        <v>379</v>
      </c>
      <c r="H104" s="41" t="s">
        <v>380</v>
      </c>
      <c r="I104" s="43">
        <v>12</v>
      </c>
      <c r="J104" s="44" t="str">
        <f>VLOOKUP(G104,[1]硬件清单!$F:$F,1,0)</f>
        <v>YD-SAC3000B4B07F9371</v>
      </c>
      <c r="K104" s="43"/>
      <c r="L104" s="44"/>
      <c r="M104" s="45" t="s">
        <v>381</v>
      </c>
    </row>
    <row r="105" ht="30" customHeight="1" spans="1:13">
      <c r="A105" s="41">
        <f>IF(C105="","",SUBTOTAL(103,$C$2:C105))</f>
        <v>104</v>
      </c>
      <c r="B105" s="41">
        <v>103</v>
      </c>
      <c r="C105" s="41">
        <v>11279</v>
      </c>
      <c r="D105" s="41" t="s">
        <v>65</v>
      </c>
      <c r="E105" s="41" t="s">
        <v>220</v>
      </c>
      <c r="F105" s="41" t="s">
        <v>336</v>
      </c>
      <c r="G105" s="41" t="s">
        <v>382</v>
      </c>
      <c r="H105" s="41" t="s">
        <v>383</v>
      </c>
      <c r="I105" s="43">
        <v>12</v>
      </c>
      <c r="J105" s="44" t="str">
        <f>VLOOKUP(G105,[1]硬件清单!$F:$F,1,0)</f>
        <v>YD-SAC3000B4B07F936A</v>
      </c>
      <c r="K105" s="43"/>
      <c r="L105" s="44"/>
      <c r="M105" s="45" t="s">
        <v>384</v>
      </c>
    </row>
    <row r="106" ht="30" customHeight="1" spans="1:13">
      <c r="A106" s="41">
        <f>IF(C106="","",SUBTOTAL(103,$C$2:C106))</f>
        <v>105</v>
      </c>
      <c r="B106" s="41">
        <v>104</v>
      </c>
      <c r="C106" s="41">
        <v>11312</v>
      </c>
      <c r="D106" s="41" t="s">
        <v>65</v>
      </c>
      <c r="E106" s="41" t="s">
        <v>220</v>
      </c>
      <c r="F106" s="41" t="s">
        <v>221</v>
      </c>
      <c r="G106" s="41" t="s">
        <v>385</v>
      </c>
      <c r="H106" s="41" t="s">
        <v>386</v>
      </c>
      <c r="I106" s="43">
        <v>12</v>
      </c>
      <c r="J106" s="44" t="str">
        <f>VLOOKUP(G106,[1]硬件清单!$F:$F,1,0)</f>
        <v>ASG1000III2EE4FB2604</v>
      </c>
      <c r="K106" s="43"/>
      <c r="L106" s="44"/>
      <c r="M106" s="45" t="s">
        <v>387</v>
      </c>
    </row>
    <row r="107" ht="30" customHeight="1" spans="1:13">
      <c r="A107" s="41">
        <f>IF(C107="","",SUBTOTAL(103,$C$2:C107))</f>
        <v>106</v>
      </c>
      <c r="B107" s="41">
        <v>105</v>
      </c>
      <c r="C107" s="41">
        <v>11310</v>
      </c>
      <c r="D107" s="41" t="s">
        <v>65</v>
      </c>
      <c r="E107" s="41" t="s">
        <v>220</v>
      </c>
      <c r="F107" s="41" t="s">
        <v>221</v>
      </c>
      <c r="G107" s="41" t="s">
        <v>388</v>
      </c>
      <c r="H107" s="41" t="s">
        <v>389</v>
      </c>
      <c r="I107" s="43">
        <v>12</v>
      </c>
      <c r="J107" s="44" t="str">
        <f>VLOOKUP(G107,[1]硬件清单!$F:$F,1,0)</f>
        <v>ASG1000-II2EEB00BDF1</v>
      </c>
      <c r="K107" s="43"/>
      <c r="L107" s="44"/>
      <c r="M107" s="45" t="s">
        <v>390</v>
      </c>
    </row>
    <row r="108" ht="30" customHeight="1" spans="1:13">
      <c r="A108" s="41">
        <f>IF(C108="","",SUBTOTAL(103,$C$2:C108))</f>
        <v>107</v>
      </c>
      <c r="B108" s="41">
        <v>106</v>
      </c>
      <c r="C108" s="41">
        <v>11311</v>
      </c>
      <c r="D108" s="41" t="s">
        <v>65</v>
      </c>
      <c r="E108" s="41" t="s">
        <v>220</v>
      </c>
      <c r="F108" s="41" t="s">
        <v>221</v>
      </c>
      <c r="G108" s="41" t="s">
        <v>391</v>
      </c>
      <c r="H108" s="41" t="s">
        <v>392</v>
      </c>
      <c r="I108" s="43">
        <v>12</v>
      </c>
      <c r="J108" s="44" t="str">
        <f>VLOOKUP(G108,[1]硬件清单!$F:$F,1,0)</f>
        <v>ASG1000III2EE4FB2583</v>
      </c>
      <c r="K108" s="43"/>
      <c r="L108" s="44"/>
      <c r="M108" s="45" t="s">
        <v>393</v>
      </c>
    </row>
    <row r="109" ht="30" customHeight="1" spans="1:13">
      <c r="A109" s="41">
        <f>IF(C109="","",SUBTOTAL(103,$C$2:C109))</f>
        <v>108</v>
      </c>
      <c r="B109" s="41">
        <v>107</v>
      </c>
      <c r="C109" s="41">
        <v>11372</v>
      </c>
      <c r="D109" s="41" t="s">
        <v>65</v>
      </c>
      <c r="E109" s="41" t="s">
        <v>220</v>
      </c>
      <c r="F109" s="41" t="s">
        <v>394</v>
      </c>
      <c r="G109" s="41" t="s">
        <v>395</v>
      </c>
      <c r="H109" s="41" t="s">
        <v>396</v>
      </c>
      <c r="I109" s="43">
        <v>12</v>
      </c>
      <c r="J109" s="44" t="str">
        <f>VLOOKUP(G109,[1]硬件清单!$F:$F,1,0)</f>
        <v>PC00U97Z</v>
      </c>
      <c r="K109" s="43"/>
      <c r="L109" s="44"/>
      <c r="M109" s="45" t="s">
        <v>397</v>
      </c>
    </row>
    <row r="110" ht="30" customHeight="1" spans="1:13">
      <c r="A110" s="41">
        <f>IF(C110="","",SUBTOTAL(103,$C$2:C110))</f>
        <v>109</v>
      </c>
      <c r="B110" s="41">
        <v>108</v>
      </c>
      <c r="C110" s="41">
        <v>11377</v>
      </c>
      <c r="D110" s="41" t="s">
        <v>65</v>
      </c>
      <c r="E110" s="41" t="s">
        <v>220</v>
      </c>
      <c r="F110" s="41" t="s">
        <v>398</v>
      </c>
      <c r="G110" s="41" t="s">
        <v>399</v>
      </c>
      <c r="H110" s="41" t="s">
        <v>400</v>
      </c>
      <c r="I110" s="43">
        <v>12</v>
      </c>
      <c r="J110" s="44" t="str">
        <f>VLOOKUP(G110,[1]硬件清单!$F:$F,1,0)</f>
        <v>YD-NSDS3000B4B07F9364</v>
      </c>
      <c r="K110" s="43"/>
      <c r="L110" s="44"/>
      <c r="M110" s="45" t="s">
        <v>401</v>
      </c>
    </row>
    <row r="111" ht="30" customHeight="1" spans="1:13">
      <c r="A111" s="41">
        <f>IF(C111="","",SUBTOTAL(103,$C$2:C111))</f>
        <v>110</v>
      </c>
      <c r="B111" s="41">
        <v>109</v>
      </c>
      <c r="C111" s="41">
        <v>11378</v>
      </c>
      <c r="D111" s="41" t="s">
        <v>65</v>
      </c>
      <c r="E111" s="41" t="s">
        <v>220</v>
      </c>
      <c r="F111" s="41" t="s">
        <v>398</v>
      </c>
      <c r="G111" s="41" t="s">
        <v>402</v>
      </c>
      <c r="H111" s="41" t="s">
        <v>403</v>
      </c>
      <c r="I111" s="43">
        <v>12</v>
      </c>
      <c r="J111" s="44" t="str">
        <f>VLOOKUP(G111,[1]硬件清单!$F:$F,1,0)</f>
        <v>YD-NSDS3000B4B07F9362</v>
      </c>
      <c r="K111" s="43"/>
      <c r="L111" s="44"/>
      <c r="M111" s="45" t="s">
        <v>404</v>
      </c>
    </row>
    <row r="112" ht="30" customHeight="1" spans="1:13">
      <c r="A112" s="41">
        <f>IF(C112="","",SUBTOTAL(103,$C$2:C112))</f>
        <v>111</v>
      </c>
      <c r="B112" s="41">
        <v>110</v>
      </c>
      <c r="C112" s="41">
        <v>11329</v>
      </c>
      <c r="D112" s="41" t="s">
        <v>65</v>
      </c>
      <c r="E112" s="41" t="s">
        <v>220</v>
      </c>
      <c r="F112" s="41" t="s">
        <v>325</v>
      </c>
      <c r="G112" s="41" t="s">
        <v>405</v>
      </c>
      <c r="H112" s="41" t="s">
        <v>406</v>
      </c>
      <c r="I112" s="43">
        <v>12</v>
      </c>
      <c r="J112" s="44" t="str">
        <f>VLOOKUP(G112,[1]硬件清单!$F:$F,1,0)</f>
        <v>YD-LVS3000B4B07F9367</v>
      </c>
      <c r="K112" s="43"/>
      <c r="L112" s="44"/>
      <c r="M112" s="45" t="s">
        <v>407</v>
      </c>
    </row>
    <row r="113" ht="30" customHeight="1" spans="1:13">
      <c r="A113" s="41">
        <f>IF(C113="","",SUBTOTAL(103,$C$2:C113))</f>
        <v>112</v>
      </c>
      <c r="B113" s="41">
        <v>111</v>
      </c>
      <c r="C113" s="41">
        <v>11330</v>
      </c>
      <c r="D113" s="41" t="s">
        <v>65</v>
      </c>
      <c r="E113" s="41" t="s">
        <v>220</v>
      </c>
      <c r="F113" s="41" t="s">
        <v>325</v>
      </c>
      <c r="G113" s="41" t="s">
        <v>408</v>
      </c>
      <c r="H113" s="41" t="s">
        <v>409</v>
      </c>
      <c r="I113" s="43">
        <v>12</v>
      </c>
      <c r="J113" s="44" t="str">
        <f>VLOOKUP(G113,[1]硬件清单!$F:$F,1,0)</f>
        <v>YD-LVS3000B4B07F9368</v>
      </c>
      <c r="K113" s="43"/>
      <c r="L113" s="44"/>
      <c r="M113" s="45" t="s">
        <v>410</v>
      </c>
    </row>
    <row r="114" ht="30" customHeight="1" spans="1:13">
      <c r="A114" s="41">
        <f>IF(C114="","",SUBTOTAL(103,$C$2:C114))</f>
        <v>113</v>
      </c>
      <c r="B114" s="41">
        <v>112</v>
      </c>
      <c r="C114" s="41">
        <v>11331</v>
      </c>
      <c r="D114" s="41" t="s">
        <v>65</v>
      </c>
      <c r="E114" s="41" t="s">
        <v>220</v>
      </c>
      <c r="F114" s="41" t="s">
        <v>325</v>
      </c>
      <c r="G114" s="41" t="s">
        <v>411</v>
      </c>
      <c r="H114" s="41" t="s">
        <v>412</v>
      </c>
      <c r="I114" s="43">
        <v>12</v>
      </c>
      <c r="J114" s="44" t="str">
        <f>VLOOKUP(G114,[1]硬件清单!$F:$F,1,0)</f>
        <v>YD-LVS3000B4B07F9369</v>
      </c>
      <c r="K114" s="43"/>
      <c r="L114" s="44"/>
      <c r="M114" s="45" t="s">
        <v>413</v>
      </c>
    </row>
    <row r="115" ht="30" customHeight="1" spans="1:13">
      <c r="A115" s="41">
        <f>IF(C115="","",SUBTOTAL(103,$C$2:C115))</f>
        <v>114</v>
      </c>
      <c r="B115" s="41">
        <v>113</v>
      </c>
      <c r="C115" s="41">
        <v>11332</v>
      </c>
      <c r="D115" s="41" t="s">
        <v>65</v>
      </c>
      <c r="E115" s="41" t="s">
        <v>220</v>
      </c>
      <c r="F115" s="41" t="s">
        <v>325</v>
      </c>
      <c r="G115" s="41" t="s">
        <v>414</v>
      </c>
      <c r="H115" s="41" t="s">
        <v>415</v>
      </c>
      <c r="I115" s="43">
        <v>12</v>
      </c>
      <c r="J115" s="44" t="str">
        <f>VLOOKUP(G115,[1]硬件清单!$F:$F,1,0)</f>
        <v>YD-LVS3000B4B07F936B</v>
      </c>
      <c r="K115" s="43"/>
      <c r="L115" s="44"/>
      <c r="M115" s="45" t="s">
        <v>416</v>
      </c>
    </row>
    <row r="116" ht="30" customHeight="1" spans="1:13">
      <c r="A116" s="41">
        <f>IF(C116="","",SUBTOTAL(103,$C$2:C116))</f>
        <v>115</v>
      </c>
      <c r="B116" s="41">
        <v>114</v>
      </c>
      <c r="C116" s="41">
        <v>11282</v>
      </c>
      <c r="D116" s="41" t="s">
        <v>65</v>
      </c>
      <c r="E116" s="41" t="s">
        <v>220</v>
      </c>
      <c r="F116" s="41" t="s">
        <v>336</v>
      </c>
      <c r="G116" s="41" t="s">
        <v>417</v>
      </c>
      <c r="H116" s="41" t="s">
        <v>418</v>
      </c>
      <c r="I116" s="43">
        <v>12</v>
      </c>
      <c r="J116" s="44" t="str">
        <f>VLOOKUP(G116,[1]硬件清单!$F:$F,1,0)</f>
        <v>YD-SAC3000B4B07F936B</v>
      </c>
      <c r="K116" s="43"/>
      <c r="L116" s="44"/>
      <c r="M116" s="45" t="s">
        <v>419</v>
      </c>
    </row>
    <row r="117" ht="30" customHeight="1" spans="1:13">
      <c r="A117" s="41">
        <f>IF(C117="","",SUBTOTAL(103,$C$2:C117))</f>
        <v>116</v>
      </c>
      <c r="B117" s="41">
        <v>115</v>
      </c>
      <c r="C117" s="41">
        <v>11280</v>
      </c>
      <c r="D117" s="41" t="s">
        <v>65</v>
      </c>
      <c r="E117" s="41" t="s">
        <v>220</v>
      </c>
      <c r="F117" s="41" t="s">
        <v>336</v>
      </c>
      <c r="G117" s="41" t="s">
        <v>420</v>
      </c>
      <c r="H117" s="41" t="s">
        <v>421</v>
      </c>
      <c r="I117" s="43">
        <v>12</v>
      </c>
      <c r="J117" s="44" t="str">
        <f>VLOOKUP(G117,[1]硬件清单!$F:$F,1,0)</f>
        <v>YD-SAC3000B4B07F9372</v>
      </c>
      <c r="K117" s="43"/>
      <c r="L117" s="44"/>
      <c r="M117" s="45" t="s">
        <v>422</v>
      </c>
    </row>
    <row r="118" ht="30" customHeight="1" spans="1:13">
      <c r="A118" s="41">
        <f>IF(C118="","",SUBTOTAL(103,$C$2:C118))</f>
        <v>117</v>
      </c>
      <c r="B118" s="41">
        <v>116</v>
      </c>
      <c r="C118" s="41">
        <v>11281</v>
      </c>
      <c r="D118" s="41" t="s">
        <v>65</v>
      </c>
      <c r="E118" s="41" t="s">
        <v>220</v>
      </c>
      <c r="F118" s="41" t="s">
        <v>336</v>
      </c>
      <c r="G118" s="41" t="s">
        <v>423</v>
      </c>
      <c r="H118" s="41" t="s">
        <v>424</v>
      </c>
      <c r="I118" s="43">
        <v>12</v>
      </c>
      <c r="J118" s="44" t="str">
        <f>VLOOKUP(G118,[1]硬件清单!$F:$F,1,0)</f>
        <v>YD-SAC3000B4B07F9373</v>
      </c>
      <c r="K118" s="43"/>
      <c r="L118" s="44"/>
      <c r="M118" s="45" t="s">
        <v>425</v>
      </c>
    </row>
    <row r="119" ht="30" customHeight="1" spans="1:13">
      <c r="A119" s="41">
        <f>IF(C119="","",SUBTOTAL(103,$C$2:C119))</f>
        <v>118</v>
      </c>
      <c r="B119" s="41">
        <v>117</v>
      </c>
      <c r="C119" s="41">
        <v>11315</v>
      </c>
      <c r="D119" s="41" t="s">
        <v>65</v>
      </c>
      <c r="E119" s="41" t="s">
        <v>220</v>
      </c>
      <c r="F119" s="41" t="s">
        <v>221</v>
      </c>
      <c r="G119" s="41" t="s">
        <v>426</v>
      </c>
      <c r="H119" s="41" t="s">
        <v>427</v>
      </c>
      <c r="I119" s="43">
        <v>12</v>
      </c>
      <c r="J119" s="44" t="str">
        <f>VLOOKUP(G119,[1]硬件清单!$F:$F,1,0)</f>
        <v>ASG1000III2EE4FB2599</v>
      </c>
      <c r="K119" s="43"/>
      <c r="L119" s="44"/>
      <c r="M119" s="45" t="s">
        <v>428</v>
      </c>
    </row>
    <row r="120" ht="30" customHeight="1" spans="1:13">
      <c r="A120" s="41">
        <f>IF(C120="","",SUBTOTAL(103,$C$2:C120))</f>
        <v>119</v>
      </c>
      <c r="B120" s="41">
        <v>118</v>
      </c>
      <c r="C120" s="41">
        <v>11313</v>
      </c>
      <c r="D120" s="41" t="s">
        <v>65</v>
      </c>
      <c r="E120" s="41" t="s">
        <v>220</v>
      </c>
      <c r="F120" s="41" t="s">
        <v>221</v>
      </c>
      <c r="G120" s="41" t="s">
        <v>429</v>
      </c>
      <c r="H120" s="41" t="s">
        <v>430</v>
      </c>
      <c r="I120" s="43">
        <v>12</v>
      </c>
      <c r="J120" s="44" t="str">
        <f>VLOOKUP(G120,[1]硬件清单!$F:$F,1,0)</f>
        <v>ASG1000III2EE4FB2605</v>
      </c>
      <c r="K120" s="43"/>
      <c r="L120" s="44"/>
      <c r="M120" s="45" t="s">
        <v>431</v>
      </c>
    </row>
    <row r="121" ht="30" customHeight="1" spans="1:13">
      <c r="A121" s="41">
        <f>IF(C121="","",SUBTOTAL(103,$C$2:C121))</f>
        <v>120</v>
      </c>
      <c r="B121" s="41">
        <v>119</v>
      </c>
      <c r="C121" s="41">
        <v>11314</v>
      </c>
      <c r="D121" s="41" t="s">
        <v>65</v>
      </c>
      <c r="E121" s="41" t="s">
        <v>220</v>
      </c>
      <c r="F121" s="41" t="s">
        <v>221</v>
      </c>
      <c r="G121" s="41" t="s">
        <v>432</v>
      </c>
      <c r="H121" s="41" t="s">
        <v>433</v>
      </c>
      <c r="I121" s="43">
        <v>12</v>
      </c>
      <c r="J121" s="44" t="str">
        <f>VLOOKUP(G121,[1]硬件清单!$F:$F,1,0)</f>
        <v>ASG1000III2EE4FB2589</v>
      </c>
      <c r="K121" s="43"/>
      <c r="L121" s="44"/>
      <c r="M121" s="45" t="s">
        <v>434</v>
      </c>
    </row>
    <row r="122" ht="30" customHeight="1" spans="1:13">
      <c r="A122" s="41">
        <f>IF(C122="","",SUBTOTAL(103,$C$2:C122))</f>
        <v>121</v>
      </c>
      <c r="B122" s="41">
        <v>120</v>
      </c>
      <c r="C122" s="41">
        <v>11321</v>
      </c>
      <c r="D122" s="41" t="s">
        <v>65</v>
      </c>
      <c r="E122" s="41" t="s">
        <v>220</v>
      </c>
      <c r="F122" s="41" t="s">
        <v>221</v>
      </c>
      <c r="G122" s="41" t="s">
        <v>435</v>
      </c>
      <c r="H122" s="41" t="s">
        <v>436</v>
      </c>
      <c r="I122" s="43">
        <v>12</v>
      </c>
      <c r="J122" s="44" t="str">
        <f>VLOOKUP(G122,[1]硬件清单!$F:$F,1,0)</f>
        <v>ASG1000III2EE4FB2580</v>
      </c>
      <c r="K122" s="43"/>
      <c r="L122" s="44"/>
      <c r="M122" s="45" t="s">
        <v>437</v>
      </c>
    </row>
    <row r="123" ht="30" customHeight="1" spans="1:13">
      <c r="A123" s="41">
        <f>IF(C123="","",SUBTOTAL(103,$C$2:C123))</f>
        <v>122</v>
      </c>
      <c r="B123" s="41">
        <v>121</v>
      </c>
      <c r="C123" s="41">
        <v>11318</v>
      </c>
      <c r="D123" s="41" t="s">
        <v>65</v>
      </c>
      <c r="E123" s="41" t="s">
        <v>220</v>
      </c>
      <c r="F123" s="41" t="s">
        <v>221</v>
      </c>
      <c r="G123" s="41" t="s">
        <v>438</v>
      </c>
      <c r="H123" s="41" t="s">
        <v>439</v>
      </c>
      <c r="I123" s="43">
        <v>12</v>
      </c>
      <c r="J123" s="44" t="str">
        <f>VLOOKUP(G123,[1]硬件清单!$F:$F,1,0)</f>
        <v>ASG1000III2EE4FB2606</v>
      </c>
      <c r="K123" s="43"/>
      <c r="L123" s="44"/>
      <c r="M123" s="45" t="s">
        <v>440</v>
      </c>
    </row>
    <row r="124" ht="30" customHeight="1" spans="1:13">
      <c r="A124" s="41">
        <f>IF(C124="","",SUBTOTAL(103,$C$2:C124))</f>
        <v>123</v>
      </c>
      <c r="B124" s="41">
        <v>122</v>
      </c>
      <c r="C124" s="41">
        <v>11322</v>
      </c>
      <c r="D124" s="41" t="s">
        <v>65</v>
      </c>
      <c r="E124" s="41" t="s">
        <v>220</v>
      </c>
      <c r="F124" s="41" t="s">
        <v>221</v>
      </c>
      <c r="G124" s="41" t="s">
        <v>441</v>
      </c>
      <c r="H124" s="41" t="s">
        <v>442</v>
      </c>
      <c r="I124" s="43">
        <v>12</v>
      </c>
      <c r="J124" s="44" t="str">
        <f>VLOOKUP(G124,[1]硬件清单!$F:$F,1,0)</f>
        <v>ASG1000III2EE4FB259F</v>
      </c>
      <c r="K124" s="43"/>
      <c r="L124" s="44"/>
      <c r="M124" s="45" t="s">
        <v>443</v>
      </c>
    </row>
    <row r="125" ht="30" customHeight="1" spans="1:13">
      <c r="A125" s="41">
        <f>IF(C125="","",SUBTOTAL(103,$C$2:C125))</f>
        <v>124</v>
      </c>
      <c r="B125" s="41">
        <v>123</v>
      </c>
      <c r="C125" s="41">
        <v>11319</v>
      </c>
      <c r="D125" s="41" t="s">
        <v>65</v>
      </c>
      <c r="E125" s="41" t="s">
        <v>220</v>
      </c>
      <c r="F125" s="41" t="s">
        <v>221</v>
      </c>
      <c r="G125" s="41" t="s">
        <v>444</v>
      </c>
      <c r="H125" s="41" t="s">
        <v>445</v>
      </c>
      <c r="I125" s="43">
        <v>12</v>
      </c>
      <c r="J125" s="44" t="str">
        <f>VLOOKUP(G125,[1]硬件清单!$F:$F,1,0)</f>
        <v>ASG1000III2EE4FB259C</v>
      </c>
      <c r="K125" s="43"/>
      <c r="L125" s="44"/>
      <c r="M125" s="45" t="s">
        <v>446</v>
      </c>
    </row>
    <row r="126" ht="30" customHeight="1" spans="1:13">
      <c r="A126" s="41">
        <f>IF(C126="","",SUBTOTAL(103,$C$2:C126))</f>
        <v>125</v>
      </c>
      <c r="B126" s="41">
        <v>124</v>
      </c>
      <c r="C126" s="41">
        <v>11374</v>
      </c>
      <c r="D126" s="41" t="s">
        <v>65</v>
      </c>
      <c r="E126" s="41" t="s">
        <v>220</v>
      </c>
      <c r="F126" s="41" t="s">
        <v>321</v>
      </c>
      <c r="G126" s="41" t="s">
        <v>447</v>
      </c>
      <c r="H126" s="41" t="s">
        <v>448</v>
      </c>
      <c r="I126" s="43">
        <v>12</v>
      </c>
      <c r="J126" s="44" t="str">
        <f>VLOOKUP(G126,[1]硬件清单!$F:$F,1,0)</f>
        <v>YD-NODE2000S4B07F9361</v>
      </c>
      <c r="K126" s="43"/>
      <c r="L126" s="44"/>
      <c r="M126" s="45" t="s">
        <v>449</v>
      </c>
    </row>
    <row r="127" ht="30" customHeight="1" spans="1:13">
      <c r="A127" s="41">
        <f>IF(C127="","",SUBTOTAL(103,$C$2:C127))</f>
        <v>126</v>
      </c>
      <c r="B127" s="41">
        <v>125</v>
      </c>
      <c r="C127" s="41">
        <v>11333</v>
      </c>
      <c r="D127" s="41" t="s">
        <v>65</v>
      </c>
      <c r="E127" s="41" t="s">
        <v>220</v>
      </c>
      <c r="F127" s="41" t="s">
        <v>325</v>
      </c>
      <c r="G127" s="41" t="s">
        <v>450</v>
      </c>
      <c r="H127" s="41" t="s">
        <v>451</v>
      </c>
      <c r="I127" s="43">
        <v>12</v>
      </c>
      <c r="J127" s="44" t="str">
        <f>VLOOKUP(G127,[1]硬件清单!$F:$F,1,0)</f>
        <v>YD-LVS3000B4B07F9365</v>
      </c>
      <c r="K127" s="43"/>
      <c r="L127" s="44"/>
      <c r="M127" s="45" t="s">
        <v>452</v>
      </c>
    </row>
    <row r="128" ht="30" customHeight="1" spans="1:13">
      <c r="A128" s="41">
        <f>IF(C128="","",SUBTOTAL(103,$C$2:C128))</f>
        <v>127</v>
      </c>
      <c r="B128" s="41">
        <v>126</v>
      </c>
      <c r="C128" s="41">
        <v>11339</v>
      </c>
      <c r="D128" s="41" t="s">
        <v>65</v>
      </c>
      <c r="E128" s="41" t="s">
        <v>220</v>
      </c>
      <c r="F128" s="41" t="s">
        <v>329</v>
      </c>
      <c r="G128" s="41" t="s">
        <v>453</v>
      </c>
      <c r="H128" s="41" t="s">
        <v>454</v>
      </c>
      <c r="I128" s="43">
        <v>12</v>
      </c>
      <c r="J128" s="44" t="str">
        <f>VLOOKUP(G128,[1]硬件清单!$F:$F,1,0)</f>
        <v>YD-SMC3000B4B07F9366</v>
      </c>
      <c r="K128" s="43"/>
      <c r="L128" s="44"/>
      <c r="M128" s="45" t="s">
        <v>455</v>
      </c>
    </row>
    <row r="129" ht="30" customHeight="1" spans="1:13">
      <c r="A129" s="41">
        <f>IF(C129="","",SUBTOTAL(103,$C$2:C129))</f>
        <v>128</v>
      </c>
      <c r="B129" s="41">
        <v>127</v>
      </c>
      <c r="C129" s="41">
        <v>11338</v>
      </c>
      <c r="D129" s="41" t="s">
        <v>65</v>
      </c>
      <c r="E129" s="41" t="s">
        <v>220</v>
      </c>
      <c r="F129" s="41" t="s">
        <v>329</v>
      </c>
      <c r="G129" s="41" t="s">
        <v>456</v>
      </c>
      <c r="H129" s="41" t="s">
        <v>457</v>
      </c>
      <c r="I129" s="43">
        <v>12</v>
      </c>
      <c r="J129" s="44" t="str">
        <f>VLOOKUP(G129,[1]硬件清单!$F:$F,1,0)</f>
        <v>YD-SMC3000B4B07F9365</v>
      </c>
      <c r="K129" s="43"/>
      <c r="L129" s="44"/>
      <c r="M129" s="45" t="s">
        <v>458</v>
      </c>
    </row>
    <row r="130" ht="30" customHeight="1" spans="1:13">
      <c r="A130" s="41">
        <f>IF(C130="","",SUBTOTAL(103,$C$2:C130))</f>
        <v>129</v>
      </c>
      <c r="B130" s="41">
        <v>128</v>
      </c>
      <c r="C130" s="41">
        <v>11284</v>
      </c>
      <c r="D130" s="41" t="s">
        <v>65</v>
      </c>
      <c r="E130" s="41" t="s">
        <v>220</v>
      </c>
      <c r="F130" s="41" t="s">
        <v>336</v>
      </c>
      <c r="G130" s="41" t="s">
        <v>459</v>
      </c>
      <c r="H130" s="41" t="s">
        <v>460</v>
      </c>
      <c r="I130" s="43">
        <v>12</v>
      </c>
      <c r="J130" s="44" t="str">
        <f>VLOOKUP(G130,[1]硬件清单!$F:$F,1,0)</f>
        <v>YD-SAC3000B4B07F9362</v>
      </c>
      <c r="K130" s="43"/>
      <c r="L130" s="44"/>
      <c r="M130" s="45" t="s">
        <v>461</v>
      </c>
    </row>
    <row r="131" ht="30" customHeight="1" spans="1:13">
      <c r="A131" s="41">
        <f>IF(C131="","",SUBTOTAL(103,$C$2:C131))</f>
        <v>130</v>
      </c>
      <c r="B131" s="41">
        <v>129</v>
      </c>
      <c r="C131" s="41">
        <v>11283</v>
      </c>
      <c r="D131" s="41" t="s">
        <v>65</v>
      </c>
      <c r="E131" s="41" t="s">
        <v>220</v>
      </c>
      <c r="F131" s="41" t="s">
        <v>336</v>
      </c>
      <c r="G131" s="41" t="s">
        <v>462</v>
      </c>
      <c r="H131" s="41" t="s">
        <v>463</v>
      </c>
      <c r="I131" s="43">
        <v>12</v>
      </c>
      <c r="J131" s="44" t="str">
        <f>VLOOKUP(G131,[1]硬件清单!$F:$F,1,0)</f>
        <v>YD-SAC3000B4B07F9361</v>
      </c>
      <c r="K131" s="43"/>
      <c r="L131" s="44"/>
      <c r="M131" s="45" t="s">
        <v>464</v>
      </c>
    </row>
    <row r="132" ht="30" customHeight="1" spans="1:13">
      <c r="A132" s="41">
        <f>IF(C132="","",SUBTOTAL(103,$C$2:C132))</f>
        <v>131</v>
      </c>
      <c r="B132" s="41">
        <v>130</v>
      </c>
      <c r="C132" s="41">
        <v>11285</v>
      </c>
      <c r="D132" s="41" t="s">
        <v>65</v>
      </c>
      <c r="E132" s="41" t="s">
        <v>220</v>
      </c>
      <c r="F132" s="41" t="s">
        <v>336</v>
      </c>
      <c r="G132" s="41" t="s">
        <v>465</v>
      </c>
      <c r="H132" s="41" t="s">
        <v>466</v>
      </c>
      <c r="I132" s="43">
        <v>12</v>
      </c>
      <c r="J132" s="44" t="str">
        <f>VLOOKUP(G132,[1]硬件清单!$F:$F,1,0)</f>
        <v>YD-SAC3000B4B07F936C</v>
      </c>
      <c r="K132" s="43"/>
      <c r="L132" s="44"/>
      <c r="M132" s="45" t="s">
        <v>467</v>
      </c>
    </row>
    <row r="133" ht="30" customHeight="1" spans="1:13">
      <c r="A133" s="41">
        <f>IF(C133="","",SUBTOTAL(103,$C$2:C133))</f>
        <v>132</v>
      </c>
      <c r="B133" s="41">
        <v>131</v>
      </c>
      <c r="C133" s="41">
        <v>11286</v>
      </c>
      <c r="D133" s="41" t="s">
        <v>65</v>
      </c>
      <c r="E133" s="41" t="s">
        <v>220</v>
      </c>
      <c r="F133" s="41" t="s">
        <v>336</v>
      </c>
      <c r="G133" s="41" t="s">
        <v>468</v>
      </c>
      <c r="H133" s="41" t="s">
        <v>469</v>
      </c>
      <c r="I133" s="43">
        <v>12</v>
      </c>
      <c r="J133" s="44" t="str">
        <f>VLOOKUP(G133,[1]硬件清单!$F:$F,1,0)</f>
        <v>YD-SAC3000B4B07F936E</v>
      </c>
      <c r="K133" s="43"/>
      <c r="L133" s="44"/>
      <c r="M133" s="45" t="s">
        <v>470</v>
      </c>
    </row>
    <row r="134" ht="30" customHeight="1" spans="1:13">
      <c r="A134" s="41">
        <f>IF(C134="","",SUBTOTAL(103,$C$2:C134))</f>
        <v>133</v>
      </c>
      <c r="B134" s="41">
        <v>132</v>
      </c>
      <c r="C134" s="41">
        <v>11316</v>
      </c>
      <c r="D134" s="41" t="s">
        <v>65</v>
      </c>
      <c r="E134" s="41" t="s">
        <v>220</v>
      </c>
      <c r="F134" s="41" t="s">
        <v>221</v>
      </c>
      <c r="G134" s="41" t="s">
        <v>471</v>
      </c>
      <c r="H134" s="41" t="s">
        <v>472</v>
      </c>
      <c r="I134" s="43">
        <v>12</v>
      </c>
      <c r="J134" s="44" t="str">
        <f>VLOOKUP(G134,[1]硬件清单!$F:$F,1,0)</f>
        <v>ASG1000III2EE4FB2587</v>
      </c>
      <c r="K134" s="43"/>
      <c r="L134" s="44"/>
      <c r="M134" s="45" t="s">
        <v>473</v>
      </c>
    </row>
    <row r="135" ht="30" customHeight="1" spans="1:13">
      <c r="A135" s="41">
        <f>IF(C135="","",SUBTOTAL(103,$C$2:C135))</f>
        <v>134</v>
      </c>
      <c r="B135" s="41">
        <v>133</v>
      </c>
      <c r="C135" s="41">
        <v>11320</v>
      </c>
      <c r="D135" s="41" t="s">
        <v>65</v>
      </c>
      <c r="E135" s="41" t="s">
        <v>220</v>
      </c>
      <c r="F135" s="41" t="s">
        <v>221</v>
      </c>
      <c r="G135" s="41" t="s">
        <v>474</v>
      </c>
      <c r="H135" s="41" t="s">
        <v>475</v>
      </c>
      <c r="I135" s="43">
        <v>12</v>
      </c>
      <c r="J135" s="44" t="str">
        <f>VLOOKUP(G135,[1]硬件清单!$F:$F,1,0)</f>
        <v>ASG1000III2EE4FB2607</v>
      </c>
      <c r="K135" s="43"/>
      <c r="L135" s="44"/>
      <c r="M135" s="45" t="s">
        <v>476</v>
      </c>
    </row>
    <row r="136" ht="30" customHeight="1" spans="1:13">
      <c r="A136" s="41">
        <f>IF(C136="","",SUBTOTAL(103,$C$2:C136))</f>
        <v>135</v>
      </c>
      <c r="B136" s="41">
        <v>134</v>
      </c>
      <c r="C136" s="41">
        <v>11317</v>
      </c>
      <c r="D136" s="41" t="s">
        <v>65</v>
      </c>
      <c r="E136" s="41" t="s">
        <v>220</v>
      </c>
      <c r="F136" s="41" t="s">
        <v>221</v>
      </c>
      <c r="G136" s="41" t="s">
        <v>477</v>
      </c>
      <c r="H136" s="41" t="s">
        <v>478</v>
      </c>
      <c r="I136" s="43">
        <v>12</v>
      </c>
      <c r="J136" s="44" t="str">
        <f>VLOOKUP(G136,[1]硬件清单!$F:$F,1,0)</f>
        <v>ASG1000III2EE4FB2591</v>
      </c>
      <c r="K136" s="43"/>
      <c r="L136" s="44"/>
      <c r="M136" s="45" t="s">
        <v>479</v>
      </c>
    </row>
    <row r="137" ht="30" customHeight="1" spans="1:13">
      <c r="A137" s="41">
        <f>IF(C137="","",SUBTOTAL(103,$C$2:C137))</f>
        <v>136</v>
      </c>
      <c r="B137" s="41">
        <v>135</v>
      </c>
      <c r="C137" s="41">
        <v>11382</v>
      </c>
      <c r="D137" s="41" t="s">
        <v>65</v>
      </c>
      <c r="E137" s="41" t="s">
        <v>220</v>
      </c>
      <c r="F137" s="41" t="s">
        <v>221</v>
      </c>
      <c r="G137" s="41" t="s">
        <v>480</v>
      </c>
      <c r="H137" s="41" t="s">
        <v>481</v>
      </c>
      <c r="I137" s="43">
        <v>12</v>
      </c>
      <c r="J137" s="44" t="str">
        <f>VLOOKUP(G137,[1]硬件清单!$F:$F,1,0)</f>
        <v>ASG1000III2EE4FB258F</v>
      </c>
      <c r="K137" s="43"/>
      <c r="L137" s="44"/>
      <c r="M137" s="45" t="s">
        <v>482</v>
      </c>
    </row>
    <row r="138" ht="30" customHeight="1" spans="1:13">
      <c r="A138" s="41">
        <f>IF(C138="","",SUBTOTAL(103,$C$2:C138))</f>
        <v>137</v>
      </c>
      <c r="B138" s="41">
        <v>136</v>
      </c>
      <c r="C138" s="41">
        <v>11387</v>
      </c>
      <c r="D138" s="41" t="s">
        <v>65</v>
      </c>
      <c r="E138" s="41" t="s">
        <v>220</v>
      </c>
      <c r="F138" s="41" t="s">
        <v>221</v>
      </c>
      <c r="G138" s="41" t="s">
        <v>483</v>
      </c>
      <c r="H138" s="41" t="s">
        <v>484</v>
      </c>
      <c r="I138" s="43">
        <v>12</v>
      </c>
      <c r="J138" s="44" t="str">
        <f>VLOOKUP(G138,[1]硬件清单!$F:$F,1,0)</f>
        <v>ASG1000III2EE4FB2593</v>
      </c>
      <c r="K138" s="43"/>
      <c r="L138" s="44"/>
      <c r="M138" s="45" t="s">
        <v>485</v>
      </c>
    </row>
    <row r="139" ht="30" customHeight="1" spans="1:13">
      <c r="A139" s="41">
        <f>IF(C139="","",SUBTOTAL(103,$C$2:C139))</f>
        <v>138</v>
      </c>
      <c r="B139" s="41">
        <v>137</v>
      </c>
      <c r="C139" s="41">
        <v>11325</v>
      </c>
      <c r="D139" s="41" t="s">
        <v>65</v>
      </c>
      <c r="E139" s="41" t="s">
        <v>220</v>
      </c>
      <c r="F139" s="41" t="s">
        <v>221</v>
      </c>
      <c r="G139" s="41" t="s">
        <v>486</v>
      </c>
      <c r="H139" s="41" t="s">
        <v>487</v>
      </c>
      <c r="I139" s="43">
        <v>12</v>
      </c>
      <c r="J139" s="44" t="str">
        <f>VLOOKUP(G139,[1]硬件清单!$F:$F,1,0)</f>
        <v>ASG1000III2EE4FB2584</v>
      </c>
      <c r="K139" s="43"/>
      <c r="L139" s="44"/>
      <c r="M139" s="45" t="s">
        <v>488</v>
      </c>
    </row>
    <row r="140" ht="30" customHeight="1" spans="1:13">
      <c r="A140" s="41">
        <f>IF(C140="","",SUBTOTAL(103,$C$2:C140))</f>
        <v>139</v>
      </c>
      <c r="B140" s="41">
        <v>138</v>
      </c>
      <c r="C140" s="41">
        <v>11324</v>
      </c>
      <c r="D140" s="41" t="s">
        <v>65</v>
      </c>
      <c r="E140" s="41" t="s">
        <v>220</v>
      </c>
      <c r="F140" s="41" t="s">
        <v>221</v>
      </c>
      <c r="G140" s="41" t="s">
        <v>489</v>
      </c>
      <c r="H140" s="41" t="s">
        <v>490</v>
      </c>
      <c r="I140" s="43">
        <v>12</v>
      </c>
      <c r="J140" s="44" t="str">
        <f>VLOOKUP(G140,[1]硬件清单!$F:$F,1,0)</f>
        <v>ASG1000III2EE4FB259B</v>
      </c>
      <c r="K140" s="43"/>
      <c r="L140" s="44"/>
      <c r="M140" s="45" t="s">
        <v>491</v>
      </c>
    </row>
    <row r="141" ht="30" customHeight="1" spans="1:13">
      <c r="A141" s="41">
        <f>IF(C141="","",SUBTOTAL(103,$C$2:C141))</f>
        <v>140</v>
      </c>
      <c r="B141" s="41">
        <v>139</v>
      </c>
      <c r="C141" s="41">
        <v>11375</v>
      </c>
      <c r="D141" s="41" t="s">
        <v>65</v>
      </c>
      <c r="E141" s="41" t="s">
        <v>220</v>
      </c>
      <c r="F141" s="41" t="s">
        <v>321</v>
      </c>
      <c r="G141" s="41" t="s">
        <v>492</v>
      </c>
      <c r="H141" s="41" t="s">
        <v>493</v>
      </c>
      <c r="I141" s="43">
        <v>12</v>
      </c>
      <c r="J141" s="44" t="str">
        <f>VLOOKUP(G141,[1]硬件清单!$F:$F,1,0)</f>
        <v>YD-NODE2000S4B07F9364</v>
      </c>
      <c r="K141" s="43"/>
      <c r="L141" s="44"/>
      <c r="M141" s="45" t="s">
        <v>494</v>
      </c>
    </row>
    <row r="142" ht="30" customHeight="1" spans="1:13">
      <c r="A142" s="41">
        <f>IF(C142="","",SUBTOTAL(103,$C$2:C142))</f>
        <v>141</v>
      </c>
      <c r="B142" s="41">
        <v>140</v>
      </c>
      <c r="C142" s="41">
        <v>11335</v>
      </c>
      <c r="D142" s="41" t="s">
        <v>65</v>
      </c>
      <c r="E142" s="41" t="s">
        <v>220</v>
      </c>
      <c r="F142" s="41" t="s">
        <v>325</v>
      </c>
      <c r="G142" s="41" t="s">
        <v>495</v>
      </c>
      <c r="H142" s="41" t="s">
        <v>496</v>
      </c>
      <c r="I142" s="43">
        <v>12</v>
      </c>
      <c r="J142" s="44" t="str">
        <f>VLOOKUP(G142,[1]硬件清单!$F:$F,1,0)</f>
        <v>YD-LVS3000B4B07F9366</v>
      </c>
      <c r="K142" s="43"/>
      <c r="L142" s="44"/>
      <c r="M142" s="45" t="s">
        <v>497</v>
      </c>
    </row>
    <row r="143" ht="30" customHeight="1" spans="1:13">
      <c r="A143" s="41">
        <f>IF(C143="","",SUBTOTAL(103,$C$2:C143))</f>
        <v>142</v>
      </c>
      <c r="B143" s="41">
        <v>141</v>
      </c>
      <c r="C143" s="41">
        <v>11334</v>
      </c>
      <c r="D143" s="41" t="s">
        <v>65</v>
      </c>
      <c r="E143" s="41" t="s">
        <v>220</v>
      </c>
      <c r="F143" s="41" t="s">
        <v>325</v>
      </c>
      <c r="G143" s="41" t="s">
        <v>498</v>
      </c>
      <c r="H143" s="41" t="s">
        <v>499</v>
      </c>
      <c r="I143" s="43">
        <v>12</v>
      </c>
      <c r="J143" s="44" t="str">
        <f>VLOOKUP(G143,[1]硬件清单!$F:$F,1,0)</f>
        <v>YD-LVS3000B4B07F9363</v>
      </c>
      <c r="K143" s="43"/>
      <c r="L143" s="44"/>
      <c r="M143" s="45" t="s">
        <v>500</v>
      </c>
    </row>
    <row r="144" ht="30" customHeight="1" spans="1:13">
      <c r="A144" s="41">
        <f>IF(C144="","",SUBTOTAL(103,$C$2:C144))</f>
        <v>143</v>
      </c>
      <c r="B144" s="41">
        <v>142</v>
      </c>
      <c r="C144" s="41">
        <v>11290</v>
      </c>
      <c r="D144" s="41" t="s">
        <v>65</v>
      </c>
      <c r="E144" s="41" t="s">
        <v>220</v>
      </c>
      <c r="F144" s="41" t="s">
        <v>336</v>
      </c>
      <c r="G144" s="41" t="s">
        <v>501</v>
      </c>
      <c r="H144" s="41" t="s">
        <v>502</v>
      </c>
      <c r="I144" s="43">
        <v>12</v>
      </c>
      <c r="J144" s="44" t="str">
        <f>VLOOKUP(G144,[1]硬件清单!$F:$F,1,0)</f>
        <v>YD-SAC3000B4B07F9377</v>
      </c>
      <c r="K144" s="43"/>
      <c r="L144" s="44"/>
      <c r="M144" s="45" t="s">
        <v>503</v>
      </c>
    </row>
    <row r="145" ht="30" customHeight="1" spans="1:13">
      <c r="A145" s="41">
        <f>IF(C145="","",SUBTOTAL(103,$C$2:C145))</f>
        <v>144</v>
      </c>
      <c r="B145" s="41">
        <v>143</v>
      </c>
      <c r="C145" s="41">
        <v>11289</v>
      </c>
      <c r="D145" s="41" t="s">
        <v>65</v>
      </c>
      <c r="E145" s="41" t="s">
        <v>220</v>
      </c>
      <c r="F145" s="41" t="s">
        <v>336</v>
      </c>
      <c r="G145" s="41" t="s">
        <v>504</v>
      </c>
      <c r="H145" s="41" t="s">
        <v>505</v>
      </c>
      <c r="I145" s="43">
        <v>12</v>
      </c>
      <c r="J145" s="44" t="str">
        <f>VLOOKUP(G145,[1]硬件清单!$F:$F,1,0)</f>
        <v>YD-SAC3000B4B07F9375</v>
      </c>
      <c r="K145" s="43"/>
      <c r="L145" s="44"/>
      <c r="M145" s="45" t="s">
        <v>506</v>
      </c>
    </row>
    <row r="146" ht="30" customHeight="1" spans="1:13">
      <c r="A146" s="41">
        <f>IF(C146="","",SUBTOTAL(103,$C$2:C146))</f>
        <v>145</v>
      </c>
      <c r="B146" s="41">
        <v>144</v>
      </c>
      <c r="C146" s="41">
        <v>11291</v>
      </c>
      <c r="D146" s="41" t="s">
        <v>65</v>
      </c>
      <c r="E146" s="41" t="s">
        <v>220</v>
      </c>
      <c r="F146" s="41" t="s">
        <v>336</v>
      </c>
      <c r="G146" s="41" t="s">
        <v>507</v>
      </c>
      <c r="H146" s="41" t="s">
        <v>508</v>
      </c>
      <c r="I146" s="43">
        <v>12</v>
      </c>
      <c r="J146" s="44" t="str">
        <f>VLOOKUP(G146,[1]硬件清单!$F:$F,1,0)</f>
        <v>YD-SAC3000B4B07F936F</v>
      </c>
      <c r="K146" s="43"/>
      <c r="L146" s="44"/>
      <c r="M146" s="45" t="s">
        <v>509</v>
      </c>
    </row>
    <row r="147" ht="30" customHeight="1" spans="1:13">
      <c r="A147" s="41">
        <f>IF(C147="","",SUBTOTAL(103,$C$2:C147))</f>
        <v>146</v>
      </c>
      <c r="B147" s="41">
        <v>145</v>
      </c>
      <c r="C147" s="41">
        <v>11288</v>
      </c>
      <c r="D147" s="41" t="s">
        <v>65</v>
      </c>
      <c r="E147" s="41" t="s">
        <v>220</v>
      </c>
      <c r="F147" s="41" t="s">
        <v>336</v>
      </c>
      <c r="G147" s="41" t="s">
        <v>510</v>
      </c>
      <c r="H147" s="41" t="s">
        <v>511</v>
      </c>
      <c r="I147" s="43">
        <v>12</v>
      </c>
      <c r="J147" s="44" t="str">
        <f>VLOOKUP(G147,[1]硬件清单!$F:$F,1,0)</f>
        <v>YD-SAC3000B4B07F9374</v>
      </c>
      <c r="K147" s="43"/>
      <c r="L147" s="44"/>
      <c r="M147" s="45" t="s">
        <v>512</v>
      </c>
    </row>
    <row r="148" ht="30" customHeight="1" spans="1:13">
      <c r="A148" s="41">
        <f>IF(C148="","",SUBTOTAL(103,$C$2:C148))</f>
        <v>147</v>
      </c>
      <c r="B148" s="41">
        <v>146</v>
      </c>
      <c r="C148" s="41">
        <v>11287</v>
      </c>
      <c r="D148" s="41" t="s">
        <v>65</v>
      </c>
      <c r="E148" s="41" t="s">
        <v>220</v>
      </c>
      <c r="F148" s="41" t="s">
        <v>336</v>
      </c>
      <c r="G148" s="41" t="s">
        <v>513</v>
      </c>
      <c r="H148" s="41" t="s">
        <v>514</v>
      </c>
      <c r="I148" s="43">
        <v>12</v>
      </c>
      <c r="J148" s="44" t="str">
        <f>VLOOKUP(G148,[1]硬件清单!$F:$F,1,0)</f>
        <v>YD-SAC3000B4B07F9369</v>
      </c>
      <c r="K148" s="43"/>
      <c r="L148" s="44"/>
      <c r="M148" s="45" t="s">
        <v>515</v>
      </c>
    </row>
    <row r="149" ht="30" customHeight="1" spans="1:13">
      <c r="A149" s="41">
        <f>IF(C149="","",SUBTOTAL(103,$C$2:C149))</f>
        <v>148</v>
      </c>
      <c r="B149" s="41">
        <v>147</v>
      </c>
      <c r="C149" s="41">
        <v>11323</v>
      </c>
      <c r="D149" s="41" t="s">
        <v>65</v>
      </c>
      <c r="E149" s="41" t="s">
        <v>220</v>
      </c>
      <c r="F149" s="41" t="s">
        <v>221</v>
      </c>
      <c r="G149" s="41" t="s">
        <v>516</v>
      </c>
      <c r="H149" s="41" t="s">
        <v>517</v>
      </c>
      <c r="I149" s="43">
        <v>12</v>
      </c>
      <c r="J149" s="44" t="str">
        <f>VLOOKUP(G149,[1]硬件清单!$F:$F,1,0)</f>
        <v>ASG1000III2EE4FB2600</v>
      </c>
      <c r="K149" s="43"/>
      <c r="L149" s="44"/>
      <c r="M149" s="45" t="s">
        <v>518</v>
      </c>
    </row>
    <row r="150" ht="30" customHeight="1" spans="1:13">
      <c r="A150" s="41">
        <f>IF(C150="","",SUBTOTAL(103,$C$2:C150))</f>
        <v>149</v>
      </c>
      <c r="B150" s="41">
        <v>148</v>
      </c>
      <c r="C150" s="41">
        <v>11381</v>
      </c>
      <c r="D150" s="41" t="s">
        <v>65</v>
      </c>
      <c r="E150" s="41" t="s">
        <v>220</v>
      </c>
      <c r="F150" s="41" t="s">
        <v>221</v>
      </c>
      <c r="G150" s="41" t="s">
        <v>519</v>
      </c>
      <c r="H150" s="41" t="s">
        <v>520</v>
      </c>
      <c r="I150" s="43">
        <v>12</v>
      </c>
      <c r="J150" s="44" t="str">
        <f>VLOOKUP(G150,[1]硬件清单!$F:$F,1,0)</f>
        <v>ASG1000III2EE4FB2590</v>
      </c>
      <c r="K150" s="43"/>
      <c r="L150" s="44"/>
      <c r="M150" s="45" t="s">
        <v>521</v>
      </c>
    </row>
    <row r="151" ht="30" customHeight="1" spans="1:13">
      <c r="A151" s="41">
        <f>IF(C151="","",SUBTOTAL(103,$C$2:C151))</f>
        <v>150</v>
      </c>
      <c r="B151" s="41">
        <v>149</v>
      </c>
      <c r="C151" s="41">
        <v>11229</v>
      </c>
      <c r="D151" s="41" t="s">
        <v>65</v>
      </c>
      <c r="E151" s="41" t="s">
        <v>220</v>
      </c>
      <c r="F151" s="41" t="s">
        <v>365</v>
      </c>
      <c r="G151" s="41" t="s">
        <v>522</v>
      </c>
      <c r="H151" s="41" t="s">
        <v>523</v>
      </c>
      <c r="I151" s="43">
        <v>12</v>
      </c>
      <c r="J151" s="44" t="str">
        <f>VLOOKUP(G151,[1]硬件清单!$F:$F,1,0)</f>
        <v>7848462</v>
      </c>
      <c r="K151" s="43"/>
      <c r="L151" s="44"/>
      <c r="M151" s="45" t="s">
        <v>524</v>
      </c>
    </row>
    <row r="152" ht="30" customHeight="1" spans="1:13">
      <c r="A152" s="41">
        <f>IF(C152="","",SUBTOTAL(103,$C$2:C152))</f>
        <v>151</v>
      </c>
      <c r="B152" s="41">
        <v>150</v>
      </c>
      <c r="C152" s="41">
        <v>11267</v>
      </c>
      <c r="D152" s="41" t="s">
        <v>65</v>
      </c>
      <c r="E152" s="41" t="s">
        <v>220</v>
      </c>
      <c r="F152" s="41" t="s">
        <v>525</v>
      </c>
      <c r="G152" s="41" t="s">
        <v>526</v>
      </c>
      <c r="H152" s="41" t="s">
        <v>527</v>
      </c>
      <c r="I152" s="43">
        <v>12</v>
      </c>
      <c r="J152" s="44" t="str">
        <f>VLOOKUP(G152,[1]硬件清单!$F:$F,1,0)</f>
        <v>YD-RA3000B4B07F9360</v>
      </c>
      <c r="K152" s="43"/>
      <c r="L152" s="44"/>
      <c r="M152" s="45" t="s">
        <v>528</v>
      </c>
    </row>
    <row r="153" ht="30" customHeight="1" spans="1:13">
      <c r="A153" s="41">
        <f>IF(C153="","",SUBTOTAL(103,$C$2:C153))</f>
        <v>152</v>
      </c>
      <c r="B153" s="41">
        <v>151</v>
      </c>
      <c r="C153" s="41">
        <v>11266</v>
      </c>
      <c r="D153" s="41" t="s">
        <v>65</v>
      </c>
      <c r="E153" s="41" t="s">
        <v>220</v>
      </c>
      <c r="F153" s="41" t="s">
        <v>529</v>
      </c>
      <c r="G153" s="41" t="s">
        <v>530</v>
      </c>
      <c r="H153" s="41" t="s">
        <v>531</v>
      </c>
      <c r="I153" s="43">
        <v>12</v>
      </c>
      <c r="J153" s="44" t="str">
        <f>VLOOKUP(G153,[1]硬件清单!$F:$F,1,0)</f>
        <v>YD-LDAP3000B4B07F9360</v>
      </c>
      <c r="K153" s="43"/>
      <c r="L153" s="44"/>
      <c r="M153" s="45" t="s">
        <v>532</v>
      </c>
    </row>
    <row r="154" ht="30" customHeight="1" spans="1:13">
      <c r="A154" s="41">
        <f>IF(C154="","",SUBTOTAL(103,$C$2:C154))</f>
        <v>153</v>
      </c>
      <c r="B154" s="41">
        <v>152</v>
      </c>
      <c r="C154" s="41">
        <v>11227</v>
      </c>
      <c r="D154" s="41" t="s">
        <v>65</v>
      </c>
      <c r="E154" s="41" t="s">
        <v>220</v>
      </c>
      <c r="F154" s="41" t="s">
        <v>369</v>
      </c>
      <c r="G154" s="41" t="s">
        <v>533</v>
      </c>
      <c r="H154" s="41" t="s">
        <v>534</v>
      </c>
      <c r="I154" s="43">
        <v>12</v>
      </c>
      <c r="J154" s="44" t="str">
        <f>VLOOKUP(G154,[1]硬件清单!$F:$F,1,0)</f>
        <v>10395PN</v>
      </c>
      <c r="K154" s="43"/>
      <c r="L154" s="44"/>
      <c r="M154" s="45" t="s">
        <v>535</v>
      </c>
    </row>
    <row r="155" ht="30" customHeight="1" spans="1:13">
      <c r="A155" s="41">
        <f>IF(C155="","",SUBTOTAL(103,$C$2:C155))</f>
        <v>154</v>
      </c>
      <c r="B155" s="41">
        <v>153</v>
      </c>
      <c r="C155" s="41">
        <v>11228</v>
      </c>
      <c r="D155" s="41" t="s">
        <v>65</v>
      </c>
      <c r="E155" s="41" t="s">
        <v>220</v>
      </c>
      <c r="F155" s="41" t="s">
        <v>369</v>
      </c>
      <c r="G155" s="41" t="s">
        <v>536</v>
      </c>
      <c r="H155" s="41" t="s">
        <v>537</v>
      </c>
      <c r="I155" s="43">
        <v>12</v>
      </c>
      <c r="J155" s="44" t="str">
        <f>VLOOKUP(G155,[1]硬件清单!$F:$F,1,0)</f>
        <v>10394XV</v>
      </c>
      <c r="K155" s="43"/>
      <c r="L155" s="44"/>
      <c r="M155" s="45" t="s">
        <v>538</v>
      </c>
    </row>
    <row r="156" ht="30" customHeight="1" spans="1:13">
      <c r="A156" s="41">
        <f>IF(C156="","",SUBTOTAL(103,$C$2:C156))</f>
        <v>155</v>
      </c>
      <c r="B156" s="41">
        <v>154</v>
      </c>
      <c r="C156" s="41">
        <v>11257</v>
      </c>
      <c r="D156" s="41" t="s">
        <v>65</v>
      </c>
      <c r="E156" s="41" t="s">
        <v>220</v>
      </c>
      <c r="F156" s="41" t="s">
        <v>539</v>
      </c>
      <c r="G156" s="41" t="s">
        <v>540</v>
      </c>
      <c r="H156" s="41" t="s">
        <v>541</v>
      </c>
      <c r="I156" s="43">
        <v>12</v>
      </c>
      <c r="J156" s="44" t="str">
        <f>VLOOKUP(G156,[1]硬件清单!$F:$F,1,0)</f>
        <v>YD-SCP3000B4B07F9361</v>
      </c>
      <c r="K156" s="43"/>
      <c r="L156" s="44"/>
      <c r="M156" s="45" t="s">
        <v>542</v>
      </c>
    </row>
    <row r="157" ht="30" customHeight="1" spans="1:13">
      <c r="A157" s="41">
        <f>IF(C157="","",SUBTOTAL(103,$C$2:C157))</f>
        <v>156</v>
      </c>
      <c r="B157" s="41">
        <v>155</v>
      </c>
      <c r="C157" s="41">
        <v>11258</v>
      </c>
      <c r="D157" s="41" t="s">
        <v>65</v>
      </c>
      <c r="E157" s="41" t="s">
        <v>220</v>
      </c>
      <c r="F157" s="41" t="s">
        <v>539</v>
      </c>
      <c r="G157" s="41" t="s">
        <v>543</v>
      </c>
      <c r="H157" s="41" t="s">
        <v>544</v>
      </c>
      <c r="I157" s="43">
        <v>12</v>
      </c>
      <c r="J157" s="44" t="str">
        <f>VLOOKUP(G157,[1]硬件清单!$F:$F,1,0)</f>
        <v>YD-SCP3000B4B07F9360</v>
      </c>
      <c r="K157" s="43"/>
      <c r="L157" s="44"/>
      <c r="M157" s="45" t="s">
        <v>545</v>
      </c>
    </row>
    <row r="158" ht="30" customHeight="1" spans="1:13">
      <c r="A158" s="41">
        <f>IF(C158="","",SUBTOTAL(103,$C$2:C158))</f>
        <v>157</v>
      </c>
      <c r="B158" s="41">
        <v>156</v>
      </c>
      <c r="C158" s="41">
        <v>11232</v>
      </c>
      <c r="D158" s="41" t="s">
        <v>65</v>
      </c>
      <c r="E158" s="41" t="s">
        <v>220</v>
      </c>
      <c r="F158" s="41" t="s">
        <v>546</v>
      </c>
      <c r="G158" s="41" t="s">
        <v>547</v>
      </c>
      <c r="H158" s="41" t="s">
        <v>548</v>
      </c>
      <c r="I158" s="43">
        <v>12</v>
      </c>
      <c r="J158" s="44" t="str">
        <f>VLOOKUP(G158,[1]硬件清单!$F:$F,1,0)</f>
        <v>AFW20004B07F9365</v>
      </c>
      <c r="K158" s="43"/>
      <c r="L158" s="44"/>
      <c r="M158" s="45" t="s">
        <v>549</v>
      </c>
    </row>
    <row r="159" ht="30" customHeight="1" spans="1:13">
      <c r="A159" s="41">
        <f>IF(C159="","",SUBTOTAL(103,$C$2:C159))</f>
        <v>158</v>
      </c>
      <c r="B159" s="41">
        <v>157</v>
      </c>
      <c r="C159" s="41">
        <v>11231</v>
      </c>
      <c r="D159" s="41" t="s">
        <v>65</v>
      </c>
      <c r="E159" s="41" t="s">
        <v>220</v>
      </c>
      <c r="F159" s="41" t="s">
        <v>546</v>
      </c>
      <c r="G159" s="41" t="s">
        <v>550</v>
      </c>
      <c r="H159" s="41" t="s">
        <v>551</v>
      </c>
      <c r="I159" s="43">
        <v>12</v>
      </c>
      <c r="J159" s="44" t="str">
        <f>VLOOKUP(G159,[1]硬件清单!$F:$F,1,0)</f>
        <v>AFW20004B07F9362</v>
      </c>
      <c r="K159" s="43"/>
      <c r="L159" s="44"/>
      <c r="M159" s="45" t="s">
        <v>552</v>
      </c>
    </row>
    <row r="160" ht="30" customHeight="1" spans="1:13">
      <c r="A160" s="41">
        <f>IF(C160="","",SUBTOTAL(103,$C$2:C160))</f>
        <v>159</v>
      </c>
      <c r="B160" s="41">
        <v>158</v>
      </c>
      <c r="C160" s="41">
        <v>11260</v>
      </c>
      <c r="D160" s="41" t="s">
        <v>65</v>
      </c>
      <c r="E160" s="41" t="s">
        <v>220</v>
      </c>
      <c r="F160" s="41" t="s">
        <v>553</v>
      </c>
      <c r="G160" s="41" t="s">
        <v>554</v>
      </c>
      <c r="H160" s="41" t="s">
        <v>555</v>
      </c>
      <c r="I160" s="43">
        <v>12</v>
      </c>
      <c r="J160" s="44" t="str">
        <f>VLOOKUP(G160,[1]硬件清单!$F:$F,1,0)</f>
        <v>WT363MA07EW2UC02022</v>
      </c>
      <c r="K160" s="43"/>
      <c r="L160" s="44"/>
      <c r="M160" s="45" t="s">
        <v>556</v>
      </c>
    </row>
    <row r="161" ht="30" customHeight="1" spans="1:13">
      <c r="A161" s="41">
        <f>IF(C161="","",SUBTOTAL(103,$C$2:C161))</f>
        <v>160</v>
      </c>
      <c r="B161" s="41">
        <v>159</v>
      </c>
      <c r="C161" s="41">
        <v>11259</v>
      </c>
      <c r="D161" s="41" t="s">
        <v>65</v>
      </c>
      <c r="E161" s="41" t="s">
        <v>220</v>
      </c>
      <c r="F161" s="41" t="s">
        <v>553</v>
      </c>
      <c r="G161" s="41" t="s">
        <v>557</v>
      </c>
      <c r="H161" s="41" t="s">
        <v>558</v>
      </c>
      <c r="I161" s="43">
        <v>12</v>
      </c>
      <c r="J161" s="44" t="str">
        <f>VLOOKUP(G161,[1]硬件清单!$F:$F,1,0)</f>
        <v>WT363MA07EW2UC02021</v>
      </c>
      <c r="K161" s="43"/>
      <c r="L161" s="44"/>
      <c r="M161" s="45" t="s">
        <v>559</v>
      </c>
    </row>
    <row r="162" ht="30" customHeight="1" spans="1:13">
      <c r="A162" s="41">
        <f>IF(C162="","",SUBTOTAL(103,$C$2:C162))</f>
        <v>161</v>
      </c>
      <c r="B162" s="41">
        <v>160</v>
      </c>
      <c r="C162" s="41">
        <v>11225</v>
      </c>
      <c r="D162" s="41" t="s">
        <v>65</v>
      </c>
      <c r="E162" s="41" t="s">
        <v>220</v>
      </c>
      <c r="F162" s="41" t="s">
        <v>560</v>
      </c>
      <c r="G162" s="41" t="s">
        <v>561</v>
      </c>
      <c r="H162" s="41" t="s">
        <v>562</v>
      </c>
      <c r="I162" s="43">
        <v>12</v>
      </c>
      <c r="J162" s="44" t="str">
        <f>VLOOKUP(G162,[1]硬件清单!$F:$F,1,0)</f>
        <v>YD-SDB3000B4B07F9360</v>
      </c>
      <c r="K162" s="43"/>
      <c r="L162" s="44"/>
      <c r="M162" s="45" t="s">
        <v>563</v>
      </c>
    </row>
    <row r="163" ht="30" customHeight="1" spans="1:13">
      <c r="A163" s="41">
        <f>IF(C163="","",SUBTOTAL(103,$C$2:C163))</f>
        <v>162</v>
      </c>
      <c r="B163" s="41">
        <v>161</v>
      </c>
      <c r="C163" s="41">
        <v>11226</v>
      </c>
      <c r="D163" s="41" t="s">
        <v>65</v>
      </c>
      <c r="E163" s="41" t="s">
        <v>220</v>
      </c>
      <c r="F163" s="41" t="s">
        <v>560</v>
      </c>
      <c r="G163" s="41" t="s">
        <v>564</v>
      </c>
      <c r="H163" s="41" t="s">
        <v>565</v>
      </c>
      <c r="I163" s="43">
        <v>12</v>
      </c>
      <c r="J163" s="44" t="str">
        <f>VLOOKUP(G163,[1]硬件清单!$F:$F,1,0)</f>
        <v>YD-SDB3000B4B07F9362</v>
      </c>
      <c r="K163" s="43"/>
      <c r="L163" s="44"/>
      <c r="M163" s="45" t="s">
        <v>566</v>
      </c>
    </row>
    <row r="164" ht="30" customHeight="1" spans="1:13">
      <c r="A164" s="41">
        <f>IF(C164="","",SUBTOTAL(103,$C$2:C164))</f>
        <v>163</v>
      </c>
      <c r="B164" s="41">
        <v>162</v>
      </c>
      <c r="C164" s="46">
        <v>11261</v>
      </c>
      <c r="D164" s="46" t="s">
        <v>65</v>
      </c>
      <c r="E164" s="46" t="s">
        <v>220</v>
      </c>
      <c r="F164" s="46" t="s">
        <v>567</v>
      </c>
      <c r="G164" s="41" t="s">
        <v>568</v>
      </c>
      <c r="H164" s="41" t="s">
        <v>569</v>
      </c>
      <c r="I164" s="43">
        <v>12</v>
      </c>
      <c r="J164" s="44" t="str">
        <f>VLOOKUP(G164,[1]硬件清单!$F:$F,1,0)</f>
        <v>YD-SJK0812B4B07F9360</v>
      </c>
      <c r="K164" s="43"/>
      <c r="L164" s="44"/>
      <c r="M164" s="47" t="s">
        <v>570</v>
      </c>
    </row>
    <row r="165" ht="30" customHeight="1" spans="1:13">
      <c r="A165" s="41">
        <f>IF(C165="","",SUBTOTAL(103,$C$2:C165))</f>
        <v>164</v>
      </c>
      <c r="B165" s="41">
        <v>163</v>
      </c>
      <c r="C165" s="41">
        <v>11263</v>
      </c>
      <c r="D165" s="41" t="s">
        <v>65</v>
      </c>
      <c r="E165" s="41" t="s">
        <v>220</v>
      </c>
      <c r="F165" s="41" t="s">
        <v>571</v>
      </c>
      <c r="G165" s="41" t="s">
        <v>572</v>
      </c>
      <c r="H165" s="41" t="s">
        <v>573</v>
      </c>
      <c r="I165" s="43">
        <v>12</v>
      </c>
      <c r="J165" s="44" t="str">
        <f>VLOOKUP(G165,[1]硬件清单!$F:$F,1,0)</f>
        <v>YD-SQY084B07F9361</v>
      </c>
      <c r="K165" s="43"/>
      <c r="L165" s="44"/>
      <c r="M165" s="47" t="s">
        <v>574</v>
      </c>
    </row>
    <row r="166" ht="30" customHeight="1" spans="1:13">
      <c r="A166" s="41">
        <f>IF(C166="","",SUBTOTAL(103,$C$2:C166))</f>
        <v>165</v>
      </c>
      <c r="B166" s="41">
        <v>164</v>
      </c>
      <c r="C166" s="41">
        <v>11219</v>
      </c>
      <c r="D166" s="41" t="s">
        <v>65</v>
      </c>
      <c r="E166" s="41" t="s">
        <v>220</v>
      </c>
      <c r="F166" s="41" t="s">
        <v>325</v>
      </c>
      <c r="G166" s="41" t="s">
        <v>575</v>
      </c>
      <c r="H166" s="41" t="s">
        <v>576</v>
      </c>
      <c r="I166" s="43">
        <v>12</v>
      </c>
      <c r="J166" s="44" t="str">
        <f>VLOOKUP(G166,[1]硬件清单!$F:$F,1,0)</f>
        <v>YD-LVS3000B4B07F9364</v>
      </c>
      <c r="K166" s="43"/>
      <c r="L166" s="44"/>
      <c r="M166" s="45" t="s">
        <v>577</v>
      </c>
    </row>
    <row r="167" ht="30" customHeight="1" spans="1:13">
      <c r="A167" s="41">
        <f>IF(C167="","",SUBTOTAL(103,$C$2:C167))</f>
        <v>166</v>
      </c>
      <c r="B167" s="41">
        <v>165</v>
      </c>
      <c r="C167" s="41">
        <v>11220</v>
      </c>
      <c r="D167" s="41" t="s">
        <v>65</v>
      </c>
      <c r="E167" s="41" t="s">
        <v>220</v>
      </c>
      <c r="F167" s="41" t="s">
        <v>325</v>
      </c>
      <c r="G167" s="41" t="s">
        <v>578</v>
      </c>
      <c r="H167" s="41" t="s">
        <v>579</v>
      </c>
      <c r="I167" s="43">
        <v>12</v>
      </c>
      <c r="J167" s="44" t="str">
        <f>VLOOKUP(G167,[1]硬件清单!$F:$F,1,0)</f>
        <v>YD-LVS3000B4B07F936A</v>
      </c>
      <c r="K167" s="43"/>
      <c r="L167" s="44"/>
      <c r="M167" s="45" t="s">
        <v>580</v>
      </c>
    </row>
    <row r="168" ht="30" customHeight="1" spans="1:13">
      <c r="A168" s="41">
        <f>IF(C168="","",SUBTOTAL(103,$C$2:C168))</f>
        <v>167</v>
      </c>
      <c r="B168" s="41">
        <v>166</v>
      </c>
      <c r="C168" s="41">
        <v>11223</v>
      </c>
      <c r="D168" s="41" t="s">
        <v>65</v>
      </c>
      <c r="E168" s="41" t="s">
        <v>220</v>
      </c>
      <c r="F168" s="41" t="s">
        <v>329</v>
      </c>
      <c r="G168" s="41" t="s">
        <v>581</v>
      </c>
      <c r="H168" s="41" t="s">
        <v>582</v>
      </c>
      <c r="I168" s="43">
        <v>12</v>
      </c>
      <c r="J168" s="44" t="str">
        <f>VLOOKUP(G168,[1]硬件清单!$F:$F,1,0)</f>
        <v>YD-SMC3000B4B07F9362</v>
      </c>
      <c r="K168" s="43"/>
      <c r="L168" s="44"/>
      <c r="M168" s="45" t="s">
        <v>583</v>
      </c>
    </row>
    <row r="169" ht="30" customHeight="1" spans="1:13">
      <c r="A169" s="41">
        <f>IF(C169="","",SUBTOTAL(103,$C$2:C169))</f>
        <v>168</v>
      </c>
      <c r="B169" s="41">
        <v>167</v>
      </c>
      <c r="C169" s="41">
        <v>11224</v>
      </c>
      <c r="D169" s="41" t="s">
        <v>65</v>
      </c>
      <c r="E169" s="41" t="s">
        <v>220</v>
      </c>
      <c r="F169" s="41" t="s">
        <v>329</v>
      </c>
      <c r="G169" s="41" t="s">
        <v>584</v>
      </c>
      <c r="H169" s="41" t="s">
        <v>585</v>
      </c>
      <c r="I169" s="43">
        <v>12</v>
      </c>
      <c r="J169" s="44" t="str">
        <f>VLOOKUP(G169,[1]硬件清单!$F:$F,1,0)</f>
        <v>YD-SMC3000B4B07F9363</v>
      </c>
      <c r="K169" s="43"/>
      <c r="L169" s="44"/>
      <c r="M169" s="45" t="s">
        <v>586</v>
      </c>
    </row>
    <row r="170" ht="30" customHeight="1" spans="1:13">
      <c r="A170" s="41">
        <f>IF(C170="","",SUBTOTAL(103,$C$2:C170))</f>
        <v>169</v>
      </c>
      <c r="B170" s="41">
        <v>168</v>
      </c>
      <c r="C170" s="41">
        <v>11255</v>
      </c>
      <c r="D170" s="41" t="s">
        <v>65</v>
      </c>
      <c r="E170" s="41" t="s">
        <v>220</v>
      </c>
      <c r="F170" s="41" t="s">
        <v>587</v>
      </c>
      <c r="G170" s="41" t="s">
        <v>588</v>
      </c>
      <c r="H170" s="41" t="s">
        <v>589</v>
      </c>
      <c r="I170" s="43">
        <v>12</v>
      </c>
      <c r="J170" s="44" t="str">
        <f>VLOOKUP(G170,[1]硬件清单!$F:$F,1,0)</f>
        <v>YD-NET2000S4B07F9360</v>
      </c>
      <c r="K170" s="43"/>
      <c r="L170" s="44"/>
      <c r="M170" s="45" t="s">
        <v>590</v>
      </c>
    </row>
    <row r="171" ht="30" customHeight="1" spans="1:13">
      <c r="A171" s="41">
        <f>IF(C171="","",SUBTOTAL(103,$C$2:C171))</f>
        <v>170</v>
      </c>
      <c r="B171" s="41">
        <v>169</v>
      </c>
      <c r="C171" s="41">
        <v>11235</v>
      </c>
      <c r="D171" s="41" t="s">
        <v>65</v>
      </c>
      <c r="E171" s="41" t="s">
        <v>220</v>
      </c>
      <c r="F171" s="41" t="s">
        <v>546</v>
      </c>
      <c r="G171" s="41" t="s">
        <v>591</v>
      </c>
      <c r="H171" s="41" t="s">
        <v>592</v>
      </c>
      <c r="I171" s="43">
        <v>12</v>
      </c>
      <c r="J171" s="44" t="str">
        <f>VLOOKUP(G171,[1]硬件清单!$F:$F,1,0)</f>
        <v>AFW20004B07F9364</v>
      </c>
      <c r="K171" s="43"/>
      <c r="L171" s="44"/>
      <c r="M171" s="45" t="s">
        <v>593</v>
      </c>
    </row>
    <row r="172" ht="30" customHeight="1" spans="1:13">
      <c r="A172" s="41">
        <f>IF(C172="","",SUBTOTAL(103,$C$2:C172))</f>
        <v>171</v>
      </c>
      <c r="B172" s="41">
        <v>170</v>
      </c>
      <c r="C172" s="41">
        <v>11233</v>
      </c>
      <c r="D172" s="41" t="s">
        <v>65</v>
      </c>
      <c r="E172" s="41" t="s">
        <v>220</v>
      </c>
      <c r="F172" s="41" t="s">
        <v>546</v>
      </c>
      <c r="G172" s="41" t="s">
        <v>594</v>
      </c>
      <c r="H172" s="41" t="s">
        <v>595</v>
      </c>
      <c r="I172" s="43">
        <v>12</v>
      </c>
      <c r="J172" s="44" t="str">
        <f>VLOOKUP(G172,[1]硬件清单!$F:$F,1,0)</f>
        <v>AFW20004B07F9361</v>
      </c>
      <c r="K172" s="43"/>
      <c r="L172" s="44"/>
      <c r="M172" s="45" t="s">
        <v>596</v>
      </c>
    </row>
    <row r="173" ht="30" customHeight="1" spans="1:13">
      <c r="A173" s="41">
        <f>IF(C173="","",SUBTOTAL(103,$C$2:C173))</f>
        <v>172</v>
      </c>
      <c r="B173" s="41">
        <v>171</v>
      </c>
      <c r="C173" s="46">
        <v>11234</v>
      </c>
      <c r="D173" s="46" t="s">
        <v>65</v>
      </c>
      <c r="E173" s="46" t="s">
        <v>220</v>
      </c>
      <c r="F173" s="46" t="s">
        <v>546</v>
      </c>
      <c r="G173" s="41" t="s">
        <v>597</v>
      </c>
      <c r="H173" s="41" t="s">
        <v>598</v>
      </c>
      <c r="I173" s="43">
        <v>12</v>
      </c>
      <c r="J173" s="44" t="str">
        <f>VLOOKUP(G173,[1]硬件清单!$F:$F,1,0)</f>
        <v>AFW20004B07F9363</v>
      </c>
      <c r="K173" s="43"/>
      <c r="L173" s="44"/>
      <c r="M173" s="45" t="s">
        <v>599</v>
      </c>
    </row>
    <row r="174" ht="30" customHeight="1" spans="1:13">
      <c r="A174" s="41">
        <f>IF(C174="","",SUBTOTAL(103,$C$2:C174))</f>
        <v>173</v>
      </c>
      <c r="B174" s="41">
        <v>172</v>
      </c>
      <c r="C174" s="41">
        <v>11256</v>
      </c>
      <c r="D174" s="41" t="s">
        <v>65</v>
      </c>
      <c r="E174" s="41" t="s">
        <v>220</v>
      </c>
      <c r="F174" s="41" t="s">
        <v>398</v>
      </c>
      <c r="G174" s="41" t="s">
        <v>600</v>
      </c>
      <c r="H174" s="41" t="s">
        <v>601</v>
      </c>
      <c r="I174" s="43">
        <v>12</v>
      </c>
      <c r="J174" s="44" t="str">
        <f>VLOOKUP(G174,[1]硬件清单!$F:$F,1,0)</f>
        <v>YD-NSDS3000B4B07F9360</v>
      </c>
      <c r="K174" s="43"/>
      <c r="L174" s="44"/>
      <c r="M174" s="45" t="s">
        <v>602</v>
      </c>
    </row>
    <row r="175" ht="30" customHeight="1" spans="1:13">
      <c r="A175" s="41">
        <f>IF(C175="","",SUBTOTAL(103,$C$2:C175))</f>
        <v>174</v>
      </c>
      <c r="B175" s="41">
        <v>173</v>
      </c>
      <c r="C175" s="41">
        <v>11222</v>
      </c>
      <c r="D175" s="41" t="s">
        <v>65</v>
      </c>
      <c r="E175" s="41" t="s">
        <v>220</v>
      </c>
      <c r="F175" s="41" t="s">
        <v>329</v>
      </c>
      <c r="G175" s="41" t="s">
        <v>603</v>
      </c>
      <c r="H175" s="41" t="s">
        <v>604</v>
      </c>
      <c r="I175" s="43">
        <v>12</v>
      </c>
      <c r="J175" s="44" t="str">
        <f>VLOOKUP(G175,[1]硬件清单!$F:$F,1,0)</f>
        <v>YD-SMC3000B4B07F9361</v>
      </c>
      <c r="K175" s="43"/>
      <c r="L175" s="44"/>
      <c r="M175" s="45" t="s">
        <v>605</v>
      </c>
    </row>
    <row r="176" ht="30" customHeight="1" spans="1:13">
      <c r="A176" s="41">
        <f>IF(C176="","",SUBTOTAL(103,$C$2:C176))</f>
        <v>175</v>
      </c>
      <c r="B176" s="41">
        <v>174</v>
      </c>
      <c r="C176" s="41">
        <v>11221</v>
      </c>
      <c r="D176" s="41" t="s">
        <v>65</v>
      </c>
      <c r="E176" s="41" t="s">
        <v>220</v>
      </c>
      <c r="F176" s="41" t="s">
        <v>329</v>
      </c>
      <c r="G176" s="41" t="s">
        <v>606</v>
      </c>
      <c r="H176" s="41" t="s">
        <v>607</v>
      </c>
      <c r="I176" s="43">
        <v>12</v>
      </c>
      <c r="J176" s="44" t="str">
        <f>VLOOKUP(G176,[1]硬件清单!$F:$F,1,0)</f>
        <v>YD-SMC3000B4B07F9364</v>
      </c>
      <c r="K176" s="43"/>
      <c r="L176" s="44"/>
      <c r="M176" s="45" t="s">
        <v>608</v>
      </c>
    </row>
    <row r="177" ht="30" customHeight="1" spans="1:13">
      <c r="A177" s="41">
        <f>IF(C177="","",SUBTOTAL(103,$C$2:C177))</f>
        <v>176</v>
      </c>
      <c r="B177" s="41">
        <v>175</v>
      </c>
      <c r="C177" s="41">
        <v>11253</v>
      </c>
      <c r="D177" s="41" t="s">
        <v>65</v>
      </c>
      <c r="E177" s="41" t="s">
        <v>220</v>
      </c>
      <c r="F177" s="41" t="s">
        <v>321</v>
      </c>
      <c r="G177" s="41" t="s">
        <v>609</v>
      </c>
      <c r="H177" s="41" t="s">
        <v>610</v>
      </c>
      <c r="I177" s="43">
        <v>12</v>
      </c>
      <c r="J177" s="44" t="str">
        <f>VLOOKUP(G177,[1]硬件清单!$F:$F,1,0)</f>
        <v>YD-NODE2000S4B07F9360</v>
      </c>
      <c r="K177" s="43"/>
      <c r="L177" s="44"/>
      <c r="M177" s="45" t="s">
        <v>611</v>
      </c>
    </row>
    <row r="178" ht="30" customHeight="1" spans="1:13">
      <c r="A178" s="41">
        <f>IF(C178="","",SUBTOTAL(103,$C$2:C178))</f>
        <v>177</v>
      </c>
      <c r="B178" s="41">
        <v>176</v>
      </c>
      <c r="C178" s="41">
        <v>11254</v>
      </c>
      <c r="D178" s="41" t="s">
        <v>65</v>
      </c>
      <c r="E178" s="41" t="s">
        <v>220</v>
      </c>
      <c r="F178" s="41" t="s">
        <v>321</v>
      </c>
      <c r="G178" s="41" t="s">
        <v>612</v>
      </c>
      <c r="H178" s="41" t="s">
        <v>613</v>
      </c>
      <c r="I178" s="43">
        <v>12</v>
      </c>
      <c r="J178" s="44" t="str">
        <f>VLOOKUP(G178,[1]硬件清单!$F:$F,1,0)</f>
        <v>YD-NODE2000S4B07F9365</v>
      </c>
      <c r="K178" s="43"/>
      <c r="L178" s="44"/>
      <c r="M178" s="45" t="s">
        <v>614</v>
      </c>
    </row>
    <row r="179" ht="30" customHeight="1" spans="1:13">
      <c r="A179" s="41">
        <f>IF(C179="","",SUBTOTAL(103,$C$2:C179))</f>
        <v>178</v>
      </c>
      <c r="B179" s="41">
        <v>177</v>
      </c>
      <c r="C179" s="41">
        <v>11248</v>
      </c>
      <c r="D179" s="41" t="s">
        <v>65</v>
      </c>
      <c r="E179" s="41" t="s">
        <v>220</v>
      </c>
      <c r="F179" s="41" t="s">
        <v>615</v>
      </c>
      <c r="G179" s="41" t="s">
        <v>616</v>
      </c>
      <c r="H179" s="41" t="s">
        <v>617</v>
      </c>
      <c r="I179" s="43">
        <v>12</v>
      </c>
      <c r="J179" s="44" t="str">
        <f>VLOOKUP(G179,[1]硬件清单!$F:$F,1,0)</f>
        <v>PC00T84H</v>
      </c>
      <c r="K179" s="43"/>
      <c r="L179" s="44"/>
      <c r="M179" s="45" t="s">
        <v>618</v>
      </c>
    </row>
    <row r="180" ht="30" customHeight="1" spans="1:13">
      <c r="A180" s="41">
        <f>IF(C180="","",SUBTOTAL(103,$C$2:C180))</f>
        <v>179</v>
      </c>
      <c r="B180" s="41">
        <v>178</v>
      </c>
      <c r="C180" s="46">
        <v>11379</v>
      </c>
      <c r="D180" s="46" t="s">
        <v>65</v>
      </c>
      <c r="E180" s="46" t="s">
        <v>220</v>
      </c>
      <c r="F180" s="46" t="s">
        <v>225</v>
      </c>
      <c r="G180" s="41" t="s">
        <v>619</v>
      </c>
      <c r="H180" s="41" t="s">
        <v>620</v>
      </c>
      <c r="I180" s="43">
        <v>12</v>
      </c>
      <c r="J180" s="44" t="str">
        <f>VLOOKUP(G180,[1]硬件清单!$F:$F,1,0)</f>
        <v>AFW2000III4B07F9360</v>
      </c>
      <c r="K180" s="43"/>
      <c r="L180" s="44"/>
      <c r="M180" s="45" t="s">
        <v>621</v>
      </c>
    </row>
    <row r="181" ht="30" customHeight="1" spans="1:13">
      <c r="A181" s="41">
        <f>IF(C181="","",SUBTOTAL(103,$C$2:C181))</f>
        <v>180</v>
      </c>
      <c r="B181" s="41">
        <v>179</v>
      </c>
      <c r="C181" s="41">
        <v>11294</v>
      </c>
      <c r="D181" s="41" t="s">
        <v>65</v>
      </c>
      <c r="E181" s="41" t="s">
        <v>220</v>
      </c>
      <c r="F181" s="41" t="s">
        <v>221</v>
      </c>
      <c r="G181" s="41" t="s">
        <v>622</v>
      </c>
      <c r="H181" s="41" t="s">
        <v>623</v>
      </c>
      <c r="I181" s="43">
        <v>12</v>
      </c>
      <c r="J181" s="44" t="str">
        <f>VLOOKUP(G181,[1]硬件清单!$F:$F,1,0)</f>
        <v>ASG1000III2EE4FB2608</v>
      </c>
      <c r="K181" s="43"/>
      <c r="L181" s="44"/>
      <c r="M181" s="45" t="s">
        <v>624</v>
      </c>
    </row>
    <row r="182" ht="30" customHeight="1" spans="1:13">
      <c r="A182" s="41">
        <f>IF(C182="","",SUBTOTAL(103,$C$2:C182))</f>
        <v>181</v>
      </c>
      <c r="B182" s="41">
        <v>180</v>
      </c>
      <c r="C182" s="41">
        <v>11295</v>
      </c>
      <c r="D182" s="41" t="s">
        <v>65</v>
      </c>
      <c r="E182" s="41" t="s">
        <v>220</v>
      </c>
      <c r="F182" s="41" t="s">
        <v>221</v>
      </c>
      <c r="G182" s="41" t="s">
        <v>625</v>
      </c>
      <c r="H182" s="41" t="s">
        <v>626</v>
      </c>
      <c r="I182" s="43">
        <v>12</v>
      </c>
      <c r="J182" s="44" t="str">
        <f>VLOOKUP(G182,[1]硬件清单!$F:$F,1,0)</f>
        <v>ASG1000III2EE4FB2588</v>
      </c>
      <c r="K182" s="43"/>
      <c r="L182" s="44"/>
      <c r="M182" s="45" t="s">
        <v>627</v>
      </c>
    </row>
    <row r="183" ht="30" customHeight="1" spans="1:13">
      <c r="A183" s="41">
        <f>IF(C183="","",SUBTOTAL(103,$C$2:C183))</f>
        <v>182</v>
      </c>
      <c r="B183" s="41">
        <v>181</v>
      </c>
      <c r="C183" s="41">
        <v>11385</v>
      </c>
      <c r="D183" s="41" t="s">
        <v>65</v>
      </c>
      <c r="E183" s="41" t="s">
        <v>220</v>
      </c>
      <c r="F183" s="41" t="s">
        <v>628</v>
      </c>
      <c r="G183" s="41" t="s">
        <v>629</v>
      </c>
      <c r="H183" s="41" t="s">
        <v>630</v>
      </c>
      <c r="I183" s="43">
        <v>12</v>
      </c>
      <c r="J183" s="44" t="str">
        <f>VLOOKUP(G183,[1]硬件清单!$F:$F,1,0)</f>
        <v>YD-SGW3000B4B07F9361</v>
      </c>
      <c r="K183" s="43"/>
      <c r="L183" s="44"/>
      <c r="M183" s="45" t="s">
        <v>631</v>
      </c>
    </row>
    <row r="184" ht="30" customHeight="1" spans="1:13">
      <c r="A184" s="41">
        <f>IF(C184="","",SUBTOTAL(103,$C$2:C184))</f>
        <v>183</v>
      </c>
      <c r="B184" s="41">
        <v>182</v>
      </c>
      <c r="C184" s="41">
        <v>11386</v>
      </c>
      <c r="D184" s="41" t="s">
        <v>65</v>
      </c>
      <c r="E184" s="41" t="s">
        <v>220</v>
      </c>
      <c r="F184" s="41" t="s">
        <v>628</v>
      </c>
      <c r="G184" s="41" t="s">
        <v>632</v>
      </c>
      <c r="H184" s="41" t="s">
        <v>633</v>
      </c>
      <c r="I184" s="43">
        <v>12</v>
      </c>
      <c r="J184" s="44" t="str">
        <f>VLOOKUP(G184,[1]硬件清单!$F:$F,1,0)</f>
        <v>YD-SGW3000B4B07F9362</v>
      </c>
      <c r="K184" s="43"/>
      <c r="L184" s="44"/>
      <c r="M184" s="45" t="s">
        <v>634</v>
      </c>
    </row>
    <row r="185" ht="30" customHeight="1" spans="1:13">
      <c r="A185" s="41">
        <f>IF(C185="","",SUBTOTAL(103,$C$2:C185))</f>
        <v>184</v>
      </c>
      <c r="B185" s="41">
        <v>183</v>
      </c>
      <c r="C185" s="41">
        <v>11293</v>
      </c>
      <c r="D185" s="41" t="s">
        <v>65</v>
      </c>
      <c r="E185" s="41" t="s">
        <v>220</v>
      </c>
      <c r="F185" s="41" t="s">
        <v>221</v>
      </c>
      <c r="G185" s="41" t="s">
        <v>635</v>
      </c>
      <c r="H185" s="41" t="s">
        <v>636</v>
      </c>
      <c r="I185" s="43">
        <v>12</v>
      </c>
      <c r="J185" s="44" t="str">
        <f>VLOOKUP(G185,[1]硬件清单!$F:$F,1,0)</f>
        <v>ASG1000III2EE4FB2592</v>
      </c>
      <c r="K185" s="43"/>
      <c r="L185" s="44"/>
      <c r="M185" s="45" t="s">
        <v>637</v>
      </c>
    </row>
    <row r="186" ht="30" customHeight="1" spans="1:13">
      <c r="A186" s="41">
        <f>IF(C186="","",SUBTOTAL(103,$C$2:C186))</f>
        <v>185</v>
      </c>
      <c r="B186" s="41">
        <v>184</v>
      </c>
      <c r="C186" s="41">
        <v>11297</v>
      </c>
      <c r="D186" s="41" t="s">
        <v>65</v>
      </c>
      <c r="E186" s="41" t="s">
        <v>220</v>
      </c>
      <c r="F186" s="41" t="s">
        <v>221</v>
      </c>
      <c r="G186" s="41" t="s">
        <v>638</v>
      </c>
      <c r="H186" s="41" t="s">
        <v>639</v>
      </c>
      <c r="I186" s="43">
        <v>12</v>
      </c>
      <c r="J186" s="44" t="str">
        <f>VLOOKUP(G186,[1]硬件清单!$F:$F,1,0)</f>
        <v>ASG1000III2EE4FB2601</v>
      </c>
      <c r="K186" s="43"/>
      <c r="L186" s="44"/>
      <c r="M186" s="45" t="s">
        <v>640</v>
      </c>
    </row>
    <row r="187" ht="30" customHeight="1" spans="1:13">
      <c r="A187" s="41">
        <f>IF(C187="","",SUBTOTAL(103,$C$2:C187))</f>
        <v>186</v>
      </c>
      <c r="B187" s="41">
        <v>185</v>
      </c>
      <c r="C187" s="41">
        <v>11300</v>
      </c>
      <c r="D187" s="41" t="s">
        <v>65</v>
      </c>
      <c r="E187" s="41" t="s">
        <v>220</v>
      </c>
      <c r="F187" s="41" t="s">
        <v>221</v>
      </c>
      <c r="G187" s="41" t="s">
        <v>641</v>
      </c>
      <c r="H187" s="41" t="s">
        <v>642</v>
      </c>
      <c r="I187" s="43">
        <v>12</v>
      </c>
      <c r="J187" s="44" t="str">
        <f>VLOOKUP(G187,[1]硬件清单!$F:$F,1,0)</f>
        <v>ASG1000III2EE4FB2594</v>
      </c>
      <c r="K187" s="43"/>
      <c r="L187" s="44"/>
      <c r="M187" s="45" t="s">
        <v>643</v>
      </c>
    </row>
    <row r="188" ht="30" customHeight="1" spans="1:13">
      <c r="A188" s="41">
        <f>IF(C188="","",SUBTOTAL(103,$C$2:C188))</f>
        <v>187</v>
      </c>
      <c r="B188" s="41">
        <v>186</v>
      </c>
      <c r="C188" s="41">
        <v>11301</v>
      </c>
      <c r="D188" s="41" t="s">
        <v>65</v>
      </c>
      <c r="E188" s="41" t="s">
        <v>220</v>
      </c>
      <c r="F188" s="41" t="s">
        <v>221</v>
      </c>
      <c r="G188" s="41" t="s">
        <v>644</v>
      </c>
      <c r="H188" s="41" t="s">
        <v>645</v>
      </c>
      <c r="I188" s="43">
        <v>12</v>
      </c>
      <c r="J188" s="44" t="str">
        <f>VLOOKUP(G188,[1]硬件清单!$F:$F,1,0)</f>
        <v>ASG1000III2EE4FB2609</v>
      </c>
      <c r="K188" s="43"/>
      <c r="L188" s="44"/>
      <c r="M188" s="45" t="s">
        <v>646</v>
      </c>
    </row>
    <row r="189" ht="30" customHeight="1" spans="1:13">
      <c r="A189" s="41">
        <f>IF(C189="","",SUBTOTAL(103,$C$2:C189))</f>
        <v>188</v>
      </c>
      <c r="B189" s="41">
        <v>187</v>
      </c>
      <c r="C189" s="41">
        <v>11296</v>
      </c>
      <c r="D189" s="41" t="s">
        <v>65</v>
      </c>
      <c r="E189" s="41" t="s">
        <v>220</v>
      </c>
      <c r="F189" s="41" t="s">
        <v>221</v>
      </c>
      <c r="G189" s="41" t="s">
        <v>647</v>
      </c>
      <c r="H189" s="41" t="s">
        <v>648</v>
      </c>
      <c r="I189" s="43">
        <v>12</v>
      </c>
      <c r="J189" s="44" t="str">
        <f>VLOOKUP(G189,[1]硬件清单!$F:$F,1,0)</f>
        <v>ASG1000III2EE4FB258D</v>
      </c>
      <c r="K189" s="43"/>
      <c r="L189" s="44"/>
      <c r="M189" s="45" t="s">
        <v>649</v>
      </c>
    </row>
    <row r="190" ht="30" customHeight="1" spans="1:13">
      <c r="A190" s="41">
        <f>IF(C190="","",SUBTOTAL(103,$C$2:C190))</f>
        <v>189</v>
      </c>
      <c r="B190" s="41">
        <v>188</v>
      </c>
      <c r="C190" s="41">
        <v>11376</v>
      </c>
      <c r="D190" s="41" t="s">
        <v>65</v>
      </c>
      <c r="E190" s="41" t="s">
        <v>220</v>
      </c>
      <c r="F190" s="41" t="s">
        <v>321</v>
      </c>
      <c r="G190" s="41" t="s">
        <v>650</v>
      </c>
      <c r="H190" s="41" t="s">
        <v>651</v>
      </c>
      <c r="I190" s="43">
        <v>12</v>
      </c>
      <c r="J190" s="44" t="str">
        <f>VLOOKUP(G190,[1]硬件清单!$F:$F,1,0)</f>
        <v>YD-NODE2000S4B07F9363</v>
      </c>
      <c r="K190" s="43"/>
      <c r="L190" s="44"/>
      <c r="M190" s="45" t="s">
        <v>652</v>
      </c>
    </row>
    <row r="191" ht="30" customHeight="1" spans="1:13">
      <c r="A191" s="41">
        <f>IF(C191="","",SUBTOTAL(103,$C$2:C191))</f>
        <v>190</v>
      </c>
      <c r="B191" s="41">
        <v>189</v>
      </c>
      <c r="C191" s="41">
        <v>11327</v>
      </c>
      <c r="D191" s="41" t="s">
        <v>65</v>
      </c>
      <c r="E191" s="41" t="s">
        <v>220</v>
      </c>
      <c r="F191" s="41" t="s">
        <v>325</v>
      </c>
      <c r="G191" s="41" t="s">
        <v>653</v>
      </c>
      <c r="H191" s="41" t="s">
        <v>654</v>
      </c>
      <c r="I191" s="43">
        <v>12</v>
      </c>
      <c r="J191" s="44" t="str">
        <f>VLOOKUP(G191,[1]硬件清单!$F:$F,1,0)</f>
        <v>YD-LVS3000B4B07F9360</v>
      </c>
      <c r="K191" s="43"/>
      <c r="L191" s="44"/>
      <c r="M191" s="45" t="s">
        <v>655</v>
      </c>
    </row>
    <row r="192" ht="30" customHeight="1" spans="1:13">
      <c r="A192" s="41">
        <f>IF(C192="","",SUBTOTAL(103,$C$2:C192))</f>
        <v>191</v>
      </c>
      <c r="B192" s="41">
        <v>190</v>
      </c>
      <c r="C192" s="41">
        <v>11326</v>
      </c>
      <c r="D192" s="41" t="s">
        <v>65</v>
      </c>
      <c r="E192" s="41" t="s">
        <v>220</v>
      </c>
      <c r="F192" s="41" t="s">
        <v>325</v>
      </c>
      <c r="G192" s="41" t="s">
        <v>656</v>
      </c>
      <c r="H192" s="41" t="s">
        <v>657</v>
      </c>
      <c r="I192" s="43">
        <v>12</v>
      </c>
      <c r="J192" s="44" t="str">
        <f>VLOOKUP(G192,[1]硬件清单!$F:$F,1,0)</f>
        <v>YD-LVS3000B4B07F9361</v>
      </c>
      <c r="K192" s="43"/>
      <c r="L192" s="44"/>
      <c r="M192" s="45" t="s">
        <v>658</v>
      </c>
    </row>
    <row r="193" ht="30" customHeight="1" spans="1:13">
      <c r="A193" s="41">
        <f>IF(C193="","",SUBTOTAL(103,$C$2:C193))</f>
        <v>192</v>
      </c>
      <c r="B193" s="41">
        <v>191</v>
      </c>
      <c r="C193" s="41">
        <v>11272</v>
      </c>
      <c r="D193" s="41" t="s">
        <v>65</v>
      </c>
      <c r="E193" s="41" t="s">
        <v>220</v>
      </c>
      <c r="F193" s="41" t="s">
        <v>336</v>
      </c>
      <c r="G193" s="41" t="s">
        <v>659</v>
      </c>
      <c r="H193" s="41" t="s">
        <v>660</v>
      </c>
      <c r="I193" s="43">
        <v>12</v>
      </c>
      <c r="J193" s="44" t="str">
        <f>VLOOKUP(G193,[1]硬件清单!$F:$F,1,0)</f>
        <v>YD-SAC3000B4B07F9368</v>
      </c>
      <c r="K193" s="43"/>
      <c r="L193" s="44"/>
      <c r="M193" s="45" t="s">
        <v>661</v>
      </c>
    </row>
    <row r="194" ht="30" customHeight="1" spans="1:13">
      <c r="A194" s="41">
        <f>IF(C194="","",SUBTOTAL(103,$C$2:C194))</f>
        <v>193</v>
      </c>
      <c r="B194" s="41">
        <v>192</v>
      </c>
      <c r="C194" s="41">
        <v>11268</v>
      </c>
      <c r="D194" s="41" t="s">
        <v>65</v>
      </c>
      <c r="E194" s="41" t="s">
        <v>220</v>
      </c>
      <c r="F194" s="41" t="s">
        <v>336</v>
      </c>
      <c r="G194" s="41" t="s">
        <v>662</v>
      </c>
      <c r="H194" s="41" t="s">
        <v>663</v>
      </c>
      <c r="I194" s="43">
        <v>12</v>
      </c>
      <c r="J194" s="44" t="str">
        <f>VLOOKUP(G194,[1]硬件清单!$F:$F,1,0)</f>
        <v>YD-SAC3000B4B07F9363</v>
      </c>
      <c r="K194" s="43"/>
      <c r="L194" s="44"/>
      <c r="M194" s="45" t="s">
        <v>664</v>
      </c>
    </row>
    <row r="195" ht="30" customHeight="1" spans="1:13">
      <c r="A195" s="41">
        <f>IF(C195="","",SUBTOTAL(103,$C$2:C195))</f>
        <v>194</v>
      </c>
      <c r="B195" s="41">
        <v>193</v>
      </c>
      <c r="C195" s="41">
        <v>11271</v>
      </c>
      <c r="D195" s="41" t="s">
        <v>65</v>
      </c>
      <c r="E195" s="41" t="s">
        <v>220</v>
      </c>
      <c r="F195" s="41" t="s">
        <v>336</v>
      </c>
      <c r="G195" s="41" t="s">
        <v>665</v>
      </c>
      <c r="H195" s="41" t="s">
        <v>666</v>
      </c>
      <c r="I195" s="43">
        <v>12</v>
      </c>
      <c r="J195" s="44" t="str">
        <f>VLOOKUP(G195,[1]硬件清单!$F:$F,1,0)</f>
        <v>YD-SAC3000B4B07F9367</v>
      </c>
      <c r="K195" s="43"/>
      <c r="L195" s="44"/>
      <c r="M195" s="45" t="s">
        <v>667</v>
      </c>
    </row>
    <row r="196" ht="30" customHeight="1" spans="1:13">
      <c r="A196" s="41">
        <f>IF(C196="","",SUBTOTAL(103,$C$2:C196))</f>
        <v>195</v>
      </c>
      <c r="B196" s="41">
        <v>194</v>
      </c>
      <c r="C196" s="41">
        <v>11269</v>
      </c>
      <c r="D196" s="41" t="s">
        <v>65</v>
      </c>
      <c r="E196" s="41" t="s">
        <v>220</v>
      </c>
      <c r="F196" s="41" t="s">
        <v>336</v>
      </c>
      <c r="G196" s="41" t="s">
        <v>668</v>
      </c>
      <c r="H196" s="41" t="s">
        <v>669</v>
      </c>
      <c r="I196" s="43">
        <v>12</v>
      </c>
      <c r="J196" s="44" t="str">
        <f>VLOOKUP(G196,[1]硬件清单!$F:$F,1,0)</f>
        <v>YD-SAC3000B4B07F9364</v>
      </c>
      <c r="K196" s="43"/>
      <c r="L196" s="44"/>
      <c r="M196" s="45" t="s">
        <v>670</v>
      </c>
    </row>
    <row r="197" ht="30" customHeight="1" spans="1:13">
      <c r="A197" s="41">
        <f>IF(C197="","",SUBTOTAL(103,$C$2:C197))</f>
        <v>196</v>
      </c>
      <c r="B197" s="41">
        <v>195</v>
      </c>
      <c r="C197" s="41">
        <v>11270</v>
      </c>
      <c r="D197" s="41" t="s">
        <v>65</v>
      </c>
      <c r="E197" s="41" t="s">
        <v>220</v>
      </c>
      <c r="F197" s="41" t="s">
        <v>336</v>
      </c>
      <c r="G197" s="41" t="s">
        <v>671</v>
      </c>
      <c r="H197" s="41" t="s">
        <v>672</v>
      </c>
      <c r="I197" s="43">
        <v>12</v>
      </c>
      <c r="J197" s="44" t="str">
        <f>VLOOKUP(G197,[1]硬件清单!$F:$F,1,0)</f>
        <v>YD-SAC3000B4B07F9366</v>
      </c>
      <c r="K197" s="43"/>
      <c r="L197" s="44"/>
      <c r="M197" s="45" t="s">
        <v>673</v>
      </c>
    </row>
    <row r="198" ht="30" customHeight="1" spans="1:13">
      <c r="A198" s="41">
        <f>IF(C198="","",SUBTOTAL(103,$C$2:C198))</f>
        <v>197</v>
      </c>
      <c r="B198" s="41">
        <v>196</v>
      </c>
      <c r="C198" s="41">
        <v>11302</v>
      </c>
      <c r="D198" s="41" t="s">
        <v>65</v>
      </c>
      <c r="E198" s="41" t="s">
        <v>220</v>
      </c>
      <c r="F198" s="41" t="s">
        <v>221</v>
      </c>
      <c r="G198" s="41" t="s">
        <v>674</v>
      </c>
      <c r="H198" s="41" t="s">
        <v>675</v>
      </c>
      <c r="I198" s="43">
        <v>12</v>
      </c>
      <c r="J198" s="44" t="str">
        <f>VLOOKUP(G198,[1]硬件清单!$F:$F,1,0)</f>
        <v>ASG1000III2EE4FB2602</v>
      </c>
      <c r="K198" s="43"/>
      <c r="L198" s="44"/>
      <c r="M198" s="45" t="s">
        <v>676</v>
      </c>
    </row>
    <row r="199" ht="30" customHeight="1" spans="1:13">
      <c r="A199" s="41">
        <f>IF(C199="","",SUBTOTAL(103,$C$2:C199))</f>
        <v>198</v>
      </c>
      <c r="B199" s="41">
        <v>197</v>
      </c>
      <c r="C199" s="41">
        <v>11299</v>
      </c>
      <c r="D199" s="41" t="s">
        <v>65</v>
      </c>
      <c r="E199" s="41" t="s">
        <v>220</v>
      </c>
      <c r="F199" s="41" t="s">
        <v>221</v>
      </c>
      <c r="G199" s="41" t="s">
        <v>677</v>
      </c>
      <c r="H199" s="41" t="s">
        <v>678</v>
      </c>
      <c r="I199" s="43">
        <v>12</v>
      </c>
      <c r="J199" s="44" t="str">
        <f>VLOOKUP(G199,[1]硬件清单!$F:$F,1,0)</f>
        <v>ASG1000III2EE4FB258A</v>
      </c>
      <c r="K199" s="43"/>
      <c r="L199" s="44"/>
      <c r="M199" s="45" t="s">
        <v>679</v>
      </c>
    </row>
    <row r="200" ht="30" customHeight="1" spans="1:13">
      <c r="A200" s="41">
        <f>IF(C200="","",SUBTOTAL(103,$C$2:C200))</f>
        <v>199</v>
      </c>
      <c r="B200" s="41">
        <v>198</v>
      </c>
      <c r="C200" s="41">
        <v>11298</v>
      </c>
      <c r="D200" s="41" t="s">
        <v>65</v>
      </c>
      <c r="E200" s="41" t="s">
        <v>220</v>
      </c>
      <c r="F200" s="41" t="s">
        <v>221</v>
      </c>
      <c r="G200" s="41" t="s">
        <v>680</v>
      </c>
      <c r="H200" s="41" t="s">
        <v>681</v>
      </c>
      <c r="I200" s="43">
        <v>12</v>
      </c>
      <c r="J200" s="44" t="str">
        <f>VLOOKUP(G200,[1]硬件清单!$F:$F,1,0)</f>
        <v>ASG1000III2EE4FB2585</v>
      </c>
      <c r="K200" s="43"/>
      <c r="L200" s="44"/>
      <c r="M200" s="45" t="s">
        <v>682</v>
      </c>
    </row>
    <row r="201" ht="30" customHeight="1" spans="1:13">
      <c r="A201" s="41">
        <f>IF(C201="","",SUBTOTAL(103,$C$2:C201))</f>
        <v>200</v>
      </c>
      <c r="B201" s="41">
        <v>199</v>
      </c>
      <c r="C201" s="41">
        <v>11420</v>
      </c>
      <c r="D201" s="41" t="s">
        <v>12</v>
      </c>
      <c r="E201" s="41" t="s">
        <v>127</v>
      </c>
      <c r="F201" s="41" t="s">
        <v>188</v>
      </c>
      <c r="G201" s="41" t="s">
        <v>683</v>
      </c>
      <c r="H201" s="41" t="s">
        <v>684</v>
      </c>
      <c r="I201" s="43">
        <v>12</v>
      </c>
      <c r="J201" s="44" t="str">
        <f>VLOOKUP(G201,[1]硬件清单!$F:$F,1,0)</f>
        <v>2101301845214A010002</v>
      </c>
      <c r="K201" s="43"/>
      <c r="L201" s="44"/>
      <c r="M201" s="45" t="s">
        <v>685</v>
      </c>
    </row>
    <row r="202" ht="30" customHeight="1" spans="1:13">
      <c r="A202" s="41">
        <f>IF(C202="","",SUBTOTAL(103,$C$2:C202))</f>
        <v>201</v>
      </c>
      <c r="B202" s="41">
        <v>200</v>
      </c>
      <c r="C202" s="41">
        <v>11419</v>
      </c>
      <c r="D202" s="41" t="s">
        <v>12</v>
      </c>
      <c r="E202" s="41" t="s">
        <v>127</v>
      </c>
      <c r="F202" s="41" t="s">
        <v>188</v>
      </c>
      <c r="G202" s="41" t="s">
        <v>686</v>
      </c>
      <c r="H202" s="41" t="s">
        <v>687</v>
      </c>
      <c r="I202" s="43">
        <v>12</v>
      </c>
      <c r="J202" s="44" t="str">
        <f>VLOOKUP(G202,[1]硬件清单!$F:$F,1,0)</f>
        <v>2101301845214a010005</v>
      </c>
      <c r="K202" s="43"/>
      <c r="L202" s="44"/>
      <c r="M202" s="45" t="s">
        <v>688</v>
      </c>
    </row>
    <row r="203" ht="30" customHeight="1" spans="1:13">
      <c r="A203" s="41">
        <f>IF(C203="","",SUBTOTAL(103,$C$2:C203))</f>
        <v>202</v>
      </c>
      <c r="B203" s="41">
        <v>201</v>
      </c>
      <c r="C203" s="41">
        <v>11510</v>
      </c>
      <c r="D203" s="41" t="s">
        <v>12</v>
      </c>
      <c r="E203" s="41" t="s">
        <v>689</v>
      </c>
      <c r="F203" s="42" t="s">
        <v>690</v>
      </c>
      <c r="G203" s="41" t="s">
        <v>691</v>
      </c>
      <c r="H203" s="41" t="s">
        <v>692</v>
      </c>
      <c r="I203" s="43">
        <v>12</v>
      </c>
      <c r="J203" s="44" t="str">
        <f>VLOOKUP(G203,[1]硬件清单!$F:$F,1,0)</f>
        <v>BK-F01-HK-01</v>
      </c>
      <c r="K203" s="43"/>
      <c r="L203" s="44"/>
      <c r="M203" s="45" t="s">
        <v>693</v>
      </c>
    </row>
    <row r="204" ht="30" customHeight="1" spans="1:13">
      <c r="A204" s="41">
        <f>IF(C204="","",SUBTOTAL(103,$C$2:C204))</f>
        <v>203</v>
      </c>
      <c r="B204" s="41">
        <v>202</v>
      </c>
      <c r="C204" s="41">
        <v>11208</v>
      </c>
      <c r="D204" s="41" t="s">
        <v>65</v>
      </c>
      <c r="E204" s="41" t="s">
        <v>66</v>
      </c>
      <c r="F204" s="41" t="s">
        <v>106</v>
      </c>
      <c r="G204" s="41" t="s">
        <v>694</v>
      </c>
      <c r="H204" s="41" t="s">
        <v>695</v>
      </c>
      <c r="I204" s="43">
        <v>12</v>
      </c>
      <c r="J204" s="44" t="str">
        <f>VLOOKUP(G204,[1]硬件清单!$F:$F,1,0)</f>
        <v>210235G6TP10EA000010</v>
      </c>
      <c r="K204" s="43"/>
      <c r="L204" s="44"/>
      <c r="M204" s="45" t="s">
        <v>696</v>
      </c>
    </row>
    <row r="205" ht="30" customHeight="1" spans="1:13">
      <c r="A205" s="41">
        <f>IF(C205="","",SUBTOTAL(103,$C$2:C205))</f>
        <v>204</v>
      </c>
      <c r="B205" s="41">
        <v>203</v>
      </c>
      <c r="C205" s="41">
        <v>11114</v>
      </c>
      <c r="D205" s="41" t="s">
        <v>19</v>
      </c>
      <c r="E205" s="41" t="s">
        <v>20</v>
      </c>
      <c r="F205" s="41" t="s">
        <v>697</v>
      </c>
      <c r="G205" s="41" t="s">
        <v>698</v>
      </c>
      <c r="H205" s="41" t="s">
        <v>699</v>
      </c>
      <c r="I205" s="43">
        <v>12</v>
      </c>
      <c r="J205" s="44" t="str">
        <f>VLOOKUP(G205,[1]硬件清单!$F:$F,1,0)</f>
        <v>JAF1830ACNH</v>
      </c>
      <c r="K205" s="44"/>
      <c r="L205" s="44" t="s">
        <v>17</v>
      </c>
      <c r="M205" s="45" t="s">
        <v>700</v>
      </c>
    </row>
    <row r="206" ht="30" customHeight="1" spans="1:13">
      <c r="A206" s="41">
        <f>IF(C206="","",SUBTOTAL(103,$C$2:C206))</f>
        <v>205</v>
      </c>
      <c r="B206" s="41">
        <v>204</v>
      </c>
      <c r="C206" s="41">
        <v>11209</v>
      </c>
      <c r="D206" s="41" t="s">
        <v>65</v>
      </c>
      <c r="E206" s="41" t="s">
        <v>66</v>
      </c>
      <c r="F206" s="41" t="s">
        <v>106</v>
      </c>
      <c r="G206" s="41" t="s">
        <v>701</v>
      </c>
      <c r="H206" s="41" t="s">
        <v>702</v>
      </c>
      <c r="I206" s="43">
        <v>12</v>
      </c>
      <c r="J206" s="44" t="str">
        <f>VLOOKUP(G206,[1]硬件清单!$F:$F,1,0)</f>
        <v>210235G6TP10EA000009</v>
      </c>
      <c r="K206" s="43"/>
      <c r="L206" s="44"/>
      <c r="M206" s="45" t="s">
        <v>703</v>
      </c>
    </row>
    <row r="207" ht="30" customHeight="1" spans="1:13">
      <c r="A207" s="41">
        <f>IF(C207="","",SUBTOTAL(103,$C$2:C207))</f>
        <v>206</v>
      </c>
      <c r="B207" s="41">
        <v>205</v>
      </c>
      <c r="C207" s="41">
        <v>11115</v>
      </c>
      <c r="D207" s="41" t="s">
        <v>19</v>
      </c>
      <c r="E207" s="41" t="s">
        <v>20</v>
      </c>
      <c r="F207" s="41" t="s">
        <v>697</v>
      </c>
      <c r="G207" s="41" t="s">
        <v>704</v>
      </c>
      <c r="H207" s="41" t="s">
        <v>705</v>
      </c>
      <c r="I207" s="43">
        <v>12</v>
      </c>
      <c r="J207" s="44" t="str">
        <f>VLOOKUP(G207,[1]硬件清单!$F:$F,1,0)</f>
        <v>JAF1830ACNK</v>
      </c>
      <c r="K207" s="44"/>
      <c r="L207" s="44" t="s">
        <v>17</v>
      </c>
      <c r="M207" s="45" t="s">
        <v>706</v>
      </c>
    </row>
    <row r="208" ht="30" customHeight="1" spans="1:13">
      <c r="A208" s="41">
        <f>IF(C208="","",SUBTOTAL(103,$C$2:C208))</f>
        <v>207</v>
      </c>
      <c r="B208" s="41">
        <v>207</v>
      </c>
      <c r="C208" s="41">
        <v>11086</v>
      </c>
      <c r="D208" s="41" t="s">
        <v>19</v>
      </c>
      <c r="E208" s="41" t="s">
        <v>113</v>
      </c>
      <c r="F208" s="41" t="s">
        <v>114</v>
      </c>
      <c r="G208" s="41" t="s">
        <v>707</v>
      </c>
      <c r="H208" s="41" t="s">
        <v>708</v>
      </c>
      <c r="I208" s="43">
        <v>12</v>
      </c>
      <c r="J208" s="44" t="str">
        <f>VLOOKUP(G208,[1]硬件清单!$F:$F,1,0)</f>
        <v>FXS1751Q1L8</v>
      </c>
      <c r="K208" s="44"/>
      <c r="L208" s="44" t="s">
        <v>17</v>
      </c>
      <c r="M208" s="45" t="s">
        <v>709</v>
      </c>
    </row>
    <row r="209" ht="30" customHeight="1" spans="1:13">
      <c r="A209" s="41">
        <f>IF(C209="","",SUBTOTAL(103,$C$2:C209))</f>
        <v>208</v>
      </c>
      <c r="B209" s="41">
        <v>208</v>
      </c>
      <c r="C209" s="41">
        <v>10153</v>
      </c>
      <c r="D209" s="41" t="s">
        <v>19</v>
      </c>
      <c r="E209" s="41" t="s">
        <v>84</v>
      </c>
      <c r="F209" s="41" t="s">
        <v>710</v>
      </c>
      <c r="G209" s="41" t="s">
        <v>711</v>
      </c>
      <c r="H209" s="41" t="s">
        <v>712</v>
      </c>
      <c r="I209" s="43">
        <v>12</v>
      </c>
      <c r="J209" s="44" t="str">
        <f>VLOOKUP(G209,[1]硬件清单!$F:$F,1,0)</f>
        <v>31405262</v>
      </c>
      <c r="K209" s="43"/>
      <c r="L209" s="44"/>
      <c r="M209" s="45" t="s">
        <v>713</v>
      </c>
    </row>
    <row r="210" ht="30" customHeight="1" spans="1:13">
      <c r="A210" s="41">
        <f>IF(C210="","",SUBTOTAL(103,$C$2:C210))</f>
        <v>209</v>
      </c>
      <c r="B210" s="41">
        <v>211</v>
      </c>
      <c r="C210" s="41">
        <v>11087</v>
      </c>
      <c r="D210" s="41" t="s">
        <v>19</v>
      </c>
      <c r="E210" s="41" t="s">
        <v>113</v>
      </c>
      <c r="F210" s="41" t="s">
        <v>114</v>
      </c>
      <c r="G210" s="41" t="s">
        <v>714</v>
      </c>
      <c r="H210" s="41" t="s">
        <v>715</v>
      </c>
      <c r="I210" s="43">
        <v>12</v>
      </c>
      <c r="J210" s="44" t="str">
        <f>VLOOKUP(G210,[1]硬件清单!$F:$F,1,0)</f>
        <v>FXS1751Q1L3</v>
      </c>
      <c r="K210" s="44"/>
      <c r="L210" s="44" t="s">
        <v>17</v>
      </c>
      <c r="M210" s="45" t="s">
        <v>716</v>
      </c>
    </row>
    <row r="211" ht="30" customHeight="1" spans="1:13">
      <c r="A211" s="41">
        <f>IF(C211="","",SUBTOTAL(103,$C$2:C211))</f>
        <v>210</v>
      </c>
      <c r="B211" s="41">
        <v>212</v>
      </c>
      <c r="C211" s="41">
        <v>10154</v>
      </c>
      <c r="D211" s="41" t="s">
        <v>19</v>
      </c>
      <c r="E211" s="41" t="s">
        <v>84</v>
      </c>
      <c r="F211" s="41" t="s">
        <v>710</v>
      </c>
      <c r="G211" s="41" t="s">
        <v>717</v>
      </c>
      <c r="H211" s="41" t="s">
        <v>718</v>
      </c>
      <c r="I211" s="43">
        <v>12</v>
      </c>
      <c r="J211" s="44" t="str">
        <f>VLOOKUP(G211,[1]硬件清单!$F:$F,1,0)</f>
        <v>31405251</v>
      </c>
      <c r="K211" s="43"/>
      <c r="L211" s="44"/>
      <c r="M211" s="45" t="s">
        <v>719</v>
      </c>
    </row>
    <row r="212" ht="30" customHeight="1" spans="1:13">
      <c r="A212" s="41">
        <f>IF(C212="","",SUBTOTAL(103,$C$2:C212))</f>
        <v>211</v>
      </c>
      <c r="B212" s="41">
        <v>214</v>
      </c>
      <c r="C212" s="41">
        <v>7588</v>
      </c>
      <c r="D212" s="41" t="s">
        <v>19</v>
      </c>
      <c r="E212" s="41" t="s">
        <v>60</v>
      </c>
      <c r="F212" s="41" t="s">
        <v>720</v>
      </c>
      <c r="G212" s="41" t="s">
        <v>721</v>
      </c>
      <c r="H212" s="41" t="s">
        <v>722</v>
      </c>
      <c r="I212" s="43">
        <v>12</v>
      </c>
      <c r="J212" s="44" t="str">
        <f>VLOOKUP(G212,[1]硬件清单!$F:$F,1,0)</f>
        <v>31407256</v>
      </c>
      <c r="K212" s="43"/>
      <c r="L212" s="44"/>
      <c r="M212" s="45" t="s">
        <v>723</v>
      </c>
    </row>
    <row r="213" ht="30" customHeight="1" spans="1:13">
      <c r="A213" s="41">
        <f>IF(C213="","",SUBTOTAL(103,$C$2:C213))</f>
        <v>212</v>
      </c>
      <c r="B213" s="41">
        <v>215</v>
      </c>
      <c r="C213" s="41">
        <v>7589</v>
      </c>
      <c r="D213" s="41" t="s">
        <v>19</v>
      </c>
      <c r="E213" s="41" t="s">
        <v>60</v>
      </c>
      <c r="F213" s="41" t="s">
        <v>720</v>
      </c>
      <c r="G213" s="41" t="s">
        <v>724</v>
      </c>
      <c r="H213" s="41" t="s">
        <v>725</v>
      </c>
      <c r="I213" s="43">
        <v>12</v>
      </c>
      <c r="J213" s="44" t="str">
        <f>VLOOKUP(G213,[1]硬件清单!$F:$F,1,0)</f>
        <v>31407315</v>
      </c>
      <c r="K213" s="43"/>
      <c r="L213" s="44"/>
      <c r="M213" s="45" t="s">
        <v>726</v>
      </c>
    </row>
    <row r="214" ht="30" customHeight="1" spans="1:13">
      <c r="A214" s="41">
        <f>IF(C214="","",SUBTOTAL(103,$C$2:C214))</f>
        <v>213</v>
      </c>
      <c r="B214" s="41">
        <v>216</v>
      </c>
      <c r="C214" s="41">
        <v>7590</v>
      </c>
      <c r="D214" s="41" t="s">
        <v>19</v>
      </c>
      <c r="E214" s="41" t="s">
        <v>60</v>
      </c>
      <c r="F214" s="41" t="s">
        <v>720</v>
      </c>
      <c r="G214" s="41" t="s">
        <v>727</v>
      </c>
      <c r="H214" s="41" t="s">
        <v>728</v>
      </c>
      <c r="I214" s="43">
        <v>12</v>
      </c>
      <c r="J214" s="44" t="str">
        <f>VLOOKUP(G214,[1]硬件清单!$F:$F,1,0)</f>
        <v>31407268</v>
      </c>
      <c r="K214" s="43"/>
      <c r="L214" s="44"/>
      <c r="M214" s="45" t="s">
        <v>729</v>
      </c>
    </row>
    <row r="215" ht="30" customHeight="1" spans="1:13">
      <c r="A215" s="41">
        <f>IF(C215="","",SUBTOTAL(103,$C$2:C215))</f>
        <v>214</v>
      </c>
      <c r="B215" s="41">
        <v>217</v>
      </c>
      <c r="C215" s="41">
        <v>7591</v>
      </c>
      <c r="D215" s="41" t="s">
        <v>19</v>
      </c>
      <c r="E215" s="41" t="s">
        <v>60</v>
      </c>
      <c r="F215" s="41" t="s">
        <v>720</v>
      </c>
      <c r="G215" s="41" t="s">
        <v>730</v>
      </c>
      <c r="H215" s="41" t="s">
        <v>731</v>
      </c>
      <c r="I215" s="43">
        <v>12</v>
      </c>
      <c r="J215" s="44" t="str">
        <f>VLOOKUP(G215,[1]硬件清单!$F:$F,1,0)</f>
        <v>31407272</v>
      </c>
      <c r="K215" s="43"/>
      <c r="L215" s="44"/>
      <c r="M215" s="45" t="s">
        <v>732</v>
      </c>
    </row>
    <row r="216" ht="30" customHeight="1" spans="1:13">
      <c r="A216" s="41">
        <f>IF(C216="","",SUBTOTAL(103,$C$2:C216))</f>
        <v>215</v>
      </c>
      <c r="B216" s="41">
        <v>218</v>
      </c>
      <c r="C216" s="41">
        <v>11417</v>
      </c>
      <c r="D216" s="41" t="s">
        <v>12</v>
      </c>
      <c r="E216" s="41" t="s">
        <v>127</v>
      </c>
      <c r="F216" s="41" t="s">
        <v>188</v>
      </c>
      <c r="G216" s="41" t="s">
        <v>733</v>
      </c>
      <c r="H216" s="41" t="s">
        <v>734</v>
      </c>
      <c r="I216" s="43">
        <v>12</v>
      </c>
      <c r="J216" s="44" t="str">
        <f>VLOOKUP(G216,[1]硬件清单!$F:$F,1,0)</f>
        <v>21013018452128030001</v>
      </c>
      <c r="K216" s="43"/>
      <c r="L216" s="44"/>
      <c r="M216" s="45" t="s">
        <v>735</v>
      </c>
    </row>
    <row r="217" ht="30" customHeight="1" spans="1:13">
      <c r="A217" s="41">
        <f>IF(C217="","",SUBTOTAL(103,$C$2:C217))</f>
        <v>216</v>
      </c>
      <c r="B217" s="41">
        <v>219</v>
      </c>
      <c r="C217" s="41">
        <v>11415</v>
      </c>
      <c r="D217" s="41" t="s">
        <v>12</v>
      </c>
      <c r="E217" s="41" t="s">
        <v>127</v>
      </c>
      <c r="F217" s="41" t="s">
        <v>128</v>
      </c>
      <c r="G217" s="41" t="s">
        <v>736</v>
      </c>
      <c r="H217" s="41" t="s">
        <v>737</v>
      </c>
      <c r="I217" s="43">
        <v>12</v>
      </c>
      <c r="J217" s="44" t="str">
        <f>VLOOKUP(G217,[1]硬件清单!$F:$F,1,0)</f>
        <v>21013018432133030006</v>
      </c>
      <c r="K217" s="43"/>
      <c r="L217" s="44"/>
      <c r="M217" s="45" t="s">
        <v>738</v>
      </c>
    </row>
    <row r="218" ht="30" customHeight="1" spans="1:13">
      <c r="A218" s="41">
        <f>IF(C218="","",SUBTOTAL(103,$C$2:C218))</f>
        <v>217</v>
      </c>
      <c r="B218" s="41">
        <v>220</v>
      </c>
      <c r="C218" s="41">
        <v>11416</v>
      </c>
      <c r="D218" s="41" t="s">
        <v>12</v>
      </c>
      <c r="E218" s="41" t="s">
        <v>127</v>
      </c>
      <c r="F218" s="41" t="s">
        <v>128</v>
      </c>
      <c r="G218" s="41" t="s">
        <v>739</v>
      </c>
      <c r="H218" s="41" t="s">
        <v>740</v>
      </c>
      <c r="I218" s="43">
        <v>12</v>
      </c>
      <c r="J218" s="44" t="str">
        <f>VLOOKUP(G218,[1]硬件清单!$F:$F,1,0)</f>
        <v>2101301843213b060001</v>
      </c>
      <c r="K218" s="43"/>
      <c r="L218" s="44"/>
      <c r="M218" s="45" t="s">
        <v>741</v>
      </c>
    </row>
    <row r="219" ht="30" customHeight="1" spans="1:13">
      <c r="A219" s="41">
        <f>IF(C219="","",SUBTOTAL(103,$C$2:C219))</f>
        <v>218</v>
      </c>
      <c r="B219" s="41">
        <v>221</v>
      </c>
      <c r="C219" s="41">
        <v>11424</v>
      </c>
      <c r="D219" s="41" t="s">
        <v>12</v>
      </c>
      <c r="E219" s="41" t="s">
        <v>127</v>
      </c>
      <c r="F219" s="41" t="s">
        <v>188</v>
      </c>
      <c r="G219" s="41" t="s">
        <v>742</v>
      </c>
      <c r="H219" s="41" t="s">
        <v>743</v>
      </c>
      <c r="I219" s="43">
        <v>12</v>
      </c>
      <c r="J219" s="44" t="str">
        <f>VLOOKUP(G219,[1]硬件清单!$F:$F,1,0)</f>
        <v>2101301845215301001</v>
      </c>
      <c r="K219" s="43"/>
      <c r="L219" s="44"/>
      <c r="M219" s="47" t="s">
        <v>744</v>
      </c>
    </row>
    <row r="220" ht="30" customHeight="1" spans="1:13">
      <c r="A220" s="41">
        <f>IF(C220="","",SUBTOTAL(103,$C$2:C220))</f>
        <v>219</v>
      </c>
      <c r="B220" s="41">
        <v>222</v>
      </c>
      <c r="C220" s="41">
        <v>11422</v>
      </c>
      <c r="D220" s="41" t="s">
        <v>12</v>
      </c>
      <c r="E220" s="41" t="s">
        <v>127</v>
      </c>
      <c r="F220" s="41" t="s">
        <v>188</v>
      </c>
      <c r="G220" s="90" t="s">
        <v>745</v>
      </c>
      <c r="H220" s="41" t="s">
        <v>746</v>
      </c>
      <c r="I220" s="43">
        <v>12</v>
      </c>
      <c r="J220" s="91" t="str">
        <f>VLOOKUP(G220,[1]硬件清单!$F:$F,1,0)</f>
        <v>21013018452153010006</v>
      </c>
      <c r="K220" s="43"/>
      <c r="L220" s="44"/>
      <c r="M220" s="47" t="s">
        <v>198</v>
      </c>
    </row>
    <row r="221" ht="30" customHeight="1" spans="1:13">
      <c r="A221" s="41">
        <f>IF(C221="","",SUBTOTAL(103,$C$2:C221))</f>
        <v>220</v>
      </c>
      <c r="B221" s="41">
        <v>227</v>
      </c>
      <c r="C221" s="46">
        <v>17499</v>
      </c>
      <c r="D221" s="46" t="s">
        <v>19</v>
      </c>
      <c r="E221" s="46" t="s">
        <v>60</v>
      </c>
      <c r="F221" s="46" t="s">
        <v>747</v>
      </c>
      <c r="G221" s="41" t="s">
        <v>748</v>
      </c>
      <c r="H221" s="41" t="s">
        <v>749</v>
      </c>
      <c r="I221" s="43">
        <v>12</v>
      </c>
      <c r="J221" s="44" t="str">
        <f>VLOOKUP(G221,[1]硬件清单!$F:$F,1,0)</f>
        <v>21902044</v>
      </c>
      <c r="K221" s="43"/>
      <c r="L221" s="44"/>
      <c r="M221" s="45" t="s">
        <v>750</v>
      </c>
    </row>
    <row r="222" ht="30" customHeight="1" spans="1:13">
      <c r="A222" s="41">
        <f>IF(C222="","",SUBTOTAL(103,$C$2:C222))</f>
        <v>221</v>
      </c>
      <c r="B222" s="41">
        <v>228</v>
      </c>
      <c r="C222" s="46">
        <v>17498</v>
      </c>
      <c r="D222" s="46" t="s">
        <v>19</v>
      </c>
      <c r="E222" s="46" t="s">
        <v>60</v>
      </c>
      <c r="F222" s="46" t="s">
        <v>747</v>
      </c>
      <c r="G222" s="41" t="s">
        <v>751</v>
      </c>
      <c r="H222" s="41" t="s">
        <v>752</v>
      </c>
      <c r="I222" s="43">
        <v>12</v>
      </c>
      <c r="J222" s="44" t="str">
        <f>VLOOKUP(G222,[1]硬件清单!$F:$F,1,0)</f>
        <v>21902047</v>
      </c>
      <c r="K222" s="43"/>
      <c r="L222" s="44"/>
      <c r="M222" s="45" t="s">
        <v>753</v>
      </c>
    </row>
    <row r="223" ht="30" customHeight="1" spans="1:13">
      <c r="A223" s="41">
        <f>IF(C223="","",SUBTOTAL(103,$C$2:C223))</f>
        <v>222</v>
      </c>
      <c r="B223" s="41">
        <v>229</v>
      </c>
      <c r="C223" s="41">
        <v>7592</v>
      </c>
      <c r="D223" s="41" t="s">
        <v>19</v>
      </c>
      <c r="E223" s="41" t="s">
        <v>60</v>
      </c>
      <c r="F223" s="41" t="s">
        <v>754</v>
      </c>
      <c r="G223" s="41" t="s">
        <v>755</v>
      </c>
      <c r="H223" s="41" t="s">
        <v>756</v>
      </c>
      <c r="I223" s="43">
        <v>12</v>
      </c>
      <c r="J223" s="44" t="str">
        <f>VLOOKUP(G223,[1]硬件清单!$F:$F,1,0)</f>
        <v>31401362</v>
      </c>
      <c r="K223" s="43"/>
      <c r="L223" s="44"/>
      <c r="M223" s="45" t="s">
        <v>757</v>
      </c>
    </row>
    <row r="224" ht="30" customHeight="1" spans="1:13">
      <c r="A224" s="41">
        <f>IF(C224="","",SUBTOTAL(103,$C$2:C224))</f>
        <v>223</v>
      </c>
      <c r="B224" s="41">
        <v>230</v>
      </c>
      <c r="C224" s="41">
        <v>7593</v>
      </c>
      <c r="D224" s="41" t="s">
        <v>19</v>
      </c>
      <c r="E224" s="41" t="s">
        <v>60</v>
      </c>
      <c r="F224" s="41" t="s">
        <v>754</v>
      </c>
      <c r="G224" s="41" t="s">
        <v>758</v>
      </c>
      <c r="H224" s="41" t="s">
        <v>759</v>
      </c>
      <c r="I224" s="43">
        <v>12</v>
      </c>
      <c r="J224" s="44" t="str">
        <f>VLOOKUP(G224,[1]硬件清单!$F:$F,1,0)</f>
        <v>31401375</v>
      </c>
      <c r="K224" s="43"/>
      <c r="L224" s="44"/>
      <c r="M224" s="45" t="s">
        <v>760</v>
      </c>
    </row>
    <row r="225" ht="30" customHeight="1" spans="1:13">
      <c r="A225" s="41">
        <f>IF(C225="","",SUBTOTAL(103,$C$2:C225))</f>
        <v>224</v>
      </c>
      <c r="B225" s="41">
        <v>233</v>
      </c>
      <c r="C225" s="41">
        <v>11067</v>
      </c>
      <c r="D225" s="41" t="s">
        <v>161</v>
      </c>
      <c r="E225" s="41" t="s">
        <v>162</v>
      </c>
      <c r="F225" s="41" t="s">
        <v>761</v>
      </c>
      <c r="G225" s="41" t="s">
        <v>762</v>
      </c>
      <c r="H225" s="41" t="s">
        <v>763</v>
      </c>
      <c r="I225" s="43">
        <v>12</v>
      </c>
      <c r="J225" s="44" t="str">
        <f>VLOOKUP(G225,[1]硬件清单!$F:$F,1,0)</f>
        <v>CKM00145100130,CN492600677</v>
      </c>
      <c r="K225" s="43"/>
      <c r="L225" s="44"/>
      <c r="M225" s="45" t="s">
        <v>764</v>
      </c>
    </row>
    <row r="226" ht="30" customHeight="1" spans="1:13">
      <c r="A226" s="41">
        <f>IF(C226="","",SUBTOTAL(103,$C$2:C226))</f>
        <v>225</v>
      </c>
      <c r="B226" s="41">
        <v>234</v>
      </c>
      <c r="C226" s="41">
        <v>11068</v>
      </c>
      <c r="D226" s="41" t="s">
        <v>161</v>
      </c>
      <c r="E226" s="41" t="s">
        <v>162</v>
      </c>
      <c r="F226" s="41" t="s">
        <v>761</v>
      </c>
      <c r="G226" s="41" t="s">
        <v>765</v>
      </c>
      <c r="H226" s="41" t="s">
        <v>766</v>
      </c>
      <c r="I226" s="43">
        <v>12</v>
      </c>
      <c r="J226" s="44" t="str">
        <f>VLOOKUP(G226,[1]硬件清单!$F:$F,1,0)</f>
        <v>CKM00145100123,CN492600678</v>
      </c>
      <c r="K226" s="43"/>
      <c r="L226" s="44"/>
      <c r="M226" s="45" t="s">
        <v>767</v>
      </c>
    </row>
    <row r="227" ht="30" customHeight="1" spans="1:13">
      <c r="A227" s="41">
        <f>IF(C227="","",SUBTOTAL(103,$C$2:C227))</f>
        <v>226</v>
      </c>
      <c r="B227" s="41">
        <v>235</v>
      </c>
      <c r="C227" s="41">
        <v>11409</v>
      </c>
      <c r="D227" s="41" t="s">
        <v>12</v>
      </c>
      <c r="E227" s="41" t="s">
        <v>13</v>
      </c>
      <c r="F227" s="41" t="s">
        <v>768</v>
      </c>
      <c r="G227" s="41" t="s">
        <v>769</v>
      </c>
      <c r="H227" s="41" t="s">
        <v>770</v>
      </c>
      <c r="I227" s="43">
        <v>12</v>
      </c>
      <c r="J227" s="44" t="str">
        <f>VLOOKUP(G227,[1]硬件清单!$F:$F,1,0)</f>
        <v>4H364BAA03</v>
      </c>
      <c r="K227" s="43"/>
      <c r="L227" s="44" t="s">
        <v>17</v>
      </c>
      <c r="M227" s="45" t="s">
        <v>771</v>
      </c>
    </row>
    <row r="228" ht="30" customHeight="1" spans="1:13">
      <c r="A228" s="41">
        <f>IF(C228="","",SUBTOTAL(103,$C$2:C228))</f>
        <v>227</v>
      </c>
      <c r="B228" s="41">
        <v>236</v>
      </c>
      <c r="C228" s="41">
        <v>11410</v>
      </c>
      <c r="D228" s="41" t="s">
        <v>12</v>
      </c>
      <c r="E228" s="41" t="s">
        <v>13</v>
      </c>
      <c r="F228" s="41" t="s">
        <v>768</v>
      </c>
      <c r="G228" s="41" t="s">
        <v>772</v>
      </c>
      <c r="H228" s="41" t="s">
        <v>773</v>
      </c>
      <c r="I228" s="43">
        <v>12</v>
      </c>
      <c r="J228" s="44" t="str">
        <f>VLOOKUP(G228,[1]硬件清单!$F:$F,1,0)</f>
        <v>4H365BAA01</v>
      </c>
      <c r="K228" s="43"/>
      <c r="L228" s="44" t="s">
        <v>17</v>
      </c>
      <c r="M228" s="45" t="s">
        <v>774</v>
      </c>
    </row>
    <row r="229" ht="30" customHeight="1" spans="1:13">
      <c r="A229" s="41">
        <f>IF(C229="","",SUBTOTAL(103,$C$2:C229))</f>
        <v>228</v>
      </c>
      <c r="B229" s="41">
        <v>237</v>
      </c>
      <c r="C229" s="41">
        <v>10212</v>
      </c>
      <c r="D229" s="41" t="s">
        <v>12</v>
      </c>
      <c r="E229" s="41" t="s">
        <v>127</v>
      </c>
      <c r="F229" s="41" t="s">
        <v>775</v>
      </c>
      <c r="G229" s="48" t="s">
        <v>776</v>
      </c>
      <c r="H229" s="41" t="s">
        <v>777</v>
      </c>
      <c r="I229" s="43">
        <v>12</v>
      </c>
      <c r="J229" s="44" t="str">
        <f>VLOOKUP(G229,[1]硬件清单!$F:$F,1,0)</f>
        <v>无</v>
      </c>
      <c r="K229" s="43"/>
      <c r="L229" s="44"/>
      <c r="M229" s="45" t="s">
        <v>778</v>
      </c>
    </row>
    <row r="230" ht="30" customHeight="1" spans="1:13">
      <c r="A230" s="41"/>
      <c r="B230" s="41">
        <v>237</v>
      </c>
      <c r="C230" s="41"/>
      <c r="D230" s="41" t="s">
        <v>12</v>
      </c>
      <c r="E230" s="41" t="s">
        <v>127</v>
      </c>
      <c r="F230" s="41" t="s">
        <v>775</v>
      </c>
      <c r="G230" s="48" t="s">
        <v>776</v>
      </c>
      <c r="H230" s="41" t="s">
        <v>777</v>
      </c>
      <c r="I230" s="43">
        <v>12</v>
      </c>
      <c r="J230" s="44" t="str">
        <f>VLOOKUP(G230,[1]硬件清单!$F:$F,1,0)</f>
        <v>无</v>
      </c>
      <c r="K230" s="43"/>
      <c r="L230" s="44"/>
      <c r="M230" s="45" t="s">
        <v>778</v>
      </c>
    </row>
    <row r="231" ht="30" customHeight="1" spans="1:13">
      <c r="A231" s="41"/>
      <c r="B231" s="41">
        <v>237</v>
      </c>
      <c r="C231" s="41"/>
      <c r="D231" s="41" t="s">
        <v>12</v>
      </c>
      <c r="E231" s="41" t="s">
        <v>127</v>
      </c>
      <c r="F231" s="41" t="s">
        <v>775</v>
      </c>
      <c r="G231" s="48" t="s">
        <v>776</v>
      </c>
      <c r="H231" s="41" t="s">
        <v>777</v>
      </c>
      <c r="I231" s="43">
        <v>12</v>
      </c>
      <c r="J231" s="44" t="str">
        <f>VLOOKUP(G231,[1]硬件清单!$F:$F,1,0)</f>
        <v>无</v>
      </c>
      <c r="K231" s="43"/>
      <c r="L231" s="44"/>
      <c r="M231" s="45" t="s">
        <v>778</v>
      </c>
    </row>
    <row r="232" ht="30" customHeight="1" spans="1:13">
      <c r="A232" s="41"/>
      <c r="B232" s="41">
        <v>237</v>
      </c>
      <c r="C232" s="41"/>
      <c r="D232" s="41" t="s">
        <v>12</v>
      </c>
      <c r="E232" s="41" t="s">
        <v>127</v>
      </c>
      <c r="F232" s="41" t="s">
        <v>775</v>
      </c>
      <c r="G232" s="48" t="s">
        <v>776</v>
      </c>
      <c r="H232" s="41" t="s">
        <v>777</v>
      </c>
      <c r="I232" s="43">
        <v>12</v>
      </c>
      <c r="J232" s="44" t="str">
        <f>VLOOKUP(G232,[1]硬件清单!$F:$F,1,0)</f>
        <v>无</v>
      </c>
      <c r="K232" s="43"/>
      <c r="L232" s="44"/>
      <c r="M232" s="45" t="s">
        <v>778</v>
      </c>
    </row>
    <row r="233" ht="30" customHeight="1" spans="1:13">
      <c r="A233" s="41"/>
      <c r="B233" s="41">
        <v>237</v>
      </c>
      <c r="C233" s="41"/>
      <c r="D233" s="41" t="s">
        <v>12</v>
      </c>
      <c r="E233" s="41" t="s">
        <v>127</v>
      </c>
      <c r="F233" s="41" t="s">
        <v>775</v>
      </c>
      <c r="G233" s="48" t="s">
        <v>776</v>
      </c>
      <c r="H233" s="41" t="s">
        <v>777</v>
      </c>
      <c r="I233" s="43">
        <v>12</v>
      </c>
      <c r="J233" s="44" t="str">
        <f>VLOOKUP(G233,[1]硬件清单!$F:$F,1,0)</f>
        <v>无</v>
      </c>
      <c r="K233" s="43"/>
      <c r="L233" s="44"/>
      <c r="M233" s="45" t="s">
        <v>778</v>
      </c>
    </row>
    <row r="234" ht="30" customHeight="1" spans="1:13">
      <c r="A234" s="41"/>
      <c r="B234" s="41">
        <v>237</v>
      </c>
      <c r="C234" s="41"/>
      <c r="D234" s="41" t="s">
        <v>12</v>
      </c>
      <c r="E234" s="41" t="s">
        <v>127</v>
      </c>
      <c r="F234" s="41" t="s">
        <v>775</v>
      </c>
      <c r="G234" s="48" t="s">
        <v>776</v>
      </c>
      <c r="H234" s="41" t="s">
        <v>777</v>
      </c>
      <c r="I234" s="43">
        <v>12</v>
      </c>
      <c r="J234" s="44" t="str">
        <f>VLOOKUP(G234,[1]硬件清单!$F:$F,1,0)</f>
        <v>无</v>
      </c>
      <c r="K234" s="43"/>
      <c r="L234" s="44"/>
      <c r="M234" s="45" t="s">
        <v>778</v>
      </c>
    </row>
    <row r="235" ht="30" customHeight="1" spans="1:13">
      <c r="A235" s="41"/>
      <c r="B235" s="41">
        <v>237</v>
      </c>
      <c r="C235" s="41"/>
      <c r="D235" s="41" t="s">
        <v>12</v>
      </c>
      <c r="E235" s="41" t="s">
        <v>127</v>
      </c>
      <c r="F235" s="41" t="s">
        <v>775</v>
      </c>
      <c r="G235" s="48" t="s">
        <v>776</v>
      </c>
      <c r="H235" s="41" t="s">
        <v>777</v>
      </c>
      <c r="I235" s="43">
        <v>12</v>
      </c>
      <c r="J235" s="44" t="str">
        <f>VLOOKUP(G235,[1]硬件清单!$F:$F,1,0)</f>
        <v>无</v>
      </c>
      <c r="K235" s="43"/>
      <c r="L235" s="44"/>
      <c r="M235" s="45" t="s">
        <v>778</v>
      </c>
    </row>
    <row r="236" ht="30" customHeight="1" spans="1:13">
      <c r="A236" s="41"/>
      <c r="B236" s="41">
        <v>237</v>
      </c>
      <c r="C236" s="41"/>
      <c r="D236" s="41" t="s">
        <v>12</v>
      </c>
      <c r="E236" s="41" t="s">
        <v>127</v>
      </c>
      <c r="F236" s="41" t="s">
        <v>775</v>
      </c>
      <c r="G236" s="48" t="s">
        <v>776</v>
      </c>
      <c r="H236" s="41" t="s">
        <v>777</v>
      </c>
      <c r="I236" s="43">
        <v>12</v>
      </c>
      <c r="J236" s="44" t="str">
        <f>VLOOKUP(G236,[1]硬件清单!$F:$F,1,0)</f>
        <v>无</v>
      </c>
      <c r="K236" s="43"/>
      <c r="L236" s="44"/>
      <c r="M236" s="45" t="s">
        <v>778</v>
      </c>
    </row>
    <row r="237" ht="30" customHeight="1" spans="1:13">
      <c r="A237" s="41"/>
      <c r="B237" s="41">
        <v>237</v>
      </c>
      <c r="C237" s="41"/>
      <c r="D237" s="41" t="s">
        <v>12</v>
      </c>
      <c r="E237" s="41" t="s">
        <v>127</v>
      </c>
      <c r="F237" s="41" t="s">
        <v>775</v>
      </c>
      <c r="G237" s="48" t="s">
        <v>776</v>
      </c>
      <c r="H237" s="41" t="s">
        <v>777</v>
      </c>
      <c r="I237" s="43">
        <v>12</v>
      </c>
      <c r="J237" s="44" t="str">
        <f>VLOOKUP(G237,[1]硬件清单!$F:$F,1,0)</f>
        <v>无</v>
      </c>
      <c r="K237" s="43"/>
      <c r="L237" s="44"/>
      <c r="M237" s="45" t="s">
        <v>778</v>
      </c>
    </row>
    <row r="238" ht="30" customHeight="1" spans="1:13">
      <c r="A238" s="41">
        <f>IF(C238="","",SUBTOTAL(103,$C$2:C238))</f>
        <v>229</v>
      </c>
      <c r="B238" s="41">
        <v>238</v>
      </c>
      <c r="C238" s="41">
        <v>10213</v>
      </c>
      <c r="D238" s="41" t="s">
        <v>12</v>
      </c>
      <c r="E238" s="41" t="s">
        <v>779</v>
      </c>
      <c r="F238" s="42" t="s">
        <v>780</v>
      </c>
      <c r="G238" s="41" t="s">
        <v>781</v>
      </c>
      <c r="H238" s="41" t="s">
        <v>782</v>
      </c>
      <c r="I238" s="43">
        <v>12</v>
      </c>
      <c r="J238" s="44" t="str">
        <f>VLOOKUP(G238,[1]硬件清单!$F:$F,1,0)</f>
        <v>UJ2W7N19001/UJ2W7N18003</v>
      </c>
      <c r="K238" s="43"/>
      <c r="L238" s="44"/>
      <c r="M238" s="45" t="s">
        <v>783</v>
      </c>
    </row>
    <row r="239" ht="30" customHeight="1" spans="1:13">
      <c r="A239" s="41">
        <f>IF(C239="","",SUBTOTAL(103,$C$2:C239))</f>
        <v>230</v>
      </c>
      <c r="B239" s="41">
        <v>239</v>
      </c>
      <c r="C239" s="41">
        <v>11427</v>
      </c>
      <c r="D239" s="41" t="s">
        <v>12</v>
      </c>
      <c r="E239" s="41" t="s">
        <v>127</v>
      </c>
      <c r="F239" s="41" t="s">
        <v>188</v>
      </c>
      <c r="G239" s="41" t="s">
        <v>784</v>
      </c>
      <c r="H239" s="41" t="s">
        <v>785</v>
      </c>
      <c r="I239" s="43">
        <v>12</v>
      </c>
      <c r="J239" s="44" t="str">
        <f>VLOOKUP(G239,[1]硬件清单!$F:$F,1,0)</f>
        <v>21013018452153010002</v>
      </c>
      <c r="K239" s="43"/>
      <c r="L239" s="44"/>
      <c r="M239" s="45" t="s">
        <v>786</v>
      </c>
    </row>
    <row r="240" ht="30" customHeight="1" spans="1:13">
      <c r="A240" s="41">
        <f>IF(C240="","",SUBTOTAL(103,$C$2:C240))</f>
        <v>231</v>
      </c>
      <c r="B240" s="41">
        <v>240</v>
      </c>
      <c r="C240" s="41">
        <v>11425</v>
      </c>
      <c r="D240" s="41" t="s">
        <v>12</v>
      </c>
      <c r="E240" s="41" t="s">
        <v>127</v>
      </c>
      <c r="F240" s="41" t="s">
        <v>188</v>
      </c>
      <c r="G240" s="41" t="s">
        <v>787</v>
      </c>
      <c r="H240" s="41" t="s">
        <v>788</v>
      </c>
      <c r="I240" s="43">
        <v>12</v>
      </c>
      <c r="J240" s="44" t="str">
        <f>VLOOKUP(G240,[1]硬件清单!$F:$F,1,0)</f>
        <v>2101301845214a010004</v>
      </c>
      <c r="K240" s="43"/>
      <c r="L240" s="44"/>
      <c r="M240" s="45" t="s">
        <v>789</v>
      </c>
    </row>
    <row r="241" ht="30" customHeight="1" spans="1:13">
      <c r="A241" s="41">
        <f>IF(C241="","",SUBTOTAL(103,$C$2:C241))</f>
        <v>232</v>
      </c>
      <c r="B241" s="41">
        <v>241</v>
      </c>
      <c r="C241" s="41">
        <v>11426</v>
      </c>
      <c r="D241" s="41" t="s">
        <v>12</v>
      </c>
      <c r="E241" s="41" t="s">
        <v>127</v>
      </c>
      <c r="F241" s="41" t="s">
        <v>188</v>
      </c>
      <c r="G241" s="41" t="s">
        <v>790</v>
      </c>
      <c r="H241" s="41" t="s">
        <v>791</v>
      </c>
      <c r="I241" s="43">
        <v>12</v>
      </c>
      <c r="J241" s="44" t="str">
        <f>VLOOKUP(G241,[1]硬件清单!$F:$F,1,0)</f>
        <v>2101301845214a010003</v>
      </c>
      <c r="K241" s="43"/>
      <c r="L241" s="44"/>
      <c r="M241" s="45" t="s">
        <v>792</v>
      </c>
    </row>
    <row r="242" ht="30" customHeight="1" spans="1:13">
      <c r="A242" s="41">
        <f>IF(C242="","",SUBTOTAL(103,$C$2:C242))</f>
        <v>233</v>
      </c>
      <c r="B242" s="41">
        <v>242</v>
      </c>
      <c r="C242" s="41">
        <v>11169</v>
      </c>
      <c r="D242" s="41" t="s">
        <v>19</v>
      </c>
      <c r="E242" s="41" t="s">
        <v>20</v>
      </c>
      <c r="F242" s="41" t="s">
        <v>793</v>
      </c>
      <c r="G242" s="41" t="s">
        <v>794</v>
      </c>
      <c r="H242" s="41" t="s">
        <v>795</v>
      </c>
      <c r="I242" s="43">
        <v>12</v>
      </c>
      <c r="J242" s="44" t="str">
        <f>VLOOKUP(G242,[1]硬件清单!$F:$F,1,0)</f>
        <v>210235A27RX12B000052</v>
      </c>
      <c r="K242" s="43"/>
      <c r="L242" s="44"/>
      <c r="M242" s="47" t="s">
        <v>796</v>
      </c>
    </row>
    <row r="243" ht="30" customHeight="1" spans="1:13">
      <c r="A243" s="41">
        <f>IF(C243="","",SUBTOTAL(103,$C$2:C243))</f>
        <v>234</v>
      </c>
      <c r="B243" s="41">
        <v>243</v>
      </c>
      <c r="C243" s="41">
        <v>11170</v>
      </c>
      <c r="D243" s="41" t="s">
        <v>19</v>
      </c>
      <c r="E243" s="41" t="s">
        <v>20</v>
      </c>
      <c r="F243" s="41" t="s">
        <v>793</v>
      </c>
      <c r="G243" s="41" t="s">
        <v>797</v>
      </c>
      <c r="H243" s="41" t="s">
        <v>798</v>
      </c>
      <c r="I243" s="43">
        <v>12</v>
      </c>
      <c r="J243" s="44" t="str">
        <f>VLOOKUP(G243,[1]硬件清单!$F:$F,1,0)</f>
        <v>210235A27RX12B000055</v>
      </c>
      <c r="K243" s="43"/>
      <c r="L243" s="44"/>
      <c r="M243" s="47" t="s">
        <v>799</v>
      </c>
    </row>
    <row r="244" ht="30" customHeight="1" spans="1:13">
      <c r="A244" s="41">
        <f>IF(C244="","",SUBTOTAL(103,$C$2:C244))</f>
        <v>235</v>
      </c>
      <c r="B244" s="41">
        <v>244</v>
      </c>
      <c r="C244" s="46">
        <v>7753</v>
      </c>
      <c r="D244" s="46" t="s">
        <v>65</v>
      </c>
      <c r="E244" s="46" t="s">
        <v>220</v>
      </c>
      <c r="F244" s="46" t="s">
        <v>800</v>
      </c>
      <c r="G244" s="41" t="s">
        <v>801</v>
      </c>
      <c r="H244" s="41" t="s">
        <v>802</v>
      </c>
      <c r="I244" s="43">
        <v>12</v>
      </c>
      <c r="J244" s="44" t="str">
        <f>VLOOKUP(G244,[1]硬件清单!$F:$F,1,0)</f>
        <v>YD-CICMSY300B2EE519F821</v>
      </c>
      <c r="K244" s="43"/>
      <c r="L244" s="44"/>
      <c r="M244" s="45" t="s">
        <v>803</v>
      </c>
    </row>
    <row r="245" ht="30" customHeight="1" spans="1:13">
      <c r="A245" s="41">
        <f>IF(C245="","",SUBTOTAL(103,$C$2:C245))</f>
        <v>236</v>
      </c>
      <c r="B245" s="41">
        <v>245</v>
      </c>
      <c r="C245" s="46">
        <v>7750</v>
      </c>
      <c r="D245" s="46" t="s">
        <v>65</v>
      </c>
      <c r="E245" s="46" t="s">
        <v>220</v>
      </c>
      <c r="F245" s="46" t="s">
        <v>804</v>
      </c>
      <c r="G245" s="41" t="s">
        <v>805</v>
      </c>
      <c r="H245" s="41" t="s">
        <v>806</v>
      </c>
      <c r="I245" s="43">
        <v>12</v>
      </c>
      <c r="J245" s="44" t="str">
        <f>VLOOKUP(G245,[1]硬件清单!$F:$F,1,0)</f>
        <v>YD-LDAP3000B2EE519F821</v>
      </c>
      <c r="K245" s="43"/>
      <c r="L245" s="44"/>
      <c r="M245" s="45" t="s">
        <v>807</v>
      </c>
    </row>
    <row r="246" ht="30" customHeight="1" spans="1:13">
      <c r="A246" s="41">
        <f>IF(C246="","",SUBTOTAL(103,$C$2:C246))</f>
        <v>237</v>
      </c>
      <c r="B246" s="41">
        <v>246</v>
      </c>
      <c r="C246" s="46">
        <v>7751</v>
      </c>
      <c r="D246" s="46" t="s">
        <v>65</v>
      </c>
      <c r="E246" s="46" t="s">
        <v>220</v>
      </c>
      <c r="F246" s="46" t="s">
        <v>808</v>
      </c>
      <c r="G246" s="41" t="s">
        <v>809</v>
      </c>
      <c r="H246" s="41" t="s">
        <v>810</v>
      </c>
      <c r="I246" s="43">
        <v>12</v>
      </c>
      <c r="J246" s="44" t="str">
        <f>VLOOKUP(G246,[1]硬件清单!$F:$F,1,0)</f>
        <v>YD-KMC3000B2EE519F821</v>
      </c>
      <c r="K246" s="43"/>
      <c r="L246" s="44"/>
      <c r="M246" s="45" t="s">
        <v>811</v>
      </c>
    </row>
    <row r="247" ht="30" customHeight="1" spans="1:13">
      <c r="A247" s="41">
        <f>IF(C247="","",SUBTOTAL(103,$C$2:C247))</f>
        <v>238</v>
      </c>
      <c r="B247" s="41">
        <v>247</v>
      </c>
      <c r="C247" s="46">
        <v>7749</v>
      </c>
      <c r="D247" s="46" t="s">
        <v>65</v>
      </c>
      <c r="E247" s="46" t="s">
        <v>220</v>
      </c>
      <c r="F247" s="46" t="s">
        <v>812</v>
      </c>
      <c r="G247" s="41" t="s">
        <v>813</v>
      </c>
      <c r="H247" s="41" t="s">
        <v>814</v>
      </c>
      <c r="I247" s="43">
        <v>12</v>
      </c>
      <c r="J247" s="44" t="str">
        <f>VLOOKUP(G247,[1]硬件清单!$F:$F,1,0)</f>
        <v>YD-CA3000B2EE519F821</v>
      </c>
      <c r="K247" s="43"/>
      <c r="L247" s="44"/>
      <c r="M247" s="45" t="s">
        <v>815</v>
      </c>
    </row>
    <row r="248" ht="30" customHeight="1" spans="1:13">
      <c r="A248" s="41">
        <f>IF(C248="","",SUBTOTAL(103,$C$2:C248))</f>
        <v>239</v>
      </c>
      <c r="B248" s="41">
        <v>248</v>
      </c>
      <c r="C248" s="46">
        <v>7706</v>
      </c>
      <c r="D248" s="46" t="s">
        <v>65</v>
      </c>
      <c r="E248" s="46" t="s">
        <v>220</v>
      </c>
      <c r="F248" s="46" t="s">
        <v>816</v>
      </c>
      <c r="G248" s="41" t="s">
        <v>817</v>
      </c>
      <c r="H248" s="41" t="s">
        <v>818</v>
      </c>
      <c r="I248" s="43">
        <v>12</v>
      </c>
      <c r="J248" s="44" t="str">
        <f>VLOOKUP(G248,[1]硬件清单!$F:$F,1,0)</f>
        <v>YD-CFG2000S2EE51B0991</v>
      </c>
      <c r="K248" s="43"/>
      <c r="L248" s="44"/>
      <c r="M248" s="45" t="s">
        <v>819</v>
      </c>
    </row>
    <row r="249" ht="30" customHeight="1" spans="1:13">
      <c r="A249" s="41">
        <f>IF(C249="","",SUBTOTAL(103,$C$2:C249))</f>
        <v>240</v>
      </c>
      <c r="B249" s="41">
        <v>249</v>
      </c>
      <c r="C249" s="46">
        <v>7756</v>
      </c>
      <c r="D249" s="46" t="s">
        <v>65</v>
      </c>
      <c r="E249" s="46" t="s">
        <v>220</v>
      </c>
      <c r="F249" s="46" t="s">
        <v>820</v>
      </c>
      <c r="G249" s="41" t="s">
        <v>821</v>
      </c>
      <c r="H249" s="41" t="s">
        <v>822</v>
      </c>
      <c r="I249" s="43">
        <v>12</v>
      </c>
      <c r="J249" s="44" t="str">
        <f>VLOOKUP(G249,[1]硬件清单!$F:$F,1,0)</f>
        <v>YD-RA3000B2EE519F821</v>
      </c>
      <c r="K249" s="43"/>
      <c r="L249" s="44"/>
      <c r="M249" s="45" t="s">
        <v>823</v>
      </c>
    </row>
    <row r="250" ht="30" customHeight="1" spans="1:13">
      <c r="A250" s="41">
        <f>IF(C250="","",SUBTOTAL(103,$C$2:C250))</f>
        <v>241</v>
      </c>
      <c r="B250" s="41">
        <v>250</v>
      </c>
      <c r="C250" s="46">
        <v>7737</v>
      </c>
      <c r="D250" s="46" t="s">
        <v>65</v>
      </c>
      <c r="E250" s="46" t="s">
        <v>220</v>
      </c>
      <c r="F250" s="46" t="s">
        <v>824</v>
      </c>
      <c r="G250" s="41" t="s">
        <v>825</v>
      </c>
      <c r="H250" s="41" t="s">
        <v>826</v>
      </c>
      <c r="I250" s="43">
        <v>12</v>
      </c>
      <c r="J250" s="44" t="str">
        <f>VLOOKUP(G250,[1]硬件清单!$F:$F,1,0)</f>
        <v>SHJ0901-B2EE51B0991</v>
      </c>
      <c r="K250" s="43"/>
      <c r="L250" s="44"/>
      <c r="M250" s="45" t="s">
        <v>827</v>
      </c>
    </row>
    <row r="251" ht="30" customHeight="1" spans="1:13">
      <c r="A251" s="41">
        <f>IF(C251="","",SUBTOTAL(103,$C$2:C251))</f>
        <v>242</v>
      </c>
      <c r="B251" s="41">
        <v>251</v>
      </c>
      <c r="C251" s="46">
        <v>7752</v>
      </c>
      <c r="D251" s="46" t="s">
        <v>65</v>
      </c>
      <c r="E251" s="46" t="s">
        <v>220</v>
      </c>
      <c r="F251" s="46" t="s">
        <v>828</v>
      </c>
      <c r="G251" s="41" t="s">
        <v>829</v>
      </c>
      <c r="H251" s="41" t="s">
        <v>830</v>
      </c>
      <c r="I251" s="43">
        <v>12</v>
      </c>
      <c r="J251" s="44" t="str">
        <f>VLOOKUP(G251,[1]硬件清单!$F:$F,1,0)</f>
        <v>YD-CICMT3000B2EE5190991</v>
      </c>
      <c r="K251" s="43"/>
      <c r="L251" s="44"/>
      <c r="M251" s="45" t="s">
        <v>831</v>
      </c>
    </row>
    <row r="252" ht="30" customHeight="1" spans="1:13">
      <c r="A252" s="41">
        <f>IF(C252="","",SUBTOTAL(103,$C$2:C252))</f>
        <v>243</v>
      </c>
      <c r="B252" s="41">
        <v>252</v>
      </c>
      <c r="C252" s="46">
        <v>7755</v>
      </c>
      <c r="D252" s="46" t="s">
        <v>65</v>
      </c>
      <c r="E252" s="46" t="s">
        <v>220</v>
      </c>
      <c r="F252" s="46" t="s">
        <v>832</v>
      </c>
      <c r="G252" s="41" t="s">
        <v>833</v>
      </c>
      <c r="H252" s="41" t="s">
        <v>834</v>
      </c>
      <c r="I252" s="43">
        <v>12</v>
      </c>
      <c r="J252" s="44" t="str">
        <f>VLOOKUP(G252,[1]硬件清单!$F:$F,1,0)</f>
        <v>YD-CMSMT300B2EE51B0991</v>
      </c>
      <c r="K252" s="43"/>
      <c r="L252" s="44"/>
      <c r="M252" s="45" t="s">
        <v>835</v>
      </c>
    </row>
    <row r="253" ht="30" customHeight="1" spans="1:13">
      <c r="A253" s="41">
        <f>IF(C253="","",SUBTOTAL(103,$C$2:C253))</f>
        <v>244</v>
      </c>
      <c r="B253" s="41">
        <v>253</v>
      </c>
      <c r="C253" s="46">
        <v>7748</v>
      </c>
      <c r="D253" s="46" t="s">
        <v>65</v>
      </c>
      <c r="E253" s="46" t="s">
        <v>220</v>
      </c>
      <c r="F253" s="46" t="s">
        <v>836</v>
      </c>
      <c r="G253" s="41" t="s">
        <v>837</v>
      </c>
      <c r="H253" s="41" t="s">
        <v>838</v>
      </c>
      <c r="I253" s="43">
        <v>12</v>
      </c>
      <c r="J253" s="44" t="str">
        <f>VLOOKUP(G253,[1]硬件清单!$F:$F,1,0)</f>
        <v>YD-SDA10T2EE51982F1</v>
      </c>
      <c r="K253" s="43"/>
      <c r="L253" s="44"/>
      <c r="M253" s="45" t="s">
        <v>839</v>
      </c>
    </row>
    <row r="254" ht="30" customHeight="1" spans="1:13">
      <c r="A254" s="41">
        <f>IF(C254="","",SUBTOTAL(103,$C$2:C254))</f>
        <v>245</v>
      </c>
      <c r="B254" s="41">
        <v>254</v>
      </c>
      <c r="C254" s="46">
        <v>7758</v>
      </c>
      <c r="D254" s="46" t="s">
        <v>65</v>
      </c>
      <c r="E254" s="46" t="s">
        <v>220</v>
      </c>
      <c r="F254" s="46" t="s">
        <v>840</v>
      </c>
      <c r="G254" s="41" t="s">
        <v>841</v>
      </c>
      <c r="H254" s="41" t="s">
        <v>842</v>
      </c>
      <c r="I254" s="43">
        <v>12</v>
      </c>
      <c r="J254" s="44" t="str">
        <f>VLOOKUP(G254,[1]硬件清单!$F:$F,1,0)</f>
        <v>YD-CRMQST300B2EE51B991</v>
      </c>
      <c r="K254" s="43"/>
      <c r="L254" s="44"/>
      <c r="M254" s="45" t="s">
        <v>835</v>
      </c>
    </row>
    <row r="255" ht="30" customHeight="1" spans="1:13">
      <c r="A255" s="41">
        <f>IF(C255="","",SUBTOTAL(103,$C$2:C255))</f>
        <v>246</v>
      </c>
      <c r="B255" s="41">
        <v>255</v>
      </c>
      <c r="C255" s="46">
        <v>7754</v>
      </c>
      <c r="D255" s="46" t="s">
        <v>65</v>
      </c>
      <c r="E255" s="46" t="s">
        <v>220</v>
      </c>
      <c r="F255" s="46" t="s">
        <v>800</v>
      </c>
      <c r="G255" s="41" t="s">
        <v>843</v>
      </c>
      <c r="H255" s="41" t="s">
        <v>844</v>
      </c>
      <c r="I255" s="43">
        <v>12</v>
      </c>
      <c r="J255" s="44" t="str">
        <f>VLOOKUP(G255,[1]硬件清单!$F:$F,1,0)</f>
        <v>YD-CICMSY300B2EE51982F1</v>
      </c>
      <c r="K255" s="43"/>
      <c r="L255" s="44"/>
      <c r="M255" s="45" t="s">
        <v>845</v>
      </c>
    </row>
    <row r="256" ht="30" customHeight="1" spans="1:13">
      <c r="A256" s="41">
        <f>IF(C256="","",SUBTOTAL(103,$C$2:C256))</f>
        <v>247</v>
      </c>
      <c r="B256" s="41">
        <v>256</v>
      </c>
      <c r="C256" s="46">
        <v>7757</v>
      </c>
      <c r="D256" s="46" t="s">
        <v>65</v>
      </c>
      <c r="E256" s="46" t="s">
        <v>220</v>
      </c>
      <c r="F256" s="46" t="s">
        <v>846</v>
      </c>
      <c r="G256" s="41" t="s">
        <v>847</v>
      </c>
      <c r="H256" s="41" t="s">
        <v>848</v>
      </c>
      <c r="I256" s="43">
        <v>12</v>
      </c>
      <c r="J256" s="44" t="str">
        <f>VLOOKUP(G256,[1]硬件清单!$F:$F,1,0)</f>
        <v>YD-OCSP3000B2EE519F821</v>
      </c>
      <c r="K256" s="43"/>
      <c r="L256" s="44"/>
      <c r="M256" s="45" t="s">
        <v>849</v>
      </c>
    </row>
    <row r="257" ht="30" customHeight="1" spans="1:13">
      <c r="A257" s="41">
        <f>IF(C257="","",SUBTOTAL(103,$C$2:C257))</f>
        <v>248</v>
      </c>
      <c r="B257" s="41">
        <v>257</v>
      </c>
      <c r="C257" s="46">
        <v>7738</v>
      </c>
      <c r="D257" s="46" t="s">
        <v>65</v>
      </c>
      <c r="E257" s="46" t="s">
        <v>220</v>
      </c>
      <c r="F257" s="46" t="s">
        <v>824</v>
      </c>
      <c r="G257" s="41" t="s">
        <v>850</v>
      </c>
      <c r="H257" s="41" t="s">
        <v>851</v>
      </c>
      <c r="I257" s="43">
        <v>12</v>
      </c>
      <c r="J257" s="44" t="str">
        <f>VLOOKUP(G257,[1]硬件清单!$F:$F,1,0)</f>
        <v>SHJ0901-B2EE51B0992</v>
      </c>
      <c r="K257" s="43"/>
      <c r="L257" s="44"/>
      <c r="M257" s="45" t="s">
        <v>852</v>
      </c>
    </row>
    <row r="258" ht="30" customHeight="1" spans="1:13">
      <c r="A258" s="41">
        <f>IF(C258="","",SUBTOTAL(103,$C$2:C258))</f>
        <v>249</v>
      </c>
      <c r="B258" s="41">
        <v>258</v>
      </c>
      <c r="C258" s="46">
        <v>7739</v>
      </c>
      <c r="D258" s="46" t="s">
        <v>65</v>
      </c>
      <c r="E258" s="46" t="s">
        <v>220</v>
      </c>
      <c r="F258" s="46" t="s">
        <v>853</v>
      </c>
      <c r="G258" s="41" t="s">
        <v>854</v>
      </c>
      <c r="H258" s="41" t="s">
        <v>855</v>
      </c>
      <c r="I258" s="43">
        <v>12</v>
      </c>
      <c r="J258" s="44" t="str">
        <f>VLOOKUP(G258,[1]硬件清单!$F:$F,1,0)</f>
        <v>SJK0812-B2EEA8636C1</v>
      </c>
      <c r="K258" s="43"/>
      <c r="L258" s="44"/>
      <c r="M258" s="45" t="s">
        <v>852</v>
      </c>
    </row>
    <row r="259" ht="30" customHeight="1" spans="1:13">
      <c r="A259" s="41">
        <f>IF(C259="","",SUBTOTAL(103,$C$2:C259))</f>
        <v>250</v>
      </c>
      <c r="B259" s="41">
        <v>259</v>
      </c>
      <c r="C259" s="46">
        <v>7747</v>
      </c>
      <c r="D259" s="46" t="s">
        <v>65</v>
      </c>
      <c r="E259" s="46" t="s">
        <v>220</v>
      </c>
      <c r="F259" s="46" t="s">
        <v>856</v>
      </c>
      <c r="G259" s="41" t="s">
        <v>857</v>
      </c>
      <c r="H259" s="41" t="s">
        <v>858</v>
      </c>
      <c r="I259" s="43">
        <v>12</v>
      </c>
      <c r="J259" s="44" t="str">
        <f>VLOOKUP(G259,[1]硬件清单!$F:$F,1,0)</f>
        <v>YD-SFSW4082EE51B0992</v>
      </c>
      <c r="K259" s="43"/>
      <c r="L259" s="44"/>
      <c r="M259" s="45" t="s">
        <v>859</v>
      </c>
    </row>
    <row r="260" ht="30" customHeight="1" spans="1:13">
      <c r="A260" s="41">
        <f>IF(C260="","",SUBTOTAL(103,$C$2:C260))</f>
        <v>251</v>
      </c>
      <c r="B260" s="41">
        <v>260</v>
      </c>
      <c r="C260" s="46">
        <v>7746</v>
      </c>
      <c r="D260" s="46" t="s">
        <v>65</v>
      </c>
      <c r="E260" s="46" t="s">
        <v>220</v>
      </c>
      <c r="F260" s="46" t="s">
        <v>856</v>
      </c>
      <c r="G260" s="41" t="s">
        <v>860</v>
      </c>
      <c r="H260" s="41" t="s">
        <v>861</v>
      </c>
      <c r="I260" s="43">
        <v>12</v>
      </c>
      <c r="J260" s="44" t="str">
        <f>VLOOKUP(G260,[1]硬件清单!$F:$F,1,0)</f>
        <v>YD-SFSW4082EE51B0991</v>
      </c>
      <c r="K260" s="43"/>
      <c r="L260" s="44"/>
      <c r="M260" s="45" t="s">
        <v>862</v>
      </c>
    </row>
    <row r="261" ht="53" customHeight="1" spans="1:13">
      <c r="A261" s="41">
        <f>IF(C261="","",SUBTOTAL(103,$C$2:C261))</f>
        <v>252</v>
      </c>
      <c r="B261" s="41">
        <v>261</v>
      </c>
      <c r="C261" s="41">
        <v>7745</v>
      </c>
      <c r="D261" s="41" t="s">
        <v>65</v>
      </c>
      <c r="E261" s="41" t="s">
        <v>220</v>
      </c>
      <c r="F261" s="41" t="s">
        <v>863</v>
      </c>
      <c r="G261" s="41" t="s">
        <v>864</v>
      </c>
      <c r="H261" s="41" t="s">
        <v>865</v>
      </c>
      <c r="I261" s="43">
        <v>12</v>
      </c>
      <c r="J261" s="44" t="str">
        <f>VLOOKUP(G261,[1]硬件清单!$F:$F,1,0)</f>
        <v>YD-SDB3000S2EE519F822</v>
      </c>
      <c r="K261" s="43"/>
      <c r="L261" s="44"/>
      <c r="M261" s="45" t="s">
        <v>866</v>
      </c>
    </row>
    <row r="262" ht="53" customHeight="1" spans="1:13">
      <c r="A262" s="41">
        <f>IF(C262="","",SUBTOTAL(103,$C$2:C262))</f>
        <v>253</v>
      </c>
      <c r="B262" s="41">
        <v>262</v>
      </c>
      <c r="C262" s="46">
        <v>7698</v>
      </c>
      <c r="D262" s="46" t="s">
        <v>65</v>
      </c>
      <c r="E262" s="46" t="s">
        <v>220</v>
      </c>
      <c r="F262" s="46" t="s">
        <v>867</v>
      </c>
      <c r="G262" s="41" t="s">
        <v>868</v>
      </c>
      <c r="H262" s="41" t="s">
        <v>869</v>
      </c>
      <c r="I262" s="43">
        <v>12</v>
      </c>
      <c r="J262" s="44" t="str">
        <f>VLOOKUP(G262,[1]硬件清单!$F:$F,1,0)</f>
        <v>YD-SMC3000B2EE519F824</v>
      </c>
      <c r="K262" s="43"/>
      <c r="L262" s="44"/>
      <c r="M262" s="45" t="s">
        <v>870</v>
      </c>
    </row>
    <row r="263" ht="53" customHeight="1" spans="1:13">
      <c r="A263" s="41">
        <f>IF(C263="","",SUBTOTAL(103,$C$2:C263))</f>
        <v>254</v>
      </c>
      <c r="B263" s="41">
        <v>263</v>
      </c>
      <c r="C263" s="46">
        <v>7700</v>
      </c>
      <c r="D263" s="46" t="s">
        <v>65</v>
      </c>
      <c r="E263" s="46" t="s">
        <v>220</v>
      </c>
      <c r="F263" s="46" t="s">
        <v>867</v>
      </c>
      <c r="G263" s="41" t="s">
        <v>871</v>
      </c>
      <c r="H263" s="41" t="s">
        <v>872</v>
      </c>
      <c r="I263" s="43">
        <v>12</v>
      </c>
      <c r="J263" s="44" t="str">
        <f>VLOOKUP(G263,[1]硬件清单!$F:$F,1,0)</f>
        <v>YD-SMC3000B2EE519F826</v>
      </c>
      <c r="K263" s="43"/>
      <c r="L263" s="44"/>
      <c r="M263" s="45" t="s">
        <v>873</v>
      </c>
    </row>
    <row r="264" ht="30" customHeight="1" spans="1:13">
      <c r="A264" s="41">
        <f>IF(C264="","",SUBTOTAL(103,$C$2:C264))</f>
        <v>255</v>
      </c>
      <c r="B264" s="41">
        <v>264</v>
      </c>
      <c r="C264" s="46">
        <v>7699</v>
      </c>
      <c r="D264" s="46" t="s">
        <v>65</v>
      </c>
      <c r="E264" s="46" t="s">
        <v>220</v>
      </c>
      <c r="F264" s="46" t="s">
        <v>867</v>
      </c>
      <c r="G264" s="41" t="s">
        <v>874</v>
      </c>
      <c r="H264" s="41" t="s">
        <v>875</v>
      </c>
      <c r="I264" s="43">
        <v>12</v>
      </c>
      <c r="J264" s="44" t="str">
        <f>VLOOKUP(G264,[1]硬件清单!$F:$F,1,0)</f>
        <v>YD-SMC3000B2EE519F825</v>
      </c>
      <c r="K264" s="43"/>
      <c r="L264" s="44"/>
      <c r="M264" s="45" t="s">
        <v>876</v>
      </c>
    </row>
    <row r="265" ht="30" customHeight="1" spans="1:13">
      <c r="A265" s="41">
        <f>IF(C265="","",SUBTOTAL(103,$C$2:C265))</f>
        <v>256</v>
      </c>
      <c r="B265" s="41">
        <v>265</v>
      </c>
      <c r="C265" s="46">
        <v>7697</v>
      </c>
      <c r="D265" s="46" t="s">
        <v>65</v>
      </c>
      <c r="E265" s="46" t="s">
        <v>220</v>
      </c>
      <c r="F265" s="46" t="s">
        <v>867</v>
      </c>
      <c r="G265" s="41" t="s">
        <v>877</v>
      </c>
      <c r="H265" s="41" t="s">
        <v>878</v>
      </c>
      <c r="I265" s="43">
        <v>12</v>
      </c>
      <c r="J265" s="44" t="str">
        <f>VLOOKUP(G265,[1]硬件清单!$F:$F,1,0)</f>
        <v>YD-SMC3000B2EE519F823</v>
      </c>
      <c r="K265" s="43"/>
      <c r="L265" s="44"/>
      <c r="M265" s="45" t="s">
        <v>879</v>
      </c>
    </row>
    <row r="266" ht="30" customHeight="1" spans="1:13">
      <c r="A266" s="41">
        <f>IF(C266="","",SUBTOTAL(103,$C$2:C266))</f>
        <v>257</v>
      </c>
      <c r="B266" s="41">
        <v>266</v>
      </c>
      <c r="C266" s="41">
        <v>7314</v>
      </c>
      <c r="D266" s="41" t="s">
        <v>19</v>
      </c>
      <c r="E266" s="41" t="s">
        <v>113</v>
      </c>
      <c r="F266" s="41" t="s">
        <v>880</v>
      </c>
      <c r="G266" s="41" t="s">
        <v>881</v>
      </c>
      <c r="H266" s="41" t="s">
        <v>882</v>
      </c>
      <c r="I266" s="43">
        <v>12</v>
      </c>
      <c r="J266" s="44" t="str">
        <f>VLOOKUP(G266,[1]硬件清单!$F:$F,1,0)</f>
        <v>FAX1751QIKT</v>
      </c>
      <c r="K266" s="44"/>
      <c r="L266" s="44" t="s">
        <v>17</v>
      </c>
      <c r="M266" s="45" t="s">
        <v>883</v>
      </c>
    </row>
    <row r="267" ht="30" customHeight="1" spans="1:13">
      <c r="A267" s="41">
        <f>IF(C267="","",SUBTOTAL(103,$C$2:C267))</f>
        <v>258</v>
      </c>
      <c r="B267" s="41">
        <v>267</v>
      </c>
      <c r="C267" s="46">
        <v>17284</v>
      </c>
      <c r="D267" s="46" t="s">
        <v>19</v>
      </c>
      <c r="E267" s="46" t="s">
        <v>20</v>
      </c>
      <c r="F267" s="46" t="s">
        <v>199</v>
      </c>
      <c r="G267" s="41" t="s">
        <v>884</v>
      </c>
      <c r="H267" s="41" t="s">
        <v>885</v>
      </c>
      <c r="I267" s="43">
        <v>12</v>
      </c>
      <c r="J267" s="44" t="str">
        <f>VLOOKUP(G267,[1]硬件清单!$F:$F,1,0)</f>
        <v>210235A0E6X11A000023</v>
      </c>
      <c r="K267" s="44"/>
      <c r="L267" s="44" t="s">
        <v>17</v>
      </c>
      <c r="M267" s="45" t="s">
        <v>886</v>
      </c>
    </row>
    <row r="268" ht="30" customHeight="1" spans="1:13">
      <c r="A268" s="41">
        <f>IF(C268="","",SUBTOTAL(103,$C$2:C268))</f>
        <v>259</v>
      </c>
      <c r="B268" s="41">
        <v>268</v>
      </c>
      <c r="C268" s="41">
        <v>7991</v>
      </c>
      <c r="D268" s="41" t="s">
        <v>887</v>
      </c>
      <c r="E268" s="41" t="s">
        <v>888</v>
      </c>
      <c r="F268" s="41" t="s">
        <v>199</v>
      </c>
      <c r="G268" s="41" t="s">
        <v>889</v>
      </c>
      <c r="H268" s="41" t="s">
        <v>890</v>
      </c>
      <c r="I268" s="43">
        <v>12</v>
      </c>
      <c r="J268" s="44" t="str">
        <f>VLOOKUP(G268,[1]硬件清单!$F:$F,1,0)</f>
        <v>210231A0QBH148000002</v>
      </c>
      <c r="K268" s="44"/>
      <c r="L268" s="44" t="s">
        <v>17</v>
      </c>
      <c r="M268" s="45" t="s">
        <v>891</v>
      </c>
    </row>
    <row r="269" ht="30" customHeight="1" spans="1:13">
      <c r="A269" s="41">
        <f>IF(C269="","",SUBTOTAL(103,$C$2:C269))</f>
        <v>260</v>
      </c>
      <c r="B269" s="41">
        <v>269</v>
      </c>
      <c r="C269" s="41">
        <v>7315</v>
      </c>
      <c r="D269" s="41" t="s">
        <v>19</v>
      </c>
      <c r="E269" s="41" t="s">
        <v>113</v>
      </c>
      <c r="F269" s="41" t="s">
        <v>880</v>
      </c>
      <c r="G269" s="41" t="s">
        <v>892</v>
      </c>
      <c r="H269" s="41" t="s">
        <v>893</v>
      </c>
      <c r="I269" s="43">
        <v>12</v>
      </c>
      <c r="J269" s="44" t="str">
        <f>VLOOKUP(G269,[1]硬件清单!$F:$F,1,0)</f>
        <v>FAX1745QDHY</v>
      </c>
      <c r="K269" s="44"/>
      <c r="L269" s="44" t="s">
        <v>17</v>
      </c>
      <c r="M269" s="45" t="s">
        <v>894</v>
      </c>
    </row>
    <row r="270" ht="30" customHeight="1" spans="1:13">
      <c r="A270" s="41">
        <f>IF(C270="","",SUBTOTAL(103,$C$2:C270))</f>
        <v>261</v>
      </c>
      <c r="B270" s="41">
        <v>270</v>
      </c>
      <c r="C270" s="46">
        <v>17285</v>
      </c>
      <c r="D270" s="46" t="s">
        <v>19</v>
      </c>
      <c r="E270" s="46" t="s">
        <v>20</v>
      </c>
      <c r="F270" s="46" t="s">
        <v>199</v>
      </c>
      <c r="G270" s="41" t="s">
        <v>895</v>
      </c>
      <c r="H270" s="41" t="s">
        <v>896</v>
      </c>
      <c r="I270" s="43">
        <v>12</v>
      </c>
      <c r="J270" s="44" t="str">
        <f>VLOOKUP(G270,[1]硬件清单!$F:$F,1,0)</f>
        <v>210235A0E6X11A000037</v>
      </c>
      <c r="K270" s="44"/>
      <c r="L270" s="44" t="s">
        <v>17</v>
      </c>
      <c r="M270" s="45" t="s">
        <v>897</v>
      </c>
    </row>
    <row r="271" ht="30" customHeight="1" spans="1:13">
      <c r="A271" s="41">
        <f>IF(C271="","",SUBTOTAL(103,$C$2:C271))</f>
        <v>262</v>
      </c>
      <c r="B271" s="41">
        <v>271</v>
      </c>
      <c r="C271" s="41">
        <v>7992</v>
      </c>
      <c r="D271" s="41" t="s">
        <v>887</v>
      </c>
      <c r="E271" s="41" t="s">
        <v>888</v>
      </c>
      <c r="F271" s="41" t="s">
        <v>199</v>
      </c>
      <c r="G271" s="41" t="s">
        <v>898</v>
      </c>
      <c r="H271" s="41" t="s">
        <v>899</v>
      </c>
      <c r="I271" s="43">
        <v>12</v>
      </c>
      <c r="J271" s="44" t="str">
        <f>VLOOKUP(G271,[1]硬件清单!$F:$F,1,0)</f>
        <v>210231A0QBH148000019</v>
      </c>
      <c r="K271" s="44"/>
      <c r="L271" s="44" t="s">
        <v>17</v>
      </c>
      <c r="M271" s="45" t="s">
        <v>900</v>
      </c>
    </row>
    <row r="272" ht="30" customHeight="1" spans="1:13">
      <c r="A272" s="41">
        <f>IF(C272="","",SUBTOTAL(103,$C$2:C272))</f>
        <v>263</v>
      </c>
      <c r="B272" s="41">
        <v>272</v>
      </c>
      <c r="C272" s="46">
        <v>14200</v>
      </c>
      <c r="D272" s="46" t="s">
        <v>65</v>
      </c>
      <c r="E272" s="46" t="s">
        <v>901</v>
      </c>
      <c r="F272" s="46" t="s">
        <v>902</v>
      </c>
      <c r="G272" s="41" t="s">
        <v>903</v>
      </c>
      <c r="H272" s="41" t="s">
        <v>904</v>
      </c>
      <c r="I272" s="43">
        <v>12</v>
      </c>
      <c r="J272" s="44" t="str">
        <f>VLOOKUP(G272,[1]硬件清单!$F:$F,1,0)</f>
        <v>DZHZB0130251</v>
      </c>
      <c r="K272" s="43"/>
      <c r="L272" s="44"/>
      <c r="M272" s="45" t="s">
        <v>905</v>
      </c>
    </row>
    <row r="273" ht="30" customHeight="1" spans="1:13">
      <c r="A273" s="41">
        <f>IF(C273="","",SUBTOTAL(103,$C$2:C273))</f>
        <v>264</v>
      </c>
      <c r="B273" s="41">
        <v>273</v>
      </c>
      <c r="C273" s="46">
        <v>14201</v>
      </c>
      <c r="D273" s="46" t="s">
        <v>65</v>
      </c>
      <c r="E273" s="46" t="s">
        <v>901</v>
      </c>
      <c r="F273" s="46" t="s">
        <v>902</v>
      </c>
      <c r="G273" s="41" t="s">
        <v>906</v>
      </c>
      <c r="H273" s="41" t="s">
        <v>907</v>
      </c>
      <c r="I273" s="43">
        <v>12</v>
      </c>
      <c r="J273" s="44" t="str">
        <f>VLOOKUP(G273,[1]硬件清单!$F:$F,1,0)</f>
        <v>DZHZB0130255</v>
      </c>
      <c r="K273" s="43"/>
      <c r="L273" s="44"/>
      <c r="M273" s="45" t="s">
        <v>908</v>
      </c>
    </row>
    <row r="274" ht="30" customHeight="1" spans="1:13">
      <c r="A274" s="41">
        <f>IF(C274="","",SUBTOTAL(103,$C$2:C274))</f>
        <v>265</v>
      </c>
      <c r="B274" s="41">
        <v>274</v>
      </c>
      <c r="C274" s="46">
        <v>7703</v>
      </c>
      <c r="D274" s="46" t="s">
        <v>65</v>
      </c>
      <c r="E274" s="46" t="s">
        <v>220</v>
      </c>
      <c r="F274" s="46" t="s">
        <v>836</v>
      </c>
      <c r="G274" s="41" t="s">
        <v>909</v>
      </c>
      <c r="H274" s="41" t="s">
        <v>910</v>
      </c>
      <c r="I274" s="43">
        <v>12</v>
      </c>
      <c r="J274" s="44" t="str">
        <f>VLOOKUP(G274,[1]硬件清单!$F:$F,1,0)</f>
        <v>YD-SDA10T2EE519F821</v>
      </c>
      <c r="K274" s="43"/>
      <c r="L274" s="44"/>
      <c r="M274" s="45" t="s">
        <v>911</v>
      </c>
    </row>
    <row r="275" ht="30" customHeight="1" spans="1:13">
      <c r="A275" s="41">
        <f>IF(C275="","",SUBTOTAL(103,$C$2:C275))</f>
        <v>266</v>
      </c>
      <c r="B275" s="41">
        <v>275</v>
      </c>
      <c r="C275" s="46">
        <v>7704</v>
      </c>
      <c r="D275" s="46" t="s">
        <v>65</v>
      </c>
      <c r="E275" s="46" t="s">
        <v>220</v>
      </c>
      <c r="F275" s="49" t="s">
        <v>912</v>
      </c>
      <c r="G275" s="41" t="s">
        <v>913</v>
      </c>
      <c r="H275" s="41" t="s">
        <v>914</v>
      </c>
      <c r="I275" s="43">
        <v>12</v>
      </c>
      <c r="J275" s="44" t="str">
        <f>VLOOKUP(G275,[1]硬件清单!$F:$F,1,0)</f>
        <v>YD-SFSW4082EE519F821</v>
      </c>
      <c r="K275" s="43"/>
      <c r="L275" s="44"/>
      <c r="M275" s="45" t="s">
        <v>915</v>
      </c>
    </row>
    <row r="276" ht="30" customHeight="1" spans="1:13">
      <c r="A276" s="41">
        <f>IF(C276="","",SUBTOTAL(103,$C$2:C276))</f>
        <v>267</v>
      </c>
      <c r="B276" s="41">
        <v>276</v>
      </c>
      <c r="C276" s="46">
        <v>7705</v>
      </c>
      <c r="D276" s="46" t="s">
        <v>65</v>
      </c>
      <c r="E276" s="46" t="s">
        <v>220</v>
      </c>
      <c r="F276" s="46" t="s">
        <v>856</v>
      </c>
      <c r="G276" s="41" t="s">
        <v>916</v>
      </c>
      <c r="H276" s="41" t="s">
        <v>917</v>
      </c>
      <c r="I276" s="43">
        <v>12</v>
      </c>
      <c r="J276" s="44" t="str">
        <f>VLOOKUP(G276,[1]硬件清单!$F:$F,1,0)</f>
        <v>YD-SFSW4082EE519F822</v>
      </c>
      <c r="K276" s="43"/>
      <c r="L276" s="44"/>
      <c r="M276" s="45" t="s">
        <v>918</v>
      </c>
    </row>
    <row r="277" ht="30" customHeight="1" spans="1:13">
      <c r="A277" s="41">
        <f>IF(C277="","",SUBTOTAL(103,$C$2:C277))</f>
        <v>268</v>
      </c>
      <c r="B277" s="41">
        <v>277</v>
      </c>
      <c r="C277" s="46">
        <v>7736</v>
      </c>
      <c r="D277" s="46" t="s">
        <v>65</v>
      </c>
      <c r="E277" s="46" t="s">
        <v>220</v>
      </c>
      <c r="F277" s="46" t="s">
        <v>919</v>
      </c>
      <c r="G277" s="41" t="s">
        <v>920</v>
      </c>
      <c r="H277" s="41" t="s">
        <v>921</v>
      </c>
      <c r="I277" s="43">
        <v>12</v>
      </c>
      <c r="J277" s="44" t="str">
        <f>VLOOKUP(G277,[1]硬件清单!$F:$F,1,0)</f>
        <v>YD-SCP3000B2EE519F822</v>
      </c>
      <c r="K277" s="43"/>
      <c r="L277" s="44"/>
      <c r="M277" s="45" t="s">
        <v>922</v>
      </c>
    </row>
    <row r="278" ht="30" customHeight="1" spans="1:13">
      <c r="A278" s="41">
        <f>IF(C278="","",SUBTOTAL(103,$C$2:C278))</f>
        <v>269</v>
      </c>
      <c r="B278" s="41">
        <v>278</v>
      </c>
      <c r="C278" s="46">
        <v>7707</v>
      </c>
      <c r="D278" s="46" t="s">
        <v>65</v>
      </c>
      <c r="E278" s="46" t="s">
        <v>220</v>
      </c>
      <c r="F278" s="46" t="s">
        <v>923</v>
      </c>
      <c r="G278" s="41" t="s">
        <v>924</v>
      </c>
      <c r="H278" s="41" t="s">
        <v>925</v>
      </c>
      <c r="I278" s="43">
        <v>12</v>
      </c>
      <c r="J278" s="44" t="str">
        <f>VLOOKUP(G278,[1]硬件清单!$F:$F,1,0)</f>
        <v>YD-LVS3000B2EE519F821</v>
      </c>
      <c r="K278" s="43"/>
      <c r="L278" s="44"/>
      <c r="M278" s="45" t="s">
        <v>926</v>
      </c>
    </row>
    <row r="279" ht="30" customHeight="1" spans="1:13">
      <c r="A279" s="41">
        <f>IF(C279="","",SUBTOTAL(103,$C$2:C279))</f>
        <v>270</v>
      </c>
      <c r="B279" s="41">
        <v>279</v>
      </c>
      <c r="C279" s="46">
        <v>7695</v>
      </c>
      <c r="D279" s="46" t="s">
        <v>65</v>
      </c>
      <c r="E279" s="46" t="s">
        <v>220</v>
      </c>
      <c r="F279" s="46" t="s">
        <v>867</v>
      </c>
      <c r="G279" s="41" t="s">
        <v>927</v>
      </c>
      <c r="H279" s="41" t="s">
        <v>928</v>
      </c>
      <c r="I279" s="43">
        <v>12</v>
      </c>
      <c r="J279" s="44" t="str">
        <f>VLOOKUP(G279,[1]硬件清单!$F:$F,1,0)</f>
        <v>YD-SMC3000B2EE519F821</v>
      </c>
      <c r="K279" s="43"/>
      <c r="L279" s="44"/>
      <c r="M279" s="45" t="s">
        <v>929</v>
      </c>
    </row>
    <row r="280" ht="30" customHeight="1" spans="1:13">
      <c r="A280" s="41">
        <f>IF(C280="","",SUBTOTAL(103,$C$2:C280))</f>
        <v>271</v>
      </c>
      <c r="B280" s="41">
        <v>280</v>
      </c>
      <c r="C280" s="46">
        <v>7702</v>
      </c>
      <c r="D280" s="46" t="s">
        <v>65</v>
      </c>
      <c r="E280" s="46" t="s">
        <v>220</v>
      </c>
      <c r="F280" s="46" t="s">
        <v>930</v>
      </c>
      <c r="G280" s="41" t="s">
        <v>931</v>
      </c>
      <c r="H280" s="41" t="s">
        <v>932</v>
      </c>
      <c r="I280" s="43">
        <v>12</v>
      </c>
      <c r="J280" s="44" t="str">
        <f>VLOOKUP(G280,[1]硬件清单!$F:$F,1,0)</f>
        <v>YD-SDB3000B2EE519F822</v>
      </c>
      <c r="K280" s="43"/>
      <c r="L280" s="44"/>
      <c r="M280" s="45" t="s">
        <v>933</v>
      </c>
    </row>
    <row r="281" ht="30" customHeight="1" spans="1:13">
      <c r="A281" s="41">
        <f>IF(C281="","",SUBTOTAL(103,$C$2:C281))</f>
        <v>272</v>
      </c>
      <c r="B281" s="41">
        <v>281</v>
      </c>
      <c r="C281" s="46">
        <v>7713</v>
      </c>
      <c r="D281" s="46" t="s">
        <v>65</v>
      </c>
      <c r="E281" s="46" t="s">
        <v>220</v>
      </c>
      <c r="F281" s="46" t="s">
        <v>934</v>
      </c>
      <c r="G281" s="41" t="s">
        <v>935</v>
      </c>
      <c r="H281" s="41" t="s">
        <v>936</v>
      </c>
      <c r="I281" s="43">
        <v>12</v>
      </c>
      <c r="J281" s="44" t="str">
        <f>VLOOKUP(G281,[1]硬件清单!$F:$F,1,0)</f>
        <v>AFW20002EE519F825</v>
      </c>
      <c r="K281" s="43"/>
      <c r="L281" s="44"/>
      <c r="M281" s="45" t="s">
        <v>937</v>
      </c>
    </row>
    <row r="282" ht="30" customHeight="1" spans="1:13">
      <c r="A282" s="41">
        <f>IF(C282="","",SUBTOTAL(103,$C$2:C282))</f>
        <v>273</v>
      </c>
      <c r="B282" s="41">
        <v>282</v>
      </c>
      <c r="C282" s="46">
        <v>7711</v>
      </c>
      <c r="D282" s="46" t="s">
        <v>65</v>
      </c>
      <c r="E282" s="46" t="s">
        <v>220</v>
      </c>
      <c r="F282" s="46" t="s">
        <v>934</v>
      </c>
      <c r="G282" s="41" t="s">
        <v>938</v>
      </c>
      <c r="H282" s="41" t="s">
        <v>939</v>
      </c>
      <c r="I282" s="43">
        <v>12</v>
      </c>
      <c r="J282" s="44" t="str">
        <f>VLOOKUP(G282,[1]硬件清单!$F:$F,1,0)</f>
        <v>AFW20002EE519F823</v>
      </c>
      <c r="K282" s="43"/>
      <c r="L282" s="44"/>
      <c r="M282" s="45" t="s">
        <v>940</v>
      </c>
    </row>
    <row r="283" ht="30" customHeight="1" spans="1:13">
      <c r="A283" s="41">
        <f>IF(C283="","",SUBTOTAL(103,$C$2:C283))</f>
        <v>274</v>
      </c>
      <c r="B283" s="41">
        <v>283</v>
      </c>
      <c r="C283" s="46">
        <v>7709</v>
      </c>
      <c r="D283" s="46" t="s">
        <v>65</v>
      </c>
      <c r="E283" s="46" t="s">
        <v>220</v>
      </c>
      <c r="F283" s="46" t="s">
        <v>934</v>
      </c>
      <c r="G283" s="41" t="s">
        <v>941</v>
      </c>
      <c r="H283" s="41" t="s">
        <v>942</v>
      </c>
      <c r="I283" s="43">
        <v>12</v>
      </c>
      <c r="J283" s="44" t="str">
        <f>VLOOKUP(G283,[1]硬件清单!$F:$F,1,0)</f>
        <v>AFW20002EE519F821</v>
      </c>
      <c r="K283" s="43"/>
      <c r="L283" s="44"/>
      <c r="M283" s="45" t="s">
        <v>943</v>
      </c>
    </row>
    <row r="284" ht="30" customHeight="1" spans="1:13">
      <c r="A284" s="41">
        <f>IF(C284="","",SUBTOTAL(103,$C$2:C284))</f>
        <v>275</v>
      </c>
      <c r="B284" s="41">
        <v>284</v>
      </c>
      <c r="C284" s="46">
        <v>7701</v>
      </c>
      <c r="D284" s="46" t="s">
        <v>65</v>
      </c>
      <c r="E284" s="46" t="s">
        <v>220</v>
      </c>
      <c r="F284" s="46" t="s">
        <v>930</v>
      </c>
      <c r="G284" s="41" t="s">
        <v>944</v>
      </c>
      <c r="H284" s="41" t="s">
        <v>945</v>
      </c>
      <c r="I284" s="43">
        <v>12</v>
      </c>
      <c r="J284" s="44" t="str">
        <f>VLOOKUP(G284,[1]硬件清单!$F:$F,1,0)</f>
        <v>YD-SDB3000B2EE519F821</v>
      </c>
      <c r="K284" s="43"/>
      <c r="L284" s="44"/>
      <c r="M284" s="45" t="s">
        <v>946</v>
      </c>
    </row>
    <row r="285" ht="30" customHeight="1" spans="1:13">
      <c r="A285" s="41">
        <f>IF(C285="","",SUBTOTAL(103,$C$2:C285))</f>
        <v>276</v>
      </c>
      <c r="B285" s="41">
        <v>285</v>
      </c>
      <c r="C285" s="41">
        <v>15584</v>
      </c>
      <c r="D285" s="41" t="s">
        <v>45</v>
      </c>
      <c r="E285" s="41" t="s">
        <v>246</v>
      </c>
      <c r="F285" s="41" t="s">
        <v>947</v>
      </c>
      <c r="G285" s="41" t="s">
        <v>948</v>
      </c>
      <c r="H285" s="41" t="s">
        <v>949</v>
      </c>
      <c r="I285" s="43">
        <v>12</v>
      </c>
      <c r="J285" s="44" t="str">
        <f>VLOOKUP(G285,[1]硬件清单!$F:$F,1,0)</f>
        <v>SGH51190NR、SGH51481BT</v>
      </c>
      <c r="K285" s="44" t="s">
        <v>250</v>
      </c>
      <c r="L285" s="44" t="s">
        <v>17</v>
      </c>
      <c r="M285" s="45" t="s">
        <v>950</v>
      </c>
    </row>
    <row r="286" ht="30" customHeight="1" spans="1:13">
      <c r="A286" s="41">
        <f>IF(C286="","",SUBTOTAL(103,$C$2:C286))</f>
        <v>277</v>
      </c>
      <c r="B286" s="41">
        <v>286</v>
      </c>
      <c r="C286" s="46">
        <v>15586</v>
      </c>
      <c r="D286" s="46" t="s">
        <v>45</v>
      </c>
      <c r="E286" s="46" t="s">
        <v>246</v>
      </c>
      <c r="F286" s="46" t="s">
        <v>951</v>
      </c>
      <c r="G286" s="42" t="s">
        <v>952</v>
      </c>
      <c r="H286" s="41" t="s">
        <v>953</v>
      </c>
      <c r="I286" s="43">
        <v>12</v>
      </c>
      <c r="J286" s="44" t="str">
        <f>VLOOKUP(G286,[1]硬件清单!$F:$F,1,0)</f>
        <v>扩容设备SGH51190NR</v>
      </c>
      <c r="K286" s="44" t="s">
        <v>250</v>
      </c>
      <c r="L286" s="44" t="s">
        <v>17</v>
      </c>
      <c r="M286" s="45" t="s">
        <v>954</v>
      </c>
    </row>
    <row r="287" ht="30" customHeight="1" spans="1:13">
      <c r="A287" s="41">
        <f>IF(C287="","",SUBTOTAL(103,$C$2:C287))</f>
        <v>278</v>
      </c>
      <c r="B287" s="41">
        <v>287</v>
      </c>
      <c r="C287" s="46">
        <v>15587</v>
      </c>
      <c r="D287" s="46" t="s">
        <v>45</v>
      </c>
      <c r="E287" s="46" t="s">
        <v>246</v>
      </c>
      <c r="F287" s="46" t="s">
        <v>951</v>
      </c>
      <c r="G287" s="42" t="s">
        <v>955</v>
      </c>
      <c r="H287" s="41" t="s">
        <v>956</v>
      </c>
      <c r="I287" s="43">
        <v>12</v>
      </c>
      <c r="J287" s="44" t="str">
        <f>VLOOKUP(G287,[1]硬件清单!$F:$F,1,0)</f>
        <v>扩容设备SGH51190PD</v>
      </c>
      <c r="K287" s="44" t="s">
        <v>250</v>
      </c>
      <c r="L287" s="44" t="s">
        <v>17</v>
      </c>
      <c r="M287" s="45" t="s">
        <v>954</v>
      </c>
    </row>
    <row r="288" ht="30" customHeight="1" spans="1:13">
      <c r="A288" s="41">
        <f>IF(C288="","",SUBTOTAL(103,$C$2:C288))</f>
        <v>279</v>
      </c>
      <c r="B288" s="41">
        <v>288</v>
      </c>
      <c r="C288" s="41">
        <v>15585</v>
      </c>
      <c r="D288" s="41" t="s">
        <v>45</v>
      </c>
      <c r="E288" s="41" t="s">
        <v>246</v>
      </c>
      <c r="F288" s="41" t="s">
        <v>947</v>
      </c>
      <c r="G288" s="41" t="s">
        <v>957</v>
      </c>
      <c r="H288" s="41" t="s">
        <v>958</v>
      </c>
      <c r="I288" s="43">
        <v>12</v>
      </c>
      <c r="J288" s="44" t="str">
        <f>VLOOKUP(G288,[1]硬件清单!$F:$F,1,0)</f>
        <v>SGH51190PD</v>
      </c>
      <c r="K288" s="44" t="s">
        <v>250</v>
      </c>
      <c r="L288" s="44" t="s">
        <v>17</v>
      </c>
      <c r="M288" s="45" t="s">
        <v>959</v>
      </c>
    </row>
    <row r="289" ht="30" customHeight="1" spans="1:13">
      <c r="A289" s="41">
        <f>IF(C289="","",SUBTOTAL(103,$C$2:C289))</f>
        <v>280</v>
      </c>
      <c r="B289" s="41">
        <v>289</v>
      </c>
      <c r="C289" s="46">
        <v>7731</v>
      </c>
      <c r="D289" s="46" t="s">
        <v>65</v>
      </c>
      <c r="E289" s="46" t="s">
        <v>220</v>
      </c>
      <c r="F289" s="46" t="s">
        <v>960</v>
      </c>
      <c r="G289" s="41" t="s">
        <v>961</v>
      </c>
      <c r="H289" s="41" t="s">
        <v>962</v>
      </c>
      <c r="I289" s="43">
        <v>12</v>
      </c>
      <c r="J289" s="44" t="str">
        <f>VLOOKUP(G289,[1]硬件清单!$F:$F,1,0)</f>
        <v>YD-NODE2000S2EE519F821</v>
      </c>
      <c r="K289" s="43"/>
      <c r="L289" s="44"/>
      <c r="M289" s="45" t="s">
        <v>963</v>
      </c>
    </row>
    <row r="290" ht="30" customHeight="1" spans="1:13">
      <c r="A290" s="41">
        <f>IF(C290="","",SUBTOTAL(103,$C$2:C290))</f>
        <v>281</v>
      </c>
      <c r="B290" s="41">
        <v>290</v>
      </c>
      <c r="C290" s="46">
        <v>7732</v>
      </c>
      <c r="D290" s="46" t="s">
        <v>65</v>
      </c>
      <c r="E290" s="46" t="s">
        <v>220</v>
      </c>
      <c r="F290" s="46" t="s">
        <v>960</v>
      </c>
      <c r="G290" s="41" t="s">
        <v>964</v>
      </c>
      <c r="H290" s="41" t="s">
        <v>965</v>
      </c>
      <c r="I290" s="43">
        <v>12</v>
      </c>
      <c r="J290" s="44" t="str">
        <f>VLOOKUP(G290,[1]硬件清单!$F:$F,1,0)</f>
        <v>YD-NODE2000S2EE519F822</v>
      </c>
      <c r="K290" s="43"/>
      <c r="L290" s="44"/>
      <c r="M290" s="45" t="s">
        <v>966</v>
      </c>
    </row>
    <row r="291" ht="30" customHeight="1" spans="1:13">
      <c r="A291" s="41">
        <f>IF(C291="","",SUBTOTAL(103,$C$2:C291))</f>
        <v>282</v>
      </c>
      <c r="B291" s="41">
        <v>291</v>
      </c>
      <c r="C291" s="46">
        <v>7708</v>
      </c>
      <c r="D291" s="46" t="s">
        <v>65</v>
      </c>
      <c r="E291" s="46" t="s">
        <v>220</v>
      </c>
      <c r="F291" s="46" t="s">
        <v>923</v>
      </c>
      <c r="G291" s="41" t="s">
        <v>967</v>
      </c>
      <c r="H291" s="41" t="s">
        <v>968</v>
      </c>
      <c r="I291" s="43">
        <v>12</v>
      </c>
      <c r="J291" s="44" t="str">
        <f>VLOOKUP(G291,[1]硬件清单!$F:$F,1,0)</f>
        <v>YD-LVS3000B2EE519F822</v>
      </c>
      <c r="K291" s="43"/>
      <c r="L291" s="44"/>
      <c r="M291" s="45" t="s">
        <v>969</v>
      </c>
    </row>
    <row r="292" ht="30" customHeight="1" spans="1:13">
      <c r="A292" s="41">
        <f>IF(C292="","",SUBTOTAL(103,$C$2:C292))</f>
        <v>283</v>
      </c>
      <c r="B292" s="41">
        <v>292</v>
      </c>
      <c r="C292" s="46">
        <v>7735</v>
      </c>
      <c r="D292" s="46" t="s">
        <v>65</v>
      </c>
      <c r="E292" s="46" t="s">
        <v>220</v>
      </c>
      <c r="F292" s="46" t="s">
        <v>919</v>
      </c>
      <c r="G292" s="41" t="s">
        <v>970</v>
      </c>
      <c r="H292" s="41" t="s">
        <v>971</v>
      </c>
      <c r="I292" s="43">
        <v>12</v>
      </c>
      <c r="J292" s="44" t="str">
        <f>VLOOKUP(G292,[1]硬件清单!$F:$F,1,0)</f>
        <v>YD-SCP3000B2EE519F821</v>
      </c>
      <c r="K292" s="43"/>
      <c r="L292" s="44"/>
      <c r="M292" s="45" t="s">
        <v>972</v>
      </c>
    </row>
    <row r="293" ht="30" customHeight="1" spans="1:13">
      <c r="A293" s="41">
        <f>IF(C293="","",SUBTOTAL(103,$C$2:C293))</f>
        <v>284</v>
      </c>
      <c r="B293" s="41">
        <v>293</v>
      </c>
      <c r="C293" s="46">
        <v>7696</v>
      </c>
      <c r="D293" s="46" t="s">
        <v>65</v>
      </c>
      <c r="E293" s="46" t="s">
        <v>220</v>
      </c>
      <c r="F293" s="46" t="s">
        <v>867</v>
      </c>
      <c r="G293" s="41" t="s">
        <v>973</v>
      </c>
      <c r="H293" s="41" t="s">
        <v>974</v>
      </c>
      <c r="I293" s="43">
        <v>12</v>
      </c>
      <c r="J293" s="44" t="str">
        <f>VLOOKUP(G293,[1]硬件清单!$F:$F,1,0)</f>
        <v>YD-SMC3000B2EE519F822</v>
      </c>
      <c r="K293" s="43"/>
      <c r="L293" s="44"/>
      <c r="M293" s="45" t="s">
        <v>975</v>
      </c>
    </row>
    <row r="294" ht="30" customHeight="1" spans="1:13">
      <c r="A294" s="41">
        <f>IF(C294="","",SUBTOTAL(103,$C$2:C294))</f>
        <v>285</v>
      </c>
      <c r="B294" s="41">
        <v>294</v>
      </c>
      <c r="C294" s="46">
        <v>7733</v>
      </c>
      <c r="D294" s="46" t="s">
        <v>65</v>
      </c>
      <c r="E294" s="46" t="s">
        <v>220</v>
      </c>
      <c r="F294" s="46" t="s">
        <v>976</v>
      </c>
      <c r="G294" s="41" t="s">
        <v>977</v>
      </c>
      <c r="H294" s="41" t="s">
        <v>978</v>
      </c>
      <c r="I294" s="43">
        <v>12</v>
      </c>
      <c r="J294" s="44" t="str">
        <f>VLOOKUP(G294,[1]硬件清单!$F:$F,1,0)</f>
        <v>YD-NET2000S2EE519F821</v>
      </c>
      <c r="K294" s="43"/>
      <c r="L294" s="44"/>
      <c r="M294" s="45" t="s">
        <v>979</v>
      </c>
    </row>
    <row r="295" ht="30" customHeight="1" spans="1:13">
      <c r="A295" s="41">
        <f>IF(C295="","",SUBTOTAL(103,$C$2:C295))</f>
        <v>286</v>
      </c>
      <c r="B295" s="41">
        <v>295</v>
      </c>
      <c r="C295" s="46">
        <v>7710</v>
      </c>
      <c r="D295" s="46" t="s">
        <v>65</v>
      </c>
      <c r="E295" s="46" t="s">
        <v>220</v>
      </c>
      <c r="F295" s="46" t="s">
        <v>934</v>
      </c>
      <c r="G295" s="41" t="s">
        <v>980</v>
      </c>
      <c r="H295" s="41" t="s">
        <v>981</v>
      </c>
      <c r="I295" s="43">
        <v>12</v>
      </c>
      <c r="J295" s="44" t="str">
        <f>VLOOKUP(G295,[1]硬件清单!$F:$F,1,0)</f>
        <v>AFW20002EE519F822</v>
      </c>
      <c r="K295" s="43"/>
      <c r="L295" s="44"/>
      <c r="M295" s="45" t="s">
        <v>982</v>
      </c>
    </row>
    <row r="296" ht="30" customHeight="1" spans="1:13">
      <c r="A296" s="41">
        <f>IF(C296="","",SUBTOTAL(103,$C$2:C296))</f>
        <v>287</v>
      </c>
      <c r="B296" s="41">
        <v>296</v>
      </c>
      <c r="C296" s="46">
        <v>7714</v>
      </c>
      <c r="D296" s="46" t="s">
        <v>65</v>
      </c>
      <c r="E296" s="46" t="s">
        <v>220</v>
      </c>
      <c r="F296" s="46" t="s">
        <v>934</v>
      </c>
      <c r="G296" s="41" t="s">
        <v>983</v>
      </c>
      <c r="H296" s="41" t="s">
        <v>984</v>
      </c>
      <c r="I296" s="43">
        <v>12</v>
      </c>
      <c r="J296" s="44" t="str">
        <f>VLOOKUP(G296,[1]硬件清单!$F:$F,1,0)</f>
        <v>AFW20002EE519F826</v>
      </c>
      <c r="K296" s="43"/>
      <c r="L296" s="44"/>
      <c r="M296" s="45" t="s">
        <v>985</v>
      </c>
    </row>
    <row r="297" ht="30" customHeight="1" spans="1:13">
      <c r="A297" s="41">
        <f>IF(C297="","",SUBTOTAL(103,$C$2:C297))</f>
        <v>288</v>
      </c>
      <c r="B297" s="41">
        <v>297</v>
      </c>
      <c r="C297" s="46">
        <v>7734</v>
      </c>
      <c r="D297" s="46" t="s">
        <v>65</v>
      </c>
      <c r="E297" s="46" t="s">
        <v>220</v>
      </c>
      <c r="F297" s="46" t="s">
        <v>986</v>
      </c>
      <c r="G297" s="41" t="s">
        <v>987</v>
      </c>
      <c r="H297" s="41" t="s">
        <v>988</v>
      </c>
      <c r="I297" s="43">
        <v>12</v>
      </c>
      <c r="J297" s="44" t="str">
        <f>VLOOKUP(G297,[1]硬件清单!$F:$F,1,0)</f>
        <v>YD-NSDS3000B2EE519F821</v>
      </c>
      <c r="K297" s="43"/>
      <c r="L297" s="44"/>
      <c r="M297" s="45" t="s">
        <v>989</v>
      </c>
    </row>
    <row r="298" ht="30" customHeight="1" spans="1:13">
      <c r="A298" s="41">
        <f>IF(C298="","",SUBTOTAL(103,$C$2:C298))</f>
        <v>289</v>
      </c>
      <c r="B298" s="41">
        <v>298</v>
      </c>
      <c r="C298" s="46">
        <v>7712</v>
      </c>
      <c r="D298" s="46" t="s">
        <v>65</v>
      </c>
      <c r="E298" s="46" t="s">
        <v>220</v>
      </c>
      <c r="F298" s="46" t="s">
        <v>934</v>
      </c>
      <c r="G298" s="41" t="s">
        <v>990</v>
      </c>
      <c r="H298" s="41" t="s">
        <v>991</v>
      </c>
      <c r="I298" s="43">
        <v>12</v>
      </c>
      <c r="J298" s="44" t="str">
        <f>VLOOKUP(G298,[1]硬件清单!$F:$F,1,0)</f>
        <v>AFW20002EE519F824</v>
      </c>
      <c r="K298" s="43"/>
      <c r="L298" s="44"/>
      <c r="M298" s="45" t="s">
        <v>992</v>
      </c>
    </row>
    <row r="299" ht="30" customHeight="1" spans="1:13">
      <c r="A299" s="41">
        <f>IF(C299="","",SUBTOTAL(103,$C$2:C299))</f>
        <v>290</v>
      </c>
      <c r="B299" s="41">
        <v>299</v>
      </c>
      <c r="C299" s="46">
        <v>7740</v>
      </c>
      <c r="D299" s="46" t="s">
        <v>65</v>
      </c>
      <c r="E299" s="46" t="s">
        <v>220</v>
      </c>
      <c r="F299" s="46" t="s">
        <v>993</v>
      </c>
      <c r="G299" s="41" t="s">
        <v>994</v>
      </c>
      <c r="H299" s="41" t="s">
        <v>995</v>
      </c>
      <c r="I299" s="43">
        <v>12</v>
      </c>
      <c r="J299" s="44" t="str">
        <f>VLOOKUP(G299,[1]硬件清单!$F:$F,1,0)</f>
        <v>SQY-082EE51B0991</v>
      </c>
      <c r="K299" s="43"/>
      <c r="L299" s="44"/>
      <c r="M299" s="45" t="s">
        <v>996</v>
      </c>
    </row>
    <row r="300" ht="30" customHeight="1" spans="1:13">
      <c r="A300" s="41">
        <f>IF(C300="","",SUBTOTAL(103,$C$2:C300))</f>
        <v>291</v>
      </c>
      <c r="B300" s="41">
        <v>300</v>
      </c>
      <c r="C300" s="46">
        <v>7741</v>
      </c>
      <c r="D300" s="46" t="s">
        <v>65</v>
      </c>
      <c r="E300" s="46" t="s">
        <v>220</v>
      </c>
      <c r="F300" s="46" t="s">
        <v>993</v>
      </c>
      <c r="G300" s="41" t="s">
        <v>997</v>
      </c>
      <c r="H300" s="41" t="s">
        <v>998</v>
      </c>
      <c r="I300" s="43">
        <v>12</v>
      </c>
      <c r="J300" s="44" t="str">
        <f>VLOOKUP(G300,[1]硬件清单!$F:$F,1,0)</f>
        <v>SQY-082EE51B0992</v>
      </c>
      <c r="K300" s="43"/>
      <c r="L300" s="44"/>
      <c r="M300" s="45" t="s">
        <v>999</v>
      </c>
    </row>
    <row r="301" ht="30" customHeight="1" spans="1:13">
      <c r="A301" s="41">
        <f>IF(C301="","",SUBTOTAL(103,$C$2:C301))</f>
        <v>292</v>
      </c>
      <c r="B301" s="41">
        <v>301</v>
      </c>
      <c r="C301" s="41">
        <v>7252</v>
      </c>
      <c r="D301" s="41" t="s">
        <v>161</v>
      </c>
      <c r="E301" s="41" t="s">
        <v>162</v>
      </c>
      <c r="F301" s="41" t="s">
        <v>286</v>
      </c>
      <c r="G301" s="41" t="s">
        <v>1000</v>
      </c>
      <c r="H301" s="41" t="s">
        <v>1001</v>
      </c>
      <c r="I301" s="43">
        <v>12</v>
      </c>
      <c r="J301" s="44" t="str">
        <f>VLOOKUP(G301,[1]硬件清单!$F:$F,1,0)</f>
        <v>67041</v>
      </c>
      <c r="K301" s="43"/>
      <c r="L301" s="44"/>
      <c r="M301" s="45" t="s">
        <v>1002</v>
      </c>
    </row>
    <row r="302" ht="30" customHeight="1" spans="1:13">
      <c r="A302" s="41">
        <f>IF(C302="","",SUBTOTAL(103,$C$2:C302))</f>
        <v>293</v>
      </c>
      <c r="B302" s="41">
        <v>302</v>
      </c>
      <c r="C302" s="41">
        <v>7253</v>
      </c>
      <c r="D302" s="41" t="s">
        <v>161</v>
      </c>
      <c r="E302" s="41" t="s">
        <v>162</v>
      </c>
      <c r="F302" s="41" t="s">
        <v>286</v>
      </c>
      <c r="G302" s="41" t="s">
        <v>1003</v>
      </c>
      <c r="H302" s="41" t="s">
        <v>1004</v>
      </c>
      <c r="I302" s="43">
        <v>12</v>
      </c>
      <c r="J302" s="44" t="str">
        <f>VLOOKUP(G302,[1]硬件清单!$F:$F,1,0)</f>
        <v>67073</v>
      </c>
      <c r="K302" s="43"/>
      <c r="L302" s="44"/>
      <c r="M302" s="45" t="s">
        <v>1005</v>
      </c>
    </row>
    <row r="303" ht="30" customHeight="1" spans="1:13">
      <c r="A303" s="41">
        <f>IF(C303="","",SUBTOTAL(103,$C$2:C303))</f>
        <v>294</v>
      </c>
      <c r="B303" s="41">
        <v>303</v>
      </c>
      <c r="C303" s="41">
        <v>17484</v>
      </c>
      <c r="D303" s="41" t="s">
        <v>19</v>
      </c>
      <c r="E303" s="41" t="s">
        <v>60</v>
      </c>
      <c r="F303" s="41" t="s">
        <v>1006</v>
      </c>
      <c r="G303" s="41" t="s">
        <v>1007</v>
      </c>
      <c r="H303" s="41" t="s">
        <v>1008</v>
      </c>
      <c r="I303" s="43">
        <v>12</v>
      </c>
      <c r="J303" s="44" t="str">
        <f>VLOOKUP(G303,[1]硬件清单!$F:$F,1,0)</f>
        <v>31101244</v>
      </c>
      <c r="K303" s="43"/>
      <c r="L303" s="44"/>
      <c r="M303" s="45" t="s">
        <v>1009</v>
      </c>
    </row>
    <row r="304" ht="30" customHeight="1" spans="1:13">
      <c r="A304" s="41">
        <f>IF(C304="","",SUBTOTAL(103,$C$2:C304))</f>
        <v>295</v>
      </c>
      <c r="B304" s="41">
        <v>304</v>
      </c>
      <c r="C304" s="41">
        <v>17485</v>
      </c>
      <c r="D304" s="41" t="s">
        <v>19</v>
      </c>
      <c r="E304" s="41" t="s">
        <v>60</v>
      </c>
      <c r="F304" s="41" t="s">
        <v>1006</v>
      </c>
      <c r="G304" s="41" t="s">
        <v>1010</v>
      </c>
      <c r="H304" s="41" t="s">
        <v>1011</v>
      </c>
      <c r="I304" s="43">
        <v>12</v>
      </c>
      <c r="J304" s="44" t="str">
        <f>VLOOKUP(G304,[1]硬件清单!$F:$F,1,0)</f>
        <v>31101196</v>
      </c>
      <c r="K304" s="43"/>
      <c r="L304" s="44"/>
      <c r="M304" s="45" t="s">
        <v>1012</v>
      </c>
    </row>
    <row r="305" ht="30" customHeight="1" spans="1:13">
      <c r="A305" s="41">
        <f>IF(C305="","",SUBTOTAL(103,$C$2:C305))</f>
        <v>296</v>
      </c>
      <c r="B305" s="41">
        <v>305</v>
      </c>
      <c r="C305" s="41">
        <v>7815</v>
      </c>
      <c r="D305" s="41" t="s">
        <v>65</v>
      </c>
      <c r="E305" s="41" t="s">
        <v>220</v>
      </c>
      <c r="F305" s="41" t="s">
        <v>1013</v>
      </c>
      <c r="G305" s="41" t="s">
        <v>1014</v>
      </c>
      <c r="H305" s="41" t="s">
        <v>1015</v>
      </c>
      <c r="I305" s="43">
        <v>12</v>
      </c>
      <c r="J305" s="44" t="str">
        <f>VLOOKUP(G305,[1]硬件清单!$F:$F,1,0)</f>
        <v>ASG10002ED8E3BFAA</v>
      </c>
      <c r="K305" s="43"/>
      <c r="L305" s="44"/>
      <c r="M305" s="45" t="s">
        <v>1016</v>
      </c>
    </row>
    <row r="306" ht="30" customHeight="1" spans="1:13">
      <c r="A306" s="41">
        <f>IF(C306="","",SUBTOTAL(103,$C$2:C306))</f>
        <v>297</v>
      </c>
      <c r="B306" s="41">
        <v>306</v>
      </c>
      <c r="C306" s="41">
        <v>7812</v>
      </c>
      <c r="D306" s="41" t="s">
        <v>65</v>
      </c>
      <c r="E306" s="41" t="s">
        <v>220</v>
      </c>
      <c r="F306" s="41" t="s">
        <v>1013</v>
      </c>
      <c r="G306" s="41" t="s">
        <v>1017</v>
      </c>
      <c r="H306" s="41" t="s">
        <v>1018</v>
      </c>
      <c r="I306" s="43">
        <v>12</v>
      </c>
      <c r="J306" s="44" t="str">
        <f>VLOOKUP(G306,[1]硬件清单!$F:$F,1,0)</f>
        <v>ASG10002ED4BD5931</v>
      </c>
      <c r="K306" s="43"/>
      <c r="L306" s="44"/>
      <c r="M306" s="45" t="s">
        <v>1019</v>
      </c>
    </row>
    <row r="307" ht="30" customHeight="1" spans="1:13">
      <c r="A307" s="41">
        <f>IF(C307="","",SUBTOTAL(103,$C$2:C307))</f>
        <v>298</v>
      </c>
      <c r="B307" s="41">
        <v>307</v>
      </c>
      <c r="C307" s="41">
        <v>7816</v>
      </c>
      <c r="D307" s="41" t="s">
        <v>65</v>
      </c>
      <c r="E307" s="41" t="s">
        <v>220</v>
      </c>
      <c r="F307" s="41" t="s">
        <v>1013</v>
      </c>
      <c r="G307" s="41" t="s">
        <v>1020</v>
      </c>
      <c r="H307" s="41" t="s">
        <v>1021</v>
      </c>
      <c r="I307" s="43">
        <v>12</v>
      </c>
      <c r="J307" s="44" t="str">
        <f>VLOOKUP(G307,[1]硬件清单!$F:$F,1,0)</f>
        <v>ASG10002ED8E3BFA2</v>
      </c>
      <c r="K307" s="43"/>
      <c r="L307" s="44"/>
      <c r="M307" s="45" t="s">
        <v>1022</v>
      </c>
    </row>
    <row r="308" ht="30" customHeight="1" spans="1:13">
      <c r="A308" s="41">
        <f>IF(C308="","",SUBTOTAL(103,$C$2:C308))</f>
        <v>299</v>
      </c>
      <c r="B308" s="41">
        <v>308</v>
      </c>
      <c r="C308" s="41">
        <v>7830</v>
      </c>
      <c r="D308" s="41" t="s">
        <v>65</v>
      </c>
      <c r="E308" s="41" t="s">
        <v>220</v>
      </c>
      <c r="F308" s="41" t="s">
        <v>1023</v>
      </c>
      <c r="G308" s="41" t="s">
        <v>1024</v>
      </c>
      <c r="H308" s="41" t="s">
        <v>1025</v>
      </c>
      <c r="I308" s="43">
        <v>12</v>
      </c>
      <c r="J308" s="44" t="str">
        <f>VLOOKUP(G308,[1]硬件清单!$F:$F,1,0)</f>
        <v>LVS2000E2ED328EBD6</v>
      </c>
      <c r="K308" s="43"/>
      <c r="L308" s="44"/>
      <c r="M308" s="45" t="s">
        <v>1026</v>
      </c>
    </row>
    <row r="309" ht="30" customHeight="1" spans="1:13">
      <c r="A309" s="41">
        <f>IF(C309="","",SUBTOTAL(103,$C$2:C309))</f>
        <v>300</v>
      </c>
      <c r="B309" s="41">
        <v>309</v>
      </c>
      <c r="C309" s="41">
        <v>7794</v>
      </c>
      <c r="D309" s="41" t="s">
        <v>65</v>
      </c>
      <c r="E309" s="41" t="s">
        <v>220</v>
      </c>
      <c r="F309" s="41" t="s">
        <v>1027</v>
      </c>
      <c r="G309" s="41" t="s">
        <v>1028</v>
      </c>
      <c r="H309" s="41" t="s">
        <v>1029</v>
      </c>
      <c r="I309" s="43">
        <v>12</v>
      </c>
      <c r="J309" s="44" t="str">
        <f>VLOOKUP(G309,[1]硬件清单!$F:$F,1,0)</f>
        <v>06DTRK1</v>
      </c>
      <c r="K309" s="43"/>
      <c r="L309" s="44"/>
      <c r="M309" s="45" t="s">
        <v>1030</v>
      </c>
    </row>
    <row r="310" ht="30" customHeight="1" spans="1:13">
      <c r="A310" s="41">
        <f>IF(C310="","",SUBTOTAL(103,$C$2:C310))</f>
        <v>301</v>
      </c>
      <c r="B310" s="41">
        <v>310</v>
      </c>
      <c r="C310" s="41">
        <v>7796</v>
      </c>
      <c r="D310" s="41" t="s">
        <v>65</v>
      </c>
      <c r="E310" s="41" t="s">
        <v>220</v>
      </c>
      <c r="F310" s="41" t="s">
        <v>1027</v>
      </c>
      <c r="G310" s="41" t="s">
        <v>1031</v>
      </c>
      <c r="H310" s="41" t="s">
        <v>1032</v>
      </c>
      <c r="I310" s="43">
        <v>12</v>
      </c>
      <c r="J310" s="44" t="str">
        <f>VLOOKUP(G310,[1]硬件清单!$F:$F,1,0)</f>
        <v>06DTRN7</v>
      </c>
      <c r="K310" s="43"/>
      <c r="L310" s="44"/>
      <c r="M310" s="45" t="s">
        <v>1033</v>
      </c>
    </row>
    <row r="311" ht="30" customHeight="1" spans="1:13">
      <c r="A311" s="41">
        <f>IF(C311="","",SUBTOTAL(103,$C$2:C311))</f>
        <v>302</v>
      </c>
      <c r="B311" s="41">
        <v>311</v>
      </c>
      <c r="C311" s="41">
        <v>7795</v>
      </c>
      <c r="D311" s="41" t="s">
        <v>65</v>
      </c>
      <c r="E311" s="41" t="s">
        <v>220</v>
      </c>
      <c r="F311" s="41" t="s">
        <v>1027</v>
      </c>
      <c r="G311" s="41" t="s">
        <v>1034</v>
      </c>
      <c r="H311" s="41" t="s">
        <v>1035</v>
      </c>
      <c r="I311" s="43">
        <v>12</v>
      </c>
      <c r="J311" s="44" t="str">
        <f>VLOOKUP(G311,[1]硬件清单!$F:$F,1,0)</f>
        <v>06DPPX1</v>
      </c>
      <c r="K311" s="43"/>
      <c r="L311" s="44"/>
      <c r="M311" s="45" t="s">
        <v>1036</v>
      </c>
    </row>
    <row r="312" ht="30" customHeight="1" spans="1:13">
      <c r="A312" s="41">
        <f>IF(C312="","",SUBTOTAL(103,$C$2:C312))</f>
        <v>303</v>
      </c>
      <c r="B312" s="41">
        <v>312</v>
      </c>
      <c r="C312" s="41">
        <v>7797</v>
      </c>
      <c r="D312" s="41" t="s">
        <v>65</v>
      </c>
      <c r="E312" s="41" t="s">
        <v>220</v>
      </c>
      <c r="F312" s="41" t="s">
        <v>1027</v>
      </c>
      <c r="G312" s="41" t="s">
        <v>1037</v>
      </c>
      <c r="H312" s="41" t="s">
        <v>1038</v>
      </c>
      <c r="I312" s="43">
        <v>12</v>
      </c>
      <c r="J312" s="44" t="str">
        <f>VLOOKUP(G312,[1]硬件清单!$F:$F,1,0)</f>
        <v>06DPPT4</v>
      </c>
      <c r="K312" s="43"/>
      <c r="L312" s="44"/>
      <c r="M312" s="45" t="s">
        <v>1039</v>
      </c>
    </row>
    <row r="313" ht="30" customHeight="1" spans="1:13">
      <c r="A313" s="41">
        <f>IF(C313="","",SUBTOTAL(103,$C$2:C313))</f>
        <v>304</v>
      </c>
      <c r="B313" s="41">
        <v>313</v>
      </c>
      <c r="C313" s="41">
        <v>7810</v>
      </c>
      <c r="D313" s="41" t="s">
        <v>65</v>
      </c>
      <c r="E313" s="41" t="s">
        <v>220</v>
      </c>
      <c r="F313" s="41" t="s">
        <v>1040</v>
      </c>
      <c r="G313" s="41" t="s">
        <v>1041</v>
      </c>
      <c r="H313" s="41" t="s">
        <v>1042</v>
      </c>
      <c r="I313" s="43">
        <v>12</v>
      </c>
      <c r="J313" s="44" t="str">
        <f>VLOOKUP(G313,[1]硬件清单!$F:$F,1,0)</f>
        <v>06DKNA9</v>
      </c>
      <c r="K313" s="43"/>
      <c r="L313" s="44"/>
      <c r="M313" s="45" t="s">
        <v>1043</v>
      </c>
    </row>
    <row r="314" ht="30" customHeight="1" spans="1:13">
      <c r="A314" s="41">
        <f>IF(C314="","",SUBTOTAL(103,$C$2:C314))</f>
        <v>305</v>
      </c>
      <c r="B314" s="41">
        <v>314</v>
      </c>
      <c r="C314" s="41">
        <v>7813</v>
      </c>
      <c r="D314" s="41" t="s">
        <v>65</v>
      </c>
      <c r="E314" s="41" t="s">
        <v>220</v>
      </c>
      <c r="F314" s="41" t="s">
        <v>1013</v>
      </c>
      <c r="G314" s="41" t="s">
        <v>1044</v>
      </c>
      <c r="H314" s="41" t="s">
        <v>1045</v>
      </c>
      <c r="I314" s="43">
        <v>12</v>
      </c>
      <c r="J314" s="44" t="str">
        <f>VLOOKUP(G314,[1]硬件清单!$F:$F,1,0)</f>
        <v>ASG10002ED8D2337A</v>
      </c>
      <c r="K314" s="43"/>
      <c r="L314" s="44"/>
      <c r="M314" s="45" t="s">
        <v>1016</v>
      </c>
    </row>
    <row r="315" ht="30" customHeight="1" spans="1:13">
      <c r="A315" s="41">
        <f>IF(C315="","",SUBTOTAL(103,$C$2:C315))</f>
        <v>306</v>
      </c>
      <c r="B315" s="41">
        <v>315</v>
      </c>
      <c r="C315" s="41">
        <v>7814</v>
      </c>
      <c r="D315" s="41" t="s">
        <v>65</v>
      </c>
      <c r="E315" s="41" t="s">
        <v>220</v>
      </c>
      <c r="F315" s="41" t="s">
        <v>1013</v>
      </c>
      <c r="G315" s="41" t="s">
        <v>1046</v>
      </c>
      <c r="H315" s="41" t="s">
        <v>1047</v>
      </c>
      <c r="I315" s="43">
        <v>12</v>
      </c>
      <c r="J315" s="44" t="str">
        <f>VLOOKUP(G315,[1]硬件清单!$F:$F,1,0)</f>
        <v>ASG10002ED8D2337C</v>
      </c>
      <c r="K315" s="43"/>
      <c r="L315" s="44"/>
      <c r="M315" s="45" t="s">
        <v>1048</v>
      </c>
    </row>
    <row r="316" ht="30" customHeight="1" spans="1:13">
      <c r="A316" s="41">
        <f>IF(C316="","",SUBTOTAL(103,$C$2:C316))</f>
        <v>307</v>
      </c>
      <c r="B316" s="41">
        <v>316</v>
      </c>
      <c r="C316" s="41">
        <v>7820</v>
      </c>
      <c r="D316" s="41" t="s">
        <v>65</v>
      </c>
      <c r="E316" s="41" t="s">
        <v>220</v>
      </c>
      <c r="F316" s="41" t="s">
        <v>1013</v>
      </c>
      <c r="G316" s="41" t="s">
        <v>1049</v>
      </c>
      <c r="H316" s="41" t="s">
        <v>1050</v>
      </c>
      <c r="I316" s="43">
        <v>12</v>
      </c>
      <c r="J316" s="44" t="str">
        <f>VLOOKUP(G316,[1]硬件清单!$F:$F,1,0)</f>
        <v>ASG1000-12EF691DCD2</v>
      </c>
      <c r="K316" s="43"/>
      <c r="L316" s="44"/>
      <c r="M316" s="45" t="s">
        <v>1051</v>
      </c>
    </row>
    <row r="317" ht="30" customHeight="1" spans="1:13">
      <c r="A317" s="41">
        <f>IF(C317="","",SUBTOTAL(103,$C$2:C317))</f>
        <v>308</v>
      </c>
      <c r="B317" s="41">
        <v>317</v>
      </c>
      <c r="C317" s="41">
        <v>7817</v>
      </c>
      <c r="D317" s="41" t="s">
        <v>65</v>
      </c>
      <c r="E317" s="41" t="s">
        <v>220</v>
      </c>
      <c r="F317" s="41" t="s">
        <v>1013</v>
      </c>
      <c r="G317" s="41" t="s">
        <v>1052</v>
      </c>
      <c r="H317" s="41" t="s">
        <v>1053</v>
      </c>
      <c r="I317" s="43">
        <v>12</v>
      </c>
      <c r="J317" s="44" t="str">
        <f>VLOOKUP(G317,[1]硬件清单!$F:$F,1,0)</f>
        <v>ASG10002ED8D23375</v>
      </c>
      <c r="K317" s="43"/>
      <c r="L317" s="44"/>
      <c r="M317" s="45" t="s">
        <v>1054</v>
      </c>
    </row>
    <row r="318" ht="30" customHeight="1" spans="1:13">
      <c r="A318" s="41">
        <f>IF(C318="","",SUBTOTAL(103,$C$2:C318))</f>
        <v>309</v>
      </c>
      <c r="B318" s="41">
        <v>318</v>
      </c>
      <c r="C318" s="41">
        <v>7834</v>
      </c>
      <c r="D318" s="41" t="s">
        <v>65</v>
      </c>
      <c r="E318" s="41" t="s">
        <v>220</v>
      </c>
      <c r="F318" s="41" t="s">
        <v>1055</v>
      </c>
      <c r="G318" s="41" t="s">
        <v>1056</v>
      </c>
      <c r="H318" s="41" t="s">
        <v>1057</v>
      </c>
      <c r="I318" s="43">
        <v>12</v>
      </c>
      <c r="J318" s="44" t="str">
        <f>VLOOKUP(G318,[1]硬件清单!$F:$F,1,0)</f>
        <v>J32MC9Z</v>
      </c>
      <c r="K318" s="43"/>
      <c r="L318" s="44"/>
      <c r="M318" s="45" t="s">
        <v>1058</v>
      </c>
    </row>
    <row r="319" ht="30" customHeight="1" spans="1:13">
      <c r="A319" s="41">
        <f>IF(C319="","",SUBTOTAL(103,$C$2:C319))</f>
        <v>310</v>
      </c>
      <c r="B319" s="41">
        <v>319</v>
      </c>
      <c r="C319" s="41">
        <v>7831</v>
      </c>
      <c r="D319" s="41" t="s">
        <v>65</v>
      </c>
      <c r="E319" s="41" t="s">
        <v>220</v>
      </c>
      <c r="F319" s="41" t="s">
        <v>1023</v>
      </c>
      <c r="G319" s="41" t="s">
        <v>1059</v>
      </c>
      <c r="H319" s="41" t="s">
        <v>1060</v>
      </c>
      <c r="I319" s="43">
        <v>12</v>
      </c>
      <c r="J319" s="44" t="str">
        <f>VLOOKUP(G319,[1]硬件清单!$F:$F,1,0)</f>
        <v>LVS2000E2ED31ABB01</v>
      </c>
      <c r="K319" s="43"/>
      <c r="L319" s="44"/>
      <c r="M319" s="45" t="s">
        <v>1061</v>
      </c>
    </row>
    <row r="320" ht="30" customHeight="1" spans="1:13">
      <c r="A320" s="41">
        <f>IF(C320="","",SUBTOTAL(103,$C$2:C320))</f>
        <v>311</v>
      </c>
      <c r="B320" s="41">
        <v>320</v>
      </c>
      <c r="C320" s="41">
        <v>7798</v>
      </c>
      <c r="D320" s="41" t="s">
        <v>65</v>
      </c>
      <c r="E320" s="41" t="s">
        <v>220</v>
      </c>
      <c r="F320" s="41" t="s">
        <v>1027</v>
      </c>
      <c r="G320" s="41" t="s">
        <v>1062</v>
      </c>
      <c r="H320" s="41" t="s">
        <v>1063</v>
      </c>
      <c r="I320" s="43">
        <v>12</v>
      </c>
      <c r="J320" s="44" t="str">
        <f>VLOOKUP(G320,[1]硬件清单!$F:$F,1,0)</f>
        <v>06DTRM5</v>
      </c>
      <c r="K320" s="43"/>
      <c r="L320" s="44"/>
      <c r="M320" s="45" t="s">
        <v>1064</v>
      </c>
    </row>
    <row r="321" ht="30" customHeight="1" spans="1:13">
      <c r="A321" s="41">
        <f>IF(C321="","",SUBTOTAL(103,$C$2:C321))</f>
        <v>312</v>
      </c>
      <c r="B321" s="41">
        <v>321</v>
      </c>
      <c r="C321" s="41">
        <v>7799</v>
      </c>
      <c r="D321" s="41" t="s">
        <v>65</v>
      </c>
      <c r="E321" s="41" t="s">
        <v>220</v>
      </c>
      <c r="F321" s="41" t="s">
        <v>1027</v>
      </c>
      <c r="G321" s="41" t="s">
        <v>1065</v>
      </c>
      <c r="H321" s="41" t="s">
        <v>1066</v>
      </c>
      <c r="I321" s="43">
        <v>12</v>
      </c>
      <c r="J321" s="44" t="str">
        <f>VLOOKUP(G321,[1]硬件清单!$F:$F,1,0)</f>
        <v>06DKNC8</v>
      </c>
      <c r="K321" s="43"/>
      <c r="L321" s="44"/>
      <c r="M321" s="45" t="s">
        <v>1067</v>
      </c>
    </row>
    <row r="322" ht="30" customHeight="1" spans="1:13">
      <c r="A322" s="41">
        <f>IF(C322="","",SUBTOTAL(103,$C$2:C322))</f>
        <v>313</v>
      </c>
      <c r="B322" s="41">
        <v>322</v>
      </c>
      <c r="C322" s="41">
        <v>7800</v>
      </c>
      <c r="D322" s="41" t="s">
        <v>65</v>
      </c>
      <c r="E322" s="41" t="s">
        <v>220</v>
      </c>
      <c r="F322" s="41" t="s">
        <v>1027</v>
      </c>
      <c r="G322" s="41" t="s">
        <v>1068</v>
      </c>
      <c r="H322" s="41" t="s">
        <v>1069</v>
      </c>
      <c r="I322" s="43">
        <v>12</v>
      </c>
      <c r="J322" s="44" t="str">
        <f>VLOOKUP(G322,[1]硬件清单!$F:$F,1,0)</f>
        <v>06DPPT9</v>
      </c>
      <c r="K322" s="43"/>
      <c r="L322" s="44"/>
      <c r="M322" s="45" t="s">
        <v>1070</v>
      </c>
    </row>
    <row r="323" ht="30" customHeight="1" spans="1:13">
      <c r="A323" s="41">
        <f>IF(C323="","",SUBTOTAL(103,$C$2:C323))</f>
        <v>314</v>
      </c>
      <c r="B323" s="41">
        <v>323</v>
      </c>
      <c r="C323" s="41">
        <v>7801</v>
      </c>
      <c r="D323" s="41" t="s">
        <v>65</v>
      </c>
      <c r="E323" s="41" t="s">
        <v>220</v>
      </c>
      <c r="F323" s="41" t="s">
        <v>1027</v>
      </c>
      <c r="G323" s="41" t="s">
        <v>1071</v>
      </c>
      <c r="H323" s="41" t="s">
        <v>1072</v>
      </c>
      <c r="I323" s="43">
        <v>12</v>
      </c>
      <c r="J323" s="44" t="str">
        <f>VLOOKUP(G323,[1]硬件清单!$F:$F,1,0)</f>
        <v>06DTRN5</v>
      </c>
      <c r="K323" s="43"/>
      <c r="L323" s="44"/>
      <c r="M323" s="45" t="s">
        <v>1073</v>
      </c>
    </row>
    <row r="324" ht="30" customHeight="1" spans="1:13">
      <c r="A324" s="41">
        <f>IF(C324="","",SUBTOTAL(103,$C$2:C324))</f>
        <v>315</v>
      </c>
      <c r="B324" s="41">
        <v>324</v>
      </c>
      <c r="C324" s="41">
        <v>7818</v>
      </c>
      <c r="D324" s="41" t="s">
        <v>65</v>
      </c>
      <c r="E324" s="41" t="s">
        <v>220</v>
      </c>
      <c r="F324" s="41" t="s">
        <v>1013</v>
      </c>
      <c r="G324" s="41" t="s">
        <v>1074</v>
      </c>
      <c r="H324" s="41" t="s">
        <v>1075</v>
      </c>
      <c r="I324" s="43">
        <v>12</v>
      </c>
      <c r="J324" s="44" t="str">
        <f>VLOOKUP(G324,[1]硬件清单!$F:$F,1,0)</f>
        <v>ASG10002ED8D2337D</v>
      </c>
      <c r="K324" s="43"/>
      <c r="L324" s="44"/>
      <c r="M324" s="45" t="s">
        <v>1076</v>
      </c>
    </row>
    <row r="325" ht="30" customHeight="1" spans="1:13">
      <c r="A325" s="41">
        <f>IF(C325="","",SUBTOTAL(103,$C$2:C325))</f>
        <v>316</v>
      </c>
      <c r="B325" s="41">
        <v>325</v>
      </c>
      <c r="C325" s="41">
        <v>7819</v>
      </c>
      <c r="D325" s="41" t="s">
        <v>65</v>
      </c>
      <c r="E325" s="41" t="s">
        <v>220</v>
      </c>
      <c r="F325" s="41" t="s">
        <v>1013</v>
      </c>
      <c r="G325" s="41" t="s">
        <v>1077</v>
      </c>
      <c r="H325" s="41" t="s">
        <v>1078</v>
      </c>
      <c r="I325" s="43">
        <v>12</v>
      </c>
      <c r="J325" s="44" t="str">
        <f>VLOOKUP(G325,[1]硬件清单!$F:$F,1,0)</f>
        <v>ASG10002ED8D2337B</v>
      </c>
      <c r="K325" s="43"/>
      <c r="L325" s="44"/>
      <c r="M325" s="45" t="s">
        <v>1079</v>
      </c>
    </row>
    <row r="326" ht="30" customHeight="1" spans="1:13">
      <c r="A326" s="41">
        <f>IF(C326="","",SUBTOTAL(103,$C$2:C326))</f>
        <v>317</v>
      </c>
      <c r="B326" s="41">
        <v>326</v>
      </c>
      <c r="C326" s="41">
        <v>7832</v>
      </c>
      <c r="D326" s="41" t="s">
        <v>65</v>
      </c>
      <c r="E326" s="41" t="s">
        <v>220</v>
      </c>
      <c r="F326" s="41" t="s">
        <v>1023</v>
      </c>
      <c r="G326" s="41" t="s">
        <v>1080</v>
      </c>
      <c r="H326" s="41" t="s">
        <v>1081</v>
      </c>
      <c r="I326" s="43">
        <v>12</v>
      </c>
      <c r="J326" s="44" t="str">
        <f>VLOOKUP(G326,[1]硬件清单!$F:$F,1,0)</f>
        <v>LVS2000E2ED8D4083A</v>
      </c>
      <c r="K326" s="43"/>
      <c r="L326" s="44"/>
      <c r="M326" s="45" t="s">
        <v>1082</v>
      </c>
    </row>
    <row r="327" ht="30" customHeight="1" spans="1:13">
      <c r="A327" s="41">
        <f>IF(C327="","",SUBTOTAL(103,$C$2:C327))</f>
        <v>318</v>
      </c>
      <c r="B327" s="41">
        <v>327</v>
      </c>
      <c r="C327" s="41">
        <v>7821</v>
      </c>
      <c r="D327" s="41" t="s">
        <v>65</v>
      </c>
      <c r="E327" s="41" t="s">
        <v>220</v>
      </c>
      <c r="F327" s="41" t="s">
        <v>1013</v>
      </c>
      <c r="G327" s="41" t="s">
        <v>1083</v>
      </c>
      <c r="H327" s="41" t="s">
        <v>1084</v>
      </c>
      <c r="I327" s="43">
        <v>12</v>
      </c>
      <c r="J327" s="44" t="str">
        <f>VLOOKUP(G327,[1]硬件清单!$F:$F,1,0)</f>
        <v>ASG10002ED8E3BFA9</v>
      </c>
      <c r="K327" s="43"/>
      <c r="L327" s="44"/>
      <c r="M327" s="45" t="s">
        <v>1085</v>
      </c>
    </row>
    <row r="328" ht="30" customHeight="1" spans="1:13">
      <c r="A328" s="41">
        <f>IF(C328="","",SUBTOTAL(103,$C$2:C328))</f>
        <v>319</v>
      </c>
      <c r="B328" s="41">
        <v>328</v>
      </c>
      <c r="C328" s="41">
        <v>7824</v>
      </c>
      <c r="D328" s="41" t="s">
        <v>65</v>
      </c>
      <c r="E328" s="41" t="s">
        <v>220</v>
      </c>
      <c r="F328" s="41" t="s">
        <v>1013</v>
      </c>
      <c r="G328" s="41" t="s">
        <v>1086</v>
      </c>
      <c r="H328" s="41" t="s">
        <v>1087</v>
      </c>
      <c r="I328" s="43">
        <v>12</v>
      </c>
      <c r="J328" s="44" t="str">
        <f>VLOOKUP(G328,[1]硬件清单!$F:$F,1,0)</f>
        <v>ASG10002ED8E3BFA3</v>
      </c>
      <c r="K328" s="43"/>
      <c r="L328" s="44"/>
      <c r="M328" s="45" t="s">
        <v>1088</v>
      </c>
    </row>
    <row r="329" ht="30" customHeight="1" spans="1:13">
      <c r="A329" s="41">
        <f>IF(C329="","",SUBTOTAL(103,$C$2:C329))</f>
        <v>320</v>
      </c>
      <c r="B329" s="41">
        <v>329</v>
      </c>
      <c r="C329" s="41">
        <v>7835</v>
      </c>
      <c r="D329" s="41" t="s">
        <v>65</v>
      </c>
      <c r="E329" s="41" t="s">
        <v>220</v>
      </c>
      <c r="F329" s="41" t="s">
        <v>1055</v>
      </c>
      <c r="G329" s="41" t="s">
        <v>1089</v>
      </c>
      <c r="H329" s="41" t="s">
        <v>1090</v>
      </c>
      <c r="I329" s="43">
        <v>12</v>
      </c>
      <c r="J329" s="44" t="str">
        <f>VLOOKUP(G329,[1]硬件清单!$F:$F,1,0)</f>
        <v>J32MC9Y</v>
      </c>
      <c r="K329" s="43"/>
      <c r="L329" s="44"/>
      <c r="M329" s="45" t="s">
        <v>1091</v>
      </c>
    </row>
    <row r="330" ht="30" customHeight="1" spans="1:13">
      <c r="A330" s="41">
        <f>IF(C330="","",SUBTOTAL(103,$C$2:C330))</f>
        <v>321</v>
      </c>
      <c r="B330" s="41">
        <v>330</v>
      </c>
      <c r="C330" s="41">
        <v>7802</v>
      </c>
      <c r="D330" s="41" t="s">
        <v>65</v>
      </c>
      <c r="E330" s="41" t="s">
        <v>220</v>
      </c>
      <c r="F330" s="41" t="s">
        <v>1027</v>
      </c>
      <c r="G330" s="41" t="s">
        <v>1092</v>
      </c>
      <c r="H330" s="41" t="s">
        <v>1093</v>
      </c>
      <c r="I330" s="43">
        <v>12</v>
      </c>
      <c r="J330" s="44" t="str">
        <f>VLOOKUP(G330,[1]硬件清单!$F:$F,1,0)</f>
        <v>06DPPT6</v>
      </c>
      <c r="K330" s="43"/>
      <c r="L330" s="44"/>
      <c r="M330" s="45" t="s">
        <v>1094</v>
      </c>
    </row>
    <row r="331" ht="30" customHeight="1" spans="1:13">
      <c r="A331" s="41">
        <f>IF(C331="","",SUBTOTAL(103,$C$2:C331))</f>
        <v>322</v>
      </c>
      <c r="B331" s="41">
        <v>331</v>
      </c>
      <c r="C331" s="41">
        <v>7803</v>
      </c>
      <c r="D331" s="41" t="s">
        <v>65</v>
      </c>
      <c r="E331" s="41" t="s">
        <v>220</v>
      </c>
      <c r="F331" s="41" t="s">
        <v>1027</v>
      </c>
      <c r="G331" s="41" t="s">
        <v>1095</v>
      </c>
      <c r="H331" s="41" t="s">
        <v>1096</v>
      </c>
      <c r="I331" s="43">
        <v>12</v>
      </c>
      <c r="J331" s="44" t="str">
        <f>VLOOKUP(G331,[1]硬件清单!$F:$F,1,0)</f>
        <v>06DPPN5</v>
      </c>
      <c r="K331" s="43"/>
      <c r="L331" s="44"/>
      <c r="M331" s="45" t="s">
        <v>1097</v>
      </c>
    </row>
    <row r="332" ht="30" customHeight="1" spans="1:13">
      <c r="A332" s="41">
        <f>IF(C332="","",SUBTOTAL(103,$C$2:C332))</f>
        <v>323</v>
      </c>
      <c r="B332" s="41">
        <v>332</v>
      </c>
      <c r="C332" s="41">
        <v>7804</v>
      </c>
      <c r="D332" s="41" t="s">
        <v>65</v>
      </c>
      <c r="E332" s="41" t="s">
        <v>220</v>
      </c>
      <c r="F332" s="41" t="s">
        <v>1027</v>
      </c>
      <c r="G332" s="41" t="s">
        <v>1098</v>
      </c>
      <c r="H332" s="41" t="s">
        <v>1099</v>
      </c>
      <c r="I332" s="43">
        <v>12</v>
      </c>
      <c r="J332" s="44" t="str">
        <f>VLOOKUP(G332,[1]硬件清单!$F:$F,1,0)</f>
        <v>06DPPP6</v>
      </c>
      <c r="K332" s="43"/>
      <c r="L332" s="44"/>
      <c r="M332" s="45" t="s">
        <v>1100</v>
      </c>
    </row>
    <row r="333" ht="30" customHeight="1" spans="1:13">
      <c r="A333" s="41">
        <f>IF(C333="","",SUBTOTAL(103,$C$2:C333))</f>
        <v>324</v>
      </c>
      <c r="B333" s="41">
        <v>333</v>
      </c>
      <c r="C333" s="41">
        <v>7805</v>
      </c>
      <c r="D333" s="41" t="s">
        <v>65</v>
      </c>
      <c r="E333" s="41" t="s">
        <v>220</v>
      </c>
      <c r="F333" s="41" t="s">
        <v>1027</v>
      </c>
      <c r="G333" s="41" t="s">
        <v>1101</v>
      </c>
      <c r="H333" s="41" t="s">
        <v>1102</v>
      </c>
      <c r="I333" s="43">
        <v>12</v>
      </c>
      <c r="J333" s="44" t="str">
        <f>VLOOKUP(G333,[1]硬件清单!$F:$F,1,0)</f>
        <v>06DKND1</v>
      </c>
      <c r="K333" s="43"/>
      <c r="L333" s="44"/>
      <c r="M333" s="45" t="s">
        <v>1103</v>
      </c>
    </row>
    <row r="334" ht="30" customHeight="1" spans="1:13">
      <c r="A334" s="41">
        <f>IF(C334="","",SUBTOTAL(103,$C$2:C334))</f>
        <v>325</v>
      </c>
      <c r="B334" s="41">
        <v>334</v>
      </c>
      <c r="C334" s="41">
        <v>7823</v>
      </c>
      <c r="D334" s="41" t="s">
        <v>65</v>
      </c>
      <c r="E334" s="41" t="s">
        <v>220</v>
      </c>
      <c r="F334" s="41" t="s">
        <v>1013</v>
      </c>
      <c r="G334" s="41" t="s">
        <v>1104</v>
      </c>
      <c r="H334" s="41" t="s">
        <v>1105</v>
      </c>
      <c r="I334" s="43">
        <v>12</v>
      </c>
      <c r="J334" s="44" t="str">
        <f>VLOOKUP(G334,[1]硬件清单!$F:$F,1,0)</f>
        <v>ASG10002ED8E3BFA6</v>
      </c>
      <c r="K334" s="43"/>
      <c r="L334" s="44"/>
      <c r="M334" s="45" t="s">
        <v>1106</v>
      </c>
    </row>
    <row r="335" ht="30" customHeight="1" spans="1:13">
      <c r="A335" s="41">
        <f>IF(C335="","",SUBTOTAL(103,$C$2:C335))</f>
        <v>326</v>
      </c>
      <c r="B335" s="41">
        <v>335</v>
      </c>
      <c r="C335" s="41">
        <v>7822</v>
      </c>
      <c r="D335" s="41" t="s">
        <v>65</v>
      </c>
      <c r="E335" s="41" t="s">
        <v>220</v>
      </c>
      <c r="F335" s="41" t="s">
        <v>1013</v>
      </c>
      <c r="G335" s="41" t="s">
        <v>1107</v>
      </c>
      <c r="H335" s="41" t="s">
        <v>1108</v>
      </c>
      <c r="I335" s="43">
        <v>12</v>
      </c>
      <c r="J335" s="44" t="str">
        <f>VLOOKUP(G335,[1]硬件清单!$F:$F,1,0)</f>
        <v>ASG10002ED8E3BFA7</v>
      </c>
      <c r="K335" s="43"/>
      <c r="L335" s="44"/>
      <c r="M335" s="45" t="s">
        <v>1109</v>
      </c>
    </row>
    <row r="336" ht="30" customHeight="1" spans="1:13">
      <c r="A336" s="41">
        <f>IF(C336="","",SUBTOTAL(103,$C$2:C336))</f>
        <v>327</v>
      </c>
      <c r="B336" s="41">
        <v>336</v>
      </c>
      <c r="C336" s="41">
        <v>7833</v>
      </c>
      <c r="D336" s="41" t="s">
        <v>65</v>
      </c>
      <c r="E336" s="41" t="s">
        <v>220</v>
      </c>
      <c r="F336" s="41" t="s">
        <v>1023</v>
      </c>
      <c r="G336" s="41" t="s">
        <v>1110</v>
      </c>
      <c r="H336" s="41" t="s">
        <v>1111</v>
      </c>
      <c r="I336" s="43">
        <v>12</v>
      </c>
      <c r="J336" s="44" t="str">
        <f>VLOOKUP(G336,[1]硬件清单!$F:$F,1,0)</f>
        <v>LVS2000E2ED8D40839</v>
      </c>
      <c r="K336" s="43"/>
      <c r="L336" s="44"/>
      <c r="M336" s="45" t="s">
        <v>1112</v>
      </c>
    </row>
    <row r="337" ht="30" customHeight="1" spans="1:13">
      <c r="A337" s="41">
        <f>IF(C337="","",SUBTOTAL(103,$C$2:C337))</f>
        <v>328</v>
      </c>
      <c r="B337" s="41">
        <v>337</v>
      </c>
      <c r="C337" s="41">
        <v>7828</v>
      </c>
      <c r="D337" s="41" t="s">
        <v>65</v>
      </c>
      <c r="E337" s="41" t="s">
        <v>220</v>
      </c>
      <c r="F337" s="41" t="s">
        <v>1013</v>
      </c>
      <c r="G337" s="41" t="s">
        <v>1113</v>
      </c>
      <c r="H337" s="41" t="s">
        <v>1114</v>
      </c>
      <c r="I337" s="43">
        <v>12</v>
      </c>
      <c r="J337" s="44" t="str">
        <f>VLOOKUP(G337,[1]硬件清单!$F:$F,1,0)</f>
        <v>ASG10002ED8E3BFA5</v>
      </c>
      <c r="K337" s="43"/>
      <c r="L337" s="44"/>
      <c r="M337" s="45" t="s">
        <v>1115</v>
      </c>
    </row>
    <row r="338" ht="30" customHeight="1" spans="1:13">
      <c r="A338" s="41">
        <f>IF(C338="","",SUBTOTAL(103,$C$2:C338))</f>
        <v>329</v>
      </c>
      <c r="B338" s="41">
        <v>338</v>
      </c>
      <c r="C338" s="41">
        <v>7829</v>
      </c>
      <c r="D338" s="41" t="s">
        <v>65</v>
      </c>
      <c r="E338" s="41" t="s">
        <v>220</v>
      </c>
      <c r="F338" s="41" t="s">
        <v>1013</v>
      </c>
      <c r="G338" s="41" t="s">
        <v>1116</v>
      </c>
      <c r="H338" s="41" t="s">
        <v>1117</v>
      </c>
      <c r="I338" s="43">
        <v>12</v>
      </c>
      <c r="J338" s="44" t="str">
        <f>VLOOKUP(G338,[1]硬件清单!$F:$F,1,0)</f>
        <v>ASG10002EF6BBFA11</v>
      </c>
      <c r="K338" s="43"/>
      <c r="L338" s="44"/>
      <c r="M338" s="45" t="s">
        <v>1118</v>
      </c>
    </row>
    <row r="339" ht="30" customHeight="1" spans="1:13">
      <c r="A339" s="41">
        <f>IF(C339="","",SUBTOTAL(103,$C$2:C339))</f>
        <v>330</v>
      </c>
      <c r="B339" s="41">
        <v>339</v>
      </c>
      <c r="C339" s="41">
        <v>7825</v>
      </c>
      <c r="D339" s="41" t="s">
        <v>65</v>
      </c>
      <c r="E339" s="41" t="s">
        <v>220</v>
      </c>
      <c r="F339" s="41" t="s">
        <v>1013</v>
      </c>
      <c r="G339" s="41" t="s">
        <v>1119</v>
      </c>
      <c r="H339" s="41" t="s">
        <v>1120</v>
      </c>
      <c r="I339" s="43">
        <v>12</v>
      </c>
      <c r="J339" s="44" t="str">
        <f>VLOOKUP(G339,[1]硬件清单!$F:$F,1,0)</f>
        <v>ASG1000-S2EF691DCD4</v>
      </c>
      <c r="K339" s="43"/>
      <c r="L339" s="44"/>
      <c r="M339" s="45" t="s">
        <v>1121</v>
      </c>
    </row>
    <row r="340" ht="30" customHeight="1" spans="1:13">
      <c r="A340" s="41">
        <f>IF(C340="","",SUBTOTAL(103,$C$2:C340))</f>
        <v>331</v>
      </c>
      <c r="B340" s="41">
        <v>340</v>
      </c>
      <c r="C340" s="41">
        <v>7806</v>
      </c>
      <c r="D340" s="41" t="s">
        <v>65</v>
      </c>
      <c r="E340" s="41" t="s">
        <v>220</v>
      </c>
      <c r="F340" s="41" t="s">
        <v>1027</v>
      </c>
      <c r="G340" s="41" t="s">
        <v>1122</v>
      </c>
      <c r="H340" s="41" t="s">
        <v>1123</v>
      </c>
      <c r="I340" s="43">
        <v>12</v>
      </c>
      <c r="J340" s="44" t="str">
        <f>VLOOKUP(G340,[1]硬件清单!$F:$F,1,0)</f>
        <v>06DKGG8</v>
      </c>
      <c r="K340" s="43"/>
      <c r="L340" s="44"/>
      <c r="M340" s="45" t="s">
        <v>1124</v>
      </c>
    </row>
    <row r="341" ht="30" customHeight="1" spans="1:13">
      <c r="A341" s="41">
        <f>IF(C341="","",SUBTOTAL(103,$C$2:C341))</f>
        <v>332</v>
      </c>
      <c r="B341" s="41">
        <v>341</v>
      </c>
      <c r="C341" s="41">
        <v>7807</v>
      </c>
      <c r="D341" s="41" t="s">
        <v>65</v>
      </c>
      <c r="E341" s="41" t="s">
        <v>220</v>
      </c>
      <c r="F341" s="41" t="s">
        <v>1027</v>
      </c>
      <c r="G341" s="41" t="s">
        <v>1125</v>
      </c>
      <c r="H341" s="41" t="s">
        <v>1126</v>
      </c>
      <c r="I341" s="43">
        <v>12</v>
      </c>
      <c r="J341" s="44" t="str">
        <f>VLOOKUP(G341,[1]硬件清单!$F:$F,1,0)</f>
        <v>06DPPW9</v>
      </c>
      <c r="K341" s="43"/>
      <c r="L341" s="44"/>
      <c r="M341" s="45" t="s">
        <v>1127</v>
      </c>
    </row>
    <row r="342" ht="30" customHeight="1" spans="1:13">
      <c r="A342" s="41">
        <f>IF(C342="","",SUBTOTAL(103,$C$2:C342))</f>
        <v>333</v>
      </c>
      <c r="B342" s="41">
        <v>342</v>
      </c>
      <c r="C342" s="41">
        <v>7808</v>
      </c>
      <c r="D342" s="41" t="s">
        <v>65</v>
      </c>
      <c r="E342" s="41" t="s">
        <v>220</v>
      </c>
      <c r="F342" s="41" t="s">
        <v>1027</v>
      </c>
      <c r="G342" s="41" t="s">
        <v>1128</v>
      </c>
      <c r="H342" s="41" t="s">
        <v>1129</v>
      </c>
      <c r="I342" s="43">
        <v>12</v>
      </c>
      <c r="J342" s="44" t="str">
        <f>VLOOKUP(G342,[1]硬件清单!$F:$F,1,0)</f>
        <v>06DPPT8</v>
      </c>
      <c r="K342" s="43"/>
      <c r="L342" s="44"/>
      <c r="M342" s="45" t="s">
        <v>1130</v>
      </c>
    </row>
    <row r="343" ht="30" customHeight="1" spans="1:13">
      <c r="A343" s="41">
        <f>IF(C343="","",SUBTOTAL(103,$C$2:C343))</f>
        <v>334</v>
      </c>
      <c r="B343" s="41">
        <v>343</v>
      </c>
      <c r="C343" s="41">
        <v>7809</v>
      </c>
      <c r="D343" s="41" t="s">
        <v>65</v>
      </c>
      <c r="E343" s="41" t="s">
        <v>220</v>
      </c>
      <c r="F343" s="41" t="s">
        <v>1027</v>
      </c>
      <c r="G343" s="41" t="s">
        <v>1131</v>
      </c>
      <c r="H343" s="41" t="s">
        <v>1132</v>
      </c>
      <c r="I343" s="43">
        <v>12</v>
      </c>
      <c r="J343" s="44" t="str">
        <f>VLOOKUP(G343,[1]硬件清单!$F:$F,1,0)</f>
        <v>06DPPW2</v>
      </c>
      <c r="K343" s="43"/>
      <c r="L343" s="44"/>
      <c r="M343" s="45" t="s">
        <v>1133</v>
      </c>
    </row>
    <row r="344" ht="30" customHeight="1" spans="1:13">
      <c r="A344" s="41">
        <f>IF(C344="","",SUBTOTAL(103,$C$2:C344))</f>
        <v>335</v>
      </c>
      <c r="B344" s="41">
        <v>344</v>
      </c>
      <c r="C344" s="41">
        <v>7811</v>
      </c>
      <c r="D344" s="41" t="s">
        <v>65</v>
      </c>
      <c r="E344" s="41" t="s">
        <v>220</v>
      </c>
      <c r="F344" s="41" t="s">
        <v>1040</v>
      </c>
      <c r="G344" s="41" t="s">
        <v>1134</v>
      </c>
      <c r="H344" s="41" t="s">
        <v>1135</v>
      </c>
      <c r="I344" s="43">
        <v>12</v>
      </c>
      <c r="J344" s="44" t="str">
        <f>VLOOKUP(G344,[1]硬件清单!$F:$F,1,0)</f>
        <v>06DKNC9</v>
      </c>
      <c r="K344" s="43"/>
      <c r="L344" s="44"/>
      <c r="M344" s="45" t="s">
        <v>1136</v>
      </c>
    </row>
    <row r="345" ht="30" customHeight="1" spans="1:13">
      <c r="A345" s="41">
        <f>IF(C345="","",SUBTOTAL(103,$C$2:C345))</f>
        <v>336</v>
      </c>
      <c r="B345" s="41">
        <v>345</v>
      </c>
      <c r="C345" s="41">
        <v>7827</v>
      </c>
      <c r="D345" s="41" t="s">
        <v>65</v>
      </c>
      <c r="E345" s="41" t="s">
        <v>220</v>
      </c>
      <c r="F345" s="41" t="s">
        <v>1013</v>
      </c>
      <c r="G345" s="41" t="s">
        <v>1137</v>
      </c>
      <c r="H345" s="41" t="s">
        <v>1138</v>
      </c>
      <c r="I345" s="43">
        <v>12</v>
      </c>
      <c r="J345" s="44" t="str">
        <f>VLOOKUP(G345,[1]硬件清单!$F:$F,1,0)</f>
        <v>ASG10002ED8D23379</v>
      </c>
      <c r="K345" s="43"/>
      <c r="L345" s="44"/>
      <c r="M345" s="45" t="s">
        <v>1139</v>
      </c>
    </row>
    <row r="346" ht="30" customHeight="1" spans="1:13">
      <c r="A346" s="41">
        <f>IF(C346="","",SUBTOTAL(103,$C$2:C346))</f>
        <v>337</v>
      </c>
      <c r="B346" s="41">
        <v>346</v>
      </c>
      <c r="C346" s="46">
        <v>7826</v>
      </c>
      <c r="D346" s="46" t="s">
        <v>65</v>
      </c>
      <c r="E346" s="46" t="s">
        <v>220</v>
      </c>
      <c r="F346" s="46" t="s">
        <v>1013</v>
      </c>
      <c r="G346" s="41" t="s">
        <v>1140</v>
      </c>
      <c r="H346" s="41" t="s">
        <v>1141</v>
      </c>
      <c r="I346" s="43">
        <v>12</v>
      </c>
      <c r="J346" s="44" t="str">
        <f>VLOOKUP(G346,[1]硬件清单!$F:$F,1,0)</f>
        <v>ASG10002ED8E3BFA1</v>
      </c>
      <c r="K346" s="43"/>
      <c r="L346" s="44"/>
      <c r="M346" s="45" t="s">
        <v>1142</v>
      </c>
    </row>
    <row r="347" ht="30" customHeight="1" spans="1:13">
      <c r="A347" s="41">
        <f>IF(C347="","",SUBTOTAL(103,$C$2:C347))</f>
        <v>338</v>
      </c>
      <c r="B347" s="41">
        <v>347</v>
      </c>
      <c r="C347" s="41">
        <v>17494</v>
      </c>
      <c r="D347" s="41" t="s">
        <v>19</v>
      </c>
      <c r="E347" s="41" t="s">
        <v>60</v>
      </c>
      <c r="F347" s="41" t="s">
        <v>1143</v>
      </c>
      <c r="G347" s="41" t="s">
        <v>1144</v>
      </c>
      <c r="H347" s="41" t="s">
        <v>1145</v>
      </c>
      <c r="I347" s="43">
        <v>12</v>
      </c>
      <c r="J347" s="44" t="str">
        <f>VLOOKUP(G347,[1]硬件清单!$F:$F,1,0)</f>
        <v>31101239</v>
      </c>
      <c r="K347" s="43"/>
      <c r="L347" s="44"/>
      <c r="M347" s="45" t="s">
        <v>1146</v>
      </c>
    </row>
    <row r="348" ht="30" customHeight="1" spans="1:13">
      <c r="A348" s="41">
        <f>IF(C348="","",SUBTOTAL(103,$C$2:C348))</f>
        <v>339</v>
      </c>
      <c r="B348" s="41">
        <v>348</v>
      </c>
      <c r="C348" s="41">
        <v>17495</v>
      </c>
      <c r="D348" s="41" t="s">
        <v>19</v>
      </c>
      <c r="E348" s="41" t="s">
        <v>60</v>
      </c>
      <c r="F348" s="41" t="s">
        <v>1143</v>
      </c>
      <c r="G348" s="41" t="s">
        <v>1147</v>
      </c>
      <c r="H348" s="41" t="s">
        <v>1148</v>
      </c>
      <c r="I348" s="43">
        <v>12</v>
      </c>
      <c r="J348" s="44" t="str">
        <f>VLOOKUP(G348,[1]硬件清单!$F:$F,1,0)</f>
        <v>31101232</v>
      </c>
      <c r="K348" s="43"/>
      <c r="L348" s="44"/>
      <c r="M348" s="45" t="s">
        <v>1149</v>
      </c>
    </row>
    <row r="349" ht="30" customHeight="1" spans="1:13">
      <c r="A349" s="41">
        <f>IF(C349="","",SUBTOTAL(103,$C$2:C349))</f>
        <v>340</v>
      </c>
      <c r="B349" s="41">
        <v>350</v>
      </c>
      <c r="C349" s="41">
        <v>17497</v>
      </c>
      <c r="D349" s="41" t="s">
        <v>19</v>
      </c>
      <c r="E349" s="41" t="s">
        <v>60</v>
      </c>
      <c r="F349" s="41" t="s">
        <v>1143</v>
      </c>
      <c r="G349" s="41" t="s">
        <v>1150</v>
      </c>
      <c r="H349" s="41" t="s">
        <v>1151</v>
      </c>
      <c r="I349" s="43">
        <v>12</v>
      </c>
      <c r="J349" s="44" t="str">
        <f>VLOOKUP(G349,[1]硬件清单!$F:$F,1,0)</f>
        <v>31101242</v>
      </c>
      <c r="K349" s="43"/>
      <c r="L349" s="44"/>
      <c r="M349" s="45" t="s">
        <v>1152</v>
      </c>
    </row>
    <row r="350" ht="30" customHeight="1" spans="1:13">
      <c r="A350" s="41">
        <f>IF(C350="","",SUBTOTAL(103,$C$2:C350))</f>
        <v>341</v>
      </c>
      <c r="B350" s="41">
        <v>351</v>
      </c>
      <c r="C350" s="41">
        <v>17496</v>
      </c>
      <c r="D350" s="41" t="s">
        <v>19</v>
      </c>
      <c r="E350" s="41" t="s">
        <v>60</v>
      </c>
      <c r="F350" s="41" t="s">
        <v>1143</v>
      </c>
      <c r="G350" s="41" t="s">
        <v>1153</v>
      </c>
      <c r="H350" s="41" t="s">
        <v>1154</v>
      </c>
      <c r="I350" s="43">
        <v>12</v>
      </c>
      <c r="J350" s="44" t="str">
        <f>VLOOKUP(G350,[1]硬件清单!$F:$F,1,0)</f>
        <v>31101237</v>
      </c>
      <c r="K350" s="43"/>
      <c r="L350" s="44"/>
      <c r="M350" s="45" t="s">
        <v>1155</v>
      </c>
    </row>
    <row r="351" ht="30" customHeight="1" spans="1:13">
      <c r="A351" s="41">
        <f>IF(C351="","",SUBTOTAL(103,$C$2:C351))</f>
        <v>342</v>
      </c>
      <c r="B351" s="41">
        <v>352</v>
      </c>
      <c r="C351" s="41">
        <v>11185</v>
      </c>
      <c r="D351" s="41" t="s">
        <v>19</v>
      </c>
      <c r="E351" s="41" t="s">
        <v>84</v>
      </c>
      <c r="F351" s="41" t="s">
        <v>1156</v>
      </c>
      <c r="G351" s="41" t="s">
        <v>1157</v>
      </c>
      <c r="H351" s="41" t="s">
        <v>1158</v>
      </c>
      <c r="I351" s="43">
        <v>12</v>
      </c>
      <c r="J351" s="44" t="str">
        <f>VLOOKUP(G351,[1]硬件清单!$F:$F,1,0)</f>
        <v>31904720</v>
      </c>
      <c r="K351" s="43"/>
      <c r="L351" s="44"/>
      <c r="M351" s="45" t="s">
        <v>1159</v>
      </c>
    </row>
    <row r="352" ht="30" customHeight="1" spans="1:13">
      <c r="A352" s="41">
        <f>IF(C352="","",SUBTOTAL(103,$C$2:C352))</f>
        <v>343</v>
      </c>
      <c r="B352" s="41">
        <v>353</v>
      </c>
      <c r="C352" s="41">
        <v>11186</v>
      </c>
      <c r="D352" s="41" t="s">
        <v>19</v>
      </c>
      <c r="E352" s="41" t="s">
        <v>84</v>
      </c>
      <c r="F352" s="41" t="s">
        <v>1156</v>
      </c>
      <c r="G352" s="41" t="s">
        <v>1160</v>
      </c>
      <c r="H352" s="41" t="s">
        <v>1161</v>
      </c>
      <c r="I352" s="43">
        <v>12</v>
      </c>
      <c r="J352" s="44" t="str">
        <f>VLOOKUP(G352,[1]硬件清单!$F:$F,1,0)</f>
        <v>31202271</v>
      </c>
      <c r="K352" s="43"/>
      <c r="L352" s="44"/>
      <c r="M352" s="45" t="s">
        <v>1162</v>
      </c>
    </row>
    <row r="353" ht="30" customHeight="1" spans="1:13">
      <c r="A353" s="41">
        <f>IF(C353="","",SUBTOTAL(103,$C$2:C353))</f>
        <v>344</v>
      </c>
      <c r="B353" s="41">
        <v>356</v>
      </c>
      <c r="C353" s="41">
        <v>11076</v>
      </c>
      <c r="D353" s="41" t="s">
        <v>161</v>
      </c>
      <c r="E353" s="41" t="s">
        <v>162</v>
      </c>
      <c r="F353" s="41" t="s">
        <v>177</v>
      </c>
      <c r="G353" s="41" t="s">
        <v>1163</v>
      </c>
      <c r="H353" s="41" t="s">
        <v>1164</v>
      </c>
      <c r="I353" s="43">
        <v>12</v>
      </c>
      <c r="J353" s="44" t="str">
        <f>VLOOKUP(G353,[1]硬件清单!$F:$F,1,0)</f>
        <v>FLC00144000081</v>
      </c>
      <c r="K353" s="43"/>
      <c r="L353" s="44"/>
      <c r="M353" s="45" t="s">
        <v>1165</v>
      </c>
    </row>
    <row r="354" ht="30" customHeight="1" spans="1:13">
      <c r="A354" s="41">
        <f>IF(C354="","",SUBTOTAL(103,$C$2:C354))</f>
        <v>345</v>
      </c>
      <c r="B354" s="41">
        <v>357</v>
      </c>
      <c r="C354" s="41">
        <v>14171</v>
      </c>
      <c r="D354" s="41" t="s">
        <v>161</v>
      </c>
      <c r="E354" s="41" t="s">
        <v>162</v>
      </c>
      <c r="F354" s="41" t="s">
        <v>267</v>
      </c>
      <c r="G354" s="41" t="s">
        <v>1166</v>
      </c>
      <c r="H354" s="41" t="s">
        <v>1167</v>
      </c>
      <c r="I354" s="43">
        <v>12</v>
      </c>
      <c r="J354" s="44" t="str">
        <f>VLOOKUP(G354,[1]硬件清单!$F:$F,1,0)</f>
        <v>LQ20151033（柜）</v>
      </c>
      <c r="K354" s="44" t="s">
        <v>250</v>
      </c>
      <c r="L354" s="44" t="s">
        <v>17</v>
      </c>
      <c r="M354" s="45" t="s">
        <v>1168</v>
      </c>
    </row>
    <row r="355" ht="30" customHeight="1" spans="1:13">
      <c r="A355" s="41">
        <f>IF(C355="","",SUBTOTAL(103,$C$2:C355))</f>
        <v>346</v>
      </c>
      <c r="B355" s="41">
        <v>358</v>
      </c>
      <c r="C355" s="41">
        <v>7280</v>
      </c>
      <c r="D355" s="41" t="s">
        <v>161</v>
      </c>
      <c r="E355" s="41" t="s">
        <v>238</v>
      </c>
      <c r="F355" s="41" t="s">
        <v>1169</v>
      </c>
      <c r="G355" s="41" t="s">
        <v>1170</v>
      </c>
      <c r="H355" s="41" t="s">
        <v>1171</v>
      </c>
      <c r="I355" s="43">
        <v>12</v>
      </c>
      <c r="J355" s="44" t="str">
        <f>VLOOKUP(G355,[1]硬件清单!$F:$F,1,0)</f>
        <v>ANN2539K024</v>
      </c>
      <c r="K355" s="43"/>
      <c r="L355" s="44"/>
      <c r="M355" s="45" t="s">
        <v>1172</v>
      </c>
    </row>
    <row r="356" ht="30" customHeight="1" spans="1:13">
      <c r="A356" s="41">
        <f>IF(C356="","",SUBTOTAL(103,$C$2:C356))</f>
        <v>347</v>
      </c>
      <c r="B356" s="41">
        <v>359</v>
      </c>
      <c r="C356" s="41">
        <v>7281</v>
      </c>
      <c r="D356" s="41" t="s">
        <v>161</v>
      </c>
      <c r="E356" s="41" t="s">
        <v>238</v>
      </c>
      <c r="F356" s="41" t="s">
        <v>1169</v>
      </c>
      <c r="G356" s="41" t="s">
        <v>1173</v>
      </c>
      <c r="H356" s="41" t="s">
        <v>1174</v>
      </c>
      <c r="I356" s="43">
        <v>12</v>
      </c>
      <c r="J356" s="44" t="str">
        <f>VLOOKUP(G356,[1]硬件清单!$F:$F,1,0)</f>
        <v>ANN2539K022</v>
      </c>
      <c r="K356" s="43"/>
      <c r="L356" s="44"/>
      <c r="M356" s="45" t="s">
        <v>1175</v>
      </c>
    </row>
    <row r="357" ht="30" customHeight="1" spans="1:13">
      <c r="A357" s="41">
        <f>IF(C357="","",SUBTOTAL(103,$C$2:C357))</f>
        <v>348</v>
      </c>
      <c r="B357" s="41">
        <v>360</v>
      </c>
      <c r="C357" s="41">
        <v>7257</v>
      </c>
      <c r="D357" s="41" t="s">
        <v>161</v>
      </c>
      <c r="E357" s="41" t="s">
        <v>162</v>
      </c>
      <c r="F357" s="41" t="s">
        <v>1176</v>
      </c>
      <c r="G357" s="41" t="s">
        <v>1177</v>
      </c>
      <c r="H357" s="41" t="s">
        <v>1178</v>
      </c>
      <c r="I357" s="43">
        <v>12</v>
      </c>
      <c r="J357" s="44" t="str">
        <f>VLOOKUP(G357,[1]硬件清单!$F:$F,1,0)</f>
        <v>50532
91217198</v>
      </c>
      <c r="K357" s="44" t="s">
        <v>250</v>
      </c>
      <c r="L357" s="44" t="s">
        <v>17</v>
      </c>
      <c r="M357" s="45" t="s">
        <v>1179</v>
      </c>
    </row>
    <row r="358" ht="30" customHeight="1" spans="1:13">
      <c r="A358" s="41">
        <f>IF(C358="","",SUBTOTAL(103,$C$2:C358))</f>
        <v>349</v>
      </c>
      <c r="B358" s="41">
        <v>361</v>
      </c>
      <c r="C358" s="41">
        <v>14170</v>
      </c>
      <c r="D358" s="41" t="s">
        <v>161</v>
      </c>
      <c r="E358" s="41" t="s">
        <v>162</v>
      </c>
      <c r="F358" s="41" t="s">
        <v>267</v>
      </c>
      <c r="G358" s="41" t="s">
        <v>1180</v>
      </c>
      <c r="H358" s="41" t="s">
        <v>1181</v>
      </c>
      <c r="I358" s="43">
        <v>12</v>
      </c>
      <c r="J358" s="44" t="str">
        <f>VLOOKUP(G358,[1]硬件清单!$F:$F,1,0)</f>
        <v>无（扩容硬盘，SN:50532）</v>
      </c>
      <c r="K358" s="44" t="s">
        <v>250</v>
      </c>
      <c r="L358" s="44" t="s">
        <v>17</v>
      </c>
      <c r="M358" s="45" t="s">
        <v>1179</v>
      </c>
    </row>
    <row r="359" ht="30" customHeight="1" spans="1:13">
      <c r="A359" s="41">
        <f>IF(C359="","",SUBTOTAL(103,$C$2:C359))</f>
        <v>350</v>
      </c>
      <c r="B359" s="41">
        <v>362</v>
      </c>
      <c r="C359" s="46">
        <v>11090</v>
      </c>
      <c r="D359" s="46" t="s">
        <v>19</v>
      </c>
      <c r="E359" s="46" t="s">
        <v>113</v>
      </c>
      <c r="F359" s="46" t="s">
        <v>1182</v>
      </c>
      <c r="G359" s="41" t="s">
        <v>1183</v>
      </c>
      <c r="H359" s="41" t="s">
        <v>1184</v>
      </c>
      <c r="I359" s="43">
        <v>12</v>
      </c>
      <c r="J359" s="44" t="str">
        <f>VLOOKUP(G359,[1]硬件清单!$F:$F,1,0)</f>
        <v>2102310CWN10D4000019</v>
      </c>
      <c r="K359" s="43"/>
      <c r="L359" s="44"/>
      <c r="M359" s="45" t="s">
        <v>1185</v>
      </c>
    </row>
    <row r="360" ht="30" customHeight="1" spans="1:13">
      <c r="A360" s="41">
        <f>IF(C360="","",SUBTOTAL(103,$C$2:C360))</f>
        <v>351</v>
      </c>
      <c r="B360" s="41">
        <v>365</v>
      </c>
      <c r="C360" s="41">
        <v>13612</v>
      </c>
      <c r="D360" s="41" t="s">
        <v>19</v>
      </c>
      <c r="E360" s="41" t="s">
        <v>34</v>
      </c>
      <c r="F360" s="41" t="s">
        <v>1186</v>
      </c>
      <c r="G360" s="41" t="s">
        <v>1187</v>
      </c>
      <c r="H360" s="41" t="s">
        <v>1188</v>
      </c>
      <c r="I360" s="43">
        <v>12</v>
      </c>
      <c r="J360" s="44" t="str">
        <f>VLOOKUP(G360,[1]硬件清单!$F:$F,1,0)</f>
        <v>F5-LVKI-PYPO</v>
      </c>
      <c r="K360" s="43"/>
      <c r="L360" s="44"/>
      <c r="M360" s="45" t="s">
        <v>1189</v>
      </c>
    </row>
    <row r="361" ht="30" customHeight="1" spans="1:13">
      <c r="A361" s="41">
        <f>IF(C361="","",SUBTOTAL(103,$C$2:C361))</f>
        <v>352</v>
      </c>
      <c r="B361" s="41">
        <v>366</v>
      </c>
      <c r="C361" s="41">
        <v>13611</v>
      </c>
      <c r="D361" s="41" t="s">
        <v>19</v>
      </c>
      <c r="E361" s="41" t="s">
        <v>34</v>
      </c>
      <c r="F361" s="41" t="s">
        <v>1186</v>
      </c>
      <c r="G361" s="41" t="s">
        <v>1190</v>
      </c>
      <c r="H361" s="41" t="s">
        <v>1191</v>
      </c>
      <c r="I361" s="43">
        <v>12</v>
      </c>
      <c r="J361" s="44" t="str">
        <f>VLOOKUP(G361,[1]硬件清单!$F:$F,1,0)</f>
        <v>F5-ZZOT-FLJQ</v>
      </c>
      <c r="K361" s="43"/>
      <c r="L361" s="44"/>
      <c r="M361" s="45" t="s">
        <v>1192</v>
      </c>
    </row>
    <row r="362" ht="30" customHeight="1" spans="1:13">
      <c r="A362" s="41">
        <f>IF(C362="","",SUBTOTAL(103,$C$2:C362))</f>
        <v>353</v>
      </c>
      <c r="B362" s="41">
        <v>369</v>
      </c>
      <c r="C362" s="41">
        <v>13149</v>
      </c>
      <c r="D362" s="41" t="s">
        <v>65</v>
      </c>
      <c r="E362" s="41" t="s">
        <v>220</v>
      </c>
      <c r="F362" s="41" t="s">
        <v>1193</v>
      </c>
      <c r="G362" s="41" t="s">
        <v>1194</v>
      </c>
      <c r="H362" s="41" t="s">
        <v>1195</v>
      </c>
      <c r="I362" s="43">
        <v>12</v>
      </c>
      <c r="J362" s="44" t="str">
        <f>VLOOKUP(G362,[1]硬件清单!$F:$F,1,0)</f>
        <v>YDTSA26502F02D64625</v>
      </c>
      <c r="K362" s="43"/>
      <c r="L362" s="44"/>
      <c r="M362" s="45" t="s">
        <v>1196</v>
      </c>
    </row>
    <row r="363" ht="30" customHeight="1" spans="1:13">
      <c r="A363" s="41">
        <f>IF(C363="","",SUBTOTAL(103,$C$2:C363))</f>
        <v>354</v>
      </c>
      <c r="B363" s="41">
        <v>370</v>
      </c>
      <c r="C363" s="41">
        <v>13157</v>
      </c>
      <c r="D363" s="41" t="s">
        <v>65</v>
      </c>
      <c r="E363" s="41" t="s">
        <v>220</v>
      </c>
      <c r="F363" s="42" t="s">
        <v>1197</v>
      </c>
      <c r="G363" s="41" t="s">
        <v>1198</v>
      </c>
      <c r="H363" s="41" t="s">
        <v>1199</v>
      </c>
      <c r="I363" s="43">
        <v>12</v>
      </c>
      <c r="J363" s="44" t="str">
        <f>VLOOKUP(G363,[1]硬件清单!$F:$F,1,0)</f>
        <v>ASG1000-III2F02D64626</v>
      </c>
      <c r="K363" s="44"/>
      <c r="L363" s="44"/>
      <c r="M363" s="45" t="s">
        <v>1200</v>
      </c>
    </row>
    <row r="364" ht="30" customHeight="1" spans="1:13">
      <c r="A364" s="41">
        <f>IF(C364="","",SUBTOTAL(103,$C$2:C364))</f>
        <v>355</v>
      </c>
      <c r="B364" s="41">
        <v>371</v>
      </c>
      <c r="C364" s="41">
        <v>13148</v>
      </c>
      <c r="D364" s="41" t="s">
        <v>65</v>
      </c>
      <c r="E364" s="41" t="s">
        <v>220</v>
      </c>
      <c r="F364" s="41" t="s">
        <v>1193</v>
      </c>
      <c r="G364" s="41" t="s">
        <v>1201</v>
      </c>
      <c r="H364" s="41" t="s">
        <v>1202</v>
      </c>
      <c r="I364" s="43">
        <v>12</v>
      </c>
      <c r="J364" s="44" t="str">
        <f>VLOOKUP(G364,[1]硬件清单!$F:$F,1,0)</f>
        <v>YDTSA26502F02D64624</v>
      </c>
      <c r="K364" s="43"/>
      <c r="L364" s="44"/>
      <c r="M364" s="45" t="s">
        <v>1203</v>
      </c>
    </row>
    <row r="365" ht="30" customHeight="1" spans="1:13">
      <c r="A365" s="41">
        <f>IF(C365="","",SUBTOTAL(103,$C$2:C365))</f>
        <v>356</v>
      </c>
      <c r="B365" s="41">
        <v>372</v>
      </c>
      <c r="C365" s="41">
        <v>13172</v>
      </c>
      <c r="D365" s="41" t="s">
        <v>65</v>
      </c>
      <c r="E365" s="41" t="s">
        <v>220</v>
      </c>
      <c r="F365" s="41" t="s">
        <v>1204</v>
      </c>
      <c r="G365" s="41" t="s">
        <v>1205</v>
      </c>
      <c r="H365" s="41" t="s">
        <v>1206</v>
      </c>
      <c r="I365" s="43">
        <v>12</v>
      </c>
      <c r="J365" s="44" t="str">
        <f>VLOOKUP(G365,[1]硬件清单!$F:$F,1,0)</f>
        <v>YD-SW10G-242F02D84209</v>
      </c>
      <c r="K365" s="43"/>
      <c r="L365" s="44"/>
      <c r="M365" s="45" t="s">
        <v>1207</v>
      </c>
    </row>
    <row r="366" ht="30" customHeight="1" spans="1:13">
      <c r="A366" s="41">
        <f>IF(C366="","",SUBTOTAL(103,$C$2:C366))</f>
        <v>357</v>
      </c>
      <c r="B366" s="41">
        <v>373</v>
      </c>
      <c r="C366" s="41">
        <v>13171</v>
      </c>
      <c r="D366" s="41" t="s">
        <v>65</v>
      </c>
      <c r="E366" s="41" t="s">
        <v>220</v>
      </c>
      <c r="F366" s="41" t="s">
        <v>1204</v>
      </c>
      <c r="G366" s="41" t="s">
        <v>1208</v>
      </c>
      <c r="H366" s="41" t="s">
        <v>1209</v>
      </c>
      <c r="I366" s="43">
        <v>12</v>
      </c>
      <c r="J366" s="44" t="str">
        <f>VLOOKUP(G366,[1]硬件清单!$F:$F,1,0)</f>
        <v>YD-SW10G-242F02D84206</v>
      </c>
      <c r="K366" s="43"/>
      <c r="L366" s="44"/>
      <c r="M366" s="45" t="s">
        <v>1210</v>
      </c>
    </row>
    <row r="367" ht="30" customHeight="1" spans="1:13">
      <c r="A367" s="41">
        <f>IF(C367="","",SUBTOTAL(103,$C$2:C367))</f>
        <v>358</v>
      </c>
      <c r="B367" s="41">
        <v>374</v>
      </c>
      <c r="C367" s="41">
        <v>13147</v>
      </c>
      <c r="D367" s="41" t="s">
        <v>65</v>
      </c>
      <c r="E367" s="41" t="s">
        <v>220</v>
      </c>
      <c r="F367" s="41" t="s">
        <v>1193</v>
      </c>
      <c r="G367" s="41" t="s">
        <v>1211</v>
      </c>
      <c r="H367" s="41" t="s">
        <v>1212</v>
      </c>
      <c r="I367" s="43">
        <v>12</v>
      </c>
      <c r="J367" s="44" t="str">
        <f>VLOOKUP(G367,[1]硬件清单!$F:$F,1,0)</f>
        <v>YDTSA26502F02D64623</v>
      </c>
      <c r="K367" s="43"/>
      <c r="L367" s="44"/>
      <c r="M367" s="45" t="s">
        <v>1213</v>
      </c>
    </row>
    <row r="368" ht="30" customHeight="1" spans="1:13">
      <c r="A368" s="41">
        <f>IF(C368="","",SUBTOTAL(103,$C$2:C368))</f>
        <v>359</v>
      </c>
      <c r="B368" s="41">
        <v>375</v>
      </c>
      <c r="C368" s="41">
        <v>13146</v>
      </c>
      <c r="D368" s="41" t="s">
        <v>65</v>
      </c>
      <c r="E368" s="41" t="s">
        <v>220</v>
      </c>
      <c r="F368" s="41" t="s">
        <v>1193</v>
      </c>
      <c r="G368" s="41" t="s">
        <v>1214</v>
      </c>
      <c r="H368" s="41" t="s">
        <v>1215</v>
      </c>
      <c r="I368" s="43">
        <v>12</v>
      </c>
      <c r="J368" s="44" t="str">
        <f>VLOOKUP(G368,[1]硬件清单!$F:$F,1,0)</f>
        <v>YDTSA26502F02D64622</v>
      </c>
      <c r="K368" s="43"/>
      <c r="L368" s="44"/>
      <c r="M368" s="45" t="s">
        <v>1216</v>
      </c>
    </row>
    <row r="369" ht="30" customHeight="1" spans="1:13">
      <c r="A369" s="41">
        <f>IF(C369="","",SUBTOTAL(103,$C$2:C369))</f>
        <v>360</v>
      </c>
      <c r="B369" s="41">
        <v>376</v>
      </c>
      <c r="C369" s="41">
        <v>13170</v>
      </c>
      <c r="D369" s="41" t="s">
        <v>65</v>
      </c>
      <c r="E369" s="41" t="s">
        <v>220</v>
      </c>
      <c r="F369" s="41" t="s">
        <v>1204</v>
      </c>
      <c r="G369" s="41" t="s">
        <v>1217</v>
      </c>
      <c r="H369" s="41" t="s">
        <v>1218</v>
      </c>
      <c r="I369" s="43">
        <v>12</v>
      </c>
      <c r="J369" s="44" t="str">
        <f>VLOOKUP(G369,[1]硬件清单!$F:$F,1,0)</f>
        <v>YD-SW10G-242F02D84203</v>
      </c>
      <c r="K369" s="43"/>
      <c r="L369" s="44"/>
      <c r="M369" s="45" t="s">
        <v>1219</v>
      </c>
    </row>
    <row r="370" ht="30" customHeight="1" spans="1:13">
      <c r="A370" s="41">
        <f>IF(C370="","",SUBTOTAL(103,$C$2:C370))</f>
        <v>361</v>
      </c>
      <c r="B370" s="41">
        <v>377</v>
      </c>
      <c r="C370" s="41">
        <v>13169</v>
      </c>
      <c r="D370" s="41" t="s">
        <v>65</v>
      </c>
      <c r="E370" s="41" t="s">
        <v>220</v>
      </c>
      <c r="F370" s="41" t="s">
        <v>1204</v>
      </c>
      <c r="G370" s="41" t="s">
        <v>1220</v>
      </c>
      <c r="H370" s="41" t="s">
        <v>1221</v>
      </c>
      <c r="I370" s="43">
        <v>12</v>
      </c>
      <c r="J370" s="44" t="str">
        <f>VLOOKUP(G370,[1]硬件清单!$F:$F,1,0)</f>
        <v>YD-SW10G-242F02D84200</v>
      </c>
      <c r="K370" s="43"/>
      <c r="L370" s="44"/>
      <c r="M370" s="45" t="s">
        <v>1222</v>
      </c>
    </row>
    <row r="371" ht="30" customHeight="1" spans="1:13">
      <c r="A371" s="41">
        <f>IF(C371="","",SUBTOTAL(103,$C$2:C371))</f>
        <v>362</v>
      </c>
      <c r="B371" s="41">
        <v>378</v>
      </c>
      <c r="C371" s="46">
        <v>13156</v>
      </c>
      <c r="D371" s="46" t="s">
        <v>65</v>
      </c>
      <c r="E371" s="46" t="s">
        <v>220</v>
      </c>
      <c r="F371" s="46" t="s">
        <v>1223</v>
      </c>
      <c r="G371" s="41" t="s">
        <v>1224</v>
      </c>
      <c r="H371" s="41" t="s">
        <v>1225</v>
      </c>
      <c r="I371" s="43">
        <v>12</v>
      </c>
      <c r="J371" s="44" t="str">
        <f>VLOOKUP(G371,[1]硬件清单!$F:$F,1,0)</f>
        <v>ASG1000-III2F02D64625</v>
      </c>
      <c r="K371" s="44"/>
      <c r="L371" s="44"/>
      <c r="M371" s="45" t="s">
        <v>1226</v>
      </c>
    </row>
    <row r="372" ht="30" customHeight="1" spans="1:13">
      <c r="A372" s="41">
        <f>IF(C372="","",SUBTOTAL(103,$C$2:C372))</f>
        <v>363</v>
      </c>
      <c r="B372" s="41">
        <v>379</v>
      </c>
      <c r="C372" s="41">
        <v>13608</v>
      </c>
      <c r="D372" s="41" t="s">
        <v>65</v>
      </c>
      <c r="E372" s="41" t="s">
        <v>220</v>
      </c>
      <c r="F372" s="41" t="s">
        <v>1223</v>
      </c>
      <c r="G372" s="41" t="s">
        <v>1227</v>
      </c>
      <c r="H372" s="41" t="s">
        <v>1228</v>
      </c>
      <c r="I372" s="43">
        <v>12</v>
      </c>
      <c r="J372" s="44" t="str">
        <f>VLOOKUP(G372,[1]硬件清单!$F:$F,1,0)</f>
        <v>ASG1000-III2F02D64624</v>
      </c>
      <c r="K372" s="44"/>
      <c r="L372" s="44"/>
      <c r="M372" s="45" t="s">
        <v>1229</v>
      </c>
    </row>
    <row r="373" ht="30" customHeight="1" spans="1:13">
      <c r="A373" s="41">
        <f>IF(C373="","",SUBTOTAL(103,$C$2:C373))</f>
        <v>364</v>
      </c>
      <c r="B373" s="41">
        <v>380</v>
      </c>
      <c r="C373" s="41">
        <v>13607</v>
      </c>
      <c r="D373" s="41" t="s">
        <v>65</v>
      </c>
      <c r="E373" s="41" t="s">
        <v>220</v>
      </c>
      <c r="F373" s="41" t="s">
        <v>1223</v>
      </c>
      <c r="G373" s="41" t="s">
        <v>1230</v>
      </c>
      <c r="H373" s="41" t="s">
        <v>1231</v>
      </c>
      <c r="I373" s="43">
        <v>12</v>
      </c>
      <c r="J373" s="44" t="str">
        <f>VLOOKUP(G373,[1]硬件清单!$F:$F,1,0)</f>
        <v>ASG1000-III2F02D64623</v>
      </c>
      <c r="K373" s="44"/>
      <c r="L373" s="44"/>
      <c r="M373" s="45" t="s">
        <v>1232</v>
      </c>
    </row>
    <row r="374" ht="30" customHeight="1" spans="1:13">
      <c r="A374" s="41">
        <f>IF(C374="","",SUBTOTAL(103,$C$2:C374))</f>
        <v>365</v>
      </c>
      <c r="B374" s="41">
        <v>381</v>
      </c>
      <c r="C374" s="41">
        <v>13155</v>
      </c>
      <c r="D374" s="41" t="s">
        <v>65</v>
      </c>
      <c r="E374" s="41" t="s">
        <v>220</v>
      </c>
      <c r="F374" s="41" t="s">
        <v>1193</v>
      </c>
      <c r="G374" s="41" t="s">
        <v>1233</v>
      </c>
      <c r="H374" s="41" t="s">
        <v>1234</v>
      </c>
      <c r="I374" s="43">
        <v>12</v>
      </c>
      <c r="J374" s="44" t="str">
        <f>VLOOKUP(G374,[1]硬件清单!$F:$F,1,0)</f>
        <v>YDTSA26502F02D66D39</v>
      </c>
      <c r="K374" s="43"/>
      <c r="L374" s="44"/>
      <c r="M374" s="45" t="s">
        <v>1235</v>
      </c>
    </row>
    <row r="375" ht="30" customHeight="1" spans="1:13">
      <c r="A375" s="41">
        <f>IF(C375="","",SUBTOTAL(103,$C$2:C375))</f>
        <v>366</v>
      </c>
      <c r="B375" s="41">
        <v>382</v>
      </c>
      <c r="C375" s="41">
        <v>13154</v>
      </c>
      <c r="D375" s="41" t="s">
        <v>65</v>
      </c>
      <c r="E375" s="41" t="s">
        <v>220</v>
      </c>
      <c r="F375" s="41" t="s">
        <v>1193</v>
      </c>
      <c r="G375" s="41" t="s">
        <v>1236</v>
      </c>
      <c r="H375" s="41" t="s">
        <v>1237</v>
      </c>
      <c r="I375" s="43">
        <v>12</v>
      </c>
      <c r="J375" s="44" t="str">
        <f>VLOOKUP(G375,[1]硬件清单!$F:$F,1,0)</f>
        <v>YDTSA26502F02D66D38</v>
      </c>
      <c r="K375" s="43"/>
      <c r="L375" s="44"/>
      <c r="M375" s="45" t="s">
        <v>1238</v>
      </c>
    </row>
    <row r="376" ht="30" customHeight="1" spans="1:13">
      <c r="A376" s="41">
        <f>IF(C376="","",SUBTOTAL(103,$C$2:C376))</f>
        <v>367</v>
      </c>
      <c r="B376" s="41">
        <v>383</v>
      </c>
      <c r="C376" s="41">
        <v>13163</v>
      </c>
      <c r="D376" s="41" t="s">
        <v>65</v>
      </c>
      <c r="E376" s="41" t="s">
        <v>220</v>
      </c>
      <c r="F376" s="41" t="s">
        <v>1239</v>
      </c>
      <c r="G376" s="41" t="s">
        <v>1240</v>
      </c>
      <c r="H376" s="41" t="s">
        <v>1241</v>
      </c>
      <c r="I376" s="43">
        <v>12</v>
      </c>
      <c r="J376" s="44" t="str">
        <f>VLOOKUP(G376,[1]硬件清单!$F:$F,1,0)</f>
        <v>LVS2000S2F02B8D5E7</v>
      </c>
      <c r="K376" s="43"/>
      <c r="L376" s="44"/>
      <c r="M376" s="45" t="s">
        <v>1242</v>
      </c>
    </row>
    <row r="377" ht="30" customHeight="1" spans="1:13">
      <c r="A377" s="41">
        <f>IF(C377="","",SUBTOTAL(103,$C$2:C377))</f>
        <v>368</v>
      </c>
      <c r="B377" s="41">
        <v>384</v>
      </c>
      <c r="C377" s="41">
        <v>13162</v>
      </c>
      <c r="D377" s="41" t="s">
        <v>65</v>
      </c>
      <c r="E377" s="41" t="s">
        <v>220</v>
      </c>
      <c r="F377" s="41" t="s">
        <v>1239</v>
      </c>
      <c r="G377" s="41" t="s">
        <v>1243</v>
      </c>
      <c r="H377" s="41" t="s">
        <v>1244</v>
      </c>
      <c r="I377" s="43">
        <v>12</v>
      </c>
      <c r="J377" s="44" t="str">
        <f>VLOOKUP(G377,[1]硬件清单!$F:$F,1,0)</f>
        <v>LVS2000S2F02B8D5E5</v>
      </c>
      <c r="K377" s="43"/>
      <c r="L377" s="44"/>
      <c r="M377" s="45" t="s">
        <v>1245</v>
      </c>
    </row>
    <row r="378" ht="30" customHeight="1" spans="1:13">
      <c r="A378" s="41">
        <f>IF(C378="","",SUBTOTAL(103,$C$2:C378))</f>
        <v>369</v>
      </c>
      <c r="B378" s="41">
        <v>385</v>
      </c>
      <c r="C378" s="41">
        <v>13166</v>
      </c>
      <c r="D378" s="41" t="s">
        <v>65</v>
      </c>
      <c r="E378" s="41" t="s">
        <v>220</v>
      </c>
      <c r="F378" s="41" t="s">
        <v>1246</v>
      </c>
      <c r="G378" s="41" t="s">
        <v>1247</v>
      </c>
      <c r="H378" s="41" t="s">
        <v>1248</v>
      </c>
      <c r="I378" s="43">
        <v>12</v>
      </c>
      <c r="J378" s="44" t="str">
        <f>VLOOKUP(G378,[1]硬件清单!$F:$F,1,0)</f>
        <v>EME42802EFCEF805F</v>
      </c>
      <c r="K378" s="43"/>
      <c r="L378" s="44"/>
      <c r="M378" s="45" t="s">
        <v>1249</v>
      </c>
    </row>
    <row r="379" ht="30" customHeight="1" spans="1:13">
      <c r="A379" s="41">
        <f>IF(C379="","",SUBTOTAL(103,$C$2:C379))</f>
        <v>370</v>
      </c>
      <c r="B379" s="41">
        <v>386</v>
      </c>
      <c r="C379" s="41">
        <v>13176</v>
      </c>
      <c r="D379" s="41" t="s">
        <v>65</v>
      </c>
      <c r="E379" s="41" t="s">
        <v>220</v>
      </c>
      <c r="F379" s="41" t="s">
        <v>1204</v>
      </c>
      <c r="G379" s="41" t="s">
        <v>1250</v>
      </c>
      <c r="H379" s="41" t="s">
        <v>1251</v>
      </c>
      <c r="I379" s="43">
        <v>12</v>
      </c>
      <c r="J379" s="44" t="str">
        <f>VLOOKUP(G379,[1]硬件清单!$F:$F,1,0)</f>
        <v>YD-SW10G-242F02D841FD</v>
      </c>
      <c r="K379" s="43"/>
      <c r="L379" s="44"/>
      <c r="M379" s="45" t="s">
        <v>1252</v>
      </c>
    </row>
    <row r="380" ht="43" customHeight="1" spans="1:13">
      <c r="A380" s="41">
        <f>IF(C380="","",SUBTOTAL(103,$C$2:C380))</f>
        <v>371</v>
      </c>
      <c r="B380" s="41">
        <v>387</v>
      </c>
      <c r="C380" s="41">
        <v>13175</v>
      </c>
      <c r="D380" s="41" t="s">
        <v>65</v>
      </c>
      <c r="E380" s="41" t="s">
        <v>220</v>
      </c>
      <c r="F380" s="41" t="s">
        <v>1204</v>
      </c>
      <c r="G380" s="41" t="s">
        <v>1253</v>
      </c>
      <c r="H380" s="41" t="s">
        <v>1254</v>
      </c>
      <c r="I380" s="43">
        <v>12</v>
      </c>
      <c r="J380" s="44" t="str">
        <f>VLOOKUP(G380,[1]硬件清单!$F:$F,1,0)</f>
        <v>YD-SW10G-242F02D84207</v>
      </c>
      <c r="K380" s="43"/>
      <c r="L380" s="44"/>
      <c r="M380" s="45" t="s">
        <v>1255</v>
      </c>
    </row>
    <row r="381" ht="30" customHeight="1" spans="1:13">
      <c r="A381" s="41">
        <f>IF(C381="","",SUBTOTAL(103,$C$2:C381))</f>
        <v>372</v>
      </c>
      <c r="B381" s="41">
        <v>388</v>
      </c>
      <c r="C381" s="41">
        <v>13174</v>
      </c>
      <c r="D381" s="41" t="s">
        <v>65</v>
      </c>
      <c r="E381" s="41" t="s">
        <v>220</v>
      </c>
      <c r="F381" s="41" t="s">
        <v>1204</v>
      </c>
      <c r="G381" s="41" t="s">
        <v>1256</v>
      </c>
      <c r="H381" s="41" t="s">
        <v>1257</v>
      </c>
      <c r="I381" s="43">
        <v>12</v>
      </c>
      <c r="J381" s="44" t="str">
        <f>VLOOKUP(G381,[1]硬件清单!$F:$F,1,0)</f>
        <v>YD-SW10G-242F02D84204</v>
      </c>
      <c r="K381" s="43"/>
      <c r="L381" s="44"/>
      <c r="M381" s="45" t="s">
        <v>1258</v>
      </c>
    </row>
    <row r="382" ht="30" customHeight="1" spans="1:13">
      <c r="A382" s="41">
        <f>IF(C382="","",SUBTOTAL(103,$C$2:C382))</f>
        <v>373</v>
      </c>
      <c r="B382" s="41">
        <v>389</v>
      </c>
      <c r="C382" s="41">
        <v>13173</v>
      </c>
      <c r="D382" s="41" t="s">
        <v>65</v>
      </c>
      <c r="E382" s="41" t="s">
        <v>220</v>
      </c>
      <c r="F382" s="41" t="s">
        <v>1204</v>
      </c>
      <c r="G382" s="41" t="s">
        <v>1259</v>
      </c>
      <c r="H382" s="41" t="s">
        <v>1260</v>
      </c>
      <c r="I382" s="43">
        <v>12</v>
      </c>
      <c r="J382" s="44" t="str">
        <f>VLOOKUP(G382,[1]硬件清单!$F:$F,1,0)</f>
        <v>YD-SW10G-242F02D84201</v>
      </c>
      <c r="K382" s="43"/>
      <c r="L382" s="44"/>
      <c r="M382" s="45" t="s">
        <v>1261</v>
      </c>
    </row>
    <row r="383" ht="30" customHeight="1" spans="1:13">
      <c r="A383" s="41">
        <f>IF(C383="","",SUBTOTAL(103,$C$2:C383))</f>
        <v>374</v>
      </c>
      <c r="B383" s="41">
        <v>390</v>
      </c>
      <c r="C383" s="41">
        <v>13151</v>
      </c>
      <c r="D383" s="41" t="s">
        <v>65</v>
      </c>
      <c r="E383" s="41" t="s">
        <v>220</v>
      </c>
      <c r="F383" s="41" t="s">
        <v>1193</v>
      </c>
      <c r="G383" s="41" t="s">
        <v>1262</v>
      </c>
      <c r="H383" s="41" t="s">
        <v>1263</v>
      </c>
      <c r="I383" s="43">
        <v>12</v>
      </c>
      <c r="J383" s="44" t="str">
        <f>VLOOKUP(G383,[1]硬件清单!$F:$F,1,0)</f>
        <v>YDTSA26502F02D66D3A</v>
      </c>
      <c r="K383" s="43"/>
      <c r="L383" s="44"/>
      <c r="M383" s="45" t="s">
        <v>1264</v>
      </c>
    </row>
    <row r="384" ht="30" customHeight="1" spans="1:13">
      <c r="A384" s="41">
        <f>IF(C384="","",SUBTOTAL(103,$C$2:C384))</f>
        <v>375</v>
      </c>
      <c r="B384" s="41">
        <v>391</v>
      </c>
      <c r="C384" s="41">
        <v>13150</v>
      </c>
      <c r="D384" s="41" t="s">
        <v>65</v>
      </c>
      <c r="E384" s="41" t="s">
        <v>220</v>
      </c>
      <c r="F384" s="41" t="s">
        <v>1193</v>
      </c>
      <c r="G384" s="41" t="s">
        <v>1265</v>
      </c>
      <c r="H384" s="41" t="s">
        <v>1266</v>
      </c>
      <c r="I384" s="43">
        <v>12</v>
      </c>
      <c r="J384" s="44" t="str">
        <f>VLOOKUP(G384,[1]硬件清单!$F:$F,1,0)</f>
        <v>YDTSA26502F02D66D31</v>
      </c>
      <c r="K384" s="43"/>
      <c r="L384" s="44"/>
      <c r="M384" s="45" t="s">
        <v>1267</v>
      </c>
    </row>
    <row r="385" ht="30" customHeight="1" spans="1:13">
      <c r="A385" s="41">
        <f>IF(C385="","",SUBTOTAL(103,$C$2:C385))</f>
        <v>376</v>
      </c>
      <c r="B385" s="41">
        <v>392</v>
      </c>
      <c r="C385" s="41">
        <v>13165</v>
      </c>
      <c r="D385" s="41" t="s">
        <v>65</v>
      </c>
      <c r="E385" s="41" t="s">
        <v>220</v>
      </c>
      <c r="F385" s="41" t="s">
        <v>1239</v>
      </c>
      <c r="G385" s="41" t="s">
        <v>1268</v>
      </c>
      <c r="H385" s="41" t="s">
        <v>1269</v>
      </c>
      <c r="I385" s="43">
        <v>12</v>
      </c>
      <c r="J385" s="44" t="str">
        <f>VLOOKUP(G385,[1]硬件清单!$F:$F,1,0)</f>
        <v>LVS2000S2F02B8D5E8</v>
      </c>
      <c r="K385" s="43"/>
      <c r="L385" s="44"/>
      <c r="M385" s="45" t="s">
        <v>1270</v>
      </c>
    </row>
    <row r="386" ht="30" customHeight="1" spans="1:13">
      <c r="A386" s="41">
        <f>IF(C386="","",SUBTOTAL(103,$C$2:C386))</f>
        <v>377</v>
      </c>
      <c r="B386" s="41">
        <v>393</v>
      </c>
      <c r="C386" s="41">
        <v>13164</v>
      </c>
      <c r="D386" s="41" t="s">
        <v>65</v>
      </c>
      <c r="E386" s="41" t="s">
        <v>220</v>
      </c>
      <c r="F386" s="41" t="s">
        <v>1239</v>
      </c>
      <c r="G386" s="41" t="s">
        <v>1271</v>
      </c>
      <c r="H386" s="41" t="s">
        <v>1272</v>
      </c>
      <c r="I386" s="43">
        <v>12</v>
      </c>
      <c r="J386" s="44" t="str">
        <f>VLOOKUP(G386,[1]硬件清单!$F:$F,1,0)</f>
        <v>LVS2000S2F02B8D5E6</v>
      </c>
      <c r="K386" s="43"/>
      <c r="L386" s="44"/>
      <c r="M386" s="45" t="s">
        <v>1273</v>
      </c>
    </row>
    <row r="387" ht="30" customHeight="1" spans="1:13">
      <c r="A387" s="41">
        <f>IF(C387="","",SUBTOTAL(103,$C$2:C387))</f>
        <v>378</v>
      </c>
      <c r="B387" s="41">
        <v>394</v>
      </c>
      <c r="C387" s="41">
        <v>13180</v>
      </c>
      <c r="D387" s="41" t="s">
        <v>65</v>
      </c>
      <c r="E387" s="41" t="s">
        <v>220</v>
      </c>
      <c r="F387" s="41" t="s">
        <v>1204</v>
      </c>
      <c r="G387" s="41" t="s">
        <v>1274</v>
      </c>
      <c r="H387" s="41" t="s">
        <v>1275</v>
      </c>
      <c r="I387" s="43">
        <v>12</v>
      </c>
      <c r="J387" s="44" t="str">
        <f>VLOOKUP(G387,[1]硬件清单!$F:$F,1,0)</f>
        <v>YD-SW10G-242F02D841FE</v>
      </c>
      <c r="K387" s="43"/>
      <c r="L387" s="44"/>
      <c r="M387" s="45" t="s">
        <v>1276</v>
      </c>
    </row>
    <row r="388" ht="30" customHeight="1" spans="1:13">
      <c r="A388" s="41">
        <f>IF(C388="","",SUBTOTAL(103,$C$2:C388))</f>
        <v>379</v>
      </c>
      <c r="B388" s="41">
        <v>395</v>
      </c>
      <c r="C388" s="41">
        <v>13159</v>
      </c>
      <c r="D388" s="41" t="s">
        <v>65</v>
      </c>
      <c r="E388" s="41" t="s">
        <v>220</v>
      </c>
      <c r="F388" s="41" t="s">
        <v>1223</v>
      </c>
      <c r="G388" s="41" t="s">
        <v>1277</v>
      </c>
      <c r="H388" s="41" t="s">
        <v>1278</v>
      </c>
      <c r="I388" s="43">
        <v>12</v>
      </c>
      <c r="J388" s="44" t="str">
        <f>VLOOKUP(G388,[1]硬件清单!$F:$F,1,0)</f>
        <v>ASG1000-III2F02D64628</v>
      </c>
      <c r="K388" s="44"/>
      <c r="L388" s="44"/>
      <c r="M388" s="45" t="s">
        <v>1279</v>
      </c>
    </row>
    <row r="389" ht="30" customHeight="1" spans="1:13">
      <c r="A389" s="41">
        <f>IF(C389="","",SUBTOTAL(103,$C$2:C389))</f>
        <v>380</v>
      </c>
      <c r="B389" s="41">
        <v>396</v>
      </c>
      <c r="C389" s="41">
        <v>13179</v>
      </c>
      <c r="D389" s="41" t="s">
        <v>65</v>
      </c>
      <c r="E389" s="41" t="s">
        <v>220</v>
      </c>
      <c r="F389" s="41" t="s">
        <v>1204</v>
      </c>
      <c r="G389" s="41" t="s">
        <v>1280</v>
      </c>
      <c r="H389" s="41" t="s">
        <v>1281</v>
      </c>
      <c r="I389" s="43">
        <v>12</v>
      </c>
      <c r="J389" s="44" t="str">
        <f>VLOOKUP(G389,[1]硬件清单!$F:$F,1,0)</f>
        <v>YD-SW10G-242F02D84208</v>
      </c>
      <c r="K389" s="43"/>
      <c r="L389" s="44"/>
      <c r="M389" s="45" t="s">
        <v>1282</v>
      </c>
    </row>
    <row r="390" ht="30" customHeight="1" spans="1:13">
      <c r="A390" s="41">
        <f>IF(C390="","",SUBTOTAL(103,$C$2:C390))</f>
        <v>381</v>
      </c>
      <c r="B390" s="41">
        <v>397</v>
      </c>
      <c r="C390" s="41">
        <v>13178</v>
      </c>
      <c r="D390" s="41" t="s">
        <v>65</v>
      </c>
      <c r="E390" s="41" t="s">
        <v>220</v>
      </c>
      <c r="F390" s="41" t="s">
        <v>1204</v>
      </c>
      <c r="G390" s="41" t="s">
        <v>1283</v>
      </c>
      <c r="H390" s="41" t="s">
        <v>1284</v>
      </c>
      <c r="I390" s="43">
        <v>12</v>
      </c>
      <c r="J390" s="44" t="str">
        <f>VLOOKUP(G390,[1]硬件清单!$F:$F,1,0)</f>
        <v>YD-SW10G-242F02D84205</v>
      </c>
      <c r="K390" s="43"/>
      <c r="L390" s="44"/>
      <c r="M390" s="45" t="s">
        <v>1285</v>
      </c>
    </row>
    <row r="391" ht="30" customHeight="1" spans="1:13">
      <c r="A391" s="41">
        <f>IF(C391="","",SUBTOTAL(103,$C$2:C391))</f>
        <v>382</v>
      </c>
      <c r="B391" s="41">
        <v>398</v>
      </c>
      <c r="C391" s="41">
        <v>13177</v>
      </c>
      <c r="D391" s="41" t="s">
        <v>65</v>
      </c>
      <c r="E391" s="41" t="s">
        <v>220</v>
      </c>
      <c r="F391" s="41" t="s">
        <v>1204</v>
      </c>
      <c r="G391" s="41" t="s">
        <v>1286</v>
      </c>
      <c r="H391" s="41" t="s">
        <v>1287</v>
      </c>
      <c r="I391" s="43">
        <v>12</v>
      </c>
      <c r="J391" s="44" t="str">
        <f>VLOOKUP(G391,[1]硬件清单!$F:$F,1,0)</f>
        <v>YD-SW10G-242F02D84202</v>
      </c>
      <c r="K391" s="43"/>
      <c r="L391" s="44"/>
      <c r="M391" s="45" t="s">
        <v>1288</v>
      </c>
    </row>
    <row r="392" ht="30" customHeight="1" spans="1:13">
      <c r="A392" s="41">
        <f>IF(C392="","",SUBTOTAL(103,$C$2:C392))</f>
        <v>383</v>
      </c>
      <c r="B392" s="41">
        <v>399</v>
      </c>
      <c r="C392" s="41">
        <v>13158</v>
      </c>
      <c r="D392" s="41" t="s">
        <v>65</v>
      </c>
      <c r="E392" s="41" t="s">
        <v>220</v>
      </c>
      <c r="F392" s="41" t="s">
        <v>1223</v>
      </c>
      <c r="G392" s="41" t="s">
        <v>1289</v>
      </c>
      <c r="H392" s="41" t="s">
        <v>1290</v>
      </c>
      <c r="I392" s="43">
        <v>12</v>
      </c>
      <c r="J392" s="44" t="str">
        <f>VLOOKUP(G392,[1]硬件清单!$F:$F,1,0)</f>
        <v>ASG1000-III2F02D64627</v>
      </c>
      <c r="K392" s="44"/>
      <c r="L392" s="44"/>
      <c r="M392" s="45" t="s">
        <v>1291</v>
      </c>
    </row>
    <row r="393" ht="30" customHeight="1" spans="1:13">
      <c r="A393" s="41">
        <f>IF(C393="","",SUBTOTAL(103,$C$2:C393))</f>
        <v>384</v>
      </c>
      <c r="B393" s="41">
        <v>400</v>
      </c>
      <c r="C393" s="41">
        <v>13153</v>
      </c>
      <c r="D393" s="41" t="s">
        <v>65</v>
      </c>
      <c r="E393" s="41" t="s">
        <v>220</v>
      </c>
      <c r="F393" s="41" t="s">
        <v>1193</v>
      </c>
      <c r="G393" s="41" t="s">
        <v>1292</v>
      </c>
      <c r="H393" s="41" t="s">
        <v>1293</v>
      </c>
      <c r="I393" s="43">
        <v>12</v>
      </c>
      <c r="J393" s="44" t="str">
        <f>VLOOKUP(G393,[1]硬件清单!$F:$F,1,0)</f>
        <v>YDTSA26502F02D66D37</v>
      </c>
      <c r="K393" s="43"/>
      <c r="L393" s="44"/>
      <c r="M393" s="45" t="s">
        <v>1294</v>
      </c>
    </row>
    <row r="394" ht="30" customHeight="1" spans="1:13">
      <c r="A394" s="41">
        <f>IF(C394="","",SUBTOTAL(103,$C$2:C394))</f>
        <v>385</v>
      </c>
      <c r="B394" s="41">
        <v>401</v>
      </c>
      <c r="C394" s="41">
        <v>13152</v>
      </c>
      <c r="D394" s="41" t="s">
        <v>65</v>
      </c>
      <c r="E394" s="41" t="s">
        <v>220</v>
      </c>
      <c r="F394" s="41" t="s">
        <v>1193</v>
      </c>
      <c r="G394" s="41" t="s">
        <v>1295</v>
      </c>
      <c r="H394" s="41" t="s">
        <v>1296</v>
      </c>
      <c r="I394" s="43">
        <v>12</v>
      </c>
      <c r="J394" s="44" t="str">
        <f>VLOOKUP(G394,[1]硬件清单!$F:$F,1,0)</f>
        <v>YDTSA26502F02D66D36</v>
      </c>
      <c r="K394" s="43"/>
      <c r="L394" s="44"/>
      <c r="M394" s="45" t="s">
        <v>1297</v>
      </c>
    </row>
    <row r="395" ht="30" customHeight="1" spans="1:13">
      <c r="A395" s="41">
        <f>IF(C395="","",SUBTOTAL(103,$C$2:C395))</f>
        <v>386</v>
      </c>
      <c r="B395" s="41">
        <v>402</v>
      </c>
      <c r="C395" s="41">
        <v>13513</v>
      </c>
      <c r="D395" s="41" t="s">
        <v>45</v>
      </c>
      <c r="E395" s="41" t="s">
        <v>1298</v>
      </c>
      <c r="F395" s="41" t="s">
        <v>1299</v>
      </c>
      <c r="G395" s="41" t="s">
        <v>1300</v>
      </c>
      <c r="H395" s="41" t="s">
        <v>1301</v>
      </c>
      <c r="I395" s="43">
        <v>12</v>
      </c>
      <c r="J395" s="44" t="str">
        <f>VLOOKUP(G395,[1]硬件清单!$F:$F,1,0)</f>
        <v>DE500194300143</v>
      </c>
      <c r="K395" s="43"/>
      <c r="L395" s="44"/>
      <c r="M395" s="45" t="s">
        <v>1302</v>
      </c>
    </row>
    <row r="396" ht="30" customHeight="1" spans="1:13">
      <c r="A396" s="41">
        <f>IF(C396="","",SUBTOTAL(103,$C$2:C396))</f>
        <v>387</v>
      </c>
      <c r="B396" s="41">
        <v>403</v>
      </c>
      <c r="C396" s="41">
        <v>13512</v>
      </c>
      <c r="D396" s="41" t="s">
        <v>45</v>
      </c>
      <c r="E396" s="41" t="s">
        <v>1298</v>
      </c>
      <c r="F396" s="41" t="s">
        <v>1299</v>
      </c>
      <c r="G396" s="41" t="s">
        <v>1303</v>
      </c>
      <c r="H396" s="41" t="s">
        <v>1304</v>
      </c>
      <c r="I396" s="43">
        <v>12</v>
      </c>
      <c r="J396" s="44" t="str">
        <f>VLOOKUP(G396,[1]硬件清单!$F:$F,1,0)</f>
        <v>DE500194300144</v>
      </c>
      <c r="K396" s="43"/>
      <c r="L396" s="44"/>
      <c r="M396" s="45" t="s">
        <v>1305</v>
      </c>
    </row>
    <row r="397" ht="30" customHeight="1" spans="1:13">
      <c r="A397" s="41">
        <f>IF(C397="","",SUBTOTAL(103,$C$2:C397))</f>
        <v>388</v>
      </c>
      <c r="B397" s="41">
        <v>404</v>
      </c>
      <c r="C397" s="41">
        <v>13511</v>
      </c>
      <c r="D397" s="41" t="s">
        <v>45</v>
      </c>
      <c r="E397" s="41" t="s">
        <v>1298</v>
      </c>
      <c r="F397" s="41" t="s">
        <v>1299</v>
      </c>
      <c r="G397" s="41" t="s">
        <v>1306</v>
      </c>
      <c r="H397" s="41" t="s">
        <v>1307</v>
      </c>
      <c r="I397" s="43">
        <v>12</v>
      </c>
      <c r="J397" s="44" t="str">
        <f>VLOOKUP(G397,[1]硬件清单!$F:$F,1,0)</f>
        <v>DE500194300145</v>
      </c>
      <c r="K397" s="43"/>
      <c r="L397" s="44"/>
      <c r="M397" s="45" t="s">
        <v>1308</v>
      </c>
    </row>
    <row r="398" ht="30" customHeight="1" spans="1:13">
      <c r="A398" s="41">
        <f>IF(C398="","",SUBTOTAL(103,$C$2:C398))</f>
        <v>389</v>
      </c>
      <c r="B398" s="41">
        <v>405</v>
      </c>
      <c r="C398" s="41">
        <v>13510</v>
      </c>
      <c r="D398" s="41" t="s">
        <v>45</v>
      </c>
      <c r="E398" s="41" t="s">
        <v>1298</v>
      </c>
      <c r="F398" s="41" t="s">
        <v>1299</v>
      </c>
      <c r="G398" s="41" t="s">
        <v>1309</v>
      </c>
      <c r="H398" s="41" t="s">
        <v>1310</v>
      </c>
      <c r="I398" s="43">
        <v>12</v>
      </c>
      <c r="J398" s="44" t="str">
        <f>VLOOKUP(G398,[1]硬件清单!$F:$F,1,0)</f>
        <v>DE500194300146</v>
      </c>
      <c r="K398" s="43"/>
      <c r="L398" s="44"/>
      <c r="M398" s="45" t="s">
        <v>1311</v>
      </c>
    </row>
    <row r="399" ht="30" customHeight="1" spans="1:13">
      <c r="A399" s="41">
        <f>IF(C399="","",SUBTOTAL(103,$C$2:C399))</f>
        <v>390</v>
      </c>
      <c r="B399" s="41">
        <v>406</v>
      </c>
      <c r="C399" s="41">
        <v>13509</v>
      </c>
      <c r="D399" s="41" t="s">
        <v>45</v>
      </c>
      <c r="E399" s="41" t="s">
        <v>1298</v>
      </c>
      <c r="F399" s="41" t="s">
        <v>1299</v>
      </c>
      <c r="G399" s="41" t="s">
        <v>1312</v>
      </c>
      <c r="H399" s="41" t="s">
        <v>1313</v>
      </c>
      <c r="I399" s="43">
        <v>12</v>
      </c>
      <c r="J399" s="44" t="str">
        <f>VLOOKUP(G399,[1]硬件清单!$F:$F,1,0)</f>
        <v>DE500194300147</v>
      </c>
      <c r="K399" s="43"/>
      <c r="L399" s="44"/>
      <c r="M399" s="45" t="s">
        <v>1314</v>
      </c>
    </row>
    <row r="400" ht="30" customHeight="1" spans="1:13">
      <c r="A400" s="41">
        <f>IF(C400="","",SUBTOTAL(103,$C$2:C400))</f>
        <v>391</v>
      </c>
      <c r="B400" s="41">
        <v>407</v>
      </c>
      <c r="C400" s="41">
        <v>13508</v>
      </c>
      <c r="D400" s="41" t="s">
        <v>45</v>
      </c>
      <c r="E400" s="41" t="s">
        <v>1298</v>
      </c>
      <c r="F400" s="41" t="s">
        <v>1299</v>
      </c>
      <c r="G400" s="41" t="s">
        <v>1315</v>
      </c>
      <c r="H400" s="41" t="s">
        <v>1316</v>
      </c>
      <c r="I400" s="43">
        <v>12</v>
      </c>
      <c r="J400" s="44" t="str">
        <f>VLOOKUP(G400,[1]硬件清单!$F:$F,1,0)</f>
        <v>DE500194300148</v>
      </c>
      <c r="K400" s="43"/>
      <c r="L400" s="44"/>
      <c r="M400" s="45" t="s">
        <v>1317</v>
      </c>
    </row>
    <row r="401" ht="30" customHeight="1" spans="1:13">
      <c r="A401" s="41">
        <f>IF(C401="","",SUBTOTAL(103,$C$2:C401))</f>
        <v>392</v>
      </c>
      <c r="B401" s="41">
        <v>408</v>
      </c>
      <c r="C401" s="41">
        <v>13507</v>
      </c>
      <c r="D401" s="41" t="s">
        <v>45</v>
      </c>
      <c r="E401" s="41" t="s">
        <v>1298</v>
      </c>
      <c r="F401" s="41" t="s">
        <v>1299</v>
      </c>
      <c r="G401" s="41" t="s">
        <v>1318</v>
      </c>
      <c r="H401" s="41" t="s">
        <v>1319</v>
      </c>
      <c r="I401" s="43">
        <v>12</v>
      </c>
      <c r="J401" s="44" t="str">
        <f>VLOOKUP(G401,[1]硬件清单!$F:$F,1,0)</f>
        <v>DE500194300149</v>
      </c>
      <c r="K401" s="43"/>
      <c r="L401" s="44"/>
      <c r="M401" s="45" t="s">
        <v>1320</v>
      </c>
    </row>
    <row r="402" ht="30" customHeight="1" spans="1:13">
      <c r="A402" s="41">
        <f>IF(C402="","",SUBTOTAL(103,$C$2:C402))</f>
        <v>393</v>
      </c>
      <c r="B402" s="41">
        <v>409</v>
      </c>
      <c r="C402" s="41">
        <v>13516</v>
      </c>
      <c r="D402" s="41" t="s">
        <v>45</v>
      </c>
      <c r="E402" s="41" t="s">
        <v>1298</v>
      </c>
      <c r="F402" s="41" t="s">
        <v>1299</v>
      </c>
      <c r="G402" s="41" t="s">
        <v>1321</v>
      </c>
      <c r="H402" s="41" t="s">
        <v>1322</v>
      </c>
      <c r="I402" s="43">
        <v>12</v>
      </c>
      <c r="J402" s="44" t="str">
        <f>VLOOKUP(G402,[1]硬件清单!$F:$F,1,0)</f>
        <v>DE500194300140</v>
      </c>
      <c r="K402" s="43"/>
      <c r="L402" s="44"/>
      <c r="M402" s="45" t="s">
        <v>1323</v>
      </c>
    </row>
    <row r="403" ht="30" customHeight="1" spans="1:13">
      <c r="A403" s="41">
        <f>IF(C403="","",SUBTOTAL(103,$C$2:C403))</f>
        <v>394</v>
      </c>
      <c r="B403" s="41">
        <v>410</v>
      </c>
      <c r="C403" s="41">
        <v>13515</v>
      </c>
      <c r="D403" s="41" t="s">
        <v>45</v>
      </c>
      <c r="E403" s="41" t="s">
        <v>1298</v>
      </c>
      <c r="F403" s="41" t="s">
        <v>1299</v>
      </c>
      <c r="G403" s="41" t="s">
        <v>1324</v>
      </c>
      <c r="H403" s="41" t="s">
        <v>1325</v>
      </c>
      <c r="I403" s="43">
        <v>12</v>
      </c>
      <c r="J403" s="44" t="str">
        <f>VLOOKUP(G403,[1]硬件清单!$F:$F,1,0)</f>
        <v>DE500194300141</v>
      </c>
      <c r="K403" s="43"/>
      <c r="L403" s="44"/>
      <c r="M403" s="45" t="s">
        <v>1326</v>
      </c>
    </row>
    <row r="404" ht="30" customHeight="1" spans="1:13">
      <c r="A404" s="41">
        <f>IF(C404="","",SUBTOTAL(103,$C$2:C404))</f>
        <v>395</v>
      </c>
      <c r="B404" s="41">
        <v>411</v>
      </c>
      <c r="C404" s="41">
        <v>13514</v>
      </c>
      <c r="D404" s="41" t="s">
        <v>45</v>
      </c>
      <c r="E404" s="41" t="s">
        <v>1298</v>
      </c>
      <c r="F404" s="41" t="s">
        <v>1299</v>
      </c>
      <c r="G404" s="41" t="s">
        <v>1327</v>
      </c>
      <c r="H404" s="41" t="s">
        <v>1328</v>
      </c>
      <c r="I404" s="43">
        <v>12</v>
      </c>
      <c r="J404" s="44" t="str">
        <f>VLOOKUP(G404,[1]硬件清单!$F:$F,1,0)</f>
        <v>DE500194300142</v>
      </c>
      <c r="K404" s="43"/>
      <c r="L404" s="44"/>
      <c r="M404" s="45" t="s">
        <v>1329</v>
      </c>
    </row>
    <row r="405" ht="30" customHeight="1" spans="1:13">
      <c r="A405" s="41">
        <f>IF(C405="","",SUBTOTAL(103,$C$2:C405))</f>
        <v>396</v>
      </c>
      <c r="B405" s="41">
        <v>412</v>
      </c>
      <c r="C405" s="41">
        <v>13523</v>
      </c>
      <c r="D405" s="41" t="s">
        <v>45</v>
      </c>
      <c r="E405" s="41" t="s">
        <v>1298</v>
      </c>
      <c r="F405" s="41" t="s">
        <v>1299</v>
      </c>
      <c r="G405" s="41" t="s">
        <v>1330</v>
      </c>
      <c r="H405" s="41" t="s">
        <v>1331</v>
      </c>
      <c r="I405" s="43">
        <v>12</v>
      </c>
      <c r="J405" s="44" t="str">
        <f>VLOOKUP(G405,[1]硬件清单!$F:$F,1,0)</f>
        <v>DE500194300153</v>
      </c>
      <c r="K405" s="43"/>
      <c r="L405" s="44"/>
      <c r="M405" s="45" t="s">
        <v>1332</v>
      </c>
    </row>
    <row r="406" ht="30" customHeight="1" spans="1:13">
      <c r="A406" s="41">
        <f>IF(C406="","",SUBTOTAL(103,$C$2:C406))</f>
        <v>397</v>
      </c>
      <c r="B406" s="41">
        <v>413</v>
      </c>
      <c r="C406" s="41">
        <v>13522</v>
      </c>
      <c r="D406" s="41" t="s">
        <v>45</v>
      </c>
      <c r="E406" s="41" t="s">
        <v>1298</v>
      </c>
      <c r="F406" s="41" t="s">
        <v>1299</v>
      </c>
      <c r="G406" s="41" t="s">
        <v>1333</v>
      </c>
      <c r="H406" s="41" t="s">
        <v>1334</v>
      </c>
      <c r="I406" s="43">
        <v>12</v>
      </c>
      <c r="J406" s="44" t="str">
        <f>VLOOKUP(G406,[1]硬件清单!$F:$F,1,0)</f>
        <v>DE500194300154</v>
      </c>
      <c r="K406" s="43"/>
      <c r="L406" s="44"/>
      <c r="M406" s="45" t="s">
        <v>1335</v>
      </c>
    </row>
    <row r="407" ht="30" customHeight="1" spans="1:13">
      <c r="A407" s="41">
        <f>IF(C407="","",SUBTOTAL(103,$C$2:C407))</f>
        <v>398</v>
      </c>
      <c r="B407" s="41">
        <v>414</v>
      </c>
      <c r="C407" s="41">
        <v>13521</v>
      </c>
      <c r="D407" s="41" t="s">
        <v>45</v>
      </c>
      <c r="E407" s="41" t="s">
        <v>1298</v>
      </c>
      <c r="F407" s="41" t="s">
        <v>1299</v>
      </c>
      <c r="G407" s="41" t="s">
        <v>1336</v>
      </c>
      <c r="H407" s="41" t="s">
        <v>1337</v>
      </c>
      <c r="I407" s="43">
        <v>12</v>
      </c>
      <c r="J407" s="44" t="str">
        <f>VLOOKUP(G407,[1]硬件清单!$F:$F,1,0)</f>
        <v>DE500194300155</v>
      </c>
      <c r="K407" s="43"/>
      <c r="L407" s="44"/>
      <c r="M407" s="45" t="s">
        <v>1338</v>
      </c>
    </row>
    <row r="408" ht="30" customHeight="1" spans="1:13">
      <c r="A408" s="41">
        <f>IF(C408="","",SUBTOTAL(103,$C$2:C408))</f>
        <v>399</v>
      </c>
      <c r="B408" s="41">
        <v>415</v>
      </c>
      <c r="C408" s="41">
        <v>13520</v>
      </c>
      <c r="D408" s="41" t="s">
        <v>45</v>
      </c>
      <c r="E408" s="41" t="s">
        <v>1298</v>
      </c>
      <c r="F408" s="41" t="s">
        <v>1299</v>
      </c>
      <c r="G408" s="41" t="s">
        <v>1339</v>
      </c>
      <c r="H408" s="41" t="s">
        <v>1340</v>
      </c>
      <c r="I408" s="43">
        <v>12</v>
      </c>
      <c r="J408" s="44" t="str">
        <f>VLOOKUP(G408,[1]硬件清单!$F:$F,1,0)</f>
        <v>DE500194300156</v>
      </c>
      <c r="K408" s="43"/>
      <c r="L408" s="44"/>
      <c r="M408" s="45" t="s">
        <v>1341</v>
      </c>
    </row>
    <row r="409" ht="30" customHeight="1" spans="1:13">
      <c r="A409" s="41">
        <f>IF(C409="","",SUBTOTAL(103,$C$2:C409))</f>
        <v>400</v>
      </c>
      <c r="B409" s="41">
        <v>416</v>
      </c>
      <c r="C409" s="41">
        <v>13519</v>
      </c>
      <c r="D409" s="41" t="s">
        <v>45</v>
      </c>
      <c r="E409" s="41" t="s">
        <v>1298</v>
      </c>
      <c r="F409" s="41" t="s">
        <v>1299</v>
      </c>
      <c r="G409" s="41" t="s">
        <v>1342</v>
      </c>
      <c r="H409" s="41" t="s">
        <v>1343</v>
      </c>
      <c r="I409" s="43">
        <v>12</v>
      </c>
      <c r="J409" s="44" t="str">
        <f>VLOOKUP(G409,[1]硬件清单!$F:$F,1,0)</f>
        <v>DE500194300157</v>
      </c>
      <c r="K409" s="43"/>
      <c r="L409" s="44"/>
      <c r="M409" s="45" t="s">
        <v>1344</v>
      </c>
    </row>
    <row r="410" ht="30" customHeight="1" spans="1:13">
      <c r="A410" s="41">
        <f>IF(C410="","",SUBTOTAL(103,$C$2:C410))</f>
        <v>401</v>
      </c>
      <c r="B410" s="41">
        <v>417</v>
      </c>
      <c r="C410" s="41">
        <v>13518</v>
      </c>
      <c r="D410" s="41" t="s">
        <v>45</v>
      </c>
      <c r="E410" s="41" t="s">
        <v>1298</v>
      </c>
      <c r="F410" s="41" t="s">
        <v>1299</v>
      </c>
      <c r="G410" s="41" t="s">
        <v>1345</v>
      </c>
      <c r="H410" s="41" t="s">
        <v>1346</v>
      </c>
      <c r="I410" s="43">
        <v>12</v>
      </c>
      <c r="J410" s="44" t="str">
        <f>VLOOKUP(G410,[1]硬件清单!$F:$F,1,0)</f>
        <v>DE500194300158</v>
      </c>
      <c r="K410" s="43"/>
      <c r="L410" s="44"/>
      <c r="M410" s="45" t="s">
        <v>1347</v>
      </c>
    </row>
    <row r="411" ht="30" customHeight="1" spans="1:13">
      <c r="A411" s="41">
        <f>IF(C411="","",SUBTOTAL(103,$C$2:C411))</f>
        <v>402</v>
      </c>
      <c r="B411" s="41">
        <v>418</v>
      </c>
      <c r="C411" s="41">
        <v>13517</v>
      </c>
      <c r="D411" s="41" t="s">
        <v>45</v>
      </c>
      <c r="E411" s="41" t="s">
        <v>1298</v>
      </c>
      <c r="F411" s="41" t="s">
        <v>1299</v>
      </c>
      <c r="G411" s="41" t="s">
        <v>1348</v>
      </c>
      <c r="H411" s="41" t="s">
        <v>1349</v>
      </c>
      <c r="I411" s="43">
        <v>12</v>
      </c>
      <c r="J411" s="44" t="str">
        <f>VLOOKUP(G411,[1]硬件清单!$F:$F,1,0)</f>
        <v>DE500194300159</v>
      </c>
      <c r="K411" s="43"/>
      <c r="L411" s="44"/>
      <c r="M411" s="45" t="s">
        <v>1350</v>
      </c>
    </row>
    <row r="412" ht="30" customHeight="1" spans="1:13">
      <c r="A412" s="41">
        <f>IF(C412="","",SUBTOTAL(103,$C$2:C412))</f>
        <v>403</v>
      </c>
      <c r="B412" s="41">
        <v>419</v>
      </c>
      <c r="C412" s="41">
        <v>13526</v>
      </c>
      <c r="D412" s="41" t="s">
        <v>45</v>
      </c>
      <c r="E412" s="41" t="s">
        <v>1298</v>
      </c>
      <c r="F412" s="41" t="s">
        <v>1299</v>
      </c>
      <c r="G412" s="41" t="s">
        <v>1351</v>
      </c>
      <c r="H412" s="41" t="s">
        <v>1352</v>
      </c>
      <c r="I412" s="43">
        <v>12</v>
      </c>
      <c r="J412" s="44" t="str">
        <f>VLOOKUP(G412,[1]硬件清单!$F:$F,1,0)</f>
        <v>DE500194300150</v>
      </c>
      <c r="K412" s="43"/>
      <c r="L412" s="44"/>
      <c r="M412" s="45" t="s">
        <v>1353</v>
      </c>
    </row>
    <row r="413" ht="30" customHeight="1" spans="1:13">
      <c r="A413" s="41">
        <f>IF(C413="","",SUBTOTAL(103,$C$2:C413))</f>
        <v>404</v>
      </c>
      <c r="B413" s="41">
        <v>420</v>
      </c>
      <c r="C413" s="41">
        <v>13525</v>
      </c>
      <c r="D413" s="41" t="s">
        <v>45</v>
      </c>
      <c r="E413" s="41" t="s">
        <v>1298</v>
      </c>
      <c r="F413" s="41" t="s">
        <v>1299</v>
      </c>
      <c r="G413" s="41" t="s">
        <v>1354</v>
      </c>
      <c r="H413" s="41" t="s">
        <v>1355</v>
      </c>
      <c r="I413" s="43">
        <v>12</v>
      </c>
      <c r="J413" s="44" t="str">
        <f>VLOOKUP(G413,[1]硬件清单!$F:$F,1,0)</f>
        <v>DE500194300151</v>
      </c>
      <c r="K413" s="43"/>
      <c r="L413" s="44"/>
      <c r="M413" s="45" t="s">
        <v>1356</v>
      </c>
    </row>
    <row r="414" ht="30" customHeight="1" spans="1:13">
      <c r="A414" s="41">
        <f>IF(C414="","",SUBTOTAL(103,$C$2:C414))</f>
        <v>405</v>
      </c>
      <c r="B414" s="41">
        <v>421</v>
      </c>
      <c r="C414" s="41">
        <v>13524</v>
      </c>
      <c r="D414" s="41" t="s">
        <v>45</v>
      </c>
      <c r="E414" s="41" t="s">
        <v>1298</v>
      </c>
      <c r="F414" s="41" t="s">
        <v>1299</v>
      </c>
      <c r="G414" s="41" t="s">
        <v>1357</v>
      </c>
      <c r="H414" s="41" t="s">
        <v>1358</v>
      </c>
      <c r="I414" s="43">
        <v>12</v>
      </c>
      <c r="J414" s="44" t="str">
        <f>VLOOKUP(G414,[1]硬件清单!$F:$F,1,0)</f>
        <v>DE500194300152</v>
      </c>
      <c r="K414" s="43"/>
      <c r="L414" s="44"/>
      <c r="M414" s="45" t="s">
        <v>1359</v>
      </c>
    </row>
    <row r="415" ht="50" customHeight="1" spans="1:13">
      <c r="A415" s="41">
        <f>IF(C415="","",SUBTOTAL(103,$C$2:C415))</f>
        <v>406</v>
      </c>
      <c r="B415" s="41">
        <v>422</v>
      </c>
      <c r="C415" s="41">
        <v>13070</v>
      </c>
      <c r="D415" s="41" t="s">
        <v>161</v>
      </c>
      <c r="E415" s="41" t="s">
        <v>162</v>
      </c>
      <c r="F415" s="41" t="s">
        <v>1360</v>
      </c>
      <c r="G415" s="41" t="s">
        <v>1361</v>
      </c>
      <c r="H415" s="41" t="s">
        <v>1362</v>
      </c>
      <c r="I415" s="43">
        <v>12</v>
      </c>
      <c r="J415" s="44" t="str">
        <f>VLOOKUP(G415,[1]硬件清单!$F:$F,1,0)</f>
        <v>416007
481990
CKM00194201523</v>
      </c>
      <c r="K415" s="43"/>
      <c r="L415" s="44"/>
      <c r="M415" s="45" t="s">
        <v>1363</v>
      </c>
    </row>
    <row r="416" ht="30" customHeight="1" spans="1:13">
      <c r="A416" s="41">
        <f>IF(C416="","",SUBTOTAL(103,$C$2:C416))</f>
        <v>407</v>
      </c>
      <c r="B416" s="41">
        <v>423</v>
      </c>
      <c r="C416" s="41">
        <v>13074</v>
      </c>
      <c r="D416" s="41" t="s">
        <v>161</v>
      </c>
      <c r="E416" s="41" t="s">
        <v>238</v>
      </c>
      <c r="F416" s="41" t="s">
        <v>1364</v>
      </c>
      <c r="G416" s="41" t="s">
        <v>1365</v>
      </c>
      <c r="H416" s="41" t="s">
        <v>1366</v>
      </c>
      <c r="I416" s="43">
        <v>12</v>
      </c>
      <c r="J416" s="44" t="str">
        <f>VLOOKUP(G416,[1]硬件清单!$F:$F,1,0)</f>
        <v>JPG2334007T</v>
      </c>
      <c r="K416" s="43"/>
      <c r="L416" s="44"/>
      <c r="M416" s="45" t="s">
        <v>1367</v>
      </c>
    </row>
    <row r="417" ht="30" customHeight="1" spans="1:13">
      <c r="A417" s="41">
        <f>IF(C417="","",SUBTOTAL(103,$C$2:C417))</f>
        <v>408</v>
      </c>
      <c r="B417" s="41">
        <v>424</v>
      </c>
      <c r="C417" s="41">
        <v>13073</v>
      </c>
      <c r="D417" s="41" t="s">
        <v>161</v>
      </c>
      <c r="E417" s="41" t="s">
        <v>238</v>
      </c>
      <c r="F417" s="41" t="s">
        <v>1364</v>
      </c>
      <c r="G417" s="41" t="s">
        <v>1368</v>
      </c>
      <c r="H417" s="41" t="s">
        <v>1369</v>
      </c>
      <c r="I417" s="43">
        <v>12</v>
      </c>
      <c r="J417" s="44" t="str">
        <f>VLOOKUP(G417,[1]硬件清单!$F:$F,1,0)</f>
        <v>JPG233200BM</v>
      </c>
      <c r="K417" s="43"/>
      <c r="L417" s="44"/>
      <c r="M417" s="45" t="s">
        <v>1370</v>
      </c>
    </row>
    <row r="418" ht="30" customHeight="1" spans="1:13">
      <c r="A418" s="41">
        <f>IF(C418="","",SUBTOTAL(103,$C$2:C418))</f>
        <v>409</v>
      </c>
      <c r="B418" s="41">
        <v>425</v>
      </c>
      <c r="C418" s="41">
        <v>13610</v>
      </c>
      <c r="D418" s="41" t="s">
        <v>19</v>
      </c>
      <c r="E418" s="41" t="s">
        <v>84</v>
      </c>
      <c r="F418" s="41" t="s">
        <v>1371</v>
      </c>
      <c r="G418" s="41" t="s">
        <v>1372</v>
      </c>
      <c r="H418" s="41" t="s">
        <v>1373</v>
      </c>
      <c r="I418" s="43">
        <v>12</v>
      </c>
      <c r="J418" s="44" t="str">
        <f>VLOOKUP(G418,[1]硬件清单!$F:$F,1,0)</f>
        <v>YK-0000-0314</v>
      </c>
      <c r="K418" s="43"/>
      <c r="L418" s="44"/>
      <c r="M418" s="47" t="s">
        <v>1374</v>
      </c>
    </row>
    <row r="419" ht="30" customHeight="1" spans="1:13">
      <c r="A419" s="41">
        <f>IF(C419="","",SUBTOTAL(103,$C$2:C419))</f>
        <v>410</v>
      </c>
      <c r="B419" s="41">
        <v>426</v>
      </c>
      <c r="C419" s="41">
        <v>13609</v>
      </c>
      <c r="D419" s="41" t="s">
        <v>19</v>
      </c>
      <c r="E419" s="41" t="s">
        <v>84</v>
      </c>
      <c r="F419" s="41" t="s">
        <v>1371</v>
      </c>
      <c r="G419" s="41" t="s">
        <v>1375</v>
      </c>
      <c r="H419" s="41" t="s">
        <v>1376</v>
      </c>
      <c r="I419" s="43">
        <v>12</v>
      </c>
      <c r="J419" s="44" t="str">
        <f>VLOOKUP(G419,[1]硬件清单!$F:$F,1,0)</f>
        <v>YK-0000-0422</v>
      </c>
      <c r="K419" s="43"/>
      <c r="L419" s="44"/>
      <c r="M419" s="47" t="s">
        <v>1377</v>
      </c>
    </row>
    <row r="420" ht="30" customHeight="1" spans="1:13">
      <c r="A420" s="41">
        <f>IF(C420="","",SUBTOTAL(103,$C$2:C420))</f>
        <v>411</v>
      </c>
      <c r="B420" s="41">
        <v>427</v>
      </c>
      <c r="C420" s="41">
        <v>13049</v>
      </c>
      <c r="D420" s="41" t="s">
        <v>161</v>
      </c>
      <c r="E420" s="41" t="s">
        <v>162</v>
      </c>
      <c r="F420" s="41" t="s">
        <v>1378</v>
      </c>
      <c r="G420" s="41" t="s">
        <v>1379</v>
      </c>
      <c r="H420" s="41" t="s">
        <v>1380</v>
      </c>
      <c r="I420" s="43">
        <v>12</v>
      </c>
      <c r="J420" s="44" t="str">
        <f>VLOOKUP(G420,[1]硬件清单!$F:$F,1,0)</f>
        <v>CN497800027
CKM00194200021
BRCCCD1939Q068</v>
      </c>
      <c r="K420" s="43"/>
      <c r="L420" s="44"/>
      <c r="M420" s="45" t="s">
        <v>1381</v>
      </c>
    </row>
    <row r="421" ht="30" customHeight="1" spans="1:13">
      <c r="A421" s="41">
        <f>IF(C421="","",SUBTOTAL(103,$C$2:C421))</f>
        <v>412</v>
      </c>
      <c r="B421" s="41">
        <v>428</v>
      </c>
      <c r="C421" s="41">
        <v>13048</v>
      </c>
      <c r="D421" s="41" t="s">
        <v>161</v>
      </c>
      <c r="E421" s="41" t="s">
        <v>162</v>
      </c>
      <c r="F421" s="41" t="s">
        <v>1378</v>
      </c>
      <c r="G421" s="41" t="s">
        <v>1382</v>
      </c>
      <c r="H421" s="41" t="s">
        <v>1383</v>
      </c>
      <c r="I421" s="43">
        <v>12</v>
      </c>
      <c r="J421" s="44" t="str">
        <f>VLOOKUP(G421,[1]硬件清单!$F:$F,1,0)</f>
        <v>CN497800026
CKM00194200029
BRCCCD1939Q067</v>
      </c>
      <c r="K421" s="43"/>
      <c r="L421" s="44"/>
      <c r="M421" s="45" t="s">
        <v>1384</v>
      </c>
    </row>
    <row r="422" ht="30" customHeight="1" spans="1:13">
      <c r="A422" s="41">
        <f>IF(C422="","",SUBTOTAL(103,$C$2:C422))</f>
        <v>413</v>
      </c>
      <c r="B422" s="41">
        <v>429</v>
      </c>
      <c r="C422" s="41">
        <v>8642</v>
      </c>
      <c r="D422" s="41" t="s">
        <v>19</v>
      </c>
      <c r="E422" s="41" t="s">
        <v>34</v>
      </c>
      <c r="F422" s="41" t="s">
        <v>1385</v>
      </c>
      <c r="G422" s="41" t="s">
        <v>1386</v>
      </c>
      <c r="H422" s="41" t="s">
        <v>1387</v>
      </c>
      <c r="I422" s="43">
        <v>12</v>
      </c>
      <c r="J422" s="44" t="str">
        <f>VLOOKUP(G422,[1]硬件清单!$F:$F,1,0)</f>
        <v>2102310KFE10H6000036</v>
      </c>
      <c r="K422" s="43"/>
      <c r="L422" s="44"/>
      <c r="M422" s="45" t="s">
        <v>1388</v>
      </c>
    </row>
    <row r="423" ht="30" customHeight="1" spans="1:13">
      <c r="A423" s="41">
        <f>IF(C423="","",SUBTOTAL(103,$C$2:C423))</f>
        <v>414</v>
      </c>
      <c r="B423" s="41">
        <v>430</v>
      </c>
      <c r="C423" s="41">
        <v>8793</v>
      </c>
      <c r="D423" s="41" t="s">
        <v>19</v>
      </c>
      <c r="E423" s="41" t="s">
        <v>34</v>
      </c>
      <c r="F423" s="41" t="s">
        <v>1385</v>
      </c>
      <c r="G423" s="41" t="s">
        <v>1389</v>
      </c>
      <c r="H423" s="41" t="s">
        <v>1390</v>
      </c>
      <c r="I423" s="43">
        <v>12</v>
      </c>
      <c r="J423" s="44" t="str">
        <f>VLOOKUP(G423,[1]硬件清单!$F:$F,1,0)</f>
        <v>2102310KFE10H6000034</v>
      </c>
      <c r="K423" s="43"/>
      <c r="L423" s="44"/>
      <c r="M423" s="45" t="s">
        <v>1391</v>
      </c>
    </row>
    <row r="424" ht="30" customHeight="1" spans="1:13">
      <c r="A424" s="41">
        <f>IF(C424="","",SUBTOTAL(103,$C$2:C424))</f>
        <v>415</v>
      </c>
      <c r="B424" s="41">
        <v>431</v>
      </c>
      <c r="C424" s="41">
        <v>8643</v>
      </c>
      <c r="D424" s="41" t="s">
        <v>19</v>
      </c>
      <c r="E424" s="41" t="s">
        <v>34</v>
      </c>
      <c r="F424" s="41" t="s">
        <v>1385</v>
      </c>
      <c r="G424" s="41" t="s">
        <v>1392</v>
      </c>
      <c r="H424" s="41" t="s">
        <v>1393</v>
      </c>
      <c r="I424" s="43">
        <v>12</v>
      </c>
      <c r="J424" s="44" t="str">
        <f>VLOOKUP(G424,[1]硬件清单!$F:$F,1,0)</f>
        <v>2102310KFE10H6000038</v>
      </c>
      <c r="K424" s="43"/>
      <c r="L424" s="44"/>
      <c r="M424" s="45" t="s">
        <v>1394</v>
      </c>
    </row>
    <row r="425" ht="30" customHeight="1" spans="1:13">
      <c r="A425" s="41">
        <f>IF(C425="","",SUBTOTAL(103,$C$2:C425))</f>
        <v>416</v>
      </c>
      <c r="B425" s="41">
        <v>5224</v>
      </c>
      <c r="C425" s="41">
        <v>474</v>
      </c>
      <c r="D425" s="41" t="s">
        <v>65</v>
      </c>
      <c r="E425" s="41" t="s">
        <v>304</v>
      </c>
      <c r="F425" s="41" t="s">
        <v>1395</v>
      </c>
      <c r="G425" s="41" t="s">
        <v>1396</v>
      </c>
      <c r="H425" s="41" t="s">
        <v>1397</v>
      </c>
      <c r="I425" s="43">
        <v>12</v>
      </c>
      <c r="J425" s="44" t="str">
        <f>VLOOKUP(G425,[1]硬件清单!$F:$F,1,0)</f>
        <v>219801A293820BJ00007？</v>
      </c>
      <c r="K425" s="43"/>
      <c r="L425" s="44"/>
      <c r="M425" s="45" t="s">
        <v>1398</v>
      </c>
    </row>
    <row r="426" ht="30" customHeight="1" spans="1:13">
      <c r="A426" s="41">
        <f>IF(C426="","",SUBTOTAL(103,$C$2:C426))</f>
        <v>417</v>
      </c>
      <c r="B426" s="41">
        <v>5225</v>
      </c>
      <c r="C426" s="41">
        <v>475</v>
      </c>
      <c r="D426" s="41" t="s">
        <v>65</v>
      </c>
      <c r="E426" s="41" t="s">
        <v>304</v>
      </c>
      <c r="F426" s="41" t="s">
        <v>1395</v>
      </c>
      <c r="G426" s="41" t="s">
        <v>1399</v>
      </c>
      <c r="H426" s="41" t="s">
        <v>1400</v>
      </c>
      <c r="I426" s="43">
        <v>12</v>
      </c>
      <c r="J426" s="44" t="str">
        <f>VLOOKUP(G426,[1]硬件清单!$F:$F,1,0)</f>
        <v>219801A293820BJ0000B</v>
      </c>
      <c r="K426" s="43"/>
      <c r="L426" s="44"/>
      <c r="M426" s="45" t="s">
        <v>1401</v>
      </c>
    </row>
    <row r="427" ht="30" customHeight="1" spans="1:13">
      <c r="A427" s="41">
        <f>IF(C427="","",SUBTOTAL(103,$C$2:C427))</f>
        <v>418</v>
      </c>
      <c r="B427" s="41">
        <v>5279</v>
      </c>
      <c r="C427" s="41">
        <v>692</v>
      </c>
      <c r="D427" s="41" t="s">
        <v>161</v>
      </c>
      <c r="E427" s="41" t="s">
        <v>162</v>
      </c>
      <c r="F427" s="41" t="s">
        <v>1360</v>
      </c>
      <c r="G427" s="41" t="s">
        <v>1402</v>
      </c>
      <c r="H427" s="41" t="s">
        <v>1403</v>
      </c>
      <c r="I427" s="43">
        <v>12</v>
      </c>
      <c r="J427" s="44" t="str">
        <f>VLOOKUP(G427,[1]硬件清单!$F:$F,1,0)</f>
        <v>417562（G900）
481824（仲裁）
CKM00194200008（备份）</v>
      </c>
      <c r="K427" s="43"/>
      <c r="L427" s="44"/>
      <c r="M427" s="45" t="s">
        <v>1404</v>
      </c>
    </row>
    <row r="428" s="26" customFormat="1" ht="30" customHeight="1" spans="1:13">
      <c r="A428" s="41">
        <f>IF(C428="","",SUBTOTAL(103,$C$2:C428))</f>
        <v>419</v>
      </c>
      <c r="B428" s="41">
        <v>5280</v>
      </c>
      <c r="C428" s="41">
        <v>693</v>
      </c>
      <c r="D428" s="41" t="s">
        <v>161</v>
      </c>
      <c r="E428" s="41" t="s">
        <v>238</v>
      </c>
      <c r="F428" s="41" t="s">
        <v>1364</v>
      </c>
      <c r="G428" s="41" t="s">
        <v>1405</v>
      </c>
      <c r="H428" s="41" t="s">
        <v>1406</v>
      </c>
      <c r="I428" s="43">
        <v>12</v>
      </c>
      <c r="J428" s="44" t="str">
        <f>VLOOKUP(G428,[1]硬件清单!$F:$F,1,0)</f>
        <v>JPG2334007M</v>
      </c>
      <c r="K428" s="43"/>
      <c r="L428" s="44"/>
      <c r="M428" s="45" t="s">
        <v>1407</v>
      </c>
    </row>
    <row r="429" s="26" customFormat="1" ht="30" customHeight="1" spans="1:13">
      <c r="A429" s="41">
        <f>IF(C429="","",SUBTOTAL(103,$C$2:C429))</f>
        <v>420</v>
      </c>
      <c r="B429" s="41">
        <v>5281</v>
      </c>
      <c r="C429" s="41">
        <v>694</v>
      </c>
      <c r="D429" s="41" t="s">
        <v>161</v>
      </c>
      <c r="E429" s="41" t="s">
        <v>238</v>
      </c>
      <c r="F429" s="41" t="s">
        <v>1364</v>
      </c>
      <c r="G429" s="41" t="s">
        <v>1408</v>
      </c>
      <c r="H429" s="41" t="s">
        <v>1409</v>
      </c>
      <c r="I429" s="43">
        <v>12</v>
      </c>
      <c r="J429" s="44" t="str">
        <f>VLOOKUP(G429,[1]硬件清单!$F:$F,1,0)</f>
        <v>JPG2334009E</v>
      </c>
      <c r="K429" s="43"/>
      <c r="L429" s="44"/>
      <c r="M429" s="45" t="s">
        <v>1410</v>
      </c>
    </row>
    <row r="430" s="26" customFormat="1" ht="30" customHeight="1" spans="1:13">
      <c r="A430" s="41">
        <f>IF(C430="","",SUBTOTAL(103,$C$2:C430))</f>
        <v>421</v>
      </c>
      <c r="B430" s="41">
        <v>5447</v>
      </c>
      <c r="C430" s="41">
        <v>897</v>
      </c>
      <c r="D430" s="41" t="s">
        <v>65</v>
      </c>
      <c r="E430" s="41" t="s">
        <v>96</v>
      </c>
      <c r="F430" s="41" t="s">
        <v>1411</v>
      </c>
      <c r="G430" s="41" t="s">
        <v>1412</v>
      </c>
      <c r="H430" s="41" t="s">
        <v>1413</v>
      </c>
      <c r="I430" s="43">
        <v>12</v>
      </c>
      <c r="J430" s="44" t="str">
        <f>VLOOKUP(G430,[1]硬件清单!$F:$F,1,0)</f>
        <v>LZ19101101</v>
      </c>
      <c r="K430" s="43"/>
      <c r="L430" s="44"/>
      <c r="M430" s="45" t="s">
        <v>1414</v>
      </c>
    </row>
    <row r="431" s="26" customFormat="1" ht="30" customHeight="1" spans="1:13">
      <c r="A431" s="41">
        <f>IF(C431="","",SUBTOTAL(103,$C$2:C431))</f>
        <v>422</v>
      </c>
      <c r="B431" s="41">
        <v>5448</v>
      </c>
      <c r="C431" s="41">
        <v>898</v>
      </c>
      <c r="D431" s="41" t="s">
        <v>65</v>
      </c>
      <c r="E431" s="41" t="s">
        <v>96</v>
      </c>
      <c r="F431" s="41" t="s">
        <v>1411</v>
      </c>
      <c r="G431" s="41" t="s">
        <v>1415</v>
      </c>
      <c r="H431" s="41" t="s">
        <v>1416</v>
      </c>
      <c r="I431" s="43">
        <v>12</v>
      </c>
      <c r="J431" s="44" t="str">
        <f>VLOOKUP(G431,[1]硬件清单!$F:$F,1,0)</f>
        <v>LZ18110644</v>
      </c>
      <c r="K431" s="43"/>
      <c r="L431" s="44"/>
      <c r="M431" s="45" t="s">
        <v>1417</v>
      </c>
    </row>
    <row r="432" ht="30" customHeight="1" spans="1:13">
      <c r="A432" s="41">
        <f>IF(C432="","",SUBTOTAL(103,$C$2:C432))</f>
        <v>423</v>
      </c>
      <c r="B432" s="41">
        <v>225</v>
      </c>
      <c r="C432" s="41">
        <v>7283</v>
      </c>
      <c r="D432" s="41" t="s">
        <v>161</v>
      </c>
      <c r="E432" s="41" t="s">
        <v>238</v>
      </c>
      <c r="F432" s="41" t="s">
        <v>1418</v>
      </c>
      <c r="G432" s="41" t="s">
        <v>1419</v>
      </c>
      <c r="H432" s="41" t="s">
        <v>1420</v>
      </c>
      <c r="I432" s="43">
        <v>12</v>
      </c>
      <c r="J432" s="44" t="str">
        <f>VLOOKUP(G432,[1]硬件清单!$F:$F,1,0)</f>
        <v>AMS18200797</v>
      </c>
      <c r="K432" s="43"/>
      <c r="L432" s="44"/>
      <c r="M432" s="45" t="s">
        <v>1421</v>
      </c>
    </row>
    <row r="433" ht="30" customHeight="1" spans="1:13">
      <c r="A433" s="41">
        <f>IF(C433="","",SUBTOTAL(103,$C$2:C433))</f>
        <v>424</v>
      </c>
      <c r="B433" s="41">
        <v>226</v>
      </c>
      <c r="C433" s="41">
        <v>7282</v>
      </c>
      <c r="D433" s="41" t="s">
        <v>161</v>
      </c>
      <c r="E433" s="41" t="s">
        <v>238</v>
      </c>
      <c r="F433" s="41" t="s">
        <v>1418</v>
      </c>
      <c r="G433" s="41" t="s">
        <v>1422</v>
      </c>
      <c r="H433" s="41" t="s">
        <v>1423</v>
      </c>
      <c r="I433" s="43">
        <v>12</v>
      </c>
      <c r="J433" s="44" t="str">
        <f>VLOOKUP(G433,[1]硬件清单!$F:$F,1,0)</f>
        <v>AMS18230116</v>
      </c>
      <c r="K433" s="43"/>
      <c r="L433" s="44"/>
      <c r="M433" s="45" t="s">
        <v>1424</v>
      </c>
    </row>
    <row r="434" ht="30" customHeight="1" spans="1:13">
      <c r="A434" s="41">
        <f>IF(C434="","",SUBTOTAL(103,$C$2:C434))</f>
        <v>425</v>
      </c>
      <c r="B434" s="41">
        <v>231</v>
      </c>
      <c r="C434" s="41">
        <v>7284</v>
      </c>
      <c r="D434" s="41" t="s">
        <v>161</v>
      </c>
      <c r="E434" s="41" t="s">
        <v>238</v>
      </c>
      <c r="F434" s="41" t="s">
        <v>1425</v>
      </c>
      <c r="G434" s="41" t="s">
        <v>1426</v>
      </c>
      <c r="H434" s="41" t="s">
        <v>1427</v>
      </c>
      <c r="I434" s="43">
        <v>12</v>
      </c>
      <c r="J434" s="44" t="str">
        <f>VLOOKUP(G434,[1]硬件清单!$F:$F,1,0)</f>
        <v>BRCCCD1937K02Y</v>
      </c>
      <c r="K434" s="43"/>
      <c r="L434" s="44"/>
      <c r="M434" s="45" t="s">
        <v>1428</v>
      </c>
    </row>
    <row r="435" ht="30" customHeight="1" spans="1:13">
      <c r="A435" s="41">
        <f>IF(C435="","",SUBTOTAL(103,$C$2:C435))</f>
        <v>426</v>
      </c>
      <c r="B435" s="41">
        <v>15930</v>
      </c>
      <c r="C435" s="41">
        <v>8042</v>
      </c>
      <c r="D435" s="41" t="s">
        <v>887</v>
      </c>
      <c r="E435" s="41" t="s">
        <v>1429</v>
      </c>
      <c r="F435" s="41" t="s">
        <v>1430</v>
      </c>
      <c r="G435" s="41" t="s">
        <v>1431</v>
      </c>
      <c r="H435" s="41" t="s">
        <v>1432</v>
      </c>
      <c r="I435" s="43">
        <v>12</v>
      </c>
      <c r="J435" s="44" t="str">
        <f>VLOOKUP(G435,[1]硬件清单!$F:$F,1,0)</f>
        <v>CNG230SH6V</v>
      </c>
      <c r="K435" s="50"/>
      <c r="L435" s="44"/>
      <c r="M435" s="45" t="s">
        <v>1433</v>
      </c>
    </row>
    <row r="436" ht="30" customHeight="1" spans="1:13">
      <c r="A436" s="41">
        <f>IF(C436="","",SUBTOTAL(103,$C$2:C436))</f>
        <v>427</v>
      </c>
      <c r="B436" s="41">
        <v>15931</v>
      </c>
      <c r="C436" s="41">
        <v>8041</v>
      </c>
      <c r="D436" s="41" t="s">
        <v>887</v>
      </c>
      <c r="E436" s="41" t="s">
        <v>1429</v>
      </c>
      <c r="F436" s="41" t="s">
        <v>1430</v>
      </c>
      <c r="G436" s="41" t="s">
        <v>1434</v>
      </c>
      <c r="H436" s="41" t="s">
        <v>1435</v>
      </c>
      <c r="I436" s="43">
        <v>12</v>
      </c>
      <c r="J436" s="44" t="str">
        <f>VLOOKUP(G436,[1]硬件清单!$F:$F,1,0)</f>
        <v>CNG230SH6P</v>
      </c>
      <c r="K436" s="50"/>
      <c r="L436" s="44"/>
      <c r="M436" s="45" t="s">
        <v>1436</v>
      </c>
    </row>
    <row r="437" ht="30" customHeight="1" spans="1:13">
      <c r="A437" s="41">
        <f>IF(C437="","",SUBTOTAL(103,$C$2:C437))</f>
        <v>428</v>
      </c>
      <c r="B437" s="41">
        <v>15933</v>
      </c>
      <c r="C437" s="41">
        <v>8044</v>
      </c>
      <c r="D437" s="41" t="s">
        <v>887</v>
      </c>
      <c r="E437" s="41" t="s">
        <v>1429</v>
      </c>
      <c r="F437" s="41" t="s">
        <v>1430</v>
      </c>
      <c r="G437" s="41" t="s">
        <v>1437</v>
      </c>
      <c r="H437" s="41" t="s">
        <v>1438</v>
      </c>
      <c r="I437" s="43">
        <v>12</v>
      </c>
      <c r="J437" s="44" t="str">
        <f>VLOOKUP(G437,[1]硬件清单!$F:$F,1,0)</f>
        <v>CNG230SH6Y</v>
      </c>
      <c r="K437" s="50"/>
      <c r="L437" s="44"/>
      <c r="M437" s="45" t="s">
        <v>1439</v>
      </c>
    </row>
    <row r="438" ht="30" customHeight="1" spans="1:13">
      <c r="A438" s="41">
        <f>IF(C438="","",SUBTOTAL(103,$C$2:C438))</f>
        <v>429</v>
      </c>
      <c r="B438" s="41">
        <v>15934</v>
      </c>
      <c r="C438" s="41">
        <v>8043</v>
      </c>
      <c r="D438" s="41" t="s">
        <v>887</v>
      </c>
      <c r="E438" s="41" t="s">
        <v>1429</v>
      </c>
      <c r="F438" s="41" t="s">
        <v>1430</v>
      </c>
      <c r="G438" s="41" t="s">
        <v>1440</v>
      </c>
      <c r="H438" s="41" t="s">
        <v>1441</v>
      </c>
      <c r="I438" s="43">
        <v>12</v>
      </c>
      <c r="J438" s="44" t="str">
        <f>VLOOKUP(G438,[1]硬件清单!$F:$F,1,0)</f>
        <v>CNG230SH6W</v>
      </c>
      <c r="K438" s="50"/>
      <c r="L438" s="44"/>
      <c r="M438" s="45" t="s">
        <v>1442</v>
      </c>
    </row>
    <row r="439" ht="30" customHeight="1" spans="1:13">
      <c r="A439" s="41">
        <f>IF(C439="","",SUBTOTAL(103,$C$2:C439))</f>
        <v>430</v>
      </c>
      <c r="B439" s="41">
        <v>15939</v>
      </c>
      <c r="C439" s="41">
        <v>8048</v>
      </c>
      <c r="D439" s="41" t="s">
        <v>887</v>
      </c>
      <c r="E439" s="41" t="s">
        <v>1429</v>
      </c>
      <c r="F439" s="41" t="s">
        <v>1430</v>
      </c>
      <c r="G439" s="41" t="s">
        <v>1443</v>
      </c>
      <c r="H439" s="41" t="s">
        <v>1444</v>
      </c>
      <c r="I439" s="43">
        <v>12</v>
      </c>
      <c r="J439" s="44" t="str">
        <f>VLOOKUP(G439,[1]硬件清单!$F:$F,1,0)</f>
        <v>CNG230SH6T</v>
      </c>
      <c r="K439" s="50"/>
      <c r="L439" s="44"/>
      <c r="M439" s="45" t="s">
        <v>1445</v>
      </c>
    </row>
    <row r="440" ht="30" customHeight="1" spans="1:13">
      <c r="A440" s="41">
        <f>IF(C440="","",SUBTOTAL(103,$C$2:C440))</f>
        <v>431</v>
      </c>
      <c r="B440" s="41">
        <v>15940</v>
      </c>
      <c r="C440" s="41">
        <v>8047</v>
      </c>
      <c r="D440" s="41" t="s">
        <v>887</v>
      </c>
      <c r="E440" s="41" t="s">
        <v>1429</v>
      </c>
      <c r="F440" s="41" t="s">
        <v>1430</v>
      </c>
      <c r="G440" s="41" t="s">
        <v>1446</v>
      </c>
      <c r="H440" s="41" t="s">
        <v>1447</v>
      </c>
      <c r="I440" s="43">
        <v>12</v>
      </c>
      <c r="J440" s="44" t="str">
        <f>VLOOKUP(G440,[1]硬件清单!$F:$F,1,0)</f>
        <v>CNG230SH73</v>
      </c>
      <c r="K440" s="50"/>
      <c r="L440" s="44"/>
      <c r="M440" s="45" t="s">
        <v>1448</v>
      </c>
    </row>
    <row r="441" ht="30" customHeight="1" spans="1:13">
      <c r="A441" s="41">
        <f>IF(C441="","",SUBTOTAL(103,$C$2:C441))</f>
        <v>432</v>
      </c>
      <c r="B441" s="41">
        <v>15942</v>
      </c>
      <c r="C441" s="41">
        <v>8050</v>
      </c>
      <c r="D441" s="41" t="s">
        <v>887</v>
      </c>
      <c r="E441" s="41" t="s">
        <v>1429</v>
      </c>
      <c r="F441" s="41" t="s">
        <v>1430</v>
      </c>
      <c r="G441" s="41" t="s">
        <v>1449</v>
      </c>
      <c r="H441" s="41" t="s">
        <v>1450</v>
      </c>
      <c r="I441" s="43">
        <v>12</v>
      </c>
      <c r="J441" s="44" t="str">
        <f>VLOOKUP(G441,[1]硬件清单!$F:$F,1,0)</f>
        <v>CNG230SH6S</v>
      </c>
      <c r="K441" s="50"/>
      <c r="L441" s="44"/>
      <c r="M441" s="45" t="s">
        <v>1451</v>
      </c>
    </row>
    <row r="442" ht="30" customHeight="1" spans="1:13">
      <c r="A442" s="41">
        <f>IF(C442="","",SUBTOTAL(103,$C$2:C442))</f>
        <v>433</v>
      </c>
      <c r="B442" s="41">
        <v>15943</v>
      </c>
      <c r="C442" s="41">
        <v>8049</v>
      </c>
      <c r="D442" s="41" t="s">
        <v>887</v>
      </c>
      <c r="E442" s="41" t="s">
        <v>1429</v>
      </c>
      <c r="F442" s="41" t="s">
        <v>1430</v>
      </c>
      <c r="G442" s="41" t="s">
        <v>1452</v>
      </c>
      <c r="H442" s="41" t="s">
        <v>1453</v>
      </c>
      <c r="I442" s="43">
        <v>12</v>
      </c>
      <c r="J442" s="44" t="str">
        <f>VLOOKUP(G442,[1]硬件清单!$F:$F,1,0)</f>
        <v>CNG230SH6L</v>
      </c>
      <c r="K442" s="50"/>
      <c r="L442" s="44"/>
      <c r="M442" s="45" t="s">
        <v>1454</v>
      </c>
    </row>
    <row r="443" ht="30" customHeight="1" spans="1:13">
      <c r="A443" s="41">
        <f>IF(C443="","",SUBTOTAL(103,$C$2:C443))</f>
        <v>434</v>
      </c>
      <c r="B443" s="41">
        <v>16136</v>
      </c>
      <c r="C443" s="41">
        <v>14118</v>
      </c>
      <c r="D443" s="41" t="s">
        <v>887</v>
      </c>
      <c r="E443" s="41" t="s">
        <v>1429</v>
      </c>
      <c r="F443" s="41" t="s">
        <v>1455</v>
      </c>
      <c r="G443" s="41" t="s">
        <v>1456</v>
      </c>
      <c r="H443" s="41" t="s">
        <v>1457</v>
      </c>
      <c r="I443" s="43">
        <v>12</v>
      </c>
      <c r="J443" s="44" t="str">
        <f>VLOOKUP(G443,[1]硬件清单!$F:$F,1,0)</f>
        <v>2102300742N0GA000126(左)  210230102810GA000104（右）</v>
      </c>
      <c r="K443" s="50"/>
      <c r="L443" s="44"/>
      <c r="M443" s="45" t="s">
        <v>1458</v>
      </c>
    </row>
    <row r="444" ht="30" customHeight="1" spans="1:13">
      <c r="A444" s="41">
        <f>IF(C444="","",SUBTOTAL(103,$C$2:C444))</f>
        <v>435</v>
      </c>
      <c r="B444" s="41">
        <v>16137</v>
      </c>
      <c r="C444" s="41">
        <v>14117</v>
      </c>
      <c r="D444" s="41" t="s">
        <v>887</v>
      </c>
      <c r="E444" s="41" t="s">
        <v>1429</v>
      </c>
      <c r="F444" s="41" t="s">
        <v>1455</v>
      </c>
      <c r="G444" s="41" t="s">
        <v>1459</v>
      </c>
      <c r="H444" s="41" t="s">
        <v>1460</v>
      </c>
      <c r="I444" s="43">
        <v>12</v>
      </c>
      <c r="J444" s="44" t="str">
        <f>VLOOKUP(G444,[1]硬件清单!$F:$F,1,0)</f>
        <v>2102300742N0GA000124(左)  210230102810GA000103（右）</v>
      </c>
      <c r="K444" s="50"/>
      <c r="L444" s="44"/>
      <c r="M444" s="45" t="s">
        <v>1461</v>
      </c>
    </row>
    <row r="445" ht="30" customHeight="1" spans="1:13">
      <c r="A445" s="41">
        <f>IF(C445="","",SUBTOTAL(103,$C$2:C445))</f>
        <v>436</v>
      </c>
      <c r="B445" s="41">
        <v>16139</v>
      </c>
      <c r="C445" s="41">
        <v>18174</v>
      </c>
      <c r="D445" s="41" t="s">
        <v>887</v>
      </c>
      <c r="E445" s="41" t="s">
        <v>1429</v>
      </c>
      <c r="F445" s="41" t="s">
        <v>1430</v>
      </c>
      <c r="G445" s="41" t="s">
        <v>1462</v>
      </c>
      <c r="H445" s="41" t="s">
        <v>1463</v>
      </c>
      <c r="I445" s="43">
        <v>12</v>
      </c>
      <c r="J445" s="44" t="str">
        <f>VLOOKUP(G445,[1]硬件清单!$F:$F,1,0)</f>
        <v>SGH316SK9T</v>
      </c>
      <c r="K445" s="50"/>
      <c r="L445" s="44"/>
      <c r="M445" s="45" t="s">
        <v>1464</v>
      </c>
    </row>
    <row r="446" ht="30" customHeight="1" spans="1:13">
      <c r="A446" s="41">
        <f>IF(C446="","",SUBTOTAL(103,$C$2:C446))</f>
        <v>437</v>
      </c>
      <c r="B446" s="41">
        <v>16140</v>
      </c>
      <c r="C446" s="41">
        <v>18175</v>
      </c>
      <c r="D446" s="41" t="s">
        <v>887</v>
      </c>
      <c r="E446" s="41" t="s">
        <v>1429</v>
      </c>
      <c r="F446" s="41" t="s">
        <v>1430</v>
      </c>
      <c r="G446" s="41" t="s">
        <v>1465</v>
      </c>
      <c r="H446" s="41" t="s">
        <v>1466</v>
      </c>
      <c r="I446" s="43">
        <v>12</v>
      </c>
      <c r="J446" s="44" t="str">
        <f>VLOOKUP(G446,[1]硬件清单!$F:$F,1,0)</f>
        <v>6CU3260R21</v>
      </c>
      <c r="K446" s="50"/>
      <c r="L446" s="44"/>
      <c r="M446" s="45" t="s">
        <v>1467</v>
      </c>
    </row>
    <row r="447" ht="30" customHeight="1" spans="1:13">
      <c r="A447" s="41">
        <f>IF(C447="","",SUBTOTAL(103,$C$2:C447))</f>
        <v>438</v>
      </c>
      <c r="B447" s="41">
        <v>16144</v>
      </c>
      <c r="C447" s="41">
        <v>14169</v>
      </c>
      <c r="D447" s="41" t="s">
        <v>887</v>
      </c>
      <c r="E447" s="41" t="s">
        <v>1429</v>
      </c>
      <c r="F447" s="41" t="s">
        <v>1468</v>
      </c>
      <c r="G447" s="41" t="s">
        <v>1469</v>
      </c>
      <c r="H447" s="41" t="s">
        <v>1470</v>
      </c>
      <c r="I447" s="43">
        <v>12</v>
      </c>
      <c r="J447" s="44" t="str">
        <f>VLOOKUP(G447,[1]硬件清单!$F:$F,1,0)</f>
        <v>FM5XJG2</v>
      </c>
      <c r="K447" s="50"/>
      <c r="L447" s="44"/>
      <c r="M447" s="45" t="s">
        <v>1471</v>
      </c>
    </row>
    <row r="448" ht="30" customHeight="1" spans="1:13">
      <c r="A448" s="41">
        <f>IF(C448="","",SUBTOTAL(103,$C$2:C448))</f>
        <v>439</v>
      </c>
      <c r="B448" s="41">
        <v>16145</v>
      </c>
      <c r="C448" s="41">
        <v>14168</v>
      </c>
      <c r="D448" s="41" t="s">
        <v>887</v>
      </c>
      <c r="E448" s="41" t="s">
        <v>1429</v>
      </c>
      <c r="F448" s="41" t="s">
        <v>1468</v>
      </c>
      <c r="G448" s="41" t="s">
        <v>1472</v>
      </c>
      <c r="H448" s="41" t="s">
        <v>1473</v>
      </c>
      <c r="I448" s="43">
        <v>12</v>
      </c>
      <c r="J448" s="44" t="str">
        <f>VLOOKUP(G448,[1]硬件清单!$F:$F,1,0)</f>
        <v>15GZLG2</v>
      </c>
      <c r="K448" s="50"/>
      <c r="L448" s="44"/>
      <c r="M448" s="45" t="s">
        <v>1474</v>
      </c>
    </row>
    <row r="449" ht="30" customHeight="1" spans="1:13">
      <c r="A449" s="41">
        <f>IF(C449="","",SUBTOTAL(103,$C$2:C449))</f>
        <v>440</v>
      </c>
      <c r="B449" s="41">
        <v>16164</v>
      </c>
      <c r="C449" s="41">
        <v>8101</v>
      </c>
      <c r="D449" s="41" t="s">
        <v>887</v>
      </c>
      <c r="E449" s="41" t="s">
        <v>1429</v>
      </c>
      <c r="F449" s="41" t="s">
        <v>1430</v>
      </c>
      <c r="G449" s="41" t="s">
        <v>1475</v>
      </c>
      <c r="H449" s="41" t="s">
        <v>1476</v>
      </c>
      <c r="I449" s="43">
        <v>12</v>
      </c>
      <c r="J449" s="44" t="str">
        <f>VLOOKUP(G449,[1]硬件清单!$F:$F,1,0)</f>
        <v>CNG230SH6N</v>
      </c>
      <c r="K449" s="50"/>
      <c r="L449" s="44"/>
      <c r="M449" s="45" t="s">
        <v>1477</v>
      </c>
    </row>
    <row r="450" ht="30" customHeight="1" spans="1:13">
      <c r="A450" s="41">
        <f>IF(C450="","",SUBTOTAL(103,$C$2:C450))</f>
        <v>441</v>
      </c>
      <c r="B450" s="41">
        <v>16165</v>
      </c>
      <c r="C450" s="41">
        <v>8100</v>
      </c>
      <c r="D450" s="41" t="s">
        <v>887</v>
      </c>
      <c r="E450" s="41" t="s">
        <v>1429</v>
      </c>
      <c r="F450" s="41" t="s">
        <v>1430</v>
      </c>
      <c r="G450" s="41" t="s">
        <v>1478</v>
      </c>
      <c r="H450" s="41" t="s">
        <v>1479</v>
      </c>
      <c r="I450" s="43">
        <v>12</v>
      </c>
      <c r="J450" s="44" t="str">
        <f>VLOOKUP(G450,[1]硬件清单!$F:$F,1,0)</f>
        <v>CNG230SH70</v>
      </c>
      <c r="K450" s="50"/>
      <c r="L450" s="44"/>
      <c r="M450" s="45" t="s">
        <v>1480</v>
      </c>
    </row>
    <row r="451" ht="30" customHeight="1" spans="1:13">
      <c r="A451" s="41">
        <f>IF(C451="","",SUBTOTAL(103,$C$2:C451))</f>
        <v>442</v>
      </c>
      <c r="B451" s="41">
        <v>16172</v>
      </c>
      <c r="C451" s="41">
        <v>8103</v>
      </c>
      <c r="D451" s="41" t="s">
        <v>887</v>
      </c>
      <c r="E451" s="41" t="s">
        <v>1429</v>
      </c>
      <c r="F451" s="41" t="s">
        <v>1481</v>
      </c>
      <c r="G451" s="41" t="s">
        <v>1482</v>
      </c>
      <c r="H451" s="41" t="s">
        <v>1483</v>
      </c>
      <c r="I451" s="43">
        <v>12</v>
      </c>
      <c r="J451" s="44" t="str">
        <f>VLOOKUP(G451,[1]硬件清单!$F:$F,1,0)</f>
        <v>06D7169</v>
      </c>
      <c r="K451" s="50"/>
      <c r="L451" s="44"/>
      <c r="M451" s="45" t="s">
        <v>1484</v>
      </c>
    </row>
    <row r="452" ht="30" customHeight="1" spans="1:13">
      <c r="A452" s="41">
        <f>IF(C452="","",SUBTOTAL(103,$C$2:C452))</f>
        <v>443</v>
      </c>
      <c r="B452" s="41">
        <v>16173</v>
      </c>
      <c r="C452" s="41">
        <v>8037</v>
      </c>
      <c r="D452" s="41" t="s">
        <v>887</v>
      </c>
      <c r="E452" s="41" t="s">
        <v>1429</v>
      </c>
      <c r="F452" s="41" t="s">
        <v>1481</v>
      </c>
      <c r="G452" s="41" t="s">
        <v>1485</v>
      </c>
      <c r="H452" s="41" t="s">
        <v>1486</v>
      </c>
      <c r="I452" s="43">
        <v>12</v>
      </c>
      <c r="J452" s="44" t="str">
        <f>VLOOKUP(G452,[1]硬件清单!$F:$F,1,0)</f>
        <v>06D7175</v>
      </c>
      <c r="K452" s="50"/>
      <c r="L452" s="44"/>
      <c r="M452" s="45" t="s">
        <v>1487</v>
      </c>
    </row>
    <row r="453" ht="30" customHeight="1" spans="1:13">
      <c r="A453" s="41">
        <f>IF(C453="","",SUBTOTAL(103,$C$2:C453))</f>
        <v>444</v>
      </c>
      <c r="B453" s="41">
        <v>16174</v>
      </c>
      <c r="C453" s="41">
        <v>8038</v>
      </c>
      <c r="D453" s="41" t="s">
        <v>887</v>
      </c>
      <c r="E453" s="41" t="s">
        <v>1429</v>
      </c>
      <c r="F453" s="41" t="s">
        <v>1481</v>
      </c>
      <c r="G453" s="41" t="s">
        <v>1488</v>
      </c>
      <c r="H453" s="41" t="s">
        <v>1489</v>
      </c>
      <c r="I453" s="43">
        <v>12</v>
      </c>
      <c r="J453" s="44" t="str">
        <f>VLOOKUP(G453,[1]硬件清单!$F:$F,1,0)</f>
        <v>06D7170</v>
      </c>
      <c r="K453" s="50"/>
      <c r="L453" s="44"/>
      <c r="M453" s="45" t="s">
        <v>1490</v>
      </c>
    </row>
    <row r="454" ht="30" customHeight="1" spans="1:13">
      <c r="A454" s="41">
        <f>IF(C454="","",SUBTOTAL(103,$C$2:C454))</f>
        <v>445</v>
      </c>
      <c r="B454" s="41">
        <v>16175</v>
      </c>
      <c r="C454" s="41">
        <v>8039</v>
      </c>
      <c r="D454" s="41" t="s">
        <v>887</v>
      </c>
      <c r="E454" s="41" t="s">
        <v>1429</v>
      </c>
      <c r="F454" s="41" t="s">
        <v>1481</v>
      </c>
      <c r="G454" s="41" t="s">
        <v>1491</v>
      </c>
      <c r="H454" s="41" t="s">
        <v>1492</v>
      </c>
      <c r="I454" s="43">
        <v>12</v>
      </c>
      <c r="J454" s="44" t="str">
        <f>VLOOKUP(G454,[1]硬件清单!$F:$F,1,0)</f>
        <v>06D7173</v>
      </c>
      <c r="K454" s="50"/>
      <c r="L454" s="44"/>
      <c r="M454" s="45" t="s">
        <v>1493</v>
      </c>
    </row>
    <row r="455" ht="30" customHeight="1" spans="1:13">
      <c r="A455" s="41">
        <f>IF(C455="","",SUBTOTAL(103,$C$2:C455))</f>
        <v>446</v>
      </c>
      <c r="B455" s="41">
        <v>16177</v>
      </c>
      <c r="C455" s="41">
        <v>8027</v>
      </c>
      <c r="D455" s="41" t="s">
        <v>887</v>
      </c>
      <c r="E455" s="41" t="s">
        <v>1429</v>
      </c>
      <c r="F455" s="41" t="s">
        <v>1494</v>
      </c>
      <c r="G455" s="41" t="s">
        <v>1495</v>
      </c>
      <c r="H455" s="41" t="s">
        <v>1496</v>
      </c>
      <c r="I455" s="43">
        <v>12</v>
      </c>
      <c r="J455" s="44" t="str">
        <f>VLOOKUP(G455,[1]硬件清单!$F:$F,1,0)</f>
        <v>FOX1623GPGX</v>
      </c>
      <c r="K455" s="50"/>
      <c r="L455" s="44"/>
      <c r="M455" s="45" t="s">
        <v>1497</v>
      </c>
    </row>
    <row r="456" ht="30" customHeight="1" spans="1:13">
      <c r="A456" s="41">
        <f>IF(C456="","",SUBTOTAL(103,$C$2:C456))</f>
        <v>447</v>
      </c>
      <c r="B456" s="41">
        <v>16178</v>
      </c>
      <c r="C456" s="41">
        <v>8096</v>
      </c>
      <c r="D456" s="41" t="s">
        <v>887</v>
      </c>
      <c r="E456" s="41" t="s">
        <v>1429</v>
      </c>
      <c r="F456" s="41" t="s">
        <v>1494</v>
      </c>
      <c r="G456" s="41" t="s">
        <v>1498</v>
      </c>
      <c r="H456" s="41" t="s">
        <v>1499</v>
      </c>
      <c r="I456" s="43">
        <v>12</v>
      </c>
      <c r="J456" s="44" t="str">
        <f>VLOOKUP(G456,[1]硬件清单!$F:$F,1,0)</f>
        <v>FOX1623GTMY</v>
      </c>
      <c r="K456" s="50"/>
      <c r="L456" s="44"/>
      <c r="M456" s="45" t="s">
        <v>1500</v>
      </c>
    </row>
    <row r="457" ht="30" customHeight="1" spans="1:13">
      <c r="A457" s="41">
        <f>IF(C457="","",SUBTOTAL(103,$C$2:C457))</f>
        <v>448</v>
      </c>
      <c r="B457" s="41">
        <v>16179</v>
      </c>
      <c r="C457" s="41">
        <v>8028</v>
      </c>
      <c r="D457" s="41" t="s">
        <v>887</v>
      </c>
      <c r="E457" s="41" t="s">
        <v>1429</v>
      </c>
      <c r="F457" s="41" t="s">
        <v>1494</v>
      </c>
      <c r="G457" s="41" t="s">
        <v>1501</v>
      </c>
      <c r="H457" s="41" t="s">
        <v>1502</v>
      </c>
      <c r="I457" s="43">
        <v>12</v>
      </c>
      <c r="J457" s="44" t="str">
        <f>VLOOKUP(G457,[1]硬件清单!$F:$F,1,0)</f>
        <v>FOX1618G6L6</v>
      </c>
      <c r="K457" s="50"/>
      <c r="L457" s="44"/>
      <c r="M457" s="45" t="s">
        <v>1503</v>
      </c>
    </row>
    <row r="458" ht="30" customHeight="1" spans="1:13">
      <c r="A458" s="41">
        <f>IF(C458="","",SUBTOTAL(103,$C$2:C458))</f>
        <v>449</v>
      </c>
      <c r="B458" s="41">
        <v>16180</v>
      </c>
      <c r="C458" s="41">
        <v>8097</v>
      </c>
      <c r="D458" s="41" t="s">
        <v>887</v>
      </c>
      <c r="E458" s="41" t="s">
        <v>1429</v>
      </c>
      <c r="F458" s="41" t="s">
        <v>1494</v>
      </c>
      <c r="G458" s="41" t="s">
        <v>1504</v>
      </c>
      <c r="H458" s="41" t="s">
        <v>1505</v>
      </c>
      <c r="I458" s="43">
        <v>12</v>
      </c>
      <c r="J458" s="44" t="str">
        <f>VLOOKUP(G458,[1]硬件清单!$F:$F,1,0)</f>
        <v>FOX1623GPGF</v>
      </c>
      <c r="K458" s="50"/>
      <c r="L458" s="44"/>
      <c r="M458" s="45" t="s">
        <v>1506</v>
      </c>
    </row>
    <row r="459" ht="30" customHeight="1" spans="1:13">
      <c r="A459" s="41">
        <f>IF(C459="","",SUBTOTAL(103,$C$2:C459))</f>
        <v>450</v>
      </c>
      <c r="B459" s="41">
        <v>16181</v>
      </c>
      <c r="C459" s="41">
        <v>8099</v>
      </c>
      <c r="D459" s="41" t="s">
        <v>887</v>
      </c>
      <c r="E459" s="41" t="s">
        <v>1429</v>
      </c>
      <c r="F459" s="41" t="s">
        <v>1494</v>
      </c>
      <c r="G459" s="41" t="s">
        <v>1507</v>
      </c>
      <c r="H459" s="41" t="s">
        <v>1508</v>
      </c>
      <c r="I459" s="43">
        <v>12</v>
      </c>
      <c r="J459" s="44" t="str">
        <f>VLOOKUP(G459,[1]硬件清单!$F:$F,1,0)</f>
        <v>FOX1621H2YD</v>
      </c>
      <c r="K459" s="50"/>
      <c r="L459" s="44"/>
      <c r="M459" s="45" t="s">
        <v>1509</v>
      </c>
    </row>
    <row r="460" ht="30" customHeight="1" spans="1:13">
      <c r="A460" s="41">
        <f>IF(C460="","",SUBTOTAL(103,$C$2:C460))</f>
        <v>451</v>
      </c>
      <c r="B460" s="41">
        <v>16182</v>
      </c>
      <c r="C460" s="41">
        <v>8098</v>
      </c>
      <c r="D460" s="41" t="s">
        <v>887</v>
      </c>
      <c r="E460" s="41" t="s">
        <v>1429</v>
      </c>
      <c r="F460" s="41" t="s">
        <v>1494</v>
      </c>
      <c r="G460" s="41" t="s">
        <v>1510</v>
      </c>
      <c r="H460" s="41" t="s">
        <v>1511</v>
      </c>
      <c r="I460" s="43">
        <v>12</v>
      </c>
      <c r="J460" s="44" t="str">
        <f>VLOOKUP(G460,[1]硬件清单!$F:$F,1,0)</f>
        <v>FOX1618GDRF</v>
      </c>
      <c r="K460" s="50"/>
      <c r="L460" s="44"/>
      <c r="M460" s="45" t="s">
        <v>1512</v>
      </c>
    </row>
    <row r="461" ht="30" customHeight="1" spans="1:13">
      <c r="A461" s="41">
        <f>IF(C461="","",SUBTOTAL(103,$C$2:C461))</f>
        <v>452</v>
      </c>
      <c r="B461" s="41">
        <v>16185</v>
      </c>
      <c r="C461" s="41">
        <v>8081</v>
      </c>
      <c r="D461" s="41" t="s">
        <v>887</v>
      </c>
      <c r="E461" s="41" t="s">
        <v>1429</v>
      </c>
      <c r="F461" s="41" t="s">
        <v>1513</v>
      </c>
      <c r="G461" s="41" t="s">
        <v>1514</v>
      </c>
      <c r="H461" s="41" t="s">
        <v>1515</v>
      </c>
      <c r="I461" s="43">
        <v>12</v>
      </c>
      <c r="J461" s="44" t="str">
        <f>VLOOKUP(G461,[1]硬件清单!$F:$F,1,0)</f>
        <v>8LPDF3X</v>
      </c>
      <c r="K461" s="50"/>
      <c r="L461" s="44"/>
      <c r="M461" s="45" t="s">
        <v>1516</v>
      </c>
    </row>
    <row r="462" ht="30" customHeight="1" spans="1:13">
      <c r="A462" s="41">
        <f>IF(C462="","",SUBTOTAL(103,$C$2:C462))</f>
        <v>453</v>
      </c>
      <c r="B462" s="41">
        <v>16186</v>
      </c>
      <c r="C462" s="41">
        <v>8082</v>
      </c>
      <c r="D462" s="41" t="s">
        <v>887</v>
      </c>
      <c r="E462" s="41" t="s">
        <v>1429</v>
      </c>
      <c r="F462" s="41" t="s">
        <v>1513</v>
      </c>
      <c r="G462" s="41" t="s">
        <v>1517</v>
      </c>
      <c r="H462" s="41" t="s">
        <v>1518</v>
      </c>
      <c r="I462" s="43">
        <v>12</v>
      </c>
      <c r="J462" s="44" t="str">
        <f>VLOOKUP(G462,[1]硬件清单!$F:$F,1,0)</f>
        <v>9MPDF3X</v>
      </c>
      <c r="K462" s="50"/>
      <c r="L462" s="44"/>
      <c r="M462" s="45" t="s">
        <v>1519</v>
      </c>
    </row>
    <row r="463" ht="30" customHeight="1" spans="1:13">
      <c r="A463" s="41">
        <f>IF(C463="","",SUBTOTAL(103,$C$2:C463))</f>
        <v>454</v>
      </c>
      <c r="B463" s="41">
        <v>16188</v>
      </c>
      <c r="C463" s="41">
        <v>8084</v>
      </c>
      <c r="D463" s="41" t="s">
        <v>887</v>
      </c>
      <c r="E463" s="41" t="s">
        <v>1429</v>
      </c>
      <c r="F463" s="41" t="s">
        <v>1513</v>
      </c>
      <c r="G463" s="41" t="s">
        <v>1520</v>
      </c>
      <c r="H463" s="41" t="s">
        <v>1521</v>
      </c>
      <c r="I463" s="43">
        <v>12</v>
      </c>
      <c r="J463" s="44" t="str">
        <f>VLOOKUP(G463,[1]硬件清单!$F:$F,1,0)</f>
        <v>GJPDF3X</v>
      </c>
      <c r="K463" s="50"/>
      <c r="L463" s="44"/>
      <c r="M463" s="45" t="s">
        <v>1522</v>
      </c>
    </row>
    <row r="464" ht="30" customHeight="1" spans="1:13">
      <c r="A464" s="41">
        <f>IF(C464="","",SUBTOTAL(103,$C$2:C464))</f>
        <v>455</v>
      </c>
      <c r="B464" s="41">
        <v>16189</v>
      </c>
      <c r="C464" s="41">
        <v>8083</v>
      </c>
      <c r="D464" s="41" t="s">
        <v>887</v>
      </c>
      <c r="E464" s="41" t="s">
        <v>1429</v>
      </c>
      <c r="F464" s="41" t="s">
        <v>1513</v>
      </c>
      <c r="G464" s="41" t="s">
        <v>1523</v>
      </c>
      <c r="H464" s="41" t="s">
        <v>1524</v>
      </c>
      <c r="I464" s="43">
        <v>12</v>
      </c>
      <c r="J464" s="44" t="str">
        <f>VLOOKUP(G464,[1]硬件清单!$F:$F,1,0)</f>
        <v>BQPDF3X</v>
      </c>
      <c r="K464" s="50"/>
      <c r="L464" s="44"/>
      <c r="M464" s="45" t="s">
        <v>1525</v>
      </c>
    </row>
    <row r="465" ht="30" customHeight="1" spans="1:13">
      <c r="A465" s="41">
        <f>IF(C465="","",SUBTOTAL(103,$C$2:C465))</f>
        <v>456</v>
      </c>
      <c r="B465" s="41">
        <v>16191</v>
      </c>
      <c r="C465" s="41">
        <v>8086</v>
      </c>
      <c r="D465" s="41" t="s">
        <v>887</v>
      </c>
      <c r="E465" s="41" t="s">
        <v>1429</v>
      </c>
      <c r="F465" s="41" t="s">
        <v>1513</v>
      </c>
      <c r="G465" s="41" t="s">
        <v>1526</v>
      </c>
      <c r="H465" s="41" t="s">
        <v>1527</v>
      </c>
      <c r="I465" s="43">
        <v>12</v>
      </c>
      <c r="J465" s="44" t="str">
        <f>VLOOKUP(G465,[1]硬件清单!$F:$F,1,0)</f>
        <v>CRPDF3X</v>
      </c>
      <c r="K465" s="50"/>
      <c r="L465" s="44"/>
      <c r="M465" s="45" t="s">
        <v>1528</v>
      </c>
    </row>
    <row r="466" ht="30" customHeight="1" spans="1:13">
      <c r="A466" s="41">
        <f>IF(C466="","",SUBTOTAL(103,$C$2:C466))</f>
        <v>457</v>
      </c>
      <c r="B466" s="41">
        <v>16192</v>
      </c>
      <c r="C466" s="41">
        <v>8085</v>
      </c>
      <c r="D466" s="41" t="s">
        <v>887</v>
      </c>
      <c r="E466" s="41" t="s">
        <v>1429</v>
      </c>
      <c r="F466" s="41" t="s">
        <v>1513</v>
      </c>
      <c r="G466" s="41" t="s">
        <v>1529</v>
      </c>
      <c r="H466" s="41" t="s">
        <v>1530</v>
      </c>
      <c r="I466" s="43">
        <v>12</v>
      </c>
      <c r="J466" s="44" t="str">
        <f>VLOOKUP(G466,[1]硬件清单!$F:$F,1,0)</f>
        <v>65PDF3X</v>
      </c>
      <c r="K466" s="50"/>
      <c r="L466" s="44"/>
      <c r="M466" s="45" t="s">
        <v>1531</v>
      </c>
    </row>
    <row r="467" ht="30" customHeight="1" spans="1:13">
      <c r="A467" s="41">
        <f>IF(C467="","",SUBTOTAL(103,$C$2:C467))</f>
        <v>458</v>
      </c>
      <c r="B467" s="41">
        <v>16195</v>
      </c>
      <c r="C467" s="41">
        <v>8092</v>
      </c>
      <c r="D467" s="41" t="s">
        <v>887</v>
      </c>
      <c r="E467" s="41" t="s">
        <v>1429</v>
      </c>
      <c r="F467" s="41" t="s">
        <v>1481</v>
      </c>
      <c r="G467" s="41" t="s">
        <v>1532</v>
      </c>
      <c r="H467" s="41" t="s">
        <v>1533</v>
      </c>
      <c r="I467" s="43">
        <v>12</v>
      </c>
      <c r="J467" s="44" t="str">
        <f>VLOOKUP(G467,[1]硬件清单!$F:$F,1,0)</f>
        <v>06D7165</v>
      </c>
      <c r="K467" s="50"/>
      <c r="L467" s="44"/>
      <c r="M467" s="45" t="s">
        <v>1534</v>
      </c>
    </row>
    <row r="468" ht="30" customHeight="1" spans="1:13">
      <c r="A468" s="41">
        <f>IF(C468="","",SUBTOTAL(103,$C$2:C468))</f>
        <v>459</v>
      </c>
      <c r="B468" s="41">
        <v>16196</v>
      </c>
      <c r="C468" s="41">
        <v>8029</v>
      </c>
      <c r="D468" s="41" t="s">
        <v>887</v>
      </c>
      <c r="E468" s="41" t="s">
        <v>1429</v>
      </c>
      <c r="F468" s="41" t="s">
        <v>1481</v>
      </c>
      <c r="G468" s="41" t="s">
        <v>1535</v>
      </c>
      <c r="H468" s="41" t="s">
        <v>1536</v>
      </c>
      <c r="I468" s="43">
        <v>12</v>
      </c>
      <c r="J468" s="44" t="str">
        <f>VLOOKUP(G468,[1]硬件清单!$F:$F,1,0)</f>
        <v>06D7172</v>
      </c>
      <c r="K468" s="50"/>
      <c r="L468" s="44"/>
      <c r="M468" s="45" t="s">
        <v>1537</v>
      </c>
    </row>
    <row r="469" ht="30" customHeight="1" spans="1:13">
      <c r="A469" s="41">
        <f>IF(C469="","",SUBTOTAL(103,$C$2:C469))</f>
        <v>460</v>
      </c>
      <c r="B469" s="41">
        <v>16197</v>
      </c>
      <c r="C469" s="41">
        <v>8030</v>
      </c>
      <c r="D469" s="41" t="s">
        <v>887</v>
      </c>
      <c r="E469" s="41" t="s">
        <v>1429</v>
      </c>
      <c r="F469" s="41" t="s">
        <v>1481</v>
      </c>
      <c r="G469" s="41" t="s">
        <v>1538</v>
      </c>
      <c r="H469" s="41" t="s">
        <v>1539</v>
      </c>
      <c r="I469" s="43">
        <v>12</v>
      </c>
      <c r="J469" s="44" t="str">
        <f>VLOOKUP(G469,[1]硬件清单!$F:$F,1,0)</f>
        <v>06D7186</v>
      </c>
      <c r="K469" s="50"/>
      <c r="L469" s="44"/>
      <c r="M469" s="45" t="s">
        <v>1540</v>
      </c>
    </row>
    <row r="470" ht="30" customHeight="1" spans="1:13">
      <c r="A470" s="41">
        <f>IF(C470="","",SUBTOTAL(103,$C$2:C470))</f>
        <v>461</v>
      </c>
      <c r="B470" s="41">
        <v>16198</v>
      </c>
      <c r="C470" s="41">
        <v>8031</v>
      </c>
      <c r="D470" s="41" t="s">
        <v>887</v>
      </c>
      <c r="E470" s="41" t="s">
        <v>1429</v>
      </c>
      <c r="F470" s="41" t="s">
        <v>1481</v>
      </c>
      <c r="G470" s="41" t="s">
        <v>1541</v>
      </c>
      <c r="H470" s="41" t="s">
        <v>1542</v>
      </c>
      <c r="I470" s="43">
        <v>12</v>
      </c>
      <c r="J470" s="44" t="str">
        <f>VLOOKUP(G470,[1]硬件清单!$F:$F,1,0)</f>
        <v>06D7180</v>
      </c>
      <c r="K470" s="50"/>
      <c r="L470" s="44"/>
      <c r="M470" s="45" t="s">
        <v>1543</v>
      </c>
    </row>
    <row r="471" ht="30" customHeight="1" spans="1:13">
      <c r="A471" s="41">
        <f>IF(C471="","",SUBTOTAL(103,$C$2:C471))</f>
        <v>462</v>
      </c>
      <c r="B471" s="41">
        <v>16199</v>
      </c>
      <c r="C471" s="41">
        <v>8032</v>
      </c>
      <c r="D471" s="41" t="s">
        <v>887</v>
      </c>
      <c r="E471" s="41" t="s">
        <v>1429</v>
      </c>
      <c r="F471" s="41" t="s">
        <v>1481</v>
      </c>
      <c r="G471" s="41" t="s">
        <v>1544</v>
      </c>
      <c r="H471" s="41" t="s">
        <v>1545</v>
      </c>
      <c r="I471" s="43">
        <v>12</v>
      </c>
      <c r="J471" s="44" t="str">
        <f>VLOOKUP(G471,[1]硬件清单!$F:$F,1,0)</f>
        <v>06D7181</v>
      </c>
      <c r="K471" s="50"/>
      <c r="L471" s="44"/>
      <c r="M471" s="45" t="s">
        <v>1546</v>
      </c>
    </row>
    <row r="472" ht="30" customHeight="1" spans="1:13">
      <c r="A472" s="41">
        <f>IF(C472="","",SUBTOTAL(103,$C$2:C472))</f>
        <v>463</v>
      </c>
      <c r="B472" s="41">
        <v>16201</v>
      </c>
      <c r="C472" s="41">
        <v>8033</v>
      </c>
      <c r="D472" s="41" t="s">
        <v>887</v>
      </c>
      <c r="E472" s="41" t="s">
        <v>1429</v>
      </c>
      <c r="F472" s="41" t="s">
        <v>1481</v>
      </c>
      <c r="G472" s="41" t="s">
        <v>1547</v>
      </c>
      <c r="H472" s="41" t="s">
        <v>1548</v>
      </c>
      <c r="I472" s="43">
        <v>12</v>
      </c>
      <c r="J472" s="44" t="str">
        <f>VLOOKUP(G472,[1]硬件清单!$F:$F,1,0)</f>
        <v>06D7168</v>
      </c>
      <c r="K472" s="50"/>
      <c r="L472" s="44"/>
      <c r="M472" s="45" t="s">
        <v>1549</v>
      </c>
    </row>
    <row r="473" ht="30" customHeight="1" spans="1:13">
      <c r="A473" s="41">
        <f>IF(C473="","",SUBTOTAL(103,$C$2:C473))</f>
        <v>464</v>
      </c>
      <c r="B473" s="41">
        <v>16202</v>
      </c>
      <c r="C473" s="41">
        <v>8034</v>
      </c>
      <c r="D473" s="41" t="s">
        <v>887</v>
      </c>
      <c r="E473" s="41" t="s">
        <v>1429</v>
      </c>
      <c r="F473" s="41" t="s">
        <v>1481</v>
      </c>
      <c r="G473" s="41" t="s">
        <v>1550</v>
      </c>
      <c r="H473" s="41" t="s">
        <v>1551</v>
      </c>
      <c r="I473" s="43">
        <v>12</v>
      </c>
      <c r="J473" s="44" t="str">
        <f>VLOOKUP(G473,[1]硬件清单!$F:$F,1,0)</f>
        <v>06D7184</v>
      </c>
      <c r="K473" s="50"/>
      <c r="L473" s="44"/>
      <c r="M473" s="45" t="s">
        <v>1552</v>
      </c>
    </row>
    <row r="474" ht="30" customHeight="1" spans="1:13">
      <c r="A474" s="41">
        <f>IF(C474="","",SUBTOTAL(103,$C$2:C474))</f>
        <v>465</v>
      </c>
      <c r="B474" s="41">
        <v>16204</v>
      </c>
      <c r="C474" s="41">
        <v>8093</v>
      </c>
      <c r="D474" s="41" t="s">
        <v>887</v>
      </c>
      <c r="E474" s="41" t="s">
        <v>1429</v>
      </c>
      <c r="F474" s="41" t="s">
        <v>1481</v>
      </c>
      <c r="G474" s="41" t="s">
        <v>1553</v>
      </c>
      <c r="H474" s="41" t="s">
        <v>1554</v>
      </c>
      <c r="I474" s="43">
        <v>12</v>
      </c>
      <c r="J474" s="44" t="str">
        <f>VLOOKUP(G474,[1]硬件清单!$F:$F,1,0)</f>
        <v>06D7185</v>
      </c>
      <c r="K474" s="50"/>
      <c r="L474" s="44"/>
      <c r="M474" s="45" t="s">
        <v>1555</v>
      </c>
    </row>
    <row r="475" ht="30" customHeight="1" spans="1:13">
      <c r="A475" s="41">
        <f>IF(C475="","",SUBTOTAL(103,$C$2:C475))</f>
        <v>466</v>
      </c>
      <c r="B475" s="41">
        <v>16205</v>
      </c>
      <c r="C475" s="41">
        <v>8035</v>
      </c>
      <c r="D475" s="41" t="s">
        <v>887</v>
      </c>
      <c r="E475" s="41" t="s">
        <v>1429</v>
      </c>
      <c r="F475" s="41" t="s">
        <v>1481</v>
      </c>
      <c r="G475" s="41" t="s">
        <v>1556</v>
      </c>
      <c r="H475" s="41" t="s">
        <v>1557</v>
      </c>
      <c r="I475" s="43">
        <v>12</v>
      </c>
      <c r="J475" s="44" t="str">
        <f>VLOOKUP(G475,[1]硬件清单!$F:$F,1,0)</f>
        <v>06D7183</v>
      </c>
      <c r="K475" s="50"/>
      <c r="L475" s="44"/>
      <c r="M475" s="45" t="s">
        <v>1558</v>
      </c>
    </row>
    <row r="476" ht="30" customHeight="1" spans="1:13">
      <c r="A476" s="41">
        <f>IF(C476="","",SUBTOTAL(103,$C$2:C476))</f>
        <v>467</v>
      </c>
      <c r="B476" s="41">
        <v>16206</v>
      </c>
      <c r="C476" s="41">
        <v>8036</v>
      </c>
      <c r="D476" s="41" t="s">
        <v>887</v>
      </c>
      <c r="E476" s="41" t="s">
        <v>1429</v>
      </c>
      <c r="F476" s="41" t="s">
        <v>1481</v>
      </c>
      <c r="G476" s="41" t="s">
        <v>1559</v>
      </c>
      <c r="H476" s="41" t="s">
        <v>1560</v>
      </c>
      <c r="I476" s="43">
        <v>12</v>
      </c>
      <c r="J476" s="44" t="str">
        <f>VLOOKUP(G476,[1]硬件清单!$F:$F,1,0)</f>
        <v>06D7182</v>
      </c>
      <c r="K476" s="50"/>
      <c r="L476" s="44"/>
      <c r="M476" s="45" t="s">
        <v>1561</v>
      </c>
    </row>
    <row r="477" ht="30" customHeight="1" spans="1:13">
      <c r="A477" s="41">
        <f>IF(C477="","",SUBTOTAL(103,$C$2:C477))</f>
        <v>468</v>
      </c>
      <c r="B477" s="41">
        <v>16207</v>
      </c>
      <c r="C477" s="41">
        <v>8102</v>
      </c>
      <c r="D477" s="41" t="s">
        <v>887</v>
      </c>
      <c r="E477" s="41" t="s">
        <v>1429</v>
      </c>
      <c r="F477" s="41" t="s">
        <v>1481</v>
      </c>
      <c r="G477" s="41" t="s">
        <v>1562</v>
      </c>
      <c r="H477" s="41" t="s">
        <v>1563</v>
      </c>
      <c r="I477" s="43">
        <v>12</v>
      </c>
      <c r="J477" s="44" t="str">
        <f>VLOOKUP(G477,[1]硬件清单!$F:$F,1,0)</f>
        <v>06D7166</v>
      </c>
      <c r="K477" s="50"/>
      <c r="L477" s="44"/>
      <c r="M477" s="45" t="s">
        <v>1564</v>
      </c>
    </row>
    <row r="478" ht="30" customHeight="1" spans="1:13">
      <c r="A478" s="41">
        <f>IF(C478="","",SUBTOTAL(103,$C$2:C478))</f>
        <v>469</v>
      </c>
      <c r="B478" s="41">
        <v>16227</v>
      </c>
      <c r="C478" s="46">
        <v>18274</v>
      </c>
      <c r="D478" s="46" t="s">
        <v>887</v>
      </c>
      <c r="E478" s="46" t="s">
        <v>1429</v>
      </c>
      <c r="F478" s="46" t="s">
        <v>1565</v>
      </c>
      <c r="G478" s="41" t="s">
        <v>1566</v>
      </c>
      <c r="H478" s="41" t="s">
        <v>1567</v>
      </c>
      <c r="I478" s="43">
        <v>12</v>
      </c>
      <c r="J478" s="44" t="str">
        <f>VLOOKUP(G478,[1]硬件清单!$F:$F,1,0)</f>
        <v>210230074210D2000037</v>
      </c>
      <c r="K478" s="50"/>
      <c r="L478" s="44"/>
      <c r="M478" s="45" t="s">
        <v>1568</v>
      </c>
    </row>
    <row r="479" ht="30" customHeight="1" spans="1:13">
      <c r="A479" s="41">
        <f>IF(C479="","",SUBTOTAL(103,$C$2:C479))</f>
        <v>470</v>
      </c>
      <c r="B479" s="41">
        <v>16228</v>
      </c>
      <c r="C479" s="46">
        <v>18273</v>
      </c>
      <c r="D479" s="46" t="s">
        <v>887</v>
      </c>
      <c r="E479" s="46" t="s">
        <v>1429</v>
      </c>
      <c r="F479" s="46" t="s">
        <v>1565</v>
      </c>
      <c r="G479" s="41" t="s">
        <v>1569</v>
      </c>
      <c r="H479" s="41" t="s">
        <v>1570</v>
      </c>
      <c r="I479" s="43">
        <v>12</v>
      </c>
      <c r="J479" s="44" t="str">
        <f>VLOOKUP(G479,[1]硬件清单!$F:$F,1,0)</f>
        <v>210230074210D2000036</v>
      </c>
      <c r="K479" s="50"/>
      <c r="L479" s="44"/>
      <c r="M479" s="45" t="s">
        <v>1571</v>
      </c>
    </row>
    <row r="480" ht="30" customHeight="1" spans="1:13">
      <c r="A480" s="41">
        <f>IF(C480="","",SUBTOTAL(103,$C$2:C480))</f>
        <v>471</v>
      </c>
      <c r="B480" s="41">
        <v>16230</v>
      </c>
      <c r="C480" s="46">
        <v>18275</v>
      </c>
      <c r="D480" s="46" t="s">
        <v>887</v>
      </c>
      <c r="E480" s="46" t="s">
        <v>1429</v>
      </c>
      <c r="F480" s="46" t="s">
        <v>1572</v>
      </c>
      <c r="G480" s="41" t="s">
        <v>1573</v>
      </c>
      <c r="H480" s="41" t="s">
        <v>1574</v>
      </c>
      <c r="I480" s="43">
        <v>12</v>
      </c>
      <c r="J480" s="44" t="str">
        <f>VLOOKUP(G480,[1]硬件清单!$F:$F,1,0)</f>
        <v>1305BD4131</v>
      </c>
      <c r="K480" s="50"/>
      <c r="L480" s="44"/>
      <c r="M480" s="45" t="s">
        <v>1575</v>
      </c>
    </row>
    <row r="481" ht="30" customHeight="1" spans="1:13">
      <c r="A481" s="41">
        <f>IF(C481="","",SUBTOTAL(103,$C$2:C481))</f>
        <v>472</v>
      </c>
      <c r="B481" s="41">
        <v>16231</v>
      </c>
      <c r="C481" s="46">
        <v>18276</v>
      </c>
      <c r="D481" s="46" t="s">
        <v>887</v>
      </c>
      <c r="E481" s="46" t="s">
        <v>1429</v>
      </c>
      <c r="F481" s="46" t="s">
        <v>1572</v>
      </c>
      <c r="G481" s="41" t="s">
        <v>1576</v>
      </c>
      <c r="H481" s="41" t="s">
        <v>1577</v>
      </c>
      <c r="I481" s="43">
        <v>12</v>
      </c>
      <c r="J481" s="44" t="str">
        <f>VLOOKUP(G481,[1]硬件清单!$F:$F,1,0)</f>
        <v>1305BD412C</v>
      </c>
      <c r="K481" s="50"/>
      <c r="L481" s="44"/>
      <c r="M481" s="45" t="s">
        <v>1578</v>
      </c>
    </row>
    <row r="482" ht="30" customHeight="1" spans="1:13">
      <c r="A482" s="41">
        <f>IF(C482="","",SUBTOTAL(103,$C$2:C482))</f>
        <v>473</v>
      </c>
      <c r="B482" s="41">
        <v>16251</v>
      </c>
      <c r="C482" s="46">
        <v>18286</v>
      </c>
      <c r="D482" s="46" t="s">
        <v>887</v>
      </c>
      <c r="E482" s="46" t="s">
        <v>1429</v>
      </c>
      <c r="F482" s="46" t="s">
        <v>1579</v>
      </c>
      <c r="G482" s="41" t="s">
        <v>1580</v>
      </c>
      <c r="H482" s="41" t="s">
        <v>1581</v>
      </c>
      <c r="I482" s="43">
        <v>12</v>
      </c>
      <c r="J482" s="44" t="str">
        <f>VLOOKUP(G482,[1]硬件清单!$F:$F,1,0)</f>
        <v>FOX1702GT3E</v>
      </c>
      <c r="K482" s="50"/>
      <c r="L482" s="44"/>
      <c r="M482" s="45" t="s">
        <v>1582</v>
      </c>
    </row>
    <row r="483" ht="30" customHeight="1" spans="1:13">
      <c r="A483" s="41">
        <f>IF(C483="","",SUBTOTAL(103,$C$2:C483))</f>
        <v>474</v>
      </c>
      <c r="B483" s="41">
        <v>16252</v>
      </c>
      <c r="C483" s="46">
        <v>18285</v>
      </c>
      <c r="D483" s="46" t="s">
        <v>887</v>
      </c>
      <c r="E483" s="46" t="s">
        <v>1429</v>
      </c>
      <c r="F483" s="46" t="s">
        <v>1579</v>
      </c>
      <c r="G483" s="41" t="s">
        <v>1583</v>
      </c>
      <c r="H483" s="41" t="s">
        <v>1584</v>
      </c>
      <c r="I483" s="43">
        <v>12</v>
      </c>
      <c r="J483" s="44" t="str">
        <f>VLOOKUP(G483,[1]硬件清单!$F:$F,1,0)</f>
        <v>FOX1703G8WX</v>
      </c>
      <c r="K483" s="50"/>
      <c r="L483" s="44"/>
      <c r="M483" s="45" t="s">
        <v>1585</v>
      </c>
    </row>
    <row r="484" ht="30" customHeight="1" spans="1:13">
      <c r="A484" s="41">
        <f>IF(C484="","",SUBTOTAL(103,$C$2:C484))</f>
        <v>475</v>
      </c>
      <c r="B484" s="41">
        <v>16253</v>
      </c>
      <c r="C484" s="46">
        <v>18287</v>
      </c>
      <c r="D484" s="46" t="s">
        <v>887</v>
      </c>
      <c r="E484" s="46" t="s">
        <v>1429</v>
      </c>
      <c r="F484" s="46" t="s">
        <v>1579</v>
      </c>
      <c r="G484" s="41" t="s">
        <v>1586</v>
      </c>
      <c r="H484" s="41" t="s">
        <v>1587</v>
      </c>
      <c r="I484" s="43">
        <v>12</v>
      </c>
      <c r="J484" s="44" t="str">
        <f>VLOOKUP(G484,[1]硬件清单!$F:$F,1,0)</f>
        <v>FOX1703GVU7
</v>
      </c>
      <c r="K484" s="50"/>
      <c r="L484" s="44"/>
      <c r="M484" s="45" t="s">
        <v>1588</v>
      </c>
    </row>
    <row r="485" ht="30" customHeight="1" spans="1:13">
      <c r="A485" s="41">
        <f>IF(C485="","",SUBTOTAL(103,$C$2:C485))</f>
        <v>476</v>
      </c>
      <c r="B485" s="41">
        <v>479</v>
      </c>
      <c r="C485" s="41">
        <v>11495</v>
      </c>
      <c r="D485" s="41" t="s">
        <v>12</v>
      </c>
      <c r="E485" s="41" t="s">
        <v>779</v>
      </c>
      <c r="F485" s="42" t="s">
        <v>1589</v>
      </c>
      <c r="G485" s="41" t="s">
        <v>1590</v>
      </c>
      <c r="H485" s="41" t="s">
        <v>1591</v>
      </c>
      <c r="I485" s="43">
        <v>12</v>
      </c>
      <c r="J485" s="44" t="str">
        <f>VLOOKUP(G485,[1]硬件清单!$F:$F,1,0)</f>
        <v>5A1443T03118</v>
      </c>
      <c r="K485" s="44"/>
      <c r="L485" s="44"/>
      <c r="M485" s="45" t="s">
        <v>1592</v>
      </c>
    </row>
    <row r="486" ht="30" customHeight="1" spans="1:13">
      <c r="A486" s="41">
        <f>IF(C486="","",SUBTOTAL(103,$C$2:C486))</f>
        <v>477</v>
      </c>
      <c r="B486" s="41">
        <v>480</v>
      </c>
      <c r="C486" s="41">
        <v>4759</v>
      </c>
      <c r="D486" s="41" t="s">
        <v>65</v>
      </c>
      <c r="E486" s="41" t="s">
        <v>96</v>
      </c>
      <c r="F486" s="41" t="s">
        <v>1593</v>
      </c>
      <c r="G486" s="41" t="s">
        <v>1594</v>
      </c>
      <c r="H486" s="41" t="s">
        <v>1595</v>
      </c>
      <c r="I486" s="43">
        <v>12</v>
      </c>
      <c r="J486" s="44" t="str">
        <f>VLOOKUP(G486,[1]硬件清单!$F:$F,1,0)</f>
        <v>bld019568s/bld019594s</v>
      </c>
      <c r="K486" s="43"/>
      <c r="L486" s="44"/>
      <c r="M486" s="45" t="s">
        <v>64</v>
      </c>
    </row>
    <row r="487" ht="30" customHeight="1" spans="1:13">
      <c r="A487" s="41">
        <f>IF(C487="","",SUBTOTAL(103,$C$2:C487))</f>
        <v>478</v>
      </c>
      <c r="B487" s="41">
        <v>481</v>
      </c>
      <c r="C487" s="41">
        <v>4766</v>
      </c>
      <c r="D487" s="41" t="s">
        <v>19</v>
      </c>
      <c r="E487" s="41" t="s">
        <v>20</v>
      </c>
      <c r="F487" s="42" t="s">
        <v>1596</v>
      </c>
      <c r="G487" s="41" t="s">
        <v>1597</v>
      </c>
      <c r="H487" s="41" t="s">
        <v>1598</v>
      </c>
      <c r="I487" s="43">
        <v>12</v>
      </c>
      <c r="J487" s="44" t="str">
        <f>VLOOKUP(G487,[1]硬件清单!$F:$F,1,0)</f>
        <v>210231AGH73000007/
210231ACAH64000025</v>
      </c>
      <c r="K487" s="44"/>
      <c r="L487" s="44" t="s">
        <v>17</v>
      </c>
      <c r="M487" s="47" t="s">
        <v>1599</v>
      </c>
    </row>
    <row r="488" ht="30" customHeight="1" spans="1:13">
      <c r="A488" s="41">
        <f>IF(C488="","",SUBTOTAL(103,$C$2:C488))</f>
        <v>479</v>
      </c>
      <c r="B488" s="41">
        <v>482</v>
      </c>
      <c r="C488" s="46">
        <v>11189</v>
      </c>
      <c r="D488" s="46" t="s">
        <v>19</v>
      </c>
      <c r="E488" s="46" t="s">
        <v>34</v>
      </c>
      <c r="F488" s="46" t="s">
        <v>1600</v>
      </c>
      <c r="G488" s="41" t="s">
        <v>1601</v>
      </c>
      <c r="H488" s="41" t="s">
        <v>1602</v>
      </c>
      <c r="I488" s="43">
        <v>12</v>
      </c>
      <c r="J488" s="44" t="str">
        <f>VLOOKUP(G488,[1]硬件清单!$F:$F,1,0)</f>
        <v>210235G6WP10EA000001</v>
      </c>
      <c r="K488" s="44"/>
      <c r="L488" s="44"/>
      <c r="M488" s="45" t="s">
        <v>1603</v>
      </c>
    </row>
    <row r="489" ht="30" customHeight="1" spans="1:13">
      <c r="A489" s="41">
        <f>IF(C489="","",SUBTOTAL(103,$C$2:C489))</f>
        <v>480</v>
      </c>
      <c r="B489" s="41">
        <v>483</v>
      </c>
      <c r="C489" s="41">
        <v>4754</v>
      </c>
      <c r="D489" s="41" t="s">
        <v>19</v>
      </c>
      <c r="E489" s="41" t="s">
        <v>60</v>
      </c>
      <c r="F489" s="41" t="s">
        <v>1593</v>
      </c>
      <c r="G489" s="41" t="s">
        <v>1604</v>
      </c>
      <c r="H489" s="41" t="s">
        <v>1605</v>
      </c>
      <c r="I489" s="43">
        <v>12</v>
      </c>
      <c r="J489" s="44" t="str">
        <f>VLOOKUP(G489,[1]硬件清单!$F:$F,1,0)</f>
        <v>bld020147s/bld020160s</v>
      </c>
      <c r="K489" s="43"/>
      <c r="L489" s="44"/>
      <c r="M489" s="45" t="s">
        <v>77</v>
      </c>
    </row>
    <row r="490" ht="30" customHeight="1" spans="1:13">
      <c r="A490" s="41">
        <f>IF(C490="","",SUBTOTAL(103,$C$2:C490))</f>
        <v>481</v>
      </c>
      <c r="B490" s="41">
        <v>484</v>
      </c>
      <c r="C490" s="41">
        <v>4765</v>
      </c>
      <c r="D490" s="41" t="s">
        <v>19</v>
      </c>
      <c r="E490" s="41" t="s">
        <v>20</v>
      </c>
      <c r="F490" s="41" t="s">
        <v>1606</v>
      </c>
      <c r="G490" s="41" t="s">
        <v>1607</v>
      </c>
      <c r="H490" s="41" t="s">
        <v>1608</v>
      </c>
      <c r="I490" s="43">
        <v>12</v>
      </c>
      <c r="J490" s="44" t="str">
        <f>VLOOKUP(G490,[1]硬件清单!$F:$F,1,0)</f>
        <v>210231AGH73000008/
210231ACAH64000007</v>
      </c>
      <c r="K490" s="44"/>
      <c r="L490" s="44" t="s">
        <v>17</v>
      </c>
      <c r="M490" s="47" t="s">
        <v>1609</v>
      </c>
    </row>
    <row r="491" ht="30" customHeight="1" spans="1:13">
      <c r="A491" s="41">
        <f>IF(C491="","",SUBTOTAL(103,$C$2:C491))</f>
        <v>482</v>
      </c>
      <c r="B491" s="41">
        <v>485</v>
      </c>
      <c r="C491" s="41">
        <v>11494</v>
      </c>
      <c r="D491" s="41" t="s">
        <v>12</v>
      </c>
      <c r="E491" s="41" t="s">
        <v>779</v>
      </c>
      <c r="F491" s="42" t="s">
        <v>1589</v>
      </c>
      <c r="G491" s="41" t="s">
        <v>1610</v>
      </c>
      <c r="H491" s="41" t="s">
        <v>1611</v>
      </c>
      <c r="I491" s="43">
        <v>12</v>
      </c>
      <c r="J491" s="44" t="str">
        <f>VLOOKUP(G491,[1]硬件清单!$F:$F,1,0)</f>
        <v>5A1443T08813</v>
      </c>
      <c r="K491" s="44"/>
      <c r="L491" s="44"/>
      <c r="M491" s="45" t="s">
        <v>1612</v>
      </c>
    </row>
    <row r="492" ht="30" customHeight="1" spans="1:13">
      <c r="A492" s="41">
        <f>IF(C492="","",SUBTOTAL(103,$C$2:C492))</f>
        <v>483</v>
      </c>
      <c r="B492" s="41">
        <v>486</v>
      </c>
      <c r="C492" s="41">
        <v>4755</v>
      </c>
      <c r="D492" s="41" t="s">
        <v>19</v>
      </c>
      <c r="E492" s="41" t="s">
        <v>60</v>
      </c>
      <c r="F492" s="41" t="s">
        <v>1593</v>
      </c>
      <c r="G492" s="41" t="s">
        <v>1613</v>
      </c>
      <c r="H492" s="41" t="s">
        <v>1614</v>
      </c>
      <c r="I492" s="43">
        <v>12</v>
      </c>
      <c r="J492" s="44" t="str">
        <f>VLOOKUP(G492,[1]硬件清单!$F:$F,1,0)</f>
        <v>bld019560s/bld019118s</v>
      </c>
      <c r="K492" s="43"/>
      <c r="L492" s="44"/>
      <c r="M492" s="45" t="s">
        <v>88</v>
      </c>
    </row>
    <row r="493" ht="30" customHeight="1" spans="1:13">
      <c r="A493" s="41">
        <f>IF(C493="","",SUBTOTAL(103,$C$2:C493))</f>
        <v>484</v>
      </c>
      <c r="B493" s="41">
        <v>487</v>
      </c>
      <c r="C493" s="41">
        <v>11197</v>
      </c>
      <c r="D493" s="41" t="s">
        <v>19</v>
      </c>
      <c r="E493" s="41" t="s">
        <v>34</v>
      </c>
      <c r="F493" s="41" t="s">
        <v>1615</v>
      </c>
      <c r="G493" s="41" t="s">
        <v>1616</v>
      </c>
      <c r="H493" s="41" t="s">
        <v>1617</v>
      </c>
      <c r="I493" s="43">
        <v>12</v>
      </c>
      <c r="J493" s="44" t="str">
        <f>VLOOKUP(G493,[1]硬件清单!$F:$F,1,0)</f>
        <v>00900B34B8AA</v>
      </c>
      <c r="K493" s="43"/>
      <c r="L493" s="44"/>
      <c r="M493" s="45" t="s">
        <v>1618</v>
      </c>
    </row>
    <row r="494" ht="30" customHeight="1" spans="1:13">
      <c r="A494" s="41">
        <f>IF(C494="","",SUBTOTAL(103,$C$2:C494))</f>
        <v>485</v>
      </c>
      <c r="B494" s="41">
        <v>488</v>
      </c>
      <c r="C494" s="41">
        <v>4757</v>
      </c>
      <c r="D494" s="41" t="s">
        <v>65</v>
      </c>
      <c r="E494" s="41" t="s">
        <v>96</v>
      </c>
      <c r="F494" s="41" t="s">
        <v>1593</v>
      </c>
      <c r="G494" s="41" t="s">
        <v>1619</v>
      </c>
      <c r="H494" s="41" t="s">
        <v>1620</v>
      </c>
      <c r="I494" s="43">
        <v>12</v>
      </c>
      <c r="J494" s="44" t="str">
        <f>VLOOKUP(G494,[1]硬件清单!$F:$F,1,0)</f>
        <v>bld019564s/bld019093s</v>
      </c>
      <c r="K494" s="43"/>
      <c r="L494" s="44"/>
      <c r="M494" s="47" t="s">
        <v>99</v>
      </c>
    </row>
    <row r="495" ht="30" customHeight="1" spans="1:13">
      <c r="A495" s="41">
        <f>IF(C495="","",SUBTOTAL(103,$C$2:C495))</f>
        <v>486</v>
      </c>
      <c r="B495" s="41">
        <v>490</v>
      </c>
      <c r="C495" s="41">
        <v>4758</v>
      </c>
      <c r="D495" s="41" t="s">
        <v>65</v>
      </c>
      <c r="E495" s="41" t="s">
        <v>96</v>
      </c>
      <c r="F495" s="41" t="s">
        <v>1593</v>
      </c>
      <c r="G495" s="41" t="s">
        <v>1621</v>
      </c>
      <c r="H495" s="41" t="s">
        <v>1622</v>
      </c>
      <c r="I495" s="43">
        <v>12</v>
      </c>
      <c r="J495" s="44" t="str">
        <f>VLOOKUP(G495,[1]硬件清单!$F:$F,1,0)</f>
        <v>bld020111s/bld020081s</v>
      </c>
      <c r="K495" s="43"/>
      <c r="L495" s="44"/>
      <c r="M495" s="45" t="s">
        <v>105</v>
      </c>
    </row>
    <row r="496" ht="30" customHeight="1" spans="1:13">
      <c r="A496" s="41">
        <f>IF(C496="","",SUBTOTAL(103,$C$2:C496))</f>
        <v>487</v>
      </c>
      <c r="B496" s="41">
        <v>491</v>
      </c>
      <c r="C496" s="41">
        <v>4756</v>
      </c>
      <c r="D496" s="41" t="s">
        <v>65</v>
      </c>
      <c r="E496" s="41" t="s">
        <v>96</v>
      </c>
      <c r="F496" s="41" t="s">
        <v>1593</v>
      </c>
      <c r="G496" s="41" t="s">
        <v>1623</v>
      </c>
      <c r="H496" s="41" t="s">
        <v>1624</v>
      </c>
      <c r="I496" s="43">
        <v>12</v>
      </c>
      <c r="J496" s="44" t="str">
        <f>VLOOKUP(G496,[1]硬件清单!$F:$F,1,0)</f>
        <v>bld019106s/bld019069s</v>
      </c>
      <c r="K496" s="43"/>
      <c r="L496" s="44"/>
      <c r="M496" s="45" t="s">
        <v>112</v>
      </c>
    </row>
    <row r="497" ht="30" customHeight="1" spans="1:13">
      <c r="A497" s="41">
        <f>IF(C497="","",SUBTOTAL(103,$C$2:C497))</f>
        <v>488</v>
      </c>
      <c r="B497" s="41">
        <v>493</v>
      </c>
      <c r="C497" s="41">
        <v>4760</v>
      </c>
      <c r="D497" s="41" t="s">
        <v>65</v>
      </c>
      <c r="E497" s="41" t="s">
        <v>96</v>
      </c>
      <c r="F497" s="41" t="s">
        <v>1593</v>
      </c>
      <c r="G497" s="41" t="s">
        <v>1625</v>
      </c>
      <c r="H497" s="41" t="s">
        <v>1626</v>
      </c>
      <c r="I497" s="43">
        <v>12</v>
      </c>
      <c r="J497" s="44" t="str">
        <f>VLOOKUP(G497,[1]硬件清单!$F:$F,1,0)</f>
        <v>bld018495s</v>
      </c>
      <c r="K497" s="43"/>
      <c r="L497" s="44"/>
      <c r="M497" s="45" t="s">
        <v>123</v>
      </c>
    </row>
    <row r="498" ht="31" customHeight="1" spans="1:13">
      <c r="A498" s="41">
        <f>IF(C498="","",SUBTOTAL(103,$C$2:C498))</f>
        <v>489</v>
      </c>
      <c r="B498" s="41">
        <v>494</v>
      </c>
      <c r="C498" s="41">
        <v>11516</v>
      </c>
      <c r="D498" s="41" t="s">
        <v>12</v>
      </c>
      <c r="E498" s="41" t="s">
        <v>1627</v>
      </c>
      <c r="F498" s="42" t="s">
        <v>1628</v>
      </c>
      <c r="G498" s="41" t="s">
        <v>1629</v>
      </c>
      <c r="H498" s="41" t="s">
        <v>1630</v>
      </c>
      <c r="I498" s="43">
        <v>12</v>
      </c>
      <c r="J498" s="44" t="str">
        <f>VLOOKUP(G498,[1]硬件清单!$F:$F,1,0)</f>
        <v>BK-F01-PD-BL05</v>
      </c>
      <c r="K498" s="44"/>
      <c r="L498" s="44"/>
      <c r="M498" s="45" t="s">
        <v>1631</v>
      </c>
    </row>
    <row r="499" ht="30" customHeight="1" spans="1:13">
      <c r="A499" s="41">
        <f>IF(C499="","",SUBTOTAL(103,$C$2:C499))</f>
        <v>490</v>
      </c>
      <c r="B499" s="41">
        <v>495</v>
      </c>
      <c r="C499" s="41">
        <v>11465</v>
      </c>
      <c r="D499" s="41" t="s">
        <v>12</v>
      </c>
      <c r="E499" s="41" t="s">
        <v>779</v>
      </c>
      <c r="F499" s="42" t="s">
        <v>1632</v>
      </c>
      <c r="G499" s="41" t="s">
        <v>1633</v>
      </c>
      <c r="H499" s="41" t="s">
        <v>1634</v>
      </c>
      <c r="I499" s="43">
        <v>12</v>
      </c>
      <c r="J499" s="44" t="str">
        <f>VLOOKUP(G499,[1]硬件清单!$F:$F,1,0)</f>
        <v>BK-F01-PD-LT05</v>
      </c>
      <c r="K499" s="44"/>
      <c r="L499" s="44"/>
      <c r="M499" s="45" t="s">
        <v>1631</v>
      </c>
    </row>
    <row r="500" ht="30" customHeight="1" spans="1:13">
      <c r="A500" s="41">
        <f>IF(C500="","",SUBTOTAL(103,$C$2:C500))</f>
        <v>491</v>
      </c>
      <c r="B500" s="41">
        <v>496</v>
      </c>
      <c r="C500" s="41">
        <v>11517</v>
      </c>
      <c r="D500" s="41" t="s">
        <v>12</v>
      </c>
      <c r="E500" s="41" t="s">
        <v>1627</v>
      </c>
      <c r="F500" s="42" t="s">
        <v>1628</v>
      </c>
      <c r="G500" s="41" t="s">
        <v>1635</v>
      </c>
      <c r="H500" s="41" t="s">
        <v>1636</v>
      </c>
      <c r="I500" s="43">
        <v>12</v>
      </c>
      <c r="J500" s="44" t="str">
        <f>VLOOKUP(G500,[1]硬件清单!$F:$F,1,0)</f>
        <v>BK-F01-PD-BL06</v>
      </c>
      <c r="K500" s="44"/>
      <c r="L500" s="44"/>
      <c r="M500" s="45" t="s">
        <v>1637</v>
      </c>
    </row>
    <row r="501" ht="30" customHeight="1" spans="1:13">
      <c r="A501" s="41">
        <f>IF(C501="","",SUBTOTAL(103,$C$2:C501))</f>
        <v>492</v>
      </c>
      <c r="B501" s="41">
        <v>497</v>
      </c>
      <c r="C501" s="41">
        <v>11466</v>
      </c>
      <c r="D501" s="41" t="s">
        <v>12</v>
      </c>
      <c r="E501" s="41" t="s">
        <v>779</v>
      </c>
      <c r="F501" s="42" t="s">
        <v>1632</v>
      </c>
      <c r="G501" s="41" t="s">
        <v>1638</v>
      </c>
      <c r="H501" s="41" t="s">
        <v>1639</v>
      </c>
      <c r="I501" s="43">
        <v>12</v>
      </c>
      <c r="J501" s="44" t="str">
        <f>VLOOKUP(G501,[1]硬件清单!$F:$F,1,0)</f>
        <v>BK-F01-PD-LT06</v>
      </c>
      <c r="K501" s="44"/>
      <c r="L501" s="44"/>
      <c r="M501" s="45" t="s">
        <v>1637</v>
      </c>
    </row>
    <row r="502" ht="30" customHeight="1" spans="1:13">
      <c r="A502" s="41">
        <f>IF(C502="","",SUBTOTAL(103,$C$2:C502))</f>
        <v>493</v>
      </c>
      <c r="B502" s="41">
        <v>498</v>
      </c>
      <c r="C502" s="46">
        <v>11493</v>
      </c>
      <c r="D502" s="46" t="s">
        <v>12</v>
      </c>
      <c r="E502" s="46" t="s">
        <v>779</v>
      </c>
      <c r="F502" s="42" t="s">
        <v>1589</v>
      </c>
      <c r="G502" s="41" t="s">
        <v>1640</v>
      </c>
      <c r="H502" s="41" t="s">
        <v>1641</v>
      </c>
      <c r="I502" s="43">
        <v>12</v>
      </c>
      <c r="J502" s="44" t="str">
        <f>VLOOKUP(G502,[1]硬件清单!$F:$F,1,0)</f>
        <v>5A1445T01489</v>
      </c>
      <c r="K502" s="44"/>
      <c r="L502" s="44"/>
      <c r="M502" s="45" t="s">
        <v>1642</v>
      </c>
    </row>
    <row r="503" ht="30" customHeight="1" spans="1:13">
      <c r="A503" s="41">
        <f>IF(C503="","",SUBTOTAL(103,$C$2:C503))</f>
        <v>494</v>
      </c>
      <c r="B503" s="41">
        <v>499</v>
      </c>
      <c r="C503" s="41">
        <v>5372</v>
      </c>
      <c r="D503" s="41" t="s">
        <v>12</v>
      </c>
      <c r="E503" s="41" t="s">
        <v>779</v>
      </c>
      <c r="F503" s="42" t="s">
        <v>1643</v>
      </c>
      <c r="G503" s="41" t="s">
        <v>776</v>
      </c>
      <c r="H503" s="41" t="s">
        <v>1644</v>
      </c>
      <c r="I503" s="43">
        <v>12</v>
      </c>
      <c r="J503" s="44" t="str">
        <f>VLOOKUP(G503,[1]硬件清单!$F:$F,1,0)</f>
        <v>无</v>
      </c>
      <c r="K503" s="44"/>
      <c r="L503" s="44"/>
      <c r="M503" s="45" t="s">
        <v>1645</v>
      </c>
    </row>
    <row r="504" ht="30" customHeight="1" spans="1:13">
      <c r="A504" s="41">
        <f>IF(C504="","",SUBTOTAL(103,$C$2:C504))</f>
        <v>495</v>
      </c>
      <c r="B504" s="41">
        <v>500</v>
      </c>
      <c r="C504" s="41">
        <v>5373</v>
      </c>
      <c r="D504" s="41" t="s">
        <v>12</v>
      </c>
      <c r="E504" s="41" t="s">
        <v>779</v>
      </c>
      <c r="F504" s="42" t="s">
        <v>1643</v>
      </c>
      <c r="G504" s="41" t="s">
        <v>776</v>
      </c>
      <c r="H504" s="41" t="s">
        <v>1646</v>
      </c>
      <c r="I504" s="43">
        <v>12</v>
      </c>
      <c r="J504" s="44" t="str">
        <f>VLOOKUP(G504,[1]硬件清单!$F:$F,1,0)</f>
        <v>无</v>
      </c>
      <c r="K504" s="44"/>
      <c r="L504" s="44"/>
      <c r="M504" s="45" t="s">
        <v>1645</v>
      </c>
    </row>
    <row r="505" ht="30" customHeight="1" spans="1:13">
      <c r="A505" s="41">
        <f>IF(C505="","",SUBTOTAL(103,$C$2:C505))</f>
        <v>496</v>
      </c>
      <c r="B505" s="41">
        <v>503</v>
      </c>
      <c r="C505" s="41">
        <v>5101</v>
      </c>
      <c r="D505" s="41" t="s">
        <v>161</v>
      </c>
      <c r="E505" s="41" t="s">
        <v>162</v>
      </c>
      <c r="F505" s="41" t="s">
        <v>1647</v>
      </c>
      <c r="G505" s="41" t="s">
        <v>1648</v>
      </c>
      <c r="H505" s="41" t="s">
        <v>1649</v>
      </c>
      <c r="I505" s="43">
        <v>12</v>
      </c>
      <c r="J505" s="44" t="str">
        <f>VLOOKUP(G505,[1]硬件清单!$F:$F,1,0)</f>
        <v>CN496800490</v>
      </c>
      <c r="K505" s="43"/>
      <c r="L505" s="44"/>
      <c r="M505" s="45" t="s">
        <v>1650</v>
      </c>
    </row>
    <row r="506" ht="30" customHeight="1" spans="1:13">
      <c r="A506" s="41">
        <f>IF(C506="","",SUBTOTAL(103,$C$2:C506))</f>
        <v>497</v>
      </c>
      <c r="B506" s="41">
        <v>504</v>
      </c>
      <c r="C506" s="41">
        <v>5100</v>
      </c>
      <c r="D506" s="41" t="s">
        <v>161</v>
      </c>
      <c r="E506" s="41" t="s">
        <v>162</v>
      </c>
      <c r="F506" s="41" t="s">
        <v>1647</v>
      </c>
      <c r="G506" s="41" t="s">
        <v>1651</v>
      </c>
      <c r="H506" s="41" t="s">
        <v>1652</v>
      </c>
      <c r="I506" s="43">
        <v>12</v>
      </c>
      <c r="J506" s="44" t="str">
        <f>VLOOKUP(G506,[1]硬件清单!$F:$F,1,0)</f>
        <v>CN496800489</v>
      </c>
      <c r="K506" s="43"/>
      <c r="L506" s="44"/>
      <c r="M506" s="47" t="s">
        <v>1653</v>
      </c>
    </row>
    <row r="507" ht="30" customHeight="1" spans="1:13">
      <c r="A507" s="41">
        <f>IF(C507="","",SUBTOTAL(103,$C$2:C507))</f>
        <v>498</v>
      </c>
      <c r="B507" s="41">
        <v>505</v>
      </c>
      <c r="C507" s="41">
        <v>4496</v>
      </c>
      <c r="D507" s="41" t="s">
        <v>161</v>
      </c>
      <c r="E507" s="41" t="s">
        <v>162</v>
      </c>
      <c r="F507" s="41" t="s">
        <v>1654</v>
      </c>
      <c r="G507" s="41" t="s">
        <v>1655</v>
      </c>
      <c r="H507" s="41" t="s">
        <v>1656</v>
      </c>
      <c r="I507" s="43">
        <v>12</v>
      </c>
      <c r="J507" s="44" t="str">
        <f>VLOOKUP(G507,[1]硬件清单!$F:$F,1,0)</f>
        <v>HCPG70049</v>
      </c>
      <c r="K507" s="43"/>
      <c r="L507" s="44"/>
      <c r="M507" s="45" t="s">
        <v>1657</v>
      </c>
    </row>
    <row r="508" ht="30" customHeight="1" spans="1:13">
      <c r="A508" s="41">
        <f>IF(C508="","",SUBTOTAL(103,$C$2:C508))</f>
        <v>499</v>
      </c>
      <c r="B508" s="41">
        <v>507</v>
      </c>
      <c r="C508" s="41">
        <v>11496</v>
      </c>
      <c r="D508" s="41" t="s">
        <v>12</v>
      </c>
      <c r="E508" s="41" t="s">
        <v>779</v>
      </c>
      <c r="F508" s="42" t="s">
        <v>1589</v>
      </c>
      <c r="G508" s="41" t="s">
        <v>1658</v>
      </c>
      <c r="H508" s="41" t="s">
        <v>1659</v>
      </c>
      <c r="I508" s="43">
        <v>12</v>
      </c>
      <c r="J508" s="44" t="str">
        <f>VLOOKUP(G508,[1]硬件清单!$F:$F,1,0)</f>
        <v>5A1441T15413</v>
      </c>
      <c r="K508" s="44"/>
      <c r="L508" s="44"/>
      <c r="M508" s="45" t="s">
        <v>1660</v>
      </c>
    </row>
    <row r="509" ht="30" customHeight="1" spans="1:13">
      <c r="A509" s="41">
        <f>IF(C509="","",SUBTOTAL(103,$C$2:C509))</f>
        <v>500</v>
      </c>
      <c r="B509" s="41">
        <v>508</v>
      </c>
      <c r="C509" s="41">
        <v>5102</v>
      </c>
      <c r="D509" s="41" t="s">
        <v>161</v>
      </c>
      <c r="E509" s="41" t="s">
        <v>238</v>
      </c>
      <c r="F509" s="41" t="s">
        <v>1661</v>
      </c>
      <c r="G509" s="41" t="s">
        <v>1662</v>
      </c>
      <c r="H509" s="41" t="s">
        <v>1663</v>
      </c>
      <c r="I509" s="43">
        <v>12</v>
      </c>
      <c r="J509" s="44" t="str">
        <f>VLOOKUP(G509,[1]硬件清单!$F:$F,1,0)</f>
        <v>CHQ404IN00B</v>
      </c>
      <c r="K509" s="43"/>
      <c r="L509" s="44"/>
      <c r="M509" s="45" t="s">
        <v>1664</v>
      </c>
    </row>
    <row r="510" ht="30" customHeight="1" spans="1:13">
      <c r="A510" s="41">
        <f>IF(C510="","",SUBTOTAL(103,$C$2:C510))</f>
        <v>501</v>
      </c>
      <c r="B510" s="41">
        <v>509</v>
      </c>
      <c r="C510" s="41">
        <v>5103</v>
      </c>
      <c r="D510" s="41" t="s">
        <v>161</v>
      </c>
      <c r="E510" s="41" t="s">
        <v>238</v>
      </c>
      <c r="F510" s="41" t="s">
        <v>1661</v>
      </c>
      <c r="G510" s="41" t="s">
        <v>1665</v>
      </c>
      <c r="H510" s="41" t="s">
        <v>1666</v>
      </c>
      <c r="I510" s="43">
        <v>12</v>
      </c>
      <c r="J510" s="44" t="str">
        <f>VLOOKUP(G510,[1]硬件清单!$F:$F,1,0)</f>
        <v>CHQ404IN001</v>
      </c>
      <c r="K510" s="43"/>
      <c r="L510" s="44"/>
      <c r="M510" s="45" t="s">
        <v>1667</v>
      </c>
    </row>
    <row r="511" ht="30" customHeight="1" spans="1:13">
      <c r="A511" s="41">
        <f>IF(C511="","",SUBTOTAL(103,$C$2:C511))</f>
        <v>502</v>
      </c>
      <c r="B511" s="41">
        <v>510</v>
      </c>
      <c r="C511" s="41">
        <v>11518</v>
      </c>
      <c r="D511" s="41" t="s">
        <v>12</v>
      </c>
      <c r="E511" s="41" t="s">
        <v>1627</v>
      </c>
      <c r="F511" s="42" t="s">
        <v>1628</v>
      </c>
      <c r="G511" s="41" t="s">
        <v>1668</v>
      </c>
      <c r="H511" s="41" t="s">
        <v>1669</v>
      </c>
      <c r="I511" s="43">
        <v>12</v>
      </c>
      <c r="J511" s="44" t="str">
        <f>VLOOKUP(G511,[1]硬件清单!$F:$F,1,0)</f>
        <v>BK-F01-PD-BL07</v>
      </c>
      <c r="K511" s="44"/>
      <c r="L511" s="44"/>
      <c r="M511" s="45" t="s">
        <v>1670</v>
      </c>
    </row>
    <row r="512" ht="81" customHeight="1" spans="1:13">
      <c r="A512" s="41">
        <f>IF(C512="","",SUBTOTAL(103,$C$2:C512))</f>
        <v>503</v>
      </c>
      <c r="B512" s="41">
        <v>511</v>
      </c>
      <c r="C512" s="41">
        <v>11467</v>
      </c>
      <c r="D512" s="41" t="s">
        <v>12</v>
      </c>
      <c r="E512" s="41" t="s">
        <v>779</v>
      </c>
      <c r="F512" s="42" t="s">
        <v>1632</v>
      </c>
      <c r="G512" s="41" t="s">
        <v>1671</v>
      </c>
      <c r="H512" s="41" t="s">
        <v>1672</v>
      </c>
      <c r="I512" s="43">
        <v>12</v>
      </c>
      <c r="J512" s="44" t="str">
        <f>VLOOKUP(G512,[1]硬件清单!$F:$F,1,0)</f>
        <v>BK-F01-PD-LT07</v>
      </c>
      <c r="K512" s="44"/>
      <c r="L512" s="44"/>
      <c r="M512" s="45" t="s">
        <v>1670</v>
      </c>
    </row>
    <row r="513" ht="30" customHeight="1" spans="1:13">
      <c r="A513" s="41">
        <f>IF(C513="","",SUBTOTAL(103,$C$2:C513))</f>
        <v>504</v>
      </c>
      <c r="B513" s="41">
        <v>512</v>
      </c>
      <c r="C513" s="41">
        <v>11519</v>
      </c>
      <c r="D513" s="41" t="s">
        <v>12</v>
      </c>
      <c r="E513" s="41" t="s">
        <v>1627</v>
      </c>
      <c r="F513" s="42" t="s">
        <v>1628</v>
      </c>
      <c r="G513" s="41" t="s">
        <v>1673</v>
      </c>
      <c r="H513" s="41" t="s">
        <v>1674</v>
      </c>
      <c r="I513" s="43">
        <v>12</v>
      </c>
      <c r="J513" s="44" t="str">
        <f>VLOOKUP(G513,[1]硬件清单!$F:$F,1,0)</f>
        <v>BK-F01-PD-BL08</v>
      </c>
      <c r="K513" s="44"/>
      <c r="L513" s="44"/>
      <c r="M513" s="45" t="s">
        <v>1675</v>
      </c>
    </row>
    <row r="514" ht="30" customHeight="1" spans="1:13">
      <c r="A514" s="41">
        <f>IF(C514="","",SUBTOTAL(103,$C$2:C514))</f>
        <v>505</v>
      </c>
      <c r="B514" s="41">
        <v>513</v>
      </c>
      <c r="C514" s="41">
        <v>11468</v>
      </c>
      <c r="D514" s="41" t="s">
        <v>12</v>
      </c>
      <c r="E514" s="41" t="s">
        <v>779</v>
      </c>
      <c r="F514" s="42" t="s">
        <v>1632</v>
      </c>
      <c r="G514" s="41" t="s">
        <v>1676</v>
      </c>
      <c r="H514" s="41" t="s">
        <v>1677</v>
      </c>
      <c r="I514" s="43">
        <v>12</v>
      </c>
      <c r="J514" s="44" t="str">
        <f>VLOOKUP(G514,[1]硬件清单!$F:$F,1,0)</f>
        <v>BK-F01-PD-LT08</v>
      </c>
      <c r="K514" s="44"/>
      <c r="L514" s="44"/>
      <c r="M514" s="45" t="s">
        <v>1675</v>
      </c>
    </row>
    <row r="515" ht="30" customHeight="1" spans="1:13">
      <c r="A515" s="41">
        <f>IF(C515="","",SUBTOTAL(103,$C$2:C515))</f>
        <v>506</v>
      </c>
      <c r="B515" s="41">
        <v>514</v>
      </c>
      <c r="C515" s="41">
        <v>11498</v>
      </c>
      <c r="D515" s="41" t="s">
        <v>12</v>
      </c>
      <c r="E515" s="41" t="s">
        <v>779</v>
      </c>
      <c r="F515" s="42" t="s">
        <v>1589</v>
      </c>
      <c r="G515" s="41" t="s">
        <v>1678</v>
      </c>
      <c r="H515" s="41" t="s">
        <v>1679</v>
      </c>
      <c r="I515" s="43">
        <v>12</v>
      </c>
      <c r="J515" s="44" t="str">
        <f>VLOOKUP(G515,[1]硬件清单!$F:$F,1,0)</f>
        <v>5A1443T08942</v>
      </c>
      <c r="K515" s="44"/>
      <c r="L515" s="44"/>
      <c r="M515" s="45" t="s">
        <v>1680</v>
      </c>
    </row>
    <row r="516" ht="30" customHeight="1" spans="1:13">
      <c r="A516" s="41">
        <f>IF(C516="","",SUBTOTAL(103,$C$2:C516))</f>
        <v>507</v>
      </c>
      <c r="B516" s="41">
        <v>515</v>
      </c>
      <c r="C516" s="46">
        <v>4800</v>
      </c>
      <c r="D516" s="46" t="s">
        <v>19</v>
      </c>
      <c r="E516" s="46" t="s">
        <v>20</v>
      </c>
      <c r="F516" s="46" t="s">
        <v>1606</v>
      </c>
      <c r="G516" s="41" t="s">
        <v>1681</v>
      </c>
      <c r="H516" s="41" t="s">
        <v>1682</v>
      </c>
      <c r="I516" s="43">
        <v>12</v>
      </c>
      <c r="J516" s="44" t="str">
        <f>VLOOKUP(G516,[1]硬件清单!$F:$F,1,0)</f>
        <v>210231A0QCH16B000010</v>
      </c>
      <c r="K516" s="44"/>
      <c r="L516" s="44" t="s">
        <v>17</v>
      </c>
      <c r="M516" s="45" t="s">
        <v>1683</v>
      </c>
    </row>
    <row r="517" ht="30" customHeight="1" spans="1:13">
      <c r="A517" s="41">
        <f>IF(C517="","",SUBTOTAL(103,$C$2:C517))</f>
        <v>508</v>
      </c>
      <c r="B517" s="41">
        <v>516</v>
      </c>
      <c r="C517" s="41">
        <v>4799</v>
      </c>
      <c r="D517" s="41" t="s">
        <v>19</v>
      </c>
      <c r="E517" s="41" t="s">
        <v>20</v>
      </c>
      <c r="F517" s="41" t="s">
        <v>1606</v>
      </c>
      <c r="G517" s="41" t="s">
        <v>1681</v>
      </c>
      <c r="H517" s="41" t="s">
        <v>1684</v>
      </c>
      <c r="I517" s="43">
        <v>12</v>
      </c>
      <c r="J517" s="44" t="str">
        <f>VLOOKUP(G517,[1]硬件清单!$F:$F,1,0)</f>
        <v>210231A0QCH16B000010</v>
      </c>
      <c r="K517" s="44"/>
      <c r="L517" s="44" t="s">
        <v>17</v>
      </c>
      <c r="M517" s="45" t="s">
        <v>1685</v>
      </c>
    </row>
    <row r="518" ht="30" customHeight="1" spans="1:13">
      <c r="A518" s="41">
        <f>IF(C518="","",SUBTOTAL(103,$C$2:C518))</f>
        <v>509</v>
      </c>
      <c r="B518" s="41">
        <v>517</v>
      </c>
      <c r="C518" s="41">
        <v>11492</v>
      </c>
      <c r="D518" s="41" t="s">
        <v>12</v>
      </c>
      <c r="E518" s="41" t="s">
        <v>779</v>
      </c>
      <c r="F518" s="42" t="s">
        <v>1589</v>
      </c>
      <c r="G518" s="41" t="s">
        <v>1686</v>
      </c>
      <c r="H518" s="41" t="s">
        <v>1687</v>
      </c>
      <c r="I518" s="43">
        <v>12</v>
      </c>
      <c r="J518" s="44" t="str">
        <f>VLOOKUP(G518,[1]硬件清单!$F:$F,1,0)</f>
        <v>5A1441T15412</v>
      </c>
      <c r="K518" s="44"/>
      <c r="L518" s="44"/>
      <c r="M518" s="45" t="s">
        <v>1688</v>
      </c>
    </row>
    <row r="519" ht="30" customHeight="1" spans="1:13">
      <c r="A519" s="41">
        <f>IF(C519="","",SUBTOTAL(103,$C$2:C519))</f>
        <v>510</v>
      </c>
      <c r="B519" s="41">
        <v>524</v>
      </c>
      <c r="C519" s="41">
        <v>10164</v>
      </c>
      <c r="D519" s="41" t="s">
        <v>19</v>
      </c>
      <c r="E519" s="41" t="s">
        <v>84</v>
      </c>
      <c r="F519" s="41" t="s">
        <v>1689</v>
      </c>
      <c r="G519" s="41" t="s">
        <v>1690</v>
      </c>
      <c r="H519" s="41" t="s">
        <v>1691</v>
      </c>
      <c r="I519" s="43">
        <v>12</v>
      </c>
      <c r="J519" s="44" t="str">
        <f>VLOOKUP(G519,[1]硬件清单!$F:$F,1,0)</f>
        <v>F5-CJXU-PYJA</v>
      </c>
      <c r="K519" s="44"/>
      <c r="L519" s="44"/>
      <c r="M519" s="45" t="s">
        <v>1692</v>
      </c>
    </row>
    <row r="520" ht="30" customHeight="1" spans="1:13">
      <c r="A520" s="41">
        <f>IF(C520="","",SUBTOTAL(103,$C$2:C520))</f>
        <v>511</v>
      </c>
      <c r="B520" s="41">
        <v>525</v>
      </c>
      <c r="C520" s="41">
        <v>10163</v>
      </c>
      <c r="D520" s="41" t="s">
        <v>19</v>
      </c>
      <c r="E520" s="41" t="s">
        <v>84</v>
      </c>
      <c r="F520" s="41" t="s">
        <v>1689</v>
      </c>
      <c r="G520" s="41" t="s">
        <v>1693</v>
      </c>
      <c r="H520" s="41" t="s">
        <v>1694</v>
      </c>
      <c r="I520" s="43">
        <v>12</v>
      </c>
      <c r="J520" s="44" t="str">
        <f>VLOOKUP(G520,[1]硬件清单!$F:$F,1,0)</f>
        <v>F5-IKMR-EIML</v>
      </c>
      <c r="K520" s="44"/>
      <c r="L520" s="44"/>
      <c r="M520" s="45" t="s">
        <v>1695</v>
      </c>
    </row>
    <row r="521" ht="30" customHeight="1" spans="1:13">
      <c r="A521" s="41">
        <f>IF(C521="","",SUBTOTAL(103,$C$2:C521))</f>
        <v>512</v>
      </c>
      <c r="B521" s="41">
        <v>526</v>
      </c>
      <c r="C521" s="41">
        <v>10161</v>
      </c>
      <c r="D521" s="41" t="s">
        <v>19</v>
      </c>
      <c r="E521" s="41" t="s">
        <v>84</v>
      </c>
      <c r="F521" s="41" t="s">
        <v>1696</v>
      </c>
      <c r="G521" s="41" t="s">
        <v>1697</v>
      </c>
      <c r="H521" s="41" t="s">
        <v>1698</v>
      </c>
      <c r="I521" s="43">
        <v>12</v>
      </c>
      <c r="J521" s="44" t="str">
        <f>VLOOKUP(G521,[1]硬件清单!$F:$F,1,0)</f>
        <v>F5-SQTY-DDPK</v>
      </c>
      <c r="K521" s="44"/>
      <c r="L521" s="44"/>
      <c r="M521" s="45" t="s">
        <v>1699</v>
      </c>
    </row>
    <row r="522" ht="30" customHeight="1" spans="1:13">
      <c r="A522" s="41">
        <f>IF(C522="","",SUBTOTAL(103,$C$2:C522))</f>
        <v>513</v>
      </c>
      <c r="B522" s="41">
        <v>527</v>
      </c>
      <c r="C522" s="41">
        <v>11199</v>
      </c>
      <c r="D522" s="41" t="s">
        <v>19</v>
      </c>
      <c r="E522" s="41" t="s">
        <v>34</v>
      </c>
      <c r="F522" s="41" t="s">
        <v>1700</v>
      </c>
      <c r="G522" s="41" t="s">
        <v>1701</v>
      </c>
      <c r="H522" s="41" t="s">
        <v>1702</v>
      </c>
      <c r="I522" s="43">
        <v>12</v>
      </c>
      <c r="J522" s="44" t="str">
        <f>VLOOKUP(G522,[1]硬件清单!$F:$F,1,0)</f>
        <v>05-1402E-201</v>
      </c>
      <c r="K522" s="44"/>
      <c r="L522" s="44"/>
      <c r="M522" s="45" t="s">
        <v>1703</v>
      </c>
    </row>
    <row r="523" ht="30" customHeight="1" spans="1:13">
      <c r="A523" s="41">
        <f>IF(C523="","",SUBTOTAL(103,$C$2:C523))</f>
        <v>514</v>
      </c>
      <c r="B523" s="41">
        <v>528</v>
      </c>
      <c r="C523" s="41">
        <v>11198</v>
      </c>
      <c r="D523" s="41" t="s">
        <v>19</v>
      </c>
      <c r="E523" s="41" t="s">
        <v>34</v>
      </c>
      <c r="F523" s="41" t="s">
        <v>1700</v>
      </c>
      <c r="G523" s="41" t="s">
        <v>1704</v>
      </c>
      <c r="H523" s="41" t="s">
        <v>1705</v>
      </c>
      <c r="I523" s="43">
        <v>12</v>
      </c>
      <c r="J523" s="44" t="str">
        <f>VLOOKUP(G523,[1]硬件清单!$F:$F,1,0)</f>
        <v>05-1403E-214</v>
      </c>
      <c r="K523" s="44"/>
      <c r="L523" s="44"/>
      <c r="M523" s="45" t="s">
        <v>1706</v>
      </c>
    </row>
    <row r="524" ht="30" customHeight="1" spans="1:13">
      <c r="A524" s="41">
        <f>IF(C524="","",SUBTOTAL(103,$C$2:C524))</f>
        <v>515</v>
      </c>
      <c r="B524" s="41">
        <v>530</v>
      </c>
      <c r="C524" s="41">
        <v>8869</v>
      </c>
      <c r="D524" s="41" t="s">
        <v>45</v>
      </c>
      <c r="E524" s="41" t="s">
        <v>246</v>
      </c>
      <c r="F524" s="41" t="s">
        <v>1707</v>
      </c>
      <c r="G524" s="41" t="s">
        <v>1708</v>
      </c>
      <c r="H524" s="41" t="s">
        <v>1709</v>
      </c>
      <c r="I524" s="43">
        <v>12</v>
      </c>
      <c r="J524" s="44" t="str">
        <f>VLOOKUP(G524,[1]硬件清单!$F:$F,1,0)</f>
        <v>SGH230A2A2</v>
      </c>
      <c r="K524" s="44"/>
      <c r="L524" s="44"/>
      <c r="M524" s="45" t="s">
        <v>1710</v>
      </c>
    </row>
    <row r="525" ht="30" customHeight="1" spans="1:13">
      <c r="A525" s="41">
        <f>IF(C525="","",SUBTOTAL(103,$C$2:C525))</f>
        <v>516</v>
      </c>
      <c r="B525" s="41">
        <v>531</v>
      </c>
      <c r="C525" s="41">
        <v>8870</v>
      </c>
      <c r="D525" s="41" t="s">
        <v>45</v>
      </c>
      <c r="E525" s="41" t="s">
        <v>246</v>
      </c>
      <c r="F525" s="41" t="s">
        <v>1707</v>
      </c>
      <c r="G525" s="41" t="s">
        <v>1711</v>
      </c>
      <c r="H525" s="41" t="s">
        <v>1712</v>
      </c>
      <c r="I525" s="43">
        <v>12</v>
      </c>
      <c r="J525" s="44" t="str">
        <f>VLOOKUP(G525,[1]硬件清单!$F:$F,1,0)</f>
        <v>SGH230A29S</v>
      </c>
      <c r="K525" s="44"/>
      <c r="L525" s="44"/>
      <c r="M525" s="45" t="s">
        <v>1713</v>
      </c>
    </row>
    <row r="526" ht="30" customHeight="1" spans="1:13">
      <c r="A526" s="41">
        <f>IF(C526="","",SUBTOTAL(103,$C$2:C526))</f>
        <v>517</v>
      </c>
      <c r="B526" s="41">
        <v>532</v>
      </c>
      <c r="C526" s="41">
        <v>10157</v>
      </c>
      <c r="D526" s="41" t="s">
        <v>19</v>
      </c>
      <c r="E526" s="41" t="s">
        <v>84</v>
      </c>
      <c r="F526" s="41" t="s">
        <v>1689</v>
      </c>
      <c r="G526" s="41" t="s">
        <v>1714</v>
      </c>
      <c r="H526" s="41" t="s">
        <v>1715</v>
      </c>
      <c r="I526" s="43">
        <v>12</v>
      </c>
      <c r="J526" s="44" t="str">
        <f>VLOOKUP(G526,[1]硬件清单!$F:$F,1,0)</f>
        <v>F5-AHKD-CMVF</v>
      </c>
      <c r="K526" s="44"/>
      <c r="L526" s="44"/>
      <c r="M526" s="45" t="s">
        <v>1716</v>
      </c>
    </row>
    <row r="527" ht="30" customHeight="1" spans="1:13">
      <c r="A527" s="41">
        <f>IF(C527="","",SUBTOTAL(103,$C$2:C527))</f>
        <v>518</v>
      </c>
      <c r="B527" s="41">
        <v>533</v>
      </c>
      <c r="C527" s="41">
        <v>10159</v>
      </c>
      <c r="D527" s="41" t="s">
        <v>19</v>
      </c>
      <c r="E527" s="41" t="s">
        <v>84</v>
      </c>
      <c r="F527" s="41" t="s">
        <v>1689</v>
      </c>
      <c r="G527" s="41" t="s">
        <v>1717</v>
      </c>
      <c r="H527" s="41" t="s">
        <v>1718</v>
      </c>
      <c r="I527" s="43">
        <v>12</v>
      </c>
      <c r="J527" s="44" t="str">
        <f>VLOOKUP(G527,[1]硬件清单!$F:$F,1,0)</f>
        <v>F5-NBUJ-OSBT</v>
      </c>
      <c r="K527" s="44"/>
      <c r="L527" s="44"/>
      <c r="M527" s="45" t="s">
        <v>1719</v>
      </c>
    </row>
    <row r="528" ht="30" customHeight="1" spans="1:13">
      <c r="A528" s="41">
        <f>IF(C528="","",SUBTOTAL(103,$C$2:C528))</f>
        <v>519</v>
      </c>
      <c r="B528" s="41">
        <v>534</v>
      </c>
      <c r="C528" s="41">
        <v>10160</v>
      </c>
      <c r="D528" s="41" t="s">
        <v>19</v>
      </c>
      <c r="E528" s="41" t="s">
        <v>84</v>
      </c>
      <c r="F528" s="41" t="s">
        <v>1689</v>
      </c>
      <c r="G528" s="41" t="s">
        <v>1720</v>
      </c>
      <c r="H528" s="41" t="s">
        <v>1721</v>
      </c>
      <c r="I528" s="43">
        <v>12</v>
      </c>
      <c r="J528" s="44" t="str">
        <f>VLOOKUP(G528,[1]硬件清单!$F:$F,1,0)</f>
        <v>F5-OIGZ-UVJG</v>
      </c>
      <c r="K528" s="44"/>
      <c r="L528" s="44"/>
      <c r="M528" s="45" t="s">
        <v>1722</v>
      </c>
    </row>
    <row r="529" ht="30" customHeight="1" spans="1:13">
      <c r="A529" s="41">
        <f>IF(C529="","",SUBTOTAL(103,$C$2:C529))</f>
        <v>520</v>
      </c>
      <c r="B529" s="41">
        <v>535</v>
      </c>
      <c r="C529" s="41">
        <v>11497</v>
      </c>
      <c r="D529" s="41" t="s">
        <v>12</v>
      </c>
      <c r="E529" s="41" t="s">
        <v>779</v>
      </c>
      <c r="F529" s="42" t="s">
        <v>1589</v>
      </c>
      <c r="G529" s="41" t="s">
        <v>1723</v>
      </c>
      <c r="H529" s="41" t="s">
        <v>1724</v>
      </c>
      <c r="I529" s="43">
        <v>12</v>
      </c>
      <c r="J529" s="44" t="str">
        <f>VLOOKUP(G529,[1]硬件清单!$F:$F,1,0)</f>
        <v>5A1441T15396</v>
      </c>
      <c r="K529" s="44"/>
      <c r="L529" s="44"/>
      <c r="M529" s="45" t="s">
        <v>1725</v>
      </c>
    </row>
    <row r="530" ht="30" customHeight="1" spans="1:13">
      <c r="A530" s="41">
        <f>IF(C530="","",SUBTOTAL(103,$C$2:C530))</f>
        <v>521</v>
      </c>
      <c r="B530" s="41">
        <v>538</v>
      </c>
      <c r="C530" s="41">
        <v>11489</v>
      </c>
      <c r="D530" s="41" t="s">
        <v>12</v>
      </c>
      <c r="E530" s="41" t="s">
        <v>779</v>
      </c>
      <c r="F530" s="42" t="s">
        <v>1589</v>
      </c>
      <c r="G530" s="41" t="s">
        <v>1726</v>
      </c>
      <c r="H530" s="41" t="s">
        <v>1727</v>
      </c>
      <c r="I530" s="43">
        <v>12</v>
      </c>
      <c r="J530" s="44" t="str">
        <f>VLOOKUP(G530,[1]硬件清单!$F:$F,1,0)</f>
        <v>5A1441T15246</v>
      </c>
      <c r="K530" s="44"/>
      <c r="L530" s="44"/>
      <c r="M530" s="45" t="s">
        <v>1728</v>
      </c>
    </row>
    <row r="531" ht="30" customHeight="1" spans="1:13">
      <c r="A531" s="41">
        <f>IF(C531="","",SUBTOTAL(103,$C$2:C531))</f>
        <v>522</v>
      </c>
      <c r="B531" s="41">
        <v>539</v>
      </c>
      <c r="C531" s="41">
        <v>11522</v>
      </c>
      <c r="D531" s="41" t="s">
        <v>12</v>
      </c>
      <c r="E531" s="41" t="s">
        <v>1627</v>
      </c>
      <c r="F531" s="42" t="s">
        <v>1628</v>
      </c>
      <c r="G531" s="41" t="s">
        <v>1729</v>
      </c>
      <c r="H531" s="41" t="s">
        <v>1730</v>
      </c>
      <c r="I531" s="43">
        <v>12</v>
      </c>
      <c r="J531" s="44" t="str">
        <f>VLOOKUP(G531,[1]硬件清单!$F:$F,1,0)</f>
        <v>BK-F01-PD-BL11</v>
      </c>
      <c r="K531" s="44"/>
      <c r="L531" s="44"/>
      <c r="M531" s="45" t="s">
        <v>1731</v>
      </c>
    </row>
    <row r="532" ht="30" customHeight="1" spans="1:13">
      <c r="A532" s="41">
        <f>IF(C532="","",SUBTOTAL(103,$C$2:C532))</f>
        <v>523</v>
      </c>
      <c r="B532" s="41">
        <v>540</v>
      </c>
      <c r="C532" s="41">
        <v>11471</v>
      </c>
      <c r="D532" s="41" t="s">
        <v>12</v>
      </c>
      <c r="E532" s="41" t="s">
        <v>779</v>
      </c>
      <c r="F532" s="42" t="s">
        <v>1632</v>
      </c>
      <c r="G532" s="41" t="s">
        <v>1732</v>
      </c>
      <c r="H532" s="41" t="s">
        <v>1733</v>
      </c>
      <c r="I532" s="43">
        <v>12</v>
      </c>
      <c r="J532" s="44" t="str">
        <f>VLOOKUP(G532,[1]硬件清单!$F:$F,1,0)</f>
        <v>BK-F01-PD-LT11</v>
      </c>
      <c r="K532" s="44"/>
      <c r="L532" s="44"/>
      <c r="M532" s="45" t="s">
        <v>1731</v>
      </c>
    </row>
    <row r="533" ht="30" customHeight="1" spans="1:13">
      <c r="A533" s="41">
        <f>IF(C533="","",SUBTOTAL(103,$C$2:C533))</f>
        <v>524</v>
      </c>
      <c r="B533" s="41">
        <v>542</v>
      </c>
      <c r="C533" s="41">
        <v>11533</v>
      </c>
      <c r="D533" s="41" t="s">
        <v>12</v>
      </c>
      <c r="E533" s="41" t="s">
        <v>1627</v>
      </c>
      <c r="F533" s="42" t="s">
        <v>1628</v>
      </c>
      <c r="G533" s="41" t="s">
        <v>1734</v>
      </c>
      <c r="H533" s="41" t="s">
        <v>1735</v>
      </c>
      <c r="I533" s="43">
        <v>12</v>
      </c>
      <c r="J533" s="44" t="str">
        <f>VLOOKUP(G533,[1]硬件清单!$F:$F,1,0)</f>
        <v>BK-F01-PD-BL22</v>
      </c>
      <c r="K533" s="44"/>
      <c r="L533" s="44"/>
      <c r="M533" s="45" t="s">
        <v>1736</v>
      </c>
    </row>
    <row r="534" ht="30" customHeight="1" spans="1:13">
      <c r="A534" s="41">
        <f>IF(C534="","",SUBTOTAL(103,$C$2:C534))</f>
        <v>525</v>
      </c>
      <c r="B534" s="41">
        <v>543</v>
      </c>
      <c r="C534" s="41">
        <v>11482</v>
      </c>
      <c r="D534" s="41" t="s">
        <v>12</v>
      </c>
      <c r="E534" s="41" t="s">
        <v>779</v>
      </c>
      <c r="F534" s="42" t="s">
        <v>1632</v>
      </c>
      <c r="G534" s="41" t="s">
        <v>1737</v>
      </c>
      <c r="H534" s="41" t="s">
        <v>1738</v>
      </c>
      <c r="I534" s="43">
        <v>12</v>
      </c>
      <c r="J534" s="44" t="str">
        <f>VLOOKUP(G534,[1]硬件清单!$F:$F,1,0)</f>
        <v>BK-F01-PD-LT22</v>
      </c>
      <c r="K534" s="44"/>
      <c r="L534" s="44"/>
      <c r="M534" s="45" t="s">
        <v>1736</v>
      </c>
    </row>
    <row r="535" ht="30" customHeight="1" spans="1:13">
      <c r="A535" s="41">
        <f>IF(C535="","",SUBTOTAL(103,$C$2:C535))</f>
        <v>526</v>
      </c>
      <c r="B535" s="41">
        <v>544</v>
      </c>
      <c r="C535" s="41">
        <v>4495</v>
      </c>
      <c r="D535" s="41" t="s">
        <v>161</v>
      </c>
      <c r="E535" s="41" t="s">
        <v>162</v>
      </c>
      <c r="F535" s="41" t="s">
        <v>1739</v>
      </c>
      <c r="G535" s="41" t="s">
        <v>776</v>
      </c>
      <c r="H535" s="41" t="s">
        <v>1740</v>
      </c>
      <c r="I535" s="43">
        <v>12</v>
      </c>
      <c r="J535" s="44" t="str">
        <f>VLOOKUP(G535,[1]硬件清单!$F:$F,1,0)</f>
        <v>无</v>
      </c>
      <c r="K535" s="43"/>
      <c r="L535" s="44"/>
      <c r="M535" s="45" t="s">
        <v>1741</v>
      </c>
    </row>
    <row r="536" ht="30" customHeight="1" spans="1:13">
      <c r="A536" s="41">
        <f>IF(C536="","",SUBTOTAL(103,$C$2:C536))</f>
        <v>527</v>
      </c>
      <c r="B536" s="41">
        <v>545</v>
      </c>
      <c r="C536" s="41">
        <v>11529</v>
      </c>
      <c r="D536" s="41" t="s">
        <v>12</v>
      </c>
      <c r="E536" s="41" t="s">
        <v>1627</v>
      </c>
      <c r="F536" s="42" t="s">
        <v>1628</v>
      </c>
      <c r="G536" s="41" t="s">
        <v>1742</v>
      </c>
      <c r="H536" s="41" t="s">
        <v>1743</v>
      </c>
      <c r="I536" s="43">
        <v>12</v>
      </c>
      <c r="J536" s="44" t="str">
        <f>VLOOKUP(G536,[1]硬件清单!$F:$F,1,0)</f>
        <v>BK-F01-PD-BL18</v>
      </c>
      <c r="K536" s="44"/>
      <c r="L536" s="44"/>
      <c r="M536" s="45" t="s">
        <v>1744</v>
      </c>
    </row>
    <row r="537" ht="30" customHeight="1" spans="1:13">
      <c r="A537" s="41">
        <f>IF(C537="","",SUBTOTAL(103,$C$2:C537))</f>
        <v>528</v>
      </c>
      <c r="B537" s="41">
        <v>546</v>
      </c>
      <c r="C537" s="41">
        <v>11478</v>
      </c>
      <c r="D537" s="41" t="s">
        <v>12</v>
      </c>
      <c r="E537" s="41" t="s">
        <v>779</v>
      </c>
      <c r="F537" s="42" t="s">
        <v>1632</v>
      </c>
      <c r="G537" s="41" t="s">
        <v>1745</v>
      </c>
      <c r="H537" s="41" t="s">
        <v>1746</v>
      </c>
      <c r="I537" s="43">
        <v>12</v>
      </c>
      <c r="J537" s="44" t="str">
        <f>VLOOKUP(G537,[1]硬件清单!$F:$F,1,0)</f>
        <v>BK-F01-PD-LT18</v>
      </c>
      <c r="K537" s="44"/>
      <c r="L537" s="44"/>
      <c r="M537" s="45" t="s">
        <v>1744</v>
      </c>
    </row>
    <row r="538" ht="30" customHeight="1" spans="1:13">
      <c r="A538" s="41">
        <f>IF(C538="","",SUBTOTAL(103,$C$2:C538))</f>
        <v>529</v>
      </c>
      <c r="B538" s="41">
        <v>547</v>
      </c>
      <c r="C538" s="41">
        <v>11528</v>
      </c>
      <c r="D538" s="41" t="s">
        <v>12</v>
      </c>
      <c r="E538" s="41" t="s">
        <v>1627</v>
      </c>
      <c r="F538" s="42" t="s">
        <v>1628</v>
      </c>
      <c r="G538" s="41" t="s">
        <v>1747</v>
      </c>
      <c r="H538" s="41" t="s">
        <v>1748</v>
      </c>
      <c r="I538" s="43">
        <v>12</v>
      </c>
      <c r="J538" s="44" t="str">
        <f>VLOOKUP(G538,[1]硬件清单!$F:$F,1,0)</f>
        <v>BK-F01-PD-BL17</v>
      </c>
      <c r="K538" s="44"/>
      <c r="L538" s="44"/>
      <c r="M538" s="45" t="s">
        <v>1749</v>
      </c>
    </row>
    <row r="539" ht="30" customHeight="1" spans="1:13">
      <c r="A539" s="41">
        <f>IF(C539="","",SUBTOTAL(103,$C$2:C539))</f>
        <v>530</v>
      </c>
      <c r="B539" s="41">
        <v>548</v>
      </c>
      <c r="C539" s="41">
        <v>11477</v>
      </c>
      <c r="D539" s="41" t="s">
        <v>12</v>
      </c>
      <c r="E539" s="41" t="s">
        <v>779</v>
      </c>
      <c r="F539" s="42" t="s">
        <v>1632</v>
      </c>
      <c r="G539" s="41" t="s">
        <v>1750</v>
      </c>
      <c r="H539" s="41" t="s">
        <v>1751</v>
      </c>
      <c r="I539" s="43">
        <v>12</v>
      </c>
      <c r="J539" s="44" t="str">
        <f>VLOOKUP(G539,[1]硬件清单!$F:$F,1,0)</f>
        <v>BK-F01-PD-LT17</v>
      </c>
      <c r="K539" s="44"/>
      <c r="L539" s="44"/>
      <c r="M539" s="45" t="s">
        <v>1749</v>
      </c>
    </row>
    <row r="540" ht="30" customHeight="1" spans="1:13">
      <c r="A540" s="41">
        <f>IF(C540="","",SUBTOTAL(103,$C$2:C540))</f>
        <v>531</v>
      </c>
      <c r="B540" s="41">
        <v>549</v>
      </c>
      <c r="C540" s="41">
        <v>11523</v>
      </c>
      <c r="D540" s="41" t="s">
        <v>12</v>
      </c>
      <c r="E540" s="41" t="s">
        <v>1627</v>
      </c>
      <c r="F540" s="42" t="s">
        <v>1628</v>
      </c>
      <c r="G540" s="41" t="s">
        <v>1752</v>
      </c>
      <c r="H540" s="41" t="s">
        <v>1753</v>
      </c>
      <c r="I540" s="43">
        <v>12</v>
      </c>
      <c r="J540" s="44" t="str">
        <f>VLOOKUP(G540,[1]硬件清单!$F:$F,1,0)</f>
        <v>BK-F01-PD-BL12</v>
      </c>
      <c r="K540" s="44"/>
      <c r="L540" s="44"/>
      <c r="M540" s="45" t="s">
        <v>1754</v>
      </c>
    </row>
    <row r="541" ht="30" customHeight="1" spans="1:13">
      <c r="A541" s="41">
        <f>IF(C541="","",SUBTOTAL(103,$C$2:C541))</f>
        <v>532</v>
      </c>
      <c r="B541" s="41">
        <v>550</v>
      </c>
      <c r="C541" s="41">
        <v>11472</v>
      </c>
      <c r="D541" s="41" t="s">
        <v>12</v>
      </c>
      <c r="E541" s="41" t="s">
        <v>779</v>
      </c>
      <c r="F541" s="42" t="s">
        <v>1632</v>
      </c>
      <c r="G541" s="41" t="s">
        <v>1755</v>
      </c>
      <c r="H541" s="41" t="s">
        <v>1756</v>
      </c>
      <c r="I541" s="43">
        <v>12</v>
      </c>
      <c r="J541" s="44" t="str">
        <f>VLOOKUP(G541,[1]硬件清单!$F:$F,1,0)</f>
        <v>BK-F01-PD-LT12</v>
      </c>
      <c r="K541" s="44"/>
      <c r="L541" s="44"/>
      <c r="M541" s="45" t="s">
        <v>1754</v>
      </c>
    </row>
    <row r="542" ht="30" customHeight="1" spans="1:13">
      <c r="A542" s="41">
        <f>IF(C542="","",SUBTOTAL(103,$C$2:C542))</f>
        <v>533</v>
      </c>
      <c r="B542" s="41">
        <v>551</v>
      </c>
      <c r="C542" s="41">
        <v>5374</v>
      </c>
      <c r="D542" s="41" t="s">
        <v>12</v>
      </c>
      <c r="E542" s="41" t="s">
        <v>779</v>
      </c>
      <c r="F542" s="42" t="s">
        <v>1643</v>
      </c>
      <c r="G542" s="41" t="s">
        <v>776</v>
      </c>
      <c r="H542" s="41" t="s">
        <v>1757</v>
      </c>
      <c r="I542" s="43">
        <v>12</v>
      </c>
      <c r="J542" s="44" t="str">
        <f>VLOOKUP(G542,[1]硬件清单!$F:$F,1,0)</f>
        <v>无</v>
      </c>
      <c r="K542" s="44"/>
      <c r="L542" s="44"/>
      <c r="M542" s="45" t="s">
        <v>1758</v>
      </c>
    </row>
    <row r="543" ht="30" customHeight="1" spans="1:13">
      <c r="A543" s="41">
        <f>IF(C543="","",SUBTOTAL(103,$C$2:C543))</f>
        <v>534</v>
      </c>
      <c r="B543" s="41">
        <v>552</v>
      </c>
      <c r="C543" s="41">
        <v>5375</v>
      </c>
      <c r="D543" s="41" t="s">
        <v>12</v>
      </c>
      <c r="E543" s="41" t="s">
        <v>779</v>
      </c>
      <c r="F543" s="42" t="s">
        <v>1643</v>
      </c>
      <c r="G543" s="41" t="s">
        <v>776</v>
      </c>
      <c r="H543" s="41" t="s">
        <v>1759</v>
      </c>
      <c r="I543" s="43">
        <v>12</v>
      </c>
      <c r="J543" s="44" t="str">
        <f>VLOOKUP(G543,[1]硬件清单!$F:$F,1,0)</f>
        <v>无</v>
      </c>
      <c r="K543" s="44"/>
      <c r="L543" s="44"/>
      <c r="M543" s="45" t="s">
        <v>1760</v>
      </c>
    </row>
    <row r="544" ht="30" customHeight="1" spans="1:13">
      <c r="A544" s="41">
        <f>IF(C544="","",SUBTOTAL(103,$C$2:C544))</f>
        <v>535</v>
      </c>
      <c r="B544" s="41">
        <v>553</v>
      </c>
      <c r="C544" s="46">
        <v>11499</v>
      </c>
      <c r="D544" s="46" t="s">
        <v>12</v>
      </c>
      <c r="E544" s="46" t="s">
        <v>779</v>
      </c>
      <c r="F544" s="42" t="s">
        <v>1589</v>
      </c>
      <c r="G544" s="41" t="s">
        <v>1761</v>
      </c>
      <c r="H544" s="41" t="s">
        <v>1762</v>
      </c>
      <c r="I544" s="43">
        <v>12</v>
      </c>
      <c r="J544" s="44" t="str">
        <f>VLOOKUP(G544,[1]硬件清单!$F:$F,1,0)</f>
        <v>5A1510T02768</v>
      </c>
      <c r="K544" s="44"/>
      <c r="L544" s="44"/>
      <c r="M544" s="45" t="s">
        <v>1763</v>
      </c>
    </row>
    <row r="545" ht="30" customHeight="1" spans="1:13">
      <c r="A545" s="41">
        <f>IF(C545="","",SUBTOTAL(103,$C$2:C545))</f>
        <v>536</v>
      </c>
      <c r="B545" s="41">
        <v>554</v>
      </c>
      <c r="C545" s="41">
        <v>10621</v>
      </c>
      <c r="D545" s="41" t="s">
        <v>65</v>
      </c>
      <c r="E545" s="41" t="s">
        <v>96</v>
      </c>
      <c r="F545" s="41" t="s">
        <v>1764</v>
      </c>
      <c r="G545" s="41" t="s">
        <v>1765</v>
      </c>
      <c r="H545" s="41" t="s">
        <v>1766</v>
      </c>
      <c r="I545" s="43">
        <v>12</v>
      </c>
      <c r="J545" s="44" t="str">
        <f>VLOOKUP(G545,[1]硬件清单!$F:$F,1,0)</f>
        <v>WTACDHSMPTHI2DGE01004</v>
      </c>
      <c r="K545" s="43"/>
      <c r="L545" s="44"/>
      <c r="M545" s="45" t="s">
        <v>1767</v>
      </c>
    </row>
    <row r="546" ht="30" customHeight="1" spans="1:13">
      <c r="A546" s="41">
        <f>IF(C546="","",SUBTOTAL(103,$C$2:C546))</f>
        <v>537</v>
      </c>
      <c r="B546" s="41">
        <v>555</v>
      </c>
      <c r="C546" s="41">
        <v>10620</v>
      </c>
      <c r="D546" s="41" t="s">
        <v>65</v>
      </c>
      <c r="E546" s="41" t="s">
        <v>96</v>
      </c>
      <c r="F546" s="41" t="s">
        <v>1764</v>
      </c>
      <c r="G546" s="41" t="s">
        <v>1768</v>
      </c>
      <c r="H546" s="41" t="s">
        <v>1769</v>
      </c>
      <c r="I546" s="43">
        <v>12</v>
      </c>
      <c r="J546" s="44" t="str">
        <f>VLOOKUP(G546,[1]硬件清单!$F:$F,1,0)</f>
        <v>WTACDHSMPTHI2DGE01002</v>
      </c>
      <c r="K546" s="43"/>
      <c r="L546" s="44"/>
      <c r="M546" s="45" t="s">
        <v>1770</v>
      </c>
    </row>
    <row r="547" ht="30" customHeight="1" spans="1:13">
      <c r="A547" s="41">
        <f>IF(C547="","",SUBTOTAL(103,$C$2:C547))</f>
        <v>538</v>
      </c>
      <c r="B547" s="41">
        <v>556</v>
      </c>
      <c r="C547" s="41">
        <v>10619</v>
      </c>
      <c r="D547" s="41" t="s">
        <v>65</v>
      </c>
      <c r="E547" s="41" t="s">
        <v>96</v>
      </c>
      <c r="F547" s="41" t="s">
        <v>1764</v>
      </c>
      <c r="G547" s="41" t="s">
        <v>1771</v>
      </c>
      <c r="H547" s="41" t="s">
        <v>1772</v>
      </c>
      <c r="I547" s="43">
        <v>12</v>
      </c>
      <c r="J547" s="44" t="str">
        <f>VLOOKUP(G547,[1]硬件清单!$F:$F,1,0)</f>
        <v>WTACDHSMPTHI2DGE01001</v>
      </c>
      <c r="K547" s="43"/>
      <c r="L547" s="44"/>
      <c r="M547" s="45" t="s">
        <v>1773</v>
      </c>
    </row>
    <row r="548" ht="30" customHeight="1" spans="1:13">
      <c r="A548" s="41">
        <f>IF(C548="","",SUBTOTAL(103,$C$2:C548))</f>
        <v>539</v>
      </c>
      <c r="B548" s="41">
        <v>557</v>
      </c>
      <c r="C548" s="41">
        <v>10618</v>
      </c>
      <c r="D548" s="41" t="s">
        <v>65</v>
      </c>
      <c r="E548" s="41" t="s">
        <v>96</v>
      </c>
      <c r="F548" s="41" t="s">
        <v>1764</v>
      </c>
      <c r="G548" s="41" t="s">
        <v>1774</v>
      </c>
      <c r="H548" s="41" t="s">
        <v>1775</v>
      </c>
      <c r="I548" s="43">
        <v>12</v>
      </c>
      <c r="J548" s="44" t="str">
        <f>VLOOKUP(G548,[1]硬件清单!$F:$F,1,0)</f>
        <v>WTACDHSMPTHI2DGE01003</v>
      </c>
      <c r="K548" s="43"/>
      <c r="L548" s="44"/>
      <c r="M548" s="45" t="s">
        <v>1776</v>
      </c>
    </row>
    <row r="549" ht="30" customHeight="1" spans="1:13">
      <c r="A549" s="41">
        <f>IF(C549="","",SUBTOTAL(103,$C$2:C549))</f>
        <v>540</v>
      </c>
      <c r="B549" s="41">
        <v>558</v>
      </c>
      <c r="C549" s="41">
        <v>4270</v>
      </c>
      <c r="D549" s="41" t="s">
        <v>161</v>
      </c>
      <c r="E549" s="41" t="s">
        <v>162</v>
      </c>
      <c r="F549" s="41" t="s">
        <v>1654</v>
      </c>
      <c r="G549" s="41" t="s">
        <v>1777</v>
      </c>
      <c r="H549" s="41" t="s">
        <v>1778</v>
      </c>
      <c r="I549" s="43">
        <v>12</v>
      </c>
      <c r="J549" s="44" t="str">
        <f>VLOOKUP(G549,[1]硬件清单!$F:$F,1,0)</f>
        <v>HCPG50175</v>
      </c>
      <c r="K549" s="43"/>
      <c r="L549" s="44"/>
      <c r="M549" s="45" t="s">
        <v>1779</v>
      </c>
    </row>
    <row r="550" ht="30" customHeight="1" spans="1:13">
      <c r="A550" s="41">
        <f>IF(C550="","",SUBTOTAL(103,$C$2:C550))</f>
        <v>541</v>
      </c>
      <c r="B550" s="41">
        <v>577</v>
      </c>
      <c r="C550" s="41">
        <v>11509</v>
      </c>
      <c r="D550" s="41" t="s">
        <v>12</v>
      </c>
      <c r="E550" s="41" t="s">
        <v>779</v>
      </c>
      <c r="F550" s="42" t="s">
        <v>1589</v>
      </c>
      <c r="G550" s="41" t="s">
        <v>1780</v>
      </c>
      <c r="H550" s="41" t="s">
        <v>1781</v>
      </c>
      <c r="I550" s="43">
        <v>12</v>
      </c>
      <c r="J550" s="44" t="str">
        <f>VLOOKUP(G550,[1]硬件清单!$F:$F,1,0)</f>
        <v>5A1441T98726</v>
      </c>
      <c r="K550" s="44"/>
      <c r="L550" s="44"/>
      <c r="M550" s="45" t="s">
        <v>1782</v>
      </c>
    </row>
    <row r="551" ht="30" customHeight="1" spans="1:13">
      <c r="A551" s="41">
        <f>IF(C551="","",SUBTOTAL(103,$C$2:C551))</f>
        <v>542</v>
      </c>
      <c r="B551" s="41">
        <v>709</v>
      </c>
      <c r="C551" s="41">
        <v>11506</v>
      </c>
      <c r="D551" s="41" t="s">
        <v>12</v>
      </c>
      <c r="E551" s="41" t="s">
        <v>779</v>
      </c>
      <c r="F551" s="42" t="s">
        <v>1589</v>
      </c>
      <c r="G551" s="41" t="s">
        <v>1783</v>
      </c>
      <c r="H551" s="41" t="s">
        <v>1784</v>
      </c>
      <c r="I551" s="43">
        <v>12</v>
      </c>
      <c r="J551" s="44" t="str">
        <f>VLOOKUP(G551,[1]硬件清单!$F:$F,1,0)</f>
        <v>5A1445T21723</v>
      </c>
      <c r="K551" s="44"/>
      <c r="L551" s="44"/>
      <c r="M551" s="45" t="s">
        <v>1785</v>
      </c>
    </row>
    <row r="552" ht="30" customHeight="1" spans="1:13">
      <c r="A552" s="41">
        <f>IF(C552="","",SUBTOTAL(103,$C$2:C552))</f>
        <v>543</v>
      </c>
      <c r="B552" s="41">
        <v>718</v>
      </c>
      <c r="C552" s="41">
        <v>11507</v>
      </c>
      <c r="D552" s="41" t="s">
        <v>12</v>
      </c>
      <c r="E552" s="41" t="s">
        <v>779</v>
      </c>
      <c r="F552" s="42" t="s">
        <v>1589</v>
      </c>
      <c r="G552" s="41" t="s">
        <v>1786</v>
      </c>
      <c r="H552" s="41" t="s">
        <v>1787</v>
      </c>
      <c r="I552" s="43">
        <v>12</v>
      </c>
      <c r="J552" s="44" t="str">
        <f>VLOOKUP(G552,[1]硬件清单!$F:$F,1,0)</f>
        <v>5A1441T67428</v>
      </c>
      <c r="K552" s="44"/>
      <c r="L552" s="44"/>
      <c r="M552" s="45" t="s">
        <v>1788</v>
      </c>
    </row>
    <row r="553" ht="30" customHeight="1" spans="1:13">
      <c r="A553" s="41">
        <f>IF(C553="","",SUBTOTAL(103,$C$2:C553))</f>
        <v>544</v>
      </c>
      <c r="B553" s="41">
        <v>726</v>
      </c>
      <c r="C553" s="41">
        <v>11508</v>
      </c>
      <c r="D553" s="41" t="s">
        <v>12</v>
      </c>
      <c r="E553" s="41" t="s">
        <v>779</v>
      </c>
      <c r="F553" s="42" t="s">
        <v>1589</v>
      </c>
      <c r="G553" s="41" t="s">
        <v>1789</v>
      </c>
      <c r="H553" s="41" t="s">
        <v>1790</v>
      </c>
      <c r="I553" s="43">
        <v>12</v>
      </c>
      <c r="J553" s="44" t="str">
        <f>VLOOKUP(G553,[1]硬件清单!$F:$F,1,0)</f>
        <v>5A1445T46320</v>
      </c>
      <c r="K553" s="44"/>
      <c r="L553" s="44"/>
      <c r="M553" s="45" t="s">
        <v>1791</v>
      </c>
    </row>
    <row r="554" ht="30" customHeight="1" spans="1:13">
      <c r="A554" s="41">
        <f>IF(C554="","",SUBTOTAL(103,$C$2:C554))</f>
        <v>545</v>
      </c>
      <c r="B554" s="41">
        <v>779</v>
      </c>
      <c r="C554" s="41">
        <v>11500</v>
      </c>
      <c r="D554" s="41" t="s">
        <v>12</v>
      </c>
      <c r="E554" s="41" t="s">
        <v>779</v>
      </c>
      <c r="F554" s="42" t="s">
        <v>1589</v>
      </c>
      <c r="G554" s="41" t="s">
        <v>1792</v>
      </c>
      <c r="H554" s="41" t="s">
        <v>1793</v>
      </c>
      <c r="I554" s="43">
        <v>12</v>
      </c>
      <c r="J554" s="44" t="str">
        <f>VLOOKUP(G554,[1]硬件清单!$F:$F,1,0)</f>
        <v>5A1441T15425</v>
      </c>
      <c r="K554" s="44"/>
      <c r="L554" s="44"/>
      <c r="M554" s="45" t="s">
        <v>1794</v>
      </c>
    </row>
    <row r="555" ht="30" customHeight="1" spans="1:13">
      <c r="A555" s="41">
        <f>IF(C555="","",SUBTOTAL(103,$C$2:C555))</f>
        <v>546</v>
      </c>
      <c r="B555" s="41">
        <v>780</v>
      </c>
      <c r="C555" s="41">
        <v>11501</v>
      </c>
      <c r="D555" s="41" t="s">
        <v>12</v>
      </c>
      <c r="E555" s="41" t="s">
        <v>779</v>
      </c>
      <c r="F555" s="42" t="s">
        <v>1589</v>
      </c>
      <c r="G555" s="41" t="s">
        <v>1795</v>
      </c>
      <c r="H555" s="41" t="s">
        <v>1796</v>
      </c>
      <c r="I555" s="43">
        <v>12</v>
      </c>
      <c r="J555" s="44" t="str">
        <f>VLOOKUP(G555,[1]硬件清单!$F:$F,1,0)</f>
        <v>5A1442T06997</v>
      </c>
      <c r="K555" s="44"/>
      <c r="L555" s="44"/>
      <c r="M555" s="45" t="s">
        <v>1797</v>
      </c>
    </row>
    <row r="556" ht="30" customHeight="1" spans="1:13">
      <c r="A556" s="41">
        <f>IF(C556="","",SUBTOTAL(103,$C$2:C556))</f>
        <v>547</v>
      </c>
      <c r="B556" s="41">
        <v>781</v>
      </c>
      <c r="C556" s="41">
        <v>11502</v>
      </c>
      <c r="D556" s="41" t="s">
        <v>12</v>
      </c>
      <c r="E556" s="41" t="s">
        <v>779</v>
      </c>
      <c r="F556" s="42" t="s">
        <v>1589</v>
      </c>
      <c r="G556" s="41" t="s">
        <v>1798</v>
      </c>
      <c r="H556" s="41" t="s">
        <v>1799</v>
      </c>
      <c r="I556" s="43">
        <v>12</v>
      </c>
      <c r="J556" s="44" t="str">
        <f>VLOOKUP(G556,[1]硬件清单!$F:$F,1,0)</f>
        <v>5A1441T15620</v>
      </c>
      <c r="K556" s="44"/>
      <c r="L556" s="44"/>
      <c r="M556" s="45" t="s">
        <v>1800</v>
      </c>
    </row>
    <row r="557" ht="30" customHeight="1" spans="1:13">
      <c r="A557" s="41">
        <f>IF(C557="","",SUBTOTAL(103,$C$2:C557))</f>
        <v>548</v>
      </c>
      <c r="B557" s="41">
        <v>782</v>
      </c>
      <c r="C557" s="41">
        <v>11503</v>
      </c>
      <c r="D557" s="41" t="s">
        <v>12</v>
      </c>
      <c r="E557" s="41" t="s">
        <v>779</v>
      </c>
      <c r="F557" s="42" t="s">
        <v>1589</v>
      </c>
      <c r="G557" s="41" t="s">
        <v>1801</v>
      </c>
      <c r="H557" s="41" t="s">
        <v>1802</v>
      </c>
      <c r="I557" s="43">
        <v>12</v>
      </c>
      <c r="J557" s="44" t="str">
        <f>VLOOKUP(G557,[1]硬件清单!$F:$F,1,0)</f>
        <v>5A1441T45821</v>
      </c>
      <c r="K557" s="44"/>
      <c r="L557" s="44"/>
      <c r="M557" s="45" t="s">
        <v>1803</v>
      </c>
    </row>
    <row r="558" ht="30" customHeight="1" spans="1:13">
      <c r="A558" s="41">
        <f>IF(C558="","",SUBTOTAL(103,$C$2:C558))</f>
        <v>549</v>
      </c>
      <c r="B558" s="41">
        <v>783</v>
      </c>
      <c r="C558" s="41">
        <v>11504</v>
      </c>
      <c r="D558" s="41" t="s">
        <v>12</v>
      </c>
      <c r="E558" s="41" t="s">
        <v>779</v>
      </c>
      <c r="F558" s="42" t="s">
        <v>1589</v>
      </c>
      <c r="G558" s="41" t="s">
        <v>1804</v>
      </c>
      <c r="H558" s="41" t="s">
        <v>1805</v>
      </c>
      <c r="I558" s="43">
        <v>12</v>
      </c>
      <c r="J558" s="44" t="str">
        <f>VLOOKUP(G558,[1]硬件清单!$F:$F,1,0)</f>
        <v>5A1443T76421</v>
      </c>
      <c r="K558" s="44"/>
      <c r="L558" s="44"/>
      <c r="M558" s="45" t="s">
        <v>1806</v>
      </c>
    </row>
    <row r="559" ht="30" customHeight="1" spans="1:13">
      <c r="A559" s="41">
        <f>IF(C559="","",SUBTOTAL(103,$C$2:C559))</f>
        <v>550</v>
      </c>
      <c r="B559" s="41">
        <v>784</v>
      </c>
      <c r="C559" s="41">
        <v>11505</v>
      </c>
      <c r="D559" s="41" t="s">
        <v>12</v>
      </c>
      <c r="E559" s="41" t="s">
        <v>779</v>
      </c>
      <c r="F559" s="42" t="s">
        <v>1589</v>
      </c>
      <c r="G559" s="41" t="s">
        <v>1807</v>
      </c>
      <c r="H559" s="41" t="s">
        <v>1808</v>
      </c>
      <c r="I559" s="43">
        <v>12</v>
      </c>
      <c r="J559" s="44" t="str">
        <f>VLOOKUP(G559,[1]硬件清单!$F:$F,1,0)</f>
        <v>5A1441T32526</v>
      </c>
      <c r="K559" s="44"/>
      <c r="L559" s="44"/>
      <c r="M559" s="45" t="s">
        <v>1809</v>
      </c>
    </row>
    <row r="560" ht="30" customHeight="1" spans="1:13">
      <c r="A560" s="41">
        <f>IF(C560="","",SUBTOTAL(103,$C$2:C560))</f>
        <v>551</v>
      </c>
      <c r="B560" s="41">
        <v>785</v>
      </c>
      <c r="C560" s="41">
        <v>11520</v>
      </c>
      <c r="D560" s="41" t="s">
        <v>12</v>
      </c>
      <c r="E560" s="41" t="s">
        <v>1627</v>
      </c>
      <c r="F560" s="42" t="s">
        <v>1628</v>
      </c>
      <c r="G560" s="41" t="s">
        <v>1810</v>
      </c>
      <c r="H560" s="41" t="s">
        <v>1811</v>
      </c>
      <c r="I560" s="43">
        <v>12</v>
      </c>
      <c r="J560" s="44" t="str">
        <f>VLOOKUP(G560,[1]硬件清单!$F:$F,1,0)</f>
        <v>BK-F01-PD-BL09</v>
      </c>
      <c r="K560" s="44"/>
      <c r="L560" s="44"/>
      <c r="M560" s="45" t="s">
        <v>1812</v>
      </c>
    </row>
    <row r="561" ht="30" customHeight="1" spans="1:13">
      <c r="A561" s="41">
        <f>IF(C561="","",SUBTOTAL(103,$C$2:C561))</f>
        <v>552</v>
      </c>
      <c r="B561" s="41">
        <v>786</v>
      </c>
      <c r="C561" s="41">
        <v>11469</v>
      </c>
      <c r="D561" s="41" t="s">
        <v>12</v>
      </c>
      <c r="E561" s="41" t="s">
        <v>779</v>
      </c>
      <c r="F561" s="42" t="s">
        <v>1632</v>
      </c>
      <c r="G561" s="41" t="s">
        <v>1813</v>
      </c>
      <c r="H561" s="41" t="s">
        <v>1814</v>
      </c>
      <c r="I561" s="43">
        <v>12</v>
      </c>
      <c r="J561" s="44" t="str">
        <f>VLOOKUP(G561,[1]硬件清单!$F:$F,1,0)</f>
        <v>BK-F01-PD-LT09</v>
      </c>
      <c r="K561" s="44"/>
      <c r="L561" s="44"/>
      <c r="M561" s="45" t="s">
        <v>1812</v>
      </c>
    </row>
    <row r="562" ht="30" customHeight="1" spans="1:13">
      <c r="A562" s="41">
        <f>IF(C562="","",SUBTOTAL(103,$C$2:C562))</f>
        <v>553</v>
      </c>
      <c r="B562" s="41">
        <v>787</v>
      </c>
      <c r="C562" s="41">
        <v>11521</v>
      </c>
      <c r="D562" s="41" t="s">
        <v>12</v>
      </c>
      <c r="E562" s="41" t="s">
        <v>1627</v>
      </c>
      <c r="F562" s="42" t="s">
        <v>1628</v>
      </c>
      <c r="G562" s="41" t="s">
        <v>1815</v>
      </c>
      <c r="H562" s="41" t="s">
        <v>1816</v>
      </c>
      <c r="I562" s="43">
        <v>12</v>
      </c>
      <c r="J562" s="44" t="str">
        <f>VLOOKUP(G562,[1]硬件清单!$F:$F,1,0)</f>
        <v>BK-F01-PD-BL10</v>
      </c>
      <c r="K562" s="44"/>
      <c r="L562" s="44"/>
      <c r="M562" s="45" t="s">
        <v>1817</v>
      </c>
    </row>
    <row r="563" ht="30" customHeight="1" spans="1:13">
      <c r="A563" s="41">
        <f>IF(C563="","",SUBTOTAL(103,$C$2:C563))</f>
        <v>554</v>
      </c>
      <c r="B563" s="41">
        <v>788</v>
      </c>
      <c r="C563" s="41">
        <v>11470</v>
      </c>
      <c r="D563" s="41" t="s">
        <v>12</v>
      </c>
      <c r="E563" s="41" t="s">
        <v>779</v>
      </c>
      <c r="F563" s="42" t="s">
        <v>1632</v>
      </c>
      <c r="G563" s="41" t="s">
        <v>1818</v>
      </c>
      <c r="H563" s="41" t="s">
        <v>1819</v>
      </c>
      <c r="I563" s="43">
        <v>12</v>
      </c>
      <c r="J563" s="44" t="str">
        <f>VLOOKUP(G563,[1]硬件清单!$F:$F,1,0)</f>
        <v>BK-F01-PD-LT10</v>
      </c>
      <c r="K563" s="44"/>
      <c r="L563" s="44"/>
      <c r="M563" s="45" t="s">
        <v>1820</v>
      </c>
    </row>
    <row r="564" ht="30" customHeight="1" spans="1:13">
      <c r="A564" s="41">
        <f>IF(C564="","",SUBTOTAL(103,$C$2:C564))</f>
        <v>555</v>
      </c>
      <c r="B564" s="41">
        <v>791</v>
      </c>
      <c r="C564" s="41">
        <v>11194</v>
      </c>
      <c r="D564" s="41" t="s">
        <v>19</v>
      </c>
      <c r="E564" s="41" t="s">
        <v>34</v>
      </c>
      <c r="F564" s="41" t="s">
        <v>1821</v>
      </c>
      <c r="G564" s="41" t="s">
        <v>1822</v>
      </c>
      <c r="H564" s="41" t="s">
        <v>1823</v>
      </c>
      <c r="I564" s="43">
        <v>12</v>
      </c>
      <c r="J564" s="44" t="str">
        <f>VLOOKUP(G564,[1]硬件清单!$F:$F,1,0)</f>
        <v>DS122G11411030</v>
      </c>
      <c r="K564" s="44"/>
      <c r="L564" s="44"/>
      <c r="M564" s="45" t="s">
        <v>1824</v>
      </c>
    </row>
    <row r="565" ht="30" customHeight="1" spans="1:13">
      <c r="A565" s="41">
        <f>IF(C565="","",SUBTOTAL(103,$C$2:C565))</f>
        <v>556</v>
      </c>
      <c r="B565" s="41">
        <v>793</v>
      </c>
      <c r="C565" s="41">
        <v>4787</v>
      </c>
      <c r="D565" s="41" t="s">
        <v>19</v>
      </c>
      <c r="E565" s="41" t="s">
        <v>20</v>
      </c>
      <c r="F565" s="41" t="s">
        <v>1825</v>
      </c>
      <c r="G565" s="41" t="s">
        <v>1826</v>
      </c>
      <c r="H565" s="41" t="s">
        <v>1827</v>
      </c>
      <c r="I565" s="43">
        <v>12</v>
      </c>
      <c r="J565" s="44" t="str">
        <f>VLOOKUP(G565,[1]硬件清单!$F:$F,1,0)</f>
        <v>JAE213901KF</v>
      </c>
      <c r="K565" s="44"/>
      <c r="L565" s="44" t="s">
        <v>17</v>
      </c>
      <c r="M565" s="47" t="s">
        <v>700</v>
      </c>
    </row>
    <row r="566" ht="30" customHeight="1" spans="1:13">
      <c r="A566" s="41">
        <f>IF(C566="","",SUBTOTAL(103,$C$2:C566))</f>
        <v>557</v>
      </c>
      <c r="B566" s="41">
        <v>795</v>
      </c>
      <c r="C566" s="41">
        <v>11193</v>
      </c>
      <c r="D566" s="41" t="s">
        <v>19</v>
      </c>
      <c r="E566" s="41" t="s">
        <v>34</v>
      </c>
      <c r="F566" s="41" t="s">
        <v>1615</v>
      </c>
      <c r="G566" s="41" t="s">
        <v>1828</v>
      </c>
      <c r="H566" s="41" t="s">
        <v>1829</v>
      </c>
      <c r="I566" s="43">
        <v>12</v>
      </c>
      <c r="J566" s="44" t="str">
        <f>VLOOKUP(G566,[1]硬件清单!$F:$F,1,0)</f>
        <v>00900B2ABCF6</v>
      </c>
      <c r="K566" s="43"/>
      <c r="L566" s="44"/>
      <c r="M566" s="45" t="s">
        <v>1830</v>
      </c>
    </row>
    <row r="567" ht="30" customHeight="1" spans="1:13">
      <c r="A567" s="41">
        <f>IF(C567="","",SUBTOTAL(103,$C$2:C567))</f>
        <v>558</v>
      </c>
      <c r="B567" s="41">
        <v>796</v>
      </c>
      <c r="C567" s="41">
        <v>4788</v>
      </c>
      <c r="D567" s="41" t="s">
        <v>19</v>
      </c>
      <c r="E567" s="41" t="s">
        <v>20</v>
      </c>
      <c r="F567" s="41" t="s">
        <v>1825</v>
      </c>
      <c r="G567" s="41" t="s">
        <v>1831</v>
      </c>
      <c r="H567" s="41" t="s">
        <v>1832</v>
      </c>
      <c r="I567" s="43">
        <v>12</v>
      </c>
      <c r="J567" s="44" t="str">
        <f>VLOOKUP(G567,[1]硬件清单!$F:$F,1,0)</f>
        <v>JAE2138054J</v>
      </c>
      <c r="K567" s="44"/>
      <c r="L567" s="44" t="s">
        <v>17</v>
      </c>
      <c r="M567" s="47" t="s">
        <v>706</v>
      </c>
    </row>
    <row r="568" ht="30" customHeight="1" spans="1:13">
      <c r="A568" s="41">
        <f>IF(C568="","",SUBTOTAL(103,$C$2:C568))</f>
        <v>559</v>
      </c>
      <c r="B568" s="41">
        <v>797</v>
      </c>
      <c r="C568" s="41">
        <v>11487</v>
      </c>
      <c r="D568" s="41" t="s">
        <v>12</v>
      </c>
      <c r="E568" s="41" t="s">
        <v>779</v>
      </c>
      <c r="F568" s="42" t="s">
        <v>1589</v>
      </c>
      <c r="G568" s="41" t="s">
        <v>1833</v>
      </c>
      <c r="H568" s="41" t="s">
        <v>1834</v>
      </c>
      <c r="I568" s="43">
        <v>12</v>
      </c>
      <c r="J568" s="44" t="str">
        <f>VLOOKUP(G568,[1]硬件清单!$F:$F,1,0)</f>
        <v>5A1445T01507</v>
      </c>
      <c r="K568" s="44"/>
      <c r="L568" s="44"/>
      <c r="M568" s="45" t="s">
        <v>1835</v>
      </c>
    </row>
    <row r="569" ht="30" customHeight="1" spans="1:13">
      <c r="A569" s="41">
        <f>IF(C569="","",SUBTOTAL(103,$C$2:C569))</f>
        <v>560</v>
      </c>
      <c r="B569" s="41">
        <v>798</v>
      </c>
      <c r="C569" s="41">
        <v>11514</v>
      </c>
      <c r="D569" s="41" t="s">
        <v>12</v>
      </c>
      <c r="E569" s="41" t="s">
        <v>1627</v>
      </c>
      <c r="F569" s="42" t="s">
        <v>1628</v>
      </c>
      <c r="G569" s="41" t="s">
        <v>1836</v>
      </c>
      <c r="H569" s="41" t="s">
        <v>1837</v>
      </c>
      <c r="I569" s="43">
        <v>12</v>
      </c>
      <c r="J569" s="44" t="str">
        <f>VLOOKUP(G569,[1]硬件清单!$F:$F,1,0)</f>
        <v>BK-F01-PD-BL03</v>
      </c>
      <c r="K569" s="44"/>
      <c r="L569" s="44"/>
      <c r="M569" s="45" t="s">
        <v>1838</v>
      </c>
    </row>
    <row r="570" ht="30" customHeight="1" spans="1:13">
      <c r="A570" s="41">
        <f>IF(C570="","",SUBTOTAL(103,$C$2:C570))</f>
        <v>561</v>
      </c>
      <c r="B570" s="41">
        <v>799</v>
      </c>
      <c r="C570" s="41">
        <v>11463</v>
      </c>
      <c r="D570" s="41" t="s">
        <v>12</v>
      </c>
      <c r="E570" s="41" t="s">
        <v>779</v>
      </c>
      <c r="F570" s="42" t="s">
        <v>1632</v>
      </c>
      <c r="G570" s="41" t="s">
        <v>1839</v>
      </c>
      <c r="H570" s="41" t="s">
        <v>1840</v>
      </c>
      <c r="I570" s="43">
        <v>12</v>
      </c>
      <c r="J570" s="44" t="str">
        <f>VLOOKUP(G570,[1]硬件清单!$F:$F,1,0)</f>
        <v>BK-F01-PD-LT03</v>
      </c>
      <c r="K570" s="44"/>
      <c r="L570" s="44"/>
      <c r="M570" s="45" t="s">
        <v>1838</v>
      </c>
    </row>
    <row r="571" ht="30" customHeight="1" spans="1:13">
      <c r="A571" s="41">
        <f>IF(C571="","",SUBTOTAL(103,$C$2:C571))</f>
        <v>562</v>
      </c>
      <c r="B571" s="41">
        <v>800</v>
      </c>
      <c r="C571" s="41">
        <v>11515</v>
      </c>
      <c r="D571" s="41" t="s">
        <v>12</v>
      </c>
      <c r="E571" s="41" t="s">
        <v>1627</v>
      </c>
      <c r="F571" s="42" t="s">
        <v>1628</v>
      </c>
      <c r="G571" s="41" t="s">
        <v>1841</v>
      </c>
      <c r="H571" s="41" t="s">
        <v>1842</v>
      </c>
      <c r="I571" s="43">
        <v>12</v>
      </c>
      <c r="J571" s="44" t="str">
        <f>VLOOKUP(G571,[1]硬件清单!$F:$F,1,0)</f>
        <v>BK-F01-PD-BL04</v>
      </c>
      <c r="K571" s="44"/>
      <c r="L571" s="44"/>
      <c r="M571" s="45" t="s">
        <v>1843</v>
      </c>
    </row>
    <row r="572" ht="30" customHeight="1" spans="1:13">
      <c r="A572" s="41">
        <f>IF(C572="","",SUBTOTAL(103,$C$2:C572))</f>
        <v>563</v>
      </c>
      <c r="B572" s="41">
        <v>801</v>
      </c>
      <c r="C572" s="41">
        <v>11464</v>
      </c>
      <c r="D572" s="41" t="s">
        <v>12</v>
      </c>
      <c r="E572" s="41" t="s">
        <v>779</v>
      </c>
      <c r="F572" s="42" t="s">
        <v>1632</v>
      </c>
      <c r="G572" s="41" t="s">
        <v>1844</v>
      </c>
      <c r="H572" s="41" t="s">
        <v>1845</v>
      </c>
      <c r="I572" s="43">
        <v>12</v>
      </c>
      <c r="J572" s="44" t="str">
        <f>VLOOKUP(G572,[1]硬件清单!$F:$F,1,0)</f>
        <v>BK-F01-PD-LT04</v>
      </c>
      <c r="K572" s="44"/>
      <c r="L572" s="44"/>
      <c r="M572" s="45" t="s">
        <v>1843</v>
      </c>
    </row>
    <row r="573" ht="30" customHeight="1" spans="1:13">
      <c r="A573" s="41">
        <f>IF(C573="","",SUBTOTAL(103,$C$2:C573))</f>
        <v>564</v>
      </c>
      <c r="B573" s="41">
        <v>802</v>
      </c>
      <c r="C573" s="41">
        <v>11512</v>
      </c>
      <c r="D573" s="41" t="s">
        <v>12</v>
      </c>
      <c r="E573" s="41" t="s">
        <v>1627</v>
      </c>
      <c r="F573" s="42" t="s">
        <v>1628</v>
      </c>
      <c r="G573" s="41" t="s">
        <v>1846</v>
      </c>
      <c r="H573" s="41" t="s">
        <v>1847</v>
      </c>
      <c r="I573" s="43">
        <v>12</v>
      </c>
      <c r="J573" s="44" t="str">
        <f>VLOOKUP(G573,[1]硬件清单!$F:$F,1,0)</f>
        <v>BK-F01-PD-BL01</v>
      </c>
      <c r="K573" s="44"/>
      <c r="L573" s="44"/>
      <c r="M573" s="45" t="s">
        <v>1848</v>
      </c>
    </row>
    <row r="574" ht="30" customHeight="1" spans="1:13">
      <c r="A574" s="41">
        <f>IF(C574="","",SUBTOTAL(103,$C$2:C574))</f>
        <v>565</v>
      </c>
      <c r="B574" s="41">
        <v>803</v>
      </c>
      <c r="C574" s="41">
        <v>11461</v>
      </c>
      <c r="D574" s="41" t="s">
        <v>12</v>
      </c>
      <c r="E574" s="41" t="s">
        <v>779</v>
      </c>
      <c r="F574" s="42" t="s">
        <v>1632</v>
      </c>
      <c r="G574" s="41" t="s">
        <v>1849</v>
      </c>
      <c r="H574" s="41" t="s">
        <v>1850</v>
      </c>
      <c r="I574" s="43">
        <v>12</v>
      </c>
      <c r="J574" s="44" t="str">
        <f>VLOOKUP(G574,[1]硬件清单!$F:$F,1,0)</f>
        <v>BK-F01-PD-LT01</v>
      </c>
      <c r="K574" s="44"/>
      <c r="L574" s="44"/>
      <c r="M574" s="45" t="s">
        <v>1848</v>
      </c>
    </row>
    <row r="575" ht="30" customHeight="1" spans="1:13">
      <c r="A575" s="41">
        <f>IF(C575="","",SUBTOTAL(103,$C$2:C575))</f>
        <v>566</v>
      </c>
      <c r="B575" s="41">
        <v>804</v>
      </c>
      <c r="C575" s="41">
        <v>11513</v>
      </c>
      <c r="D575" s="41" t="s">
        <v>12</v>
      </c>
      <c r="E575" s="41" t="s">
        <v>1627</v>
      </c>
      <c r="F575" s="42" t="s">
        <v>1628</v>
      </c>
      <c r="G575" s="41" t="s">
        <v>1851</v>
      </c>
      <c r="H575" s="41" t="s">
        <v>1852</v>
      </c>
      <c r="I575" s="43">
        <v>12</v>
      </c>
      <c r="J575" s="44" t="str">
        <f>VLOOKUP(G575,[1]硬件清单!$F:$F,1,0)</f>
        <v>BK-F01-PD-BL02</v>
      </c>
      <c r="K575" s="44"/>
      <c r="L575" s="44"/>
      <c r="M575" s="45" t="s">
        <v>1853</v>
      </c>
    </row>
    <row r="576" ht="30" customHeight="1" spans="1:13">
      <c r="A576" s="41">
        <f>IF(C576="","",SUBTOTAL(103,$C$2:C576))</f>
        <v>567</v>
      </c>
      <c r="B576" s="41">
        <v>805</v>
      </c>
      <c r="C576" s="41">
        <v>11462</v>
      </c>
      <c r="D576" s="41" t="s">
        <v>12</v>
      </c>
      <c r="E576" s="41" t="s">
        <v>779</v>
      </c>
      <c r="F576" s="42" t="s">
        <v>1632</v>
      </c>
      <c r="G576" s="41" t="s">
        <v>1854</v>
      </c>
      <c r="H576" s="41" t="s">
        <v>1855</v>
      </c>
      <c r="I576" s="43">
        <v>12</v>
      </c>
      <c r="J576" s="44" t="str">
        <f>VLOOKUP(G576,[1]硬件清单!$F:$F,1,0)</f>
        <v>BK-F01-PD-LT02</v>
      </c>
      <c r="K576" s="44"/>
      <c r="L576" s="44"/>
      <c r="M576" s="45" t="s">
        <v>1853</v>
      </c>
    </row>
    <row r="577" ht="30" customHeight="1" spans="1:13">
      <c r="A577" s="41">
        <f>IF(C577="","",SUBTOTAL(103,$C$2:C577))</f>
        <v>568</v>
      </c>
      <c r="B577" s="41">
        <v>807</v>
      </c>
      <c r="C577" s="41">
        <v>11195</v>
      </c>
      <c r="D577" s="41" t="s">
        <v>19</v>
      </c>
      <c r="E577" s="41" t="s">
        <v>34</v>
      </c>
      <c r="F577" s="41" t="s">
        <v>1700</v>
      </c>
      <c r="G577" s="41" t="s">
        <v>1856</v>
      </c>
      <c r="H577" s="41" t="s">
        <v>1857</v>
      </c>
      <c r="I577" s="43">
        <v>12</v>
      </c>
      <c r="J577" s="44" t="str">
        <f>VLOOKUP(G577,[1]硬件清单!$F:$F,1,0)</f>
        <v>05-1403E-213</v>
      </c>
      <c r="K577" s="44"/>
      <c r="L577" s="44"/>
      <c r="M577" s="45" t="s">
        <v>1858</v>
      </c>
    </row>
    <row r="578" ht="30" customHeight="1" spans="1:13">
      <c r="A578" s="41">
        <f>IF(C578="","",SUBTOTAL(103,$C$2:C578))</f>
        <v>569</v>
      </c>
      <c r="B578" s="41">
        <v>808</v>
      </c>
      <c r="C578" s="41">
        <v>11196</v>
      </c>
      <c r="D578" s="41" t="s">
        <v>19</v>
      </c>
      <c r="E578" s="41" t="s">
        <v>34</v>
      </c>
      <c r="F578" s="41" t="s">
        <v>1700</v>
      </c>
      <c r="G578" s="41" t="s">
        <v>1859</v>
      </c>
      <c r="H578" s="41" t="s">
        <v>1860</v>
      </c>
      <c r="I578" s="43">
        <v>12</v>
      </c>
      <c r="J578" s="44" t="str">
        <f>VLOOKUP(G578,[1]硬件清单!$F:$F,1,0)</f>
        <v>05-1403E-217</v>
      </c>
      <c r="K578" s="44"/>
      <c r="L578" s="44"/>
      <c r="M578" s="45" t="s">
        <v>1861</v>
      </c>
    </row>
    <row r="579" ht="30" customHeight="1" spans="1:13">
      <c r="A579" s="41">
        <f>IF(C579="","",SUBTOTAL(103,$C$2:C579))</f>
        <v>570</v>
      </c>
      <c r="B579" s="41">
        <v>809</v>
      </c>
      <c r="C579" s="41">
        <v>11488</v>
      </c>
      <c r="D579" s="41" t="s">
        <v>12</v>
      </c>
      <c r="E579" s="41" t="s">
        <v>779</v>
      </c>
      <c r="F579" s="42" t="s">
        <v>1589</v>
      </c>
      <c r="G579" s="41" t="s">
        <v>1862</v>
      </c>
      <c r="H579" s="41" t="s">
        <v>1863</v>
      </c>
      <c r="I579" s="43">
        <v>12</v>
      </c>
      <c r="J579" s="44" t="str">
        <f>VLOOKUP(G579,[1]硬件清单!$F:$F,1,0)</f>
        <v>5A1437T11803</v>
      </c>
      <c r="K579" s="44"/>
      <c r="L579" s="44"/>
      <c r="M579" s="45" t="s">
        <v>1864</v>
      </c>
    </row>
    <row r="580" ht="30" customHeight="1" spans="1:13">
      <c r="A580" s="41">
        <f>IF(C580="","",SUBTOTAL(103,$C$2:C580))</f>
        <v>571</v>
      </c>
      <c r="B580" s="41">
        <v>811</v>
      </c>
      <c r="C580" s="41">
        <v>11534</v>
      </c>
      <c r="D580" s="41" t="s">
        <v>12</v>
      </c>
      <c r="E580" s="41" t="s">
        <v>1627</v>
      </c>
      <c r="F580" s="42" t="s">
        <v>1628</v>
      </c>
      <c r="G580" s="41" t="s">
        <v>1865</v>
      </c>
      <c r="H580" s="41" t="s">
        <v>1866</v>
      </c>
      <c r="I580" s="43">
        <v>12</v>
      </c>
      <c r="J580" s="44" t="str">
        <f>VLOOKUP(G580,[1]硬件清单!$F:$F,1,0)</f>
        <v>BK-F01-PD-BL23</v>
      </c>
      <c r="K580" s="44"/>
      <c r="L580" s="44"/>
      <c r="M580" s="45" t="s">
        <v>1867</v>
      </c>
    </row>
    <row r="581" ht="30" customHeight="1" spans="1:13">
      <c r="A581" s="41">
        <f>IF(C581="","",SUBTOTAL(103,$C$2:C581))</f>
        <v>572</v>
      </c>
      <c r="B581" s="41">
        <v>812</v>
      </c>
      <c r="C581" s="41">
        <v>11483</v>
      </c>
      <c r="D581" s="41" t="s">
        <v>12</v>
      </c>
      <c r="E581" s="41" t="s">
        <v>779</v>
      </c>
      <c r="F581" s="42" t="s">
        <v>1632</v>
      </c>
      <c r="G581" s="41" t="s">
        <v>1868</v>
      </c>
      <c r="H581" s="41" t="s">
        <v>1869</v>
      </c>
      <c r="I581" s="43">
        <v>12</v>
      </c>
      <c r="J581" s="44" t="str">
        <f>VLOOKUP(G581,[1]硬件清单!$F:$F,1,0)</f>
        <v>BK-F01-PD-LT23</v>
      </c>
      <c r="K581" s="44"/>
      <c r="L581" s="44"/>
      <c r="M581" s="45" t="s">
        <v>1867</v>
      </c>
    </row>
    <row r="582" ht="30" customHeight="1" spans="1:13">
      <c r="A582" s="41">
        <f>IF(C582="","",SUBTOTAL(103,$C$2:C582))</f>
        <v>573</v>
      </c>
      <c r="B582" s="41">
        <v>813</v>
      </c>
      <c r="C582" s="41">
        <v>11473</v>
      </c>
      <c r="D582" s="41" t="s">
        <v>12</v>
      </c>
      <c r="E582" s="41" t="s">
        <v>779</v>
      </c>
      <c r="F582" s="42" t="s">
        <v>1632</v>
      </c>
      <c r="G582" s="41" t="s">
        <v>1870</v>
      </c>
      <c r="H582" s="41" t="s">
        <v>1871</v>
      </c>
      <c r="I582" s="43">
        <v>12</v>
      </c>
      <c r="J582" s="44" t="str">
        <f>VLOOKUP(G582,[1]硬件清单!$F:$F,1,0)</f>
        <v>BK-F01-PD-LT13</v>
      </c>
      <c r="K582" s="44"/>
      <c r="L582" s="44"/>
      <c r="M582" s="45" t="s">
        <v>1872</v>
      </c>
    </row>
    <row r="583" ht="30" customHeight="1" spans="1:13">
      <c r="A583" s="41">
        <f>IF(C583="","",SUBTOTAL(103,$C$2:C583))</f>
        <v>574</v>
      </c>
      <c r="B583" s="41">
        <v>814</v>
      </c>
      <c r="C583" s="41">
        <v>11480</v>
      </c>
      <c r="D583" s="41" t="s">
        <v>12</v>
      </c>
      <c r="E583" s="41" t="s">
        <v>779</v>
      </c>
      <c r="F583" s="42" t="s">
        <v>1632</v>
      </c>
      <c r="G583" s="41" t="s">
        <v>1873</v>
      </c>
      <c r="H583" s="41" t="s">
        <v>1874</v>
      </c>
      <c r="I583" s="43">
        <v>12</v>
      </c>
      <c r="J583" s="44" t="str">
        <f>VLOOKUP(G583,[1]硬件清单!$F:$F,1,0)</f>
        <v>BK-F01-PD-LT20</v>
      </c>
      <c r="K583" s="44"/>
      <c r="L583" s="44"/>
      <c r="M583" s="45" t="s">
        <v>1875</v>
      </c>
    </row>
    <row r="584" ht="30" customHeight="1" spans="1:13">
      <c r="A584" s="41">
        <f>IF(C584="","",SUBTOTAL(103,$C$2:C584))</f>
        <v>575</v>
      </c>
      <c r="B584" s="41">
        <v>815</v>
      </c>
      <c r="C584" s="41">
        <v>11535</v>
      </c>
      <c r="D584" s="41" t="s">
        <v>12</v>
      </c>
      <c r="E584" s="41" t="s">
        <v>1627</v>
      </c>
      <c r="F584" s="42" t="s">
        <v>1628</v>
      </c>
      <c r="G584" s="41" t="s">
        <v>1876</v>
      </c>
      <c r="H584" s="41" t="s">
        <v>1877</v>
      </c>
      <c r="I584" s="43">
        <v>12</v>
      </c>
      <c r="J584" s="44" t="str">
        <f>VLOOKUP(G584,[1]硬件清单!$F:$F,1,0)</f>
        <v>BK-F01-PD-BL24</v>
      </c>
      <c r="K584" s="44"/>
      <c r="L584" s="44"/>
      <c r="M584" s="45" t="s">
        <v>1878</v>
      </c>
    </row>
    <row r="585" ht="30" customHeight="1" spans="1:13">
      <c r="A585" s="41">
        <f>IF(C585="","",SUBTOTAL(103,$C$2:C585))</f>
        <v>576</v>
      </c>
      <c r="B585" s="41">
        <v>816</v>
      </c>
      <c r="C585" s="41">
        <v>11484</v>
      </c>
      <c r="D585" s="41" t="s">
        <v>12</v>
      </c>
      <c r="E585" s="41" t="s">
        <v>779</v>
      </c>
      <c r="F585" s="42" t="s">
        <v>1632</v>
      </c>
      <c r="G585" s="41" t="s">
        <v>1879</v>
      </c>
      <c r="H585" s="41" t="s">
        <v>1880</v>
      </c>
      <c r="I585" s="43">
        <v>12</v>
      </c>
      <c r="J585" s="44" t="str">
        <f>VLOOKUP(G585,[1]硬件清单!$F:$F,1,0)</f>
        <v>BK-F01-PD-LT24</v>
      </c>
      <c r="K585" s="44"/>
      <c r="L585" s="44"/>
      <c r="M585" s="45" t="s">
        <v>1878</v>
      </c>
    </row>
    <row r="586" ht="30" customHeight="1" spans="1:13">
      <c r="A586" s="41">
        <f>IF(C586="","",SUBTOTAL(103,$C$2:C586))</f>
        <v>577</v>
      </c>
      <c r="B586" s="41">
        <v>817</v>
      </c>
      <c r="C586" s="41">
        <v>11530</v>
      </c>
      <c r="D586" s="41" t="s">
        <v>12</v>
      </c>
      <c r="E586" s="41" t="s">
        <v>1627</v>
      </c>
      <c r="F586" s="42" t="s">
        <v>1628</v>
      </c>
      <c r="G586" s="41" t="s">
        <v>1881</v>
      </c>
      <c r="H586" s="41" t="s">
        <v>1882</v>
      </c>
      <c r="I586" s="43">
        <v>12</v>
      </c>
      <c r="J586" s="44" t="str">
        <f>VLOOKUP(G586,[1]硬件清单!$F:$F,1,0)</f>
        <v>BK-F01-PD-BL19</v>
      </c>
      <c r="K586" s="44"/>
      <c r="L586" s="44"/>
      <c r="M586" s="45" t="s">
        <v>1883</v>
      </c>
    </row>
    <row r="587" ht="30" customHeight="1" spans="1:13">
      <c r="A587" s="41">
        <f>IF(C587="","",SUBTOTAL(103,$C$2:C587))</f>
        <v>578</v>
      </c>
      <c r="B587" s="41">
        <v>818</v>
      </c>
      <c r="C587" s="41">
        <v>11479</v>
      </c>
      <c r="D587" s="41" t="s">
        <v>12</v>
      </c>
      <c r="E587" s="41" t="s">
        <v>779</v>
      </c>
      <c r="F587" s="42" t="s">
        <v>1632</v>
      </c>
      <c r="G587" s="41" t="s">
        <v>1884</v>
      </c>
      <c r="H587" s="41" t="s">
        <v>1885</v>
      </c>
      <c r="I587" s="43">
        <v>12</v>
      </c>
      <c r="J587" s="44" t="str">
        <f>VLOOKUP(G587,[1]硬件清单!$F:$F,1,0)</f>
        <v>BK-F01-PD-LT19</v>
      </c>
      <c r="K587" s="44"/>
      <c r="L587" s="44"/>
      <c r="M587" s="45" t="s">
        <v>1883</v>
      </c>
    </row>
    <row r="588" ht="30" customHeight="1" spans="1:13">
      <c r="A588" s="41">
        <f>IF(C588="","",SUBTOTAL(103,$C$2:C588))</f>
        <v>579</v>
      </c>
      <c r="B588" s="41">
        <v>819</v>
      </c>
      <c r="C588" s="41">
        <v>11525</v>
      </c>
      <c r="D588" s="41" t="s">
        <v>12</v>
      </c>
      <c r="E588" s="41" t="s">
        <v>1627</v>
      </c>
      <c r="F588" s="42" t="s">
        <v>1628</v>
      </c>
      <c r="G588" s="41" t="s">
        <v>1886</v>
      </c>
      <c r="H588" s="41" t="s">
        <v>1887</v>
      </c>
      <c r="I588" s="43">
        <v>12</v>
      </c>
      <c r="J588" s="44" t="str">
        <f>VLOOKUP(G588,[1]硬件清单!$F:$F,1,0)</f>
        <v>BK-F01-PD-BL14</v>
      </c>
      <c r="K588" s="44"/>
      <c r="L588" s="44"/>
      <c r="M588" s="45" t="s">
        <v>1888</v>
      </c>
    </row>
    <row r="589" ht="30" customHeight="1" spans="1:13">
      <c r="A589" s="41">
        <f>IF(C589="","",SUBTOTAL(103,$C$2:C589))</f>
        <v>580</v>
      </c>
      <c r="B589" s="41">
        <v>820</v>
      </c>
      <c r="C589" s="41">
        <v>11527</v>
      </c>
      <c r="D589" s="41" t="s">
        <v>12</v>
      </c>
      <c r="E589" s="41" t="s">
        <v>1627</v>
      </c>
      <c r="F589" s="42" t="s">
        <v>1628</v>
      </c>
      <c r="G589" s="41" t="s">
        <v>1889</v>
      </c>
      <c r="H589" s="41" t="s">
        <v>1890</v>
      </c>
      <c r="I589" s="43">
        <v>12</v>
      </c>
      <c r="J589" s="44" t="str">
        <f>VLOOKUP(G589,[1]硬件清单!$F:$F,1,0)</f>
        <v>BK-F01-PD-BL16</v>
      </c>
      <c r="K589" s="44"/>
      <c r="L589" s="44"/>
      <c r="M589" s="45" t="s">
        <v>1891</v>
      </c>
    </row>
    <row r="590" ht="30" customHeight="1" spans="1:13">
      <c r="A590" s="41">
        <f>IF(C590="","",SUBTOTAL(103,$C$2:C590))</f>
        <v>581</v>
      </c>
      <c r="B590" s="41">
        <v>821</v>
      </c>
      <c r="C590" s="41">
        <v>11474</v>
      </c>
      <c r="D590" s="41" t="s">
        <v>12</v>
      </c>
      <c r="E590" s="41" t="s">
        <v>779</v>
      </c>
      <c r="F590" s="42" t="s">
        <v>1632</v>
      </c>
      <c r="G590" s="41" t="s">
        <v>1892</v>
      </c>
      <c r="H590" s="41" t="s">
        <v>1893</v>
      </c>
      <c r="I590" s="43">
        <v>12</v>
      </c>
      <c r="J590" s="44" t="str">
        <f>VLOOKUP(G590,[1]硬件清单!$F:$F,1,0)</f>
        <v>BK-F01-PD-LT14</v>
      </c>
      <c r="K590" s="44"/>
      <c r="L590" s="44"/>
      <c r="M590" s="45" t="s">
        <v>1888</v>
      </c>
    </row>
    <row r="591" ht="30" customHeight="1" spans="1:13">
      <c r="A591" s="41">
        <f>IF(C591="","",SUBTOTAL(103,$C$2:C591))</f>
        <v>582</v>
      </c>
      <c r="B591" s="41">
        <v>822</v>
      </c>
      <c r="C591" s="41">
        <v>11476</v>
      </c>
      <c r="D591" s="41" t="s">
        <v>12</v>
      </c>
      <c r="E591" s="41" t="s">
        <v>779</v>
      </c>
      <c r="F591" s="42" t="s">
        <v>1632</v>
      </c>
      <c r="G591" s="41" t="s">
        <v>1894</v>
      </c>
      <c r="H591" s="41" t="s">
        <v>1895</v>
      </c>
      <c r="I591" s="43">
        <v>12</v>
      </c>
      <c r="J591" s="44" t="str">
        <f>VLOOKUP(G591,[1]硬件清单!$F:$F,1,0)</f>
        <v>BK-F01-PD-LT16</v>
      </c>
      <c r="K591" s="44"/>
      <c r="L591" s="44"/>
      <c r="M591" s="45" t="s">
        <v>1891</v>
      </c>
    </row>
    <row r="592" ht="30" customHeight="1" spans="1:13">
      <c r="A592" s="41">
        <f>IF(C592="","",SUBTOTAL(103,$C$2:C592))</f>
        <v>583</v>
      </c>
      <c r="B592" s="41">
        <v>824</v>
      </c>
      <c r="C592" s="41">
        <v>11486</v>
      </c>
      <c r="D592" s="41" t="s">
        <v>12</v>
      </c>
      <c r="E592" s="41" t="s">
        <v>779</v>
      </c>
      <c r="F592" s="42" t="s">
        <v>1589</v>
      </c>
      <c r="G592" s="41" t="s">
        <v>1896</v>
      </c>
      <c r="H592" s="41" t="s">
        <v>1897</v>
      </c>
      <c r="I592" s="43">
        <v>12</v>
      </c>
      <c r="J592" s="44" t="str">
        <f>VLOOKUP(G592,[1]硬件清单!$F:$F,1,0)</f>
        <v>5A1437T11799</v>
      </c>
      <c r="K592" s="44"/>
      <c r="L592" s="44"/>
      <c r="M592" s="45" t="s">
        <v>1898</v>
      </c>
    </row>
    <row r="593" ht="30" customHeight="1" spans="1:13">
      <c r="A593" s="41">
        <f>IF(C593="","",SUBTOTAL(103,$C$2:C593))</f>
        <v>584</v>
      </c>
      <c r="B593" s="41">
        <v>825</v>
      </c>
      <c r="C593" s="46">
        <v>11490</v>
      </c>
      <c r="D593" s="46" t="s">
        <v>12</v>
      </c>
      <c r="E593" s="46" t="s">
        <v>779</v>
      </c>
      <c r="F593" s="42" t="s">
        <v>1589</v>
      </c>
      <c r="G593" s="41" t="s">
        <v>1899</v>
      </c>
      <c r="H593" s="41" t="s">
        <v>1900</v>
      </c>
      <c r="I593" s="43">
        <v>12</v>
      </c>
      <c r="J593" s="44" t="str">
        <f>VLOOKUP(G593,[1]硬件清单!$F:$F,1,0)</f>
        <v>5A1147T10212</v>
      </c>
      <c r="K593" s="44"/>
      <c r="L593" s="44"/>
      <c r="M593" s="45" t="s">
        <v>1901</v>
      </c>
    </row>
    <row r="594" ht="30" customHeight="1" spans="1:13">
      <c r="A594" s="41">
        <f>IF(C594="","",SUBTOTAL(103,$C$2:C594))</f>
        <v>585</v>
      </c>
      <c r="B594" s="41">
        <v>826</v>
      </c>
      <c r="C594" s="46">
        <v>11491</v>
      </c>
      <c r="D594" s="46" t="s">
        <v>12</v>
      </c>
      <c r="E594" s="46" t="s">
        <v>779</v>
      </c>
      <c r="F594" s="42" t="s">
        <v>1589</v>
      </c>
      <c r="G594" s="41" t="s">
        <v>1902</v>
      </c>
      <c r="H594" s="41" t="s">
        <v>1903</v>
      </c>
      <c r="I594" s="43">
        <v>12</v>
      </c>
      <c r="J594" s="44" t="str">
        <f>VLOOKUP(G594,[1]硬件清单!$F:$F,1,0)</f>
        <v>5A1441T15409</v>
      </c>
      <c r="K594" s="44"/>
      <c r="L594" s="44"/>
      <c r="M594" s="45" t="s">
        <v>1904</v>
      </c>
    </row>
    <row r="595" ht="30" customHeight="1" spans="1:13">
      <c r="A595" s="41">
        <f>IF(C595="","",SUBTOTAL(103,$C$2:C595))</f>
        <v>586</v>
      </c>
      <c r="B595" s="41">
        <v>827</v>
      </c>
      <c r="C595" s="41">
        <v>11532</v>
      </c>
      <c r="D595" s="41" t="s">
        <v>12</v>
      </c>
      <c r="E595" s="41" t="s">
        <v>1627</v>
      </c>
      <c r="F595" s="42" t="s">
        <v>1628</v>
      </c>
      <c r="G595" s="41" t="s">
        <v>1905</v>
      </c>
      <c r="H595" s="41" t="s">
        <v>1906</v>
      </c>
      <c r="I595" s="43">
        <v>12</v>
      </c>
      <c r="J595" s="44" t="str">
        <f>VLOOKUP(G595,[1]硬件清单!$F:$F,1,0)</f>
        <v>BK-F01-PD-BL21</v>
      </c>
      <c r="K595" s="44"/>
      <c r="L595" s="44"/>
      <c r="M595" s="45" t="s">
        <v>1907</v>
      </c>
    </row>
    <row r="596" ht="30" customHeight="1" spans="1:13">
      <c r="A596" s="41">
        <f>IF(C596="","",SUBTOTAL(103,$C$2:C596))</f>
        <v>587</v>
      </c>
      <c r="B596" s="41">
        <v>828</v>
      </c>
      <c r="C596" s="41">
        <v>11481</v>
      </c>
      <c r="D596" s="41" t="s">
        <v>12</v>
      </c>
      <c r="E596" s="41" t="s">
        <v>779</v>
      </c>
      <c r="F596" s="42" t="s">
        <v>1632</v>
      </c>
      <c r="G596" s="41" t="s">
        <v>1908</v>
      </c>
      <c r="H596" s="41" t="s">
        <v>1909</v>
      </c>
      <c r="I596" s="43">
        <v>12</v>
      </c>
      <c r="J596" s="44" t="str">
        <f>VLOOKUP(G596,[1]硬件清单!$F:$F,1,0)</f>
        <v>BK-F01-PD-LT21</v>
      </c>
      <c r="K596" s="44"/>
      <c r="L596" s="44"/>
      <c r="M596" s="45" t="s">
        <v>1907</v>
      </c>
    </row>
    <row r="597" ht="30" customHeight="1" spans="1:13">
      <c r="A597" s="41">
        <f>IF(C597="","",SUBTOTAL(103,$C$2:C597))</f>
        <v>588</v>
      </c>
      <c r="B597" s="41">
        <v>829</v>
      </c>
      <c r="C597" s="41">
        <v>11526</v>
      </c>
      <c r="D597" s="41" t="s">
        <v>12</v>
      </c>
      <c r="E597" s="41" t="s">
        <v>1627</v>
      </c>
      <c r="F597" s="42" t="s">
        <v>1628</v>
      </c>
      <c r="G597" s="41" t="s">
        <v>1910</v>
      </c>
      <c r="H597" s="41" t="s">
        <v>1911</v>
      </c>
      <c r="I597" s="43">
        <v>12</v>
      </c>
      <c r="J597" s="44" t="str">
        <f>VLOOKUP(G597,[1]硬件清单!$F:$F,1,0)</f>
        <v>BK-F01-PD-BL15</v>
      </c>
      <c r="K597" s="44"/>
      <c r="L597" s="44"/>
      <c r="M597" s="45" t="s">
        <v>1912</v>
      </c>
    </row>
    <row r="598" ht="30" customHeight="1" spans="1:13">
      <c r="A598" s="41">
        <f>IF(C598="","",SUBTOTAL(103,$C$2:C598))</f>
        <v>589</v>
      </c>
      <c r="B598" s="41">
        <v>830</v>
      </c>
      <c r="C598" s="41">
        <v>11475</v>
      </c>
      <c r="D598" s="41" t="s">
        <v>12</v>
      </c>
      <c r="E598" s="41" t="s">
        <v>779</v>
      </c>
      <c r="F598" s="42" t="s">
        <v>1632</v>
      </c>
      <c r="G598" s="41" t="s">
        <v>1913</v>
      </c>
      <c r="H598" s="41" t="s">
        <v>1914</v>
      </c>
      <c r="I598" s="43">
        <v>12</v>
      </c>
      <c r="J598" s="44" t="str">
        <f>VLOOKUP(G598,[1]硬件清单!$F:$F,1,0)</f>
        <v>BK-F01-PD-LT15</v>
      </c>
      <c r="K598" s="44"/>
      <c r="L598" s="44"/>
      <c r="M598" s="45" t="s">
        <v>1912</v>
      </c>
    </row>
    <row r="599" ht="30" customHeight="1" spans="1:13">
      <c r="A599" s="41">
        <f>IF(C599="","",SUBTOTAL(103,$C$2:C599))</f>
        <v>590</v>
      </c>
      <c r="B599" s="41">
        <v>831</v>
      </c>
      <c r="C599" s="46">
        <v>10162</v>
      </c>
      <c r="D599" s="46" t="s">
        <v>19</v>
      </c>
      <c r="E599" s="46" t="s">
        <v>84</v>
      </c>
      <c r="F599" s="46" t="s">
        <v>1696</v>
      </c>
      <c r="G599" s="41" t="s">
        <v>1915</v>
      </c>
      <c r="H599" s="41" t="s">
        <v>1916</v>
      </c>
      <c r="I599" s="43">
        <v>12</v>
      </c>
      <c r="J599" s="44" t="str">
        <f>VLOOKUP(G599,[1]硬件清单!$F:$F,1,0)</f>
        <v>F5-DIWE-VIIX</v>
      </c>
      <c r="K599" s="44"/>
      <c r="L599" s="44"/>
      <c r="M599" s="45" t="s">
        <v>1917</v>
      </c>
    </row>
    <row r="600" ht="30" customHeight="1" spans="1:13">
      <c r="A600" s="41">
        <f>IF(C600="","",SUBTOTAL(103,$C$2:C600))</f>
        <v>591</v>
      </c>
      <c r="B600" s="41">
        <v>832</v>
      </c>
      <c r="C600" s="41">
        <v>11459</v>
      </c>
      <c r="D600" s="41" t="s">
        <v>12</v>
      </c>
      <c r="E600" s="41" t="s">
        <v>779</v>
      </c>
      <c r="F600" s="41" t="s">
        <v>1918</v>
      </c>
      <c r="G600" s="41" t="s">
        <v>1919</v>
      </c>
      <c r="H600" s="41" t="s">
        <v>1920</v>
      </c>
      <c r="I600" s="43">
        <v>12</v>
      </c>
      <c r="J600" s="44" t="str">
        <f>VLOOKUP(G600,[1]硬件清单!$F:$F,1,0)</f>
        <v>BK-F01-PD-D32</v>
      </c>
      <c r="K600" s="44"/>
      <c r="L600" s="44"/>
      <c r="M600" s="45" t="s">
        <v>1921</v>
      </c>
    </row>
    <row r="601" ht="30" customHeight="1" spans="1:13">
      <c r="A601" s="41">
        <f>IF(C601="","",SUBTOTAL(103,$C$2:C601))</f>
        <v>592</v>
      </c>
      <c r="B601" s="41">
        <v>833</v>
      </c>
      <c r="C601" s="41">
        <v>11460</v>
      </c>
      <c r="D601" s="41" t="s">
        <v>12</v>
      </c>
      <c r="E601" s="41" t="s">
        <v>779</v>
      </c>
      <c r="F601" s="41" t="s">
        <v>1922</v>
      </c>
      <c r="G601" s="41" t="s">
        <v>1923</v>
      </c>
      <c r="H601" s="41" t="s">
        <v>1924</v>
      </c>
      <c r="I601" s="43">
        <v>12</v>
      </c>
      <c r="J601" s="44" t="str">
        <f>VLOOKUP(G601,[1]硬件清单!$F:$F,1,0)</f>
        <v>BK-F01-PD-D33</v>
      </c>
      <c r="K601" s="44"/>
      <c r="L601" s="44"/>
      <c r="M601" s="45" t="s">
        <v>1925</v>
      </c>
    </row>
    <row r="602" ht="30" customHeight="1" spans="1:13">
      <c r="A602" s="41">
        <f>IF(C602="","",SUBTOTAL(103,$C$2:C602))</f>
        <v>593</v>
      </c>
      <c r="B602" s="41">
        <v>834</v>
      </c>
      <c r="C602" s="41">
        <v>11428</v>
      </c>
      <c r="D602" s="41" t="s">
        <v>12</v>
      </c>
      <c r="E602" s="41" t="s">
        <v>779</v>
      </c>
      <c r="F602" s="41" t="s">
        <v>1918</v>
      </c>
      <c r="G602" s="41" t="s">
        <v>1926</v>
      </c>
      <c r="H602" s="41" t="s">
        <v>1927</v>
      </c>
      <c r="I602" s="43">
        <v>12</v>
      </c>
      <c r="J602" s="44" t="str">
        <f>VLOOKUP(G602,[1]硬件清单!$F:$F,1,0)</f>
        <v>BK-F01-PD-D01</v>
      </c>
      <c r="K602" s="44"/>
      <c r="L602" s="44"/>
      <c r="M602" s="45" t="s">
        <v>1928</v>
      </c>
    </row>
    <row r="603" ht="30" customHeight="1" spans="1:13">
      <c r="A603" s="41">
        <f>IF(C603="","",SUBTOTAL(103,$C$2:C603))</f>
        <v>594</v>
      </c>
      <c r="B603" s="41">
        <v>835</v>
      </c>
      <c r="C603" s="41">
        <v>11430</v>
      </c>
      <c r="D603" s="41" t="s">
        <v>12</v>
      </c>
      <c r="E603" s="41" t="s">
        <v>779</v>
      </c>
      <c r="F603" s="41" t="s">
        <v>1918</v>
      </c>
      <c r="G603" s="41" t="s">
        <v>1929</v>
      </c>
      <c r="H603" s="41" t="s">
        <v>1930</v>
      </c>
      <c r="I603" s="43">
        <v>12</v>
      </c>
      <c r="J603" s="44" t="str">
        <f>VLOOKUP(G603,[1]硬件清单!$F:$F,1,0)</f>
        <v>BK-F01-PD-D03</v>
      </c>
      <c r="K603" s="44"/>
      <c r="L603" s="44"/>
      <c r="M603" s="45" t="s">
        <v>1931</v>
      </c>
    </row>
    <row r="604" ht="30" customHeight="1" spans="1:13">
      <c r="A604" s="41">
        <f>IF(C604="","",SUBTOTAL(103,$C$2:C604))</f>
        <v>595</v>
      </c>
      <c r="B604" s="41">
        <v>836</v>
      </c>
      <c r="C604" s="41">
        <v>11432</v>
      </c>
      <c r="D604" s="41" t="s">
        <v>12</v>
      </c>
      <c r="E604" s="41" t="s">
        <v>779</v>
      </c>
      <c r="F604" s="41" t="s">
        <v>1918</v>
      </c>
      <c r="G604" s="41" t="s">
        <v>1932</v>
      </c>
      <c r="H604" s="41" t="s">
        <v>1933</v>
      </c>
      <c r="I604" s="43">
        <v>12</v>
      </c>
      <c r="J604" s="44" t="str">
        <f>VLOOKUP(G604,[1]硬件清单!$F:$F,1,0)</f>
        <v>BK-F01-PD-D05</v>
      </c>
      <c r="K604" s="44"/>
      <c r="L604" s="44"/>
      <c r="M604" s="45" t="s">
        <v>1934</v>
      </c>
    </row>
    <row r="605" ht="30" customHeight="1" spans="1:13">
      <c r="A605" s="41">
        <f>IF(C605="","",SUBTOTAL(103,$C$2:C605))</f>
        <v>596</v>
      </c>
      <c r="B605" s="41">
        <v>837</v>
      </c>
      <c r="C605" s="41">
        <v>11434</v>
      </c>
      <c r="D605" s="41" t="s">
        <v>12</v>
      </c>
      <c r="E605" s="41" t="s">
        <v>779</v>
      </c>
      <c r="F605" s="41" t="s">
        <v>1918</v>
      </c>
      <c r="G605" s="41" t="s">
        <v>1935</v>
      </c>
      <c r="H605" s="41" t="s">
        <v>1936</v>
      </c>
      <c r="I605" s="43">
        <v>12</v>
      </c>
      <c r="J605" s="44" t="str">
        <f>VLOOKUP(G605,[1]硬件清单!$F:$F,1,0)</f>
        <v>BK-F01-PD-D07</v>
      </c>
      <c r="K605" s="44"/>
      <c r="L605" s="44"/>
      <c r="M605" s="45" t="s">
        <v>1937</v>
      </c>
    </row>
    <row r="606" ht="30" customHeight="1" spans="1:13">
      <c r="A606" s="41">
        <f>IF(C606="","",SUBTOTAL(103,$C$2:C606))</f>
        <v>597</v>
      </c>
      <c r="B606" s="41">
        <v>838</v>
      </c>
      <c r="C606" s="41">
        <v>11435</v>
      </c>
      <c r="D606" s="41" t="s">
        <v>12</v>
      </c>
      <c r="E606" s="41" t="s">
        <v>779</v>
      </c>
      <c r="F606" s="41" t="s">
        <v>1918</v>
      </c>
      <c r="G606" s="41" t="s">
        <v>1938</v>
      </c>
      <c r="H606" s="41" t="s">
        <v>1939</v>
      </c>
      <c r="I606" s="43">
        <v>12</v>
      </c>
      <c r="J606" s="44" t="str">
        <f>VLOOKUP(G606,[1]硬件清单!$F:$F,1,0)</f>
        <v>BK-F01-PD-D08</v>
      </c>
      <c r="K606" s="44"/>
      <c r="L606" s="44"/>
      <c r="M606" s="45" t="s">
        <v>1940</v>
      </c>
    </row>
    <row r="607" ht="30" customHeight="1" spans="1:13">
      <c r="A607" s="41">
        <f>IF(C607="","",SUBTOTAL(103,$C$2:C607))</f>
        <v>598</v>
      </c>
      <c r="B607" s="41">
        <v>839</v>
      </c>
      <c r="C607" s="41">
        <v>11438</v>
      </c>
      <c r="D607" s="41" t="s">
        <v>12</v>
      </c>
      <c r="E607" s="41" t="s">
        <v>779</v>
      </c>
      <c r="F607" s="41" t="s">
        <v>1918</v>
      </c>
      <c r="G607" s="41" t="s">
        <v>1941</v>
      </c>
      <c r="H607" s="41" t="s">
        <v>1942</v>
      </c>
      <c r="I607" s="43">
        <v>12</v>
      </c>
      <c r="J607" s="44" t="str">
        <f>VLOOKUP(G607,[1]硬件清单!$F:$F,1,0)</f>
        <v>BK-F01-PD-D11</v>
      </c>
      <c r="K607" s="44"/>
      <c r="L607" s="44"/>
      <c r="M607" s="45" t="s">
        <v>1943</v>
      </c>
    </row>
    <row r="608" ht="30" customHeight="1" spans="1:13">
      <c r="A608" s="41">
        <f>IF(C608="","",SUBTOTAL(103,$C$2:C608))</f>
        <v>599</v>
      </c>
      <c r="B608" s="41">
        <v>840</v>
      </c>
      <c r="C608" s="41">
        <v>11439</v>
      </c>
      <c r="D608" s="41" t="s">
        <v>12</v>
      </c>
      <c r="E608" s="41" t="s">
        <v>779</v>
      </c>
      <c r="F608" s="41" t="s">
        <v>1918</v>
      </c>
      <c r="G608" s="41" t="s">
        <v>1944</v>
      </c>
      <c r="H608" s="41" t="s">
        <v>1945</v>
      </c>
      <c r="I608" s="43">
        <v>12</v>
      </c>
      <c r="J608" s="44" t="str">
        <f>VLOOKUP(G608,[1]硬件清单!$F:$F,1,0)</f>
        <v>BK-F01-PD-D12</v>
      </c>
      <c r="K608" s="44"/>
      <c r="L608" s="44"/>
      <c r="M608" s="45" t="s">
        <v>1946</v>
      </c>
    </row>
    <row r="609" ht="30" customHeight="1" spans="1:13">
      <c r="A609" s="41">
        <f>IF(C609="","",SUBTOTAL(103,$C$2:C609))</f>
        <v>600</v>
      </c>
      <c r="B609" s="41">
        <v>841</v>
      </c>
      <c r="C609" s="41">
        <v>11442</v>
      </c>
      <c r="D609" s="41" t="s">
        <v>12</v>
      </c>
      <c r="E609" s="41" t="s">
        <v>779</v>
      </c>
      <c r="F609" s="41" t="s">
        <v>1918</v>
      </c>
      <c r="G609" s="41" t="s">
        <v>1947</v>
      </c>
      <c r="H609" s="41" t="s">
        <v>1948</v>
      </c>
      <c r="I609" s="43">
        <v>12</v>
      </c>
      <c r="J609" s="44" t="str">
        <f>VLOOKUP(G609,[1]硬件清单!$F:$F,1,0)</f>
        <v>BK-F01-PD-D15</v>
      </c>
      <c r="K609" s="44"/>
      <c r="L609" s="44"/>
      <c r="M609" s="45" t="s">
        <v>1949</v>
      </c>
    </row>
    <row r="610" ht="30" customHeight="1" spans="1:13">
      <c r="A610" s="41">
        <f>IF(C610="","",SUBTOTAL(103,$C$2:C610))</f>
        <v>601</v>
      </c>
      <c r="B610" s="41">
        <v>842</v>
      </c>
      <c r="C610" s="41">
        <v>11443</v>
      </c>
      <c r="D610" s="41" t="s">
        <v>12</v>
      </c>
      <c r="E610" s="41" t="s">
        <v>779</v>
      </c>
      <c r="F610" s="41" t="s">
        <v>1918</v>
      </c>
      <c r="G610" s="41" t="s">
        <v>1950</v>
      </c>
      <c r="H610" s="41" t="s">
        <v>1951</v>
      </c>
      <c r="I610" s="43">
        <v>12</v>
      </c>
      <c r="J610" s="44" t="str">
        <f>VLOOKUP(G610,[1]硬件清单!$F:$F,1,0)</f>
        <v>BK-F01-PD-D16</v>
      </c>
      <c r="K610" s="44"/>
      <c r="L610" s="44"/>
      <c r="M610" s="45" t="s">
        <v>1952</v>
      </c>
    </row>
    <row r="611" ht="30" customHeight="1" spans="1:13">
      <c r="A611" s="41">
        <f>IF(C611="","",SUBTOTAL(103,$C$2:C611))</f>
        <v>602</v>
      </c>
      <c r="B611" s="41">
        <v>843</v>
      </c>
      <c r="C611" s="41">
        <v>11446</v>
      </c>
      <c r="D611" s="41" t="s">
        <v>12</v>
      </c>
      <c r="E611" s="41" t="s">
        <v>779</v>
      </c>
      <c r="F611" s="41" t="s">
        <v>1918</v>
      </c>
      <c r="G611" s="41" t="s">
        <v>1953</v>
      </c>
      <c r="H611" s="41" t="s">
        <v>1954</v>
      </c>
      <c r="I611" s="43">
        <v>12</v>
      </c>
      <c r="J611" s="44" t="str">
        <f>VLOOKUP(G611,[1]硬件清单!$F:$F,1,0)</f>
        <v>BK-F01-PD-D19</v>
      </c>
      <c r="K611" s="44"/>
      <c r="L611" s="44"/>
      <c r="M611" s="45" t="s">
        <v>1955</v>
      </c>
    </row>
    <row r="612" ht="30" customHeight="1" spans="1:13">
      <c r="A612" s="41">
        <f>IF(C612="","",SUBTOTAL(103,$C$2:C612))</f>
        <v>603</v>
      </c>
      <c r="B612" s="41">
        <v>844</v>
      </c>
      <c r="C612" s="41">
        <v>11447</v>
      </c>
      <c r="D612" s="41" t="s">
        <v>12</v>
      </c>
      <c r="E612" s="41" t="s">
        <v>779</v>
      </c>
      <c r="F612" s="41" t="s">
        <v>1918</v>
      </c>
      <c r="G612" s="41" t="s">
        <v>1956</v>
      </c>
      <c r="H612" s="41" t="s">
        <v>1957</v>
      </c>
      <c r="I612" s="43">
        <v>12</v>
      </c>
      <c r="J612" s="44" t="str">
        <f>VLOOKUP(G612,[1]硬件清单!$F:$F,1,0)</f>
        <v>BK-F01-PD-D20</v>
      </c>
      <c r="K612" s="44"/>
      <c r="L612" s="44"/>
      <c r="M612" s="45" t="s">
        <v>1958</v>
      </c>
    </row>
    <row r="613" ht="30" customHeight="1" spans="1:13">
      <c r="A613" s="41">
        <f>IF(C613="","",SUBTOTAL(103,$C$2:C613))</f>
        <v>604</v>
      </c>
      <c r="B613" s="41">
        <v>845</v>
      </c>
      <c r="C613" s="41">
        <v>11450</v>
      </c>
      <c r="D613" s="41" t="s">
        <v>12</v>
      </c>
      <c r="E613" s="41" t="s">
        <v>779</v>
      </c>
      <c r="F613" s="41" t="s">
        <v>1918</v>
      </c>
      <c r="G613" s="41" t="s">
        <v>1959</v>
      </c>
      <c r="H613" s="41" t="s">
        <v>1960</v>
      </c>
      <c r="I613" s="43">
        <v>12</v>
      </c>
      <c r="J613" s="44" t="str">
        <f>VLOOKUP(G613,[1]硬件清单!$F:$F,1,0)</f>
        <v>BK-F01-PD-D23</v>
      </c>
      <c r="K613" s="44"/>
      <c r="L613" s="44"/>
      <c r="M613" s="45" t="s">
        <v>1961</v>
      </c>
    </row>
    <row r="614" ht="30" customHeight="1" spans="1:13">
      <c r="A614" s="41">
        <f>IF(C614="","",SUBTOTAL(103,$C$2:C614))</f>
        <v>605</v>
      </c>
      <c r="B614" s="41">
        <v>846</v>
      </c>
      <c r="C614" s="41">
        <v>11451</v>
      </c>
      <c r="D614" s="41" t="s">
        <v>12</v>
      </c>
      <c r="E614" s="41" t="s">
        <v>779</v>
      </c>
      <c r="F614" s="41" t="s">
        <v>1918</v>
      </c>
      <c r="G614" s="41" t="s">
        <v>1962</v>
      </c>
      <c r="H614" s="41" t="s">
        <v>1963</v>
      </c>
      <c r="I614" s="43">
        <v>12</v>
      </c>
      <c r="J614" s="44" t="str">
        <f>VLOOKUP(G614,[1]硬件清单!$F:$F,1,0)</f>
        <v>BK-F01-PD-D24</v>
      </c>
      <c r="K614" s="44"/>
      <c r="L614" s="44"/>
      <c r="M614" s="45" t="s">
        <v>1964</v>
      </c>
    </row>
    <row r="615" ht="30" customHeight="1" spans="1:13">
      <c r="A615" s="41">
        <f>IF(C615="","",SUBTOTAL(103,$C$2:C615))</f>
        <v>606</v>
      </c>
      <c r="B615" s="41">
        <v>847</v>
      </c>
      <c r="C615" s="41">
        <v>11458</v>
      </c>
      <c r="D615" s="41" t="s">
        <v>12</v>
      </c>
      <c r="E615" s="41" t="s">
        <v>779</v>
      </c>
      <c r="F615" s="41" t="s">
        <v>1918</v>
      </c>
      <c r="G615" s="41" t="s">
        <v>1965</v>
      </c>
      <c r="H615" s="41" t="s">
        <v>1966</v>
      </c>
      <c r="I615" s="43">
        <v>12</v>
      </c>
      <c r="J615" s="44" t="str">
        <f>VLOOKUP(G615,[1]硬件清单!$F:$F,1,0)</f>
        <v>BK-F01-PD-D31</v>
      </c>
      <c r="K615" s="44"/>
      <c r="L615" s="44"/>
      <c r="M615" s="45" t="s">
        <v>1967</v>
      </c>
    </row>
    <row r="616" ht="30" customHeight="1" spans="1:13">
      <c r="A616" s="41">
        <f>IF(C616="","",SUBTOTAL(103,$C$2:C616))</f>
        <v>607</v>
      </c>
      <c r="B616" s="41">
        <v>848</v>
      </c>
      <c r="C616" s="41">
        <v>11454</v>
      </c>
      <c r="D616" s="41" t="s">
        <v>12</v>
      </c>
      <c r="E616" s="41" t="s">
        <v>779</v>
      </c>
      <c r="F616" s="41" t="s">
        <v>1918</v>
      </c>
      <c r="G616" s="41" t="s">
        <v>1968</v>
      </c>
      <c r="H616" s="41" t="s">
        <v>1969</v>
      </c>
      <c r="I616" s="43">
        <v>12</v>
      </c>
      <c r="J616" s="44" t="str">
        <f>VLOOKUP(G616,[1]硬件清单!$F:$F,1,0)</f>
        <v>BK-F01-PD-D27</v>
      </c>
      <c r="K616" s="44"/>
      <c r="L616" s="44"/>
      <c r="M616" s="45" t="s">
        <v>1970</v>
      </c>
    </row>
    <row r="617" ht="30" customHeight="1" spans="1:13">
      <c r="A617" s="41">
        <f>IF(C617="","",SUBTOTAL(103,$C$2:C617))</f>
        <v>608</v>
      </c>
      <c r="B617" s="41">
        <v>849</v>
      </c>
      <c r="C617" s="41">
        <v>11455</v>
      </c>
      <c r="D617" s="41" t="s">
        <v>12</v>
      </c>
      <c r="E617" s="41" t="s">
        <v>779</v>
      </c>
      <c r="F617" s="41" t="s">
        <v>1918</v>
      </c>
      <c r="G617" s="41" t="s">
        <v>1971</v>
      </c>
      <c r="H617" s="41" t="s">
        <v>1972</v>
      </c>
      <c r="I617" s="43">
        <v>12</v>
      </c>
      <c r="J617" s="44" t="str">
        <f>VLOOKUP(G617,[1]硬件清单!$F:$F,1,0)</f>
        <v>BK-F01-PD-D28</v>
      </c>
      <c r="K617" s="44"/>
      <c r="L617" s="44"/>
      <c r="M617" s="45" t="s">
        <v>1973</v>
      </c>
    </row>
    <row r="618" ht="30" customHeight="1" spans="1:13">
      <c r="A618" s="41">
        <f>IF(C618="","",SUBTOTAL(103,$C$2:C618))</f>
        <v>609</v>
      </c>
      <c r="B618" s="41">
        <v>850</v>
      </c>
      <c r="C618" s="41">
        <v>11429</v>
      </c>
      <c r="D618" s="41" t="s">
        <v>12</v>
      </c>
      <c r="E618" s="41" t="s">
        <v>779</v>
      </c>
      <c r="F618" s="41" t="s">
        <v>1918</v>
      </c>
      <c r="G618" s="41" t="s">
        <v>1974</v>
      </c>
      <c r="H618" s="41" t="s">
        <v>1975</v>
      </c>
      <c r="I618" s="43">
        <v>12</v>
      </c>
      <c r="J618" s="44" t="str">
        <f>VLOOKUP(G618,[1]硬件清单!$F:$F,1,0)</f>
        <v>BK-F01-PD-D02</v>
      </c>
      <c r="K618" s="44"/>
      <c r="L618" s="44"/>
      <c r="M618" s="45" t="s">
        <v>1976</v>
      </c>
    </row>
    <row r="619" ht="30" customHeight="1" spans="1:13">
      <c r="A619" s="41">
        <f>IF(C619="","",SUBTOTAL(103,$C$2:C619))</f>
        <v>610</v>
      </c>
      <c r="B619" s="41">
        <v>851</v>
      </c>
      <c r="C619" s="41">
        <v>11431</v>
      </c>
      <c r="D619" s="41" t="s">
        <v>12</v>
      </c>
      <c r="E619" s="41" t="s">
        <v>779</v>
      </c>
      <c r="F619" s="41" t="s">
        <v>1918</v>
      </c>
      <c r="G619" s="41" t="s">
        <v>1977</v>
      </c>
      <c r="H619" s="41" t="s">
        <v>1978</v>
      </c>
      <c r="I619" s="43">
        <v>12</v>
      </c>
      <c r="J619" s="44" t="str">
        <f>VLOOKUP(G619,[1]硬件清单!$F:$F,1,0)</f>
        <v>BK-F01-PD-D04</v>
      </c>
      <c r="K619" s="44"/>
      <c r="L619" s="44"/>
      <c r="M619" s="45" t="s">
        <v>1979</v>
      </c>
    </row>
    <row r="620" ht="30" customHeight="1" spans="1:13">
      <c r="A620" s="41">
        <f>IF(C620="","",SUBTOTAL(103,$C$2:C620))</f>
        <v>611</v>
      </c>
      <c r="B620" s="41">
        <v>852</v>
      </c>
      <c r="C620" s="41">
        <v>11433</v>
      </c>
      <c r="D620" s="41" t="s">
        <v>12</v>
      </c>
      <c r="E620" s="41" t="s">
        <v>779</v>
      </c>
      <c r="F620" s="41" t="s">
        <v>1918</v>
      </c>
      <c r="G620" s="41" t="s">
        <v>1980</v>
      </c>
      <c r="H620" s="41" t="s">
        <v>1981</v>
      </c>
      <c r="I620" s="43">
        <v>12</v>
      </c>
      <c r="J620" s="44" t="str">
        <f>VLOOKUP(G620,[1]硬件清单!$F:$F,1,0)</f>
        <v>BK-F01-PD-D06</v>
      </c>
      <c r="K620" s="44"/>
      <c r="L620" s="44"/>
      <c r="M620" s="45" t="s">
        <v>1982</v>
      </c>
    </row>
    <row r="621" ht="30" customHeight="1" spans="1:13">
      <c r="A621" s="41">
        <f>IF(C621="","",SUBTOTAL(103,$C$2:C621))</f>
        <v>612</v>
      </c>
      <c r="B621" s="41">
        <v>853</v>
      </c>
      <c r="C621" s="41">
        <v>11436</v>
      </c>
      <c r="D621" s="41" t="s">
        <v>12</v>
      </c>
      <c r="E621" s="41" t="s">
        <v>779</v>
      </c>
      <c r="F621" s="41" t="s">
        <v>1918</v>
      </c>
      <c r="G621" s="41" t="s">
        <v>1983</v>
      </c>
      <c r="H621" s="41" t="s">
        <v>1984</v>
      </c>
      <c r="I621" s="43">
        <v>12</v>
      </c>
      <c r="J621" s="44" t="str">
        <f>VLOOKUP(G621,[1]硬件清单!$F:$F,1,0)</f>
        <v>BK-F01-PD-D09</v>
      </c>
      <c r="K621" s="44"/>
      <c r="L621" s="44"/>
      <c r="M621" s="45" t="s">
        <v>1985</v>
      </c>
    </row>
    <row r="622" ht="30" customHeight="1" spans="1:13">
      <c r="A622" s="41">
        <f>IF(C622="","",SUBTOTAL(103,$C$2:C622))</f>
        <v>613</v>
      </c>
      <c r="B622" s="41">
        <v>854</v>
      </c>
      <c r="C622" s="41">
        <v>11437</v>
      </c>
      <c r="D622" s="41" t="s">
        <v>12</v>
      </c>
      <c r="E622" s="41" t="s">
        <v>779</v>
      </c>
      <c r="F622" s="41" t="s">
        <v>1918</v>
      </c>
      <c r="G622" s="41" t="s">
        <v>1986</v>
      </c>
      <c r="H622" s="41" t="s">
        <v>1987</v>
      </c>
      <c r="I622" s="43">
        <v>12</v>
      </c>
      <c r="J622" s="44" t="str">
        <f>VLOOKUP(G622,[1]硬件清单!$F:$F,1,0)</f>
        <v>BK-F01-PD-D10</v>
      </c>
      <c r="K622" s="44"/>
      <c r="L622" s="44"/>
      <c r="M622" s="45" t="s">
        <v>1988</v>
      </c>
    </row>
    <row r="623" ht="30" customHeight="1" spans="1:13">
      <c r="A623" s="41">
        <f>IF(C623="","",SUBTOTAL(103,$C$2:C623))</f>
        <v>614</v>
      </c>
      <c r="B623" s="41">
        <v>855</v>
      </c>
      <c r="C623" s="41">
        <v>11440</v>
      </c>
      <c r="D623" s="41" t="s">
        <v>12</v>
      </c>
      <c r="E623" s="41" t="s">
        <v>779</v>
      </c>
      <c r="F623" s="41" t="s">
        <v>1918</v>
      </c>
      <c r="G623" s="41" t="s">
        <v>1989</v>
      </c>
      <c r="H623" s="41" t="s">
        <v>1990</v>
      </c>
      <c r="I623" s="43">
        <v>12</v>
      </c>
      <c r="J623" s="44" t="str">
        <f>VLOOKUP(G623,[1]硬件清单!$F:$F,1,0)</f>
        <v>BK-F01-PD-D13</v>
      </c>
      <c r="K623" s="44"/>
      <c r="L623" s="44"/>
      <c r="M623" s="45" t="s">
        <v>1991</v>
      </c>
    </row>
    <row r="624" ht="30" customHeight="1" spans="1:13">
      <c r="A624" s="41">
        <f>IF(C624="","",SUBTOTAL(103,$C$2:C624))</f>
        <v>615</v>
      </c>
      <c r="B624" s="41">
        <v>856</v>
      </c>
      <c r="C624" s="41">
        <v>11441</v>
      </c>
      <c r="D624" s="41" t="s">
        <v>12</v>
      </c>
      <c r="E624" s="41" t="s">
        <v>779</v>
      </c>
      <c r="F624" s="41" t="s">
        <v>1918</v>
      </c>
      <c r="G624" s="41" t="s">
        <v>1992</v>
      </c>
      <c r="H624" s="41" t="s">
        <v>1993</v>
      </c>
      <c r="I624" s="43">
        <v>12</v>
      </c>
      <c r="J624" s="44" t="str">
        <f>VLOOKUP(G624,[1]硬件清单!$F:$F,1,0)</f>
        <v>BK-F01-PD-D14</v>
      </c>
      <c r="K624" s="44"/>
      <c r="L624" s="44"/>
      <c r="M624" s="45" t="s">
        <v>1994</v>
      </c>
    </row>
    <row r="625" ht="30" customHeight="1" spans="1:13">
      <c r="A625" s="41">
        <f>IF(C625="","",SUBTOTAL(103,$C$2:C625))</f>
        <v>616</v>
      </c>
      <c r="B625" s="41">
        <v>857</v>
      </c>
      <c r="C625" s="41">
        <v>11444</v>
      </c>
      <c r="D625" s="41" t="s">
        <v>12</v>
      </c>
      <c r="E625" s="41" t="s">
        <v>779</v>
      </c>
      <c r="F625" s="41" t="s">
        <v>1918</v>
      </c>
      <c r="G625" s="41" t="s">
        <v>1995</v>
      </c>
      <c r="H625" s="41" t="s">
        <v>1996</v>
      </c>
      <c r="I625" s="43">
        <v>12</v>
      </c>
      <c r="J625" s="44" t="str">
        <f>VLOOKUP(G625,[1]硬件清单!$F:$F,1,0)</f>
        <v>BK-F01-PD-D17</v>
      </c>
      <c r="K625" s="44"/>
      <c r="L625" s="44"/>
      <c r="M625" s="45" t="s">
        <v>1997</v>
      </c>
    </row>
    <row r="626" ht="30" customHeight="1" spans="1:13">
      <c r="A626" s="41">
        <f>IF(C626="","",SUBTOTAL(103,$C$2:C626))</f>
        <v>617</v>
      </c>
      <c r="B626" s="41">
        <v>858</v>
      </c>
      <c r="C626" s="41">
        <v>11445</v>
      </c>
      <c r="D626" s="41" t="s">
        <v>12</v>
      </c>
      <c r="E626" s="41" t="s">
        <v>779</v>
      </c>
      <c r="F626" s="41" t="s">
        <v>1918</v>
      </c>
      <c r="G626" s="41" t="s">
        <v>1998</v>
      </c>
      <c r="H626" s="41" t="s">
        <v>1999</v>
      </c>
      <c r="I626" s="43">
        <v>12</v>
      </c>
      <c r="J626" s="44" t="str">
        <f>VLOOKUP(G626,[1]硬件清单!$F:$F,1,0)</f>
        <v>BK-F01-PD-D18</v>
      </c>
      <c r="K626" s="44"/>
      <c r="L626" s="44"/>
      <c r="M626" s="45" t="s">
        <v>2000</v>
      </c>
    </row>
    <row r="627" ht="30" customHeight="1" spans="1:13">
      <c r="A627" s="41">
        <f>IF(C627="","",SUBTOTAL(103,$C$2:C627))</f>
        <v>618</v>
      </c>
      <c r="B627" s="41">
        <v>859</v>
      </c>
      <c r="C627" s="41">
        <v>11448</v>
      </c>
      <c r="D627" s="41" t="s">
        <v>12</v>
      </c>
      <c r="E627" s="41" t="s">
        <v>779</v>
      </c>
      <c r="F627" s="41" t="s">
        <v>1918</v>
      </c>
      <c r="G627" s="41" t="s">
        <v>2001</v>
      </c>
      <c r="H627" s="41" t="s">
        <v>2002</v>
      </c>
      <c r="I627" s="43">
        <v>12</v>
      </c>
      <c r="J627" s="44" t="str">
        <f>VLOOKUP(G627,[1]硬件清单!$F:$F,1,0)</f>
        <v>BK-F01-PD-D21</v>
      </c>
      <c r="K627" s="44"/>
      <c r="L627" s="44"/>
      <c r="M627" s="45" t="s">
        <v>2003</v>
      </c>
    </row>
    <row r="628" ht="30" customHeight="1" spans="1:13">
      <c r="A628" s="41">
        <f>IF(C628="","",SUBTOTAL(103,$C$2:C628))</f>
        <v>619</v>
      </c>
      <c r="B628" s="41">
        <v>860</v>
      </c>
      <c r="C628" s="41">
        <v>11449</v>
      </c>
      <c r="D628" s="41" t="s">
        <v>12</v>
      </c>
      <c r="E628" s="41" t="s">
        <v>779</v>
      </c>
      <c r="F628" s="41" t="s">
        <v>1918</v>
      </c>
      <c r="G628" s="41" t="s">
        <v>2004</v>
      </c>
      <c r="H628" s="41" t="s">
        <v>2005</v>
      </c>
      <c r="I628" s="43">
        <v>12</v>
      </c>
      <c r="J628" s="44" t="str">
        <f>VLOOKUP(G628,[1]硬件清单!$F:$F,1,0)</f>
        <v>BK-F01-PD-D22</v>
      </c>
      <c r="K628" s="44"/>
      <c r="L628" s="44"/>
      <c r="M628" s="45" t="s">
        <v>2006</v>
      </c>
    </row>
    <row r="629" ht="30" customHeight="1" spans="1:13">
      <c r="A629" s="41">
        <f>IF(C629="","",SUBTOTAL(103,$C$2:C629))</f>
        <v>620</v>
      </c>
      <c r="B629" s="41">
        <v>861</v>
      </c>
      <c r="C629" s="41">
        <v>11452</v>
      </c>
      <c r="D629" s="41" t="s">
        <v>12</v>
      </c>
      <c r="E629" s="41" t="s">
        <v>779</v>
      </c>
      <c r="F629" s="41" t="s">
        <v>1918</v>
      </c>
      <c r="G629" s="41" t="s">
        <v>2007</v>
      </c>
      <c r="H629" s="41" t="s">
        <v>2008</v>
      </c>
      <c r="I629" s="43">
        <v>12</v>
      </c>
      <c r="J629" s="44" t="str">
        <f>VLOOKUP(G629,[1]硬件清单!$F:$F,1,0)</f>
        <v>BK-F01-PD-D25</v>
      </c>
      <c r="K629" s="44"/>
      <c r="L629" s="44"/>
      <c r="M629" s="45" t="s">
        <v>2009</v>
      </c>
    </row>
    <row r="630" ht="30" customHeight="1" spans="1:13">
      <c r="A630" s="41">
        <f>IF(C630="","",SUBTOTAL(103,$C$2:C630))</f>
        <v>621</v>
      </c>
      <c r="B630" s="41">
        <v>862</v>
      </c>
      <c r="C630" s="41">
        <v>11453</v>
      </c>
      <c r="D630" s="41" t="s">
        <v>12</v>
      </c>
      <c r="E630" s="41" t="s">
        <v>779</v>
      </c>
      <c r="F630" s="41" t="s">
        <v>1918</v>
      </c>
      <c r="G630" s="41" t="s">
        <v>2010</v>
      </c>
      <c r="H630" s="41" t="s">
        <v>2011</v>
      </c>
      <c r="I630" s="43">
        <v>12</v>
      </c>
      <c r="J630" s="44" t="str">
        <f>VLOOKUP(G630,[1]硬件清单!$F:$F,1,0)</f>
        <v>BK-F01-PD-D26</v>
      </c>
      <c r="K630" s="44"/>
      <c r="L630" s="44"/>
      <c r="M630" s="45" t="s">
        <v>2009</v>
      </c>
    </row>
    <row r="631" ht="30" customHeight="1" spans="1:13">
      <c r="A631" s="41">
        <f>IF(C631="","",SUBTOTAL(103,$C$2:C631))</f>
        <v>622</v>
      </c>
      <c r="B631" s="41">
        <v>863</v>
      </c>
      <c r="C631" s="41">
        <v>11456</v>
      </c>
      <c r="D631" s="41" t="s">
        <v>12</v>
      </c>
      <c r="E631" s="41" t="s">
        <v>779</v>
      </c>
      <c r="F631" s="41" t="s">
        <v>1918</v>
      </c>
      <c r="G631" s="41" t="s">
        <v>2012</v>
      </c>
      <c r="H631" s="41" t="s">
        <v>2013</v>
      </c>
      <c r="I631" s="43">
        <v>12</v>
      </c>
      <c r="J631" s="44" t="str">
        <f>VLOOKUP(G631,[1]硬件清单!$F:$F,1,0)</f>
        <v>BK-F01-PD-D29</v>
      </c>
      <c r="K631" s="44"/>
      <c r="L631" s="44"/>
      <c r="M631" s="45" t="s">
        <v>2014</v>
      </c>
    </row>
    <row r="632" ht="30" customHeight="1" spans="1:13">
      <c r="A632" s="41">
        <f>IF(C632="","",SUBTOTAL(103,$C$2:C632))</f>
        <v>623</v>
      </c>
      <c r="B632" s="41">
        <v>864</v>
      </c>
      <c r="C632" s="41">
        <v>11457</v>
      </c>
      <c r="D632" s="41" t="s">
        <v>12</v>
      </c>
      <c r="E632" s="41" t="s">
        <v>779</v>
      </c>
      <c r="F632" s="41" t="s">
        <v>1918</v>
      </c>
      <c r="G632" s="41" t="s">
        <v>2015</v>
      </c>
      <c r="H632" s="41" t="s">
        <v>2016</v>
      </c>
      <c r="I632" s="43">
        <v>12</v>
      </c>
      <c r="J632" s="44" t="str">
        <f>VLOOKUP(G632,[1]硬件清单!$F:$F,1,0)</f>
        <v>BK-F01-PD-D30</v>
      </c>
      <c r="K632" s="44"/>
      <c r="L632" s="44"/>
      <c r="M632" s="45" t="s">
        <v>2017</v>
      </c>
    </row>
    <row r="633" ht="30" customHeight="1" spans="1:13">
      <c r="A633" s="41">
        <f>IF(C633="","",SUBTOTAL(103,$C$2:C633))</f>
        <v>624</v>
      </c>
      <c r="B633" s="41">
        <v>865</v>
      </c>
      <c r="C633" s="41">
        <v>3593</v>
      </c>
      <c r="D633" s="41" t="s">
        <v>65</v>
      </c>
      <c r="E633" s="41" t="s">
        <v>96</v>
      </c>
      <c r="F633" s="41" t="s">
        <v>2018</v>
      </c>
      <c r="G633" s="41" t="s">
        <v>2019</v>
      </c>
      <c r="H633" s="41" t="s">
        <v>2020</v>
      </c>
      <c r="I633" s="43">
        <v>12</v>
      </c>
      <c r="J633" s="44" t="str">
        <f>VLOOKUP(G633,[1]硬件清单!$F:$F,1,0)</f>
        <v>WT3961MEWAI1DGE01052</v>
      </c>
      <c r="K633" s="43"/>
      <c r="L633" s="44"/>
      <c r="M633" s="45" t="s">
        <v>2021</v>
      </c>
    </row>
    <row r="634" ht="30" customHeight="1" spans="1:13">
      <c r="A634" s="41">
        <f>IF(C634="","",SUBTOTAL(103,$C$2:C634))</f>
        <v>625</v>
      </c>
      <c r="B634" s="41">
        <v>866</v>
      </c>
      <c r="C634" s="41">
        <v>3594</v>
      </c>
      <c r="D634" s="41" t="s">
        <v>65</v>
      </c>
      <c r="E634" s="41" t="s">
        <v>96</v>
      </c>
      <c r="F634" s="41" t="s">
        <v>2018</v>
      </c>
      <c r="G634" s="41" t="s">
        <v>2022</v>
      </c>
      <c r="H634" s="41" t="s">
        <v>2023</v>
      </c>
      <c r="I634" s="43">
        <v>12</v>
      </c>
      <c r="J634" s="44" t="str">
        <f>VLOOKUP(G634,[1]硬件清单!$F:$F,1,0)</f>
        <v>WT3961MEWAI1DGE01071</v>
      </c>
      <c r="K634" s="43"/>
      <c r="L634" s="44"/>
      <c r="M634" s="45" t="s">
        <v>2021</v>
      </c>
    </row>
    <row r="635" ht="30" customHeight="1" spans="1:13">
      <c r="A635" s="41">
        <f>IF(C635="","",SUBTOTAL(103,$C$2:C635))</f>
        <v>626</v>
      </c>
      <c r="B635" s="41">
        <v>867</v>
      </c>
      <c r="C635" s="41">
        <v>3592</v>
      </c>
      <c r="D635" s="41" t="s">
        <v>65</v>
      </c>
      <c r="E635" s="41" t="s">
        <v>96</v>
      </c>
      <c r="F635" s="41" t="s">
        <v>2018</v>
      </c>
      <c r="G635" s="41" t="s">
        <v>2024</v>
      </c>
      <c r="H635" s="41" t="s">
        <v>2025</v>
      </c>
      <c r="I635" s="43">
        <v>12</v>
      </c>
      <c r="J635" s="44" t="str">
        <f>VLOOKUP(G635,[1]硬件清单!$F:$F,1,0)</f>
        <v>WT3961MEWAI1DGE01040</v>
      </c>
      <c r="K635" s="43"/>
      <c r="L635" s="44"/>
      <c r="M635" s="45" t="s">
        <v>2026</v>
      </c>
    </row>
    <row r="636" ht="30" customHeight="1" spans="1:13">
      <c r="A636" s="41">
        <f>IF(C636="","",SUBTOTAL(103,$C$2:C636))</f>
        <v>627</v>
      </c>
      <c r="B636" s="41">
        <v>920</v>
      </c>
      <c r="C636" s="41">
        <v>16501</v>
      </c>
      <c r="D636" s="41" t="s">
        <v>45</v>
      </c>
      <c r="E636" s="41" t="s">
        <v>46</v>
      </c>
      <c r="F636" s="41" t="s">
        <v>2027</v>
      </c>
      <c r="G636" s="41" t="s">
        <v>2028</v>
      </c>
      <c r="H636" s="41" t="s">
        <v>2029</v>
      </c>
      <c r="I636" s="43">
        <v>12</v>
      </c>
      <c r="J636" s="44" t="str">
        <f>VLOOKUP(G636,[1]硬件清单!$F:$F,1,0)</f>
        <v>0</v>
      </c>
      <c r="K636" s="43"/>
      <c r="L636" s="44"/>
      <c r="M636" s="45" t="s">
        <v>2030</v>
      </c>
    </row>
    <row r="637" ht="30" customHeight="1" spans="1:13">
      <c r="A637" s="41">
        <f>IF(C637="","",SUBTOTAL(103,$C$2:C637))</f>
        <v>628</v>
      </c>
      <c r="B637" s="41">
        <v>921</v>
      </c>
      <c r="C637" s="41">
        <v>16502</v>
      </c>
      <c r="D637" s="41" t="s">
        <v>45</v>
      </c>
      <c r="E637" s="41" t="s">
        <v>46</v>
      </c>
      <c r="F637" s="41" t="s">
        <v>2027</v>
      </c>
      <c r="G637" s="41" t="s">
        <v>2028</v>
      </c>
      <c r="H637" s="41" t="s">
        <v>2031</v>
      </c>
      <c r="I637" s="43">
        <v>12</v>
      </c>
      <c r="J637" s="44" t="str">
        <f>VLOOKUP(G637,[1]硬件清单!$F:$F,1,0)</f>
        <v>0</v>
      </c>
      <c r="K637" s="43"/>
      <c r="L637" s="44"/>
      <c r="M637" s="45" t="s">
        <v>2032</v>
      </c>
    </row>
    <row r="638" ht="30" customHeight="1" spans="1:13">
      <c r="A638" s="41">
        <f>IF(C638="","",SUBTOTAL(103,$C$2:C638))</f>
        <v>629</v>
      </c>
      <c r="B638" s="41">
        <v>974</v>
      </c>
      <c r="C638" s="41">
        <v>3128</v>
      </c>
      <c r="D638" s="41" t="s">
        <v>161</v>
      </c>
      <c r="E638" s="41" t="s">
        <v>162</v>
      </c>
      <c r="F638" s="41" t="s">
        <v>1739</v>
      </c>
      <c r="G638" s="41" t="s">
        <v>2033</v>
      </c>
      <c r="H638" s="41" t="s">
        <v>2034</v>
      </c>
      <c r="I638" s="43">
        <v>12</v>
      </c>
      <c r="J638" s="44" t="str">
        <f>VLOOKUP(G638,[1]硬件清单!$F:$F,1,0)</f>
        <v>无（扩容）</v>
      </c>
      <c r="K638" s="43"/>
      <c r="L638" s="44"/>
      <c r="M638" s="45" t="s">
        <v>2035</v>
      </c>
    </row>
    <row r="639" ht="30" customHeight="1" spans="1:13">
      <c r="A639" s="41">
        <f>IF(C639="","",SUBTOTAL(103,$C$2:C639))</f>
        <v>630</v>
      </c>
      <c r="B639" s="41">
        <v>232</v>
      </c>
      <c r="C639" s="41">
        <v>7285</v>
      </c>
      <c r="D639" s="41" t="s">
        <v>161</v>
      </c>
      <c r="E639" s="41" t="s">
        <v>238</v>
      </c>
      <c r="F639" s="41" t="s">
        <v>1425</v>
      </c>
      <c r="G639" s="41" t="s">
        <v>2036</v>
      </c>
      <c r="H639" s="41" t="s">
        <v>2037</v>
      </c>
      <c r="I639" s="43">
        <v>12</v>
      </c>
      <c r="J639" s="44" t="str">
        <f>VLOOKUP(G639,[1]硬件清单!$F:$F,1,0)</f>
        <v>BRCCCD1937K03C</v>
      </c>
      <c r="K639" s="43"/>
      <c r="L639" s="44"/>
      <c r="M639" s="45" t="s">
        <v>2038</v>
      </c>
    </row>
    <row r="640" ht="30" customHeight="1" spans="1:13">
      <c r="A640" s="41">
        <f>IF(C640="","",SUBTOTAL(103,$C$2:C640))</f>
        <v>631</v>
      </c>
      <c r="B640" s="41">
        <v>5222</v>
      </c>
      <c r="C640" s="41">
        <v>462</v>
      </c>
      <c r="D640" s="41" t="s">
        <v>65</v>
      </c>
      <c r="E640" s="41" t="s">
        <v>66</v>
      </c>
      <c r="F640" s="41" t="s">
        <v>2039</v>
      </c>
      <c r="G640" s="41" t="s">
        <v>2040</v>
      </c>
      <c r="H640" s="41" t="s">
        <v>2041</v>
      </c>
      <c r="I640" s="43">
        <v>12</v>
      </c>
      <c r="J640" s="44" t="str">
        <f>VLOOKUP(G640,[1]硬件清单!$F:$F,1,0)</f>
        <v>210235A1XXB206000040</v>
      </c>
      <c r="K640" s="43"/>
      <c r="L640" s="44"/>
      <c r="M640" s="45" t="s">
        <v>2042</v>
      </c>
    </row>
    <row r="641" ht="30" customHeight="1" spans="1:13">
      <c r="A641" s="41">
        <f>IF(C641="","",SUBTOTAL(103,$C$2:C641))</f>
        <v>632</v>
      </c>
      <c r="B641" s="41">
        <v>5223</v>
      </c>
      <c r="C641" s="41">
        <v>463</v>
      </c>
      <c r="D641" s="41" t="s">
        <v>65</v>
      </c>
      <c r="E641" s="41" t="s">
        <v>66</v>
      </c>
      <c r="F641" s="41" t="s">
        <v>2039</v>
      </c>
      <c r="G641" s="41" t="s">
        <v>2043</v>
      </c>
      <c r="H641" s="41" t="s">
        <v>2044</v>
      </c>
      <c r="I641" s="43">
        <v>12</v>
      </c>
      <c r="J641" s="44" t="str">
        <f>VLOOKUP(G641,[1]硬件清单!$F:$F,1,0)</f>
        <v>210235A1XXB208000174</v>
      </c>
      <c r="K641" s="43"/>
      <c r="L641" s="44"/>
      <c r="M641" s="45" t="s">
        <v>2045</v>
      </c>
    </row>
    <row r="642" ht="30" customHeight="1" spans="1:13">
      <c r="A642" s="41">
        <f>IF(C642="","",SUBTOTAL(103,$C$2:C642))</f>
        <v>633</v>
      </c>
      <c r="B642" s="41">
        <v>354</v>
      </c>
      <c r="C642" s="41">
        <v>7273</v>
      </c>
      <c r="D642" s="41" t="s">
        <v>161</v>
      </c>
      <c r="E642" s="41" t="s">
        <v>238</v>
      </c>
      <c r="F642" s="41" t="s">
        <v>2046</v>
      </c>
      <c r="G642" s="41" t="s">
        <v>2047</v>
      </c>
      <c r="H642" s="41" t="s">
        <v>2048</v>
      </c>
      <c r="I642" s="43">
        <v>12</v>
      </c>
      <c r="J642" s="44" t="str">
        <f>VLOOKUP(G642,[1]硬件清单!$F:$F,1,0)</f>
        <v>AMS16030945</v>
      </c>
      <c r="K642" s="43"/>
      <c r="L642" s="44"/>
      <c r="M642" s="45" t="s">
        <v>2049</v>
      </c>
    </row>
    <row r="643" ht="30" customHeight="1" spans="1:13">
      <c r="A643" s="41">
        <f>IF(C643="","",SUBTOTAL(103,$C$2:C643))</f>
        <v>634</v>
      </c>
      <c r="B643" s="41">
        <v>355</v>
      </c>
      <c r="C643" s="41">
        <v>7274</v>
      </c>
      <c r="D643" s="41" t="s">
        <v>161</v>
      </c>
      <c r="E643" s="41" t="s">
        <v>238</v>
      </c>
      <c r="F643" s="41" t="s">
        <v>2046</v>
      </c>
      <c r="G643" s="41" t="s">
        <v>2050</v>
      </c>
      <c r="H643" s="41" t="s">
        <v>2051</v>
      </c>
      <c r="I643" s="43">
        <v>12</v>
      </c>
      <c r="J643" s="44" t="str">
        <f>VLOOKUP(G643,[1]硬件清单!$F:$F,1,0)</f>
        <v>AMS16030987</v>
      </c>
      <c r="K643" s="43"/>
      <c r="L643" s="44"/>
      <c r="M643" s="45" t="s">
        <v>2052</v>
      </c>
    </row>
    <row r="644" ht="30" customHeight="1" spans="1:13">
      <c r="A644" s="41">
        <f>IF(C644="","",SUBTOTAL(103,$C$2:C644))</f>
        <v>635</v>
      </c>
      <c r="B644" s="41">
        <v>5571</v>
      </c>
      <c r="C644" s="46">
        <v>2192</v>
      </c>
      <c r="D644" s="46" t="s">
        <v>65</v>
      </c>
      <c r="E644" s="46" t="s">
        <v>66</v>
      </c>
      <c r="F644" s="46" t="s">
        <v>2053</v>
      </c>
      <c r="G644" s="41" t="s">
        <v>2054</v>
      </c>
      <c r="H644" s="41" t="s">
        <v>2055</v>
      </c>
      <c r="I644" s="43">
        <v>12</v>
      </c>
      <c r="J644" s="44" t="str">
        <f>VLOOKUP(G644,[1]硬件清单!$F:$F,1,0)</f>
        <v>102010065077</v>
      </c>
      <c r="K644" s="44"/>
      <c r="L644" s="44" t="s">
        <v>17</v>
      </c>
      <c r="M644" s="45" t="s">
        <v>2056</v>
      </c>
    </row>
    <row r="645" ht="30" customHeight="1" spans="1:13">
      <c r="A645" s="41">
        <f>IF(C645="","",SUBTOTAL(103,$C$2:C645))</f>
        <v>636</v>
      </c>
      <c r="B645" s="41">
        <v>5575</v>
      </c>
      <c r="C645" s="46">
        <v>2190</v>
      </c>
      <c r="D645" s="46" t="s">
        <v>65</v>
      </c>
      <c r="E645" s="46" t="s">
        <v>66</v>
      </c>
      <c r="F645" s="46" t="s">
        <v>2053</v>
      </c>
      <c r="G645" s="41" t="s">
        <v>2057</v>
      </c>
      <c r="H645" s="41" t="s">
        <v>2058</v>
      </c>
      <c r="I645" s="43">
        <v>12</v>
      </c>
      <c r="J645" s="44" t="str">
        <f>VLOOKUP(G645,[1]硬件清单!$F:$F,1,0)</f>
        <v>102010065078</v>
      </c>
      <c r="K645" s="44"/>
      <c r="L645" s="44" t="s">
        <v>17</v>
      </c>
      <c r="M645" s="45" t="s">
        <v>2059</v>
      </c>
    </row>
    <row r="646" ht="30" customHeight="1" spans="1:13">
      <c r="A646" s="41">
        <f>IF(C646="","",SUBTOTAL(103,$C$2:C646))</f>
        <v>637</v>
      </c>
      <c r="B646" s="41">
        <v>5825</v>
      </c>
      <c r="C646" s="41">
        <v>7693</v>
      </c>
      <c r="D646" s="41" t="s">
        <v>65</v>
      </c>
      <c r="E646" s="41" t="s">
        <v>96</v>
      </c>
      <c r="F646" s="41" t="s">
        <v>2060</v>
      </c>
      <c r="G646" s="41" t="s">
        <v>2061</v>
      </c>
      <c r="H646" s="41" t="s">
        <v>2062</v>
      </c>
      <c r="I646" s="43">
        <v>12</v>
      </c>
      <c r="J646" s="44" t="str">
        <f>VLOOKUP(G646,[1]硬件清单!$F:$F,1,0)</f>
        <v>chs402626s;404731s;407582s;408064s;411041s</v>
      </c>
      <c r="K646" s="43"/>
      <c r="L646" s="44"/>
      <c r="M646" s="45" t="s">
        <v>2063</v>
      </c>
    </row>
    <row r="647" ht="30" customHeight="1" spans="1:13">
      <c r="A647" s="41">
        <f>IF(C647="","",SUBTOTAL(103,$C$2:C647))</f>
        <v>638</v>
      </c>
      <c r="B647" s="41">
        <v>5826</v>
      </c>
      <c r="C647" s="41">
        <v>7694</v>
      </c>
      <c r="D647" s="41" t="s">
        <v>65</v>
      </c>
      <c r="E647" s="41" t="s">
        <v>96</v>
      </c>
      <c r="F647" s="41" t="s">
        <v>2060</v>
      </c>
      <c r="G647" s="41" t="s">
        <v>2064</v>
      </c>
      <c r="H647" s="41" t="s">
        <v>2065</v>
      </c>
      <c r="I647" s="43">
        <v>12</v>
      </c>
      <c r="J647" s="44" t="str">
        <f>VLOOKUP(G647,[1]硬件清单!$F:$F,1,0)</f>
        <v>chs402635s;404829s;409200s;410306s;406948s</v>
      </c>
      <c r="K647" s="43"/>
      <c r="L647" s="44"/>
      <c r="M647" s="45" t="s">
        <v>2066</v>
      </c>
    </row>
    <row r="648" ht="30" customHeight="1" spans="1:13">
      <c r="A648" s="41">
        <f>IF(C648="","",SUBTOTAL(103,$C$2:C648))</f>
        <v>639</v>
      </c>
      <c r="B648" s="41">
        <v>6108</v>
      </c>
      <c r="C648" s="41">
        <v>3590</v>
      </c>
      <c r="D648" s="41" t="s">
        <v>19</v>
      </c>
      <c r="E648" s="41" t="s">
        <v>20</v>
      </c>
      <c r="F648" s="41" t="s">
        <v>2067</v>
      </c>
      <c r="G648" s="41" t="s">
        <v>2068</v>
      </c>
      <c r="H648" s="41" t="s">
        <v>2069</v>
      </c>
      <c r="I648" s="43">
        <v>12</v>
      </c>
      <c r="J648" s="44" t="str">
        <f>VLOOKUP(G648,[1]硬件清单!$F:$F,1,0)</f>
        <v>FOX2138P6NQ</v>
      </c>
      <c r="K648" s="44"/>
      <c r="L648" s="44"/>
      <c r="M648" s="45" t="s">
        <v>2070</v>
      </c>
    </row>
    <row r="649" ht="30" customHeight="1" spans="1:13">
      <c r="A649" s="41">
        <f>IF(C649="","",SUBTOTAL(103,$C$2:C649))</f>
        <v>640</v>
      </c>
      <c r="B649" s="41">
        <v>6109</v>
      </c>
      <c r="C649" s="41">
        <v>3591</v>
      </c>
      <c r="D649" s="41" t="s">
        <v>19</v>
      </c>
      <c r="E649" s="41" t="s">
        <v>20</v>
      </c>
      <c r="F649" s="41" t="s">
        <v>2067</v>
      </c>
      <c r="G649" s="41" t="s">
        <v>2071</v>
      </c>
      <c r="H649" s="41" t="s">
        <v>2072</v>
      </c>
      <c r="I649" s="43">
        <v>12</v>
      </c>
      <c r="J649" s="44" t="str">
        <f>VLOOKUP(G649,[1]硬件清单!$F:$F,1,0)</f>
        <v>FOX2138P9AK</v>
      </c>
      <c r="K649" s="44"/>
      <c r="L649" s="44"/>
      <c r="M649" s="45" t="s">
        <v>2073</v>
      </c>
    </row>
    <row r="650" ht="30" customHeight="1" spans="1:13">
      <c r="A650" s="41">
        <f>IF(C650="","",SUBTOTAL(103,$C$2:C650))</f>
        <v>641</v>
      </c>
      <c r="B650" s="41">
        <v>6116</v>
      </c>
      <c r="C650" s="41">
        <v>3520</v>
      </c>
      <c r="D650" s="41" t="s">
        <v>19</v>
      </c>
      <c r="E650" s="41" t="s">
        <v>20</v>
      </c>
      <c r="F650" s="41" t="s">
        <v>2074</v>
      </c>
      <c r="G650" s="41" t="s">
        <v>2075</v>
      </c>
      <c r="H650" s="41" t="s">
        <v>2076</v>
      </c>
      <c r="I650" s="43">
        <v>12</v>
      </c>
      <c r="J650" s="44" t="str">
        <f>VLOOKUP(G650,[1]硬件清单!$F:$F,1,0)</f>
        <v>FDO21090N29</v>
      </c>
      <c r="K650" s="44"/>
      <c r="L650" s="44"/>
      <c r="M650" s="45" t="s">
        <v>2077</v>
      </c>
    </row>
    <row r="651" ht="30" customHeight="1" spans="1:13">
      <c r="A651" s="41">
        <f>IF(C651="","",SUBTOTAL(103,$C$2:C651))</f>
        <v>642</v>
      </c>
      <c r="B651" s="41">
        <v>6117</v>
      </c>
      <c r="C651" s="41">
        <v>3519</v>
      </c>
      <c r="D651" s="41" t="s">
        <v>19</v>
      </c>
      <c r="E651" s="41" t="s">
        <v>20</v>
      </c>
      <c r="F651" s="41" t="s">
        <v>2074</v>
      </c>
      <c r="G651" s="41" t="s">
        <v>2078</v>
      </c>
      <c r="H651" s="41" t="s">
        <v>2079</v>
      </c>
      <c r="I651" s="43">
        <v>12</v>
      </c>
      <c r="J651" s="44" t="str">
        <f>VLOOKUP(G651,[1]硬件清单!$F:$F,1,0)</f>
        <v>FDO21020ZH5</v>
      </c>
      <c r="K651" s="44"/>
      <c r="L651" s="44"/>
      <c r="M651" s="45" t="s">
        <v>2080</v>
      </c>
    </row>
    <row r="652" ht="30" customHeight="1" spans="1:13">
      <c r="A652" s="41">
        <f>IF(C652="","",SUBTOTAL(103,$C$2:C652))</f>
        <v>643</v>
      </c>
      <c r="B652" s="41">
        <v>6147</v>
      </c>
      <c r="C652" s="41">
        <v>5923</v>
      </c>
      <c r="D652" s="41" t="s">
        <v>45</v>
      </c>
      <c r="E652" s="41" t="s">
        <v>246</v>
      </c>
      <c r="F652" s="41" t="s">
        <v>1707</v>
      </c>
      <c r="G652" s="41" t="s">
        <v>2081</v>
      </c>
      <c r="H652" s="41" t="s">
        <v>2082</v>
      </c>
      <c r="I652" s="43">
        <v>12</v>
      </c>
      <c r="J652" s="44" t="str">
        <f>VLOOKUP(G652,[1]硬件清单!$F:$F,1,0)</f>
        <v>SGH230A202、SGH230A203、SGH230A204</v>
      </c>
      <c r="K652" s="44"/>
      <c r="L652" s="44"/>
      <c r="M652" s="45" t="s">
        <v>2083</v>
      </c>
    </row>
    <row r="653" ht="30" customHeight="1" spans="1:13">
      <c r="A653" s="41">
        <f>IF(C653="","",SUBTOTAL(103,$C$2:C653))</f>
        <v>644</v>
      </c>
      <c r="B653" s="41">
        <v>6148</v>
      </c>
      <c r="C653" s="41">
        <v>5922</v>
      </c>
      <c r="D653" s="41" t="s">
        <v>45</v>
      </c>
      <c r="E653" s="41" t="s">
        <v>246</v>
      </c>
      <c r="F653" s="41" t="s">
        <v>1707</v>
      </c>
      <c r="G653" s="41" t="s">
        <v>2084</v>
      </c>
      <c r="H653" s="41" t="s">
        <v>2085</v>
      </c>
      <c r="I653" s="43">
        <v>12</v>
      </c>
      <c r="J653" s="44" t="str">
        <f>VLOOKUP(G653,[1]硬件清单!$F:$F,1,0)</f>
        <v>SGH230A1E0、SGH230A1E1、SGH230A1E2</v>
      </c>
      <c r="K653" s="44"/>
      <c r="L653" s="44"/>
      <c r="M653" s="45" t="s">
        <v>2086</v>
      </c>
    </row>
    <row r="654" ht="30" customHeight="1" spans="1:13">
      <c r="A654" s="41">
        <f>IF(C654="","",SUBTOTAL(103,$C$2:C654))</f>
        <v>645</v>
      </c>
      <c r="B654" s="41">
        <v>6151</v>
      </c>
      <c r="C654" s="41">
        <v>14172</v>
      </c>
      <c r="D654" s="41" t="s">
        <v>19</v>
      </c>
      <c r="E654" s="41" t="s">
        <v>84</v>
      </c>
      <c r="F654" s="41" t="s">
        <v>2087</v>
      </c>
      <c r="G654" s="41" t="s">
        <v>2088</v>
      </c>
      <c r="H654" s="41" t="s">
        <v>2089</v>
      </c>
      <c r="I654" s="43">
        <v>12</v>
      </c>
      <c r="J654" s="44" t="str">
        <f>VLOOKUP(G654,[1]硬件清单!$F:$F,1,0)</f>
        <v>chs412271s
bld201011s
bld201010s</v>
      </c>
      <c r="K654" s="44"/>
      <c r="L654" s="44"/>
      <c r="M654" s="45" t="s">
        <v>2090</v>
      </c>
    </row>
    <row r="655" ht="30" customHeight="1" spans="1:13">
      <c r="A655" s="41">
        <f>IF(C655="","",SUBTOTAL(103,$C$2:C655))</f>
        <v>646</v>
      </c>
      <c r="B655" s="41">
        <v>6152</v>
      </c>
      <c r="C655" s="41">
        <v>3471</v>
      </c>
      <c r="D655" s="41" t="s">
        <v>19</v>
      </c>
      <c r="E655" s="41" t="s">
        <v>84</v>
      </c>
      <c r="F655" s="41" t="s">
        <v>2091</v>
      </c>
      <c r="G655" s="41" t="s">
        <v>2092</v>
      </c>
      <c r="H655" s="41" t="s">
        <v>2093</v>
      </c>
      <c r="I655" s="43">
        <v>12</v>
      </c>
      <c r="J655" s="44" t="str">
        <f>VLOOKUP(G655,[1]硬件清单!$F:$F,1,0)</f>
        <v>bld019636s;bld019667s（扩容主机SN:chs412271s）</v>
      </c>
      <c r="K655" s="44"/>
      <c r="L655" s="44"/>
      <c r="M655" s="45" t="s">
        <v>2090</v>
      </c>
    </row>
    <row r="656" ht="30" customHeight="1" spans="1:13">
      <c r="A656" s="41">
        <f>IF(C656="","",SUBTOTAL(103,$C$2:C656))</f>
        <v>647</v>
      </c>
      <c r="B656" s="41">
        <v>6153</v>
      </c>
      <c r="C656" s="41">
        <v>3469</v>
      </c>
      <c r="D656" s="41" t="s">
        <v>19</v>
      </c>
      <c r="E656" s="41" t="s">
        <v>84</v>
      </c>
      <c r="F656" s="41" t="s">
        <v>2094</v>
      </c>
      <c r="G656" s="41" t="s">
        <v>2095</v>
      </c>
      <c r="H656" s="41" t="s">
        <v>2096</v>
      </c>
      <c r="I656" s="43">
        <v>12</v>
      </c>
      <c r="J656" s="44" t="str">
        <f>VLOOKUP(G656,[1]硬件清单!$F:$F,1,0)</f>
        <v>chs413559s</v>
      </c>
      <c r="K656" s="44"/>
      <c r="L656" s="44"/>
      <c r="M656" s="45" t="s">
        <v>2097</v>
      </c>
    </row>
    <row r="657" ht="30" customHeight="1" spans="1:13">
      <c r="A657" s="41">
        <f>IF(C657="","",SUBTOTAL(103,$C$2:C657))</f>
        <v>648</v>
      </c>
      <c r="B657" s="41">
        <v>6154</v>
      </c>
      <c r="C657" s="41">
        <v>7995</v>
      </c>
      <c r="D657" s="41" t="s">
        <v>887</v>
      </c>
      <c r="E657" s="41" t="s">
        <v>888</v>
      </c>
      <c r="F657" s="41" t="s">
        <v>2098</v>
      </c>
      <c r="G657" s="41" t="s">
        <v>2099</v>
      </c>
      <c r="H657" s="41" t="s">
        <v>2100</v>
      </c>
      <c r="I657" s="43">
        <v>12</v>
      </c>
      <c r="J657" s="44" t="str">
        <f>VLOOKUP(G657,[1]硬件清单!$F:$F,1,0)</f>
        <v>Slot3:bld019605s（扩容主机SN:chs413559s）</v>
      </c>
      <c r="K657" s="44"/>
      <c r="L657" s="44"/>
      <c r="M657" s="45" t="s">
        <v>2097</v>
      </c>
    </row>
    <row r="658" ht="30" customHeight="1" spans="1:13">
      <c r="A658" s="41">
        <f>IF(C658="","",SUBTOTAL(103,$C$2:C658))</f>
        <v>649</v>
      </c>
      <c r="B658" s="41">
        <v>6155</v>
      </c>
      <c r="C658" s="41">
        <v>7996</v>
      </c>
      <c r="D658" s="41" t="s">
        <v>887</v>
      </c>
      <c r="E658" s="41" t="s">
        <v>888</v>
      </c>
      <c r="F658" s="41" t="s">
        <v>2098</v>
      </c>
      <c r="G658" s="41" t="s">
        <v>2101</v>
      </c>
      <c r="H658" s="41" t="s">
        <v>2102</v>
      </c>
      <c r="I658" s="43">
        <v>12</v>
      </c>
      <c r="J658" s="44" t="str">
        <f>VLOOKUP(G658,[1]硬件清单!$F:$F,1,0)</f>
        <v>Slot4:bld019582s（扩容主机SN:chs413559s）</v>
      </c>
      <c r="K658" s="44"/>
      <c r="L658" s="44"/>
      <c r="M658" s="45" t="s">
        <v>2097</v>
      </c>
    </row>
    <row r="659" ht="30" customHeight="1" spans="1:13">
      <c r="A659" s="41">
        <f>IF(C659="","",SUBTOTAL(103,$C$2:C659))</f>
        <v>650</v>
      </c>
      <c r="B659" s="41">
        <v>6156</v>
      </c>
      <c r="C659" s="41">
        <v>11187</v>
      </c>
      <c r="D659" s="41" t="s">
        <v>19</v>
      </c>
      <c r="E659" s="41" t="s">
        <v>84</v>
      </c>
      <c r="F659" s="41" t="s">
        <v>2103</v>
      </c>
      <c r="G659" s="41" t="s">
        <v>2104</v>
      </c>
      <c r="H659" s="41" t="s">
        <v>2105</v>
      </c>
      <c r="I659" s="43">
        <v>12</v>
      </c>
      <c r="J659" s="44" t="str">
        <f>VLOOKUP(G659,[1]硬件清单!$F:$F,1,0)</f>
        <v>bld019567s（扩容主机SN:chs413559s）</v>
      </c>
      <c r="K659" s="44"/>
      <c r="L659" s="44"/>
      <c r="M659" s="45" t="s">
        <v>2097</v>
      </c>
    </row>
    <row r="660" ht="30" customHeight="1" spans="1:13">
      <c r="A660" s="41">
        <f>IF(C660="","",SUBTOTAL(103,$C$2:C660))</f>
        <v>651</v>
      </c>
      <c r="B660" s="41">
        <v>6157</v>
      </c>
      <c r="C660" s="41">
        <v>11218</v>
      </c>
      <c r="D660" s="41" t="s">
        <v>65</v>
      </c>
      <c r="E660" s="41" t="s">
        <v>96</v>
      </c>
      <c r="F660" s="41" t="s">
        <v>2106</v>
      </c>
      <c r="G660" s="41" t="s">
        <v>2107</v>
      </c>
      <c r="H660" s="41" t="s">
        <v>2108</v>
      </c>
      <c r="I660" s="43">
        <v>12</v>
      </c>
      <c r="J660" s="44" t="str">
        <f>VLOOKUP(G660,[1]硬件清单!$F:$F,1,0)</f>
        <v>Slot2:bld019556s（扩容主机SN:chs413559s）</v>
      </c>
      <c r="K660" s="43"/>
      <c r="L660" s="44"/>
      <c r="M660" s="45" t="s">
        <v>2097</v>
      </c>
    </row>
    <row r="661" ht="30" customHeight="1" spans="1:13">
      <c r="A661" s="41">
        <f>IF(C661="","",SUBTOTAL(103,$C$2:C661))</f>
        <v>652</v>
      </c>
      <c r="B661" s="41">
        <v>6158</v>
      </c>
      <c r="C661" s="41">
        <v>3468</v>
      </c>
      <c r="D661" s="41" t="s">
        <v>19</v>
      </c>
      <c r="E661" s="41" t="s">
        <v>84</v>
      </c>
      <c r="F661" s="41" t="s">
        <v>2094</v>
      </c>
      <c r="G661" s="41" t="s">
        <v>2109</v>
      </c>
      <c r="H661" s="41" t="s">
        <v>2110</v>
      </c>
      <c r="I661" s="43">
        <v>12</v>
      </c>
      <c r="J661" s="44" t="str">
        <f>VLOOKUP(G661,[1]硬件清单!$F:$F,1,0)</f>
        <v>chs413567s; Slot1:bld019648s; Slot2:bld019566s</v>
      </c>
      <c r="K661" s="44"/>
      <c r="L661" s="44"/>
      <c r="M661" s="45" t="s">
        <v>2111</v>
      </c>
    </row>
    <row r="662" ht="30" customHeight="1" spans="1:13">
      <c r="A662" s="41">
        <f>IF(C662="","",SUBTOTAL(103,$C$2:C662))</f>
        <v>653</v>
      </c>
      <c r="B662" s="41">
        <v>6159</v>
      </c>
      <c r="C662" s="41">
        <v>7993</v>
      </c>
      <c r="D662" s="41" t="s">
        <v>887</v>
      </c>
      <c r="E662" s="41" t="s">
        <v>888</v>
      </c>
      <c r="F662" s="41" t="s">
        <v>2098</v>
      </c>
      <c r="G662" s="41" t="s">
        <v>2112</v>
      </c>
      <c r="H662" s="41" t="s">
        <v>2113</v>
      </c>
      <c r="I662" s="43">
        <v>12</v>
      </c>
      <c r="J662" s="44" t="str">
        <f>VLOOKUP(G662,[1]硬件清单!$F:$F,1,0)</f>
        <v>Slot3:bld019586s（扩容主机SN:chs413567s）</v>
      </c>
      <c r="K662" s="44"/>
      <c r="L662" s="44"/>
      <c r="M662" s="45" t="s">
        <v>2114</v>
      </c>
    </row>
    <row r="663" ht="30" customHeight="1" spans="1:13">
      <c r="A663" s="41">
        <f>IF(C663="","",SUBTOTAL(103,$C$2:C663))</f>
        <v>654</v>
      </c>
      <c r="B663" s="41">
        <v>6160</v>
      </c>
      <c r="C663" s="41">
        <v>7994</v>
      </c>
      <c r="D663" s="41" t="s">
        <v>887</v>
      </c>
      <c r="E663" s="41" t="s">
        <v>888</v>
      </c>
      <c r="F663" s="41" t="s">
        <v>2098</v>
      </c>
      <c r="G663" s="41" t="s">
        <v>2115</v>
      </c>
      <c r="H663" s="41" t="s">
        <v>2116</v>
      </c>
      <c r="I663" s="43">
        <v>12</v>
      </c>
      <c r="J663" s="44" t="str">
        <f>VLOOKUP(G663,[1]硬件清单!$F:$F,1,0)</f>
        <v>Slot4:bld019569s（扩容主机SN:chs413567s）</v>
      </c>
      <c r="K663" s="44"/>
      <c r="L663" s="44"/>
      <c r="M663" s="45" t="s">
        <v>2114</v>
      </c>
    </row>
    <row r="664" ht="30" customHeight="1" spans="1:13">
      <c r="A664" s="41">
        <f>IF(C664="","",SUBTOTAL(103,$C$2:C664))</f>
        <v>655</v>
      </c>
      <c r="B664" s="41">
        <v>6163</v>
      </c>
      <c r="C664" s="41">
        <v>3466</v>
      </c>
      <c r="D664" s="41" t="s">
        <v>65</v>
      </c>
      <c r="E664" s="41" t="s">
        <v>96</v>
      </c>
      <c r="F664" s="41" t="s">
        <v>2091</v>
      </c>
      <c r="G664" s="41" t="s">
        <v>2117</v>
      </c>
      <c r="H664" s="41" t="s">
        <v>2118</v>
      </c>
      <c r="I664" s="43">
        <v>12</v>
      </c>
      <c r="J664" s="44" t="str">
        <f>VLOOKUP(G664,[1]硬件清单!$F:$F,1,0)</f>
        <v>bld019562s（扩容主机SN:chs403139s）</v>
      </c>
      <c r="K664" s="43"/>
      <c r="L664" s="44"/>
      <c r="M664" s="45" t="s">
        <v>2119</v>
      </c>
    </row>
    <row r="665" ht="30" customHeight="1" spans="1:13">
      <c r="A665" s="41">
        <f>IF(C665="","",SUBTOTAL(103,$C$2:C665))</f>
        <v>656</v>
      </c>
      <c r="B665" s="41">
        <v>6164</v>
      </c>
      <c r="C665" s="41">
        <v>7692</v>
      </c>
      <c r="D665" s="41" t="s">
        <v>65</v>
      </c>
      <c r="E665" s="41" t="s">
        <v>96</v>
      </c>
      <c r="F665" s="41" t="s">
        <v>2120</v>
      </c>
      <c r="G665" s="41" t="s">
        <v>2121</v>
      </c>
      <c r="H665" s="41" t="s">
        <v>2122</v>
      </c>
      <c r="I665" s="43">
        <v>12</v>
      </c>
      <c r="J665" s="44" t="str">
        <f>VLOOKUP(G665,[1]硬件清单!$F:$F,1,0)</f>
        <v>chs403139s;bld009922s</v>
      </c>
      <c r="K665" s="43"/>
      <c r="L665" s="44"/>
      <c r="M665" s="45" t="s">
        <v>2123</v>
      </c>
    </row>
    <row r="666" ht="30" customHeight="1" spans="1:13">
      <c r="A666" s="41">
        <f>IF(C666="","",SUBTOTAL(103,$C$2:C666))</f>
        <v>657</v>
      </c>
      <c r="B666" s="41">
        <v>6165</v>
      </c>
      <c r="C666" s="41">
        <v>7691</v>
      </c>
      <c r="D666" s="41" t="s">
        <v>65</v>
      </c>
      <c r="E666" s="41" t="s">
        <v>96</v>
      </c>
      <c r="F666" s="41" t="s">
        <v>2124</v>
      </c>
      <c r="G666" s="41" t="s">
        <v>2125</v>
      </c>
      <c r="H666" s="41" t="s">
        <v>2126</v>
      </c>
      <c r="I666" s="43">
        <v>12</v>
      </c>
      <c r="J666" s="44" t="str">
        <f>VLOOKUP(G666,[1]硬件清单!$F:$F,1,0)</f>
        <v>bld019609s（扩容主机SN:chs413749s）</v>
      </c>
      <c r="K666" s="43"/>
      <c r="L666" s="44"/>
      <c r="M666" s="45" t="s">
        <v>2127</v>
      </c>
    </row>
    <row r="667" ht="30" customHeight="1" spans="1:13">
      <c r="A667" s="41">
        <f>IF(C667="","",SUBTOTAL(103,$C$2:C667))</f>
        <v>658</v>
      </c>
      <c r="B667" s="41">
        <v>6166</v>
      </c>
      <c r="C667" s="41">
        <v>7690</v>
      </c>
      <c r="D667" s="41" t="s">
        <v>65</v>
      </c>
      <c r="E667" s="41" t="s">
        <v>96</v>
      </c>
      <c r="F667" s="41" t="s">
        <v>2124</v>
      </c>
      <c r="G667" s="41" t="s">
        <v>2128</v>
      </c>
      <c r="H667" s="41" t="s">
        <v>2129</v>
      </c>
      <c r="I667" s="43">
        <v>12</v>
      </c>
      <c r="J667" s="44" t="str">
        <f>VLOOKUP(G667,[1]硬件清单!$F:$F,1,0)</f>
        <v>bld019626s（扩容主机SN:chs413749s）</v>
      </c>
      <c r="K667" s="43"/>
      <c r="L667" s="44"/>
      <c r="M667" s="45" t="s">
        <v>2127</v>
      </c>
    </row>
    <row r="668" ht="30" customHeight="1" spans="1:13">
      <c r="A668" s="41">
        <f>IF(C668="","",SUBTOTAL(103,$C$2:C668))</f>
        <v>659</v>
      </c>
      <c r="B668" s="41">
        <v>6167</v>
      </c>
      <c r="C668" s="41">
        <v>3462</v>
      </c>
      <c r="D668" s="41" t="s">
        <v>65</v>
      </c>
      <c r="E668" s="41" t="s">
        <v>96</v>
      </c>
      <c r="F668" s="41" t="s">
        <v>2094</v>
      </c>
      <c r="G668" s="41" t="s">
        <v>2130</v>
      </c>
      <c r="H668" s="41" t="s">
        <v>2131</v>
      </c>
      <c r="I668" s="43">
        <v>12</v>
      </c>
      <c r="J668" s="44" t="str">
        <f>VLOOKUP(G668,[1]硬件清单!$F:$F,1,0)</f>
        <v>chs413749s;019602s;019599s;019626s;019609s</v>
      </c>
      <c r="K668" s="43"/>
      <c r="L668" s="44"/>
      <c r="M668" s="45" t="s">
        <v>2127</v>
      </c>
    </row>
    <row r="669" ht="30" customHeight="1" spans="1:13">
      <c r="A669" s="41">
        <f>IF(C669="","",SUBTOTAL(103,$C$2:C669))</f>
        <v>660</v>
      </c>
      <c r="B669" s="41">
        <v>6168</v>
      </c>
      <c r="C669" s="41">
        <v>7689</v>
      </c>
      <c r="D669" s="41" t="s">
        <v>65</v>
      </c>
      <c r="E669" s="41" t="s">
        <v>96</v>
      </c>
      <c r="F669" s="41" t="s">
        <v>2124</v>
      </c>
      <c r="G669" s="41" t="s">
        <v>2132</v>
      </c>
      <c r="H669" s="41" t="s">
        <v>2133</v>
      </c>
      <c r="I669" s="43">
        <v>12</v>
      </c>
      <c r="J669" s="44" t="str">
        <f>VLOOKUP(G669,[1]硬件清单!$F:$F,1,0)</f>
        <v>bld019470s（扩容主机SN:chs413560s）</v>
      </c>
      <c r="K669" s="43"/>
      <c r="L669" s="44"/>
      <c r="M669" s="45" t="s">
        <v>2134</v>
      </c>
    </row>
    <row r="670" ht="30" customHeight="1" spans="1:13">
      <c r="A670" s="41">
        <f>IF(C670="","",SUBTOTAL(103,$C$2:C670))</f>
        <v>661</v>
      </c>
      <c r="B670" s="41">
        <v>6169</v>
      </c>
      <c r="C670" s="41">
        <v>7688</v>
      </c>
      <c r="D670" s="41" t="s">
        <v>65</v>
      </c>
      <c r="E670" s="41" t="s">
        <v>96</v>
      </c>
      <c r="F670" s="41" t="s">
        <v>2124</v>
      </c>
      <c r="G670" s="41" t="s">
        <v>2135</v>
      </c>
      <c r="H670" s="41" t="s">
        <v>2136</v>
      </c>
      <c r="I670" s="43">
        <v>12</v>
      </c>
      <c r="J670" s="44" t="str">
        <f>VLOOKUP(G670,[1]硬件清单!$F:$F,1,0)</f>
        <v>bld019639s（扩容主机SN:chs413560s）</v>
      </c>
      <c r="K670" s="43"/>
      <c r="L670" s="44"/>
      <c r="M670" s="45" t="s">
        <v>2134</v>
      </c>
    </row>
    <row r="671" ht="30" customHeight="1" spans="1:13">
      <c r="A671" s="41">
        <f>IF(C671="","",SUBTOTAL(103,$C$2:C671))</f>
        <v>662</v>
      </c>
      <c r="B671" s="41">
        <v>6170</v>
      </c>
      <c r="C671" s="41">
        <v>3461</v>
      </c>
      <c r="D671" s="41" t="s">
        <v>65</v>
      </c>
      <c r="E671" s="41" t="s">
        <v>96</v>
      </c>
      <c r="F671" s="41" t="s">
        <v>2094</v>
      </c>
      <c r="G671" s="41" t="s">
        <v>2137</v>
      </c>
      <c r="H671" s="41" t="s">
        <v>2138</v>
      </c>
      <c r="I671" s="43">
        <v>12</v>
      </c>
      <c r="J671" s="44" t="str">
        <f>VLOOKUP(G671,[1]硬件清单!$F:$F,1,0)</f>
        <v>chs413560s;019561s;019553s;019639s;019470s</v>
      </c>
      <c r="K671" s="43"/>
      <c r="L671" s="44"/>
      <c r="M671" s="45" t="s">
        <v>2134</v>
      </c>
    </row>
    <row r="672" ht="30" customHeight="1" spans="1:13">
      <c r="A672" s="41">
        <f>IF(C672="","",SUBTOTAL(103,$C$2:C672))</f>
        <v>663</v>
      </c>
      <c r="B672" s="41">
        <v>6174</v>
      </c>
      <c r="C672" s="41">
        <v>7144</v>
      </c>
      <c r="D672" s="41" t="s">
        <v>45</v>
      </c>
      <c r="E672" s="41" t="s">
        <v>46</v>
      </c>
      <c r="F672" s="41" t="s">
        <v>2139</v>
      </c>
      <c r="G672" s="41" t="s">
        <v>2140</v>
      </c>
      <c r="H672" s="41" t="s">
        <v>2141</v>
      </c>
      <c r="I672" s="43">
        <v>12</v>
      </c>
      <c r="J672" s="44" t="str">
        <f>VLOOKUP(G672,[1]硬件清单!$F:$F,1,0)</f>
        <v>140225008</v>
      </c>
      <c r="K672" s="43"/>
      <c r="L672" s="44"/>
      <c r="M672" s="45" t="s">
        <v>2142</v>
      </c>
    </row>
    <row r="673" ht="30" customHeight="1" spans="1:13">
      <c r="A673" s="41">
        <f>IF(C673="","",SUBTOTAL(103,$C$2:C673))</f>
        <v>664</v>
      </c>
      <c r="B673" s="41">
        <v>6175</v>
      </c>
      <c r="C673" s="41">
        <v>7249</v>
      </c>
      <c r="D673" s="41" t="s">
        <v>45</v>
      </c>
      <c r="E673" s="41" t="s">
        <v>46</v>
      </c>
      <c r="F673" s="41" t="s">
        <v>2143</v>
      </c>
      <c r="G673" s="41" t="s">
        <v>2144</v>
      </c>
      <c r="H673" s="41" t="s">
        <v>2145</v>
      </c>
      <c r="I673" s="43">
        <v>12</v>
      </c>
      <c r="J673" s="44" t="str">
        <f>VLOOKUP(G673,[1]硬件清单!$F:$F,1,0)</f>
        <v>140225004</v>
      </c>
      <c r="K673" s="43"/>
      <c r="L673" s="44"/>
      <c r="M673" s="45" t="s">
        <v>2146</v>
      </c>
    </row>
    <row r="674" ht="30" customHeight="1" spans="1:13">
      <c r="A674" s="41">
        <f>IF(C674="","",SUBTOTAL(103,$C$2:C674))</f>
        <v>665</v>
      </c>
      <c r="B674" s="41">
        <v>6191</v>
      </c>
      <c r="C674" s="41">
        <v>3453</v>
      </c>
      <c r="D674" s="41" t="s">
        <v>19</v>
      </c>
      <c r="E674" s="41" t="s">
        <v>60</v>
      </c>
      <c r="F674" s="41" t="s">
        <v>2094</v>
      </c>
      <c r="G674" s="41" t="s">
        <v>2147</v>
      </c>
      <c r="H674" s="41" t="s">
        <v>2148</v>
      </c>
      <c r="I674" s="43">
        <v>12</v>
      </c>
      <c r="J674" s="44" t="str">
        <f>VLOOKUP(G674,[1]硬件清单!$F:$F,1,0)</f>
        <v>chs413776s</v>
      </c>
      <c r="K674" s="44"/>
      <c r="L674" s="44" t="s">
        <v>17</v>
      </c>
      <c r="M674" s="45" t="s">
        <v>2149</v>
      </c>
    </row>
    <row r="675" ht="30" customHeight="1" spans="1:13">
      <c r="A675" s="41">
        <f>IF(C675="","",SUBTOTAL(103,$C$2:C675))</f>
        <v>666</v>
      </c>
      <c r="B675" s="41">
        <v>6193</v>
      </c>
      <c r="C675" s="41">
        <v>3429</v>
      </c>
      <c r="D675" s="41" t="s">
        <v>65</v>
      </c>
      <c r="E675" s="41" t="s">
        <v>66</v>
      </c>
      <c r="F675" s="41" t="s">
        <v>2150</v>
      </c>
      <c r="G675" s="41" t="s">
        <v>2151</v>
      </c>
      <c r="H675" s="41" t="s">
        <v>2152</v>
      </c>
      <c r="I675" s="43">
        <v>12</v>
      </c>
      <c r="J675" s="44" t="str">
        <f>VLOOKUP(G675,[1]硬件清单!$F:$F,1,0)</f>
        <v>210235G7G610H9000024</v>
      </c>
      <c r="K675" s="43"/>
      <c r="L675" s="44"/>
      <c r="M675" s="45" t="s">
        <v>2153</v>
      </c>
    </row>
    <row r="676" ht="30" customHeight="1" spans="1:13">
      <c r="A676" s="41">
        <f>IF(C676="","",SUBTOTAL(103,$C$2:C676))</f>
        <v>667</v>
      </c>
      <c r="B676" s="41">
        <v>6194</v>
      </c>
      <c r="C676" s="41">
        <v>3454</v>
      </c>
      <c r="D676" s="41" t="s">
        <v>19</v>
      </c>
      <c r="E676" s="41" t="s">
        <v>60</v>
      </c>
      <c r="F676" s="41" t="s">
        <v>2094</v>
      </c>
      <c r="G676" s="41" t="s">
        <v>2154</v>
      </c>
      <c r="H676" s="41" t="s">
        <v>2155</v>
      </c>
      <c r="I676" s="43">
        <v>12</v>
      </c>
      <c r="J676" s="44" t="str">
        <f>VLOOKUP(G676,[1]硬件清单!$F:$F,1,0)</f>
        <v>chs413558s</v>
      </c>
      <c r="K676" s="44"/>
      <c r="L676" s="44" t="s">
        <v>17</v>
      </c>
      <c r="M676" s="45" t="s">
        <v>2156</v>
      </c>
    </row>
    <row r="677" ht="30" customHeight="1" spans="1:13">
      <c r="A677" s="41">
        <f>IF(C677="","",SUBTOTAL(103,$C$2:C677))</f>
        <v>668</v>
      </c>
      <c r="B677" s="41">
        <v>12570</v>
      </c>
      <c r="C677" s="41">
        <v>5913</v>
      </c>
      <c r="D677" s="41" t="s">
        <v>65</v>
      </c>
      <c r="E677" s="41" t="s">
        <v>66</v>
      </c>
      <c r="F677" s="41" t="s">
        <v>2157</v>
      </c>
      <c r="G677" s="41" t="s">
        <v>2158</v>
      </c>
      <c r="H677" s="41" t="s">
        <v>2159</v>
      </c>
      <c r="I677" s="43">
        <v>12</v>
      </c>
      <c r="J677" s="44" t="str">
        <f>VLOOKUP(G677,[1]硬件清单!$F:$F,1,0)</f>
        <v>5061004973</v>
      </c>
      <c r="K677" s="42"/>
      <c r="L677" s="44"/>
      <c r="M677" s="45" t="s">
        <v>2160</v>
      </c>
    </row>
    <row r="678" ht="30" customHeight="1" spans="1:13">
      <c r="A678" s="41">
        <f>IF(C678="","",SUBTOTAL(103,$C$2:C678))</f>
        <v>669</v>
      </c>
      <c r="B678" s="41">
        <v>12571</v>
      </c>
      <c r="C678" s="41">
        <v>5914</v>
      </c>
      <c r="D678" s="41" t="s">
        <v>65</v>
      </c>
      <c r="E678" s="41" t="s">
        <v>66</v>
      </c>
      <c r="F678" s="41" t="s">
        <v>2157</v>
      </c>
      <c r="G678" s="41" t="s">
        <v>2161</v>
      </c>
      <c r="H678" s="41" t="s">
        <v>2162</v>
      </c>
      <c r="I678" s="43">
        <v>12</v>
      </c>
      <c r="J678" s="44" t="str">
        <f>VLOOKUP(G678,[1]硬件清单!$F:$F,1,0)</f>
        <v>5061004974</v>
      </c>
      <c r="K678" s="42"/>
      <c r="L678" s="44"/>
      <c r="M678" s="45" t="s">
        <v>2163</v>
      </c>
    </row>
    <row r="679" ht="30" customHeight="1" spans="1:13">
      <c r="A679" s="41">
        <f>IF(C679="","",SUBTOTAL(103,$C$2:C679))</f>
        <v>670</v>
      </c>
      <c r="B679" s="41">
        <v>12572</v>
      </c>
      <c r="C679" s="41">
        <v>5908</v>
      </c>
      <c r="D679" s="41" t="s">
        <v>65</v>
      </c>
      <c r="E679" s="41" t="s">
        <v>901</v>
      </c>
      <c r="F679" s="41" t="s">
        <v>2164</v>
      </c>
      <c r="G679" s="41" t="s">
        <v>2165</v>
      </c>
      <c r="H679" s="41" t="s">
        <v>2166</v>
      </c>
      <c r="I679" s="43">
        <v>12</v>
      </c>
      <c r="J679" s="44" t="str">
        <f>VLOOKUP(G679,[1]硬件清单!$F:$F,1,0)</f>
        <v>SS0S197001</v>
      </c>
      <c r="K679" s="42"/>
      <c r="L679" s="44"/>
      <c r="M679" s="45" t="s">
        <v>2167</v>
      </c>
    </row>
    <row r="680" ht="30" customHeight="1" spans="1:13">
      <c r="A680" s="41">
        <f>IF(C680="","",SUBTOTAL(103,$C$2:C680))</f>
        <v>671</v>
      </c>
      <c r="B680" s="41">
        <v>12573</v>
      </c>
      <c r="C680" s="41">
        <v>5907</v>
      </c>
      <c r="D680" s="41" t="s">
        <v>65</v>
      </c>
      <c r="E680" s="41" t="s">
        <v>901</v>
      </c>
      <c r="F680" s="41" t="s">
        <v>2168</v>
      </c>
      <c r="G680" s="41" t="s">
        <v>2169</v>
      </c>
      <c r="H680" s="41" t="s">
        <v>2170</v>
      </c>
      <c r="I680" s="43">
        <v>12</v>
      </c>
      <c r="J680" s="44" t="str">
        <f>VLOOKUP(G680,[1]硬件清单!$F:$F,1,0)</f>
        <v>909174200022 E5GGQJ09003354</v>
      </c>
      <c r="K680" s="42"/>
      <c r="L680" s="44"/>
      <c r="M680" s="45" t="s">
        <v>2171</v>
      </c>
    </row>
    <row r="681" ht="30" customHeight="1" spans="1:13">
      <c r="A681" s="41">
        <f>IF(C681="","",SUBTOTAL(103,$C$2:C681))</f>
        <v>672</v>
      </c>
      <c r="B681" s="41">
        <v>12574</v>
      </c>
      <c r="C681" s="41">
        <v>5906</v>
      </c>
      <c r="D681" s="41" t="s">
        <v>65</v>
      </c>
      <c r="E681" s="41" t="s">
        <v>901</v>
      </c>
      <c r="F681" s="41" t="s">
        <v>2172</v>
      </c>
      <c r="G681" s="41" t="s">
        <v>2173</v>
      </c>
      <c r="H681" s="41" t="s">
        <v>2174</v>
      </c>
      <c r="I681" s="43">
        <v>12</v>
      </c>
      <c r="J681" s="44" t="str">
        <f>VLOOKUP(G681,[1]硬件清单!$F:$F,1,0)</f>
        <v>904174200040 E5GGQJ09003351</v>
      </c>
      <c r="K681" s="42"/>
      <c r="L681" s="44"/>
      <c r="M681" s="45" t="s">
        <v>2175</v>
      </c>
    </row>
    <row r="682" ht="30" customHeight="1" spans="1:13">
      <c r="A682" s="41">
        <f>IF(C682="","",SUBTOTAL(103,$C$2:C682))</f>
        <v>673</v>
      </c>
      <c r="B682" s="41">
        <v>12575</v>
      </c>
      <c r="C682" s="41">
        <v>5905</v>
      </c>
      <c r="D682" s="41" t="s">
        <v>65</v>
      </c>
      <c r="E682" s="41" t="s">
        <v>901</v>
      </c>
      <c r="F682" s="41" t="s">
        <v>2176</v>
      </c>
      <c r="G682" s="41" t="s">
        <v>2177</v>
      </c>
      <c r="H682" s="41" t="s">
        <v>2178</v>
      </c>
      <c r="I682" s="43">
        <v>12</v>
      </c>
      <c r="J682" s="44" t="str">
        <f>VLOOKUP(G682,[1]硬件清单!$F:$F,1,0)</f>
        <v>943174200132 E5GGQJ09003363</v>
      </c>
      <c r="K682" s="42"/>
      <c r="L682" s="44"/>
      <c r="M682" s="45" t="s">
        <v>2179</v>
      </c>
    </row>
    <row r="683" ht="30" customHeight="1" spans="1:13">
      <c r="A683" s="41">
        <f>IF(C683="","",SUBTOTAL(103,$C$2:C683))</f>
        <v>674</v>
      </c>
      <c r="B683" s="41">
        <v>12576</v>
      </c>
      <c r="C683" s="41">
        <v>5904</v>
      </c>
      <c r="D683" s="41" t="s">
        <v>65</v>
      </c>
      <c r="E683" s="41" t="s">
        <v>901</v>
      </c>
      <c r="F683" s="41" t="s">
        <v>2180</v>
      </c>
      <c r="G683" s="41" t="s">
        <v>2181</v>
      </c>
      <c r="H683" s="41" t="s">
        <v>2182</v>
      </c>
      <c r="I683" s="43">
        <v>12</v>
      </c>
      <c r="J683" s="44" t="str">
        <f>VLOOKUP(G683,[1]硬件清单!$F:$F,1,0)</f>
        <v>943174200131 E5GGQJ09003362</v>
      </c>
      <c r="K683" s="42"/>
      <c r="L683" s="44"/>
      <c r="M683" s="45" t="s">
        <v>2183</v>
      </c>
    </row>
    <row r="684" ht="30" customHeight="1" spans="1:13">
      <c r="A684" s="41">
        <f>IF(C684="","",SUBTOTAL(103,$C$2:C684))</f>
        <v>675</v>
      </c>
      <c r="B684" s="41">
        <v>12577</v>
      </c>
      <c r="C684" s="41">
        <v>5903</v>
      </c>
      <c r="D684" s="41" t="s">
        <v>65</v>
      </c>
      <c r="E684" s="41" t="s">
        <v>901</v>
      </c>
      <c r="F684" s="41" t="s">
        <v>2184</v>
      </c>
      <c r="G684" s="41" t="s">
        <v>2185</v>
      </c>
      <c r="H684" s="41" t="s">
        <v>2186</v>
      </c>
      <c r="I684" s="43">
        <v>12</v>
      </c>
      <c r="J684" s="44" t="str">
        <f>VLOOKUP(G684,[1]硬件清单!$F:$F,1,0)</f>
        <v>901174200012 E5GGQJ09003360</v>
      </c>
      <c r="K684" s="42"/>
      <c r="L684" s="44"/>
      <c r="M684" s="45" t="s">
        <v>2187</v>
      </c>
    </row>
    <row r="685" ht="30" customHeight="1" spans="1:13">
      <c r="A685" s="41">
        <f>IF(C685="","",SUBTOTAL(103,$C$2:C685))</f>
        <v>676</v>
      </c>
      <c r="B685" s="41">
        <v>12578</v>
      </c>
      <c r="C685" s="41">
        <v>5909</v>
      </c>
      <c r="D685" s="41" t="s">
        <v>65</v>
      </c>
      <c r="E685" s="41" t="s">
        <v>66</v>
      </c>
      <c r="F685" s="41" t="s">
        <v>2188</v>
      </c>
      <c r="G685" s="41" t="s">
        <v>2189</v>
      </c>
      <c r="H685" s="41" t="s">
        <v>2190</v>
      </c>
      <c r="I685" s="43">
        <v>12</v>
      </c>
      <c r="J685" s="44" t="str">
        <f>VLOOKUP(G685,[1]硬件清单!$F:$F,1,0)</f>
        <v>5061004975</v>
      </c>
      <c r="K685" s="42"/>
      <c r="L685" s="44"/>
      <c r="M685" s="45" t="s">
        <v>2191</v>
      </c>
    </row>
    <row r="686" ht="30" customHeight="1" spans="1:13">
      <c r="A686" s="41">
        <f>IF(C686="","",SUBTOTAL(103,$C$2:C686))</f>
        <v>677</v>
      </c>
      <c r="B686" s="41">
        <v>12579</v>
      </c>
      <c r="C686" s="41">
        <v>5915</v>
      </c>
      <c r="D686" s="41" t="s">
        <v>65</v>
      </c>
      <c r="E686" s="41" t="s">
        <v>66</v>
      </c>
      <c r="F686" s="41" t="s">
        <v>2157</v>
      </c>
      <c r="G686" s="41" t="s">
        <v>2192</v>
      </c>
      <c r="H686" s="41" t="s">
        <v>2193</v>
      </c>
      <c r="I686" s="43">
        <v>12</v>
      </c>
      <c r="J686" s="44" t="str">
        <f>VLOOKUP(G686,[1]硬件清单!$F:$F,1,0)</f>
        <v>5061004982</v>
      </c>
      <c r="K686" s="42"/>
      <c r="L686" s="44"/>
      <c r="M686" s="45" t="s">
        <v>2194</v>
      </c>
    </row>
    <row r="687" ht="30" customHeight="1" spans="1:13">
      <c r="A687" s="41">
        <f>IF(C687="","",SUBTOTAL(103,$C$2:C687))</f>
        <v>678</v>
      </c>
      <c r="B687" s="41">
        <v>12580</v>
      </c>
      <c r="C687" s="41">
        <v>5916</v>
      </c>
      <c r="D687" s="41" t="s">
        <v>65</v>
      </c>
      <c r="E687" s="41" t="s">
        <v>66</v>
      </c>
      <c r="F687" s="41" t="s">
        <v>2157</v>
      </c>
      <c r="G687" s="41" t="s">
        <v>2195</v>
      </c>
      <c r="H687" s="41" t="s">
        <v>2196</v>
      </c>
      <c r="I687" s="43">
        <v>12</v>
      </c>
      <c r="J687" s="44" t="str">
        <f>VLOOKUP(G687,[1]硬件清单!$F:$F,1,0)</f>
        <v>5061004972</v>
      </c>
      <c r="K687" s="42"/>
      <c r="L687" s="44"/>
      <c r="M687" s="45" t="s">
        <v>2197</v>
      </c>
    </row>
    <row r="688" ht="30" customHeight="1" spans="1:13">
      <c r="A688" s="41">
        <f>IF(C688="","",SUBTOTAL(103,$C$2:C688))</f>
        <v>679</v>
      </c>
      <c r="B688" s="41">
        <v>11547</v>
      </c>
      <c r="C688" s="41">
        <v>483</v>
      </c>
      <c r="D688" s="41" t="s">
        <v>19</v>
      </c>
      <c r="E688" s="41" t="s">
        <v>20</v>
      </c>
      <c r="F688" s="41" t="s">
        <v>2198</v>
      </c>
      <c r="G688" s="41" t="s">
        <v>2199</v>
      </c>
      <c r="H688" s="41" t="s">
        <v>2200</v>
      </c>
      <c r="I688" s="43">
        <v>12</v>
      </c>
      <c r="J688" s="44" t="str">
        <f>VLOOKUP(G688,[1]硬件清单!$F:$F,1,0)</f>
        <v>210235A1GFX201000012</v>
      </c>
      <c r="K688" s="44"/>
      <c r="L688" s="44" t="s">
        <v>17</v>
      </c>
      <c r="M688" s="45" t="s">
        <v>2201</v>
      </c>
    </row>
    <row r="689" ht="30" customHeight="1" spans="1:13">
      <c r="A689" s="41">
        <f>IF(C689="","",SUBTOTAL(103,$C$2:C689))</f>
        <v>680</v>
      </c>
      <c r="B689" s="41">
        <v>11551</v>
      </c>
      <c r="C689" s="41">
        <v>491</v>
      </c>
      <c r="D689" s="41" t="s">
        <v>19</v>
      </c>
      <c r="E689" s="41" t="s">
        <v>20</v>
      </c>
      <c r="F689" s="41" t="s">
        <v>2198</v>
      </c>
      <c r="G689" s="41" t="s">
        <v>2202</v>
      </c>
      <c r="H689" s="41" t="s">
        <v>2203</v>
      </c>
      <c r="I689" s="43">
        <v>12</v>
      </c>
      <c r="J689" s="44" t="str">
        <f>VLOOKUP(G689,[1]硬件清单!$F:$F,1,0)</f>
        <v>210235A1GFX20100001B</v>
      </c>
      <c r="K689" s="44"/>
      <c r="L689" s="44" t="s">
        <v>17</v>
      </c>
      <c r="M689" s="45" t="s">
        <v>2204</v>
      </c>
    </row>
    <row r="690" ht="30" customHeight="1" spans="1:13">
      <c r="A690" s="41">
        <f>IF(C690="","",SUBTOTAL(103,$C$2:C690))</f>
        <v>681</v>
      </c>
      <c r="B690" s="41">
        <v>11610</v>
      </c>
      <c r="C690" s="41">
        <v>557</v>
      </c>
      <c r="D690" s="41" t="s">
        <v>65</v>
      </c>
      <c r="E690" s="41" t="s">
        <v>66</v>
      </c>
      <c r="F690" s="41" t="s">
        <v>2205</v>
      </c>
      <c r="G690" s="41" t="s">
        <v>2206</v>
      </c>
      <c r="H690" s="41" t="s">
        <v>2207</v>
      </c>
      <c r="I690" s="43">
        <v>12</v>
      </c>
      <c r="J690" s="44" t="str">
        <f>VLOOKUP(G690,[1]硬件清单!$F:$F,1,0)</f>
        <v>102020031562</v>
      </c>
      <c r="K690" s="44"/>
      <c r="L690" s="44"/>
      <c r="M690" s="45" t="s">
        <v>2208</v>
      </c>
    </row>
    <row r="691" ht="30" customHeight="1" spans="1:13">
      <c r="A691" s="41">
        <f>IF(C691="","",SUBTOTAL(103,$C$2:C691))</f>
        <v>682</v>
      </c>
      <c r="B691" s="41">
        <v>6451</v>
      </c>
      <c r="C691" s="41">
        <v>13024</v>
      </c>
      <c r="D691" s="41" t="s">
        <v>887</v>
      </c>
      <c r="E691" s="41" t="s">
        <v>1429</v>
      </c>
      <c r="F691" s="41" t="s">
        <v>2209</v>
      </c>
      <c r="G691" s="41" t="s">
        <v>2210</v>
      </c>
      <c r="H691" s="41" t="s">
        <v>2211</v>
      </c>
      <c r="I691" s="43">
        <v>12</v>
      </c>
      <c r="J691" s="44" t="str">
        <f>VLOOKUP(G691,[1]硬件清单!$F:$F,1,0)</f>
        <v>210235A3SVH199000017</v>
      </c>
      <c r="K691" s="43"/>
      <c r="L691" s="44"/>
      <c r="M691" s="45" t="s">
        <v>2212</v>
      </c>
    </row>
    <row r="692" ht="30" customHeight="1" spans="1:13">
      <c r="A692" s="41">
        <f>IF(C692="","",SUBTOTAL(103,$C$2:C692))</f>
        <v>683</v>
      </c>
      <c r="B692" s="41">
        <v>6607</v>
      </c>
      <c r="C692" s="41">
        <v>13802</v>
      </c>
      <c r="D692" s="41" t="s">
        <v>161</v>
      </c>
      <c r="E692" s="41" t="s">
        <v>162</v>
      </c>
      <c r="F692" s="41" t="s">
        <v>2213</v>
      </c>
      <c r="G692" s="41" t="s">
        <v>2214</v>
      </c>
      <c r="H692" s="41" t="s">
        <v>2215</v>
      </c>
      <c r="I692" s="43">
        <v>12</v>
      </c>
      <c r="J692" s="44" t="str">
        <f>VLOOKUP(G692,[1]硬件清单!$F:$F,1,0)</f>
        <v>见附件</v>
      </c>
      <c r="K692" s="43"/>
      <c r="L692" s="44"/>
      <c r="M692" s="45" t="s">
        <v>2216</v>
      </c>
    </row>
    <row r="693" ht="30" customHeight="1" spans="1:13">
      <c r="A693" s="41">
        <f>IF(C693="","",SUBTOTAL(103,$C$2:C693))</f>
        <v>684</v>
      </c>
      <c r="B693" s="41">
        <v>6608</v>
      </c>
      <c r="C693" s="41">
        <v>13801</v>
      </c>
      <c r="D693" s="41" t="s">
        <v>161</v>
      </c>
      <c r="E693" s="41" t="s">
        <v>162</v>
      </c>
      <c r="F693" s="41" t="s">
        <v>2213</v>
      </c>
      <c r="G693" s="41" t="s">
        <v>2214</v>
      </c>
      <c r="H693" s="41" t="s">
        <v>2217</v>
      </c>
      <c r="I693" s="43">
        <v>12</v>
      </c>
      <c r="J693" s="44" t="str">
        <f>VLOOKUP(G693,[1]硬件清单!$F:$F,1,0)</f>
        <v>见附件</v>
      </c>
      <c r="K693" s="43"/>
      <c r="L693" s="44"/>
      <c r="M693" s="45" t="s">
        <v>2218</v>
      </c>
    </row>
    <row r="694" ht="30" customHeight="1" spans="1:13">
      <c r="A694" s="41">
        <f>IF(C694="","",SUBTOTAL(103,$C$2:C694))</f>
        <v>685</v>
      </c>
      <c r="B694" s="41">
        <v>9042</v>
      </c>
      <c r="C694" s="46">
        <v>784</v>
      </c>
      <c r="D694" s="46" t="s">
        <v>45</v>
      </c>
      <c r="E694" s="46" t="s">
        <v>1298</v>
      </c>
      <c r="F694" s="46" t="s">
        <v>2219</v>
      </c>
      <c r="G694" s="41" t="s">
        <v>2220</v>
      </c>
      <c r="H694" s="41" t="s">
        <v>2221</v>
      </c>
      <c r="I694" s="43">
        <v>12</v>
      </c>
      <c r="J694" s="44" t="str">
        <f>VLOOKUP(G694,[1]硬件清单!$F:$F,1,0)</f>
        <v>2818WS2</v>
      </c>
      <c r="K694" s="43"/>
      <c r="L694" s="44"/>
      <c r="M694" s="45" t="s">
        <v>2222</v>
      </c>
    </row>
    <row r="695" ht="30" customHeight="1" spans="1:13">
      <c r="A695" s="41">
        <f>IF(C695="","",SUBTOTAL(103,$C$2:C695))</f>
        <v>686</v>
      </c>
      <c r="B695" s="41">
        <v>9047</v>
      </c>
      <c r="C695" s="46">
        <v>779</v>
      </c>
      <c r="D695" s="46" t="s">
        <v>45</v>
      </c>
      <c r="E695" s="46" t="s">
        <v>1298</v>
      </c>
      <c r="F695" s="46" t="s">
        <v>2219</v>
      </c>
      <c r="G695" s="41" t="s">
        <v>2223</v>
      </c>
      <c r="H695" s="41" t="s">
        <v>2224</v>
      </c>
      <c r="I695" s="43">
        <v>12</v>
      </c>
      <c r="J695" s="44" t="str">
        <f>VLOOKUP(G695,[1]硬件清单!$F:$F,1,0)</f>
        <v>CSXCWS2</v>
      </c>
      <c r="K695" s="43"/>
      <c r="L695" s="44"/>
      <c r="M695" s="45" t="s">
        <v>2225</v>
      </c>
    </row>
    <row r="696" ht="30" customHeight="1" spans="1:13">
      <c r="A696" s="41">
        <f>IF(C696="","",SUBTOTAL(103,$C$2:C696))</f>
        <v>687</v>
      </c>
      <c r="B696" s="41">
        <v>9053</v>
      </c>
      <c r="C696" s="46">
        <v>773</v>
      </c>
      <c r="D696" s="46" t="s">
        <v>45</v>
      </c>
      <c r="E696" s="46" t="s">
        <v>1298</v>
      </c>
      <c r="F696" s="46" t="s">
        <v>2219</v>
      </c>
      <c r="G696" s="41" t="s">
        <v>2226</v>
      </c>
      <c r="H696" s="41" t="s">
        <v>2227</v>
      </c>
      <c r="I696" s="43">
        <v>12</v>
      </c>
      <c r="J696" s="44" t="str">
        <f>VLOOKUP(G696,[1]硬件清单!$F:$F,1,0)</f>
        <v>26H9WS2</v>
      </c>
      <c r="K696" s="43"/>
      <c r="L696" s="44"/>
      <c r="M696" s="45" t="s">
        <v>2228</v>
      </c>
    </row>
    <row r="697" ht="30" customHeight="1" spans="1:13">
      <c r="A697" s="41">
        <f>IF(C697="","",SUBTOTAL(103,$C$2:C697))</f>
        <v>688</v>
      </c>
      <c r="B697" s="41">
        <v>9132</v>
      </c>
      <c r="C697" s="41">
        <v>8470</v>
      </c>
      <c r="D697" s="41" t="s">
        <v>45</v>
      </c>
      <c r="E697" s="41" t="s">
        <v>1298</v>
      </c>
      <c r="F697" s="41" t="s">
        <v>2229</v>
      </c>
      <c r="G697" s="51" t="s">
        <v>2230</v>
      </c>
      <c r="H697" s="41" t="s">
        <v>2231</v>
      </c>
      <c r="I697" s="43">
        <v>12</v>
      </c>
      <c r="J697" s="44" t="str">
        <f>VLOOKUP(G697,[1]硬件清单!$F:$F,1,0)</f>
        <v>210235A3U6H195000019</v>
      </c>
      <c r="K697" s="43"/>
      <c r="L697" s="44"/>
      <c r="M697" s="45" t="s">
        <v>2232</v>
      </c>
    </row>
    <row r="698" ht="30" customHeight="1" spans="1:13">
      <c r="A698" s="41">
        <f>IF(C698="","",SUBTOTAL(103,$C$2:C698))</f>
        <v>689</v>
      </c>
      <c r="B698" s="41">
        <v>9140</v>
      </c>
      <c r="C698" s="41">
        <v>8467</v>
      </c>
      <c r="D698" s="41" t="s">
        <v>45</v>
      </c>
      <c r="E698" s="41" t="s">
        <v>1298</v>
      </c>
      <c r="F698" s="41" t="s">
        <v>2229</v>
      </c>
      <c r="G698" s="51" t="s">
        <v>2233</v>
      </c>
      <c r="H698" s="41" t="s">
        <v>2234</v>
      </c>
      <c r="I698" s="43">
        <v>12</v>
      </c>
      <c r="J698" s="44" t="str">
        <f>VLOOKUP(G698,[1]硬件清单!$F:$F,1,0)</f>
        <v>210235A3U6H195000020</v>
      </c>
      <c r="K698" s="43"/>
      <c r="L698" s="44"/>
      <c r="M698" s="45" t="s">
        <v>2235</v>
      </c>
    </row>
    <row r="699" ht="30" customHeight="1" spans="1:13">
      <c r="A699" s="41">
        <f>IF(C699="","",SUBTOTAL(103,$C$2:C699))</f>
        <v>690</v>
      </c>
      <c r="B699" s="41">
        <v>9146</v>
      </c>
      <c r="C699" s="41">
        <v>8481</v>
      </c>
      <c r="D699" s="41" t="s">
        <v>45</v>
      </c>
      <c r="E699" s="41" t="s">
        <v>1298</v>
      </c>
      <c r="F699" s="41" t="s">
        <v>2229</v>
      </c>
      <c r="G699" s="51" t="s">
        <v>2236</v>
      </c>
      <c r="H699" s="41" t="s">
        <v>2237</v>
      </c>
      <c r="I699" s="43">
        <v>12</v>
      </c>
      <c r="J699" s="44" t="str">
        <f>VLOOKUP(G699,[1]硬件清单!$F:$F,1,0)</f>
        <v>210235A3U6H195000024</v>
      </c>
      <c r="K699" s="43"/>
      <c r="L699" s="44"/>
      <c r="M699" s="45" t="s">
        <v>2238</v>
      </c>
    </row>
    <row r="700" ht="30" customHeight="1" spans="1:13">
      <c r="A700" s="41">
        <f>IF(C700="","",SUBTOTAL(103,$C$2:C700))</f>
        <v>691</v>
      </c>
      <c r="B700" s="41">
        <v>9155</v>
      </c>
      <c r="C700" s="41">
        <v>8521</v>
      </c>
      <c r="D700" s="41" t="s">
        <v>45</v>
      </c>
      <c r="E700" s="41" t="s">
        <v>1298</v>
      </c>
      <c r="F700" s="41" t="s">
        <v>2229</v>
      </c>
      <c r="G700" s="51" t="s">
        <v>2239</v>
      </c>
      <c r="H700" s="41" t="s">
        <v>2240</v>
      </c>
      <c r="I700" s="43">
        <v>12</v>
      </c>
      <c r="J700" s="44" t="str">
        <f>VLOOKUP(G700,[1]硬件清单!$F:$F,1,0)</f>
        <v>210235A3U6H195000013</v>
      </c>
      <c r="K700" s="43"/>
      <c r="L700" s="44"/>
      <c r="M700" s="45" t="s">
        <v>2241</v>
      </c>
    </row>
    <row r="701" ht="30" customHeight="1" spans="1:13">
      <c r="A701" s="41">
        <f>IF(C701="","",SUBTOTAL(103,$C$2:C701))</f>
        <v>692</v>
      </c>
      <c r="B701" s="41">
        <v>9163</v>
      </c>
      <c r="C701" s="41">
        <v>8518</v>
      </c>
      <c r="D701" s="41" t="s">
        <v>45</v>
      </c>
      <c r="E701" s="41" t="s">
        <v>1298</v>
      </c>
      <c r="F701" s="41" t="s">
        <v>2229</v>
      </c>
      <c r="G701" s="51" t="s">
        <v>2242</v>
      </c>
      <c r="H701" s="41" t="s">
        <v>2243</v>
      </c>
      <c r="I701" s="43">
        <v>12</v>
      </c>
      <c r="J701" s="44" t="str">
        <f>VLOOKUP(G701,[1]硬件清单!$F:$F,1,0)</f>
        <v>210235A3U6H195000008</v>
      </c>
      <c r="K701" s="43"/>
      <c r="L701" s="44"/>
      <c r="M701" s="45" t="s">
        <v>2244</v>
      </c>
    </row>
    <row r="702" ht="30" customHeight="1" spans="1:13">
      <c r="A702" s="41">
        <f>IF(C702="","",SUBTOTAL(103,$C$2:C702))</f>
        <v>693</v>
      </c>
      <c r="B702" s="41">
        <v>9167</v>
      </c>
      <c r="C702" s="41">
        <v>8530</v>
      </c>
      <c r="D702" s="41" t="s">
        <v>45</v>
      </c>
      <c r="E702" s="41" t="s">
        <v>1298</v>
      </c>
      <c r="F702" s="41" t="s">
        <v>2229</v>
      </c>
      <c r="G702" s="51" t="s">
        <v>2245</v>
      </c>
      <c r="H702" s="41" t="s">
        <v>2246</v>
      </c>
      <c r="I702" s="43">
        <v>12</v>
      </c>
      <c r="J702" s="44" t="str">
        <f>VLOOKUP(G702,[1]硬件清单!$F:$F,1,0)</f>
        <v>210235A3U6H195000005</v>
      </c>
      <c r="K702" s="43"/>
      <c r="L702" s="44"/>
      <c r="M702" s="45" t="s">
        <v>2247</v>
      </c>
    </row>
    <row r="703" ht="30" customHeight="1" spans="1:13">
      <c r="A703" s="41">
        <f>IF(C703="","",SUBTOTAL(103,$C$2:C703))</f>
        <v>694</v>
      </c>
      <c r="B703" s="41">
        <v>9179</v>
      </c>
      <c r="C703" s="46">
        <v>12925</v>
      </c>
      <c r="D703" s="46" t="s">
        <v>45</v>
      </c>
      <c r="E703" s="46" t="s">
        <v>1298</v>
      </c>
      <c r="F703" s="46" t="s">
        <v>2248</v>
      </c>
      <c r="G703" s="51" t="s">
        <v>2249</v>
      </c>
      <c r="H703" s="41" t="s">
        <v>2250</v>
      </c>
      <c r="I703" s="43">
        <v>12</v>
      </c>
      <c r="J703" s="44" t="str">
        <f>VLOOKUP(G703,[1]硬件清单!$F:$F,1,0)</f>
        <v>210200A00QH193002317</v>
      </c>
      <c r="K703" s="43"/>
      <c r="L703" s="44"/>
      <c r="M703" s="45" t="s">
        <v>2251</v>
      </c>
    </row>
    <row r="704" ht="30" customHeight="1" spans="1:13">
      <c r="A704" s="41">
        <f>IF(C704="","",SUBTOTAL(103,$C$2:C704))</f>
        <v>695</v>
      </c>
      <c r="B704" s="41">
        <v>9184</v>
      </c>
      <c r="C704" s="46">
        <v>12905</v>
      </c>
      <c r="D704" s="46" t="s">
        <v>45</v>
      </c>
      <c r="E704" s="46" t="s">
        <v>1298</v>
      </c>
      <c r="F704" s="46" t="s">
        <v>2248</v>
      </c>
      <c r="G704" s="51" t="s">
        <v>2252</v>
      </c>
      <c r="H704" s="41" t="s">
        <v>2253</v>
      </c>
      <c r="I704" s="43">
        <v>12</v>
      </c>
      <c r="J704" s="44" t="str">
        <f>VLOOKUP(G704,[1]硬件清单!$F:$F,1,0)</f>
        <v>210200A00QH193002313</v>
      </c>
      <c r="K704" s="43"/>
      <c r="L704" s="44"/>
      <c r="M704" s="45" t="s">
        <v>2254</v>
      </c>
    </row>
    <row r="705" ht="30" customHeight="1" spans="1:13">
      <c r="A705" s="41">
        <f>IF(C705="","",SUBTOTAL(103,$C$2:C705))</f>
        <v>696</v>
      </c>
      <c r="B705" s="41">
        <v>9387</v>
      </c>
      <c r="C705" s="41">
        <v>12422</v>
      </c>
      <c r="D705" s="41" t="s">
        <v>45</v>
      </c>
      <c r="E705" s="41" t="s">
        <v>1298</v>
      </c>
      <c r="F705" s="41" t="s">
        <v>2255</v>
      </c>
      <c r="G705" s="51" t="s">
        <v>2256</v>
      </c>
      <c r="H705" s="41" t="s">
        <v>2257</v>
      </c>
      <c r="I705" s="43">
        <v>12</v>
      </c>
      <c r="J705" s="44" t="str">
        <f>VLOOKUP(G705,[1]硬件清单!$F:$F,1,0)</f>
        <v>210235A3SUH19A000371</v>
      </c>
      <c r="K705" s="44"/>
      <c r="L705" s="44"/>
      <c r="M705" s="45" t="s">
        <v>2258</v>
      </c>
    </row>
    <row r="706" ht="30" customHeight="1" spans="1:13">
      <c r="A706" s="41">
        <f>IF(C706="","",SUBTOTAL(103,$C$2:C706))</f>
        <v>697</v>
      </c>
      <c r="B706" s="41">
        <v>9388</v>
      </c>
      <c r="C706" s="41">
        <v>12431</v>
      </c>
      <c r="D706" s="41" t="s">
        <v>45</v>
      </c>
      <c r="E706" s="41" t="s">
        <v>1298</v>
      </c>
      <c r="F706" s="41" t="s">
        <v>2255</v>
      </c>
      <c r="G706" s="51" t="s">
        <v>2259</v>
      </c>
      <c r="H706" s="41" t="s">
        <v>2260</v>
      </c>
      <c r="I706" s="43">
        <v>12</v>
      </c>
      <c r="J706" s="44" t="str">
        <f>VLOOKUP(G706,[1]硬件清单!$F:$F,1,0)</f>
        <v>210235A3SUH19A000137</v>
      </c>
      <c r="K706" s="44"/>
      <c r="L706" s="44"/>
      <c r="M706" s="45" t="s">
        <v>2261</v>
      </c>
    </row>
    <row r="707" ht="30" customHeight="1" spans="1:13">
      <c r="A707" s="41">
        <f>IF(C707="","",SUBTOTAL(103,$C$2:C707))</f>
        <v>698</v>
      </c>
      <c r="B707" s="41">
        <v>9389</v>
      </c>
      <c r="C707" s="41">
        <v>12432</v>
      </c>
      <c r="D707" s="41" t="s">
        <v>45</v>
      </c>
      <c r="E707" s="41" t="s">
        <v>1298</v>
      </c>
      <c r="F707" s="41" t="s">
        <v>2255</v>
      </c>
      <c r="G707" s="51" t="s">
        <v>2262</v>
      </c>
      <c r="H707" s="41" t="s">
        <v>2263</v>
      </c>
      <c r="I707" s="43">
        <v>12</v>
      </c>
      <c r="J707" s="44" t="str">
        <f>VLOOKUP(G707,[1]硬件清单!$F:$F,1,0)</f>
        <v>210235A3SUH19A000077</v>
      </c>
      <c r="K707" s="44"/>
      <c r="L707" s="44"/>
      <c r="M707" s="45" t="s">
        <v>2264</v>
      </c>
    </row>
    <row r="708" ht="30" customHeight="1" spans="1:13">
      <c r="A708" s="41">
        <f>IF(C708="","",SUBTOTAL(103,$C$2:C708))</f>
        <v>699</v>
      </c>
      <c r="B708" s="41">
        <v>9390</v>
      </c>
      <c r="C708" s="41">
        <v>12433</v>
      </c>
      <c r="D708" s="41" t="s">
        <v>45</v>
      </c>
      <c r="E708" s="41" t="s">
        <v>1298</v>
      </c>
      <c r="F708" s="41" t="s">
        <v>2255</v>
      </c>
      <c r="G708" s="51" t="s">
        <v>2265</v>
      </c>
      <c r="H708" s="41" t="s">
        <v>2266</v>
      </c>
      <c r="I708" s="43">
        <v>12</v>
      </c>
      <c r="J708" s="44" t="str">
        <f>VLOOKUP(G708,[1]硬件清单!$F:$F,1,0)</f>
        <v>210235A3SUH19A000138</v>
      </c>
      <c r="K708" s="44"/>
      <c r="L708" s="44"/>
      <c r="M708" s="45" t="s">
        <v>2267</v>
      </c>
    </row>
    <row r="709" ht="30" customHeight="1" spans="1:13">
      <c r="A709" s="41">
        <f>IF(C709="","",SUBTOTAL(103,$C$2:C709))</f>
        <v>700</v>
      </c>
      <c r="B709" s="41">
        <v>9391</v>
      </c>
      <c r="C709" s="41">
        <v>12405</v>
      </c>
      <c r="D709" s="41" t="s">
        <v>45</v>
      </c>
      <c r="E709" s="41" t="s">
        <v>1298</v>
      </c>
      <c r="F709" s="41" t="s">
        <v>2255</v>
      </c>
      <c r="G709" s="51" t="s">
        <v>2268</v>
      </c>
      <c r="H709" s="41" t="s">
        <v>2269</v>
      </c>
      <c r="I709" s="43">
        <v>12</v>
      </c>
      <c r="J709" s="44" t="str">
        <f>VLOOKUP(G709,[1]硬件清单!$F:$F,1,0)</f>
        <v>210235A3SUH19A000334</v>
      </c>
      <c r="K709" s="44"/>
      <c r="L709" s="44"/>
      <c r="M709" s="45" t="s">
        <v>2270</v>
      </c>
    </row>
    <row r="710" ht="30" customHeight="1" spans="1:13">
      <c r="A710" s="41">
        <f>IF(C710="","",SUBTOTAL(103,$C$2:C710))</f>
        <v>701</v>
      </c>
      <c r="B710" s="41">
        <v>9392</v>
      </c>
      <c r="C710" s="41">
        <v>12406</v>
      </c>
      <c r="D710" s="41" t="s">
        <v>45</v>
      </c>
      <c r="E710" s="41" t="s">
        <v>1298</v>
      </c>
      <c r="F710" s="41" t="s">
        <v>2255</v>
      </c>
      <c r="G710" s="51" t="s">
        <v>2271</v>
      </c>
      <c r="H710" s="41" t="s">
        <v>2272</v>
      </c>
      <c r="I710" s="43">
        <v>12</v>
      </c>
      <c r="J710" s="44" t="str">
        <f>VLOOKUP(G710,[1]硬件清单!$F:$F,1,0)</f>
        <v>210235A3SUH19A000140</v>
      </c>
      <c r="K710" s="44"/>
      <c r="L710" s="44"/>
      <c r="M710" s="45" t="s">
        <v>2273</v>
      </c>
    </row>
    <row r="711" ht="30" customHeight="1" spans="1:13">
      <c r="A711" s="41">
        <f>IF(C711="","",SUBTOTAL(103,$C$2:C711))</f>
        <v>702</v>
      </c>
      <c r="B711" s="41">
        <v>9393</v>
      </c>
      <c r="C711" s="41">
        <v>12407</v>
      </c>
      <c r="D711" s="41" t="s">
        <v>45</v>
      </c>
      <c r="E711" s="41" t="s">
        <v>1298</v>
      </c>
      <c r="F711" s="41" t="s">
        <v>2255</v>
      </c>
      <c r="G711" s="51" t="s">
        <v>2274</v>
      </c>
      <c r="H711" s="41" t="s">
        <v>2275</v>
      </c>
      <c r="I711" s="43">
        <v>12</v>
      </c>
      <c r="J711" s="44" t="str">
        <f>VLOOKUP(G711,[1]硬件清单!$F:$F,1,0)</f>
        <v>210235A3SUH19A000230</v>
      </c>
      <c r="K711" s="44"/>
      <c r="L711" s="44"/>
      <c r="M711" s="45" t="s">
        <v>2276</v>
      </c>
    </row>
    <row r="712" ht="30" customHeight="1" spans="1:13">
      <c r="A712" s="41">
        <f>IF(C712="","",SUBTOTAL(103,$C$2:C712))</f>
        <v>703</v>
      </c>
      <c r="B712" s="41">
        <v>9394</v>
      </c>
      <c r="C712" s="41">
        <v>12408</v>
      </c>
      <c r="D712" s="41" t="s">
        <v>45</v>
      </c>
      <c r="E712" s="41" t="s">
        <v>1298</v>
      </c>
      <c r="F712" s="41" t="s">
        <v>2255</v>
      </c>
      <c r="G712" s="51" t="s">
        <v>2277</v>
      </c>
      <c r="H712" s="41" t="s">
        <v>2278</v>
      </c>
      <c r="I712" s="43">
        <v>12</v>
      </c>
      <c r="J712" s="44" t="str">
        <f>VLOOKUP(G712,[1]硬件清单!$F:$F,1,0)</f>
        <v>210235A3SUH19A000127</v>
      </c>
      <c r="K712" s="44"/>
      <c r="L712" s="44"/>
      <c r="M712" s="45" t="s">
        <v>2279</v>
      </c>
    </row>
    <row r="713" ht="30" customHeight="1" spans="1:13">
      <c r="A713" s="41">
        <f>IF(C713="","",SUBTOTAL(103,$C$2:C713))</f>
        <v>704</v>
      </c>
      <c r="B713" s="41">
        <v>9395</v>
      </c>
      <c r="C713" s="41">
        <v>12423</v>
      </c>
      <c r="D713" s="41" t="s">
        <v>45</v>
      </c>
      <c r="E713" s="41" t="s">
        <v>1298</v>
      </c>
      <c r="F713" s="41" t="s">
        <v>2255</v>
      </c>
      <c r="G713" s="51" t="s">
        <v>2280</v>
      </c>
      <c r="H713" s="41" t="s">
        <v>2281</v>
      </c>
      <c r="I713" s="43">
        <v>12</v>
      </c>
      <c r="J713" s="44" t="str">
        <f>VLOOKUP(G713,[1]硬件清单!$F:$F,1,0)</f>
        <v>210235A3SUH19A000110</v>
      </c>
      <c r="K713" s="44"/>
      <c r="L713" s="44"/>
      <c r="M713" s="45" t="s">
        <v>2282</v>
      </c>
    </row>
    <row r="714" ht="30" customHeight="1" spans="1:13">
      <c r="A714" s="41">
        <f>IF(C714="","",SUBTOTAL(103,$C$2:C714))</f>
        <v>705</v>
      </c>
      <c r="B714" s="41">
        <v>9396</v>
      </c>
      <c r="C714" s="41">
        <v>12424</v>
      </c>
      <c r="D714" s="41" t="s">
        <v>45</v>
      </c>
      <c r="E714" s="41" t="s">
        <v>1298</v>
      </c>
      <c r="F714" s="41" t="s">
        <v>2255</v>
      </c>
      <c r="G714" s="51" t="s">
        <v>2283</v>
      </c>
      <c r="H714" s="41" t="s">
        <v>2284</v>
      </c>
      <c r="I714" s="43">
        <v>12</v>
      </c>
      <c r="J714" s="44" t="str">
        <f>VLOOKUP(G714,[1]硬件清单!$F:$F,1,0)</f>
        <v>210235A3SUH19A000100</v>
      </c>
      <c r="K714" s="44"/>
      <c r="L714" s="44"/>
      <c r="M714" s="45" t="s">
        <v>2285</v>
      </c>
    </row>
    <row r="715" ht="30" customHeight="1" spans="1:13">
      <c r="A715" s="41">
        <f>IF(C715="","",SUBTOTAL(103,$C$2:C715))</f>
        <v>706</v>
      </c>
      <c r="B715" s="41">
        <v>9397</v>
      </c>
      <c r="C715" s="41">
        <v>12425</v>
      </c>
      <c r="D715" s="41" t="s">
        <v>45</v>
      </c>
      <c r="E715" s="41" t="s">
        <v>1298</v>
      </c>
      <c r="F715" s="41" t="s">
        <v>2255</v>
      </c>
      <c r="G715" s="51" t="s">
        <v>2286</v>
      </c>
      <c r="H715" s="41" t="s">
        <v>2287</v>
      </c>
      <c r="I715" s="43">
        <v>12</v>
      </c>
      <c r="J715" s="44" t="str">
        <f>VLOOKUP(G715,[1]硬件清单!$F:$F,1,0)</f>
        <v>210235A3SUH19A000126</v>
      </c>
      <c r="K715" s="44"/>
      <c r="L715" s="44"/>
      <c r="M715" s="45" t="s">
        <v>2288</v>
      </c>
    </row>
    <row r="716" ht="30" customHeight="1" spans="1:13">
      <c r="A716" s="41">
        <f>IF(C716="","",SUBTOTAL(103,$C$2:C716))</f>
        <v>707</v>
      </c>
      <c r="B716" s="41">
        <v>9398</v>
      </c>
      <c r="C716" s="41">
        <v>12426</v>
      </c>
      <c r="D716" s="41" t="s">
        <v>45</v>
      </c>
      <c r="E716" s="41" t="s">
        <v>1298</v>
      </c>
      <c r="F716" s="41" t="s">
        <v>2255</v>
      </c>
      <c r="G716" s="51" t="s">
        <v>2289</v>
      </c>
      <c r="H716" s="41" t="s">
        <v>2290</v>
      </c>
      <c r="I716" s="43">
        <v>12</v>
      </c>
      <c r="J716" s="44" t="str">
        <f>VLOOKUP(G716,[1]硬件清单!$F:$F,1,0)</f>
        <v>210235A3SUH19A000121</v>
      </c>
      <c r="K716" s="44"/>
      <c r="L716" s="44"/>
      <c r="M716" s="45" t="s">
        <v>2291</v>
      </c>
    </row>
    <row r="717" ht="30" customHeight="1" spans="1:13">
      <c r="A717" s="41">
        <f>IF(C717="","",SUBTOTAL(103,$C$2:C717))</f>
        <v>708</v>
      </c>
      <c r="B717" s="41">
        <v>9399</v>
      </c>
      <c r="C717" s="41">
        <v>12427</v>
      </c>
      <c r="D717" s="41" t="s">
        <v>45</v>
      </c>
      <c r="E717" s="41" t="s">
        <v>1298</v>
      </c>
      <c r="F717" s="41" t="s">
        <v>2255</v>
      </c>
      <c r="G717" s="51" t="s">
        <v>2292</v>
      </c>
      <c r="H717" s="41" t="s">
        <v>2293</v>
      </c>
      <c r="I717" s="43">
        <v>12</v>
      </c>
      <c r="J717" s="44" t="str">
        <f>VLOOKUP(G717,[1]硬件清单!$F:$F,1,0)</f>
        <v>210235A3SUH19A000278</v>
      </c>
      <c r="K717" s="44"/>
      <c r="L717" s="44"/>
      <c r="M717" s="45" t="s">
        <v>2294</v>
      </c>
    </row>
    <row r="718" ht="30" customHeight="1" spans="1:13">
      <c r="A718" s="41">
        <f>IF(C718="","",SUBTOTAL(103,$C$2:C718))</f>
        <v>709</v>
      </c>
      <c r="B718" s="41">
        <v>9400</v>
      </c>
      <c r="C718" s="41">
        <v>12428</v>
      </c>
      <c r="D718" s="41" t="s">
        <v>45</v>
      </c>
      <c r="E718" s="41" t="s">
        <v>1298</v>
      </c>
      <c r="F718" s="41" t="s">
        <v>2255</v>
      </c>
      <c r="G718" s="51" t="s">
        <v>2295</v>
      </c>
      <c r="H718" s="41" t="s">
        <v>2296</v>
      </c>
      <c r="I718" s="43">
        <v>12</v>
      </c>
      <c r="J718" s="44" t="str">
        <f>VLOOKUP(G718,[1]硬件清单!$F:$F,1,0)</f>
        <v>210235A3SUH19A000205</v>
      </c>
      <c r="K718" s="44"/>
      <c r="L718" s="44"/>
      <c r="M718" s="45" t="s">
        <v>2297</v>
      </c>
    </row>
    <row r="719" ht="30" customHeight="1" spans="1:13">
      <c r="A719" s="41">
        <f>IF(C719="","",SUBTOTAL(103,$C$2:C719))</f>
        <v>710</v>
      </c>
      <c r="B719" s="41">
        <v>9401</v>
      </c>
      <c r="C719" s="41">
        <v>12429</v>
      </c>
      <c r="D719" s="41" t="s">
        <v>45</v>
      </c>
      <c r="E719" s="41" t="s">
        <v>1298</v>
      </c>
      <c r="F719" s="41" t="s">
        <v>2255</v>
      </c>
      <c r="G719" s="51" t="s">
        <v>2298</v>
      </c>
      <c r="H719" s="41" t="s">
        <v>2299</v>
      </c>
      <c r="I719" s="43">
        <v>12</v>
      </c>
      <c r="J719" s="44" t="str">
        <f>VLOOKUP(G719,[1]硬件清单!$F:$F,1,0)</f>
        <v>210235A3SUH19A000148</v>
      </c>
      <c r="K719" s="44"/>
      <c r="L719" s="44"/>
      <c r="M719" s="45" t="s">
        <v>2300</v>
      </c>
    </row>
    <row r="720" ht="30" customHeight="1" spans="1:13">
      <c r="A720" s="41">
        <f>IF(C720="","",SUBTOTAL(103,$C$2:C720))</f>
        <v>711</v>
      </c>
      <c r="B720" s="41">
        <v>9402</v>
      </c>
      <c r="C720" s="41">
        <v>12430</v>
      </c>
      <c r="D720" s="41" t="s">
        <v>45</v>
      </c>
      <c r="E720" s="41" t="s">
        <v>1298</v>
      </c>
      <c r="F720" s="41" t="s">
        <v>2255</v>
      </c>
      <c r="G720" s="51" t="s">
        <v>2301</v>
      </c>
      <c r="H720" s="41" t="s">
        <v>2302</v>
      </c>
      <c r="I720" s="43">
        <v>12</v>
      </c>
      <c r="J720" s="44" t="str">
        <f>VLOOKUP(G720,[1]硬件清单!$F:$F,1,0)</f>
        <v>210235A3SUH19A000131</v>
      </c>
      <c r="K720" s="44"/>
      <c r="L720" s="44"/>
      <c r="M720" s="45" t="s">
        <v>2303</v>
      </c>
    </row>
    <row r="721" ht="30" customHeight="1" spans="1:13">
      <c r="A721" s="41">
        <f>IF(C721="","",SUBTOTAL(103,$C$2:C721))</f>
        <v>712</v>
      </c>
      <c r="B721" s="41">
        <v>10272</v>
      </c>
      <c r="C721" s="41">
        <v>2286</v>
      </c>
      <c r="D721" s="41" t="s">
        <v>161</v>
      </c>
      <c r="E721" s="41" t="s">
        <v>162</v>
      </c>
      <c r="F721" s="41" t="s">
        <v>2304</v>
      </c>
      <c r="G721" s="51" t="s">
        <v>2033</v>
      </c>
      <c r="H721" s="41" t="s">
        <v>2305</v>
      </c>
      <c r="I721" s="43">
        <v>12</v>
      </c>
      <c r="J721" s="44" t="str">
        <f>VLOOKUP(G721,[1]硬件清单!$F:$F,1,0)</f>
        <v>无（扩容）</v>
      </c>
      <c r="K721" s="43"/>
      <c r="L721" s="44"/>
      <c r="M721" s="45" t="s">
        <v>2306</v>
      </c>
    </row>
    <row r="722" ht="30" customHeight="1" spans="1:13">
      <c r="A722" s="41">
        <f>IF(C722="","",SUBTOTAL(103,$C$2:C722))</f>
        <v>713</v>
      </c>
      <c r="B722" s="41">
        <v>10273</v>
      </c>
      <c r="C722" s="41">
        <v>2287</v>
      </c>
      <c r="D722" s="41" t="s">
        <v>161</v>
      </c>
      <c r="E722" s="41" t="s">
        <v>162</v>
      </c>
      <c r="F722" s="41" t="s">
        <v>2304</v>
      </c>
      <c r="G722" s="51" t="s">
        <v>2033</v>
      </c>
      <c r="H722" s="41" t="s">
        <v>2307</v>
      </c>
      <c r="I722" s="43">
        <v>12</v>
      </c>
      <c r="J722" s="44" t="str">
        <f>VLOOKUP(G722,[1]硬件清单!$F:$F,1,0)</f>
        <v>无（扩容）</v>
      </c>
      <c r="K722" s="43"/>
      <c r="L722" s="44"/>
      <c r="M722" s="45" t="s">
        <v>2306</v>
      </c>
    </row>
    <row r="723" ht="30" customHeight="1" spans="1:13">
      <c r="A723" s="41">
        <f>IF(C723="","",SUBTOTAL(103,$C$2:C723))</f>
        <v>714</v>
      </c>
      <c r="B723" s="41">
        <v>11733</v>
      </c>
      <c r="C723" s="41">
        <v>901</v>
      </c>
      <c r="D723" s="41" t="s">
        <v>45</v>
      </c>
      <c r="E723" s="41" t="s">
        <v>1298</v>
      </c>
      <c r="F723" s="41" t="s">
        <v>2308</v>
      </c>
      <c r="G723" s="51" t="s">
        <v>2309</v>
      </c>
      <c r="H723" s="41" t="s">
        <v>2310</v>
      </c>
      <c r="I723" s="43">
        <v>12</v>
      </c>
      <c r="J723" s="44" t="str">
        <f>VLOOKUP(G723,[1]硬件清单!$F:$F,1,0)</f>
        <v>J301DX81</v>
      </c>
      <c r="K723" s="44"/>
      <c r="L723" s="44"/>
      <c r="M723" s="45" t="s">
        <v>2311</v>
      </c>
    </row>
    <row r="724" ht="30" customHeight="1" spans="1:13">
      <c r="A724" s="41">
        <f>IF(C724="","",SUBTOTAL(103,$C$2:C724))</f>
        <v>715</v>
      </c>
      <c r="B724" s="41">
        <v>11734</v>
      </c>
      <c r="C724" s="41">
        <v>902</v>
      </c>
      <c r="D724" s="41" t="s">
        <v>45</v>
      </c>
      <c r="E724" s="41" t="s">
        <v>1298</v>
      </c>
      <c r="F724" s="41" t="s">
        <v>2308</v>
      </c>
      <c r="G724" s="51" t="s">
        <v>2312</v>
      </c>
      <c r="H724" s="41" t="s">
        <v>2313</v>
      </c>
      <c r="I724" s="43">
        <v>12</v>
      </c>
      <c r="J724" s="44" t="str">
        <f>VLOOKUP(G724,[1]硬件清单!$F:$F,1,0)</f>
        <v>J301DX7F</v>
      </c>
      <c r="K724" s="44"/>
      <c r="L724" s="44"/>
      <c r="M724" s="45" t="s">
        <v>2314</v>
      </c>
    </row>
    <row r="725" ht="30" customHeight="1" spans="1:13">
      <c r="A725" s="41">
        <f>IF(C725="","",SUBTOTAL(103,$C$2:C725))</f>
        <v>716</v>
      </c>
      <c r="B725" s="41">
        <v>11743</v>
      </c>
      <c r="C725" s="41">
        <v>911</v>
      </c>
      <c r="D725" s="41" t="s">
        <v>45</v>
      </c>
      <c r="E725" s="41" t="s">
        <v>1298</v>
      </c>
      <c r="F725" s="41" t="s">
        <v>2308</v>
      </c>
      <c r="G725" s="51" t="s">
        <v>2315</v>
      </c>
      <c r="H725" s="41" t="s">
        <v>2316</v>
      </c>
      <c r="I725" s="43">
        <v>12</v>
      </c>
      <c r="J725" s="44" t="str">
        <f>VLOOKUP(G725,[1]硬件清单!$F:$F,1,0)</f>
        <v>J301DX7G</v>
      </c>
      <c r="K725" s="44"/>
      <c r="L725" s="44"/>
      <c r="M725" s="45" t="s">
        <v>2317</v>
      </c>
    </row>
    <row r="726" ht="30" customHeight="1" spans="1:13">
      <c r="A726" s="41">
        <f>IF(C726="","",SUBTOTAL(103,$C$2:C726))</f>
        <v>717</v>
      </c>
      <c r="B726" s="41">
        <v>11744</v>
      </c>
      <c r="C726" s="41">
        <v>912</v>
      </c>
      <c r="D726" s="41" t="s">
        <v>45</v>
      </c>
      <c r="E726" s="41" t="s">
        <v>1298</v>
      </c>
      <c r="F726" s="41" t="s">
        <v>2308</v>
      </c>
      <c r="G726" s="51" t="s">
        <v>2318</v>
      </c>
      <c r="H726" s="41" t="s">
        <v>2319</v>
      </c>
      <c r="I726" s="43">
        <v>12</v>
      </c>
      <c r="J726" s="44" t="str">
        <f>VLOOKUP(G726,[1]硬件清单!$F:$F,1,0)</f>
        <v>J301DX7K</v>
      </c>
      <c r="K726" s="44"/>
      <c r="L726" s="44"/>
      <c r="M726" s="45" t="s">
        <v>2320</v>
      </c>
    </row>
    <row r="727" ht="30" customHeight="1" spans="1:13">
      <c r="A727" s="41">
        <f>IF(C727="","",SUBTOTAL(103,$C$2:C727))</f>
        <v>718</v>
      </c>
      <c r="B727" s="41">
        <v>11745</v>
      </c>
      <c r="C727" s="41">
        <v>913</v>
      </c>
      <c r="D727" s="41" t="s">
        <v>45</v>
      </c>
      <c r="E727" s="41" t="s">
        <v>1298</v>
      </c>
      <c r="F727" s="41" t="s">
        <v>2308</v>
      </c>
      <c r="G727" s="51" t="s">
        <v>2321</v>
      </c>
      <c r="H727" s="41" t="s">
        <v>2322</v>
      </c>
      <c r="I727" s="43">
        <v>12</v>
      </c>
      <c r="J727" s="44" t="str">
        <f>VLOOKUP(G727,[1]硬件清单!$F:$F,1,0)</f>
        <v>J301DX80</v>
      </c>
      <c r="K727" s="44"/>
      <c r="L727" s="44"/>
      <c r="M727" s="45" t="s">
        <v>2323</v>
      </c>
    </row>
    <row r="728" ht="30" customHeight="1" spans="1:13">
      <c r="A728" s="41">
        <f>IF(C728="","",SUBTOTAL(103,$C$2:C728))</f>
        <v>719</v>
      </c>
      <c r="B728" s="41">
        <v>11753</v>
      </c>
      <c r="C728" s="41">
        <v>921</v>
      </c>
      <c r="D728" s="41" t="s">
        <v>45</v>
      </c>
      <c r="E728" s="41" t="s">
        <v>1298</v>
      </c>
      <c r="F728" s="41" t="s">
        <v>2308</v>
      </c>
      <c r="G728" s="51" t="s">
        <v>2324</v>
      </c>
      <c r="H728" s="41" t="s">
        <v>2325</v>
      </c>
      <c r="I728" s="43">
        <v>12</v>
      </c>
      <c r="J728" s="44" t="str">
        <f>VLOOKUP(G728,[1]硬件清单!$F:$F,1,0)</f>
        <v>J301DX7L</v>
      </c>
      <c r="K728" s="44"/>
      <c r="L728" s="44"/>
      <c r="M728" s="45" t="s">
        <v>2326</v>
      </c>
    </row>
    <row r="729" ht="30" customHeight="1" spans="1:13">
      <c r="A729" s="41">
        <f>IF(C729="","",SUBTOTAL(103,$C$2:C729))</f>
        <v>720</v>
      </c>
      <c r="B729" s="41">
        <v>11754</v>
      </c>
      <c r="C729" s="41">
        <v>922</v>
      </c>
      <c r="D729" s="41" t="s">
        <v>45</v>
      </c>
      <c r="E729" s="41" t="s">
        <v>1298</v>
      </c>
      <c r="F729" s="41" t="s">
        <v>2308</v>
      </c>
      <c r="G729" s="51" t="s">
        <v>2327</v>
      </c>
      <c r="H729" s="41" t="s">
        <v>2328</v>
      </c>
      <c r="I729" s="43">
        <v>12</v>
      </c>
      <c r="J729" s="44" t="str">
        <f>VLOOKUP(G729,[1]硬件清单!$F:$F,1,0)</f>
        <v>J301DX7H</v>
      </c>
      <c r="K729" s="44"/>
      <c r="L729" s="44"/>
      <c r="M729" s="45" t="s">
        <v>2329</v>
      </c>
    </row>
    <row r="730" ht="30" customHeight="1" spans="1:13">
      <c r="A730" s="41">
        <f>IF(C730="","",SUBTOTAL(103,$C$2:C730))</f>
        <v>721</v>
      </c>
      <c r="B730" s="41">
        <v>11755</v>
      </c>
      <c r="C730" s="41">
        <v>923</v>
      </c>
      <c r="D730" s="41" t="s">
        <v>45</v>
      </c>
      <c r="E730" s="41" t="s">
        <v>1298</v>
      </c>
      <c r="F730" s="41" t="s">
        <v>2308</v>
      </c>
      <c r="G730" s="51" t="s">
        <v>2330</v>
      </c>
      <c r="H730" s="41" t="s">
        <v>2331</v>
      </c>
      <c r="I730" s="43">
        <v>12</v>
      </c>
      <c r="J730" s="44" t="str">
        <f>VLOOKUP(G730,[1]硬件清单!$F:$F,1,0)</f>
        <v>J301DX7N</v>
      </c>
      <c r="K730" s="44"/>
      <c r="L730" s="44"/>
      <c r="M730" s="45" t="s">
        <v>2332</v>
      </c>
    </row>
    <row r="731" ht="30" customHeight="1" spans="1:13">
      <c r="A731" s="41">
        <f>IF(C731="","",SUBTOTAL(103,$C$2:C731))</f>
        <v>722</v>
      </c>
      <c r="B731" s="41">
        <v>9933</v>
      </c>
      <c r="C731" s="41">
        <v>8618</v>
      </c>
      <c r="D731" s="41" t="s">
        <v>161</v>
      </c>
      <c r="E731" s="41" t="s">
        <v>238</v>
      </c>
      <c r="F731" s="41" t="s">
        <v>2333</v>
      </c>
      <c r="G731" s="51" t="s">
        <v>2334</v>
      </c>
      <c r="H731" s="41" t="s">
        <v>2335</v>
      </c>
      <c r="I731" s="43">
        <v>12</v>
      </c>
      <c r="J731" s="44" t="str">
        <f>VLOOKUP(G731,[1]硬件清单!$F:$F,1,0)</f>
        <v>TKM20370191</v>
      </c>
      <c r="K731" s="43"/>
      <c r="L731" s="44"/>
      <c r="M731" s="45" t="s">
        <v>2336</v>
      </c>
    </row>
    <row r="732" ht="30" customHeight="1" spans="1:13">
      <c r="A732" s="41">
        <f>IF(C732="","",SUBTOTAL(103,$C$2:C732))</f>
        <v>723</v>
      </c>
      <c r="B732" s="41">
        <v>9937</v>
      </c>
      <c r="C732" s="41">
        <v>8636</v>
      </c>
      <c r="D732" s="41" t="s">
        <v>161</v>
      </c>
      <c r="E732" s="41" t="s">
        <v>238</v>
      </c>
      <c r="F732" s="41" t="s">
        <v>2333</v>
      </c>
      <c r="G732" s="51" t="s">
        <v>2337</v>
      </c>
      <c r="H732" s="41" t="s">
        <v>2338</v>
      </c>
      <c r="I732" s="43">
        <v>12</v>
      </c>
      <c r="J732" s="44" t="str">
        <f>VLOOKUP(G732,[1]硬件清单!$F:$F,1,0)</f>
        <v>TKM20320117</v>
      </c>
      <c r="K732" s="43"/>
      <c r="L732" s="44"/>
      <c r="M732" s="45" t="s">
        <v>2339</v>
      </c>
    </row>
    <row r="733" ht="30" customHeight="1" spans="1:13">
      <c r="A733" s="41">
        <f>IF(C733="","",SUBTOTAL(103,$C$2:C733))</f>
        <v>724</v>
      </c>
      <c r="B733" s="41">
        <v>6132</v>
      </c>
      <c r="C733" s="41">
        <v>3475</v>
      </c>
      <c r="D733" s="41" t="s">
        <v>19</v>
      </c>
      <c r="E733" s="41" t="s">
        <v>84</v>
      </c>
      <c r="F733" s="41" t="s">
        <v>2340</v>
      </c>
      <c r="G733" s="41" t="s">
        <v>2341</v>
      </c>
      <c r="H733" s="41" t="s">
        <v>2342</v>
      </c>
      <c r="I733" s="43">
        <v>12</v>
      </c>
      <c r="J733" s="44" t="str">
        <f>VLOOKUP(G733,[1]硬件清单!$F:$F,1,0)</f>
        <v>31707206</v>
      </c>
      <c r="K733" s="43"/>
      <c r="L733" s="44"/>
      <c r="M733" s="45" t="s">
        <v>2343</v>
      </c>
    </row>
    <row r="734" ht="30" customHeight="1" spans="1:13">
      <c r="A734" s="41">
        <f>IF(C734="","",SUBTOTAL(103,$C$2:C734))</f>
        <v>725</v>
      </c>
      <c r="B734" s="41">
        <v>6134</v>
      </c>
      <c r="C734" s="41">
        <v>3474</v>
      </c>
      <c r="D734" s="41" t="s">
        <v>19</v>
      </c>
      <c r="E734" s="41" t="s">
        <v>84</v>
      </c>
      <c r="F734" s="41" t="s">
        <v>2340</v>
      </c>
      <c r="G734" s="51" t="s">
        <v>2344</v>
      </c>
      <c r="H734" s="41" t="s">
        <v>2345</v>
      </c>
      <c r="I734" s="43">
        <v>12</v>
      </c>
      <c r="J734" s="44" t="str">
        <f>VLOOKUP(G734,[1]硬件清单!$F:$F,1,0)</f>
        <v>31707213</v>
      </c>
      <c r="K734" s="43"/>
      <c r="L734" s="44"/>
      <c r="M734" s="45" t="s">
        <v>2346</v>
      </c>
    </row>
    <row r="735" ht="30" customHeight="1" spans="1:13">
      <c r="A735" s="41">
        <f>IF(C735="","",SUBTOTAL(103,$C$2:C735))</f>
        <v>726</v>
      </c>
      <c r="B735" s="41">
        <v>6176</v>
      </c>
      <c r="C735" s="41">
        <v>7604</v>
      </c>
      <c r="D735" s="41" t="s">
        <v>19</v>
      </c>
      <c r="E735" s="41" t="s">
        <v>84</v>
      </c>
      <c r="F735" s="41" t="s">
        <v>747</v>
      </c>
      <c r="G735" s="51" t="s">
        <v>2347</v>
      </c>
      <c r="H735" s="41" t="s">
        <v>2348</v>
      </c>
      <c r="I735" s="43">
        <v>12</v>
      </c>
      <c r="J735" s="44" t="str">
        <f>VLOOKUP(G735,[1]硬件清单!$F:$F,1,0)</f>
        <v>31904416</v>
      </c>
      <c r="K735" s="43"/>
      <c r="L735" s="44"/>
      <c r="M735" s="45" t="s">
        <v>2349</v>
      </c>
    </row>
    <row r="736" ht="30" customHeight="1" spans="1:13">
      <c r="A736" s="41">
        <f>IF(C736="","",SUBTOTAL(103,$C$2:C736))</f>
        <v>727</v>
      </c>
      <c r="B736" s="41">
        <v>6177</v>
      </c>
      <c r="C736" s="41">
        <v>7605</v>
      </c>
      <c r="D736" s="41" t="s">
        <v>19</v>
      </c>
      <c r="E736" s="41" t="s">
        <v>84</v>
      </c>
      <c r="F736" s="41" t="s">
        <v>747</v>
      </c>
      <c r="G736" s="41" t="s">
        <v>2350</v>
      </c>
      <c r="H736" s="41" t="s">
        <v>2351</v>
      </c>
      <c r="I736" s="43">
        <v>12</v>
      </c>
      <c r="J736" s="44" t="str">
        <f>VLOOKUP(G736,[1]硬件清单!$F:$F,1,0)</f>
        <v>31202897</v>
      </c>
      <c r="K736" s="43"/>
      <c r="L736" s="44"/>
      <c r="M736" s="45" t="s">
        <v>2352</v>
      </c>
    </row>
    <row r="737" ht="30" customHeight="1" spans="1:13">
      <c r="A737" s="41">
        <f>IF(C737="","",SUBTOTAL(103,$C$2:C737))</f>
        <v>728</v>
      </c>
      <c r="B737" s="41">
        <v>6178</v>
      </c>
      <c r="C737" s="41">
        <v>7594</v>
      </c>
      <c r="D737" s="41" t="s">
        <v>19</v>
      </c>
      <c r="E737" s="41" t="s">
        <v>84</v>
      </c>
      <c r="F737" s="41" t="s">
        <v>2353</v>
      </c>
      <c r="G737" s="51">
        <v>31202877</v>
      </c>
      <c r="H737" s="41" t="s">
        <v>2354</v>
      </c>
      <c r="I737" s="43">
        <v>12</v>
      </c>
      <c r="J737" s="44">
        <f>VLOOKUP(G737,[1]硬件清单!$F:$F,1,0)</f>
        <v>31202877</v>
      </c>
      <c r="K737" s="43"/>
      <c r="L737" s="44"/>
      <c r="M737" s="45" t="s">
        <v>2355</v>
      </c>
    </row>
    <row r="738" ht="30" customHeight="1" spans="1:13">
      <c r="A738" s="41">
        <f>IF(C738="","",SUBTOTAL(103,$C$2:C738))</f>
        <v>729</v>
      </c>
      <c r="B738" s="41">
        <v>6179</v>
      </c>
      <c r="C738" s="41">
        <v>7595</v>
      </c>
      <c r="D738" s="41" t="s">
        <v>19</v>
      </c>
      <c r="E738" s="41" t="s">
        <v>84</v>
      </c>
      <c r="F738" s="41" t="s">
        <v>2353</v>
      </c>
      <c r="G738" s="51">
        <v>31202876</v>
      </c>
      <c r="H738" s="41" t="s">
        <v>2356</v>
      </c>
      <c r="I738" s="43">
        <v>12</v>
      </c>
      <c r="J738" s="44">
        <f>VLOOKUP(G738,[1]硬件清单!$F:$F,1,0)</f>
        <v>31202876</v>
      </c>
      <c r="K738" s="43"/>
      <c r="L738" s="44"/>
      <c r="M738" s="45" t="s">
        <v>2357</v>
      </c>
    </row>
    <row r="739" ht="30" customHeight="1" spans="1:13">
      <c r="A739" s="41">
        <f>IF(C739="","",SUBTOTAL(103,$C$2:C739))</f>
        <v>730</v>
      </c>
      <c r="B739" s="41">
        <v>6180</v>
      </c>
      <c r="C739" s="41">
        <v>7596</v>
      </c>
      <c r="D739" s="41" t="s">
        <v>19</v>
      </c>
      <c r="E739" s="41" t="s">
        <v>84</v>
      </c>
      <c r="F739" s="41" t="s">
        <v>2353</v>
      </c>
      <c r="G739" s="51" t="s">
        <v>2358</v>
      </c>
      <c r="H739" s="41" t="s">
        <v>2359</v>
      </c>
      <c r="I739" s="43">
        <v>12</v>
      </c>
      <c r="J739" s="44" t="str">
        <f>VLOOKUP(G739,[1]硬件清单!$F:$F,1,0)</f>
        <v>31202910</v>
      </c>
      <c r="K739" s="43"/>
      <c r="L739" s="44"/>
      <c r="M739" s="45" t="s">
        <v>2360</v>
      </c>
    </row>
    <row r="740" ht="30" customHeight="1" spans="1:13">
      <c r="A740" s="41">
        <f>IF(C740="","",SUBTOTAL(103,$C$2:C740))</f>
        <v>731</v>
      </c>
      <c r="B740" s="41">
        <v>6181</v>
      </c>
      <c r="C740" s="41">
        <v>7597</v>
      </c>
      <c r="D740" s="41" t="s">
        <v>19</v>
      </c>
      <c r="E740" s="41" t="s">
        <v>84</v>
      </c>
      <c r="F740" s="41" t="s">
        <v>2353</v>
      </c>
      <c r="G740" s="51" t="s">
        <v>2361</v>
      </c>
      <c r="H740" s="41" t="s">
        <v>2362</v>
      </c>
      <c r="I740" s="43">
        <v>12</v>
      </c>
      <c r="J740" s="44" t="str">
        <f>VLOOKUP(G740,[1]硬件清单!$F:$F,1,0)</f>
        <v>31202891</v>
      </c>
      <c r="K740" s="43"/>
      <c r="L740" s="44"/>
      <c r="M740" s="45" t="s">
        <v>2363</v>
      </c>
    </row>
    <row r="741" ht="30" customHeight="1" spans="1:13">
      <c r="A741" s="41">
        <f>IF(C741="","",SUBTOTAL(103,$C$2:C741))</f>
        <v>732</v>
      </c>
      <c r="B741" s="41">
        <v>6182</v>
      </c>
      <c r="C741" s="41">
        <v>7598</v>
      </c>
      <c r="D741" s="41" t="s">
        <v>19</v>
      </c>
      <c r="E741" s="41" t="s">
        <v>84</v>
      </c>
      <c r="F741" s="41" t="s">
        <v>2353</v>
      </c>
      <c r="G741" s="51" t="s">
        <v>2364</v>
      </c>
      <c r="H741" s="41" t="s">
        <v>2365</v>
      </c>
      <c r="I741" s="43">
        <v>12</v>
      </c>
      <c r="J741" s="44" t="str">
        <f>VLOOKUP(G741,[1]硬件清单!$F:$F,1,0)</f>
        <v>31202872</v>
      </c>
      <c r="K741" s="43"/>
      <c r="L741" s="44"/>
      <c r="M741" s="45" t="s">
        <v>2366</v>
      </c>
    </row>
    <row r="742" ht="30" customHeight="1" spans="1:13">
      <c r="A742" s="41">
        <f>IF(C742="","",SUBTOTAL(103,$C$2:C742))</f>
        <v>733</v>
      </c>
      <c r="B742" s="41">
        <v>6183</v>
      </c>
      <c r="C742" s="41">
        <v>7599</v>
      </c>
      <c r="D742" s="41" t="s">
        <v>19</v>
      </c>
      <c r="E742" s="41" t="s">
        <v>84</v>
      </c>
      <c r="F742" s="41" t="s">
        <v>2353</v>
      </c>
      <c r="G742" s="51" t="s">
        <v>2367</v>
      </c>
      <c r="H742" s="41" t="s">
        <v>2368</v>
      </c>
      <c r="I742" s="43">
        <v>12</v>
      </c>
      <c r="J742" s="44" t="str">
        <f>VLOOKUP(G742,[1]硬件清单!$F:$F,1,0)</f>
        <v>31202873</v>
      </c>
      <c r="K742" s="43"/>
      <c r="L742" s="44"/>
      <c r="M742" s="45" t="s">
        <v>2369</v>
      </c>
    </row>
    <row r="743" ht="30" customHeight="1" spans="1:13">
      <c r="A743" s="41">
        <f>IF(C743="","",SUBTOTAL(103,$C$2:C743))</f>
        <v>734</v>
      </c>
      <c r="B743" s="41">
        <v>6186</v>
      </c>
      <c r="C743" s="41">
        <v>7600</v>
      </c>
      <c r="D743" s="41" t="s">
        <v>19</v>
      </c>
      <c r="E743" s="41" t="s">
        <v>84</v>
      </c>
      <c r="F743" s="41" t="s">
        <v>2370</v>
      </c>
      <c r="G743" s="51" t="s">
        <v>2371</v>
      </c>
      <c r="H743" s="41" t="s">
        <v>2372</v>
      </c>
      <c r="I743" s="43">
        <v>12</v>
      </c>
      <c r="J743" s="44" t="str">
        <f>VLOOKUP(G743,[1]硬件清单!$F:$F,1,0)</f>
        <v>f5-vyie-rhtx</v>
      </c>
      <c r="K743" s="43"/>
      <c r="L743" s="44"/>
      <c r="M743" s="45" t="s">
        <v>2373</v>
      </c>
    </row>
    <row r="744" ht="30" customHeight="1" spans="1:13">
      <c r="A744" s="41">
        <f>IF(C744="","",SUBTOTAL(103,$C$2:C744))</f>
        <v>735</v>
      </c>
      <c r="B744" s="41">
        <v>6187</v>
      </c>
      <c r="C744" s="41">
        <v>7601</v>
      </c>
      <c r="D744" s="41" t="s">
        <v>19</v>
      </c>
      <c r="E744" s="41" t="s">
        <v>84</v>
      </c>
      <c r="F744" s="41" t="s">
        <v>2370</v>
      </c>
      <c r="G744" s="51" t="s">
        <v>2374</v>
      </c>
      <c r="H744" s="41" t="s">
        <v>2375</v>
      </c>
      <c r="I744" s="43">
        <v>12</v>
      </c>
      <c r="J744" s="44" t="str">
        <f>VLOOKUP(G744,[1]硬件清单!$F:$F,1,0)</f>
        <v>f5-zqgx-zmkc</v>
      </c>
      <c r="K744" s="43"/>
      <c r="L744" s="44"/>
      <c r="M744" s="45" t="s">
        <v>2376</v>
      </c>
    </row>
    <row r="745" ht="30" customHeight="1" spans="1:13">
      <c r="A745" s="41">
        <f>IF(C745="","",SUBTOTAL(103,$C$2:C745))</f>
        <v>736</v>
      </c>
      <c r="B745" s="41">
        <v>6188</v>
      </c>
      <c r="C745" s="41">
        <v>7602</v>
      </c>
      <c r="D745" s="41" t="s">
        <v>19</v>
      </c>
      <c r="E745" s="41" t="s">
        <v>84</v>
      </c>
      <c r="F745" s="41" t="s">
        <v>2370</v>
      </c>
      <c r="G745" s="51" t="s">
        <v>2377</v>
      </c>
      <c r="H745" s="41" t="s">
        <v>2378</v>
      </c>
      <c r="I745" s="43">
        <v>12</v>
      </c>
      <c r="J745" s="44" t="str">
        <f>VLOOKUP(G745,[1]硬件清单!$F:$F,1,0)</f>
        <v>f5-xoro-dijj</v>
      </c>
      <c r="K745" s="43"/>
      <c r="L745" s="44"/>
      <c r="M745" s="45" t="s">
        <v>2379</v>
      </c>
    </row>
    <row r="746" ht="30" customHeight="1" spans="1:13">
      <c r="A746" s="41">
        <f>IF(C746="","",SUBTOTAL(103,$C$2:C746))</f>
        <v>737</v>
      </c>
      <c r="B746" s="41">
        <v>6189</v>
      </c>
      <c r="C746" s="41">
        <v>7603</v>
      </c>
      <c r="D746" s="41" t="s">
        <v>19</v>
      </c>
      <c r="E746" s="41" t="s">
        <v>84</v>
      </c>
      <c r="F746" s="41" t="s">
        <v>2370</v>
      </c>
      <c r="G746" s="51" t="s">
        <v>2380</v>
      </c>
      <c r="H746" s="41" t="s">
        <v>2381</v>
      </c>
      <c r="I746" s="43">
        <v>12</v>
      </c>
      <c r="J746" s="44" t="str">
        <f>VLOOKUP(G746,[1]硬件清单!$F:$F,1,0)</f>
        <v>f5-kwak-ireb</v>
      </c>
      <c r="K746" s="43"/>
      <c r="L746" s="44"/>
      <c r="M746" s="45" t="s">
        <v>2382</v>
      </c>
    </row>
    <row r="747" ht="30" customHeight="1" spans="1:13">
      <c r="A747" s="41">
        <f>IF(C747="","",SUBTOTAL(103,$C$2:C747))</f>
        <v>738</v>
      </c>
      <c r="B747" s="41">
        <v>11554</v>
      </c>
      <c r="C747" s="41">
        <v>499</v>
      </c>
      <c r="D747" s="41" t="s">
        <v>19</v>
      </c>
      <c r="E747" s="41" t="s">
        <v>20</v>
      </c>
      <c r="F747" s="41" t="s">
        <v>2383</v>
      </c>
      <c r="G747" s="51" t="s">
        <v>2384</v>
      </c>
      <c r="H747" s="41" t="s">
        <v>2385</v>
      </c>
      <c r="I747" s="43">
        <v>12</v>
      </c>
      <c r="J747" s="44" t="str">
        <f>VLOOKUP(G747,[1]硬件清单!$F:$F,1,0)</f>
        <v>219801A12T9201Q000K7</v>
      </c>
      <c r="K747" s="43"/>
      <c r="L747" s="44"/>
      <c r="M747" s="45" t="s">
        <v>2386</v>
      </c>
    </row>
    <row r="748" ht="30" customHeight="1" spans="1:13">
      <c r="A748" s="41">
        <f>IF(C748="","",SUBTOTAL(103,$C$2:C748))</f>
        <v>739</v>
      </c>
      <c r="B748" s="41">
        <v>11567</v>
      </c>
      <c r="C748" s="41">
        <v>514</v>
      </c>
      <c r="D748" s="41" t="s">
        <v>19</v>
      </c>
      <c r="E748" s="41" t="s">
        <v>20</v>
      </c>
      <c r="F748" s="41" t="s">
        <v>2383</v>
      </c>
      <c r="G748" s="51" t="s">
        <v>2387</v>
      </c>
      <c r="H748" s="41" t="s">
        <v>2388</v>
      </c>
      <c r="I748" s="43">
        <v>12</v>
      </c>
      <c r="J748" s="44" t="str">
        <f>VLOOKUP(G748,[1]硬件清单!$F:$F,1,0)</f>
        <v>219801A12T9201Q00011</v>
      </c>
      <c r="K748" s="43"/>
      <c r="L748" s="44"/>
      <c r="M748" s="45" t="s">
        <v>2389</v>
      </c>
    </row>
    <row r="749" ht="30" customHeight="1" spans="1:13">
      <c r="A749" s="41">
        <f>IF(C749="","",SUBTOTAL(103,$C$2:C749))</f>
        <v>740</v>
      </c>
      <c r="B749" s="41">
        <v>11735</v>
      </c>
      <c r="C749" s="41">
        <v>903</v>
      </c>
      <c r="D749" s="41" t="s">
        <v>45</v>
      </c>
      <c r="E749" s="41" t="s">
        <v>1298</v>
      </c>
      <c r="F749" s="41" t="s">
        <v>2308</v>
      </c>
      <c r="G749" s="41" t="s">
        <v>2390</v>
      </c>
      <c r="H749" s="41" t="s">
        <v>2391</v>
      </c>
      <c r="I749" s="43">
        <v>12</v>
      </c>
      <c r="J749" s="44" t="str">
        <f>VLOOKUP(G749,[1]硬件清单!$F:$F,1,0)</f>
        <v>J301DX7V</v>
      </c>
      <c r="K749" s="43"/>
      <c r="L749" s="44"/>
      <c r="M749" s="45" t="s">
        <v>2392</v>
      </c>
    </row>
    <row r="750" ht="30" customHeight="1" spans="1:13">
      <c r="A750" s="41">
        <f>IF(C750="","",SUBTOTAL(103,$C$2:C750))</f>
        <v>741</v>
      </c>
      <c r="B750" s="41">
        <v>11736</v>
      </c>
      <c r="C750" s="41">
        <v>904</v>
      </c>
      <c r="D750" s="41" t="s">
        <v>45</v>
      </c>
      <c r="E750" s="41" t="s">
        <v>1298</v>
      </c>
      <c r="F750" s="41" t="s">
        <v>2308</v>
      </c>
      <c r="G750" s="41" t="s">
        <v>2393</v>
      </c>
      <c r="H750" s="41" t="s">
        <v>2394</v>
      </c>
      <c r="I750" s="43">
        <v>12</v>
      </c>
      <c r="J750" s="44" t="str">
        <f>VLOOKUP(G750,[1]硬件清单!$F:$F,1,0)</f>
        <v>J301DX7E</v>
      </c>
      <c r="K750" s="43"/>
      <c r="L750" s="44"/>
      <c r="M750" s="45" t="s">
        <v>2395</v>
      </c>
    </row>
    <row r="751" ht="30" customHeight="1" spans="1:13">
      <c r="A751" s="41">
        <f>IF(C751="","",SUBTOTAL(103,$C$2:C751))</f>
        <v>742</v>
      </c>
      <c r="B751" s="41">
        <v>11737</v>
      </c>
      <c r="C751" s="41">
        <v>905</v>
      </c>
      <c r="D751" s="41" t="s">
        <v>45</v>
      </c>
      <c r="E751" s="41" t="s">
        <v>1298</v>
      </c>
      <c r="F751" s="41" t="s">
        <v>2308</v>
      </c>
      <c r="G751" s="41" t="s">
        <v>2396</v>
      </c>
      <c r="H751" s="41" t="s">
        <v>2397</v>
      </c>
      <c r="I751" s="43">
        <v>12</v>
      </c>
      <c r="J751" s="44" t="str">
        <f>VLOOKUP(G751,[1]硬件清单!$F:$F,1,0)</f>
        <v>J301DXMN</v>
      </c>
      <c r="K751" s="43"/>
      <c r="L751" s="44"/>
      <c r="M751" s="45" t="s">
        <v>2398</v>
      </c>
    </row>
    <row r="752" ht="30" customHeight="1" spans="1:13">
      <c r="A752" s="41">
        <f>IF(C752="","",SUBTOTAL(103,$C$2:C752))</f>
        <v>743</v>
      </c>
      <c r="B752" s="41">
        <v>11738</v>
      </c>
      <c r="C752" s="41">
        <v>906</v>
      </c>
      <c r="D752" s="41" t="s">
        <v>45</v>
      </c>
      <c r="E752" s="41" t="s">
        <v>1298</v>
      </c>
      <c r="F752" s="41" t="s">
        <v>2308</v>
      </c>
      <c r="G752" s="41" t="s">
        <v>2399</v>
      </c>
      <c r="H752" s="41" t="s">
        <v>2400</v>
      </c>
      <c r="I752" s="43">
        <v>12</v>
      </c>
      <c r="J752" s="44" t="str">
        <f>VLOOKUP(G752,[1]硬件清单!$F:$F,1,0)</f>
        <v>J301DX7R</v>
      </c>
      <c r="K752" s="43"/>
      <c r="L752" s="44"/>
      <c r="M752" s="45" t="s">
        <v>2401</v>
      </c>
    </row>
    <row r="753" ht="30" customHeight="1" spans="1:13">
      <c r="A753" s="41">
        <f>IF(C753="","",SUBTOTAL(103,$C$2:C753))</f>
        <v>744</v>
      </c>
      <c r="B753" s="41">
        <v>11739</v>
      </c>
      <c r="C753" s="41">
        <v>907</v>
      </c>
      <c r="D753" s="41" t="s">
        <v>45</v>
      </c>
      <c r="E753" s="41" t="s">
        <v>1298</v>
      </c>
      <c r="F753" s="41" t="s">
        <v>2308</v>
      </c>
      <c r="G753" s="41" t="s">
        <v>2402</v>
      </c>
      <c r="H753" s="41" t="s">
        <v>2403</v>
      </c>
      <c r="I753" s="43">
        <v>12</v>
      </c>
      <c r="J753" s="44" t="str">
        <f>VLOOKUP(G753,[1]硬件清单!$F:$F,1,0)</f>
        <v>J301DX82</v>
      </c>
      <c r="K753" s="43"/>
      <c r="L753" s="44"/>
      <c r="M753" s="45" t="s">
        <v>2404</v>
      </c>
    </row>
    <row r="754" ht="30" customHeight="1" spans="1:13">
      <c r="A754" s="41">
        <f>IF(C754="","",SUBTOTAL(103,$C$2:C754))</f>
        <v>745</v>
      </c>
      <c r="B754" s="41">
        <v>11740</v>
      </c>
      <c r="C754" s="41">
        <v>908</v>
      </c>
      <c r="D754" s="41" t="s">
        <v>45</v>
      </c>
      <c r="E754" s="41" t="s">
        <v>1298</v>
      </c>
      <c r="F754" s="41" t="s">
        <v>2308</v>
      </c>
      <c r="G754" s="41" t="s">
        <v>2405</v>
      </c>
      <c r="H754" s="41" t="s">
        <v>2406</v>
      </c>
      <c r="I754" s="43">
        <v>12</v>
      </c>
      <c r="J754" s="44" t="str">
        <f>VLOOKUP(G754,[1]硬件清单!$F:$F,1,0)</f>
        <v>J301DX7D</v>
      </c>
      <c r="K754" s="43"/>
      <c r="L754" s="44"/>
      <c r="M754" s="45" t="s">
        <v>2407</v>
      </c>
    </row>
    <row r="755" ht="30" customHeight="1" spans="1:13">
      <c r="A755" s="41">
        <f>IF(C755="","",SUBTOTAL(103,$C$2:C755))</f>
        <v>746</v>
      </c>
      <c r="B755" s="41">
        <v>11741</v>
      </c>
      <c r="C755" s="41">
        <v>909</v>
      </c>
      <c r="D755" s="41" t="s">
        <v>45</v>
      </c>
      <c r="E755" s="41" t="s">
        <v>1298</v>
      </c>
      <c r="F755" s="41" t="s">
        <v>2308</v>
      </c>
      <c r="G755" s="41" t="s">
        <v>2408</v>
      </c>
      <c r="H755" s="41" t="s">
        <v>2409</v>
      </c>
      <c r="I755" s="43">
        <v>12</v>
      </c>
      <c r="J755" s="44" t="str">
        <f>VLOOKUP(G755,[1]硬件清单!$F:$F,1,0)</f>
        <v>J301DXML</v>
      </c>
      <c r="K755" s="43"/>
      <c r="L755" s="44"/>
      <c r="M755" s="45" t="s">
        <v>2410</v>
      </c>
    </row>
    <row r="756" ht="30" customHeight="1" spans="1:13">
      <c r="A756" s="41">
        <f>IF(C756="","",SUBTOTAL(103,$C$2:C756))</f>
        <v>747</v>
      </c>
      <c r="B756" s="41">
        <v>11742</v>
      </c>
      <c r="C756" s="41">
        <v>910</v>
      </c>
      <c r="D756" s="41" t="s">
        <v>45</v>
      </c>
      <c r="E756" s="41" t="s">
        <v>1298</v>
      </c>
      <c r="F756" s="41" t="s">
        <v>2308</v>
      </c>
      <c r="G756" s="51" t="s">
        <v>2411</v>
      </c>
      <c r="H756" s="41" t="s">
        <v>2412</v>
      </c>
      <c r="I756" s="43">
        <v>12</v>
      </c>
      <c r="J756" s="44" t="str">
        <f>VLOOKUP(G756,[1]硬件清单!$F:$F,1,0)</f>
        <v>J301DX7Z</v>
      </c>
      <c r="K756" s="43"/>
      <c r="L756" s="44"/>
      <c r="M756" s="45" t="s">
        <v>2413</v>
      </c>
    </row>
    <row r="757" ht="30" customHeight="1" spans="1:13">
      <c r="A757" s="41">
        <f>IF(C757="","",SUBTOTAL(103,$C$2:C757))</f>
        <v>748</v>
      </c>
      <c r="B757" s="41">
        <v>11746</v>
      </c>
      <c r="C757" s="41">
        <v>914</v>
      </c>
      <c r="D757" s="41" t="s">
        <v>45</v>
      </c>
      <c r="E757" s="41" t="s">
        <v>1298</v>
      </c>
      <c r="F757" s="41" t="s">
        <v>2308</v>
      </c>
      <c r="G757" s="51" t="s">
        <v>2414</v>
      </c>
      <c r="H757" s="41" t="s">
        <v>2415</v>
      </c>
      <c r="I757" s="43">
        <v>12</v>
      </c>
      <c r="J757" s="44" t="str">
        <f>VLOOKUP(G757,[1]硬件清单!$F:$F,1,0)</f>
        <v>J301DX7P</v>
      </c>
      <c r="K757" s="43"/>
      <c r="L757" s="44"/>
      <c r="M757" s="45" t="s">
        <v>2416</v>
      </c>
    </row>
    <row r="758" ht="30" customHeight="1" spans="1:13">
      <c r="A758" s="41">
        <f>IF(C758="","",SUBTOTAL(103,$C$2:C758))</f>
        <v>749</v>
      </c>
      <c r="B758" s="41">
        <v>11747</v>
      </c>
      <c r="C758" s="41">
        <v>915</v>
      </c>
      <c r="D758" s="41" t="s">
        <v>45</v>
      </c>
      <c r="E758" s="41" t="s">
        <v>1298</v>
      </c>
      <c r="F758" s="41" t="s">
        <v>2308</v>
      </c>
      <c r="G758" s="51" t="s">
        <v>2417</v>
      </c>
      <c r="H758" s="41" t="s">
        <v>2418</v>
      </c>
      <c r="I758" s="43">
        <v>12</v>
      </c>
      <c r="J758" s="44" t="str">
        <f>VLOOKUP(G758,[1]硬件清单!$F:$F,1,0)</f>
        <v>J301DX7X</v>
      </c>
      <c r="K758" s="43"/>
      <c r="L758" s="44"/>
      <c r="M758" s="45" t="s">
        <v>2419</v>
      </c>
    </row>
    <row r="759" ht="30" customHeight="1" spans="1:13">
      <c r="A759" s="41">
        <f>IF(C759="","",SUBTOTAL(103,$C$2:C759))</f>
        <v>750</v>
      </c>
      <c r="B759" s="41">
        <v>11748</v>
      </c>
      <c r="C759" s="41">
        <v>916</v>
      </c>
      <c r="D759" s="41" t="s">
        <v>45</v>
      </c>
      <c r="E759" s="41" t="s">
        <v>1298</v>
      </c>
      <c r="F759" s="41" t="s">
        <v>2308</v>
      </c>
      <c r="G759" s="51" t="s">
        <v>2420</v>
      </c>
      <c r="H759" s="41" t="s">
        <v>2421</v>
      </c>
      <c r="I759" s="43">
        <v>12</v>
      </c>
      <c r="J759" s="44" t="str">
        <f>VLOOKUP(G759,[1]硬件清单!$F:$F,1,0)</f>
        <v>J301DX7M</v>
      </c>
      <c r="K759" s="43"/>
      <c r="L759" s="44"/>
      <c r="M759" s="45" t="s">
        <v>2422</v>
      </c>
    </row>
    <row r="760" ht="30" customHeight="1" spans="1:13">
      <c r="A760" s="41">
        <f>IF(C760="","",SUBTOTAL(103,$C$2:C760))</f>
        <v>751</v>
      </c>
      <c r="B760" s="41">
        <v>11749</v>
      </c>
      <c r="C760" s="41">
        <v>917</v>
      </c>
      <c r="D760" s="41" t="s">
        <v>45</v>
      </c>
      <c r="E760" s="41" t="s">
        <v>1298</v>
      </c>
      <c r="F760" s="41" t="s">
        <v>2308</v>
      </c>
      <c r="G760" s="51" t="s">
        <v>2423</v>
      </c>
      <c r="H760" s="41" t="s">
        <v>2424</v>
      </c>
      <c r="I760" s="43">
        <v>12</v>
      </c>
      <c r="J760" s="44" t="str">
        <f>VLOOKUP(G760,[1]硬件清单!$F:$F,1,0)</f>
        <v>J301DX85</v>
      </c>
      <c r="K760" s="43"/>
      <c r="L760" s="44"/>
      <c r="M760" s="45" t="s">
        <v>2425</v>
      </c>
    </row>
    <row r="761" ht="30" customHeight="1" spans="1:13">
      <c r="A761" s="41">
        <f>IF(C761="","",SUBTOTAL(103,$C$2:C761))</f>
        <v>752</v>
      </c>
      <c r="B761" s="41">
        <v>11750</v>
      </c>
      <c r="C761" s="41">
        <v>918</v>
      </c>
      <c r="D761" s="41" t="s">
        <v>45</v>
      </c>
      <c r="E761" s="41" t="s">
        <v>1298</v>
      </c>
      <c r="F761" s="41" t="s">
        <v>2308</v>
      </c>
      <c r="G761" s="41" t="s">
        <v>2426</v>
      </c>
      <c r="H761" s="41" t="s">
        <v>2427</v>
      </c>
      <c r="I761" s="43">
        <v>12</v>
      </c>
      <c r="J761" s="44" t="str">
        <f>VLOOKUP(G761,[1]硬件清单!$F:$F,1,0)</f>
        <v>J301DX84</v>
      </c>
      <c r="K761" s="43"/>
      <c r="L761" s="44"/>
      <c r="M761" s="45" t="s">
        <v>2428</v>
      </c>
    </row>
    <row r="762" ht="30" customHeight="1" spans="1:13">
      <c r="A762" s="41">
        <f>IF(C762="","",SUBTOTAL(103,$C$2:C762))</f>
        <v>753</v>
      </c>
      <c r="B762" s="41">
        <v>11751</v>
      </c>
      <c r="C762" s="41">
        <v>919</v>
      </c>
      <c r="D762" s="41" t="s">
        <v>45</v>
      </c>
      <c r="E762" s="41" t="s">
        <v>1298</v>
      </c>
      <c r="F762" s="41" t="s">
        <v>2308</v>
      </c>
      <c r="G762" s="41" t="s">
        <v>2429</v>
      </c>
      <c r="H762" s="41" t="s">
        <v>2430</v>
      </c>
      <c r="I762" s="43">
        <v>12</v>
      </c>
      <c r="J762" s="44" t="str">
        <f>VLOOKUP(G762,[1]硬件清单!$F:$F,1,0)</f>
        <v>J301DXMG</v>
      </c>
      <c r="K762" s="43"/>
      <c r="L762" s="44"/>
      <c r="M762" s="45" t="s">
        <v>2431</v>
      </c>
    </row>
    <row r="763" ht="30" customHeight="1" spans="1:13">
      <c r="A763" s="41">
        <f>IF(C763="","",SUBTOTAL(103,$C$2:C763))</f>
        <v>754</v>
      </c>
      <c r="B763" s="41">
        <v>11752</v>
      </c>
      <c r="C763" s="41">
        <v>920</v>
      </c>
      <c r="D763" s="41" t="s">
        <v>45</v>
      </c>
      <c r="E763" s="41" t="s">
        <v>1298</v>
      </c>
      <c r="F763" s="41" t="s">
        <v>2308</v>
      </c>
      <c r="G763" s="41" t="s">
        <v>2432</v>
      </c>
      <c r="H763" s="41" t="s">
        <v>2433</v>
      </c>
      <c r="I763" s="43">
        <v>12</v>
      </c>
      <c r="J763" s="44" t="str">
        <f>VLOOKUP(G763,[1]硬件清单!$F:$F,1,0)</f>
        <v>J301DXMP</v>
      </c>
      <c r="K763" s="43"/>
      <c r="L763" s="44"/>
      <c r="M763" s="45" t="s">
        <v>2434</v>
      </c>
    </row>
    <row r="764" ht="30" customHeight="1" spans="1:13">
      <c r="A764" s="41">
        <f>IF(C764="","",SUBTOTAL(103,$C$2:C764))</f>
        <v>755</v>
      </c>
      <c r="B764" s="41">
        <v>11756</v>
      </c>
      <c r="C764" s="41">
        <v>924</v>
      </c>
      <c r="D764" s="41" t="s">
        <v>45</v>
      </c>
      <c r="E764" s="41" t="s">
        <v>1298</v>
      </c>
      <c r="F764" s="41" t="s">
        <v>2308</v>
      </c>
      <c r="G764" s="41" t="s">
        <v>2435</v>
      </c>
      <c r="H764" s="41" t="s">
        <v>2436</v>
      </c>
      <c r="I764" s="43">
        <v>12</v>
      </c>
      <c r="J764" s="44" t="str">
        <f>VLOOKUP(G764,[1]硬件清单!$F:$F,1,0)</f>
        <v>J301DX7T</v>
      </c>
      <c r="K764" s="43"/>
      <c r="L764" s="44"/>
      <c r="M764" s="45" t="s">
        <v>2437</v>
      </c>
    </row>
    <row r="765" ht="30" customHeight="1" spans="1:13">
      <c r="A765" s="41">
        <f>IF(C765="","",SUBTOTAL(103,$C$2:C765))</f>
        <v>756</v>
      </c>
      <c r="B765" s="41">
        <v>11757</v>
      </c>
      <c r="C765" s="41">
        <v>925</v>
      </c>
      <c r="D765" s="41" t="s">
        <v>45</v>
      </c>
      <c r="E765" s="41" t="s">
        <v>1298</v>
      </c>
      <c r="F765" s="41" t="s">
        <v>2308</v>
      </c>
      <c r="G765" s="41" t="s">
        <v>2438</v>
      </c>
      <c r="H765" s="41" t="s">
        <v>2439</v>
      </c>
      <c r="I765" s="43">
        <v>12</v>
      </c>
      <c r="J765" s="44" t="str">
        <f>VLOOKUP(G765,[1]硬件清单!$F:$F,1,0)</f>
        <v>J301DX7Y</v>
      </c>
      <c r="K765" s="43"/>
      <c r="L765" s="44"/>
      <c r="M765" s="45" t="s">
        <v>2440</v>
      </c>
    </row>
    <row r="766" ht="30" customHeight="1" spans="1:13">
      <c r="A766" s="41">
        <f>IF(C766="","",SUBTOTAL(103,$C$2:C766))</f>
        <v>757</v>
      </c>
      <c r="B766" s="41">
        <v>11758</v>
      </c>
      <c r="C766" s="41">
        <v>926</v>
      </c>
      <c r="D766" s="41" t="s">
        <v>45</v>
      </c>
      <c r="E766" s="41" t="s">
        <v>1298</v>
      </c>
      <c r="F766" s="41" t="s">
        <v>2308</v>
      </c>
      <c r="G766" s="41" t="s">
        <v>2441</v>
      </c>
      <c r="H766" s="41" t="s">
        <v>2442</v>
      </c>
      <c r="I766" s="43">
        <v>12</v>
      </c>
      <c r="J766" s="44" t="str">
        <f>VLOOKUP(G766,[1]硬件清单!$F:$F,1,0)</f>
        <v>J301DX83</v>
      </c>
      <c r="K766" s="43"/>
      <c r="L766" s="44"/>
      <c r="M766" s="45" t="s">
        <v>2443</v>
      </c>
    </row>
    <row r="767" ht="30" customHeight="1" spans="1:13">
      <c r="A767" s="41">
        <f>IF(C767="","",SUBTOTAL(103,$C$2:C767))</f>
        <v>758</v>
      </c>
      <c r="B767" s="41">
        <v>11759</v>
      </c>
      <c r="C767" s="41">
        <v>927</v>
      </c>
      <c r="D767" s="41" t="s">
        <v>45</v>
      </c>
      <c r="E767" s="41" t="s">
        <v>1298</v>
      </c>
      <c r="F767" s="41" t="s">
        <v>2308</v>
      </c>
      <c r="G767" s="41" t="s">
        <v>2444</v>
      </c>
      <c r="H767" s="41" t="s">
        <v>2445</v>
      </c>
      <c r="I767" s="43">
        <v>12</v>
      </c>
      <c r="J767" s="44" t="str">
        <f>VLOOKUP(G767,[1]硬件清单!$F:$F,1,0)</f>
        <v>J301DX7W</v>
      </c>
      <c r="K767" s="43"/>
      <c r="L767" s="44"/>
      <c r="M767" s="45" t="s">
        <v>2446</v>
      </c>
    </row>
    <row r="768" ht="30" customHeight="1" spans="1:13">
      <c r="A768" s="41">
        <f>IF(C768="","",SUBTOTAL(103,$C$2:C768))</f>
        <v>759</v>
      </c>
      <c r="B768" s="41">
        <v>11760</v>
      </c>
      <c r="C768" s="41">
        <v>928</v>
      </c>
      <c r="D768" s="41" t="s">
        <v>45</v>
      </c>
      <c r="E768" s="41" t="s">
        <v>1298</v>
      </c>
      <c r="F768" s="41" t="s">
        <v>2308</v>
      </c>
      <c r="G768" s="41" t="s">
        <v>2447</v>
      </c>
      <c r="H768" s="41" t="s">
        <v>2448</v>
      </c>
      <c r="I768" s="43">
        <v>12</v>
      </c>
      <c r="J768" s="44" t="str">
        <f>VLOOKUP(G768,[1]硬件清单!$F:$F,1,0)</f>
        <v>J301DXMK</v>
      </c>
      <c r="K768" s="43"/>
      <c r="L768" s="44"/>
      <c r="M768" s="45" t="s">
        <v>2449</v>
      </c>
    </row>
    <row r="769" ht="30" customHeight="1" spans="1:13">
      <c r="A769" s="41">
        <f>IF(C769="","",SUBTOTAL(103,$C$2:C769))</f>
        <v>760</v>
      </c>
      <c r="B769" s="41">
        <v>11761</v>
      </c>
      <c r="C769" s="41">
        <v>929</v>
      </c>
      <c r="D769" s="41" t="s">
        <v>45</v>
      </c>
      <c r="E769" s="41" t="s">
        <v>1298</v>
      </c>
      <c r="F769" s="41" t="s">
        <v>2308</v>
      </c>
      <c r="G769" s="41" t="s">
        <v>2450</v>
      </c>
      <c r="H769" s="41" t="s">
        <v>2451</v>
      </c>
      <c r="I769" s="43">
        <v>12</v>
      </c>
      <c r="J769" s="44" t="str">
        <f>VLOOKUP(G769,[1]硬件清单!$F:$F,1,0)</f>
        <v>J301DXMM</v>
      </c>
      <c r="K769" s="43"/>
      <c r="L769" s="44"/>
      <c r="M769" s="45" t="s">
        <v>2452</v>
      </c>
    </row>
    <row r="770" ht="30" customHeight="1" spans="1:13">
      <c r="A770" s="41">
        <f>IF(C770="","",SUBTOTAL(103,$C$2:C770))</f>
        <v>761</v>
      </c>
      <c r="B770" s="41">
        <v>11762</v>
      </c>
      <c r="C770" s="41">
        <v>930</v>
      </c>
      <c r="D770" s="41" t="s">
        <v>45</v>
      </c>
      <c r="E770" s="41" t="s">
        <v>1298</v>
      </c>
      <c r="F770" s="41" t="s">
        <v>2308</v>
      </c>
      <c r="G770" s="41" t="s">
        <v>2453</v>
      </c>
      <c r="H770" s="41" t="s">
        <v>2454</v>
      </c>
      <c r="I770" s="43">
        <v>12</v>
      </c>
      <c r="J770" s="44" t="str">
        <f>VLOOKUP(G770,[1]硬件清单!$F:$F,1,0)</f>
        <v>J301DXMH</v>
      </c>
      <c r="K770" s="43"/>
      <c r="L770" s="44"/>
      <c r="M770" s="45" t="s">
        <v>2455</v>
      </c>
    </row>
    <row r="771" ht="30" customHeight="1" spans="1:13">
      <c r="A771" s="41">
        <f>IF(C771="","",SUBTOTAL(103,$C$2:C771))</f>
        <v>762</v>
      </c>
      <c r="B771" s="41">
        <v>475</v>
      </c>
      <c r="C771" s="46">
        <v>10193</v>
      </c>
      <c r="D771" s="46" t="s">
        <v>65</v>
      </c>
      <c r="E771" s="46" t="s">
        <v>304</v>
      </c>
      <c r="F771" s="46" t="s">
        <v>305</v>
      </c>
      <c r="G771" s="41" t="s">
        <v>2456</v>
      </c>
      <c r="H771" s="41" t="s">
        <v>2457</v>
      </c>
      <c r="I771" s="43">
        <v>12</v>
      </c>
      <c r="J771" s="44" t="str">
        <f>VLOOKUP(G771,[1]硬件清单!$F:$F,1,0)</f>
        <v>ASG10002ED8E3BFA4</v>
      </c>
      <c r="K771" s="43"/>
      <c r="L771" s="44"/>
      <c r="M771" s="47" t="s">
        <v>2458</v>
      </c>
    </row>
    <row r="772" ht="30" customHeight="1" spans="1:13">
      <c r="A772" s="41">
        <f>IF(C772="","",SUBTOTAL(103,$C$2:C772))</f>
        <v>763</v>
      </c>
      <c r="B772" s="41">
        <v>477</v>
      </c>
      <c r="C772" s="41">
        <v>4764</v>
      </c>
      <c r="D772" s="41" t="s">
        <v>19</v>
      </c>
      <c r="E772" s="41" t="s">
        <v>84</v>
      </c>
      <c r="F772" s="41" t="s">
        <v>2459</v>
      </c>
      <c r="G772" s="41" t="s">
        <v>2460</v>
      </c>
      <c r="H772" s="41" t="s">
        <v>2461</v>
      </c>
      <c r="I772" s="43">
        <v>12</v>
      </c>
      <c r="J772" s="44" t="str">
        <f>VLOOKUP(G772,[1]硬件清单!$F:$F,1,0)</f>
        <v>31707209</v>
      </c>
      <c r="K772" s="43"/>
      <c r="L772" s="44"/>
      <c r="M772" s="45" t="s">
        <v>2462</v>
      </c>
    </row>
    <row r="773" ht="30" customHeight="1" spans="1:13">
      <c r="A773" s="41">
        <f>IF(C773="","",SUBTOTAL(103,$C$2:C773))</f>
        <v>764</v>
      </c>
      <c r="B773" s="41">
        <v>478</v>
      </c>
      <c r="C773" s="41">
        <v>4763</v>
      </c>
      <c r="D773" s="41" t="s">
        <v>19</v>
      </c>
      <c r="E773" s="41" t="s">
        <v>84</v>
      </c>
      <c r="F773" s="41" t="s">
        <v>2459</v>
      </c>
      <c r="G773" s="41" t="s">
        <v>2463</v>
      </c>
      <c r="H773" s="41" t="s">
        <v>2464</v>
      </c>
      <c r="I773" s="43">
        <v>12</v>
      </c>
      <c r="J773" s="44" t="str">
        <f>VLOOKUP(G773,[1]硬件清单!$F:$F,1,0)</f>
        <v>31705201</v>
      </c>
      <c r="K773" s="43"/>
      <c r="L773" s="44"/>
      <c r="M773" s="45" t="s">
        <v>2465</v>
      </c>
    </row>
    <row r="774" ht="30" customHeight="1" spans="1:13">
      <c r="A774" s="41">
        <f>IF(C774="","",SUBTOTAL(103,$C$2:C774))</f>
        <v>765</v>
      </c>
      <c r="B774" s="41">
        <v>489</v>
      </c>
      <c r="C774" s="41">
        <v>4762</v>
      </c>
      <c r="D774" s="41" t="s">
        <v>19</v>
      </c>
      <c r="E774" s="41" t="s">
        <v>84</v>
      </c>
      <c r="F774" s="41" t="s">
        <v>2466</v>
      </c>
      <c r="G774" s="41" t="s">
        <v>2467</v>
      </c>
      <c r="H774" s="41" t="s">
        <v>2468</v>
      </c>
      <c r="I774" s="43">
        <v>12</v>
      </c>
      <c r="J774" s="44" t="str">
        <f>VLOOKUP(G774,[1]硬件清单!$F:$F,1,0)</f>
        <v>31604211</v>
      </c>
      <c r="K774" s="43"/>
      <c r="L774" s="44"/>
      <c r="M774" s="45" t="s">
        <v>2469</v>
      </c>
    </row>
    <row r="775" ht="30" customHeight="1" spans="1:13">
      <c r="A775" s="41">
        <f>IF(C775="","",SUBTOTAL(103,$C$2:C775))</f>
        <v>766</v>
      </c>
      <c r="B775" s="41">
        <v>492</v>
      </c>
      <c r="C775" s="41">
        <v>4761</v>
      </c>
      <c r="D775" s="41" t="s">
        <v>19</v>
      </c>
      <c r="E775" s="41" t="s">
        <v>84</v>
      </c>
      <c r="F775" s="41" t="s">
        <v>2466</v>
      </c>
      <c r="G775" s="41" t="s">
        <v>2470</v>
      </c>
      <c r="H775" s="41" t="s">
        <v>2471</v>
      </c>
      <c r="I775" s="43">
        <v>12</v>
      </c>
      <c r="J775" s="44" t="str">
        <f>VLOOKUP(G775,[1]硬件清单!$F:$F,1,0)</f>
        <v>31604209</v>
      </c>
      <c r="K775" s="43"/>
      <c r="L775" s="44"/>
      <c r="M775" s="45" t="s">
        <v>2472</v>
      </c>
    </row>
    <row r="776" ht="30" customHeight="1" spans="1:13">
      <c r="A776" s="41">
        <f>IF(C776="","",SUBTOTAL(103,$C$2:C776))</f>
        <v>767</v>
      </c>
      <c r="B776" s="41">
        <v>501</v>
      </c>
      <c r="C776" s="41">
        <v>4802</v>
      </c>
      <c r="D776" s="41" t="s">
        <v>19</v>
      </c>
      <c r="E776" s="41" t="s">
        <v>84</v>
      </c>
      <c r="F776" s="41" t="s">
        <v>2473</v>
      </c>
      <c r="G776" s="41" t="s">
        <v>2474</v>
      </c>
      <c r="H776" s="41" t="s">
        <v>2475</v>
      </c>
      <c r="I776" s="43">
        <v>12</v>
      </c>
      <c r="J776" s="44" t="str">
        <f>VLOOKUP(G776,[1]硬件清单!$F:$F,1,0)</f>
        <v>41609133</v>
      </c>
      <c r="K776" s="43"/>
      <c r="L776" s="44"/>
      <c r="M776" s="45" t="s">
        <v>2476</v>
      </c>
    </row>
    <row r="777" ht="30" customHeight="1" spans="1:13">
      <c r="A777" s="41">
        <f>IF(C777="","",SUBTOTAL(103,$C$2:C777))</f>
        <v>768</v>
      </c>
      <c r="B777" s="41">
        <v>502</v>
      </c>
      <c r="C777" s="41">
        <v>4801</v>
      </c>
      <c r="D777" s="41" t="s">
        <v>19</v>
      </c>
      <c r="E777" s="41" t="s">
        <v>84</v>
      </c>
      <c r="F777" s="41" t="s">
        <v>2473</v>
      </c>
      <c r="G777" s="41" t="s">
        <v>2477</v>
      </c>
      <c r="H777" s="41" t="s">
        <v>2478</v>
      </c>
      <c r="I777" s="43">
        <v>12</v>
      </c>
      <c r="J777" s="44" t="str">
        <f>VLOOKUP(G777,[1]硬件清单!$F:$F,1,0)</f>
        <v>41609132</v>
      </c>
      <c r="K777" s="43"/>
      <c r="L777" s="44"/>
      <c r="M777" s="45" t="s">
        <v>2479</v>
      </c>
    </row>
    <row r="778" ht="30" customHeight="1" spans="1:13">
      <c r="A778" s="41">
        <f>IF(C778="","",SUBTOTAL(103,$C$2:C778))</f>
        <v>769</v>
      </c>
      <c r="B778" s="41">
        <v>506</v>
      </c>
      <c r="C778" s="41">
        <v>11251</v>
      </c>
      <c r="D778" s="41" t="s">
        <v>65</v>
      </c>
      <c r="E778" s="41" t="s">
        <v>220</v>
      </c>
      <c r="F778" s="41" t="s">
        <v>2480</v>
      </c>
      <c r="G778" s="41" t="s">
        <v>2481</v>
      </c>
      <c r="H778" s="41" t="s">
        <v>2482</v>
      </c>
      <c r="I778" s="43">
        <v>12</v>
      </c>
      <c r="J778" s="44" t="str">
        <f>VLOOKUP(G778,[1]硬件清单!$F:$F,1,0)</f>
        <v>YD-SC42004B07F9362</v>
      </c>
      <c r="K778" s="43"/>
      <c r="L778" s="44"/>
      <c r="M778" s="45" t="s">
        <v>2483</v>
      </c>
    </row>
    <row r="779" ht="30" customHeight="1" spans="1:13">
      <c r="A779" s="41">
        <f>IF(C779="","",SUBTOTAL(103,$C$2:C779))</f>
        <v>770</v>
      </c>
      <c r="B779" s="41">
        <v>536</v>
      </c>
      <c r="C779" s="41">
        <v>11395</v>
      </c>
      <c r="D779" s="41" t="s">
        <v>65</v>
      </c>
      <c r="E779" s="41" t="s">
        <v>220</v>
      </c>
      <c r="F779" s="41" t="s">
        <v>2484</v>
      </c>
      <c r="G779" s="41" t="s">
        <v>2485</v>
      </c>
      <c r="H779" s="41" t="s">
        <v>2486</v>
      </c>
      <c r="I779" s="43">
        <v>12</v>
      </c>
      <c r="J779" s="44" t="str">
        <f>VLOOKUP(G779,[1]硬件清单!$F:$F,1,0)</f>
        <v>210235A0D1H13A000074</v>
      </c>
      <c r="K779" s="43"/>
      <c r="L779" s="44"/>
      <c r="M779" s="45" t="s">
        <v>2487</v>
      </c>
    </row>
    <row r="780" ht="30" customHeight="1" spans="1:13">
      <c r="A780" s="41">
        <f>IF(C780="","",SUBTOTAL(103,$C$2:C780))</f>
        <v>771</v>
      </c>
      <c r="B780" s="41">
        <v>537</v>
      </c>
      <c r="C780" s="41">
        <v>11396</v>
      </c>
      <c r="D780" s="41" t="s">
        <v>65</v>
      </c>
      <c r="E780" s="41" t="s">
        <v>220</v>
      </c>
      <c r="F780" s="41" t="s">
        <v>2484</v>
      </c>
      <c r="G780" s="41" t="s">
        <v>2488</v>
      </c>
      <c r="H780" s="41" t="s">
        <v>2489</v>
      </c>
      <c r="I780" s="43">
        <v>12</v>
      </c>
      <c r="J780" s="44" t="str">
        <f>VLOOKUP(G780,[1]硬件清单!$F:$F,1,0)</f>
        <v>210235A0D1H137000321</v>
      </c>
      <c r="K780" s="43"/>
      <c r="L780" s="44"/>
      <c r="M780" s="45" t="s">
        <v>2490</v>
      </c>
    </row>
    <row r="781" ht="30" customHeight="1" spans="1:13">
      <c r="A781" s="41">
        <f>IF(C781="","",SUBTOTAL(103,$C$2:C781))</f>
        <v>772</v>
      </c>
      <c r="B781" s="41">
        <v>559</v>
      </c>
      <c r="C781" s="41">
        <v>4853</v>
      </c>
      <c r="D781" s="41" t="s">
        <v>65</v>
      </c>
      <c r="E781" s="41" t="s">
        <v>220</v>
      </c>
      <c r="F781" s="41" t="s">
        <v>2491</v>
      </c>
      <c r="G781" s="41" t="s">
        <v>2492</v>
      </c>
      <c r="H781" s="41" t="s">
        <v>2493</v>
      </c>
      <c r="I781" s="43">
        <v>12</v>
      </c>
      <c r="J781" s="44" t="str">
        <f>VLOOKUP(G781,[1]硬件清单!$F:$F,1,0)</f>
        <v>SAC26502EF6DC2C48</v>
      </c>
      <c r="K781" s="43"/>
      <c r="L781" s="44"/>
      <c r="M781" s="45" t="s">
        <v>2494</v>
      </c>
    </row>
    <row r="782" ht="30" customHeight="1" spans="1:13">
      <c r="A782" s="41">
        <f>IF(C782="","",SUBTOTAL(103,$C$2:C782))</f>
        <v>773</v>
      </c>
      <c r="B782" s="41">
        <v>560</v>
      </c>
      <c r="C782" s="41">
        <v>4852</v>
      </c>
      <c r="D782" s="41" t="s">
        <v>65</v>
      </c>
      <c r="E782" s="41" t="s">
        <v>220</v>
      </c>
      <c r="F782" s="41" t="s">
        <v>2491</v>
      </c>
      <c r="G782" s="41" t="s">
        <v>2495</v>
      </c>
      <c r="H782" s="41" t="s">
        <v>2496</v>
      </c>
      <c r="I782" s="43">
        <v>12</v>
      </c>
      <c r="J782" s="44" t="str">
        <f>VLOOKUP(G782,[1]硬件清单!$F:$F,1,0)</f>
        <v>SAC26502EF6DC2C47</v>
      </c>
      <c r="K782" s="43"/>
      <c r="L782" s="44"/>
      <c r="M782" s="45" t="s">
        <v>2497</v>
      </c>
    </row>
    <row r="783" ht="30" customHeight="1" spans="1:13">
      <c r="A783" s="41">
        <f>IF(C783="","",SUBTOTAL(103,$C$2:C783))</f>
        <v>774</v>
      </c>
      <c r="B783" s="41">
        <v>561</v>
      </c>
      <c r="C783" s="41">
        <v>4851</v>
      </c>
      <c r="D783" s="41" t="s">
        <v>65</v>
      </c>
      <c r="E783" s="41" t="s">
        <v>220</v>
      </c>
      <c r="F783" s="41" t="s">
        <v>2491</v>
      </c>
      <c r="G783" s="41" t="s">
        <v>2498</v>
      </c>
      <c r="H783" s="41" t="s">
        <v>2499</v>
      </c>
      <c r="I783" s="43">
        <v>12</v>
      </c>
      <c r="J783" s="44" t="str">
        <f>VLOOKUP(G783,[1]硬件清单!$F:$F,1,0)</f>
        <v>SAC26502EF6DC2C46</v>
      </c>
      <c r="K783" s="43"/>
      <c r="L783" s="44"/>
      <c r="M783" s="45" t="s">
        <v>2500</v>
      </c>
    </row>
    <row r="784" ht="30" customHeight="1" spans="1:13">
      <c r="A784" s="41">
        <f>IF(C784="","",SUBTOTAL(103,$C$2:C784))</f>
        <v>775</v>
      </c>
      <c r="B784" s="41">
        <v>562</v>
      </c>
      <c r="C784" s="41">
        <v>4850</v>
      </c>
      <c r="D784" s="41" t="s">
        <v>65</v>
      </c>
      <c r="E784" s="41" t="s">
        <v>220</v>
      </c>
      <c r="F784" s="41" t="s">
        <v>2491</v>
      </c>
      <c r="G784" s="41" t="s">
        <v>2501</v>
      </c>
      <c r="H784" s="41" t="s">
        <v>2502</v>
      </c>
      <c r="I784" s="43">
        <v>12</v>
      </c>
      <c r="J784" s="44" t="str">
        <f>VLOOKUP(G784,[1]硬件清单!$F:$F,1,0)</f>
        <v>SAC26502EF6DC2C45</v>
      </c>
      <c r="K784" s="43"/>
      <c r="L784" s="44"/>
      <c r="M784" s="45" t="s">
        <v>2503</v>
      </c>
    </row>
    <row r="785" ht="30" customHeight="1" spans="1:13">
      <c r="A785" s="41">
        <f>IF(C785="","",SUBTOTAL(103,$C$2:C785))</f>
        <v>776</v>
      </c>
      <c r="B785" s="41">
        <v>563</v>
      </c>
      <c r="C785" s="41">
        <v>4950</v>
      </c>
      <c r="D785" s="41" t="s">
        <v>65</v>
      </c>
      <c r="E785" s="41" t="s">
        <v>220</v>
      </c>
      <c r="F785" s="41" t="s">
        <v>2504</v>
      </c>
      <c r="G785" s="41" t="s">
        <v>2505</v>
      </c>
      <c r="H785" s="41" t="s">
        <v>2506</v>
      </c>
      <c r="I785" s="43">
        <v>12</v>
      </c>
      <c r="J785" s="44" t="str">
        <f>VLOOKUP(G785,[1]硬件清单!$F:$F,1,0)</f>
        <v>YD-SW1G-242EF6DC2C41</v>
      </c>
      <c r="K785" s="43"/>
      <c r="L785" s="44"/>
      <c r="M785" s="45" t="s">
        <v>2507</v>
      </c>
    </row>
    <row r="786" ht="30" customHeight="1" spans="1:13">
      <c r="A786" s="41">
        <f>IF(C786="","",SUBTOTAL(103,$C$2:C786))</f>
        <v>777</v>
      </c>
      <c r="B786" s="41">
        <v>564</v>
      </c>
      <c r="C786" s="41">
        <v>4849</v>
      </c>
      <c r="D786" s="41" t="s">
        <v>65</v>
      </c>
      <c r="E786" s="41" t="s">
        <v>220</v>
      </c>
      <c r="F786" s="41" t="s">
        <v>2491</v>
      </c>
      <c r="G786" s="41" t="s">
        <v>2508</v>
      </c>
      <c r="H786" s="41" t="s">
        <v>2509</v>
      </c>
      <c r="I786" s="43">
        <v>12</v>
      </c>
      <c r="J786" s="44" t="str">
        <f>VLOOKUP(G786,[1]硬件清单!$F:$F,1,0)</f>
        <v>SAC26502EF6DC2C44</v>
      </c>
      <c r="K786" s="43"/>
      <c r="L786" s="44"/>
      <c r="M786" s="45" t="s">
        <v>2510</v>
      </c>
    </row>
    <row r="787" ht="30" customHeight="1" spans="1:13">
      <c r="A787" s="41">
        <f>IF(C787="","",SUBTOTAL(103,$C$2:C787))</f>
        <v>778</v>
      </c>
      <c r="B787" s="41">
        <v>565</v>
      </c>
      <c r="C787" s="41">
        <v>4848</v>
      </c>
      <c r="D787" s="41" t="s">
        <v>65</v>
      </c>
      <c r="E787" s="41" t="s">
        <v>220</v>
      </c>
      <c r="F787" s="41" t="s">
        <v>2491</v>
      </c>
      <c r="G787" s="41" t="s">
        <v>2511</v>
      </c>
      <c r="H787" s="41" t="s">
        <v>2512</v>
      </c>
      <c r="I787" s="43">
        <v>12</v>
      </c>
      <c r="J787" s="44" t="str">
        <f>VLOOKUP(G787,[1]硬件清单!$F:$F,1,0)</f>
        <v>SAC26502EF6DC2C43</v>
      </c>
      <c r="K787" s="43"/>
      <c r="L787" s="44"/>
      <c r="M787" s="45" t="s">
        <v>2513</v>
      </c>
    </row>
    <row r="788" ht="30" customHeight="1" spans="1:13">
      <c r="A788" s="41">
        <f>IF(C788="","",SUBTOTAL(103,$C$2:C788))</f>
        <v>779</v>
      </c>
      <c r="B788" s="41">
        <v>566</v>
      </c>
      <c r="C788" s="41">
        <v>4847</v>
      </c>
      <c r="D788" s="41" t="s">
        <v>65</v>
      </c>
      <c r="E788" s="41" t="s">
        <v>220</v>
      </c>
      <c r="F788" s="41" t="s">
        <v>2491</v>
      </c>
      <c r="G788" s="41" t="s">
        <v>2514</v>
      </c>
      <c r="H788" s="41" t="s">
        <v>2515</v>
      </c>
      <c r="I788" s="43">
        <v>12</v>
      </c>
      <c r="J788" s="44" t="str">
        <f>VLOOKUP(G788,[1]硬件清单!$F:$F,1,0)</f>
        <v>SAC26502EF6DC2C42</v>
      </c>
      <c r="K788" s="43"/>
      <c r="L788" s="44"/>
      <c r="M788" s="45" t="s">
        <v>2516</v>
      </c>
    </row>
    <row r="789" ht="30" customHeight="1" spans="1:13">
      <c r="A789" s="41">
        <f>IF(C789="","",SUBTOTAL(103,$C$2:C789))</f>
        <v>780</v>
      </c>
      <c r="B789" s="41">
        <v>567</v>
      </c>
      <c r="C789" s="46">
        <v>10195</v>
      </c>
      <c r="D789" s="46" t="s">
        <v>65</v>
      </c>
      <c r="E789" s="46" t="s">
        <v>304</v>
      </c>
      <c r="F789" s="46" t="s">
        <v>2517</v>
      </c>
      <c r="G789" s="41" t="s">
        <v>2518</v>
      </c>
      <c r="H789" s="41" t="s">
        <v>2519</v>
      </c>
      <c r="I789" s="43">
        <v>12</v>
      </c>
      <c r="J789" s="44" t="str">
        <f>VLOOKUP(G789,[1]硬件清单!$F:$F,1,0)</f>
        <v>LVS2000E2EEADFA161</v>
      </c>
      <c r="K789" s="43"/>
      <c r="L789" s="44"/>
      <c r="M789" s="45" t="s">
        <v>2520</v>
      </c>
    </row>
    <row r="790" ht="30" customHeight="1" spans="1:13">
      <c r="A790" s="41">
        <f>IF(C790="","",SUBTOTAL(103,$C$2:C790))</f>
        <v>781</v>
      </c>
      <c r="B790" s="41">
        <v>568</v>
      </c>
      <c r="C790" s="41">
        <v>4899</v>
      </c>
      <c r="D790" s="41" t="s">
        <v>65</v>
      </c>
      <c r="E790" s="41" t="s">
        <v>220</v>
      </c>
      <c r="F790" s="41" t="s">
        <v>2521</v>
      </c>
      <c r="G790" s="41" t="s">
        <v>2522</v>
      </c>
      <c r="H790" s="41" t="s">
        <v>2523</v>
      </c>
      <c r="I790" s="43">
        <v>12</v>
      </c>
      <c r="J790" s="44" t="str">
        <f>VLOOKUP(G790,[1]硬件清单!$F:$F,1,0)</f>
        <v>LVS2000S2EF6DC2C42</v>
      </c>
      <c r="K790" s="43"/>
      <c r="L790" s="44"/>
      <c r="M790" s="45" t="s">
        <v>2524</v>
      </c>
    </row>
    <row r="791" ht="30" customHeight="1" spans="1:13">
      <c r="A791" s="41">
        <f>IF(C791="","",SUBTOTAL(103,$C$2:C791))</f>
        <v>782</v>
      </c>
      <c r="B791" s="41">
        <v>569</v>
      </c>
      <c r="C791" s="41">
        <v>4857</v>
      </c>
      <c r="D791" s="41" t="s">
        <v>65</v>
      </c>
      <c r="E791" s="41" t="s">
        <v>220</v>
      </c>
      <c r="F791" s="41" t="s">
        <v>2491</v>
      </c>
      <c r="G791" s="41" t="s">
        <v>2525</v>
      </c>
      <c r="H791" s="41" t="s">
        <v>2526</v>
      </c>
      <c r="I791" s="43">
        <v>12</v>
      </c>
      <c r="J791" s="44" t="str">
        <f>VLOOKUP(G791,[1]硬件清单!$F:$F,1,0)</f>
        <v>SAC26502EF6DC2C4C</v>
      </c>
      <c r="K791" s="43"/>
      <c r="L791" s="44"/>
      <c r="M791" s="45" t="s">
        <v>2527</v>
      </c>
    </row>
    <row r="792" ht="30" customHeight="1" spans="1:13">
      <c r="A792" s="41">
        <f>IF(C792="","",SUBTOTAL(103,$C$2:C792))</f>
        <v>783</v>
      </c>
      <c r="B792" s="41">
        <v>570</v>
      </c>
      <c r="C792" s="41">
        <v>4920</v>
      </c>
      <c r="D792" s="41" t="s">
        <v>65</v>
      </c>
      <c r="E792" s="41" t="s">
        <v>220</v>
      </c>
      <c r="F792" s="41" t="s">
        <v>2528</v>
      </c>
      <c r="G792" s="41" t="s">
        <v>2529</v>
      </c>
      <c r="H792" s="41" t="s">
        <v>2530</v>
      </c>
      <c r="I792" s="43">
        <v>12</v>
      </c>
      <c r="J792" s="44" t="str">
        <f>VLOOKUP(G792,[1]硬件清单!$F:$F,1,0)</f>
        <v>YD-SW10G-242EF6DC7A61</v>
      </c>
      <c r="K792" s="43"/>
      <c r="L792" s="44"/>
      <c r="M792" s="45" t="s">
        <v>2531</v>
      </c>
    </row>
    <row r="793" ht="30" customHeight="1" spans="1:13">
      <c r="A793" s="41">
        <f>IF(C793="","",SUBTOTAL(103,$C$2:C793))</f>
        <v>784</v>
      </c>
      <c r="B793" s="41">
        <v>571</v>
      </c>
      <c r="C793" s="41">
        <v>4949</v>
      </c>
      <c r="D793" s="41" t="s">
        <v>65</v>
      </c>
      <c r="E793" s="41" t="s">
        <v>220</v>
      </c>
      <c r="F793" s="41" t="s">
        <v>2504</v>
      </c>
      <c r="G793" s="41" t="s">
        <v>2532</v>
      </c>
      <c r="H793" s="41" t="s">
        <v>2533</v>
      </c>
      <c r="I793" s="43">
        <v>12</v>
      </c>
      <c r="J793" s="44" t="str">
        <f>VLOOKUP(G793,[1]硬件清单!$F:$F,1,0)</f>
        <v>YD-SW1G-242EF6DC2C42</v>
      </c>
      <c r="K793" s="43"/>
      <c r="L793" s="44"/>
      <c r="M793" s="45" t="s">
        <v>2534</v>
      </c>
    </row>
    <row r="794" ht="30" customHeight="1" spans="1:13">
      <c r="A794" s="41">
        <f>IF(C794="","",SUBTOTAL(103,$C$2:C794))</f>
        <v>785</v>
      </c>
      <c r="B794" s="41">
        <v>572</v>
      </c>
      <c r="C794" s="41">
        <v>4919</v>
      </c>
      <c r="D794" s="41" t="s">
        <v>65</v>
      </c>
      <c r="E794" s="41" t="s">
        <v>220</v>
      </c>
      <c r="F794" s="41" t="s">
        <v>2528</v>
      </c>
      <c r="G794" s="41" t="s">
        <v>2535</v>
      </c>
      <c r="H794" s="41" t="s">
        <v>2536</v>
      </c>
      <c r="I794" s="43">
        <v>12</v>
      </c>
      <c r="J794" s="44" t="str">
        <f>VLOOKUP(G794,[1]硬件清单!$F:$F,1,0)</f>
        <v>YD-SW10G-242EF6DC7A62</v>
      </c>
      <c r="K794" s="43"/>
      <c r="L794" s="44"/>
      <c r="M794" s="45" t="s">
        <v>2537</v>
      </c>
    </row>
    <row r="795" ht="30" customHeight="1" spans="1:13">
      <c r="A795" s="41">
        <f>IF(C795="","",SUBTOTAL(103,$C$2:C795))</f>
        <v>786</v>
      </c>
      <c r="B795" s="41">
        <v>573</v>
      </c>
      <c r="C795" s="41">
        <v>4948</v>
      </c>
      <c r="D795" s="41" t="s">
        <v>65</v>
      </c>
      <c r="E795" s="41" t="s">
        <v>220</v>
      </c>
      <c r="F795" s="41" t="s">
        <v>2504</v>
      </c>
      <c r="G795" s="41" t="s">
        <v>2538</v>
      </c>
      <c r="H795" s="41" t="s">
        <v>2539</v>
      </c>
      <c r="I795" s="43">
        <v>12</v>
      </c>
      <c r="J795" s="44" t="str">
        <f>VLOOKUP(G795,[1]硬件清单!$F:$F,1,0)</f>
        <v>YD-SW1G-242EF6DC2C43</v>
      </c>
      <c r="K795" s="43"/>
      <c r="L795" s="44"/>
      <c r="M795" s="45" t="s">
        <v>2540</v>
      </c>
    </row>
    <row r="796" ht="30" customHeight="1" spans="1:13">
      <c r="A796" s="41">
        <f>IF(C796="","",SUBTOTAL(103,$C$2:C796))</f>
        <v>787</v>
      </c>
      <c r="B796" s="41">
        <v>574</v>
      </c>
      <c r="C796" s="41">
        <v>4856</v>
      </c>
      <c r="D796" s="41" t="s">
        <v>65</v>
      </c>
      <c r="E796" s="41" t="s">
        <v>220</v>
      </c>
      <c r="F796" s="41" t="s">
        <v>2491</v>
      </c>
      <c r="G796" s="41" t="s">
        <v>2541</v>
      </c>
      <c r="H796" s="41" t="s">
        <v>2542</v>
      </c>
      <c r="I796" s="43">
        <v>12</v>
      </c>
      <c r="J796" s="44" t="str">
        <f>VLOOKUP(G796,[1]硬件清单!$F:$F,1,0)</f>
        <v>SAC26502EF6DC2C4B</v>
      </c>
      <c r="K796" s="43"/>
      <c r="L796" s="44"/>
      <c r="M796" s="45" t="s">
        <v>2543</v>
      </c>
    </row>
    <row r="797" ht="30" customHeight="1" spans="1:13">
      <c r="A797" s="41">
        <f>IF(C797="","",SUBTOTAL(103,$C$2:C797))</f>
        <v>788</v>
      </c>
      <c r="B797" s="41">
        <v>575</v>
      </c>
      <c r="C797" s="41">
        <v>4855</v>
      </c>
      <c r="D797" s="41" t="s">
        <v>65</v>
      </c>
      <c r="E797" s="41" t="s">
        <v>220</v>
      </c>
      <c r="F797" s="41" t="s">
        <v>2491</v>
      </c>
      <c r="G797" s="41" t="s">
        <v>2544</v>
      </c>
      <c r="H797" s="41" t="s">
        <v>2545</v>
      </c>
      <c r="I797" s="43">
        <v>12</v>
      </c>
      <c r="J797" s="44" t="str">
        <f>VLOOKUP(G797,[1]硬件清单!$F:$F,1,0)</f>
        <v>SAC26502EF6DC2C4A</v>
      </c>
      <c r="K797" s="43"/>
      <c r="L797" s="44"/>
      <c r="M797" s="45" t="s">
        <v>2546</v>
      </c>
    </row>
    <row r="798" ht="30" customHeight="1" spans="1:13">
      <c r="A798" s="41">
        <f>IF(C798="","",SUBTOTAL(103,$C$2:C798))</f>
        <v>789</v>
      </c>
      <c r="B798" s="41">
        <v>576</v>
      </c>
      <c r="C798" s="41">
        <v>4854</v>
      </c>
      <c r="D798" s="41" t="s">
        <v>65</v>
      </c>
      <c r="E798" s="41" t="s">
        <v>220</v>
      </c>
      <c r="F798" s="41" t="s">
        <v>2491</v>
      </c>
      <c r="G798" s="51" t="s">
        <v>2547</v>
      </c>
      <c r="H798" s="41" t="s">
        <v>2548</v>
      </c>
      <c r="I798" s="43">
        <v>12</v>
      </c>
      <c r="J798" s="44" t="str">
        <f>VLOOKUP(G798,[1]硬件清单!$F:$F,1,0)</f>
        <v>SAC26502EF6DC2C49</v>
      </c>
      <c r="K798" s="43"/>
      <c r="L798" s="44"/>
      <c r="M798" s="45" t="s">
        <v>2549</v>
      </c>
    </row>
    <row r="799" ht="30" customHeight="1" spans="1:13">
      <c r="A799" s="41">
        <f>IF(C799="","",SUBTOTAL(103,$C$2:C799))</f>
        <v>790</v>
      </c>
      <c r="B799" s="41">
        <v>578</v>
      </c>
      <c r="C799" s="41">
        <v>4887</v>
      </c>
      <c r="D799" s="41" t="s">
        <v>65</v>
      </c>
      <c r="E799" s="41" t="s">
        <v>220</v>
      </c>
      <c r="F799" s="41" t="s">
        <v>2550</v>
      </c>
      <c r="G799" s="41" t="s">
        <v>2551</v>
      </c>
      <c r="H799" s="41" t="s">
        <v>2552</v>
      </c>
      <c r="I799" s="43">
        <v>12</v>
      </c>
      <c r="J799" s="44" t="str">
        <f>VLOOKUP(G799,[1]硬件清单!$F:$F,1,0)</f>
        <v>ASG1000-III2EF6DC2C50</v>
      </c>
      <c r="K799" s="43"/>
      <c r="L799" s="44"/>
      <c r="M799" s="45" t="s">
        <v>2553</v>
      </c>
    </row>
    <row r="800" ht="30" customHeight="1" spans="1:13">
      <c r="A800" s="41">
        <f>IF(C800="","",SUBTOTAL(103,$C$2:C800))</f>
        <v>791</v>
      </c>
      <c r="B800" s="41">
        <v>579</v>
      </c>
      <c r="C800" s="41">
        <v>4886</v>
      </c>
      <c r="D800" s="41" t="s">
        <v>65</v>
      </c>
      <c r="E800" s="41" t="s">
        <v>220</v>
      </c>
      <c r="F800" s="41" t="s">
        <v>2550</v>
      </c>
      <c r="G800" s="41" t="s">
        <v>2554</v>
      </c>
      <c r="H800" s="41" t="s">
        <v>2555</v>
      </c>
      <c r="I800" s="43">
        <v>12</v>
      </c>
      <c r="J800" s="44" t="str">
        <f>VLOOKUP(G800,[1]硬件清单!$F:$F,1,0)</f>
        <v>ASG1000-III2EF6DC2C49</v>
      </c>
      <c r="K800" s="43"/>
      <c r="L800" s="44"/>
      <c r="M800" s="45" t="s">
        <v>2556</v>
      </c>
    </row>
    <row r="801" ht="30" customHeight="1" spans="1:13">
      <c r="A801" s="41">
        <f>IF(C801="","",SUBTOTAL(103,$C$2:C801))</f>
        <v>792</v>
      </c>
      <c r="B801" s="41">
        <v>580</v>
      </c>
      <c r="C801" s="41">
        <v>4885</v>
      </c>
      <c r="D801" s="41" t="s">
        <v>65</v>
      </c>
      <c r="E801" s="41" t="s">
        <v>220</v>
      </c>
      <c r="F801" s="41" t="s">
        <v>2550</v>
      </c>
      <c r="G801" s="41" t="s">
        <v>2557</v>
      </c>
      <c r="H801" s="41" t="s">
        <v>2558</v>
      </c>
      <c r="I801" s="43">
        <v>12</v>
      </c>
      <c r="J801" s="44" t="str">
        <f>VLOOKUP(G801,[1]硬件清单!$F:$F,1,0)</f>
        <v>ASG1000-III2EF6DC2C4D</v>
      </c>
      <c r="K801" s="43"/>
      <c r="L801" s="44"/>
      <c r="M801" s="47" t="s">
        <v>2559</v>
      </c>
    </row>
    <row r="802" ht="30" customHeight="1" spans="1:13">
      <c r="A802" s="41">
        <f>IF(C802="","",SUBTOTAL(103,$C$2:C802))</f>
        <v>793</v>
      </c>
      <c r="B802" s="41">
        <v>581</v>
      </c>
      <c r="C802" s="41">
        <v>4884</v>
      </c>
      <c r="D802" s="41" t="s">
        <v>65</v>
      </c>
      <c r="E802" s="41" t="s">
        <v>220</v>
      </c>
      <c r="F802" s="41" t="s">
        <v>2550</v>
      </c>
      <c r="G802" s="51" t="s">
        <v>2560</v>
      </c>
      <c r="H802" s="41" t="s">
        <v>2561</v>
      </c>
      <c r="I802" s="43">
        <v>12</v>
      </c>
      <c r="J802" s="44" t="str">
        <f>VLOOKUP(G802,[1]硬件清单!$F:$F,1,0)</f>
        <v>ASG1000-III2EF6DC2C4C</v>
      </c>
      <c r="K802" s="43"/>
      <c r="L802" s="44"/>
      <c r="M802" s="45" t="s">
        <v>2562</v>
      </c>
    </row>
    <row r="803" ht="30" customHeight="1" spans="1:13">
      <c r="A803" s="41">
        <f>IF(C803="","",SUBTOTAL(103,$C$2:C803))</f>
        <v>794</v>
      </c>
      <c r="B803" s="41">
        <v>582</v>
      </c>
      <c r="C803" s="41">
        <v>4883</v>
      </c>
      <c r="D803" s="41" t="s">
        <v>65</v>
      </c>
      <c r="E803" s="41" t="s">
        <v>220</v>
      </c>
      <c r="F803" s="41" t="s">
        <v>2550</v>
      </c>
      <c r="G803" s="51" t="s">
        <v>2563</v>
      </c>
      <c r="H803" s="41" t="s">
        <v>2564</v>
      </c>
      <c r="I803" s="43">
        <v>12</v>
      </c>
      <c r="J803" s="44" t="str">
        <f>VLOOKUP(G803,[1]硬件清单!$F:$F,1,0)</f>
        <v>ASG1000-III2EF6DC2C4F</v>
      </c>
      <c r="K803" s="43"/>
      <c r="L803" s="44"/>
      <c r="M803" s="45" t="s">
        <v>2565</v>
      </c>
    </row>
    <row r="804" ht="30" customHeight="1" spans="1:13">
      <c r="A804" s="41">
        <f>IF(C804="","",SUBTOTAL(103,$C$2:C804))</f>
        <v>795</v>
      </c>
      <c r="B804" s="41">
        <v>583</v>
      </c>
      <c r="C804" s="41">
        <v>4903</v>
      </c>
      <c r="D804" s="41" t="s">
        <v>65</v>
      </c>
      <c r="E804" s="41" t="s">
        <v>220</v>
      </c>
      <c r="F804" s="41" t="s">
        <v>2521</v>
      </c>
      <c r="G804" s="51" t="s">
        <v>2566</v>
      </c>
      <c r="H804" s="41" t="s">
        <v>2567</v>
      </c>
      <c r="I804" s="43">
        <v>12</v>
      </c>
      <c r="J804" s="44" t="str">
        <f>VLOOKUP(G804,[1]硬件清单!$F:$F,1,0)</f>
        <v>LVS2000S2EF6DC2C41</v>
      </c>
      <c r="K804" s="43"/>
      <c r="L804" s="44"/>
      <c r="M804" s="45" t="s">
        <v>2568</v>
      </c>
    </row>
    <row r="805" ht="30" customHeight="1" spans="1:13">
      <c r="A805" s="41">
        <f>IF(C805="","",SUBTOTAL(103,$C$2:C805))</f>
        <v>796</v>
      </c>
      <c r="B805" s="41">
        <v>584</v>
      </c>
      <c r="C805" s="41">
        <v>4918</v>
      </c>
      <c r="D805" s="41" t="s">
        <v>65</v>
      </c>
      <c r="E805" s="41" t="s">
        <v>220</v>
      </c>
      <c r="F805" s="41" t="s">
        <v>2569</v>
      </c>
      <c r="G805" s="51" t="s">
        <v>2570</v>
      </c>
      <c r="H805" s="41" t="s">
        <v>2571</v>
      </c>
      <c r="I805" s="43">
        <v>12</v>
      </c>
      <c r="J805" s="44" t="str">
        <f>VLOOKUP(G805,[1]硬件清单!$F:$F,1,0)</f>
        <v>SH09012EF6DC2C42</v>
      </c>
      <c r="K805" s="43"/>
      <c r="L805" s="44"/>
      <c r="M805" s="45" t="s">
        <v>2572</v>
      </c>
    </row>
    <row r="806" ht="30" customHeight="1" spans="1:13">
      <c r="A806" s="41">
        <f>IF(C806="","",SUBTOTAL(103,$C$2:C806))</f>
        <v>797</v>
      </c>
      <c r="B806" s="41">
        <v>585</v>
      </c>
      <c r="C806" s="41">
        <v>4882</v>
      </c>
      <c r="D806" s="41" t="s">
        <v>65</v>
      </c>
      <c r="E806" s="41" t="s">
        <v>220</v>
      </c>
      <c r="F806" s="41" t="s">
        <v>2491</v>
      </c>
      <c r="G806" s="51" t="s">
        <v>2573</v>
      </c>
      <c r="H806" s="41" t="s">
        <v>2574</v>
      </c>
      <c r="I806" s="43">
        <v>12</v>
      </c>
      <c r="J806" s="44" t="str">
        <f>VLOOKUP(G806,[1]硬件清单!$F:$F,1,0)</f>
        <v>SAC26502EF6DC2C4D</v>
      </c>
      <c r="K806" s="43"/>
      <c r="L806" s="44"/>
      <c r="M806" s="45" t="s">
        <v>2575</v>
      </c>
    </row>
    <row r="807" ht="30" customHeight="1" spans="1:13">
      <c r="A807" s="41">
        <f>IF(C807="","",SUBTOTAL(103,$C$2:C807))</f>
        <v>798</v>
      </c>
      <c r="B807" s="41">
        <v>586</v>
      </c>
      <c r="C807" s="41">
        <v>4941</v>
      </c>
      <c r="D807" s="41" t="s">
        <v>65</v>
      </c>
      <c r="E807" s="41" t="s">
        <v>220</v>
      </c>
      <c r="F807" s="41" t="s">
        <v>2504</v>
      </c>
      <c r="G807" s="51" t="s">
        <v>2576</v>
      </c>
      <c r="H807" s="41" t="s">
        <v>2577</v>
      </c>
      <c r="I807" s="43">
        <v>12</v>
      </c>
      <c r="J807" s="44" t="str">
        <f>VLOOKUP(G807,[1]硬件清单!$F:$F,1,0)</f>
        <v>YD-SW1G-242EF6DC2C4C</v>
      </c>
      <c r="K807" s="43"/>
      <c r="L807" s="44"/>
      <c r="M807" s="45" t="s">
        <v>2578</v>
      </c>
    </row>
    <row r="808" ht="30" customHeight="1" spans="1:13">
      <c r="A808" s="41">
        <f>IF(C808="","",SUBTOTAL(103,$C$2:C808))</f>
        <v>799</v>
      </c>
      <c r="B808" s="41">
        <v>587</v>
      </c>
      <c r="C808" s="41">
        <v>4926</v>
      </c>
      <c r="D808" s="41" t="s">
        <v>65</v>
      </c>
      <c r="E808" s="41" t="s">
        <v>220</v>
      </c>
      <c r="F808" s="41" t="s">
        <v>2528</v>
      </c>
      <c r="G808" s="51" t="s">
        <v>2579</v>
      </c>
      <c r="H808" s="41" t="s">
        <v>2580</v>
      </c>
      <c r="I808" s="43">
        <v>12</v>
      </c>
      <c r="J808" s="44" t="str">
        <f>VLOOKUP(G808,[1]硬件清单!$F:$F,1,0)</f>
        <v>YD-SW10G-242EF6DC7A68</v>
      </c>
      <c r="K808" s="43"/>
      <c r="L808" s="44"/>
      <c r="M808" s="45" t="s">
        <v>2581</v>
      </c>
    </row>
    <row r="809" ht="30" customHeight="1" spans="1:13">
      <c r="A809" s="41">
        <f>IF(C809="","",SUBTOTAL(103,$C$2:C809))</f>
        <v>800</v>
      </c>
      <c r="B809" s="41">
        <v>588</v>
      </c>
      <c r="C809" s="41">
        <v>4940</v>
      </c>
      <c r="D809" s="41" t="s">
        <v>65</v>
      </c>
      <c r="E809" s="41" t="s">
        <v>220</v>
      </c>
      <c r="F809" s="41" t="s">
        <v>2504</v>
      </c>
      <c r="G809" s="51" t="s">
        <v>2582</v>
      </c>
      <c r="H809" s="41" t="s">
        <v>2583</v>
      </c>
      <c r="I809" s="43">
        <v>12</v>
      </c>
      <c r="J809" s="44" t="str">
        <f>VLOOKUP(G809,[1]硬件清单!$F:$F,1,0)</f>
        <v>YD-SW1G-242EF6DC2C4B</v>
      </c>
      <c r="K809" s="43"/>
      <c r="L809" s="44"/>
      <c r="M809" s="45" t="s">
        <v>2584</v>
      </c>
    </row>
    <row r="810" ht="30" customHeight="1" spans="1:13">
      <c r="A810" s="41">
        <f>IF(C810="","",SUBTOTAL(103,$C$2:C810))</f>
        <v>801</v>
      </c>
      <c r="B810" s="41">
        <v>589</v>
      </c>
      <c r="C810" s="41">
        <v>4925</v>
      </c>
      <c r="D810" s="41" t="s">
        <v>65</v>
      </c>
      <c r="E810" s="41" t="s">
        <v>220</v>
      </c>
      <c r="F810" s="41" t="s">
        <v>2528</v>
      </c>
      <c r="G810" s="51" t="s">
        <v>2585</v>
      </c>
      <c r="H810" s="41" t="s">
        <v>2586</v>
      </c>
      <c r="I810" s="43">
        <v>12</v>
      </c>
      <c r="J810" s="44" t="str">
        <f>VLOOKUP(G810,[1]硬件清单!$F:$F,1,0)</f>
        <v>YD-SW10G-242EF6DC7A67</v>
      </c>
      <c r="K810" s="43"/>
      <c r="L810" s="44"/>
      <c r="M810" s="45" t="s">
        <v>2587</v>
      </c>
    </row>
    <row r="811" ht="30" customHeight="1" spans="1:13">
      <c r="A811" s="41">
        <f>IF(C811="","",SUBTOTAL(103,$C$2:C811))</f>
        <v>802</v>
      </c>
      <c r="B811" s="41">
        <v>590</v>
      </c>
      <c r="C811" s="41">
        <v>4939</v>
      </c>
      <c r="D811" s="41" t="s">
        <v>65</v>
      </c>
      <c r="E811" s="41" t="s">
        <v>220</v>
      </c>
      <c r="F811" s="41" t="s">
        <v>2504</v>
      </c>
      <c r="G811" s="51" t="s">
        <v>2588</v>
      </c>
      <c r="H811" s="41" t="s">
        <v>2589</v>
      </c>
      <c r="I811" s="43">
        <v>12</v>
      </c>
      <c r="J811" s="44" t="str">
        <f>VLOOKUP(G811,[1]硬件清单!$F:$F,1,0)</f>
        <v>YD-SW1G-242EF6DC2C4A</v>
      </c>
      <c r="K811" s="43"/>
      <c r="L811" s="44"/>
      <c r="M811" s="45" t="s">
        <v>2590</v>
      </c>
    </row>
    <row r="812" ht="30" customHeight="1" spans="1:13">
      <c r="A812" s="41">
        <f>IF(C812="","",SUBTOTAL(103,$C$2:C812))</f>
        <v>803</v>
      </c>
      <c r="B812" s="41">
        <v>591</v>
      </c>
      <c r="C812" s="41">
        <v>4890</v>
      </c>
      <c r="D812" s="41" t="s">
        <v>65</v>
      </c>
      <c r="E812" s="41" t="s">
        <v>220</v>
      </c>
      <c r="F812" s="41" t="s">
        <v>2550</v>
      </c>
      <c r="G812" s="51" t="s">
        <v>2591</v>
      </c>
      <c r="H812" s="41" t="s">
        <v>2592</v>
      </c>
      <c r="I812" s="43">
        <v>12</v>
      </c>
      <c r="J812" s="44" t="str">
        <f>VLOOKUP(G812,[1]硬件清单!$F:$F,1,0)</f>
        <v>ASG1000-III2EF6DC2C46</v>
      </c>
      <c r="K812" s="43"/>
      <c r="L812" s="44"/>
      <c r="M812" s="45" t="s">
        <v>2593</v>
      </c>
    </row>
    <row r="813" ht="30" customHeight="1" spans="1:13">
      <c r="A813" s="41">
        <f>IF(C813="","",SUBTOTAL(103,$C$2:C813))</f>
        <v>804</v>
      </c>
      <c r="B813" s="41">
        <v>592</v>
      </c>
      <c r="C813" s="41">
        <v>4889</v>
      </c>
      <c r="D813" s="41" t="s">
        <v>65</v>
      </c>
      <c r="E813" s="41" t="s">
        <v>220</v>
      </c>
      <c r="F813" s="41" t="s">
        <v>2550</v>
      </c>
      <c r="G813" s="51" t="s">
        <v>2594</v>
      </c>
      <c r="H813" s="41" t="s">
        <v>2595</v>
      </c>
      <c r="I813" s="43">
        <v>12</v>
      </c>
      <c r="J813" s="44" t="str">
        <f>VLOOKUP(G813,[1]硬件清单!$F:$F,1,0)</f>
        <v>ASG1000-III2EF6DC2C48</v>
      </c>
      <c r="K813" s="43"/>
      <c r="L813" s="44"/>
      <c r="M813" s="45" t="s">
        <v>2596</v>
      </c>
    </row>
    <row r="814" ht="30" customHeight="1" spans="1:13">
      <c r="A814" s="41">
        <f>IF(C814="","",SUBTOTAL(103,$C$2:C814))</f>
        <v>805</v>
      </c>
      <c r="B814" s="41">
        <v>593</v>
      </c>
      <c r="C814" s="41">
        <v>4888</v>
      </c>
      <c r="D814" s="41" t="s">
        <v>65</v>
      </c>
      <c r="E814" s="41" t="s">
        <v>220</v>
      </c>
      <c r="F814" s="41" t="s">
        <v>2550</v>
      </c>
      <c r="G814" s="51" t="s">
        <v>2597</v>
      </c>
      <c r="H814" s="41" t="s">
        <v>2598</v>
      </c>
      <c r="I814" s="43">
        <v>12</v>
      </c>
      <c r="J814" s="44" t="str">
        <f>VLOOKUP(G814,[1]硬件清单!$F:$F,1,0)</f>
        <v>ASG1000-III2EF6DC2C4A</v>
      </c>
      <c r="K814" s="43"/>
      <c r="L814" s="44"/>
      <c r="M814" s="45" t="s">
        <v>2599</v>
      </c>
    </row>
    <row r="815" ht="30" customHeight="1" spans="1:13">
      <c r="A815" s="41">
        <f>IF(C815="","",SUBTOTAL(103,$C$2:C815))</f>
        <v>806</v>
      </c>
      <c r="B815" s="41">
        <v>594</v>
      </c>
      <c r="C815" s="41">
        <v>4895</v>
      </c>
      <c r="D815" s="41" t="s">
        <v>65</v>
      </c>
      <c r="E815" s="41" t="s">
        <v>220</v>
      </c>
      <c r="F815" s="41" t="s">
        <v>2550</v>
      </c>
      <c r="G815" s="51" t="s">
        <v>2600</v>
      </c>
      <c r="H815" s="41" t="s">
        <v>2601</v>
      </c>
      <c r="I815" s="43">
        <v>12</v>
      </c>
      <c r="J815" s="44" t="str">
        <f>VLOOKUP(G815,[1]硬件清单!$F:$F,1,0)</f>
        <v>ASG1000-III2EF6DC2C45</v>
      </c>
      <c r="K815" s="43"/>
      <c r="L815" s="44"/>
      <c r="M815" s="47" t="s">
        <v>2602</v>
      </c>
    </row>
    <row r="816" ht="30" customHeight="1" spans="1:13">
      <c r="A816" s="41">
        <f>IF(C816="","",SUBTOTAL(103,$C$2:C816))</f>
        <v>807</v>
      </c>
      <c r="B816" s="41">
        <v>595</v>
      </c>
      <c r="C816" s="41">
        <v>4894</v>
      </c>
      <c r="D816" s="41" t="s">
        <v>65</v>
      </c>
      <c r="E816" s="41" t="s">
        <v>220</v>
      </c>
      <c r="F816" s="41" t="s">
        <v>2550</v>
      </c>
      <c r="G816" s="51" t="s">
        <v>2603</v>
      </c>
      <c r="H816" s="41" t="s">
        <v>2604</v>
      </c>
      <c r="I816" s="43">
        <v>12</v>
      </c>
      <c r="J816" s="44" t="str">
        <f>VLOOKUP(G816,[1]硬件清单!$F:$F,1,0)</f>
        <v>ASG1000-III2EF6DC2C41</v>
      </c>
      <c r="K816" s="43"/>
      <c r="L816" s="44"/>
      <c r="M816" s="45" t="s">
        <v>2605</v>
      </c>
    </row>
    <row r="817" ht="30" customHeight="1" spans="1:13">
      <c r="A817" s="41">
        <f>IF(C817="","",SUBTOTAL(103,$C$2:C817))</f>
        <v>808</v>
      </c>
      <c r="B817" s="41">
        <v>596</v>
      </c>
      <c r="C817" s="41">
        <v>4893</v>
      </c>
      <c r="D817" s="41" t="s">
        <v>65</v>
      </c>
      <c r="E817" s="41" t="s">
        <v>220</v>
      </c>
      <c r="F817" s="41" t="s">
        <v>2550</v>
      </c>
      <c r="G817" s="51" t="s">
        <v>2606</v>
      </c>
      <c r="H817" s="41" t="s">
        <v>2607</v>
      </c>
      <c r="I817" s="43">
        <v>12</v>
      </c>
      <c r="J817" s="44" t="str">
        <f>VLOOKUP(G817,[1]硬件清单!$F:$F,1,0)</f>
        <v>ASG1000-III2EF6DC2C44</v>
      </c>
      <c r="K817" s="43"/>
      <c r="L817" s="44"/>
      <c r="M817" s="47" t="s">
        <v>2608</v>
      </c>
    </row>
    <row r="818" ht="30" customHeight="1" spans="1:13">
      <c r="A818" s="41">
        <f>IF(C818="","",SUBTOTAL(103,$C$2:C818))</f>
        <v>809</v>
      </c>
      <c r="B818" s="41">
        <v>597</v>
      </c>
      <c r="C818" s="41">
        <v>4892</v>
      </c>
      <c r="D818" s="41" t="s">
        <v>65</v>
      </c>
      <c r="E818" s="41" t="s">
        <v>220</v>
      </c>
      <c r="F818" s="41" t="s">
        <v>2550</v>
      </c>
      <c r="G818" s="41" t="s">
        <v>2609</v>
      </c>
      <c r="H818" s="41" t="s">
        <v>2610</v>
      </c>
      <c r="I818" s="43">
        <v>12</v>
      </c>
      <c r="J818" s="44" t="str">
        <f>VLOOKUP(G818,[1]硬件清单!$F:$F,1,0)</f>
        <v>ASG1000-III2EF6DC2C4E</v>
      </c>
      <c r="K818" s="43"/>
      <c r="L818" s="44"/>
      <c r="M818" s="45" t="s">
        <v>2611</v>
      </c>
    </row>
    <row r="819" ht="30" customHeight="1" spans="1:13">
      <c r="A819" s="41">
        <f>IF(C819="","",SUBTOTAL(103,$C$2:C819))</f>
        <v>810</v>
      </c>
      <c r="B819" s="41">
        <v>598</v>
      </c>
      <c r="C819" s="41">
        <v>4891</v>
      </c>
      <c r="D819" s="41" t="s">
        <v>65</v>
      </c>
      <c r="E819" s="41" t="s">
        <v>220</v>
      </c>
      <c r="F819" s="41" t="s">
        <v>2550</v>
      </c>
      <c r="G819" s="41" t="s">
        <v>2612</v>
      </c>
      <c r="H819" s="41" t="s">
        <v>2613</v>
      </c>
      <c r="I819" s="43">
        <v>12</v>
      </c>
      <c r="J819" s="44" t="str">
        <f>VLOOKUP(G819,[1]硬件清单!$F:$F,1,0)</f>
        <v>ASG1000-III2EF6DC2C4B</v>
      </c>
      <c r="K819" s="43"/>
      <c r="L819" s="44"/>
      <c r="M819" s="45" t="s">
        <v>2614</v>
      </c>
    </row>
    <row r="820" ht="30" customHeight="1" spans="1:13">
      <c r="A820" s="41">
        <f>IF(C820="","",SUBTOTAL(103,$C$2:C820))</f>
        <v>811</v>
      </c>
      <c r="B820" s="41">
        <v>599</v>
      </c>
      <c r="C820" s="41">
        <v>4904</v>
      </c>
      <c r="D820" s="41" t="s">
        <v>65</v>
      </c>
      <c r="E820" s="41" t="s">
        <v>220</v>
      </c>
      <c r="F820" s="41" t="s">
        <v>2521</v>
      </c>
      <c r="G820" s="51" t="s">
        <v>2615</v>
      </c>
      <c r="H820" s="41" t="s">
        <v>2616</v>
      </c>
      <c r="I820" s="43">
        <v>12</v>
      </c>
      <c r="J820" s="44" t="str">
        <f>VLOOKUP(G820,[1]硬件清单!$F:$F,1,0)</f>
        <v>LVS2000S2EF6A0A9EC</v>
      </c>
      <c r="K820" s="43"/>
      <c r="L820" s="44"/>
      <c r="M820" s="45" t="s">
        <v>2617</v>
      </c>
    </row>
    <row r="821" ht="30" customHeight="1" spans="1:13">
      <c r="A821" s="41">
        <f>IF(C821="","",SUBTOTAL(103,$C$2:C821))</f>
        <v>812</v>
      </c>
      <c r="B821" s="41">
        <v>600</v>
      </c>
      <c r="C821" s="41">
        <v>4916</v>
      </c>
      <c r="D821" s="41" t="s">
        <v>65</v>
      </c>
      <c r="E821" s="41" t="s">
        <v>220</v>
      </c>
      <c r="F821" s="41" t="s">
        <v>2618</v>
      </c>
      <c r="G821" s="51" t="s">
        <v>2619</v>
      </c>
      <c r="H821" s="41" t="s">
        <v>2620</v>
      </c>
      <c r="I821" s="43">
        <v>12</v>
      </c>
      <c r="J821" s="44" t="str">
        <f>VLOOKUP(G821,[1]硬件清单!$F:$F,1,0)</f>
        <v>YD-LDAP2000B2EF6DC2C42</v>
      </c>
      <c r="K821" s="43"/>
      <c r="L821" s="44"/>
      <c r="M821" s="45" t="s">
        <v>2621</v>
      </c>
    </row>
    <row r="822" ht="30" customHeight="1" spans="1:13">
      <c r="A822" s="41">
        <f>IF(C822="","",SUBTOTAL(103,$C$2:C822))</f>
        <v>813</v>
      </c>
      <c r="B822" s="41">
        <v>601</v>
      </c>
      <c r="C822" s="41">
        <v>4917</v>
      </c>
      <c r="D822" s="41" t="s">
        <v>65</v>
      </c>
      <c r="E822" s="41" t="s">
        <v>220</v>
      </c>
      <c r="F822" s="41" t="s">
        <v>2569</v>
      </c>
      <c r="G822" s="51" t="s">
        <v>2622</v>
      </c>
      <c r="H822" s="41" t="s">
        <v>2623</v>
      </c>
      <c r="I822" s="43">
        <v>12</v>
      </c>
      <c r="J822" s="44" t="str">
        <f>VLOOKUP(G822,[1]硬件清单!$F:$F,1,0)</f>
        <v>SH09012EF6DC2C41</v>
      </c>
      <c r="K822" s="43"/>
      <c r="L822" s="44"/>
      <c r="M822" s="45" t="s">
        <v>2624</v>
      </c>
    </row>
    <row r="823" ht="30" customHeight="1" spans="1:13">
      <c r="A823" s="41">
        <f>IF(C823="","",SUBTOTAL(103,$C$2:C823))</f>
        <v>814</v>
      </c>
      <c r="B823" s="41">
        <v>602</v>
      </c>
      <c r="C823" s="41">
        <v>4938</v>
      </c>
      <c r="D823" s="41" t="s">
        <v>65</v>
      </c>
      <c r="E823" s="41" t="s">
        <v>220</v>
      </c>
      <c r="F823" s="41" t="s">
        <v>2504</v>
      </c>
      <c r="G823" s="51" t="s">
        <v>2625</v>
      </c>
      <c r="H823" s="41" t="s">
        <v>2626</v>
      </c>
      <c r="I823" s="43">
        <v>12</v>
      </c>
      <c r="J823" s="44" t="str">
        <f>VLOOKUP(G823,[1]硬件清单!$F:$F,1,0)</f>
        <v>YD-SW1G-242EF6DC2C4D</v>
      </c>
      <c r="K823" s="43"/>
      <c r="L823" s="44"/>
      <c r="M823" s="45" t="s">
        <v>2627</v>
      </c>
    </row>
    <row r="824" ht="30" customHeight="1" spans="1:13">
      <c r="A824" s="41">
        <f>IF(C824="","",SUBTOTAL(103,$C$2:C824))</f>
        <v>815</v>
      </c>
      <c r="B824" s="41">
        <v>603</v>
      </c>
      <c r="C824" s="41">
        <v>4937</v>
      </c>
      <c r="D824" s="41" t="s">
        <v>65</v>
      </c>
      <c r="E824" s="41" t="s">
        <v>220</v>
      </c>
      <c r="F824" s="41" t="s">
        <v>2504</v>
      </c>
      <c r="G824" s="51" t="s">
        <v>2628</v>
      </c>
      <c r="H824" s="41" t="s">
        <v>2629</v>
      </c>
      <c r="I824" s="43">
        <v>12</v>
      </c>
      <c r="J824" s="44" t="str">
        <f>VLOOKUP(G824,[1]硬件清单!$F:$F,1,0)</f>
        <v>YD-SW1G-242EF6DC2C4E</v>
      </c>
      <c r="K824" s="43"/>
      <c r="L824" s="44"/>
      <c r="M824" s="45" t="s">
        <v>2630</v>
      </c>
    </row>
    <row r="825" ht="30" customHeight="1" spans="1:13">
      <c r="A825" s="41">
        <f>IF(C825="","",SUBTOTAL(103,$C$2:C825))</f>
        <v>816</v>
      </c>
      <c r="B825" s="41">
        <v>604</v>
      </c>
      <c r="C825" s="41">
        <v>4928</v>
      </c>
      <c r="D825" s="41" t="s">
        <v>65</v>
      </c>
      <c r="E825" s="41" t="s">
        <v>220</v>
      </c>
      <c r="F825" s="41" t="s">
        <v>2528</v>
      </c>
      <c r="G825" s="51" t="s">
        <v>2631</v>
      </c>
      <c r="H825" s="41" t="s">
        <v>2632</v>
      </c>
      <c r="I825" s="43">
        <v>12</v>
      </c>
      <c r="J825" s="44" t="str">
        <f>VLOOKUP(G825,[1]硬件清单!$F:$F,1,0)</f>
        <v>YD-SW10G-242EF6DC7A6C</v>
      </c>
      <c r="K825" s="43"/>
      <c r="L825" s="44"/>
      <c r="M825" s="45" t="s">
        <v>2633</v>
      </c>
    </row>
    <row r="826" ht="30" customHeight="1" spans="1:13">
      <c r="A826" s="41">
        <f>IF(C826="","",SUBTOTAL(103,$C$2:C826))</f>
        <v>817</v>
      </c>
      <c r="B826" s="41">
        <v>605</v>
      </c>
      <c r="C826" s="41">
        <v>4936</v>
      </c>
      <c r="D826" s="41" t="s">
        <v>65</v>
      </c>
      <c r="E826" s="41" t="s">
        <v>220</v>
      </c>
      <c r="F826" s="41" t="s">
        <v>2504</v>
      </c>
      <c r="G826" s="51" t="s">
        <v>2634</v>
      </c>
      <c r="H826" s="41" t="s">
        <v>2635</v>
      </c>
      <c r="I826" s="43">
        <v>12</v>
      </c>
      <c r="J826" s="44" t="str">
        <f>VLOOKUP(G826,[1]硬件清单!$F:$F,1,0)</f>
        <v>YD-SW1G-242EF6DC2C4F</v>
      </c>
      <c r="K826" s="43"/>
      <c r="L826" s="44"/>
      <c r="M826" s="45" t="s">
        <v>2636</v>
      </c>
    </row>
    <row r="827" ht="30" customHeight="1" spans="1:13">
      <c r="A827" s="41">
        <f>IF(C827="","",SUBTOTAL(103,$C$2:C827))</f>
        <v>818</v>
      </c>
      <c r="B827" s="41">
        <v>606</v>
      </c>
      <c r="C827" s="41">
        <v>4927</v>
      </c>
      <c r="D827" s="41" t="s">
        <v>65</v>
      </c>
      <c r="E827" s="41" t="s">
        <v>220</v>
      </c>
      <c r="F827" s="41" t="s">
        <v>2528</v>
      </c>
      <c r="G827" s="51" t="s">
        <v>2637</v>
      </c>
      <c r="H827" s="41" t="s">
        <v>2638</v>
      </c>
      <c r="I827" s="43">
        <v>12</v>
      </c>
      <c r="J827" s="44" t="str">
        <f>VLOOKUP(G827,[1]硬件清单!$F:$F,1,0)</f>
        <v>YD-SW10G-242EF6DC7A6B</v>
      </c>
      <c r="K827" s="43"/>
      <c r="L827" s="44"/>
      <c r="M827" s="45" t="s">
        <v>2639</v>
      </c>
    </row>
    <row r="828" ht="30" customHeight="1" spans="1:13">
      <c r="A828" s="41">
        <f>IF(C828="","",SUBTOTAL(103,$C$2:C828))</f>
        <v>819</v>
      </c>
      <c r="B828" s="41">
        <v>607</v>
      </c>
      <c r="C828" s="41">
        <v>4935</v>
      </c>
      <c r="D828" s="41" t="s">
        <v>65</v>
      </c>
      <c r="E828" s="41" t="s">
        <v>220</v>
      </c>
      <c r="F828" s="41" t="s">
        <v>2504</v>
      </c>
      <c r="G828" s="51" t="s">
        <v>2640</v>
      </c>
      <c r="H828" s="41" t="s">
        <v>2641</v>
      </c>
      <c r="I828" s="43">
        <v>12</v>
      </c>
      <c r="J828" s="44" t="str">
        <f>VLOOKUP(G828,[1]硬件清单!$F:$F,1,0)</f>
        <v>YD-SW1G-242EF6DC2C50</v>
      </c>
      <c r="K828" s="43"/>
      <c r="L828" s="44"/>
      <c r="M828" s="45" t="s">
        <v>2642</v>
      </c>
    </row>
    <row r="829" ht="30" customHeight="1" spans="1:13">
      <c r="A829" s="41">
        <f>IF(C829="","",SUBTOTAL(103,$C$2:C829))</f>
        <v>820</v>
      </c>
      <c r="B829" s="41">
        <v>608</v>
      </c>
      <c r="C829" s="41">
        <v>4898</v>
      </c>
      <c r="D829" s="41" t="s">
        <v>65</v>
      </c>
      <c r="E829" s="41" t="s">
        <v>220</v>
      </c>
      <c r="F829" s="41" t="s">
        <v>2550</v>
      </c>
      <c r="G829" s="51" t="s">
        <v>2643</v>
      </c>
      <c r="H829" s="41" t="s">
        <v>2644</v>
      </c>
      <c r="I829" s="43">
        <v>12</v>
      </c>
      <c r="J829" s="44" t="str">
        <f>VLOOKUP(G829,[1]硬件清单!$F:$F,1,0)</f>
        <v>ASG1000-III2EF6DC2C47</v>
      </c>
      <c r="K829" s="43"/>
      <c r="L829" s="44"/>
      <c r="M829" s="45" t="s">
        <v>2645</v>
      </c>
    </row>
    <row r="830" ht="30" customHeight="1" spans="1:13">
      <c r="A830" s="41">
        <f>IF(C830="","",SUBTOTAL(103,$C$2:C830))</f>
        <v>821</v>
      </c>
      <c r="B830" s="41">
        <v>609</v>
      </c>
      <c r="C830" s="41">
        <v>4897</v>
      </c>
      <c r="D830" s="41" t="s">
        <v>65</v>
      </c>
      <c r="E830" s="41" t="s">
        <v>220</v>
      </c>
      <c r="F830" s="41" t="s">
        <v>2550</v>
      </c>
      <c r="G830" s="51" t="s">
        <v>2646</v>
      </c>
      <c r="H830" s="41" t="s">
        <v>2647</v>
      </c>
      <c r="I830" s="43">
        <v>12</v>
      </c>
      <c r="J830" s="44" t="str">
        <f>VLOOKUP(G830,[1]硬件清单!$F:$F,1,0)</f>
        <v>ASG1000-III2EF6DC2C42</v>
      </c>
      <c r="K830" s="43"/>
      <c r="L830" s="44"/>
      <c r="M830" s="45" t="s">
        <v>2648</v>
      </c>
    </row>
    <row r="831" ht="30" customHeight="1" spans="1:13">
      <c r="A831" s="41">
        <f>IF(C831="","",SUBTOTAL(103,$C$2:C831))</f>
        <v>822</v>
      </c>
      <c r="B831" s="41">
        <v>610</v>
      </c>
      <c r="C831" s="41">
        <v>4896</v>
      </c>
      <c r="D831" s="41" t="s">
        <v>65</v>
      </c>
      <c r="E831" s="41" t="s">
        <v>220</v>
      </c>
      <c r="F831" s="41" t="s">
        <v>2550</v>
      </c>
      <c r="G831" s="51" t="s">
        <v>2649</v>
      </c>
      <c r="H831" s="41" t="s">
        <v>2650</v>
      </c>
      <c r="I831" s="43">
        <v>12</v>
      </c>
      <c r="J831" s="44" t="str">
        <f>VLOOKUP(G831,[1]硬件清单!$F:$F,1,0)</f>
        <v>ASG1000-III2EF6DC2C43</v>
      </c>
      <c r="K831" s="43"/>
      <c r="L831" s="44"/>
      <c r="M831" s="45" t="s">
        <v>2651</v>
      </c>
    </row>
    <row r="832" ht="30" customHeight="1" spans="1:13">
      <c r="A832" s="41">
        <f>IF(C832="","",SUBTOTAL(103,$C$2:C832))</f>
        <v>823</v>
      </c>
      <c r="B832" s="41">
        <v>611</v>
      </c>
      <c r="C832" s="41">
        <v>4911</v>
      </c>
      <c r="D832" s="41" t="s">
        <v>65</v>
      </c>
      <c r="E832" s="41" t="s">
        <v>220</v>
      </c>
      <c r="F832" s="41" t="s">
        <v>2652</v>
      </c>
      <c r="G832" s="51" t="s">
        <v>2653</v>
      </c>
      <c r="H832" s="41" t="s">
        <v>2654</v>
      </c>
      <c r="I832" s="43">
        <v>12</v>
      </c>
      <c r="J832" s="44" t="str">
        <f>VLOOKUP(G832,[1]硬件清单!$F:$F,1,0)</f>
        <v>EME42802EF6ADA235</v>
      </c>
      <c r="K832" s="43"/>
      <c r="L832" s="44"/>
      <c r="M832" s="45" t="s">
        <v>2655</v>
      </c>
    </row>
    <row r="833" ht="30" customHeight="1" spans="1:13">
      <c r="A833" s="41">
        <f>IF(C833="","",SUBTOTAL(103,$C$2:C833))</f>
        <v>824</v>
      </c>
      <c r="B833" s="41">
        <v>612</v>
      </c>
      <c r="C833" s="41">
        <v>4910</v>
      </c>
      <c r="D833" s="41" t="s">
        <v>65</v>
      </c>
      <c r="E833" s="41" t="s">
        <v>220</v>
      </c>
      <c r="F833" s="41" t="s">
        <v>2652</v>
      </c>
      <c r="G833" s="51" t="s">
        <v>2656</v>
      </c>
      <c r="H833" s="41" t="s">
        <v>2657</v>
      </c>
      <c r="I833" s="43">
        <v>12</v>
      </c>
      <c r="J833" s="44" t="str">
        <f>VLOOKUP(G833,[1]硬件清单!$F:$F,1,0)</f>
        <v>EME42802EF6BDF5E2</v>
      </c>
      <c r="K833" s="43"/>
      <c r="L833" s="44"/>
      <c r="M833" s="45" t="s">
        <v>2658</v>
      </c>
    </row>
    <row r="834" ht="30" customHeight="1" spans="1:13">
      <c r="A834" s="41">
        <f>IF(C834="","",SUBTOTAL(103,$C$2:C834))</f>
        <v>825</v>
      </c>
      <c r="B834" s="41">
        <v>613</v>
      </c>
      <c r="C834" s="41">
        <v>4909</v>
      </c>
      <c r="D834" s="41" t="s">
        <v>65</v>
      </c>
      <c r="E834" s="41" t="s">
        <v>220</v>
      </c>
      <c r="F834" s="41" t="s">
        <v>2652</v>
      </c>
      <c r="G834" s="51" t="s">
        <v>2659</v>
      </c>
      <c r="H834" s="41" t="s">
        <v>2660</v>
      </c>
      <c r="I834" s="43">
        <v>12</v>
      </c>
      <c r="J834" s="44" t="str">
        <f>VLOOKUP(G834,[1]硬件清单!$F:$F,1,0)</f>
        <v>EME42802EF6A0A9E1</v>
      </c>
      <c r="K834" s="43"/>
      <c r="L834" s="44"/>
      <c r="M834" s="45" t="s">
        <v>2661</v>
      </c>
    </row>
    <row r="835" ht="30" customHeight="1" spans="1:13">
      <c r="A835" s="41">
        <f>IF(C835="","",SUBTOTAL(103,$C$2:C835))</f>
        <v>826</v>
      </c>
      <c r="B835" s="41">
        <v>614</v>
      </c>
      <c r="C835" s="41">
        <v>4908</v>
      </c>
      <c r="D835" s="41" t="s">
        <v>65</v>
      </c>
      <c r="E835" s="41" t="s">
        <v>220</v>
      </c>
      <c r="F835" s="41" t="s">
        <v>2652</v>
      </c>
      <c r="G835" s="51" t="s">
        <v>2662</v>
      </c>
      <c r="H835" s="41" t="s">
        <v>2663</v>
      </c>
      <c r="I835" s="43">
        <v>12</v>
      </c>
      <c r="J835" s="44" t="str">
        <f>VLOOKUP(G835,[1]硬件清单!$F:$F,1,0)</f>
        <v>EME42802EF6ADA234</v>
      </c>
      <c r="K835" s="43"/>
      <c r="L835" s="44"/>
      <c r="M835" s="45" t="s">
        <v>2664</v>
      </c>
    </row>
    <row r="836" ht="30" customHeight="1" spans="1:13">
      <c r="A836" s="41">
        <f>IF(C836="","",SUBTOTAL(103,$C$2:C836))</f>
        <v>827</v>
      </c>
      <c r="B836" s="41">
        <v>615</v>
      </c>
      <c r="C836" s="41">
        <v>4907</v>
      </c>
      <c r="D836" s="41" t="s">
        <v>65</v>
      </c>
      <c r="E836" s="41" t="s">
        <v>220</v>
      </c>
      <c r="F836" s="41" t="s">
        <v>2652</v>
      </c>
      <c r="G836" s="51" t="s">
        <v>2665</v>
      </c>
      <c r="H836" s="41" t="s">
        <v>2666</v>
      </c>
      <c r="I836" s="43">
        <v>12</v>
      </c>
      <c r="J836" s="44" t="str">
        <f>VLOOKUP(G836,[1]硬件清单!$F:$F,1,0)</f>
        <v>EME42802EF6DC2C48</v>
      </c>
      <c r="K836" s="43"/>
      <c r="L836" s="44"/>
      <c r="M836" s="45" t="s">
        <v>2667</v>
      </c>
    </row>
    <row r="837" ht="30" customHeight="1" spans="1:13">
      <c r="A837" s="41">
        <f>IF(C837="","",SUBTOTAL(103,$C$2:C837))</f>
        <v>828</v>
      </c>
      <c r="B837" s="41">
        <v>616</v>
      </c>
      <c r="C837" s="41">
        <v>4905</v>
      </c>
      <c r="D837" s="41" t="s">
        <v>65</v>
      </c>
      <c r="E837" s="41" t="s">
        <v>220</v>
      </c>
      <c r="F837" s="41" t="s">
        <v>2521</v>
      </c>
      <c r="G837" s="51" t="s">
        <v>2668</v>
      </c>
      <c r="H837" s="41" t="s">
        <v>2669</v>
      </c>
      <c r="I837" s="43">
        <v>12</v>
      </c>
      <c r="J837" s="44" t="str">
        <f>VLOOKUP(G837,[1]硬件清单!$F:$F,1,0)</f>
        <v>LVS2000S2EF6A0A9F3</v>
      </c>
      <c r="K837" s="43"/>
      <c r="L837" s="44"/>
      <c r="M837" s="45" t="s">
        <v>2670</v>
      </c>
    </row>
    <row r="838" ht="30" customHeight="1" spans="1:13">
      <c r="A838" s="41">
        <f>IF(C838="","",SUBTOTAL(103,$C$2:C838))</f>
        <v>829</v>
      </c>
      <c r="B838" s="41">
        <v>617</v>
      </c>
      <c r="C838" s="41">
        <v>4906</v>
      </c>
      <c r="D838" s="41" t="s">
        <v>65</v>
      </c>
      <c r="E838" s="41" t="s">
        <v>220</v>
      </c>
      <c r="F838" s="41" t="s">
        <v>2521</v>
      </c>
      <c r="G838" s="51" t="s">
        <v>2671</v>
      </c>
      <c r="H838" s="41" t="s">
        <v>2672</v>
      </c>
      <c r="I838" s="43">
        <v>12</v>
      </c>
      <c r="J838" s="44" t="str">
        <f>VLOOKUP(G838,[1]硬件清单!$F:$F,1,0)</f>
        <v>LVS2000S2EF6A0A9F5</v>
      </c>
      <c r="K838" s="43"/>
      <c r="L838" s="44"/>
      <c r="M838" s="47" t="s">
        <v>2673</v>
      </c>
    </row>
    <row r="839" ht="30" customHeight="1" spans="1:13">
      <c r="A839" s="41">
        <f>IF(C839="","",SUBTOTAL(103,$C$2:C839))</f>
        <v>830</v>
      </c>
      <c r="B839" s="41">
        <v>618</v>
      </c>
      <c r="C839" s="41">
        <v>4915</v>
      </c>
      <c r="D839" s="41" t="s">
        <v>65</v>
      </c>
      <c r="E839" s="41" t="s">
        <v>220</v>
      </c>
      <c r="F839" s="41" t="s">
        <v>2618</v>
      </c>
      <c r="G839" s="51" t="s">
        <v>2674</v>
      </c>
      <c r="H839" s="41" t="s">
        <v>2675</v>
      </c>
      <c r="I839" s="43">
        <v>12</v>
      </c>
      <c r="J839" s="44" t="str">
        <f>VLOOKUP(G839,[1]硬件清单!$F:$F,1,0)</f>
        <v>YD-LDAP2000B2EF6DC2C41</v>
      </c>
      <c r="K839" s="43"/>
      <c r="L839" s="44"/>
      <c r="M839" s="45" t="s">
        <v>2676</v>
      </c>
    </row>
    <row r="840" ht="30" customHeight="1" spans="1:13">
      <c r="A840" s="41">
        <f>IF(C840="","",SUBTOTAL(103,$C$2:C840))</f>
        <v>831</v>
      </c>
      <c r="B840" s="41">
        <v>619</v>
      </c>
      <c r="C840" s="41">
        <v>4934</v>
      </c>
      <c r="D840" s="41" t="s">
        <v>65</v>
      </c>
      <c r="E840" s="41" t="s">
        <v>220</v>
      </c>
      <c r="F840" s="41" t="s">
        <v>2504</v>
      </c>
      <c r="G840" s="51" t="s">
        <v>2677</v>
      </c>
      <c r="H840" s="41" t="s">
        <v>2678</v>
      </c>
      <c r="I840" s="43">
        <v>12</v>
      </c>
      <c r="J840" s="44" t="str">
        <f>VLOOKUP(G840,[1]硬件清单!$F:$F,1,0)</f>
        <v>YD-SW1G-242EF6DC2C54</v>
      </c>
      <c r="K840" s="43"/>
      <c r="L840" s="44"/>
      <c r="M840" s="45" t="s">
        <v>2679</v>
      </c>
    </row>
    <row r="841" ht="30" customHeight="1" spans="1:13">
      <c r="A841" s="41">
        <f>IF(C841="","",SUBTOTAL(103,$C$2:C841))</f>
        <v>832</v>
      </c>
      <c r="B841" s="41">
        <v>620</v>
      </c>
      <c r="C841" s="41">
        <v>4933</v>
      </c>
      <c r="D841" s="41" t="s">
        <v>65</v>
      </c>
      <c r="E841" s="41" t="s">
        <v>220</v>
      </c>
      <c r="F841" s="41" t="s">
        <v>2504</v>
      </c>
      <c r="G841" s="51" t="s">
        <v>2680</v>
      </c>
      <c r="H841" s="41" t="s">
        <v>2681</v>
      </c>
      <c r="I841" s="43">
        <v>12</v>
      </c>
      <c r="J841" s="44" t="str">
        <f>VLOOKUP(G841,[1]硬件清单!$F:$F,1,0)</f>
        <v>YD-SW1G-242EF6DC2C53</v>
      </c>
      <c r="K841" s="43"/>
      <c r="L841" s="44"/>
      <c r="M841" s="45" t="s">
        <v>2682</v>
      </c>
    </row>
    <row r="842" ht="30" customHeight="1" spans="1:13">
      <c r="A842" s="41">
        <f>IF(C842="","",SUBTOTAL(103,$C$2:C842))</f>
        <v>833</v>
      </c>
      <c r="B842" s="41">
        <v>621</v>
      </c>
      <c r="C842" s="41">
        <v>4930</v>
      </c>
      <c r="D842" s="41" t="s">
        <v>65</v>
      </c>
      <c r="E842" s="41" t="s">
        <v>220</v>
      </c>
      <c r="F842" s="41" t="s">
        <v>2528</v>
      </c>
      <c r="G842" s="51" t="s">
        <v>2683</v>
      </c>
      <c r="H842" s="41" t="s">
        <v>2684</v>
      </c>
      <c r="I842" s="43">
        <v>12</v>
      </c>
      <c r="J842" s="44" t="str">
        <f>VLOOKUP(G842,[1]硬件清单!$F:$F,1,0)</f>
        <v>YD-SW10G-242EF6DC7A6A</v>
      </c>
      <c r="K842" s="43"/>
      <c r="L842" s="44"/>
      <c r="M842" s="45" t="s">
        <v>2685</v>
      </c>
    </row>
    <row r="843" ht="30" customHeight="1" spans="1:13">
      <c r="A843" s="41">
        <f>IF(C843="","",SUBTOTAL(103,$C$2:C843))</f>
        <v>834</v>
      </c>
      <c r="B843" s="41">
        <v>622</v>
      </c>
      <c r="C843" s="41">
        <v>4932</v>
      </c>
      <c r="D843" s="41" t="s">
        <v>65</v>
      </c>
      <c r="E843" s="41" t="s">
        <v>220</v>
      </c>
      <c r="F843" s="41" t="s">
        <v>2504</v>
      </c>
      <c r="G843" s="51" t="s">
        <v>2686</v>
      </c>
      <c r="H843" s="41" t="s">
        <v>2687</v>
      </c>
      <c r="I843" s="43">
        <v>12</v>
      </c>
      <c r="J843" s="44" t="str">
        <f>VLOOKUP(G843,[1]硬件清单!$F:$F,1,0)</f>
        <v>YD-SW1G-242EF6DC2C52</v>
      </c>
      <c r="K843" s="43"/>
      <c r="L843" s="44"/>
      <c r="M843" s="45" t="s">
        <v>2688</v>
      </c>
    </row>
    <row r="844" ht="30" customHeight="1" spans="1:13">
      <c r="A844" s="41">
        <f>IF(C844="","",SUBTOTAL(103,$C$2:C844))</f>
        <v>835</v>
      </c>
      <c r="B844" s="41">
        <v>623</v>
      </c>
      <c r="C844" s="41">
        <v>4929</v>
      </c>
      <c r="D844" s="41" t="s">
        <v>65</v>
      </c>
      <c r="E844" s="41" t="s">
        <v>220</v>
      </c>
      <c r="F844" s="41" t="s">
        <v>2528</v>
      </c>
      <c r="G844" s="51" t="s">
        <v>2689</v>
      </c>
      <c r="H844" s="41" t="s">
        <v>2690</v>
      </c>
      <c r="I844" s="43">
        <v>12</v>
      </c>
      <c r="J844" s="44" t="str">
        <f>VLOOKUP(G844,[1]硬件清单!$F:$F,1,0)</f>
        <v>YD-SW10G-242EF6DC7A69</v>
      </c>
      <c r="K844" s="43"/>
      <c r="L844" s="44"/>
      <c r="M844" s="45" t="s">
        <v>2691</v>
      </c>
    </row>
    <row r="845" ht="30" customHeight="1" spans="1:13">
      <c r="A845" s="41">
        <f>IF(C845="","",SUBTOTAL(103,$C$2:C845))</f>
        <v>836</v>
      </c>
      <c r="B845" s="41">
        <v>624</v>
      </c>
      <c r="C845" s="41">
        <v>4931</v>
      </c>
      <c r="D845" s="41" t="s">
        <v>65</v>
      </c>
      <c r="E845" s="41" t="s">
        <v>220</v>
      </c>
      <c r="F845" s="41" t="s">
        <v>2504</v>
      </c>
      <c r="G845" s="51" t="s">
        <v>2692</v>
      </c>
      <c r="H845" s="41" t="s">
        <v>2693</v>
      </c>
      <c r="I845" s="43">
        <v>12</v>
      </c>
      <c r="J845" s="44" t="str">
        <f>VLOOKUP(G845,[1]硬件清单!$F:$F,1,0)</f>
        <v>YD-SW1G-242EF6DC2C51</v>
      </c>
      <c r="K845" s="43"/>
      <c r="L845" s="44"/>
      <c r="M845" s="45" t="s">
        <v>2694</v>
      </c>
    </row>
    <row r="846" ht="30" customHeight="1" spans="1:13">
      <c r="A846" s="41">
        <f>IF(C846="","",SUBTOTAL(103,$C$2:C846))</f>
        <v>837</v>
      </c>
      <c r="B846" s="41">
        <v>625</v>
      </c>
      <c r="C846" s="41">
        <v>4914</v>
      </c>
      <c r="D846" s="41" t="s">
        <v>65</v>
      </c>
      <c r="E846" s="41" t="s">
        <v>220</v>
      </c>
      <c r="F846" s="41" t="s">
        <v>2652</v>
      </c>
      <c r="G846" s="51" t="s">
        <v>2695</v>
      </c>
      <c r="H846" s="41" t="s">
        <v>2696</v>
      </c>
      <c r="I846" s="43">
        <v>12</v>
      </c>
      <c r="J846" s="44" t="str">
        <f>VLOOKUP(G846,[1]硬件清单!$F:$F,1,0)</f>
        <v>EME42802EF6BDF5E1</v>
      </c>
      <c r="K846" s="43"/>
      <c r="L846" s="44"/>
      <c r="M846" s="45" t="s">
        <v>2697</v>
      </c>
    </row>
    <row r="847" ht="30" customHeight="1" spans="1:13">
      <c r="A847" s="41">
        <f>IF(C847="","",SUBTOTAL(103,$C$2:C847))</f>
        <v>838</v>
      </c>
      <c r="B847" s="41">
        <v>626</v>
      </c>
      <c r="C847" s="41">
        <v>4913</v>
      </c>
      <c r="D847" s="41" t="s">
        <v>65</v>
      </c>
      <c r="E847" s="41" t="s">
        <v>220</v>
      </c>
      <c r="F847" s="41" t="s">
        <v>2652</v>
      </c>
      <c r="G847" s="51" t="s">
        <v>2698</v>
      </c>
      <c r="H847" s="41" t="s">
        <v>2699</v>
      </c>
      <c r="I847" s="43">
        <v>12</v>
      </c>
      <c r="J847" s="44" t="str">
        <f>VLOOKUP(G847,[1]硬件清单!$F:$F,1,0)</f>
        <v>EME42802EF6BDF5E3</v>
      </c>
      <c r="K847" s="43"/>
      <c r="L847" s="44"/>
      <c r="M847" s="45" t="s">
        <v>2700</v>
      </c>
    </row>
    <row r="848" ht="30" customHeight="1" spans="1:13">
      <c r="A848" s="41">
        <f>IF(C848="","",SUBTOTAL(103,$C$2:C848))</f>
        <v>839</v>
      </c>
      <c r="B848" s="41">
        <v>627</v>
      </c>
      <c r="C848" s="41">
        <v>4912</v>
      </c>
      <c r="D848" s="41" t="s">
        <v>65</v>
      </c>
      <c r="E848" s="41" t="s">
        <v>220</v>
      </c>
      <c r="F848" s="41" t="s">
        <v>2652</v>
      </c>
      <c r="G848" s="51" t="s">
        <v>2701</v>
      </c>
      <c r="H848" s="41" t="s">
        <v>2702</v>
      </c>
      <c r="I848" s="43">
        <v>12</v>
      </c>
      <c r="J848" s="44" t="str">
        <f>VLOOKUP(G848,[1]硬件清单!$F:$F,1,0)</f>
        <v>EME42802EF6DC2C47</v>
      </c>
      <c r="K848" s="43"/>
      <c r="L848" s="44"/>
      <c r="M848" s="45" t="s">
        <v>2703</v>
      </c>
    </row>
    <row r="849" ht="30" customHeight="1" spans="1:13">
      <c r="A849" s="41">
        <f>IF(C849="","",SUBTOTAL(103,$C$2:C849))</f>
        <v>840</v>
      </c>
      <c r="B849" s="41">
        <v>628</v>
      </c>
      <c r="C849" s="41">
        <v>4864</v>
      </c>
      <c r="D849" s="41" t="s">
        <v>65</v>
      </c>
      <c r="E849" s="41" t="s">
        <v>220</v>
      </c>
      <c r="F849" s="41" t="s">
        <v>2491</v>
      </c>
      <c r="G849" s="51" t="s">
        <v>2704</v>
      </c>
      <c r="H849" s="41" t="s">
        <v>2705</v>
      </c>
      <c r="I849" s="43">
        <v>12</v>
      </c>
      <c r="J849" s="44" t="str">
        <f>VLOOKUP(G849,[1]硬件清单!$F:$F,1,0)</f>
        <v>SAC26502EF6DC2C54</v>
      </c>
      <c r="K849" s="43"/>
      <c r="L849" s="44"/>
      <c r="M849" s="45" t="s">
        <v>2706</v>
      </c>
    </row>
    <row r="850" ht="30" customHeight="1" spans="1:13">
      <c r="A850" s="41">
        <f>IF(C850="","",SUBTOTAL(103,$C$2:C850))</f>
        <v>841</v>
      </c>
      <c r="B850" s="41">
        <v>629</v>
      </c>
      <c r="C850" s="41">
        <v>4863</v>
      </c>
      <c r="D850" s="41" t="s">
        <v>65</v>
      </c>
      <c r="E850" s="41" t="s">
        <v>220</v>
      </c>
      <c r="F850" s="41" t="s">
        <v>2491</v>
      </c>
      <c r="G850" s="51" t="s">
        <v>2707</v>
      </c>
      <c r="H850" s="41" t="s">
        <v>2708</v>
      </c>
      <c r="I850" s="43">
        <v>12</v>
      </c>
      <c r="J850" s="44" t="str">
        <f>VLOOKUP(G850,[1]硬件清单!$F:$F,1,0)</f>
        <v>SAC26502EF6DC2C53</v>
      </c>
      <c r="K850" s="43"/>
      <c r="L850" s="44"/>
      <c r="M850" s="45" t="s">
        <v>2709</v>
      </c>
    </row>
    <row r="851" ht="30" customHeight="1" spans="1:13">
      <c r="A851" s="41">
        <f>IF(C851="","",SUBTOTAL(103,$C$2:C851))</f>
        <v>842</v>
      </c>
      <c r="B851" s="41">
        <v>630</v>
      </c>
      <c r="C851" s="41">
        <v>4862</v>
      </c>
      <c r="D851" s="41" t="s">
        <v>65</v>
      </c>
      <c r="E851" s="41" t="s">
        <v>220</v>
      </c>
      <c r="F851" s="41" t="s">
        <v>2491</v>
      </c>
      <c r="G851" s="51" t="s">
        <v>2710</v>
      </c>
      <c r="H851" s="41" t="s">
        <v>2711</v>
      </c>
      <c r="I851" s="43">
        <v>12</v>
      </c>
      <c r="J851" s="44" t="str">
        <f>VLOOKUP(G851,[1]硬件清单!$F:$F,1,0)</f>
        <v>SAC26502EF6DC2C52</v>
      </c>
      <c r="K851" s="43"/>
      <c r="L851" s="44"/>
      <c r="M851" s="45" t="s">
        <v>2712</v>
      </c>
    </row>
    <row r="852" ht="30" customHeight="1" spans="1:13">
      <c r="A852" s="41">
        <f>IF(C852="","",SUBTOTAL(103,$C$2:C852))</f>
        <v>843</v>
      </c>
      <c r="B852" s="41">
        <v>631</v>
      </c>
      <c r="C852" s="41">
        <v>4861</v>
      </c>
      <c r="D852" s="41" t="s">
        <v>65</v>
      </c>
      <c r="E852" s="41" t="s">
        <v>220</v>
      </c>
      <c r="F852" s="41" t="s">
        <v>2491</v>
      </c>
      <c r="G852" s="51" t="s">
        <v>2713</v>
      </c>
      <c r="H852" s="41" t="s">
        <v>2714</v>
      </c>
      <c r="I852" s="43">
        <v>12</v>
      </c>
      <c r="J852" s="44" t="str">
        <f>VLOOKUP(G852,[1]硬件清单!$F:$F,1,0)</f>
        <v>SAC26502EF6DC2C51</v>
      </c>
      <c r="K852" s="43"/>
      <c r="L852" s="44"/>
      <c r="M852" s="45" t="s">
        <v>2715</v>
      </c>
    </row>
    <row r="853" ht="30" customHeight="1" spans="1:13">
      <c r="A853" s="41">
        <f>IF(C853="","",SUBTOTAL(103,$C$2:C853))</f>
        <v>844</v>
      </c>
      <c r="B853" s="41">
        <v>632</v>
      </c>
      <c r="C853" s="41">
        <v>4947</v>
      </c>
      <c r="D853" s="41" t="s">
        <v>65</v>
      </c>
      <c r="E853" s="41" t="s">
        <v>220</v>
      </c>
      <c r="F853" s="41" t="s">
        <v>2504</v>
      </c>
      <c r="G853" s="51" t="s">
        <v>2716</v>
      </c>
      <c r="H853" s="41" t="s">
        <v>2717</v>
      </c>
      <c r="I853" s="43">
        <v>12</v>
      </c>
      <c r="J853" s="44" t="str">
        <f>VLOOKUP(G853,[1]硬件清单!$F:$F,1,0)</f>
        <v>YD-SW1G-242EF6DC2C46</v>
      </c>
      <c r="K853" s="43"/>
      <c r="L853" s="44"/>
      <c r="M853" s="45" t="s">
        <v>2718</v>
      </c>
    </row>
    <row r="854" ht="30" customHeight="1" spans="1:13">
      <c r="A854" s="41">
        <f>IF(C854="","",SUBTOTAL(103,$C$2:C854))</f>
        <v>845</v>
      </c>
      <c r="B854" s="41">
        <v>633</v>
      </c>
      <c r="C854" s="41">
        <v>4860</v>
      </c>
      <c r="D854" s="41" t="s">
        <v>65</v>
      </c>
      <c r="E854" s="41" t="s">
        <v>220</v>
      </c>
      <c r="F854" s="41" t="s">
        <v>2491</v>
      </c>
      <c r="G854" s="51" t="s">
        <v>2719</v>
      </c>
      <c r="H854" s="41" t="s">
        <v>2720</v>
      </c>
      <c r="I854" s="43">
        <v>12</v>
      </c>
      <c r="J854" s="44" t="str">
        <f>VLOOKUP(G854,[1]硬件清单!$F:$F,1,0)</f>
        <v>SAC26502EF6DC2C50</v>
      </c>
      <c r="K854" s="43"/>
      <c r="L854" s="44"/>
      <c r="M854" s="45" t="s">
        <v>2721</v>
      </c>
    </row>
    <row r="855" ht="30" customHeight="1" spans="1:13">
      <c r="A855" s="41">
        <f>IF(C855="","",SUBTOTAL(103,$C$2:C855))</f>
        <v>846</v>
      </c>
      <c r="B855" s="41">
        <v>634</v>
      </c>
      <c r="C855" s="41">
        <v>4859</v>
      </c>
      <c r="D855" s="41" t="s">
        <v>65</v>
      </c>
      <c r="E855" s="41" t="s">
        <v>220</v>
      </c>
      <c r="F855" s="41" t="s">
        <v>2491</v>
      </c>
      <c r="G855" s="51" t="s">
        <v>2722</v>
      </c>
      <c r="H855" s="41" t="s">
        <v>2723</v>
      </c>
      <c r="I855" s="43">
        <v>12</v>
      </c>
      <c r="J855" s="44" t="str">
        <f>VLOOKUP(G855,[1]硬件清单!$F:$F,1,0)</f>
        <v>SAC26502EF6DC2C4F</v>
      </c>
      <c r="K855" s="43"/>
      <c r="L855" s="44"/>
      <c r="M855" s="45" t="s">
        <v>2724</v>
      </c>
    </row>
    <row r="856" ht="30" customHeight="1" spans="1:13">
      <c r="A856" s="41">
        <f>IF(C856="","",SUBTOTAL(103,$C$2:C856))</f>
        <v>847</v>
      </c>
      <c r="B856" s="41">
        <v>635</v>
      </c>
      <c r="C856" s="41">
        <v>4858</v>
      </c>
      <c r="D856" s="41" t="s">
        <v>65</v>
      </c>
      <c r="E856" s="41" t="s">
        <v>220</v>
      </c>
      <c r="F856" s="41" t="s">
        <v>2491</v>
      </c>
      <c r="G856" s="51" t="s">
        <v>2725</v>
      </c>
      <c r="H856" s="41" t="s">
        <v>2726</v>
      </c>
      <c r="I856" s="43">
        <v>12</v>
      </c>
      <c r="J856" s="44" t="str">
        <f>VLOOKUP(G856,[1]硬件清单!$F:$F,1,0)</f>
        <v>SAC26502EF6DC2C4E</v>
      </c>
      <c r="K856" s="43"/>
      <c r="L856" s="44"/>
      <c r="M856" s="45" t="s">
        <v>2727</v>
      </c>
    </row>
    <row r="857" ht="30" customHeight="1" spans="1:13">
      <c r="A857" s="41">
        <f>IF(C857="","",SUBTOTAL(103,$C$2:C857))</f>
        <v>848</v>
      </c>
      <c r="B857" s="41">
        <v>636</v>
      </c>
      <c r="C857" s="41">
        <v>4901</v>
      </c>
      <c r="D857" s="41" t="s">
        <v>65</v>
      </c>
      <c r="E857" s="41" t="s">
        <v>220</v>
      </c>
      <c r="F857" s="41" t="s">
        <v>2521</v>
      </c>
      <c r="G857" s="51" t="s">
        <v>2728</v>
      </c>
      <c r="H857" s="41" t="s">
        <v>2729</v>
      </c>
      <c r="I857" s="43">
        <v>12</v>
      </c>
      <c r="J857" s="44" t="str">
        <f>VLOOKUP(G857,[1]硬件清单!$F:$F,1,0)</f>
        <v>LVS2000S2EF6DC2C43</v>
      </c>
      <c r="K857" s="43"/>
      <c r="L857" s="44"/>
      <c r="M857" s="45" t="s">
        <v>2730</v>
      </c>
    </row>
    <row r="858" ht="30" customHeight="1" spans="1:13">
      <c r="A858" s="41">
        <f>IF(C858="","",SUBTOTAL(103,$C$2:C858))</f>
        <v>849</v>
      </c>
      <c r="B858" s="41">
        <v>637</v>
      </c>
      <c r="C858" s="41">
        <v>4868</v>
      </c>
      <c r="D858" s="41" t="s">
        <v>65</v>
      </c>
      <c r="E858" s="41" t="s">
        <v>220</v>
      </c>
      <c r="F858" s="41" t="s">
        <v>2491</v>
      </c>
      <c r="G858" s="51" t="s">
        <v>2731</v>
      </c>
      <c r="H858" s="41" t="s">
        <v>2732</v>
      </c>
      <c r="I858" s="43">
        <v>12</v>
      </c>
      <c r="J858" s="44" t="str">
        <f>VLOOKUP(G858,[1]硬件清单!$F:$F,1,0)</f>
        <v>SAC26502EF6DC2C58</v>
      </c>
      <c r="K858" s="43"/>
      <c r="L858" s="44"/>
      <c r="M858" s="45" t="s">
        <v>2733</v>
      </c>
    </row>
    <row r="859" ht="30" customHeight="1" spans="1:13">
      <c r="A859" s="41">
        <f>IF(C859="","",SUBTOTAL(103,$C$2:C859))</f>
        <v>850</v>
      </c>
      <c r="B859" s="41">
        <v>638</v>
      </c>
      <c r="C859" s="41">
        <v>4922</v>
      </c>
      <c r="D859" s="41" t="s">
        <v>65</v>
      </c>
      <c r="E859" s="41" t="s">
        <v>220</v>
      </c>
      <c r="F859" s="41" t="s">
        <v>2528</v>
      </c>
      <c r="G859" s="51" t="s">
        <v>2734</v>
      </c>
      <c r="H859" s="41" t="s">
        <v>2735</v>
      </c>
      <c r="I859" s="43">
        <v>12</v>
      </c>
      <c r="J859" s="44" t="str">
        <f>VLOOKUP(G859,[1]硬件清单!$F:$F,1,0)</f>
        <v>YD-SW10G-242EF6DC7A64</v>
      </c>
      <c r="K859" s="43"/>
      <c r="L859" s="44"/>
      <c r="M859" s="45" t="s">
        <v>2736</v>
      </c>
    </row>
    <row r="860" ht="30" customHeight="1" spans="1:13">
      <c r="A860" s="41">
        <f>IF(C860="","",SUBTOTAL(103,$C$2:C860))</f>
        <v>851</v>
      </c>
      <c r="B860" s="41">
        <v>639</v>
      </c>
      <c r="C860" s="41">
        <v>4946</v>
      </c>
      <c r="D860" s="41" t="s">
        <v>65</v>
      </c>
      <c r="E860" s="41" t="s">
        <v>220</v>
      </c>
      <c r="F860" s="41" t="s">
        <v>2504</v>
      </c>
      <c r="G860" s="51" t="s">
        <v>2737</v>
      </c>
      <c r="H860" s="41" t="s">
        <v>2738</v>
      </c>
      <c r="I860" s="43">
        <v>12</v>
      </c>
      <c r="J860" s="44" t="str">
        <f>VLOOKUP(G860,[1]硬件清单!$F:$F,1,0)</f>
        <v>YD-SW1G-242EF6DC2C45</v>
      </c>
      <c r="K860" s="43"/>
      <c r="L860" s="44"/>
      <c r="M860" s="45" t="s">
        <v>2739</v>
      </c>
    </row>
    <row r="861" s="26" customFormat="1" ht="30" customHeight="1" spans="1:13">
      <c r="A861" s="41">
        <f>IF(C861="","",SUBTOTAL(103,$C$2:C861))</f>
        <v>852</v>
      </c>
      <c r="B861" s="41">
        <v>640</v>
      </c>
      <c r="C861" s="41">
        <v>4921</v>
      </c>
      <c r="D861" s="41" t="s">
        <v>65</v>
      </c>
      <c r="E861" s="41" t="s">
        <v>220</v>
      </c>
      <c r="F861" s="41" t="s">
        <v>2528</v>
      </c>
      <c r="G861" s="51" t="s">
        <v>2740</v>
      </c>
      <c r="H861" s="41" t="s">
        <v>2741</v>
      </c>
      <c r="I861" s="43">
        <v>12</v>
      </c>
      <c r="J861" s="44" t="str">
        <f>VLOOKUP(G861,[1]硬件清单!$F:$F,1,0)</f>
        <v>YD-SW10G-242EF6DC7A63</v>
      </c>
      <c r="K861" s="43"/>
      <c r="L861" s="44"/>
      <c r="M861" s="45" t="s">
        <v>2742</v>
      </c>
    </row>
    <row r="862" s="26" customFormat="1" ht="30" customHeight="1" spans="1:13">
      <c r="A862" s="41">
        <f>IF(C862="","",SUBTOTAL(103,$C$2:C862))</f>
        <v>853</v>
      </c>
      <c r="B862" s="41">
        <v>641</v>
      </c>
      <c r="C862" s="41">
        <v>4945</v>
      </c>
      <c r="D862" s="41" t="s">
        <v>65</v>
      </c>
      <c r="E862" s="41" t="s">
        <v>220</v>
      </c>
      <c r="F862" s="41" t="s">
        <v>2504</v>
      </c>
      <c r="G862" s="51" t="s">
        <v>2743</v>
      </c>
      <c r="H862" s="41" t="s">
        <v>2744</v>
      </c>
      <c r="I862" s="43">
        <v>12</v>
      </c>
      <c r="J862" s="44" t="str">
        <f>VLOOKUP(G862,[1]硬件清单!$F:$F,1,0)</f>
        <v>YD-SW1G-242EF6DC2C44</v>
      </c>
      <c r="K862" s="43"/>
      <c r="L862" s="44"/>
      <c r="M862" s="45" t="s">
        <v>2745</v>
      </c>
    </row>
    <row r="863" s="26" customFormat="1" ht="30" customHeight="1" spans="1:13">
      <c r="A863" s="41">
        <f>IF(C863="","",SUBTOTAL(103,$C$2:C863))</f>
        <v>854</v>
      </c>
      <c r="B863" s="41">
        <v>642</v>
      </c>
      <c r="C863" s="41">
        <v>4867</v>
      </c>
      <c r="D863" s="41" t="s">
        <v>65</v>
      </c>
      <c r="E863" s="41" t="s">
        <v>220</v>
      </c>
      <c r="F863" s="41" t="s">
        <v>2491</v>
      </c>
      <c r="G863" s="51" t="s">
        <v>2746</v>
      </c>
      <c r="H863" s="41" t="s">
        <v>2747</v>
      </c>
      <c r="I863" s="43">
        <v>12</v>
      </c>
      <c r="J863" s="44" t="str">
        <f>VLOOKUP(G863,[1]硬件清单!$F:$F,1,0)</f>
        <v>SAC26502EF6DC2C57</v>
      </c>
      <c r="K863" s="43"/>
      <c r="L863" s="44"/>
      <c r="M863" s="45" t="s">
        <v>2748</v>
      </c>
    </row>
    <row r="864" ht="30" customHeight="1" spans="1:13">
      <c r="A864" s="41">
        <f>IF(C864="","",SUBTOTAL(103,$C$2:C864))</f>
        <v>855</v>
      </c>
      <c r="B864" s="41">
        <v>643</v>
      </c>
      <c r="C864" s="41">
        <v>4866</v>
      </c>
      <c r="D864" s="41" t="s">
        <v>65</v>
      </c>
      <c r="E864" s="41" t="s">
        <v>220</v>
      </c>
      <c r="F864" s="41" t="s">
        <v>2491</v>
      </c>
      <c r="G864" s="51" t="s">
        <v>2749</v>
      </c>
      <c r="H864" s="41" t="s">
        <v>2750</v>
      </c>
      <c r="I864" s="43">
        <v>12</v>
      </c>
      <c r="J864" s="44" t="str">
        <f>VLOOKUP(G864,[1]硬件清单!$F:$F,1,0)</f>
        <v>SAC26502EF6DC2C56</v>
      </c>
      <c r="K864" s="43"/>
      <c r="L864" s="44"/>
      <c r="M864" s="45" t="s">
        <v>2751</v>
      </c>
    </row>
    <row r="865" ht="30" customHeight="1" spans="1:13">
      <c r="A865" s="41">
        <f>IF(C865="","",SUBTOTAL(103,$C$2:C865))</f>
        <v>856</v>
      </c>
      <c r="B865" s="41">
        <v>644</v>
      </c>
      <c r="C865" s="41">
        <v>4865</v>
      </c>
      <c r="D865" s="41" t="s">
        <v>65</v>
      </c>
      <c r="E865" s="41" t="s">
        <v>220</v>
      </c>
      <c r="F865" s="41" t="s">
        <v>2491</v>
      </c>
      <c r="G865" s="51" t="s">
        <v>2752</v>
      </c>
      <c r="H865" s="41" t="s">
        <v>2753</v>
      </c>
      <c r="I865" s="43">
        <v>12</v>
      </c>
      <c r="J865" s="44" t="str">
        <f>VLOOKUP(G865,[1]硬件清单!$F:$F,1,0)</f>
        <v>SAC26502EF6DC2C55</v>
      </c>
      <c r="K865" s="43"/>
      <c r="L865" s="44"/>
      <c r="M865" s="45" t="s">
        <v>2754</v>
      </c>
    </row>
    <row r="866" ht="30" customHeight="1" spans="1:13">
      <c r="A866" s="41">
        <f>IF(C866="","",SUBTOTAL(103,$C$2:C866))</f>
        <v>857</v>
      </c>
      <c r="B866" s="41">
        <v>645</v>
      </c>
      <c r="C866" s="41">
        <v>4877</v>
      </c>
      <c r="D866" s="41" t="s">
        <v>65</v>
      </c>
      <c r="E866" s="41" t="s">
        <v>220</v>
      </c>
      <c r="F866" s="41" t="s">
        <v>2491</v>
      </c>
      <c r="G866" s="51" t="s">
        <v>2755</v>
      </c>
      <c r="H866" s="41" t="s">
        <v>2756</v>
      </c>
      <c r="I866" s="43">
        <v>12</v>
      </c>
      <c r="J866" s="44" t="str">
        <f>VLOOKUP(G866,[1]硬件清单!$F:$F,1,0)</f>
        <v>SAC26502EF6DC2C60</v>
      </c>
      <c r="K866" s="43"/>
      <c r="L866" s="44"/>
      <c r="M866" s="45" t="s">
        <v>2757</v>
      </c>
    </row>
    <row r="867" ht="30" customHeight="1" spans="1:13">
      <c r="A867" s="41">
        <f>IF(C867="","",SUBTOTAL(103,$C$2:C867))</f>
        <v>858</v>
      </c>
      <c r="B867" s="41">
        <v>646</v>
      </c>
      <c r="C867" s="41">
        <v>4876</v>
      </c>
      <c r="D867" s="41" t="s">
        <v>65</v>
      </c>
      <c r="E867" s="41" t="s">
        <v>220</v>
      </c>
      <c r="F867" s="41" t="s">
        <v>2491</v>
      </c>
      <c r="G867" s="51" t="s">
        <v>2758</v>
      </c>
      <c r="H867" s="41" t="s">
        <v>2759</v>
      </c>
      <c r="I867" s="43">
        <v>12</v>
      </c>
      <c r="J867" s="44" t="str">
        <f>VLOOKUP(G867,[1]硬件清单!$F:$F,1,0)</f>
        <v>SAC26502EF6DC2C5F</v>
      </c>
      <c r="K867" s="43"/>
      <c r="L867" s="44"/>
      <c r="M867" s="45" t="s">
        <v>2760</v>
      </c>
    </row>
    <row r="868" ht="30" customHeight="1" spans="1:13">
      <c r="A868" s="41">
        <f>IF(C868="","",SUBTOTAL(103,$C$2:C868))</f>
        <v>859</v>
      </c>
      <c r="B868" s="41">
        <v>647</v>
      </c>
      <c r="C868" s="41">
        <v>4875</v>
      </c>
      <c r="D868" s="41" t="s">
        <v>65</v>
      </c>
      <c r="E868" s="41" t="s">
        <v>220</v>
      </c>
      <c r="F868" s="41" t="s">
        <v>2491</v>
      </c>
      <c r="G868" s="51" t="s">
        <v>2761</v>
      </c>
      <c r="H868" s="41" t="s">
        <v>2762</v>
      </c>
      <c r="I868" s="43">
        <v>12</v>
      </c>
      <c r="J868" s="44" t="str">
        <f>VLOOKUP(G868,[1]硬件清单!$F:$F,1,0)</f>
        <v>SAC26502EF6DC2C5E</v>
      </c>
      <c r="K868" s="43"/>
      <c r="L868" s="44"/>
      <c r="M868" s="45" t="s">
        <v>2763</v>
      </c>
    </row>
    <row r="869" ht="30" customHeight="1" spans="1:13">
      <c r="A869" s="41">
        <f>IF(C869="","",SUBTOTAL(103,$C$2:C869))</f>
        <v>860</v>
      </c>
      <c r="B869" s="41">
        <v>648</v>
      </c>
      <c r="C869" s="41">
        <v>4874</v>
      </c>
      <c r="D869" s="41" t="s">
        <v>65</v>
      </c>
      <c r="E869" s="41" t="s">
        <v>220</v>
      </c>
      <c r="F869" s="41" t="s">
        <v>2491</v>
      </c>
      <c r="G869" s="51" t="s">
        <v>2764</v>
      </c>
      <c r="H869" s="41" t="s">
        <v>2765</v>
      </c>
      <c r="I869" s="43">
        <v>12</v>
      </c>
      <c r="J869" s="44" t="str">
        <f>VLOOKUP(G869,[1]硬件清单!$F:$F,1,0)</f>
        <v>SAC26502EF6DC2C5D</v>
      </c>
      <c r="K869" s="43"/>
      <c r="L869" s="44"/>
      <c r="M869" s="45" t="s">
        <v>2766</v>
      </c>
    </row>
    <row r="870" ht="30" customHeight="1" spans="1:13">
      <c r="A870" s="41">
        <f>IF(C870="","",SUBTOTAL(103,$C$2:C870))</f>
        <v>861</v>
      </c>
      <c r="B870" s="41">
        <v>649</v>
      </c>
      <c r="C870" s="41">
        <v>4944</v>
      </c>
      <c r="D870" s="41" t="s">
        <v>65</v>
      </c>
      <c r="E870" s="41" t="s">
        <v>220</v>
      </c>
      <c r="F870" s="41" t="s">
        <v>2504</v>
      </c>
      <c r="G870" s="51" t="s">
        <v>2767</v>
      </c>
      <c r="H870" s="41" t="s">
        <v>2768</v>
      </c>
      <c r="I870" s="43">
        <v>12</v>
      </c>
      <c r="J870" s="44" t="str">
        <f>VLOOKUP(G870,[1]硬件清单!$F:$F,1,0)</f>
        <v>YD-SW1G-242EF6DC2C47</v>
      </c>
      <c r="K870" s="43"/>
      <c r="L870" s="44"/>
      <c r="M870" s="45" t="s">
        <v>2769</v>
      </c>
    </row>
    <row r="871" ht="30" customHeight="1" spans="1:13">
      <c r="A871" s="41">
        <f>IF(C871="","",SUBTOTAL(103,$C$2:C871))</f>
        <v>862</v>
      </c>
      <c r="B871" s="41">
        <v>650</v>
      </c>
      <c r="C871" s="41">
        <v>4873</v>
      </c>
      <c r="D871" s="41" t="s">
        <v>65</v>
      </c>
      <c r="E871" s="41" t="s">
        <v>220</v>
      </c>
      <c r="F871" s="41" t="s">
        <v>2491</v>
      </c>
      <c r="G871" s="51" t="s">
        <v>2770</v>
      </c>
      <c r="H871" s="41" t="s">
        <v>2771</v>
      </c>
      <c r="I871" s="43">
        <v>12</v>
      </c>
      <c r="J871" s="44" t="str">
        <f>VLOOKUP(G871,[1]硬件清单!$F:$F,1,0)</f>
        <v>SAC26502EF6DC2C5C</v>
      </c>
      <c r="K871" s="43"/>
      <c r="L871" s="44"/>
      <c r="M871" s="45" t="s">
        <v>2772</v>
      </c>
    </row>
    <row r="872" ht="30" customHeight="1" spans="1:13">
      <c r="A872" s="41">
        <f>IF(C872="","",SUBTOTAL(103,$C$2:C872))</f>
        <v>863</v>
      </c>
      <c r="B872" s="41">
        <v>651</v>
      </c>
      <c r="C872" s="41">
        <v>4872</v>
      </c>
      <c r="D872" s="41" t="s">
        <v>65</v>
      </c>
      <c r="E872" s="41" t="s">
        <v>220</v>
      </c>
      <c r="F872" s="41" t="s">
        <v>2491</v>
      </c>
      <c r="G872" s="51" t="s">
        <v>2773</v>
      </c>
      <c r="H872" s="41" t="s">
        <v>2774</v>
      </c>
      <c r="I872" s="43">
        <v>12</v>
      </c>
      <c r="J872" s="44" t="str">
        <f>VLOOKUP(G872,[1]硬件清单!$F:$F,1,0)</f>
        <v>SAC26502EF6DC2C5B</v>
      </c>
      <c r="K872" s="43"/>
      <c r="L872" s="44"/>
      <c r="M872" s="45" t="s">
        <v>2775</v>
      </c>
    </row>
    <row r="873" ht="30" customHeight="1" spans="1:13">
      <c r="A873" s="41">
        <f>IF(C873="","",SUBTOTAL(103,$C$2:C873))</f>
        <v>864</v>
      </c>
      <c r="B873" s="41">
        <v>652</v>
      </c>
      <c r="C873" s="41">
        <v>4871</v>
      </c>
      <c r="D873" s="41" t="s">
        <v>65</v>
      </c>
      <c r="E873" s="41" t="s">
        <v>220</v>
      </c>
      <c r="F873" s="41" t="s">
        <v>2491</v>
      </c>
      <c r="G873" s="51" t="s">
        <v>2776</v>
      </c>
      <c r="H873" s="41" t="s">
        <v>2777</v>
      </c>
      <c r="I873" s="43">
        <v>12</v>
      </c>
      <c r="J873" s="44" t="str">
        <f>VLOOKUP(G873,[1]硬件清单!$F:$F,1,0)</f>
        <v>SAC26502EF6DC2C5A</v>
      </c>
      <c r="K873" s="43"/>
      <c r="L873" s="44"/>
      <c r="M873" s="45" t="s">
        <v>2778</v>
      </c>
    </row>
    <row r="874" ht="30" customHeight="1" spans="1:13">
      <c r="A874" s="41">
        <f>IF(C874="","",SUBTOTAL(103,$C$2:C874))</f>
        <v>865</v>
      </c>
      <c r="B874" s="41">
        <v>653</v>
      </c>
      <c r="C874" s="41">
        <v>4870</v>
      </c>
      <c r="D874" s="41" t="s">
        <v>65</v>
      </c>
      <c r="E874" s="41" t="s">
        <v>220</v>
      </c>
      <c r="F874" s="41" t="s">
        <v>2491</v>
      </c>
      <c r="G874" s="51" t="s">
        <v>2779</v>
      </c>
      <c r="H874" s="41" t="s">
        <v>2780</v>
      </c>
      <c r="I874" s="43">
        <v>12</v>
      </c>
      <c r="J874" s="44" t="str">
        <f>VLOOKUP(G874,[1]硬件清单!$F:$F,1,0)</f>
        <v>SAC26502EF6DC2C59</v>
      </c>
      <c r="K874" s="43"/>
      <c r="L874" s="44"/>
      <c r="M874" s="45" t="s">
        <v>2781</v>
      </c>
    </row>
    <row r="875" ht="30" customHeight="1" spans="1:13">
      <c r="A875" s="41">
        <f>IF(C875="","",SUBTOTAL(103,$C$2:C875))</f>
        <v>866</v>
      </c>
      <c r="B875" s="41">
        <v>654</v>
      </c>
      <c r="C875" s="41">
        <v>4869</v>
      </c>
      <c r="D875" s="41" t="s">
        <v>65</v>
      </c>
      <c r="E875" s="41" t="s">
        <v>220</v>
      </c>
      <c r="F875" s="41" t="s">
        <v>2491</v>
      </c>
      <c r="G875" s="41" t="s">
        <v>2782</v>
      </c>
      <c r="H875" s="41" t="s">
        <v>2783</v>
      </c>
      <c r="I875" s="43">
        <v>12</v>
      </c>
      <c r="J875" s="44" t="str">
        <f>VLOOKUP(G875,[1]硬件清单!$F:$F,1,0)</f>
        <v>SAC26502EF6DC2C41</v>
      </c>
      <c r="K875" s="43"/>
      <c r="L875" s="44"/>
      <c r="M875" s="45" t="s">
        <v>2784</v>
      </c>
    </row>
    <row r="876" ht="30" customHeight="1" spans="1:13">
      <c r="A876" s="41">
        <f>IF(C876="","",SUBTOTAL(103,$C$2:C876))</f>
        <v>867</v>
      </c>
      <c r="B876" s="41">
        <v>655</v>
      </c>
      <c r="C876" s="41">
        <v>4881</v>
      </c>
      <c r="D876" s="41" t="s">
        <v>65</v>
      </c>
      <c r="E876" s="41" t="s">
        <v>220</v>
      </c>
      <c r="F876" s="41" t="s">
        <v>2491</v>
      </c>
      <c r="G876" s="51" t="s">
        <v>2785</v>
      </c>
      <c r="H876" s="41" t="s">
        <v>2786</v>
      </c>
      <c r="I876" s="43">
        <v>12</v>
      </c>
      <c r="J876" s="44" t="str">
        <f>VLOOKUP(G876,[1]硬件清单!$F:$F,1,0)</f>
        <v>SAC26502EF6DC2C64</v>
      </c>
      <c r="K876" s="43"/>
      <c r="L876" s="44"/>
      <c r="M876" s="45" t="s">
        <v>2787</v>
      </c>
    </row>
    <row r="877" ht="30" customHeight="1" spans="1:13">
      <c r="A877" s="41">
        <f>IF(C877="","",SUBTOTAL(103,$C$2:C877))</f>
        <v>868</v>
      </c>
      <c r="B877" s="41">
        <v>656</v>
      </c>
      <c r="C877" s="41">
        <v>4924</v>
      </c>
      <c r="D877" s="41" t="s">
        <v>65</v>
      </c>
      <c r="E877" s="41" t="s">
        <v>220</v>
      </c>
      <c r="F877" s="41" t="s">
        <v>2528</v>
      </c>
      <c r="G877" s="51" t="s">
        <v>2788</v>
      </c>
      <c r="H877" s="41" t="s">
        <v>2789</v>
      </c>
      <c r="I877" s="43">
        <v>12</v>
      </c>
      <c r="J877" s="44" t="str">
        <f>VLOOKUP(G877,[1]硬件清单!$F:$F,1,0)</f>
        <v>YD-SW10G-242EF6DC7A66</v>
      </c>
      <c r="K877" s="43"/>
      <c r="L877" s="44"/>
      <c r="M877" s="45" t="s">
        <v>2790</v>
      </c>
    </row>
    <row r="878" s="26" customFormat="1" ht="30" customHeight="1" spans="1:13">
      <c r="A878" s="41">
        <f>IF(C878="","",SUBTOTAL(103,$C$2:C878))</f>
        <v>869</v>
      </c>
      <c r="B878" s="41">
        <v>657</v>
      </c>
      <c r="C878" s="41">
        <v>4943</v>
      </c>
      <c r="D878" s="41" t="s">
        <v>65</v>
      </c>
      <c r="E878" s="41" t="s">
        <v>220</v>
      </c>
      <c r="F878" s="41" t="s">
        <v>2504</v>
      </c>
      <c r="G878" s="51" t="s">
        <v>2791</v>
      </c>
      <c r="H878" s="41" t="s">
        <v>2792</v>
      </c>
      <c r="I878" s="43">
        <v>12</v>
      </c>
      <c r="J878" s="44" t="str">
        <f>VLOOKUP(G878,[1]硬件清单!$F:$F,1,0)</f>
        <v>YD-SW1G-242EF6DC2C48</v>
      </c>
      <c r="K878" s="43"/>
      <c r="L878" s="44"/>
      <c r="M878" s="45" t="s">
        <v>2793</v>
      </c>
    </row>
    <row r="879" ht="30" customHeight="1" spans="1:13">
      <c r="A879" s="41">
        <f>IF(C879="","",SUBTOTAL(103,$C$2:C879))</f>
        <v>870</v>
      </c>
      <c r="B879" s="41">
        <v>658</v>
      </c>
      <c r="C879" s="41">
        <v>4923</v>
      </c>
      <c r="D879" s="41" t="s">
        <v>65</v>
      </c>
      <c r="E879" s="41" t="s">
        <v>220</v>
      </c>
      <c r="F879" s="41" t="s">
        <v>2528</v>
      </c>
      <c r="G879" s="41" t="s">
        <v>2794</v>
      </c>
      <c r="H879" s="41" t="s">
        <v>2795</v>
      </c>
      <c r="I879" s="43">
        <v>12</v>
      </c>
      <c r="J879" s="44" t="str">
        <f>VLOOKUP(G879,[1]硬件清单!$F:$F,1,0)</f>
        <v>YD-SW10G-242EF6DC7A65</v>
      </c>
      <c r="K879" s="43"/>
      <c r="L879" s="44"/>
      <c r="M879" s="45" t="s">
        <v>2796</v>
      </c>
    </row>
    <row r="880" ht="30" customHeight="1" spans="1:13">
      <c r="A880" s="41">
        <f>IF(C880="","",SUBTOTAL(103,$C$2:C880))</f>
        <v>871</v>
      </c>
      <c r="B880" s="41">
        <v>659</v>
      </c>
      <c r="C880" s="41">
        <v>4942</v>
      </c>
      <c r="D880" s="41" t="s">
        <v>65</v>
      </c>
      <c r="E880" s="41" t="s">
        <v>220</v>
      </c>
      <c r="F880" s="41" t="s">
        <v>2504</v>
      </c>
      <c r="G880" s="41" t="s">
        <v>2797</v>
      </c>
      <c r="H880" s="41" t="s">
        <v>2798</v>
      </c>
      <c r="I880" s="43">
        <v>12</v>
      </c>
      <c r="J880" s="44" t="str">
        <f>VLOOKUP(G880,[1]硬件清单!$F:$F,1,0)</f>
        <v>YD-SW1G-242EF6DC2C49</v>
      </c>
      <c r="K880" s="43"/>
      <c r="L880" s="44"/>
      <c r="M880" s="45" t="s">
        <v>2799</v>
      </c>
    </row>
    <row r="881" ht="30" customHeight="1" spans="1:13">
      <c r="A881" s="41">
        <f>IF(C881="","",SUBTOTAL(103,$C$2:C881))</f>
        <v>872</v>
      </c>
      <c r="B881" s="41">
        <v>660</v>
      </c>
      <c r="C881" s="41">
        <v>4880</v>
      </c>
      <c r="D881" s="41" t="s">
        <v>65</v>
      </c>
      <c r="E881" s="41" t="s">
        <v>220</v>
      </c>
      <c r="F881" s="41" t="s">
        <v>2491</v>
      </c>
      <c r="G881" s="41" t="s">
        <v>2800</v>
      </c>
      <c r="H881" s="41" t="s">
        <v>2801</v>
      </c>
      <c r="I881" s="43">
        <v>12</v>
      </c>
      <c r="J881" s="44" t="str">
        <f>VLOOKUP(G881,[1]硬件清单!$F:$F,1,0)</f>
        <v>SAC26502EF6DC2C63</v>
      </c>
      <c r="K881" s="43"/>
      <c r="L881" s="44"/>
      <c r="M881" s="45" t="s">
        <v>2802</v>
      </c>
    </row>
    <row r="882" ht="30" customHeight="1" spans="1:13">
      <c r="A882" s="41">
        <f>IF(C882="","",SUBTOTAL(103,$C$2:C882))</f>
        <v>873</v>
      </c>
      <c r="B882" s="41">
        <v>661</v>
      </c>
      <c r="C882" s="41">
        <v>4879</v>
      </c>
      <c r="D882" s="41" t="s">
        <v>65</v>
      </c>
      <c r="E882" s="41" t="s">
        <v>220</v>
      </c>
      <c r="F882" s="41" t="s">
        <v>2491</v>
      </c>
      <c r="G882" s="51" t="s">
        <v>2803</v>
      </c>
      <c r="H882" s="41" t="s">
        <v>2804</v>
      </c>
      <c r="I882" s="43">
        <v>12</v>
      </c>
      <c r="J882" s="44" t="str">
        <f>VLOOKUP(G882,[1]硬件清单!$F:$F,1,0)</f>
        <v>SAC26502EF6DC2C62</v>
      </c>
      <c r="K882" s="43"/>
      <c r="L882" s="44"/>
      <c r="M882" s="45" t="s">
        <v>2805</v>
      </c>
    </row>
    <row r="883" ht="30" customHeight="1" spans="1:13">
      <c r="A883" s="41">
        <f>IF(C883="","",SUBTOTAL(103,$C$2:C883))</f>
        <v>874</v>
      </c>
      <c r="B883" s="41">
        <v>662</v>
      </c>
      <c r="C883" s="41">
        <v>4878</v>
      </c>
      <c r="D883" s="41" t="s">
        <v>65</v>
      </c>
      <c r="E883" s="41" t="s">
        <v>220</v>
      </c>
      <c r="F883" s="41" t="s">
        <v>2491</v>
      </c>
      <c r="G883" s="41" t="s">
        <v>2806</v>
      </c>
      <c r="H883" s="41" t="s">
        <v>2807</v>
      </c>
      <c r="I883" s="43">
        <v>12</v>
      </c>
      <c r="J883" s="44" t="str">
        <f>VLOOKUP(G883,[1]硬件清单!$F:$F,1,0)</f>
        <v>SAC26502EF6DC2C61</v>
      </c>
      <c r="K883" s="43"/>
      <c r="L883" s="44"/>
      <c r="M883" s="45" t="s">
        <v>2808</v>
      </c>
    </row>
    <row r="884" ht="30" customHeight="1" spans="1:13">
      <c r="A884" s="41">
        <f>IF(C884="","",SUBTOTAL(103,$C$2:C884))</f>
        <v>875</v>
      </c>
      <c r="B884" s="41">
        <v>663</v>
      </c>
      <c r="C884" s="41">
        <v>10144</v>
      </c>
      <c r="D884" s="41" t="s">
        <v>65</v>
      </c>
      <c r="E884" s="41" t="s">
        <v>66</v>
      </c>
      <c r="F884" s="41" t="s">
        <v>2809</v>
      </c>
      <c r="G884" s="41" t="s">
        <v>2810</v>
      </c>
      <c r="H884" s="41" t="s">
        <v>2811</v>
      </c>
      <c r="I884" s="43">
        <v>12</v>
      </c>
      <c r="J884" s="44" t="str">
        <f>VLOOKUP(G884,[1]硬件清单!$F:$F,1,0)</f>
        <v>AFW20002ED8D40835</v>
      </c>
      <c r="K884" s="43"/>
      <c r="L884" s="44"/>
      <c r="M884" s="45" t="s">
        <v>2812</v>
      </c>
    </row>
    <row r="885" ht="30" customHeight="1" spans="1:13">
      <c r="A885" s="41">
        <f>IF(C885="","",SUBTOTAL(103,$C$2:C885))</f>
        <v>876</v>
      </c>
      <c r="B885" s="41">
        <v>664</v>
      </c>
      <c r="C885" s="41">
        <v>10145</v>
      </c>
      <c r="D885" s="41" t="s">
        <v>65</v>
      </c>
      <c r="E885" s="41" t="s">
        <v>66</v>
      </c>
      <c r="F885" s="41" t="s">
        <v>2809</v>
      </c>
      <c r="G885" s="41" t="s">
        <v>2813</v>
      </c>
      <c r="H885" s="41" t="s">
        <v>2814</v>
      </c>
      <c r="I885" s="43">
        <v>12</v>
      </c>
      <c r="J885" s="44" t="str">
        <f>VLOOKUP(G885,[1]硬件清单!$F:$F,1,0)</f>
        <v>AFW20002ED8D40831</v>
      </c>
      <c r="K885" s="43"/>
      <c r="L885" s="44"/>
      <c r="M885" s="45" t="s">
        <v>2815</v>
      </c>
    </row>
    <row r="886" ht="30" customHeight="1" spans="1:13">
      <c r="A886" s="41">
        <f>IF(C886="","",SUBTOTAL(103,$C$2:C886))</f>
        <v>877</v>
      </c>
      <c r="B886" s="41">
        <v>665</v>
      </c>
      <c r="C886" s="41">
        <v>10146</v>
      </c>
      <c r="D886" s="41" t="s">
        <v>65</v>
      </c>
      <c r="E886" s="41" t="s">
        <v>66</v>
      </c>
      <c r="F886" s="41" t="s">
        <v>2809</v>
      </c>
      <c r="G886" s="41" t="s">
        <v>2816</v>
      </c>
      <c r="H886" s="41" t="s">
        <v>2817</v>
      </c>
      <c r="I886" s="43">
        <v>12</v>
      </c>
      <c r="J886" s="44" t="str">
        <f>VLOOKUP(G886,[1]硬件清单!$F:$F,1,0)</f>
        <v>AFW20002ED8D40836</v>
      </c>
      <c r="K886" s="43"/>
      <c r="L886" s="44"/>
      <c r="M886" s="45" t="s">
        <v>2818</v>
      </c>
    </row>
    <row r="887" ht="30" customHeight="1" spans="1:13">
      <c r="A887" s="41">
        <f>IF(C887="","",SUBTOTAL(103,$C$2:C887))</f>
        <v>878</v>
      </c>
      <c r="B887" s="41">
        <v>666</v>
      </c>
      <c r="C887" s="41">
        <v>10127</v>
      </c>
      <c r="D887" s="41" t="s">
        <v>19</v>
      </c>
      <c r="E887" s="41" t="s">
        <v>20</v>
      </c>
      <c r="F887" s="41" t="s">
        <v>2819</v>
      </c>
      <c r="G887" s="41" t="s">
        <v>2820</v>
      </c>
      <c r="H887" s="41" t="s">
        <v>2821</v>
      </c>
      <c r="I887" s="43">
        <v>12</v>
      </c>
      <c r="J887" s="44" t="str">
        <f>VLOOKUP(G887,[1]硬件清单!$F:$F,1,0)</f>
        <v>210235AOD1H123000108</v>
      </c>
      <c r="K887" s="43"/>
      <c r="L887" s="44"/>
      <c r="M887" s="45" t="s">
        <v>2822</v>
      </c>
    </row>
    <row r="888" ht="30" customHeight="1" spans="1:13">
      <c r="A888" s="41">
        <f>IF(C888="","",SUBTOTAL(103,$C$2:C888))</f>
        <v>879</v>
      </c>
      <c r="B888" s="41">
        <v>667</v>
      </c>
      <c r="C888" s="46">
        <v>10128</v>
      </c>
      <c r="D888" s="46" t="s">
        <v>19</v>
      </c>
      <c r="E888" s="46" t="s">
        <v>20</v>
      </c>
      <c r="F888" s="46" t="s">
        <v>2819</v>
      </c>
      <c r="G888" s="41" t="s">
        <v>2823</v>
      </c>
      <c r="H888" s="41" t="s">
        <v>2824</v>
      </c>
      <c r="I888" s="43">
        <v>12</v>
      </c>
      <c r="J888" s="44" t="str">
        <f>VLOOKUP(G888,[1]硬件清单!$F:$F,1,0)</f>
        <v>210235AOD1H123000151</v>
      </c>
      <c r="K888" s="43"/>
      <c r="L888" s="44"/>
      <c r="M888" s="45" t="s">
        <v>2825</v>
      </c>
    </row>
    <row r="889" ht="30" customHeight="1" spans="1:13">
      <c r="A889" s="41">
        <f>IF(C889="","",SUBTOTAL(103,$C$2:C889))</f>
        <v>880</v>
      </c>
      <c r="B889" s="41">
        <v>668</v>
      </c>
      <c r="C889" s="41">
        <v>10129</v>
      </c>
      <c r="D889" s="41" t="s">
        <v>19</v>
      </c>
      <c r="E889" s="41" t="s">
        <v>20</v>
      </c>
      <c r="F889" s="41" t="s">
        <v>2819</v>
      </c>
      <c r="G889" s="51" t="s">
        <v>2826</v>
      </c>
      <c r="H889" s="41" t="s">
        <v>2827</v>
      </c>
      <c r="I889" s="43">
        <v>12</v>
      </c>
      <c r="J889" s="44" t="str">
        <f>VLOOKUP(G889,[1]硬件清单!$F:$F,1,0)</f>
        <v>210235AOD1H123000029</v>
      </c>
      <c r="K889" s="43"/>
      <c r="L889" s="44"/>
      <c r="M889" s="45" t="s">
        <v>2828</v>
      </c>
    </row>
    <row r="890" ht="30" customHeight="1" spans="1:13">
      <c r="A890" s="41">
        <f>IF(C890="","",SUBTOTAL(103,$C$2:C890))</f>
        <v>881</v>
      </c>
      <c r="B890" s="41">
        <v>669</v>
      </c>
      <c r="C890" s="41">
        <v>10130</v>
      </c>
      <c r="D890" s="41" t="s">
        <v>19</v>
      </c>
      <c r="E890" s="41" t="s">
        <v>20</v>
      </c>
      <c r="F890" s="41" t="s">
        <v>2819</v>
      </c>
      <c r="G890" s="41" t="s">
        <v>2829</v>
      </c>
      <c r="H890" s="41" t="s">
        <v>2830</v>
      </c>
      <c r="I890" s="43">
        <v>12</v>
      </c>
      <c r="J890" s="44" t="str">
        <f>VLOOKUP(G890,[1]硬件清单!$F:$F,1,0)</f>
        <v>210235AOD1H123000008</v>
      </c>
      <c r="K890" s="43"/>
      <c r="L890" s="44"/>
      <c r="M890" s="45" t="s">
        <v>2831</v>
      </c>
    </row>
    <row r="891" ht="30" customHeight="1" spans="1:13">
      <c r="A891" s="41">
        <f>IF(C891="","",SUBTOTAL(103,$C$2:C891))</f>
        <v>882</v>
      </c>
      <c r="B891" s="41">
        <v>670</v>
      </c>
      <c r="C891" s="41">
        <v>10147</v>
      </c>
      <c r="D891" s="41" t="s">
        <v>65</v>
      </c>
      <c r="E891" s="41" t="s">
        <v>66</v>
      </c>
      <c r="F891" s="41" t="s">
        <v>2809</v>
      </c>
      <c r="G891" s="51" t="s">
        <v>2832</v>
      </c>
      <c r="H891" s="41" t="s">
        <v>2833</v>
      </c>
      <c r="I891" s="43">
        <v>12</v>
      </c>
      <c r="J891" s="44" t="str">
        <f>VLOOKUP(G891,[1]硬件清单!$F:$F,1,0)</f>
        <v>AFW20002ED8D40834</v>
      </c>
      <c r="K891" s="43"/>
      <c r="L891" s="44"/>
      <c r="M891" s="45" t="s">
        <v>2834</v>
      </c>
    </row>
    <row r="892" ht="30" customHeight="1" spans="1:13">
      <c r="A892" s="41">
        <f>IF(C892="","",SUBTOTAL(103,$C$2:C892))</f>
        <v>883</v>
      </c>
      <c r="B892" s="41">
        <v>671</v>
      </c>
      <c r="C892" s="41">
        <v>10148</v>
      </c>
      <c r="D892" s="41" t="s">
        <v>65</v>
      </c>
      <c r="E892" s="41" t="s">
        <v>66</v>
      </c>
      <c r="F892" s="41" t="s">
        <v>2809</v>
      </c>
      <c r="G892" s="51" t="s">
        <v>2835</v>
      </c>
      <c r="H892" s="41" t="s">
        <v>2836</v>
      </c>
      <c r="I892" s="43">
        <v>12</v>
      </c>
      <c r="J892" s="44" t="str">
        <f>VLOOKUP(G892,[1]硬件清单!$F:$F,1,0)</f>
        <v>AFW20002ED8D40832</v>
      </c>
      <c r="K892" s="43"/>
      <c r="L892" s="44"/>
      <c r="M892" s="45" t="s">
        <v>2837</v>
      </c>
    </row>
    <row r="893" ht="30" customHeight="1" spans="1:13">
      <c r="A893" s="41">
        <f>IF(C893="","",SUBTOTAL(103,$C$2:C893))</f>
        <v>884</v>
      </c>
      <c r="B893" s="41">
        <v>672</v>
      </c>
      <c r="C893" s="41">
        <v>10143</v>
      </c>
      <c r="D893" s="41" t="s">
        <v>65</v>
      </c>
      <c r="E893" s="41" t="s">
        <v>66</v>
      </c>
      <c r="F893" s="41" t="s">
        <v>2809</v>
      </c>
      <c r="G893" s="51" t="s">
        <v>2838</v>
      </c>
      <c r="H893" s="41" t="s">
        <v>2839</v>
      </c>
      <c r="I893" s="43">
        <v>12</v>
      </c>
      <c r="J893" s="44" t="str">
        <f>VLOOKUP(G893,[1]硬件清单!$F:$F,1,0)</f>
        <v>AFW20002ED8D40833</v>
      </c>
      <c r="K893" s="43"/>
      <c r="L893" s="44"/>
      <c r="M893" s="45" t="s">
        <v>2840</v>
      </c>
    </row>
    <row r="894" ht="30" customHeight="1" spans="1:13">
      <c r="A894" s="41">
        <f>IF(C894="","",SUBTOTAL(103,$C$2:C894))</f>
        <v>885</v>
      </c>
      <c r="B894" s="41">
        <v>673</v>
      </c>
      <c r="C894" s="41">
        <v>10168</v>
      </c>
      <c r="D894" s="41" t="s">
        <v>19</v>
      </c>
      <c r="E894" s="41" t="s">
        <v>34</v>
      </c>
      <c r="F894" s="41" t="s">
        <v>2841</v>
      </c>
      <c r="G894" s="51" t="s">
        <v>2842</v>
      </c>
      <c r="H894" s="41" t="s">
        <v>2843</v>
      </c>
      <c r="I894" s="43">
        <v>12</v>
      </c>
      <c r="J894" s="44" t="str">
        <f>VLOOKUP(G894,[1]硬件清单!$F:$F,1,0)</f>
        <v>SAC265921D8D40836</v>
      </c>
      <c r="K894" s="43"/>
      <c r="L894" s="44"/>
      <c r="M894" s="45" t="s">
        <v>2844</v>
      </c>
    </row>
    <row r="895" ht="30" customHeight="1" spans="1:13">
      <c r="A895" s="41">
        <f>IF(C895="","",SUBTOTAL(103,$C$2:C895))</f>
        <v>886</v>
      </c>
      <c r="B895" s="41">
        <v>674</v>
      </c>
      <c r="C895" s="41">
        <v>10169</v>
      </c>
      <c r="D895" s="41" t="s">
        <v>19</v>
      </c>
      <c r="E895" s="41" t="s">
        <v>34</v>
      </c>
      <c r="F895" s="41" t="s">
        <v>2841</v>
      </c>
      <c r="G895" s="51" t="s">
        <v>2845</v>
      </c>
      <c r="H895" s="41" t="s">
        <v>2846</v>
      </c>
      <c r="I895" s="43">
        <v>12</v>
      </c>
      <c r="J895" s="44" t="str">
        <f>VLOOKUP(G895,[1]硬件清单!$F:$F,1,0)</f>
        <v>SAC26502ED8D40835</v>
      </c>
      <c r="K895" s="43"/>
      <c r="L895" s="44"/>
      <c r="M895" s="45" t="s">
        <v>2847</v>
      </c>
    </row>
    <row r="896" ht="30" customHeight="1" spans="1:13">
      <c r="A896" s="41">
        <f>IF(C896="","",SUBTOTAL(103,$C$2:C896))</f>
        <v>887</v>
      </c>
      <c r="B896" s="41">
        <v>675</v>
      </c>
      <c r="C896" s="41">
        <v>10194</v>
      </c>
      <c r="D896" s="41" t="s">
        <v>65</v>
      </c>
      <c r="E896" s="41" t="s">
        <v>304</v>
      </c>
      <c r="F896" s="41" t="s">
        <v>2517</v>
      </c>
      <c r="G896" s="51" t="s">
        <v>2848</v>
      </c>
      <c r="H896" s="41" t="s">
        <v>2849</v>
      </c>
      <c r="I896" s="43">
        <v>12</v>
      </c>
      <c r="J896" s="44" t="str">
        <f>VLOOKUP(G896,[1]硬件清单!$F:$F,1,0)</f>
        <v>LVS2000E2ED8D40837</v>
      </c>
      <c r="K896" s="43"/>
      <c r="L896" s="44"/>
      <c r="M896" s="45" t="s">
        <v>2850</v>
      </c>
    </row>
    <row r="897" ht="30" customHeight="1" spans="1:13">
      <c r="A897" s="41">
        <f>IF(C897="","",SUBTOTAL(103,$C$2:C897))</f>
        <v>888</v>
      </c>
      <c r="B897" s="41">
        <v>676</v>
      </c>
      <c r="C897" s="46">
        <v>10121</v>
      </c>
      <c r="D897" s="46" t="s">
        <v>19</v>
      </c>
      <c r="E897" s="46" t="s">
        <v>20</v>
      </c>
      <c r="F897" s="46" t="s">
        <v>2851</v>
      </c>
      <c r="G897" s="51" t="s">
        <v>2852</v>
      </c>
      <c r="H897" s="41" t="s">
        <v>2853</v>
      </c>
      <c r="I897" s="43">
        <v>12</v>
      </c>
      <c r="J897" s="44" t="str">
        <f>VLOOKUP(G897,[1]硬件清单!$F:$F,1,0)</f>
        <v>210235A24WH125000206</v>
      </c>
      <c r="K897" s="43"/>
      <c r="L897" s="44"/>
      <c r="M897" s="45" t="s">
        <v>2854</v>
      </c>
    </row>
    <row r="898" ht="30" customHeight="1" spans="1:13">
      <c r="A898" s="41">
        <f>IF(C898="","",SUBTOTAL(103,$C$2:C898))</f>
        <v>889</v>
      </c>
      <c r="B898" s="41">
        <v>677</v>
      </c>
      <c r="C898" s="46">
        <v>4900</v>
      </c>
      <c r="D898" s="46" t="s">
        <v>65</v>
      </c>
      <c r="E898" s="46" t="s">
        <v>220</v>
      </c>
      <c r="F898" s="46" t="s">
        <v>2521</v>
      </c>
      <c r="G898" s="51" t="s">
        <v>2855</v>
      </c>
      <c r="H898" s="41" t="s">
        <v>2856</v>
      </c>
      <c r="I898" s="43">
        <v>12</v>
      </c>
      <c r="J898" s="44" t="str">
        <f>VLOOKUP(G898,[1]硬件清单!$F:$F,1,0)</f>
        <v>LVS2000S2EF6A0A9F7</v>
      </c>
      <c r="K898" s="43"/>
      <c r="L898" s="44"/>
      <c r="M898" s="45" t="s">
        <v>2857</v>
      </c>
    </row>
    <row r="899" ht="30" customHeight="1" spans="1:13">
      <c r="A899" s="41">
        <f>IF(C899="","",SUBTOTAL(103,$C$2:C899))</f>
        <v>890</v>
      </c>
      <c r="B899" s="41">
        <v>678</v>
      </c>
      <c r="C899" s="46">
        <v>10122</v>
      </c>
      <c r="D899" s="46" t="s">
        <v>19</v>
      </c>
      <c r="E899" s="46" t="s">
        <v>20</v>
      </c>
      <c r="F899" s="46" t="s">
        <v>2851</v>
      </c>
      <c r="G899" s="51" t="s">
        <v>2858</v>
      </c>
      <c r="H899" s="41" t="s">
        <v>2859</v>
      </c>
      <c r="I899" s="43">
        <v>12</v>
      </c>
      <c r="J899" s="44" t="str">
        <f>VLOOKUP(G899,[1]硬件清单!$F:$F,1,0)</f>
        <v>210235A24WH125000070</v>
      </c>
      <c r="K899" s="43"/>
      <c r="L899" s="44"/>
      <c r="M899" s="45" t="s">
        <v>2860</v>
      </c>
    </row>
    <row r="900" ht="30" customHeight="1" spans="1:13">
      <c r="A900" s="41">
        <f>IF(C900="","",SUBTOTAL(103,$C$2:C900))</f>
        <v>891</v>
      </c>
      <c r="B900" s="41">
        <v>679</v>
      </c>
      <c r="C900" s="46">
        <v>10123</v>
      </c>
      <c r="D900" s="46" t="s">
        <v>19</v>
      </c>
      <c r="E900" s="46" t="s">
        <v>20</v>
      </c>
      <c r="F900" s="46" t="s">
        <v>2851</v>
      </c>
      <c r="G900" s="51" t="s">
        <v>2861</v>
      </c>
      <c r="H900" s="41" t="s">
        <v>2862</v>
      </c>
      <c r="I900" s="43">
        <v>12</v>
      </c>
      <c r="J900" s="44" t="str">
        <f>VLOOKUP(G900,[1]硬件清单!$F:$F,1,0)</f>
        <v>210235A24WH125000090</v>
      </c>
      <c r="K900" s="43"/>
      <c r="L900" s="44"/>
      <c r="M900" s="47" t="s">
        <v>2863</v>
      </c>
    </row>
    <row r="901" ht="30" customHeight="1" spans="1:13">
      <c r="A901" s="41">
        <f>IF(C901="","",SUBTOTAL(103,$C$2:C901))</f>
        <v>892</v>
      </c>
      <c r="B901" s="41">
        <v>680</v>
      </c>
      <c r="C901" s="41">
        <v>10170</v>
      </c>
      <c r="D901" s="41" t="s">
        <v>19</v>
      </c>
      <c r="E901" s="41" t="s">
        <v>34</v>
      </c>
      <c r="F901" s="41" t="s">
        <v>2841</v>
      </c>
      <c r="G901" s="51" t="s">
        <v>2864</v>
      </c>
      <c r="H901" s="41" t="s">
        <v>2865</v>
      </c>
      <c r="I901" s="43">
        <v>12</v>
      </c>
      <c r="J901" s="44" t="str">
        <f>VLOOKUP(G901,[1]硬件清单!$F:$F,1,0)</f>
        <v>SAC26502ED8D40834</v>
      </c>
      <c r="K901" s="43"/>
      <c r="L901" s="44"/>
      <c r="M901" s="45" t="s">
        <v>2866</v>
      </c>
    </row>
    <row r="902" ht="30" customHeight="1" spans="1:13">
      <c r="A902" s="41">
        <f>IF(C902="","",SUBTOTAL(103,$C$2:C902))</f>
        <v>893</v>
      </c>
      <c r="B902" s="41">
        <v>681</v>
      </c>
      <c r="C902" s="41">
        <v>10171</v>
      </c>
      <c r="D902" s="41" t="s">
        <v>19</v>
      </c>
      <c r="E902" s="41" t="s">
        <v>34</v>
      </c>
      <c r="F902" s="41" t="s">
        <v>2841</v>
      </c>
      <c r="G902" s="51" t="s">
        <v>2867</v>
      </c>
      <c r="H902" s="41" t="s">
        <v>2868</v>
      </c>
      <c r="I902" s="43">
        <v>12</v>
      </c>
      <c r="J902" s="44" t="str">
        <f>VLOOKUP(G902,[1]硬件清单!$F:$F,1,0)</f>
        <v>SAC265921D8D40833</v>
      </c>
      <c r="K902" s="43"/>
      <c r="L902" s="44"/>
      <c r="M902" s="45" t="s">
        <v>2869</v>
      </c>
    </row>
    <row r="903" ht="30" customHeight="1" spans="1:13">
      <c r="A903" s="41">
        <f>IF(C903="","",SUBTOTAL(103,$C$2:C903))</f>
        <v>894</v>
      </c>
      <c r="B903" s="41">
        <v>682</v>
      </c>
      <c r="C903" s="41">
        <v>10172</v>
      </c>
      <c r="D903" s="41" t="s">
        <v>19</v>
      </c>
      <c r="E903" s="41" t="s">
        <v>34</v>
      </c>
      <c r="F903" s="41" t="s">
        <v>2841</v>
      </c>
      <c r="G903" s="51" t="s">
        <v>2870</v>
      </c>
      <c r="H903" s="41" t="s">
        <v>2871</v>
      </c>
      <c r="I903" s="43">
        <v>12</v>
      </c>
      <c r="J903" s="44" t="str">
        <f>VLOOKUP(G903,[1]硬件清单!$F:$F,1,0)</f>
        <v>SAC26502ED8D40832</v>
      </c>
      <c r="K903" s="43"/>
      <c r="L903" s="44"/>
      <c r="M903" s="45" t="s">
        <v>2872</v>
      </c>
    </row>
    <row r="904" ht="30" customHeight="1" spans="1:13">
      <c r="A904" s="41">
        <f>IF(C904="","",SUBTOTAL(103,$C$2:C904))</f>
        <v>895</v>
      </c>
      <c r="B904" s="41">
        <v>683</v>
      </c>
      <c r="C904" s="41">
        <v>10173</v>
      </c>
      <c r="D904" s="41" t="s">
        <v>19</v>
      </c>
      <c r="E904" s="41" t="s">
        <v>34</v>
      </c>
      <c r="F904" s="41" t="s">
        <v>2841</v>
      </c>
      <c r="G904" s="51" t="s">
        <v>2873</v>
      </c>
      <c r="H904" s="41" t="s">
        <v>2874</v>
      </c>
      <c r="I904" s="43">
        <v>12</v>
      </c>
      <c r="J904" s="44" t="str">
        <f>VLOOKUP(G904,[1]硬件清单!$F:$F,1,0)</f>
        <v>SAC26502ED8D40831</v>
      </c>
      <c r="K904" s="43"/>
      <c r="L904" s="44"/>
      <c r="M904" s="45" t="s">
        <v>2875</v>
      </c>
    </row>
    <row r="905" ht="30" customHeight="1" spans="1:13">
      <c r="A905" s="41">
        <f>IF(C905="","",SUBTOTAL(103,$C$2:C905))</f>
        <v>896</v>
      </c>
      <c r="B905" s="41">
        <v>684</v>
      </c>
      <c r="C905" s="41">
        <v>10166</v>
      </c>
      <c r="D905" s="41" t="s">
        <v>19</v>
      </c>
      <c r="E905" s="41" t="s">
        <v>34</v>
      </c>
      <c r="F905" s="41" t="s">
        <v>2841</v>
      </c>
      <c r="G905" s="51" t="s">
        <v>2876</v>
      </c>
      <c r="H905" s="41" t="s">
        <v>2877</v>
      </c>
      <c r="I905" s="43">
        <v>12</v>
      </c>
      <c r="J905" s="44" t="str">
        <f>VLOOKUP(G905,[1]硬件清单!$F:$F,1,0)</f>
        <v>SAC26502ED8D40838</v>
      </c>
      <c r="K905" s="43"/>
      <c r="L905" s="44"/>
      <c r="M905" s="45" t="s">
        <v>2878</v>
      </c>
    </row>
    <row r="906" ht="30" customHeight="1" spans="1:13">
      <c r="A906" s="41">
        <f>IF(C906="","",SUBTOTAL(103,$C$2:C906))</f>
        <v>897</v>
      </c>
      <c r="B906" s="41">
        <v>685</v>
      </c>
      <c r="C906" s="41">
        <v>10167</v>
      </c>
      <c r="D906" s="41" t="s">
        <v>19</v>
      </c>
      <c r="E906" s="41" t="s">
        <v>34</v>
      </c>
      <c r="F906" s="41" t="s">
        <v>2841</v>
      </c>
      <c r="G906" s="51" t="s">
        <v>2879</v>
      </c>
      <c r="H906" s="41" t="s">
        <v>2880</v>
      </c>
      <c r="I906" s="43">
        <v>12</v>
      </c>
      <c r="J906" s="44" t="str">
        <f>VLOOKUP(G906,[1]硬件清单!$F:$F,1,0)</f>
        <v>SAC26502ED8D40837</v>
      </c>
      <c r="K906" s="43"/>
      <c r="L906" s="44"/>
      <c r="M906" s="45" t="s">
        <v>2881</v>
      </c>
    </row>
    <row r="907" ht="30" customHeight="1" spans="1:13">
      <c r="A907" s="41">
        <f>IF(C907="","",SUBTOTAL(103,$C$2:C907))</f>
        <v>898</v>
      </c>
      <c r="B907" s="41">
        <v>686</v>
      </c>
      <c r="C907" s="41">
        <v>10176</v>
      </c>
      <c r="D907" s="41" t="s">
        <v>19</v>
      </c>
      <c r="E907" s="41" t="s">
        <v>34</v>
      </c>
      <c r="F907" s="41" t="s">
        <v>2841</v>
      </c>
      <c r="G907" s="51" t="s">
        <v>2882</v>
      </c>
      <c r="H907" s="41" t="s">
        <v>2883</v>
      </c>
      <c r="I907" s="43">
        <v>12</v>
      </c>
      <c r="J907" s="44" t="str">
        <f>VLOOKUP(G907,[1]硬件清单!$F:$F,1,0)</f>
        <v>SAC26502ED8D4080</v>
      </c>
      <c r="K907" s="43"/>
      <c r="L907" s="44"/>
      <c r="M907" s="45" t="s">
        <v>2884</v>
      </c>
    </row>
    <row r="908" ht="30" customHeight="1" spans="1:13">
      <c r="A908" s="41">
        <f>IF(C908="","",SUBTOTAL(103,$C$2:C908))</f>
        <v>899</v>
      </c>
      <c r="B908" s="41">
        <v>687</v>
      </c>
      <c r="C908" s="41">
        <v>10177</v>
      </c>
      <c r="D908" s="41" t="s">
        <v>19</v>
      </c>
      <c r="E908" s="41" t="s">
        <v>34</v>
      </c>
      <c r="F908" s="41" t="s">
        <v>2841</v>
      </c>
      <c r="G908" s="51" t="s">
        <v>2885</v>
      </c>
      <c r="H908" s="41" t="s">
        <v>2886</v>
      </c>
      <c r="I908" s="43">
        <v>12</v>
      </c>
      <c r="J908" s="44" t="str">
        <f>VLOOKUP(G908,[1]硬件清单!$F:$F,1,0)</f>
        <v>SAC26502ED8D4083F</v>
      </c>
      <c r="K908" s="43"/>
      <c r="L908" s="44"/>
      <c r="M908" s="45" t="s">
        <v>2887</v>
      </c>
    </row>
    <row r="909" ht="30" customHeight="1" spans="1:13">
      <c r="A909" s="41">
        <f>IF(C909="","",SUBTOTAL(103,$C$2:C909))</f>
        <v>900</v>
      </c>
      <c r="B909" s="41">
        <v>688</v>
      </c>
      <c r="C909" s="41">
        <v>10196</v>
      </c>
      <c r="D909" s="41" t="s">
        <v>65</v>
      </c>
      <c r="E909" s="41" t="s">
        <v>304</v>
      </c>
      <c r="F909" s="41" t="s">
        <v>2517</v>
      </c>
      <c r="G909" s="51" t="s">
        <v>2888</v>
      </c>
      <c r="H909" s="41" t="s">
        <v>2889</v>
      </c>
      <c r="I909" s="43">
        <v>12</v>
      </c>
      <c r="J909" s="44" t="str">
        <f>VLOOKUP(G909,[1]硬件清单!$F:$F,1,0)</f>
        <v>LVS2000E2ED8D40833</v>
      </c>
      <c r="K909" s="43"/>
      <c r="L909" s="44"/>
      <c r="M909" s="45" t="s">
        <v>2890</v>
      </c>
    </row>
    <row r="910" ht="30" customHeight="1" spans="1:13">
      <c r="A910" s="41">
        <f>IF(C910="","",SUBTOTAL(103,$C$2:C910))</f>
        <v>901</v>
      </c>
      <c r="B910" s="41">
        <v>689</v>
      </c>
      <c r="C910" s="41">
        <v>10124</v>
      </c>
      <c r="D910" s="41" t="s">
        <v>19</v>
      </c>
      <c r="E910" s="41" t="s">
        <v>20</v>
      </c>
      <c r="F910" s="41" t="s">
        <v>2851</v>
      </c>
      <c r="G910" s="51" t="s">
        <v>2891</v>
      </c>
      <c r="H910" s="41" t="s">
        <v>2892</v>
      </c>
      <c r="I910" s="43">
        <v>12</v>
      </c>
      <c r="J910" s="44" t="str">
        <f>VLOOKUP(G910,[1]硬件清单!$F:$F,1,0)</f>
        <v>210235A24WH12400686</v>
      </c>
      <c r="K910" s="43"/>
      <c r="L910" s="44"/>
      <c r="M910" s="45" t="s">
        <v>2893</v>
      </c>
    </row>
    <row r="911" ht="30" customHeight="1" spans="1:13">
      <c r="A911" s="41">
        <f>IF(C911="","",SUBTOTAL(103,$C$2:C911))</f>
        <v>902</v>
      </c>
      <c r="B911" s="41">
        <v>690</v>
      </c>
      <c r="C911" s="46">
        <v>4902</v>
      </c>
      <c r="D911" s="46" t="s">
        <v>65</v>
      </c>
      <c r="E911" s="46" t="s">
        <v>220</v>
      </c>
      <c r="F911" s="46" t="s">
        <v>2521</v>
      </c>
      <c r="G911" s="51" t="s">
        <v>2894</v>
      </c>
      <c r="H911" s="41" t="s">
        <v>2895</v>
      </c>
      <c r="I911" s="43">
        <v>12</v>
      </c>
      <c r="J911" s="44" t="str">
        <f>VLOOKUP(G911,[1]硬件清单!$F:$F,1,0)</f>
        <v>LVS2000S2EF6A0A9F6</v>
      </c>
      <c r="K911" s="43"/>
      <c r="L911" s="44"/>
      <c r="M911" s="45" t="s">
        <v>2896</v>
      </c>
    </row>
    <row r="912" ht="30" customHeight="1" spans="1:13">
      <c r="A912" s="41">
        <f>IF(C912="","",SUBTOTAL(103,$C$2:C912))</f>
        <v>903</v>
      </c>
      <c r="B912" s="41">
        <v>691</v>
      </c>
      <c r="C912" s="46">
        <v>10197</v>
      </c>
      <c r="D912" s="46" t="s">
        <v>65</v>
      </c>
      <c r="E912" s="46" t="s">
        <v>304</v>
      </c>
      <c r="F912" s="46" t="s">
        <v>2517</v>
      </c>
      <c r="G912" s="51" t="s">
        <v>2897</v>
      </c>
      <c r="H912" s="41" t="s">
        <v>2898</v>
      </c>
      <c r="I912" s="43">
        <v>12</v>
      </c>
      <c r="J912" s="44" t="str">
        <f>VLOOKUP(G912,[1]硬件清单!$F:$F,1,0)</f>
        <v>LVS2000E2EEADFA162</v>
      </c>
      <c r="K912" s="43"/>
      <c r="L912" s="44"/>
      <c r="M912" s="47" t="s">
        <v>2896</v>
      </c>
    </row>
    <row r="913" ht="30" customHeight="1" spans="1:13">
      <c r="A913" s="41">
        <f>IF(C913="","",SUBTOTAL(103,$C$2:C913))</f>
        <v>904</v>
      </c>
      <c r="B913" s="41">
        <v>692</v>
      </c>
      <c r="C913" s="41">
        <v>10125</v>
      </c>
      <c r="D913" s="41" t="s">
        <v>19</v>
      </c>
      <c r="E913" s="41" t="s">
        <v>20</v>
      </c>
      <c r="F913" s="41" t="s">
        <v>2851</v>
      </c>
      <c r="G913" s="51" t="s">
        <v>2899</v>
      </c>
      <c r="H913" s="41" t="s">
        <v>2900</v>
      </c>
      <c r="I913" s="43">
        <v>12</v>
      </c>
      <c r="J913" s="44" t="str">
        <f>VLOOKUP(G913,[1]硬件清单!$F:$F,1,0)</f>
        <v>210235A24WH125000056</v>
      </c>
      <c r="K913" s="43"/>
      <c r="L913" s="44"/>
      <c r="M913" s="45" t="s">
        <v>2901</v>
      </c>
    </row>
    <row r="914" ht="30" customHeight="1" spans="1:13">
      <c r="A914" s="41">
        <f>IF(C914="","",SUBTOTAL(103,$C$2:C914))</f>
        <v>905</v>
      </c>
      <c r="B914" s="41">
        <v>693</v>
      </c>
      <c r="C914" s="41">
        <v>10126</v>
      </c>
      <c r="D914" s="41" t="s">
        <v>19</v>
      </c>
      <c r="E914" s="41" t="s">
        <v>20</v>
      </c>
      <c r="F914" s="41" t="s">
        <v>2851</v>
      </c>
      <c r="G914" s="51" t="s">
        <v>2902</v>
      </c>
      <c r="H914" s="41" t="s">
        <v>2903</v>
      </c>
      <c r="I914" s="43">
        <v>12</v>
      </c>
      <c r="J914" s="44" t="str">
        <f>VLOOKUP(G914,[1]硬件清单!$F:$F,1,0)</f>
        <v>210235A24WH125000025</v>
      </c>
      <c r="K914" s="43"/>
      <c r="L914" s="44"/>
      <c r="M914" s="45" t="s">
        <v>2904</v>
      </c>
    </row>
    <row r="915" ht="30" customHeight="1" spans="1:13">
      <c r="A915" s="41">
        <f>IF(C915="","",SUBTOTAL(103,$C$2:C915))</f>
        <v>906</v>
      </c>
      <c r="B915" s="41">
        <v>694</v>
      </c>
      <c r="C915" s="41">
        <v>10178</v>
      </c>
      <c r="D915" s="41" t="s">
        <v>19</v>
      </c>
      <c r="E915" s="41" t="s">
        <v>34</v>
      </c>
      <c r="F915" s="41" t="s">
        <v>2841</v>
      </c>
      <c r="G915" s="51" t="s">
        <v>2905</v>
      </c>
      <c r="H915" s="41" t="s">
        <v>2906</v>
      </c>
      <c r="I915" s="43">
        <v>12</v>
      </c>
      <c r="J915" s="44" t="str">
        <f>VLOOKUP(G915,[1]硬件清单!$F:$F,1,0)</f>
        <v>SAC26502ED8D4083D</v>
      </c>
      <c r="K915" s="43"/>
      <c r="L915" s="44"/>
      <c r="M915" s="45" t="s">
        <v>2907</v>
      </c>
    </row>
    <row r="916" ht="30" customHeight="1" spans="1:13">
      <c r="A916" s="41">
        <f>IF(C916="","",SUBTOTAL(103,$C$2:C916))</f>
        <v>907</v>
      </c>
      <c r="B916" s="41">
        <v>695</v>
      </c>
      <c r="C916" s="41">
        <v>10179</v>
      </c>
      <c r="D916" s="41" t="s">
        <v>19</v>
      </c>
      <c r="E916" s="41" t="s">
        <v>34</v>
      </c>
      <c r="F916" s="41" t="s">
        <v>2841</v>
      </c>
      <c r="G916" s="41" t="s">
        <v>2908</v>
      </c>
      <c r="H916" s="41" t="s">
        <v>2909</v>
      </c>
      <c r="I916" s="43">
        <v>12</v>
      </c>
      <c r="J916" s="44" t="str">
        <f>VLOOKUP(G916,[1]硬件清单!$F:$F,1,0)</f>
        <v>SAC265921D8D4083C</v>
      </c>
      <c r="K916" s="43"/>
      <c r="L916" s="44"/>
      <c r="M916" s="45" t="s">
        <v>2910</v>
      </c>
    </row>
    <row r="917" ht="30" customHeight="1" spans="1:13">
      <c r="A917" s="41">
        <f>IF(C917="","",SUBTOTAL(103,$C$2:C917))</f>
        <v>908</v>
      </c>
      <c r="B917" s="41">
        <v>696</v>
      </c>
      <c r="C917" s="41">
        <v>10180</v>
      </c>
      <c r="D917" s="41" t="s">
        <v>19</v>
      </c>
      <c r="E917" s="41" t="s">
        <v>34</v>
      </c>
      <c r="F917" s="41" t="s">
        <v>2841</v>
      </c>
      <c r="G917" s="51" t="s">
        <v>2911</v>
      </c>
      <c r="H917" s="41" t="s">
        <v>2912</v>
      </c>
      <c r="I917" s="43">
        <v>12</v>
      </c>
      <c r="J917" s="44" t="str">
        <f>VLOOKUP(G917,[1]硬件清单!$F:$F,1,0)</f>
        <v>SAC26502ED8D4083A</v>
      </c>
      <c r="K917" s="43"/>
      <c r="L917" s="44"/>
      <c r="M917" s="45" t="s">
        <v>2913</v>
      </c>
    </row>
    <row r="918" ht="30" customHeight="1" spans="1:13">
      <c r="A918" s="41">
        <f>IF(C918="","",SUBTOTAL(103,$C$2:C918))</f>
        <v>909</v>
      </c>
      <c r="B918" s="41">
        <v>697</v>
      </c>
      <c r="C918" s="41">
        <v>10181</v>
      </c>
      <c r="D918" s="41" t="s">
        <v>19</v>
      </c>
      <c r="E918" s="41" t="s">
        <v>34</v>
      </c>
      <c r="F918" s="41" t="s">
        <v>2841</v>
      </c>
      <c r="G918" s="51" t="s">
        <v>2914</v>
      </c>
      <c r="H918" s="41" t="s">
        <v>2915</v>
      </c>
      <c r="I918" s="43">
        <v>12</v>
      </c>
      <c r="J918" s="44" t="str">
        <f>VLOOKUP(G918,[1]硬件清单!$F:$F,1,0)</f>
        <v>SAC26502ED8D40839</v>
      </c>
      <c r="K918" s="43"/>
      <c r="L918" s="44"/>
      <c r="M918" s="45" t="s">
        <v>2916</v>
      </c>
    </row>
    <row r="919" ht="30" customHeight="1" spans="1:13">
      <c r="A919" s="41">
        <f>IF(C919="","",SUBTOTAL(103,$C$2:C919))</f>
        <v>910</v>
      </c>
      <c r="B919" s="41">
        <v>698</v>
      </c>
      <c r="C919" s="41">
        <v>10174</v>
      </c>
      <c r="D919" s="41" t="s">
        <v>19</v>
      </c>
      <c r="E919" s="41" t="s">
        <v>34</v>
      </c>
      <c r="F919" s="41" t="s">
        <v>2841</v>
      </c>
      <c r="G919" s="41" t="s">
        <v>2917</v>
      </c>
      <c r="H919" s="41" t="s">
        <v>2918</v>
      </c>
      <c r="I919" s="43">
        <v>12</v>
      </c>
      <c r="J919" s="44" t="str">
        <f>VLOOKUP(G919,[1]硬件清单!$F:$F,1,0)</f>
        <v>SAC26502ED8D4083B</v>
      </c>
      <c r="K919" s="43"/>
      <c r="L919" s="44"/>
      <c r="M919" s="45" t="s">
        <v>2919</v>
      </c>
    </row>
    <row r="920" ht="30" customHeight="1" spans="1:13">
      <c r="A920" s="41">
        <f>IF(C920="","",SUBTOTAL(103,$C$2:C920))</f>
        <v>911</v>
      </c>
      <c r="B920" s="41">
        <v>699</v>
      </c>
      <c r="C920" s="41">
        <v>10175</v>
      </c>
      <c r="D920" s="41" t="s">
        <v>19</v>
      </c>
      <c r="E920" s="41" t="s">
        <v>34</v>
      </c>
      <c r="F920" s="41" t="s">
        <v>2841</v>
      </c>
      <c r="G920" s="41" t="s">
        <v>2920</v>
      </c>
      <c r="H920" s="41" t="s">
        <v>2921</v>
      </c>
      <c r="I920" s="43">
        <v>12</v>
      </c>
      <c r="J920" s="44" t="str">
        <f>VLOOKUP(G920,[1]硬件清单!$F:$F,1,0)</f>
        <v>SAC26502ED8D4083E</v>
      </c>
      <c r="K920" s="43"/>
      <c r="L920" s="44"/>
      <c r="M920" s="45" t="s">
        <v>2922</v>
      </c>
    </row>
    <row r="921" ht="30" customHeight="1" spans="1:13">
      <c r="A921" s="41">
        <f>IF(C921="","",SUBTOTAL(103,$C$2:C921))</f>
        <v>912</v>
      </c>
      <c r="B921" s="41">
        <v>700</v>
      </c>
      <c r="C921" s="41">
        <v>10188</v>
      </c>
      <c r="D921" s="41" t="s">
        <v>65</v>
      </c>
      <c r="E921" s="41" t="s">
        <v>304</v>
      </c>
      <c r="F921" s="41" t="s">
        <v>305</v>
      </c>
      <c r="G921" s="51" t="s">
        <v>2923</v>
      </c>
      <c r="H921" s="41" t="s">
        <v>2924</v>
      </c>
      <c r="I921" s="43">
        <v>12</v>
      </c>
      <c r="J921" s="44" t="str">
        <f>VLOOKUP(G921,[1]硬件清单!$F:$F,1,0)</f>
        <v>ASG10002ED8C0CE64</v>
      </c>
      <c r="K921" s="43"/>
      <c r="L921" s="44"/>
      <c r="M921" s="47" t="s">
        <v>2925</v>
      </c>
    </row>
    <row r="922" ht="30" customHeight="1" spans="1:13">
      <c r="A922" s="41">
        <f>IF(C922="","",SUBTOTAL(103,$C$2:C922))</f>
        <v>913</v>
      </c>
      <c r="B922" s="41">
        <v>701</v>
      </c>
      <c r="C922" s="41">
        <v>10190</v>
      </c>
      <c r="D922" s="41" t="s">
        <v>65</v>
      </c>
      <c r="E922" s="41" t="s">
        <v>304</v>
      </c>
      <c r="F922" s="41" t="s">
        <v>305</v>
      </c>
      <c r="G922" s="51" t="s">
        <v>2926</v>
      </c>
      <c r="H922" s="41" t="s">
        <v>2927</v>
      </c>
      <c r="I922" s="43">
        <v>12</v>
      </c>
      <c r="J922" s="44" t="str">
        <f>VLOOKUP(G922,[1]硬件清单!$F:$F,1,0)</f>
        <v>ASG1000III2EE4FB259D</v>
      </c>
      <c r="K922" s="43"/>
      <c r="L922" s="44"/>
      <c r="M922" s="45" t="s">
        <v>2928</v>
      </c>
    </row>
    <row r="923" ht="30" customHeight="1" spans="1:13">
      <c r="A923" s="41">
        <f>IF(C923="","",SUBTOTAL(103,$C$2:C923))</f>
        <v>914</v>
      </c>
      <c r="B923" s="41">
        <v>702</v>
      </c>
      <c r="C923" s="41">
        <v>10131</v>
      </c>
      <c r="D923" s="41" t="s">
        <v>19</v>
      </c>
      <c r="E923" s="41" t="s">
        <v>20</v>
      </c>
      <c r="F923" s="41" t="s">
        <v>2819</v>
      </c>
      <c r="G923" s="51" t="s">
        <v>2929</v>
      </c>
      <c r="H923" s="41" t="s">
        <v>2930</v>
      </c>
      <c r="I923" s="43">
        <v>12</v>
      </c>
      <c r="J923" s="44" t="str">
        <f>VLOOKUP(G923,[1]硬件清单!$F:$F,1,0)</f>
        <v>210235AOD1H123000051</v>
      </c>
      <c r="K923" s="43"/>
      <c r="L923" s="44"/>
      <c r="M923" s="45" t="s">
        <v>2931</v>
      </c>
    </row>
    <row r="924" ht="30" customHeight="1" spans="1:13">
      <c r="A924" s="41">
        <f>IF(C924="","",SUBTOTAL(103,$C$2:C924))</f>
        <v>915</v>
      </c>
      <c r="B924" s="41">
        <v>703</v>
      </c>
      <c r="C924" s="41">
        <v>10191</v>
      </c>
      <c r="D924" s="41" t="s">
        <v>65</v>
      </c>
      <c r="E924" s="41" t="s">
        <v>304</v>
      </c>
      <c r="F924" s="41" t="s">
        <v>305</v>
      </c>
      <c r="G924" s="51" t="s">
        <v>2932</v>
      </c>
      <c r="H924" s="41" t="s">
        <v>2933</v>
      </c>
      <c r="I924" s="43">
        <v>12</v>
      </c>
      <c r="J924" s="44" t="str">
        <f>VLOOKUP(G924,[1]硬件清单!$F:$F,1,0)</f>
        <v>ASG10002ED2EB1F85</v>
      </c>
      <c r="K924" s="43"/>
      <c r="L924" s="44"/>
      <c r="M924" s="47" t="s">
        <v>2934</v>
      </c>
    </row>
    <row r="925" ht="30" customHeight="1" spans="1:13">
      <c r="A925" s="41">
        <f>IF(C925="","",SUBTOTAL(103,$C$2:C925))</f>
        <v>916</v>
      </c>
      <c r="B925" s="41">
        <v>704</v>
      </c>
      <c r="C925" s="41">
        <v>10132</v>
      </c>
      <c r="D925" s="41" t="s">
        <v>19</v>
      </c>
      <c r="E925" s="41" t="s">
        <v>20</v>
      </c>
      <c r="F925" s="41" t="s">
        <v>2819</v>
      </c>
      <c r="G925" s="51" t="s">
        <v>2935</v>
      </c>
      <c r="H925" s="41" t="s">
        <v>2936</v>
      </c>
      <c r="I925" s="43">
        <v>12</v>
      </c>
      <c r="J925" s="44" t="str">
        <f>VLOOKUP(G925,[1]硬件清单!$F:$F,1,0)</f>
        <v>210235A0D1H121000039</v>
      </c>
      <c r="K925" s="43"/>
      <c r="L925" s="44"/>
      <c r="M925" s="45" t="s">
        <v>2937</v>
      </c>
    </row>
    <row r="926" ht="30" customHeight="1" spans="1:13">
      <c r="A926" s="41">
        <f>IF(C926="","",SUBTOTAL(103,$C$2:C926))</f>
        <v>917</v>
      </c>
      <c r="B926" s="41">
        <v>705</v>
      </c>
      <c r="C926" s="41">
        <v>10133</v>
      </c>
      <c r="D926" s="41" t="s">
        <v>19</v>
      </c>
      <c r="E926" s="41" t="s">
        <v>20</v>
      </c>
      <c r="F926" s="41" t="s">
        <v>2819</v>
      </c>
      <c r="G926" s="51" t="s">
        <v>2938</v>
      </c>
      <c r="H926" s="41" t="s">
        <v>2939</v>
      </c>
      <c r="I926" s="43">
        <v>12</v>
      </c>
      <c r="J926" s="44" t="str">
        <f>VLOOKUP(G926,[1]硬件清单!$F:$F,1,0)</f>
        <v>210235A0D1H121000056</v>
      </c>
      <c r="K926" s="43"/>
      <c r="L926" s="44"/>
      <c r="M926" s="45" t="s">
        <v>2940</v>
      </c>
    </row>
    <row r="927" ht="30" customHeight="1" spans="1:13">
      <c r="A927" s="41">
        <f>IF(C927="","",SUBTOTAL(103,$C$2:C927))</f>
        <v>918</v>
      </c>
      <c r="B927" s="41">
        <v>706</v>
      </c>
      <c r="C927" s="41">
        <v>10134</v>
      </c>
      <c r="D927" s="41" t="s">
        <v>19</v>
      </c>
      <c r="E927" s="41" t="s">
        <v>20</v>
      </c>
      <c r="F927" s="41" t="s">
        <v>2819</v>
      </c>
      <c r="G927" s="51" t="s">
        <v>2941</v>
      </c>
      <c r="H927" s="41" t="s">
        <v>2942</v>
      </c>
      <c r="I927" s="43">
        <v>12</v>
      </c>
      <c r="J927" s="44" t="str">
        <f>VLOOKUP(G927,[1]硬件清单!$F:$F,1,0)</f>
        <v>210235A0D1H121000017</v>
      </c>
      <c r="K927" s="43"/>
      <c r="L927" s="44"/>
      <c r="M927" s="45" t="s">
        <v>2943</v>
      </c>
    </row>
    <row r="928" ht="30" customHeight="1" spans="1:13">
      <c r="A928" s="41">
        <f>IF(C928="","",SUBTOTAL(103,$C$2:C928))</f>
        <v>919</v>
      </c>
      <c r="B928" s="41">
        <v>707</v>
      </c>
      <c r="C928" s="41">
        <v>10198</v>
      </c>
      <c r="D928" s="41" t="s">
        <v>65</v>
      </c>
      <c r="E928" s="41" t="s">
        <v>304</v>
      </c>
      <c r="F928" s="41" t="s">
        <v>2517</v>
      </c>
      <c r="G928" s="51" t="s">
        <v>2944</v>
      </c>
      <c r="H928" s="41" t="s">
        <v>2945</v>
      </c>
      <c r="I928" s="43">
        <v>12</v>
      </c>
      <c r="J928" s="44" t="str">
        <f>VLOOKUP(G928,[1]硬件清单!$F:$F,1,0)</f>
        <v>LVS2000E2ED8D40832</v>
      </c>
      <c r="K928" s="43"/>
      <c r="L928" s="44"/>
      <c r="M928" s="47" t="s">
        <v>2946</v>
      </c>
    </row>
    <row r="929" ht="30" customHeight="1" spans="1:13">
      <c r="A929" s="41">
        <f>IF(C929="","",SUBTOTAL(103,$C$2:C929))</f>
        <v>920</v>
      </c>
      <c r="B929" s="41">
        <v>708</v>
      </c>
      <c r="C929" s="41">
        <v>10199</v>
      </c>
      <c r="D929" s="41" t="s">
        <v>65</v>
      </c>
      <c r="E929" s="41" t="s">
        <v>304</v>
      </c>
      <c r="F929" s="41" t="s">
        <v>2517</v>
      </c>
      <c r="G929" s="51" t="s">
        <v>2947</v>
      </c>
      <c r="H929" s="41" t="s">
        <v>2948</v>
      </c>
      <c r="I929" s="43">
        <v>12</v>
      </c>
      <c r="J929" s="44" t="str">
        <f>VLOOKUP(G929,[1]硬件清单!$F:$F,1,0)</f>
        <v>LVS2000E2ED8D40834</v>
      </c>
      <c r="K929" s="43"/>
      <c r="L929" s="44"/>
      <c r="M929" s="47" t="s">
        <v>2949</v>
      </c>
    </row>
    <row r="930" ht="30" customHeight="1" spans="1:13">
      <c r="A930" s="41">
        <f>IF(C930="","",SUBTOTAL(103,$C$2:C930))</f>
        <v>921</v>
      </c>
      <c r="B930" s="41">
        <v>710</v>
      </c>
      <c r="C930" s="41">
        <v>10186</v>
      </c>
      <c r="D930" s="41" t="s">
        <v>65</v>
      </c>
      <c r="E930" s="41" t="s">
        <v>304</v>
      </c>
      <c r="F930" s="41" t="s">
        <v>305</v>
      </c>
      <c r="G930" s="41" t="s">
        <v>2950</v>
      </c>
      <c r="H930" s="41" t="s">
        <v>2951</v>
      </c>
      <c r="I930" s="43">
        <v>12</v>
      </c>
      <c r="J930" s="44" t="str">
        <f>VLOOKUP(G930,[1]硬件清单!$F:$F,1,0)</f>
        <v>ASG1000III2EE4FN2592</v>
      </c>
      <c r="K930" s="43"/>
      <c r="L930" s="44"/>
      <c r="M930" s="45" t="s">
        <v>2952</v>
      </c>
    </row>
    <row r="931" ht="30" customHeight="1" spans="1:13">
      <c r="A931" s="41">
        <f>IF(C931="","",SUBTOTAL(103,$C$2:C931))</f>
        <v>922</v>
      </c>
      <c r="B931" s="41">
        <v>711</v>
      </c>
      <c r="C931" s="41">
        <v>10187</v>
      </c>
      <c r="D931" s="41" t="s">
        <v>65</v>
      </c>
      <c r="E931" s="41" t="s">
        <v>304</v>
      </c>
      <c r="F931" s="41" t="s">
        <v>305</v>
      </c>
      <c r="G931" s="51" t="s">
        <v>2953</v>
      </c>
      <c r="H931" s="41" t="s">
        <v>2954</v>
      </c>
      <c r="I931" s="43">
        <v>12</v>
      </c>
      <c r="J931" s="44" t="str">
        <f>VLOOKUP(G931,[1]硬件清单!$F:$F,1,0)</f>
        <v>ASG10002ED8C0CE5C</v>
      </c>
      <c r="K931" s="43"/>
      <c r="L931" s="44"/>
      <c r="M931" s="45" t="s">
        <v>2955</v>
      </c>
    </row>
    <row r="932" ht="30" customHeight="1" spans="1:13">
      <c r="A932" s="41">
        <f>IF(C932="","",SUBTOTAL(103,$C$2:C932))</f>
        <v>923</v>
      </c>
      <c r="B932" s="41">
        <v>712</v>
      </c>
      <c r="C932" s="41">
        <v>10204</v>
      </c>
      <c r="D932" s="41" t="s">
        <v>65</v>
      </c>
      <c r="E932" s="41" t="s">
        <v>220</v>
      </c>
      <c r="F932" s="41" t="s">
        <v>1246</v>
      </c>
      <c r="G932" s="41" t="s">
        <v>2956</v>
      </c>
      <c r="H932" s="41" t="s">
        <v>2957</v>
      </c>
      <c r="I932" s="43">
        <v>12</v>
      </c>
      <c r="J932" s="44" t="str">
        <f>VLOOKUP(G932,[1]硬件清单!$F:$F,1,0)</f>
        <v>EME42802ED8D40831</v>
      </c>
      <c r="K932" s="43"/>
      <c r="L932" s="44"/>
      <c r="M932" s="45" t="s">
        <v>2958</v>
      </c>
    </row>
    <row r="933" ht="30" customHeight="1" spans="1:13">
      <c r="A933" s="41">
        <f>IF(C933="","",SUBTOTAL(103,$C$2:C933))</f>
        <v>924</v>
      </c>
      <c r="B933" s="41">
        <v>713</v>
      </c>
      <c r="C933" s="41">
        <v>10200</v>
      </c>
      <c r="D933" s="41" t="s">
        <v>65</v>
      </c>
      <c r="E933" s="41" t="s">
        <v>304</v>
      </c>
      <c r="F933" s="41" t="s">
        <v>2517</v>
      </c>
      <c r="G933" s="51" t="s">
        <v>2959</v>
      </c>
      <c r="H933" s="41" t="s">
        <v>2960</v>
      </c>
      <c r="I933" s="43">
        <v>12</v>
      </c>
      <c r="J933" s="44" t="str">
        <f>VLOOKUP(G933,[1]硬件清单!$F:$F,1,0)</f>
        <v>LVS2000E2ED8D40835</v>
      </c>
      <c r="K933" s="43"/>
      <c r="L933" s="44"/>
      <c r="M933" s="45" t="s">
        <v>2961</v>
      </c>
    </row>
    <row r="934" ht="30" customHeight="1" spans="1:13">
      <c r="A934" s="41">
        <f>IF(C934="","",SUBTOTAL(103,$C$2:C934))</f>
        <v>925</v>
      </c>
      <c r="B934" s="41">
        <v>714</v>
      </c>
      <c r="C934" s="41">
        <v>10192</v>
      </c>
      <c r="D934" s="41" t="s">
        <v>65</v>
      </c>
      <c r="E934" s="41" t="s">
        <v>304</v>
      </c>
      <c r="F934" s="41" t="s">
        <v>305</v>
      </c>
      <c r="G934" s="51" t="s">
        <v>2962</v>
      </c>
      <c r="H934" s="41" t="s">
        <v>2963</v>
      </c>
      <c r="I934" s="43">
        <v>12</v>
      </c>
      <c r="J934" s="44" t="str">
        <f>VLOOKUP(G934,[1]硬件清单!$F:$F,1,0)</f>
        <v>ASG10002ED8C0CE5B</v>
      </c>
      <c r="K934" s="43"/>
      <c r="L934" s="44"/>
      <c r="M934" s="45" t="s">
        <v>2964</v>
      </c>
    </row>
    <row r="935" ht="30" customHeight="1" spans="1:13">
      <c r="A935" s="41">
        <f>IF(C935="","",SUBTOTAL(103,$C$2:C935))</f>
        <v>926</v>
      </c>
      <c r="B935" s="41">
        <v>715</v>
      </c>
      <c r="C935" s="41">
        <v>10135</v>
      </c>
      <c r="D935" s="41" t="s">
        <v>19</v>
      </c>
      <c r="E935" s="41" t="s">
        <v>20</v>
      </c>
      <c r="F935" s="41" t="s">
        <v>2819</v>
      </c>
      <c r="G935" s="51" t="s">
        <v>2965</v>
      </c>
      <c r="H935" s="41" t="s">
        <v>2966</v>
      </c>
      <c r="I935" s="43">
        <v>12</v>
      </c>
      <c r="J935" s="44" t="str">
        <f>VLOOKUP(G935,[1]硬件清单!$F:$F,1,0)</f>
        <v>210235A0D1H121000025</v>
      </c>
      <c r="K935" s="43"/>
      <c r="L935" s="44"/>
      <c r="M935" s="45" t="s">
        <v>2967</v>
      </c>
    </row>
    <row r="936" ht="30" customHeight="1" spans="1:13">
      <c r="A936" s="41">
        <f>IF(C936="","",SUBTOTAL(103,$C$2:C936))</f>
        <v>927</v>
      </c>
      <c r="B936" s="41">
        <v>716</v>
      </c>
      <c r="C936" s="41">
        <v>10205</v>
      </c>
      <c r="D936" s="41" t="s">
        <v>65</v>
      </c>
      <c r="E936" s="41" t="s">
        <v>220</v>
      </c>
      <c r="F936" s="41" t="s">
        <v>1246</v>
      </c>
      <c r="G936" s="51" t="s">
        <v>2968</v>
      </c>
      <c r="H936" s="41" t="s">
        <v>2969</v>
      </c>
      <c r="I936" s="43">
        <v>12</v>
      </c>
      <c r="J936" s="44" t="str">
        <f>VLOOKUP(G936,[1]硬件清单!$F:$F,1,0)</f>
        <v>EME42802ED8D40839</v>
      </c>
      <c r="K936" s="43"/>
      <c r="L936" s="44"/>
      <c r="M936" s="45" t="s">
        <v>2970</v>
      </c>
    </row>
    <row r="937" ht="30" customHeight="1" spans="1:13">
      <c r="A937" s="41">
        <f>IF(C937="","",SUBTOTAL(103,$C$2:C937))</f>
        <v>928</v>
      </c>
      <c r="B937" s="41">
        <v>717</v>
      </c>
      <c r="C937" s="41">
        <v>10206</v>
      </c>
      <c r="D937" s="41" t="s">
        <v>65</v>
      </c>
      <c r="E937" s="41" t="s">
        <v>220</v>
      </c>
      <c r="F937" s="41" t="s">
        <v>1246</v>
      </c>
      <c r="G937" s="51" t="s">
        <v>2971</v>
      </c>
      <c r="H937" s="41" t="s">
        <v>2972</v>
      </c>
      <c r="I937" s="43">
        <v>12</v>
      </c>
      <c r="J937" s="44" t="str">
        <f>VLOOKUP(G937,[1]硬件清单!$F:$F,1,0)</f>
        <v>EME42802ED8D40837</v>
      </c>
      <c r="K937" s="43"/>
      <c r="L937" s="44"/>
      <c r="M937" s="45" t="s">
        <v>2973</v>
      </c>
    </row>
    <row r="938" ht="30" customHeight="1" spans="1:13">
      <c r="A938" s="41">
        <f>IF(C938="","",SUBTOTAL(103,$C$2:C938))</f>
        <v>929</v>
      </c>
      <c r="B938" s="41">
        <v>719</v>
      </c>
      <c r="C938" s="41">
        <v>10202</v>
      </c>
      <c r="D938" s="41" t="s">
        <v>65</v>
      </c>
      <c r="E938" s="41" t="s">
        <v>220</v>
      </c>
      <c r="F938" s="41" t="s">
        <v>1246</v>
      </c>
      <c r="G938" s="51" t="s">
        <v>2974</v>
      </c>
      <c r="H938" s="41" t="s">
        <v>2975</v>
      </c>
      <c r="I938" s="43">
        <v>12</v>
      </c>
      <c r="J938" s="44" t="str">
        <f>VLOOKUP(G938,[1]硬件清单!$F:$F,1,0)</f>
        <v>EME42802ED8D40833</v>
      </c>
      <c r="K938" s="43"/>
      <c r="L938" s="44"/>
      <c r="M938" s="45" t="s">
        <v>2976</v>
      </c>
    </row>
    <row r="939" ht="30" customHeight="1" spans="1:13">
      <c r="A939" s="41">
        <f>IF(C939="","",SUBTOTAL(103,$C$2:C939))</f>
        <v>930</v>
      </c>
      <c r="B939" s="41">
        <v>720</v>
      </c>
      <c r="C939" s="41">
        <v>10203</v>
      </c>
      <c r="D939" s="41" t="s">
        <v>65</v>
      </c>
      <c r="E939" s="41" t="s">
        <v>220</v>
      </c>
      <c r="F939" s="41" t="s">
        <v>1246</v>
      </c>
      <c r="G939" s="51" t="s">
        <v>2977</v>
      </c>
      <c r="H939" s="41" t="s">
        <v>2978</v>
      </c>
      <c r="I939" s="43">
        <v>12</v>
      </c>
      <c r="J939" s="44" t="str">
        <f>VLOOKUP(G939,[1]硬件清单!$F:$F,1,0)</f>
        <v>EME42802ED8D40832</v>
      </c>
      <c r="K939" s="43"/>
      <c r="L939" s="44"/>
      <c r="M939" s="45" t="s">
        <v>2979</v>
      </c>
    </row>
    <row r="940" ht="30" customHeight="1" spans="1:13">
      <c r="A940" s="41">
        <f>IF(C940="","",SUBTOTAL(103,$C$2:C940))</f>
        <v>931</v>
      </c>
      <c r="B940" s="41">
        <v>721</v>
      </c>
      <c r="C940" s="41">
        <v>10209</v>
      </c>
      <c r="D940" s="41" t="s">
        <v>65</v>
      </c>
      <c r="E940" s="41" t="s">
        <v>220</v>
      </c>
      <c r="F940" s="41" t="s">
        <v>1246</v>
      </c>
      <c r="G940" s="51" t="s">
        <v>2980</v>
      </c>
      <c r="H940" s="41" t="s">
        <v>2981</v>
      </c>
      <c r="I940" s="43">
        <v>12</v>
      </c>
      <c r="J940" s="44" t="str">
        <f>VLOOKUP(G940,[1]硬件清单!$F:$F,1,0)</f>
        <v>EME42802ED8D40834</v>
      </c>
      <c r="K940" s="43"/>
      <c r="L940" s="44"/>
      <c r="M940" s="45" t="s">
        <v>2982</v>
      </c>
    </row>
    <row r="941" ht="30" customHeight="1" spans="1:13">
      <c r="A941" s="41">
        <f>IF(C941="","",SUBTOTAL(103,$C$2:C941))</f>
        <v>932</v>
      </c>
      <c r="B941" s="41">
        <v>722</v>
      </c>
      <c r="C941" s="41">
        <v>10201</v>
      </c>
      <c r="D941" s="41" t="s">
        <v>65</v>
      </c>
      <c r="E941" s="41" t="s">
        <v>304</v>
      </c>
      <c r="F941" s="41" t="s">
        <v>2517</v>
      </c>
      <c r="G941" s="51" t="s">
        <v>2983</v>
      </c>
      <c r="H941" s="41" t="s">
        <v>2984</v>
      </c>
      <c r="I941" s="43">
        <v>12</v>
      </c>
      <c r="J941" s="44" t="str">
        <f>VLOOKUP(G941,[1]硬件清单!$F:$F,1,0)</f>
        <v>LVS2000E2ED8D40831</v>
      </c>
      <c r="K941" s="43"/>
      <c r="L941" s="44"/>
      <c r="M941" s="45" t="s">
        <v>2985</v>
      </c>
    </row>
    <row r="942" ht="30" customHeight="1" spans="1:13">
      <c r="A942" s="41">
        <f>IF(C942="","",SUBTOTAL(103,$C$2:C942))</f>
        <v>933</v>
      </c>
      <c r="B942" s="41">
        <v>723</v>
      </c>
      <c r="C942" s="41">
        <v>10136</v>
      </c>
      <c r="D942" s="41" t="s">
        <v>19</v>
      </c>
      <c r="E942" s="41" t="s">
        <v>20</v>
      </c>
      <c r="F942" s="41" t="s">
        <v>2819</v>
      </c>
      <c r="G942" s="51" t="s">
        <v>2986</v>
      </c>
      <c r="H942" s="41" t="s">
        <v>2987</v>
      </c>
      <c r="I942" s="43">
        <v>12</v>
      </c>
      <c r="J942" s="44" t="str">
        <f>VLOOKUP(G942,[1]硬件清单!$F:$F,1,0)</f>
        <v>210235A0D1H121000044</v>
      </c>
      <c r="K942" s="43"/>
      <c r="L942" s="44"/>
      <c r="M942" s="45" t="s">
        <v>2988</v>
      </c>
    </row>
    <row r="943" s="26" customFormat="1" ht="30" customHeight="1" spans="1:13">
      <c r="A943" s="41">
        <f>IF(C943="","",SUBTOTAL(103,$C$2:C943))</f>
        <v>934</v>
      </c>
      <c r="B943" s="41">
        <v>724</v>
      </c>
      <c r="C943" s="41">
        <v>10210</v>
      </c>
      <c r="D943" s="41" t="s">
        <v>65</v>
      </c>
      <c r="E943" s="41" t="s">
        <v>220</v>
      </c>
      <c r="F943" s="41" t="s">
        <v>1246</v>
      </c>
      <c r="G943" s="51" t="s">
        <v>2989</v>
      </c>
      <c r="H943" s="41" t="s">
        <v>2990</v>
      </c>
      <c r="I943" s="43">
        <v>12</v>
      </c>
      <c r="J943" s="44" t="str">
        <f>VLOOKUP(G943,[1]硬件清单!$F:$F,1,0)</f>
        <v>EME42802ED8D4083A</v>
      </c>
      <c r="K943" s="43"/>
      <c r="L943" s="44"/>
      <c r="M943" s="45" t="s">
        <v>2991</v>
      </c>
    </row>
    <row r="944" s="26" customFormat="1" ht="30" customHeight="1" spans="1:13">
      <c r="A944" s="41">
        <f>IF(C944="","",SUBTOTAL(103,$C$2:C944))</f>
        <v>935</v>
      </c>
      <c r="B944" s="41">
        <v>725</v>
      </c>
      <c r="C944" s="41">
        <v>10211</v>
      </c>
      <c r="D944" s="41" t="s">
        <v>65</v>
      </c>
      <c r="E944" s="41" t="s">
        <v>220</v>
      </c>
      <c r="F944" s="41" t="s">
        <v>1246</v>
      </c>
      <c r="G944" s="51" t="s">
        <v>2992</v>
      </c>
      <c r="H944" s="41" t="s">
        <v>2993</v>
      </c>
      <c r="I944" s="43">
        <v>12</v>
      </c>
      <c r="J944" s="44" t="str">
        <f>VLOOKUP(G944,[1]硬件清单!$F:$F,1,0)</f>
        <v>EME42802ED8D40838</v>
      </c>
      <c r="K944" s="43"/>
      <c r="L944" s="44"/>
      <c r="M944" s="45" t="s">
        <v>2994</v>
      </c>
    </row>
    <row r="945" s="26" customFormat="1" ht="30" customHeight="1" spans="1:13">
      <c r="A945" s="41">
        <f>IF(C945="","",SUBTOTAL(103,$C$2:C945))</f>
        <v>936</v>
      </c>
      <c r="B945" s="41">
        <v>727</v>
      </c>
      <c r="C945" s="41">
        <v>10207</v>
      </c>
      <c r="D945" s="41" t="s">
        <v>65</v>
      </c>
      <c r="E945" s="41" t="s">
        <v>220</v>
      </c>
      <c r="F945" s="41" t="s">
        <v>1246</v>
      </c>
      <c r="G945" s="51" t="s">
        <v>2995</v>
      </c>
      <c r="H945" s="41" t="s">
        <v>2996</v>
      </c>
      <c r="I945" s="43">
        <v>12</v>
      </c>
      <c r="J945" s="44" t="str">
        <f>VLOOKUP(G945,[1]硬件清单!$F:$F,1,0)</f>
        <v>EME42802ED8D40836</v>
      </c>
      <c r="K945" s="43"/>
      <c r="L945" s="44"/>
      <c r="M945" s="45" t="s">
        <v>2997</v>
      </c>
    </row>
    <row r="946" s="26" customFormat="1" ht="30" customHeight="1" spans="1:13">
      <c r="A946" s="41">
        <f>IF(C946="","",SUBTOTAL(103,$C$2:C946))</f>
        <v>937</v>
      </c>
      <c r="B946" s="41">
        <v>728</v>
      </c>
      <c r="C946" s="41">
        <v>10208</v>
      </c>
      <c r="D946" s="41" t="s">
        <v>65</v>
      </c>
      <c r="E946" s="41" t="s">
        <v>220</v>
      </c>
      <c r="F946" s="41" t="s">
        <v>1246</v>
      </c>
      <c r="G946" s="51" t="s">
        <v>2998</v>
      </c>
      <c r="H946" s="41" t="s">
        <v>2999</v>
      </c>
      <c r="I946" s="43">
        <v>12</v>
      </c>
      <c r="J946" s="44" t="str">
        <f>VLOOKUP(G946,[1]硬件清单!$F:$F,1,0)</f>
        <v>EME42802ED8D40835</v>
      </c>
      <c r="K946" s="43"/>
      <c r="L946" s="44"/>
      <c r="M946" s="45" t="s">
        <v>3000</v>
      </c>
    </row>
    <row r="947" s="26" customFormat="1" ht="30" customHeight="1" spans="1:13">
      <c r="A947" s="41">
        <f>IF(C947="","",SUBTOTAL(103,$C$2:C947))</f>
        <v>938</v>
      </c>
      <c r="B947" s="41">
        <v>729</v>
      </c>
      <c r="C947" s="41">
        <v>11351</v>
      </c>
      <c r="D947" s="41" t="s">
        <v>65</v>
      </c>
      <c r="E947" s="41" t="s">
        <v>220</v>
      </c>
      <c r="F947" s="41" t="s">
        <v>3001</v>
      </c>
      <c r="G947" s="51" t="s">
        <v>3002</v>
      </c>
      <c r="H947" s="41" t="s">
        <v>3003</v>
      </c>
      <c r="I947" s="43">
        <v>12</v>
      </c>
      <c r="J947" s="44" t="str">
        <f>VLOOKUP(G947,[1]硬件清单!$F:$F,1,0)</f>
        <v>210235A0D1H13A000162</v>
      </c>
      <c r="K947" s="43"/>
      <c r="L947" s="44"/>
      <c r="M947" s="45" t="s">
        <v>3004</v>
      </c>
    </row>
    <row r="948" s="26" customFormat="1" ht="30" customHeight="1" spans="1:13">
      <c r="A948" s="41">
        <f>IF(C948="","",SUBTOTAL(103,$C$2:C948))</f>
        <v>939</v>
      </c>
      <c r="B948" s="41">
        <v>730</v>
      </c>
      <c r="C948" s="41">
        <v>11352</v>
      </c>
      <c r="D948" s="41" t="s">
        <v>65</v>
      </c>
      <c r="E948" s="41" t="s">
        <v>220</v>
      </c>
      <c r="F948" s="41" t="s">
        <v>3001</v>
      </c>
      <c r="G948" s="51" t="s">
        <v>3005</v>
      </c>
      <c r="H948" s="41" t="s">
        <v>3006</v>
      </c>
      <c r="I948" s="43">
        <v>12</v>
      </c>
      <c r="J948" s="44" t="str">
        <f>VLOOKUP(G948,[1]硬件清单!$F:$F,1,0)</f>
        <v>210235A0D1H14A000011</v>
      </c>
      <c r="K948" s="43"/>
      <c r="L948" s="44"/>
      <c r="M948" s="45" t="s">
        <v>3007</v>
      </c>
    </row>
    <row r="949" ht="30" customHeight="1" spans="1:13">
      <c r="A949" s="41">
        <f>IF(C949="","",SUBTOTAL(103,$C$2:C949))</f>
        <v>940</v>
      </c>
      <c r="B949" s="41">
        <v>731</v>
      </c>
      <c r="C949" s="41">
        <v>11365</v>
      </c>
      <c r="D949" s="41" t="s">
        <v>65</v>
      </c>
      <c r="E949" s="41" t="s">
        <v>220</v>
      </c>
      <c r="F949" s="41" t="s">
        <v>3008</v>
      </c>
      <c r="G949" s="51" t="s">
        <v>3009</v>
      </c>
      <c r="H949" s="41" t="s">
        <v>3010</v>
      </c>
      <c r="I949" s="43">
        <v>12</v>
      </c>
      <c r="J949" s="44" t="str">
        <f>VLOOKUP(G949,[1]硬件清单!$F:$F,1,0)</f>
        <v>210235A377H14A000031</v>
      </c>
      <c r="K949" s="43"/>
      <c r="L949" s="44"/>
      <c r="M949" s="45" t="s">
        <v>3011</v>
      </c>
    </row>
    <row r="950" ht="30" customHeight="1" spans="1:13">
      <c r="A950" s="41">
        <f>IF(C950="","",SUBTOTAL(103,$C$2:C950))</f>
        <v>941</v>
      </c>
      <c r="B950" s="41">
        <v>732</v>
      </c>
      <c r="C950" s="41">
        <v>11366</v>
      </c>
      <c r="D950" s="41" t="s">
        <v>65</v>
      </c>
      <c r="E950" s="41" t="s">
        <v>220</v>
      </c>
      <c r="F950" s="41" t="s">
        <v>3008</v>
      </c>
      <c r="G950" s="51" t="s">
        <v>3012</v>
      </c>
      <c r="H950" s="41" t="s">
        <v>3013</v>
      </c>
      <c r="I950" s="43">
        <v>12</v>
      </c>
      <c r="J950" s="44" t="str">
        <f>VLOOKUP(G950,[1]硬件清单!$F:$F,1,0)</f>
        <v>210235A377H14A000039</v>
      </c>
      <c r="K950" s="43"/>
      <c r="L950" s="44"/>
      <c r="M950" s="45" t="s">
        <v>3014</v>
      </c>
    </row>
    <row r="951" ht="30" customHeight="1" spans="1:13">
      <c r="A951" s="41">
        <f>IF(C951="","",SUBTOTAL(103,$C$2:C951))</f>
        <v>942</v>
      </c>
      <c r="B951" s="41">
        <v>733</v>
      </c>
      <c r="C951" s="41">
        <v>11353</v>
      </c>
      <c r="D951" s="41" t="s">
        <v>65</v>
      </c>
      <c r="E951" s="41" t="s">
        <v>220</v>
      </c>
      <c r="F951" s="41" t="s">
        <v>3001</v>
      </c>
      <c r="G951" s="51" t="s">
        <v>3015</v>
      </c>
      <c r="H951" s="41" t="s">
        <v>3016</v>
      </c>
      <c r="I951" s="43">
        <v>12</v>
      </c>
      <c r="J951" s="44" t="str">
        <f>VLOOKUP(G951,[1]硬件清单!$F:$F,1,0)</f>
        <v>210235A0D1H138000009</v>
      </c>
      <c r="K951" s="43"/>
      <c r="L951" s="44"/>
      <c r="M951" s="45" t="s">
        <v>3017</v>
      </c>
    </row>
    <row r="952" ht="30" customHeight="1" spans="1:13">
      <c r="A952" s="41">
        <f>IF(C952="","",SUBTOTAL(103,$C$2:C952))</f>
        <v>943</v>
      </c>
      <c r="B952" s="41">
        <v>734</v>
      </c>
      <c r="C952" s="41">
        <v>11367</v>
      </c>
      <c r="D952" s="41" t="s">
        <v>65</v>
      </c>
      <c r="E952" s="41" t="s">
        <v>220</v>
      </c>
      <c r="F952" s="41" t="s">
        <v>3008</v>
      </c>
      <c r="G952" s="51" t="s">
        <v>3018</v>
      </c>
      <c r="H952" s="41" t="s">
        <v>3019</v>
      </c>
      <c r="I952" s="43">
        <v>12</v>
      </c>
      <c r="J952" s="44" t="str">
        <f>VLOOKUP(G952,[1]硬件清单!$F:$F,1,0)</f>
        <v>210235A377H14A000018</v>
      </c>
      <c r="K952" s="43"/>
      <c r="L952" s="44"/>
      <c r="M952" s="45" t="s">
        <v>3020</v>
      </c>
    </row>
    <row r="953" ht="30" customHeight="1" spans="1:13">
      <c r="A953" s="41">
        <f>IF(C953="","",SUBTOTAL(103,$C$2:C953))</f>
        <v>944</v>
      </c>
      <c r="B953" s="41">
        <v>735</v>
      </c>
      <c r="C953" s="41">
        <v>11369</v>
      </c>
      <c r="D953" s="41" t="s">
        <v>65</v>
      </c>
      <c r="E953" s="41" t="s">
        <v>220</v>
      </c>
      <c r="F953" s="41" t="s">
        <v>3008</v>
      </c>
      <c r="G953" s="41" t="s">
        <v>3021</v>
      </c>
      <c r="H953" s="41" t="s">
        <v>3022</v>
      </c>
      <c r="I953" s="43">
        <v>12</v>
      </c>
      <c r="J953" s="44" t="str">
        <f>VLOOKUP(G953,[1]硬件清单!$F:$F,1,0)</f>
        <v>210235A377H139000111</v>
      </c>
      <c r="K953" s="43"/>
      <c r="L953" s="44"/>
      <c r="M953" s="45" t="s">
        <v>3023</v>
      </c>
    </row>
    <row r="954" ht="30" customHeight="1" spans="1:13">
      <c r="A954" s="41">
        <f>IF(C954="","",SUBTOTAL(103,$C$2:C954))</f>
        <v>945</v>
      </c>
      <c r="B954" s="41">
        <v>736</v>
      </c>
      <c r="C954" s="41">
        <v>11354</v>
      </c>
      <c r="D954" s="41" t="s">
        <v>65</v>
      </c>
      <c r="E954" s="41" t="s">
        <v>220</v>
      </c>
      <c r="F954" s="41" t="s">
        <v>3001</v>
      </c>
      <c r="G954" s="41" t="s">
        <v>3024</v>
      </c>
      <c r="H954" s="41" t="s">
        <v>3025</v>
      </c>
      <c r="I954" s="43">
        <v>12</v>
      </c>
      <c r="J954" s="44" t="str">
        <f>VLOOKUP(G954,[1]硬件清单!$F:$F,1,0)</f>
        <v>210235A0D1H137000324</v>
      </c>
      <c r="K954" s="43"/>
      <c r="L954" s="44"/>
      <c r="M954" s="45" t="s">
        <v>3026</v>
      </c>
    </row>
    <row r="955" ht="30" customHeight="1" spans="1:13">
      <c r="A955" s="41">
        <f>IF(C955="","",SUBTOTAL(103,$C$2:C955))</f>
        <v>946</v>
      </c>
      <c r="B955" s="41">
        <v>737</v>
      </c>
      <c r="C955" s="41">
        <v>11368</v>
      </c>
      <c r="D955" s="41" t="s">
        <v>65</v>
      </c>
      <c r="E955" s="41" t="s">
        <v>220</v>
      </c>
      <c r="F955" s="41" t="s">
        <v>3008</v>
      </c>
      <c r="G955" s="41" t="s">
        <v>3027</v>
      </c>
      <c r="H955" s="41" t="s">
        <v>3028</v>
      </c>
      <c r="I955" s="43">
        <v>12</v>
      </c>
      <c r="J955" s="44" t="str">
        <f>VLOOKUP(G955,[1]硬件清单!$F:$F,1,0)</f>
        <v>210235A377H14A000030</v>
      </c>
      <c r="K955" s="43"/>
      <c r="L955" s="44"/>
      <c r="M955" s="45" t="s">
        <v>3029</v>
      </c>
    </row>
    <row r="956" ht="30" customHeight="1" spans="1:13">
      <c r="A956" s="41">
        <f>IF(C956="","",SUBTOTAL(103,$C$2:C956))</f>
        <v>947</v>
      </c>
      <c r="B956" s="41">
        <v>738</v>
      </c>
      <c r="C956" s="41">
        <v>11356</v>
      </c>
      <c r="D956" s="41" t="s">
        <v>65</v>
      </c>
      <c r="E956" s="41" t="s">
        <v>220</v>
      </c>
      <c r="F956" s="41" t="s">
        <v>3001</v>
      </c>
      <c r="G956" s="41" t="s">
        <v>3030</v>
      </c>
      <c r="H956" s="41" t="s">
        <v>3031</v>
      </c>
      <c r="I956" s="43">
        <v>12</v>
      </c>
      <c r="J956" s="44" t="str">
        <f>VLOOKUP(G956,[1]硬件清单!$F:$F,1,0)</f>
        <v>210235A0D1H148000079</v>
      </c>
      <c r="K956" s="43"/>
      <c r="L956" s="44"/>
      <c r="M956" s="45" t="s">
        <v>3032</v>
      </c>
    </row>
    <row r="957" ht="30" customHeight="1" spans="1:13">
      <c r="A957" s="41">
        <f>IF(C957="","",SUBTOTAL(103,$C$2:C957))</f>
        <v>948</v>
      </c>
      <c r="B957" s="41">
        <v>739</v>
      </c>
      <c r="C957" s="41">
        <v>11357</v>
      </c>
      <c r="D957" s="41" t="s">
        <v>65</v>
      </c>
      <c r="E957" s="41" t="s">
        <v>220</v>
      </c>
      <c r="F957" s="41" t="s">
        <v>3001</v>
      </c>
      <c r="G957" s="41" t="s">
        <v>3033</v>
      </c>
      <c r="H957" s="41" t="s">
        <v>3034</v>
      </c>
      <c r="I957" s="43">
        <v>12</v>
      </c>
      <c r="J957" s="44" t="str">
        <f>VLOOKUP(G957,[1]硬件清单!$F:$F,1,0)</f>
        <v>210235A0D1H14A000050</v>
      </c>
      <c r="K957" s="43"/>
      <c r="L957" s="44"/>
      <c r="M957" s="45" t="s">
        <v>3035</v>
      </c>
    </row>
    <row r="958" ht="30" customHeight="1" spans="1:13">
      <c r="A958" s="41">
        <f>IF(C958="","",SUBTOTAL(103,$C$2:C958))</f>
        <v>949</v>
      </c>
      <c r="B958" s="41">
        <v>740</v>
      </c>
      <c r="C958" s="41">
        <v>11358</v>
      </c>
      <c r="D958" s="41" t="s">
        <v>65</v>
      </c>
      <c r="E958" s="41" t="s">
        <v>220</v>
      </c>
      <c r="F958" s="41" t="s">
        <v>3001</v>
      </c>
      <c r="G958" s="41" t="s">
        <v>3036</v>
      </c>
      <c r="H958" s="41" t="s">
        <v>3037</v>
      </c>
      <c r="I958" s="43">
        <v>12</v>
      </c>
      <c r="J958" s="44" t="str">
        <f>VLOOKUP(G958,[1]硬件清单!$F:$F,1,0)</f>
        <v>210235A0D1H149000217</v>
      </c>
      <c r="K958" s="43"/>
      <c r="L958" s="44"/>
      <c r="M958" s="45" t="s">
        <v>3038</v>
      </c>
    </row>
    <row r="959" ht="30" customHeight="1" spans="1:13">
      <c r="A959" s="41">
        <f>IF(C959="","",SUBTOTAL(103,$C$2:C959))</f>
        <v>950</v>
      </c>
      <c r="B959" s="41">
        <v>741</v>
      </c>
      <c r="C959" s="41">
        <v>11371</v>
      </c>
      <c r="D959" s="41" t="s">
        <v>65</v>
      </c>
      <c r="E959" s="41" t="s">
        <v>220</v>
      </c>
      <c r="F959" s="41" t="s">
        <v>3008</v>
      </c>
      <c r="G959" s="51" t="s">
        <v>3039</v>
      </c>
      <c r="H959" s="41" t="s">
        <v>3040</v>
      </c>
      <c r="I959" s="43">
        <v>12</v>
      </c>
      <c r="J959" s="44" t="str">
        <f>VLOOKUP(G959,[1]硬件清单!$F:$F,1,0)</f>
        <v>210235A377H14A000037</v>
      </c>
      <c r="K959" s="43"/>
      <c r="L959" s="44"/>
      <c r="M959" s="45" t="s">
        <v>3041</v>
      </c>
    </row>
    <row r="960" ht="30" customHeight="1" spans="1:13">
      <c r="A960" s="41">
        <f>IF(C960="","",SUBTOTAL(103,$C$2:C960))</f>
        <v>951</v>
      </c>
      <c r="B960" s="41">
        <v>742</v>
      </c>
      <c r="C960" s="41">
        <v>11355</v>
      </c>
      <c r="D960" s="41" t="s">
        <v>65</v>
      </c>
      <c r="E960" s="41" t="s">
        <v>220</v>
      </c>
      <c r="F960" s="41" t="s">
        <v>3001</v>
      </c>
      <c r="G960" s="51" t="s">
        <v>3042</v>
      </c>
      <c r="H960" s="41" t="s">
        <v>3043</v>
      </c>
      <c r="I960" s="43">
        <v>12</v>
      </c>
      <c r="J960" s="44" t="str">
        <f>VLOOKUP(G960,[1]硬件清单!$F:$F,1,0)</f>
        <v>21023A0D1H149000242</v>
      </c>
      <c r="K960" s="43"/>
      <c r="L960" s="44"/>
      <c r="M960" s="45" t="s">
        <v>3044</v>
      </c>
    </row>
    <row r="961" ht="30" customHeight="1" spans="1:13">
      <c r="A961" s="41">
        <f>IF(C961="","",SUBTOTAL(103,$C$2:C961))</f>
        <v>952</v>
      </c>
      <c r="B961" s="41">
        <v>743</v>
      </c>
      <c r="C961" s="41">
        <v>11370</v>
      </c>
      <c r="D961" s="41" t="s">
        <v>65</v>
      </c>
      <c r="E961" s="41" t="s">
        <v>220</v>
      </c>
      <c r="F961" s="41" t="s">
        <v>3008</v>
      </c>
      <c r="G961" s="51" t="s">
        <v>3045</v>
      </c>
      <c r="H961" s="41" t="s">
        <v>3046</v>
      </c>
      <c r="I961" s="43">
        <v>12</v>
      </c>
      <c r="J961" s="44" t="str">
        <f>VLOOKUP(G961,[1]硬件清单!$F:$F,1,0)</f>
        <v>210235A377H14A000017</v>
      </c>
      <c r="K961" s="43"/>
      <c r="L961" s="44"/>
      <c r="M961" s="45" t="s">
        <v>3047</v>
      </c>
    </row>
    <row r="962" ht="30" customHeight="1" spans="1:13">
      <c r="A962" s="41">
        <f>IF(C962="","",SUBTOTAL(103,$C$2:C962))</f>
        <v>953</v>
      </c>
      <c r="B962" s="41">
        <v>744</v>
      </c>
      <c r="C962" s="41">
        <v>11359</v>
      </c>
      <c r="D962" s="41" t="s">
        <v>65</v>
      </c>
      <c r="E962" s="41" t="s">
        <v>220</v>
      </c>
      <c r="F962" s="41" t="s">
        <v>3001</v>
      </c>
      <c r="G962" s="51" t="s">
        <v>3048</v>
      </c>
      <c r="H962" s="41" t="s">
        <v>3049</v>
      </c>
      <c r="I962" s="43">
        <v>12</v>
      </c>
      <c r="J962" s="44" t="str">
        <f>VLOOKUP(G962,[1]硬件清单!$F:$F,1,0)</f>
        <v>210235A0D1H14A000078</v>
      </c>
      <c r="K962" s="43"/>
      <c r="L962" s="44"/>
      <c r="M962" s="45" t="s">
        <v>3050</v>
      </c>
    </row>
    <row r="963" ht="30" customHeight="1" spans="1:13">
      <c r="A963" s="41">
        <f>IF(C963="","",SUBTOTAL(103,$C$2:C963))</f>
        <v>954</v>
      </c>
      <c r="B963" s="41">
        <v>745</v>
      </c>
      <c r="C963" s="41">
        <v>11360</v>
      </c>
      <c r="D963" s="41" t="s">
        <v>65</v>
      </c>
      <c r="E963" s="41" t="s">
        <v>220</v>
      </c>
      <c r="F963" s="41" t="s">
        <v>3001</v>
      </c>
      <c r="G963" s="51" t="s">
        <v>3051</v>
      </c>
      <c r="H963" s="41" t="s">
        <v>3052</v>
      </c>
      <c r="I963" s="43">
        <v>12</v>
      </c>
      <c r="J963" s="44" t="str">
        <f>VLOOKUP(G963,[1]硬件清单!$F:$F,1,0)</f>
        <v>210235A0D1H149000170</v>
      </c>
      <c r="K963" s="43"/>
      <c r="L963" s="44"/>
      <c r="M963" s="45" t="s">
        <v>3053</v>
      </c>
    </row>
    <row r="964" ht="30" customHeight="1" spans="1:13">
      <c r="A964" s="41">
        <f>IF(C964="","",SUBTOTAL(103,$C$2:C964))</f>
        <v>955</v>
      </c>
      <c r="B964" s="41">
        <v>746</v>
      </c>
      <c r="C964" s="41">
        <v>11389</v>
      </c>
      <c r="D964" s="41" t="s">
        <v>65</v>
      </c>
      <c r="E964" s="41" t="s">
        <v>220</v>
      </c>
      <c r="F964" s="41" t="s">
        <v>2484</v>
      </c>
      <c r="G964" s="51" t="s">
        <v>3054</v>
      </c>
      <c r="H964" s="41" t="s">
        <v>3055</v>
      </c>
      <c r="I964" s="43">
        <v>12</v>
      </c>
      <c r="J964" s="44" t="str">
        <f>VLOOKUP(G964,[1]硬件清单!$F:$F,1,0)</f>
        <v>210235A0D1H13A000077</v>
      </c>
      <c r="K964" s="43"/>
      <c r="L964" s="44"/>
      <c r="M964" s="45" t="s">
        <v>3056</v>
      </c>
    </row>
    <row r="965" ht="30" customHeight="1" spans="1:13">
      <c r="A965" s="41">
        <f>IF(C965="","",SUBTOTAL(103,$C$2:C965))</f>
        <v>956</v>
      </c>
      <c r="B965" s="41">
        <v>747</v>
      </c>
      <c r="C965" s="41">
        <v>11362</v>
      </c>
      <c r="D965" s="41" t="s">
        <v>65</v>
      </c>
      <c r="E965" s="41" t="s">
        <v>220</v>
      </c>
      <c r="F965" s="41" t="s">
        <v>3001</v>
      </c>
      <c r="G965" s="51" t="s">
        <v>3057</v>
      </c>
      <c r="H965" s="41" t="s">
        <v>3058</v>
      </c>
      <c r="I965" s="43">
        <v>12</v>
      </c>
      <c r="J965" s="44" t="str">
        <f>VLOOKUP(G965,[1]硬件清单!$F:$F,1,0)</f>
        <v>210235A0D1H138000064</v>
      </c>
      <c r="K965" s="43"/>
      <c r="L965" s="44"/>
      <c r="M965" s="45" t="s">
        <v>3059</v>
      </c>
    </row>
    <row r="966" ht="30" customHeight="1" spans="1:13">
      <c r="A966" s="41">
        <f>IF(C966="","",SUBTOTAL(103,$C$2:C966))</f>
        <v>957</v>
      </c>
      <c r="B966" s="41">
        <v>748</v>
      </c>
      <c r="C966" s="41">
        <v>11390</v>
      </c>
      <c r="D966" s="41" t="s">
        <v>65</v>
      </c>
      <c r="E966" s="41" t="s">
        <v>220</v>
      </c>
      <c r="F966" s="41" t="s">
        <v>2484</v>
      </c>
      <c r="G966" s="51" t="s">
        <v>3060</v>
      </c>
      <c r="H966" s="41" t="s">
        <v>3061</v>
      </c>
      <c r="I966" s="43">
        <v>12</v>
      </c>
      <c r="J966" s="44" t="str">
        <f>VLOOKUP(G966,[1]硬件清单!$F:$F,1,0)</f>
        <v>210235A0D1H39000013</v>
      </c>
      <c r="K966" s="43"/>
      <c r="L966" s="44"/>
      <c r="M966" s="45" t="s">
        <v>3062</v>
      </c>
    </row>
    <row r="967" ht="30" customHeight="1" spans="1:13">
      <c r="A967" s="41">
        <f>IF(C967="","",SUBTOTAL(103,$C$2:C967))</f>
        <v>958</v>
      </c>
      <c r="B967" s="41">
        <v>749</v>
      </c>
      <c r="C967" s="41">
        <v>11361</v>
      </c>
      <c r="D967" s="41" t="s">
        <v>65</v>
      </c>
      <c r="E967" s="41" t="s">
        <v>220</v>
      </c>
      <c r="F967" s="41" t="s">
        <v>3001</v>
      </c>
      <c r="G967" s="41" t="s">
        <v>3063</v>
      </c>
      <c r="H967" s="41" t="s">
        <v>3064</v>
      </c>
      <c r="I967" s="43">
        <v>12</v>
      </c>
      <c r="J967" s="44" t="str">
        <f>VLOOKUP(G967,[1]硬件清单!$F:$F,1,0)</f>
        <v>210235A0D1H148000133</v>
      </c>
      <c r="K967" s="43"/>
      <c r="L967" s="44"/>
      <c r="M967" s="45" t="s">
        <v>3065</v>
      </c>
    </row>
    <row r="968" ht="30" customHeight="1" spans="1:13">
      <c r="A968" s="41">
        <f>IF(C968="","",SUBTOTAL(103,$C$2:C968))</f>
        <v>959</v>
      </c>
      <c r="B968" s="41">
        <v>750</v>
      </c>
      <c r="C968" s="41">
        <v>11388</v>
      </c>
      <c r="D968" s="41" t="s">
        <v>65</v>
      </c>
      <c r="E968" s="41" t="s">
        <v>220</v>
      </c>
      <c r="F968" s="41" t="s">
        <v>221</v>
      </c>
      <c r="G968" s="41" t="s">
        <v>318</v>
      </c>
      <c r="H968" s="41" t="s">
        <v>3066</v>
      </c>
      <c r="I968" s="43">
        <v>12</v>
      </c>
      <c r="J968" s="44" t="str">
        <f>VLOOKUP(G968,[1]硬件清单!$F:$F,1,0)</f>
        <v>ASG1000III2EE4FB2596</v>
      </c>
      <c r="K968" s="43"/>
      <c r="L968" s="44"/>
      <c r="M968" s="45" t="s">
        <v>3067</v>
      </c>
    </row>
    <row r="969" ht="30" customHeight="1" spans="1:13">
      <c r="A969" s="41">
        <f>IF(C969="","",SUBTOTAL(103,$C$2:C969))</f>
        <v>960</v>
      </c>
      <c r="B969" s="41">
        <v>751</v>
      </c>
      <c r="C969" s="41">
        <v>11265</v>
      </c>
      <c r="D969" s="41" t="s">
        <v>65</v>
      </c>
      <c r="E969" s="41" t="s">
        <v>220</v>
      </c>
      <c r="F969" s="41" t="s">
        <v>3068</v>
      </c>
      <c r="G969" s="41" t="s">
        <v>3069</v>
      </c>
      <c r="H969" s="41" t="s">
        <v>3070</v>
      </c>
      <c r="I969" s="43">
        <v>12</v>
      </c>
      <c r="J969" s="44" t="str">
        <f>VLOOKUP(G969,[1]硬件清单!$F:$F,1,0)</f>
        <v>YD-SC10004B07F9360</v>
      </c>
      <c r="K969" s="43"/>
      <c r="L969" s="44"/>
      <c r="M969" s="45" t="s">
        <v>3071</v>
      </c>
    </row>
    <row r="970" ht="30" customHeight="1" spans="1:13">
      <c r="A970" s="41">
        <f>IF(C970="","",SUBTOTAL(103,$C$2:C970))</f>
        <v>961</v>
      </c>
      <c r="B970" s="41">
        <v>752</v>
      </c>
      <c r="C970" s="41">
        <v>11243</v>
      </c>
      <c r="D970" s="41" t="s">
        <v>65</v>
      </c>
      <c r="E970" s="41" t="s">
        <v>220</v>
      </c>
      <c r="F970" s="41" t="s">
        <v>3001</v>
      </c>
      <c r="G970" s="41" t="s">
        <v>3072</v>
      </c>
      <c r="H970" s="41" t="s">
        <v>3073</v>
      </c>
      <c r="I970" s="43">
        <v>12</v>
      </c>
      <c r="J970" s="44" t="str">
        <f>VLOOKUP(G970,[1]硬件清单!$F:$F,1,0)</f>
        <v>210235A36TH148000257</v>
      </c>
      <c r="K970" s="43"/>
      <c r="L970" s="44"/>
      <c r="M970" s="45" t="s">
        <v>3074</v>
      </c>
    </row>
    <row r="971" ht="30" customHeight="1" spans="1:13">
      <c r="A971" s="41">
        <f>IF(C971="","",SUBTOTAL(103,$C$2:C971))</f>
        <v>962</v>
      </c>
      <c r="B971" s="41">
        <v>753</v>
      </c>
      <c r="C971" s="41">
        <v>11242</v>
      </c>
      <c r="D971" s="41" t="s">
        <v>65</v>
      </c>
      <c r="E971" s="41" t="s">
        <v>220</v>
      </c>
      <c r="F971" s="41" t="s">
        <v>3001</v>
      </c>
      <c r="G971" s="41" t="s">
        <v>3075</v>
      </c>
      <c r="H971" s="41" t="s">
        <v>3076</v>
      </c>
      <c r="I971" s="43">
        <v>12</v>
      </c>
      <c r="J971" s="44" t="str">
        <f>VLOOKUP(G971,[1]硬件清单!$F:$F,1,0)</f>
        <v>210235A0D1H149000215</v>
      </c>
      <c r="K971" s="43"/>
      <c r="L971" s="44"/>
      <c r="M971" s="45" t="s">
        <v>3077</v>
      </c>
    </row>
    <row r="972" s="26" customFormat="1" ht="30" customHeight="1" spans="1:13">
      <c r="A972" s="41">
        <f>IF(C972="","",SUBTOTAL(103,$C$2:C972))</f>
        <v>963</v>
      </c>
      <c r="B972" s="41">
        <v>754</v>
      </c>
      <c r="C972" s="41">
        <v>11247</v>
      </c>
      <c r="D972" s="41" t="s">
        <v>65</v>
      </c>
      <c r="E972" s="41" t="s">
        <v>220</v>
      </c>
      <c r="F972" s="41" t="s">
        <v>3008</v>
      </c>
      <c r="G972" s="41" t="s">
        <v>3078</v>
      </c>
      <c r="H972" s="41" t="s">
        <v>3079</v>
      </c>
      <c r="I972" s="43">
        <v>12</v>
      </c>
      <c r="J972" s="44" t="str">
        <f>VLOOKUP(G972,[1]硬件清单!$F:$F,1,0)</f>
        <v>210235A377H148000117</v>
      </c>
      <c r="K972" s="43"/>
      <c r="L972" s="44"/>
      <c r="M972" s="45" t="s">
        <v>3080</v>
      </c>
    </row>
    <row r="973" s="26" customFormat="1" ht="30" customHeight="1" spans="1:13">
      <c r="A973" s="41">
        <f>IF(C973="","",SUBTOTAL(103,$C$2:C973))</f>
        <v>964</v>
      </c>
      <c r="B973" s="41">
        <v>755</v>
      </c>
      <c r="C973" s="41">
        <v>11246</v>
      </c>
      <c r="D973" s="41" t="s">
        <v>65</v>
      </c>
      <c r="E973" s="41" t="s">
        <v>220</v>
      </c>
      <c r="F973" s="41" t="s">
        <v>3008</v>
      </c>
      <c r="G973" s="41" t="s">
        <v>3081</v>
      </c>
      <c r="H973" s="41" t="s">
        <v>3082</v>
      </c>
      <c r="I973" s="43">
        <v>12</v>
      </c>
      <c r="J973" s="44" t="str">
        <f>VLOOKUP(G973,[1]硬件清单!$F:$F,1,0)</f>
        <v>210235A377H139000129</v>
      </c>
      <c r="K973" s="43"/>
      <c r="L973" s="44"/>
      <c r="M973" s="45" t="s">
        <v>3083</v>
      </c>
    </row>
    <row r="974" s="26" customFormat="1" ht="30" customHeight="1" spans="1:13">
      <c r="A974" s="41">
        <f>IF(C974="","",SUBTOTAL(103,$C$2:C974))</f>
        <v>965</v>
      </c>
      <c r="B974" s="41">
        <v>756</v>
      </c>
      <c r="C974" s="41">
        <v>11230</v>
      </c>
      <c r="D974" s="41" t="s">
        <v>65</v>
      </c>
      <c r="E974" s="41" t="s">
        <v>220</v>
      </c>
      <c r="F974" s="41" t="s">
        <v>546</v>
      </c>
      <c r="G974" s="41" t="s">
        <v>3084</v>
      </c>
      <c r="H974" s="41" t="s">
        <v>3085</v>
      </c>
      <c r="I974" s="43">
        <v>12</v>
      </c>
      <c r="J974" s="44" t="str">
        <f>VLOOKUP(G974,[1]硬件清单!$F:$F,1,0)</f>
        <v>AFW20004B07F9360</v>
      </c>
      <c r="K974" s="43"/>
      <c r="L974" s="44"/>
      <c r="M974" s="45" t="s">
        <v>3086</v>
      </c>
    </row>
    <row r="975" s="26" customFormat="1" ht="30" customHeight="1" spans="1:13">
      <c r="A975" s="41">
        <f>IF(C975="","",SUBTOTAL(103,$C$2:C975))</f>
        <v>966</v>
      </c>
      <c r="B975" s="41">
        <v>757</v>
      </c>
      <c r="C975" s="41">
        <v>11240</v>
      </c>
      <c r="D975" s="41" t="s">
        <v>65</v>
      </c>
      <c r="E975" s="41" t="s">
        <v>220</v>
      </c>
      <c r="F975" s="41" t="s">
        <v>3001</v>
      </c>
      <c r="G975" s="41" t="s">
        <v>3087</v>
      </c>
      <c r="H975" s="41" t="s">
        <v>3088</v>
      </c>
      <c r="I975" s="43">
        <v>12</v>
      </c>
      <c r="J975" s="44" t="str">
        <f>VLOOKUP(G975,[1]硬件清单!$F:$F,1,0)</f>
        <v>210235A36TH148000242</v>
      </c>
      <c r="K975" s="43"/>
      <c r="L975" s="44"/>
      <c r="M975" s="45" t="s">
        <v>3089</v>
      </c>
    </row>
    <row r="976" s="26" customFormat="1" ht="30" customHeight="1" spans="1:13">
      <c r="A976" s="41">
        <f>IF(C976="","",SUBTOTAL(103,$C$2:C976))</f>
        <v>967</v>
      </c>
      <c r="B976" s="41">
        <v>758</v>
      </c>
      <c r="C976" s="41">
        <v>11241</v>
      </c>
      <c r="D976" s="41" t="s">
        <v>65</v>
      </c>
      <c r="E976" s="41" t="s">
        <v>220</v>
      </c>
      <c r="F976" s="41" t="s">
        <v>3001</v>
      </c>
      <c r="G976" s="41" t="s">
        <v>3090</v>
      </c>
      <c r="H976" s="41" t="s">
        <v>3091</v>
      </c>
      <c r="I976" s="43">
        <v>12</v>
      </c>
      <c r="J976" s="44" t="str">
        <f>VLOOKUP(G976,[1]硬件清单!$F:$F,1,0)</f>
        <v>210235A36TH148000093</v>
      </c>
      <c r="K976" s="43"/>
      <c r="L976" s="44"/>
      <c r="M976" s="45" t="s">
        <v>3092</v>
      </c>
    </row>
    <row r="977" s="26" customFormat="1" ht="30" customHeight="1" spans="1:13">
      <c r="A977" s="41">
        <f>IF(C977="","",SUBTOTAL(103,$C$2:C977))</f>
        <v>968</v>
      </c>
      <c r="B977" s="41">
        <v>759</v>
      </c>
      <c r="C977" s="41">
        <v>11244</v>
      </c>
      <c r="D977" s="41" t="s">
        <v>65</v>
      </c>
      <c r="E977" s="41" t="s">
        <v>220</v>
      </c>
      <c r="F977" s="41" t="s">
        <v>3001</v>
      </c>
      <c r="G977" s="41" t="s">
        <v>3093</v>
      </c>
      <c r="H977" s="41" t="s">
        <v>3094</v>
      </c>
      <c r="I977" s="43">
        <v>12</v>
      </c>
      <c r="J977" s="44" t="str">
        <f>VLOOKUP(G977,[1]硬件清单!$F:$F,1,0)</f>
        <v>210235A0D1H138000045</v>
      </c>
      <c r="K977" s="43"/>
      <c r="L977" s="44"/>
      <c r="M977" s="45" t="s">
        <v>3095</v>
      </c>
    </row>
    <row r="978" s="26" customFormat="1" ht="30" customHeight="1" spans="1:13">
      <c r="A978" s="41">
        <f>IF(C978="","",SUBTOTAL(103,$C$2:C978))</f>
        <v>969</v>
      </c>
      <c r="B978" s="41">
        <v>760</v>
      </c>
      <c r="C978" s="41">
        <v>11237</v>
      </c>
      <c r="D978" s="41" t="s">
        <v>65</v>
      </c>
      <c r="E978" s="41" t="s">
        <v>220</v>
      </c>
      <c r="F978" s="41" t="s">
        <v>3001</v>
      </c>
      <c r="G978" s="41" t="s">
        <v>3096</v>
      </c>
      <c r="H978" s="41" t="s">
        <v>3097</v>
      </c>
      <c r="I978" s="43">
        <v>12</v>
      </c>
      <c r="J978" s="44" t="str">
        <f>VLOOKUP(G978,[1]硬件清单!$F:$F,1,0)</f>
        <v>210235A0D1H14A000016</v>
      </c>
      <c r="K978" s="43"/>
      <c r="L978" s="44"/>
      <c r="M978" s="45" t="s">
        <v>3098</v>
      </c>
    </row>
    <row r="979" s="26" customFormat="1" ht="30" customHeight="1" spans="1:13">
      <c r="A979" s="41">
        <f>IF(C979="","",SUBTOTAL(103,$C$2:C979))</f>
        <v>970</v>
      </c>
      <c r="B979" s="41">
        <v>761</v>
      </c>
      <c r="C979" s="41">
        <v>11236</v>
      </c>
      <c r="D979" s="41" t="s">
        <v>65</v>
      </c>
      <c r="E979" s="41" t="s">
        <v>220</v>
      </c>
      <c r="F979" s="41" t="s">
        <v>3001</v>
      </c>
      <c r="G979" s="41" t="s">
        <v>3099</v>
      </c>
      <c r="H979" s="41" t="s">
        <v>3100</v>
      </c>
      <c r="I979" s="43">
        <v>12</v>
      </c>
      <c r="J979" s="44" t="str">
        <f>VLOOKUP(G979,[1]硬件清单!$F:$F,1,0)</f>
        <v>210235A36TH148000245</v>
      </c>
      <c r="K979" s="43"/>
      <c r="L979" s="44"/>
      <c r="M979" s="45" t="s">
        <v>3101</v>
      </c>
    </row>
    <row r="980" s="26" customFormat="1" ht="30" customHeight="1" spans="1:13">
      <c r="A980" s="41">
        <f>IF(C980="","",SUBTOTAL(103,$C$2:C980))</f>
        <v>971</v>
      </c>
      <c r="B980" s="41">
        <v>762</v>
      </c>
      <c r="C980" s="41">
        <v>11364</v>
      </c>
      <c r="D980" s="41" t="s">
        <v>65</v>
      </c>
      <c r="E980" s="41" t="s">
        <v>220</v>
      </c>
      <c r="F980" s="41" t="s">
        <v>3008</v>
      </c>
      <c r="G980" s="41" t="s">
        <v>3102</v>
      </c>
      <c r="H980" s="41" t="s">
        <v>3103</v>
      </c>
      <c r="I980" s="43">
        <v>12</v>
      </c>
      <c r="J980" s="44" t="str">
        <f>VLOOKUP(G980,[1]硬件清单!$F:$F,1,0)</f>
        <v>210235A377H139000126</v>
      </c>
      <c r="K980" s="43"/>
      <c r="L980" s="44"/>
      <c r="M980" s="45" t="s">
        <v>3104</v>
      </c>
    </row>
    <row r="981" s="26" customFormat="1" ht="30" customHeight="1" spans="1:13">
      <c r="A981" s="41">
        <f>IF(C981="","",SUBTOTAL(103,$C$2:C981))</f>
        <v>972</v>
      </c>
      <c r="B981" s="41">
        <v>763</v>
      </c>
      <c r="C981" s="41">
        <v>11363</v>
      </c>
      <c r="D981" s="41" t="s">
        <v>65</v>
      </c>
      <c r="E981" s="41" t="s">
        <v>220</v>
      </c>
      <c r="F981" s="41" t="s">
        <v>3008</v>
      </c>
      <c r="G981" s="41" t="s">
        <v>3081</v>
      </c>
      <c r="H981" s="41" t="s">
        <v>3105</v>
      </c>
      <c r="I981" s="43">
        <v>12</v>
      </c>
      <c r="J981" s="44" t="str">
        <f>VLOOKUP(G981,[1]硬件清单!$F:$F,1,0)</f>
        <v>210235A377H139000129</v>
      </c>
      <c r="K981" s="43"/>
      <c r="L981" s="44"/>
      <c r="M981" s="45" t="s">
        <v>3106</v>
      </c>
    </row>
    <row r="982" s="26" customFormat="1" ht="30" customHeight="1" spans="1:13">
      <c r="A982" s="41">
        <f>IF(C982="","",SUBTOTAL(103,$C$2:C982))</f>
        <v>973</v>
      </c>
      <c r="B982" s="41">
        <v>764</v>
      </c>
      <c r="C982" s="41">
        <v>11239</v>
      </c>
      <c r="D982" s="41" t="s">
        <v>65</v>
      </c>
      <c r="E982" s="41" t="s">
        <v>220</v>
      </c>
      <c r="F982" s="41" t="s">
        <v>3001</v>
      </c>
      <c r="G982" s="41" t="s">
        <v>3107</v>
      </c>
      <c r="H982" s="41" t="s">
        <v>3108</v>
      </c>
      <c r="I982" s="43">
        <v>12</v>
      </c>
      <c r="J982" s="44" t="str">
        <f>VLOOKUP(G982,[1]硬件清单!$F:$F,1,0)</f>
        <v>210235A36TH148000255</v>
      </c>
      <c r="K982" s="43"/>
      <c r="L982" s="44"/>
      <c r="M982" s="45" t="s">
        <v>3109</v>
      </c>
    </row>
    <row r="983" s="26" customFormat="1" ht="30" customHeight="1" spans="1:13">
      <c r="A983" s="41">
        <f>IF(C983="","",SUBTOTAL(103,$C$2:C983))</f>
        <v>974</v>
      </c>
      <c r="B983" s="41">
        <v>765</v>
      </c>
      <c r="C983" s="41">
        <v>11245</v>
      </c>
      <c r="D983" s="41" t="s">
        <v>65</v>
      </c>
      <c r="E983" s="41" t="s">
        <v>220</v>
      </c>
      <c r="F983" s="41" t="s">
        <v>3001</v>
      </c>
      <c r="G983" s="41" t="s">
        <v>3110</v>
      </c>
      <c r="H983" s="41" t="s">
        <v>3111</v>
      </c>
      <c r="I983" s="43">
        <v>12</v>
      </c>
      <c r="J983" s="44" t="str">
        <f>VLOOKUP(G983,[1]硬件清单!$F:$F,1,0)</f>
        <v>210235A36TH148000207</v>
      </c>
      <c r="K983" s="43"/>
      <c r="L983" s="44"/>
      <c r="M983" s="45" t="s">
        <v>3112</v>
      </c>
    </row>
    <row r="984" s="26" customFormat="1" ht="30" customHeight="1" spans="1:13">
      <c r="A984" s="41">
        <f>IF(C984="","",SUBTOTAL(103,$C$2:C984))</f>
        <v>975</v>
      </c>
      <c r="B984" s="41">
        <v>766</v>
      </c>
      <c r="C984" s="41">
        <v>11238</v>
      </c>
      <c r="D984" s="41" t="s">
        <v>65</v>
      </c>
      <c r="E984" s="41" t="s">
        <v>220</v>
      </c>
      <c r="F984" s="41" t="s">
        <v>3001</v>
      </c>
      <c r="G984" s="41" t="s">
        <v>3113</v>
      </c>
      <c r="H984" s="41" t="s">
        <v>3114</v>
      </c>
      <c r="I984" s="43">
        <v>12</v>
      </c>
      <c r="J984" s="44" t="str">
        <f>VLOOKUP(G984,[1]硬件清单!$F:$F,1,0)</f>
        <v>210235A0D1H149000018</v>
      </c>
      <c r="K984" s="43"/>
      <c r="L984" s="44"/>
      <c r="M984" s="45" t="s">
        <v>3115</v>
      </c>
    </row>
    <row r="985" s="26" customFormat="1" ht="30" customHeight="1" spans="1:13">
      <c r="A985" s="41">
        <f>IF(C985="","",SUBTOTAL(103,$C$2:C985))</f>
        <v>976</v>
      </c>
      <c r="B985" s="41">
        <v>767</v>
      </c>
      <c r="C985" s="41">
        <v>11249</v>
      </c>
      <c r="D985" s="41" t="s">
        <v>65</v>
      </c>
      <c r="E985" s="41" t="s">
        <v>220</v>
      </c>
      <c r="F985" s="41" t="s">
        <v>2480</v>
      </c>
      <c r="G985" s="41" t="s">
        <v>3116</v>
      </c>
      <c r="H985" s="41" t="s">
        <v>3117</v>
      </c>
      <c r="I985" s="43">
        <v>12</v>
      </c>
      <c r="J985" s="44" t="str">
        <f>VLOOKUP(G985,[1]硬件清单!$F:$F,1,0)</f>
        <v>YD-SC42004B07F9360</v>
      </c>
      <c r="K985" s="43"/>
      <c r="L985" s="44"/>
      <c r="M985" s="45" t="s">
        <v>3118</v>
      </c>
    </row>
    <row r="986" s="26" customFormat="1" ht="30" customHeight="1" spans="1:13">
      <c r="A986" s="41">
        <f>IF(C986="","",SUBTOTAL(103,$C$2:C986))</f>
        <v>977</v>
      </c>
      <c r="B986" s="41">
        <v>768</v>
      </c>
      <c r="C986" s="41">
        <v>11264</v>
      </c>
      <c r="D986" s="41" t="s">
        <v>65</v>
      </c>
      <c r="E986" s="41" t="s">
        <v>220</v>
      </c>
      <c r="F986" s="41" t="s">
        <v>571</v>
      </c>
      <c r="G986" s="41" t="s">
        <v>3119</v>
      </c>
      <c r="H986" s="41" t="s">
        <v>3120</v>
      </c>
      <c r="I986" s="43">
        <v>12</v>
      </c>
      <c r="J986" s="44" t="str">
        <f>VLOOKUP(G986,[1]硬件清单!$F:$F,1,0)</f>
        <v>YD-SQY084B07F9360</v>
      </c>
      <c r="K986" s="43"/>
      <c r="L986" s="44"/>
      <c r="M986" s="47" t="s">
        <v>3121</v>
      </c>
    </row>
    <row r="987" s="26" customFormat="1" ht="30" customHeight="1" spans="1:13">
      <c r="A987" s="41">
        <f>IF(C987="","",SUBTOTAL(103,$C$2:C987))</f>
        <v>978</v>
      </c>
      <c r="B987" s="41">
        <v>769</v>
      </c>
      <c r="C987" s="46">
        <v>11262</v>
      </c>
      <c r="D987" s="46" t="s">
        <v>65</v>
      </c>
      <c r="E987" s="46" t="s">
        <v>220</v>
      </c>
      <c r="F987" s="46" t="s">
        <v>3122</v>
      </c>
      <c r="G987" s="41" t="s">
        <v>3123</v>
      </c>
      <c r="H987" s="41" t="s">
        <v>3124</v>
      </c>
      <c r="I987" s="43">
        <v>12</v>
      </c>
      <c r="J987" s="44" t="str">
        <f>VLOOKUP(G987,[1]硬件清单!$F:$F,1,0)</f>
        <v>100个锁无序列号</v>
      </c>
      <c r="K987" s="43"/>
      <c r="L987" s="44"/>
      <c r="M987" s="45" t="s">
        <v>3125</v>
      </c>
    </row>
    <row r="988" s="26" customFormat="1" ht="30" customHeight="1" spans="1:13">
      <c r="A988" s="41">
        <f>IF(C988="","",SUBTOTAL(103,$C$2:C988))</f>
        <v>979</v>
      </c>
      <c r="B988" s="41">
        <v>770</v>
      </c>
      <c r="C988" s="41">
        <v>11346</v>
      </c>
      <c r="D988" s="41" t="s">
        <v>65</v>
      </c>
      <c r="E988" s="41" t="s">
        <v>220</v>
      </c>
      <c r="F988" s="41" t="s">
        <v>3001</v>
      </c>
      <c r="G988" s="41" t="s">
        <v>3126</v>
      </c>
      <c r="H988" s="41" t="s">
        <v>3127</v>
      </c>
      <c r="I988" s="43">
        <v>12</v>
      </c>
      <c r="J988" s="44" t="str">
        <f>VLOOKUP(G988,[1]硬件清单!$F:$F,1,0)</f>
        <v>210235A0D1H149000159</v>
      </c>
      <c r="K988" s="43"/>
      <c r="L988" s="44"/>
      <c r="M988" s="45" t="s">
        <v>3128</v>
      </c>
    </row>
    <row r="989" s="26" customFormat="1" ht="30" customHeight="1" spans="1:13">
      <c r="A989" s="41">
        <f>IF(C989="","",SUBTOTAL(103,$C$2:C989))</f>
        <v>980</v>
      </c>
      <c r="B989" s="41">
        <v>771</v>
      </c>
      <c r="C989" s="41">
        <v>11384</v>
      </c>
      <c r="D989" s="41" t="s">
        <v>65</v>
      </c>
      <c r="E989" s="41" t="s">
        <v>220</v>
      </c>
      <c r="F989" s="41" t="s">
        <v>2484</v>
      </c>
      <c r="G989" s="41" t="s">
        <v>3129</v>
      </c>
      <c r="H989" s="41" t="s">
        <v>3130</v>
      </c>
      <c r="I989" s="43">
        <v>12</v>
      </c>
      <c r="J989" s="44" t="str">
        <f>VLOOKUP(G989,[1]硬件清单!$F:$F,1,0)</f>
        <v>210235A0D1H14A000028</v>
      </c>
      <c r="K989" s="43"/>
      <c r="L989" s="44"/>
      <c r="M989" s="45" t="s">
        <v>3131</v>
      </c>
    </row>
    <row r="990" s="26" customFormat="1" ht="30" customHeight="1" spans="1:13">
      <c r="A990" s="41">
        <f>IF(C990="","",SUBTOTAL(103,$C$2:C990))</f>
        <v>981</v>
      </c>
      <c r="B990" s="41">
        <v>772</v>
      </c>
      <c r="C990" s="41">
        <v>11383</v>
      </c>
      <c r="D990" s="41" t="s">
        <v>65</v>
      </c>
      <c r="E990" s="41" t="s">
        <v>220</v>
      </c>
      <c r="F990" s="41" t="s">
        <v>2484</v>
      </c>
      <c r="G990" s="41" t="s">
        <v>3132</v>
      </c>
      <c r="H990" s="41" t="s">
        <v>3133</v>
      </c>
      <c r="I990" s="43">
        <v>12</v>
      </c>
      <c r="J990" s="44" t="str">
        <f>VLOOKUP(G990,[1]硬件清单!$F:$F,1,0)</f>
        <v>210235A0D1H139000112</v>
      </c>
      <c r="K990" s="43"/>
      <c r="L990" s="44"/>
      <c r="M990" s="45" t="s">
        <v>3134</v>
      </c>
    </row>
    <row r="991" s="26" customFormat="1" ht="30" customHeight="1" spans="1:13">
      <c r="A991" s="41">
        <f>IF(C991="","",SUBTOTAL(103,$C$2:C991))</f>
        <v>982</v>
      </c>
      <c r="B991" s="41">
        <v>773</v>
      </c>
      <c r="C991" s="41">
        <v>11292</v>
      </c>
      <c r="D991" s="41" t="s">
        <v>65</v>
      </c>
      <c r="E991" s="41" t="s">
        <v>220</v>
      </c>
      <c r="F991" s="41" t="s">
        <v>221</v>
      </c>
      <c r="G991" s="41" t="s">
        <v>306</v>
      </c>
      <c r="H991" s="41" t="s">
        <v>3135</v>
      </c>
      <c r="I991" s="43">
        <v>12</v>
      </c>
      <c r="J991" s="44" t="str">
        <f>VLOOKUP(G991,[1]硬件清单!$F:$F,1,0)</f>
        <v>ASG1000III2EE4FB260A</v>
      </c>
      <c r="K991" s="43"/>
      <c r="L991" s="44"/>
      <c r="M991" s="45" t="s">
        <v>3136</v>
      </c>
    </row>
    <row r="992" s="26" customFormat="1" ht="30" customHeight="1" spans="1:13">
      <c r="A992" s="41">
        <f>IF(C992="","",SUBTOTAL(103,$C$2:C992))</f>
        <v>983</v>
      </c>
      <c r="B992" s="41">
        <v>774</v>
      </c>
      <c r="C992" s="41">
        <v>11345</v>
      </c>
      <c r="D992" s="41" t="s">
        <v>65</v>
      </c>
      <c r="E992" s="41" t="s">
        <v>220</v>
      </c>
      <c r="F992" s="41" t="s">
        <v>3001</v>
      </c>
      <c r="G992" s="41" t="s">
        <v>3137</v>
      </c>
      <c r="H992" s="41" t="s">
        <v>3138</v>
      </c>
      <c r="I992" s="43">
        <v>12</v>
      </c>
      <c r="J992" s="44" t="str">
        <f>VLOOKUP(G992,[1]硬件清单!$F:$F,1,0)</f>
        <v>210235A0D1H139000092</v>
      </c>
      <c r="K992" s="43"/>
      <c r="L992" s="44"/>
      <c r="M992" s="45" t="s">
        <v>3139</v>
      </c>
    </row>
    <row r="993" s="26" customFormat="1" ht="30" customHeight="1" spans="1:13">
      <c r="A993" s="41">
        <f>IF(C993="","",SUBTOTAL(103,$C$2:C993))</f>
        <v>984</v>
      </c>
      <c r="B993" s="41">
        <v>775</v>
      </c>
      <c r="C993" s="41">
        <v>11347</v>
      </c>
      <c r="D993" s="41" t="s">
        <v>65</v>
      </c>
      <c r="E993" s="41" t="s">
        <v>220</v>
      </c>
      <c r="F993" s="41" t="s">
        <v>3001</v>
      </c>
      <c r="G993" s="41" t="s">
        <v>3140</v>
      </c>
      <c r="H993" s="41" t="s">
        <v>3141</v>
      </c>
      <c r="I993" s="43">
        <v>12</v>
      </c>
      <c r="J993" s="44" t="str">
        <f>VLOOKUP(G993,[1]硬件清单!$F:$F,1,0)</f>
        <v>210235A0D1H149000162</v>
      </c>
      <c r="K993" s="43"/>
      <c r="L993" s="44"/>
      <c r="M993" s="45" t="s">
        <v>3142</v>
      </c>
    </row>
    <row r="994" s="26" customFormat="1" ht="30" customHeight="1" spans="1:13">
      <c r="A994" s="41">
        <f>IF(C994="","",SUBTOTAL(103,$C$2:C994))</f>
        <v>985</v>
      </c>
      <c r="B994" s="41">
        <v>776</v>
      </c>
      <c r="C994" s="41">
        <v>11350</v>
      </c>
      <c r="D994" s="41" t="s">
        <v>65</v>
      </c>
      <c r="E994" s="41" t="s">
        <v>220</v>
      </c>
      <c r="F994" s="41" t="s">
        <v>3001</v>
      </c>
      <c r="G994" s="41" t="s">
        <v>3143</v>
      </c>
      <c r="H994" s="41" t="s">
        <v>3144</v>
      </c>
      <c r="I994" s="43">
        <v>12</v>
      </c>
      <c r="J994" s="44" t="str">
        <f>VLOOKUP(G994,[1]硬件清单!$F:$F,1,0)</f>
        <v>210235A0D1H149000034</v>
      </c>
      <c r="K994" s="43"/>
      <c r="L994" s="44"/>
      <c r="M994" s="45" t="s">
        <v>3145</v>
      </c>
    </row>
    <row r="995" s="26" customFormat="1" ht="30" customHeight="1" spans="1:13">
      <c r="A995" s="41">
        <f>IF(C995="","",SUBTOTAL(103,$C$2:C995))</f>
        <v>986</v>
      </c>
      <c r="B995" s="41">
        <v>777</v>
      </c>
      <c r="C995" s="41">
        <v>11348</v>
      </c>
      <c r="D995" s="41" t="s">
        <v>65</v>
      </c>
      <c r="E995" s="41" t="s">
        <v>220</v>
      </c>
      <c r="F995" s="41" t="s">
        <v>3001</v>
      </c>
      <c r="G995" s="41" t="s">
        <v>3146</v>
      </c>
      <c r="H995" s="41" t="s">
        <v>3147</v>
      </c>
      <c r="I995" s="43">
        <v>12</v>
      </c>
      <c r="J995" s="44" t="str">
        <f>VLOOKUP(G995,[1]硬件清单!$F:$F,1,0)</f>
        <v>210235A0D1H138000051</v>
      </c>
      <c r="K995" s="43"/>
      <c r="L995" s="44"/>
      <c r="M995" s="45" t="s">
        <v>3148</v>
      </c>
    </row>
    <row r="996" s="26" customFormat="1" ht="30" customHeight="1" spans="1:13">
      <c r="A996" s="41">
        <f>IF(C996="","",SUBTOTAL(103,$C$2:C996))</f>
        <v>987</v>
      </c>
      <c r="B996" s="41">
        <v>778</v>
      </c>
      <c r="C996" s="41">
        <v>11349</v>
      </c>
      <c r="D996" s="41" t="s">
        <v>65</v>
      </c>
      <c r="E996" s="41" t="s">
        <v>220</v>
      </c>
      <c r="F996" s="41" t="s">
        <v>3001</v>
      </c>
      <c r="G996" s="41" t="s">
        <v>3149</v>
      </c>
      <c r="H996" s="41" t="s">
        <v>3150</v>
      </c>
      <c r="I996" s="43">
        <v>12</v>
      </c>
      <c r="J996" s="44" t="str">
        <f>VLOOKUP(G996,[1]硬件清单!$F:$F,1,0)</f>
        <v>210235A0D1H14A000060</v>
      </c>
      <c r="K996" s="43"/>
      <c r="L996" s="44"/>
      <c r="M996" s="45" t="s">
        <v>3151</v>
      </c>
    </row>
    <row r="997" s="26" customFormat="1" ht="30" customHeight="1" spans="1:13">
      <c r="A997" s="41">
        <f>IF(C997="","",SUBTOTAL(103,$C$2:C997))</f>
        <v>988</v>
      </c>
      <c r="B997" s="41">
        <v>792</v>
      </c>
      <c r="C997" s="41">
        <v>4785</v>
      </c>
      <c r="D997" s="41" t="s">
        <v>19</v>
      </c>
      <c r="E997" s="41" t="s">
        <v>84</v>
      </c>
      <c r="F997" s="41" t="s">
        <v>2473</v>
      </c>
      <c r="G997" s="41" t="s">
        <v>3152</v>
      </c>
      <c r="H997" s="41" t="s">
        <v>3153</v>
      </c>
      <c r="I997" s="43">
        <v>12</v>
      </c>
      <c r="J997" s="44" t="str">
        <f>VLOOKUP(G997,[1]硬件清单!$F:$F,1,0)</f>
        <v>41611354</v>
      </c>
      <c r="K997" s="43"/>
      <c r="L997" s="44"/>
      <c r="M997" s="45" t="s">
        <v>3154</v>
      </c>
    </row>
    <row r="998" s="26" customFormat="1" ht="30" customHeight="1" spans="1:13">
      <c r="A998" s="41">
        <f>IF(C998="","",SUBTOTAL(103,$C$2:C998))</f>
        <v>989</v>
      </c>
      <c r="B998" s="41">
        <v>794</v>
      </c>
      <c r="C998" s="41">
        <v>4786</v>
      </c>
      <c r="D998" s="41" t="s">
        <v>19</v>
      </c>
      <c r="E998" s="41" t="s">
        <v>84</v>
      </c>
      <c r="F998" s="41" t="s">
        <v>2473</v>
      </c>
      <c r="G998" s="41" t="s">
        <v>3155</v>
      </c>
      <c r="H998" s="41" t="s">
        <v>3156</v>
      </c>
      <c r="I998" s="43">
        <v>12</v>
      </c>
      <c r="J998" s="44" t="str">
        <f>VLOOKUP(G998,[1]硬件清单!$F:$F,1,0)</f>
        <v>41611371</v>
      </c>
      <c r="K998" s="43"/>
      <c r="L998" s="44"/>
      <c r="M998" s="45" t="s">
        <v>3157</v>
      </c>
    </row>
    <row r="999" s="26" customFormat="1" ht="30" customHeight="1" spans="1:13">
      <c r="A999" s="41">
        <f>IF(C999="","",SUBTOTAL(103,$C$2:C999))</f>
        <v>990</v>
      </c>
      <c r="B999" s="41">
        <v>810</v>
      </c>
      <c r="C999" s="41">
        <v>11393</v>
      </c>
      <c r="D999" s="41" t="s">
        <v>65</v>
      </c>
      <c r="E999" s="41" t="s">
        <v>220</v>
      </c>
      <c r="F999" s="41" t="s">
        <v>221</v>
      </c>
      <c r="G999" s="41" t="s">
        <v>3158</v>
      </c>
      <c r="H999" s="41" t="s">
        <v>3159</v>
      </c>
      <c r="I999" s="43">
        <v>12</v>
      </c>
      <c r="J999" s="44" t="str">
        <f>VLOOKUP(G999,[1]硬件清单!$F:$F,1,0)</f>
        <v>ASG1000III2EDF25289B</v>
      </c>
      <c r="K999" s="43"/>
      <c r="L999" s="44"/>
      <c r="M999" s="45" t="s">
        <v>3160</v>
      </c>
    </row>
    <row r="1000" s="26" customFormat="1" ht="30" customHeight="1" spans="1:13">
      <c r="A1000" s="41">
        <f>IF(C1000="","",SUBTOTAL(103,$C$2:C1000))</f>
        <v>991</v>
      </c>
      <c r="B1000" s="41">
        <v>869</v>
      </c>
      <c r="C1000" s="46">
        <v>11252</v>
      </c>
      <c r="D1000" s="46" t="s">
        <v>65</v>
      </c>
      <c r="E1000" s="46" t="s">
        <v>220</v>
      </c>
      <c r="F1000" s="46" t="s">
        <v>2480</v>
      </c>
      <c r="G1000" s="41" t="s">
        <v>3161</v>
      </c>
      <c r="H1000" s="41" t="s">
        <v>3162</v>
      </c>
      <c r="I1000" s="43">
        <v>12</v>
      </c>
      <c r="J1000" s="44" t="str">
        <f>VLOOKUP(G1000,[1]硬件清单!$F:$F,1,0)</f>
        <v>YD-SC42004B07F9363</v>
      </c>
      <c r="K1000" s="43"/>
      <c r="L1000" s="44"/>
      <c r="M1000" s="45" t="s">
        <v>3163</v>
      </c>
    </row>
    <row r="1001" s="26" customFormat="1" ht="30" customHeight="1" spans="1:13">
      <c r="A1001" s="41">
        <f>IF(C1001="","",SUBTOTAL(103,$C$2:C1001))</f>
        <v>992</v>
      </c>
      <c r="B1001" s="41">
        <v>870</v>
      </c>
      <c r="C1001" s="46">
        <v>11250</v>
      </c>
      <c r="D1001" s="46" t="s">
        <v>65</v>
      </c>
      <c r="E1001" s="46" t="s">
        <v>220</v>
      </c>
      <c r="F1001" s="46" t="s">
        <v>2480</v>
      </c>
      <c r="G1001" s="41" t="s">
        <v>3164</v>
      </c>
      <c r="H1001" s="41" t="s">
        <v>3165</v>
      </c>
      <c r="I1001" s="43">
        <v>12</v>
      </c>
      <c r="J1001" s="44" t="str">
        <f>VLOOKUP(G1001,[1]硬件清单!$F:$F,1,0)</f>
        <v>YD-SC42004B07F9361</v>
      </c>
      <c r="K1001" s="43"/>
      <c r="L1001" s="44"/>
      <c r="M1001" s="45" t="s">
        <v>3163</v>
      </c>
    </row>
    <row r="1002" s="26" customFormat="1" ht="30" customHeight="1" spans="1:13">
      <c r="A1002" s="41">
        <f>IF(C1002="","",SUBTOTAL(103,$C$2:C1002))</f>
        <v>993</v>
      </c>
      <c r="B1002" s="41">
        <v>872</v>
      </c>
      <c r="C1002" s="46">
        <v>7730</v>
      </c>
      <c r="D1002" s="46" t="s">
        <v>65</v>
      </c>
      <c r="E1002" s="46" t="s">
        <v>220</v>
      </c>
      <c r="F1002" s="46" t="s">
        <v>3166</v>
      </c>
      <c r="G1002" s="41" t="s">
        <v>3167</v>
      </c>
      <c r="H1002" s="41" t="s">
        <v>3168</v>
      </c>
      <c r="I1002" s="43">
        <v>12</v>
      </c>
      <c r="J1002" s="44" t="str">
        <f>VLOOKUP(G1002,[1]硬件清单!$F:$F,1,0)</f>
        <v>YD-SC10002EE51B0994</v>
      </c>
      <c r="K1002" s="43"/>
      <c r="L1002" s="44"/>
      <c r="M1002" s="45" t="s">
        <v>3169</v>
      </c>
    </row>
    <row r="1003" s="26" customFormat="1" ht="30" customHeight="1" spans="1:13">
      <c r="A1003" s="41">
        <f>IF(C1003="","",SUBTOTAL(103,$C$2:C1003))</f>
        <v>994</v>
      </c>
      <c r="B1003" s="41">
        <v>873</v>
      </c>
      <c r="C1003" s="46">
        <v>7744</v>
      </c>
      <c r="D1003" s="46" t="s">
        <v>65</v>
      </c>
      <c r="E1003" s="46" t="s">
        <v>220</v>
      </c>
      <c r="F1003" s="46" t="s">
        <v>863</v>
      </c>
      <c r="G1003" s="41" t="s">
        <v>3170</v>
      </c>
      <c r="H1003" s="41" t="s">
        <v>3171</v>
      </c>
      <c r="I1003" s="43">
        <v>12</v>
      </c>
      <c r="J1003" s="44" t="str">
        <f>VLOOKUP(G1003,[1]硬件清单!$F:$F,1,0)</f>
        <v>YD-SDB3000S2EE519F821</v>
      </c>
      <c r="K1003" s="43"/>
      <c r="L1003" s="44"/>
      <c r="M1003" s="45" t="s">
        <v>3172</v>
      </c>
    </row>
    <row r="1004" s="26" customFormat="1" ht="30" customHeight="1" spans="1:13">
      <c r="A1004" s="41">
        <f>IF(C1004="","",SUBTOTAL(103,$C$2:C1004))</f>
        <v>995</v>
      </c>
      <c r="B1004" s="41">
        <v>874</v>
      </c>
      <c r="C1004" s="46">
        <v>7728</v>
      </c>
      <c r="D1004" s="46" t="s">
        <v>65</v>
      </c>
      <c r="E1004" s="46" t="s">
        <v>220</v>
      </c>
      <c r="F1004" s="46" t="s">
        <v>3166</v>
      </c>
      <c r="G1004" s="41" t="s">
        <v>3173</v>
      </c>
      <c r="H1004" s="41" t="s">
        <v>3174</v>
      </c>
      <c r="I1004" s="43">
        <v>12</v>
      </c>
      <c r="J1004" s="44" t="str">
        <f>VLOOKUP(G1004,[1]硬件清单!$F:$F,1,0)</f>
        <v>YD-SC10002EE51B0992</v>
      </c>
      <c r="K1004" s="43"/>
      <c r="L1004" s="44"/>
      <c r="M1004" s="45" t="s">
        <v>3175</v>
      </c>
    </row>
    <row r="1005" s="26" customFormat="1" ht="30" customHeight="1" spans="1:13">
      <c r="A1005" s="41">
        <f>IF(C1005="","",SUBTOTAL(103,$C$2:C1005))</f>
        <v>996</v>
      </c>
      <c r="B1005" s="41">
        <v>875</v>
      </c>
      <c r="C1005" s="41">
        <v>14205</v>
      </c>
      <c r="D1005" s="41" t="s">
        <v>65</v>
      </c>
      <c r="E1005" s="41" t="s">
        <v>66</v>
      </c>
      <c r="F1005" s="41" t="s">
        <v>3176</v>
      </c>
      <c r="G1005" s="41" t="s">
        <v>3177</v>
      </c>
      <c r="H1005" s="41" t="s">
        <v>3178</v>
      </c>
      <c r="I1005" s="43">
        <v>12</v>
      </c>
      <c r="J1005" s="44" t="str">
        <f>VLOOKUP(G1005,[1]硬件清单!$F:$F,1,0)</f>
        <v>YD-AFW2000S2EF0F4XA32</v>
      </c>
      <c r="K1005" s="43"/>
      <c r="L1005" s="44"/>
      <c r="M1005" s="45" t="s">
        <v>3179</v>
      </c>
    </row>
    <row r="1006" s="26" customFormat="1" ht="30" customHeight="1" spans="1:13">
      <c r="A1006" s="41">
        <f>IF(C1006="","",SUBTOTAL(103,$C$2:C1006))</f>
        <v>997</v>
      </c>
      <c r="B1006" s="41">
        <v>876</v>
      </c>
      <c r="C1006" s="41">
        <v>14204</v>
      </c>
      <c r="D1006" s="41" t="s">
        <v>65</v>
      </c>
      <c r="E1006" s="41" t="s">
        <v>66</v>
      </c>
      <c r="F1006" s="41" t="s">
        <v>3176</v>
      </c>
      <c r="G1006" s="41" t="s">
        <v>3180</v>
      </c>
      <c r="H1006" s="41" t="s">
        <v>3181</v>
      </c>
      <c r="I1006" s="43">
        <v>12</v>
      </c>
      <c r="J1006" s="44" t="str">
        <f>VLOOKUP(G1006,[1]硬件清单!$F:$F,1,0)</f>
        <v>YD-AFW2000S2EF0F4XA31</v>
      </c>
      <c r="K1006" s="43"/>
      <c r="L1006" s="44"/>
      <c r="M1006" s="45" t="s">
        <v>3182</v>
      </c>
    </row>
    <row r="1007" s="26" customFormat="1" ht="30" customHeight="1" spans="1:13">
      <c r="A1007" s="41">
        <f>IF(C1007="","",SUBTOTAL(103,$C$2:C1007))</f>
        <v>998</v>
      </c>
      <c r="B1007" s="41">
        <v>877</v>
      </c>
      <c r="C1007" s="41">
        <v>14203</v>
      </c>
      <c r="D1007" s="41" t="s">
        <v>19</v>
      </c>
      <c r="E1007" s="41" t="s">
        <v>84</v>
      </c>
      <c r="F1007" s="41" t="s">
        <v>747</v>
      </c>
      <c r="G1007" s="41" t="s">
        <v>3183</v>
      </c>
      <c r="H1007" s="41" t="s">
        <v>3184</v>
      </c>
      <c r="I1007" s="43">
        <v>12</v>
      </c>
      <c r="J1007" s="44" t="str">
        <f>VLOOKUP(G1007,[1]硬件清单!$F:$F,1,0)</f>
        <v>31412130</v>
      </c>
      <c r="K1007" s="43"/>
      <c r="L1007" s="44"/>
      <c r="M1007" s="45" t="s">
        <v>3185</v>
      </c>
    </row>
    <row r="1008" s="26" customFormat="1" ht="30" customHeight="1" spans="1:13">
      <c r="A1008" s="41">
        <f>IF(C1008="","",SUBTOTAL(103,$C$2:C1008))</f>
        <v>999</v>
      </c>
      <c r="B1008" s="41">
        <v>878</v>
      </c>
      <c r="C1008" s="41">
        <v>14202</v>
      </c>
      <c r="D1008" s="41" t="s">
        <v>19</v>
      </c>
      <c r="E1008" s="41" t="s">
        <v>84</v>
      </c>
      <c r="F1008" s="41" t="s">
        <v>747</v>
      </c>
      <c r="G1008" s="41" t="s">
        <v>3186</v>
      </c>
      <c r="H1008" s="41" t="s">
        <v>3187</v>
      </c>
      <c r="I1008" s="43">
        <v>12</v>
      </c>
      <c r="J1008" s="44" t="str">
        <f>VLOOKUP(G1008,[1]硬件清单!$F:$F,1,0)</f>
        <v>31001327-1</v>
      </c>
      <c r="K1008" s="43"/>
      <c r="L1008" s="44"/>
      <c r="M1008" s="45" t="s">
        <v>3188</v>
      </c>
    </row>
    <row r="1009" s="26" customFormat="1" ht="30" customHeight="1" spans="1:13">
      <c r="A1009" s="41">
        <f>IF(C1009="","",SUBTOTAL(103,$C$2:C1009))</f>
        <v>1000</v>
      </c>
      <c r="B1009" s="41">
        <v>879</v>
      </c>
      <c r="C1009" s="46">
        <v>17595</v>
      </c>
      <c r="D1009" s="46" t="s">
        <v>65</v>
      </c>
      <c r="E1009" s="46" t="s">
        <v>220</v>
      </c>
      <c r="F1009" s="46" t="s">
        <v>3189</v>
      </c>
      <c r="G1009" s="41" t="s">
        <v>3190</v>
      </c>
      <c r="H1009" s="41" t="s">
        <v>3191</v>
      </c>
      <c r="I1009" s="43">
        <v>12</v>
      </c>
      <c r="J1009" s="44" t="str">
        <f>VLOOKUP(G1009,[1]硬件清单!$F:$F,1,0)</f>
        <v>ASG10002ED328EBD2</v>
      </c>
      <c r="K1009" s="43"/>
      <c r="L1009" s="44"/>
      <c r="M1009" s="45" t="s">
        <v>3192</v>
      </c>
    </row>
    <row r="1010" s="26" customFormat="1" ht="30" customHeight="1" spans="1:13">
      <c r="A1010" s="41">
        <f>IF(C1010="","",SUBTOTAL(103,$C$2:C1010))</f>
        <v>1001</v>
      </c>
      <c r="B1010" s="41">
        <v>880</v>
      </c>
      <c r="C1010" s="46">
        <v>17594</v>
      </c>
      <c r="D1010" s="46" t="s">
        <v>65</v>
      </c>
      <c r="E1010" s="46" t="s">
        <v>220</v>
      </c>
      <c r="F1010" s="46" t="s">
        <v>3189</v>
      </c>
      <c r="G1010" s="41" t="s">
        <v>3193</v>
      </c>
      <c r="H1010" s="41" t="s">
        <v>3194</v>
      </c>
      <c r="I1010" s="43">
        <v>12</v>
      </c>
      <c r="J1010" s="44" t="str">
        <f>VLOOKUP(G1010,[1]硬件清单!$F:$F,1,0)</f>
        <v>ASG10002ED328EBD6</v>
      </c>
      <c r="K1010" s="43"/>
      <c r="L1010" s="44"/>
      <c r="M1010" s="45" t="s">
        <v>3195</v>
      </c>
    </row>
    <row r="1011" s="26" customFormat="1" ht="30" customHeight="1" spans="1:13">
      <c r="A1011" s="41">
        <f>IF(C1011="","",SUBTOTAL(103,$C$2:C1011))</f>
        <v>1002</v>
      </c>
      <c r="B1011" s="41">
        <v>881</v>
      </c>
      <c r="C1011" s="46">
        <v>17612</v>
      </c>
      <c r="D1011" s="46" t="s">
        <v>65</v>
      </c>
      <c r="E1011" s="46" t="s">
        <v>220</v>
      </c>
      <c r="F1011" s="46" t="s">
        <v>3196</v>
      </c>
      <c r="G1011" s="41" t="s">
        <v>3197</v>
      </c>
      <c r="H1011" s="41" t="s">
        <v>3198</v>
      </c>
      <c r="I1011" s="43">
        <v>12</v>
      </c>
      <c r="J1011" s="44" t="str">
        <f>VLOOKUP(G1011,[1]硬件清单!$F:$F,1,0)</f>
        <v>210235AD01H10B000010</v>
      </c>
      <c r="K1011" s="43"/>
      <c r="L1011" s="44"/>
      <c r="M1011" s="45" t="s">
        <v>3199</v>
      </c>
    </row>
    <row r="1012" s="26" customFormat="1" ht="30" customHeight="1" spans="1:13">
      <c r="A1012" s="41">
        <f>IF(C1012="","",SUBTOTAL(103,$C$2:C1012))</f>
        <v>1003</v>
      </c>
      <c r="B1012" s="41">
        <v>882</v>
      </c>
      <c r="C1012" s="46">
        <v>17611</v>
      </c>
      <c r="D1012" s="46" t="s">
        <v>65</v>
      </c>
      <c r="E1012" s="46" t="s">
        <v>220</v>
      </c>
      <c r="F1012" s="46" t="s">
        <v>3196</v>
      </c>
      <c r="G1012" s="41" t="s">
        <v>3200</v>
      </c>
      <c r="H1012" s="41" t="s">
        <v>3201</v>
      </c>
      <c r="I1012" s="43">
        <v>12</v>
      </c>
      <c r="J1012" s="44" t="str">
        <f>VLOOKUP(G1012,[1]硬件清单!$F:$F,1,0)</f>
        <v>210235AD01H10B000031</v>
      </c>
      <c r="K1012" s="43"/>
      <c r="L1012" s="44"/>
      <c r="M1012" s="45" t="s">
        <v>3202</v>
      </c>
    </row>
    <row r="1013" s="26" customFormat="1" ht="30" customHeight="1" spans="1:13">
      <c r="A1013" s="41">
        <f>IF(C1013="","",SUBTOTAL(103,$C$2:C1013))</f>
        <v>1004</v>
      </c>
      <c r="B1013" s="41">
        <v>883</v>
      </c>
      <c r="C1013" s="46">
        <v>17610</v>
      </c>
      <c r="D1013" s="46" t="s">
        <v>65</v>
      </c>
      <c r="E1013" s="46" t="s">
        <v>220</v>
      </c>
      <c r="F1013" s="46" t="s">
        <v>3196</v>
      </c>
      <c r="G1013" s="41" t="s">
        <v>3203</v>
      </c>
      <c r="H1013" s="41" t="s">
        <v>3204</v>
      </c>
      <c r="I1013" s="43">
        <v>12</v>
      </c>
      <c r="J1013" s="44" t="str">
        <f>VLOOKUP(G1013,[1]硬件清单!$F:$F,1,0)</f>
        <v>210235AD01H10B000082</v>
      </c>
      <c r="K1013" s="43"/>
      <c r="L1013" s="44"/>
      <c r="M1013" s="45" t="s">
        <v>3205</v>
      </c>
    </row>
    <row r="1014" s="26" customFormat="1" ht="30" customHeight="1" spans="1:13">
      <c r="A1014" s="41">
        <f>IF(C1014="","",SUBTOTAL(103,$C$2:C1014))</f>
        <v>1005</v>
      </c>
      <c r="B1014" s="41">
        <v>884</v>
      </c>
      <c r="C1014" s="46">
        <v>17601</v>
      </c>
      <c r="D1014" s="46" t="s">
        <v>65</v>
      </c>
      <c r="E1014" s="46" t="s">
        <v>220</v>
      </c>
      <c r="F1014" s="46" t="s">
        <v>3206</v>
      </c>
      <c r="G1014" s="41" t="s">
        <v>3207</v>
      </c>
      <c r="H1014" s="41" t="s">
        <v>3208</v>
      </c>
      <c r="I1014" s="43">
        <v>12</v>
      </c>
      <c r="J1014" s="44" t="str">
        <f>VLOOKUP(G1014,[1]硬件清单!$F:$F,1,0)</f>
        <v>06LCD23</v>
      </c>
      <c r="K1014" s="43"/>
      <c r="L1014" s="44"/>
      <c r="M1014" s="45" t="s">
        <v>3209</v>
      </c>
    </row>
    <row r="1015" s="26" customFormat="1" ht="30" customHeight="1" spans="1:13">
      <c r="A1015" s="41">
        <f>IF(C1015="","",SUBTOTAL(103,$C$2:C1015))</f>
        <v>1006</v>
      </c>
      <c r="B1015" s="41">
        <v>885</v>
      </c>
      <c r="C1015" s="46">
        <v>17600</v>
      </c>
      <c r="D1015" s="46" t="s">
        <v>65</v>
      </c>
      <c r="E1015" s="46" t="s">
        <v>220</v>
      </c>
      <c r="F1015" s="46" t="s">
        <v>3206</v>
      </c>
      <c r="G1015" s="41" t="s">
        <v>3210</v>
      </c>
      <c r="H1015" s="41" t="s">
        <v>3211</v>
      </c>
      <c r="I1015" s="43">
        <v>12</v>
      </c>
      <c r="J1015" s="44" t="str">
        <f>VLOOKUP(G1015,[1]硬件清单!$F:$F,1,0)</f>
        <v>06LCD06</v>
      </c>
      <c r="K1015" s="43"/>
      <c r="L1015" s="44"/>
      <c r="M1015" s="45" t="s">
        <v>3212</v>
      </c>
    </row>
    <row r="1016" s="26" customFormat="1" ht="30" customHeight="1" spans="1:13">
      <c r="A1016" s="41">
        <f>IF(C1016="","",SUBTOTAL(103,$C$2:C1016))</f>
        <v>1007</v>
      </c>
      <c r="B1016" s="41">
        <v>886</v>
      </c>
      <c r="C1016" s="46">
        <v>17593</v>
      </c>
      <c r="D1016" s="46" t="s">
        <v>65</v>
      </c>
      <c r="E1016" s="46" t="s">
        <v>220</v>
      </c>
      <c r="F1016" s="46" t="s">
        <v>3213</v>
      </c>
      <c r="G1016" s="41" t="s">
        <v>3214</v>
      </c>
      <c r="H1016" s="41" t="s">
        <v>3215</v>
      </c>
      <c r="I1016" s="43">
        <v>12</v>
      </c>
      <c r="J1016" s="44" t="str">
        <f>VLOOKUP(G1016,[1]硬件清单!$F:$F,1,0)</f>
        <v>06LCD12</v>
      </c>
      <c r="K1016" s="43"/>
      <c r="L1016" s="44"/>
      <c r="M1016" s="45" t="s">
        <v>3216</v>
      </c>
    </row>
    <row r="1017" s="26" customFormat="1" ht="30" customHeight="1" spans="1:13">
      <c r="A1017" s="41">
        <f>IF(C1017="","",SUBTOTAL(103,$C$2:C1017))</f>
        <v>1008</v>
      </c>
      <c r="B1017" s="41">
        <v>887</v>
      </c>
      <c r="C1017" s="46">
        <v>17592</v>
      </c>
      <c r="D1017" s="46" t="s">
        <v>65</v>
      </c>
      <c r="E1017" s="46" t="s">
        <v>220</v>
      </c>
      <c r="F1017" s="46" t="s">
        <v>3213</v>
      </c>
      <c r="G1017" s="41" t="s">
        <v>3217</v>
      </c>
      <c r="H1017" s="41" t="s">
        <v>3218</v>
      </c>
      <c r="I1017" s="43">
        <v>12</v>
      </c>
      <c r="J1017" s="44" t="str">
        <f>VLOOKUP(G1017,[1]硬件清单!$F:$F,1,0)</f>
        <v>06LCD08</v>
      </c>
      <c r="K1017" s="43"/>
      <c r="L1017" s="44"/>
      <c r="M1017" s="45" t="s">
        <v>3219</v>
      </c>
    </row>
    <row r="1018" s="26" customFormat="1" ht="30" customHeight="1" spans="1:13">
      <c r="A1018" s="41">
        <f>IF(C1018="","",SUBTOTAL(103,$C$2:C1018))</f>
        <v>1009</v>
      </c>
      <c r="B1018" s="41">
        <v>888</v>
      </c>
      <c r="C1018" s="46">
        <v>17609</v>
      </c>
      <c r="D1018" s="46" t="s">
        <v>65</v>
      </c>
      <c r="E1018" s="46" t="s">
        <v>220</v>
      </c>
      <c r="F1018" s="46" t="s">
        <v>3196</v>
      </c>
      <c r="G1018" s="41" t="s">
        <v>3220</v>
      </c>
      <c r="H1018" s="41" t="s">
        <v>3221</v>
      </c>
      <c r="I1018" s="43">
        <v>12</v>
      </c>
      <c r="J1018" s="44" t="str">
        <f>VLOOKUP(G1018,[1]硬件清单!$F:$F,1,0)</f>
        <v>210235AD01H10B000121</v>
      </c>
      <c r="K1018" s="43"/>
      <c r="L1018" s="44"/>
      <c r="M1018" s="45" t="s">
        <v>3222</v>
      </c>
    </row>
    <row r="1019" s="26" customFormat="1" ht="30" customHeight="1" spans="1:13">
      <c r="A1019" s="41">
        <f>IF(C1019="","",SUBTOTAL(103,$C$2:C1019))</f>
        <v>1010</v>
      </c>
      <c r="B1019" s="41">
        <v>889</v>
      </c>
      <c r="C1019" s="46">
        <v>17597</v>
      </c>
      <c r="D1019" s="46" t="s">
        <v>65</v>
      </c>
      <c r="E1019" s="46" t="s">
        <v>220</v>
      </c>
      <c r="F1019" s="46" t="s">
        <v>3189</v>
      </c>
      <c r="G1019" s="41" t="s">
        <v>3223</v>
      </c>
      <c r="H1019" s="41" t="s">
        <v>3224</v>
      </c>
      <c r="I1019" s="43">
        <v>12</v>
      </c>
      <c r="J1019" s="44" t="str">
        <f>VLOOKUP(G1019,[1]硬件清单!$F:$F,1,0)</f>
        <v>ASG10002ED2EB1F90</v>
      </c>
      <c r="K1019" s="43"/>
      <c r="L1019" s="44"/>
      <c r="M1019" s="45" t="s">
        <v>3225</v>
      </c>
    </row>
    <row r="1020" s="26" customFormat="1" ht="30" customHeight="1" spans="1:13">
      <c r="A1020" s="41">
        <f>IF(C1020="","",SUBTOTAL(103,$C$2:C1020))</f>
        <v>1011</v>
      </c>
      <c r="B1020" s="41">
        <v>890</v>
      </c>
      <c r="C1020" s="46">
        <v>17596</v>
      </c>
      <c r="D1020" s="46" t="s">
        <v>65</v>
      </c>
      <c r="E1020" s="46" t="s">
        <v>220</v>
      </c>
      <c r="F1020" s="46" t="s">
        <v>3189</v>
      </c>
      <c r="G1020" s="41" t="s">
        <v>3226</v>
      </c>
      <c r="H1020" s="41" t="s">
        <v>3227</v>
      </c>
      <c r="I1020" s="43">
        <v>12</v>
      </c>
      <c r="J1020" s="44" t="str">
        <f>VLOOKUP(G1020,[1]硬件清单!$F:$F,1,0)</f>
        <v>ASG10002ED328EBD5</v>
      </c>
      <c r="K1020" s="43"/>
      <c r="L1020" s="44"/>
      <c r="M1020" s="45" t="s">
        <v>3228</v>
      </c>
    </row>
    <row r="1021" s="26" customFormat="1" ht="30" customHeight="1" spans="1:13">
      <c r="A1021" s="41">
        <f>IF(C1021="","",SUBTOTAL(103,$C$2:C1021))</f>
        <v>1012</v>
      </c>
      <c r="B1021" s="41">
        <v>891</v>
      </c>
      <c r="C1021" s="46">
        <v>17603</v>
      </c>
      <c r="D1021" s="46" t="s">
        <v>65</v>
      </c>
      <c r="E1021" s="46" t="s">
        <v>220</v>
      </c>
      <c r="F1021" s="46" t="s">
        <v>3229</v>
      </c>
      <c r="G1021" s="41" t="s">
        <v>3230</v>
      </c>
      <c r="H1021" s="41" t="s">
        <v>3231</v>
      </c>
      <c r="I1021" s="43">
        <v>12</v>
      </c>
      <c r="J1021" s="44" t="str">
        <f>VLOOKUP(G1021,[1]硬件清单!$F:$F,1,0)</f>
        <v>ASG10002ED328EBD3</v>
      </c>
      <c r="K1021" s="43"/>
      <c r="L1021" s="44"/>
      <c r="M1021" s="45" t="s">
        <v>3232</v>
      </c>
    </row>
    <row r="1022" s="26" customFormat="1" ht="30" customHeight="1" spans="1:13">
      <c r="A1022" s="41">
        <f>IF(C1022="","",SUBTOTAL(103,$C$2:C1022))</f>
        <v>1013</v>
      </c>
      <c r="B1022" s="41">
        <v>892</v>
      </c>
      <c r="C1022" s="46">
        <v>17602</v>
      </c>
      <c r="D1022" s="46" t="s">
        <v>65</v>
      </c>
      <c r="E1022" s="46" t="s">
        <v>220</v>
      </c>
      <c r="F1022" s="46" t="s">
        <v>3229</v>
      </c>
      <c r="G1022" s="41" t="s">
        <v>3233</v>
      </c>
      <c r="H1022" s="41" t="s">
        <v>3234</v>
      </c>
      <c r="I1022" s="43">
        <v>12</v>
      </c>
      <c r="J1022" s="44" t="str">
        <f>VLOOKUP(G1022,[1]硬件清单!$F:$F,1,0)</f>
        <v>ASG10002ED328EBD4</v>
      </c>
      <c r="K1022" s="43"/>
      <c r="L1022" s="44"/>
      <c r="M1022" s="45" t="s">
        <v>3235</v>
      </c>
    </row>
    <row r="1023" s="26" customFormat="1" ht="30" customHeight="1" spans="1:13">
      <c r="A1023" s="41">
        <f>IF(C1023="","",SUBTOTAL(103,$C$2:C1023))</f>
        <v>1014</v>
      </c>
      <c r="B1023" s="41">
        <v>893</v>
      </c>
      <c r="C1023" s="46">
        <v>17605</v>
      </c>
      <c r="D1023" s="46" t="s">
        <v>65</v>
      </c>
      <c r="E1023" s="46" t="s">
        <v>220</v>
      </c>
      <c r="F1023" s="46" t="s">
        <v>3196</v>
      </c>
      <c r="G1023" s="41" t="s">
        <v>3236</v>
      </c>
      <c r="H1023" s="41" t="s">
        <v>3237</v>
      </c>
      <c r="I1023" s="43">
        <v>12</v>
      </c>
      <c r="J1023" s="44" t="str">
        <f>VLOOKUP(G1023,[1]硬件清单!$F:$F,1,0)</f>
        <v>210235AD01H10B000041</v>
      </c>
      <c r="K1023" s="43"/>
      <c r="L1023" s="44"/>
      <c r="M1023" s="45" t="s">
        <v>3238</v>
      </c>
    </row>
    <row r="1024" s="26" customFormat="1" ht="30" customHeight="1" spans="1:13">
      <c r="A1024" s="41">
        <f>IF(C1024="","",SUBTOTAL(103,$C$2:C1024))</f>
        <v>1015</v>
      </c>
      <c r="B1024" s="41">
        <v>894</v>
      </c>
      <c r="C1024" s="46">
        <v>17606</v>
      </c>
      <c r="D1024" s="46" t="s">
        <v>65</v>
      </c>
      <c r="E1024" s="46" t="s">
        <v>220</v>
      </c>
      <c r="F1024" s="46" t="s">
        <v>3196</v>
      </c>
      <c r="G1024" s="41" t="s">
        <v>3239</v>
      </c>
      <c r="H1024" s="41" t="s">
        <v>3240</v>
      </c>
      <c r="I1024" s="43">
        <v>12</v>
      </c>
      <c r="J1024" s="44" t="str">
        <f>VLOOKUP(G1024,[1]硬件清单!$F:$F,1,0)</f>
        <v>210235AD01H10B000026</v>
      </c>
      <c r="K1024" s="43"/>
      <c r="L1024" s="44"/>
      <c r="M1024" s="45" t="s">
        <v>3241</v>
      </c>
    </row>
    <row r="1025" s="26" customFormat="1" ht="30" customHeight="1" spans="1:13">
      <c r="A1025" s="41">
        <f>IF(C1025="","",SUBTOTAL(103,$C$2:C1025))</f>
        <v>1016</v>
      </c>
      <c r="B1025" s="41">
        <v>895</v>
      </c>
      <c r="C1025" s="46">
        <v>17607</v>
      </c>
      <c r="D1025" s="46" t="s">
        <v>65</v>
      </c>
      <c r="E1025" s="46" t="s">
        <v>220</v>
      </c>
      <c r="F1025" s="46" t="s">
        <v>3196</v>
      </c>
      <c r="G1025" s="41" t="s">
        <v>3242</v>
      </c>
      <c r="H1025" s="41" t="s">
        <v>3243</v>
      </c>
      <c r="I1025" s="43">
        <v>12</v>
      </c>
      <c r="J1025" s="44" t="str">
        <f>VLOOKUP(G1025,[1]硬件清单!$F:$F,1,0)</f>
        <v>210235AD01H10B000027</v>
      </c>
      <c r="K1025" s="43"/>
      <c r="L1025" s="44"/>
      <c r="M1025" s="45" t="s">
        <v>3244</v>
      </c>
    </row>
    <row r="1026" s="26" customFormat="1" ht="30" customHeight="1" spans="1:13">
      <c r="A1026" s="41">
        <f>IF(C1026="","",SUBTOTAL(103,$C$2:C1026))</f>
        <v>1017</v>
      </c>
      <c r="B1026" s="41">
        <v>896</v>
      </c>
      <c r="C1026" s="46">
        <v>17599</v>
      </c>
      <c r="D1026" s="46" t="s">
        <v>65</v>
      </c>
      <c r="E1026" s="46" t="s">
        <v>220</v>
      </c>
      <c r="F1026" s="46" t="s">
        <v>3206</v>
      </c>
      <c r="G1026" s="41" t="s">
        <v>3245</v>
      </c>
      <c r="H1026" s="41" t="s">
        <v>3246</v>
      </c>
      <c r="I1026" s="43">
        <v>12</v>
      </c>
      <c r="J1026" s="44" t="str">
        <f>VLOOKUP(G1026,[1]硬件清单!$F:$F,1,0)</f>
        <v>06LCD20</v>
      </c>
      <c r="K1026" s="43"/>
      <c r="L1026" s="44"/>
      <c r="M1026" s="45" t="s">
        <v>3247</v>
      </c>
    </row>
    <row r="1027" s="26" customFormat="1" ht="30" customHeight="1" spans="1:13">
      <c r="A1027" s="41">
        <f>IF(C1027="","",SUBTOTAL(103,$C$2:C1027))</f>
        <v>1018</v>
      </c>
      <c r="B1027" s="41">
        <v>897</v>
      </c>
      <c r="C1027" s="46">
        <v>17598</v>
      </c>
      <c r="D1027" s="46" t="s">
        <v>65</v>
      </c>
      <c r="E1027" s="46" t="s">
        <v>220</v>
      </c>
      <c r="F1027" s="46" t="s">
        <v>3206</v>
      </c>
      <c r="G1027" s="41" t="s">
        <v>3248</v>
      </c>
      <c r="H1027" s="41" t="s">
        <v>3249</v>
      </c>
      <c r="I1027" s="43">
        <v>12</v>
      </c>
      <c r="J1027" s="44" t="str">
        <f>VLOOKUP(G1027,[1]硬件清单!$F:$F,1,0)</f>
        <v>06NDA84</v>
      </c>
      <c r="K1027" s="43"/>
      <c r="L1027" s="44"/>
      <c r="M1027" s="45" t="s">
        <v>3250</v>
      </c>
    </row>
    <row r="1028" s="26" customFormat="1" ht="30" customHeight="1" spans="1:13">
      <c r="A1028" s="41">
        <f>IF(C1028="","",SUBTOTAL(103,$C$2:C1028))</f>
        <v>1019</v>
      </c>
      <c r="B1028" s="41">
        <v>898</v>
      </c>
      <c r="C1028" s="46">
        <v>17591</v>
      </c>
      <c r="D1028" s="46" t="s">
        <v>65</v>
      </c>
      <c r="E1028" s="46" t="s">
        <v>220</v>
      </c>
      <c r="F1028" s="46" t="s">
        <v>3213</v>
      </c>
      <c r="G1028" s="41" t="s">
        <v>3251</v>
      </c>
      <c r="H1028" s="41" t="s">
        <v>3252</v>
      </c>
      <c r="I1028" s="43">
        <v>12</v>
      </c>
      <c r="J1028" s="44" t="str">
        <f>VLOOKUP(G1028,[1]硬件清单!$F:$F,1,0)</f>
        <v>06LCC89</v>
      </c>
      <c r="K1028" s="43"/>
      <c r="L1028" s="44"/>
      <c r="M1028" s="45" t="s">
        <v>3253</v>
      </c>
    </row>
    <row r="1029" s="26" customFormat="1" ht="30" customHeight="1" spans="1:13">
      <c r="A1029" s="41">
        <f>IF(C1029="","",SUBTOTAL(103,$C$2:C1029))</f>
        <v>1020</v>
      </c>
      <c r="B1029" s="41">
        <v>899</v>
      </c>
      <c r="C1029" s="46">
        <v>17590</v>
      </c>
      <c r="D1029" s="46" t="s">
        <v>65</v>
      </c>
      <c r="E1029" s="46" t="s">
        <v>220</v>
      </c>
      <c r="F1029" s="46" t="s">
        <v>3213</v>
      </c>
      <c r="G1029" s="41" t="s">
        <v>3254</v>
      </c>
      <c r="H1029" s="41" t="s">
        <v>3255</v>
      </c>
      <c r="I1029" s="43">
        <v>12</v>
      </c>
      <c r="J1029" s="44" t="str">
        <f>VLOOKUP(G1029,[1]硬件清单!$F:$F,1,0)</f>
        <v>06LCD18</v>
      </c>
      <c r="K1029" s="43"/>
      <c r="L1029" s="44"/>
      <c r="M1029" s="45" t="s">
        <v>3256</v>
      </c>
    </row>
    <row r="1030" s="26" customFormat="1" ht="30" customHeight="1" spans="1:13">
      <c r="A1030" s="41">
        <f>IF(C1030="","",SUBTOTAL(103,$C$2:C1030))</f>
        <v>1021</v>
      </c>
      <c r="B1030" s="41">
        <v>900</v>
      </c>
      <c r="C1030" s="46">
        <v>17608</v>
      </c>
      <c r="D1030" s="46" t="s">
        <v>65</v>
      </c>
      <c r="E1030" s="46" t="s">
        <v>220</v>
      </c>
      <c r="F1030" s="46" t="s">
        <v>3196</v>
      </c>
      <c r="G1030" s="41" t="s">
        <v>3257</v>
      </c>
      <c r="H1030" s="41" t="s">
        <v>3258</v>
      </c>
      <c r="I1030" s="43">
        <v>12</v>
      </c>
      <c r="J1030" s="44" t="str">
        <f>VLOOKUP(G1030,[1]硬件清单!$F:$F,1,0)</f>
        <v>210235AD01H10B000122</v>
      </c>
      <c r="K1030" s="43"/>
      <c r="L1030" s="44"/>
      <c r="M1030" s="45" t="s">
        <v>3259</v>
      </c>
    </row>
    <row r="1031" s="26" customFormat="1" ht="30" customHeight="1" spans="1:13">
      <c r="A1031" s="41">
        <f>IF(C1031="","",SUBTOTAL(103,$C$2:C1031))</f>
        <v>1022</v>
      </c>
      <c r="B1031" s="41">
        <v>901</v>
      </c>
      <c r="C1031" s="46">
        <v>17613</v>
      </c>
      <c r="D1031" s="46" t="s">
        <v>65</v>
      </c>
      <c r="E1031" s="46" t="s">
        <v>220</v>
      </c>
      <c r="F1031" s="46" t="s">
        <v>3229</v>
      </c>
      <c r="G1031" s="41" t="s">
        <v>3260</v>
      </c>
      <c r="H1031" s="41" t="s">
        <v>3261</v>
      </c>
      <c r="I1031" s="43">
        <v>12</v>
      </c>
      <c r="J1031" s="44" t="str">
        <f>VLOOKUP(G1031,[1]硬件清单!$F:$F,1,0)</f>
        <v>HSA10002ED328EBD1</v>
      </c>
      <c r="K1031" s="43"/>
      <c r="L1031" s="44"/>
      <c r="M1031" s="45" t="s">
        <v>3262</v>
      </c>
    </row>
    <row r="1032" s="26" customFormat="1" ht="30" customHeight="1" spans="1:13">
      <c r="A1032" s="41">
        <f>IF(C1032="","",SUBTOTAL(103,$C$2:C1032))</f>
        <v>1023</v>
      </c>
      <c r="B1032" s="41">
        <v>902</v>
      </c>
      <c r="C1032" s="46">
        <v>17604</v>
      </c>
      <c r="D1032" s="46" t="s">
        <v>65</v>
      </c>
      <c r="E1032" s="46" t="s">
        <v>220</v>
      </c>
      <c r="F1032" s="46" t="s">
        <v>3229</v>
      </c>
      <c r="G1032" s="41" t="s">
        <v>3263</v>
      </c>
      <c r="H1032" s="41" t="s">
        <v>3264</v>
      </c>
      <c r="I1032" s="43">
        <v>12</v>
      </c>
      <c r="J1032" s="44" t="str">
        <f>VLOOKUP(G1032,[1]硬件清单!$F:$F,1,0)</f>
        <v>ASG10002ED328EBD8</v>
      </c>
      <c r="K1032" s="43"/>
      <c r="L1032" s="44"/>
      <c r="M1032" s="45" t="s">
        <v>3265</v>
      </c>
    </row>
    <row r="1033" s="26" customFormat="1" ht="30" customHeight="1" spans="1:13">
      <c r="A1033" s="41">
        <f>IF(C1033="","",SUBTOTAL(103,$C$2:C1033))</f>
        <v>1024</v>
      </c>
      <c r="B1033" s="41">
        <v>903</v>
      </c>
      <c r="C1033" s="46">
        <v>7727</v>
      </c>
      <c r="D1033" s="46" t="s">
        <v>65</v>
      </c>
      <c r="E1033" s="46" t="s">
        <v>220</v>
      </c>
      <c r="F1033" s="46" t="s">
        <v>3166</v>
      </c>
      <c r="G1033" s="41" t="s">
        <v>3266</v>
      </c>
      <c r="H1033" s="41" t="s">
        <v>3267</v>
      </c>
      <c r="I1033" s="43">
        <v>12</v>
      </c>
      <c r="J1033" s="44" t="str">
        <f>VLOOKUP(G1033,[1]硬件清单!$F:$F,1,0)</f>
        <v>YD-SC10002EE51B0991</v>
      </c>
      <c r="K1033" s="43"/>
      <c r="L1033" s="44"/>
      <c r="M1033" s="45" t="s">
        <v>3268</v>
      </c>
    </row>
    <row r="1034" s="26" customFormat="1" ht="30" customHeight="1" spans="1:13">
      <c r="A1034" s="41">
        <f>IF(C1034="","",SUBTOTAL(103,$C$2:C1034))</f>
        <v>1025</v>
      </c>
      <c r="B1034" s="41">
        <v>904</v>
      </c>
      <c r="C1034" s="41">
        <v>7849</v>
      </c>
      <c r="D1034" s="41" t="s">
        <v>65</v>
      </c>
      <c r="E1034" s="41" t="s">
        <v>220</v>
      </c>
      <c r="F1034" s="41" t="s">
        <v>3269</v>
      </c>
      <c r="G1034" s="41" t="s">
        <v>3270</v>
      </c>
      <c r="H1034" s="41" t="s">
        <v>3271</v>
      </c>
      <c r="I1034" s="43">
        <v>12</v>
      </c>
      <c r="J1034" s="44" t="str">
        <f>VLOOKUP(G1034,[1]硬件清单!$F:$F,1,0)</f>
        <v>H119000066</v>
      </c>
      <c r="K1034" s="43"/>
      <c r="L1034" s="44"/>
      <c r="M1034" s="45" t="s">
        <v>3272</v>
      </c>
    </row>
    <row r="1035" s="26" customFormat="1" ht="30" customHeight="1" spans="1:13">
      <c r="A1035" s="41">
        <f>IF(C1035="","",SUBTOTAL(103,$C$2:C1035))</f>
        <v>1026</v>
      </c>
      <c r="B1035" s="41">
        <v>905</v>
      </c>
      <c r="C1035" s="41">
        <v>7837</v>
      </c>
      <c r="D1035" s="41" t="s">
        <v>65</v>
      </c>
      <c r="E1035" s="41" t="s">
        <v>220</v>
      </c>
      <c r="F1035" s="41" t="s">
        <v>3273</v>
      </c>
      <c r="G1035" s="41" t="s">
        <v>3274</v>
      </c>
      <c r="H1035" s="41" t="s">
        <v>3275</v>
      </c>
      <c r="I1035" s="43">
        <v>12</v>
      </c>
      <c r="J1035" s="44" t="str">
        <f>VLOOKUP(G1035,[1]硬件清单!$F:$F,1,0)</f>
        <v>H125000127</v>
      </c>
      <c r="K1035" s="43"/>
      <c r="L1035" s="44"/>
      <c r="M1035" s="45" t="s">
        <v>3276</v>
      </c>
    </row>
    <row r="1036" s="26" customFormat="1" ht="30" customHeight="1" spans="1:13">
      <c r="A1036" s="41">
        <f>IF(C1036="","",SUBTOTAL(103,$C$2:C1036))</f>
        <v>1027</v>
      </c>
      <c r="B1036" s="41">
        <v>906</v>
      </c>
      <c r="C1036" s="41">
        <v>7848</v>
      </c>
      <c r="D1036" s="41" t="s">
        <v>65</v>
      </c>
      <c r="E1036" s="41" t="s">
        <v>220</v>
      </c>
      <c r="F1036" s="41" t="s">
        <v>3269</v>
      </c>
      <c r="G1036" s="41" t="s">
        <v>3277</v>
      </c>
      <c r="H1036" s="41" t="s">
        <v>3278</v>
      </c>
      <c r="I1036" s="43">
        <v>12</v>
      </c>
      <c r="J1036" s="44" t="str">
        <f>VLOOKUP(G1036,[1]硬件清单!$F:$F,1,0)</f>
        <v>H119000573</v>
      </c>
      <c r="K1036" s="43"/>
      <c r="L1036" s="44"/>
      <c r="M1036" s="45" t="s">
        <v>3279</v>
      </c>
    </row>
    <row r="1037" s="26" customFormat="1" ht="30" customHeight="1" spans="1:13">
      <c r="A1037" s="41">
        <f>IF(C1037="","",SUBTOTAL(103,$C$2:C1037))</f>
        <v>1028</v>
      </c>
      <c r="B1037" s="41">
        <v>907</v>
      </c>
      <c r="C1037" s="41">
        <v>7836</v>
      </c>
      <c r="D1037" s="41" t="s">
        <v>65</v>
      </c>
      <c r="E1037" s="41" t="s">
        <v>220</v>
      </c>
      <c r="F1037" s="41" t="s">
        <v>3273</v>
      </c>
      <c r="G1037" s="41" t="s">
        <v>3280</v>
      </c>
      <c r="H1037" s="41" t="s">
        <v>3281</v>
      </c>
      <c r="I1037" s="43">
        <v>12</v>
      </c>
      <c r="J1037" s="44" t="str">
        <f>VLOOKUP(G1037,[1]硬件清单!$F:$F,1,0)</f>
        <v>H126000111</v>
      </c>
      <c r="K1037" s="43"/>
      <c r="L1037" s="44"/>
      <c r="M1037" s="45" t="s">
        <v>3282</v>
      </c>
    </row>
    <row r="1038" s="26" customFormat="1" ht="30" customHeight="1" spans="1:13">
      <c r="A1038" s="41">
        <f>IF(C1038="","",SUBTOTAL(103,$C$2:C1038))</f>
        <v>1029</v>
      </c>
      <c r="B1038" s="41">
        <v>908</v>
      </c>
      <c r="C1038" s="41">
        <v>7839</v>
      </c>
      <c r="D1038" s="41" t="s">
        <v>65</v>
      </c>
      <c r="E1038" s="41" t="s">
        <v>220</v>
      </c>
      <c r="F1038" s="41" t="s">
        <v>3273</v>
      </c>
      <c r="G1038" s="41" t="s">
        <v>3274</v>
      </c>
      <c r="H1038" s="41" t="s">
        <v>3283</v>
      </c>
      <c r="I1038" s="43">
        <v>12</v>
      </c>
      <c r="J1038" s="44" t="str">
        <f>VLOOKUP(G1038,[1]硬件清单!$F:$F,1,0)</f>
        <v>H125000127</v>
      </c>
      <c r="K1038" s="43"/>
      <c r="L1038" s="44"/>
      <c r="M1038" s="45" t="s">
        <v>3284</v>
      </c>
    </row>
    <row r="1039" s="26" customFormat="1" ht="30" customHeight="1" spans="1:13">
      <c r="A1039" s="41">
        <f>IF(C1039="","",SUBTOTAL(103,$C$2:C1039))</f>
        <v>1030</v>
      </c>
      <c r="B1039" s="41">
        <v>909</v>
      </c>
      <c r="C1039" s="41">
        <v>7838</v>
      </c>
      <c r="D1039" s="41" t="s">
        <v>65</v>
      </c>
      <c r="E1039" s="41" t="s">
        <v>220</v>
      </c>
      <c r="F1039" s="41" t="s">
        <v>3273</v>
      </c>
      <c r="G1039" s="41" t="s">
        <v>3285</v>
      </c>
      <c r="H1039" s="41" t="s">
        <v>3286</v>
      </c>
      <c r="I1039" s="43">
        <v>12</v>
      </c>
      <c r="J1039" s="44" t="str">
        <f>VLOOKUP(G1039,[1]硬件清单!$F:$F,1,0)</f>
        <v>H12500084</v>
      </c>
      <c r="K1039" s="43"/>
      <c r="L1039" s="44"/>
      <c r="M1039" s="45" t="s">
        <v>3287</v>
      </c>
    </row>
    <row r="1040" s="26" customFormat="1" ht="30" customHeight="1" spans="1:13">
      <c r="A1040" s="41">
        <f>IF(C1040="","",SUBTOTAL(103,$C$2:C1040))</f>
        <v>1031</v>
      </c>
      <c r="B1040" s="41">
        <v>910</v>
      </c>
      <c r="C1040" s="46">
        <v>7841</v>
      </c>
      <c r="D1040" s="46" t="s">
        <v>65</v>
      </c>
      <c r="E1040" s="46" t="s">
        <v>220</v>
      </c>
      <c r="F1040" s="46" t="s">
        <v>3273</v>
      </c>
      <c r="G1040" s="41" t="s">
        <v>3288</v>
      </c>
      <c r="H1040" s="41" t="s">
        <v>3289</v>
      </c>
      <c r="I1040" s="43">
        <v>12</v>
      </c>
      <c r="J1040" s="44" t="str">
        <f>VLOOKUP(G1040,[1]硬件清单!$F:$F,1,0)</f>
        <v>H126000122</v>
      </c>
      <c r="K1040" s="43"/>
      <c r="L1040" s="44"/>
      <c r="M1040" s="45" t="s">
        <v>3290</v>
      </c>
    </row>
    <row r="1041" s="26" customFormat="1" ht="30" customHeight="1" spans="1:13">
      <c r="A1041" s="41">
        <f>IF(C1041="","",SUBTOTAL(103,$C$2:C1041))</f>
        <v>1032</v>
      </c>
      <c r="B1041" s="41">
        <v>911</v>
      </c>
      <c r="C1041" s="41">
        <v>7847</v>
      </c>
      <c r="D1041" s="41" t="s">
        <v>65</v>
      </c>
      <c r="E1041" s="41" t="s">
        <v>220</v>
      </c>
      <c r="F1041" s="41" t="s">
        <v>3273</v>
      </c>
      <c r="G1041" s="41" t="s">
        <v>3291</v>
      </c>
      <c r="H1041" s="41" t="s">
        <v>3292</v>
      </c>
      <c r="I1041" s="43">
        <v>12</v>
      </c>
      <c r="J1041" s="44" t="str">
        <f>VLOOKUP(G1041,[1]硬件清单!$F:$F,1,0)</f>
        <v>H126000473</v>
      </c>
      <c r="K1041" s="43"/>
      <c r="L1041" s="44"/>
      <c r="M1041" s="45" t="s">
        <v>3293</v>
      </c>
    </row>
    <row r="1042" s="26" customFormat="1" ht="30" customHeight="1" spans="1:13">
      <c r="A1042" s="41">
        <f>IF(C1042="","",SUBTOTAL(103,$C$2:C1042))</f>
        <v>1033</v>
      </c>
      <c r="B1042" s="41">
        <v>912</v>
      </c>
      <c r="C1042" s="41">
        <v>7842</v>
      </c>
      <c r="D1042" s="41" t="s">
        <v>65</v>
      </c>
      <c r="E1042" s="41" t="s">
        <v>220</v>
      </c>
      <c r="F1042" s="41" t="s">
        <v>3273</v>
      </c>
      <c r="G1042" s="41" t="s">
        <v>3294</v>
      </c>
      <c r="H1042" s="41" t="s">
        <v>3295</v>
      </c>
      <c r="I1042" s="43">
        <v>12</v>
      </c>
      <c r="J1042" s="44" t="str">
        <f>VLOOKUP(G1042,[1]硬件清单!$F:$F,1,0)</f>
        <v>H126000176</v>
      </c>
      <c r="K1042" s="43"/>
      <c r="L1042" s="44"/>
      <c r="M1042" s="45" t="s">
        <v>3296</v>
      </c>
    </row>
    <row r="1043" s="26" customFormat="1" ht="30" customHeight="1" spans="1:13">
      <c r="A1043" s="41">
        <f>IF(C1043="","",SUBTOTAL(103,$C$2:C1043))</f>
        <v>1034</v>
      </c>
      <c r="B1043" s="41">
        <v>913</v>
      </c>
      <c r="C1043" s="41">
        <v>7843</v>
      </c>
      <c r="D1043" s="41" t="s">
        <v>65</v>
      </c>
      <c r="E1043" s="41" t="s">
        <v>220</v>
      </c>
      <c r="F1043" s="41" t="s">
        <v>3273</v>
      </c>
      <c r="G1043" s="41" t="s">
        <v>3297</v>
      </c>
      <c r="H1043" s="41" t="s">
        <v>3298</v>
      </c>
      <c r="I1043" s="43">
        <v>12</v>
      </c>
      <c r="J1043" s="44" t="str">
        <f>VLOOKUP(G1043,[1]硬件清单!$F:$F,1,0)</f>
        <v>H126000147</v>
      </c>
      <c r="K1043" s="43"/>
      <c r="L1043" s="44"/>
      <c r="M1043" s="45" t="s">
        <v>3299</v>
      </c>
    </row>
    <row r="1044" s="26" customFormat="1" ht="30" customHeight="1" spans="1:13">
      <c r="A1044" s="41">
        <f>IF(C1044="","",SUBTOTAL(103,$C$2:C1044))</f>
        <v>1035</v>
      </c>
      <c r="B1044" s="41">
        <v>914</v>
      </c>
      <c r="C1044" s="41">
        <v>7840</v>
      </c>
      <c r="D1044" s="41" t="s">
        <v>65</v>
      </c>
      <c r="E1044" s="41" t="s">
        <v>220</v>
      </c>
      <c r="F1044" s="41" t="s">
        <v>3273</v>
      </c>
      <c r="G1044" s="41" t="s">
        <v>3300</v>
      </c>
      <c r="H1044" s="41" t="s">
        <v>3301</v>
      </c>
      <c r="I1044" s="43">
        <v>12</v>
      </c>
      <c r="J1044" s="44" t="str">
        <f>VLOOKUP(G1044,[1]硬件清单!$F:$F,1,0)</f>
        <v>H126000157</v>
      </c>
      <c r="K1044" s="43"/>
      <c r="L1044" s="44"/>
      <c r="M1044" s="45" t="s">
        <v>3302</v>
      </c>
    </row>
    <row r="1045" s="26" customFormat="1" ht="30" customHeight="1" spans="1:13">
      <c r="A1045" s="41">
        <f>IF(C1045="","",SUBTOTAL(103,$C$2:C1045))</f>
        <v>1036</v>
      </c>
      <c r="B1045" s="41">
        <v>915</v>
      </c>
      <c r="C1045" s="46">
        <v>7845</v>
      </c>
      <c r="D1045" s="46" t="s">
        <v>65</v>
      </c>
      <c r="E1045" s="46" t="s">
        <v>220</v>
      </c>
      <c r="F1045" s="46" t="s">
        <v>3273</v>
      </c>
      <c r="G1045" s="41" t="s">
        <v>3303</v>
      </c>
      <c r="H1045" s="41" t="s">
        <v>3304</v>
      </c>
      <c r="I1045" s="43">
        <v>12</v>
      </c>
      <c r="J1045" s="44" t="str">
        <f>VLOOKUP(G1045,[1]硬件清单!$F:$F,1,0)</f>
        <v>H126000126</v>
      </c>
      <c r="K1045" s="43"/>
      <c r="L1045" s="44"/>
      <c r="M1045" s="45" t="s">
        <v>3305</v>
      </c>
    </row>
    <row r="1046" s="26" customFormat="1" ht="30" customHeight="1" spans="1:13">
      <c r="A1046" s="41">
        <f>IF(C1046="","",SUBTOTAL(103,$C$2:C1046))</f>
        <v>1037</v>
      </c>
      <c r="B1046" s="41">
        <v>916</v>
      </c>
      <c r="C1046" s="41">
        <v>7851</v>
      </c>
      <c r="D1046" s="41" t="s">
        <v>65</v>
      </c>
      <c r="E1046" s="41" t="s">
        <v>220</v>
      </c>
      <c r="F1046" s="41" t="s">
        <v>3269</v>
      </c>
      <c r="G1046" s="41" t="s">
        <v>3306</v>
      </c>
      <c r="H1046" s="41" t="s">
        <v>3307</v>
      </c>
      <c r="I1046" s="43">
        <v>12</v>
      </c>
      <c r="J1046" s="44" t="str">
        <f>VLOOKUP(G1046,[1]硬件清单!$F:$F,1,0)</f>
        <v>H1190000473</v>
      </c>
      <c r="K1046" s="43"/>
      <c r="L1046" s="44"/>
      <c r="M1046" s="45" t="s">
        <v>3308</v>
      </c>
    </row>
    <row r="1047" s="26" customFormat="1" ht="30" customHeight="1" spans="1:13">
      <c r="A1047" s="41">
        <f>IF(C1047="","",SUBTOTAL(103,$C$2:C1047))</f>
        <v>1038</v>
      </c>
      <c r="B1047" s="41">
        <v>917</v>
      </c>
      <c r="C1047" s="41">
        <v>7846</v>
      </c>
      <c r="D1047" s="41" t="s">
        <v>65</v>
      </c>
      <c r="E1047" s="41" t="s">
        <v>220</v>
      </c>
      <c r="F1047" s="41" t="s">
        <v>3273</v>
      </c>
      <c r="G1047" s="41" t="s">
        <v>3309</v>
      </c>
      <c r="H1047" s="41" t="s">
        <v>3310</v>
      </c>
      <c r="I1047" s="43">
        <v>12</v>
      </c>
      <c r="J1047" s="44" t="str">
        <f>VLOOKUP(G1047,[1]硬件清单!$F:$F,1,0)</f>
        <v>H126000129</v>
      </c>
      <c r="K1047" s="43"/>
      <c r="L1047" s="44"/>
      <c r="M1047" s="45" t="s">
        <v>3311</v>
      </c>
    </row>
    <row r="1048" s="26" customFormat="1" ht="30" customHeight="1" spans="1:13">
      <c r="A1048" s="41">
        <f>IF(C1048="","",SUBTOTAL(103,$C$2:C1048))</f>
        <v>1039</v>
      </c>
      <c r="B1048" s="41">
        <v>918</v>
      </c>
      <c r="C1048" s="41">
        <v>7850</v>
      </c>
      <c r="D1048" s="41" t="s">
        <v>65</v>
      </c>
      <c r="E1048" s="41" t="s">
        <v>220</v>
      </c>
      <c r="F1048" s="41" t="s">
        <v>3269</v>
      </c>
      <c r="G1048" s="41" t="s">
        <v>3312</v>
      </c>
      <c r="H1048" s="41" t="s">
        <v>3313</v>
      </c>
      <c r="I1048" s="43">
        <v>12</v>
      </c>
      <c r="J1048" s="44" t="str">
        <f>VLOOKUP(G1048,[1]硬件清单!$F:$F,1,0)</f>
        <v>H119000530</v>
      </c>
      <c r="K1048" s="43"/>
      <c r="L1048" s="44"/>
      <c r="M1048" s="45" t="s">
        <v>3314</v>
      </c>
    </row>
    <row r="1049" s="26" customFormat="1" ht="30" customHeight="1" spans="1:13">
      <c r="A1049" s="41">
        <f>IF(C1049="","",SUBTOTAL(103,$C$2:C1049))</f>
        <v>1040</v>
      </c>
      <c r="B1049" s="41">
        <v>919</v>
      </c>
      <c r="C1049" s="41">
        <v>7844</v>
      </c>
      <c r="D1049" s="41" t="s">
        <v>65</v>
      </c>
      <c r="E1049" s="41" t="s">
        <v>220</v>
      </c>
      <c r="F1049" s="41" t="s">
        <v>3273</v>
      </c>
      <c r="G1049" s="41" t="s">
        <v>3309</v>
      </c>
      <c r="H1049" s="41" t="s">
        <v>3315</v>
      </c>
      <c r="I1049" s="43">
        <v>12</v>
      </c>
      <c r="J1049" s="44" t="str">
        <f>VLOOKUP(G1049,[1]硬件清单!$F:$F,1,0)</f>
        <v>H126000129</v>
      </c>
      <c r="K1049" s="43"/>
      <c r="L1049" s="44"/>
      <c r="M1049" s="45" t="s">
        <v>3316</v>
      </c>
    </row>
    <row r="1050" s="26" customFormat="1" ht="30" customHeight="1" spans="1:13">
      <c r="A1050" s="41">
        <f>IF(C1050="","",SUBTOTAL(103,$C$2:C1050))</f>
        <v>1041</v>
      </c>
      <c r="B1050" s="41">
        <v>922</v>
      </c>
      <c r="C1050" s="41">
        <v>17825</v>
      </c>
      <c r="D1050" s="41" t="s">
        <v>887</v>
      </c>
      <c r="E1050" s="41" t="s">
        <v>3317</v>
      </c>
      <c r="F1050" s="41" t="s">
        <v>3318</v>
      </c>
      <c r="G1050" s="41" t="s">
        <v>3319</v>
      </c>
      <c r="H1050" s="41" t="s">
        <v>3320</v>
      </c>
      <c r="I1050" s="43">
        <v>12</v>
      </c>
      <c r="J1050" s="44" t="str">
        <f>VLOOKUP(G1050,[1]硬件清单!$F:$F,1,0)</f>
        <v>ASG10002ED2CDAC74</v>
      </c>
      <c r="K1050" s="43"/>
      <c r="L1050" s="44"/>
      <c r="M1050" s="45" t="s">
        <v>3321</v>
      </c>
    </row>
    <row r="1051" s="26" customFormat="1" ht="30" customHeight="1" spans="1:13">
      <c r="A1051" s="41">
        <f>IF(C1051="","",SUBTOTAL(103,$C$2:C1051))</f>
        <v>1042</v>
      </c>
      <c r="B1051" s="41">
        <v>923</v>
      </c>
      <c r="C1051" s="41">
        <v>17826</v>
      </c>
      <c r="D1051" s="41" t="s">
        <v>887</v>
      </c>
      <c r="E1051" s="41" t="s">
        <v>3317</v>
      </c>
      <c r="F1051" s="41" t="s">
        <v>3318</v>
      </c>
      <c r="G1051" s="41" t="s">
        <v>3322</v>
      </c>
      <c r="H1051" s="41" t="s">
        <v>3323</v>
      </c>
      <c r="I1051" s="43">
        <v>12</v>
      </c>
      <c r="J1051" s="44" t="str">
        <f>VLOOKUP(G1051,[1]硬件清单!$F:$F,1,0)</f>
        <v>ASG1000112EEB00BDF2</v>
      </c>
      <c r="K1051" s="43"/>
      <c r="L1051" s="44"/>
      <c r="M1051" s="45" t="s">
        <v>3324</v>
      </c>
    </row>
    <row r="1052" s="26" customFormat="1" ht="30" customHeight="1" spans="1:13">
      <c r="A1052" s="41">
        <f>IF(C1052="","",SUBTOTAL(103,$C$2:C1052))</f>
        <v>1043</v>
      </c>
      <c r="B1052" s="41">
        <v>924</v>
      </c>
      <c r="C1052" s="41">
        <v>17488</v>
      </c>
      <c r="D1052" s="41" t="s">
        <v>19</v>
      </c>
      <c r="E1052" s="41" t="s">
        <v>60</v>
      </c>
      <c r="F1052" s="41" t="s">
        <v>1023</v>
      </c>
      <c r="G1052" s="41" t="s">
        <v>3325</v>
      </c>
      <c r="H1052" s="41" t="s">
        <v>3326</v>
      </c>
      <c r="I1052" s="43">
        <v>12</v>
      </c>
      <c r="J1052" s="44" t="str">
        <f>VLOOKUP(G1052,[1]硬件清单!$F:$F,1,0)</f>
        <v>LVS2000E2ECCD66BE1</v>
      </c>
      <c r="K1052" s="43"/>
      <c r="L1052" s="44"/>
      <c r="M1052" s="45" t="s">
        <v>3327</v>
      </c>
    </row>
    <row r="1053" s="26" customFormat="1" ht="30" customHeight="1" spans="1:13">
      <c r="A1053" s="41">
        <f>IF(C1053="","",SUBTOTAL(103,$C$2:C1053))</f>
        <v>1044</v>
      </c>
      <c r="B1053" s="41">
        <v>925</v>
      </c>
      <c r="C1053" s="41">
        <v>17182</v>
      </c>
      <c r="D1053" s="41" t="s">
        <v>19</v>
      </c>
      <c r="E1053" s="41" t="s">
        <v>20</v>
      </c>
      <c r="F1053" s="41" t="s">
        <v>3328</v>
      </c>
      <c r="G1053" s="41" t="s">
        <v>3329</v>
      </c>
      <c r="H1053" s="41" t="s">
        <v>3330</v>
      </c>
      <c r="I1053" s="43">
        <v>12</v>
      </c>
      <c r="J1053" s="44" t="str">
        <f>VLOOKUP(G1053,[1]硬件清单!$F:$F,1,0)</f>
        <v>210235A04QH098000493</v>
      </c>
      <c r="K1053" s="43"/>
      <c r="L1053" s="44"/>
      <c r="M1053" s="45" t="s">
        <v>3331</v>
      </c>
    </row>
    <row r="1054" s="26" customFormat="1" ht="30" customHeight="1" spans="1:13">
      <c r="A1054" s="41">
        <f>IF(C1054="","",SUBTOTAL(103,$C$2:C1054))</f>
        <v>1045</v>
      </c>
      <c r="B1054" s="41">
        <v>926</v>
      </c>
      <c r="C1054" s="41">
        <v>17487</v>
      </c>
      <c r="D1054" s="41" t="s">
        <v>19</v>
      </c>
      <c r="E1054" s="41" t="s">
        <v>60</v>
      </c>
      <c r="F1054" s="41" t="s">
        <v>1023</v>
      </c>
      <c r="G1054" s="41" t="s">
        <v>3332</v>
      </c>
      <c r="H1054" s="41" t="s">
        <v>3333</v>
      </c>
      <c r="I1054" s="43">
        <v>12</v>
      </c>
      <c r="J1054" s="44" t="str">
        <f>VLOOKUP(G1054,[1]硬件清单!$F:$F,1,0)</f>
        <v>LVS2000E2ED2BDCDF6</v>
      </c>
      <c r="K1054" s="43"/>
      <c r="L1054" s="44"/>
      <c r="M1054" s="45" t="s">
        <v>3334</v>
      </c>
    </row>
    <row r="1055" s="26" customFormat="1" ht="30" customHeight="1" spans="1:13">
      <c r="A1055" s="41">
        <f>IF(C1055="","",SUBTOTAL(103,$C$2:C1055))</f>
        <v>1046</v>
      </c>
      <c r="B1055" s="41">
        <v>927</v>
      </c>
      <c r="C1055" s="41">
        <v>17183</v>
      </c>
      <c r="D1055" s="41" t="s">
        <v>19</v>
      </c>
      <c r="E1055" s="41" t="s">
        <v>20</v>
      </c>
      <c r="F1055" s="41" t="s">
        <v>3328</v>
      </c>
      <c r="G1055" s="41" t="s">
        <v>3335</v>
      </c>
      <c r="H1055" s="41" t="s">
        <v>3336</v>
      </c>
      <c r="I1055" s="43">
        <v>12</v>
      </c>
      <c r="J1055" s="44" t="str">
        <f>VLOOKUP(G1055,[1]硬件清单!$F:$F,1,0)</f>
        <v>210235A04QH098000323</v>
      </c>
      <c r="K1055" s="43"/>
      <c r="L1055" s="44"/>
      <c r="M1055" s="45" t="s">
        <v>3337</v>
      </c>
    </row>
    <row r="1056" s="26" customFormat="1" ht="30" customHeight="1" spans="1:13">
      <c r="A1056" s="41">
        <f>IF(C1056="","",SUBTOTAL(103,$C$2:C1056))</f>
        <v>1047</v>
      </c>
      <c r="B1056" s="41">
        <v>928</v>
      </c>
      <c r="C1056" s="46">
        <v>15788</v>
      </c>
      <c r="D1056" s="46" t="s">
        <v>45</v>
      </c>
      <c r="E1056" s="46" t="s">
        <v>1298</v>
      </c>
      <c r="F1056" s="46" t="s">
        <v>3213</v>
      </c>
      <c r="G1056" s="41" t="s">
        <v>3338</v>
      </c>
      <c r="H1056" s="41" t="s">
        <v>3339</v>
      </c>
      <c r="I1056" s="43">
        <v>12</v>
      </c>
      <c r="J1056" s="44" t="str">
        <f>VLOOKUP(G1056,[1]硬件清单!$F:$F,1,0)</f>
        <v>99R1866</v>
      </c>
      <c r="K1056" s="43"/>
      <c r="L1056" s="44"/>
      <c r="M1056" s="45" t="s">
        <v>3340</v>
      </c>
    </row>
    <row r="1057" ht="30" customHeight="1" spans="1:13">
      <c r="A1057" s="41">
        <f>IF(C1057="","",SUBTOTAL(103,$C$2:C1057))</f>
        <v>1048</v>
      </c>
      <c r="B1057" s="41">
        <v>929</v>
      </c>
      <c r="C1057" s="41">
        <v>15792</v>
      </c>
      <c r="D1057" s="41" t="s">
        <v>45</v>
      </c>
      <c r="E1057" s="41" t="s">
        <v>1298</v>
      </c>
      <c r="F1057" s="41" t="s">
        <v>3341</v>
      </c>
      <c r="G1057" s="41" t="s">
        <v>3342</v>
      </c>
      <c r="H1057" s="41" t="s">
        <v>3343</v>
      </c>
      <c r="I1057" s="43">
        <v>12</v>
      </c>
      <c r="J1057" s="44" t="str">
        <f>VLOOKUP(G1057,[1]硬件清单!$F:$F,1,0)</f>
        <v>IBM3650M22ECCD66BE2</v>
      </c>
      <c r="K1057" s="43"/>
      <c r="L1057" s="44"/>
      <c r="M1057" s="45" t="s">
        <v>3344</v>
      </c>
    </row>
    <row r="1058" ht="30" customHeight="1" spans="1:13">
      <c r="A1058" s="41">
        <f>IF(C1058="","",SUBTOTAL(103,$C$2:C1058))</f>
        <v>1049</v>
      </c>
      <c r="B1058" s="41">
        <v>930</v>
      </c>
      <c r="C1058" s="41">
        <v>15791</v>
      </c>
      <c r="D1058" s="41" t="s">
        <v>45</v>
      </c>
      <c r="E1058" s="41" t="s">
        <v>1298</v>
      </c>
      <c r="F1058" s="41" t="s">
        <v>3341</v>
      </c>
      <c r="G1058" s="41" t="s">
        <v>3342</v>
      </c>
      <c r="H1058" s="41" t="s">
        <v>3345</v>
      </c>
      <c r="I1058" s="43">
        <v>12</v>
      </c>
      <c r="J1058" s="44" t="str">
        <f>VLOOKUP(G1058,[1]硬件清单!$F:$F,1,0)</f>
        <v>IBM3650M22ECCD66BE2</v>
      </c>
      <c r="K1058" s="43"/>
      <c r="L1058" s="44"/>
      <c r="M1058" s="45" t="s">
        <v>3346</v>
      </c>
    </row>
    <row r="1059" ht="30" customHeight="1" spans="1:13">
      <c r="A1059" s="41">
        <f>IF(C1059="","",SUBTOTAL(103,$C$2:C1059))</f>
        <v>1050</v>
      </c>
      <c r="B1059" s="41">
        <v>931</v>
      </c>
      <c r="C1059" s="46">
        <v>15787</v>
      </c>
      <c r="D1059" s="46" t="s">
        <v>45</v>
      </c>
      <c r="E1059" s="46" t="s">
        <v>1298</v>
      </c>
      <c r="F1059" s="46" t="s">
        <v>3213</v>
      </c>
      <c r="G1059" s="41" t="s">
        <v>3347</v>
      </c>
      <c r="H1059" s="41" t="s">
        <v>3348</v>
      </c>
      <c r="I1059" s="43">
        <v>12</v>
      </c>
      <c r="J1059" s="44" t="str">
        <f>VLOOKUP(G1059,[1]硬件清单!$F:$F,1,0)</f>
        <v>99R1863</v>
      </c>
      <c r="K1059" s="43"/>
      <c r="L1059" s="44"/>
      <c r="M1059" s="45" t="s">
        <v>3349</v>
      </c>
    </row>
    <row r="1060" ht="30" customHeight="1" spans="1:13">
      <c r="A1060" s="41">
        <f>IF(C1060="","",SUBTOTAL(103,$C$2:C1060))</f>
        <v>1051</v>
      </c>
      <c r="B1060" s="41">
        <v>932</v>
      </c>
      <c r="C1060" s="41">
        <v>17486</v>
      </c>
      <c r="D1060" s="41" t="s">
        <v>19</v>
      </c>
      <c r="E1060" s="41" t="s">
        <v>60</v>
      </c>
      <c r="F1060" s="41" t="s">
        <v>1023</v>
      </c>
      <c r="G1060" s="41" t="s">
        <v>3350</v>
      </c>
      <c r="H1060" s="41" t="s">
        <v>3351</v>
      </c>
      <c r="I1060" s="43">
        <v>12</v>
      </c>
      <c r="J1060" s="44" t="str">
        <f>VLOOKUP(G1060,[1]硬件清单!$F:$F,1,0)</f>
        <v>LVS2000E2ECCD66BE2</v>
      </c>
      <c r="K1060" s="43"/>
      <c r="L1060" s="44"/>
      <c r="M1060" s="45" t="s">
        <v>3352</v>
      </c>
    </row>
    <row r="1061" ht="30" customHeight="1" spans="1:13">
      <c r="A1061" s="41">
        <f>IF(C1061="","",SUBTOTAL(103,$C$2:C1061))</f>
        <v>1052</v>
      </c>
      <c r="B1061" s="41">
        <v>933</v>
      </c>
      <c r="C1061" s="41">
        <v>17184</v>
      </c>
      <c r="D1061" s="41" t="s">
        <v>19</v>
      </c>
      <c r="E1061" s="41" t="s">
        <v>20</v>
      </c>
      <c r="F1061" s="41" t="s">
        <v>3328</v>
      </c>
      <c r="G1061" s="41" t="s">
        <v>3353</v>
      </c>
      <c r="H1061" s="41" t="s">
        <v>3354</v>
      </c>
      <c r="I1061" s="43">
        <v>12</v>
      </c>
      <c r="J1061" s="44" t="str">
        <f>VLOOKUP(G1061,[1]硬件清单!$F:$F,1,0)</f>
        <v>210235A04QH098000369</v>
      </c>
      <c r="K1061" s="43"/>
      <c r="L1061" s="44"/>
      <c r="M1061" s="45" t="s">
        <v>3355</v>
      </c>
    </row>
    <row r="1062" ht="30" customHeight="1" spans="1:13">
      <c r="A1062" s="41">
        <f>IF(C1062="","",SUBTOTAL(103,$C$2:C1062))</f>
        <v>1053</v>
      </c>
      <c r="B1062" s="41">
        <v>934</v>
      </c>
      <c r="C1062" s="41">
        <v>17185</v>
      </c>
      <c r="D1062" s="41" t="s">
        <v>19</v>
      </c>
      <c r="E1062" s="41" t="s">
        <v>20</v>
      </c>
      <c r="F1062" s="41" t="s">
        <v>3328</v>
      </c>
      <c r="G1062" s="41" t="s">
        <v>3356</v>
      </c>
      <c r="H1062" s="41" t="s">
        <v>3357</v>
      </c>
      <c r="I1062" s="43">
        <v>12</v>
      </c>
      <c r="J1062" s="44" t="str">
        <f>VLOOKUP(G1062,[1]硬件清单!$F:$F,1,0)</f>
        <v>210235A04QH098000320</v>
      </c>
      <c r="K1062" s="43"/>
      <c r="L1062" s="44"/>
      <c r="M1062" s="45" t="s">
        <v>3358</v>
      </c>
    </row>
    <row r="1063" ht="30" customHeight="1" spans="1:13">
      <c r="A1063" s="41">
        <f>IF(C1063="","",SUBTOTAL(103,$C$2:C1063))</f>
        <v>1054</v>
      </c>
      <c r="B1063" s="41">
        <v>935</v>
      </c>
      <c r="C1063" s="41">
        <v>17823</v>
      </c>
      <c r="D1063" s="41" t="s">
        <v>887</v>
      </c>
      <c r="E1063" s="41" t="s">
        <v>3317</v>
      </c>
      <c r="F1063" s="41" t="s">
        <v>3318</v>
      </c>
      <c r="G1063" s="41" t="s">
        <v>3359</v>
      </c>
      <c r="H1063" s="41" t="s">
        <v>3360</v>
      </c>
      <c r="I1063" s="43">
        <v>12</v>
      </c>
      <c r="J1063" s="44" t="str">
        <f>VLOOKUP(G1063,[1]硬件清单!$F:$F,1,0)</f>
        <v>ASG10002ED2CDAC72</v>
      </c>
      <c r="K1063" s="43"/>
      <c r="L1063" s="44"/>
      <c r="M1063" s="45" t="s">
        <v>3361</v>
      </c>
    </row>
    <row r="1064" ht="30" customHeight="1" spans="1:13">
      <c r="A1064" s="41">
        <f>IF(C1064="","",SUBTOTAL(103,$C$2:C1064))</f>
        <v>1055</v>
      </c>
      <c r="B1064" s="41">
        <v>936</v>
      </c>
      <c r="C1064" s="41">
        <v>17824</v>
      </c>
      <c r="D1064" s="41" t="s">
        <v>887</v>
      </c>
      <c r="E1064" s="41" t="s">
        <v>3317</v>
      </c>
      <c r="F1064" s="41" t="s">
        <v>3318</v>
      </c>
      <c r="G1064" s="41" t="s">
        <v>3362</v>
      </c>
      <c r="H1064" s="41" t="s">
        <v>3363</v>
      </c>
      <c r="I1064" s="43">
        <v>12</v>
      </c>
      <c r="J1064" s="44" t="str">
        <f>VLOOKUP(G1064,[1]硬件清单!$F:$F,1,0)</f>
        <v>ASG10002ED2CDAC73</v>
      </c>
      <c r="K1064" s="43"/>
      <c r="L1064" s="44"/>
      <c r="M1064" s="45" t="s">
        <v>3364</v>
      </c>
    </row>
    <row r="1065" ht="30" customHeight="1" spans="1:13">
      <c r="A1065" s="41">
        <f>IF(C1065="","",SUBTOTAL(103,$C$2:C1065))</f>
        <v>1056</v>
      </c>
      <c r="B1065" s="41">
        <v>937</v>
      </c>
      <c r="C1065" s="41">
        <v>17829</v>
      </c>
      <c r="D1065" s="41" t="s">
        <v>887</v>
      </c>
      <c r="E1065" s="41" t="s">
        <v>3317</v>
      </c>
      <c r="F1065" s="41" t="s">
        <v>3318</v>
      </c>
      <c r="G1065" s="41" t="s">
        <v>3365</v>
      </c>
      <c r="H1065" s="41" t="s">
        <v>3366</v>
      </c>
      <c r="I1065" s="43">
        <v>12</v>
      </c>
      <c r="J1065" s="44" t="str">
        <f>VLOOKUP(G1065,[1]硬件清单!$F:$F,1,0)</f>
        <v>ASG10002ED29FBEB2</v>
      </c>
      <c r="K1065" s="43"/>
      <c r="L1065" s="44"/>
      <c r="M1065" s="45" t="s">
        <v>3367</v>
      </c>
    </row>
    <row r="1066" ht="30" customHeight="1" spans="1:13">
      <c r="A1066" s="41">
        <f>IF(C1066="","",SUBTOTAL(103,$C$2:C1066))</f>
        <v>1057</v>
      </c>
      <c r="B1066" s="41">
        <v>938</v>
      </c>
      <c r="C1066" s="41">
        <v>17830</v>
      </c>
      <c r="D1066" s="41" t="s">
        <v>887</v>
      </c>
      <c r="E1066" s="41" t="s">
        <v>3317</v>
      </c>
      <c r="F1066" s="41" t="s">
        <v>3318</v>
      </c>
      <c r="G1066" s="41" t="s">
        <v>3368</v>
      </c>
      <c r="H1066" s="41" t="s">
        <v>3369</v>
      </c>
      <c r="I1066" s="43">
        <v>12</v>
      </c>
      <c r="J1066" s="44" t="str">
        <f>VLOOKUP(G1066,[1]硬件清单!$F:$F,1,0)</f>
        <v>ASG10002ED29FBEAA</v>
      </c>
      <c r="K1066" s="43"/>
      <c r="L1066" s="44"/>
      <c r="M1066" s="45" t="s">
        <v>3370</v>
      </c>
    </row>
    <row r="1067" ht="30" customHeight="1" spans="1:13">
      <c r="A1067" s="41">
        <f>IF(C1067="","",SUBTOTAL(103,$C$2:C1067))</f>
        <v>1058</v>
      </c>
      <c r="B1067" s="41">
        <v>939</v>
      </c>
      <c r="C1067" s="41">
        <v>17186</v>
      </c>
      <c r="D1067" s="41" t="s">
        <v>19</v>
      </c>
      <c r="E1067" s="41" t="s">
        <v>20</v>
      </c>
      <c r="F1067" s="41" t="s">
        <v>3328</v>
      </c>
      <c r="G1067" s="41" t="s">
        <v>3371</v>
      </c>
      <c r="H1067" s="41" t="s">
        <v>3372</v>
      </c>
      <c r="I1067" s="43">
        <v>12</v>
      </c>
      <c r="J1067" s="44" t="str">
        <f>VLOOKUP(G1067,[1]硬件清单!$F:$F,1,0)</f>
        <v>210235A04QH098000038</v>
      </c>
      <c r="K1067" s="43"/>
      <c r="L1067" s="44"/>
      <c r="M1067" s="45" t="s">
        <v>3373</v>
      </c>
    </row>
    <row r="1068" ht="30" customHeight="1" spans="1:13">
      <c r="A1068" s="41">
        <f>IF(C1068="","",SUBTOTAL(103,$C$2:C1068))</f>
        <v>1059</v>
      </c>
      <c r="B1068" s="41">
        <v>940</v>
      </c>
      <c r="C1068" s="41">
        <v>17493</v>
      </c>
      <c r="D1068" s="41" t="s">
        <v>19</v>
      </c>
      <c r="E1068" s="41" t="s">
        <v>60</v>
      </c>
      <c r="F1068" s="41" t="s">
        <v>1023</v>
      </c>
      <c r="G1068" s="41" t="s">
        <v>3374</v>
      </c>
      <c r="H1068" s="41" t="s">
        <v>3375</v>
      </c>
      <c r="I1068" s="43">
        <v>12</v>
      </c>
      <c r="J1068" s="44" t="str">
        <f>VLOOKUP(G1068,[1]硬件清单!$F:$F,1,0)</f>
        <v>LVS2000E2ED2BDCDF8</v>
      </c>
      <c r="K1068" s="43"/>
      <c r="L1068" s="44"/>
      <c r="M1068" s="45" t="s">
        <v>3376</v>
      </c>
    </row>
    <row r="1069" ht="30" customHeight="1" spans="1:13">
      <c r="A1069" s="41">
        <f>IF(C1069="","",SUBTOTAL(103,$C$2:C1069))</f>
        <v>1060</v>
      </c>
      <c r="B1069" s="41">
        <v>941</v>
      </c>
      <c r="C1069" s="41">
        <v>17490</v>
      </c>
      <c r="D1069" s="41" t="s">
        <v>19</v>
      </c>
      <c r="E1069" s="41" t="s">
        <v>60</v>
      </c>
      <c r="F1069" s="41" t="s">
        <v>1023</v>
      </c>
      <c r="G1069" s="41" t="s">
        <v>3377</v>
      </c>
      <c r="H1069" s="41" t="s">
        <v>3378</v>
      </c>
      <c r="I1069" s="43">
        <v>12</v>
      </c>
      <c r="J1069" s="44" t="str">
        <f>VLOOKUP(G1069,[1]硬件清单!$F:$F,1,0)</f>
        <v>LVS2000E22ED2BDCDF1</v>
      </c>
      <c r="K1069" s="43"/>
      <c r="L1069" s="44"/>
      <c r="M1069" s="45" t="s">
        <v>3379</v>
      </c>
    </row>
    <row r="1070" ht="30" customHeight="1" spans="1:13">
      <c r="A1070" s="41">
        <f>IF(C1070="","",SUBTOTAL(103,$C$2:C1070))</f>
        <v>1061</v>
      </c>
      <c r="B1070" s="41">
        <v>942</v>
      </c>
      <c r="C1070" s="41">
        <v>17187</v>
      </c>
      <c r="D1070" s="41" t="s">
        <v>19</v>
      </c>
      <c r="E1070" s="41" t="s">
        <v>20</v>
      </c>
      <c r="F1070" s="41" t="s">
        <v>3328</v>
      </c>
      <c r="G1070" s="41" t="s">
        <v>3380</v>
      </c>
      <c r="H1070" s="41" t="s">
        <v>3381</v>
      </c>
      <c r="I1070" s="43">
        <v>12</v>
      </c>
      <c r="J1070" s="44" t="str">
        <f>VLOOKUP(G1070,[1]硬件清单!$F:$F,1,0)</f>
        <v>210235A04QH098000151</v>
      </c>
      <c r="K1070" s="43"/>
      <c r="L1070" s="44"/>
      <c r="M1070" s="45" t="s">
        <v>3382</v>
      </c>
    </row>
    <row r="1071" ht="30" customHeight="1" spans="1:13">
      <c r="A1071" s="41">
        <f>IF(C1071="","",SUBTOTAL(103,$C$2:C1071))</f>
        <v>1062</v>
      </c>
      <c r="B1071" s="41">
        <v>943</v>
      </c>
      <c r="C1071" s="41">
        <v>15794</v>
      </c>
      <c r="D1071" s="41" t="s">
        <v>45</v>
      </c>
      <c r="E1071" s="41" t="s">
        <v>1298</v>
      </c>
      <c r="F1071" s="41" t="s">
        <v>3341</v>
      </c>
      <c r="G1071" s="41" t="s">
        <v>3383</v>
      </c>
      <c r="H1071" s="41" t="s">
        <v>3384</v>
      </c>
      <c r="I1071" s="43">
        <v>12</v>
      </c>
      <c r="J1071" s="44" t="str">
        <f>VLOOKUP(G1071,[1]硬件清单!$F:$F,1,0)</f>
        <v>99H5768</v>
      </c>
      <c r="K1071" s="43"/>
      <c r="L1071" s="44"/>
      <c r="M1071" s="45" t="s">
        <v>3385</v>
      </c>
    </row>
    <row r="1072" ht="30" customHeight="1" spans="1:13">
      <c r="A1072" s="41">
        <f>IF(C1072="","",SUBTOTAL(103,$C$2:C1072))</f>
        <v>1063</v>
      </c>
      <c r="B1072" s="41">
        <v>944</v>
      </c>
      <c r="C1072" s="41">
        <v>15793</v>
      </c>
      <c r="D1072" s="41" t="s">
        <v>45</v>
      </c>
      <c r="E1072" s="41" t="s">
        <v>1298</v>
      </c>
      <c r="F1072" s="41" t="s">
        <v>3341</v>
      </c>
      <c r="G1072" s="41" t="s">
        <v>3386</v>
      </c>
      <c r="H1072" s="41" t="s">
        <v>3387</v>
      </c>
      <c r="I1072" s="43">
        <v>12</v>
      </c>
      <c r="J1072" s="44" t="str">
        <f>VLOOKUP(G1072,[1]硬件清单!$F:$F,1,0)</f>
        <v>99H5772</v>
      </c>
      <c r="K1072" s="43"/>
      <c r="L1072" s="44"/>
      <c r="M1072" s="45" t="s">
        <v>3388</v>
      </c>
    </row>
    <row r="1073" ht="30" customHeight="1" spans="1:13">
      <c r="A1073" s="41">
        <f>IF(C1073="","",SUBTOTAL(103,$C$2:C1073))</f>
        <v>1064</v>
      </c>
      <c r="B1073" s="41">
        <v>945</v>
      </c>
      <c r="C1073" s="41">
        <v>15790</v>
      </c>
      <c r="D1073" s="41" t="s">
        <v>45</v>
      </c>
      <c r="E1073" s="41" t="s">
        <v>1298</v>
      </c>
      <c r="F1073" s="41" t="s">
        <v>3213</v>
      </c>
      <c r="G1073" s="41" t="s">
        <v>3389</v>
      </c>
      <c r="H1073" s="41" t="s">
        <v>3390</v>
      </c>
      <c r="I1073" s="43">
        <v>12</v>
      </c>
      <c r="J1073" s="44" t="str">
        <f>VLOOKUP(G1073,[1]硬件清单!$F:$F,1,0)</f>
        <v>99H5756</v>
      </c>
      <c r="K1073" s="43"/>
      <c r="L1073" s="44"/>
      <c r="M1073" s="45" t="s">
        <v>3391</v>
      </c>
    </row>
    <row r="1074" ht="30" customHeight="1" spans="1:13">
      <c r="A1074" s="41">
        <f>IF(C1074="","",SUBTOTAL(103,$C$2:C1074))</f>
        <v>1065</v>
      </c>
      <c r="B1074" s="41">
        <v>946</v>
      </c>
      <c r="C1074" s="41">
        <v>15789</v>
      </c>
      <c r="D1074" s="41" t="s">
        <v>45</v>
      </c>
      <c r="E1074" s="41" t="s">
        <v>1298</v>
      </c>
      <c r="F1074" s="41" t="s">
        <v>3213</v>
      </c>
      <c r="G1074" s="41" t="s">
        <v>3392</v>
      </c>
      <c r="H1074" s="41" t="s">
        <v>3393</v>
      </c>
      <c r="I1074" s="43">
        <v>12</v>
      </c>
      <c r="J1074" s="44" t="str">
        <f>VLOOKUP(G1074,[1]硬件清单!$F:$F,1,0)</f>
        <v>99H5765</v>
      </c>
      <c r="K1074" s="43"/>
      <c r="L1074" s="44"/>
      <c r="M1074" s="45" t="s">
        <v>3394</v>
      </c>
    </row>
    <row r="1075" ht="30" customHeight="1" spans="1:13">
      <c r="A1075" s="41">
        <f>IF(C1075="","",SUBTOTAL(103,$C$2:C1075))</f>
        <v>1066</v>
      </c>
      <c r="B1075" s="41">
        <v>947</v>
      </c>
      <c r="C1075" s="46">
        <v>17489</v>
      </c>
      <c r="D1075" s="46" t="s">
        <v>19</v>
      </c>
      <c r="E1075" s="46" t="s">
        <v>60</v>
      </c>
      <c r="F1075" s="46" t="s">
        <v>1023</v>
      </c>
      <c r="G1075" s="41" t="s">
        <v>3395</v>
      </c>
      <c r="H1075" s="41" t="s">
        <v>3396</v>
      </c>
      <c r="I1075" s="43">
        <v>12</v>
      </c>
      <c r="J1075" s="44" t="str">
        <f>VLOOKUP(G1075,[1]硬件清单!$F:$F,1,0)</f>
        <v>LVS2000E22ED2BDCDF2</v>
      </c>
      <c r="K1075" s="43"/>
      <c r="L1075" s="44"/>
      <c r="M1075" s="45" t="s">
        <v>3397</v>
      </c>
    </row>
    <row r="1076" ht="30" customHeight="1" spans="1:13">
      <c r="A1076" s="41">
        <f>IF(C1076="","",SUBTOTAL(103,$C$2:C1076))</f>
        <v>1067</v>
      </c>
      <c r="B1076" s="41">
        <v>948</v>
      </c>
      <c r="C1076" s="41">
        <v>17188</v>
      </c>
      <c r="D1076" s="41" t="s">
        <v>19</v>
      </c>
      <c r="E1076" s="41" t="s">
        <v>20</v>
      </c>
      <c r="F1076" s="41" t="s">
        <v>3328</v>
      </c>
      <c r="G1076" s="41" t="s">
        <v>3398</v>
      </c>
      <c r="H1076" s="41" t="s">
        <v>3399</v>
      </c>
      <c r="I1076" s="43">
        <v>12</v>
      </c>
      <c r="J1076" s="44" t="str">
        <f>VLOOKUP(G1076,[1]硬件清单!$F:$F,1,0)</f>
        <v>210235A04QH098000147</v>
      </c>
      <c r="K1076" s="43"/>
      <c r="L1076" s="44"/>
      <c r="M1076" s="45" t="s">
        <v>3400</v>
      </c>
    </row>
    <row r="1077" ht="30" customHeight="1" spans="1:13">
      <c r="A1077" s="41">
        <f>IF(C1077="","",SUBTOTAL(103,$C$2:C1077))</f>
        <v>1068</v>
      </c>
      <c r="B1077" s="41">
        <v>949</v>
      </c>
      <c r="C1077" s="41">
        <v>17189</v>
      </c>
      <c r="D1077" s="41" t="s">
        <v>19</v>
      </c>
      <c r="E1077" s="41" t="s">
        <v>20</v>
      </c>
      <c r="F1077" s="41" t="s">
        <v>3328</v>
      </c>
      <c r="G1077" s="41" t="s">
        <v>3401</v>
      </c>
      <c r="H1077" s="41" t="s">
        <v>3402</v>
      </c>
      <c r="I1077" s="43">
        <v>12</v>
      </c>
      <c r="J1077" s="44" t="str">
        <f>VLOOKUP(G1077,[1]硬件清单!$F:$F,1,0)</f>
        <v>210235A04QH098000325</v>
      </c>
      <c r="K1077" s="43"/>
      <c r="L1077" s="44"/>
      <c r="M1077" s="45" t="s">
        <v>3403</v>
      </c>
    </row>
    <row r="1078" ht="30" customHeight="1" spans="1:13">
      <c r="A1078" s="41">
        <f>IF(C1078="","",SUBTOTAL(103,$C$2:C1078))</f>
        <v>1069</v>
      </c>
      <c r="B1078" s="41">
        <v>950</v>
      </c>
      <c r="C1078" s="41">
        <v>17827</v>
      </c>
      <c r="D1078" s="41" t="s">
        <v>887</v>
      </c>
      <c r="E1078" s="41" t="s">
        <v>3317</v>
      </c>
      <c r="F1078" s="41" t="s">
        <v>3318</v>
      </c>
      <c r="G1078" s="41" t="s">
        <v>3404</v>
      </c>
      <c r="H1078" s="41" t="s">
        <v>3405</v>
      </c>
      <c r="I1078" s="43">
        <v>12</v>
      </c>
      <c r="J1078" s="44" t="str">
        <f>VLOOKUP(G1078,[1]硬件清单!$F:$F,1,0)</f>
        <v>ASG10002ED29FBEA5</v>
      </c>
      <c r="K1078" s="43"/>
      <c r="L1078" s="44"/>
      <c r="M1078" s="45" t="s">
        <v>3406</v>
      </c>
    </row>
    <row r="1079" ht="30" customHeight="1" spans="1:13">
      <c r="A1079" s="41">
        <f>IF(C1079="","",SUBTOTAL(103,$C$2:C1079))</f>
        <v>1070</v>
      </c>
      <c r="B1079" s="41">
        <v>951</v>
      </c>
      <c r="C1079" s="41">
        <v>17828</v>
      </c>
      <c r="D1079" s="41" t="s">
        <v>887</v>
      </c>
      <c r="E1079" s="41" t="s">
        <v>3317</v>
      </c>
      <c r="F1079" s="41" t="s">
        <v>3318</v>
      </c>
      <c r="G1079" s="41" t="s">
        <v>3407</v>
      </c>
      <c r="H1079" s="41" t="s">
        <v>3408</v>
      </c>
      <c r="I1079" s="43">
        <v>12</v>
      </c>
      <c r="J1079" s="44" t="str">
        <f>VLOOKUP(G1079,[1]硬件清单!$F:$F,1,0)</f>
        <v>ASG10002ED29FBEAB</v>
      </c>
      <c r="K1079" s="43"/>
      <c r="L1079" s="44"/>
      <c r="M1079" s="45" t="s">
        <v>3409</v>
      </c>
    </row>
    <row r="1080" ht="30" customHeight="1" spans="1:13">
      <c r="A1080" s="41">
        <f>IF(C1080="","",SUBTOTAL(103,$C$2:C1080))</f>
        <v>1071</v>
      </c>
      <c r="B1080" s="41">
        <v>952</v>
      </c>
      <c r="C1080" s="41">
        <v>16530</v>
      </c>
      <c r="D1080" s="41" t="s">
        <v>161</v>
      </c>
      <c r="E1080" s="41" t="s">
        <v>162</v>
      </c>
      <c r="F1080" s="41" t="s">
        <v>3410</v>
      </c>
      <c r="G1080" s="41" t="s">
        <v>3411</v>
      </c>
      <c r="H1080" s="41" t="s">
        <v>3412</v>
      </c>
      <c r="I1080" s="43">
        <v>12</v>
      </c>
      <c r="J1080" s="44" t="str">
        <f>VLOOKUP(G1080,[1]硬件清单!$F:$F,1,0)</f>
        <v>108723T</v>
      </c>
      <c r="K1080" s="43"/>
      <c r="L1080" s="44"/>
      <c r="M1080" s="45" t="s">
        <v>3413</v>
      </c>
    </row>
    <row r="1081" ht="30" customHeight="1" spans="1:13">
      <c r="A1081" s="41">
        <f>IF(C1081="","",SUBTOTAL(103,$C$2:C1081))</f>
        <v>1072</v>
      </c>
      <c r="B1081" s="41">
        <v>953</v>
      </c>
      <c r="C1081" s="41">
        <v>15795</v>
      </c>
      <c r="D1081" s="41" t="s">
        <v>45</v>
      </c>
      <c r="E1081" s="41" t="s">
        <v>1298</v>
      </c>
      <c r="F1081" s="41" t="s">
        <v>3414</v>
      </c>
      <c r="G1081" s="41" t="s">
        <v>3415</v>
      </c>
      <c r="H1081" s="41" t="s">
        <v>3416</v>
      </c>
      <c r="I1081" s="43">
        <v>12</v>
      </c>
      <c r="J1081" s="44" t="str">
        <f>VLOOKUP(G1081,[1]硬件清单!$F:$F,1,0)</f>
        <v>99B5739</v>
      </c>
      <c r="K1081" s="43"/>
      <c r="L1081" s="44"/>
      <c r="M1081" s="45" t="s">
        <v>3417</v>
      </c>
    </row>
    <row r="1082" ht="30" customHeight="1" spans="1:13">
      <c r="A1082" s="41">
        <f>IF(C1082="","",SUBTOTAL(103,$C$2:C1082))</f>
        <v>1073</v>
      </c>
      <c r="B1082" s="41">
        <v>954</v>
      </c>
      <c r="C1082" s="41">
        <v>16504</v>
      </c>
      <c r="D1082" s="41" t="s">
        <v>45</v>
      </c>
      <c r="E1082" s="41" t="s">
        <v>46</v>
      </c>
      <c r="F1082" s="41" t="s">
        <v>1055</v>
      </c>
      <c r="G1082" s="41" t="s">
        <v>3418</v>
      </c>
      <c r="H1082" s="41" t="s">
        <v>3419</v>
      </c>
      <c r="I1082" s="43">
        <v>12</v>
      </c>
      <c r="J1082" s="44" t="str">
        <f>VLOOKUP(G1082,[1]硬件清单!$F:$F,1,0)</f>
        <v>2ECD4385A0</v>
      </c>
      <c r="K1082" s="43"/>
      <c r="L1082" s="44"/>
      <c r="M1082" s="45" t="s">
        <v>3420</v>
      </c>
    </row>
    <row r="1083" ht="30" customHeight="1" spans="1:13">
      <c r="A1083" s="41">
        <f>IF(C1083="","",SUBTOTAL(103,$C$2:C1083))</f>
        <v>1074</v>
      </c>
      <c r="B1083" s="41">
        <v>955</v>
      </c>
      <c r="C1083" s="41">
        <v>16503</v>
      </c>
      <c r="D1083" s="41" t="s">
        <v>45</v>
      </c>
      <c r="E1083" s="41" t="s">
        <v>46</v>
      </c>
      <c r="F1083" s="41" t="s">
        <v>1055</v>
      </c>
      <c r="G1083" s="41" t="s">
        <v>3421</v>
      </c>
      <c r="H1083" s="41" t="s">
        <v>3422</v>
      </c>
      <c r="I1083" s="43">
        <v>12</v>
      </c>
      <c r="J1083" s="44" t="str">
        <f>VLOOKUP(G1083,[1]硬件清单!$F:$F,1,0)</f>
        <v>2ECD43859A</v>
      </c>
      <c r="K1083" s="43"/>
      <c r="L1083" s="44"/>
      <c r="M1083" s="45" t="s">
        <v>3423</v>
      </c>
    </row>
    <row r="1084" ht="30" customHeight="1" spans="1:13">
      <c r="A1084" s="41">
        <f>IF(C1084="","",SUBTOTAL(103,$C$2:C1084))</f>
        <v>1075</v>
      </c>
      <c r="B1084" s="41">
        <v>956</v>
      </c>
      <c r="C1084" s="41">
        <v>17492</v>
      </c>
      <c r="D1084" s="41" t="s">
        <v>19</v>
      </c>
      <c r="E1084" s="41" t="s">
        <v>60</v>
      </c>
      <c r="F1084" s="41" t="s">
        <v>1023</v>
      </c>
      <c r="G1084" s="41" t="s">
        <v>3424</v>
      </c>
      <c r="H1084" s="41" t="s">
        <v>3425</v>
      </c>
      <c r="I1084" s="43">
        <v>12</v>
      </c>
      <c r="J1084" s="44" t="str">
        <f>VLOOKUP(G1084,[1]硬件清单!$F:$F,1,0)</f>
        <v>LVS2000E2ED2DBCDF4</v>
      </c>
      <c r="K1084" s="43"/>
      <c r="L1084" s="44"/>
      <c r="M1084" s="45" t="s">
        <v>3426</v>
      </c>
    </row>
    <row r="1085" ht="30" customHeight="1" spans="1:13">
      <c r="A1085" s="41">
        <f>IF(C1085="","",SUBTOTAL(103,$C$2:C1085))</f>
        <v>1076</v>
      </c>
      <c r="B1085" s="41">
        <v>957</v>
      </c>
      <c r="C1085" s="41">
        <v>17491</v>
      </c>
      <c r="D1085" s="41" t="s">
        <v>19</v>
      </c>
      <c r="E1085" s="41" t="s">
        <v>60</v>
      </c>
      <c r="F1085" s="41" t="s">
        <v>1023</v>
      </c>
      <c r="G1085" s="41" t="s">
        <v>3427</v>
      </c>
      <c r="H1085" s="41" t="s">
        <v>3428</v>
      </c>
      <c r="I1085" s="43">
        <v>12</v>
      </c>
      <c r="J1085" s="44" t="str">
        <f>VLOOKUP(G1085,[1]硬件清单!$F:$F,1,0)</f>
        <v>LVS2000E2ED2DBCDF7</v>
      </c>
      <c r="K1085" s="43"/>
      <c r="L1085" s="44"/>
      <c r="M1085" s="45" t="s">
        <v>3429</v>
      </c>
    </row>
    <row r="1086" ht="30" customHeight="1" spans="1:13">
      <c r="A1086" s="41">
        <f>IF(C1086="","",SUBTOTAL(103,$C$2:C1086))</f>
        <v>1077</v>
      </c>
      <c r="B1086" s="41">
        <v>959</v>
      </c>
      <c r="C1086" s="41">
        <v>17190</v>
      </c>
      <c r="D1086" s="41" t="s">
        <v>19</v>
      </c>
      <c r="E1086" s="41" t="s">
        <v>20</v>
      </c>
      <c r="F1086" s="41" t="s">
        <v>3328</v>
      </c>
      <c r="G1086" s="41" t="s">
        <v>3430</v>
      </c>
      <c r="H1086" s="41" t="s">
        <v>3431</v>
      </c>
      <c r="I1086" s="43">
        <v>12</v>
      </c>
      <c r="J1086" s="44" t="str">
        <f>VLOOKUP(G1086,[1]硬件清单!$F:$F,1,0)</f>
        <v>210235A04QH098000079</v>
      </c>
      <c r="K1086" s="43"/>
      <c r="L1086" s="44"/>
      <c r="M1086" s="45" t="s">
        <v>3432</v>
      </c>
    </row>
    <row r="1087" ht="30" customHeight="1" spans="1:13">
      <c r="A1087" s="41">
        <f>IF(C1087="","",SUBTOTAL(103,$C$2:C1087))</f>
        <v>1078</v>
      </c>
      <c r="B1087" s="41">
        <v>960</v>
      </c>
      <c r="C1087" s="41">
        <v>16529</v>
      </c>
      <c r="D1087" s="41" t="s">
        <v>161</v>
      </c>
      <c r="E1087" s="41" t="s">
        <v>162</v>
      </c>
      <c r="F1087" s="41" t="s">
        <v>3433</v>
      </c>
      <c r="G1087" s="41" t="s">
        <v>3434</v>
      </c>
      <c r="H1087" s="41" t="s">
        <v>3435</v>
      </c>
      <c r="I1087" s="43">
        <v>12</v>
      </c>
      <c r="J1087" s="44" t="str">
        <f>VLOOKUP(G1087,[1]硬件清单!$F:$F,1,0)</f>
        <v>78K0P1Y</v>
      </c>
      <c r="K1087" s="43"/>
      <c r="L1087" s="44"/>
      <c r="M1087" s="45" t="s">
        <v>3436</v>
      </c>
    </row>
    <row r="1088" ht="30" customHeight="1" spans="1:13">
      <c r="A1088" s="41">
        <f>IF(C1088="","",SUBTOTAL(103,$C$2:C1088))</f>
        <v>1079</v>
      </c>
      <c r="B1088" s="41">
        <v>961</v>
      </c>
      <c r="C1088" s="41">
        <v>16531</v>
      </c>
      <c r="D1088" s="41" t="s">
        <v>161</v>
      </c>
      <c r="E1088" s="41" t="s">
        <v>162</v>
      </c>
      <c r="F1088" s="41" t="s">
        <v>3410</v>
      </c>
      <c r="G1088" s="41" t="s">
        <v>3437</v>
      </c>
      <c r="H1088" s="41" t="s">
        <v>3438</v>
      </c>
      <c r="I1088" s="43">
        <v>12</v>
      </c>
      <c r="J1088" s="44" t="str">
        <f>VLOOKUP(G1088,[1]硬件清单!$F:$F,1,0)</f>
        <v>108719H</v>
      </c>
      <c r="K1088" s="43"/>
      <c r="L1088" s="44"/>
      <c r="M1088" s="45" t="s">
        <v>3439</v>
      </c>
    </row>
    <row r="1089" ht="30" customHeight="1" spans="1:13">
      <c r="A1089" s="41">
        <f>IF(C1089="","",SUBTOTAL(103,$C$2:C1089))</f>
        <v>1080</v>
      </c>
      <c r="B1089" s="41">
        <v>962</v>
      </c>
      <c r="C1089" s="41">
        <v>15796</v>
      </c>
      <c r="D1089" s="41" t="s">
        <v>45</v>
      </c>
      <c r="E1089" s="41" t="s">
        <v>1298</v>
      </c>
      <c r="F1089" s="41" t="s">
        <v>3414</v>
      </c>
      <c r="G1089" s="41" t="s">
        <v>3440</v>
      </c>
      <c r="H1089" s="41" t="s">
        <v>3441</v>
      </c>
      <c r="I1089" s="43">
        <v>12</v>
      </c>
      <c r="J1089" s="44" t="str">
        <f>VLOOKUP(G1089,[1]硬件清单!$F:$F,1,0)</f>
        <v>99B5742</v>
      </c>
      <c r="K1089" s="43"/>
      <c r="L1089" s="44"/>
      <c r="M1089" s="45" t="s">
        <v>3442</v>
      </c>
    </row>
    <row r="1090" ht="30" customHeight="1" spans="1:13">
      <c r="A1090" s="41">
        <f>IF(C1090="","",SUBTOTAL(103,$C$2:C1090))</f>
        <v>1081</v>
      </c>
      <c r="B1090" s="41">
        <v>963</v>
      </c>
      <c r="C1090" s="41">
        <v>7766</v>
      </c>
      <c r="D1090" s="41" t="s">
        <v>65</v>
      </c>
      <c r="E1090" s="41" t="s">
        <v>901</v>
      </c>
      <c r="F1090" s="41" t="s">
        <v>3443</v>
      </c>
      <c r="G1090" s="41" t="s">
        <v>3444</v>
      </c>
      <c r="H1090" s="41" t="s">
        <v>3445</v>
      </c>
      <c r="I1090" s="43">
        <v>12</v>
      </c>
      <c r="J1090" s="44" t="str">
        <f>VLOOKUP(G1090,[1]硬件清单!$F:$F,1,0)</f>
        <v>1-5-7</v>
      </c>
      <c r="K1090" s="43"/>
      <c r="L1090" s="44"/>
      <c r="M1090" s="45" t="s">
        <v>3446</v>
      </c>
    </row>
    <row r="1091" ht="30" customHeight="1" spans="1:13">
      <c r="A1091" s="41">
        <f>IF(C1091="","",SUBTOTAL(103,$C$2:C1091))</f>
        <v>1082</v>
      </c>
      <c r="B1091" s="41">
        <v>964</v>
      </c>
      <c r="C1091" s="41">
        <v>7646</v>
      </c>
      <c r="D1091" s="41" t="s">
        <v>65</v>
      </c>
      <c r="E1091" s="41" t="s">
        <v>66</v>
      </c>
      <c r="F1091" s="41" t="s">
        <v>225</v>
      </c>
      <c r="G1091" s="41" t="s">
        <v>3447</v>
      </c>
      <c r="H1091" s="41" t="s">
        <v>3448</v>
      </c>
      <c r="I1091" s="43">
        <v>12</v>
      </c>
      <c r="J1091" s="44" t="str">
        <f>VLOOKUP(G1091,[1]硬件清单!$F:$F,1,0)</f>
        <v>YD-AFW2000-12EDD7CBE1</v>
      </c>
      <c r="K1091" s="43"/>
      <c r="L1091" s="44"/>
      <c r="M1091" s="45" t="s">
        <v>3449</v>
      </c>
    </row>
    <row r="1092" ht="30" customHeight="1" spans="1:13">
      <c r="A1092" s="41">
        <f>IF(C1092="","",SUBTOTAL(103,$C$2:C1092))</f>
        <v>1083</v>
      </c>
      <c r="B1092" s="41">
        <v>965</v>
      </c>
      <c r="C1092" s="41">
        <v>7657</v>
      </c>
      <c r="D1092" s="41" t="s">
        <v>65</v>
      </c>
      <c r="E1092" s="41" t="s">
        <v>304</v>
      </c>
      <c r="F1092" s="41" t="s">
        <v>221</v>
      </c>
      <c r="G1092" s="41" t="s">
        <v>3450</v>
      </c>
      <c r="H1092" s="41" t="s">
        <v>3451</v>
      </c>
      <c r="I1092" s="43">
        <v>12</v>
      </c>
      <c r="J1092" s="44" t="str">
        <f>VLOOKUP(G1092,[1]硬件清单!$F:$F,1,0)</f>
        <v>ASG1000-III2EF690CB61</v>
      </c>
      <c r="K1092" s="43"/>
      <c r="L1092" s="44"/>
      <c r="M1092" s="45" t="s">
        <v>3452</v>
      </c>
    </row>
    <row r="1093" ht="30" customHeight="1" spans="1:13">
      <c r="A1093" s="41">
        <f>IF(C1093="","",SUBTOTAL(103,$C$2:C1093))</f>
        <v>1084</v>
      </c>
      <c r="B1093" s="41">
        <v>966</v>
      </c>
      <c r="C1093" s="46">
        <v>17579</v>
      </c>
      <c r="D1093" s="46" t="s">
        <v>19</v>
      </c>
      <c r="E1093" s="46" t="s">
        <v>34</v>
      </c>
      <c r="F1093" s="46" t="s">
        <v>3453</v>
      </c>
      <c r="G1093" s="41" t="s">
        <v>3454</v>
      </c>
      <c r="H1093" s="41" t="s">
        <v>3455</v>
      </c>
      <c r="I1093" s="43">
        <v>12</v>
      </c>
      <c r="J1093" s="44" t="str">
        <f>VLOOKUP(G1093,[1]硬件清单!$F:$F,1,0)</f>
        <v>ASG10002ED2EB1F92</v>
      </c>
      <c r="K1093" s="43"/>
      <c r="L1093" s="44"/>
      <c r="M1093" s="45" t="s">
        <v>3456</v>
      </c>
    </row>
    <row r="1094" ht="30" customHeight="1" spans="1:13">
      <c r="A1094" s="41">
        <f>IF(C1094="","",SUBTOTAL(103,$C$2:C1094))</f>
        <v>1085</v>
      </c>
      <c r="B1094" s="41">
        <v>967</v>
      </c>
      <c r="C1094" s="41">
        <v>7763</v>
      </c>
      <c r="D1094" s="41" t="s">
        <v>65</v>
      </c>
      <c r="E1094" s="41" t="s">
        <v>901</v>
      </c>
      <c r="F1094" s="41" t="s">
        <v>3457</v>
      </c>
      <c r="G1094" s="41" t="s">
        <v>3458</v>
      </c>
      <c r="H1094" s="41" t="s">
        <v>3459</v>
      </c>
      <c r="I1094" s="43">
        <v>12</v>
      </c>
      <c r="J1094" s="44" t="str">
        <f>VLOOKUP(G1094,[1]硬件清单!$F:$F,1,0)</f>
        <v>YDSGW3000B4B07F9360</v>
      </c>
      <c r="K1094" s="43"/>
      <c r="L1094" s="44"/>
      <c r="M1094" s="45" t="s">
        <v>3460</v>
      </c>
    </row>
    <row r="1095" ht="30" customHeight="1" spans="1:13">
      <c r="A1095" s="41">
        <f>IF(C1095="","",SUBTOTAL(103,$C$2:C1095))</f>
        <v>1086</v>
      </c>
      <c r="B1095" s="41">
        <v>968</v>
      </c>
      <c r="C1095" s="41">
        <v>7764</v>
      </c>
      <c r="D1095" s="41" t="s">
        <v>65</v>
      </c>
      <c r="E1095" s="41" t="s">
        <v>901</v>
      </c>
      <c r="F1095" s="41" t="s">
        <v>3461</v>
      </c>
      <c r="G1095" s="41" t="s">
        <v>3462</v>
      </c>
      <c r="H1095" s="41" t="s">
        <v>3463</v>
      </c>
      <c r="I1095" s="43">
        <v>12</v>
      </c>
      <c r="J1095" s="44" t="str">
        <f>VLOOKUP(G1095,[1]硬件清单!$F:$F,1,0)</f>
        <v>210235A0D1H149000065</v>
      </c>
      <c r="K1095" s="43"/>
      <c r="L1095" s="44"/>
      <c r="M1095" s="45" t="s">
        <v>3464</v>
      </c>
    </row>
    <row r="1096" ht="30" customHeight="1" spans="1:13">
      <c r="A1096" s="41">
        <f>IF(C1096="","",SUBTOTAL(103,$C$2:C1096))</f>
        <v>1087</v>
      </c>
      <c r="B1096" s="41">
        <v>969</v>
      </c>
      <c r="C1096" s="41">
        <v>7765</v>
      </c>
      <c r="D1096" s="41" t="s">
        <v>65</v>
      </c>
      <c r="E1096" s="41" t="s">
        <v>901</v>
      </c>
      <c r="F1096" s="41" t="s">
        <v>3461</v>
      </c>
      <c r="G1096" s="41" t="s">
        <v>3465</v>
      </c>
      <c r="H1096" s="41" t="s">
        <v>3466</v>
      </c>
      <c r="I1096" s="43">
        <v>12</v>
      </c>
      <c r="J1096" s="44" t="str">
        <f>VLOOKUP(G1096,[1]硬件清单!$F:$F,1,0)</f>
        <v>210235A0D1H14A000175</v>
      </c>
      <c r="K1096" s="43"/>
      <c r="L1096" s="44"/>
      <c r="M1096" s="45" t="s">
        <v>3467</v>
      </c>
    </row>
    <row r="1097" ht="30" customHeight="1" spans="1:13">
      <c r="A1097" s="41">
        <f>IF(C1097="","",SUBTOTAL(103,$C$2:C1097))</f>
        <v>1088</v>
      </c>
      <c r="B1097" s="41">
        <v>970</v>
      </c>
      <c r="C1097" s="41">
        <v>7761</v>
      </c>
      <c r="D1097" s="41" t="s">
        <v>65</v>
      </c>
      <c r="E1097" s="41" t="s">
        <v>901</v>
      </c>
      <c r="F1097" s="41" t="s">
        <v>398</v>
      </c>
      <c r="G1097" s="41" t="s">
        <v>3468</v>
      </c>
      <c r="H1097" s="41" t="s">
        <v>3469</v>
      </c>
      <c r="I1097" s="43">
        <v>12</v>
      </c>
      <c r="J1097" s="44" t="str">
        <f>VLOOKUP(G1097,[1]硬件清单!$F:$F,1,0)</f>
        <v>YD-NSDS3000B4B07F9361</v>
      </c>
      <c r="K1097" s="43"/>
      <c r="L1097" s="44"/>
      <c r="M1097" s="45" t="s">
        <v>3470</v>
      </c>
    </row>
    <row r="1098" ht="30" customHeight="1" spans="1:13">
      <c r="A1098" s="41">
        <f>IF(C1098="","",SUBTOTAL(103,$C$2:C1098))</f>
        <v>1089</v>
      </c>
      <c r="B1098" s="41">
        <v>971</v>
      </c>
      <c r="C1098" s="41">
        <v>7762</v>
      </c>
      <c r="D1098" s="41" t="s">
        <v>65</v>
      </c>
      <c r="E1098" s="41" t="s">
        <v>901</v>
      </c>
      <c r="F1098" s="41" t="s">
        <v>398</v>
      </c>
      <c r="G1098" s="41" t="s">
        <v>3471</v>
      </c>
      <c r="H1098" s="41" t="s">
        <v>3472</v>
      </c>
      <c r="I1098" s="43">
        <v>12</v>
      </c>
      <c r="J1098" s="44" t="str">
        <f>VLOOKUP(G1098,[1]硬件清单!$F:$F,1,0)</f>
        <v>YD-NSDS3000B4B07F9363</v>
      </c>
      <c r="K1098" s="43"/>
      <c r="L1098" s="44"/>
      <c r="M1098" s="45" t="s">
        <v>3473</v>
      </c>
    </row>
    <row r="1099" ht="30" customHeight="1" spans="1:13">
      <c r="A1099" s="41">
        <f>IF(C1099="","",SUBTOTAL(103,$C$2:C1099))</f>
        <v>1090</v>
      </c>
      <c r="B1099" s="41">
        <v>972</v>
      </c>
      <c r="C1099" s="41">
        <v>3545</v>
      </c>
      <c r="D1099" s="41" t="s">
        <v>19</v>
      </c>
      <c r="E1099" s="41" t="s">
        <v>60</v>
      </c>
      <c r="F1099" s="41" t="s">
        <v>3474</v>
      </c>
      <c r="G1099" s="41" t="s">
        <v>3475</v>
      </c>
      <c r="H1099" s="41" t="s">
        <v>3476</v>
      </c>
      <c r="I1099" s="43">
        <v>12</v>
      </c>
      <c r="J1099" s="44" t="str">
        <f>VLOOKUP(G1099,[1]硬件清单!$F:$F,1,0)</f>
        <v>41609101</v>
      </c>
      <c r="K1099" s="43"/>
      <c r="L1099" s="44"/>
      <c r="M1099" s="45" t="s">
        <v>3477</v>
      </c>
    </row>
    <row r="1100" ht="30" customHeight="1" spans="1:13">
      <c r="A1100" s="41">
        <f>IF(C1100="","",SUBTOTAL(103,$C$2:C1100))</f>
        <v>1091</v>
      </c>
      <c r="B1100" s="41">
        <v>973</v>
      </c>
      <c r="C1100" s="41">
        <v>3544</v>
      </c>
      <c r="D1100" s="41" t="s">
        <v>19</v>
      </c>
      <c r="E1100" s="41" t="s">
        <v>60</v>
      </c>
      <c r="F1100" s="41" t="s">
        <v>3474</v>
      </c>
      <c r="G1100" s="41" t="s">
        <v>3478</v>
      </c>
      <c r="H1100" s="41" t="s">
        <v>3479</v>
      </c>
      <c r="I1100" s="43">
        <v>12</v>
      </c>
      <c r="J1100" s="44" t="str">
        <f>VLOOKUP(G1100,[1]硬件清单!$F:$F,1,0)</f>
        <v>41609102</v>
      </c>
      <c r="K1100" s="43"/>
      <c r="L1100" s="44"/>
      <c r="M1100" s="45" t="s">
        <v>3480</v>
      </c>
    </row>
    <row r="1101" ht="30" customHeight="1" spans="1:13">
      <c r="A1101" s="41">
        <f>IF(C1101="","",SUBTOTAL(103,$C$2:C1101))</f>
        <v>1092</v>
      </c>
      <c r="B1101" s="41">
        <v>976</v>
      </c>
      <c r="C1101" s="46">
        <v>7729</v>
      </c>
      <c r="D1101" s="46" t="s">
        <v>65</v>
      </c>
      <c r="E1101" s="46" t="s">
        <v>220</v>
      </c>
      <c r="F1101" s="46" t="s">
        <v>3166</v>
      </c>
      <c r="G1101" s="41" t="s">
        <v>3481</v>
      </c>
      <c r="H1101" s="41" t="s">
        <v>3482</v>
      </c>
      <c r="I1101" s="43">
        <v>12</v>
      </c>
      <c r="J1101" s="44" t="str">
        <f>VLOOKUP(G1101,[1]硬件清单!$F:$F,1,0)</f>
        <v>YD-SC10002EE51B0993</v>
      </c>
      <c r="K1101" s="43"/>
      <c r="L1101" s="44"/>
      <c r="M1101" s="45" t="s">
        <v>3483</v>
      </c>
    </row>
    <row r="1102" ht="30" customHeight="1" spans="1:13">
      <c r="A1102" s="41">
        <f>IF(C1102="","",SUBTOTAL(103,$C$2:C1102))</f>
        <v>1093</v>
      </c>
      <c r="B1102" s="41">
        <v>977</v>
      </c>
      <c r="C1102" s="46">
        <v>7656</v>
      </c>
      <c r="D1102" s="46" t="s">
        <v>65</v>
      </c>
      <c r="E1102" s="46" t="s">
        <v>304</v>
      </c>
      <c r="F1102" s="46" t="s">
        <v>221</v>
      </c>
      <c r="G1102" s="41" t="s">
        <v>776</v>
      </c>
      <c r="H1102" s="41" t="s">
        <v>3484</v>
      </c>
      <c r="I1102" s="43">
        <v>12</v>
      </c>
      <c r="J1102" s="44" t="str">
        <f>VLOOKUP(G1102,[1]硬件清单!$F:$F,1,0)</f>
        <v>无</v>
      </c>
      <c r="K1102" s="43"/>
      <c r="L1102" s="44"/>
      <c r="M1102" s="45" t="s">
        <v>3485</v>
      </c>
    </row>
    <row r="1103" ht="30" customHeight="1" spans="1:13">
      <c r="A1103" s="41">
        <f>IF(C1103="","",SUBTOTAL(103,$C$2:C1103))</f>
        <v>1094</v>
      </c>
      <c r="B1103" s="41">
        <v>978</v>
      </c>
      <c r="C1103" s="41">
        <v>14181</v>
      </c>
      <c r="D1103" s="41" t="s">
        <v>65</v>
      </c>
      <c r="E1103" s="41" t="s">
        <v>901</v>
      </c>
      <c r="F1103" s="41" t="s">
        <v>3486</v>
      </c>
      <c r="G1103" s="41" t="s">
        <v>3487</v>
      </c>
      <c r="H1103" s="41" t="s">
        <v>3488</v>
      </c>
      <c r="I1103" s="43">
        <v>12</v>
      </c>
      <c r="J1103" s="44" t="str">
        <f>VLOOKUP(G1103,[1]硬件清单!$F:$F,1,0)</f>
        <v>F4CA32</v>
      </c>
      <c r="K1103" s="43"/>
      <c r="L1103" s="44"/>
      <c r="M1103" s="45" t="s">
        <v>3179</v>
      </c>
    </row>
    <row r="1104" ht="30" customHeight="1" spans="1:13">
      <c r="A1104" s="41">
        <f>IF(C1104="","",SUBTOTAL(103,$C$2:C1104))</f>
        <v>1095</v>
      </c>
      <c r="B1104" s="41">
        <v>979</v>
      </c>
      <c r="C1104" s="41">
        <v>14182</v>
      </c>
      <c r="D1104" s="41" t="s">
        <v>65</v>
      </c>
      <c r="E1104" s="41" t="s">
        <v>901</v>
      </c>
      <c r="F1104" s="41" t="s">
        <v>3489</v>
      </c>
      <c r="G1104" s="41" t="s">
        <v>3490</v>
      </c>
      <c r="H1104" s="41" t="s">
        <v>3491</v>
      </c>
      <c r="I1104" s="43">
        <v>12</v>
      </c>
      <c r="J1104" s="44" t="str">
        <f>VLOOKUP(G1104,[1]硬件清单!$F:$F,1,0)</f>
        <v>YD-KPKVMJ82EFOF4CA31</v>
      </c>
      <c r="K1104" s="43"/>
      <c r="L1104" s="44"/>
      <c r="M1104" s="45" t="s">
        <v>3182</v>
      </c>
    </row>
    <row r="1105" ht="30" customHeight="1" spans="1:13">
      <c r="A1105" s="41">
        <f>IF(C1105="","",SUBTOTAL(103,$C$2:C1105))</f>
        <v>1096</v>
      </c>
      <c r="B1105" s="41">
        <v>6438</v>
      </c>
      <c r="C1105" s="41">
        <v>13025</v>
      </c>
      <c r="D1105" s="41" t="s">
        <v>887</v>
      </c>
      <c r="E1105" s="41" t="s">
        <v>1429</v>
      </c>
      <c r="F1105" s="41" t="s">
        <v>2209</v>
      </c>
      <c r="G1105" s="41" t="s">
        <v>3492</v>
      </c>
      <c r="H1105" s="41" t="s">
        <v>3493</v>
      </c>
      <c r="I1105" s="43">
        <v>12</v>
      </c>
      <c r="J1105" s="44" t="str">
        <f>VLOOKUP(G1105,[1]硬件清单!$F:$F,1,0)</f>
        <v>210235A3SVH19B000004</v>
      </c>
      <c r="K1105" s="43"/>
      <c r="L1105" s="44"/>
      <c r="M1105" s="45" t="s">
        <v>3494</v>
      </c>
    </row>
    <row r="1106" ht="30" customHeight="1" spans="1:13">
      <c r="A1106" s="41">
        <f>IF(C1106="","",SUBTOTAL(103,$C$2:C1106))</f>
        <v>1097</v>
      </c>
      <c r="B1106" s="41">
        <v>6439</v>
      </c>
      <c r="C1106" s="41">
        <v>13026</v>
      </c>
      <c r="D1106" s="41" t="s">
        <v>887</v>
      </c>
      <c r="E1106" s="41" t="s">
        <v>1429</v>
      </c>
      <c r="F1106" s="41" t="s">
        <v>2209</v>
      </c>
      <c r="G1106" s="41" t="s">
        <v>3495</v>
      </c>
      <c r="H1106" s="41" t="s">
        <v>3496</v>
      </c>
      <c r="I1106" s="43">
        <v>12</v>
      </c>
      <c r="J1106" s="44" t="str">
        <f>VLOOKUP(G1106,[1]硬件清单!$F:$F,1,0)</f>
        <v>210235A3SVH19B000010</v>
      </c>
      <c r="K1106" s="43"/>
      <c r="L1106" s="44"/>
      <c r="M1106" s="45" t="s">
        <v>3497</v>
      </c>
    </row>
    <row r="1107" ht="30" customHeight="1" spans="1:13">
      <c r="A1107" s="41">
        <f>IF(C1107="","",SUBTOTAL(103,$C$2:C1107))</f>
        <v>1098</v>
      </c>
      <c r="B1107" s="41">
        <v>6440</v>
      </c>
      <c r="C1107" s="41">
        <v>13027</v>
      </c>
      <c r="D1107" s="41" t="s">
        <v>887</v>
      </c>
      <c r="E1107" s="41" t="s">
        <v>1429</v>
      </c>
      <c r="F1107" s="41" t="s">
        <v>2209</v>
      </c>
      <c r="G1107" s="41" t="s">
        <v>3498</v>
      </c>
      <c r="H1107" s="41" t="s">
        <v>3499</v>
      </c>
      <c r="I1107" s="43">
        <v>12</v>
      </c>
      <c r="J1107" s="44" t="str">
        <f>VLOOKUP(G1107,[1]硬件清单!$F:$F,1,0)</f>
        <v>210235A3SVH19B000006</v>
      </c>
      <c r="K1107" s="43"/>
      <c r="L1107" s="44"/>
      <c r="M1107" s="45" t="s">
        <v>3500</v>
      </c>
    </row>
    <row r="1108" ht="30" customHeight="1" spans="1:13">
      <c r="A1108" s="41">
        <f>IF(C1108="","",SUBTOTAL(103,$C$2:C1108))</f>
        <v>1099</v>
      </c>
      <c r="B1108" s="41">
        <v>6442</v>
      </c>
      <c r="C1108" s="41">
        <v>13015</v>
      </c>
      <c r="D1108" s="41" t="s">
        <v>887</v>
      </c>
      <c r="E1108" s="41" t="s">
        <v>1429</v>
      </c>
      <c r="F1108" s="41" t="s">
        <v>2209</v>
      </c>
      <c r="G1108" s="41" t="s">
        <v>3501</v>
      </c>
      <c r="H1108" s="41" t="s">
        <v>3502</v>
      </c>
      <c r="I1108" s="43">
        <v>12</v>
      </c>
      <c r="J1108" s="44" t="str">
        <f>VLOOKUP(G1108,[1]硬件清单!$F:$F,1,0)</f>
        <v>210235A3SVH19A000012</v>
      </c>
      <c r="K1108" s="43"/>
      <c r="L1108" s="44"/>
      <c r="M1108" s="45" t="s">
        <v>3503</v>
      </c>
    </row>
    <row r="1109" ht="30" customHeight="1" spans="1:13">
      <c r="A1109" s="41">
        <f>IF(C1109="","",SUBTOTAL(103,$C$2:C1109))</f>
        <v>1100</v>
      </c>
      <c r="B1109" s="41">
        <v>6443</v>
      </c>
      <c r="C1109" s="41">
        <v>13016</v>
      </c>
      <c r="D1109" s="41" t="s">
        <v>887</v>
      </c>
      <c r="E1109" s="41" t="s">
        <v>1429</v>
      </c>
      <c r="F1109" s="41" t="s">
        <v>2209</v>
      </c>
      <c r="G1109" s="41" t="s">
        <v>3504</v>
      </c>
      <c r="H1109" s="41" t="s">
        <v>3505</v>
      </c>
      <c r="I1109" s="43">
        <v>12</v>
      </c>
      <c r="J1109" s="44" t="str">
        <f>VLOOKUP(G1109,[1]硬件清单!$F:$F,1,0)</f>
        <v>210235A3SVH199000018</v>
      </c>
      <c r="K1109" s="43"/>
      <c r="L1109" s="44"/>
      <c r="M1109" s="45" t="s">
        <v>3506</v>
      </c>
    </row>
    <row r="1110" ht="30" customHeight="1" spans="1:13">
      <c r="A1110" s="41">
        <f>IF(C1110="","",SUBTOTAL(103,$C$2:C1110))</f>
        <v>1101</v>
      </c>
      <c r="B1110" s="41">
        <v>6444</v>
      </c>
      <c r="C1110" s="41">
        <v>13017</v>
      </c>
      <c r="D1110" s="41" t="s">
        <v>887</v>
      </c>
      <c r="E1110" s="41" t="s">
        <v>1429</v>
      </c>
      <c r="F1110" s="41" t="s">
        <v>2209</v>
      </c>
      <c r="G1110" s="41" t="s">
        <v>3507</v>
      </c>
      <c r="H1110" s="41" t="s">
        <v>3508</v>
      </c>
      <c r="I1110" s="43">
        <v>12</v>
      </c>
      <c r="J1110" s="44" t="str">
        <f>VLOOKUP(G1110,[1]硬件清单!$F:$F,1,0)</f>
        <v>210235A3SVH19B000007</v>
      </c>
      <c r="K1110" s="43"/>
      <c r="L1110" s="44"/>
      <c r="M1110" s="45" t="s">
        <v>3509</v>
      </c>
    </row>
    <row r="1111" ht="30" customHeight="1" spans="1:13">
      <c r="A1111" s="41">
        <f>IF(C1111="","",SUBTOTAL(103,$C$2:C1111))</f>
        <v>1102</v>
      </c>
      <c r="B1111" s="41">
        <v>6445</v>
      </c>
      <c r="C1111" s="41">
        <v>13018</v>
      </c>
      <c r="D1111" s="41" t="s">
        <v>887</v>
      </c>
      <c r="E1111" s="41" t="s">
        <v>1429</v>
      </c>
      <c r="F1111" s="41" t="s">
        <v>2209</v>
      </c>
      <c r="G1111" s="41" t="s">
        <v>3510</v>
      </c>
      <c r="H1111" s="41" t="s">
        <v>3511</v>
      </c>
      <c r="I1111" s="43">
        <v>12</v>
      </c>
      <c r="J1111" s="44" t="str">
        <f>VLOOKUP(G1111,[1]硬件清单!$F:$F,1,0)</f>
        <v>210235A3SVH19B000003</v>
      </c>
      <c r="K1111" s="43"/>
      <c r="L1111" s="44"/>
      <c r="M1111" s="45" t="s">
        <v>3512</v>
      </c>
    </row>
    <row r="1112" ht="30" customHeight="1" spans="1:13">
      <c r="A1112" s="41">
        <f>IF(C1112="","",SUBTOTAL(103,$C$2:C1112))</f>
        <v>1103</v>
      </c>
      <c r="B1112" s="41">
        <v>6446</v>
      </c>
      <c r="C1112" s="41">
        <v>13019</v>
      </c>
      <c r="D1112" s="41" t="s">
        <v>887</v>
      </c>
      <c r="E1112" s="41" t="s">
        <v>1429</v>
      </c>
      <c r="F1112" s="41" t="s">
        <v>2209</v>
      </c>
      <c r="G1112" s="41" t="s">
        <v>3513</v>
      </c>
      <c r="H1112" s="41" t="s">
        <v>3514</v>
      </c>
      <c r="I1112" s="43">
        <v>12</v>
      </c>
      <c r="J1112" s="44" t="str">
        <f>VLOOKUP(G1112,[1]硬件清单!$F:$F,1,0)</f>
        <v>210235A3SVH199000009</v>
      </c>
      <c r="K1112" s="43"/>
      <c r="L1112" s="44"/>
      <c r="M1112" s="45" t="s">
        <v>3515</v>
      </c>
    </row>
    <row r="1113" ht="30" customHeight="1" spans="1:13">
      <c r="A1113" s="41">
        <f>IF(C1113="","",SUBTOTAL(103,$C$2:C1113))</f>
        <v>1104</v>
      </c>
      <c r="B1113" s="41">
        <v>6447</v>
      </c>
      <c r="C1113" s="41">
        <v>13020</v>
      </c>
      <c r="D1113" s="41" t="s">
        <v>887</v>
      </c>
      <c r="E1113" s="41" t="s">
        <v>1429</v>
      </c>
      <c r="F1113" s="41" t="s">
        <v>2209</v>
      </c>
      <c r="G1113" s="41" t="s">
        <v>3516</v>
      </c>
      <c r="H1113" s="41" t="s">
        <v>3517</v>
      </c>
      <c r="I1113" s="43">
        <v>12</v>
      </c>
      <c r="J1113" s="44" t="str">
        <f>VLOOKUP(G1113,[1]硬件清单!$F:$F,1,0)</f>
        <v>210235A3SVH19A000002</v>
      </c>
      <c r="K1113" s="43"/>
      <c r="L1113" s="44"/>
      <c r="M1113" s="45" t="s">
        <v>3518</v>
      </c>
    </row>
    <row r="1114" ht="30" customHeight="1" spans="1:13">
      <c r="A1114" s="41">
        <f>IF(C1114="","",SUBTOTAL(103,$C$2:C1114))</f>
        <v>1105</v>
      </c>
      <c r="B1114" s="41">
        <v>6449</v>
      </c>
      <c r="C1114" s="41">
        <v>13022</v>
      </c>
      <c r="D1114" s="41" t="s">
        <v>887</v>
      </c>
      <c r="E1114" s="41" t="s">
        <v>1429</v>
      </c>
      <c r="F1114" s="41" t="s">
        <v>2209</v>
      </c>
      <c r="G1114" s="41" t="s">
        <v>3519</v>
      </c>
      <c r="H1114" s="41" t="s">
        <v>3520</v>
      </c>
      <c r="I1114" s="43">
        <v>12</v>
      </c>
      <c r="J1114" s="44" t="str">
        <f>VLOOKUP(G1114,[1]硬件清单!$F:$F,1,0)</f>
        <v>210235A3SVH19A000005</v>
      </c>
      <c r="K1114" s="43"/>
      <c r="L1114" s="44"/>
      <c r="M1114" s="45" t="s">
        <v>3521</v>
      </c>
    </row>
    <row r="1115" ht="30" customHeight="1" spans="1:13">
      <c r="A1115" s="41">
        <f>IF(C1115="","",SUBTOTAL(103,$C$2:C1115))</f>
        <v>1106</v>
      </c>
      <c r="B1115" s="41">
        <v>6450</v>
      </c>
      <c r="C1115" s="41">
        <v>13023</v>
      </c>
      <c r="D1115" s="41" t="s">
        <v>887</v>
      </c>
      <c r="E1115" s="41" t="s">
        <v>1429</v>
      </c>
      <c r="F1115" s="41" t="s">
        <v>2209</v>
      </c>
      <c r="G1115" s="41" t="s">
        <v>3522</v>
      </c>
      <c r="H1115" s="41" t="s">
        <v>3523</v>
      </c>
      <c r="I1115" s="43">
        <v>12</v>
      </c>
      <c r="J1115" s="44" t="str">
        <f>VLOOKUP(G1115,[1]硬件清单!$F:$F,1,0)</f>
        <v>210235A3SVH19B000001</v>
      </c>
      <c r="K1115" s="43"/>
      <c r="L1115" s="44"/>
      <c r="M1115" s="45" t="s">
        <v>3524</v>
      </c>
    </row>
    <row r="1116" ht="30" customHeight="1" spans="1:13">
      <c r="A1116" s="41">
        <f>IF(C1116="","",SUBTOTAL(103,$C$2:C1116))</f>
        <v>1107</v>
      </c>
      <c r="B1116" s="41">
        <v>6541</v>
      </c>
      <c r="C1116" s="46">
        <v>10689</v>
      </c>
      <c r="D1116" s="46" t="s">
        <v>19</v>
      </c>
      <c r="E1116" s="46" t="s">
        <v>20</v>
      </c>
      <c r="F1116" s="46" t="s">
        <v>3525</v>
      </c>
      <c r="G1116" s="41" t="s">
        <v>3526</v>
      </c>
      <c r="H1116" s="41" t="s">
        <v>3527</v>
      </c>
      <c r="I1116" s="43">
        <v>12</v>
      </c>
      <c r="J1116" s="44" t="str">
        <f>VLOOKUP(G1116,[1]硬件清单!$F:$F,1,0)</f>
        <v>2102350DLVDMGB000380</v>
      </c>
      <c r="K1116" s="43"/>
      <c r="L1116" s="44"/>
      <c r="M1116" s="45" t="s">
        <v>3528</v>
      </c>
    </row>
    <row r="1117" ht="30" customHeight="1" spans="1:13">
      <c r="A1117" s="41">
        <f>IF(C1117="","",SUBTOTAL(103,$C$2:C1117))</f>
        <v>1108</v>
      </c>
      <c r="B1117" s="41">
        <v>6542</v>
      </c>
      <c r="C1117" s="46">
        <v>10685</v>
      </c>
      <c r="D1117" s="46" t="s">
        <v>19</v>
      </c>
      <c r="E1117" s="46" t="s">
        <v>20</v>
      </c>
      <c r="F1117" s="46" t="s">
        <v>3525</v>
      </c>
      <c r="G1117" s="41" t="s">
        <v>3529</v>
      </c>
      <c r="H1117" s="41" t="s">
        <v>3530</v>
      </c>
      <c r="I1117" s="43">
        <v>12</v>
      </c>
      <c r="J1117" s="44" t="str">
        <f>VLOOKUP(G1117,[1]硬件清单!$F:$F,1,0)</f>
        <v>2102350DLVDMGB000364</v>
      </c>
      <c r="K1117" s="43"/>
      <c r="L1117" s="44"/>
      <c r="M1117" s="45" t="s">
        <v>3531</v>
      </c>
    </row>
    <row r="1118" ht="30" customHeight="1" spans="1:13">
      <c r="A1118" s="41">
        <f>IF(C1118="","",SUBTOTAL(103,$C$2:C1118))</f>
        <v>1109</v>
      </c>
      <c r="B1118" s="41">
        <v>5215</v>
      </c>
      <c r="C1118" s="41">
        <v>5</v>
      </c>
      <c r="D1118" s="41" t="s">
        <v>45</v>
      </c>
      <c r="E1118" s="41" t="s">
        <v>1298</v>
      </c>
      <c r="F1118" s="41" t="s">
        <v>2248</v>
      </c>
      <c r="G1118" s="41" t="s">
        <v>3532</v>
      </c>
      <c r="H1118" s="41" t="s">
        <v>3533</v>
      </c>
      <c r="I1118" s="43">
        <v>12</v>
      </c>
      <c r="J1118" s="44" t="str">
        <f>VLOOKUP(G1118,[1]硬件清单!$F:$F,1,0)</f>
        <v>210235A2CT620BF000C5</v>
      </c>
      <c r="K1118" s="44"/>
      <c r="L1118" s="44"/>
      <c r="M1118" s="45" t="s">
        <v>3534</v>
      </c>
    </row>
    <row r="1119" ht="30" customHeight="1" spans="1:13">
      <c r="A1119" s="41">
        <f>IF(C1119="","",SUBTOTAL(103,$C$2:C1119))</f>
        <v>1110</v>
      </c>
      <c r="B1119" s="41">
        <v>5216</v>
      </c>
      <c r="C1119" s="41">
        <v>6</v>
      </c>
      <c r="D1119" s="41" t="s">
        <v>45</v>
      </c>
      <c r="E1119" s="41" t="s">
        <v>1298</v>
      </c>
      <c r="F1119" s="41" t="s">
        <v>2248</v>
      </c>
      <c r="G1119" s="41" t="s">
        <v>3535</v>
      </c>
      <c r="H1119" s="41" t="s">
        <v>3536</v>
      </c>
      <c r="I1119" s="43">
        <v>12</v>
      </c>
      <c r="J1119" s="44" t="str">
        <f>VLOOKUP(G1119,[1]硬件清单!$F:$F,1,0)</f>
        <v>210235A2CT620BF000C4</v>
      </c>
      <c r="K1119" s="44"/>
      <c r="L1119" s="44"/>
      <c r="M1119" s="45" t="s">
        <v>3537</v>
      </c>
    </row>
    <row r="1120" ht="30" customHeight="1" spans="1:13">
      <c r="A1120" s="41">
        <f>IF(C1120="","",SUBTOTAL(103,$C$2:C1120))</f>
        <v>1111</v>
      </c>
      <c r="B1120" s="41">
        <v>5217</v>
      </c>
      <c r="C1120" s="41">
        <v>7</v>
      </c>
      <c r="D1120" s="41" t="s">
        <v>45</v>
      </c>
      <c r="E1120" s="41" t="s">
        <v>1298</v>
      </c>
      <c r="F1120" s="41" t="s">
        <v>2248</v>
      </c>
      <c r="G1120" s="41" t="s">
        <v>3538</v>
      </c>
      <c r="H1120" s="41" t="s">
        <v>3539</v>
      </c>
      <c r="I1120" s="43">
        <v>12</v>
      </c>
      <c r="J1120" s="44" t="str">
        <f>VLOOKUP(G1120,[1]硬件清单!$F:$F,1,0)</f>
        <v>210235A2CT620BF000C1</v>
      </c>
      <c r="K1120" s="44"/>
      <c r="L1120" s="44"/>
      <c r="M1120" s="45" t="s">
        <v>3540</v>
      </c>
    </row>
    <row r="1121" ht="30" customHeight="1" spans="1:13">
      <c r="A1121" s="41">
        <f>IF(C1121="","",SUBTOTAL(103,$C$2:C1121))</f>
        <v>1112</v>
      </c>
      <c r="B1121" s="41">
        <v>5218</v>
      </c>
      <c r="C1121" s="41">
        <v>8</v>
      </c>
      <c r="D1121" s="41" t="s">
        <v>45</v>
      </c>
      <c r="E1121" s="41" t="s">
        <v>1298</v>
      </c>
      <c r="F1121" s="41" t="s">
        <v>2248</v>
      </c>
      <c r="G1121" s="41" t="s">
        <v>3541</v>
      </c>
      <c r="H1121" s="41" t="s">
        <v>3542</v>
      </c>
      <c r="I1121" s="43">
        <v>12</v>
      </c>
      <c r="J1121" s="44" t="str">
        <f>VLOOKUP(G1121,[1]硬件清单!$F:$F,1,0)</f>
        <v>210235A2CT620BF000BZ</v>
      </c>
      <c r="K1121" s="44"/>
      <c r="L1121" s="44"/>
      <c r="M1121" s="45" t="s">
        <v>3543</v>
      </c>
    </row>
    <row r="1122" ht="30" customHeight="1" spans="1:13">
      <c r="A1122" s="41">
        <f>IF(C1122="","",SUBTOTAL(103,$C$2:C1122))</f>
        <v>1113</v>
      </c>
      <c r="B1122" s="41">
        <v>5219</v>
      </c>
      <c r="C1122" s="41">
        <v>9</v>
      </c>
      <c r="D1122" s="41" t="s">
        <v>45</v>
      </c>
      <c r="E1122" s="41" t="s">
        <v>1298</v>
      </c>
      <c r="F1122" s="41" t="s">
        <v>2248</v>
      </c>
      <c r="G1122" s="41" t="s">
        <v>3544</v>
      </c>
      <c r="H1122" s="41" t="s">
        <v>3545</v>
      </c>
      <c r="I1122" s="43">
        <v>12</v>
      </c>
      <c r="J1122" s="44" t="str">
        <f>VLOOKUP(G1122,[1]硬件清单!$F:$F,1,0)</f>
        <v>210235A2CT620BF000BY</v>
      </c>
      <c r="K1122" s="44"/>
      <c r="L1122" s="44"/>
      <c r="M1122" s="45" t="s">
        <v>3546</v>
      </c>
    </row>
    <row r="1123" ht="30" customHeight="1" spans="1:13">
      <c r="A1123" s="41">
        <f>IF(C1123="","",SUBTOTAL(103,$C$2:C1123))</f>
        <v>1114</v>
      </c>
      <c r="B1123" s="41">
        <v>5220</v>
      </c>
      <c r="C1123" s="41">
        <v>171</v>
      </c>
      <c r="D1123" s="41" t="s">
        <v>19</v>
      </c>
      <c r="E1123" s="41" t="s">
        <v>20</v>
      </c>
      <c r="F1123" s="41" t="s">
        <v>3547</v>
      </c>
      <c r="G1123" s="41" t="s">
        <v>3548</v>
      </c>
      <c r="H1123" s="41" t="s">
        <v>3549</v>
      </c>
      <c r="I1123" s="43">
        <v>12</v>
      </c>
      <c r="J1123" s="44" t="str">
        <f>VLOOKUP(G1123,[1]硬件清单!$F:$F,1,0)</f>
        <v>210235A2BBP20A000778</v>
      </c>
      <c r="K1123" s="44"/>
      <c r="L1123" s="44"/>
      <c r="M1123" s="45" t="s">
        <v>3550</v>
      </c>
    </row>
    <row r="1124" ht="30" customHeight="1" spans="1:13">
      <c r="A1124" s="41">
        <f>IF(C1124="","",SUBTOTAL(103,$C$2:C1124))</f>
        <v>1115</v>
      </c>
      <c r="B1124" s="41">
        <v>5221</v>
      </c>
      <c r="C1124" s="41">
        <v>172</v>
      </c>
      <c r="D1124" s="41" t="s">
        <v>19</v>
      </c>
      <c r="E1124" s="41" t="s">
        <v>20</v>
      </c>
      <c r="F1124" s="41" t="s">
        <v>3547</v>
      </c>
      <c r="G1124" s="41" t="s">
        <v>3551</v>
      </c>
      <c r="H1124" s="41" t="s">
        <v>3552</v>
      </c>
      <c r="I1124" s="43">
        <v>12</v>
      </c>
      <c r="J1124" s="44" t="str">
        <f>VLOOKUP(G1124,[1]硬件清单!$F:$F,1,0)</f>
        <v>210235A2BBP20A000754</v>
      </c>
      <c r="K1124" s="44"/>
      <c r="L1124" s="44"/>
      <c r="M1124" s="45" t="s">
        <v>3553</v>
      </c>
    </row>
    <row r="1125" ht="30" customHeight="1" spans="1:13">
      <c r="A1125" s="41">
        <f>IF(C1125="","",SUBTOTAL(103,$C$2:C1125))</f>
        <v>1116</v>
      </c>
      <c r="B1125" s="41">
        <v>5226</v>
      </c>
      <c r="C1125" s="41">
        <v>476</v>
      </c>
      <c r="D1125" s="41" t="s">
        <v>19</v>
      </c>
      <c r="E1125" s="41" t="s">
        <v>20</v>
      </c>
      <c r="F1125" s="41" t="s">
        <v>3547</v>
      </c>
      <c r="G1125" s="41" t="s">
        <v>3554</v>
      </c>
      <c r="H1125" s="41" t="s">
        <v>3555</v>
      </c>
      <c r="I1125" s="43">
        <v>12</v>
      </c>
      <c r="J1125" s="44" t="str">
        <f>VLOOKUP(G1125,[1]硬件清单!$F:$F,1,0)</f>
        <v>210235A2BBP20A00075M</v>
      </c>
      <c r="K1125" s="44"/>
      <c r="L1125" s="44"/>
      <c r="M1125" s="45" t="s">
        <v>3556</v>
      </c>
    </row>
    <row r="1126" ht="30" customHeight="1" spans="1:13">
      <c r="A1126" s="41">
        <f>IF(C1126="","",SUBTOTAL(103,$C$2:C1126))</f>
        <v>1117</v>
      </c>
      <c r="B1126" s="41">
        <v>5227</v>
      </c>
      <c r="C1126" s="41">
        <v>477</v>
      </c>
      <c r="D1126" s="41" t="s">
        <v>19</v>
      </c>
      <c r="E1126" s="41" t="s">
        <v>20</v>
      </c>
      <c r="F1126" s="41" t="s">
        <v>3547</v>
      </c>
      <c r="G1126" s="41" t="s">
        <v>3557</v>
      </c>
      <c r="H1126" s="41" t="s">
        <v>3558</v>
      </c>
      <c r="I1126" s="43">
        <v>12</v>
      </c>
      <c r="J1126" s="44" t="str">
        <f>VLOOKUP(G1126,[1]硬件清单!$F:$F,1,0)</f>
        <v>210235A2BBP20A00075G</v>
      </c>
      <c r="K1126" s="44"/>
      <c r="L1126" s="44"/>
      <c r="M1126" s="45" t="s">
        <v>3559</v>
      </c>
    </row>
    <row r="1127" ht="30" customHeight="1" spans="1:13">
      <c r="A1127" s="41">
        <f>IF(C1127="","",SUBTOTAL(103,$C$2:C1127))</f>
        <v>1118</v>
      </c>
      <c r="B1127" s="41">
        <v>5228</v>
      </c>
      <c r="C1127" s="41">
        <v>641</v>
      </c>
      <c r="D1127" s="41" t="s">
        <v>45</v>
      </c>
      <c r="E1127" s="41" t="s">
        <v>1298</v>
      </c>
      <c r="F1127" s="41" t="s">
        <v>2255</v>
      </c>
      <c r="G1127" s="41" t="s">
        <v>3560</v>
      </c>
      <c r="H1127" s="41" t="s">
        <v>3561</v>
      </c>
      <c r="I1127" s="43">
        <v>12</v>
      </c>
      <c r="J1127" s="44" t="str">
        <f>VLOOKUP(G1127,[1]硬件清单!$F:$F,1,0)</f>
        <v>210235A3SUH19A000217</v>
      </c>
      <c r="K1127" s="44"/>
      <c r="L1127" s="44"/>
      <c r="M1127" s="45" t="s">
        <v>3562</v>
      </c>
    </row>
    <row r="1128" ht="30" customHeight="1" spans="1:13">
      <c r="A1128" s="41">
        <f>IF(C1128="","",SUBTOTAL(103,$C$2:C1128))</f>
        <v>1119</v>
      </c>
      <c r="B1128" s="41">
        <v>5229</v>
      </c>
      <c r="C1128" s="41">
        <v>642</v>
      </c>
      <c r="D1128" s="41" t="s">
        <v>45</v>
      </c>
      <c r="E1128" s="41" t="s">
        <v>1298</v>
      </c>
      <c r="F1128" s="41" t="s">
        <v>2255</v>
      </c>
      <c r="G1128" s="41" t="s">
        <v>3563</v>
      </c>
      <c r="H1128" s="41" t="s">
        <v>3564</v>
      </c>
      <c r="I1128" s="43">
        <v>12</v>
      </c>
      <c r="J1128" s="44" t="str">
        <f>VLOOKUP(G1128,[1]硬件清单!$F:$F,1,0)</f>
        <v>210235A3SUH19A000213</v>
      </c>
      <c r="K1128" s="44"/>
      <c r="L1128" s="44"/>
      <c r="M1128" s="45" t="s">
        <v>3565</v>
      </c>
    </row>
    <row r="1129" ht="30" customHeight="1" spans="1:13">
      <c r="A1129" s="41">
        <f>IF(C1129="","",SUBTOTAL(103,$C$2:C1129))</f>
        <v>1120</v>
      </c>
      <c r="B1129" s="41">
        <v>5230</v>
      </c>
      <c r="C1129" s="41">
        <v>643</v>
      </c>
      <c r="D1129" s="41" t="s">
        <v>45</v>
      </c>
      <c r="E1129" s="41" t="s">
        <v>1298</v>
      </c>
      <c r="F1129" s="41" t="s">
        <v>2255</v>
      </c>
      <c r="G1129" s="41" t="s">
        <v>3566</v>
      </c>
      <c r="H1129" s="41" t="s">
        <v>3567</v>
      </c>
      <c r="I1129" s="43">
        <v>12</v>
      </c>
      <c r="J1129" s="44" t="str">
        <f>VLOOKUP(G1129,[1]硬件清单!$F:$F,1,0)</f>
        <v>210235A3SUH19A000109</v>
      </c>
      <c r="K1129" s="44"/>
      <c r="L1129" s="44"/>
      <c r="M1129" s="45" t="s">
        <v>3568</v>
      </c>
    </row>
    <row r="1130" ht="30" customHeight="1" spans="1:13">
      <c r="A1130" s="41">
        <f>IF(C1130="","",SUBTOTAL(103,$C$2:C1130))</f>
        <v>1121</v>
      </c>
      <c r="B1130" s="41">
        <v>5231</v>
      </c>
      <c r="C1130" s="41">
        <v>644</v>
      </c>
      <c r="D1130" s="41" t="s">
        <v>45</v>
      </c>
      <c r="E1130" s="41" t="s">
        <v>1298</v>
      </c>
      <c r="F1130" s="41" t="s">
        <v>2255</v>
      </c>
      <c r="G1130" s="41" t="s">
        <v>3569</v>
      </c>
      <c r="H1130" s="41" t="s">
        <v>3570</v>
      </c>
      <c r="I1130" s="43">
        <v>12</v>
      </c>
      <c r="J1130" s="44" t="str">
        <f>VLOOKUP(G1130,[1]硬件清单!$F:$F,1,0)</f>
        <v>210235A3SUH19A000343</v>
      </c>
      <c r="K1130" s="44"/>
      <c r="L1130" s="44"/>
      <c r="M1130" s="45" t="s">
        <v>3571</v>
      </c>
    </row>
    <row r="1131" ht="30" customHeight="1" spans="1:13">
      <c r="A1131" s="41">
        <f>IF(C1131="","",SUBTOTAL(103,$C$2:C1131))</f>
        <v>1122</v>
      </c>
      <c r="B1131" s="41">
        <v>5232</v>
      </c>
      <c r="C1131" s="41">
        <v>645</v>
      </c>
      <c r="D1131" s="41" t="s">
        <v>45</v>
      </c>
      <c r="E1131" s="41" t="s">
        <v>1298</v>
      </c>
      <c r="F1131" s="41" t="s">
        <v>2255</v>
      </c>
      <c r="G1131" s="41" t="s">
        <v>3572</v>
      </c>
      <c r="H1131" s="41" t="s">
        <v>3573</v>
      </c>
      <c r="I1131" s="43">
        <v>12</v>
      </c>
      <c r="J1131" s="44" t="str">
        <f>VLOOKUP(G1131,[1]硬件清单!$F:$F,1,0)</f>
        <v>210235A3SUH19A000386</v>
      </c>
      <c r="K1131" s="44"/>
      <c r="L1131" s="44"/>
      <c r="M1131" s="45" t="s">
        <v>3574</v>
      </c>
    </row>
    <row r="1132" ht="30" customHeight="1" spans="1:13">
      <c r="A1132" s="41">
        <f>IF(C1132="","",SUBTOTAL(103,$C$2:C1132))</f>
        <v>1123</v>
      </c>
      <c r="B1132" s="41">
        <v>5233</v>
      </c>
      <c r="C1132" s="41">
        <v>646</v>
      </c>
      <c r="D1132" s="41" t="s">
        <v>45</v>
      </c>
      <c r="E1132" s="41" t="s">
        <v>1298</v>
      </c>
      <c r="F1132" s="41" t="s">
        <v>2255</v>
      </c>
      <c r="G1132" s="41" t="s">
        <v>3575</v>
      </c>
      <c r="H1132" s="41" t="s">
        <v>3576</v>
      </c>
      <c r="I1132" s="43">
        <v>12</v>
      </c>
      <c r="J1132" s="44" t="str">
        <f>VLOOKUP(G1132,[1]硬件清单!$F:$F,1,0)</f>
        <v>210235A3SUH19A000322</v>
      </c>
      <c r="K1132" s="44"/>
      <c r="L1132" s="44"/>
      <c r="M1132" s="45" t="s">
        <v>3577</v>
      </c>
    </row>
    <row r="1133" ht="30" customHeight="1" spans="1:13">
      <c r="A1133" s="41">
        <f>IF(C1133="","",SUBTOTAL(103,$C$2:C1133))</f>
        <v>1124</v>
      </c>
      <c r="B1133" s="41">
        <v>5234</v>
      </c>
      <c r="C1133" s="41">
        <v>647</v>
      </c>
      <c r="D1133" s="41" t="s">
        <v>45</v>
      </c>
      <c r="E1133" s="41" t="s">
        <v>1298</v>
      </c>
      <c r="F1133" s="41" t="s">
        <v>2255</v>
      </c>
      <c r="G1133" s="41" t="s">
        <v>3578</v>
      </c>
      <c r="H1133" s="41" t="s">
        <v>3579</v>
      </c>
      <c r="I1133" s="43">
        <v>12</v>
      </c>
      <c r="J1133" s="44" t="str">
        <f>VLOOKUP(G1133,[1]硬件清单!$F:$F,1,0)</f>
        <v>210235A3SUH19A000269</v>
      </c>
      <c r="K1133" s="44"/>
      <c r="L1133" s="44"/>
      <c r="M1133" s="45" t="s">
        <v>3580</v>
      </c>
    </row>
    <row r="1134" ht="30" customHeight="1" spans="1:13">
      <c r="A1134" s="41">
        <f>IF(C1134="","",SUBTOTAL(103,$C$2:C1134))</f>
        <v>1125</v>
      </c>
      <c r="B1134" s="41">
        <v>5235</v>
      </c>
      <c r="C1134" s="41">
        <v>648</v>
      </c>
      <c r="D1134" s="41" t="s">
        <v>45</v>
      </c>
      <c r="E1134" s="41" t="s">
        <v>1298</v>
      </c>
      <c r="F1134" s="41" t="s">
        <v>2255</v>
      </c>
      <c r="G1134" s="41" t="s">
        <v>3581</v>
      </c>
      <c r="H1134" s="41" t="s">
        <v>3582</v>
      </c>
      <c r="I1134" s="43">
        <v>12</v>
      </c>
      <c r="J1134" s="44" t="str">
        <f>VLOOKUP(G1134,[1]硬件清单!$F:$F,1,0)</f>
        <v>210235A3SUH19A000113</v>
      </c>
      <c r="K1134" s="44"/>
      <c r="L1134" s="44"/>
      <c r="M1134" s="45" t="s">
        <v>3583</v>
      </c>
    </row>
    <row r="1135" ht="30" customHeight="1" spans="1:13">
      <c r="A1135" s="41">
        <f>IF(C1135="","",SUBTOTAL(103,$C$2:C1135))</f>
        <v>1126</v>
      </c>
      <c r="B1135" s="41">
        <v>5236</v>
      </c>
      <c r="C1135" s="41">
        <v>649</v>
      </c>
      <c r="D1135" s="41" t="s">
        <v>45</v>
      </c>
      <c r="E1135" s="41" t="s">
        <v>1298</v>
      </c>
      <c r="F1135" s="41" t="s">
        <v>2255</v>
      </c>
      <c r="G1135" s="41" t="s">
        <v>3584</v>
      </c>
      <c r="H1135" s="41" t="s">
        <v>3585</v>
      </c>
      <c r="I1135" s="43">
        <v>12</v>
      </c>
      <c r="J1135" s="44" t="str">
        <f>VLOOKUP(G1135,[1]硬件清单!$F:$F,1,0)</f>
        <v>210235A3SUH19A000211</v>
      </c>
      <c r="K1135" s="44"/>
      <c r="L1135" s="44"/>
      <c r="M1135" s="45" t="s">
        <v>3586</v>
      </c>
    </row>
    <row r="1136" ht="30" customHeight="1" spans="1:13">
      <c r="A1136" s="41">
        <f>IF(C1136="","",SUBTOTAL(103,$C$2:C1136))</f>
        <v>1127</v>
      </c>
      <c r="B1136" s="41">
        <v>5237</v>
      </c>
      <c r="C1136" s="41">
        <v>650</v>
      </c>
      <c r="D1136" s="41" t="s">
        <v>45</v>
      </c>
      <c r="E1136" s="41" t="s">
        <v>1298</v>
      </c>
      <c r="F1136" s="41" t="s">
        <v>2255</v>
      </c>
      <c r="G1136" s="41" t="s">
        <v>3587</v>
      </c>
      <c r="H1136" s="41" t="s">
        <v>3588</v>
      </c>
      <c r="I1136" s="43">
        <v>12</v>
      </c>
      <c r="J1136" s="44" t="str">
        <f>VLOOKUP(G1136,[1]硬件清单!$F:$F,1,0)</f>
        <v>210235A3SUH19A000342</v>
      </c>
      <c r="K1136" s="44"/>
      <c r="L1136" s="44"/>
      <c r="M1136" s="45" t="s">
        <v>3589</v>
      </c>
    </row>
    <row r="1137" ht="30" customHeight="1" spans="1:13">
      <c r="A1137" s="41">
        <f>IF(C1137="","",SUBTOTAL(103,$C$2:C1137))</f>
        <v>1128</v>
      </c>
      <c r="B1137" s="41">
        <v>5238</v>
      </c>
      <c r="C1137" s="41">
        <v>651</v>
      </c>
      <c r="D1137" s="41" t="s">
        <v>45</v>
      </c>
      <c r="E1137" s="41" t="s">
        <v>1298</v>
      </c>
      <c r="F1137" s="41" t="s">
        <v>2255</v>
      </c>
      <c r="G1137" s="41" t="s">
        <v>3590</v>
      </c>
      <c r="H1137" s="41" t="s">
        <v>3591</v>
      </c>
      <c r="I1137" s="43">
        <v>12</v>
      </c>
      <c r="J1137" s="44" t="str">
        <f>VLOOKUP(G1137,[1]硬件清单!$F:$F,1,0)</f>
        <v>210235A3SUH19B000145</v>
      </c>
      <c r="K1137" s="44"/>
      <c r="L1137" s="44"/>
      <c r="M1137" s="45" t="s">
        <v>3592</v>
      </c>
    </row>
    <row r="1138" ht="30" customHeight="1" spans="1:13">
      <c r="A1138" s="41">
        <f>IF(C1138="","",SUBTOTAL(103,$C$2:C1138))</f>
        <v>1129</v>
      </c>
      <c r="B1138" s="41">
        <v>5239</v>
      </c>
      <c r="C1138" s="41">
        <v>652</v>
      </c>
      <c r="D1138" s="41" t="s">
        <v>45</v>
      </c>
      <c r="E1138" s="41" t="s">
        <v>1298</v>
      </c>
      <c r="F1138" s="41" t="s">
        <v>2255</v>
      </c>
      <c r="G1138" s="41" t="s">
        <v>3593</v>
      </c>
      <c r="H1138" s="41" t="s">
        <v>3594</v>
      </c>
      <c r="I1138" s="43">
        <v>12</v>
      </c>
      <c r="J1138" s="44" t="str">
        <f>VLOOKUP(G1138,[1]硬件清单!$F:$F,1,0)</f>
        <v>210235A3SUH19B000097</v>
      </c>
      <c r="K1138" s="44"/>
      <c r="L1138" s="44"/>
      <c r="M1138" s="45" t="s">
        <v>3595</v>
      </c>
    </row>
    <row r="1139" ht="30" customHeight="1" spans="1:13">
      <c r="A1139" s="41">
        <f>IF(C1139="","",SUBTOTAL(103,$C$2:C1139))</f>
        <v>1130</v>
      </c>
      <c r="B1139" s="41">
        <v>5240</v>
      </c>
      <c r="C1139" s="41">
        <v>653</v>
      </c>
      <c r="D1139" s="41" t="s">
        <v>45</v>
      </c>
      <c r="E1139" s="41" t="s">
        <v>1298</v>
      </c>
      <c r="F1139" s="41" t="s">
        <v>2308</v>
      </c>
      <c r="G1139" s="41" t="s">
        <v>3596</v>
      </c>
      <c r="H1139" s="41" t="s">
        <v>3597</v>
      </c>
      <c r="I1139" s="43">
        <v>12</v>
      </c>
      <c r="J1139" s="44" t="str">
        <f>VLOOKUP(G1139,[1]硬件清单!$F:$F,1,0)</f>
        <v>J301D841</v>
      </c>
      <c r="K1139" s="44"/>
      <c r="L1139" s="44"/>
      <c r="M1139" s="45" t="s">
        <v>3598</v>
      </c>
    </row>
    <row r="1140" ht="30" customHeight="1" spans="1:13">
      <c r="A1140" s="41">
        <f>IF(C1140="","",SUBTOTAL(103,$C$2:C1140))</f>
        <v>1131</v>
      </c>
      <c r="B1140" s="41">
        <v>5241</v>
      </c>
      <c r="C1140" s="41">
        <v>654</v>
      </c>
      <c r="D1140" s="41" t="s">
        <v>45</v>
      </c>
      <c r="E1140" s="41" t="s">
        <v>1298</v>
      </c>
      <c r="F1140" s="41" t="s">
        <v>2308</v>
      </c>
      <c r="G1140" s="41" t="s">
        <v>3599</v>
      </c>
      <c r="H1140" s="41" t="s">
        <v>3600</v>
      </c>
      <c r="I1140" s="43">
        <v>12</v>
      </c>
      <c r="J1140" s="44" t="str">
        <f>VLOOKUP(G1140,[1]硬件清单!$F:$F,1,0)</f>
        <v>J301D840</v>
      </c>
      <c r="K1140" s="44"/>
      <c r="L1140" s="44"/>
      <c r="M1140" s="45" t="s">
        <v>3601</v>
      </c>
    </row>
    <row r="1141" ht="30" customHeight="1" spans="1:13">
      <c r="A1141" s="41">
        <f>IF(C1141="","",SUBTOTAL(103,$C$2:C1141))</f>
        <v>1132</v>
      </c>
      <c r="B1141" s="41">
        <v>5242</v>
      </c>
      <c r="C1141" s="41">
        <v>655</v>
      </c>
      <c r="D1141" s="41" t="s">
        <v>3602</v>
      </c>
      <c r="E1141" s="41" t="s">
        <v>3603</v>
      </c>
      <c r="F1141" s="41" t="s">
        <v>3604</v>
      </c>
      <c r="G1141" s="41" t="s">
        <v>3605</v>
      </c>
      <c r="H1141" s="41" t="s">
        <v>3606</v>
      </c>
      <c r="I1141" s="43">
        <v>12</v>
      </c>
      <c r="J1141" s="44" t="str">
        <f>VLOOKUP(G1141,[1]硬件清单!$F:$F,1,0)</f>
        <v>1103201798</v>
      </c>
      <c r="K1141" s="44"/>
      <c r="L1141" s="44"/>
      <c r="M1141" s="45" t="s">
        <v>3607</v>
      </c>
    </row>
    <row r="1142" ht="30" customHeight="1" spans="1:13">
      <c r="A1142" s="41">
        <f>IF(C1142="","",SUBTOTAL(103,$C$2:C1142))</f>
        <v>1133</v>
      </c>
      <c r="B1142" s="41">
        <v>5243</v>
      </c>
      <c r="C1142" s="41">
        <v>656</v>
      </c>
      <c r="D1142" s="41" t="s">
        <v>45</v>
      </c>
      <c r="E1142" s="41" t="s">
        <v>1298</v>
      </c>
      <c r="F1142" s="41" t="s">
        <v>2255</v>
      </c>
      <c r="G1142" s="41" t="s">
        <v>3608</v>
      </c>
      <c r="H1142" s="41" t="s">
        <v>3609</v>
      </c>
      <c r="I1142" s="43">
        <v>12</v>
      </c>
      <c r="J1142" s="44" t="str">
        <f>VLOOKUP(G1142,[1]硬件清单!$F:$F,1,0)</f>
        <v>210235A3SUH19A000162</v>
      </c>
      <c r="K1142" s="44"/>
      <c r="L1142" s="44"/>
      <c r="M1142" s="45" t="s">
        <v>3610</v>
      </c>
    </row>
    <row r="1143" ht="30" customHeight="1" spans="1:13">
      <c r="A1143" s="41">
        <f>IF(C1143="","",SUBTOTAL(103,$C$2:C1143))</f>
        <v>1134</v>
      </c>
      <c r="B1143" s="41">
        <v>5244</v>
      </c>
      <c r="C1143" s="41">
        <v>657</v>
      </c>
      <c r="D1143" s="41" t="s">
        <v>45</v>
      </c>
      <c r="E1143" s="41" t="s">
        <v>1298</v>
      </c>
      <c r="F1143" s="41" t="s">
        <v>2255</v>
      </c>
      <c r="G1143" s="41" t="s">
        <v>3611</v>
      </c>
      <c r="H1143" s="41" t="s">
        <v>3612</v>
      </c>
      <c r="I1143" s="43">
        <v>12</v>
      </c>
      <c r="J1143" s="44" t="str">
        <f>VLOOKUP(G1143,[1]硬件清单!$F:$F,1,0)</f>
        <v>210235A3SUH19A000160</v>
      </c>
      <c r="K1143" s="44"/>
      <c r="L1143" s="44"/>
      <c r="M1143" s="45" t="s">
        <v>3613</v>
      </c>
    </row>
    <row r="1144" ht="30" customHeight="1" spans="1:13">
      <c r="A1144" s="41">
        <f>IF(C1144="","",SUBTOTAL(103,$C$2:C1144))</f>
        <v>1135</v>
      </c>
      <c r="B1144" s="41">
        <v>5245</v>
      </c>
      <c r="C1144" s="41">
        <v>658</v>
      </c>
      <c r="D1144" s="41" t="s">
        <v>45</v>
      </c>
      <c r="E1144" s="41" t="s">
        <v>1298</v>
      </c>
      <c r="F1144" s="41" t="s">
        <v>2255</v>
      </c>
      <c r="G1144" s="41" t="s">
        <v>3614</v>
      </c>
      <c r="H1144" s="41" t="s">
        <v>3615</v>
      </c>
      <c r="I1144" s="43">
        <v>12</v>
      </c>
      <c r="J1144" s="44" t="str">
        <f>VLOOKUP(G1144,[1]硬件清单!$F:$F,1,0)</f>
        <v>210235A3SUH19A000194</v>
      </c>
      <c r="K1144" s="44"/>
      <c r="L1144" s="44"/>
      <c r="M1144" s="45" t="s">
        <v>3616</v>
      </c>
    </row>
    <row r="1145" ht="30" customHeight="1" spans="1:13">
      <c r="A1145" s="41">
        <f>IF(C1145="","",SUBTOTAL(103,$C$2:C1145))</f>
        <v>1136</v>
      </c>
      <c r="B1145" s="41">
        <v>5246</v>
      </c>
      <c r="C1145" s="41">
        <v>659</v>
      </c>
      <c r="D1145" s="41" t="s">
        <v>45</v>
      </c>
      <c r="E1145" s="41" t="s">
        <v>1298</v>
      </c>
      <c r="F1145" s="41" t="s">
        <v>2255</v>
      </c>
      <c r="G1145" s="41" t="s">
        <v>3617</v>
      </c>
      <c r="H1145" s="41" t="s">
        <v>3618</v>
      </c>
      <c r="I1145" s="43">
        <v>12</v>
      </c>
      <c r="J1145" s="44" t="str">
        <f>VLOOKUP(G1145,[1]硬件清单!$F:$F,1,0)</f>
        <v>210235A3SUH19A000291</v>
      </c>
      <c r="K1145" s="44"/>
      <c r="L1145" s="44"/>
      <c r="M1145" s="45" t="s">
        <v>3619</v>
      </c>
    </row>
    <row r="1146" ht="30" customHeight="1" spans="1:13">
      <c r="A1146" s="41">
        <f>IF(C1146="","",SUBTOTAL(103,$C$2:C1146))</f>
        <v>1137</v>
      </c>
      <c r="B1146" s="41">
        <v>5247</v>
      </c>
      <c r="C1146" s="41">
        <v>660</v>
      </c>
      <c r="D1146" s="41" t="s">
        <v>45</v>
      </c>
      <c r="E1146" s="41" t="s">
        <v>1298</v>
      </c>
      <c r="F1146" s="41" t="s">
        <v>2255</v>
      </c>
      <c r="G1146" s="41" t="s">
        <v>3620</v>
      </c>
      <c r="H1146" s="41" t="s">
        <v>3621</v>
      </c>
      <c r="I1146" s="43">
        <v>12</v>
      </c>
      <c r="J1146" s="44" t="str">
        <f>VLOOKUP(G1146,[1]硬件清单!$F:$F,1,0)</f>
        <v>210235A3SUH19A000271</v>
      </c>
      <c r="K1146" s="44"/>
      <c r="L1146" s="44"/>
      <c r="M1146" s="45" t="s">
        <v>3622</v>
      </c>
    </row>
    <row r="1147" ht="30" customHeight="1" spans="1:13">
      <c r="A1147" s="41">
        <f>IF(C1147="","",SUBTOTAL(103,$C$2:C1147))</f>
        <v>1138</v>
      </c>
      <c r="B1147" s="41">
        <v>5248</v>
      </c>
      <c r="C1147" s="41">
        <v>661</v>
      </c>
      <c r="D1147" s="41" t="s">
        <v>45</v>
      </c>
      <c r="E1147" s="41" t="s">
        <v>1298</v>
      </c>
      <c r="F1147" s="41" t="s">
        <v>2255</v>
      </c>
      <c r="G1147" s="41" t="s">
        <v>3623</v>
      </c>
      <c r="H1147" s="41" t="s">
        <v>3624</v>
      </c>
      <c r="I1147" s="43">
        <v>12</v>
      </c>
      <c r="J1147" s="44" t="str">
        <f>VLOOKUP(G1147,[1]硬件清单!$F:$F,1,0)</f>
        <v>210235A3SUH19A000157</v>
      </c>
      <c r="K1147" s="44"/>
      <c r="L1147" s="44"/>
      <c r="M1147" s="45" t="s">
        <v>3625</v>
      </c>
    </row>
    <row r="1148" ht="30" customHeight="1" spans="1:13">
      <c r="A1148" s="41">
        <f>IF(C1148="","",SUBTOTAL(103,$C$2:C1148))</f>
        <v>1139</v>
      </c>
      <c r="B1148" s="41">
        <v>5249</v>
      </c>
      <c r="C1148" s="41">
        <v>662</v>
      </c>
      <c r="D1148" s="41" t="s">
        <v>45</v>
      </c>
      <c r="E1148" s="41" t="s">
        <v>1298</v>
      </c>
      <c r="F1148" s="41" t="s">
        <v>2255</v>
      </c>
      <c r="G1148" s="41" t="s">
        <v>3626</v>
      </c>
      <c r="H1148" s="41" t="s">
        <v>3627</v>
      </c>
      <c r="I1148" s="43">
        <v>12</v>
      </c>
      <c r="J1148" s="44" t="str">
        <f>VLOOKUP(G1148,[1]硬件清单!$F:$F,1,0)</f>
        <v>210235A3SUH19A000290</v>
      </c>
      <c r="K1148" s="44"/>
      <c r="L1148" s="44"/>
      <c r="M1148" s="45" t="s">
        <v>3628</v>
      </c>
    </row>
    <row r="1149" ht="30" customHeight="1" spans="1:13">
      <c r="A1149" s="41">
        <f>IF(C1149="","",SUBTOTAL(103,$C$2:C1149))</f>
        <v>1140</v>
      </c>
      <c r="B1149" s="41">
        <v>5250</v>
      </c>
      <c r="C1149" s="41">
        <v>663</v>
      </c>
      <c r="D1149" s="41" t="s">
        <v>45</v>
      </c>
      <c r="E1149" s="41" t="s">
        <v>1298</v>
      </c>
      <c r="F1149" s="41" t="s">
        <v>2255</v>
      </c>
      <c r="G1149" s="41" t="s">
        <v>3629</v>
      </c>
      <c r="H1149" s="41" t="s">
        <v>3630</v>
      </c>
      <c r="I1149" s="43">
        <v>12</v>
      </c>
      <c r="J1149" s="44" t="str">
        <f>VLOOKUP(G1149,[1]硬件清单!$F:$F,1,0)</f>
        <v>210235A3SUH19A000202</v>
      </c>
      <c r="K1149" s="44"/>
      <c r="L1149" s="44"/>
      <c r="M1149" s="45" t="s">
        <v>3631</v>
      </c>
    </row>
    <row r="1150" ht="30" customHeight="1" spans="1:13">
      <c r="A1150" s="41">
        <f>IF(C1150="","",SUBTOTAL(103,$C$2:C1150))</f>
        <v>1141</v>
      </c>
      <c r="B1150" s="41">
        <v>5251</v>
      </c>
      <c r="C1150" s="41">
        <v>664</v>
      </c>
      <c r="D1150" s="41" t="s">
        <v>45</v>
      </c>
      <c r="E1150" s="41" t="s">
        <v>1298</v>
      </c>
      <c r="F1150" s="41" t="s">
        <v>2255</v>
      </c>
      <c r="G1150" s="41" t="s">
        <v>3632</v>
      </c>
      <c r="H1150" s="41" t="s">
        <v>3633</v>
      </c>
      <c r="I1150" s="43">
        <v>12</v>
      </c>
      <c r="J1150" s="44" t="str">
        <f>VLOOKUP(G1150,[1]硬件清单!$F:$F,1,0)</f>
        <v>210235A3SUH19A000195</v>
      </c>
      <c r="K1150" s="44"/>
      <c r="L1150" s="44"/>
      <c r="M1150" s="45" t="s">
        <v>3634</v>
      </c>
    </row>
    <row r="1151" ht="30" customHeight="1" spans="1:13">
      <c r="A1151" s="41">
        <f>IF(C1151="","",SUBTOTAL(103,$C$2:C1151))</f>
        <v>1142</v>
      </c>
      <c r="B1151" s="41">
        <v>5252</v>
      </c>
      <c r="C1151" s="41">
        <v>665</v>
      </c>
      <c r="D1151" s="41" t="s">
        <v>45</v>
      </c>
      <c r="E1151" s="41" t="s">
        <v>1298</v>
      </c>
      <c r="F1151" s="41" t="s">
        <v>2255</v>
      </c>
      <c r="G1151" s="41" t="s">
        <v>3635</v>
      </c>
      <c r="H1151" s="41" t="s">
        <v>3636</v>
      </c>
      <c r="I1151" s="43">
        <v>12</v>
      </c>
      <c r="J1151" s="44" t="str">
        <f>VLOOKUP(G1151,[1]硬件清单!$F:$F,1,0)</f>
        <v>210235A3SUH19A000183</v>
      </c>
      <c r="K1151" s="44"/>
      <c r="L1151" s="44"/>
      <c r="M1151" s="45" t="s">
        <v>3637</v>
      </c>
    </row>
    <row r="1152" ht="30" customHeight="1" spans="1:13">
      <c r="A1152" s="41">
        <f>IF(C1152="","",SUBTOTAL(103,$C$2:C1152))</f>
        <v>1143</v>
      </c>
      <c r="B1152" s="41">
        <v>5253</v>
      </c>
      <c r="C1152" s="41">
        <v>666</v>
      </c>
      <c r="D1152" s="41" t="s">
        <v>45</v>
      </c>
      <c r="E1152" s="41" t="s">
        <v>1298</v>
      </c>
      <c r="F1152" s="41" t="s">
        <v>2255</v>
      </c>
      <c r="G1152" s="41" t="s">
        <v>3638</v>
      </c>
      <c r="H1152" s="41" t="s">
        <v>3639</v>
      </c>
      <c r="I1152" s="43">
        <v>12</v>
      </c>
      <c r="J1152" s="44" t="str">
        <f>VLOOKUP(G1152,[1]硬件清单!$F:$F,1,0)</f>
        <v>210235A3SUH19A000267</v>
      </c>
      <c r="K1152" s="44"/>
      <c r="L1152" s="44"/>
      <c r="M1152" s="45" t="s">
        <v>3640</v>
      </c>
    </row>
    <row r="1153" ht="30" customHeight="1" spans="1:13">
      <c r="A1153" s="41">
        <f>IF(C1153="","",SUBTOTAL(103,$C$2:C1153))</f>
        <v>1144</v>
      </c>
      <c r="B1153" s="41">
        <v>5254</v>
      </c>
      <c r="C1153" s="41">
        <v>667</v>
      </c>
      <c r="D1153" s="41" t="s">
        <v>45</v>
      </c>
      <c r="E1153" s="41" t="s">
        <v>1298</v>
      </c>
      <c r="F1153" s="41" t="s">
        <v>2255</v>
      </c>
      <c r="G1153" s="41" t="s">
        <v>3641</v>
      </c>
      <c r="H1153" s="41" t="s">
        <v>3642</v>
      </c>
      <c r="I1153" s="43">
        <v>12</v>
      </c>
      <c r="J1153" s="44" t="str">
        <f>VLOOKUP(G1153,[1]硬件清单!$F:$F,1,0)</f>
        <v>210235A3SUH19A000196</v>
      </c>
      <c r="K1153" s="44"/>
      <c r="L1153" s="44"/>
      <c r="M1153" s="45" t="s">
        <v>3643</v>
      </c>
    </row>
    <row r="1154" ht="30" customHeight="1" spans="1:13">
      <c r="A1154" s="41">
        <f>IF(C1154="","",SUBTOTAL(103,$C$2:C1154))</f>
        <v>1145</v>
      </c>
      <c r="B1154" s="41">
        <v>5255</v>
      </c>
      <c r="C1154" s="41">
        <v>668</v>
      </c>
      <c r="D1154" s="41" t="s">
        <v>45</v>
      </c>
      <c r="E1154" s="41" t="s">
        <v>1298</v>
      </c>
      <c r="F1154" s="41" t="s">
        <v>2255</v>
      </c>
      <c r="G1154" s="41" t="s">
        <v>3644</v>
      </c>
      <c r="H1154" s="41" t="s">
        <v>3645</v>
      </c>
      <c r="I1154" s="43">
        <v>12</v>
      </c>
      <c r="J1154" s="44" t="str">
        <f>VLOOKUP(G1154,[1]硬件清单!$F:$F,1,0)</f>
        <v>210235A3SUH19A000154</v>
      </c>
      <c r="K1154" s="44"/>
      <c r="L1154" s="44"/>
      <c r="M1154" s="45" t="s">
        <v>3646</v>
      </c>
    </row>
    <row r="1155" ht="30" customHeight="1" spans="1:13">
      <c r="A1155" s="41">
        <f>IF(C1155="","",SUBTOTAL(103,$C$2:C1155))</f>
        <v>1146</v>
      </c>
      <c r="B1155" s="41">
        <v>5256</v>
      </c>
      <c r="C1155" s="41">
        <v>669</v>
      </c>
      <c r="D1155" s="41" t="s">
        <v>45</v>
      </c>
      <c r="E1155" s="41" t="s">
        <v>1298</v>
      </c>
      <c r="F1155" s="41" t="s">
        <v>2255</v>
      </c>
      <c r="G1155" s="41" t="s">
        <v>3647</v>
      </c>
      <c r="H1155" s="41" t="s">
        <v>3648</v>
      </c>
      <c r="I1155" s="43">
        <v>12</v>
      </c>
      <c r="J1155" s="44" t="str">
        <f>VLOOKUP(G1155,[1]硬件清单!$F:$F,1,0)</f>
        <v>210235A3SUH19A000197</v>
      </c>
      <c r="K1155" s="44"/>
      <c r="L1155" s="44"/>
      <c r="M1155" s="45" t="s">
        <v>3649</v>
      </c>
    </row>
    <row r="1156" ht="30" customHeight="1" spans="1:13">
      <c r="A1156" s="41">
        <f>IF(C1156="","",SUBTOTAL(103,$C$2:C1156))</f>
        <v>1147</v>
      </c>
      <c r="B1156" s="41">
        <v>5257</v>
      </c>
      <c r="C1156" s="41">
        <v>670</v>
      </c>
      <c r="D1156" s="41" t="s">
        <v>45</v>
      </c>
      <c r="E1156" s="41" t="s">
        <v>1298</v>
      </c>
      <c r="F1156" s="41" t="s">
        <v>2255</v>
      </c>
      <c r="G1156" s="41" t="s">
        <v>3650</v>
      </c>
      <c r="H1156" s="41" t="s">
        <v>3651</v>
      </c>
      <c r="I1156" s="43">
        <v>12</v>
      </c>
      <c r="J1156" s="44" t="str">
        <f>VLOOKUP(G1156,[1]硬件清单!$F:$F,1,0)</f>
        <v>210235A3SUH19A000331</v>
      </c>
      <c r="K1156" s="44"/>
      <c r="L1156" s="44"/>
      <c r="M1156" s="45" t="s">
        <v>3652</v>
      </c>
    </row>
    <row r="1157" ht="30" customHeight="1" spans="1:13">
      <c r="A1157" s="41">
        <f>IF(C1157="","",SUBTOTAL(103,$C$2:C1157))</f>
        <v>1148</v>
      </c>
      <c r="B1157" s="41">
        <v>5258</v>
      </c>
      <c r="C1157" s="41">
        <v>671</v>
      </c>
      <c r="D1157" s="41" t="s">
        <v>45</v>
      </c>
      <c r="E1157" s="41" t="s">
        <v>1298</v>
      </c>
      <c r="F1157" s="41" t="s">
        <v>2255</v>
      </c>
      <c r="G1157" s="41" t="s">
        <v>3653</v>
      </c>
      <c r="H1157" s="41" t="s">
        <v>3654</v>
      </c>
      <c r="I1157" s="43">
        <v>12</v>
      </c>
      <c r="J1157" s="44" t="str">
        <f>VLOOKUP(G1157,[1]硬件清单!$F:$F,1,0)</f>
        <v>210235A3SUH19A000216</v>
      </c>
      <c r="K1157" s="44"/>
      <c r="L1157" s="44"/>
      <c r="M1157" s="45" t="s">
        <v>3655</v>
      </c>
    </row>
    <row r="1158" ht="30" customHeight="1" spans="1:13">
      <c r="A1158" s="41">
        <f>IF(C1158="","",SUBTOTAL(103,$C$2:C1158))</f>
        <v>1149</v>
      </c>
      <c r="B1158" s="41">
        <v>5259</v>
      </c>
      <c r="C1158" s="41">
        <v>672</v>
      </c>
      <c r="D1158" s="41" t="s">
        <v>45</v>
      </c>
      <c r="E1158" s="41" t="s">
        <v>1298</v>
      </c>
      <c r="F1158" s="41" t="s">
        <v>2255</v>
      </c>
      <c r="G1158" s="41" t="s">
        <v>3656</v>
      </c>
      <c r="H1158" s="41" t="s">
        <v>3657</v>
      </c>
      <c r="I1158" s="43">
        <v>12</v>
      </c>
      <c r="J1158" s="44" t="str">
        <f>VLOOKUP(G1158,[1]硬件清单!$F:$F,1,0)</f>
        <v>210235A3SUH19A000134</v>
      </c>
      <c r="K1158" s="44"/>
      <c r="L1158" s="44"/>
      <c r="M1158" s="45" t="s">
        <v>3658</v>
      </c>
    </row>
    <row r="1159" ht="30" customHeight="1" spans="1:13">
      <c r="A1159" s="41">
        <f>IF(C1159="","",SUBTOTAL(103,$C$2:C1159))</f>
        <v>1150</v>
      </c>
      <c r="B1159" s="41">
        <v>5260</v>
      </c>
      <c r="C1159" s="41">
        <v>673</v>
      </c>
      <c r="D1159" s="41" t="s">
        <v>45</v>
      </c>
      <c r="E1159" s="41" t="s">
        <v>1298</v>
      </c>
      <c r="F1159" s="41" t="s">
        <v>2255</v>
      </c>
      <c r="G1159" s="41" t="s">
        <v>3659</v>
      </c>
      <c r="H1159" s="41" t="s">
        <v>3660</v>
      </c>
      <c r="I1159" s="43">
        <v>12</v>
      </c>
      <c r="J1159" s="44" t="str">
        <f>VLOOKUP(G1159,[1]硬件清单!$F:$F,1,0)</f>
        <v>210235A3SUH19A000301</v>
      </c>
      <c r="K1159" s="44"/>
      <c r="L1159" s="44"/>
      <c r="M1159" s="45" t="s">
        <v>3661</v>
      </c>
    </row>
    <row r="1160" ht="30" customHeight="1" spans="1:13">
      <c r="A1160" s="41">
        <f>IF(C1160="","",SUBTOTAL(103,$C$2:C1160))</f>
        <v>1151</v>
      </c>
      <c r="B1160" s="41">
        <v>5261</v>
      </c>
      <c r="C1160" s="41">
        <v>674</v>
      </c>
      <c r="D1160" s="41" t="s">
        <v>45</v>
      </c>
      <c r="E1160" s="41" t="s">
        <v>1298</v>
      </c>
      <c r="F1160" s="41" t="s">
        <v>2255</v>
      </c>
      <c r="G1160" s="41" t="s">
        <v>3662</v>
      </c>
      <c r="H1160" s="41" t="s">
        <v>3663</v>
      </c>
      <c r="I1160" s="43">
        <v>12</v>
      </c>
      <c r="J1160" s="44" t="str">
        <f>VLOOKUP(G1160,[1]硬件清单!$F:$F,1,0)</f>
        <v>210235A3SUH19A000099</v>
      </c>
      <c r="K1160" s="44"/>
      <c r="L1160" s="44"/>
      <c r="M1160" s="45" t="s">
        <v>3664</v>
      </c>
    </row>
    <row r="1161" ht="30" customHeight="1" spans="1:13">
      <c r="A1161" s="41">
        <f>IF(C1161="","",SUBTOTAL(103,$C$2:C1161))</f>
        <v>1152</v>
      </c>
      <c r="B1161" s="41">
        <v>5262</v>
      </c>
      <c r="C1161" s="41">
        <v>675</v>
      </c>
      <c r="D1161" s="41" t="s">
        <v>45</v>
      </c>
      <c r="E1161" s="41" t="s">
        <v>1298</v>
      </c>
      <c r="F1161" s="41" t="s">
        <v>2255</v>
      </c>
      <c r="G1161" s="41" t="s">
        <v>3665</v>
      </c>
      <c r="H1161" s="41" t="s">
        <v>3666</v>
      </c>
      <c r="I1161" s="43">
        <v>12</v>
      </c>
      <c r="J1161" s="44" t="str">
        <f>VLOOKUP(G1161,[1]硬件清单!$F:$F,1,0)</f>
        <v>210235A3SUH19A000337</v>
      </c>
      <c r="K1161" s="44"/>
      <c r="L1161" s="44"/>
      <c r="M1161" s="45" t="s">
        <v>3667</v>
      </c>
    </row>
    <row r="1162" ht="30" customHeight="1" spans="1:13">
      <c r="A1162" s="41">
        <f>IF(C1162="","",SUBTOTAL(103,$C$2:C1162))</f>
        <v>1153</v>
      </c>
      <c r="B1162" s="41">
        <v>5263</v>
      </c>
      <c r="C1162" s="41">
        <v>676</v>
      </c>
      <c r="D1162" s="41" t="s">
        <v>45</v>
      </c>
      <c r="E1162" s="41" t="s">
        <v>1298</v>
      </c>
      <c r="F1162" s="41" t="s">
        <v>2255</v>
      </c>
      <c r="G1162" s="41" t="s">
        <v>3668</v>
      </c>
      <c r="H1162" s="41" t="s">
        <v>3669</v>
      </c>
      <c r="I1162" s="43">
        <v>12</v>
      </c>
      <c r="J1162" s="44" t="str">
        <f>VLOOKUP(G1162,[1]硬件清单!$F:$F,1,0)</f>
        <v>210235A3SUH19A000221</v>
      </c>
      <c r="K1162" s="44"/>
      <c r="L1162" s="44"/>
      <c r="M1162" s="45" t="s">
        <v>3670</v>
      </c>
    </row>
    <row r="1163" ht="30" customHeight="1" spans="1:13">
      <c r="A1163" s="41">
        <f>IF(C1163="","",SUBTOTAL(103,$C$2:C1163))</f>
        <v>1154</v>
      </c>
      <c r="B1163" s="41">
        <v>5264</v>
      </c>
      <c r="C1163" s="41">
        <v>677</v>
      </c>
      <c r="D1163" s="41" t="s">
        <v>45</v>
      </c>
      <c r="E1163" s="41" t="s">
        <v>1298</v>
      </c>
      <c r="F1163" s="41" t="s">
        <v>2255</v>
      </c>
      <c r="G1163" s="41" t="s">
        <v>3671</v>
      </c>
      <c r="H1163" s="41" t="s">
        <v>3672</v>
      </c>
      <c r="I1163" s="43">
        <v>12</v>
      </c>
      <c r="J1163" s="44" t="str">
        <f>VLOOKUP(G1163,[1]硬件清单!$F:$F,1,0)</f>
        <v>210235A3SUH19A000186</v>
      </c>
      <c r="K1163" s="44"/>
      <c r="L1163" s="44"/>
      <c r="M1163" s="45" t="s">
        <v>3673</v>
      </c>
    </row>
    <row r="1164" ht="30" customHeight="1" spans="1:13">
      <c r="A1164" s="41">
        <f>IF(C1164="","",SUBTOTAL(103,$C$2:C1164))</f>
        <v>1155</v>
      </c>
      <c r="B1164" s="41">
        <v>5265</v>
      </c>
      <c r="C1164" s="41">
        <v>678</v>
      </c>
      <c r="D1164" s="41" t="s">
        <v>45</v>
      </c>
      <c r="E1164" s="41" t="s">
        <v>1298</v>
      </c>
      <c r="F1164" s="41" t="s">
        <v>2255</v>
      </c>
      <c r="G1164" s="41" t="s">
        <v>3674</v>
      </c>
      <c r="H1164" s="41" t="s">
        <v>3675</v>
      </c>
      <c r="I1164" s="43">
        <v>12</v>
      </c>
      <c r="J1164" s="44" t="str">
        <f>VLOOKUP(G1164,[1]硬件清单!$F:$F,1,0)</f>
        <v>210235A3SUH19A000333</v>
      </c>
      <c r="K1164" s="44"/>
      <c r="L1164" s="44"/>
      <c r="M1164" s="45" t="s">
        <v>3676</v>
      </c>
    </row>
    <row r="1165" ht="30" customHeight="1" spans="1:13">
      <c r="A1165" s="41">
        <f>IF(C1165="","",SUBTOTAL(103,$C$2:C1165))</f>
        <v>1156</v>
      </c>
      <c r="B1165" s="41">
        <v>5266</v>
      </c>
      <c r="C1165" s="41">
        <v>679</v>
      </c>
      <c r="D1165" s="41" t="s">
        <v>45</v>
      </c>
      <c r="E1165" s="41" t="s">
        <v>1298</v>
      </c>
      <c r="F1165" s="41" t="s">
        <v>2255</v>
      </c>
      <c r="G1165" s="41" t="s">
        <v>3677</v>
      </c>
      <c r="H1165" s="41" t="s">
        <v>3678</v>
      </c>
      <c r="I1165" s="43">
        <v>12</v>
      </c>
      <c r="J1165" s="44" t="str">
        <f>VLOOKUP(G1165,[1]硬件清单!$F:$F,1,0)</f>
        <v>210235A3SUH19A000369</v>
      </c>
      <c r="K1165" s="44"/>
      <c r="L1165" s="44"/>
      <c r="M1165" s="45" t="s">
        <v>3679</v>
      </c>
    </row>
    <row r="1166" ht="30" customHeight="1" spans="1:13">
      <c r="A1166" s="41">
        <f>IF(C1166="","",SUBTOTAL(103,$C$2:C1166))</f>
        <v>1157</v>
      </c>
      <c r="B1166" s="41">
        <v>5267</v>
      </c>
      <c r="C1166" s="41">
        <v>680</v>
      </c>
      <c r="D1166" s="41" t="s">
        <v>45</v>
      </c>
      <c r="E1166" s="41" t="s">
        <v>1298</v>
      </c>
      <c r="F1166" s="41" t="s">
        <v>2255</v>
      </c>
      <c r="G1166" s="41" t="s">
        <v>3680</v>
      </c>
      <c r="H1166" s="41" t="s">
        <v>3681</v>
      </c>
      <c r="I1166" s="43">
        <v>12</v>
      </c>
      <c r="J1166" s="44" t="str">
        <f>VLOOKUP(G1166,[1]硬件清单!$F:$F,1,0)</f>
        <v>210235A3SUH19A000373</v>
      </c>
      <c r="K1166" s="44"/>
      <c r="L1166" s="44"/>
      <c r="M1166" s="45" t="s">
        <v>3682</v>
      </c>
    </row>
    <row r="1167" ht="30" customHeight="1" spans="1:13">
      <c r="A1167" s="41">
        <f>IF(C1167="","",SUBTOTAL(103,$C$2:C1167))</f>
        <v>1158</v>
      </c>
      <c r="B1167" s="41">
        <v>5268</v>
      </c>
      <c r="C1167" s="41">
        <v>681</v>
      </c>
      <c r="D1167" s="41" t="s">
        <v>45</v>
      </c>
      <c r="E1167" s="41" t="s">
        <v>1298</v>
      </c>
      <c r="F1167" s="41" t="s">
        <v>2255</v>
      </c>
      <c r="G1167" s="41" t="s">
        <v>3683</v>
      </c>
      <c r="H1167" s="41" t="s">
        <v>3684</v>
      </c>
      <c r="I1167" s="43">
        <v>12</v>
      </c>
      <c r="J1167" s="44" t="str">
        <f>VLOOKUP(G1167,[1]硬件清单!$F:$F,1,0)</f>
        <v>210235A3SUH19A000086</v>
      </c>
      <c r="K1167" s="44"/>
      <c r="L1167" s="44"/>
      <c r="M1167" s="45" t="s">
        <v>3685</v>
      </c>
    </row>
    <row r="1168" ht="30" customHeight="1" spans="1:13">
      <c r="A1168" s="41">
        <f>IF(C1168="","",SUBTOTAL(103,$C$2:C1168))</f>
        <v>1159</v>
      </c>
      <c r="B1168" s="41">
        <v>5269</v>
      </c>
      <c r="C1168" s="41">
        <v>682</v>
      </c>
      <c r="D1168" s="41" t="s">
        <v>45</v>
      </c>
      <c r="E1168" s="41" t="s">
        <v>1298</v>
      </c>
      <c r="F1168" s="41" t="s">
        <v>3686</v>
      </c>
      <c r="G1168" s="41" t="s">
        <v>3687</v>
      </c>
      <c r="H1168" s="41" t="s">
        <v>3688</v>
      </c>
      <c r="I1168" s="43">
        <v>12</v>
      </c>
      <c r="J1168" s="44" t="str">
        <f>VLOOKUP(G1168,[1]硬件清单!$F:$F,1,0)</f>
        <v>J301DX29</v>
      </c>
      <c r="K1168" s="44"/>
      <c r="L1168" s="44"/>
      <c r="M1168" s="45" t="s">
        <v>3689</v>
      </c>
    </row>
    <row r="1169" ht="30" customHeight="1" spans="1:13">
      <c r="A1169" s="41">
        <f>IF(C1169="","",SUBTOTAL(103,$C$2:C1169))</f>
        <v>1160</v>
      </c>
      <c r="B1169" s="41">
        <v>5270</v>
      </c>
      <c r="C1169" s="41">
        <v>683</v>
      </c>
      <c r="D1169" s="41" t="s">
        <v>45</v>
      </c>
      <c r="E1169" s="41" t="s">
        <v>1298</v>
      </c>
      <c r="F1169" s="41" t="s">
        <v>3686</v>
      </c>
      <c r="G1169" s="41" t="s">
        <v>3690</v>
      </c>
      <c r="H1169" s="41" t="s">
        <v>3691</v>
      </c>
      <c r="I1169" s="43">
        <v>12</v>
      </c>
      <c r="J1169" s="44" t="str">
        <f>VLOOKUP(G1169,[1]硬件清单!$F:$F,1,0)</f>
        <v>J301DX25</v>
      </c>
      <c r="K1169" s="44"/>
      <c r="L1169" s="44"/>
      <c r="M1169" s="45" t="s">
        <v>3692</v>
      </c>
    </row>
    <row r="1170" ht="30" customHeight="1" spans="1:13">
      <c r="A1170" s="41">
        <f>IF(C1170="","",SUBTOTAL(103,$C$2:C1170))</f>
        <v>1161</v>
      </c>
      <c r="B1170" s="41">
        <v>5271</v>
      </c>
      <c r="C1170" s="41">
        <v>684</v>
      </c>
      <c r="D1170" s="41" t="s">
        <v>45</v>
      </c>
      <c r="E1170" s="41" t="s">
        <v>1298</v>
      </c>
      <c r="F1170" s="41" t="s">
        <v>3686</v>
      </c>
      <c r="G1170" s="41" t="s">
        <v>3693</v>
      </c>
      <c r="H1170" s="41" t="s">
        <v>3694</v>
      </c>
      <c r="I1170" s="43">
        <v>12</v>
      </c>
      <c r="J1170" s="44" t="str">
        <f>VLOOKUP(G1170,[1]硬件清单!$F:$F,1,0)</f>
        <v>J301DX26</v>
      </c>
      <c r="K1170" s="44"/>
      <c r="L1170" s="44"/>
      <c r="M1170" s="45" t="s">
        <v>3695</v>
      </c>
    </row>
    <row r="1171" ht="30" customHeight="1" spans="1:13">
      <c r="A1171" s="41">
        <f>IF(C1171="","",SUBTOTAL(103,$C$2:C1171))</f>
        <v>1162</v>
      </c>
      <c r="B1171" s="41">
        <v>5272</v>
      </c>
      <c r="C1171" s="41">
        <v>685</v>
      </c>
      <c r="D1171" s="41" t="s">
        <v>45</v>
      </c>
      <c r="E1171" s="41" t="s">
        <v>1298</v>
      </c>
      <c r="F1171" s="41" t="s">
        <v>3686</v>
      </c>
      <c r="G1171" s="41" t="s">
        <v>3696</v>
      </c>
      <c r="H1171" s="41" t="s">
        <v>3697</v>
      </c>
      <c r="I1171" s="43">
        <v>12</v>
      </c>
      <c r="J1171" s="44" t="str">
        <f>VLOOKUP(G1171,[1]硬件清单!$F:$F,1,0)</f>
        <v>J301DX1Z</v>
      </c>
      <c r="K1171" s="44"/>
      <c r="L1171" s="44"/>
      <c r="M1171" s="45" t="s">
        <v>3698</v>
      </c>
    </row>
    <row r="1172" ht="30" customHeight="1" spans="1:13">
      <c r="A1172" s="41">
        <f>IF(C1172="","",SUBTOTAL(103,$C$2:C1172))</f>
        <v>1163</v>
      </c>
      <c r="B1172" s="41">
        <v>5273</v>
      </c>
      <c r="C1172" s="41">
        <v>686</v>
      </c>
      <c r="D1172" s="41" t="s">
        <v>45</v>
      </c>
      <c r="E1172" s="41" t="s">
        <v>1298</v>
      </c>
      <c r="F1172" s="41" t="s">
        <v>3686</v>
      </c>
      <c r="G1172" s="41" t="s">
        <v>3699</v>
      </c>
      <c r="H1172" s="41" t="s">
        <v>3700</v>
      </c>
      <c r="I1172" s="43">
        <v>12</v>
      </c>
      <c r="J1172" s="44" t="str">
        <f>VLOOKUP(G1172,[1]硬件清单!$F:$F,1,0)</f>
        <v>J301DX20</v>
      </c>
      <c r="K1172" s="44"/>
      <c r="L1172" s="44"/>
      <c r="M1172" s="45" t="s">
        <v>3701</v>
      </c>
    </row>
    <row r="1173" ht="30" customHeight="1" spans="1:13">
      <c r="A1173" s="41">
        <f>IF(C1173="","",SUBTOTAL(103,$C$2:C1173))</f>
        <v>1164</v>
      </c>
      <c r="B1173" s="41">
        <v>5274</v>
      </c>
      <c r="C1173" s="41">
        <v>687</v>
      </c>
      <c r="D1173" s="41" t="s">
        <v>45</v>
      </c>
      <c r="E1173" s="41" t="s">
        <v>1298</v>
      </c>
      <c r="F1173" s="41" t="s">
        <v>3686</v>
      </c>
      <c r="G1173" s="41" t="s">
        <v>3702</v>
      </c>
      <c r="H1173" s="41" t="s">
        <v>3703</v>
      </c>
      <c r="I1173" s="43">
        <v>12</v>
      </c>
      <c r="J1173" s="44" t="str">
        <f>VLOOKUP(G1173,[1]硬件清单!$F:$F,1,0)</f>
        <v>J301DX22</v>
      </c>
      <c r="K1173" s="44"/>
      <c r="L1173" s="44"/>
      <c r="M1173" s="45" t="s">
        <v>3704</v>
      </c>
    </row>
    <row r="1174" ht="30" customHeight="1" spans="1:13">
      <c r="A1174" s="41">
        <f>IF(C1174="","",SUBTOTAL(103,$C$2:C1174))</f>
        <v>1165</v>
      </c>
      <c r="B1174" s="41">
        <v>5275</v>
      </c>
      <c r="C1174" s="41">
        <v>688</v>
      </c>
      <c r="D1174" s="41" t="s">
        <v>45</v>
      </c>
      <c r="E1174" s="41" t="s">
        <v>1298</v>
      </c>
      <c r="F1174" s="41" t="s">
        <v>3686</v>
      </c>
      <c r="G1174" s="41" t="s">
        <v>3705</v>
      </c>
      <c r="H1174" s="41" t="s">
        <v>3706</v>
      </c>
      <c r="I1174" s="43">
        <v>12</v>
      </c>
      <c r="J1174" s="44" t="str">
        <f>VLOOKUP(G1174,[1]硬件清单!$F:$F,1,0)</f>
        <v>J301DX21</v>
      </c>
      <c r="K1174" s="44"/>
      <c r="L1174" s="44"/>
      <c r="M1174" s="45" t="s">
        <v>3707</v>
      </c>
    </row>
    <row r="1175" ht="30" customHeight="1" spans="1:13">
      <c r="A1175" s="41">
        <f>IF(C1175="","",SUBTOTAL(103,$C$2:C1175))</f>
        <v>1166</v>
      </c>
      <c r="B1175" s="41">
        <v>5276</v>
      </c>
      <c r="C1175" s="41">
        <v>689</v>
      </c>
      <c r="D1175" s="41" t="s">
        <v>45</v>
      </c>
      <c r="E1175" s="41" t="s">
        <v>1298</v>
      </c>
      <c r="F1175" s="41" t="s">
        <v>3686</v>
      </c>
      <c r="G1175" s="41" t="s">
        <v>3708</v>
      </c>
      <c r="H1175" s="41" t="s">
        <v>3709</v>
      </c>
      <c r="I1175" s="43">
        <v>12</v>
      </c>
      <c r="J1175" s="44" t="str">
        <f>VLOOKUP(G1175,[1]硬件清单!$F:$F,1,0)</f>
        <v>J301DX23</v>
      </c>
      <c r="K1175" s="44"/>
      <c r="L1175" s="44"/>
      <c r="M1175" s="45" t="s">
        <v>3710</v>
      </c>
    </row>
    <row r="1176" ht="30" customHeight="1" spans="1:13">
      <c r="A1176" s="41">
        <f>IF(C1176="","",SUBTOTAL(103,$C$2:C1176))</f>
        <v>1167</v>
      </c>
      <c r="B1176" s="41">
        <v>5277</v>
      </c>
      <c r="C1176" s="41">
        <v>690</v>
      </c>
      <c r="D1176" s="41" t="s">
        <v>45</v>
      </c>
      <c r="E1176" s="41" t="s">
        <v>1298</v>
      </c>
      <c r="F1176" s="41" t="s">
        <v>3686</v>
      </c>
      <c r="G1176" s="41" t="s">
        <v>3711</v>
      </c>
      <c r="H1176" s="41" t="s">
        <v>3712</v>
      </c>
      <c r="I1176" s="43">
        <v>12</v>
      </c>
      <c r="J1176" s="44" t="str">
        <f>VLOOKUP(G1176,[1]硬件清单!$F:$F,1,0)</f>
        <v>J301DX2A</v>
      </c>
      <c r="K1176" s="44"/>
      <c r="L1176" s="44"/>
      <c r="M1176" s="45" t="s">
        <v>3713</v>
      </c>
    </row>
    <row r="1177" ht="30" customHeight="1" spans="1:13">
      <c r="A1177" s="41">
        <f>IF(C1177="","",SUBTOTAL(103,$C$2:C1177))</f>
        <v>1168</v>
      </c>
      <c r="B1177" s="41">
        <v>5278</v>
      </c>
      <c r="C1177" s="41">
        <v>691</v>
      </c>
      <c r="D1177" s="41" t="s">
        <v>45</v>
      </c>
      <c r="E1177" s="41" t="s">
        <v>1298</v>
      </c>
      <c r="F1177" s="41" t="s">
        <v>3686</v>
      </c>
      <c r="G1177" s="41" t="s">
        <v>3714</v>
      </c>
      <c r="H1177" s="41" t="s">
        <v>3715</v>
      </c>
      <c r="I1177" s="43">
        <v>12</v>
      </c>
      <c r="J1177" s="44" t="str">
        <f>VLOOKUP(G1177,[1]硬件清单!$F:$F,1,0)</f>
        <v>J301DX1Y</v>
      </c>
      <c r="K1177" s="44"/>
      <c r="L1177" s="44"/>
      <c r="M1177" s="45" t="s">
        <v>3716</v>
      </c>
    </row>
    <row r="1178" ht="30" customHeight="1" spans="1:13">
      <c r="A1178" s="41">
        <f>IF(C1178="","",SUBTOTAL(103,$C$2:C1178))</f>
        <v>1169</v>
      </c>
      <c r="B1178" s="41">
        <v>5282</v>
      </c>
      <c r="C1178" s="41">
        <v>695</v>
      </c>
      <c r="D1178" s="41" t="s">
        <v>3602</v>
      </c>
      <c r="E1178" s="41" t="s">
        <v>3603</v>
      </c>
      <c r="F1178" s="41" t="s">
        <v>3604</v>
      </c>
      <c r="G1178" s="41" t="s">
        <v>3717</v>
      </c>
      <c r="H1178" s="41" t="s">
        <v>3718</v>
      </c>
      <c r="I1178" s="43">
        <v>12</v>
      </c>
      <c r="J1178" s="44" t="str">
        <f>VLOOKUP(G1178,[1]硬件清单!$F:$F,1,0)</f>
        <v>1103201828</v>
      </c>
      <c r="K1178" s="44"/>
      <c r="L1178" s="44"/>
      <c r="M1178" s="45" t="s">
        <v>3719</v>
      </c>
    </row>
    <row r="1179" ht="30" customHeight="1" spans="1:13">
      <c r="A1179" s="41">
        <f>IF(C1179="","",SUBTOTAL(103,$C$2:C1179))</f>
        <v>1170</v>
      </c>
      <c r="B1179" s="41">
        <v>5283</v>
      </c>
      <c r="C1179" s="41">
        <v>696</v>
      </c>
      <c r="D1179" s="41" t="s">
        <v>3602</v>
      </c>
      <c r="E1179" s="41" t="s">
        <v>3603</v>
      </c>
      <c r="F1179" s="41" t="s">
        <v>3604</v>
      </c>
      <c r="G1179" s="41" t="s">
        <v>3720</v>
      </c>
      <c r="H1179" s="41" t="s">
        <v>3721</v>
      </c>
      <c r="I1179" s="43">
        <v>12</v>
      </c>
      <c r="J1179" s="44" t="str">
        <f>VLOOKUP(G1179,[1]硬件清单!$F:$F,1,0)</f>
        <v>1103201804</v>
      </c>
      <c r="K1179" s="44"/>
      <c r="L1179" s="44"/>
      <c r="M1179" s="45" t="s">
        <v>3722</v>
      </c>
    </row>
    <row r="1180" ht="30" customHeight="1" spans="1:13">
      <c r="A1180" s="41">
        <f>IF(C1180="","",SUBTOTAL(103,$C$2:C1180))</f>
        <v>1171</v>
      </c>
      <c r="B1180" s="41">
        <v>5284</v>
      </c>
      <c r="C1180" s="41">
        <v>697</v>
      </c>
      <c r="D1180" s="41" t="s">
        <v>45</v>
      </c>
      <c r="E1180" s="41" t="s">
        <v>1298</v>
      </c>
      <c r="F1180" s="41" t="s">
        <v>2255</v>
      </c>
      <c r="G1180" s="41" t="s">
        <v>3723</v>
      </c>
      <c r="H1180" s="41" t="s">
        <v>3724</v>
      </c>
      <c r="I1180" s="43">
        <v>12</v>
      </c>
      <c r="J1180" s="44" t="str">
        <f>VLOOKUP(G1180,[1]硬件清单!$F:$F,1,0)</f>
        <v>210235A3SUH19A000088</v>
      </c>
      <c r="K1180" s="44"/>
      <c r="L1180" s="44"/>
      <c r="M1180" s="45" t="s">
        <v>3725</v>
      </c>
    </row>
    <row r="1181" ht="30" customHeight="1" spans="1:13">
      <c r="A1181" s="41">
        <f>IF(C1181="","",SUBTOTAL(103,$C$2:C1181))</f>
        <v>1172</v>
      </c>
      <c r="B1181" s="41">
        <v>5285</v>
      </c>
      <c r="C1181" s="41">
        <v>698</v>
      </c>
      <c r="D1181" s="41" t="s">
        <v>45</v>
      </c>
      <c r="E1181" s="41" t="s">
        <v>1298</v>
      </c>
      <c r="F1181" s="41" t="s">
        <v>2255</v>
      </c>
      <c r="G1181" s="41" t="s">
        <v>3726</v>
      </c>
      <c r="H1181" s="41" t="s">
        <v>3727</v>
      </c>
      <c r="I1181" s="43">
        <v>12</v>
      </c>
      <c r="J1181" s="44" t="str">
        <f>VLOOKUP(G1181,[1]硬件清单!$F:$F,1,0)</f>
        <v>210235A3SUH19A000277</v>
      </c>
      <c r="K1181" s="44"/>
      <c r="L1181" s="44"/>
      <c r="M1181" s="45" t="s">
        <v>3728</v>
      </c>
    </row>
    <row r="1182" ht="30" customHeight="1" spans="1:13">
      <c r="A1182" s="41">
        <f>IF(C1182="","",SUBTOTAL(103,$C$2:C1182))</f>
        <v>1173</v>
      </c>
      <c r="B1182" s="41">
        <v>5286</v>
      </c>
      <c r="C1182" s="41">
        <v>699</v>
      </c>
      <c r="D1182" s="41" t="s">
        <v>45</v>
      </c>
      <c r="E1182" s="41" t="s">
        <v>1298</v>
      </c>
      <c r="F1182" s="41" t="s">
        <v>2255</v>
      </c>
      <c r="G1182" s="41" t="s">
        <v>3729</v>
      </c>
      <c r="H1182" s="41" t="s">
        <v>3730</v>
      </c>
      <c r="I1182" s="43">
        <v>12</v>
      </c>
      <c r="J1182" s="44" t="str">
        <f>VLOOKUP(G1182,[1]硬件清单!$F:$F,1,0)</f>
        <v>210235A3SUH19A000051</v>
      </c>
      <c r="K1182" s="44"/>
      <c r="L1182" s="44"/>
      <c r="M1182" s="45" t="s">
        <v>3731</v>
      </c>
    </row>
    <row r="1183" ht="30" customHeight="1" spans="1:13">
      <c r="A1183" s="41">
        <f>IF(C1183="","",SUBTOTAL(103,$C$2:C1183))</f>
        <v>1174</v>
      </c>
      <c r="B1183" s="41">
        <v>5287</v>
      </c>
      <c r="C1183" s="41">
        <v>700</v>
      </c>
      <c r="D1183" s="41" t="s">
        <v>45</v>
      </c>
      <c r="E1183" s="41" t="s">
        <v>1298</v>
      </c>
      <c r="F1183" s="41" t="s">
        <v>2255</v>
      </c>
      <c r="G1183" s="41" t="s">
        <v>3732</v>
      </c>
      <c r="H1183" s="41" t="s">
        <v>3733</v>
      </c>
      <c r="I1183" s="43">
        <v>12</v>
      </c>
      <c r="J1183" s="44" t="str">
        <f>VLOOKUP(G1183,[1]硬件清单!$F:$F,1,0)</f>
        <v>210235A3SUH19A000169</v>
      </c>
      <c r="K1183" s="44"/>
      <c r="L1183" s="44"/>
      <c r="M1183" s="45" t="s">
        <v>3734</v>
      </c>
    </row>
    <row r="1184" ht="30" customHeight="1" spans="1:13">
      <c r="A1184" s="41">
        <f>IF(C1184="","",SUBTOTAL(103,$C$2:C1184))</f>
        <v>1175</v>
      </c>
      <c r="B1184" s="41">
        <v>5288</v>
      </c>
      <c r="C1184" s="41">
        <v>701</v>
      </c>
      <c r="D1184" s="41" t="s">
        <v>45</v>
      </c>
      <c r="E1184" s="41" t="s">
        <v>1298</v>
      </c>
      <c r="F1184" s="41" t="s">
        <v>2255</v>
      </c>
      <c r="G1184" s="41" t="s">
        <v>3735</v>
      </c>
      <c r="H1184" s="41" t="s">
        <v>3736</v>
      </c>
      <c r="I1184" s="43">
        <v>12</v>
      </c>
      <c r="J1184" s="44" t="str">
        <f>VLOOKUP(G1184,[1]硬件清单!$F:$F,1,0)</f>
        <v>210235A3SUH19B000046</v>
      </c>
      <c r="K1184" s="44"/>
      <c r="L1184" s="44"/>
      <c r="M1184" s="45" t="s">
        <v>3737</v>
      </c>
    </row>
    <row r="1185" ht="30" customHeight="1" spans="1:13">
      <c r="A1185" s="41">
        <f>IF(C1185="","",SUBTOTAL(103,$C$2:C1185))</f>
        <v>1176</v>
      </c>
      <c r="B1185" s="41">
        <v>5289</v>
      </c>
      <c r="C1185" s="41">
        <v>702</v>
      </c>
      <c r="D1185" s="41" t="s">
        <v>45</v>
      </c>
      <c r="E1185" s="41" t="s">
        <v>1298</v>
      </c>
      <c r="F1185" s="41" t="s">
        <v>2255</v>
      </c>
      <c r="G1185" s="41" t="s">
        <v>3738</v>
      </c>
      <c r="H1185" s="41" t="s">
        <v>3739</v>
      </c>
      <c r="I1185" s="43">
        <v>12</v>
      </c>
      <c r="J1185" s="44" t="str">
        <f>VLOOKUP(G1185,[1]硬件清单!$F:$F,1,0)</f>
        <v>210235A3SUH19B000033</v>
      </c>
      <c r="K1185" s="44"/>
      <c r="L1185" s="44"/>
      <c r="M1185" s="45" t="s">
        <v>3740</v>
      </c>
    </row>
    <row r="1186" ht="30" customHeight="1" spans="1:13">
      <c r="A1186" s="41">
        <f>IF(C1186="","",SUBTOTAL(103,$C$2:C1186))</f>
        <v>1177</v>
      </c>
      <c r="B1186" s="41">
        <v>5290</v>
      </c>
      <c r="C1186" s="41">
        <v>703</v>
      </c>
      <c r="D1186" s="41" t="s">
        <v>45</v>
      </c>
      <c r="E1186" s="41" t="s">
        <v>1298</v>
      </c>
      <c r="F1186" s="41" t="s">
        <v>2255</v>
      </c>
      <c r="G1186" s="41" t="s">
        <v>3741</v>
      </c>
      <c r="H1186" s="41" t="s">
        <v>3742</v>
      </c>
      <c r="I1186" s="43">
        <v>12</v>
      </c>
      <c r="J1186" s="44" t="str">
        <f>VLOOKUP(G1186,[1]硬件清单!$F:$F,1,0)</f>
        <v>210235A3SUH19B000112</v>
      </c>
      <c r="K1186" s="44"/>
      <c r="L1186" s="44"/>
      <c r="M1186" s="45" t="s">
        <v>3743</v>
      </c>
    </row>
    <row r="1187" ht="30" customHeight="1" spans="1:13">
      <c r="A1187" s="41">
        <f>IF(C1187="","",SUBTOTAL(103,$C$2:C1187))</f>
        <v>1178</v>
      </c>
      <c r="B1187" s="41">
        <v>5291</v>
      </c>
      <c r="C1187" s="41">
        <v>704</v>
      </c>
      <c r="D1187" s="41" t="s">
        <v>45</v>
      </c>
      <c r="E1187" s="41" t="s">
        <v>1298</v>
      </c>
      <c r="F1187" s="41" t="s">
        <v>2255</v>
      </c>
      <c r="G1187" s="41" t="s">
        <v>3744</v>
      </c>
      <c r="H1187" s="41" t="s">
        <v>3745</v>
      </c>
      <c r="I1187" s="43">
        <v>12</v>
      </c>
      <c r="J1187" s="44" t="str">
        <f>VLOOKUP(G1187,[1]硬件清单!$F:$F,1,0)</f>
        <v>210235A3SUH19B000116</v>
      </c>
      <c r="K1187" s="44"/>
      <c r="L1187" s="44"/>
      <c r="M1187" s="45" t="s">
        <v>3746</v>
      </c>
    </row>
    <row r="1188" s="26" customFormat="1" ht="30" customHeight="1" spans="1:13">
      <c r="A1188" s="41">
        <f>IF(C1188="","",SUBTOTAL(103,$C$2:C1188))</f>
        <v>1179</v>
      </c>
      <c r="B1188" s="41">
        <v>5292</v>
      </c>
      <c r="C1188" s="41">
        <v>705</v>
      </c>
      <c r="D1188" s="41" t="s">
        <v>45</v>
      </c>
      <c r="E1188" s="41" t="s">
        <v>1298</v>
      </c>
      <c r="F1188" s="41" t="s">
        <v>2255</v>
      </c>
      <c r="G1188" s="41" t="s">
        <v>3747</v>
      </c>
      <c r="H1188" s="41" t="s">
        <v>3748</v>
      </c>
      <c r="I1188" s="43">
        <v>12</v>
      </c>
      <c r="J1188" s="44" t="str">
        <f>VLOOKUP(G1188,[1]硬件清单!$F:$F,1,0)</f>
        <v>210235A3SUH19B000032</v>
      </c>
      <c r="K1188" s="44"/>
      <c r="L1188" s="44"/>
      <c r="M1188" s="45" t="s">
        <v>3749</v>
      </c>
    </row>
    <row r="1189" s="26" customFormat="1" ht="30" customHeight="1" spans="1:13">
      <c r="A1189" s="41">
        <f>IF(C1189="","",SUBTOTAL(103,$C$2:C1189))</f>
        <v>1180</v>
      </c>
      <c r="B1189" s="41">
        <v>5293</v>
      </c>
      <c r="C1189" s="41">
        <v>706</v>
      </c>
      <c r="D1189" s="41" t="s">
        <v>45</v>
      </c>
      <c r="E1189" s="41" t="s">
        <v>1298</v>
      </c>
      <c r="F1189" s="41" t="s">
        <v>2255</v>
      </c>
      <c r="G1189" s="41" t="s">
        <v>3750</v>
      </c>
      <c r="H1189" s="41" t="s">
        <v>3751</v>
      </c>
      <c r="I1189" s="43">
        <v>12</v>
      </c>
      <c r="J1189" s="44" t="str">
        <f>VLOOKUP(G1189,[1]硬件清单!$F:$F,1,0)</f>
        <v>210235A3SUH19B000017</v>
      </c>
      <c r="K1189" s="44"/>
      <c r="L1189" s="44"/>
      <c r="M1189" s="45" t="s">
        <v>3752</v>
      </c>
    </row>
    <row r="1190" s="26" customFormat="1" ht="30" customHeight="1" spans="1:13">
      <c r="A1190" s="41">
        <f>IF(C1190="","",SUBTOTAL(103,$C$2:C1190))</f>
        <v>1181</v>
      </c>
      <c r="B1190" s="41">
        <v>5294</v>
      </c>
      <c r="C1190" s="41">
        <v>707</v>
      </c>
      <c r="D1190" s="41" t="s">
        <v>45</v>
      </c>
      <c r="E1190" s="41" t="s">
        <v>1298</v>
      </c>
      <c r="F1190" s="41" t="s">
        <v>3686</v>
      </c>
      <c r="G1190" s="41" t="s">
        <v>3753</v>
      </c>
      <c r="H1190" s="41" t="s">
        <v>3754</v>
      </c>
      <c r="I1190" s="43">
        <v>12</v>
      </c>
      <c r="J1190" s="44" t="str">
        <f>VLOOKUP(G1190,[1]硬件清单!$F:$F,1,0)</f>
        <v>J301DX2B</v>
      </c>
      <c r="K1190" s="44"/>
      <c r="L1190" s="44"/>
      <c r="M1190" s="45" t="s">
        <v>3755</v>
      </c>
    </row>
    <row r="1191" s="26" customFormat="1" ht="30" customHeight="1" spans="1:13">
      <c r="A1191" s="41">
        <f>IF(C1191="","",SUBTOTAL(103,$C$2:C1191))</f>
        <v>1182</v>
      </c>
      <c r="B1191" s="41">
        <v>5295</v>
      </c>
      <c r="C1191" s="41">
        <v>708</v>
      </c>
      <c r="D1191" s="41" t="s">
        <v>45</v>
      </c>
      <c r="E1191" s="41" t="s">
        <v>1298</v>
      </c>
      <c r="F1191" s="41" t="s">
        <v>3686</v>
      </c>
      <c r="G1191" s="41" t="s">
        <v>3756</v>
      </c>
      <c r="H1191" s="41" t="s">
        <v>3757</v>
      </c>
      <c r="I1191" s="43">
        <v>12</v>
      </c>
      <c r="J1191" s="44" t="str">
        <f>VLOOKUP(G1191,[1]硬件清单!$F:$F,1,0)</f>
        <v>J301DX24</v>
      </c>
      <c r="K1191" s="44"/>
      <c r="L1191" s="44"/>
      <c r="M1191" s="45" t="s">
        <v>3758</v>
      </c>
    </row>
    <row r="1192" s="26" customFormat="1" ht="30" customHeight="1" spans="1:13">
      <c r="A1192" s="41">
        <f>IF(C1192="","",SUBTOTAL(103,$C$2:C1192))</f>
        <v>1183</v>
      </c>
      <c r="B1192" s="41">
        <v>5296</v>
      </c>
      <c r="C1192" s="41">
        <v>709</v>
      </c>
      <c r="D1192" s="41" t="s">
        <v>45</v>
      </c>
      <c r="E1192" s="41" t="s">
        <v>1298</v>
      </c>
      <c r="F1192" s="41" t="s">
        <v>3686</v>
      </c>
      <c r="G1192" s="41" t="s">
        <v>3759</v>
      </c>
      <c r="H1192" s="41" t="s">
        <v>3760</v>
      </c>
      <c r="I1192" s="43">
        <v>12</v>
      </c>
      <c r="J1192" s="44" t="str">
        <f>VLOOKUP(G1192,[1]硬件清单!$F:$F,1,0)</f>
        <v>J301DX28</v>
      </c>
      <c r="K1192" s="44"/>
      <c r="L1192" s="44"/>
      <c r="M1192" s="45" t="s">
        <v>3761</v>
      </c>
    </row>
    <row r="1193" s="26" customFormat="1" ht="30" customHeight="1" spans="1:13">
      <c r="A1193" s="41">
        <f>IF(C1193="","",SUBTOTAL(103,$C$2:C1193))</f>
        <v>1184</v>
      </c>
      <c r="B1193" s="41">
        <v>5297</v>
      </c>
      <c r="C1193" s="41">
        <v>710</v>
      </c>
      <c r="D1193" s="41" t="s">
        <v>45</v>
      </c>
      <c r="E1193" s="41" t="s">
        <v>1298</v>
      </c>
      <c r="F1193" s="41" t="s">
        <v>3686</v>
      </c>
      <c r="G1193" s="41" t="s">
        <v>3762</v>
      </c>
      <c r="H1193" s="41" t="s">
        <v>3763</v>
      </c>
      <c r="I1193" s="43">
        <v>12</v>
      </c>
      <c r="J1193" s="44" t="str">
        <f>VLOOKUP(G1193,[1]硬件清单!$F:$F,1,0)</f>
        <v>J301DX27</v>
      </c>
      <c r="K1193" s="44"/>
      <c r="L1193" s="44"/>
      <c r="M1193" s="45" t="s">
        <v>3764</v>
      </c>
    </row>
    <row r="1194" ht="30" customHeight="1" spans="1:13">
      <c r="A1194" s="41">
        <f>IF(C1194="","",SUBTOTAL(103,$C$2:C1194))</f>
        <v>1185</v>
      </c>
      <c r="B1194" s="41">
        <v>5305</v>
      </c>
      <c r="C1194" s="41">
        <v>720</v>
      </c>
      <c r="D1194" s="41" t="s">
        <v>19</v>
      </c>
      <c r="E1194" s="41" t="s">
        <v>20</v>
      </c>
      <c r="F1194" s="41" t="s">
        <v>3765</v>
      </c>
      <c r="G1194" s="41" t="s">
        <v>3766</v>
      </c>
      <c r="H1194" s="41" t="s">
        <v>3767</v>
      </c>
      <c r="I1194" s="43">
        <v>12</v>
      </c>
      <c r="J1194" s="44" t="str">
        <f>VLOOKUP(G1194,[1]硬件清单!$F:$F,1,0)</f>
        <v>210235A3GLH19B000010</v>
      </c>
      <c r="K1194" s="44"/>
      <c r="L1194" s="44"/>
      <c r="M1194" s="45" t="s">
        <v>3768</v>
      </c>
    </row>
    <row r="1195" ht="30" customHeight="1" spans="1:13">
      <c r="A1195" s="41">
        <f>IF(C1195="","",SUBTOTAL(103,$C$2:C1195))</f>
        <v>1186</v>
      </c>
      <c r="B1195" s="41">
        <v>5306</v>
      </c>
      <c r="C1195" s="41">
        <v>721</v>
      </c>
      <c r="D1195" s="41" t="s">
        <v>19</v>
      </c>
      <c r="E1195" s="41" t="s">
        <v>20</v>
      </c>
      <c r="F1195" s="41" t="s">
        <v>3765</v>
      </c>
      <c r="G1195" s="41" t="s">
        <v>3769</v>
      </c>
      <c r="H1195" s="41" t="s">
        <v>3770</v>
      </c>
      <c r="I1195" s="43">
        <v>12</v>
      </c>
      <c r="J1195" s="44" t="str">
        <f>VLOOKUP(G1195,[1]硬件清单!$F:$F,1,0)</f>
        <v>210235A3GLH19B000009</v>
      </c>
      <c r="K1195" s="44"/>
      <c r="L1195" s="44"/>
      <c r="M1195" s="45" t="s">
        <v>3771</v>
      </c>
    </row>
    <row r="1196" ht="30" customHeight="1" spans="1:13">
      <c r="A1196" s="41">
        <f>IF(C1196="","",SUBTOTAL(103,$C$2:C1196))</f>
        <v>1187</v>
      </c>
      <c r="B1196" s="41">
        <v>5307</v>
      </c>
      <c r="C1196" s="41">
        <v>722</v>
      </c>
      <c r="D1196" s="41" t="s">
        <v>19</v>
      </c>
      <c r="E1196" s="41" t="s">
        <v>20</v>
      </c>
      <c r="F1196" s="41" t="s">
        <v>3765</v>
      </c>
      <c r="G1196" s="41" t="s">
        <v>3772</v>
      </c>
      <c r="H1196" s="41" t="s">
        <v>3773</v>
      </c>
      <c r="I1196" s="43">
        <v>12</v>
      </c>
      <c r="J1196" s="44" t="str">
        <f>VLOOKUP(G1196,[1]硬件清单!$F:$F,1,0)</f>
        <v>210235A3GLH19B000005</v>
      </c>
      <c r="K1196" s="44"/>
      <c r="L1196" s="44"/>
      <c r="M1196" s="45" t="s">
        <v>3774</v>
      </c>
    </row>
    <row r="1197" ht="30" customHeight="1" spans="1:13">
      <c r="A1197" s="41">
        <f>IF(C1197="","",SUBTOTAL(103,$C$2:C1197))</f>
        <v>1188</v>
      </c>
      <c r="B1197" s="41">
        <v>5308</v>
      </c>
      <c r="C1197" s="41">
        <v>723</v>
      </c>
      <c r="D1197" s="41" t="s">
        <v>19</v>
      </c>
      <c r="E1197" s="41" t="s">
        <v>20</v>
      </c>
      <c r="F1197" s="41" t="s">
        <v>3765</v>
      </c>
      <c r="G1197" s="41" t="s">
        <v>3775</v>
      </c>
      <c r="H1197" s="41" t="s">
        <v>3776</v>
      </c>
      <c r="I1197" s="43">
        <v>12</v>
      </c>
      <c r="J1197" s="44" t="str">
        <f>VLOOKUP(G1197,[1]硬件清单!$F:$F,1,0)</f>
        <v>210235A3GLH19B000003</v>
      </c>
      <c r="K1197" s="44"/>
      <c r="L1197" s="44"/>
      <c r="M1197" s="45" t="s">
        <v>3777</v>
      </c>
    </row>
    <row r="1198" ht="30" customHeight="1" spans="1:13">
      <c r="A1198" s="41">
        <f>IF(C1198="","",SUBTOTAL(103,$C$2:C1198))</f>
        <v>1189</v>
      </c>
      <c r="B1198" s="41">
        <v>5309</v>
      </c>
      <c r="C1198" s="41">
        <v>724</v>
      </c>
      <c r="D1198" s="41" t="s">
        <v>19</v>
      </c>
      <c r="E1198" s="41" t="s">
        <v>20</v>
      </c>
      <c r="F1198" s="41" t="s">
        <v>3778</v>
      </c>
      <c r="G1198" s="41" t="s">
        <v>3779</v>
      </c>
      <c r="H1198" s="41" t="s">
        <v>3780</v>
      </c>
      <c r="I1198" s="43">
        <v>12</v>
      </c>
      <c r="J1198" s="44" t="str">
        <f>VLOOKUP(G1198,[1]硬件清单!$F:$F,1,0)</f>
        <v>2102350DLVDMK9000079</v>
      </c>
      <c r="K1198" s="44"/>
      <c r="L1198" s="44"/>
      <c r="M1198" s="45" t="s">
        <v>3781</v>
      </c>
    </row>
    <row r="1199" ht="30" customHeight="1" spans="1:13">
      <c r="A1199" s="41">
        <f>IF(C1199="","",SUBTOTAL(103,$C$2:C1199))</f>
        <v>1190</v>
      </c>
      <c r="B1199" s="41">
        <v>5310</v>
      </c>
      <c r="C1199" s="41">
        <v>725</v>
      </c>
      <c r="D1199" s="41" t="s">
        <v>19</v>
      </c>
      <c r="E1199" s="41" t="s">
        <v>20</v>
      </c>
      <c r="F1199" s="41" t="s">
        <v>3778</v>
      </c>
      <c r="G1199" s="41" t="s">
        <v>3782</v>
      </c>
      <c r="H1199" s="41" t="s">
        <v>3783</v>
      </c>
      <c r="I1199" s="43">
        <v>12</v>
      </c>
      <c r="J1199" s="44" t="str">
        <f>VLOOKUP(G1199,[1]硬件清单!$F:$F,1,0)</f>
        <v>2102350DLVDMK8001583</v>
      </c>
      <c r="K1199" s="44"/>
      <c r="L1199" s="44"/>
      <c r="M1199" s="45" t="s">
        <v>3784</v>
      </c>
    </row>
    <row r="1200" ht="30" customHeight="1" spans="1:13">
      <c r="A1200" s="41">
        <f>IF(C1200="","",SUBTOTAL(103,$C$2:C1200))</f>
        <v>1191</v>
      </c>
      <c r="B1200" s="41">
        <v>5311</v>
      </c>
      <c r="C1200" s="41">
        <v>726</v>
      </c>
      <c r="D1200" s="41" t="s">
        <v>19</v>
      </c>
      <c r="E1200" s="41" t="s">
        <v>20</v>
      </c>
      <c r="F1200" s="41" t="s">
        <v>3778</v>
      </c>
      <c r="G1200" s="41" t="s">
        <v>3785</v>
      </c>
      <c r="H1200" s="41" t="s">
        <v>3786</v>
      </c>
      <c r="I1200" s="43">
        <v>12</v>
      </c>
      <c r="J1200" s="44" t="str">
        <f>VLOOKUP(G1200,[1]硬件清单!$F:$F,1,0)</f>
        <v>2102350DLVDMK9000061</v>
      </c>
      <c r="K1200" s="44"/>
      <c r="L1200" s="44"/>
      <c r="M1200" s="45" t="s">
        <v>3787</v>
      </c>
    </row>
    <row r="1201" ht="30" customHeight="1" spans="1:13">
      <c r="A1201" s="41">
        <f>IF(C1201="","",SUBTOTAL(103,$C$2:C1201))</f>
        <v>1192</v>
      </c>
      <c r="B1201" s="41">
        <v>5312</v>
      </c>
      <c r="C1201" s="41">
        <v>727</v>
      </c>
      <c r="D1201" s="41" t="s">
        <v>19</v>
      </c>
      <c r="E1201" s="41" t="s">
        <v>20</v>
      </c>
      <c r="F1201" s="41" t="s">
        <v>3778</v>
      </c>
      <c r="G1201" s="41" t="s">
        <v>3788</v>
      </c>
      <c r="H1201" s="41" t="s">
        <v>3789</v>
      </c>
      <c r="I1201" s="43">
        <v>12</v>
      </c>
      <c r="J1201" s="44" t="str">
        <f>VLOOKUP(G1201,[1]硬件清单!$F:$F,1,0)</f>
        <v>2102350DLVDMK9000107</v>
      </c>
      <c r="K1201" s="44"/>
      <c r="L1201" s="44"/>
      <c r="M1201" s="45" t="s">
        <v>3790</v>
      </c>
    </row>
    <row r="1202" ht="30" customHeight="1" spans="1:13">
      <c r="A1202" s="41">
        <f>IF(C1202="","",SUBTOTAL(103,$C$2:C1202))</f>
        <v>1193</v>
      </c>
      <c r="B1202" s="41">
        <v>5313</v>
      </c>
      <c r="C1202" s="41">
        <v>728</v>
      </c>
      <c r="D1202" s="41" t="s">
        <v>65</v>
      </c>
      <c r="E1202" s="41" t="s">
        <v>220</v>
      </c>
      <c r="F1202" s="41" t="s">
        <v>1027</v>
      </c>
      <c r="G1202" s="41" t="s">
        <v>3791</v>
      </c>
      <c r="H1202" s="41" t="s">
        <v>3792</v>
      </c>
      <c r="I1202" s="43">
        <v>12</v>
      </c>
      <c r="J1202" s="44" t="str">
        <f>VLOOKUP(G1202,[1]硬件清单!$F:$F,1,0)</f>
        <v>YDTSA26501910240017</v>
      </c>
      <c r="K1202" s="44"/>
      <c r="L1202" s="44"/>
      <c r="M1202" s="45" t="s">
        <v>3793</v>
      </c>
    </row>
    <row r="1203" ht="30" customHeight="1" spans="1:13">
      <c r="A1203" s="41">
        <f>IF(C1203="","",SUBTOTAL(103,$C$2:C1203))</f>
        <v>1194</v>
      </c>
      <c r="B1203" s="41">
        <v>5314</v>
      </c>
      <c r="C1203" s="41">
        <v>729</v>
      </c>
      <c r="D1203" s="41" t="s">
        <v>65</v>
      </c>
      <c r="E1203" s="41" t="s">
        <v>220</v>
      </c>
      <c r="F1203" s="41" t="s">
        <v>1027</v>
      </c>
      <c r="G1203" s="41" t="s">
        <v>3794</v>
      </c>
      <c r="H1203" s="41" t="s">
        <v>3795</v>
      </c>
      <c r="I1203" s="43">
        <v>12</v>
      </c>
      <c r="J1203" s="44" t="str">
        <f>VLOOKUP(G1203,[1]硬件清单!$F:$F,1,0)</f>
        <v>YDTSA26501910240020</v>
      </c>
      <c r="K1203" s="44"/>
      <c r="L1203" s="44"/>
      <c r="M1203" s="45" t="s">
        <v>3796</v>
      </c>
    </row>
    <row r="1204" ht="30" customHeight="1" spans="1:13">
      <c r="A1204" s="41">
        <f>IF(C1204="","",SUBTOTAL(103,$C$2:C1204))</f>
        <v>1195</v>
      </c>
      <c r="B1204" s="41">
        <v>5315</v>
      </c>
      <c r="C1204" s="41">
        <v>730</v>
      </c>
      <c r="D1204" s="41" t="s">
        <v>65</v>
      </c>
      <c r="E1204" s="41" t="s">
        <v>220</v>
      </c>
      <c r="F1204" s="41" t="s">
        <v>1027</v>
      </c>
      <c r="G1204" s="41" t="s">
        <v>3797</v>
      </c>
      <c r="H1204" s="41" t="s">
        <v>3798</v>
      </c>
      <c r="I1204" s="43">
        <v>12</v>
      </c>
      <c r="J1204" s="44" t="str">
        <f>VLOOKUP(G1204,[1]硬件清单!$F:$F,1,0)</f>
        <v>YDTSA26501910240007</v>
      </c>
      <c r="K1204" s="44"/>
      <c r="L1204" s="44"/>
      <c r="M1204" s="45" t="s">
        <v>3799</v>
      </c>
    </row>
    <row r="1205" ht="30" customHeight="1" spans="1:13">
      <c r="A1205" s="41">
        <f>IF(C1205="","",SUBTOTAL(103,$C$2:C1205))</f>
        <v>1196</v>
      </c>
      <c r="B1205" s="41">
        <v>5316</v>
      </c>
      <c r="C1205" s="41">
        <v>731</v>
      </c>
      <c r="D1205" s="41" t="s">
        <v>65</v>
      </c>
      <c r="E1205" s="41" t="s">
        <v>220</v>
      </c>
      <c r="F1205" s="41" t="s">
        <v>1027</v>
      </c>
      <c r="G1205" s="41" t="s">
        <v>3800</v>
      </c>
      <c r="H1205" s="41" t="s">
        <v>3801</v>
      </c>
      <c r="I1205" s="43">
        <v>12</v>
      </c>
      <c r="J1205" s="44" t="str">
        <f>VLOOKUP(G1205,[1]硬件清单!$F:$F,1,0)</f>
        <v>YDTSA26501910240012</v>
      </c>
      <c r="K1205" s="44"/>
      <c r="L1205" s="44"/>
      <c r="M1205" s="45" t="s">
        <v>3802</v>
      </c>
    </row>
    <row r="1206" ht="30" customHeight="1" spans="1:13">
      <c r="A1206" s="41">
        <f>IF(C1206="","",SUBTOTAL(103,$C$2:C1206))</f>
        <v>1197</v>
      </c>
      <c r="B1206" s="41">
        <v>5317</v>
      </c>
      <c r="C1206" s="41">
        <v>732</v>
      </c>
      <c r="D1206" s="41" t="s">
        <v>65</v>
      </c>
      <c r="E1206" s="41" t="s">
        <v>220</v>
      </c>
      <c r="F1206" s="41" t="s">
        <v>1027</v>
      </c>
      <c r="G1206" s="41" t="s">
        <v>3803</v>
      </c>
      <c r="H1206" s="41" t="s">
        <v>3804</v>
      </c>
      <c r="I1206" s="43">
        <v>12</v>
      </c>
      <c r="J1206" s="44" t="str">
        <f>VLOOKUP(G1206,[1]硬件清单!$F:$F,1,0)</f>
        <v>YDTSA26501910240015</v>
      </c>
      <c r="K1206" s="44"/>
      <c r="L1206" s="44"/>
      <c r="M1206" s="45" t="s">
        <v>3805</v>
      </c>
    </row>
    <row r="1207" ht="30" customHeight="1" spans="1:13">
      <c r="A1207" s="41">
        <f>IF(C1207="","",SUBTOTAL(103,$C$2:C1207))</f>
        <v>1198</v>
      </c>
      <c r="B1207" s="41">
        <v>5318</v>
      </c>
      <c r="C1207" s="41">
        <v>733</v>
      </c>
      <c r="D1207" s="41" t="s">
        <v>65</v>
      </c>
      <c r="E1207" s="41" t="s">
        <v>220</v>
      </c>
      <c r="F1207" s="41" t="s">
        <v>1027</v>
      </c>
      <c r="G1207" s="41" t="s">
        <v>3806</v>
      </c>
      <c r="H1207" s="41" t="s">
        <v>3807</v>
      </c>
      <c r="I1207" s="43">
        <v>12</v>
      </c>
      <c r="J1207" s="44" t="str">
        <f>VLOOKUP(G1207,[1]硬件清单!$F:$F,1,0)</f>
        <v>YDTSA26501910240014</v>
      </c>
      <c r="K1207" s="44"/>
      <c r="L1207" s="44"/>
      <c r="M1207" s="45" t="s">
        <v>3808</v>
      </c>
    </row>
    <row r="1208" ht="30" customHeight="1" spans="1:13">
      <c r="A1208" s="41">
        <f>IF(C1208="","",SUBTOTAL(103,$C$2:C1208))</f>
        <v>1199</v>
      </c>
      <c r="B1208" s="41">
        <v>5319</v>
      </c>
      <c r="C1208" s="41">
        <v>734</v>
      </c>
      <c r="D1208" s="41" t="s">
        <v>65</v>
      </c>
      <c r="E1208" s="41" t="s">
        <v>220</v>
      </c>
      <c r="F1208" s="41" t="s">
        <v>1027</v>
      </c>
      <c r="G1208" s="41" t="s">
        <v>3809</v>
      </c>
      <c r="H1208" s="41" t="s">
        <v>3810</v>
      </c>
      <c r="I1208" s="43">
        <v>12</v>
      </c>
      <c r="J1208" s="44" t="str">
        <f>VLOOKUP(G1208,[1]硬件清单!$F:$F,1,0)</f>
        <v>YDTSA26501910240001</v>
      </c>
      <c r="K1208" s="44"/>
      <c r="L1208" s="44"/>
      <c r="M1208" s="45" t="s">
        <v>3811</v>
      </c>
    </row>
    <row r="1209" ht="30" customHeight="1" spans="1:13">
      <c r="A1209" s="41">
        <f>IF(C1209="","",SUBTOTAL(103,$C$2:C1209))</f>
        <v>1200</v>
      </c>
      <c r="B1209" s="41">
        <v>5320</v>
      </c>
      <c r="C1209" s="41">
        <v>735</v>
      </c>
      <c r="D1209" s="41" t="s">
        <v>65</v>
      </c>
      <c r="E1209" s="41" t="s">
        <v>220</v>
      </c>
      <c r="F1209" s="41" t="s">
        <v>1027</v>
      </c>
      <c r="G1209" s="41" t="s">
        <v>3812</v>
      </c>
      <c r="H1209" s="41" t="s">
        <v>3813</v>
      </c>
      <c r="I1209" s="43">
        <v>12</v>
      </c>
      <c r="J1209" s="44" t="str">
        <f>VLOOKUP(G1209,[1]硬件清单!$F:$F,1,0)</f>
        <v>YDTSA26501910240019</v>
      </c>
      <c r="K1209" s="44"/>
      <c r="L1209" s="44"/>
      <c r="M1209" s="45" t="s">
        <v>3814</v>
      </c>
    </row>
    <row r="1210" ht="30" customHeight="1" spans="1:13">
      <c r="A1210" s="41">
        <f>IF(C1210="","",SUBTOTAL(103,$C$2:C1210))</f>
        <v>1201</v>
      </c>
      <c r="B1210" s="41">
        <v>5321</v>
      </c>
      <c r="C1210" s="41">
        <v>736</v>
      </c>
      <c r="D1210" s="41" t="s">
        <v>65</v>
      </c>
      <c r="E1210" s="41" t="s">
        <v>220</v>
      </c>
      <c r="F1210" s="41" t="s">
        <v>1027</v>
      </c>
      <c r="G1210" s="41" t="s">
        <v>3815</v>
      </c>
      <c r="H1210" s="41" t="s">
        <v>3816</v>
      </c>
      <c r="I1210" s="43">
        <v>12</v>
      </c>
      <c r="J1210" s="44" t="str">
        <f>VLOOKUP(G1210,[1]硬件清单!$F:$F,1,0)</f>
        <v>YDTSA26501910240016</v>
      </c>
      <c r="K1210" s="44"/>
      <c r="L1210" s="44"/>
      <c r="M1210" s="45" t="s">
        <v>3817</v>
      </c>
    </row>
    <row r="1211" ht="30" customHeight="1" spans="1:13">
      <c r="A1211" s="41">
        <f>IF(C1211="","",SUBTOTAL(103,$C$2:C1211))</f>
        <v>1202</v>
      </c>
      <c r="B1211" s="41">
        <v>5322</v>
      </c>
      <c r="C1211" s="41">
        <v>737</v>
      </c>
      <c r="D1211" s="41" t="s">
        <v>65</v>
      </c>
      <c r="E1211" s="41" t="s">
        <v>220</v>
      </c>
      <c r="F1211" s="41" t="s">
        <v>1027</v>
      </c>
      <c r="G1211" s="41" t="s">
        <v>3818</v>
      </c>
      <c r="H1211" s="41" t="s">
        <v>3819</v>
      </c>
      <c r="I1211" s="43">
        <v>12</v>
      </c>
      <c r="J1211" s="44" t="str">
        <f>VLOOKUP(G1211,[1]硬件清单!$F:$F,1,0)</f>
        <v>YDTSA26501910240013</v>
      </c>
      <c r="K1211" s="44"/>
      <c r="L1211" s="44"/>
      <c r="M1211" s="45" t="s">
        <v>3820</v>
      </c>
    </row>
    <row r="1212" ht="30" customHeight="1" spans="1:13">
      <c r="A1212" s="41">
        <f>IF(C1212="","",SUBTOTAL(103,$C$2:C1212))</f>
        <v>1203</v>
      </c>
      <c r="B1212" s="41">
        <v>5323</v>
      </c>
      <c r="C1212" s="41">
        <v>738</v>
      </c>
      <c r="D1212" s="41" t="s">
        <v>65</v>
      </c>
      <c r="E1212" s="41" t="s">
        <v>220</v>
      </c>
      <c r="F1212" s="41" t="s">
        <v>3821</v>
      </c>
      <c r="G1212" s="41" t="s">
        <v>3822</v>
      </c>
      <c r="H1212" s="41" t="s">
        <v>3823</v>
      </c>
      <c r="I1212" s="43">
        <v>12</v>
      </c>
      <c r="J1212" s="44" t="str">
        <f>VLOOKUP(G1212,[1]硬件清单!$F:$F,1,0)</f>
        <v>ASG1000-III2F02D64621</v>
      </c>
      <c r="K1212" s="44"/>
      <c r="L1212" s="44"/>
      <c r="M1212" s="45" t="s">
        <v>3824</v>
      </c>
    </row>
    <row r="1213" ht="30" customHeight="1" spans="1:13">
      <c r="A1213" s="41">
        <f>IF(C1213="","",SUBTOTAL(103,$C$2:C1213))</f>
        <v>1204</v>
      </c>
      <c r="B1213" s="41">
        <v>5324</v>
      </c>
      <c r="C1213" s="41">
        <v>739</v>
      </c>
      <c r="D1213" s="41" t="s">
        <v>65</v>
      </c>
      <c r="E1213" s="41" t="s">
        <v>220</v>
      </c>
      <c r="F1213" s="41" t="s">
        <v>3821</v>
      </c>
      <c r="G1213" s="41" t="s">
        <v>3825</v>
      </c>
      <c r="H1213" s="41" t="s">
        <v>3826</v>
      </c>
      <c r="I1213" s="43">
        <v>12</v>
      </c>
      <c r="J1213" s="44" t="str">
        <f>VLOOKUP(G1213,[1]硬件清单!$F:$F,1,0)</f>
        <v>ASG1000-III2F02D64622</v>
      </c>
      <c r="K1213" s="44"/>
      <c r="L1213" s="44"/>
      <c r="M1213" s="45" t="s">
        <v>3827</v>
      </c>
    </row>
    <row r="1214" ht="30" customHeight="1" spans="1:13">
      <c r="A1214" s="41">
        <f>IF(C1214="","",SUBTOTAL(103,$C$2:C1214))</f>
        <v>1205</v>
      </c>
      <c r="B1214" s="41">
        <v>5325</v>
      </c>
      <c r="C1214" s="41">
        <v>740</v>
      </c>
      <c r="D1214" s="41" t="s">
        <v>65</v>
      </c>
      <c r="E1214" s="41" t="s">
        <v>220</v>
      </c>
      <c r="F1214" s="41" t="s">
        <v>3821</v>
      </c>
      <c r="G1214" s="41" t="s">
        <v>3828</v>
      </c>
      <c r="H1214" s="41" t="s">
        <v>3829</v>
      </c>
      <c r="I1214" s="43">
        <v>12</v>
      </c>
      <c r="J1214" s="44" t="str">
        <f>VLOOKUP(G1214,[1]硬件清单!$F:$F,1,0)</f>
        <v>ASG1000-III2F0289ACC1</v>
      </c>
      <c r="K1214" s="44"/>
      <c r="L1214" s="44"/>
      <c r="M1214" s="45" t="s">
        <v>3830</v>
      </c>
    </row>
    <row r="1215" ht="30" customHeight="1" spans="1:13">
      <c r="A1215" s="41">
        <f>IF(C1215="","",SUBTOTAL(103,$C$2:C1215))</f>
        <v>1206</v>
      </c>
      <c r="B1215" s="41">
        <v>5326</v>
      </c>
      <c r="C1215" s="41">
        <v>741</v>
      </c>
      <c r="D1215" s="41" t="s">
        <v>65</v>
      </c>
      <c r="E1215" s="41" t="s">
        <v>220</v>
      </c>
      <c r="F1215" s="41" t="s">
        <v>3821</v>
      </c>
      <c r="G1215" s="41" t="s">
        <v>3831</v>
      </c>
      <c r="H1215" s="41" t="s">
        <v>3832</v>
      </c>
      <c r="I1215" s="43">
        <v>12</v>
      </c>
      <c r="J1215" s="44" t="str">
        <f>VLOOKUP(G1215,[1]硬件清单!$F:$F,1,0)</f>
        <v>ASG1000-III2F0289ACC2</v>
      </c>
      <c r="K1215" s="44"/>
      <c r="L1215" s="44"/>
      <c r="M1215" s="45" t="s">
        <v>3833</v>
      </c>
    </row>
    <row r="1216" ht="30" customHeight="1" spans="1:13">
      <c r="A1216" s="41">
        <f>IF(C1216="","",SUBTOTAL(103,$C$2:C1216))</f>
        <v>1207</v>
      </c>
      <c r="B1216" s="41">
        <v>5327</v>
      </c>
      <c r="C1216" s="41">
        <v>744</v>
      </c>
      <c r="D1216" s="41" t="s">
        <v>65</v>
      </c>
      <c r="E1216" s="41" t="s">
        <v>220</v>
      </c>
      <c r="F1216" s="41" t="s">
        <v>3834</v>
      </c>
      <c r="G1216" s="41" t="s">
        <v>3835</v>
      </c>
      <c r="H1216" s="41" t="s">
        <v>3836</v>
      </c>
      <c r="I1216" s="43">
        <v>12</v>
      </c>
      <c r="J1216" s="44" t="str">
        <f>VLOOKUP(G1216,[1]硬件清单!$F:$F,1,0)</f>
        <v>LVS2000S2F02B8D5E1</v>
      </c>
      <c r="K1216" s="44"/>
      <c r="L1216" s="44"/>
      <c r="M1216" s="45" t="s">
        <v>3837</v>
      </c>
    </row>
    <row r="1217" ht="30" customHeight="1" spans="1:13">
      <c r="A1217" s="41">
        <f>IF(C1217="","",SUBTOTAL(103,$C$2:C1217))</f>
        <v>1208</v>
      </c>
      <c r="B1217" s="41">
        <v>5328</v>
      </c>
      <c r="C1217" s="41">
        <v>745</v>
      </c>
      <c r="D1217" s="41" t="s">
        <v>65</v>
      </c>
      <c r="E1217" s="41" t="s">
        <v>220</v>
      </c>
      <c r="F1217" s="41" t="s">
        <v>3834</v>
      </c>
      <c r="G1217" s="41" t="s">
        <v>3838</v>
      </c>
      <c r="H1217" s="41" t="s">
        <v>3839</v>
      </c>
      <c r="I1217" s="43">
        <v>12</v>
      </c>
      <c r="J1217" s="44" t="str">
        <f>VLOOKUP(G1217,[1]硬件清单!$F:$F,1,0)</f>
        <v>LVS2000S2F02B8D5E2</v>
      </c>
      <c r="K1217" s="44"/>
      <c r="L1217" s="44"/>
      <c r="M1217" s="45" t="s">
        <v>3840</v>
      </c>
    </row>
    <row r="1218" ht="30" customHeight="1" spans="1:13">
      <c r="A1218" s="41">
        <f>IF(C1218="","",SUBTOTAL(103,$C$2:C1218))</f>
        <v>1209</v>
      </c>
      <c r="B1218" s="41">
        <v>5329</v>
      </c>
      <c r="C1218" s="41">
        <v>746</v>
      </c>
      <c r="D1218" s="41" t="s">
        <v>65</v>
      </c>
      <c r="E1218" s="41" t="s">
        <v>220</v>
      </c>
      <c r="F1218" s="41" t="s">
        <v>3834</v>
      </c>
      <c r="G1218" s="41" t="s">
        <v>3841</v>
      </c>
      <c r="H1218" s="41" t="s">
        <v>3842</v>
      </c>
      <c r="I1218" s="43">
        <v>12</v>
      </c>
      <c r="J1218" s="44" t="str">
        <f>VLOOKUP(G1218,[1]硬件清单!$F:$F,1,0)</f>
        <v>LVS2000S2F02B8D5E3</v>
      </c>
      <c r="K1218" s="44"/>
      <c r="L1218" s="44"/>
      <c r="M1218" s="45" t="s">
        <v>3843</v>
      </c>
    </row>
    <row r="1219" ht="30" customHeight="1" spans="1:13">
      <c r="A1219" s="41">
        <f>IF(C1219="","",SUBTOTAL(103,$C$2:C1219))</f>
        <v>1210</v>
      </c>
      <c r="B1219" s="41">
        <v>5330</v>
      </c>
      <c r="C1219" s="41">
        <v>747</v>
      </c>
      <c r="D1219" s="41" t="s">
        <v>65</v>
      </c>
      <c r="E1219" s="41" t="s">
        <v>220</v>
      </c>
      <c r="F1219" s="41" t="s">
        <v>3834</v>
      </c>
      <c r="G1219" s="41" t="s">
        <v>3844</v>
      </c>
      <c r="H1219" s="41" t="s">
        <v>3845</v>
      </c>
      <c r="I1219" s="43">
        <v>12</v>
      </c>
      <c r="J1219" s="44" t="str">
        <f>VLOOKUP(G1219,[1]硬件清单!$F:$F,1,0)</f>
        <v>LVS2000S2F02B8D5E4</v>
      </c>
      <c r="K1219" s="44"/>
      <c r="L1219" s="44"/>
      <c r="M1219" s="45" t="s">
        <v>3846</v>
      </c>
    </row>
    <row r="1220" ht="30" customHeight="1" spans="1:13">
      <c r="A1220" s="41">
        <f>IF(C1220="","",SUBTOTAL(103,$C$2:C1220))</f>
        <v>1211</v>
      </c>
      <c r="B1220" s="41">
        <v>5331</v>
      </c>
      <c r="C1220" s="41">
        <v>761</v>
      </c>
      <c r="D1220" s="41" t="s">
        <v>65</v>
      </c>
      <c r="E1220" s="41" t="s">
        <v>220</v>
      </c>
      <c r="F1220" s="41" t="s">
        <v>1055</v>
      </c>
      <c r="G1220" s="41" t="s">
        <v>3847</v>
      </c>
      <c r="H1220" s="41" t="s">
        <v>3848</v>
      </c>
      <c r="I1220" s="43">
        <v>12</v>
      </c>
      <c r="J1220" s="44" t="str">
        <f>VLOOKUP(G1220,[1]硬件清单!$F:$F,1,0)</f>
        <v>EME42802F027C3F46</v>
      </c>
      <c r="K1220" s="44"/>
      <c r="L1220" s="44"/>
      <c r="M1220" s="45" t="s">
        <v>3849</v>
      </c>
    </row>
    <row r="1221" ht="30" customHeight="1" spans="1:13">
      <c r="A1221" s="41">
        <f>IF(C1221="","",SUBTOTAL(103,$C$2:C1221))</f>
        <v>1212</v>
      </c>
      <c r="B1221" s="41">
        <v>5332</v>
      </c>
      <c r="C1221" s="41">
        <v>782</v>
      </c>
      <c r="D1221" s="41" t="s">
        <v>65</v>
      </c>
      <c r="E1221" s="41" t="s">
        <v>220</v>
      </c>
      <c r="F1221" s="41" t="s">
        <v>3850</v>
      </c>
      <c r="G1221" s="41" t="s">
        <v>3851</v>
      </c>
      <c r="H1221" s="41" t="s">
        <v>3852</v>
      </c>
      <c r="I1221" s="43">
        <v>12</v>
      </c>
      <c r="J1221" s="44" t="str">
        <f>VLOOKUP(G1221,[1]硬件清单!$F:$F,1,0)</f>
        <v>YD-SW10-242F02D841F1</v>
      </c>
      <c r="K1221" s="44"/>
      <c r="L1221" s="44"/>
      <c r="M1221" s="45" t="s">
        <v>3853</v>
      </c>
    </row>
    <row r="1222" ht="30" customHeight="1" spans="1:13">
      <c r="A1222" s="41">
        <f>IF(C1222="","",SUBTOTAL(103,$C$2:C1222))</f>
        <v>1213</v>
      </c>
      <c r="B1222" s="41">
        <v>5333</v>
      </c>
      <c r="C1222" s="41">
        <v>783</v>
      </c>
      <c r="D1222" s="41" t="s">
        <v>65</v>
      </c>
      <c r="E1222" s="41" t="s">
        <v>220</v>
      </c>
      <c r="F1222" s="41" t="s">
        <v>3850</v>
      </c>
      <c r="G1222" s="41" t="s">
        <v>3854</v>
      </c>
      <c r="H1222" s="41" t="s">
        <v>3855</v>
      </c>
      <c r="I1222" s="43">
        <v>12</v>
      </c>
      <c r="J1222" s="44" t="str">
        <f>VLOOKUP(G1222,[1]硬件清单!$F:$F,1,0)</f>
        <v>YD-SW10-242F02D841F2</v>
      </c>
      <c r="K1222" s="44"/>
      <c r="L1222" s="44"/>
      <c r="M1222" s="45" t="s">
        <v>3856</v>
      </c>
    </row>
    <row r="1223" ht="30" customHeight="1" spans="1:13">
      <c r="A1223" s="41">
        <f>IF(C1223="","",SUBTOTAL(103,$C$2:C1223))</f>
        <v>1214</v>
      </c>
      <c r="B1223" s="41">
        <v>5334</v>
      </c>
      <c r="C1223" s="41">
        <v>784</v>
      </c>
      <c r="D1223" s="41" t="s">
        <v>65</v>
      </c>
      <c r="E1223" s="41" t="s">
        <v>220</v>
      </c>
      <c r="F1223" s="41" t="s">
        <v>3850</v>
      </c>
      <c r="G1223" s="41" t="s">
        <v>3857</v>
      </c>
      <c r="H1223" s="41" t="s">
        <v>3858</v>
      </c>
      <c r="I1223" s="43">
        <v>12</v>
      </c>
      <c r="J1223" s="44" t="str">
        <f>VLOOKUP(G1223,[1]硬件清单!$F:$F,1,0)</f>
        <v>YD-SW10-242F02D841F3</v>
      </c>
      <c r="K1223" s="44"/>
      <c r="L1223" s="44"/>
      <c r="M1223" s="45" t="s">
        <v>3859</v>
      </c>
    </row>
    <row r="1224" ht="30" customHeight="1" spans="1:13">
      <c r="A1224" s="41">
        <f>IF(C1224="","",SUBTOTAL(103,$C$2:C1224))</f>
        <v>1215</v>
      </c>
      <c r="B1224" s="41">
        <v>5335</v>
      </c>
      <c r="C1224" s="41">
        <v>785</v>
      </c>
      <c r="D1224" s="41" t="s">
        <v>65</v>
      </c>
      <c r="E1224" s="41" t="s">
        <v>220</v>
      </c>
      <c r="F1224" s="41" t="s">
        <v>3850</v>
      </c>
      <c r="G1224" s="41" t="s">
        <v>3860</v>
      </c>
      <c r="H1224" s="41" t="s">
        <v>3861</v>
      </c>
      <c r="I1224" s="43">
        <v>12</v>
      </c>
      <c r="J1224" s="44" t="str">
        <f>VLOOKUP(G1224,[1]硬件清单!$F:$F,1,0)</f>
        <v>YD-SW10-242F02D841F4</v>
      </c>
      <c r="K1224" s="44"/>
      <c r="L1224" s="44"/>
      <c r="M1224" s="45" t="s">
        <v>3862</v>
      </c>
    </row>
    <row r="1225" ht="30" customHeight="1" spans="1:13">
      <c r="A1225" s="41">
        <f>IF(C1225="","",SUBTOTAL(103,$C$2:C1225))</f>
        <v>1216</v>
      </c>
      <c r="B1225" s="41">
        <v>5336</v>
      </c>
      <c r="C1225" s="41">
        <v>786</v>
      </c>
      <c r="D1225" s="41" t="s">
        <v>65</v>
      </c>
      <c r="E1225" s="41" t="s">
        <v>220</v>
      </c>
      <c r="F1225" s="41" t="s">
        <v>3850</v>
      </c>
      <c r="G1225" s="41" t="s">
        <v>3863</v>
      </c>
      <c r="H1225" s="41" t="s">
        <v>3864</v>
      </c>
      <c r="I1225" s="43">
        <v>12</v>
      </c>
      <c r="J1225" s="44" t="str">
        <f>VLOOKUP(G1225,[1]硬件清单!$F:$F,1,0)</f>
        <v>YD-SW10-242F02D841F5</v>
      </c>
      <c r="K1225" s="44"/>
      <c r="L1225" s="44"/>
      <c r="M1225" s="45" t="s">
        <v>3865</v>
      </c>
    </row>
    <row r="1226" ht="30" customHeight="1" spans="1:13">
      <c r="A1226" s="41">
        <f>IF(C1226="","",SUBTOTAL(103,$C$2:C1226))</f>
        <v>1217</v>
      </c>
      <c r="B1226" s="41">
        <v>5337</v>
      </c>
      <c r="C1226" s="41">
        <v>787</v>
      </c>
      <c r="D1226" s="41" t="s">
        <v>65</v>
      </c>
      <c r="E1226" s="41" t="s">
        <v>220</v>
      </c>
      <c r="F1226" s="41" t="s">
        <v>3850</v>
      </c>
      <c r="G1226" s="41" t="s">
        <v>3866</v>
      </c>
      <c r="H1226" s="41" t="s">
        <v>3867</v>
      </c>
      <c r="I1226" s="43">
        <v>12</v>
      </c>
      <c r="J1226" s="44" t="str">
        <f>VLOOKUP(G1226,[1]硬件清单!$F:$F,1,0)</f>
        <v>YD-SW10-242F02D841F9</v>
      </c>
      <c r="K1226" s="44"/>
      <c r="L1226" s="44"/>
      <c r="M1226" s="45" t="s">
        <v>3868</v>
      </c>
    </row>
    <row r="1227" ht="30" customHeight="1" spans="1:13">
      <c r="A1227" s="41">
        <f>IF(C1227="","",SUBTOTAL(103,$C$2:C1227))</f>
        <v>1218</v>
      </c>
      <c r="B1227" s="41">
        <v>5338</v>
      </c>
      <c r="C1227" s="41">
        <v>788</v>
      </c>
      <c r="D1227" s="41" t="s">
        <v>65</v>
      </c>
      <c r="E1227" s="41" t="s">
        <v>220</v>
      </c>
      <c r="F1227" s="41" t="s">
        <v>3850</v>
      </c>
      <c r="G1227" s="41" t="s">
        <v>3869</v>
      </c>
      <c r="H1227" s="41" t="s">
        <v>3870</v>
      </c>
      <c r="I1227" s="43">
        <v>12</v>
      </c>
      <c r="J1227" s="44" t="str">
        <f>VLOOKUP(G1227,[1]硬件清单!$F:$F,1,0)</f>
        <v>YD-SW10-242F02D841F7</v>
      </c>
      <c r="K1227" s="44"/>
      <c r="L1227" s="44"/>
      <c r="M1227" s="45" t="s">
        <v>3871</v>
      </c>
    </row>
    <row r="1228" ht="30" customHeight="1" spans="1:13">
      <c r="A1228" s="41">
        <f>IF(C1228="","",SUBTOTAL(103,$C$2:C1228))</f>
        <v>1219</v>
      </c>
      <c r="B1228" s="41">
        <v>5339</v>
      </c>
      <c r="C1228" s="41">
        <v>789</v>
      </c>
      <c r="D1228" s="41" t="s">
        <v>65</v>
      </c>
      <c r="E1228" s="41" t="s">
        <v>220</v>
      </c>
      <c r="F1228" s="41" t="s">
        <v>3850</v>
      </c>
      <c r="G1228" s="41" t="s">
        <v>3872</v>
      </c>
      <c r="H1228" s="41" t="s">
        <v>3873</v>
      </c>
      <c r="I1228" s="43">
        <v>12</v>
      </c>
      <c r="J1228" s="44" t="str">
        <f>VLOOKUP(G1228,[1]硬件清单!$F:$F,1,0)</f>
        <v>YD-SW10-242F02D841F8</v>
      </c>
      <c r="K1228" s="44"/>
      <c r="L1228" s="44"/>
      <c r="M1228" s="45" t="s">
        <v>3874</v>
      </c>
    </row>
    <row r="1229" ht="30" customHeight="1" spans="1:13">
      <c r="A1229" s="41">
        <f>IF(C1229="","",SUBTOTAL(103,$C$2:C1229))</f>
        <v>1220</v>
      </c>
      <c r="B1229" s="41">
        <v>5340</v>
      </c>
      <c r="C1229" s="41">
        <v>790</v>
      </c>
      <c r="D1229" s="41" t="s">
        <v>65</v>
      </c>
      <c r="E1229" s="41" t="s">
        <v>220</v>
      </c>
      <c r="F1229" s="41" t="s">
        <v>3850</v>
      </c>
      <c r="G1229" s="41" t="s">
        <v>3875</v>
      </c>
      <c r="H1229" s="41" t="s">
        <v>3876</v>
      </c>
      <c r="I1229" s="43">
        <v>12</v>
      </c>
      <c r="J1229" s="44" t="str">
        <f>VLOOKUP(G1229,[1]硬件清单!$F:$F,1,0)</f>
        <v>YD-SW10-242F02D841F6</v>
      </c>
      <c r="K1229" s="44"/>
      <c r="L1229" s="44"/>
      <c r="M1229" s="45" t="s">
        <v>3877</v>
      </c>
    </row>
    <row r="1230" ht="30" customHeight="1" spans="1:13">
      <c r="A1230" s="41">
        <f>IF(C1230="","",SUBTOTAL(103,$C$2:C1230))</f>
        <v>1221</v>
      </c>
      <c r="B1230" s="41">
        <v>5341</v>
      </c>
      <c r="C1230" s="41">
        <v>791</v>
      </c>
      <c r="D1230" s="41" t="s">
        <v>65</v>
      </c>
      <c r="E1230" s="41" t="s">
        <v>220</v>
      </c>
      <c r="F1230" s="41" t="s">
        <v>3850</v>
      </c>
      <c r="G1230" s="41" t="s">
        <v>3878</v>
      </c>
      <c r="H1230" s="41" t="s">
        <v>3879</v>
      </c>
      <c r="I1230" s="43">
        <v>12</v>
      </c>
      <c r="J1230" s="44" t="str">
        <f>VLOOKUP(G1230,[1]硬件清单!$F:$F,1,0)</f>
        <v>YD-SW10-242F02D841FA</v>
      </c>
      <c r="K1230" s="44"/>
      <c r="L1230" s="44"/>
      <c r="M1230" s="45" t="s">
        <v>3880</v>
      </c>
    </row>
    <row r="1231" ht="30" customHeight="1" spans="1:13">
      <c r="A1231" s="41">
        <f>IF(C1231="","",SUBTOTAL(103,$C$2:C1231))</f>
        <v>1222</v>
      </c>
      <c r="B1231" s="41">
        <v>5342</v>
      </c>
      <c r="C1231" s="41">
        <v>792</v>
      </c>
      <c r="D1231" s="41" t="s">
        <v>65</v>
      </c>
      <c r="E1231" s="41" t="s">
        <v>220</v>
      </c>
      <c r="F1231" s="41" t="s">
        <v>3850</v>
      </c>
      <c r="G1231" s="41" t="s">
        <v>3881</v>
      </c>
      <c r="H1231" s="41" t="s">
        <v>3882</v>
      </c>
      <c r="I1231" s="43">
        <v>12</v>
      </c>
      <c r="J1231" s="44" t="str">
        <f>VLOOKUP(G1231,[1]硬件清单!$F:$F,1,0)</f>
        <v>YD-SW10-242F02D841FB</v>
      </c>
      <c r="K1231" s="44"/>
      <c r="L1231" s="44"/>
      <c r="M1231" s="45" t="s">
        <v>3883</v>
      </c>
    </row>
    <row r="1232" ht="30" customHeight="1" spans="1:13">
      <c r="A1232" s="41">
        <f>IF(C1232="","",SUBTOTAL(103,$C$2:C1232))</f>
        <v>1223</v>
      </c>
      <c r="B1232" s="41">
        <v>5343</v>
      </c>
      <c r="C1232" s="41">
        <v>793</v>
      </c>
      <c r="D1232" s="41" t="s">
        <v>65</v>
      </c>
      <c r="E1232" s="41" t="s">
        <v>220</v>
      </c>
      <c r="F1232" s="41" t="s">
        <v>3850</v>
      </c>
      <c r="G1232" s="41" t="s">
        <v>3884</v>
      </c>
      <c r="H1232" s="41" t="s">
        <v>3885</v>
      </c>
      <c r="I1232" s="43">
        <v>12</v>
      </c>
      <c r="J1232" s="44" t="str">
        <f>VLOOKUP(G1232,[1]硬件清单!$F:$F,1,0)</f>
        <v>YD-SW10-242F02D841FC</v>
      </c>
      <c r="K1232" s="44"/>
      <c r="L1232" s="44"/>
      <c r="M1232" s="45" t="s">
        <v>3886</v>
      </c>
    </row>
    <row r="1233" ht="30" customHeight="1" spans="1:13">
      <c r="A1233" s="41">
        <f>IF(C1233="","",SUBTOTAL(103,$C$2:C1233))</f>
        <v>1224</v>
      </c>
      <c r="B1233" s="41">
        <v>5344</v>
      </c>
      <c r="C1233" s="41">
        <v>794</v>
      </c>
      <c r="D1233" s="41" t="s">
        <v>3602</v>
      </c>
      <c r="E1233" s="41" t="s">
        <v>3603</v>
      </c>
      <c r="F1233" s="41" t="s">
        <v>3604</v>
      </c>
      <c r="G1233" s="41" t="s">
        <v>3887</v>
      </c>
      <c r="H1233" s="41" t="s">
        <v>3888</v>
      </c>
      <c r="I1233" s="43">
        <v>12</v>
      </c>
      <c r="J1233" s="44" t="str">
        <f>VLOOKUP(G1233,[1]硬件清单!$F:$F,1,0)</f>
        <v>1103201835</v>
      </c>
      <c r="K1233" s="44"/>
      <c r="L1233" s="44"/>
      <c r="M1233" s="45" t="s">
        <v>3889</v>
      </c>
    </row>
    <row r="1234" ht="30" customHeight="1" spans="1:13">
      <c r="A1234" s="41">
        <f>IF(C1234="","",SUBTOTAL(103,$C$2:C1234))</f>
        <v>1225</v>
      </c>
      <c r="B1234" s="41">
        <v>5345</v>
      </c>
      <c r="C1234" s="41">
        <v>795</v>
      </c>
      <c r="D1234" s="41" t="s">
        <v>3602</v>
      </c>
      <c r="E1234" s="41" t="s">
        <v>3603</v>
      </c>
      <c r="F1234" s="41" t="s">
        <v>3604</v>
      </c>
      <c r="G1234" s="41" t="s">
        <v>3890</v>
      </c>
      <c r="H1234" s="41" t="s">
        <v>3891</v>
      </c>
      <c r="I1234" s="43">
        <v>12</v>
      </c>
      <c r="J1234" s="44" t="str">
        <f>VLOOKUP(G1234,[1]硬件清单!$F:$F,1,0)</f>
        <v>1103201811</v>
      </c>
      <c r="K1234" s="44"/>
      <c r="L1234" s="44"/>
      <c r="M1234" s="45" t="s">
        <v>3892</v>
      </c>
    </row>
    <row r="1235" ht="30" customHeight="1" spans="1:13">
      <c r="A1235" s="41">
        <f>IF(C1235="","",SUBTOTAL(103,$C$2:C1235))</f>
        <v>1226</v>
      </c>
      <c r="B1235" s="41">
        <v>5346</v>
      </c>
      <c r="C1235" s="41">
        <v>796</v>
      </c>
      <c r="D1235" s="41" t="s">
        <v>887</v>
      </c>
      <c r="E1235" s="41" t="s">
        <v>1429</v>
      </c>
      <c r="F1235" s="41" t="s">
        <v>3893</v>
      </c>
      <c r="G1235" s="41" t="s">
        <v>3894</v>
      </c>
      <c r="H1235" s="41" t="s">
        <v>3895</v>
      </c>
      <c r="I1235" s="43">
        <v>12</v>
      </c>
      <c r="J1235" s="44" t="str">
        <f>VLOOKUP(G1235,[1]硬件清单!$F:$F,1,0)</f>
        <v>\</v>
      </c>
      <c r="K1235" s="44"/>
      <c r="L1235" s="44"/>
      <c r="M1235" s="45" t="s">
        <v>3896</v>
      </c>
    </row>
    <row r="1236" ht="30" customHeight="1" spans="1:13">
      <c r="A1236" s="41">
        <f>IF(C1236="","",SUBTOTAL(103,$C$2:C1236))</f>
        <v>1227</v>
      </c>
      <c r="B1236" s="41">
        <v>5347</v>
      </c>
      <c r="C1236" s="41">
        <v>797</v>
      </c>
      <c r="D1236" s="41" t="s">
        <v>19</v>
      </c>
      <c r="E1236" s="41" t="s">
        <v>34</v>
      </c>
      <c r="F1236" s="41" t="s">
        <v>3897</v>
      </c>
      <c r="G1236" s="41" t="s">
        <v>3898</v>
      </c>
      <c r="H1236" s="41" t="s">
        <v>3899</v>
      </c>
      <c r="I1236" s="43">
        <v>12</v>
      </c>
      <c r="J1236" s="44" t="str">
        <f>VLOOKUP(G1236,[1]硬件清单!$F:$F,1,0)</f>
        <v>1019B0087960
1019B0087962
1019B0085124    
1019B0085123
1019B0085114
1019B0085111</v>
      </c>
      <c r="K1236" s="44"/>
      <c r="L1236" s="44"/>
      <c r="M1236" s="45" t="s">
        <v>3900</v>
      </c>
    </row>
    <row r="1237" ht="30" customHeight="1" spans="1:13">
      <c r="A1237" s="41">
        <f>IF(C1237="","",SUBTOTAL(103,$C$2:C1237))</f>
        <v>1228</v>
      </c>
      <c r="B1237" s="41">
        <v>5348</v>
      </c>
      <c r="C1237" s="41">
        <v>798</v>
      </c>
      <c r="D1237" s="41" t="s">
        <v>19</v>
      </c>
      <c r="E1237" s="41" t="s">
        <v>34</v>
      </c>
      <c r="F1237" s="41" t="s">
        <v>3897</v>
      </c>
      <c r="G1237" s="41" t="s">
        <v>3901</v>
      </c>
      <c r="H1237" s="41" t="s">
        <v>3902</v>
      </c>
      <c r="I1237" s="43">
        <v>12</v>
      </c>
      <c r="J1237" s="44" t="str">
        <f>VLOOKUP(G1237,[1]硬件清单!$F:$F,1,0)</f>
        <v>1019B0087958
1019B0087961
1019B0085126
1019B0085125
1019B0085122
1019B0085112</v>
      </c>
      <c r="K1237" s="44"/>
      <c r="L1237" s="44"/>
      <c r="M1237" s="45" t="s">
        <v>3903</v>
      </c>
    </row>
    <row r="1238" ht="30" customHeight="1" spans="1:13">
      <c r="A1238" s="41">
        <f>IF(C1238="","",SUBTOTAL(103,$C$2:C1238))</f>
        <v>1229</v>
      </c>
      <c r="B1238" s="41">
        <v>5349</v>
      </c>
      <c r="C1238" s="41">
        <v>799</v>
      </c>
      <c r="D1238" s="41" t="s">
        <v>45</v>
      </c>
      <c r="E1238" s="41" t="s">
        <v>1298</v>
      </c>
      <c r="F1238" s="41" t="s">
        <v>2255</v>
      </c>
      <c r="G1238" s="41" t="s">
        <v>3904</v>
      </c>
      <c r="H1238" s="41" t="s">
        <v>3905</v>
      </c>
      <c r="I1238" s="43">
        <v>12</v>
      </c>
      <c r="J1238" s="44" t="str">
        <f>VLOOKUP(G1238,[1]硬件清单!$F:$F,1,0)</f>
        <v>210235A3SUH198000031</v>
      </c>
      <c r="K1238" s="44"/>
      <c r="L1238" s="44"/>
      <c r="M1238" s="45" t="s">
        <v>3906</v>
      </c>
    </row>
    <row r="1239" ht="30" customHeight="1" spans="1:13">
      <c r="A1239" s="41">
        <f>IF(C1239="","",SUBTOTAL(103,$C$2:C1239))</f>
        <v>1230</v>
      </c>
      <c r="B1239" s="41">
        <v>5350</v>
      </c>
      <c r="C1239" s="41">
        <v>800</v>
      </c>
      <c r="D1239" s="41" t="s">
        <v>45</v>
      </c>
      <c r="E1239" s="41" t="s">
        <v>1298</v>
      </c>
      <c r="F1239" s="41" t="s">
        <v>2255</v>
      </c>
      <c r="G1239" s="41" t="s">
        <v>3907</v>
      </c>
      <c r="H1239" s="41" t="s">
        <v>3908</v>
      </c>
      <c r="I1239" s="43">
        <v>12</v>
      </c>
      <c r="J1239" s="44" t="str">
        <f>VLOOKUP(G1239,[1]硬件清单!$F:$F,1,0)</f>
        <v>210235A3SUH19B000084</v>
      </c>
      <c r="K1239" s="44"/>
      <c r="L1239" s="44"/>
      <c r="M1239" s="45" t="s">
        <v>3909</v>
      </c>
    </row>
    <row r="1240" ht="30" customHeight="1" spans="1:13">
      <c r="A1240" s="41">
        <f>IF(C1240="","",SUBTOTAL(103,$C$2:C1240))</f>
        <v>1231</v>
      </c>
      <c r="B1240" s="41">
        <v>5351</v>
      </c>
      <c r="C1240" s="41">
        <v>801</v>
      </c>
      <c r="D1240" s="41" t="s">
        <v>45</v>
      </c>
      <c r="E1240" s="41" t="s">
        <v>1298</v>
      </c>
      <c r="F1240" s="41" t="s">
        <v>2255</v>
      </c>
      <c r="G1240" s="41" t="s">
        <v>3910</v>
      </c>
      <c r="H1240" s="41" t="s">
        <v>3911</v>
      </c>
      <c r="I1240" s="43">
        <v>12</v>
      </c>
      <c r="J1240" s="44" t="str">
        <f>VLOOKUP(G1240,[1]硬件清单!$F:$F,1,0)</f>
        <v>210235A3SUH19A000272</v>
      </c>
      <c r="K1240" s="44"/>
      <c r="L1240" s="44"/>
      <c r="M1240" s="45" t="s">
        <v>3912</v>
      </c>
    </row>
    <row r="1241" ht="30" customHeight="1" spans="1:13">
      <c r="A1241" s="41">
        <f>IF(C1241="","",SUBTOTAL(103,$C$2:C1241))</f>
        <v>1232</v>
      </c>
      <c r="B1241" s="41">
        <v>5352</v>
      </c>
      <c r="C1241" s="41">
        <v>802</v>
      </c>
      <c r="D1241" s="41" t="s">
        <v>45</v>
      </c>
      <c r="E1241" s="41" t="s">
        <v>1298</v>
      </c>
      <c r="F1241" s="41" t="s">
        <v>2255</v>
      </c>
      <c r="G1241" s="41" t="s">
        <v>3913</v>
      </c>
      <c r="H1241" s="41" t="s">
        <v>3914</v>
      </c>
      <c r="I1241" s="43">
        <v>12</v>
      </c>
      <c r="J1241" s="44" t="str">
        <f>VLOOKUP(G1241,[1]硬件清单!$F:$F,1,0)</f>
        <v>210235A3SUH19A000188</v>
      </c>
      <c r="K1241" s="44"/>
      <c r="L1241" s="44"/>
      <c r="M1241" s="45" t="s">
        <v>3915</v>
      </c>
    </row>
    <row r="1242" ht="30" customHeight="1" spans="1:13">
      <c r="A1242" s="41">
        <f>IF(C1242="","",SUBTOTAL(103,$C$2:C1242))</f>
        <v>1233</v>
      </c>
      <c r="B1242" s="41">
        <v>5353</v>
      </c>
      <c r="C1242" s="41">
        <v>803</v>
      </c>
      <c r="D1242" s="41" t="s">
        <v>45</v>
      </c>
      <c r="E1242" s="41" t="s">
        <v>1298</v>
      </c>
      <c r="F1242" s="41" t="s">
        <v>2255</v>
      </c>
      <c r="G1242" s="41" t="s">
        <v>3916</v>
      </c>
      <c r="H1242" s="41" t="s">
        <v>3917</v>
      </c>
      <c r="I1242" s="43">
        <v>12</v>
      </c>
      <c r="J1242" s="44" t="str">
        <f>VLOOKUP(G1242,[1]硬件清单!$F:$F,1,0)</f>
        <v>210235A3SUH19B000082</v>
      </c>
      <c r="K1242" s="44"/>
      <c r="L1242" s="44"/>
      <c r="M1242" s="45" t="s">
        <v>3918</v>
      </c>
    </row>
    <row r="1243" ht="30" customHeight="1" spans="1:13">
      <c r="A1243" s="41">
        <f>IF(C1243="","",SUBTOTAL(103,$C$2:C1243))</f>
        <v>1234</v>
      </c>
      <c r="B1243" s="41">
        <v>5354</v>
      </c>
      <c r="C1243" s="41">
        <v>804</v>
      </c>
      <c r="D1243" s="41" t="s">
        <v>45</v>
      </c>
      <c r="E1243" s="41" t="s">
        <v>1298</v>
      </c>
      <c r="F1243" s="41" t="s">
        <v>2255</v>
      </c>
      <c r="G1243" s="41" t="s">
        <v>3919</v>
      </c>
      <c r="H1243" s="41" t="s">
        <v>3920</v>
      </c>
      <c r="I1243" s="43">
        <v>12</v>
      </c>
      <c r="J1243" s="44" t="str">
        <f>VLOOKUP(G1243,[1]硬件清单!$F:$F,1,0)</f>
        <v>210235A3SUH19A000228</v>
      </c>
      <c r="K1243" s="44"/>
      <c r="L1243" s="44"/>
      <c r="M1243" s="45" t="s">
        <v>3921</v>
      </c>
    </row>
    <row r="1244" ht="30" customHeight="1" spans="1:13">
      <c r="A1244" s="41">
        <f>IF(C1244="","",SUBTOTAL(103,$C$2:C1244))</f>
        <v>1235</v>
      </c>
      <c r="B1244" s="41">
        <v>5355</v>
      </c>
      <c r="C1244" s="41">
        <v>805</v>
      </c>
      <c r="D1244" s="41" t="s">
        <v>45</v>
      </c>
      <c r="E1244" s="41" t="s">
        <v>1298</v>
      </c>
      <c r="F1244" s="41" t="s">
        <v>2255</v>
      </c>
      <c r="G1244" s="41" t="s">
        <v>3922</v>
      </c>
      <c r="H1244" s="41" t="s">
        <v>3923</v>
      </c>
      <c r="I1244" s="43">
        <v>12</v>
      </c>
      <c r="J1244" s="44" t="str">
        <f>VLOOKUP(G1244,[1]硬件清单!$F:$F,1,0)</f>
        <v>210235A3SUH19B000083</v>
      </c>
      <c r="K1244" s="44"/>
      <c r="L1244" s="44"/>
      <c r="M1244" s="45" t="s">
        <v>3924</v>
      </c>
    </row>
    <row r="1245" ht="30" customHeight="1" spans="1:13">
      <c r="A1245" s="41">
        <f>IF(C1245="","",SUBTOTAL(103,$C$2:C1245))</f>
        <v>1236</v>
      </c>
      <c r="B1245" s="41">
        <v>5356</v>
      </c>
      <c r="C1245" s="41">
        <v>806</v>
      </c>
      <c r="D1245" s="41" t="s">
        <v>45</v>
      </c>
      <c r="E1245" s="41" t="s">
        <v>1298</v>
      </c>
      <c r="F1245" s="41" t="s">
        <v>2255</v>
      </c>
      <c r="G1245" s="41" t="s">
        <v>3925</v>
      </c>
      <c r="H1245" s="41" t="s">
        <v>3926</v>
      </c>
      <c r="I1245" s="43">
        <v>12</v>
      </c>
      <c r="J1245" s="44" t="str">
        <f>VLOOKUP(G1245,[1]硬件清单!$F:$F,1,0)</f>
        <v>210235A3SUH19A000159</v>
      </c>
      <c r="K1245" s="44"/>
      <c r="L1245" s="44"/>
      <c r="M1245" s="45" t="s">
        <v>3927</v>
      </c>
    </row>
    <row r="1246" ht="30" customHeight="1" spans="1:13">
      <c r="A1246" s="41">
        <f>IF(C1246="","",SUBTOTAL(103,$C$2:C1246))</f>
        <v>1237</v>
      </c>
      <c r="B1246" s="41">
        <v>5357</v>
      </c>
      <c r="C1246" s="41">
        <v>807</v>
      </c>
      <c r="D1246" s="41" t="s">
        <v>45</v>
      </c>
      <c r="E1246" s="41" t="s">
        <v>1298</v>
      </c>
      <c r="F1246" s="41" t="s">
        <v>2255</v>
      </c>
      <c r="G1246" s="41" t="s">
        <v>3928</v>
      </c>
      <c r="H1246" s="41" t="s">
        <v>3929</v>
      </c>
      <c r="I1246" s="43">
        <v>12</v>
      </c>
      <c r="J1246" s="44" t="str">
        <f>VLOOKUP(G1246,[1]硬件清单!$F:$F,1,0)</f>
        <v>210235A3SUH19B000062</v>
      </c>
      <c r="K1246" s="44"/>
      <c r="L1246" s="44"/>
      <c r="M1246" s="45" t="s">
        <v>3930</v>
      </c>
    </row>
    <row r="1247" ht="30" customHeight="1" spans="1:13">
      <c r="A1247" s="41">
        <f>IF(C1247="","",SUBTOTAL(103,$C$2:C1247))</f>
        <v>1238</v>
      </c>
      <c r="B1247" s="41">
        <v>5358</v>
      </c>
      <c r="C1247" s="41">
        <v>808</v>
      </c>
      <c r="D1247" s="41" t="s">
        <v>45</v>
      </c>
      <c r="E1247" s="41" t="s">
        <v>1298</v>
      </c>
      <c r="F1247" s="41" t="s">
        <v>2255</v>
      </c>
      <c r="G1247" s="41" t="s">
        <v>3931</v>
      </c>
      <c r="H1247" s="41" t="s">
        <v>3932</v>
      </c>
      <c r="I1247" s="43">
        <v>12</v>
      </c>
      <c r="J1247" s="44" t="str">
        <f>VLOOKUP(G1247,[1]硬件清单!$F:$F,1,0)</f>
        <v>210235A3SUH19B000024</v>
      </c>
      <c r="K1247" s="44"/>
      <c r="L1247" s="44"/>
      <c r="M1247" s="45" t="s">
        <v>3933</v>
      </c>
    </row>
    <row r="1248" ht="30" customHeight="1" spans="1:13">
      <c r="A1248" s="41">
        <f>IF(C1248="","",SUBTOTAL(103,$C$2:C1248))</f>
        <v>1239</v>
      </c>
      <c r="B1248" s="41">
        <v>5359</v>
      </c>
      <c r="C1248" s="41">
        <v>809</v>
      </c>
      <c r="D1248" s="41" t="s">
        <v>45</v>
      </c>
      <c r="E1248" s="41" t="s">
        <v>1298</v>
      </c>
      <c r="F1248" s="41" t="s">
        <v>2255</v>
      </c>
      <c r="G1248" s="41" t="s">
        <v>3934</v>
      </c>
      <c r="H1248" s="41" t="s">
        <v>3935</v>
      </c>
      <c r="I1248" s="43">
        <v>12</v>
      </c>
      <c r="J1248" s="44" t="str">
        <f>VLOOKUP(G1248,[1]硬件清单!$F:$F,1,0)</f>
        <v>210235A3SUH19A000178</v>
      </c>
      <c r="K1248" s="44"/>
      <c r="L1248" s="44"/>
      <c r="M1248" s="45" t="s">
        <v>3936</v>
      </c>
    </row>
    <row r="1249" ht="30" customHeight="1" spans="1:13">
      <c r="A1249" s="41">
        <f>IF(C1249="","",SUBTOTAL(103,$C$2:C1249))</f>
        <v>1240</v>
      </c>
      <c r="B1249" s="41">
        <v>5360</v>
      </c>
      <c r="C1249" s="41">
        <v>810</v>
      </c>
      <c r="D1249" s="41" t="s">
        <v>45</v>
      </c>
      <c r="E1249" s="41" t="s">
        <v>1298</v>
      </c>
      <c r="F1249" s="41" t="s">
        <v>2255</v>
      </c>
      <c r="G1249" s="41" t="s">
        <v>3937</v>
      </c>
      <c r="H1249" s="41" t="s">
        <v>3938</v>
      </c>
      <c r="I1249" s="43">
        <v>12</v>
      </c>
      <c r="J1249" s="44" t="str">
        <f>VLOOKUP(G1249,[1]硬件清单!$F:$F,1,0)</f>
        <v>210235A3SUH19A000306</v>
      </c>
      <c r="K1249" s="44"/>
      <c r="L1249" s="44"/>
      <c r="M1249" s="45" t="s">
        <v>3939</v>
      </c>
    </row>
    <row r="1250" ht="30" customHeight="1" spans="1:13">
      <c r="A1250" s="41">
        <f>IF(C1250="","",SUBTOTAL(103,$C$2:C1250))</f>
        <v>1241</v>
      </c>
      <c r="B1250" s="41">
        <v>5361</v>
      </c>
      <c r="C1250" s="41">
        <v>811</v>
      </c>
      <c r="D1250" s="41" t="s">
        <v>45</v>
      </c>
      <c r="E1250" s="41" t="s">
        <v>1298</v>
      </c>
      <c r="F1250" s="41" t="s">
        <v>2255</v>
      </c>
      <c r="G1250" s="41" t="s">
        <v>3940</v>
      </c>
      <c r="H1250" s="41" t="s">
        <v>3941</v>
      </c>
      <c r="I1250" s="43">
        <v>12</v>
      </c>
      <c r="J1250" s="44" t="str">
        <f>VLOOKUP(G1250,[1]硬件清单!$F:$F,1,0)</f>
        <v>210235A3SUH19B000092</v>
      </c>
      <c r="K1250" s="44"/>
      <c r="L1250" s="44"/>
      <c r="M1250" s="45" t="s">
        <v>3942</v>
      </c>
    </row>
    <row r="1251" ht="30" customHeight="1" spans="1:13">
      <c r="A1251" s="41">
        <f>IF(C1251="","",SUBTOTAL(103,$C$2:C1251))</f>
        <v>1242</v>
      </c>
      <c r="B1251" s="41">
        <v>5362</v>
      </c>
      <c r="C1251" s="41">
        <v>812</v>
      </c>
      <c r="D1251" s="41" t="s">
        <v>45</v>
      </c>
      <c r="E1251" s="41" t="s">
        <v>1298</v>
      </c>
      <c r="F1251" s="41" t="s">
        <v>2255</v>
      </c>
      <c r="G1251" s="41" t="s">
        <v>3943</v>
      </c>
      <c r="H1251" s="41" t="s">
        <v>3944</v>
      </c>
      <c r="I1251" s="43">
        <v>12</v>
      </c>
      <c r="J1251" s="44" t="str">
        <f>VLOOKUP(G1251,[1]硬件清单!$F:$F,1,0)</f>
        <v>210235A3SUH19B000081</v>
      </c>
      <c r="K1251" s="44"/>
      <c r="L1251" s="44"/>
      <c r="M1251" s="45" t="s">
        <v>3945</v>
      </c>
    </row>
    <row r="1252" ht="30" customHeight="1" spans="1:13">
      <c r="A1252" s="41">
        <f>IF(C1252="","",SUBTOTAL(103,$C$2:C1252))</f>
        <v>1243</v>
      </c>
      <c r="B1252" s="41">
        <v>5363</v>
      </c>
      <c r="C1252" s="41">
        <v>813</v>
      </c>
      <c r="D1252" s="41" t="s">
        <v>45</v>
      </c>
      <c r="E1252" s="41" t="s">
        <v>1298</v>
      </c>
      <c r="F1252" s="41" t="s">
        <v>2255</v>
      </c>
      <c r="G1252" s="41" t="s">
        <v>3946</v>
      </c>
      <c r="H1252" s="41" t="s">
        <v>3947</v>
      </c>
      <c r="I1252" s="43">
        <v>12</v>
      </c>
      <c r="J1252" s="44" t="str">
        <f>VLOOKUP(G1252,[1]硬件清单!$F:$F,1,0)</f>
        <v>210235A3SUH19B000031</v>
      </c>
      <c r="K1252" s="44"/>
      <c r="L1252" s="44"/>
      <c r="M1252" s="45" t="s">
        <v>3948</v>
      </c>
    </row>
    <row r="1253" ht="30" customHeight="1" spans="1:13">
      <c r="A1253" s="41">
        <f>IF(C1253="","",SUBTOTAL(103,$C$2:C1253))</f>
        <v>1244</v>
      </c>
      <c r="B1253" s="41">
        <v>5364</v>
      </c>
      <c r="C1253" s="41">
        <v>814</v>
      </c>
      <c r="D1253" s="41" t="s">
        <v>45</v>
      </c>
      <c r="E1253" s="41" t="s">
        <v>1298</v>
      </c>
      <c r="F1253" s="41" t="s">
        <v>2255</v>
      </c>
      <c r="G1253" s="41" t="s">
        <v>3949</v>
      </c>
      <c r="H1253" s="41" t="s">
        <v>3950</v>
      </c>
      <c r="I1253" s="43">
        <v>12</v>
      </c>
      <c r="J1253" s="44" t="str">
        <f>VLOOKUP(G1253,[1]硬件清单!$F:$F,1,0)</f>
        <v>210235A3SUH19B000019</v>
      </c>
      <c r="K1253" s="44"/>
      <c r="L1253" s="44"/>
      <c r="M1253" s="45" t="s">
        <v>3951</v>
      </c>
    </row>
    <row r="1254" ht="30" customHeight="1" spans="1:13">
      <c r="A1254" s="41">
        <f>IF(C1254="","",SUBTOTAL(103,$C$2:C1254))</f>
        <v>1245</v>
      </c>
      <c r="B1254" s="41">
        <v>5365</v>
      </c>
      <c r="C1254" s="41">
        <v>815</v>
      </c>
      <c r="D1254" s="41" t="s">
        <v>45</v>
      </c>
      <c r="E1254" s="41" t="s">
        <v>1298</v>
      </c>
      <c r="F1254" s="41" t="s">
        <v>2255</v>
      </c>
      <c r="G1254" s="41" t="s">
        <v>3952</v>
      </c>
      <c r="H1254" s="41" t="s">
        <v>3953</v>
      </c>
      <c r="I1254" s="43">
        <v>12</v>
      </c>
      <c r="J1254" s="44" t="str">
        <f>VLOOKUP(G1254,[1]硬件清单!$F:$F,1,0)</f>
        <v>210235A3SUH19A000163</v>
      </c>
      <c r="K1254" s="44"/>
      <c r="L1254" s="44"/>
      <c r="M1254" s="45" t="s">
        <v>3954</v>
      </c>
    </row>
    <row r="1255" ht="30" customHeight="1" spans="1:13">
      <c r="A1255" s="41">
        <f>IF(C1255="","",SUBTOTAL(103,$C$2:C1255))</f>
        <v>1246</v>
      </c>
      <c r="B1255" s="41">
        <v>5366</v>
      </c>
      <c r="C1255" s="41">
        <v>816</v>
      </c>
      <c r="D1255" s="41" t="s">
        <v>45</v>
      </c>
      <c r="E1255" s="41" t="s">
        <v>1298</v>
      </c>
      <c r="F1255" s="41" t="s">
        <v>2255</v>
      </c>
      <c r="G1255" s="41" t="s">
        <v>3955</v>
      </c>
      <c r="H1255" s="41" t="s">
        <v>3956</v>
      </c>
      <c r="I1255" s="43">
        <v>12</v>
      </c>
      <c r="J1255" s="44" t="str">
        <f>VLOOKUP(G1255,[1]硬件清单!$F:$F,1,0)</f>
        <v>210235A3SUH19B000029</v>
      </c>
      <c r="K1255" s="44"/>
      <c r="L1255" s="44"/>
      <c r="M1255" s="45" t="s">
        <v>3957</v>
      </c>
    </row>
    <row r="1256" ht="30" customHeight="1" spans="1:13">
      <c r="A1256" s="41">
        <f>IF(C1256="","",SUBTOTAL(103,$C$2:C1256))</f>
        <v>1247</v>
      </c>
      <c r="B1256" s="41">
        <v>5367</v>
      </c>
      <c r="C1256" s="41">
        <v>817</v>
      </c>
      <c r="D1256" s="41" t="s">
        <v>45</v>
      </c>
      <c r="E1256" s="41" t="s">
        <v>1298</v>
      </c>
      <c r="F1256" s="41" t="s">
        <v>2255</v>
      </c>
      <c r="G1256" s="41" t="s">
        <v>3958</v>
      </c>
      <c r="H1256" s="41" t="s">
        <v>3959</v>
      </c>
      <c r="I1256" s="43">
        <v>12</v>
      </c>
      <c r="J1256" s="44" t="str">
        <f>VLOOKUP(G1256,[1]硬件清单!$F:$F,1,0)</f>
        <v>210235A3SUH19A000219</v>
      </c>
      <c r="K1256" s="44"/>
      <c r="L1256" s="44"/>
      <c r="M1256" s="45" t="s">
        <v>3960</v>
      </c>
    </row>
    <row r="1257" ht="30" customHeight="1" spans="1:13">
      <c r="A1257" s="41">
        <f>IF(C1257="","",SUBTOTAL(103,$C$2:C1257))</f>
        <v>1248</v>
      </c>
      <c r="B1257" s="41">
        <v>5368</v>
      </c>
      <c r="C1257" s="41">
        <v>818</v>
      </c>
      <c r="D1257" s="41" t="s">
        <v>45</v>
      </c>
      <c r="E1257" s="41" t="s">
        <v>1298</v>
      </c>
      <c r="F1257" s="41" t="s">
        <v>2255</v>
      </c>
      <c r="G1257" s="41" t="s">
        <v>3961</v>
      </c>
      <c r="H1257" s="41" t="s">
        <v>3962</v>
      </c>
      <c r="I1257" s="43">
        <v>12</v>
      </c>
      <c r="J1257" s="44" t="str">
        <f>VLOOKUP(G1257,[1]硬件清单!$F:$F,1,0)</f>
        <v>210235A3SUH19A000189</v>
      </c>
      <c r="K1257" s="44"/>
      <c r="L1257" s="44"/>
      <c r="M1257" s="45" t="s">
        <v>3963</v>
      </c>
    </row>
    <row r="1258" ht="30" customHeight="1" spans="1:13">
      <c r="A1258" s="41">
        <f>IF(C1258="","",SUBTOTAL(103,$C$2:C1258))</f>
        <v>1249</v>
      </c>
      <c r="B1258" s="41">
        <v>5369</v>
      </c>
      <c r="C1258" s="41">
        <v>819</v>
      </c>
      <c r="D1258" s="41" t="s">
        <v>45</v>
      </c>
      <c r="E1258" s="41" t="s">
        <v>1298</v>
      </c>
      <c r="F1258" s="41" t="s">
        <v>2255</v>
      </c>
      <c r="G1258" s="41" t="s">
        <v>3964</v>
      </c>
      <c r="H1258" s="41" t="s">
        <v>3965</v>
      </c>
      <c r="I1258" s="43">
        <v>12</v>
      </c>
      <c r="J1258" s="44" t="str">
        <f>VLOOKUP(G1258,[1]硬件清单!$F:$F,1,0)</f>
        <v>210235A3SUH19A000156</v>
      </c>
      <c r="K1258" s="44"/>
      <c r="L1258" s="44"/>
      <c r="M1258" s="45" t="s">
        <v>3966</v>
      </c>
    </row>
    <row r="1259" ht="30" customHeight="1" spans="1:13">
      <c r="A1259" s="41">
        <f>IF(C1259="","",SUBTOTAL(103,$C$2:C1259))</f>
        <v>1250</v>
      </c>
      <c r="B1259" s="41">
        <v>5370</v>
      </c>
      <c r="C1259" s="41">
        <v>820</v>
      </c>
      <c r="D1259" s="41" t="s">
        <v>45</v>
      </c>
      <c r="E1259" s="41" t="s">
        <v>1298</v>
      </c>
      <c r="F1259" s="41" t="s">
        <v>2255</v>
      </c>
      <c r="G1259" s="41" t="s">
        <v>3967</v>
      </c>
      <c r="H1259" s="41" t="s">
        <v>3968</v>
      </c>
      <c r="I1259" s="43">
        <v>12</v>
      </c>
      <c r="J1259" s="44" t="str">
        <f>VLOOKUP(G1259,[1]硬件清单!$F:$F,1,0)</f>
        <v>210235A3SUH19B000027</v>
      </c>
      <c r="K1259" s="44"/>
      <c r="L1259" s="44"/>
      <c r="M1259" s="45" t="s">
        <v>3969</v>
      </c>
    </row>
    <row r="1260" ht="30" customHeight="1" spans="1:13">
      <c r="A1260" s="41">
        <f>IF(C1260="","",SUBTOTAL(103,$C$2:C1260))</f>
        <v>1251</v>
      </c>
      <c r="B1260" s="41">
        <v>5371</v>
      </c>
      <c r="C1260" s="41">
        <v>821</v>
      </c>
      <c r="D1260" s="41" t="s">
        <v>45</v>
      </c>
      <c r="E1260" s="41" t="s">
        <v>1298</v>
      </c>
      <c r="F1260" s="41" t="s">
        <v>2255</v>
      </c>
      <c r="G1260" s="41" t="s">
        <v>3970</v>
      </c>
      <c r="H1260" s="41" t="s">
        <v>3971</v>
      </c>
      <c r="I1260" s="43">
        <v>12</v>
      </c>
      <c r="J1260" s="44" t="str">
        <f>VLOOKUP(G1260,[1]硬件清单!$F:$F,1,0)</f>
        <v>210235A3SUH19B000016</v>
      </c>
      <c r="K1260" s="44"/>
      <c r="L1260" s="44"/>
      <c r="M1260" s="45" t="s">
        <v>3972</v>
      </c>
    </row>
    <row r="1261" ht="30" customHeight="1" spans="1:13">
      <c r="A1261" s="41">
        <f>IF(C1261="","",SUBTOTAL(103,$C$2:C1261))</f>
        <v>1252</v>
      </c>
      <c r="B1261" s="41">
        <v>5372</v>
      </c>
      <c r="C1261" s="41">
        <v>822</v>
      </c>
      <c r="D1261" s="41" t="s">
        <v>45</v>
      </c>
      <c r="E1261" s="41" t="s">
        <v>1298</v>
      </c>
      <c r="F1261" s="41" t="s">
        <v>2255</v>
      </c>
      <c r="G1261" s="41" t="s">
        <v>3973</v>
      </c>
      <c r="H1261" s="41" t="s">
        <v>3974</v>
      </c>
      <c r="I1261" s="43">
        <v>12</v>
      </c>
      <c r="J1261" s="44" t="str">
        <f>VLOOKUP(G1261,[1]硬件清单!$F:$F,1,0)</f>
        <v>210235A3SUH19B000085</v>
      </c>
      <c r="K1261" s="44"/>
      <c r="L1261" s="44"/>
      <c r="M1261" s="45" t="s">
        <v>3975</v>
      </c>
    </row>
    <row r="1262" ht="30" customHeight="1" spans="1:13">
      <c r="A1262" s="41">
        <f>IF(C1262="","",SUBTOTAL(103,$C$2:C1262))</f>
        <v>1253</v>
      </c>
      <c r="B1262" s="41">
        <v>5373</v>
      </c>
      <c r="C1262" s="41">
        <v>823</v>
      </c>
      <c r="D1262" s="41" t="s">
        <v>45</v>
      </c>
      <c r="E1262" s="41" t="s">
        <v>1298</v>
      </c>
      <c r="F1262" s="41" t="s">
        <v>2255</v>
      </c>
      <c r="G1262" s="41" t="s">
        <v>3976</v>
      </c>
      <c r="H1262" s="41" t="s">
        <v>3977</v>
      </c>
      <c r="I1262" s="43">
        <v>12</v>
      </c>
      <c r="J1262" s="44" t="str">
        <f>VLOOKUP(G1262,[1]硬件清单!$F:$F,1,0)</f>
        <v>210235A3SUH19A000218</v>
      </c>
      <c r="K1262" s="44"/>
      <c r="L1262" s="44"/>
      <c r="M1262" s="45" t="s">
        <v>3978</v>
      </c>
    </row>
    <row r="1263" ht="30" customHeight="1" spans="1:13">
      <c r="A1263" s="41">
        <f>IF(C1263="","",SUBTOTAL(103,$C$2:C1263))</f>
        <v>1254</v>
      </c>
      <c r="B1263" s="41">
        <v>5374</v>
      </c>
      <c r="C1263" s="41">
        <v>824</v>
      </c>
      <c r="D1263" s="41" t="s">
        <v>45</v>
      </c>
      <c r="E1263" s="41" t="s">
        <v>1298</v>
      </c>
      <c r="F1263" s="41" t="s">
        <v>2255</v>
      </c>
      <c r="G1263" s="41" t="s">
        <v>3979</v>
      </c>
      <c r="H1263" s="41" t="s">
        <v>3980</v>
      </c>
      <c r="I1263" s="43">
        <v>12</v>
      </c>
      <c r="J1263" s="44" t="str">
        <f>VLOOKUP(G1263,[1]硬件清单!$F:$F,1,0)</f>
        <v>210235A3SUH19A000176</v>
      </c>
      <c r="K1263" s="44"/>
      <c r="L1263" s="44"/>
      <c r="M1263" s="45" t="s">
        <v>3981</v>
      </c>
    </row>
    <row r="1264" ht="30" customHeight="1" spans="1:13">
      <c r="A1264" s="41">
        <f>IF(C1264="","",SUBTOTAL(103,$C$2:C1264))</f>
        <v>1255</v>
      </c>
      <c r="B1264" s="41">
        <v>5375</v>
      </c>
      <c r="C1264" s="41">
        <v>825</v>
      </c>
      <c r="D1264" s="41" t="s">
        <v>45</v>
      </c>
      <c r="E1264" s="41" t="s">
        <v>1298</v>
      </c>
      <c r="F1264" s="41" t="s">
        <v>2255</v>
      </c>
      <c r="G1264" s="41" t="s">
        <v>3982</v>
      </c>
      <c r="H1264" s="41" t="s">
        <v>3983</v>
      </c>
      <c r="I1264" s="43">
        <v>12</v>
      </c>
      <c r="J1264" s="44" t="str">
        <f>VLOOKUP(G1264,[1]硬件清单!$F:$F,1,0)</f>
        <v>210235A3SUH19A000192</v>
      </c>
      <c r="K1264" s="44"/>
      <c r="L1264" s="44"/>
      <c r="M1264" s="45" t="s">
        <v>3984</v>
      </c>
    </row>
    <row r="1265" ht="30" customHeight="1" spans="1:13">
      <c r="A1265" s="41">
        <f>IF(C1265="","",SUBTOTAL(103,$C$2:C1265))</f>
        <v>1256</v>
      </c>
      <c r="B1265" s="41">
        <v>5376</v>
      </c>
      <c r="C1265" s="41">
        <v>826</v>
      </c>
      <c r="D1265" s="41" t="s">
        <v>45</v>
      </c>
      <c r="E1265" s="41" t="s">
        <v>1298</v>
      </c>
      <c r="F1265" s="41" t="s">
        <v>2255</v>
      </c>
      <c r="G1265" s="41" t="s">
        <v>3985</v>
      </c>
      <c r="H1265" s="41" t="s">
        <v>3986</v>
      </c>
      <c r="I1265" s="43">
        <v>12</v>
      </c>
      <c r="J1265" s="44" t="str">
        <f>VLOOKUP(G1265,[1]硬件清单!$F:$F,1,0)</f>
        <v>210235A3SUH19B000079</v>
      </c>
      <c r="K1265" s="44"/>
      <c r="L1265" s="44"/>
      <c r="M1265" s="45" t="s">
        <v>3987</v>
      </c>
    </row>
    <row r="1266" ht="30" customHeight="1" spans="1:13">
      <c r="A1266" s="41">
        <f>IF(C1266="","",SUBTOTAL(103,$C$2:C1266))</f>
        <v>1257</v>
      </c>
      <c r="B1266" s="41">
        <v>5377</v>
      </c>
      <c r="C1266" s="41">
        <v>827</v>
      </c>
      <c r="D1266" s="41" t="s">
        <v>45</v>
      </c>
      <c r="E1266" s="41" t="s">
        <v>1298</v>
      </c>
      <c r="F1266" s="41" t="s">
        <v>2255</v>
      </c>
      <c r="G1266" s="41" t="s">
        <v>3988</v>
      </c>
      <c r="H1266" s="41" t="s">
        <v>3989</v>
      </c>
      <c r="I1266" s="43">
        <v>12</v>
      </c>
      <c r="J1266" s="44" t="str">
        <f>VLOOKUP(G1266,[1]硬件清单!$F:$F,1,0)</f>
        <v>210235A3SUH19B000030</v>
      </c>
      <c r="K1266" s="44"/>
      <c r="L1266" s="44"/>
      <c r="M1266" s="45" t="s">
        <v>3990</v>
      </c>
    </row>
    <row r="1267" ht="30" customHeight="1" spans="1:13">
      <c r="A1267" s="41">
        <f>IF(C1267="","",SUBTOTAL(103,$C$2:C1267))</f>
        <v>1258</v>
      </c>
      <c r="B1267" s="41">
        <v>5378</v>
      </c>
      <c r="C1267" s="41">
        <v>828</v>
      </c>
      <c r="D1267" s="41" t="s">
        <v>45</v>
      </c>
      <c r="E1267" s="41" t="s">
        <v>1298</v>
      </c>
      <c r="F1267" s="41" t="s">
        <v>2255</v>
      </c>
      <c r="G1267" s="41" t="s">
        <v>3991</v>
      </c>
      <c r="H1267" s="41" t="s">
        <v>3992</v>
      </c>
      <c r="I1267" s="43">
        <v>12</v>
      </c>
      <c r="J1267" s="44" t="str">
        <f>VLOOKUP(G1267,[1]硬件清单!$F:$F,1,0)</f>
        <v>210235A3SUH19B000014</v>
      </c>
      <c r="K1267" s="44"/>
      <c r="L1267" s="44"/>
      <c r="M1267" s="45" t="s">
        <v>3993</v>
      </c>
    </row>
    <row r="1268" s="26" customFormat="1" ht="30" customHeight="1" spans="1:13">
      <c r="A1268" s="41">
        <f>IF(C1268="","",SUBTOTAL(103,$C$2:C1268))</f>
        <v>1259</v>
      </c>
      <c r="B1268" s="41">
        <v>5379</v>
      </c>
      <c r="C1268" s="41">
        <v>829</v>
      </c>
      <c r="D1268" s="41" t="s">
        <v>45</v>
      </c>
      <c r="E1268" s="41" t="s">
        <v>1298</v>
      </c>
      <c r="F1268" s="41" t="s">
        <v>2255</v>
      </c>
      <c r="G1268" s="41" t="s">
        <v>3994</v>
      </c>
      <c r="H1268" s="41" t="s">
        <v>3995</v>
      </c>
      <c r="I1268" s="43">
        <v>12</v>
      </c>
      <c r="J1268" s="44" t="str">
        <f>VLOOKUP(G1268,[1]硬件清单!$F:$F,1,0)</f>
        <v>210235A3SUH19A000226</v>
      </c>
      <c r="K1268" s="44"/>
      <c r="L1268" s="44"/>
      <c r="M1268" s="45" t="s">
        <v>3996</v>
      </c>
    </row>
    <row r="1269" s="26" customFormat="1" ht="30" customHeight="1" spans="1:13">
      <c r="A1269" s="41">
        <f>IF(C1269="","",SUBTOTAL(103,$C$2:C1269))</f>
        <v>1260</v>
      </c>
      <c r="B1269" s="41">
        <v>5380</v>
      </c>
      <c r="C1269" s="41">
        <v>830</v>
      </c>
      <c r="D1269" s="41" t="s">
        <v>45</v>
      </c>
      <c r="E1269" s="41" t="s">
        <v>1298</v>
      </c>
      <c r="F1269" s="41" t="s">
        <v>2255</v>
      </c>
      <c r="G1269" s="41" t="s">
        <v>3997</v>
      </c>
      <c r="H1269" s="41" t="s">
        <v>3998</v>
      </c>
      <c r="I1269" s="43">
        <v>12</v>
      </c>
      <c r="J1269" s="44" t="str">
        <f>VLOOKUP(G1269,[1]硬件清单!$F:$F,1,0)</f>
        <v>210235A3SUH19A000227</v>
      </c>
      <c r="K1269" s="44"/>
      <c r="L1269" s="44"/>
      <c r="M1269" s="45" t="s">
        <v>3999</v>
      </c>
    </row>
    <row r="1270" s="26" customFormat="1" ht="30" customHeight="1" spans="1:13">
      <c r="A1270" s="41">
        <f>IF(C1270="","",SUBTOTAL(103,$C$2:C1270))</f>
        <v>1261</v>
      </c>
      <c r="B1270" s="41">
        <v>5381</v>
      </c>
      <c r="C1270" s="41">
        <v>831</v>
      </c>
      <c r="D1270" s="41" t="s">
        <v>45</v>
      </c>
      <c r="E1270" s="41" t="s">
        <v>1298</v>
      </c>
      <c r="F1270" s="41" t="s">
        <v>2255</v>
      </c>
      <c r="G1270" s="41" t="s">
        <v>4000</v>
      </c>
      <c r="H1270" s="41" t="s">
        <v>4001</v>
      </c>
      <c r="I1270" s="43">
        <v>12</v>
      </c>
      <c r="J1270" s="44" t="str">
        <f>VLOOKUP(G1270,[1]硬件清单!$F:$F,1,0)</f>
        <v>210235A3SUH19B000075</v>
      </c>
      <c r="K1270" s="44"/>
      <c r="L1270" s="44"/>
      <c r="M1270" s="45" t="s">
        <v>4002</v>
      </c>
    </row>
    <row r="1271" s="26" customFormat="1" ht="30" customHeight="1" spans="1:13">
      <c r="A1271" s="41">
        <f>IF(C1271="","",SUBTOTAL(103,$C$2:C1271))</f>
        <v>1262</v>
      </c>
      <c r="B1271" s="41">
        <v>5382</v>
      </c>
      <c r="C1271" s="41">
        <v>832</v>
      </c>
      <c r="D1271" s="41" t="s">
        <v>45</v>
      </c>
      <c r="E1271" s="41" t="s">
        <v>1298</v>
      </c>
      <c r="F1271" s="41" t="s">
        <v>2255</v>
      </c>
      <c r="G1271" s="41" t="s">
        <v>4003</v>
      </c>
      <c r="H1271" s="41" t="s">
        <v>4004</v>
      </c>
      <c r="I1271" s="43">
        <v>12</v>
      </c>
      <c r="J1271" s="44" t="str">
        <f>VLOOKUP(G1271,[1]硬件清单!$F:$F,1,0)</f>
        <v>210235A3SUH19B000072</v>
      </c>
      <c r="K1271" s="44"/>
      <c r="L1271" s="44"/>
      <c r="M1271" s="45" t="s">
        <v>4005</v>
      </c>
    </row>
    <row r="1272" s="26" customFormat="1" ht="30" customHeight="1" spans="1:13">
      <c r="A1272" s="41">
        <f>IF(C1272="","",SUBTOTAL(103,$C$2:C1272))</f>
        <v>1263</v>
      </c>
      <c r="B1272" s="41">
        <v>5383</v>
      </c>
      <c r="C1272" s="41">
        <v>833</v>
      </c>
      <c r="D1272" s="41" t="s">
        <v>45</v>
      </c>
      <c r="E1272" s="41" t="s">
        <v>1298</v>
      </c>
      <c r="F1272" s="41" t="s">
        <v>2255</v>
      </c>
      <c r="G1272" s="41" t="s">
        <v>4006</v>
      </c>
      <c r="H1272" s="41" t="s">
        <v>4007</v>
      </c>
      <c r="I1272" s="43">
        <v>12</v>
      </c>
      <c r="J1272" s="44" t="str">
        <f>VLOOKUP(G1272,[1]硬件清单!$F:$F,1,0)</f>
        <v>210235A3SUH19B000026</v>
      </c>
      <c r="K1272" s="44"/>
      <c r="L1272" s="44"/>
      <c r="M1272" s="45" t="s">
        <v>4008</v>
      </c>
    </row>
    <row r="1273" s="26" customFormat="1" ht="30" customHeight="1" spans="1:13">
      <c r="A1273" s="41">
        <f>IF(C1273="","",SUBTOTAL(103,$C$2:C1273))</f>
        <v>1264</v>
      </c>
      <c r="B1273" s="41">
        <v>5384</v>
      </c>
      <c r="C1273" s="41">
        <v>834</v>
      </c>
      <c r="D1273" s="41" t="s">
        <v>45</v>
      </c>
      <c r="E1273" s="41" t="s">
        <v>1298</v>
      </c>
      <c r="F1273" s="41" t="s">
        <v>2255</v>
      </c>
      <c r="G1273" s="41" t="s">
        <v>4009</v>
      </c>
      <c r="H1273" s="41" t="s">
        <v>4010</v>
      </c>
      <c r="I1273" s="43">
        <v>12</v>
      </c>
      <c r="J1273" s="44" t="str">
        <f>VLOOKUP(G1273,[1]硬件清单!$F:$F,1,0)</f>
        <v>210235A3SUH19B000023</v>
      </c>
      <c r="K1273" s="44"/>
      <c r="L1273" s="44"/>
      <c r="M1273" s="45" t="s">
        <v>4011</v>
      </c>
    </row>
    <row r="1274" s="26" customFormat="1" ht="30" customHeight="1" spans="1:13">
      <c r="A1274" s="41">
        <f>IF(C1274="","",SUBTOTAL(103,$C$2:C1274))</f>
        <v>1265</v>
      </c>
      <c r="B1274" s="41">
        <v>5385</v>
      </c>
      <c r="C1274" s="41">
        <v>835</v>
      </c>
      <c r="D1274" s="41" t="s">
        <v>45</v>
      </c>
      <c r="E1274" s="41" t="s">
        <v>1298</v>
      </c>
      <c r="F1274" s="41" t="s">
        <v>2255</v>
      </c>
      <c r="G1274" s="41" t="s">
        <v>4012</v>
      </c>
      <c r="H1274" s="41" t="s">
        <v>4013</v>
      </c>
      <c r="I1274" s="43">
        <v>12</v>
      </c>
      <c r="J1274" s="44" t="str">
        <f>VLOOKUP(G1274,[1]硬件清单!$F:$F,1,0)</f>
        <v>210235A3SUH19A000165</v>
      </c>
      <c r="K1274" s="44"/>
      <c r="L1274" s="44"/>
      <c r="M1274" s="45" t="s">
        <v>4014</v>
      </c>
    </row>
    <row r="1275" s="26" customFormat="1" ht="30" customHeight="1" spans="1:13">
      <c r="A1275" s="41">
        <f>IF(C1275="","",SUBTOTAL(103,$C$2:C1275))</f>
        <v>1266</v>
      </c>
      <c r="B1275" s="41">
        <v>5386</v>
      </c>
      <c r="C1275" s="41">
        <v>836</v>
      </c>
      <c r="D1275" s="41" t="s">
        <v>45</v>
      </c>
      <c r="E1275" s="41" t="s">
        <v>1298</v>
      </c>
      <c r="F1275" s="41" t="s">
        <v>2255</v>
      </c>
      <c r="G1275" s="41" t="s">
        <v>4015</v>
      </c>
      <c r="H1275" s="41" t="s">
        <v>4016</v>
      </c>
      <c r="I1275" s="43">
        <v>12</v>
      </c>
      <c r="J1275" s="44" t="str">
        <f>VLOOKUP(G1275,[1]硬件清单!$F:$F,1,0)</f>
        <v>210235A3SUH19A000190</v>
      </c>
      <c r="K1275" s="44"/>
      <c r="L1275" s="44"/>
      <c r="M1275" s="45" t="s">
        <v>4017</v>
      </c>
    </row>
    <row r="1276" s="26" customFormat="1" ht="30" customHeight="1" spans="1:13">
      <c r="A1276" s="41">
        <f>IF(C1276="","",SUBTOTAL(103,$C$2:C1276))</f>
        <v>1267</v>
      </c>
      <c r="B1276" s="41">
        <v>5387</v>
      </c>
      <c r="C1276" s="41">
        <v>837</v>
      </c>
      <c r="D1276" s="41" t="s">
        <v>45</v>
      </c>
      <c r="E1276" s="41" t="s">
        <v>1298</v>
      </c>
      <c r="F1276" s="41" t="s">
        <v>2255</v>
      </c>
      <c r="G1276" s="41" t="s">
        <v>4018</v>
      </c>
      <c r="H1276" s="41" t="s">
        <v>4019</v>
      </c>
      <c r="I1276" s="43">
        <v>12</v>
      </c>
      <c r="J1276" s="44" t="str">
        <f>VLOOKUP(G1276,[1]硬件清单!$F:$F,1,0)</f>
        <v>210235A3SUH19A000182</v>
      </c>
      <c r="K1276" s="44"/>
      <c r="L1276" s="44"/>
      <c r="M1276" s="45" t="s">
        <v>4020</v>
      </c>
    </row>
    <row r="1277" s="26" customFormat="1" ht="30" customHeight="1" spans="1:13">
      <c r="A1277" s="41">
        <f>IF(C1277="","",SUBTOTAL(103,$C$2:C1277))</f>
        <v>1268</v>
      </c>
      <c r="B1277" s="41">
        <v>5388</v>
      </c>
      <c r="C1277" s="41">
        <v>838</v>
      </c>
      <c r="D1277" s="41" t="s">
        <v>45</v>
      </c>
      <c r="E1277" s="41" t="s">
        <v>1298</v>
      </c>
      <c r="F1277" s="41" t="s">
        <v>2255</v>
      </c>
      <c r="G1277" s="41" t="s">
        <v>4021</v>
      </c>
      <c r="H1277" s="41" t="s">
        <v>4022</v>
      </c>
      <c r="I1277" s="43">
        <v>12</v>
      </c>
      <c r="J1277" s="44" t="str">
        <f>VLOOKUP(G1277,[1]硬件清单!$F:$F,1,0)</f>
        <v>210235A3SUH19A000155</v>
      </c>
      <c r="K1277" s="44"/>
      <c r="L1277" s="44"/>
      <c r="M1277" s="45" t="s">
        <v>4023</v>
      </c>
    </row>
    <row r="1278" s="26" customFormat="1" ht="30" customHeight="1" spans="1:13">
      <c r="A1278" s="41">
        <f>IF(C1278="","",SUBTOTAL(103,$C$2:C1278))</f>
        <v>1269</v>
      </c>
      <c r="B1278" s="41">
        <v>5389</v>
      </c>
      <c r="C1278" s="41">
        <v>839</v>
      </c>
      <c r="D1278" s="41" t="s">
        <v>45</v>
      </c>
      <c r="E1278" s="41" t="s">
        <v>1298</v>
      </c>
      <c r="F1278" s="41" t="s">
        <v>2255</v>
      </c>
      <c r="G1278" s="41" t="s">
        <v>4024</v>
      </c>
      <c r="H1278" s="41" t="s">
        <v>4025</v>
      </c>
      <c r="I1278" s="43">
        <v>12</v>
      </c>
      <c r="J1278" s="44" t="str">
        <f>VLOOKUP(G1278,[1]硬件清单!$F:$F,1,0)</f>
        <v>210235A3SUH19A000174</v>
      </c>
      <c r="K1278" s="44"/>
      <c r="L1278" s="44"/>
      <c r="M1278" s="45" t="s">
        <v>4026</v>
      </c>
    </row>
    <row r="1279" s="26" customFormat="1" ht="30" customHeight="1" spans="1:13">
      <c r="A1279" s="41">
        <f>IF(C1279="","",SUBTOTAL(103,$C$2:C1279))</f>
        <v>1270</v>
      </c>
      <c r="B1279" s="41">
        <v>5390</v>
      </c>
      <c r="C1279" s="41">
        <v>840</v>
      </c>
      <c r="D1279" s="41" t="s">
        <v>45</v>
      </c>
      <c r="E1279" s="41" t="s">
        <v>1298</v>
      </c>
      <c r="F1279" s="41" t="s">
        <v>2255</v>
      </c>
      <c r="G1279" s="41" t="s">
        <v>4027</v>
      </c>
      <c r="H1279" s="41" t="s">
        <v>4028</v>
      </c>
      <c r="I1279" s="43">
        <v>12</v>
      </c>
      <c r="J1279" s="44" t="str">
        <f>VLOOKUP(G1279,[1]硬件清单!$F:$F,1,0)</f>
        <v>210235A3SUH19A000158</v>
      </c>
      <c r="K1279" s="44"/>
      <c r="L1279" s="44"/>
      <c r="M1279" s="45" t="s">
        <v>4029</v>
      </c>
    </row>
    <row r="1280" s="26" customFormat="1" ht="30" customHeight="1" spans="1:13">
      <c r="A1280" s="41">
        <f>IF(C1280="","",SUBTOTAL(103,$C$2:C1280))</f>
        <v>1271</v>
      </c>
      <c r="B1280" s="41">
        <v>5391</v>
      </c>
      <c r="C1280" s="41">
        <v>841</v>
      </c>
      <c r="D1280" s="41" t="s">
        <v>45</v>
      </c>
      <c r="E1280" s="41" t="s">
        <v>1298</v>
      </c>
      <c r="F1280" s="41" t="s">
        <v>2255</v>
      </c>
      <c r="G1280" s="41" t="s">
        <v>4030</v>
      </c>
      <c r="H1280" s="41" t="s">
        <v>4031</v>
      </c>
      <c r="I1280" s="43">
        <v>12</v>
      </c>
      <c r="J1280" s="44" t="str">
        <f>VLOOKUP(G1280,[1]硬件清单!$F:$F,1,0)</f>
        <v>210235A3SUH195000049</v>
      </c>
      <c r="K1280" s="44"/>
      <c r="L1280" s="44"/>
      <c r="M1280" s="45" t="s">
        <v>4032</v>
      </c>
    </row>
    <row r="1281" s="26" customFormat="1" ht="30" customHeight="1" spans="1:13">
      <c r="A1281" s="41">
        <f>IF(C1281="","",SUBTOTAL(103,$C$2:C1281))</f>
        <v>1272</v>
      </c>
      <c r="B1281" s="41">
        <v>5392</v>
      </c>
      <c r="C1281" s="41">
        <v>842</v>
      </c>
      <c r="D1281" s="41" t="s">
        <v>45</v>
      </c>
      <c r="E1281" s="41" t="s">
        <v>1298</v>
      </c>
      <c r="F1281" s="41" t="s">
        <v>2255</v>
      </c>
      <c r="G1281" s="41" t="s">
        <v>4033</v>
      </c>
      <c r="H1281" s="41" t="s">
        <v>4034</v>
      </c>
      <c r="I1281" s="43">
        <v>12</v>
      </c>
      <c r="J1281" s="44" t="str">
        <f>VLOOKUP(G1281,[1]硬件清单!$F:$F,1,0)</f>
        <v>210235A3SUH19A000179</v>
      </c>
      <c r="K1281" s="44"/>
      <c r="L1281" s="44"/>
      <c r="M1281" s="45" t="s">
        <v>4035</v>
      </c>
    </row>
    <row r="1282" s="26" customFormat="1" ht="30" customHeight="1" spans="1:13">
      <c r="A1282" s="41">
        <f>IF(C1282="","",SUBTOTAL(103,$C$2:C1282))</f>
        <v>1273</v>
      </c>
      <c r="B1282" s="41">
        <v>5393</v>
      </c>
      <c r="C1282" s="41">
        <v>843</v>
      </c>
      <c r="D1282" s="41" t="s">
        <v>45</v>
      </c>
      <c r="E1282" s="41" t="s">
        <v>1298</v>
      </c>
      <c r="F1282" s="41" t="s">
        <v>2255</v>
      </c>
      <c r="G1282" s="41" t="s">
        <v>4036</v>
      </c>
      <c r="H1282" s="41" t="s">
        <v>4037</v>
      </c>
      <c r="I1282" s="43">
        <v>12</v>
      </c>
      <c r="J1282" s="44" t="str">
        <f>VLOOKUP(G1282,[1]硬件清单!$F:$F,1,0)</f>
        <v>210235A3SUH19A000275</v>
      </c>
      <c r="K1282" s="44"/>
      <c r="L1282" s="44"/>
      <c r="M1282" s="45" t="s">
        <v>4038</v>
      </c>
    </row>
    <row r="1283" s="26" customFormat="1" ht="30" customHeight="1" spans="1:13">
      <c r="A1283" s="41">
        <f>IF(C1283="","",SUBTOTAL(103,$C$2:C1283))</f>
        <v>1274</v>
      </c>
      <c r="B1283" s="41">
        <v>5394</v>
      </c>
      <c r="C1283" s="41">
        <v>844</v>
      </c>
      <c r="D1283" s="41" t="s">
        <v>45</v>
      </c>
      <c r="E1283" s="41" t="s">
        <v>1298</v>
      </c>
      <c r="F1283" s="41" t="s">
        <v>2255</v>
      </c>
      <c r="G1283" s="41" t="s">
        <v>4039</v>
      </c>
      <c r="H1283" s="41" t="s">
        <v>4040</v>
      </c>
      <c r="I1283" s="43">
        <v>12</v>
      </c>
      <c r="J1283" s="44" t="str">
        <f>VLOOKUP(G1283,[1]硬件清单!$F:$F,1,0)</f>
        <v>210235A3SUH19B000066</v>
      </c>
      <c r="K1283" s="44"/>
      <c r="L1283" s="44"/>
      <c r="M1283" s="45" t="s">
        <v>4041</v>
      </c>
    </row>
    <row r="1284" s="26" customFormat="1" ht="30" customHeight="1" spans="1:13">
      <c r="A1284" s="41">
        <f>IF(C1284="","",SUBTOTAL(103,$C$2:C1284))</f>
        <v>1275</v>
      </c>
      <c r="B1284" s="41">
        <v>5395</v>
      </c>
      <c r="C1284" s="41">
        <v>845</v>
      </c>
      <c r="D1284" s="41" t="s">
        <v>45</v>
      </c>
      <c r="E1284" s="41" t="s">
        <v>1298</v>
      </c>
      <c r="F1284" s="41" t="s">
        <v>2255</v>
      </c>
      <c r="G1284" s="41" t="s">
        <v>4042</v>
      </c>
      <c r="H1284" s="41" t="s">
        <v>4043</v>
      </c>
      <c r="I1284" s="43">
        <v>12</v>
      </c>
      <c r="J1284" s="44" t="str">
        <f>VLOOKUP(G1284,[1]硬件清单!$F:$F,1,0)</f>
        <v>210235A3SUH19B000074</v>
      </c>
      <c r="K1284" s="44"/>
      <c r="L1284" s="44"/>
      <c r="M1284" s="45" t="s">
        <v>4044</v>
      </c>
    </row>
    <row r="1285" s="26" customFormat="1" ht="30" customHeight="1" spans="1:13">
      <c r="A1285" s="41">
        <f>IF(C1285="","",SUBTOTAL(103,$C$2:C1285))</f>
        <v>1276</v>
      </c>
      <c r="B1285" s="41">
        <v>5396</v>
      </c>
      <c r="C1285" s="41">
        <v>846</v>
      </c>
      <c r="D1285" s="41" t="s">
        <v>45</v>
      </c>
      <c r="E1285" s="41" t="s">
        <v>1298</v>
      </c>
      <c r="F1285" s="41" t="s">
        <v>2255</v>
      </c>
      <c r="G1285" s="41" t="s">
        <v>4045</v>
      </c>
      <c r="H1285" s="41" t="s">
        <v>4046</v>
      </c>
      <c r="I1285" s="43">
        <v>12</v>
      </c>
      <c r="J1285" s="44" t="str">
        <f>VLOOKUP(G1285,[1]硬件清单!$F:$F,1,0)</f>
        <v>210235A3SUH199000056</v>
      </c>
      <c r="K1285" s="44"/>
      <c r="L1285" s="44"/>
      <c r="M1285" s="45" t="s">
        <v>4047</v>
      </c>
    </row>
    <row r="1286" s="26" customFormat="1" ht="30" customHeight="1" spans="1:13">
      <c r="A1286" s="41">
        <f>IF(C1286="","",SUBTOTAL(103,$C$2:C1286))</f>
        <v>1277</v>
      </c>
      <c r="B1286" s="41">
        <v>5397</v>
      </c>
      <c r="C1286" s="41">
        <v>847</v>
      </c>
      <c r="D1286" s="41" t="s">
        <v>45</v>
      </c>
      <c r="E1286" s="41" t="s">
        <v>1298</v>
      </c>
      <c r="F1286" s="41" t="s">
        <v>2255</v>
      </c>
      <c r="G1286" s="41" t="s">
        <v>4048</v>
      </c>
      <c r="H1286" s="41" t="s">
        <v>4049</v>
      </c>
      <c r="I1286" s="43">
        <v>12</v>
      </c>
      <c r="J1286" s="44" t="str">
        <f>VLOOKUP(G1286,[1]硬件清单!$F:$F,1,0)</f>
        <v>210235A3SUH19B000034</v>
      </c>
      <c r="K1286" s="44"/>
      <c r="L1286" s="44"/>
      <c r="M1286" s="45" t="s">
        <v>4050</v>
      </c>
    </row>
    <row r="1287" s="26" customFormat="1" ht="30" customHeight="1" spans="1:13">
      <c r="A1287" s="41">
        <f>IF(C1287="","",SUBTOTAL(103,$C$2:C1287))</f>
        <v>1278</v>
      </c>
      <c r="B1287" s="41">
        <v>5398</v>
      </c>
      <c r="C1287" s="41">
        <v>848</v>
      </c>
      <c r="D1287" s="41" t="s">
        <v>45</v>
      </c>
      <c r="E1287" s="41" t="s">
        <v>1298</v>
      </c>
      <c r="F1287" s="41" t="s">
        <v>2255</v>
      </c>
      <c r="G1287" s="41" t="s">
        <v>4051</v>
      </c>
      <c r="H1287" s="41" t="s">
        <v>4052</v>
      </c>
      <c r="I1287" s="43">
        <v>12</v>
      </c>
      <c r="J1287" s="44" t="str">
        <f>VLOOKUP(G1287,[1]硬件清单!$F:$F,1,0)</f>
        <v>210235A3SUH19B000120</v>
      </c>
      <c r="K1287" s="44"/>
      <c r="L1287" s="44"/>
      <c r="M1287" s="45" t="s">
        <v>4053</v>
      </c>
    </row>
    <row r="1288" s="26" customFormat="1" ht="30" customHeight="1" spans="1:13">
      <c r="A1288" s="41">
        <f>IF(C1288="","",SUBTOTAL(103,$C$2:C1288))</f>
        <v>1279</v>
      </c>
      <c r="B1288" s="41">
        <v>5399</v>
      </c>
      <c r="C1288" s="41">
        <v>849</v>
      </c>
      <c r="D1288" s="41" t="s">
        <v>45</v>
      </c>
      <c r="E1288" s="41" t="s">
        <v>1298</v>
      </c>
      <c r="F1288" s="41" t="s">
        <v>2255</v>
      </c>
      <c r="G1288" s="41" t="s">
        <v>4054</v>
      </c>
      <c r="H1288" s="41" t="s">
        <v>4055</v>
      </c>
      <c r="I1288" s="43">
        <v>12</v>
      </c>
      <c r="J1288" s="44" t="str">
        <f>VLOOKUP(G1288,[1]硬件清单!$F:$F,1,0)</f>
        <v>210235A3SUH19B000080</v>
      </c>
      <c r="K1288" s="44"/>
      <c r="L1288" s="44"/>
      <c r="M1288" s="45" t="s">
        <v>4056</v>
      </c>
    </row>
    <row r="1289" s="26" customFormat="1" ht="30" customHeight="1" spans="1:13">
      <c r="A1289" s="41">
        <f>IF(C1289="","",SUBTOTAL(103,$C$2:C1289))</f>
        <v>1280</v>
      </c>
      <c r="B1289" s="41">
        <v>5400</v>
      </c>
      <c r="C1289" s="41">
        <v>850</v>
      </c>
      <c r="D1289" s="41" t="s">
        <v>45</v>
      </c>
      <c r="E1289" s="41" t="s">
        <v>1298</v>
      </c>
      <c r="F1289" s="41" t="s">
        <v>2255</v>
      </c>
      <c r="G1289" s="41" t="s">
        <v>4057</v>
      </c>
      <c r="H1289" s="41" t="s">
        <v>4058</v>
      </c>
      <c r="I1289" s="43">
        <v>12</v>
      </c>
      <c r="J1289" s="44" t="str">
        <f>VLOOKUP(G1289,[1]硬件清单!$F:$F,1,0)</f>
        <v>210235A3SUH19B000077</v>
      </c>
      <c r="K1289" s="44"/>
      <c r="L1289" s="44"/>
      <c r="M1289" s="45" t="s">
        <v>4059</v>
      </c>
    </row>
    <row r="1290" s="26" customFormat="1" ht="30" customHeight="1" spans="1:13">
      <c r="A1290" s="41">
        <f>IF(C1290="","",SUBTOTAL(103,$C$2:C1290))</f>
        <v>1281</v>
      </c>
      <c r="B1290" s="41">
        <v>5401</v>
      </c>
      <c r="C1290" s="41">
        <v>851</v>
      </c>
      <c r="D1290" s="41" t="s">
        <v>45</v>
      </c>
      <c r="E1290" s="41" t="s">
        <v>1298</v>
      </c>
      <c r="F1290" s="41" t="s">
        <v>2255</v>
      </c>
      <c r="G1290" s="41" t="s">
        <v>4060</v>
      </c>
      <c r="H1290" s="41" t="s">
        <v>4061</v>
      </c>
      <c r="I1290" s="43">
        <v>12</v>
      </c>
      <c r="J1290" s="44" t="str">
        <f>VLOOKUP(G1290,[1]硬件清单!$F:$F,1,0)</f>
        <v>210235A3SUH19A000270</v>
      </c>
      <c r="K1290" s="44"/>
      <c r="L1290" s="44"/>
      <c r="M1290" s="45" t="s">
        <v>4062</v>
      </c>
    </row>
    <row r="1291" s="26" customFormat="1" ht="30" customHeight="1" spans="1:13">
      <c r="A1291" s="41">
        <f>IF(C1291="","",SUBTOTAL(103,$C$2:C1291))</f>
        <v>1282</v>
      </c>
      <c r="B1291" s="41">
        <v>5402</v>
      </c>
      <c r="C1291" s="41">
        <v>852</v>
      </c>
      <c r="D1291" s="41" t="s">
        <v>45</v>
      </c>
      <c r="E1291" s="41" t="s">
        <v>1298</v>
      </c>
      <c r="F1291" s="41" t="s">
        <v>2255</v>
      </c>
      <c r="G1291" s="41" t="s">
        <v>4063</v>
      </c>
      <c r="H1291" s="41" t="s">
        <v>4064</v>
      </c>
      <c r="I1291" s="43">
        <v>12</v>
      </c>
      <c r="J1291" s="44" t="str">
        <f>VLOOKUP(G1291,[1]硬件清单!$F:$F,1,0)</f>
        <v>210235A3SUH19B000025</v>
      </c>
      <c r="K1291" s="44"/>
      <c r="L1291" s="44"/>
      <c r="M1291" s="45" t="s">
        <v>4065</v>
      </c>
    </row>
    <row r="1292" s="26" customFormat="1" ht="30" customHeight="1" spans="1:13">
      <c r="A1292" s="41">
        <f>IF(C1292="","",SUBTOTAL(103,$C$2:C1292))</f>
        <v>1283</v>
      </c>
      <c r="B1292" s="41">
        <v>5403</v>
      </c>
      <c r="C1292" s="41">
        <v>853</v>
      </c>
      <c r="D1292" s="41" t="s">
        <v>45</v>
      </c>
      <c r="E1292" s="41" t="s">
        <v>1298</v>
      </c>
      <c r="F1292" s="41" t="s">
        <v>2255</v>
      </c>
      <c r="G1292" s="41" t="s">
        <v>4066</v>
      </c>
      <c r="H1292" s="41" t="s">
        <v>4067</v>
      </c>
      <c r="I1292" s="43">
        <v>12</v>
      </c>
      <c r="J1292" s="44" t="str">
        <f>VLOOKUP(G1292,[1]硬件清单!$F:$F,1,0)</f>
        <v>210235A3SUH19A000161</v>
      </c>
      <c r="K1292" s="44"/>
      <c r="L1292" s="44"/>
      <c r="M1292" s="45" t="s">
        <v>4068</v>
      </c>
    </row>
    <row r="1293" s="26" customFormat="1" ht="30" customHeight="1" spans="1:13">
      <c r="A1293" s="41">
        <f>IF(C1293="","",SUBTOTAL(103,$C$2:C1293))</f>
        <v>1284</v>
      </c>
      <c r="B1293" s="41">
        <v>5404</v>
      </c>
      <c r="C1293" s="41">
        <v>854</v>
      </c>
      <c r="D1293" s="41" t="s">
        <v>45</v>
      </c>
      <c r="E1293" s="41" t="s">
        <v>1298</v>
      </c>
      <c r="F1293" s="41" t="s">
        <v>2255</v>
      </c>
      <c r="G1293" s="41" t="s">
        <v>4069</v>
      </c>
      <c r="H1293" s="41" t="s">
        <v>4070</v>
      </c>
      <c r="I1293" s="43">
        <v>12</v>
      </c>
      <c r="J1293" s="44" t="str">
        <f>VLOOKUP(G1293,[1]硬件清单!$F:$F,1,0)</f>
        <v>210235A3SUH19B000076</v>
      </c>
      <c r="K1293" s="44"/>
      <c r="L1293" s="44"/>
      <c r="M1293" s="45" t="s">
        <v>4071</v>
      </c>
    </row>
    <row r="1294" s="26" customFormat="1" ht="30" customHeight="1" spans="1:13">
      <c r="A1294" s="41">
        <f>IF(C1294="","",SUBTOTAL(103,$C$2:C1294))</f>
        <v>1285</v>
      </c>
      <c r="B1294" s="41">
        <v>5405</v>
      </c>
      <c r="C1294" s="41">
        <v>855</v>
      </c>
      <c r="D1294" s="41" t="s">
        <v>45</v>
      </c>
      <c r="E1294" s="41" t="s">
        <v>1298</v>
      </c>
      <c r="F1294" s="41" t="s">
        <v>2255</v>
      </c>
      <c r="G1294" s="41" t="s">
        <v>4072</v>
      </c>
      <c r="H1294" s="41" t="s">
        <v>4073</v>
      </c>
      <c r="I1294" s="43">
        <v>12</v>
      </c>
      <c r="J1294" s="44" t="str">
        <f>VLOOKUP(G1294,[1]硬件清单!$F:$F,1,0)</f>
        <v>210235A3SUH19A000177</v>
      </c>
      <c r="K1294" s="44"/>
      <c r="L1294" s="44"/>
      <c r="M1294" s="45" t="s">
        <v>4074</v>
      </c>
    </row>
    <row r="1295" s="26" customFormat="1" ht="30" customHeight="1" spans="1:13">
      <c r="A1295" s="41">
        <f>IF(C1295="","",SUBTOTAL(103,$C$2:C1295))</f>
        <v>1286</v>
      </c>
      <c r="B1295" s="41">
        <v>5406</v>
      </c>
      <c r="C1295" s="41">
        <v>856</v>
      </c>
      <c r="D1295" s="41" t="s">
        <v>45</v>
      </c>
      <c r="E1295" s="41" t="s">
        <v>1298</v>
      </c>
      <c r="F1295" s="41" t="s">
        <v>2255</v>
      </c>
      <c r="G1295" s="41" t="s">
        <v>4075</v>
      </c>
      <c r="H1295" s="41" t="s">
        <v>4076</v>
      </c>
      <c r="I1295" s="43">
        <v>12</v>
      </c>
      <c r="J1295" s="44" t="str">
        <f>VLOOKUP(G1295,[1]硬件清单!$F:$F,1,0)</f>
        <v>210235A3SUH19B000067</v>
      </c>
      <c r="K1295" s="44"/>
      <c r="L1295" s="44"/>
      <c r="M1295" s="45" t="s">
        <v>4077</v>
      </c>
    </row>
    <row r="1296" s="26" customFormat="1" ht="30" customHeight="1" spans="1:13">
      <c r="A1296" s="41">
        <f>IF(C1296="","",SUBTOTAL(103,$C$2:C1296))</f>
        <v>1287</v>
      </c>
      <c r="B1296" s="41">
        <v>5407</v>
      </c>
      <c r="C1296" s="41">
        <v>857</v>
      </c>
      <c r="D1296" s="41" t="s">
        <v>45</v>
      </c>
      <c r="E1296" s="41" t="s">
        <v>1298</v>
      </c>
      <c r="F1296" s="41" t="s">
        <v>2255</v>
      </c>
      <c r="G1296" s="41" t="s">
        <v>4078</v>
      </c>
      <c r="H1296" s="41" t="s">
        <v>4079</v>
      </c>
      <c r="I1296" s="43">
        <v>12</v>
      </c>
      <c r="J1296" s="44" t="str">
        <f>VLOOKUP(G1296,[1]硬件清单!$F:$F,1,0)</f>
        <v>210235A3SUH19A000172</v>
      </c>
      <c r="K1296" s="44"/>
      <c r="L1296" s="44"/>
      <c r="M1296" s="45" t="s">
        <v>4080</v>
      </c>
    </row>
    <row r="1297" s="26" customFormat="1" ht="30" customHeight="1" spans="1:13">
      <c r="A1297" s="41">
        <f>IF(C1297="","",SUBTOTAL(103,$C$2:C1297))</f>
        <v>1288</v>
      </c>
      <c r="B1297" s="41">
        <v>5408</v>
      </c>
      <c r="C1297" s="41">
        <v>858</v>
      </c>
      <c r="D1297" s="41" t="s">
        <v>45</v>
      </c>
      <c r="E1297" s="41" t="s">
        <v>1298</v>
      </c>
      <c r="F1297" s="41" t="s">
        <v>2255</v>
      </c>
      <c r="G1297" s="41" t="s">
        <v>4081</v>
      </c>
      <c r="H1297" s="41" t="s">
        <v>4082</v>
      </c>
      <c r="I1297" s="43">
        <v>12</v>
      </c>
      <c r="J1297" s="44" t="str">
        <f>VLOOKUP(G1297,[1]硬件清单!$F:$F,1,0)</f>
        <v>210235A3SUH19B000028</v>
      </c>
      <c r="K1297" s="44"/>
      <c r="L1297" s="44"/>
      <c r="M1297" s="45" t="s">
        <v>4083</v>
      </c>
    </row>
    <row r="1298" s="26" customFormat="1" ht="30" customHeight="1" spans="1:13">
      <c r="A1298" s="41">
        <f>IF(C1298="","",SUBTOTAL(103,$C$2:C1298))</f>
        <v>1289</v>
      </c>
      <c r="B1298" s="41">
        <v>5409</v>
      </c>
      <c r="C1298" s="41">
        <v>859</v>
      </c>
      <c r="D1298" s="41" t="s">
        <v>45</v>
      </c>
      <c r="E1298" s="41" t="s">
        <v>1298</v>
      </c>
      <c r="F1298" s="41" t="s">
        <v>2255</v>
      </c>
      <c r="G1298" s="41" t="s">
        <v>4084</v>
      </c>
      <c r="H1298" s="41" t="s">
        <v>4085</v>
      </c>
      <c r="I1298" s="43">
        <v>12</v>
      </c>
      <c r="J1298" s="44" t="str">
        <f>VLOOKUP(G1298,[1]硬件清单!$F:$F,1,0)</f>
        <v>210235A3SUH19B000069</v>
      </c>
      <c r="K1298" s="44"/>
      <c r="L1298" s="44"/>
      <c r="M1298" s="45" t="s">
        <v>4086</v>
      </c>
    </row>
    <row r="1299" s="26" customFormat="1" ht="30" customHeight="1" spans="1:13">
      <c r="A1299" s="41">
        <f>IF(C1299="","",SUBTOTAL(103,$C$2:C1299))</f>
        <v>1290</v>
      </c>
      <c r="B1299" s="41">
        <v>5410</v>
      </c>
      <c r="C1299" s="41">
        <v>860</v>
      </c>
      <c r="D1299" s="41" t="s">
        <v>45</v>
      </c>
      <c r="E1299" s="41" t="s">
        <v>1298</v>
      </c>
      <c r="F1299" s="41" t="s">
        <v>2255</v>
      </c>
      <c r="G1299" s="41" t="s">
        <v>4087</v>
      </c>
      <c r="H1299" s="41" t="s">
        <v>4088</v>
      </c>
      <c r="I1299" s="43">
        <v>12</v>
      </c>
      <c r="J1299" s="44" t="str">
        <f>VLOOKUP(G1299,[1]硬件清单!$F:$F,1,0)</f>
        <v>210235A3SUH19B000011</v>
      </c>
      <c r="K1299" s="44"/>
      <c r="L1299" s="44"/>
      <c r="M1299" s="45" t="s">
        <v>4089</v>
      </c>
    </row>
    <row r="1300" s="26" customFormat="1" ht="30" customHeight="1" spans="1:13">
      <c r="A1300" s="41">
        <f>IF(C1300="","",SUBTOTAL(103,$C$2:C1300))</f>
        <v>1291</v>
      </c>
      <c r="B1300" s="41">
        <v>5411</v>
      </c>
      <c r="C1300" s="41">
        <v>861</v>
      </c>
      <c r="D1300" s="41" t="s">
        <v>45</v>
      </c>
      <c r="E1300" s="41" t="s">
        <v>1298</v>
      </c>
      <c r="F1300" s="41" t="s">
        <v>2255</v>
      </c>
      <c r="G1300" s="41" t="s">
        <v>4090</v>
      </c>
      <c r="H1300" s="41" t="s">
        <v>4091</v>
      </c>
      <c r="I1300" s="43">
        <v>12</v>
      </c>
      <c r="J1300" s="44" t="str">
        <f>VLOOKUP(G1300,[1]硬件清单!$F:$F,1,0)</f>
        <v>210235A3SUH19B000018</v>
      </c>
      <c r="K1300" s="44"/>
      <c r="L1300" s="44"/>
      <c r="M1300" s="45" t="s">
        <v>4092</v>
      </c>
    </row>
    <row r="1301" s="26" customFormat="1" ht="30" customHeight="1" spans="1:13">
      <c r="A1301" s="41">
        <f>IF(C1301="","",SUBTOTAL(103,$C$2:C1301))</f>
        <v>1292</v>
      </c>
      <c r="B1301" s="41">
        <v>5412</v>
      </c>
      <c r="C1301" s="41">
        <v>862</v>
      </c>
      <c r="D1301" s="41" t="s">
        <v>45</v>
      </c>
      <c r="E1301" s="41" t="s">
        <v>1298</v>
      </c>
      <c r="F1301" s="41" t="s">
        <v>2255</v>
      </c>
      <c r="G1301" s="41" t="s">
        <v>4093</v>
      </c>
      <c r="H1301" s="41" t="s">
        <v>4094</v>
      </c>
      <c r="I1301" s="43">
        <v>12</v>
      </c>
      <c r="J1301" s="44" t="str">
        <f>VLOOKUP(G1301,[1]硬件清单!$F:$F,1,0)</f>
        <v>210235A3SUH19B000015</v>
      </c>
      <c r="K1301" s="44"/>
      <c r="L1301" s="44"/>
      <c r="M1301" s="45" t="s">
        <v>4095</v>
      </c>
    </row>
    <row r="1302" s="26" customFormat="1" ht="30" customHeight="1" spans="1:13">
      <c r="A1302" s="41">
        <f>IF(C1302="","",SUBTOTAL(103,$C$2:C1302))</f>
        <v>1293</v>
      </c>
      <c r="B1302" s="41">
        <v>5413</v>
      </c>
      <c r="C1302" s="41">
        <v>863</v>
      </c>
      <c r="D1302" s="41" t="s">
        <v>45</v>
      </c>
      <c r="E1302" s="41" t="s">
        <v>1298</v>
      </c>
      <c r="F1302" s="41" t="s">
        <v>2255</v>
      </c>
      <c r="G1302" s="41" t="s">
        <v>4096</v>
      </c>
      <c r="H1302" s="41" t="s">
        <v>4097</v>
      </c>
      <c r="I1302" s="43">
        <v>12</v>
      </c>
      <c r="J1302" s="44" t="str">
        <f>VLOOKUP(G1302,[1]硬件清单!$F:$F,1,0)</f>
        <v>210235A3SUH19A000215</v>
      </c>
      <c r="K1302" s="44"/>
      <c r="L1302" s="44"/>
      <c r="M1302" s="45" t="s">
        <v>4098</v>
      </c>
    </row>
    <row r="1303" s="26" customFormat="1" ht="30" customHeight="1" spans="1:13">
      <c r="A1303" s="41">
        <f>IF(C1303="","",SUBTOTAL(103,$C$2:C1303))</f>
        <v>1294</v>
      </c>
      <c r="B1303" s="41">
        <v>5414</v>
      </c>
      <c r="C1303" s="41">
        <v>864</v>
      </c>
      <c r="D1303" s="41" t="s">
        <v>45</v>
      </c>
      <c r="E1303" s="41" t="s">
        <v>1298</v>
      </c>
      <c r="F1303" s="41" t="s">
        <v>2255</v>
      </c>
      <c r="G1303" s="41" t="s">
        <v>4099</v>
      </c>
      <c r="H1303" s="41" t="s">
        <v>4100</v>
      </c>
      <c r="I1303" s="43">
        <v>12</v>
      </c>
      <c r="J1303" s="44" t="str">
        <f>VLOOKUP(G1303,[1]硬件清单!$F:$F,1,0)</f>
        <v>210235A3SUH19A000214</v>
      </c>
      <c r="K1303" s="44"/>
      <c r="L1303" s="44"/>
      <c r="M1303" s="45" t="s">
        <v>4101</v>
      </c>
    </row>
    <row r="1304" s="26" customFormat="1" ht="30" customHeight="1" spans="1:13">
      <c r="A1304" s="41">
        <f>IF(C1304="","",SUBTOTAL(103,$C$2:C1304))</f>
        <v>1295</v>
      </c>
      <c r="B1304" s="41">
        <v>5415</v>
      </c>
      <c r="C1304" s="41">
        <v>865</v>
      </c>
      <c r="D1304" s="41" t="s">
        <v>45</v>
      </c>
      <c r="E1304" s="41" t="s">
        <v>1298</v>
      </c>
      <c r="F1304" s="41" t="s">
        <v>2255</v>
      </c>
      <c r="G1304" s="41" t="s">
        <v>4102</v>
      </c>
      <c r="H1304" s="41" t="s">
        <v>4103</v>
      </c>
      <c r="I1304" s="43">
        <v>12</v>
      </c>
      <c r="J1304" s="44" t="str">
        <f>VLOOKUP(G1304,[1]硬件清单!$F:$F,1,0)</f>
        <v>210235A3SUH19A000133</v>
      </c>
      <c r="K1304" s="44"/>
      <c r="L1304" s="44"/>
      <c r="M1304" s="45" t="s">
        <v>4104</v>
      </c>
    </row>
    <row r="1305" s="26" customFormat="1" ht="30" customHeight="1" spans="1:13">
      <c r="A1305" s="41">
        <f>IF(C1305="","",SUBTOTAL(103,$C$2:C1305))</f>
        <v>1296</v>
      </c>
      <c r="B1305" s="41">
        <v>5416</v>
      </c>
      <c r="C1305" s="41">
        <v>866</v>
      </c>
      <c r="D1305" s="41" t="s">
        <v>45</v>
      </c>
      <c r="E1305" s="41" t="s">
        <v>1298</v>
      </c>
      <c r="F1305" s="41" t="s">
        <v>2255</v>
      </c>
      <c r="G1305" s="41" t="s">
        <v>4105</v>
      </c>
      <c r="H1305" s="41" t="s">
        <v>4106</v>
      </c>
      <c r="I1305" s="43">
        <v>12</v>
      </c>
      <c r="J1305" s="44" t="str">
        <f>VLOOKUP(G1305,[1]硬件清单!$F:$F,1,0)</f>
        <v>210235A3SUH19A000276</v>
      </c>
      <c r="K1305" s="44"/>
      <c r="L1305" s="44"/>
      <c r="M1305" s="45" t="s">
        <v>4107</v>
      </c>
    </row>
    <row r="1306" s="26" customFormat="1" ht="30" customHeight="1" spans="1:13">
      <c r="A1306" s="41">
        <f>IF(C1306="","",SUBTOTAL(103,$C$2:C1306))</f>
        <v>1297</v>
      </c>
      <c r="B1306" s="41">
        <v>5417</v>
      </c>
      <c r="C1306" s="41">
        <v>867</v>
      </c>
      <c r="D1306" s="41" t="s">
        <v>45</v>
      </c>
      <c r="E1306" s="41" t="s">
        <v>1298</v>
      </c>
      <c r="F1306" s="41" t="s">
        <v>2255</v>
      </c>
      <c r="G1306" s="41" t="s">
        <v>4108</v>
      </c>
      <c r="H1306" s="41" t="s">
        <v>4109</v>
      </c>
      <c r="I1306" s="43">
        <v>12</v>
      </c>
      <c r="J1306" s="44" t="str">
        <f>VLOOKUP(G1306,[1]硬件清单!$F:$F,1,0)</f>
        <v>210235A3SUH19A000082</v>
      </c>
      <c r="K1306" s="44"/>
      <c r="L1306" s="44"/>
      <c r="M1306" s="45" t="s">
        <v>4110</v>
      </c>
    </row>
    <row r="1307" s="26" customFormat="1" ht="30" customHeight="1" spans="1:13">
      <c r="A1307" s="41">
        <f>IF(C1307="","",SUBTOTAL(103,$C$2:C1307))</f>
        <v>1298</v>
      </c>
      <c r="B1307" s="41">
        <v>5418</v>
      </c>
      <c r="C1307" s="41">
        <v>868</v>
      </c>
      <c r="D1307" s="41" t="s">
        <v>45</v>
      </c>
      <c r="E1307" s="41" t="s">
        <v>1298</v>
      </c>
      <c r="F1307" s="41" t="s">
        <v>2255</v>
      </c>
      <c r="G1307" s="41" t="s">
        <v>4111</v>
      </c>
      <c r="H1307" s="41" t="s">
        <v>4112</v>
      </c>
      <c r="I1307" s="43">
        <v>12</v>
      </c>
      <c r="J1307" s="44" t="str">
        <f>VLOOKUP(G1307,[1]硬件清单!$F:$F,1,0)</f>
        <v>210235A3SUH19A000185</v>
      </c>
      <c r="K1307" s="44"/>
      <c r="L1307" s="44"/>
      <c r="M1307" s="45" t="s">
        <v>4113</v>
      </c>
    </row>
    <row r="1308" s="26" customFormat="1" ht="30" customHeight="1" spans="1:13">
      <c r="A1308" s="41">
        <f>IF(C1308="","",SUBTOTAL(103,$C$2:C1308))</f>
        <v>1299</v>
      </c>
      <c r="B1308" s="41">
        <v>5419</v>
      </c>
      <c r="C1308" s="41">
        <v>869</v>
      </c>
      <c r="D1308" s="41" t="s">
        <v>45</v>
      </c>
      <c r="E1308" s="41" t="s">
        <v>1298</v>
      </c>
      <c r="F1308" s="41" t="s">
        <v>2255</v>
      </c>
      <c r="G1308" s="41" t="s">
        <v>4114</v>
      </c>
      <c r="H1308" s="41" t="s">
        <v>4115</v>
      </c>
      <c r="I1308" s="43">
        <v>12</v>
      </c>
      <c r="J1308" s="44" t="str">
        <f>VLOOKUP(G1308,[1]硬件清单!$F:$F,1,0)</f>
        <v>210235A3SUH19A000220</v>
      </c>
      <c r="K1308" s="44"/>
      <c r="L1308" s="44"/>
      <c r="M1308" s="45" t="s">
        <v>4116</v>
      </c>
    </row>
    <row r="1309" s="26" customFormat="1" ht="30" customHeight="1" spans="1:13">
      <c r="A1309" s="41">
        <f>IF(C1309="","",SUBTOTAL(103,$C$2:C1309))</f>
        <v>1300</v>
      </c>
      <c r="B1309" s="41">
        <v>5420</v>
      </c>
      <c r="C1309" s="41">
        <v>870</v>
      </c>
      <c r="D1309" s="41" t="s">
        <v>45</v>
      </c>
      <c r="E1309" s="41" t="s">
        <v>1298</v>
      </c>
      <c r="F1309" s="41" t="s">
        <v>2255</v>
      </c>
      <c r="G1309" s="41" t="s">
        <v>4117</v>
      </c>
      <c r="H1309" s="41" t="s">
        <v>4118</v>
      </c>
      <c r="I1309" s="43">
        <v>12</v>
      </c>
      <c r="J1309" s="44" t="str">
        <f>VLOOKUP(G1309,[1]硬件清单!$F:$F,1,0)</f>
        <v>210235A3SUH19A000201</v>
      </c>
      <c r="K1309" s="44"/>
      <c r="L1309" s="44"/>
      <c r="M1309" s="45" t="s">
        <v>4119</v>
      </c>
    </row>
    <row r="1310" s="26" customFormat="1" ht="30" customHeight="1" spans="1:13">
      <c r="A1310" s="41">
        <f>IF(C1310="","",SUBTOTAL(103,$C$2:C1310))</f>
        <v>1301</v>
      </c>
      <c r="B1310" s="41">
        <v>5421</v>
      </c>
      <c r="C1310" s="41">
        <v>871</v>
      </c>
      <c r="D1310" s="41" t="s">
        <v>45</v>
      </c>
      <c r="E1310" s="41" t="s">
        <v>1298</v>
      </c>
      <c r="F1310" s="41" t="s">
        <v>2255</v>
      </c>
      <c r="G1310" s="41" t="s">
        <v>4120</v>
      </c>
      <c r="H1310" s="41" t="s">
        <v>4121</v>
      </c>
      <c r="I1310" s="43">
        <v>12</v>
      </c>
      <c r="J1310" s="44" t="str">
        <f>VLOOKUP(G1310,[1]硬件清单!$F:$F,1,0)</f>
        <v>210235A3SUH19A000372</v>
      </c>
      <c r="K1310" s="44"/>
      <c r="L1310" s="44"/>
      <c r="M1310" s="45" t="s">
        <v>4122</v>
      </c>
    </row>
    <row r="1311" s="26" customFormat="1" ht="30" customHeight="1" spans="1:13">
      <c r="A1311" s="41">
        <f>IF(C1311="","",SUBTOTAL(103,$C$2:C1311))</f>
        <v>1302</v>
      </c>
      <c r="B1311" s="41">
        <v>5422</v>
      </c>
      <c r="C1311" s="41">
        <v>872</v>
      </c>
      <c r="D1311" s="41" t="s">
        <v>45</v>
      </c>
      <c r="E1311" s="41" t="s">
        <v>1298</v>
      </c>
      <c r="F1311" s="41" t="s">
        <v>2255</v>
      </c>
      <c r="G1311" s="41" t="s">
        <v>4123</v>
      </c>
      <c r="H1311" s="41" t="s">
        <v>4124</v>
      </c>
      <c r="I1311" s="43">
        <v>12</v>
      </c>
      <c r="J1311" s="44" t="str">
        <f>VLOOKUP(G1311,[1]硬件清单!$F:$F,1,0)</f>
        <v>210235A3SUH19A000187</v>
      </c>
      <c r="K1311" s="44"/>
      <c r="L1311" s="44"/>
      <c r="M1311" s="45" t="s">
        <v>4125</v>
      </c>
    </row>
    <row r="1312" s="26" customFormat="1" ht="30" customHeight="1" spans="1:13">
      <c r="A1312" s="41">
        <f>IF(C1312="","",SUBTOTAL(103,$C$2:C1312))</f>
        <v>1303</v>
      </c>
      <c r="B1312" s="41">
        <v>5423</v>
      </c>
      <c r="C1312" s="41">
        <v>873</v>
      </c>
      <c r="D1312" s="41" t="s">
        <v>45</v>
      </c>
      <c r="E1312" s="41" t="s">
        <v>1298</v>
      </c>
      <c r="F1312" s="41" t="s">
        <v>2255</v>
      </c>
      <c r="G1312" s="41" t="s">
        <v>4126</v>
      </c>
      <c r="H1312" s="41" t="s">
        <v>4127</v>
      </c>
      <c r="I1312" s="43">
        <v>12</v>
      </c>
      <c r="J1312" s="44" t="str">
        <f>VLOOKUP(G1312,[1]硬件清单!$F:$F,1,0)</f>
        <v>210235A3SUH198000024</v>
      </c>
      <c r="K1312" s="44"/>
      <c r="L1312" s="44"/>
      <c r="M1312" s="45" t="s">
        <v>4128</v>
      </c>
    </row>
    <row r="1313" s="26" customFormat="1" ht="30" customHeight="1" spans="1:13">
      <c r="A1313" s="41">
        <f>IF(C1313="","",SUBTOTAL(103,$C$2:C1313))</f>
        <v>1304</v>
      </c>
      <c r="B1313" s="41">
        <v>5424</v>
      </c>
      <c r="C1313" s="41">
        <v>874</v>
      </c>
      <c r="D1313" s="41" t="s">
        <v>45</v>
      </c>
      <c r="E1313" s="41" t="s">
        <v>1298</v>
      </c>
      <c r="F1313" s="41" t="s">
        <v>2255</v>
      </c>
      <c r="G1313" s="41" t="s">
        <v>4129</v>
      </c>
      <c r="H1313" s="41" t="s">
        <v>4130</v>
      </c>
      <c r="I1313" s="43">
        <v>12</v>
      </c>
      <c r="J1313" s="44" t="str">
        <f>VLOOKUP(G1313,[1]硬件清单!$F:$F,1,0)</f>
        <v>210235A3SUH19A000255</v>
      </c>
      <c r="K1313" s="44"/>
      <c r="L1313" s="44"/>
      <c r="M1313" s="45" t="s">
        <v>4131</v>
      </c>
    </row>
    <row r="1314" s="26" customFormat="1" ht="30" customHeight="1" spans="1:13">
      <c r="A1314" s="41">
        <f>IF(C1314="","",SUBTOTAL(103,$C$2:C1314))</f>
        <v>1305</v>
      </c>
      <c r="B1314" s="41">
        <v>5425</v>
      </c>
      <c r="C1314" s="41">
        <v>875</v>
      </c>
      <c r="D1314" s="41" t="s">
        <v>45</v>
      </c>
      <c r="E1314" s="41" t="s">
        <v>1298</v>
      </c>
      <c r="F1314" s="41" t="s">
        <v>2255</v>
      </c>
      <c r="G1314" s="41" t="s">
        <v>4132</v>
      </c>
      <c r="H1314" s="41" t="s">
        <v>4133</v>
      </c>
      <c r="I1314" s="43">
        <v>12</v>
      </c>
      <c r="J1314" s="44" t="str">
        <f>VLOOKUP(G1314,[1]硬件清单!$F:$F,1,0)</f>
        <v>210235A3SUH19A000335</v>
      </c>
      <c r="K1314" s="44"/>
      <c r="L1314" s="44"/>
      <c r="M1314" s="45" t="s">
        <v>4134</v>
      </c>
    </row>
    <row r="1315" s="26" customFormat="1" ht="30" customHeight="1" spans="1:13">
      <c r="A1315" s="41">
        <f>IF(C1315="","",SUBTOTAL(103,$C$2:C1315))</f>
        <v>1306</v>
      </c>
      <c r="B1315" s="41">
        <v>5426</v>
      </c>
      <c r="C1315" s="41">
        <v>876</v>
      </c>
      <c r="D1315" s="41" t="s">
        <v>45</v>
      </c>
      <c r="E1315" s="41" t="s">
        <v>1298</v>
      </c>
      <c r="F1315" s="41" t="s">
        <v>2255</v>
      </c>
      <c r="G1315" s="41" t="s">
        <v>4135</v>
      </c>
      <c r="H1315" s="41" t="s">
        <v>4136</v>
      </c>
      <c r="I1315" s="43">
        <v>12</v>
      </c>
      <c r="J1315" s="44" t="str">
        <f>VLOOKUP(G1315,[1]硬件清单!$F:$F,1,0)</f>
        <v>210235A3SUH19A000164</v>
      </c>
      <c r="K1315" s="44"/>
      <c r="L1315" s="44"/>
      <c r="M1315" s="45" t="s">
        <v>4137</v>
      </c>
    </row>
    <row r="1316" s="26" customFormat="1" ht="30" customHeight="1" spans="1:13">
      <c r="A1316" s="41">
        <f>IF(C1316="","",SUBTOTAL(103,$C$2:C1316))</f>
        <v>1307</v>
      </c>
      <c r="B1316" s="41">
        <v>5427</v>
      </c>
      <c r="C1316" s="41">
        <v>877</v>
      </c>
      <c r="D1316" s="41" t="s">
        <v>45</v>
      </c>
      <c r="E1316" s="41" t="s">
        <v>1298</v>
      </c>
      <c r="F1316" s="41" t="s">
        <v>2255</v>
      </c>
      <c r="G1316" s="41" t="s">
        <v>4138</v>
      </c>
      <c r="H1316" s="41" t="s">
        <v>4139</v>
      </c>
      <c r="I1316" s="43">
        <v>12</v>
      </c>
      <c r="J1316" s="44" t="str">
        <f>VLOOKUP(G1316,[1]硬件清单!$F:$F,1,0)</f>
        <v>210235A3SUH19A000078</v>
      </c>
      <c r="K1316" s="44"/>
      <c r="L1316" s="44"/>
      <c r="M1316" s="45" t="s">
        <v>4140</v>
      </c>
    </row>
    <row r="1317" s="26" customFormat="1" ht="30" customHeight="1" spans="1:13">
      <c r="A1317" s="41">
        <f>IF(C1317="","",SUBTOTAL(103,$C$2:C1317))</f>
        <v>1308</v>
      </c>
      <c r="B1317" s="41">
        <v>5428</v>
      </c>
      <c r="C1317" s="41">
        <v>878</v>
      </c>
      <c r="D1317" s="41" t="s">
        <v>45</v>
      </c>
      <c r="E1317" s="41" t="s">
        <v>1298</v>
      </c>
      <c r="F1317" s="41" t="s">
        <v>2255</v>
      </c>
      <c r="G1317" s="41" t="s">
        <v>4141</v>
      </c>
      <c r="H1317" s="41" t="s">
        <v>4142</v>
      </c>
      <c r="I1317" s="43">
        <v>12</v>
      </c>
      <c r="J1317" s="44" t="str">
        <f>VLOOKUP(G1317,[1]硬件清单!$F:$F,1,0)</f>
        <v>210235A3SUH197000021</v>
      </c>
      <c r="K1317" s="44"/>
      <c r="L1317" s="44"/>
      <c r="M1317" s="45" t="s">
        <v>4143</v>
      </c>
    </row>
    <row r="1318" s="26" customFormat="1" ht="30" customHeight="1" spans="1:13">
      <c r="A1318" s="41">
        <f>IF(C1318="","",SUBTOTAL(103,$C$2:C1318))</f>
        <v>1309</v>
      </c>
      <c r="B1318" s="41">
        <v>5429</v>
      </c>
      <c r="C1318" s="41">
        <v>879</v>
      </c>
      <c r="D1318" s="41" t="s">
        <v>45</v>
      </c>
      <c r="E1318" s="41" t="s">
        <v>1298</v>
      </c>
      <c r="F1318" s="41" t="s">
        <v>2308</v>
      </c>
      <c r="G1318" s="41" t="s">
        <v>4144</v>
      </c>
      <c r="H1318" s="41" t="s">
        <v>4145</v>
      </c>
      <c r="I1318" s="43">
        <v>12</v>
      </c>
      <c r="J1318" s="44" t="str">
        <f>VLOOKUP(G1318,[1]硬件清单!$F:$F,1,0)</f>
        <v>J301D843</v>
      </c>
      <c r="K1318" s="44"/>
      <c r="L1318" s="44"/>
      <c r="M1318" s="45" t="s">
        <v>4146</v>
      </c>
    </row>
    <row r="1319" s="26" customFormat="1" ht="30" customHeight="1" spans="1:13">
      <c r="A1319" s="41">
        <f>IF(C1319="","",SUBTOTAL(103,$C$2:C1319))</f>
        <v>1310</v>
      </c>
      <c r="B1319" s="41">
        <v>5430</v>
      </c>
      <c r="C1319" s="41">
        <v>880</v>
      </c>
      <c r="D1319" s="41" t="s">
        <v>45</v>
      </c>
      <c r="E1319" s="41" t="s">
        <v>1298</v>
      </c>
      <c r="F1319" s="41" t="s">
        <v>2308</v>
      </c>
      <c r="G1319" s="41" t="s">
        <v>4147</v>
      </c>
      <c r="H1319" s="41" t="s">
        <v>4148</v>
      </c>
      <c r="I1319" s="43">
        <v>12</v>
      </c>
      <c r="J1319" s="44" t="str">
        <f>VLOOKUP(G1319,[1]硬件清单!$F:$F,1,0)</f>
        <v>J301D842</v>
      </c>
      <c r="K1319" s="44"/>
      <c r="L1319" s="44"/>
      <c r="M1319" s="45" t="s">
        <v>4149</v>
      </c>
    </row>
    <row r="1320" s="26" customFormat="1" ht="30" customHeight="1" spans="1:13">
      <c r="A1320" s="41">
        <f>IF(C1320="","",SUBTOTAL(103,$C$2:C1320))</f>
        <v>1311</v>
      </c>
      <c r="B1320" s="41">
        <v>5431</v>
      </c>
      <c r="C1320" s="41">
        <v>881</v>
      </c>
      <c r="D1320" s="41" t="s">
        <v>19</v>
      </c>
      <c r="E1320" s="41" t="s">
        <v>20</v>
      </c>
      <c r="F1320" s="41" t="s">
        <v>3765</v>
      </c>
      <c r="G1320" s="41" t="s">
        <v>4150</v>
      </c>
      <c r="H1320" s="41" t="s">
        <v>4151</v>
      </c>
      <c r="I1320" s="43">
        <v>12</v>
      </c>
      <c r="J1320" s="44" t="str">
        <f>VLOOKUP(G1320,[1]硬件清单!$F:$F,1,0)</f>
        <v>210235A3GLH19B000002</v>
      </c>
      <c r="K1320" s="44"/>
      <c r="L1320" s="44"/>
      <c r="M1320" s="45" t="s">
        <v>4152</v>
      </c>
    </row>
    <row r="1321" s="26" customFormat="1" ht="30" customHeight="1" spans="1:13">
      <c r="A1321" s="41">
        <f>IF(C1321="","",SUBTOTAL(103,$C$2:C1321))</f>
        <v>1312</v>
      </c>
      <c r="B1321" s="41">
        <v>5432</v>
      </c>
      <c r="C1321" s="41">
        <v>882</v>
      </c>
      <c r="D1321" s="41" t="s">
        <v>19</v>
      </c>
      <c r="E1321" s="41" t="s">
        <v>20</v>
      </c>
      <c r="F1321" s="41" t="s">
        <v>3765</v>
      </c>
      <c r="G1321" s="41" t="s">
        <v>4153</v>
      </c>
      <c r="H1321" s="41" t="s">
        <v>4154</v>
      </c>
      <c r="I1321" s="43">
        <v>12</v>
      </c>
      <c r="J1321" s="44" t="str">
        <f>VLOOKUP(G1321,[1]硬件清单!$F:$F,1,0)</f>
        <v>210235A3GLH19B000001</v>
      </c>
      <c r="K1321" s="44"/>
      <c r="L1321" s="44"/>
      <c r="M1321" s="45" t="s">
        <v>4155</v>
      </c>
    </row>
    <row r="1322" s="26" customFormat="1" ht="30" customHeight="1" spans="1:13">
      <c r="A1322" s="41">
        <f>IF(C1322="","",SUBTOTAL(103,$C$2:C1322))</f>
        <v>1313</v>
      </c>
      <c r="B1322" s="41">
        <v>5433</v>
      </c>
      <c r="C1322" s="41">
        <v>883</v>
      </c>
      <c r="D1322" s="41" t="s">
        <v>19</v>
      </c>
      <c r="E1322" s="41" t="s">
        <v>20</v>
      </c>
      <c r="F1322" s="41" t="s">
        <v>3765</v>
      </c>
      <c r="G1322" s="41" t="s">
        <v>4156</v>
      </c>
      <c r="H1322" s="41" t="s">
        <v>4157</v>
      </c>
      <c r="I1322" s="43">
        <v>12</v>
      </c>
      <c r="J1322" s="44" t="str">
        <f>VLOOKUP(G1322,[1]硬件清单!$F:$F,1,0)</f>
        <v>210235A3GLH19B000006</v>
      </c>
      <c r="K1322" s="44"/>
      <c r="L1322" s="44"/>
      <c r="M1322" s="45" t="s">
        <v>4158</v>
      </c>
    </row>
    <row r="1323" s="26" customFormat="1" ht="30" customHeight="1" spans="1:13">
      <c r="A1323" s="41">
        <f>IF(C1323="","",SUBTOTAL(103,$C$2:C1323))</f>
        <v>1314</v>
      </c>
      <c r="B1323" s="41">
        <v>5434</v>
      </c>
      <c r="C1323" s="41">
        <v>884</v>
      </c>
      <c r="D1323" s="41" t="s">
        <v>19</v>
      </c>
      <c r="E1323" s="41" t="s">
        <v>20</v>
      </c>
      <c r="F1323" s="41" t="s">
        <v>3765</v>
      </c>
      <c r="G1323" s="41" t="s">
        <v>4159</v>
      </c>
      <c r="H1323" s="41" t="s">
        <v>4160</v>
      </c>
      <c r="I1323" s="43">
        <v>12</v>
      </c>
      <c r="J1323" s="44" t="str">
        <f>VLOOKUP(G1323,[1]硬件清单!$F:$F,1,0)</f>
        <v>210235A3GLH19B000008</v>
      </c>
      <c r="K1323" s="44"/>
      <c r="L1323" s="44"/>
      <c r="M1323" s="45" t="s">
        <v>4161</v>
      </c>
    </row>
    <row r="1324" s="26" customFormat="1" ht="30" customHeight="1" spans="1:13">
      <c r="A1324" s="41">
        <f>IF(C1324="","",SUBTOTAL(103,$C$2:C1324))</f>
        <v>1315</v>
      </c>
      <c r="B1324" s="41">
        <v>5435</v>
      </c>
      <c r="C1324" s="41">
        <v>885</v>
      </c>
      <c r="D1324" s="41" t="s">
        <v>19</v>
      </c>
      <c r="E1324" s="41" t="s">
        <v>20</v>
      </c>
      <c r="F1324" s="41" t="s">
        <v>3778</v>
      </c>
      <c r="G1324" s="41" t="s">
        <v>4162</v>
      </c>
      <c r="H1324" s="41" t="s">
        <v>4163</v>
      </c>
      <c r="I1324" s="43">
        <v>12</v>
      </c>
      <c r="J1324" s="44" t="str">
        <f>VLOOKUP(G1324,[1]硬件清单!$F:$F,1,0)</f>
        <v>2102350DLVDMK9000066</v>
      </c>
      <c r="K1324" s="44"/>
      <c r="L1324" s="44"/>
      <c r="M1324" s="45" t="s">
        <v>4164</v>
      </c>
    </row>
    <row r="1325" s="26" customFormat="1" ht="30" customHeight="1" spans="1:13">
      <c r="A1325" s="41">
        <f>IF(C1325="","",SUBTOTAL(103,$C$2:C1325))</f>
        <v>1316</v>
      </c>
      <c r="B1325" s="41">
        <v>5436</v>
      </c>
      <c r="C1325" s="41">
        <v>886</v>
      </c>
      <c r="D1325" s="41" t="s">
        <v>19</v>
      </c>
      <c r="E1325" s="41" t="s">
        <v>20</v>
      </c>
      <c r="F1325" s="41" t="s">
        <v>3778</v>
      </c>
      <c r="G1325" s="41" t="s">
        <v>4165</v>
      </c>
      <c r="H1325" s="41" t="s">
        <v>4166</v>
      </c>
      <c r="I1325" s="43">
        <v>12</v>
      </c>
      <c r="J1325" s="44" t="str">
        <f>VLOOKUP(G1325,[1]硬件清单!$F:$F,1,0)</f>
        <v>2102350DLVDMK9000088</v>
      </c>
      <c r="K1325" s="44"/>
      <c r="L1325" s="44"/>
      <c r="M1325" s="45" t="s">
        <v>4167</v>
      </c>
    </row>
    <row r="1326" s="26" customFormat="1" ht="30" customHeight="1" spans="1:13">
      <c r="A1326" s="41">
        <f>IF(C1326="","",SUBTOTAL(103,$C$2:C1326))</f>
        <v>1317</v>
      </c>
      <c r="B1326" s="41">
        <v>5437</v>
      </c>
      <c r="C1326" s="41">
        <v>887</v>
      </c>
      <c r="D1326" s="41" t="s">
        <v>65</v>
      </c>
      <c r="E1326" s="41" t="s">
        <v>220</v>
      </c>
      <c r="F1326" s="41" t="s">
        <v>3821</v>
      </c>
      <c r="G1326" s="41" t="s">
        <v>4168</v>
      </c>
      <c r="H1326" s="41" t="s">
        <v>4169</v>
      </c>
      <c r="I1326" s="43">
        <v>12</v>
      </c>
      <c r="J1326" s="44" t="str">
        <f>VLOOKUP(G1326,[1]硬件清单!$F:$F,1,0)</f>
        <v>ASG1000-III2F0289ACC3</v>
      </c>
      <c r="K1326" s="44"/>
      <c r="L1326" s="44"/>
      <c r="M1326" s="45" t="s">
        <v>4170</v>
      </c>
    </row>
    <row r="1327" s="26" customFormat="1" ht="30" customHeight="1" spans="1:13">
      <c r="A1327" s="41">
        <f>IF(C1327="","",SUBTOTAL(103,$C$2:C1327))</f>
        <v>1318</v>
      </c>
      <c r="B1327" s="41">
        <v>5438</v>
      </c>
      <c r="C1327" s="41">
        <v>888</v>
      </c>
      <c r="D1327" s="41" t="s">
        <v>65</v>
      </c>
      <c r="E1327" s="41" t="s">
        <v>220</v>
      </c>
      <c r="F1327" s="41" t="s">
        <v>3821</v>
      </c>
      <c r="G1327" s="41" t="s">
        <v>4171</v>
      </c>
      <c r="H1327" s="41" t="s">
        <v>4172</v>
      </c>
      <c r="I1327" s="43">
        <v>12</v>
      </c>
      <c r="J1327" s="44" t="str">
        <f>VLOOKUP(G1327,[1]硬件清单!$F:$F,1,0)</f>
        <v>ASG1000-III2F0289ACC4</v>
      </c>
      <c r="K1327" s="44"/>
      <c r="L1327" s="44"/>
      <c r="M1327" s="45" t="s">
        <v>4173</v>
      </c>
    </row>
    <row r="1328" s="26" customFormat="1" ht="30" customHeight="1" spans="1:13">
      <c r="A1328" s="41">
        <f>IF(C1328="","",SUBTOTAL(103,$C$2:C1328))</f>
        <v>1319</v>
      </c>
      <c r="B1328" s="41">
        <v>5439</v>
      </c>
      <c r="C1328" s="41">
        <v>889</v>
      </c>
      <c r="D1328" s="41" t="s">
        <v>887</v>
      </c>
      <c r="E1328" s="41" t="s">
        <v>1429</v>
      </c>
      <c r="F1328" s="41" t="s">
        <v>2209</v>
      </c>
      <c r="G1328" s="41" t="s">
        <v>3492</v>
      </c>
      <c r="H1328" s="41" t="s">
        <v>4174</v>
      </c>
      <c r="I1328" s="43">
        <v>12</v>
      </c>
      <c r="J1328" s="44" t="str">
        <f>VLOOKUP(G1328,[1]硬件清单!$F:$F,1,0)</f>
        <v>210235A3SVH19B000004</v>
      </c>
      <c r="K1328" s="44"/>
      <c r="L1328" s="44"/>
      <c r="M1328" s="45" t="s">
        <v>4175</v>
      </c>
    </row>
    <row r="1329" s="26" customFormat="1" ht="30" customHeight="1" spans="1:13">
      <c r="A1329" s="41">
        <f>IF(C1329="","",SUBTOTAL(103,$C$2:C1329))</f>
        <v>1320</v>
      </c>
      <c r="B1329" s="41">
        <v>5440</v>
      </c>
      <c r="C1329" s="41">
        <v>890</v>
      </c>
      <c r="D1329" s="41" t="s">
        <v>887</v>
      </c>
      <c r="E1329" s="41" t="s">
        <v>1429</v>
      </c>
      <c r="F1329" s="41" t="s">
        <v>2209</v>
      </c>
      <c r="G1329" s="41" t="s">
        <v>4176</v>
      </c>
      <c r="H1329" s="41" t="s">
        <v>4177</v>
      </c>
      <c r="I1329" s="43">
        <v>12</v>
      </c>
      <c r="J1329" s="44" t="str">
        <f>VLOOKUP(G1329,[1]硬件清单!$F:$F,1,0)</f>
        <v>210235A3SVH19B000011</v>
      </c>
      <c r="K1329" s="44"/>
      <c r="L1329" s="44"/>
      <c r="M1329" s="45" t="s">
        <v>4178</v>
      </c>
    </row>
    <row r="1330" s="26" customFormat="1" ht="30" customHeight="1" spans="1:13">
      <c r="A1330" s="41">
        <f>IF(C1330="","",SUBTOTAL(103,$C$2:C1330))</f>
        <v>1321</v>
      </c>
      <c r="B1330" s="41">
        <v>5441</v>
      </c>
      <c r="C1330" s="41">
        <v>891</v>
      </c>
      <c r="D1330" s="41" t="s">
        <v>887</v>
      </c>
      <c r="E1330" s="41" t="s">
        <v>1429</v>
      </c>
      <c r="F1330" s="41" t="s">
        <v>2209</v>
      </c>
      <c r="G1330" s="41" t="s">
        <v>4179</v>
      </c>
      <c r="H1330" s="41" t="s">
        <v>4180</v>
      </c>
      <c r="I1330" s="43">
        <v>12</v>
      </c>
      <c r="J1330" s="44" t="str">
        <f>VLOOKUP(G1330,[1]硬件清单!$F:$F,1,0)</f>
        <v>210235A3SVH19B000026</v>
      </c>
      <c r="K1330" s="44"/>
      <c r="L1330" s="44"/>
      <c r="M1330" s="45" t="s">
        <v>4181</v>
      </c>
    </row>
    <row r="1331" s="26" customFormat="1" ht="30" customHeight="1" spans="1:13">
      <c r="A1331" s="41">
        <f>IF(C1331="","",SUBTOTAL(103,$C$2:C1331))</f>
        <v>1322</v>
      </c>
      <c r="B1331" s="41">
        <v>5442</v>
      </c>
      <c r="C1331" s="41">
        <v>892</v>
      </c>
      <c r="D1331" s="41" t="s">
        <v>887</v>
      </c>
      <c r="E1331" s="41" t="s">
        <v>1429</v>
      </c>
      <c r="F1331" s="41" t="s">
        <v>2209</v>
      </c>
      <c r="G1331" s="41" t="s">
        <v>4182</v>
      </c>
      <c r="H1331" s="41" t="s">
        <v>4183</v>
      </c>
      <c r="I1331" s="43">
        <v>12</v>
      </c>
      <c r="J1331" s="44" t="str">
        <f>VLOOKUP(G1331,[1]硬件清单!$F:$F,1,0)</f>
        <v>210235A3SVH19B000008</v>
      </c>
      <c r="K1331" s="44"/>
      <c r="L1331" s="44"/>
      <c r="M1331" s="45" t="s">
        <v>4184</v>
      </c>
    </row>
    <row r="1332" s="26" customFormat="1" ht="30" customHeight="1" spans="1:13">
      <c r="A1332" s="41">
        <f>IF(C1332="","",SUBTOTAL(103,$C$2:C1332))</f>
        <v>1323</v>
      </c>
      <c r="B1332" s="41">
        <v>5443</v>
      </c>
      <c r="C1332" s="41">
        <v>893</v>
      </c>
      <c r="D1332" s="41" t="s">
        <v>887</v>
      </c>
      <c r="E1332" s="41" t="s">
        <v>1429</v>
      </c>
      <c r="F1332" s="41" t="s">
        <v>2209</v>
      </c>
      <c r="G1332" s="41" t="s">
        <v>4185</v>
      </c>
      <c r="H1332" s="41" t="s">
        <v>4186</v>
      </c>
      <c r="I1332" s="43">
        <v>12</v>
      </c>
      <c r="J1332" s="44" t="str">
        <f>VLOOKUP(G1332,[1]硬件清单!$F:$F,1,0)</f>
        <v>210235A3SVH199000020</v>
      </c>
      <c r="K1332" s="44"/>
      <c r="L1332" s="44"/>
      <c r="M1332" s="45" t="s">
        <v>4187</v>
      </c>
    </row>
    <row r="1333" s="26" customFormat="1" ht="30" customHeight="1" spans="1:13">
      <c r="A1333" s="41">
        <f>IF(C1333="","",SUBTOTAL(103,$C$2:C1333))</f>
        <v>1324</v>
      </c>
      <c r="B1333" s="41">
        <v>5444</v>
      </c>
      <c r="C1333" s="41">
        <v>894</v>
      </c>
      <c r="D1333" s="41" t="s">
        <v>887</v>
      </c>
      <c r="E1333" s="41" t="s">
        <v>1429</v>
      </c>
      <c r="F1333" s="41" t="s">
        <v>2209</v>
      </c>
      <c r="G1333" s="41" t="s">
        <v>4188</v>
      </c>
      <c r="H1333" s="41" t="s">
        <v>4189</v>
      </c>
      <c r="I1333" s="43">
        <v>12</v>
      </c>
      <c r="J1333" s="44" t="str">
        <f>VLOOKUP(G1333,[1]硬件清单!$F:$F,1,0)</f>
        <v>210235A3SVH19B000012</v>
      </c>
      <c r="K1333" s="44"/>
      <c r="L1333" s="44"/>
      <c r="M1333" s="45" t="s">
        <v>4190</v>
      </c>
    </row>
    <row r="1334" s="26" customFormat="1" ht="30" customHeight="1" spans="1:13">
      <c r="A1334" s="41">
        <f>IF(C1334="","",SUBTOTAL(103,$C$2:C1334))</f>
        <v>1325</v>
      </c>
      <c r="B1334" s="41">
        <v>5445</v>
      </c>
      <c r="C1334" s="41">
        <v>895</v>
      </c>
      <c r="D1334" s="41" t="s">
        <v>887</v>
      </c>
      <c r="E1334" s="41" t="s">
        <v>1429</v>
      </c>
      <c r="F1334" s="41" t="s">
        <v>2209</v>
      </c>
      <c r="G1334" s="41" t="s">
        <v>4191</v>
      </c>
      <c r="H1334" s="41" t="s">
        <v>4192</v>
      </c>
      <c r="I1334" s="43">
        <v>12</v>
      </c>
      <c r="J1334" s="44" t="str">
        <f>VLOOKUP(G1334,[1]硬件清单!$F:$F,1,0)</f>
        <v>210235A3SVH19B000002</v>
      </c>
      <c r="K1334" s="44"/>
      <c r="L1334" s="44"/>
      <c r="M1334" s="45" t="s">
        <v>4193</v>
      </c>
    </row>
    <row r="1335" s="26" customFormat="1" ht="30" customHeight="1" spans="1:13">
      <c r="A1335" s="41">
        <f>IF(C1335="","",SUBTOTAL(103,$C$2:C1335))</f>
        <v>1326</v>
      </c>
      <c r="B1335" s="41">
        <v>5446</v>
      </c>
      <c r="C1335" s="41">
        <v>896</v>
      </c>
      <c r="D1335" s="41" t="s">
        <v>887</v>
      </c>
      <c r="E1335" s="41" t="s">
        <v>1429</v>
      </c>
      <c r="F1335" s="41" t="s">
        <v>2209</v>
      </c>
      <c r="G1335" s="41" t="s">
        <v>4194</v>
      </c>
      <c r="H1335" s="41" t="s">
        <v>4195</v>
      </c>
      <c r="I1335" s="43">
        <v>12</v>
      </c>
      <c r="J1335" s="44" t="str">
        <f>VLOOKUP(G1335,[1]硬件清单!$F:$F,1,0)</f>
        <v>210235A3SVH19A000011</v>
      </c>
      <c r="K1335" s="44"/>
      <c r="L1335" s="44"/>
      <c r="M1335" s="45" t="s">
        <v>4196</v>
      </c>
    </row>
    <row r="1336" s="26" customFormat="1" ht="30" customHeight="1" spans="1:13">
      <c r="A1336" s="41">
        <f>IF(C1336="","",SUBTOTAL(103,$C$2:C1336))</f>
        <v>1327</v>
      </c>
      <c r="B1336" s="41">
        <v>6605</v>
      </c>
      <c r="C1336" s="46">
        <v>1160</v>
      </c>
      <c r="D1336" s="46" t="s">
        <v>45</v>
      </c>
      <c r="E1336" s="46" t="s">
        <v>1298</v>
      </c>
      <c r="F1336" s="46" t="s">
        <v>4197</v>
      </c>
      <c r="G1336" s="41" t="s">
        <v>4198</v>
      </c>
      <c r="H1336" s="41" t="s">
        <v>4199</v>
      </c>
      <c r="I1336" s="43">
        <v>12</v>
      </c>
      <c r="J1336" s="44" t="str">
        <f>VLOOKUP(G1336,[1]硬件清单!$F:$F,1,0)</f>
        <v>J320P49</v>
      </c>
      <c r="K1336" s="43"/>
      <c r="L1336" s="44"/>
      <c r="M1336" s="45" t="s">
        <v>4200</v>
      </c>
    </row>
    <row r="1337" s="26" customFormat="1" ht="30" customHeight="1" spans="1:13">
      <c r="A1337" s="41">
        <f>IF(C1337="","",SUBTOTAL(103,$C$2:C1337))</f>
        <v>1328</v>
      </c>
      <c r="B1337" s="41">
        <v>6609</v>
      </c>
      <c r="C1337" s="46">
        <v>6490</v>
      </c>
      <c r="D1337" s="46" t="s">
        <v>45</v>
      </c>
      <c r="E1337" s="46" t="s">
        <v>1298</v>
      </c>
      <c r="F1337" s="46" t="s">
        <v>4201</v>
      </c>
      <c r="G1337" s="41" t="s">
        <v>4202</v>
      </c>
      <c r="H1337" s="41" t="s">
        <v>4203</v>
      </c>
      <c r="I1337" s="43">
        <v>12</v>
      </c>
      <c r="J1337" s="44" t="str">
        <f>VLOOKUP(G1337,[1]硬件清单!$F:$F,1,0)</f>
        <v>DRPDF3X</v>
      </c>
      <c r="K1337" s="43"/>
      <c r="L1337" s="44"/>
      <c r="M1337" s="45" t="s">
        <v>4204</v>
      </c>
    </row>
    <row r="1338" s="26" customFormat="1" ht="30" customHeight="1" spans="1:13">
      <c r="A1338" s="41">
        <f>IF(C1338="","",SUBTOTAL(103,$C$2:C1338))</f>
        <v>1329</v>
      </c>
      <c r="B1338" s="41">
        <v>6610</v>
      </c>
      <c r="C1338" s="46">
        <v>6489</v>
      </c>
      <c r="D1338" s="46" t="s">
        <v>45</v>
      </c>
      <c r="E1338" s="46" t="s">
        <v>1298</v>
      </c>
      <c r="F1338" s="46" t="s">
        <v>4201</v>
      </c>
      <c r="G1338" s="41" t="s">
        <v>4205</v>
      </c>
      <c r="H1338" s="41" t="s">
        <v>4206</v>
      </c>
      <c r="I1338" s="43">
        <v>12</v>
      </c>
      <c r="J1338" s="44" t="str">
        <f>VLOOKUP(G1338,[1]硬件清单!$F:$F,1,0)</f>
        <v>1SPDF3X</v>
      </c>
      <c r="K1338" s="43"/>
      <c r="L1338" s="44"/>
      <c r="M1338" s="45" t="s">
        <v>4207</v>
      </c>
    </row>
    <row r="1339" s="26" customFormat="1" ht="30" customHeight="1" spans="1:13">
      <c r="A1339" s="41">
        <f>IF(C1339="","",SUBTOTAL(103,$C$2:C1339))</f>
        <v>1330</v>
      </c>
      <c r="B1339" s="41">
        <v>6611</v>
      </c>
      <c r="C1339" s="46">
        <v>6491</v>
      </c>
      <c r="D1339" s="46" t="s">
        <v>45</v>
      </c>
      <c r="E1339" s="46" t="s">
        <v>1298</v>
      </c>
      <c r="F1339" s="46" t="s">
        <v>4201</v>
      </c>
      <c r="G1339" s="41" t="s">
        <v>4208</v>
      </c>
      <c r="H1339" s="41" t="s">
        <v>4209</v>
      </c>
      <c r="I1339" s="43">
        <v>12</v>
      </c>
      <c r="J1339" s="44" t="str">
        <f>VLOOKUP(G1339,[1]硬件清单!$F:$F,1,0)</f>
        <v>2SPDF3X</v>
      </c>
      <c r="K1339" s="43"/>
      <c r="L1339" s="44"/>
      <c r="M1339" s="45" t="s">
        <v>4210</v>
      </c>
    </row>
    <row r="1340" s="26" customFormat="1" ht="30" customHeight="1" spans="1:13">
      <c r="A1340" s="41">
        <f>IF(C1340="","",SUBTOTAL(103,$C$2:C1340))</f>
        <v>1331</v>
      </c>
      <c r="B1340" s="41">
        <v>6693</v>
      </c>
      <c r="C1340" s="41">
        <v>7020</v>
      </c>
      <c r="D1340" s="41" t="s">
        <v>45</v>
      </c>
      <c r="E1340" s="41" t="s">
        <v>1298</v>
      </c>
      <c r="F1340" s="41" t="s">
        <v>1572</v>
      </c>
      <c r="G1340" s="41" t="s">
        <v>4211</v>
      </c>
      <c r="H1340" s="41" t="s">
        <v>4212</v>
      </c>
      <c r="I1340" s="43">
        <v>12</v>
      </c>
      <c r="J1340" s="44" t="str">
        <f>VLOOKUP(G1340,[1]硬件清单!$F:$F,1,0)</f>
        <v>AK00249837</v>
      </c>
      <c r="K1340" s="43"/>
      <c r="L1340" s="44"/>
      <c r="M1340" s="45" t="s">
        <v>4213</v>
      </c>
    </row>
    <row r="1341" s="26" customFormat="1" ht="30" customHeight="1" spans="1:13">
      <c r="A1341" s="41">
        <f>IF(C1341="","",SUBTOTAL(103,$C$2:C1341))</f>
        <v>1332</v>
      </c>
      <c r="B1341" s="41">
        <v>6694</v>
      </c>
      <c r="C1341" s="41">
        <v>6996</v>
      </c>
      <c r="D1341" s="41" t="s">
        <v>45</v>
      </c>
      <c r="E1341" s="41" t="s">
        <v>1298</v>
      </c>
      <c r="F1341" s="41" t="s">
        <v>4214</v>
      </c>
      <c r="G1341" s="41" t="s">
        <v>4215</v>
      </c>
      <c r="H1341" s="41" t="s">
        <v>4216</v>
      </c>
      <c r="I1341" s="43">
        <v>12</v>
      </c>
      <c r="J1341" s="44" t="str">
        <f>VLOOKUP(G1341,[1]硬件清单!$F:$F,1,0)</f>
        <v>1442NMY01R</v>
      </c>
      <c r="K1341" s="43"/>
      <c r="L1341" s="44"/>
      <c r="M1341" s="45" t="s">
        <v>4217</v>
      </c>
    </row>
    <row r="1342" s="26" customFormat="1" ht="30" customHeight="1" spans="1:13">
      <c r="A1342" s="41">
        <f>IF(C1342="","",SUBTOTAL(103,$C$2:C1342))</f>
        <v>1333</v>
      </c>
      <c r="B1342" s="41">
        <v>6695</v>
      </c>
      <c r="C1342" s="41">
        <v>6997</v>
      </c>
      <c r="D1342" s="41" t="s">
        <v>45</v>
      </c>
      <c r="E1342" s="41" t="s">
        <v>1298</v>
      </c>
      <c r="F1342" s="41" t="s">
        <v>4214</v>
      </c>
      <c r="G1342" s="41" t="s">
        <v>4218</v>
      </c>
      <c r="H1342" s="41" t="s">
        <v>4219</v>
      </c>
      <c r="I1342" s="43">
        <v>12</v>
      </c>
      <c r="J1342" s="44" t="str">
        <f>VLOOKUP(G1342,[1]硬件清单!$F:$F,1,0)</f>
        <v>1442NMY00K</v>
      </c>
      <c r="K1342" s="43"/>
      <c r="L1342" s="44"/>
      <c r="M1342" s="45" t="s">
        <v>4220</v>
      </c>
    </row>
    <row r="1343" s="26" customFormat="1" ht="30" customHeight="1" spans="1:13">
      <c r="A1343" s="41">
        <f>IF(C1343="","",SUBTOTAL(103,$C$2:C1343))</f>
        <v>1334</v>
      </c>
      <c r="B1343" s="41">
        <v>6696</v>
      </c>
      <c r="C1343" s="41">
        <v>6998</v>
      </c>
      <c r="D1343" s="41" t="s">
        <v>45</v>
      </c>
      <c r="E1343" s="41" t="s">
        <v>1298</v>
      </c>
      <c r="F1343" s="41" t="s">
        <v>4214</v>
      </c>
      <c r="G1343" s="41" t="s">
        <v>4221</v>
      </c>
      <c r="H1343" s="41" t="s">
        <v>4222</v>
      </c>
      <c r="I1343" s="43">
        <v>12</v>
      </c>
      <c r="J1343" s="44" t="str">
        <f>VLOOKUP(G1343,[1]硬件清单!$F:$F,1,0)</f>
        <v>1442NMY00U</v>
      </c>
      <c r="K1343" s="43"/>
      <c r="L1343" s="44"/>
      <c r="M1343" s="45" t="s">
        <v>4223</v>
      </c>
    </row>
    <row r="1344" s="26" customFormat="1" ht="30" customHeight="1" spans="1:13">
      <c r="A1344" s="41">
        <f>IF(C1344="","",SUBTOTAL(103,$C$2:C1344))</f>
        <v>1335</v>
      </c>
      <c r="B1344" s="41">
        <v>6697</v>
      </c>
      <c r="C1344" s="41">
        <v>6999</v>
      </c>
      <c r="D1344" s="41" t="s">
        <v>45</v>
      </c>
      <c r="E1344" s="41" t="s">
        <v>1298</v>
      </c>
      <c r="F1344" s="41" t="s">
        <v>4214</v>
      </c>
      <c r="G1344" s="41" t="s">
        <v>4224</v>
      </c>
      <c r="H1344" s="41" t="s">
        <v>4225</v>
      </c>
      <c r="I1344" s="43">
        <v>12</v>
      </c>
      <c r="J1344" s="44" t="str">
        <f>VLOOKUP(G1344,[1]硬件清单!$F:$F,1,0)</f>
        <v>1442NMY01C</v>
      </c>
      <c r="K1344" s="43"/>
      <c r="L1344" s="44"/>
      <c r="M1344" s="45" t="s">
        <v>4226</v>
      </c>
    </row>
    <row r="1345" s="26" customFormat="1" ht="30" customHeight="1" spans="1:13">
      <c r="A1345" s="41">
        <f>IF(C1345="","",SUBTOTAL(103,$C$2:C1345))</f>
        <v>1336</v>
      </c>
      <c r="B1345" s="41">
        <v>6698</v>
      </c>
      <c r="C1345" s="41">
        <v>7000</v>
      </c>
      <c r="D1345" s="41" t="s">
        <v>45</v>
      </c>
      <c r="E1345" s="41" t="s">
        <v>1298</v>
      </c>
      <c r="F1345" s="41" t="s">
        <v>4214</v>
      </c>
      <c r="G1345" s="41" t="s">
        <v>4227</v>
      </c>
      <c r="H1345" s="41" t="s">
        <v>4228</v>
      </c>
      <c r="I1345" s="43">
        <v>12</v>
      </c>
      <c r="J1345" s="44" t="str">
        <f>VLOOKUP(G1345,[1]硬件清单!$F:$F,1,0)</f>
        <v>1442NMY01V</v>
      </c>
      <c r="K1345" s="43"/>
      <c r="L1345" s="44"/>
      <c r="M1345" s="45" t="s">
        <v>4229</v>
      </c>
    </row>
    <row r="1346" s="26" customFormat="1" ht="30" customHeight="1" spans="1:13">
      <c r="A1346" s="41">
        <f>IF(C1346="","",SUBTOTAL(103,$C$2:C1346))</f>
        <v>1337</v>
      </c>
      <c r="B1346" s="41">
        <v>6699</v>
      </c>
      <c r="C1346" s="41">
        <v>7001</v>
      </c>
      <c r="D1346" s="41" t="s">
        <v>45</v>
      </c>
      <c r="E1346" s="41" t="s">
        <v>1298</v>
      </c>
      <c r="F1346" s="41" t="s">
        <v>4214</v>
      </c>
      <c r="G1346" s="41" t="s">
        <v>4230</v>
      </c>
      <c r="H1346" s="41" t="s">
        <v>4231</v>
      </c>
      <c r="I1346" s="43">
        <v>12</v>
      </c>
      <c r="J1346" s="44" t="str">
        <f>VLOOKUP(G1346,[1]硬件清单!$F:$F,1,0)</f>
        <v>1442NMY01J</v>
      </c>
      <c r="K1346" s="43"/>
      <c r="L1346" s="44"/>
      <c r="M1346" s="45" t="s">
        <v>4232</v>
      </c>
    </row>
    <row r="1347" s="26" customFormat="1" ht="30" customHeight="1" spans="1:13">
      <c r="A1347" s="41">
        <f>IF(C1347="","",SUBTOTAL(103,$C$2:C1347))</f>
        <v>1338</v>
      </c>
      <c r="B1347" s="41">
        <v>6700</v>
      </c>
      <c r="C1347" s="41">
        <v>7002</v>
      </c>
      <c r="D1347" s="41" t="s">
        <v>45</v>
      </c>
      <c r="E1347" s="41" t="s">
        <v>1298</v>
      </c>
      <c r="F1347" s="41" t="s">
        <v>4214</v>
      </c>
      <c r="G1347" s="41" t="s">
        <v>4233</v>
      </c>
      <c r="H1347" s="41" t="s">
        <v>4234</v>
      </c>
      <c r="I1347" s="43">
        <v>12</v>
      </c>
      <c r="J1347" s="44" t="str">
        <f>VLOOKUP(G1347,[1]硬件清单!$F:$F,1,0)</f>
        <v>1442NMY007</v>
      </c>
      <c r="K1347" s="43"/>
      <c r="L1347" s="44"/>
      <c r="M1347" s="45" t="s">
        <v>4235</v>
      </c>
    </row>
    <row r="1348" s="26" customFormat="1" ht="30" customHeight="1" spans="1:13">
      <c r="A1348" s="41">
        <f>IF(C1348="","",SUBTOTAL(103,$C$2:C1348))</f>
        <v>1339</v>
      </c>
      <c r="B1348" s="41">
        <v>6701</v>
      </c>
      <c r="C1348" s="41">
        <v>7003</v>
      </c>
      <c r="D1348" s="41" t="s">
        <v>45</v>
      </c>
      <c r="E1348" s="41" t="s">
        <v>1298</v>
      </c>
      <c r="F1348" s="41" t="s">
        <v>4214</v>
      </c>
      <c r="G1348" s="41" t="s">
        <v>4236</v>
      </c>
      <c r="H1348" s="41" t="s">
        <v>4237</v>
      </c>
      <c r="I1348" s="43">
        <v>12</v>
      </c>
      <c r="J1348" s="44" t="str">
        <f>VLOOKUP(G1348,[1]硬件清单!$F:$F,1,0)</f>
        <v>1442NMY005</v>
      </c>
      <c r="K1348" s="43"/>
      <c r="L1348" s="44"/>
      <c r="M1348" s="45" t="s">
        <v>4238</v>
      </c>
    </row>
    <row r="1349" s="26" customFormat="1" ht="30" customHeight="1" spans="1:13">
      <c r="A1349" s="41">
        <f>IF(C1349="","",SUBTOTAL(103,$C$2:C1349))</f>
        <v>1340</v>
      </c>
      <c r="B1349" s="41">
        <v>6702</v>
      </c>
      <c r="C1349" s="41">
        <v>7004</v>
      </c>
      <c r="D1349" s="41" t="s">
        <v>45</v>
      </c>
      <c r="E1349" s="41" t="s">
        <v>1298</v>
      </c>
      <c r="F1349" s="41" t="s">
        <v>4214</v>
      </c>
      <c r="G1349" s="41" t="s">
        <v>4239</v>
      </c>
      <c r="H1349" s="41" t="s">
        <v>4240</v>
      </c>
      <c r="I1349" s="43">
        <v>12</v>
      </c>
      <c r="J1349" s="44" t="str">
        <f>VLOOKUP(G1349,[1]硬件清单!$F:$F,1,0)</f>
        <v>1442NMY010</v>
      </c>
      <c r="K1349" s="43"/>
      <c r="L1349" s="44"/>
      <c r="M1349" s="45" t="s">
        <v>4241</v>
      </c>
    </row>
    <row r="1350" s="26" customFormat="1" ht="30" customHeight="1" spans="1:13">
      <c r="A1350" s="41">
        <f>IF(C1350="","",SUBTOTAL(103,$C$2:C1350))</f>
        <v>1341</v>
      </c>
      <c r="B1350" s="41">
        <v>6703</v>
      </c>
      <c r="C1350" s="41">
        <v>7005</v>
      </c>
      <c r="D1350" s="41" t="s">
        <v>45</v>
      </c>
      <c r="E1350" s="41" t="s">
        <v>1298</v>
      </c>
      <c r="F1350" s="41" t="s">
        <v>4214</v>
      </c>
      <c r="G1350" s="41" t="s">
        <v>4242</v>
      </c>
      <c r="H1350" s="41" t="s">
        <v>4243</v>
      </c>
      <c r="I1350" s="43">
        <v>12</v>
      </c>
      <c r="J1350" s="44" t="str">
        <f>VLOOKUP(G1350,[1]硬件清单!$F:$F,1,0)</f>
        <v>1442NMY00R</v>
      </c>
      <c r="K1350" s="43"/>
      <c r="L1350" s="44"/>
      <c r="M1350" s="45" t="s">
        <v>4244</v>
      </c>
    </row>
    <row r="1351" s="26" customFormat="1" ht="30" customHeight="1" spans="1:13">
      <c r="A1351" s="41">
        <f>IF(C1351="","",SUBTOTAL(103,$C$2:C1351))</f>
        <v>1342</v>
      </c>
      <c r="B1351" s="41">
        <v>6704</v>
      </c>
      <c r="C1351" s="41">
        <v>7019</v>
      </c>
      <c r="D1351" s="41" t="s">
        <v>45</v>
      </c>
      <c r="E1351" s="41" t="s">
        <v>1298</v>
      </c>
      <c r="F1351" s="41" t="s">
        <v>1572</v>
      </c>
      <c r="G1351" s="41" t="s">
        <v>4245</v>
      </c>
      <c r="H1351" s="41" t="s">
        <v>4246</v>
      </c>
      <c r="I1351" s="43">
        <v>12</v>
      </c>
      <c r="J1351" s="44" t="str">
        <f>VLOOKUP(G1351,[1]硬件清单!$F:$F,1,0)</f>
        <v>AK00249838</v>
      </c>
      <c r="K1351" s="43"/>
      <c r="L1351" s="44"/>
      <c r="M1351" s="45" t="s">
        <v>4247</v>
      </c>
    </row>
    <row r="1352" s="26" customFormat="1" ht="30" customHeight="1" spans="1:13">
      <c r="A1352" s="41">
        <f>IF(C1352="","",SUBTOTAL(103,$C$2:C1352))</f>
        <v>1343</v>
      </c>
      <c r="B1352" s="41">
        <v>6705</v>
      </c>
      <c r="C1352" s="41">
        <v>6986</v>
      </c>
      <c r="D1352" s="41" t="s">
        <v>45</v>
      </c>
      <c r="E1352" s="41" t="s">
        <v>1298</v>
      </c>
      <c r="F1352" s="41" t="s">
        <v>4214</v>
      </c>
      <c r="G1352" s="41" t="s">
        <v>4248</v>
      </c>
      <c r="H1352" s="41" t="s">
        <v>4249</v>
      </c>
      <c r="I1352" s="43">
        <v>12</v>
      </c>
      <c r="J1352" s="44" t="str">
        <f>VLOOKUP(G1352,[1]硬件清单!$F:$F,1,0)</f>
        <v>1442NMY01M</v>
      </c>
      <c r="K1352" s="43"/>
      <c r="L1352" s="44"/>
      <c r="M1352" s="45" t="s">
        <v>4250</v>
      </c>
    </row>
    <row r="1353" s="26" customFormat="1" ht="30" customHeight="1" spans="1:13">
      <c r="A1353" s="41">
        <f>IF(C1353="","",SUBTOTAL(103,$C$2:C1353))</f>
        <v>1344</v>
      </c>
      <c r="B1353" s="41">
        <v>6706</v>
      </c>
      <c r="C1353" s="41">
        <v>6987</v>
      </c>
      <c r="D1353" s="41" t="s">
        <v>45</v>
      </c>
      <c r="E1353" s="41" t="s">
        <v>1298</v>
      </c>
      <c r="F1353" s="41" t="s">
        <v>4214</v>
      </c>
      <c r="G1353" s="41" t="s">
        <v>4251</v>
      </c>
      <c r="H1353" s="41" t="s">
        <v>4252</v>
      </c>
      <c r="I1353" s="43">
        <v>12</v>
      </c>
      <c r="J1353" s="44" t="str">
        <f>VLOOKUP(G1353,[1]硬件清单!$F:$F,1,0)</f>
        <v>1442NMY01E</v>
      </c>
      <c r="K1353" s="43"/>
      <c r="L1353" s="44"/>
      <c r="M1353" s="45" t="s">
        <v>4253</v>
      </c>
    </row>
    <row r="1354" s="26" customFormat="1" ht="30" customHeight="1" spans="1:13">
      <c r="A1354" s="41">
        <f>IF(C1354="","",SUBTOTAL(103,$C$2:C1354))</f>
        <v>1345</v>
      </c>
      <c r="B1354" s="41">
        <v>6707</v>
      </c>
      <c r="C1354" s="41">
        <v>6988</v>
      </c>
      <c r="D1354" s="41" t="s">
        <v>45</v>
      </c>
      <c r="E1354" s="41" t="s">
        <v>1298</v>
      </c>
      <c r="F1354" s="41" t="s">
        <v>4214</v>
      </c>
      <c r="G1354" s="41" t="s">
        <v>4254</v>
      </c>
      <c r="H1354" s="41" t="s">
        <v>4255</v>
      </c>
      <c r="I1354" s="43">
        <v>12</v>
      </c>
      <c r="J1354" s="44" t="str">
        <f>VLOOKUP(G1354,[1]硬件清单!$F:$F,1,0)</f>
        <v>1442NMY01K</v>
      </c>
      <c r="K1354" s="43"/>
      <c r="L1354" s="44"/>
      <c r="M1354" s="45" t="s">
        <v>4256</v>
      </c>
    </row>
    <row r="1355" s="26" customFormat="1" ht="30" customHeight="1" spans="1:13">
      <c r="A1355" s="41">
        <f>IF(C1355="","",SUBTOTAL(103,$C$2:C1355))</f>
        <v>1346</v>
      </c>
      <c r="B1355" s="41">
        <v>6708</v>
      </c>
      <c r="C1355" s="41">
        <v>6989</v>
      </c>
      <c r="D1355" s="41" t="s">
        <v>45</v>
      </c>
      <c r="E1355" s="41" t="s">
        <v>1298</v>
      </c>
      <c r="F1355" s="41" t="s">
        <v>4214</v>
      </c>
      <c r="G1355" s="41" t="s">
        <v>4257</v>
      </c>
      <c r="H1355" s="41" t="s">
        <v>4258</v>
      </c>
      <c r="I1355" s="43">
        <v>12</v>
      </c>
      <c r="J1355" s="44" t="str">
        <f>VLOOKUP(G1355,[1]硬件清单!$F:$F,1,0)</f>
        <v>1442NMY01F</v>
      </c>
      <c r="K1355" s="43"/>
      <c r="L1355" s="44"/>
      <c r="M1355" s="45" t="s">
        <v>4259</v>
      </c>
    </row>
    <row r="1356" s="26" customFormat="1" ht="30" customHeight="1" spans="1:13">
      <c r="A1356" s="41">
        <f>IF(C1356="","",SUBTOTAL(103,$C$2:C1356))</f>
        <v>1347</v>
      </c>
      <c r="B1356" s="41">
        <v>6709</v>
      </c>
      <c r="C1356" s="41">
        <v>6990</v>
      </c>
      <c r="D1356" s="41" t="s">
        <v>45</v>
      </c>
      <c r="E1356" s="41" t="s">
        <v>1298</v>
      </c>
      <c r="F1356" s="41" t="s">
        <v>4214</v>
      </c>
      <c r="G1356" s="41" t="s">
        <v>4260</v>
      </c>
      <c r="H1356" s="41" t="s">
        <v>4261</v>
      </c>
      <c r="I1356" s="43">
        <v>12</v>
      </c>
      <c r="J1356" s="44" t="str">
        <f>VLOOKUP(G1356,[1]硬件清单!$F:$F,1,0)</f>
        <v>1442NMY009</v>
      </c>
      <c r="K1356" s="43"/>
      <c r="L1356" s="44"/>
      <c r="M1356" s="45" t="s">
        <v>4262</v>
      </c>
    </row>
    <row r="1357" s="26" customFormat="1" ht="30" customHeight="1" spans="1:13">
      <c r="A1357" s="41">
        <f>IF(C1357="","",SUBTOTAL(103,$C$2:C1357))</f>
        <v>1348</v>
      </c>
      <c r="B1357" s="41">
        <v>6710</v>
      </c>
      <c r="C1357" s="41">
        <v>6991</v>
      </c>
      <c r="D1357" s="41" t="s">
        <v>45</v>
      </c>
      <c r="E1357" s="41" t="s">
        <v>1298</v>
      </c>
      <c r="F1357" s="41" t="s">
        <v>4214</v>
      </c>
      <c r="G1357" s="41" t="s">
        <v>4263</v>
      </c>
      <c r="H1357" s="41" t="s">
        <v>4264</v>
      </c>
      <c r="I1357" s="43">
        <v>12</v>
      </c>
      <c r="J1357" s="44" t="str">
        <f>VLOOKUP(G1357,[1]硬件清单!$F:$F,1,0)</f>
        <v>1442NMY00C</v>
      </c>
      <c r="K1357" s="43"/>
      <c r="L1357" s="44"/>
      <c r="M1357" s="45" t="s">
        <v>4265</v>
      </c>
    </row>
    <row r="1358" s="26" customFormat="1" ht="30" customHeight="1" spans="1:13">
      <c r="A1358" s="41">
        <f>IF(C1358="","",SUBTOTAL(103,$C$2:C1358))</f>
        <v>1349</v>
      </c>
      <c r="B1358" s="41">
        <v>6711</v>
      </c>
      <c r="C1358" s="41">
        <v>6992</v>
      </c>
      <c r="D1358" s="41" t="s">
        <v>45</v>
      </c>
      <c r="E1358" s="41" t="s">
        <v>1298</v>
      </c>
      <c r="F1358" s="41" t="s">
        <v>4214</v>
      </c>
      <c r="G1358" s="41" t="s">
        <v>4266</v>
      </c>
      <c r="H1358" s="41" t="s">
        <v>4267</v>
      </c>
      <c r="I1358" s="43">
        <v>12</v>
      </c>
      <c r="J1358" s="44" t="str">
        <f>VLOOKUP(G1358,[1]硬件清单!$F:$F,1,0)</f>
        <v>1442NMY01W</v>
      </c>
      <c r="K1358" s="43"/>
      <c r="L1358" s="44"/>
      <c r="M1358" s="45" t="s">
        <v>4268</v>
      </c>
    </row>
    <row r="1359" s="26" customFormat="1" ht="30" customHeight="1" spans="1:13">
      <c r="A1359" s="41">
        <f>IF(C1359="","",SUBTOTAL(103,$C$2:C1359))</f>
        <v>1350</v>
      </c>
      <c r="B1359" s="41">
        <v>6712</v>
      </c>
      <c r="C1359" s="41">
        <v>6993</v>
      </c>
      <c r="D1359" s="41" t="s">
        <v>45</v>
      </c>
      <c r="E1359" s="41" t="s">
        <v>1298</v>
      </c>
      <c r="F1359" s="41" t="s">
        <v>4214</v>
      </c>
      <c r="G1359" s="41" t="s">
        <v>4269</v>
      </c>
      <c r="H1359" s="41" t="s">
        <v>4270</v>
      </c>
      <c r="I1359" s="43">
        <v>12</v>
      </c>
      <c r="J1359" s="44" t="str">
        <f>VLOOKUP(G1359,[1]硬件清单!$F:$F,1,0)</f>
        <v>1442NMY00F</v>
      </c>
      <c r="K1359" s="43"/>
      <c r="L1359" s="44"/>
      <c r="M1359" s="45" t="s">
        <v>4271</v>
      </c>
    </row>
    <row r="1360" s="26" customFormat="1" ht="30" customHeight="1" spans="1:13">
      <c r="A1360" s="41">
        <f>IF(C1360="","",SUBTOTAL(103,$C$2:C1360))</f>
        <v>1351</v>
      </c>
      <c r="B1360" s="41">
        <v>6713</v>
      </c>
      <c r="C1360" s="41">
        <v>6994</v>
      </c>
      <c r="D1360" s="41" t="s">
        <v>45</v>
      </c>
      <c r="E1360" s="41" t="s">
        <v>1298</v>
      </c>
      <c r="F1360" s="41" t="s">
        <v>4214</v>
      </c>
      <c r="G1360" s="41" t="s">
        <v>4272</v>
      </c>
      <c r="H1360" s="41" t="s">
        <v>4273</v>
      </c>
      <c r="I1360" s="43">
        <v>12</v>
      </c>
      <c r="J1360" s="44" t="str">
        <f>VLOOKUP(G1360,[1]硬件清单!$F:$F,1,0)</f>
        <v>1442NMY006</v>
      </c>
      <c r="K1360" s="43"/>
      <c r="L1360" s="44"/>
      <c r="M1360" s="45" t="s">
        <v>4274</v>
      </c>
    </row>
    <row r="1361" s="26" customFormat="1" ht="30" customHeight="1" spans="1:13">
      <c r="A1361" s="41">
        <f>IF(C1361="","",SUBTOTAL(103,$C$2:C1361))</f>
        <v>1352</v>
      </c>
      <c r="B1361" s="41">
        <v>6714</v>
      </c>
      <c r="C1361" s="41">
        <v>6995</v>
      </c>
      <c r="D1361" s="41" t="s">
        <v>45</v>
      </c>
      <c r="E1361" s="41" t="s">
        <v>1298</v>
      </c>
      <c r="F1361" s="41" t="s">
        <v>4214</v>
      </c>
      <c r="G1361" s="41" t="s">
        <v>4275</v>
      </c>
      <c r="H1361" s="41" t="s">
        <v>4276</v>
      </c>
      <c r="I1361" s="43">
        <v>12</v>
      </c>
      <c r="J1361" s="44" t="str">
        <f>VLOOKUP(G1361,[1]硬件清单!$F:$F,1,0)</f>
        <v>1442NMY00J</v>
      </c>
      <c r="K1361" s="43"/>
      <c r="L1361" s="44"/>
      <c r="M1361" s="45" t="s">
        <v>4277</v>
      </c>
    </row>
    <row r="1362" s="26" customFormat="1" ht="30" customHeight="1" spans="1:13">
      <c r="A1362" s="41">
        <f>IF(C1362="","",SUBTOTAL(103,$C$2:C1362))</f>
        <v>1353</v>
      </c>
      <c r="B1362" s="41">
        <v>6715</v>
      </c>
      <c r="C1362" s="41">
        <v>7018</v>
      </c>
      <c r="D1362" s="41" t="s">
        <v>45</v>
      </c>
      <c r="E1362" s="41" t="s">
        <v>1298</v>
      </c>
      <c r="F1362" s="41" t="s">
        <v>1572</v>
      </c>
      <c r="G1362" s="41" t="s">
        <v>4278</v>
      </c>
      <c r="H1362" s="41" t="s">
        <v>4279</v>
      </c>
      <c r="I1362" s="43">
        <v>12</v>
      </c>
      <c r="J1362" s="44" t="str">
        <f>VLOOKUP(G1362,[1]硬件清单!$F:$F,1,0)</f>
        <v>AK00249842</v>
      </c>
      <c r="K1362" s="43"/>
      <c r="L1362" s="44"/>
      <c r="M1362" s="45" t="s">
        <v>4280</v>
      </c>
    </row>
    <row r="1363" s="26" customFormat="1" ht="30" customHeight="1" spans="1:13">
      <c r="A1363" s="41">
        <f>IF(C1363="","",SUBTOTAL(103,$C$2:C1363))</f>
        <v>1354</v>
      </c>
      <c r="B1363" s="41">
        <v>6716</v>
      </c>
      <c r="C1363" s="41">
        <v>6976</v>
      </c>
      <c r="D1363" s="41" t="s">
        <v>45</v>
      </c>
      <c r="E1363" s="41" t="s">
        <v>1298</v>
      </c>
      <c r="F1363" s="41" t="s">
        <v>4214</v>
      </c>
      <c r="G1363" s="41" t="s">
        <v>4281</v>
      </c>
      <c r="H1363" s="41" t="s">
        <v>4282</v>
      </c>
      <c r="I1363" s="43">
        <v>12</v>
      </c>
      <c r="J1363" s="44" t="str">
        <f>VLOOKUP(G1363,[1]硬件清单!$F:$F,1,0)</f>
        <v>1442NMY01N</v>
      </c>
      <c r="K1363" s="43"/>
      <c r="L1363" s="44"/>
      <c r="M1363" s="45" t="s">
        <v>4283</v>
      </c>
    </row>
    <row r="1364" s="26" customFormat="1" ht="30" customHeight="1" spans="1:13">
      <c r="A1364" s="41">
        <f>IF(C1364="","",SUBTOTAL(103,$C$2:C1364))</f>
        <v>1355</v>
      </c>
      <c r="B1364" s="41">
        <v>6717</v>
      </c>
      <c r="C1364" s="41">
        <v>6977</v>
      </c>
      <c r="D1364" s="41" t="s">
        <v>45</v>
      </c>
      <c r="E1364" s="41" t="s">
        <v>1298</v>
      </c>
      <c r="F1364" s="41" t="s">
        <v>4214</v>
      </c>
      <c r="G1364" s="41" t="s">
        <v>4284</v>
      </c>
      <c r="H1364" s="41" t="s">
        <v>4285</v>
      </c>
      <c r="I1364" s="43">
        <v>12</v>
      </c>
      <c r="J1364" s="44" t="str">
        <f>VLOOKUP(G1364,[1]硬件清单!$F:$F,1,0)</f>
        <v>1442NMY008</v>
      </c>
      <c r="K1364" s="43"/>
      <c r="L1364" s="44"/>
      <c r="M1364" s="45" t="s">
        <v>4286</v>
      </c>
    </row>
    <row r="1365" s="26" customFormat="1" ht="30" customHeight="1" spans="1:13">
      <c r="A1365" s="41">
        <f>IF(C1365="","",SUBTOTAL(103,$C$2:C1365))</f>
        <v>1356</v>
      </c>
      <c r="B1365" s="41">
        <v>6718</v>
      </c>
      <c r="C1365" s="41">
        <v>6978</v>
      </c>
      <c r="D1365" s="41" t="s">
        <v>45</v>
      </c>
      <c r="E1365" s="41" t="s">
        <v>1298</v>
      </c>
      <c r="F1365" s="41" t="s">
        <v>4214</v>
      </c>
      <c r="G1365" s="41" t="s">
        <v>4287</v>
      </c>
      <c r="H1365" s="41" t="s">
        <v>4288</v>
      </c>
      <c r="I1365" s="43">
        <v>12</v>
      </c>
      <c r="J1365" s="44" t="str">
        <f>VLOOKUP(G1365,[1]硬件清单!$F:$F,1,0)</f>
        <v>1442NMY020</v>
      </c>
      <c r="K1365" s="43"/>
      <c r="L1365" s="44"/>
      <c r="M1365" s="45" t="s">
        <v>4289</v>
      </c>
    </row>
    <row r="1366" s="26" customFormat="1" ht="30" customHeight="1" spans="1:13">
      <c r="A1366" s="41">
        <f>IF(C1366="","",SUBTOTAL(103,$C$2:C1366))</f>
        <v>1357</v>
      </c>
      <c r="B1366" s="41">
        <v>6719</v>
      </c>
      <c r="C1366" s="41">
        <v>6979</v>
      </c>
      <c r="D1366" s="41" t="s">
        <v>45</v>
      </c>
      <c r="E1366" s="41" t="s">
        <v>1298</v>
      </c>
      <c r="F1366" s="41" t="s">
        <v>4214</v>
      </c>
      <c r="G1366" s="41" t="s">
        <v>4290</v>
      </c>
      <c r="H1366" s="41" t="s">
        <v>4291</v>
      </c>
      <c r="I1366" s="43">
        <v>12</v>
      </c>
      <c r="J1366" s="44" t="str">
        <f>VLOOKUP(G1366,[1]硬件清单!$F:$F,1,0)</f>
        <v>1442NMY01Y</v>
      </c>
      <c r="K1366" s="43"/>
      <c r="L1366" s="44"/>
      <c r="M1366" s="45" t="s">
        <v>4292</v>
      </c>
    </row>
    <row r="1367" s="26" customFormat="1" ht="30" customHeight="1" spans="1:13">
      <c r="A1367" s="41">
        <f>IF(C1367="","",SUBTOTAL(103,$C$2:C1367))</f>
        <v>1358</v>
      </c>
      <c r="B1367" s="41">
        <v>6720</v>
      </c>
      <c r="C1367" s="41">
        <v>6980</v>
      </c>
      <c r="D1367" s="41" t="s">
        <v>45</v>
      </c>
      <c r="E1367" s="41" t="s">
        <v>1298</v>
      </c>
      <c r="F1367" s="41" t="s">
        <v>4214</v>
      </c>
      <c r="G1367" s="41" t="s">
        <v>4293</v>
      </c>
      <c r="H1367" s="41" t="s">
        <v>4294</v>
      </c>
      <c r="I1367" s="43">
        <v>12</v>
      </c>
      <c r="J1367" s="44" t="str">
        <f>VLOOKUP(G1367,[1]硬件清单!$F:$F,1,0)</f>
        <v>1442NMY00D</v>
      </c>
      <c r="K1367" s="43"/>
      <c r="L1367" s="44"/>
      <c r="M1367" s="45" t="s">
        <v>4295</v>
      </c>
    </row>
    <row r="1368" s="26" customFormat="1" ht="30" customHeight="1" spans="1:13">
      <c r="A1368" s="41">
        <f>IF(C1368="","",SUBTOTAL(103,$C$2:C1368))</f>
        <v>1359</v>
      </c>
      <c r="B1368" s="41">
        <v>6721</v>
      </c>
      <c r="C1368" s="41">
        <v>6981</v>
      </c>
      <c r="D1368" s="41" t="s">
        <v>45</v>
      </c>
      <c r="E1368" s="41" t="s">
        <v>1298</v>
      </c>
      <c r="F1368" s="41" t="s">
        <v>4214</v>
      </c>
      <c r="G1368" s="41" t="s">
        <v>4296</v>
      </c>
      <c r="H1368" s="41" t="s">
        <v>4297</v>
      </c>
      <c r="I1368" s="43">
        <v>12</v>
      </c>
      <c r="J1368" s="44" t="str">
        <f>VLOOKUP(G1368,[1]硬件清单!$F:$F,1,0)</f>
        <v>1442NMY00G</v>
      </c>
      <c r="K1368" s="43"/>
      <c r="L1368" s="44"/>
      <c r="M1368" s="45" t="s">
        <v>4298</v>
      </c>
    </row>
    <row r="1369" s="26" customFormat="1" ht="30" customHeight="1" spans="1:13">
      <c r="A1369" s="41">
        <f>IF(C1369="","",SUBTOTAL(103,$C$2:C1369))</f>
        <v>1360</v>
      </c>
      <c r="B1369" s="41">
        <v>6722</v>
      </c>
      <c r="C1369" s="41">
        <v>6982</v>
      </c>
      <c r="D1369" s="41" t="s">
        <v>45</v>
      </c>
      <c r="E1369" s="41" t="s">
        <v>1298</v>
      </c>
      <c r="F1369" s="41" t="s">
        <v>4214</v>
      </c>
      <c r="G1369" s="41" t="s">
        <v>4299</v>
      </c>
      <c r="H1369" s="41" t="s">
        <v>4300</v>
      </c>
      <c r="I1369" s="43">
        <v>12</v>
      </c>
      <c r="J1369" s="44" t="str">
        <f>VLOOKUP(G1369,[1]硬件清单!$F:$F,1,0)</f>
        <v>1442NMY01X</v>
      </c>
      <c r="K1369" s="43"/>
      <c r="L1369" s="44"/>
      <c r="M1369" s="45" t="s">
        <v>4301</v>
      </c>
    </row>
    <row r="1370" s="26" customFormat="1" ht="30" customHeight="1" spans="1:13">
      <c r="A1370" s="41">
        <f>IF(C1370="","",SUBTOTAL(103,$C$2:C1370))</f>
        <v>1361</v>
      </c>
      <c r="B1370" s="41">
        <v>6723</v>
      </c>
      <c r="C1370" s="41">
        <v>6983</v>
      </c>
      <c r="D1370" s="41" t="s">
        <v>45</v>
      </c>
      <c r="E1370" s="41" t="s">
        <v>1298</v>
      </c>
      <c r="F1370" s="41" t="s">
        <v>4214</v>
      </c>
      <c r="G1370" s="41" t="s">
        <v>4302</v>
      </c>
      <c r="H1370" s="41" t="s">
        <v>4303</v>
      </c>
      <c r="I1370" s="43">
        <v>12</v>
      </c>
      <c r="J1370" s="44" t="str">
        <f>VLOOKUP(G1370,[1]硬件清单!$F:$F,1,0)</f>
        <v>1442NMY003</v>
      </c>
      <c r="K1370" s="43"/>
      <c r="L1370" s="44"/>
      <c r="M1370" s="45" t="s">
        <v>4304</v>
      </c>
    </row>
    <row r="1371" s="26" customFormat="1" ht="30" customHeight="1" spans="1:13">
      <c r="A1371" s="41">
        <f>IF(C1371="","",SUBTOTAL(103,$C$2:C1371))</f>
        <v>1362</v>
      </c>
      <c r="B1371" s="41">
        <v>6724</v>
      </c>
      <c r="C1371" s="41">
        <v>6984</v>
      </c>
      <c r="D1371" s="41" t="s">
        <v>45</v>
      </c>
      <c r="E1371" s="41" t="s">
        <v>1298</v>
      </c>
      <c r="F1371" s="41" t="s">
        <v>4214</v>
      </c>
      <c r="G1371" s="41" t="s">
        <v>4305</v>
      </c>
      <c r="H1371" s="41" t="s">
        <v>4306</v>
      </c>
      <c r="I1371" s="43">
        <v>12</v>
      </c>
      <c r="J1371" s="44" t="str">
        <f>VLOOKUP(G1371,[1]硬件清单!$F:$F,1,0)</f>
        <v>1442NMY00E</v>
      </c>
      <c r="K1371" s="43"/>
      <c r="L1371" s="44"/>
      <c r="M1371" s="45" t="s">
        <v>4307</v>
      </c>
    </row>
    <row r="1372" s="26" customFormat="1" ht="30" customHeight="1" spans="1:13">
      <c r="A1372" s="41">
        <f>IF(C1372="","",SUBTOTAL(103,$C$2:C1372))</f>
        <v>1363</v>
      </c>
      <c r="B1372" s="41">
        <v>12703</v>
      </c>
      <c r="C1372" s="41">
        <v>955</v>
      </c>
      <c r="D1372" s="41" t="s">
        <v>45</v>
      </c>
      <c r="E1372" s="41" t="s">
        <v>1298</v>
      </c>
      <c r="F1372" s="41" t="s">
        <v>2308</v>
      </c>
      <c r="G1372" s="41" t="s">
        <v>4308</v>
      </c>
      <c r="H1372" s="41" t="s">
        <v>4309</v>
      </c>
      <c r="I1372" s="43">
        <v>12</v>
      </c>
      <c r="J1372" s="44" t="str">
        <f>VLOOKUP(G1372,[1]硬件清单!$F:$F,1,0)</f>
        <v>J301DXT7</v>
      </c>
      <c r="K1372" s="44" t="s">
        <v>250</v>
      </c>
      <c r="L1372" s="44"/>
      <c r="M1372" s="45" t="s">
        <v>4310</v>
      </c>
    </row>
    <row r="1373" s="26" customFormat="1" ht="30" customHeight="1" spans="1:13">
      <c r="A1373" s="41">
        <f>IF(C1373="","",SUBTOTAL(103,$C$2:C1373))</f>
        <v>1364</v>
      </c>
      <c r="B1373" s="41">
        <v>12704</v>
      </c>
      <c r="C1373" s="41">
        <v>956</v>
      </c>
      <c r="D1373" s="41" t="s">
        <v>45</v>
      </c>
      <c r="E1373" s="41" t="s">
        <v>1298</v>
      </c>
      <c r="F1373" s="41" t="s">
        <v>2308</v>
      </c>
      <c r="G1373" s="41" t="s">
        <v>4311</v>
      </c>
      <c r="H1373" s="41" t="s">
        <v>4312</v>
      </c>
      <c r="I1373" s="43">
        <v>12</v>
      </c>
      <c r="J1373" s="44" t="str">
        <f>VLOOKUP(G1373,[1]硬件清单!$F:$F,1,0)</f>
        <v>J301DXRW</v>
      </c>
      <c r="K1373" s="44" t="s">
        <v>250</v>
      </c>
      <c r="L1373" s="44"/>
      <c r="M1373" s="45" t="s">
        <v>4313</v>
      </c>
    </row>
    <row r="1374" s="26" customFormat="1" ht="30" customHeight="1" spans="1:13">
      <c r="A1374" s="41">
        <f>IF(C1374="","",SUBTOTAL(103,$C$2:C1374))</f>
        <v>1365</v>
      </c>
      <c r="B1374" s="41">
        <v>12705</v>
      </c>
      <c r="C1374" s="41">
        <v>957</v>
      </c>
      <c r="D1374" s="41" t="s">
        <v>45</v>
      </c>
      <c r="E1374" s="41" t="s">
        <v>1298</v>
      </c>
      <c r="F1374" s="41" t="s">
        <v>2308</v>
      </c>
      <c r="G1374" s="41" t="s">
        <v>4314</v>
      </c>
      <c r="H1374" s="41" t="s">
        <v>4315</v>
      </c>
      <c r="I1374" s="43">
        <v>12</v>
      </c>
      <c r="J1374" s="44" t="str">
        <f>VLOOKUP(G1374,[1]硬件清单!$F:$F,1,0)</f>
        <v>J301DXTH</v>
      </c>
      <c r="K1374" s="44" t="s">
        <v>250</v>
      </c>
      <c r="L1374" s="44"/>
      <c r="M1374" s="45" t="s">
        <v>4316</v>
      </c>
    </row>
    <row r="1375" s="26" customFormat="1" ht="30" customHeight="1" spans="1:13">
      <c r="A1375" s="41">
        <f>IF(C1375="","",SUBTOTAL(103,$C$2:C1375))</f>
        <v>1366</v>
      </c>
      <c r="B1375" s="41">
        <v>12706</v>
      </c>
      <c r="C1375" s="41">
        <v>958</v>
      </c>
      <c r="D1375" s="41" t="s">
        <v>45</v>
      </c>
      <c r="E1375" s="41" t="s">
        <v>1298</v>
      </c>
      <c r="F1375" s="41" t="s">
        <v>2308</v>
      </c>
      <c r="G1375" s="41" t="s">
        <v>4317</v>
      </c>
      <c r="H1375" s="41" t="s">
        <v>4318</v>
      </c>
      <c r="I1375" s="43">
        <v>12</v>
      </c>
      <c r="J1375" s="44" t="str">
        <f>VLOOKUP(G1375,[1]硬件清单!$F:$F,1,0)</f>
        <v>J301DXTA</v>
      </c>
      <c r="K1375" s="44" t="s">
        <v>250</v>
      </c>
      <c r="L1375" s="44"/>
      <c r="M1375" s="45" t="s">
        <v>4319</v>
      </c>
    </row>
    <row r="1376" s="26" customFormat="1" ht="30" customHeight="1" spans="1:13">
      <c r="A1376" s="41">
        <f>IF(C1376="","",SUBTOTAL(103,$C$2:C1376))</f>
        <v>1367</v>
      </c>
      <c r="B1376" s="41">
        <v>12707</v>
      </c>
      <c r="C1376" s="41">
        <v>959</v>
      </c>
      <c r="D1376" s="41" t="s">
        <v>45</v>
      </c>
      <c r="E1376" s="41" t="s">
        <v>1298</v>
      </c>
      <c r="F1376" s="41" t="s">
        <v>2308</v>
      </c>
      <c r="G1376" s="41" t="s">
        <v>4320</v>
      </c>
      <c r="H1376" s="41" t="s">
        <v>4321</v>
      </c>
      <c r="I1376" s="43">
        <v>12</v>
      </c>
      <c r="J1376" s="44" t="str">
        <f>VLOOKUP(G1376,[1]硬件清单!$F:$F,1,0)</f>
        <v>J301DXT6</v>
      </c>
      <c r="K1376" s="44" t="s">
        <v>250</v>
      </c>
      <c r="L1376" s="44"/>
      <c r="M1376" s="45" t="s">
        <v>4322</v>
      </c>
    </row>
    <row r="1377" s="26" customFormat="1" ht="30" customHeight="1" spans="1:13">
      <c r="A1377" s="41">
        <f>IF(C1377="","",SUBTOTAL(103,$C$2:C1377))</f>
        <v>1368</v>
      </c>
      <c r="B1377" s="41">
        <v>12708</v>
      </c>
      <c r="C1377" s="41">
        <v>960</v>
      </c>
      <c r="D1377" s="41" t="s">
        <v>45</v>
      </c>
      <c r="E1377" s="41" t="s">
        <v>1298</v>
      </c>
      <c r="F1377" s="41" t="s">
        <v>2308</v>
      </c>
      <c r="G1377" s="41" t="s">
        <v>4323</v>
      </c>
      <c r="H1377" s="41" t="s">
        <v>4324</v>
      </c>
      <c r="I1377" s="43">
        <v>12</v>
      </c>
      <c r="J1377" s="44" t="str">
        <f>VLOOKUP(G1377,[1]硬件清单!$F:$F,1,0)</f>
        <v>J301DXRX</v>
      </c>
      <c r="K1377" s="44" t="s">
        <v>250</v>
      </c>
      <c r="L1377" s="44"/>
      <c r="M1377" s="45" t="s">
        <v>4325</v>
      </c>
    </row>
    <row r="1378" s="26" customFormat="1" ht="30" customHeight="1" spans="1:13">
      <c r="A1378" s="41">
        <f>IF(C1378="","",SUBTOTAL(103,$C$2:C1378))</f>
        <v>1369</v>
      </c>
      <c r="B1378" s="41">
        <v>12709</v>
      </c>
      <c r="C1378" s="41">
        <v>961</v>
      </c>
      <c r="D1378" s="41" t="s">
        <v>45</v>
      </c>
      <c r="E1378" s="41" t="s">
        <v>1298</v>
      </c>
      <c r="F1378" s="41" t="s">
        <v>2308</v>
      </c>
      <c r="G1378" s="41" t="s">
        <v>4326</v>
      </c>
      <c r="H1378" s="41" t="s">
        <v>4327</v>
      </c>
      <c r="I1378" s="43">
        <v>12</v>
      </c>
      <c r="J1378" s="44" t="str">
        <f>VLOOKUP(G1378,[1]硬件清单!$F:$F,1,0)</f>
        <v>J301DXRV</v>
      </c>
      <c r="K1378" s="44" t="s">
        <v>250</v>
      </c>
      <c r="L1378" s="44"/>
      <c r="M1378" s="45" t="s">
        <v>4328</v>
      </c>
    </row>
    <row r="1379" s="26" customFormat="1" ht="30" customHeight="1" spans="1:13">
      <c r="A1379" s="41">
        <f>IF(C1379="","",SUBTOTAL(103,$C$2:C1379))</f>
        <v>1370</v>
      </c>
      <c r="B1379" s="41">
        <v>12710</v>
      </c>
      <c r="C1379" s="41">
        <v>962</v>
      </c>
      <c r="D1379" s="41" t="s">
        <v>45</v>
      </c>
      <c r="E1379" s="41" t="s">
        <v>1298</v>
      </c>
      <c r="F1379" s="41" t="s">
        <v>2308</v>
      </c>
      <c r="G1379" s="41" t="s">
        <v>4329</v>
      </c>
      <c r="H1379" s="41" t="s">
        <v>4330</v>
      </c>
      <c r="I1379" s="43">
        <v>12</v>
      </c>
      <c r="J1379" s="44" t="str">
        <f>VLOOKUP(G1379,[1]硬件清单!$F:$F,1,0)</f>
        <v>J301DXT8</v>
      </c>
      <c r="K1379" s="44" t="s">
        <v>250</v>
      </c>
      <c r="L1379" s="44"/>
      <c r="M1379" s="45" t="s">
        <v>4331</v>
      </c>
    </row>
    <row r="1380" s="26" customFormat="1" ht="30" customHeight="1" spans="1:13">
      <c r="A1380" s="41">
        <f>IF(C1380="","",SUBTOTAL(103,$C$2:C1380))</f>
        <v>1371</v>
      </c>
      <c r="B1380" s="41">
        <v>12711</v>
      </c>
      <c r="C1380" s="41">
        <v>963</v>
      </c>
      <c r="D1380" s="41" t="s">
        <v>45</v>
      </c>
      <c r="E1380" s="41" t="s">
        <v>1298</v>
      </c>
      <c r="F1380" s="41" t="s">
        <v>2308</v>
      </c>
      <c r="G1380" s="41" t="s">
        <v>4332</v>
      </c>
      <c r="H1380" s="41" t="s">
        <v>4333</v>
      </c>
      <c r="I1380" s="43">
        <v>12</v>
      </c>
      <c r="J1380" s="44" t="str">
        <f>VLOOKUP(G1380,[1]硬件清单!$F:$F,1,0)</f>
        <v>J301EBDE</v>
      </c>
      <c r="K1380" s="44" t="s">
        <v>250</v>
      </c>
      <c r="L1380" s="44"/>
      <c r="M1380" s="45" t="s">
        <v>4334</v>
      </c>
    </row>
    <row r="1381" s="26" customFormat="1" ht="30" customHeight="1" spans="1:13">
      <c r="A1381" s="41">
        <f>IF(C1381="","",SUBTOTAL(103,$C$2:C1381))</f>
        <v>1372</v>
      </c>
      <c r="B1381" s="41">
        <v>12712</v>
      </c>
      <c r="C1381" s="41">
        <v>964</v>
      </c>
      <c r="D1381" s="41" t="s">
        <v>45</v>
      </c>
      <c r="E1381" s="41" t="s">
        <v>1298</v>
      </c>
      <c r="F1381" s="41" t="s">
        <v>2308</v>
      </c>
      <c r="G1381" s="41" t="s">
        <v>4335</v>
      </c>
      <c r="H1381" s="41" t="s">
        <v>4336</v>
      </c>
      <c r="I1381" s="43">
        <v>12</v>
      </c>
      <c r="J1381" s="44" t="str">
        <f>VLOOKUP(G1381,[1]硬件清单!$F:$F,1,0)</f>
        <v>J301DXTG</v>
      </c>
      <c r="K1381" s="44" t="s">
        <v>250</v>
      </c>
      <c r="L1381" s="44"/>
      <c r="M1381" s="45" t="s">
        <v>4337</v>
      </c>
    </row>
    <row r="1382" s="26" customFormat="1" ht="30" customHeight="1" spans="1:13">
      <c r="A1382" s="41">
        <f>IF(C1382="","",SUBTOTAL(103,$C$2:C1382))</f>
        <v>1373</v>
      </c>
      <c r="B1382" s="41">
        <v>12713</v>
      </c>
      <c r="C1382" s="41">
        <v>965</v>
      </c>
      <c r="D1382" s="41" t="s">
        <v>45</v>
      </c>
      <c r="E1382" s="41" t="s">
        <v>1298</v>
      </c>
      <c r="F1382" s="41" t="s">
        <v>2308</v>
      </c>
      <c r="G1382" s="41" t="s">
        <v>4338</v>
      </c>
      <c r="H1382" s="41" t="s">
        <v>4339</v>
      </c>
      <c r="I1382" s="43">
        <v>12</v>
      </c>
      <c r="J1382" s="44" t="str">
        <f>VLOOKUP(G1382,[1]硬件清单!$F:$F,1,0)</f>
        <v>J301DXT5</v>
      </c>
      <c r="K1382" s="44" t="s">
        <v>250</v>
      </c>
      <c r="L1382" s="44"/>
      <c r="M1382" s="45" t="s">
        <v>4340</v>
      </c>
    </row>
    <row r="1383" s="26" customFormat="1" ht="30" customHeight="1" spans="1:13">
      <c r="A1383" s="41">
        <f>IF(C1383="","",SUBTOTAL(103,$C$2:C1383))</f>
        <v>1374</v>
      </c>
      <c r="B1383" s="41">
        <v>12714</v>
      </c>
      <c r="C1383" s="41">
        <v>966</v>
      </c>
      <c r="D1383" s="41" t="s">
        <v>45</v>
      </c>
      <c r="E1383" s="41" t="s">
        <v>1298</v>
      </c>
      <c r="F1383" s="41" t="s">
        <v>2308</v>
      </c>
      <c r="G1383" s="41" t="s">
        <v>4341</v>
      </c>
      <c r="H1383" s="41" t="s">
        <v>4342</v>
      </c>
      <c r="I1383" s="43">
        <v>12</v>
      </c>
      <c r="J1383" s="44" t="str">
        <f>VLOOKUP(G1383,[1]硬件清单!$F:$F,1,0)</f>
        <v>J301DXT4</v>
      </c>
      <c r="K1383" s="44" t="s">
        <v>250</v>
      </c>
      <c r="L1383" s="44"/>
      <c r="M1383" s="45" t="s">
        <v>4343</v>
      </c>
    </row>
    <row r="1384" s="26" customFormat="1" ht="30" customHeight="1" spans="1:13">
      <c r="A1384" s="41">
        <f>IF(C1384="","",SUBTOTAL(103,$C$2:C1384))</f>
        <v>1375</v>
      </c>
      <c r="B1384" s="41">
        <v>12715</v>
      </c>
      <c r="C1384" s="41">
        <v>967</v>
      </c>
      <c r="D1384" s="41" t="s">
        <v>45</v>
      </c>
      <c r="E1384" s="41" t="s">
        <v>1298</v>
      </c>
      <c r="F1384" s="41" t="s">
        <v>2308</v>
      </c>
      <c r="G1384" s="41" t="s">
        <v>4344</v>
      </c>
      <c r="H1384" s="41" t="s">
        <v>4345</v>
      </c>
      <c r="I1384" s="43">
        <v>12</v>
      </c>
      <c r="J1384" s="44" t="str">
        <f>VLOOKUP(G1384,[1]硬件清单!$F:$F,1,0)</f>
        <v>J301D84F</v>
      </c>
      <c r="K1384" s="44" t="s">
        <v>250</v>
      </c>
      <c r="L1384" s="44"/>
      <c r="M1384" s="45" t="s">
        <v>4346</v>
      </c>
    </row>
    <row r="1385" s="26" customFormat="1" ht="30" customHeight="1" spans="1:13">
      <c r="A1385" s="41">
        <f>IF(C1385="","",SUBTOTAL(103,$C$2:C1385))</f>
        <v>1376</v>
      </c>
      <c r="B1385" s="41">
        <v>12716</v>
      </c>
      <c r="C1385" s="41">
        <v>968</v>
      </c>
      <c r="D1385" s="41" t="s">
        <v>45</v>
      </c>
      <c r="E1385" s="41" t="s">
        <v>1298</v>
      </c>
      <c r="F1385" s="41" t="s">
        <v>2308</v>
      </c>
      <c r="G1385" s="41" t="s">
        <v>4347</v>
      </c>
      <c r="H1385" s="41" t="s">
        <v>4348</v>
      </c>
      <c r="I1385" s="43">
        <v>12</v>
      </c>
      <c r="J1385" s="44" t="str">
        <f>VLOOKUP(G1385,[1]硬件清单!$F:$F,1,0)</f>
        <v>J301D84R</v>
      </c>
      <c r="K1385" s="44" t="s">
        <v>250</v>
      </c>
      <c r="L1385" s="44"/>
      <c r="M1385" s="45" t="s">
        <v>4349</v>
      </c>
    </row>
    <row r="1386" s="26" customFormat="1" ht="30" customHeight="1" spans="1:13">
      <c r="A1386" s="41">
        <f>IF(C1386="","",SUBTOTAL(103,$C$2:C1386))</f>
        <v>1377</v>
      </c>
      <c r="B1386" s="41">
        <v>12717</v>
      </c>
      <c r="C1386" s="41">
        <v>969</v>
      </c>
      <c r="D1386" s="41" t="s">
        <v>45</v>
      </c>
      <c r="E1386" s="41" t="s">
        <v>1298</v>
      </c>
      <c r="F1386" s="41" t="s">
        <v>2308</v>
      </c>
      <c r="G1386" s="41" t="s">
        <v>4350</v>
      </c>
      <c r="H1386" s="41" t="s">
        <v>4351</v>
      </c>
      <c r="I1386" s="43">
        <v>12</v>
      </c>
      <c r="J1386" s="44" t="str">
        <f>VLOOKUP(G1386,[1]硬件清单!$F:$F,1,0)</f>
        <v>J301D84D</v>
      </c>
      <c r="K1386" s="44" t="s">
        <v>250</v>
      </c>
      <c r="L1386" s="44"/>
      <c r="M1386" s="45" t="s">
        <v>4352</v>
      </c>
    </row>
    <row r="1387" s="26" customFormat="1" ht="30" customHeight="1" spans="1:13">
      <c r="A1387" s="41">
        <f>IF(C1387="","",SUBTOTAL(103,$C$2:C1387))</f>
        <v>1378</v>
      </c>
      <c r="B1387" s="41">
        <v>12718</v>
      </c>
      <c r="C1387" s="41">
        <v>970</v>
      </c>
      <c r="D1387" s="41" t="s">
        <v>45</v>
      </c>
      <c r="E1387" s="41" t="s">
        <v>1298</v>
      </c>
      <c r="F1387" s="41" t="s">
        <v>2308</v>
      </c>
      <c r="G1387" s="41" t="s">
        <v>4353</v>
      </c>
      <c r="H1387" s="41" t="s">
        <v>4354</v>
      </c>
      <c r="I1387" s="43">
        <v>12</v>
      </c>
      <c r="J1387" s="44" t="str">
        <f>VLOOKUP(G1387,[1]硬件清单!$F:$F,1,0)</f>
        <v>J301D84H</v>
      </c>
      <c r="K1387" s="44" t="s">
        <v>250</v>
      </c>
      <c r="L1387" s="44"/>
      <c r="M1387" s="45" t="s">
        <v>4355</v>
      </c>
    </row>
    <row r="1388" s="26" customFormat="1" ht="30" customHeight="1" spans="1:13">
      <c r="A1388" s="41">
        <f>IF(C1388="","",SUBTOTAL(103,$C$2:C1388))</f>
        <v>1379</v>
      </c>
      <c r="B1388" s="41">
        <v>12719</v>
      </c>
      <c r="C1388" s="41">
        <v>971</v>
      </c>
      <c r="D1388" s="41" t="s">
        <v>45</v>
      </c>
      <c r="E1388" s="41" t="s">
        <v>1298</v>
      </c>
      <c r="F1388" s="41" t="s">
        <v>2308</v>
      </c>
      <c r="G1388" s="41" t="s">
        <v>4356</v>
      </c>
      <c r="H1388" s="41" t="s">
        <v>4357</v>
      </c>
      <c r="I1388" s="43">
        <v>12</v>
      </c>
      <c r="J1388" s="44" t="str">
        <f>VLOOKUP(G1388,[1]硬件清单!$F:$F,1,0)</f>
        <v>J301D84G</v>
      </c>
      <c r="K1388" s="44" t="s">
        <v>250</v>
      </c>
      <c r="L1388" s="44"/>
      <c r="M1388" s="45" t="s">
        <v>4358</v>
      </c>
    </row>
    <row r="1389" s="26" customFormat="1" ht="30" customHeight="1" spans="1:13">
      <c r="A1389" s="41">
        <f>IF(C1389="","",SUBTOTAL(103,$C$2:C1389))</f>
        <v>1380</v>
      </c>
      <c r="B1389" s="41">
        <v>12720</v>
      </c>
      <c r="C1389" s="41">
        <v>972</v>
      </c>
      <c r="D1389" s="41" t="s">
        <v>45</v>
      </c>
      <c r="E1389" s="41" t="s">
        <v>1298</v>
      </c>
      <c r="F1389" s="41" t="s">
        <v>2308</v>
      </c>
      <c r="G1389" s="41" t="s">
        <v>4359</v>
      </c>
      <c r="H1389" s="41" t="s">
        <v>4360</v>
      </c>
      <c r="I1389" s="43">
        <v>12</v>
      </c>
      <c r="J1389" s="44" t="str">
        <f>VLOOKUP(G1389,[1]硬件清单!$F:$F,1,0)</f>
        <v>J301D84T</v>
      </c>
      <c r="K1389" s="44" t="s">
        <v>250</v>
      </c>
      <c r="L1389" s="44"/>
      <c r="M1389" s="45" t="s">
        <v>4361</v>
      </c>
    </row>
    <row r="1390" s="26" customFormat="1" ht="30" customHeight="1" spans="1:13">
      <c r="A1390" s="41">
        <f>IF(C1390="","",SUBTOTAL(103,$C$2:C1390))</f>
        <v>1381</v>
      </c>
      <c r="B1390" s="41">
        <v>12721</v>
      </c>
      <c r="C1390" s="41">
        <v>973</v>
      </c>
      <c r="D1390" s="41" t="s">
        <v>45</v>
      </c>
      <c r="E1390" s="41" t="s">
        <v>1298</v>
      </c>
      <c r="F1390" s="41" t="s">
        <v>2308</v>
      </c>
      <c r="G1390" s="41" t="s">
        <v>4362</v>
      </c>
      <c r="H1390" s="41" t="s">
        <v>4363</v>
      </c>
      <c r="I1390" s="43">
        <v>12</v>
      </c>
      <c r="J1390" s="44" t="str">
        <f>VLOOKUP(G1390,[1]硬件清单!$F:$F,1,0)</f>
        <v>J301D84C</v>
      </c>
      <c r="K1390" s="44" t="s">
        <v>250</v>
      </c>
      <c r="L1390" s="44"/>
      <c r="M1390" s="45" t="s">
        <v>4364</v>
      </c>
    </row>
    <row r="1391" s="26" customFormat="1" ht="30" customHeight="1" spans="1:13">
      <c r="A1391" s="41">
        <f>IF(C1391="","",SUBTOTAL(103,$C$2:C1391))</f>
        <v>1382</v>
      </c>
      <c r="B1391" s="41">
        <v>12722</v>
      </c>
      <c r="C1391" s="41">
        <v>974</v>
      </c>
      <c r="D1391" s="41" t="s">
        <v>45</v>
      </c>
      <c r="E1391" s="41" t="s">
        <v>1298</v>
      </c>
      <c r="F1391" s="41" t="s">
        <v>2308</v>
      </c>
      <c r="G1391" s="41" t="s">
        <v>4365</v>
      </c>
      <c r="H1391" s="41" t="s">
        <v>4366</v>
      </c>
      <c r="I1391" s="43">
        <v>12</v>
      </c>
      <c r="J1391" s="44" t="str">
        <f>VLOOKUP(G1391,[1]硬件清单!$F:$F,1,0)</f>
        <v>J301D84A</v>
      </c>
      <c r="K1391" s="44" t="s">
        <v>250</v>
      </c>
      <c r="L1391" s="44"/>
      <c r="M1391" s="45" t="s">
        <v>4367</v>
      </c>
    </row>
    <row r="1392" s="26" customFormat="1" ht="30" customHeight="1" spans="1:13">
      <c r="A1392" s="41">
        <f>IF(C1392="","",SUBTOTAL(103,$C$2:C1392))</f>
        <v>1383</v>
      </c>
      <c r="B1392" s="41">
        <v>12723</v>
      </c>
      <c r="C1392" s="41">
        <v>975</v>
      </c>
      <c r="D1392" s="41" t="s">
        <v>45</v>
      </c>
      <c r="E1392" s="41" t="s">
        <v>1298</v>
      </c>
      <c r="F1392" s="41" t="s">
        <v>2308</v>
      </c>
      <c r="G1392" s="41" t="s">
        <v>4368</v>
      </c>
      <c r="H1392" s="41" t="s">
        <v>4369</v>
      </c>
      <c r="I1392" s="43">
        <v>12</v>
      </c>
      <c r="J1392" s="44" t="str">
        <f>VLOOKUP(G1392,[1]硬件清单!$F:$F,1,0)</f>
        <v>J301D84W</v>
      </c>
      <c r="K1392" s="44" t="s">
        <v>250</v>
      </c>
      <c r="L1392" s="44"/>
      <c r="M1392" s="45" t="s">
        <v>4370</v>
      </c>
    </row>
    <row r="1393" s="26" customFormat="1" ht="30" customHeight="1" spans="1:13">
      <c r="A1393" s="41">
        <f>IF(C1393="","",SUBTOTAL(103,$C$2:C1393))</f>
        <v>1384</v>
      </c>
      <c r="B1393" s="41">
        <v>12724</v>
      </c>
      <c r="C1393" s="41">
        <v>976</v>
      </c>
      <c r="D1393" s="41" t="s">
        <v>45</v>
      </c>
      <c r="E1393" s="41" t="s">
        <v>1298</v>
      </c>
      <c r="F1393" s="41" t="s">
        <v>2308</v>
      </c>
      <c r="G1393" s="41" t="s">
        <v>4371</v>
      </c>
      <c r="H1393" s="41" t="s">
        <v>4372</v>
      </c>
      <c r="I1393" s="43">
        <v>12</v>
      </c>
      <c r="J1393" s="44" t="str">
        <f>VLOOKUP(G1393,[1]硬件清单!$F:$F,1,0)</f>
        <v>J301D848</v>
      </c>
      <c r="K1393" s="44" t="s">
        <v>250</v>
      </c>
      <c r="L1393" s="44"/>
      <c r="M1393" s="45" t="s">
        <v>4373</v>
      </c>
    </row>
    <row r="1394" s="26" customFormat="1" ht="30" customHeight="1" spans="1:13">
      <c r="A1394" s="41">
        <f>IF(C1394="","",SUBTOTAL(103,$C$2:C1394))</f>
        <v>1385</v>
      </c>
      <c r="B1394" s="41">
        <v>12725</v>
      </c>
      <c r="C1394" s="41">
        <v>977</v>
      </c>
      <c r="D1394" s="41" t="s">
        <v>45</v>
      </c>
      <c r="E1394" s="41" t="s">
        <v>1298</v>
      </c>
      <c r="F1394" s="41" t="s">
        <v>2308</v>
      </c>
      <c r="G1394" s="41" t="s">
        <v>4374</v>
      </c>
      <c r="H1394" s="41" t="s">
        <v>4375</v>
      </c>
      <c r="I1394" s="43">
        <v>12</v>
      </c>
      <c r="J1394" s="44" t="str">
        <f>VLOOKUP(G1394,[1]硬件清单!$F:$F,1,0)</f>
        <v>J301D84P</v>
      </c>
      <c r="K1394" s="44" t="s">
        <v>250</v>
      </c>
      <c r="L1394" s="44"/>
      <c r="M1394" s="45" t="s">
        <v>4376</v>
      </c>
    </row>
    <row r="1395" s="26" customFormat="1" ht="30" customHeight="1" spans="1:13">
      <c r="A1395" s="41">
        <f>IF(C1395="","",SUBTOTAL(103,$C$2:C1395))</f>
        <v>1386</v>
      </c>
      <c r="B1395" s="41">
        <v>12726</v>
      </c>
      <c r="C1395" s="41">
        <v>978</v>
      </c>
      <c r="D1395" s="41" t="s">
        <v>45</v>
      </c>
      <c r="E1395" s="41" t="s">
        <v>1298</v>
      </c>
      <c r="F1395" s="41" t="s">
        <v>2308</v>
      </c>
      <c r="G1395" s="41" t="s">
        <v>4377</v>
      </c>
      <c r="H1395" s="41" t="s">
        <v>4378</v>
      </c>
      <c r="I1395" s="43">
        <v>12</v>
      </c>
      <c r="J1395" s="44" t="str">
        <f>VLOOKUP(G1395,[1]硬件清单!$F:$F,1,0)</f>
        <v>J301D84V</v>
      </c>
      <c r="K1395" s="44" t="s">
        <v>250</v>
      </c>
      <c r="L1395" s="44"/>
      <c r="M1395" s="45" t="s">
        <v>4379</v>
      </c>
    </row>
    <row r="1396" s="26" customFormat="1" ht="30" customHeight="1" spans="1:13">
      <c r="A1396" s="41">
        <f>IF(C1396="","",SUBTOTAL(103,$C$2:C1396))</f>
        <v>1387</v>
      </c>
      <c r="B1396" s="41">
        <v>12727</v>
      </c>
      <c r="C1396" s="41">
        <v>979</v>
      </c>
      <c r="D1396" s="41" t="s">
        <v>45</v>
      </c>
      <c r="E1396" s="41" t="s">
        <v>1298</v>
      </c>
      <c r="F1396" s="41" t="s">
        <v>2308</v>
      </c>
      <c r="G1396" s="41" t="s">
        <v>4380</v>
      </c>
      <c r="H1396" s="41" t="s">
        <v>4381</v>
      </c>
      <c r="I1396" s="43">
        <v>12</v>
      </c>
      <c r="J1396" s="44" t="str">
        <f>VLOOKUP(G1396,[1]硬件清单!$F:$F,1,0)</f>
        <v>J301D84B</v>
      </c>
      <c r="K1396" s="44" t="s">
        <v>250</v>
      </c>
      <c r="L1396" s="44"/>
      <c r="M1396" s="45" t="s">
        <v>4382</v>
      </c>
    </row>
    <row r="1397" s="26" customFormat="1" ht="30" customHeight="1" spans="1:13">
      <c r="A1397" s="41">
        <f>IF(C1397="","",SUBTOTAL(103,$C$2:C1397))</f>
        <v>1388</v>
      </c>
      <c r="B1397" s="41">
        <v>12728</v>
      </c>
      <c r="C1397" s="41">
        <v>980</v>
      </c>
      <c r="D1397" s="41" t="s">
        <v>45</v>
      </c>
      <c r="E1397" s="41" t="s">
        <v>1298</v>
      </c>
      <c r="F1397" s="41" t="s">
        <v>2308</v>
      </c>
      <c r="G1397" s="41" t="s">
        <v>4383</v>
      </c>
      <c r="H1397" s="41" t="s">
        <v>4384</v>
      </c>
      <c r="I1397" s="43">
        <v>12</v>
      </c>
      <c r="J1397" s="44" t="str">
        <f>VLOOKUP(G1397,[1]硬件清单!$F:$F,1,0)</f>
        <v>J301D846</v>
      </c>
      <c r="K1397" s="44" t="s">
        <v>250</v>
      </c>
      <c r="L1397" s="44"/>
      <c r="M1397" s="45" t="s">
        <v>4385</v>
      </c>
    </row>
    <row r="1398" s="26" customFormat="1" ht="30" customHeight="1" spans="1:13">
      <c r="A1398" s="41">
        <f>IF(C1398="","",SUBTOTAL(103,$C$2:C1398))</f>
        <v>1389</v>
      </c>
      <c r="B1398" s="41">
        <v>12729</v>
      </c>
      <c r="C1398" s="41">
        <v>981</v>
      </c>
      <c r="D1398" s="41" t="s">
        <v>45</v>
      </c>
      <c r="E1398" s="41" t="s">
        <v>1298</v>
      </c>
      <c r="F1398" s="41" t="s">
        <v>2308</v>
      </c>
      <c r="G1398" s="41" t="s">
        <v>4386</v>
      </c>
      <c r="H1398" s="41" t="s">
        <v>4387</v>
      </c>
      <c r="I1398" s="43">
        <v>12</v>
      </c>
      <c r="J1398" s="44" t="str">
        <f>VLOOKUP(G1398,[1]硬件清单!$F:$F,1,0)</f>
        <v>J301D845</v>
      </c>
      <c r="K1398" s="44" t="s">
        <v>250</v>
      </c>
      <c r="L1398" s="44"/>
      <c r="M1398" s="45" t="s">
        <v>4388</v>
      </c>
    </row>
    <row r="1399" s="26" customFormat="1" ht="30" customHeight="1" spans="1:13">
      <c r="A1399" s="41">
        <f>IF(C1399="","",SUBTOTAL(103,$C$2:C1399))</f>
        <v>1390</v>
      </c>
      <c r="B1399" s="41">
        <v>12730</v>
      </c>
      <c r="C1399" s="41">
        <v>982</v>
      </c>
      <c r="D1399" s="41" t="s">
        <v>45</v>
      </c>
      <c r="E1399" s="41" t="s">
        <v>1298</v>
      </c>
      <c r="F1399" s="41" t="s">
        <v>2308</v>
      </c>
      <c r="G1399" s="41" t="s">
        <v>4389</v>
      </c>
      <c r="H1399" s="41" t="s">
        <v>4390</v>
      </c>
      <c r="I1399" s="43">
        <v>12</v>
      </c>
      <c r="J1399" s="44" t="str">
        <f>VLOOKUP(G1399,[1]硬件清单!$F:$F,1,0)</f>
        <v>J301D84L</v>
      </c>
      <c r="K1399" s="44" t="s">
        <v>250</v>
      </c>
      <c r="L1399" s="44"/>
      <c r="M1399" s="45" t="s">
        <v>4391</v>
      </c>
    </row>
    <row r="1400" s="26" customFormat="1" ht="30" customHeight="1" spans="1:13">
      <c r="A1400" s="41">
        <f>IF(C1400="","",SUBTOTAL(103,$C$2:C1400))</f>
        <v>1391</v>
      </c>
      <c r="B1400" s="41">
        <v>12731</v>
      </c>
      <c r="C1400" s="41">
        <v>983</v>
      </c>
      <c r="D1400" s="41" t="s">
        <v>45</v>
      </c>
      <c r="E1400" s="41" t="s">
        <v>1298</v>
      </c>
      <c r="F1400" s="41" t="s">
        <v>2308</v>
      </c>
      <c r="G1400" s="41" t="s">
        <v>4392</v>
      </c>
      <c r="H1400" s="41" t="s">
        <v>4393</v>
      </c>
      <c r="I1400" s="43">
        <v>12</v>
      </c>
      <c r="J1400" s="44" t="str">
        <f>VLOOKUP(G1400,[1]硬件清单!$F:$F,1,0)</f>
        <v>J301D847</v>
      </c>
      <c r="K1400" s="44" t="s">
        <v>250</v>
      </c>
      <c r="L1400" s="44"/>
      <c r="M1400" s="45" t="s">
        <v>4394</v>
      </c>
    </row>
    <row r="1401" s="26" customFormat="1" ht="30" customHeight="1" spans="1:13">
      <c r="A1401" s="41">
        <f>IF(C1401="","",SUBTOTAL(103,$C$2:C1401))</f>
        <v>1392</v>
      </c>
      <c r="B1401" s="41">
        <v>12732</v>
      </c>
      <c r="C1401" s="41">
        <v>984</v>
      </c>
      <c r="D1401" s="41" t="s">
        <v>45</v>
      </c>
      <c r="E1401" s="41" t="s">
        <v>1298</v>
      </c>
      <c r="F1401" s="41" t="s">
        <v>2308</v>
      </c>
      <c r="G1401" s="41" t="s">
        <v>4395</v>
      </c>
      <c r="H1401" s="41" t="s">
        <v>4396</v>
      </c>
      <c r="I1401" s="43">
        <v>12</v>
      </c>
      <c r="J1401" s="44" t="str">
        <f>VLOOKUP(G1401,[1]硬件清单!$F:$F,1,0)</f>
        <v>J301D84E</v>
      </c>
      <c r="K1401" s="44" t="s">
        <v>250</v>
      </c>
      <c r="L1401" s="44"/>
      <c r="M1401" s="45" t="s">
        <v>4397</v>
      </c>
    </row>
    <row r="1402" s="26" customFormat="1" ht="30" customHeight="1" spans="1:13">
      <c r="A1402" s="41">
        <f>IF(C1402="","",SUBTOTAL(103,$C$2:C1402))</f>
        <v>1393</v>
      </c>
      <c r="B1402" s="41">
        <v>12733</v>
      </c>
      <c r="C1402" s="41">
        <v>985</v>
      </c>
      <c r="D1402" s="41" t="s">
        <v>45</v>
      </c>
      <c r="E1402" s="41" t="s">
        <v>1298</v>
      </c>
      <c r="F1402" s="41" t="s">
        <v>2308</v>
      </c>
      <c r="G1402" s="41" t="s">
        <v>4398</v>
      </c>
      <c r="H1402" s="41" t="s">
        <v>4399</v>
      </c>
      <c r="I1402" s="43">
        <v>12</v>
      </c>
      <c r="J1402" s="44" t="str">
        <f>VLOOKUP(G1402,[1]硬件清单!$F:$F,1,0)</f>
        <v>J301D84X</v>
      </c>
      <c r="K1402" s="44" t="s">
        <v>250</v>
      </c>
      <c r="L1402" s="44"/>
      <c r="M1402" s="45" t="s">
        <v>4400</v>
      </c>
    </row>
    <row r="1403" s="26" customFormat="1" ht="30" customHeight="1" spans="1:13">
      <c r="A1403" s="41">
        <f>IF(C1403="","",SUBTOTAL(103,$C$2:C1403))</f>
        <v>1394</v>
      </c>
      <c r="B1403" s="41">
        <v>12734</v>
      </c>
      <c r="C1403" s="41">
        <v>986</v>
      </c>
      <c r="D1403" s="41" t="s">
        <v>45</v>
      </c>
      <c r="E1403" s="41" t="s">
        <v>1298</v>
      </c>
      <c r="F1403" s="41" t="s">
        <v>2308</v>
      </c>
      <c r="G1403" s="41" t="s">
        <v>4401</v>
      </c>
      <c r="H1403" s="41" t="s">
        <v>4402</v>
      </c>
      <c r="I1403" s="43">
        <v>12</v>
      </c>
      <c r="J1403" s="44" t="str">
        <f>VLOOKUP(G1403,[1]硬件清单!$F:$F,1,0)</f>
        <v>J301D84N</v>
      </c>
      <c r="K1403" s="44" t="s">
        <v>250</v>
      </c>
      <c r="L1403" s="44"/>
      <c r="M1403" s="45" t="s">
        <v>4403</v>
      </c>
    </row>
    <row r="1404" s="26" customFormat="1" ht="30" customHeight="1" spans="1:13">
      <c r="A1404" s="41">
        <f>IF(C1404="","",SUBTOTAL(103,$C$2:C1404))</f>
        <v>1395</v>
      </c>
      <c r="B1404" s="41">
        <v>12735</v>
      </c>
      <c r="C1404" s="41">
        <v>987</v>
      </c>
      <c r="D1404" s="41" t="s">
        <v>45</v>
      </c>
      <c r="E1404" s="41" t="s">
        <v>1298</v>
      </c>
      <c r="F1404" s="41" t="s">
        <v>2308</v>
      </c>
      <c r="G1404" s="41" t="s">
        <v>4404</v>
      </c>
      <c r="H1404" s="41" t="s">
        <v>4405</v>
      </c>
      <c r="I1404" s="43">
        <v>12</v>
      </c>
      <c r="J1404" s="44" t="str">
        <f>VLOOKUP(G1404,[1]硬件清单!$F:$F,1,0)</f>
        <v>J301DXRZ</v>
      </c>
      <c r="K1404" s="44" t="s">
        <v>250</v>
      </c>
      <c r="L1404" s="44"/>
      <c r="M1404" s="45" t="s">
        <v>4406</v>
      </c>
    </row>
    <row r="1405" s="26" customFormat="1" ht="30" customHeight="1" spans="1:13">
      <c r="A1405" s="41">
        <f>IF(C1405="","",SUBTOTAL(103,$C$2:C1405))</f>
        <v>1396</v>
      </c>
      <c r="B1405" s="41">
        <v>12736</v>
      </c>
      <c r="C1405" s="41">
        <v>988</v>
      </c>
      <c r="D1405" s="41" t="s">
        <v>45</v>
      </c>
      <c r="E1405" s="41" t="s">
        <v>1298</v>
      </c>
      <c r="F1405" s="41" t="s">
        <v>2308</v>
      </c>
      <c r="G1405" s="41" t="s">
        <v>4407</v>
      </c>
      <c r="H1405" s="41" t="s">
        <v>4408</v>
      </c>
      <c r="I1405" s="43">
        <v>12</v>
      </c>
      <c r="J1405" s="44" t="str">
        <f>VLOOKUP(G1405,[1]硬件清单!$F:$F,1,0)</f>
        <v>J301DXTF</v>
      </c>
      <c r="K1405" s="44" t="s">
        <v>250</v>
      </c>
      <c r="L1405" s="44"/>
      <c r="M1405" s="45" t="s">
        <v>4409</v>
      </c>
    </row>
    <row r="1406" s="26" customFormat="1" ht="30" customHeight="1" spans="1:13">
      <c r="A1406" s="41">
        <f>IF(C1406="","",SUBTOTAL(103,$C$2:C1406))</f>
        <v>1397</v>
      </c>
      <c r="B1406" s="41">
        <v>12737</v>
      </c>
      <c r="C1406" s="41">
        <v>989</v>
      </c>
      <c r="D1406" s="41" t="s">
        <v>45</v>
      </c>
      <c r="E1406" s="41" t="s">
        <v>1298</v>
      </c>
      <c r="F1406" s="41" t="s">
        <v>2308</v>
      </c>
      <c r="G1406" s="41" t="s">
        <v>4410</v>
      </c>
      <c r="H1406" s="41" t="s">
        <v>4411</v>
      </c>
      <c r="I1406" s="43">
        <v>12</v>
      </c>
      <c r="J1406" s="44" t="str">
        <f>VLOOKUP(G1406,[1]硬件清单!$F:$F,1,0)</f>
        <v>J301DXT3</v>
      </c>
      <c r="K1406" s="44" t="s">
        <v>250</v>
      </c>
      <c r="L1406" s="44"/>
      <c r="M1406" s="45" t="s">
        <v>4412</v>
      </c>
    </row>
    <row r="1407" s="26" customFormat="1" ht="30" customHeight="1" spans="1:13">
      <c r="A1407" s="41">
        <f>IF(C1407="","",SUBTOTAL(103,$C$2:C1407))</f>
        <v>1398</v>
      </c>
      <c r="B1407" s="41">
        <v>12738</v>
      </c>
      <c r="C1407" s="41">
        <v>990</v>
      </c>
      <c r="D1407" s="41" t="s">
        <v>45</v>
      </c>
      <c r="E1407" s="41" t="s">
        <v>1298</v>
      </c>
      <c r="F1407" s="41" t="s">
        <v>2308</v>
      </c>
      <c r="G1407" s="41" t="s">
        <v>4413</v>
      </c>
      <c r="H1407" s="41" t="s">
        <v>4414</v>
      </c>
      <c r="I1407" s="43">
        <v>12</v>
      </c>
      <c r="J1407" s="44" t="str">
        <f>VLOOKUP(G1407,[1]硬件清单!$F:$F,1,0)</f>
        <v>J301DXRY</v>
      </c>
      <c r="K1407" s="44" t="s">
        <v>250</v>
      </c>
      <c r="L1407" s="44"/>
      <c r="M1407" s="45" t="s">
        <v>4415</v>
      </c>
    </row>
    <row r="1408" s="26" customFormat="1" ht="30" customHeight="1" spans="1:13">
      <c r="A1408" s="41">
        <f>IF(C1408="","",SUBTOTAL(103,$C$2:C1408))</f>
        <v>1399</v>
      </c>
      <c r="B1408" s="41">
        <v>12739</v>
      </c>
      <c r="C1408" s="41">
        <v>991</v>
      </c>
      <c r="D1408" s="41" t="s">
        <v>45</v>
      </c>
      <c r="E1408" s="41" t="s">
        <v>1298</v>
      </c>
      <c r="F1408" s="41" t="s">
        <v>2308</v>
      </c>
      <c r="G1408" s="41" t="s">
        <v>4416</v>
      </c>
      <c r="H1408" s="41" t="s">
        <v>4417</v>
      </c>
      <c r="I1408" s="43">
        <v>12</v>
      </c>
      <c r="J1408" s="44" t="str">
        <f>VLOOKUP(G1408,[1]硬件清单!$F:$F,1,0)</f>
        <v>J301DXT9</v>
      </c>
      <c r="K1408" s="44" t="s">
        <v>250</v>
      </c>
      <c r="L1408" s="44"/>
      <c r="M1408" s="45" t="s">
        <v>4418</v>
      </c>
    </row>
    <row r="1409" s="26" customFormat="1" ht="30" customHeight="1" spans="1:13">
      <c r="A1409" s="41">
        <f>IF(C1409="","",SUBTOTAL(103,$C$2:C1409))</f>
        <v>1400</v>
      </c>
      <c r="B1409" s="41">
        <v>12740</v>
      </c>
      <c r="C1409" s="41">
        <v>992</v>
      </c>
      <c r="D1409" s="41" t="s">
        <v>45</v>
      </c>
      <c r="E1409" s="41" t="s">
        <v>1298</v>
      </c>
      <c r="F1409" s="41" t="s">
        <v>2308</v>
      </c>
      <c r="G1409" s="41" t="s">
        <v>4419</v>
      </c>
      <c r="H1409" s="41" t="s">
        <v>4420</v>
      </c>
      <c r="I1409" s="43">
        <v>12</v>
      </c>
      <c r="J1409" s="44" t="str">
        <f>VLOOKUP(G1409,[1]硬件清单!$F:$F,1,0)</f>
        <v>J301DXT1</v>
      </c>
      <c r="K1409" s="44" t="s">
        <v>250</v>
      </c>
      <c r="L1409" s="44"/>
      <c r="M1409" s="45" t="s">
        <v>4421</v>
      </c>
    </row>
    <row r="1410" s="26" customFormat="1" ht="30" customHeight="1" spans="1:13">
      <c r="A1410" s="41">
        <f>IF(C1410="","",SUBTOTAL(103,$C$2:C1410))</f>
        <v>1401</v>
      </c>
      <c r="B1410" s="41">
        <v>12741</v>
      </c>
      <c r="C1410" s="41">
        <v>993</v>
      </c>
      <c r="D1410" s="41" t="s">
        <v>45</v>
      </c>
      <c r="E1410" s="41" t="s">
        <v>1298</v>
      </c>
      <c r="F1410" s="41" t="s">
        <v>2308</v>
      </c>
      <c r="G1410" s="41" t="s">
        <v>4422</v>
      </c>
      <c r="H1410" s="41" t="s">
        <v>4423</v>
      </c>
      <c r="I1410" s="43">
        <v>12</v>
      </c>
      <c r="J1410" s="44" t="str">
        <f>VLOOKUP(G1410,[1]硬件清单!$F:$F,1,0)</f>
        <v>J301DXT0</v>
      </c>
      <c r="K1410" s="44" t="s">
        <v>250</v>
      </c>
      <c r="L1410" s="44"/>
      <c r="M1410" s="45" t="s">
        <v>4424</v>
      </c>
    </row>
    <row r="1411" s="26" customFormat="1" ht="30" customHeight="1" spans="1:13">
      <c r="A1411" s="41">
        <f>IF(C1411="","",SUBTOTAL(103,$C$2:C1411))</f>
        <v>1402</v>
      </c>
      <c r="B1411" s="41">
        <v>12742</v>
      </c>
      <c r="C1411" s="41">
        <v>994</v>
      </c>
      <c r="D1411" s="41" t="s">
        <v>45</v>
      </c>
      <c r="E1411" s="41" t="s">
        <v>1298</v>
      </c>
      <c r="F1411" s="41" t="s">
        <v>2308</v>
      </c>
      <c r="G1411" s="41" t="s">
        <v>4425</v>
      </c>
      <c r="H1411" s="41" t="s">
        <v>4426</v>
      </c>
      <c r="I1411" s="43">
        <v>12</v>
      </c>
      <c r="J1411" s="44" t="str">
        <f>VLOOKUP(G1411,[1]硬件清单!$F:$F,1,0)</f>
        <v>J301DXTD</v>
      </c>
      <c r="K1411" s="44" t="s">
        <v>250</v>
      </c>
      <c r="L1411" s="44"/>
      <c r="M1411" s="45" t="s">
        <v>4427</v>
      </c>
    </row>
    <row r="1412" s="26" customFormat="1" ht="30" customHeight="1" spans="1:13">
      <c r="A1412" s="41">
        <f>IF(C1412="","",SUBTOTAL(103,$C$2:C1412))</f>
        <v>1403</v>
      </c>
      <c r="B1412" s="41">
        <v>12743</v>
      </c>
      <c r="C1412" s="41">
        <v>995</v>
      </c>
      <c r="D1412" s="41" t="s">
        <v>45</v>
      </c>
      <c r="E1412" s="41" t="s">
        <v>1298</v>
      </c>
      <c r="F1412" s="41" t="s">
        <v>2308</v>
      </c>
      <c r="G1412" s="41" t="s">
        <v>4428</v>
      </c>
      <c r="H1412" s="41" t="s">
        <v>4429</v>
      </c>
      <c r="I1412" s="43">
        <v>12</v>
      </c>
      <c r="J1412" s="44" t="str">
        <f>VLOOKUP(G1412,[1]硬件清单!$F:$F,1,0)</f>
        <v>J301DXTE</v>
      </c>
      <c r="K1412" s="44" t="s">
        <v>250</v>
      </c>
      <c r="L1412" s="44"/>
      <c r="M1412" s="45" t="s">
        <v>4430</v>
      </c>
    </row>
    <row r="1413" s="26" customFormat="1" ht="30" customHeight="1" spans="1:13">
      <c r="A1413" s="41">
        <f>IF(C1413="","",SUBTOTAL(103,$C$2:C1413))</f>
        <v>1404</v>
      </c>
      <c r="B1413" s="41">
        <v>12744</v>
      </c>
      <c r="C1413" s="41">
        <v>996</v>
      </c>
      <c r="D1413" s="41" t="s">
        <v>45</v>
      </c>
      <c r="E1413" s="41" t="s">
        <v>1298</v>
      </c>
      <c r="F1413" s="41" t="s">
        <v>2308</v>
      </c>
      <c r="G1413" s="41" t="s">
        <v>4431</v>
      </c>
      <c r="H1413" s="41" t="s">
        <v>4432</v>
      </c>
      <c r="I1413" s="43">
        <v>12</v>
      </c>
      <c r="J1413" s="44" t="str">
        <f>VLOOKUP(G1413,[1]硬件清单!$F:$F,1,0)</f>
        <v>J301DXTB</v>
      </c>
      <c r="K1413" s="44" t="s">
        <v>250</v>
      </c>
      <c r="L1413" s="44"/>
      <c r="M1413" s="45" t="s">
        <v>4433</v>
      </c>
    </row>
    <row r="1414" s="26" customFormat="1" ht="30" customHeight="1" spans="1:13">
      <c r="A1414" s="41">
        <f>IF(C1414="","",SUBTOTAL(103,$C$2:C1414))</f>
        <v>1405</v>
      </c>
      <c r="B1414" s="41">
        <v>12745</v>
      </c>
      <c r="C1414" s="41">
        <v>997</v>
      </c>
      <c r="D1414" s="41" t="s">
        <v>45</v>
      </c>
      <c r="E1414" s="41" t="s">
        <v>1298</v>
      </c>
      <c r="F1414" s="41" t="s">
        <v>2308</v>
      </c>
      <c r="G1414" s="41" t="s">
        <v>4434</v>
      </c>
      <c r="H1414" s="41" t="s">
        <v>4435</v>
      </c>
      <c r="I1414" s="43">
        <v>12</v>
      </c>
      <c r="J1414" s="44" t="str">
        <f>VLOOKUP(G1414,[1]硬件清单!$F:$F,1,0)</f>
        <v>J301DXTC</v>
      </c>
      <c r="K1414" s="44" t="s">
        <v>250</v>
      </c>
      <c r="L1414" s="44"/>
      <c r="M1414" s="45" t="s">
        <v>4436</v>
      </c>
    </row>
    <row r="1415" s="26" customFormat="1" ht="30" customHeight="1" spans="1:13">
      <c r="A1415" s="41">
        <f>IF(C1415="","",SUBTOTAL(103,$C$2:C1415))</f>
        <v>1406</v>
      </c>
      <c r="B1415" s="41">
        <v>12746</v>
      </c>
      <c r="C1415" s="41">
        <v>998</v>
      </c>
      <c r="D1415" s="41" t="s">
        <v>45</v>
      </c>
      <c r="E1415" s="41" t="s">
        <v>1298</v>
      </c>
      <c r="F1415" s="41" t="s">
        <v>2308</v>
      </c>
      <c r="G1415" s="41" t="s">
        <v>4437</v>
      </c>
      <c r="H1415" s="41" t="s">
        <v>4438</v>
      </c>
      <c r="I1415" s="43">
        <v>12</v>
      </c>
      <c r="J1415" s="44" t="str">
        <f>VLOOKUP(G1415,[1]硬件清单!$F:$F,1,0)</f>
        <v>J301DXT2</v>
      </c>
      <c r="K1415" s="44" t="s">
        <v>250</v>
      </c>
      <c r="L1415" s="44"/>
      <c r="M1415" s="45" t="s">
        <v>4439</v>
      </c>
    </row>
    <row r="1416" s="26" customFormat="1" ht="30" customHeight="1" spans="1:13">
      <c r="A1416" s="41">
        <f>IF(C1416="","",SUBTOTAL(103,$C$2:C1416))</f>
        <v>1407</v>
      </c>
      <c r="B1416" s="41">
        <v>12747</v>
      </c>
      <c r="C1416" s="41">
        <v>999</v>
      </c>
      <c r="D1416" s="41" t="s">
        <v>45</v>
      </c>
      <c r="E1416" s="41" t="s">
        <v>1298</v>
      </c>
      <c r="F1416" s="41" t="s">
        <v>2308</v>
      </c>
      <c r="G1416" s="41" t="s">
        <v>4440</v>
      </c>
      <c r="H1416" s="41" t="s">
        <v>4441</v>
      </c>
      <c r="I1416" s="43">
        <v>12</v>
      </c>
      <c r="J1416" s="44" t="str">
        <f>VLOOKUP(G1416,[1]硬件清单!$F:$F,1,0)</f>
        <v>J301D84M</v>
      </c>
      <c r="K1416" s="44" t="s">
        <v>250</v>
      </c>
      <c r="L1416" s="44"/>
      <c r="M1416" s="45" t="s">
        <v>4442</v>
      </c>
    </row>
    <row r="1417" s="26" customFormat="1" ht="30" customHeight="1" spans="1:13">
      <c r="A1417" s="41">
        <f>IF(C1417="","",SUBTOTAL(103,$C$2:C1417))</f>
        <v>1408</v>
      </c>
      <c r="B1417" s="41">
        <v>12748</v>
      </c>
      <c r="C1417" s="41">
        <v>1000</v>
      </c>
      <c r="D1417" s="41" t="s">
        <v>45</v>
      </c>
      <c r="E1417" s="41" t="s">
        <v>1298</v>
      </c>
      <c r="F1417" s="41" t="s">
        <v>2308</v>
      </c>
      <c r="G1417" s="41" t="s">
        <v>4443</v>
      </c>
      <c r="H1417" s="41" t="s">
        <v>4444</v>
      </c>
      <c r="I1417" s="43">
        <v>12</v>
      </c>
      <c r="J1417" s="44" t="str">
        <f>VLOOKUP(G1417,[1]硬件清单!$F:$F,1,0)</f>
        <v>J301D844</v>
      </c>
      <c r="K1417" s="44" t="s">
        <v>250</v>
      </c>
      <c r="L1417" s="44"/>
      <c r="M1417" s="45" t="s">
        <v>4445</v>
      </c>
    </row>
    <row r="1418" s="26" customFormat="1" ht="30" customHeight="1" spans="1:13">
      <c r="A1418" s="41">
        <f>IF(C1418="","",SUBTOTAL(103,$C$2:C1418))</f>
        <v>1409</v>
      </c>
      <c r="B1418" s="41">
        <v>12749</v>
      </c>
      <c r="C1418" s="41">
        <v>1001</v>
      </c>
      <c r="D1418" s="41" t="s">
        <v>45</v>
      </c>
      <c r="E1418" s="41" t="s">
        <v>1298</v>
      </c>
      <c r="F1418" s="41" t="s">
        <v>2308</v>
      </c>
      <c r="G1418" s="41" t="s">
        <v>4446</v>
      </c>
      <c r="H1418" s="41" t="s">
        <v>4447</v>
      </c>
      <c r="I1418" s="43">
        <v>12</v>
      </c>
      <c r="J1418" s="44" t="str">
        <f>VLOOKUP(G1418,[1]硬件清单!$F:$F,1,0)</f>
        <v>J301D849</v>
      </c>
      <c r="K1418" s="44" t="s">
        <v>250</v>
      </c>
      <c r="L1418" s="44"/>
      <c r="M1418" s="45" t="s">
        <v>4448</v>
      </c>
    </row>
    <row r="1419" s="26" customFormat="1" ht="30" customHeight="1" spans="1:13">
      <c r="A1419" s="41">
        <f>IF(C1419="","",SUBTOTAL(103,$C$2:C1419))</f>
        <v>1410</v>
      </c>
      <c r="B1419" s="41">
        <v>12750</v>
      </c>
      <c r="C1419" s="41">
        <v>1002</v>
      </c>
      <c r="D1419" s="41" t="s">
        <v>45</v>
      </c>
      <c r="E1419" s="41" t="s">
        <v>1298</v>
      </c>
      <c r="F1419" s="41" t="s">
        <v>2308</v>
      </c>
      <c r="G1419" s="41" t="s">
        <v>4449</v>
      </c>
      <c r="H1419" s="41" t="s">
        <v>4450</v>
      </c>
      <c r="I1419" s="43">
        <v>12</v>
      </c>
      <c r="J1419" s="44" t="str">
        <f>VLOOKUP(G1419,[1]硬件清单!$F:$F,1,0)</f>
        <v>J301D84K</v>
      </c>
      <c r="K1419" s="44" t="s">
        <v>250</v>
      </c>
      <c r="L1419" s="44"/>
      <c r="M1419" s="45" t="s">
        <v>4451</v>
      </c>
    </row>
    <row r="1420" s="26" customFormat="1" ht="30" customHeight="1" spans="1:13">
      <c r="A1420" s="41">
        <f>IF(C1420="","",SUBTOTAL(103,$C$2:C1420))</f>
        <v>1411</v>
      </c>
      <c r="B1420" s="41">
        <v>12751</v>
      </c>
      <c r="C1420" s="41">
        <v>1003</v>
      </c>
      <c r="D1420" s="41" t="s">
        <v>3602</v>
      </c>
      <c r="E1420" s="41" t="s">
        <v>3603</v>
      </c>
      <c r="F1420" s="41" t="s">
        <v>3604</v>
      </c>
      <c r="G1420" s="41" t="s">
        <v>4452</v>
      </c>
      <c r="H1420" s="41" t="s">
        <v>4453</v>
      </c>
      <c r="I1420" s="43">
        <v>12</v>
      </c>
      <c r="J1420" s="44" t="str">
        <f>VLOOKUP(G1420,[1]硬件清单!$F:$F,1,0)</f>
        <v>191103201750</v>
      </c>
      <c r="K1420" s="42"/>
      <c r="L1420" s="44"/>
      <c r="M1420" s="45" t="s">
        <v>4454</v>
      </c>
    </row>
    <row r="1421" s="26" customFormat="1" ht="30" customHeight="1" spans="1:13">
      <c r="A1421" s="41">
        <f>IF(C1421="","",SUBTOTAL(103,$C$2:C1421))</f>
        <v>1412</v>
      </c>
      <c r="B1421" s="41">
        <v>12752</v>
      </c>
      <c r="C1421" s="41">
        <v>1004</v>
      </c>
      <c r="D1421" s="41" t="s">
        <v>3602</v>
      </c>
      <c r="E1421" s="41" t="s">
        <v>3603</v>
      </c>
      <c r="F1421" s="41" t="s">
        <v>3604</v>
      </c>
      <c r="G1421" s="41" t="s">
        <v>4455</v>
      </c>
      <c r="H1421" s="41" t="s">
        <v>4456</v>
      </c>
      <c r="I1421" s="43">
        <v>12</v>
      </c>
      <c r="J1421" s="44" t="str">
        <f>VLOOKUP(G1421,[1]硬件清单!$F:$F,1,0)</f>
        <v>191103201712</v>
      </c>
      <c r="K1421" s="42"/>
      <c r="L1421" s="44"/>
      <c r="M1421" s="45" t="s">
        <v>4457</v>
      </c>
    </row>
    <row r="1422" s="26" customFormat="1" ht="30" customHeight="1" spans="1:13">
      <c r="A1422" s="41">
        <f>IF(C1422="","",SUBTOTAL(103,$C$2:C1422))</f>
        <v>1413</v>
      </c>
      <c r="B1422" s="41">
        <v>12753</v>
      </c>
      <c r="C1422" s="41">
        <v>1005</v>
      </c>
      <c r="D1422" s="41" t="s">
        <v>3602</v>
      </c>
      <c r="E1422" s="41" t="s">
        <v>3603</v>
      </c>
      <c r="F1422" s="41" t="s">
        <v>3604</v>
      </c>
      <c r="G1422" s="41" t="s">
        <v>4458</v>
      </c>
      <c r="H1422" s="41" t="s">
        <v>4459</v>
      </c>
      <c r="I1422" s="43">
        <v>12</v>
      </c>
      <c r="J1422" s="44" t="str">
        <f>VLOOKUP(G1422,[1]硬件清单!$F:$F,1,0)</f>
        <v>191103201781</v>
      </c>
      <c r="K1422" s="42"/>
      <c r="L1422" s="44"/>
      <c r="M1422" s="45" t="s">
        <v>4460</v>
      </c>
    </row>
    <row r="1423" s="26" customFormat="1" ht="30" customHeight="1" spans="1:13">
      <c r="A1423" s="41">
        <f>IF(C1423="","",SUBTOTAL(103,$C$2:C1423))</f>
        <v>1414</v>
      </c>
      <c r="B1423" s="41">
        <v>12754</v>
      </c>
      <c r="C1423" s="41">
        <v>1006</v>
      </c>
      <c r="D1423" s="41" t="s">
        <v>19</v>
      </c>
      <c r="E1423" s="41" t="s">
        <v>20</v>
      </c>
      <c r="F1423" s="41" t="s">
        <v>4461</v>
      </c>
      <c r="G1423" s="41" t="s">
        <v>4462</v>
      </c>
      <c r="H1423" s="41" t="s">
        <v>4463</v>
      </c>
      <c r="I1423" s="43">
        <v>12</v>
      </c>
      <c r="J1423" s="44" t="str">
        <f>VLOOKUP(G1423,[1]硬件清单!$F:$F,1,0)</f>
        <v>1019B0052331</v>
      </c>
      <c r="K1423" s="42"/>
      <c r="L1423" s="44"/>
      <c r="M1423" s="45" t="s">
        <v>4464</v>
      </c>
    </row>
    <row r="1424" s="26" customFormat="1" ht="30" customHeight="1" spans="1:13">
      <c r="A1424" s="41">
        <f>IF(C1424="","",SUBTOTAL(103,$C$2:C1424))</f>
        <v>1415</v>
      </c>
      <c r="B1424" s="41">
        <v>12755</v>
      </c>
      <c r="C1424" s="41">
        <v>1007</v>
      </c>
      <c r="D1424" s="41" t="s">
        <v>19</v>
      </c>
      <c r="E1424" s="41" t="s">
        <v>20</v>
      </c>
      <c r="F1424" s="41" t="s">
        <v>4461</v>
      </c>
      <c r="G1424" s="41" t="s">
        <v>4465</v>
      </c>
      <c r="H1424" s="41" t="s">
        <v>4466</v>
      </c>
      <c r="I1424" s="43">
        <v>12</v>
      </c>
      <c r="J1424" s="44" t="str">
        <f>VLOOKUP(G1424,[1]硬件清单!$F:$F,1,0)</f>
        <v>1019B0052328</v>
      </c>
      <c r="K1424" s="42"/>
      <c r="L1424" s="44"/>
      <c r="M1424" s="45" t="s">
        <v>4467</v>
      </c>
    </row>
    <row r="1425" s="26" customFormat="1" ht="30" customHeight="1" spans="1:13">
      <c r="A1425" s="41">
        <f>IF(C1425="","",SUBTOTAL(103,$C$2:C1425))</f>
        <v>1416</v>
      </c>
      <c r="B1425" s="41">
        <v>12756</v>
      </c>
      <c r="C1425" s="41">
        <v>1008</v>
      </c>
      <c r="D1425" s="41" t="s">
        <v>19</v>
      </c>
      <c r="E1425" s="41" t="s">
        <v>20</v>
      </c>
      <c r="F1425" s="41" t="s">
        <v>4468</v>
      </c>
      <c r="G1425" s="41" t="s">
        <v>4469</v>
      </c>
      <c r="H1425" s="41" t="s">
        <v>4470</v>
      </c>
      <c r="I1425" s="43">
        <v>12</v>
      </c>
      <c r="J1425" s="44" t="str">
        <f>VLOOKUP(G1425,[1]硬件清单!$F:$F,1,0)</f>
        <v>2102350DLVDMK9000110</v>
      </c>
      <c r="K1425" s="42"/>
      <c r="L1425" s="44"/>
      <c r="M1425" s="45" t="s">
        <v>4471</v>
      </c>
    </row>
    <row r="1426" s="26" customFormat="1" ht="30" customHeight="1" spans="1:13">
      <c r="A1426" s="41">
        <f>IF(C1426="","",SUBTOTAL(103,$C$2:C1426))</f>
        <v>1417</v>
      </c>
      <c r="B1426" s="41">
        <v>12757</v>
      </c>
      <c r="C1426" s="41">
        <v>1009</v>
      </c>
      <c r="D1426" s="41" t="s">
        <v>19</v>
      </c>
      <c r="E1426" s="41" t="s">
        <v>20</v>
      </c>
      <c r="F1426" s="41" t="s">
        <v>4468</v>
      </c>
      <c r="G1426" s="41" t="s">
        <v>4472</v>
      </c>
      <c r="H1426" s="41" t="s">
        <v>4473</v>
      </c>
      <c r="I1426" s="43">
        <v>12</v>
      </c>
      <c r="J1426" s="44" t="str">
        <f>VLOOKUP(G1426,[1]硬件清单!$F:$F,1,0)</f>
        <v>2102350DLVDMK9000070</v>
      </c>
      <c r="K1426" s="42"/>
      <c r="L1426" s="44"/>
      <c r="M1426" s="45" t="s">
        <v>4474</v>
      </c>
    </row>
    <row r="1427" s="26" customFormat="1" ht="30" customHeight="1" spans="1:13">
      <c r="A1427" s="41">
        <f>IF(C1427="","",SUBTOTAL(103,$C$2:C1427))</f>
        <v>1418</v>
      </c>
      <c r="B1427" s="41">
        <v>6725</v>
      </c>
      <c r="C1427" s="41">
        <v>6985</v>
      </c>
      <c r="D1427" s="41" t="s">
        <v>45</v>
      </c>
      <c r="E1427" s="41" t="s">
        <v>1298</v>
      </c>
      <c r="F1427" s="41" t="s">
        <v>4214</v>
      </c>
      <c r="G1427" s="41" t="s">
        <v>4475</v>
      </c>
      <c r="H1427" s="41" t="s">
        <v>4476</v>
      </c>
      <c r="I1427" s="43">
        <v>12</v>
      </c>
      <c r="J1427" s="44" t="str">
        <f>VLOOKUP(G1427,[1]硬件清单!$F:$F,1,0)</f>
        <v>1442NMY01L</v>
      </c>
      <c r="K1427" s="43"/>
      <c r="L1427" s="44"/>
      <c r="M1427" s="45" t="s">
        <v>4477</v>
      </c>
    </row>
    <row r="1428" s="26" customFormat="1" ht="30" customHeight="1" spans="1:13">
      <c r="A1428" s="41">
        <f>IF(C1428="","",SUBTOTAL(103,$C$2:C1428))</f>
        <v>1419</v>
      </c>
      <c r="B1428" s="41">
        <v>6744</v>
      </c>
      <c r="C1428" s="41">
        <v>5977</v>
      </c>
      <c r="D1428" s="41" t="s">
        <v>45</v>
      </c>
      <c r="E1428" s="41" t="s">
        <v>246</v>
      </c>
      <c r="F1428" s="41" t="s">
        <v>4478</v>
      </c>
      <c r="G1428" s="41" t="s">
        <v>4479</v>
      </c>
      <c r="H1428" s="41" t="s">
        <v>4480</v>
      </c>
      <c r="I1428" s="43">
        <v>12</v>
      </c>
      <c r="J1428" s="44" t="str">
        <f>VLOOKUP(G1428,[1]硬件清单!$F:$F,1,0)</f>
        <v>84829BV</v>
      </c>
      <c r="K1428" s="43"/>
      <c r="L1428" s="44"/>
      <c r="M1428" s="45" t="s">
        <v>4481</v>
      </c>
    </row>
    <row r="1429" s="26" customFormat="1" ht="30" customHeight="1" spans="1:13">
      <c r="A1429" s="41">
        <f>IF(C1429="","",SUBTOTAL(103,$C$2:C1429))</f>
        <v>1420</v>
      </c>
      <c r="B1429" s="41">
        <v>6745</v>
      </c>
      <c r="C1429" s="41">
        <v>5978</v>
      </c>
      <c r="D1429" s="41" t="s">
        <v>45</v>
      </c>
      <c r="E1429" s="41" t="s">
        <v>246</v>
      </c>
      <c r="F1429" s="41" t="s">
        <v>4478</v>
      </c>
      <c r="G1429" s="41" t="s">
        <v>4482</v>
      </c>
      <c r="H1429" s="41" t="s">
        <v>4483</v>
      </c>
      <c r="I1429" s="43">
        <v>12</v>
      </c>
      <c r="J1429" s="44" t="str">
        <f>VLOOKUP(G1429,[1]硬件清单!$F:$F,1,0)</f>
        <v>84829CV</v>
      </c>
      <c r="K1429" s="43"/>
      <c r="L1429" s="44"/>
      <c r="M1429" s="45" t="s">
        <v>4484</v>
      </c>
    </row>
    <row r="1430" s="26" customFormat="1" ht="30" customHeight="1" spans="1:13">
      <c r="A1430" s="41">
        <f>IF(C1430="","",SUBTOTAL(103,$C$2:C1430))</f>
        <v>1421</v>
      </c>
      <c r="B1430" s="41">
        <v>6746</v>
      </c>
      <c r="C1430" s="41">
        <v>4966</v>
      </c>
      <c r="D1430" s="41" t="s">
        <v>45</v>
      </c>
      <c r="E1430" s="41" t="s">
        <v>1298</v>
      </c>
      <c r="F1430" s="41" t="s">
        <v>4485</v>
      </c>
      <c r="G1430" s="41" t="s">
        <v>4486</v>
      </c>
      <c r="H1430" s="41" t="s">
        <v>4487</v>
      </c>
      <c r="I1430" s="43">
        <v>12</v>
      </c>
      <c r="J1430" s="44" t="str">
        <f>VLOOKUP(G1430,[1]硬件清单!$F:$F,1,0)</f>
        <v>FCH2120V263</v>
      </c>
      <c r="K1430" s="43"/>
      <c r="L1430" s="44"/>
      <c r="M1430" s="45" t="s">
        <v>4488</v>
      </c>
    </row>
    <row r="1431" s="26" customFormat="1" ht="30" customHeight="1" spans="1:13">
      <c r="A1431" s="41">
        <f>IF(C1431="","",SUBTOTAL(103,$C$2:C1431))</f>
        <v>1422</v>
      </c>
      <c r="B1431" s="41">
        <v>6747</v>
      </c>
      <c r="C1431" s="41">
        <v>4965</v>
      </c>
      <c r="D1431" s="41" t="s">
        <v>45</v>
      </c>
      <c r="E1431" s="41" t="s">
        <v>1298</v>
      </c>
      <c r="F1431" s="41" t="s">
        <v>4485</v>
      </c>
      <c r="G1431" s="41" t="s">
        <v>4489</v>
      </c>
      <c r="H1431" s="41" t="s">
        <v>4490</v>
      </c>
      <c r="I1431" s="43">
        <v>12</v>
      </c>
      <c r="J1431" s="44" t="str">
        <f>VLOOKUP(G1431,[1]硬件清单!$F:$F,1,0)</f>
        <v>FCH2125V1VM</v>
      </c>
      <c r="K1431" s="43"/>
      <c r="L1431" s="44"/>
      <c r="M1431" s="45" t="s">
        <v>4491</v>
      </c>
    </row>
    <row r="1432" s="26" customFormat="1" ht="30" customHeight="1" spans="1:13">
      <c r="A1432" s="41">
        <f>IF(C1432="","",SUBTOTAL(103,$C$2:C1432))</f>
        <v>1423</v>
      </c>
      <c r="B1432" s="41">
        <v>6748</v>
      </c>
      <c r="C1432" s="41">
        <v>4964</v>
      </c>
      <c r="D1432" s="41" t="s">
        <v>45</v>
      </c>
      <c r="E1432" s="41" t="s">
        <v>1298</v>
      </c>
      <c r="F1432" s="41" t="s">
        <v>4485</v>
      </c>
      <c r="G1432" s="41" t="s">
        <v>4492</v>
      </c>
      <c r="H1432" s="41" t="s">
        <v>4493</v>
      </c>
      <c r="I1432" s="43">
        <v>12</v>
      </c>
      <c r="J1432" s="44" t="str">
        <f>VLOOKUP(G1432,[1]硬件清单!$F:$F,1,0)</f>
        <v>FCH2138V0U6</v>
      </c>
      <c r="K1432" s="43"/>
      <c r="L1432" s="44"/>
      <c r="M1432" s="45" t="s">
        <v>4494</v>
      </c>
    </row>
    <row r="1433" s="26" customFormat="1" ht="30" customHeight="1" spans="1:13">
      <c r="A1433" s="41">
        <f>IF(C1433="","",SUBTOTAL(103,$C$2:C1433))</f>
        <v>1424</v>
      </c>
      <c r="B1433" s="41">
        <v>6749</v>
      </c>
      <c r="C1433" s="41">
        <v>4963</v>
      </c>
      <c r="D1433" s="41" t="s">
        <v>45</v>
      </c>
      <c r="E1433" s="41" t="s">
        <v>1298</v>
      </c>
      <c r="F1433" s="41" t="s">
        <v>4485</v>
      </c>
      <c r="G1433" s="41" t="s">
        <v>4495</v>
      </c>
      <c r="H1433" s="41" t="s">
        <v>4496</v>
      </c>
      <c r="I1433" s="43">
        <v>12</v>
      </c>
      <c r="J1433" s="44" t="str">
        <f>VLOOKUP(G1433,[1]硬件清单!$F:$F,1,0)</f>
        <v>FCH2126V17G</v>
      </c>
      <c r="K1433" s="43"/>
      <c r="L1433" s="44"/>
      <c r="M1433" s="45" t="s">
        <v>4497</v>
      </c>
    </row>
    <row r="1434" s="26" customFormat="1" ht="30" customHeight="1" spans="1:13">
      <c r="A1434" s="41">
        <f>IF(C1434="","",SUBTOTAL(103,$C$2:C1434))</f>
        <v>1425</v>
      </c>
      <c r="B1434" s="41">
        <v>6750</v>
      </c>
      <c r="C1434" s="41">
        <v>4962</v>
      </c>
      <c r="D1434" s="41" t="s">
        <v>45</v>
      </c>
      <c r="E1434" s="41" t="s">
        <v>1298</v>
      </c>
      <c r="F1434" s="41" t="s">
        <v>4485</v>
      </c>
      <c r="G1434" s="41" t="s">
        <v>4498</v>
      </c>
      <c r="H1434" s="41" t="s">
        <v>4499</v>
      </c>
      <c r="I1434" s="43">
        <v>12</v>
      </c>
      <c r="J1434" s="44" t="str">
        <f>VLOOKUP(G1434,[1]硬件清单!$F:$F,1,0)</f>
        <v>FCH2126V17E</v>
      </c>
      <c r="K1434" s="43"/>
      <c r="L1434" s="44"/>
      <c r="M1434" s="45" t="s">
        <v>4500</v>
      </c>
    </row>
    <row r="1435" s="26" customFormat="1" ht="30" customHeight="1" spans="1:13">
      <c r="A1435" s="41">
        <f>IF(C1435="","",SUBTOTAL(103,$C$2:C1435))</f>
        <v>1426</v>
      </c>
      <c r="B1435" s="41">
        <v>6751</v>
      </c>
      <c r="C1435" s="41">
        <v>4961</v>
      </c>
      <c r="D1435" s="41" t="s">
        <v>45</v>
      </c>
      <c r="E1435" s="41" t="s">
        <v>1298</v>
      </c>
      <c r="F1435" s="41" t="s">
        <v>4485</v>
      </c>
      <c r="G1435" s="41" t="s">
        <v>4501</v>
      </c>
      <c r="H1435" s="41" t="s">
        <v>4502</v>
      </c>
      <c r="I1435" s="43">
        <v>12</v>
      </c>
      <c r="J1435" s="44" t="str">
        <f>VLOOKUP(G1435,[1]硬件清单!$F:$F,1,0)</f>
        <v>FCH2120V264</v>
      </c>
      <c r="K1435" s="43"/>
      <c r="L1435" s="44"/>
      <c r="M1435" s="45" t="s">
        <v>4503</v>
      </c>
    </row>
    <row r="1436" s="26" customFormat="1" ht="30" customHeight="1" spans="1:13">
      <c r="A1436" s="41">
        <f>IF(C1436="","",SUBTOTAL(103,$C$2:C1436))</f>
        <v>1427</v>
      </c>
      <c r="B1436" s="41">
        <v>6752</v>
      </c>
      <c r="C1436" s="41">
        <v>4970</v>
      </c>
      <c r="D1436" s="41" t="s">
        <v>45</v>
      </c>
      <c r="E1436" s="41" t="s">
        <v>1298</v>
      </c>
      <c r="F1436" s="41" t="s">
        <v>4485</v>
      </c>
      <c r="G1436" s="41" t="s">
        <v>4504</v>
      </c>
      <c r="H1436" s="41" t="s">
        <v>4505</v>
      </c>
      <c r="I1436" s="43">
        <v>12</v>
      </c>
      <c r="J1436" s="44" t="str">
        <f>VLOOKUP(G1436,[1]硬件清单!$F:$F,1,0)</f>
        <v>FCH2138V0VD</v>
      </c>
      <c r="K1436" s="43"/>
      <c r="L1436" s="44"/>
      <c r="M1436" s="45" t="s">
        <v>4506</v>
      </c>
    </row>
    <row r="1437" s="26" customFormat="1" ht="30" customHeight="1" spans="1:13">
      <c r="A1437" s="41">
        <f>IF(C1437="","",SUBTOTAL(103,$C$2:C1437))</f>
        <v>1428</v>
      </c>
      <c r="B1437" s="41">
        <v>6753</v>
      </c>
      <c r="C1437" s="41">
        <v>4960</v>
      </c>
      <c r="D1437" s="41" t="s">
        <v>45</v>
      </c>
      <c r="E1437" s="41" t="s">
        <v>1298</v>
      </c>
      <c r="F1437" s="41" t="s">
        <v>4485</v>
      </c>
      <c r="G1437" s="41" t="s">
        <v>4507</v>
      </c>
      <c r="H1437" s="41" t="s">
        <v>4508</v>
      </c>
      <c r="I1437" s="43">
        <v>12</v>
      </c>
      <c r="J1437" s="44" t="str">
        <f>VLOOKUP(G1437,[1]硬件清单!$F:$F,1,0)</f>
        <v>FCH2120V25X</v>
      </c>
      <c r="K1437" s="43"/>
      <c r="L1437" s="44"/>
      <c r="M1437" s="45" t="s">
        <v>4509</v>
      </c>
    </row>
    <row r="1438" s="26" customFormat="1" ht="30" customHeight="1" spans="1:13">
      <c r="A1438" s="41">
        <f>IF(C1438="","",SUBTOTAL(103,$C$2:C1438))</f>
        <v>1429</v>
      </c>
      <c r="B1438" s="41">
        <v>6754</v>
      </c>
      <c r="C1438" s="41">
        <v>4959</v>
      </c>
      <c r="D1438" s="41" t="s">
        <v>45</v>
      </c>
      <c r="E1438" s="41" t="s">
        <v>1298</v>
      </c>
      <c r="F1438" s="41" t="s">
        <v>4485</v>
      </c>
      <c r="G1438" s="41" t="s">
        <v>4510</v>
      </c>
      <c r="H1438" s="41" t="s">
        <v>4511</v>
      </c>
      <c r="I1438" s="43">
        <v>12</v>
      </c>
      <c r="J1438" s="44" t="str">
        <f>VLOOKUP(G1438,[1]硬件清单!$F:$F,1,0)</f>
        <v>FCH2120V28M</v>
      </c>
      <c r="K1438" s="43"/>
      <c r="L1438" s="44"/>
      <c r="M1438" s="45" t="s">
        <v>4512</v>
      </c>
    </row>
    <row r="1439" s="26" customFormat="1" ht="30" customHeight="1" spans="1:13">
      <c r="A1439" s="41">
        <f>IF(C1439="","",SUBTOTAL(103,$C$2:C1439))</f>
        <v>1430</v>
      </c>
      <c r="B1439" s="41">
        <v>6755</v>
      </c>
      <c r="C1439" s="41">
        <v>4958</v>
      </c>
      <c r="D1439" s="41" t="s">
        <v>45</v>
      </c>
      <c r="E1439" s="41" t="s">
        <v>1298</v>
      </c>
      <c r="F1439" s="41" t="s">
        <v>4485</v>
      </c>
      <c r="G1439" s="41" t="s">
        <v>4513</v>
      </c>
      <c r="H1439" s="41" t="s">
        <v>4514</v>
      </c>
      <c r="I1439" s="43">
        <v>12</v>
      </c>
      <c r="J1439" s="44" t="str">
        <f>VLOOKUP(G1439,[1]硬件清单!$F:$F,1,0)</f>
        <v>FCH2120V286</v>
      </c>
      <c r="K1439" s="43"/>
      <c r="L1439" s="44"/>
      <c r="M1439" s="45" t="s">
        <v>4515</v>
      </c>
    </row>
    <row r="1440" s="26" customFormat="1" ht="30" customHeight="1" spans="1:13">
      <c r="A1440" s="41">
        <f>IF(C1440="","",SUBTOTAL(103,$C$2:C1440))</f>
        <v>1431</v>
      </c>
      <c r="B1440" s="41">
        <v>6756</v>
      </c>
      <c r="C1440" s="41">
        <v>4957</v>
      </c>
      <c r="D1440" s="41" t="s">
        <v>45</v>
      </c>
      <c r="E1440" s="41" t="s">
        <v>1298</v>
      </c>
      <c r="F1440" s="41" t="s">
        <v>4485</v>
      </c>
      <c r="G1440" s="41" t="s">
        <v>4516</v>
      </c>
      <c r="H1440" s="41" t="s">
        <v>4517</v>
      </c>
      <c r="I1440" s="43">
        <v>12</v>
      </c>
      <c r="J1440" s="44" t="str">
        <f>VLOOKUP(G1440,[1]硬件清单!$F:$F,1,0)</f>
        <v>FCH2120V26U</v>
      </c>
      <c r="K1440" s="43"/>
      <c r="L1440" s="44"/>
      <c r="M1440" s="45" t="s">
        <v>4518</v>
      </c>
    </row>
    <row r="1441" s="26" customFormat="1" ht="30" customHeight="1" spans="1:13">
      <c r="A1441" s="41">
        <f>IF(C1441="","",SUBTOTAL(103,$C$2:C1441))</f>
        <v>1432</v>
      </c>
      <c r="B1441" s="41">
        <v>6757</v>
      </c>
      <c r="C1441" s="41">
        <v>4969</v>
      </c>
      <c r="D1441" s="41" t="s">
        <v>45</v>
      </c>
      <c r="E1441" s="41" t="s">
        <v>1298</v>
      </c>
      <c r="F1441" s="41" t="s">
        <v>4485</v>
      </c>
      <c r="G1441" s="41" t="s">
        <v>4519</v>
      </c>
      <c r="H1441" s="41" t="s">
        <v>4520</v>
      </c>
      <c r="I1441" s="43">
        <v>12</v>
      </c>
      <c r="J1441" s="44" t="str">
        <f>VLOOKUP(G1441,[1]硬件清单!$F:$F,1,0)</f>
        <v>FCH2126V169</v>
      </c>
      <c r="K1441" s="43"/>
      <c r="L1441" s="44"/>
      <c r="M1441" s="45" t="s">
        <v>4521</v>
      </c>
    </row>
    <row r="1442" s="26" customFormat="1" ht="30" customHeight="1" spans="1:13">
      <c r="A1442" s="41">
        <f>IF(C1442="","",SUBTOTAL(103,$C$2:C1442))</f>
        <v>1433</v>
      </c>
      <c r="B1442" s="41">
        <v>6758</v>
      </c>
      <c r="C1442" s="41">
        <v>4968</v>
      </c>
      <c r="D1442" s="41" t="s">
        <v>45</v>
      </c>
      <c r="E1442" s="41" t="s">
        <v>1298</v>
      </c>
      <c r="F1442" s="41" t="s">
        <v>4485</v>
      </c>
      <c r="G1442" s="41" t="s">
        <v>4522</v>
      </c>
      <c r="H1442" s="41" t="s">
        <v>4523</v>
      </c>
      <c r="I1442" s="43">
        <v>12</v>
      </c>
      <c r="J1442" s="44" t="str">
        <f>VLOOKUP(G1442,[1]硬件清单!$F:$F,1,0)</f>
        <v>FCH2120V27T</v>
      </c>
      <c r="K1442" s="43"/>
      <c r="L1442" s="44"/>
      <c r="M1442" s="45" t="s">
        <v>4524</v>
      </c>
    </row>
    <row r="1443" s="26" customFormat="1" ht="30" customHeight="1" spans="1:13">
      <c r="A1443" s="41">
        <f>IF(C1443="","",SUBTOTAL(103,$C$2:C1443))</f>
        <v>1434</v>
      </c>
      <c r="B1443" s="41">
        <v>6759</v>
      </c>
      <c r="C1443" s="41">
        <v>4967</v>
      </c>
      <c r="D1443" s="41" t="s">
        <v>45</v>
      </c>
      <c r="E1443" s="41" t="s">
        <v>1298</v>
      </c>
      <c r="F1443" s="41" t="s">
        <v>4485</v>
      </c>
      <c r="G1443" s="41" t="s">
        <v>4525</v>
      </c>
      <c r="H1443" s="41" t="s">
        <v>4526</v>
      </c>
      <c r="I1443" s="43">
        <v>12</v>
      </c>
      <c r="J1443" s="44" t="str">
        <f>VLOOKUP(G1443,[1]硬件清单!$F:$F,1,0)</f>
        <v>FCH2138V0YX</v>
      </c>
      <c r="K1443" s="43"/>
      <c r="L1443" s="44"/>
      <c r="M1443" s="45" t="s">
        <v>4527</v>
      </c>
    </row>
    <row r="1444" s="26" customFormat="1" ht="30" customHeight="1" spans="1:13">
      <c r="A1444" s="41">
        <f>IF(C1444="","",SUBTOTAL(103,$C$2:C1444))</f>
        <v>1435</v>
      </c>
      <c r="B1444" s="41">
        <v>7641</v>
      </c>
      <c r="C1444" s="41">
        <v>14194</v>
      </c>
      <c r="D1444" s="41" t="s">
        <v>45</v>
      </c>
      <c r="E1444" s="41" t="s">
        <v>1298</v>
      </c>
      <c r="F1444" s="41" t="s">
        <v>4528</v>
      </c>
      <c r="G1444" s="41" t="s">
        <v>4529</v>
      </c>
      <c r="H1444" s="41" t="s">
        <v>4530</v>
      </c>
      <c r="I1444" s="43">
        <v>12</v>
      </c>
      <c r="J1444" s="44" t="str">
        <f>VLOOKUP(G1444,[1]硬件清单!$F:$F,1,0)</f>
        <v>J320C2H</v>
      </c>
      <c r="K1444" s="43"/>
      <c r="L1444" s="44"/>
      <c r="M1444" s="45" t="s">
        <v>4531</v>
      </c>
    </row>
    <row r="1445" s="26" customFormat="1" ht="30" customHeight="1" spans="1:13">
      <c r="A1445" s="41">
        <f>IF(C1445="","",SUBTOTAL(103,$C$2:C1445))</f>
        <v>1436</v>
      </c>
      <c r="B1445" s="41">
        <v>7954</v>
      </c>
      <c r="C1445" s="41">
        <v>14195</v>
      </c>
      <c r="D1445" s="41" t="s">
        <v>45</v>
      </c>
      <c r="E1445" s="41" t="s">
        <v>1298</v>
      </c>
      <c r="F1445" s="41" t="s">
        <v>4528</v>
      </c>
      <c r="G1445" s="41" t="s">
        <v>4532</v>
      </c>
      <c r="H1445" s="41" t="s">
        <v>4533</v>
      </c>
      <c r="I1445" s="43">
        <v>12</v>
      </c>
      <c r="J1445" s="44" t="str">
        <f>VLOOKUP(G1445,[1]硬件清单!$F:$F,1,0)</f>
        <v>J320C2L</v>
      </c>
      <c r="K1445" s="43"/>
      <c r="L1445" s="44"/>
      <c r="M1445" s="45" t="s">
        <v>4534</v>
      </c>
    </row>
    <row r="1446" s="26" customFormat="1" ht="30" customHeight="1" spans="1:13">
      <c r="A1446" s="41">
        <f>IF(C1446="","",SUBTOTAL(103,$C$2:C1446))</f>
        <v>1437</v>
      </c>
      <c r="B1446" s="41">
        <v>8029</v>
      </c>
      <c r="C1446" s="41">
        <v>5508</v>
      </c>
      <c r="D1446" s="41" t="s">
        <v>45</v>
      </c>
      <c r="E1446" s="41" t="s">
        <v>1298</v>
      </c>
      <c r="F1446" s="41" t="s">
        <v>4535</v>
      </c>
      <c r="G1446" s="41" t="s">
        <v>4536</v>
      </c>
      <c r="H1446" s="41" t="s">
        <v>4537</v>
      </c>
      <c r="I1446" s="43">
        <v>12</v>
      </c>
      <c r="J1446" s="44" t="str">
        <f>VLOOKUP(G1446,[1]硬件清单!$F:$F,1,0)</f>
        <v>J33GHLP</v>
      </c>
      <c r="K1446" s="43"/>
      <c r="L1446" s="44"/>
      <c r="M1446" s="45" t="s">
        <v>4538</v>
      </c>
    </row>
    <row r="1447" s="26" customFormat="1" ht="30" customHeight="1" spans="1:13">
      <c r="A1447" s="41">
        <f>IF(C1447="","",SUBTOTAL(103,$C$2:C1447))</f>
        <v>1438</v>
      </c>
      <c r="B1447" s="41">
        <v>8030</v>
      </c>
      <c r="C1447" s="41">
        <v>5507</v>
      </c>
      <c r="D1447" s="41" t="s">
        <v>45</v>
      </c>
      <c r="E1447" s="41" t="s">
        <v>1298</v>
      </c>
      <c r="F1447" s="41" t="s">
        <v>4535</v>
      </c>
      <c r="G1447" s="41" t="s">
        <v>4539</v>
      </c>
      <c r="H1447" s="41" t="s">
        <v>4540</v>
      </c>
      <c r="I1447" s="43">
        <v>12</v>
      </c>
      <c r="J1447" s="44" t="str">
        <f>VLOOKUP(G1447,[1]硬件清单!$F:$F,1,0)</f>
        <v>J33GHLV</v>
      </c>
      <c r="K1447" s="43"/>
      <c r="L1447" s="44"/>
      <c r="M1447" s="45" t="s">
        <v>4541</v>
      </c>
    </row>
    <row r="1448" s="26" customFormat="1" ht="30" customHeight="1" spans="1:13">
      <c r="A1448" s="41">
        <f>IF(C1448="","",SUBTOTAL(103,$C$2:C1448))</f>
        <v>1439</v>
      </c>
      <c r="B1448" s="41">
        <v>8031</v>
      </c>
      <c r="C1448" s="41">
        <v>5383</v>
      </c>
      <c r="D1448" s="41" t="s">
        <v>45</v>
      </c>
      <c r="E1448" s="41" t="s">
        <v>1298</v>
      </c>
      <c r="F1448" s="41" t="s">
        <v>4535</v>
      </c>
      <c r="G1448" s="41" t="s">
        <v>4542</v>
      </c>
      <c r="H1448" s="41" t="s">
        <v>4543</v>
      </c>
      <c r="I1448" s="43">
        <v>12</v>
      </c>
      <c r="J1448" s="44" t="str">
        <f>VLOOKUP(G1448,[1]硬件清单!$F:$F,1,0)</f>
        <v>J33GT03</v>
      </c>
      <c r="K1448" s="43"/>
      <c r="L1448" s="44"/>
      <c r="M1448" s="45" t="s">
        <v>4544</v>
      </c>
    </row>
    <row r="1449" s="26" customFormat="1" ht="30" customHeight="1" spans="1:13">
      <c r="A1449" s="41">
        <f>IF(C1449="","",SUBTOTAL(103,$C$2:C1449))</f>
        <v>1440</v>
      </c>
      <c r="B1449" s="41">
        <v>8032</v>
      </c>
      <c r="C1449" s="41">
        <v>5501</v>
      </c>
      <c r="D1449" s="41" t="s">
        <v>45</v>
      </c>
      <c r="E1449" s="41" t="s">
        <v>1298</v>
      </c>
      <c r="F1449" s="41" t="s">
        <v>4535</v>
      </c>
      <c r="G1449" s="41" t="s">
        <v>4545</v>
      </c>
      <c r="H1449" s="41" t="s">
        <v>4546</v>
      </c>
      <c r="I1449" s="43">
        <v>12</v>
      </c>
      <c r="J1449" s="44" t="str">
        <f>VLOOKUP(G1449,[1]硬件清单!$F:$F,1,0)</f>
        <v>J33GRZX</v>
      </c>
      <c r="K1449" s="43"/>
      <c r="L1449" s="44"/>
      <c r="M1449" s="45" t="s">
        <v>4547</v>
      </c>
    </row>
    <row r="1450" s="26" customFormat="1" ht="30" customHeight="1" spans="1:13">
      <c r="A1450" s="41">
        <f>IF(C1450="","",SUBTOTAL(103,$C$2:C1450))</f>
        <v>1441</v>
      </c>
      <c r="B1450" s="41">
        <v>8033</v>
      </c>
      <c r="C1450" s="41">
        <v>5395</v>
      </c>
      <c r="D1450" s="41" t="s">
        <v>45</v>
      </c>
      <c r="E1450" s="41" t="s">
        <v>1298</v>
      </c>
      <c r="F1450" s="41" t="s">
        <v>4535</v>
      </c>
      <c r="G1450" s="41" t="s">
        <v>4548</v>
      </c>
      <c r="H1450" s="41" t="s">
        <v>4549</v>
      </c>
      <c r="I1450" s="43">
        <v>12</v>
      </c>
      <c r="J1450" s="44" t="str">
        <f>VLOOKUP(G1450,[1]硬件清单!$F:$F,1,0)</f>
        <v>J33GHMF</v>
      </c>
      <c r="K1450" s="43"/>
      <c r="L1450" s="44"/>
      <c r="M1450" s="45" t="s">
        <v>4550</v>
      </c>
    </row>
    <row r="1451" s="26" customFormat="1" ht="30" customHeight="1" spans="1:13">
      <c r="A1451" s="41">
        <f>IF(C1451="","",SUBTOTAL(103,$C$2:C1451))</f>
        <v>1442</v>
      </c>
      <c r="B1451" s="41">
        <v>8034</v>
      </c>
      <c r="C1451" s="41">
        <v>5561</v>
      </c>
      <c r="D1451" s="41" t="s">
        <v>45</v>
      </c>
      <c r="E1451" s="41" t="s">
        <v>1298</v>
      </c>
      <c r="F1451" s="41" t="s">
        <v>4535</v>
      </c>
      <c r="G1451" s="41" t="s">
        <v>4551</v>
      </c>
      <c r="H1451" s="41" t="s">
        <v>4552</v>
      </c>
      <c r="I1451" s="43">
        <v>12</v>
      </c>
      <c r="J1451" s="44" t="str">
        <f>VLOOKUP(G1451,[1]硬件清单!$F:$F,1,0)</f>
        <v>J33GHM4</v>
      </c>
      <c r="K1451" s="43"/>
      <c r="L1451" s="44"/>
      <c r="M1451" s="45" t="s">
        <v>4553</v>
      </c>
    </row>
    <row r="1452" s="26" customFormat="1" ht="30" customHeight="1" spans="1:13">
      <c r="A1452" s="41">
        <f>IF(C1452="","",SUBTOTAL(103,$C$2:C1452))</f>
        <v>1443</v>
      </c>
      <c r="B1452" s="41">
        <v>8035</v>
      </c>
      <c r="C1452" s="41">
        <v>5605</v>
      </c>
      <c r="D1452" s="41" t="s">
        <v>45</v>
      </c>
      <c r="E1452" s="41" t="s">
        <v>1298</v>
      </c>
      <c r="F1452" s="41" t="s">
        <v>4535</v>
      </c>
      <c r="G1452" s="41" t="s">
        <v>4554</v>
      </c>
      <c r="H1452" s="41" t="s">
        <v>4555</v>
      </c>
      <c r="I1452" s="43">
        <v>12</v>
      </c>
      <c r="J1452" s="44" t="str">
        <f>VLOOKUP(G1452,[1]硬件清单!$F:$F,1,0)</f>
        <v>J33GHLL</v>
      </c>
      <c r="K1452" s="43"/>
      <c r="L1452" s="44"/>
      <c r="M1452" s="45" t="s">
        <v>4556</v>
      </c>
    </row>
    <row r="1453" s="26" customFormat="1" ht="30" customHeight="1" spans="1:13">
      <c r="A1453" s="41">
        <f>IF(C1453="","",SUBTOTAL(103,$C$2:C1453))</f>
        <v>1444</v>
      </c>
      <c r="B1453" s="41">
        <v>8036</v>
      </c>
      <c r="C1453" s="41">
        <v>5604</v>
      </c>
      <c r="D1453" s="41" t="s">
        <v>45</v>
      </c>
      <c r="E1453" s="41" t="s">
        <v>1298</v>
      </c>
      <c r="F1453" s="41" t="s">
        <v>4535</v>
      </c>
      <c r="G1453" s="41" t="s">
        <v>4557</v>
      </c>
      <c r="H1453" s="41" t="s">
        <v>4558</v>
      </c>
      <c r="I1453" s="43">
        <v>12</v>
      </c>
      <c r="J1453" s="44" t="str">
        <f>VLOOKUP(G1453,[1]硬件清单!$F:$F,1,0)</f>
        <v>J33GHLN</v>
      </c>
      <c r="K1453" s="43"/>
      <c r="L1453" s="44"/>
      <c r="M1453" s="45" t="s">
        <v>4559</v>
      </c>
    </row>
    <row r="1454" s="26" customFormat="1" ht="30" customHeight="1" spans="1:13">
      <c r="A1454" s="41">
        <f>IF(C1454="","",SUBTOTAL(103,$C$2:C1454))</f>
        <v>1445</v>
      </c>
      <c r="B1454" s="41">
        <v>8037</v>
      </c>
      <c r="C1454" s="41">
        <v>5613</v>
      </c>
      <c r="D1454" s="41" t="s">
        <v>45</v>
      </c>
      <c r="E1454" s="41" t="s">
        <v>1298</v>
      </c>
      <c r="F1454" s="41" t="s">
        <v>4535</v>
      </c>
      <c r="G1454" s="41" t="s">
        <v>4560</v>
      </c>
      <c r="H1454" s="41" t="s">
        <v>4561</v>
      </c>
      <c r="I1454" s="43">
        <v>12</v>
      </c>
      <c r="J1454" s="44" t="str">
        <f>VLOOKUP(G1454,[1]硬件清单!$F:$F,1,0)</f>
        <v>J33GHLM</v>
      </c>
      <c r="K1454" s="43"/>
      <c r="L1454" s="44"/>
      <c r="M1454" s="45" t="s">
        <v>4562</v>
      </c>
    </row>
    <row r="1455" s="26" customFormat="1" ht="30" customHeight="1" spans="1:13">
      <c r="A1455" s="41">
        <f>IF(C1455="","",SUBTOTAL(103,$C$2:C1455))</f>
        <v>1446</v>
      </c>
      <c r="B1455" s="41">
        <v>8038</v>
      </c>
      <c r="C1455" s="41">
        <v>5612</v>
      </c>
      <c r="D1455" s="41" t="s">
        <v>45</v>
      </c>
      <c r="E1455" s="41" t="s">
        <v>1298</v>
      </c>
      <c r="F1455" s="41" t="s">
        <v>4535</v>
      </c>
      <c r="G1455" s="41" t="s">
        <v>4563</v>
      </c>
      <c r="H1455" s="41" t="s">
        <v>4564</v>
      </c>
      <c r="I1455" s="43">
        <v>12</v>
      </c>
      <c r="J1455" s="44" t="str">
        <f>VLOOKUP(G1455,[1]硬件清单!$F:$F,1,0)</f>
        <v>J33GHMR</v>
      </c>
      <c r="K1455" s="43"/>
      <c r="L1455" s="44"/>
      <c r="M1455" s="45" t="s">
        <v>4565</v>
      </c>
    </row>
    <row r="1456" s="26" customFormat="1" ht="30" customHeight="1" spans="1:13">
      <c r="A1456" s="41">
        <f>IF(C1456="","",SUBTOTAL(103,$C$2:C1456))</f>
        <v>1447</v>
      </c>
      <c r="B1456" s="41">
        <v>8040</v>
      </c>
      <c r="C1456" s="41">
        <v>5611</v>
      </c>
      <c r="D1456" s="41" t="s">
        <v>45</v>
      </c>
      <c r="E1456" s="41" t="s">
        <v>1298</v>
      </c>
      <c r="F1456" s="41" t="s">
        <v>4535</v>
      </c>
      <c r="G1456" s="41" t="s">
        <v>4566</v>
      </c>
      <c r="H1456" s="41" t="s">
        <v>4567</v>
      </c>
      <c r="I1456" s="43">
        <v>12</v>
      </c>
      <c r="J1456" s="44" t="str">
        <f>VLOOKUP(G1456,[1]硬件清单!$F:$F,1,0)</f>
        <v>J33GHMA</v>
      </c>
      <c r="K1456" s="43"/>
      <c r="L1456" s="44"/>
      <c r="M1456" s="45" t="s">
        <v>4568</v>
      </c>
    </row>
    <row r="1457" s="26" customFormat="1" ht="30" customHeight="1" spans="1:13">
      <c r="A1457" s="41">
        <f>IF(C1457="","",SUBTOTAL(103,$C$2:C1457))</f>
        <v>1448</v>
      </c>
      <c r="B1457" s="41">
        <v>8041</v>
      </c>
      <c r="C1457" s="41">
        <v>5610</v>
      </c>
      <c r="D1457" s="41" t="s">
        <v>45</v>
      </c>
      <c r="E1457" s="41" t="s">
        <v>1298</v>
      </c>
      <c r="F1457" s="41" t="s">
        <v>4535</v>
      </c>
      <c r="G1457" s="41" t="s">
        <v>4569</v>
      </c>
      <c r="H1457" s="41" t="s">
        <v>4570</v>
      </c>
      <c r="I1457" s="43">
        <v>12</v>
      </c>
      <c r="J1457" s="44" t="str">
        <f>VLOOKUP(G1457,[1]硬件清单!$F:$F,1,0)</f>
        <v>J33GRZW</v>
      </c>
      <c r="K1457" s="43"/>
      <c r="L1457" s="44"/>
      <c r="M1457" s="45" t="s">
        <v>4571</v>
      </c>
    </row>
    <row r="1458" s="26" customFormat="1" ht="30" customHeight="1" spans="1:13">
      <c r="A1458" s="41">
        <f>IF(C1458="","",SUBTOTAL(103,$C$2:C1458))</f>
        <v>1449</v>
      </c>
      <c r="B1458" s="41">
        <v>8042</v>
      </c>
      <c r="C1458" s="41">
        <v>5609</v>
      </c>
      <c r="D1458" s="41" t="s">
        <v>45</v>
      </c>
      <c r="E1458" s="41" t="s">
        <v>1298</v>
      </c>
      <c r="F1458" s="41" t="s">
        <v>4535</v>
      </c>
      <c r="G1458" s="41" t="s">
        <v>4572</v>
      </c>
      <c r="H1458" s="41" t="s">
        <v>4573</v>
      </c>
      <c r="I1458" s="43">
        <v>12</v>
      </c>
      <c r="J1458" s="44" t="str">
        <f>VLOOKUP(G1458,[1]硬件清单!$F:$F,1,0)</f>
        <v>J33GHN1</v>
      </c>
      <c r="K1458" s="43"/>
      <c r="L1458" s="44"/>
      <c r="M1458" s="45" t="s">
        <v>4574</v>
      </c>
    </row>
    <row r="1459" s="26" customFormat="1" ht="30" customHeight="1" spans="1:13">
      <c r="A1459" s="41">
        <f>IF(C1459="","",SUBTOTAL(103,$C$2:C1459))</f>
        <v>1450</v>
      </c>
      <c r="B1459" s="41">
        <v>8043</v>
      </c>
      <c r="C1459" s="41">
        <v>5608</v>
      </c>
      <c r="D1459" s="41" t="s">
        <v>45</v>
      </c>
      <c r="E1459" s="41" t="s">
        <v>1298</v>
      </c>
      <c r="F1459" s="41" t="s">
        <v>4535</v>
      </c>
      <c r="G1459" s="41" t="s">
        <v>4575</v>
      </c>
      <c r="H1459" s="41" t="s">
        <v>4576</v>
      </c>
      <c r="I1459" s="43">
        <v>12</v>
      </c>
      <c r="J1459" s="44" t="str">
        <f>VLOOKUP(G1459,[1]硬件清单!$F:$F,1,0)</f>
        <v>J33GHL0</v>
      </c>
      <c r="K1459" s="43"/>
      <c r="L1459" s="44"/>
      <c r="M1459" s="45" t="s">
        <v>4577</v>
      </c>
    </row>
    <row r="1460" s="26" customFormat="1" ht="30" customHeight="1" spans="1:13">
      <c r="A1460" s="41">
        <f>IF(C1460="","",SUBTOTAL(103,$C$2:C1460))</f>
        <v>1451</v>
      </c>
      <c r="B1460" s="41">
        <v>8046</v>
      </c>
      <c r="C1460" s="41">
        <v>5522</v>
      </c>
      <c r="D1460" s="41" t="s">
        <v>45</v>
      </c>
      <c r="E1460" s="41" t="s">
        <v>1298</v>
      </c>
      <c r="F1460" s="41" t="s">
        <v>4535</v>
      </c>
      <c r="G1460" s="41" t="s">
        <v>4578</v>
      </c>
      <c r="H1460" s="41" t="s">
        <v>4579</v>
      </c>
      <c r="I1460" s="43">
        <v>12</v>
      </c>
      <c r="J1460" s="44" t="str">
        <f>VLOOKUP(G1460,[1]硬件清单!$F:$F,1,0)</f>
        <v>J33GHMY</v>
      </c>
      <c r="K1460" s="43"/>
      <c r="L1460" s="44"/>
      <c r="M1460" s="45" t="s">
        <v>4580</v>
      </c>
    </row>
    <row r="1461" s="26" customFormat="1" ht="30" customHeight="1" spans="1:13">
      <c r="A1461" s="41">
        <f>IF(C1461="","",SUBTOTAL(103,$C$2:C1461))</f>
        <v>1452</v>
      </c>
      <c r="B1461" s="41">
        <v>8047</v>
      </c>
      <c r="C1461" s="41">
        <v>5521</v>
      </c>
      <c r="D1461" s="41" t="s">
        <v>45</v>
      </c>
      <c r="E1461" s="41" t="s">
        <v>1298</v>
      </c>
      <c r="F1461" s="41" t="s">
        <v>4535</v>
      </c>
      <c r="G1461" s="41" t="s">
        <v>4581</v>
      </c>
      <c r="H1461" s="41" t="s">
        <v>4582</v>
      </c>
      <c r="I1461" s="43">
        <v>12</v>
      </c>
      <c r="J1461" s="44" t="str">
        <f>VLOOKUP(G1461,[1]硬件清单!$F:$F,1,0)</f>
        <v>J33GHLX</v>
      </c>
      <c r="K1461" s="43"/>
      <c r="L1461" s="44"/>
      <c r="M1461" s="45" t="s">
        <v>4583</v>
      </c>
    </row>
    <row r="1462" s="26" customFormat="1" ht="30" customHeight="1" spans="1:13">
      <c r="A1462" s="41">
        <f>IF(C1462="","",SUBTOTAL(103,$C$2:C1462))</f>
        <v>1453</v>
      </c>
      <c r="B1462" s="41">
        <v>8048</v>
      </c>
      <c r="C1462" s="41">
        <v>5520</v>
      </c>
      <c r="D1462" s="41" t="s">
        <v>45</v>
      </c>
      <c r="E1462" s="41" t="s">
        <v>1298</v>
      </c>
      <c r="F1462" s="41" t="s">
        <v>4535</v>
      </c>
      <c r="G1462" s="41" t="s">
        <v>4584</v>
      </c>
      <c r="H1462" s="41" t="s">
        <v>4585</v>
      </c>
      <c r="I1462" s="43">
        <v>12</v>
      </c>
      <c r="J1462" s="44" t="str">
        <f>VLOOKUP(G1462,[1]硬件清单!$F:$F,1,0)</f>
        <v>J33GT0M</v>
      </c>
      <c r="K1462" s="43"/>
      <c r="L1462" s="44"/>
      <c r="M1462" s="45" t="s">
        <v>4586</v>
      </c>
    </row>
    <row r="1463" s="26" customFormat="1" ht="30" customHeight="1" spans="1:13">
      <c r="A1463" s="41">
        <f>IF(C1463="","",SUBTOTAL(103,$C$2:C1463))</f>
        <v>1454</v>
      </c>
      <c r="B1463" s="41">
        <v>8049</v>
      </c>
      <c r="C1463" s="41">
        <v>5519</v>
      </c>
      <c r="D1463" s="41" t="s">
        <v>45</v>
      </c>
      <c r="E1463" s="41" t="s">
        <v>1298</v>
      </c>
      <c r="F1463" s="41" t="s">
        <v>4535</v>
      </c>
      <c r="G1463" s="41" t="s">
        <v>4587</v>
      </c>
      <c r="H1463" s="41" t="s">
        <v>4588</v>
      </c>
      <c r="I1463" s="43">
        <v>12</v>
      </c>
      <c r="J1463" s="44" t="str">
        <f>VLOOKUP(G1463,[1]硬件清单!$F:$F,1,0)</f>
        <v>J33GHM7</v>
      </c>
      <c r="K1463" s="43"/>
      <c r="L1463" s="44"/>
      <c r="M1463" s="45" t="s">
        <v>4589</v>
      </c>
    </row>
    <row r="1464" s="26" customFormat="1" ht="30" customHeight="1" spans="1:13">
      <c r="A1464" s="41">
        <f>IF(C1464="","",SUBTOTAL(103,$C$2:C1464))</f>
        <v>1455</v>
      </c>
      <c r="B1464" s="41">
        <v>8050</v>
      </c>
      <c r="C1464" s="41">
        <v>5518</v>
      </c>
      <c r="D1464" s="41" t="s">
        <v>45</v>
      </c>
      <c r="E1464" s="41" t="s">
        <v>1298</v>
      </c>
      <c r="F1464" s="41" t="s">
        <v>4535</v>
      </c>
      <c r="G1464" s="41" t="s">
        <v>4590</v>
      </c>
      <c r="H1464" s="41" t="s">
        <v>4591</v>
      </c>
      <c r="I1464" s="43">
        <v>12</v>
      </c>
      <c r="J1464" s="44" t="str">
        <f>VLOOKUP(G1464,[1]硬件清单!$F:$F,1,0)</f>
        <v>J33GT0D</v>
      </c>
      <c r="K1464" s="43"/>
      <c r="L1464" s="44"/>
      <c r="M1464" s="45" t="s">
        <v>4592</v>
      </c>
    </row>
    <row r="1465" s="26" customFormat="1" ht="30" customHeight="1" spans="1:13">
      <c r="A1465" s="41">
        <f>IF(C1465="","",SUBTOTAL(103,$C$2:C1465))</f>
        <v>1456</v>
      </c>
      <c r="B1465" s="41">
        <v>8051</v>
      </c>
      <c r="C1465" s="41">
        <v>5517</v>
      </c>
      <c r="D1465" s="41" t="s">
        <v>45</v>
      </c>
      <c r="E1465" s="41" t="s">
        <v>1298</v>
      </c>
      <c r="F1465" s="41" t="s">
        <v>4535</v>
      </c>
      <c r="G1465" s="41" t="s">
        <v>4593</v>
      </c>
      <c r="H1465" s="41" t="s">
        <v>4594</v>
      </c>
      <c r="I1465" s="43">
        <v>12</v>
      </c>
      <c r="J1465" s="44" t="str">
        <f>VLOOKUP(G1465,[1]硬件清单!$F:$F,1,0)</f>
        <v>J33GHLW</v>
      </c>
      <c r="K1465" s="43"/>
      <c r="L1465" s="44"/>
      <c r="M1465" s="45" t="s">
        <v>4595</v>
      </c>
    </row>
    <row r="1466" s="26" customFormat="1" ht="30" customHeight="1" spans="1:13">
      <c r="A1466" s="41">
        <f>IF(C1466="","",SUBTOTAL(103,$C$2:C1466))</f>
        <v>1457</v>
      </c>
      <c r="B1466" s="41">
        <v>8052</v>
      </c>
      <c r="C1466" s="41">
        <v>5516</v>
      </c>
      <c r="D1466" s="41" t="s">
        <v>45</v>
      </c>
      <c r="E1466" s="41" t="s">
        <v>1298</v>
      </c>
      <c r="F1466" s="41" t="s">
        <v>4535</v>
      </c>
      <c r="G1466" s="41" t="s">
        <v>4596</v>
      </c>
      <c r="H1466" s="41" t="s">
        <v>4597</v>
      </c>
      <c r="I1466" s="43">
        <v>12</v>
      </c>
      <c r="J1466" s="44" t="str">
        <f>VLOOKUP(G1466,[1]硬件清单!$F:$F,1,0)</f>
        <v>J33GT12</v>
      </c>
      <c r="K1466" s="43"/>
      <c r="L1466" s="44"/>
      <c r="M1466" s="45" t="s">
        <v>4598</v>
      </c>
    </row>
    <row r="1467" s="26" customFormat="1" ht="30" customHeight="1" spans="1:13">
      <c r="A1467" s="41">
        <f>IF(C1467="","",SUBTOTAL(103,$C$2:C1467))</f>
        <v>1458</v>
      </c>
      <c r="B1467" s="41">
        <v>8053</v>
      </c>
      <c r="C1467" s="41">
        <v>5515</v>
      </c>
      <c r="D1467" s="41" t="s">
        <v>45</v>
      </c>
      <c r="E1467" s="41" t="s">
        <v>1298</v>
      </c>
      <c r="F1467" s="41" t="s">
        <v>4535</v>
      </c>
      <c r="G1467" s="41" t="s">
        <v>4599</v>
      </c>
      <c r="H1467" s="41" t="s">
        <v>4600</v>
      </c>
      <c r="I1467" s="43">
        <v>12</v>
      </c>
      <c r="J1467" s="44" t="str">
        <f>VLOOKUP(G1467,[1]硬件清单!$F:$F,1,0)</f>
        <v>J33GT0V</v>
      </c>
      <c r="K1467" s="43"/>
      <c r="L1467" s="44"/>
      <c r="M1467" s="45" t="s">
        <v>4601</v>
      </c>
    </row>
    <row r="1468" s="26" customFormat="1" ht="30" customHeight="1" spans="1:13">
      <c r="A1468" s="41">
        <f>IF(C1468="","",SUBTOTAL(103,$C$2:C1468))</f>
        <v>1459</v>
      </c>
      <c r="B1468" s="41">
        <v>8054</v>
      </c>
      <c r="C1468" s="41">
        <v>5514</v>
      </c>
      <c r="D1468" s="41" t="s">
        <v>45</v>
      </c>
      <c r="E1468" s="41" t="s">
        <v>1298</v>
      </c>
      <c r="F1468" s="41" t="s">
        <v>4535</v>
      </c>
      <c r="G1468" s="41" t="s">
        <v>4602</v>
      </c>
      <c r="H1468" s="41" t="s">
        <v>4603</v>
      </c>
      <c r="I1468" s="43">
        <v>12</v>
      </c>
      <c r="J1468" s="44" t="str">
        <f>VLOOKUP(G1468,[1]硬件清单!$F:$F,1,0)</f>
        <v>J33GT0X</v>
      </c>
      <c r="K1468" s="43"/>
      <c r="L1468" s="44"/>
      <c r="M1468" s="45" t="s">
        <v>4604</v>
      </c>
    </row>
    <row r="1469" s="26" customFormat="1" ht="30" customHeight="1" spans="1:13">
      <c r="A1469" s="41">
        <f>IF(C1469="","",SUBTOTAL(103,$C$2:C1469))</f>
        <v>1460</v>
      </c>
      <c r="B1469" s="41">
        <v>8055</v>
      </c>
      <c r="C1469" s="41">
        <v>5513</v>
      </c>
      <c r="D1469" s="41" t="s">
        <v>45</v>
      </c>
      <c r="E1469" s="41" t="s">
        <v>1298</v>
      </c>
      <c r="F1469" s="41" t="s">
        <v>4535</v>
      </c>
      <c r="G1469" s="41" t="s">
        <v>4605</v>
      </c>
      <c r="H1469" s="41" t="s">
        <v>4606</v>
      </c>
      <c r="I1469" s="43">
        <v>12</v>
      </c>
      <c r="J1469" s="44" t="str">
        <f>VLOOKUP(G1469,[1]硬件清单!$F:$F,1,0)</f>
        <v>J33GRZR</v>
      </c>
      <c r="K1469" s="43"/>
      <c r="L1469" s="44"/>
      <c r="M1469" s="45" t="s">
        <v>4607</v>
      </c>
    </row>
    <row r="1470" s="26" customFormat="1" ht="30" customHeight="1" spans="1:13">
      <c r="A1470" s="41">
        <f>IF(C1470="","",SUBTOTAL(103,$C$2:C1470))</f>
        <v>1461</v>
      </c>
      <c r="B1470" s="41">
        <v>8056</v>
      </c>
      <c r="C1470" s="41">
        <v>5512</v>
      </c>
      <c r="D1470" s="41" t="s">
        <v>45</v>
      </c>
      <c r="E1470" s="41" t="s">
        <v>1298</v>
      </c>
      <c r="F1470" s="41" t="s">
        <v>4535</v>
      </c>
      <c r="G1470" s="41" t="s">
        <v>4608</v>
      </c>
      <c r="H1470" s="41" t="s">
        <v>4609</v>
      </c>
      <c r="I1470" s="43">
        <v>12</v>
      </c>
      <c r="J1470" s="44" t="str">
        <f>VLOOKUP(G1470,[1]硬件清单!$F:$F,1,0)</f>
        <v>J33GRZV</v>
      </c>
      <c r="K1470" s="43"/>
      <c r="L1470" s="44"/>
      <c r="M1470" s="45" t="s">
        <v>4610</v>
      </c>
    </row>
    <row r="1471" s="26" customFormat="1" ht="30" customHeight="1" spans="1:13">
      <c r="A1471" s="41">
        <f>IF(C1471="","",SUBTOTAL(103,$C$2:C1471))</f>
        <v>1462</v>
      </c>
      <c r="B1471" s="41">
        <v>8057</v>
      </c>
      <c r="C1471" s="41">
        <v>5511</v>
      </c>
      <c r="D1471" s="41" t="s">
        <v>45</v>
      </c>
      <c r="E1471" s="41" t="s">
        <v>1298</v>
      </c>
      <c r="F1471" s="41" t="s">
        <v>4535</v>
      </c>
      <c r="G1471" s="41" t="s">
        <v>4611</v>
      </c>
      <c r="H1471" s="41" t="s">
        <v>4612</v>
      </c>
      <c r="I1471" s="43">
        <v>12</v>
      </c>
      <c r="J1471" s="44" t="str">
        <f>VLOOKUP(G1471,[1]硬件清单!$F:$F,1,0)</f>
        <v>J33GRZC</v>
      </c>
      <c r="K1471" s="43"/>
      <c r="L1471" s="44"/>
      <c r="M1471" s="45" t="s">
        <v>4613</v>
      </c>
    </row>
    <row r="1472" s="26" customFormat="1" ht="30" customHeight="1" spans="1:13">
      <c r="A1472" s="41">
        <f>IF(C1472="","",SUBTOTAL(103,$C$2:C1472))</f>
        <v>1463</v>
      </c>
      <c r="B1472" s="41">
        <v>8058</v>
      </c>
      <c r="C1472" s="41">
        <v>5510</v>
      </c>
      <c r="D1472" s="41" t="s">
        <v>45</v>
      </c>
      <c r="E1472" s="41" t="s">
        <v>1298</v>
      </c>
      <c r="F1472" s="41" t="s">
        <v>4535</v>
      </c>
      <c r="G1472" s="41" t="s">
        <v>4614</v>
      </c>
      <c r="H1472" s="41" t="s">
        <v>4615</v>
      </c>
      <c r="I1472" s="43">
        <v>12</v>
      </c>
      <c r="J1472" s="44" t="str">
        <f>VLOOKUP(G1472,[1]硬件清单!$F:$F,1,0)</f>
        <v>J33GRZN</v>
      </c>
      <c r="K1472" s="43"/>
      <c r="L1472" s="44"/>
      <c r="M1472" s="45" t="s">
        <v>4616</v>
      </c>
    </row>
    <row r="1473" s="26" customFormat="1" ht="30" customHeight="1" spans="1:13">
      <c r="A1473" s="41">
        <f>IF(C1473="","",SUBTOTAL(103,$C$2:C1473))</f>
        <v>1464</v>
      </c>
      <c r="B1473" s="41">
        <v>8059</v>
      </c>
      <c r="C1473" s="41">
        <v>5509</v>
      </c>
      <c r="D1473" s="41" t="s">
        <v>45</v>
      </c>
      <c r="E1473" s="41" t="s">
        <v>1298</v>
      </c>
      <c r="F1473" s="41" t="s">
        <v>4535</v>
      </c>
      <c r="G1473" s="41" t="s">
        <v>4617</v>
      </c>
      <c r="H1473" s="41" t="s">
        <v>4618</v>
      </c>
      <c r="I1473" s="43">
        <v>12</v>
      </c>
      <c r="J1473" s="44" t="str">
        <f>VLOOKUP(G1473,[1]硬件清单!$F:$F,1,0)</f>
        <v>J33GT2B</v>
      </c>
      <c r="K1473" s="43"/>
      <c r="L1473" s="44"/>
      <c r="M1473" s="45" t="s">
        <v>4619</v>
      </c>
    </row>
    <row r="1474" s="26" customFormat="1" ht="30" customHeight="1" spans="1:13">
      <c r="A1474" s="41">
        <f>IF(C1474="","",SUBTOTAL(103,$C$2:C1474))</f>
        <v>1465</v>
      </c>
      <c r="B1474" s="41">
        <v>8063</v>
      </c>
      <c r="C1474" s="41">
        <v>5536</v>
      </c>
      <c r="D1474" s="41" t="s">
        <v>45</v>
      </c>
      <c r="E1474" s="41" t="s">
        <v>1298</v>
      </c>
      <c r="F1474" s="41" t="s">
        <v>4535</v>
      </c>
      <c r="G1474" s="41" t="s">
        <v>4620</v>
      </c>
      <c r="H1474" s="41" t="s">
        <v>4621</v>
      </c>
      <c r="I1474" s="43">
        <v>12</v>
      </c>
      <c r="J1474" s="44" t="str">
        <f>VLOOKUP(G1474,[1]硬件清单!$F:$F,1,0)</f>
        <v>J33GT05</v>
      </c>
      <c r="K1474" s="43"/>
      <c r="L1474" s="44"/>
      <c r="M1474" s="45" t="s">
        <v>4622</v>
      </c>
    </row>
    <row r="1475" s="26" customFormat="1" ht="30" customHeight="1" spans="1:13">
      <c r="A1475" s="41">
        <f>IF(C1475="","",SUBTOTAL(103,$C$2:C1475))</f>
        <v>1466</v>
      </c>
      <c r="B1475" s="41">
        <v>8064</v>
      </c>
      <c r="C1475" s="41">
        <v>5535</v>
      </c>
      <c r="D1475" s="41" t="s">
        <v>45</v>
      </c>
      <c r="E1475" s="41" t="s">
        <v>1298</v>
      </c>
      <c r="F1475" s="41" t="s">
        <v>4535</v>
      </c>
      <c r="G1475" s="41" t="s">
        <v>4623</v>
      </c>
      <c r="H1475" s="41" t="s">
        <v>4624</v>
      </c>
      <c r="I1475" s="43">
        <v>12</v>
      </c>
      <c r="J1475" s="44" t="str">
        <f>VLOOKUP(G1475,[1]硬件清单!$F:$F,1,0)</f>
        <v>J33GT32</v>
      </c>
      <c r="K1475" s="43"/>
      <c r="L1475" s="44"/>
      <c r="M1475" s="45" t="s">
        <v>4625</v>
      </c>
    </row>
    <row r="1476" s="26" customFormat="1" ht="30" customHeight="1" spans="1:13">
      <c r="A1476" s="41">
        <f>IF(C1476="","",SUBTOTAL(103,$C$2:C1476))</f>
        <v>1467</v>
      </c>
      <c r="B1476" s="41">
        <v>8065</v>
      </c>
      <c r="C1476" s="41">
        <v>5534</v>
      </c>
      <c r="D1476" s="41" t="s">
        <v>45</v>
      </c>
      <c r="E1476" s="41" t="s">
        <v>1298</v>
      </c>
      <c r="F1476" s="41" t="s">
        <v>4535</v>
      </c>
      <c r="G1476" s="41" t="s">
        <v>4626</v>
      </c>
      <c r="H1476" s="41" t="s">
        <v>4627</v>
      </c>
      <c r="I1476" s="43">
        <v>12</v>
      </c>
      <c r="J1476" s="44" t="str">
        <f>VLOOKUP(G1476,[1]硬件清单!$F:$F,1,0)</f>
        <v>J33GT04</v>
      </c>
      <c r="K1476" s="43"/>
      <c r="L1476" s="44"/>
      <c r="M1476" s="45" t="s">
        <v>4628</v>
      </c>
    </row>
    <row r="1477" s="26" customFormat="1" ht="30" customHeight="1" spans="1:13">
      <c r="A1477" s="41">
        <f>IF(C1477="","",SUBTOTAL(103,$C$2:C1477))</f>
        <v>1468</v>
      </c>
      <c r="B1477" s="41">
        <v>8066</v>
      </c>
      <c r="C1477" s="41">
        <v>5533</v>
      </c>
      <c r="D1477" s="41" t="s">
        <v>45</v>
      </c>
      <c r="E1477" s="41" t="s">
        <v>1298</v>
      </c>
      <c r="F1477" s="41" t="s">
        <v>4535</v>
      </c>
      <c r="G1477" s="41" t="s">
        <v>4629</v>
      </c>
      <c r="H1477" s="41" t="s">
        <v>4630</v>
      </c>
      <c r="I1477" s="43">
        <v>12</v>
      </c>
      <c r="J1477" s="44" t="str">
        <f>VLOOKUP(G1477,[1]硬件清单!$F:$F,1,0)</f>
        <v>J33GHM9</v>
      </c>
      <c r="K1477" s="43"/>
      <c r="L1477" s="44"/>
      <c r="M1477" s="45" t="s">
        <v>4631</v>
      </c>
    </row>
    <row r="1478" s="26" customFormat="1" ht="30" customHeight="1" spans="1:13">
      <c r="A1478" s="41">
        <f>IF(C1478="","",SUBTOTAL(103,$C$2:C1478))</f>
        <v>1469</v>
      </c>
      <c r="B1478" s="41">
        <v>8067</v>
      </c>
      <c r="C1478" s="41">
        <v>5532</v>
      </c>
      <c r="D1478" s="41" t="s">
        <v>45</v>
      </c>
      <c r="E1478" s="41" t="s">
        <v>1298</v>
      </c>
      <c r="F1478" s="41" t="s">
        <v>4535</v>
      </c>
      <c r="G1478" s="41" t="s">
        <v>4632</v>
      </c>
      <c r="H1478" s="41" t="s">
        <v>4633</v>
      </c>
      <c r="I1478" s="43">
        <v>12</v>
      </c>
      <c r="J1478" s="44" t="str">
        <f>VLOOKUP(G1478,[1]硬件清单!$F:$F,1,0)</f>
        <v>J33GT19</v>
      </c>
      <c r="K1478" s="43"/>
      <c r="L1478" s="44"/>
      <c r="M1478" s="45" t="s">
        <v>4634</v>
      </c>
    </row>
    <row r="1479" s="26" customFormat="1" ht="30" customHeight="1" spans="1:13">
      <c r="A1479" s="41">
        <f>IF(C1479="","",SUBTOTAL(103,$C$2:C1479))</f>
        <v>1470</v>
      </c>
      <c r="B1479" s="41">
        <v>8068</v>
      </c>
      <c r="C1479" s="41">
        <v>5531</v>
      </c>
      <c r="D1479" s="41" t="s">
        <v>45</v>
      </c>
      <c r="E1479" s="41" t="s">
        <v>1298</v>
      </c>
      <c r="F1479" s="41" t="s">
        <v>4535</v>
      </c>
      <c r="G1479" s="41" t="s">
        <v>4635</v>
      </c>
      <c r="H1479" s="41" t="s">
        <v>4636</v>
      </c>
      <c r="I1479" s="43">
        <v>12</v>
      </c>
      <c r="J1479" s="44" t="str">
        <f>VLOOKUP(G1479,[1]硬件清单!$F:$F,1,0)</f>
        <v>J33GRZB</v>
      </c>
      <c r="K1479" s="43"/>
      <c r="L1479" s="44"/>
      <c r="M1479" s="45" t="s">
        <v>4637</v>
      </c>
    </row>
    <row r="1480" s="26" customFormat="1" ht="30" customHeight="1" spans="1:13">
      <c r="A1480" s="41">
        <f>IF(C1480="","",SUBTOTAL(103,$C$2:C1480))</f>
        <v>1471</v>
      </c>
      <c r="B1480" s="41">
        <v>8069</v>
      </c>
      <c r="C1480" s="41">
        <v>5530</v>
      </c>
      <c r="D1480" s="41" t="s">
        <v>45</v>
      </c>
      <c r="E1480" s="41" t="s">
        <v>1298</v>
      </c>
      <c r="F1480" s="41" t="s">
        <v>4535</v>
      </c>
      <c r="G1480" s="41" t="s">
        <v>4638</v>
      </c>
      <c r="H1480" s="41" t="s">
        <v>4639</v>
      </c>
      <c r="I1480" s="43">
        <v>12</v>
      </c>
      <c r="J1480" s="44" t="str">
        <f>VLOOKUP(G1480,[1]硬件清单!$F:$F,1,0)</f>
        <v>J33GT2L</v>
      </c>
      <c r="K1480" s="43"/>
      <c r="L1480" s="44"/>
      <c r="M1480" s="45" t="s">
        <v>4640</v>
      </c>
    </row>
    <row r="1481" s="26" customFormat="1" ht="30" customHeight="1" spans="1:13">
      <c r="A1481" s="41">
        <f>IF(C1481="","",SUBTOTAL(103,$C$2:C1481))</f>
        <v>1472</v>
      </c>
      <c r="B1481" s="41">
        <v>8070</v>
      </c>
      <c r="C1481" s="41">
        <v>5529</v>
      </c>
      <c r="D1481" s="41" t="s">
        <v>45</v>
      </c>
      <c r="E1481" s="41" t="s">
        <v>1298</v>
      </c>
      <c r="F1481" s="41" t="s">
        <v>4535</v>
      </c>
      <c r="G1481" s="41" t="s">
        <v>4641</v>
      </c>
      <c r="H1481" s="41" t="s">
        <v>4642</v>
      </c>
      <c r="I1481" s="43">
        <v>12</v>
      </c>
      <c r="J1481" s="44" t="str">
        <f>VLOOKUP(G1481,[1]硬件清单!$F:$F,1,0)</f>
        <v>J33GHMN</v>
      </c>
      <c r="K1481" s="43"/>
      <c r="L1481" s="44"/>
      <c r="M1481" s="45" t="s">
        <v>4643</v>
      </c>
    </row>
    <row r="1482" s="26" customFormat="1" ht="30" customHeight="1" spans="1:13">
      <c r="A1482" s="41">
        <f>IF(C1482="","",SUBTOTAL(103,$C$2:C1482))</f>
        <v>1473</v>
      </c>
      <c r="B1482" s="41">
        <v>8071</v>
      </c>
      <c r="C1482" s="41">
        <v>5528</v>
      </c>
      <c r="D1482" s="41" t="s">
        <v>45</v>
      </c>
      <c r="E1482" s="41" t="s">
        <v>1298</v>
      </c>
      <c r="F1482" s="41" t="s">
        <v>4535</v>
      </c>
      <c r="G1482" s="41" t="s">
        <v>4644</v>
      </c>
      <c r="H1482" s="41" t="s">
        <v>4645</v>
      </c>
      <c r="I1482" s="43">
        <v>12</v>
      </c>
      <c r="J1482" s="44" t="str">
        <f>VLOOKUP(G1482,[1]硬件清单!$F:$F,1,0)</f>
        <v>J33GT23</v>
      </c>
      <c r="K1482" s="43"/>
      <c r="L1482" s="44"/>
      <c r="M1482" s="45" t="s">
        <v>4646</v>
      </c>
    </row>
    <row r="1483" s="26" customFormat="1" ht="30" customHeight="1" spans="1:13">
      <c r="A1483" s="41">
        <f>IF(C1483="","",SUBTOTAL(103,$C$2:C1483))</f>
        <v>1474</v>
      </c>
      <c r="B1483" s="41">
        <v>8072</v>
      </c>
      <c r="C1483" s="41">
        <v>5527</v>
      </c>
      <c r="D1483" s="41" t="s">
        <v>45</v>
      </c>
      <c r="E1483" s="41" t="s">
        <v>1298</v>
      </c>
      <c r="F1483" s="41" t="s">
        <v>4535</v>
      </c>
      <c r="G1483" s="41" t="s">
        <v>4647</v>
      </c>
      <c r="H1483" s="41" t="s">
        <v>4648</v>
      </c>
      <c r="I1483" s="43">
        <v>12</v>
      </c>
      <c r="J1483" s="44" t="str">
        <f>VLOOKUP(G1483,[1]硬件清单!$F:$F,1,0)</f>
        <v>J33GT2K</v>
      </c>
      <c r="K1483" s="43"/>
      <c r="L1483" s="44"/>
      <c r="M1483" s="45" t="s">
        <v>4649</v>
      </c>
    </row>
    <row r="1484" s="26" customFormat="1" ht="30" customHeight="1" spans="1:13">
      <c r="A1484" s="41">
        <f>IF(C1484="","",SUBTOTAL(103,$C$2:C1484))</f>
        <v>1475</v>
      </c>
      <c r="B1484" s="41">
        <v>8074</v>
      </c>
      <c r="C1484" s="41">
        <v>5526</v>
      </c>
      <c r="D1484" s="41" t="s">
        <v>45</v>
      </c>
      <c r="E1484" s="41" t="s">
        <v>1298</v>
      </c>
      <c r="F1484" s="41" t="s">
        <v>4535</v>
      </c>
      <c r="G1484" s="41" t="s">
        <v>4650</v>
      </c>
      <c r="H1484" s="41" t="s">
        <v>4651</v>
      </c>
      <c r="I1484" s="43">
        <v>12</v>
      </c>
      <c r="J1484" s="44" t="str">
        <f>VLOOKUP(G1484,[1]硬件清单!$F:$F,1,0)</f>
        <v>J33GHN5</v>
      </c>
      <c r="K1484" s="43"/>
      <c r="L1484" s="44"/>
      <c r="M1484" s="45" t="s">
        <v>4652</v>
      </c>
    </row>
    <row r="1485" s="26" customFormat="1" ht="30" customHeight="1" spans="1:13">
      <c r="A1485" s="41">
        <f>IF(C1485="","",SUBTOTAL(103,$C$2:C1485))</f>
        <v>1476</v>
      </c>
      <c r="B1485" s="41">
        <v>8075</v>
      </c>
      <c r="C1485" s="41">
        <v>5525</v>
      </c>
      <c r="D1485" s="41" t="s">
        <v>45</v>
      </c>
      <c r="E1485" s="41" t="s">
        <v>1298</v>
      </c>
      <c r="F1485" s="41" t="s">
        <v>4535</v>
      </c>
      <c r="G1485" s="41" t="s">
        <v>4653</v>
      </c>
      <c r="H1485" s="41" t="s">
        <v>4654</v>
      </c>
      <c r="I1485" s="43">
        <v>12</v>
      </c>
      <c r="J1485" s="44" t="str">
        <f>VLOOKUP(G1485,[1]硬件清单!$F:$F,1,0)</f>
        <v>J33GT00</v>
      </c>
      <c r="K1485" s="43"/>
      <c r="L1485" s="44"/>
      <c r="M1485" s="45" t="s">
        <v>4655</v>
      </c>
    </row>
    <row r="1486" s="26" customFormat="1" ht="30" customHeight="1" spans="1:13">
      <c r="A1486" s="41">
        <f>IF(C1486="","",SUBTOTAL(103,$C$2:C1486))</f>
        <v>1477</v>
      </c>
      <c r="B1486" s="41">
        <v>8076</v>
      </c>
      <c r="C1486" s="41">
        <v>5524</v>
      </c>
      <c r="D1486" s="41" t="s">
        <v>45</v>
      </c>
      <c r="E1486" s="41" t="s">
        <v>1298</v>
      </c>
      <c r="F1486" s="41" t="s">
        <v>4535</v>
      </c>
      <c r="G1486" s="41" t="s">
        <v>4656</v>
      </c>
      <c r="H1486" s="41" t="s">
        <v>4657</v>
      </c>
      <c r="I1486" s="43">
        <v>12</v>
      </c>
      <c r="J1486" s="44" t="str">
        <f>VLOOKUP(G1486,[1]硬件清单!$F:$F,1,0)</f>
        <v>J33GHM1</v>
      </c>
      <c r="K1486" s="43"/>
      <c r="L1486" s="44"/>
      <c r="M1486" s="45" t="s">
        <v>4658</v>
      </c>
    </row>
    <row r="1487" s="26" customFormat="1" ht="30" customHeight="1" spans="1:13">
      <c r="A1487" s="41">
        <f>IF(C1487="","",SUBTOTAL(103,$C$2:C1487))</f>
        <v>1478</v>
      </c>
      <c r="B1487" s="41">
        <v>8077</v>
      </c>
      <c r="C1487" s="41">
        <v>5523</v>
      </c>
      <c r="D1487" s="41" t="s">
        <v>45</v>
      </c>
      <c r="E1487" s="41" t="s">
        <v>1298</v>
      </c>
      <c r="F1487" s="41" t="s">
        <v>4535</v>
      </c>
      <c r="G1487" s="41" t="s">
        <v>4659</v>
      </c>
      <c r="H1487" s="41" t="s">
        <v>4660</v>
      </c>
      <c r="I1487" s="43">
        <v>12</v>
      </c>
      <c r="J1487" s="44" t="str">
        <f>VLOOKUP(G1487,[1]硬件清单!$F:$F,1,0)</f>
        <v>J33GT14</v>
      </c>
      <c r="K1487" s="43"/>
      <c r="L1487" s="44"/>
      <c r="M1487" s="45" t="s">
        <v>4661</v>
      </c>
    </row>
    <row r="1488" s="26" customFormat="1" ht="30" customHeight="1" spans="1:13">
      <c r="A1488" s="41">
        <f>IF(C1488="","",SUBTOTAL(103,$C$2:C1488))</f>
        <v>1479</v>
      </c>
      <c r="B1488" s="41">
        <v>8080</v>
      </c>
      <c r="C1488" s="41">
        <v>5556</v>
      </c>
      <c r="D1488" s="41" t="s">
        <v>45</v>
      </c>
      <c r="E1488" s="41" t="s">
        <v>1298</v>
      </c>
      <c r="F1488" s="41" t="s">
        <v>4535</v>
      </c>
      <c r="G1488" s="41" t="s">
        <v>4662</v>
      </c>
      <c r="H1488" s="41" t="s">
        <v>4663</v>
      </c>
      <c r="I1488" s="43">
        <v>12</v>
      </c>
      <c r="J1488" s="44" t="str">
        <f>VLOOKUP(G1488,[1]硬件清单!$F:$F,1,0)</f>
        <v>J33GT1G</v>
      </c>
      <c r="K1488" s="43"/>
      <c r="L1488" s="44"/>
      <c r="M1488" s="45" t="s">
        <v>4664</v>
      </c>
    </row>
    <row r="1489" s="26" customFormat="1" ht="30" customHeight="1" spans="1:13">
      <c r="A1489" s="41">
        <f>IF(C1489="","",SUBTOTAL(103,$C$2:C1489))</f>
        <v>1480</v>
      </c>
      <c r="B1489" s="41">
        <v>8081</v>
      </c>
      <c r="C1489" s="41">
        <v>5555</v>
      </c>
      <c r="D1489" s="41" t="s">
        <v>45</v>
      </c>
      <c r="E1489" s="41" t="s">
        <v>1298</v>
      </c>
      <c r="F1489" s="41" t="s">
        <v>4535</v>
      </c>
      <c r="G1489" s="41" t="s">
        <v>4665</v>
      </c>
      <c r="H1489" s="41" t="s">
        <v>4666</v>
      </c>
      <c r="I1489" s="43">
        <v>12</v>
      </c>
      <c r="J1489" s="44" t="str">
        <f>VLOOKUP(G1489,[1]硬件清单!$F:$F,1,0)</f>
        <v>J33GT33</v>
      </c>
      <c r="K1489" s="43"/>
      <c r="L1489" s="44"/>
      <c r="M1489" s="45" t="s">
        <v>4667</v>
      </c>
    </row>
    <row r="1490" s="26" customFormat="1" ht="30" customHeight="1" spans="1:13">
      <c r="A1490" s="41">
        <f>IF(C1490="","",SUBTOTAL(103,$C$2:C1490))</f>
        <v>1481</v>
      </c>
      <c r="B1490" s="41">
        <v>8082</v>
      </c>
      <c r="C1490" s="41">
        <v>5554</v>
      </c>
      <c r="D1490" s="41" t="s">
        <v>45</v>
      </c>
      <c r="E1490" s="41" t="s">
        <v>1298</v>
      </c>
      <c r="F1490" s="41" t="s">
        <v>4535</v>
      </c>
      <c r="G1490" s="41" t="s">
        <v>4668</v>
      </c>
      <c r="H1490" s="41" t="s">
        <v>4669</v>
      </c>
      <c r="I1490" s="43">
        <v>12</v>
      </c>
      <c r="J1490" s="44" t="str">
        <f>VLOOKUP(G1490,[1]硬件清单!$F:$F,1,0)</f>
        <v>J33GT2T</v>
      </c>
      <c r="K1490" s="43"/>
      <c r="L1490" s="44"/>
      <c r="M1490" s="45" t="s">
        <v>4670</v>
      </c>
    </row>
    <row r="1491" s="26" customFormat="1" ht="30" customHeight="1" spans="1:13">
      <c r="A1491" s="41">
        <f>IF(C1491="","",SUBTOTAL(103,$C$2:C1491))</f>
        <v>1482</v>
      </c>
      <c r="B1491" s="41">
        <v>8083</v>
      </c>
      <c r="C1491" s="41">
        <v>5553</v>
      </c>
      <c r="D1491" s="41" t="s">
        <v>45</v>
      </c>
      <c r="E1491" s="41" t="s">
        <v>1298</v>
      </c>
      <c r="F1491" s="41" t="s">
        <v>4535</v>
      </c>
      <c r="G1491" s="41" t="s">
        <v>4671</v>
      </c>
      <c r="H1491" s="41" t="s">
        <v>4672</v>
      </c>
      <c r="I1491" s="43">
        <v>12</v>
      </c>
      <c r="J1491" s="44" t="str">
        <f>VLOOKUP(G1491,[1]硬件清单!$F:$F,1,0)</f>
        <v>J33GT06</v>
      </c>
      <c r="K1491" s="43"/>
      <c r="L1491" s="44"/>
      <c r="M1491" s="45" t="s">
        <v>4673</v>
      </c>
    </row>
    <row r="1492" s="26" customFormat="1" ht="30" customHeight="1" spans="1:13">
      <c r="A1492" s="41">
        <f>IF(C1492="","",SUBTOTAL(103,$C$2:C1492))</f>
        <v>1483</v>
      </c>
      <c r="B1492" s="41">
        <v>8084</v>
      </c>
      <c r="C1492" s="41">
        <v>5546</v>
      </c>
      <c r="D1492" s="41" t="s">
        <v>45</v>
      </c>
      <c r="E1492" s="41" t="s">
        <v>1298</v>
      </c>
      <c r="F1492" s="41" t="s">
        <v>4535</v>
      </c>
      <c r="G1492" s="41" t="s">
        <v>4674</v>
      </c>
      <c r="H1492" s="41" t="s">
        <v>4675</v>
      </c>
      <c r="I1492" s="43">
        <v>12</v>
      </c>
      <c r="J1492" s="44" t="str">
        <f>VLOOKUP(G1492,[1]硬件清单!$F:$F,1,0)</f>
        <v>J33GHLB</v>
      </c>
      <c r="K1492" s="43"/>
      <c r="L1492" s="44"/>
      <c r="M1492" s="45" t="s">
        <v>4676</v>
      </c>
    </row>
    <row r="1493" s="26" customFormat="1" ht="30" customHeight="1" spans="1:13">
      <c r="A1493" s="41">
        <f>IF(C1493="","",SUBTOTAL(103,$C$2:C1493))</f>
        <v>1484</v>
      </c>
      <c r="B1493" s="41">
        <v>8085</v>
      </c>
      <c r="C1493" s="41">
        <v>5545</v>
      </c>
      <c r="D1493" s="41" t="s">
        <v>45</v>
      </c>
      <c r="E1493" s="41" t="s">
        <v>1298</v>
      </c>
      <c r="F1493" s="41" t="s">
        <v>4535</v>
      </c>
      <c r="G1493" s="41" t="s">
        <v>4677</v>
      </c>
      <c r="H1493" s="41" t="s">
        <v>4678</v>
      </c>
      <c r="I1493" s="43">
        <v>12</v>
      </c>
      <c r="J1493" s="44" t="str">
        <f>VLOOKUP(G1493,[1]硬件清单!$F:$F,1,0)</f>
        <v>J33GHLD</v>
      </c>
      <c r="K1493" s="43"/>
      <c r="L1493" s="44"/>
      <c r="M1493" s="45" t="s">
        <v>4679</v>
      </c>
    </row>
    <row r="1494" s="26" customFormat="1" ht="30" customHeight="1" spans="1:13">
      <c r="A1494" s="41">
        <f>IF(C1494="","",SUBTOTAL(103,$C$2:C1494))</f>
        <v>1485</v>
      </c>
      <c r="B1494" s="41">
        <v>8086</v>
      </c>
      <c r="C1494" s="41">
        <v>5544</v>
      </c>
      <c r="D1494" s="41" t="s">
        <v>45</v>
      </c>
      <c r="E1494" s="41" t="s">
        <v>1298</v>
      </c>
      <c r="F1494" s="41" t="s">
        <v>4535</v>
      </c>
      <c r="G1494" s="41" t="s">
        <v>4680</v>
      </c>
      <c r="H1494" s="41" t="s">
        <v>4681</v>
      </c>
      <c r="I1494" s="43">
        <v>12</v>
      </c>
      <c r="J1494" s="44" t="str">
        <f>VLOOKUP(G1494,[1]硬件清单!$F:$F,1,0)</f>
        <v>J33GHMZ</v>
      </c>
      <c r="K1494" s="43"/>
      <c r="L1494" s="44"/>
      <c r="M1494" s="45" t="s">
        <v>4682</v>
      </c>
    </row>
    <row r="1495" s="26" customFormat="1" ht="30" customHeight="1" spans="1:13">
      <c r="A1495" s="41">
        <f>IF(C1495="","",SUBTOTAL(103,$C$2:C1495))</f>
        <v>1486</v>
      </c>
      <c r="B1495" s="41">
        <v>8087</v>
      </c>
      <c r="C1495" s="41">
        <v>5543</v>
      </c>
      <c r="D1495" s="41" t="s">
        <v>45</v>
      </c>
      <c r="E1495" s="41" t="s">
        <v>1298</v>
      </c>
      <c r="F1495" s="41" t="s">
        <v>4535</v>
      </c>
      <c r="G1495" s="41" t="s">
        <v>4683</v>
      </c>
      <c r="H1495" s="41" t="s">
        <v>4684</v>
      </c>
      <c r="I1495" s="43">
        <v>12</v>
      </c>
      <c r="J1495" s="44" t="str">
        <f>VLOOKUP(G1495,[1]硬件清单!$F:$F,1,0)</f>
        <v>J33GRZE</v>
      </c>
      <c r="K1495" s="43"/>
      <c r="L1495" s="44"/>
      <c r="M1495" s="45" t="s">
        <v>4685</v>
      </c>
    </row>
    <row r="1496" s="26" customFormat="1" ht="30" customHeight="1" spans="1:13">
      <c r="A1496" s="41">
        <f>IF(C1496="","",SUBTOTAL(103,$C$2:C1496))</f>
        <v>1487</v>
      </c>
      <c r="B1496" s="41">
        <v>8088</v>
      </c>
      <c r="C1496" s="41">
        <v>5542</v>
      </c>
      <c r="D1496" s="41" t="s">
        <v>45</v>
      </c>
      <c r="E1496" s="41" t="s">
        <v>1298</v>
      </c>
      <c r="F1496" s="41" t="s">
        <v>4535</v>
      </c>
      <c r="G1496" s="41" t="s">
        <v>4686</v>
      </c>
      <c r="H1496" s="41" t="s">
        <v>4687</v>
      </c>
      <c r="I1496" s="43">
        <v>12</v>
      </c>
      <c r="J1496" s="44" t="str">
        <f>VLOOKUP(G1496,[1]硬件清单!$F:$F,1,0)</f>
        <v>J33GHLG</v>
      </c>
      <c r="K1496" s="43"/>
      <c r="L1496" s="44"/>
      <c r="M1496" s="45" t="s">
        <v>4688</v>
      </c>
    </row>
    <row r="1497" s="26" customFormat="1" ht="30" customHeight="1" spans="1:13">
      <c r="A1497" s="41">
        <f>IF(C1497="","",SUBTOTAL(103,$C$2:C1497))</f>
        <v>1488</v>
      </c>
      <c r="B1497" s="41">
        <v>8089</v>
      </c>
      <c r="C1497" s="41">
        <v>5541</v>
      </c>
      <c r="D1497" s="41" t="s">
        <v>45</v>
      </c>
      <c r="E1497" s="41" t="s">
        <v>1298</v>
      </c>
      <c r="F1497" s="41" t="s">
        <v>4535</v>
      </c>
      <c r="G1497" s="41" t="s">
        <v>4689</v>
      </c>
      <c r="H1497" s="41" t="s">
        <v>4690</v>
      </c>
      <c r="I1497" s="43">
        <v>12</v>
      </c>
      <c r="J1497" s="44" t="str">
        <f>VLOOKUP(G1497,[1]硬件清单!$F:$F,1,0)</f>
        <v>J33GHLC</v>
      </c>
      <c r="K1497" s="43"/>
      <c r="L1497" s="44"/>
      <c r="M1497" s="45" t="s">
        <v>4691</v>
      </c>
    </row>
    <row r="1498" s="26" customFormat="1" ht="30" customHeight="1" spans="1:13">
      <c r="A1498" s="41">
        <f>IF(C1498="","",SUBTOTAL(103,$C$2:C1498))</f>
        <v>1489</v>
      </c>
      <c r="B1498" s="41">
        <v>8090</v>
      </c>
      <c r="C1498" s="41">
        <v>5540</v>
      </c>
      <c r="D1498" s="41" t="s">
        <v>45</v>
      </c>
      <c r="E1498" s="41" t="s">
        <v>1298</v>
      </c>
      <c r="F1498" s="41" t="s">
        <v>4535</v>
      </c>
      <c r="G1498" s="41" t="s">
        <v>4692</v>
      </c>
      <c r="H1498" s="41" t="s">
        <v>4693</v>
      </c>
      <c r="I1498" s="43">
        <v>12</v>
      </c>
      <c r="J1498" s="44" t="str">
        <f>VLOOKUP(G1498,[1]硬件清单!$F:$F,1,0)</f>
        <v>J33GT1F</v>
      </c>
      <c r="K1498" s="43"/>
      <c r="L1498" s="44"/>
      <c r="M1498" s="45" t="s">
        <v>4694</v>
      </c>
    </row>
    <row r="1499" s="26" customFormat="1" ht="30" customHeight="1" spans="1:13">
      <c r="A1499" s="41">
        <f>IF(C1499="","",SUBTOTAL(103,$C$2:C1499))</f>
        <v>1490</v>
      </c>
      <c r="B1499" s="41">
        <v>8091</v>
      </c>
      <c r="C1499" s="41">
        <v>5539</v>
      </c>
      <c r="D1499" s="41" t="s">
        <v>45</v>
      </c>
      <c r="E1499" s="41" t="s">
        <v>1298</v>
      </c>
      <c r="F1499" s="41" t="s">
        <v>4535</v>
      </c>
      <c r="G1499" s="41" t="s">
        <v>4695</v>
      </c>
      <c r="H1499" s="41" t="s">
        <v>4696</v>
      </c>
      <c r="I1499" s="43">
        <v>12</v>
      </c>
      <c r="J1499" s="44" t="str">
        <f>VLOOKUP(G1499,[1]硬件清单!$F:$F,1,0)</f>
        <v>J33GHM3</v>
      </c>
      <c r="K1499" s="43"/>
      <c r="L1499" s="44"/>
      <c r="M1499" s="45" t="s">
        <v>4697</v>
      </c>
    </row>
    <row r="1500" s="26" customFormat="1" ht="30" customHeight="1" spans="1:13">
      <c r="A1500" s="41">
        <f>IF(C1500="","",SUBTOTAL(103,$C$2:C1500))</f>
        <v>1491</v>
      </c>
      <c r="B1500" s="41">
        <v>8092</v>
      </c>
      <c r="C1500" s="41">
        <v>5538</v>
      </c>
      <c r="D1500" s="41" t="s">
        <v>45</v>
      </c>
      <c r="E1500" s="41" t="s">
        <v>1298</v>
      </c>
      <c r="F1500" s="41" t="s">
        <v>4535</v>
      </c>
      <c r="G1500" s="41" t="s">
        <v>4698</v>
      </c>
      <c r="H1500" s="41" t="s">
        <v>4699</v>
      </c>
      <c r="I1500" s="43">
        <v>12</v>
      </c>
      <c r="J1500" s="44" t="str">
        <f>VLOOKUP(G1500,[1]硬件清单!$F:$F,1,0)</f>
        <v>J33GT0W</v>
      </c>
      <c r="K1500" s="43"/>
      <c r="L1500" s="44"/>
      <c r="M1500" s="45" t="s">
        <v>4700</v>
      </c>
    </row>
    <row r="1501" s="26" customFormat="1" ht="30" customHeight="1" spans="1:13">
      <c r="A1501" s="41">
        <f>IF(C1501="","",SUBTOTAL(103,$C$2:C1501))</f>
        <v>1492</v>
      </c>
      <c r="B1501" s="41">
        <v>8093</v>
      </c>
      <c r="C1501" s="41">
        <v>5537</v>
      </c>
      <c r="D1501" s="41" t="s">
        <v>45</v>
      </c>
      <c r="E1501" s="41" t="s">
        <v>1298</v>
      </c>
      <c r="F1501" s="41" t="s">
        <v>4535</v>
      </c>
      <c r="G1501" s="41" t="s">
        <v>4701</v>
      </c>
      <c r="H1501" s="41" t="s">
        <v>4702</v>
      </c>
      <c r="I1501" s="43">
        <v>12</v>
      </c>
      <c r="J1501" s="44" t="str">
        <f>VLOOKUP(G1501,[1]硬件清单!$F:$F,1,0)</f>
        <v>J33GT0F</v>
      </c>
      <c r="K1501" s="43"/>
      <c r="L1501" s="44"/>
      <c r="M1501" s="45" t="s">
        <v>4703</v>
      </c>
    </row>
    <row r="1502" s="26" customFormat="1" ht="30" customHeight="1" spans="1:13">
      <c r="A1502" s="41">
        <f>IF(C1502="","",SUBTOTAL(103,$C$2:C1502))</f>
        <v>1493</v>
      </c>
      <c r="B1502" s="41">
        <v>8097</v>
      </c>
      <c r="C1502" s="41">
        <v>5398</v>
      </c>
      <c r="D1502" s="41" t="s">
        <v>45</v>
      </c>
      <c r="E1502" s="41" t="s">
        <v>1298</v>
      </c>
      <c r="F1502" s="41" t="s">
        <v>4535</v>
      </c>
      <c r="G1502" s="41" t="s">
        <v>4704</v>
      </c>
      <c r="H1502" s="41" t="s">
        <v>4705</v>
      </c>
      <c r="I1502" s="43">
        <v>12</v>
      </c>
      <c r="J1502" s="44" t="str">
        <f>VLOOKUP(G1502,[1]硬件清单!$F:$F,1,0)</f>
        <v>J33GT2A</v>
      </c>
      <c r="K1502" s="43"/>
      <c r="L1502" s="44"/>
      <c r="M1502" s="45" t="s">
        <v>4706</v>
      </c>
    </row>
    <row r="1503" s="26" customFormat="1" ht="30" customHeight="1" spans="1:13">
      <c r="A1503" s="41">
        <f>IF(C1503="","",SUBTOTAL(103,$C$2:C1503))</f>
        <v>1494</v>
      </c>
      <c r="B1503" s="41">
        <v>8098</v>
      </c>
      <c r="C1503" s="41">
        <v>5397</v>
      </c>
      <c r="D1503" s="41" t="s">
        <v>45</v>
      </c>
      <c r="E1503" s="41" t="s">
        <v>1298</v>
      </c>
      <c r="F1503" s="41" t="s">
        <v>4535</v>
      </c>
      <c r="G1503" s="41" t="s">
        <v>4707</v>
      </c>
      <c r="H1503" s="41" t="s">
        <v>4708</v>
      </c>
      <c r="I1503" s="43">
        <v>12</v>
      </c>
      <c r="J1503" s="44" t="str">
        <f>VLOOKUP(G1503,[1]硬件清单!$F:$F,1,0)</f>
        <v>J33GHLZ</v>
      </c>
      <c r="K1503" s="43"/>
      <c r="L1503" s="44"/>
      <c r="M1503" s="45" t="s">
        <v>4709</v>
      </c>
    </row>
    <row r="1504" s="26" customFormat="1" ht="30" customHeight="1" spans="1:13">
      <c r="A1504" s="41">
        <f>IF(C1504="","",SUBTOTAL(103,$C$2:C1504))</f>
        <v>1495</v>
      </c>
      <c r="B1504" s="41">
        <v>8099</v>
      </c>
      <c r="C1504" s="41">
        <v>5396</v>
      </c>
      <c r="D1504" s="41" t="s">
        <v>45</v>
      </c>
      <c r="E1504" s="41" t="s">
        <v>1298</v>
      </c>
      <c r="F1504" s="41" t="s">
        <v>4535</v>
      </c>
      <c r="G1504" s="41" t="s">
        <v>4710</v>
      </c>
      <c r="H1504" s="41" t="s">
        <v>4711</v>
      </c>
      <c r="I1504" s="43">
        <v>12</v>
      </c>
      <c r="J1504" s="44" t="str">
        <f>VLOOKUP(G1504,[1]硬件清单!$F:$F,1,0)</f>
        <v>J33GHN6</v>
      </c>
      <c r="K1504" s="43"/>
      <c r="L1504" s="44"/>
      <c r="M1504" s="45" t="s">
        <v>4712</v>
      </c>
    </row>
    <row r="1505" s="26" customFormat="1" ht="30" customHeight="1" spans="1:13">
      <c r="A1505" s="41">
        <f>IF(C1505="","",SUBTOTAL(103,$C$2:C1505))</f>
        <v>1496</v>
      </c>
      <c r="B1505" s="41">
        <v>8100</v>
      </c>
      <c r="C1505" s="41">
        <v>5603</v>
      </c>
      <c r="D1505" s="41" t="s">
        <v>45</v>
      </c>
      <c r="E1505" s="41" t="s">
        <v>1298</v>
      </c>
      <c r="F1505" s="41" t="s">
        <v>4535</v>
      </c>
      <c r="G1505" s="41" t="s">
        <v>4713</v>
      </c>
      <c r="H1505" s="41" t="s">
        <v>4714</v>
      </c>
      <c r="I1505" s="43">
        <v>12</v>
      </c>
      <c r="J1505" s="44" t="str">
        <f>VLOOKUP(G1505,[1]硬件清单!$F:$F,1,0)</f>
        <v>J33GT17</v>
      </c>
      <c r="K1505" s="43"/>
      <c r="L1505" s="44"/>
      <c r="M1505" s="45" t="s">
        <v>4715</v>
      </c>
    </row>
    <row r="1506" s="26" customFormat="1" ht="30" customHeight="1" spans="1:13">
      <c r="A1506" s="41">
        <f>IF(C1506="","",SUBTOTAL(103,$C$2:C1506))</f>
        <v>1497</v>
      </c>
      <c r="B1506" s="41">
        <v>8101</v>
      </c>
      <c r="C1506" s="41">
        <v>5602</v>
      </c>
      <c r="D1506" s="41" t="s">
        <v>45</v>
      </c>
      <c r="E1506" s="41" t="s">
        <v>1298</v>
      </c>
      <c r="F1506" s="41" t="s">
        <v>4535</v>
      </c>
      <c r="G1506" s="41" t="s">
        <v>4716</v>
      </c>
      <c r="H1506" s="41" t="s">
        <v>4717</v>
      </c>
      <c r="I1506" s="43">
        <v>12</v>
      </c>
      <c r="J1506" s="44" t="str">
        <f>VLOOKUP(G1506,[1]硬件清单!$F:$F,1,0)</f>
        <v>J33GT13</v>
      </c>
      <c r="K1506" s="43"/>
      <c r="L1506" s="44"/>
      <c r="M1506" s="45" t="s">
        <v>4718</v>
      </c>
    </row>
    <row r="1507" s="26" customFormat="1" ht="30" customHeight="1" spans="1:13">
      <c r="A1507" s="41">
        <f>IF(C1507="","",SUBTOTAL(103,$C$2:C1507))</f>
        <v>1498</v>
      </c>
      <c r="B1507" s="41">
        <v>8102</v>
      </c>
      <c r="C1507" s="41">
        <v>5564</v>
      </c>
      <c r="D1507" s="41" t="s">
        <v>45</v>
      </c>
      <c r="E1507" s="41" t="s">
        <v>1298</v>
      </c>
      <c r="F1507" s="41" t="s">
        <v>4535</v>
      </c>
      <c r="G1507" s="41" t="s">
        <v>4719</v>
      </c>
      <c r="H1507" s="41" t="s">
        <v>4720</v>
      </c>
      <c r="I1507" s="43">
        <v>12</v>
      </c>
      <c r="J1507" s="44" t="str">
        <f>VLOOKUP(G1507,[1]硬件清单!$F:$F,1,0)</f>
        <v>J33GT0H</v>
      </c>
      <c r="K1507" s="43"/>
      <c r="L1507" s="44"/>
      <c r="M1507" s="45" t="s">
        <v>4721</v>
      </c>
    </row>
    <row r="1508" s="26" customFormat="1" ht="30" customHeight="1" spans="1:13">
      <c r="A1508" s="41">
        <f>IF(C1508="","",SUBTOTAL(103,$C$2:C1508))</f>
        <v>1499</v>
      </c>
      <c r="B1508" s="41">
        <v>8103</v>
      </c>
      <c r="C1508" s="41">
        <v>5563</v>
      </c>
      <c r="D1508" s="41" t="s">
        <v>45</v>
      </c>
      <c r="E1508" s="41" t="s">
        <v>1298</v>
      </c>
      <c r="F1508" s="41" t="s">
        <v>4535</v>
      </c>
      <c r="G1508" s="41" t="s">
        <v>4722</v>
      </c>
      <c r="H1508" s="41" t="s">
        <v>4723</v>
      </c>
      <c r="I1508" s="43">
        <v>12</v>
      </c>
      <c r="J1508" s="44" t="str">
        <f>VLOOKUP(G1508,[1]硬件清单!$F:$F,1,0)</f>
        <v>J33GT11</v>
      </c>
      <c r="K1508" s="43"/>
      <c r="L1508" s="44"/>
      <c r="M1508" s="45" t="s">
        <v>4724</v>
      </c>
    </row>
    <row r="1509" s="26" customFormat="1" ht="30" customHeight="1" spans="1:13">
      <c r="A1509" s="41">
        <f>IF(C1509="","",SUBTOTAL(103,$C$2:C1509))</f>
        <v>1500</v>
      </c>
      <c r="B1509" s="41">
        <v>8104</v>
      </c>
      <c r="C1509" s="41">
        <v>5562</v>
      </c>
      <c r="D1509" s="41" t="s">
        <v>45</v>
      </c>
      <c r="E1509" s="41" t="s">
        <v>1298</v>
      </c>
      <c r="F1509" s="41" t="s">
        <v>4535</v>
      </c>
      <c r="G1509" s="41" t="s">
        <v>4725</v>
      </c>
      <c r="H1509" s="41" t="s">
        <v>4726</v>
      </c>
      <c r="I1509" s="43">
        <v>12</v>
      </c>
      <c r="J1509" s="44" t="str">
        <f>VLOOKUP(G1509,[1]硬件清单!$F:$F,1,0)</f>
        <v>J33GT2P</v>
      </c>
      <c r="K1509" s="43"/>
      <c r="L1509" s="44"/>
      <c r="M1509" s="45" t="s">
        <v>4727</v>
      </c>
    </row>
    <row r="1510" s="26" customFormat="1" ht="30" customHeight="1" spans="1:13">
      <c r="A1510" s="41">
        <f>IF(C1510="","",SUBTOTAL(103,$C$2:C1510))</f>
        <v>1501</v>
      </c>
      <c r="B1510" s="41">
        <v>8105</v>
      </c>
      <c r="C1510" s="41">
        <v>5607</v>
      </c>
      <c r="D1510" s="41" t="s">
        <v>45</v>
      </c>
      <c r="E1510" s="41" t="s">
        <v>1298</v>
      </c>
      <c r="F1510" s="41" t="s">
        <v>4535</v>
      </c>
      <c r="G1510" s="41" t="s">
        <v>4728</v>
      </c>
      <c r="H1510" s="41" t="s">
        <v>4729</v>
      </c>
      <c r="I1510" s="43">
        <v>12</v>
      </c>
      <c r="J1510" s="44" t="str">
        <f>VLOOKUP(G1510,[1]硬件清单!$F:$F,1,0)</f>
        <v>J33GT02</v>
      </c>
      <c r="K1510" s="43"/>
      <c r="L1510" s="44"/>
      <c r="M1510" s="45" t="s">
        <v>4730</v>
      </c>
    </row>
    <row r="1511" s="26" customFormat="1" ht="30" customHeight="1" spans="1:13">
      <c r="A1511" s="41">
        <f>IF(C1511="","",SUBTOTAL(103,$C$2:C1511))</f>
        <v>1502</v>
      </c>
      <c r="B1511" s="41">
        <v>8106</v>
      </c>
      <c r="C1511" s="41">
        <v>5606</v>
      </c>
      <c r="D1511" s="41" t="s">
        <v>45</v>
      </c>
      <c r="E1511" s="41" t="s">
        <v>1298</v>
      </c>
      <c r="F1511" s="41" t="s">
        <v>4535</v>
      </c>
      <c r="G1511" s="41" t="s">
        <v>4731</v>
      </c>
      <c r="H1511" s="41" t="s">
        <v>4732</v>
      </c>
      <c r="I1511" s="43">
        <v>12</v>
      </c>
      <c r="J1511" s="44" t="str">
        <f>VLOOKUP(G1511,[1]硬件清单!$F:$F,1,0)</f>
        <v>J33GT2X</v>
      </c>
      <c r="K1511" s="43"/>
      <c r="L1511" s="44"/>
      <c r="M1511" s="45" t="s">
        <v>4733</v>
      </c>
    </row>
    <row r="1512" s="26" customFormat="1" ht="30" customHeight="1" spans="1:13">
      <c r="A1512" s="41">
        <f>IF(C1512="","",SUBTOTAL(103,$C$2:C1512))</f>
        <v>1503</v>
      </c>
      <c r="B1512" s="41">
        <v>8107</v>
      </c>
      <c r="C1512" s="41">
        <v>5560</v>
      </c>
      <c r="D1512" s="41" t="s">
        <v>45</v>
      </c>
      <c r="E1512" s="41" t="s">
        <v>1298</v>
      </c>
      <c r="F1512" s="41" t="s">
        <v>4535</v>
      </c>
      <c r="G1512" s="41" t="s">
        <v>4734</v>
      </c>
      <c r="H1512" s="41" t="s">
        <v>4735</v>
      </c>
      <c r="I1512" s="43">
        <v>12</v>
      </c>
      <c r="J1512" s="44" t="str">
        <f>VLOOKUP(G1512,[1]硬件清单!$F:$F,1,0)</f>
        <v>J33GHMD</v>
      </c>
      <c r="K1512" s="43"/>
      <c r="L1512" s="44"/>
      <c r="M1512" s="45" t="s">
        <v>4736</v>
      </c>
    </row>
    <row r="1513" s="26" customFormat="1" ht="30" customHeight="1" spans="1:13">
      <c r="A1513" s="41">
        <f>IF(C1513="","",SUBTOTAL(103,$C$2:C1513))</f>
        <v>1504</v>
      </c>
      <c r="B1513" s="41">
        <v>8108</v>
      </c>
      <c r="C1513" s="41">
        <v>5559</v>
      </c>
      <c r="D1513" s="41" t="s">
        <v>45</v>
      </c>
      <c r="E1513" s="41" t="s">
        <v>1298</v>
      </c>
      <c r="F1513" s="41" t="s">
        <v>4535</v>
      </c>
      <c r="G1513" s="41" t="s">
        <v>4737</v>
      </c>
      <c r="H1513" s="41" t="s">
        <v>4738</v>
      </c>
      <c r="I1513" s="43">
        <v>12</v>
      </c>
      <c r="J1513" s="44" t="str">
        <f>VLOOKUP(G1513,[1]硬件清单!$F:$F,1,0)</f>
        <v>J33GT1M</v>
      </c>
      <c r="K1513" s="43"/>
      <c r="L1513" s="44"/>
      <c r="M1513" s="45" t="s">
        <v>4739</v>
      </c>
    </row>
    <row r="1514" s="26" customFormat="1" ht="30" customHeight="1" spans="1:13">
      <c r="A1514" s="41">
        <f>IF(C1514="","",SUBTOTAL(103,$C$2:C1514))</f>
        <v>1505</v>
      </c>
      <c r="B1514" s="41">
        <v>8109</v>
      </c>
      <c r="C1514" s="41">
        <v>5558</v>
      </c>
      <c r="D1514" s="41" t="s">
        <v>45</v>
      </c>
      <c r="E1514" s="41" t="s">
        <v>1298</v>
      </c>
      <c r="F1514" s="41" t="s">
        <v>4535</v>
      </c>
      <c r="G1514" s="41" t="s">
        <v>4740</v>
      </c>
      <c r="H1514" s="41" t="s">
        <v>4741</v>
      </c>
      <c r="I1514" s="43">
        <v>12</v>
      </c>
      <c r="J1514" s="44" t="str">
        <f>VLOOKUP(G1514,[1]硬件清单!$F:$F,1,0)</f>
        <v>J33GT10</v>
      </c>
      <c r="K1514" s="43"/>
      <c r="L1514" s="44"/>
      <c r="M1514" s="45" t="s">
        <v>4742</v>
      </c>
    </row>
    <row r="1515" s="26" customFormat="1" ht="30" customHeight="1" spans="1:13">
      <c r="A1515" s="41">
        <f>IF(C1515="","",SUBTOTAL(103,$C$2:C1515))</f>
        <v>1506</v>
      </c>
      <c r="B1515" s="41">
        <v>8110</v>
      </c>
      <c r="C1515" s="41">
        <v>5557</v>
      </c>
      <c r="D1515" s="41" t="s">
        <v>45</v>
      </c>
      <c r="E1515" s="41" t="s">
        <v>1298</v>
      </c>
      <c r="F1515" s="41" t="s">
        <v>4535</v>
      </c>
      <c r="G1515" s="41" t="s">
        <v>4743</v>
      </c>
      <c r="H1515" s="41" t="s">
        <v>4744</v>
      </c>
      <c r="I1515" s="43">
        <v>12</v>
      </c>
      <c r="J1515" s="44" t="str">
        <f>VLOOKUP(G1515,[1]硬件清单!$F:$F,1,0)</f>
        <v>J33GT1A</v>
      </c>
      <c r="K1515" s="43"/>
      <c r="L1515" s="44"/>
      <c r="M1515" s="45" t="s">
        <v>4745</v>
      </c>
    </row>
    <row r="1516" s="26" customFormat="1" ht="30" customHeight="1" spans="1:13">
      <c r="A1516" s="41">
        <f>IF(C1516="","",SUBTOTAL(103,$C$2:C1516))</f>
        <v>1507</v>
      </c>
      <c r="B1516" s="41">
        <v>8113</v>
      </c>
      <c r="C1516" s="41">
        <v>5478</v>
      </c>
      <c r="D1516" s="41" t="s">
        <v>45</v>
      </c>
      <c r="E1516" s="41" t="s">
        <v>1298</v>
      </c>
      <c r="F1516" s="41" t="s">
        <v>4535</v>
      </c>
      <c r="G1516" s="41" t="s">
        <v>4746</v>
      </c>
      <c r="H1516" s="41" t="s">
        <v>4747</v>
      </c>
      <c r="I1516" s="43">
        <v>12</v>
      </c>
      <c r="J1516" s="44" t="str">
        <f>VLOOKUP(G1516,[1]硬件清单!$F:$F,1,0)</f>
        <v>J33GRZT</v>
      </c>
      <c r="K1516" s="43"/>
      <c r="L1516" s="44"/>
      <c r="M1516" s="45" t="s">
        <v>4748</v>
      </c>
    </row>
    <row r="1517" s="26" customFormat="1" ht="30" customHeight="1" spans="1:13">
      <c r="A1517" s="41">
        <f>IF(C1517="","",SUBTOTAL(103,$C$2:C1517))</f>
        <v>1508</v>
      </c>
      <c r="B1517" s="41">
        <v>8114</v>
      </c>
      <c r="C1517" s="41">
        <v>5477</v>
      </c>
      <c r="D1517" s="41" t="s">
        <v>45</v>
      </c>
      <c r="E1517" s="41" t="s">
        <v>1298</v>
      </c>
      <c r="F1517" s="41" t="s">
        <v>4535</v>
      </c>
      <c r="G1517" s="41" t="s">
        <v>4749</v>
      </c>
      <c r="H1517" s="41" t="s">
        <v>4750</v>
      </c>
      <c r="I1517" s="43">
        <v>12</v>
      </c>
      <c r="J1517" s="44" t="str">
        <f>VLOOKUP(G1517,[1]硬件清单!$F:$F,1,0)</f>
        <v>J33GRZF</v>
      </c>
      <c r="K1517" s="43"/>
      <c r="L1517" s="44"/>
      <c r="M1517" s="45" t="s">
        <v>4751</v>
      </c>
    </row>
    <row r="1518" s="26" customFormat="1" ht="30" customHeight="1" spans="1:13">
      <c r="A1518" s="41">
        <f>IF(C1518="","",SUBTOTAL(103,$C$2:C1518))</f>
        <v>1509</v>
      </c>
      <c r="B1518" s="41">
        <v>8115</v>
      </c>
      <c r="C1518" s="41">
        <v>5496</v>
      </c>
      <c r="D1518" s="41" t="s">
        <v>45</v>
      </c>
      <c r="E1518" s="41" t="s">
        <v>1298</v>
      </c>
      <c r="F1518" s="41" t="s">
        <v>4535</v>
      </c>
      <c r="G1518" s="41" t="s">
        <v>4752</v>
      </c>
      <c r="H1518" s="41" t="s">
        <v>4753</v>
      </c>
      <c r="I1518" s="43">
        <v>12</v>
      </c>
      <c r="J1518" s="44" t="str">
        <f>VLOOKUP(G1518,[1]硬件清单!$F:$F,1,0)</f>
        <v>J33GT1B</v>
      </c>
      <c r="K1518" s="43"/>
      <c r="L1518" s="44"/>
      <c r="M1518" s="45" t="s">
        <v>4754</v>
      </c>
    </row>
    <row r="1519" s="26" customFormat="1" ht="30" customHeight="1" spans="1:13">
      <c r="A1519" s="41">
        <f>IF(C1519="","",SUBTOTAL(103,$C$2:C1519))</f>
        <v>1510</v>
      </c>
      <c r="B1519" s="41">
        <v>8116</v>
      </c>
      <c r="C1519" s="41">
        <v>5495</v>
      </c>
      <c r="D1519" s="41" t="s">
        <v>45</v>
      </c>
      <c r="E1519" s="41" t="s">
        <v>1298</v>
      </c>
      <c r="F1519" s="41" t="s">
        <v>4535</v>
      </c>
      <c r="G1519" s="41" t="s">
        <v>4755</v>
      </c>
      <c r="H1519" s="41" t="s">
        <v>4756</v>
      </c>
      <c r="I1519" s="43">
        <v>12</v>
      </c>
      <c r="J1519" s="44" t="str">
        <f>VLOOKUP(G1519,[1]硬件清单!$F:$F,1,0)</f>
        <v>J33GT09</v>
      </c>
      <c r="K1519" s="43"/>
      <c r="L1519" s="44"/>
      <c r="M1519" s="45" t="s">
        <v>4757</v>
      </c>
    </row>
    <row r="1520" s="26" customFormat="1" ht="30" customHeight="1" spans="1:13">
      <c r="A1520" s="41">
        <f>IF(C1520="","",SUBTOTAL(103,$C$2:C1520))</f>
        <v>1511</v>
      </c>
      <c r="B1520" s="41">
        <v>8117</v>
      </c>
      <c r="C1520" s="41">
        <v>5408</v>
      </c>
      <c r="D1520" s="41" t="s">
        <v>45</v>
      </c>
      <c r="E1520" s="41" t="s">
        <v>1298</v>
      </c>
      <c r="F1520" s="41" t="s">
        <v>4535</v>
      </c>
      <c r="G1520" s="41" t="s">
        <v>4758</v>
      </c>
      <c r="H1520" s="41" t="s">
        <v>4759</v>
      </c>
      <c r="I1520" s="43">
        <v>12</v>
      </c>
      <c r="J1520" s="44" t="str">
        <f>VLOOKUP(G1520,[1]硬件清单!$F:$F,1,0)</f>
        <v>J33GRZZ</v>
      </c>
      <c r="K1520" s="43"/>
      <c r="L1520" s="44"/>
      <c r="M1520" s="45" t="s">
        <v>4760</v>
      </c>
    </row>
    <row r="1521" s="26" customFormat="1" ht="30" customHeight="1" spans="1:13">
      <c r="A1521" s="41">
        <f>IF(C1521="","",SUBTOTAL(103,$C$2:C1521))</f>
        <v>1512</v>
      </c>
      <c r="B1521" s="41">
        <v>8118</v>
      </c>
      <c r="C1521" s="41">
        <v>5407</v>
      </c>
      <c r="D1521" s="41" t="s">
        <v>45</v>
      </c>
      <c r="E1521" s="41" t="s">
        <v>1298</v>
      </c>
      <c r="F1521" s="41" t="s">
        <v>4535</v>
      </c>
      <c r="G1521" s="41" t="s">
        <v>4761</v>
      </c>
      <c r="H1521" s="41" t="s">
        <v>4762</v>
      </c>
      <c r="I1521" s="43">
        <v>12</v>
      </c>
      <c r="J1521" s="44" t="str">
        <f>VLOOKUP(G1521,[1]硬件清单!$F:$F,1,0)</f>
        <v>J33GT31</v>
      </c>
      <c r="K1521" s="43"/>
      <c r="L1521" s="44"/>
      <c r="M1521" s="45" t="s">
        <v>4763</v>
      </c>
    </row>
    <row r="1522" s="26" customFormat="1" ht="30" customHeight="1" spans="1:13">
      <c r="A1522" s="41">
        <f>IF(C1522="","",SUBTOTAL(103,$C$2:C1522))</f>
        <v>1513</v>
      </c>
      <c r="B1522" s="41">
        <v>8119</v>
      </c>
      <c r="C1522" s="41">
        <v>5406</v>
      </c>
      <c r="D1522" s="41" t="s">
        <v>45</v>
      </c>
      <c r="E1522" s="41" t="s">
        <v>1298</v>
      </c>
      <c r="F1522" s="41" t="s">
        <v>4535</v>
      </c>
      <c r="G1522" s="41" t="s">
        <v>4764</v>
      </c>
      <c r="H1522" s="41" t="s">
        <v>4765</v>
      </c>
      <c r="I1522" s="43">
        <v>12</v>
      </c>
      <c r="J1522" s="44" t="str">
        <f>VLOOKUP(G1522,[1]硬件清单!$F:$F,1,0)</f>
        <v>J33GT1Z</v>
      </c>
      <c r="K1522" s="43"/>
      <c r="L1522" s="44"/>
      <c r="M1522" s="45" t="s">
        <v>4766</v>
      </c>
    </row>
    <row r="1523" s="26" customFormat="1" ht="30" customHeight="1" spans="1:13">
      <c r="A1523" s="41">
        <f>IF(C1523="","",SUBTOTAL(103,$C$2:C1523))</f>
        <v>1514</v>
      </c>
      <c r="B1523" s="41">
        <v>8120</v>
      </c>
      <c r="C1523" s="41">
        <v>5405</v>
      </c>
      <c r="D1523" s="41" t="s">
        <v>45</v>
      </c>
      <c r="E1523" s="41" t="s">
        <v>1298</v>
      </c>
      <c r="F1523" s="41" t="s">
        <v>4535</v>
      </c>
      <c r="G1523" s="41" t="s">
        <v>4767</v>
      </c>
      <c r="H1523" s="41" t="s">
        <v>4768</v>
      </c>
      <c r="I1523" s="43">
        <v>12</v>
      </c>
      <c r="J1523" s="44" t="str">
        <f>VLOOKUP(G1523,[1]硬件清单!$F:$F,1,0)</f>
        <v>J33GT26</v>
      </c>
      <c r="K1523" s="43"/>
      <c r="L1523" s="44"/>
      <c r="M1523" s="45" t="s">
        <v>4769</v>
      </c>
    </row>
    <row r="1524" s="26" customFormat="1" ht="30" customHeight="1" spans="1:13">
      <c r="A1524" s="41">
        <f>IF(C1524="","",SUBTOTAL(103,$C$2:C1524))</f>
        <v>1515</v>
      </c>
      <c r="B1524" s="41">
        <v>8121</v>
      </c>
      <c r="C1524" s="41">
        <v>5404</v>
      </c>
      <c r="D1524" s="41" t="s">
        <v>45</v>
      </c>
      <c r="E1524" s="41" t="s">
        <v>1298</v>
      </c>
      <c r="F1524" s="41" t="s">
        <v>4535</v>
      </c>
      <c r="G1524" s="41" t="s">
        <v>4770</v>
      </c>
      <c r="H1524" s="41" t="s">
        <v>4771</v>
      </c>
      <c r="I1524" s="43">
        <v>12</v>
      </c>
      <c r="J1524" s="44" t="str">
        <f>VLOOKUP(G1524,[1]硬件清单!$F:$F,1,0)</f>
        <v>J33GRZY</v>
      </c>
      <c r="K1524" s="43"/>
      <c r="L1524" s="44"/>
      <c r="M1524" s="45" t="s">
        <v>4772</v>
      </c>
    </row>
    <row r="1525" s="26" customFormat="1" ht="30" customHeight="1" spans="1:13">
      <c r="A1525" s="41">
        <f>IF(C1525="","",SUBTOTAL(103,$C$2:C1525))</f>
        <v>1516</v>
      </c>
      <c r="B1525" s="41">
        <v>8122</v>
      </c>
      <c r="C1525" s="41">
        <v>5403</v>
      </c>
      <c r="D1525" s="41" t="s">
        <v>45</v>
      </c>
      <c r="E1525" s="41" t="s">
        <v>1298</v>
      </c>
      <c r="F1525" s="41" t="s">
        <v>4535</v>
      </c>
      <c r="G1525" s="41" t="s">
        <v>4773</v>
      </c>
      <c r="H1525" s="41" t="s">
        <v>4774</v>
      </c>
      <c r="I1525" s="43">
        <v>12</v>
      </c>
      <c r="J1525" s="44" t="str">
        <f>VLOOKUP(G1525,[1]硬件清单!$F:$F,1,0)</f>
        <v>J33GT0A</v>
      </c>
      <c r="K1525" s="43"/>
      <c r="L1525" s="44"/>
      <c r="M1525" s="45" t="s">
        <v>4775</v>
      </c>
    </row>
    <row r="1526" s="26" customFormat="1" ht="30" customHeight="1" spans="1:13">
      <c r="A1526" s="41">
        <f>IF(C1526="","",SUBTOTAL(103,$C$2:C1526))</f>
        <v>1517</v>
      </c>
      <c r="B1526" s="41">
        <v>8124</v>
      </c>
      <c r="C1526" s="41">
        <v>5402</v>
      </c>
      <c r="D1526" s="41" t="s">
        <v>45</v>
      </c>
      <c r="E1526" s="41" t="s">
        <v>1298</v>
      </c>
      <c r="F1526" s="41" t="s">
        <v>4535</v>
      </c>
      <c r="G1526" s="41" t="s">
        <v>4776</v>
      </c>
      <c r="H1526" s="41" t="s">
        <v>4777</v>
      </c>
      <c r="I1526" s="43">
        <v>12</v>
      </c>
      <c r="J1526" s="44" t="str">
        <f>VLOOKUP(G1526,[1]硬件清单!$F:$F,1,0)</f>
        <v>J33GT21</v>
      </c>
      <c r="K1526" s="43"/>
      <c r="L1526" s="44"/>
      <c r="M1526" s="45" t="s">
        <v>4778</v>
      </c>
    </row>
    <row r="1527" s="26" customFormat="1" ht="30" customHeight="1" spans="1:13">
      <c r="A1527" s="41">
        <f>IF(C1527="","",SUBTOTAL(103,$C$2:C1527))</f>
        <v>1518</v>
      </c>
      <c r="B1527" s="41">
        <v>8125</v>
      </c>
      <c r="C1527" s="41">
        <v>5401</v>
      </c>
      <c r="D1527" s="41" t="s">
        <v>45</v>
      </c>
      <c r="E1527" s="41" t="s">
        <v>1298</v>
      </c>
      <c r="F1527" s="41" t="s">
        <v>4535</v>
      </c>
      <c r="G1527" s="41" t="s">
        <v>4779</v>
      </c>
      <c r="H1527" s="41" t="s">
        <v>4780</v>
      </c>
      <c r="I1527" s="43">
        <v>12</v>
      </c>
      <c r="J1527" s="44" t="str">
        <f>VLOOKUP(G1527,[1]硬件清单!$F:$F,1,0)</f>
        <v>J33GT0Z</v>
      </c>
      <c r="K1527" s="43"/>
      <c r="L1527" s="44"/>
      <c r="M1527" s="45" t="s">
        <v>4781</v>
      </c>
    </row>
    <row r="1528" s="26" customFormat="1" ht="30" customHeight="1" spans="1:13">
      <c r="A1528" s="41">
        <f>IF(C1528="","",SUBTOTAL(103,$C$2:C1528))</f>
        <v>1519</v>
      </c>
      <c r="B1528" s="41">
        <v>8126</v>
      </c>
      <c r="C1528" s="41">
        <v>5400</v>
      </c>
      <c r="D1528" s="41" t="s">
        <v>45</v>
      </c>
      <c r="E1528" s="41" t="s">
        <v>1298</v>
      </c>
      <c r="F1528" s="41" t="s">
        <v>4535</v>
      </c>
      <c r="G1528" s="41" t="s">
        <v>4782</v>
      </c>
      <c r="H1528" s="41" t="s">
        <v>4783</v>
      </c>
      <c r="I1528" s="43">
        <v>12</v>
      </c>
      <c r="J1528" s="44" t="str">
        <f>VLOOKUP(G1528,[1]硬件清单!$F:$F,1,0)</f>
        <v>J33GT16</v>
      </c>
      <c r="K1528" s="43"/>
      <c r="L1528" s="44"/>
      <c r="M1528" s="45" t="s">
        <v>4784</v>
      </c>
    </row>
    <row r="1529" s="26" customFormat="1" ht="30" customHeight="1" spans="1:13">
      <c r="A1529" s="41">
        <f>IF(C1529="","",SUBTOTAL(103,$C$2:C1529))</f>
        <v>1520</v>
      </c>
      <c r="B1529" s="41">
        <v>8127</v>
      </c>
      <c r="C1529" s="41">
        <v>5399</v>
      </c>
      <c r="D1529" s="41" t="s">
        <v>45</v>
      </c>
      <c r="E1529" s="41" t="s">
        <v>1298</v>
      </c>
      <c r="F1529" s="41" t="s">
        <v>4535</v>
      </c>
      <c r="G1529" s="41" t="s">
        <v>4785</v>
      </c>
      <c r="H1529" s="41" t="s">
        <v>4786</v>
      </c>
      <c r="I1529" s="43">
        <v>12</v>
      </c>
      <c r="J1529" s="44" t="str">
        <f>VLOOKUP(G1529,[1]硬件清单!$F:$F,1,0)</f>
        <v>J33GHM6</v>
      </c>
      <c r="K1529" s="43"/>
      <c r="L1529" s="44"/>
      <c r="M1529" s="45" t="s">
        <v>4787</v>
      </c>
    </row>
    <row r="1530" s="26" customFormat="1" ht="30" customHeight="1" spans="1:13">
      <c r="A1530" s="41">
        <f>IF(C1530="","",SUBTOTAL(103,$C$2:C1530))</f>
        <v>1521</v>
      </c>
      <c r="B1530" s="41">
        <v>8131</v>
      </c>
      <c r="C1530" s="41">
        <v>5384</v>
      </c>
      <c r="D1530" s="41" t="s">
        <v>45</v>
      </c>
      <c r="E1530" s="41" t="s">
        <v>1298</v>
      </c>
      <c r="F1530" s="41" t="s">
        <v>4535</v>
      </c>
      <c r="G1530" s="41" t="s">
        <v>4788</v>
      </c>
      <c r="H1530" s="41" t="s">
        <v>4789</v>
      </c>
      <c r="I1530" s="43">
        <v>12</v>
      </c>
      <c r="J1530" s="44" t="str">
        <f>VLOOKUP(G1530,[1]硬件清单!$F:$F,1,0)</f>
        <v>J33GT2Z</v>
      </c>
      <c r="K1530" s="43"/>
      <c r="L1530" s="44"/>
      <c r="M1530" s="45" t="s">
        <v>4790</v>
      </c>
    </row>
    <row r="1531" s="26" customFormat="1" ht="30" customHeight="1" spans="1:13">
      <c r="A1531" s="41">
        <f>IF(C1531="","",SUBTOTAL(103,$C$2:C1531))</f>
        <v>1522</v>
      </c>
      <c r="B1531" s="41">
        <v>8132</v>
      </c>
      <c r="C1531" s="41">
        <v>5482</v>
      </c>
      <c r="D1531" s="41" t="s">
        <v>45</v>
      </c>
      <c r="E1531" s="41" t="s">
        <v>1298</v>
      </c>
      <c r="F1531" s="41" t="s">
        <v>4535</v>
      </c>
      <c r="G1531" s="41" t="s">
        <v>4791</v>
      </c>
      <c r="H1531" s="41" t="s">
        <v>4792</v>
      </c>
      <c r="I1531" s="43">
        <v>12</v>
      </c>
      <c r="J1531" s="44" t="str">
        <f>VLOOKUP(G1531,[1]硬件清单!$F:$F,1,0)</f>
        <v>J33GT2C</v>
      </c>
      <c r="K1531" s="43"/>
      <c r="L1531" s="44"/>
      <c r="M1531" s="45" t="s">
        <v>4793</v>
      </c>
    </row>
    <row r="1532" s="26" customFormat="1" ht="30" customHeight="1" spans="1:13">
      <c r="A1532" s="41">
        <f>IF(C1532="","",SUBTOTAL(103,$C$2:C1532))</f>
        <v>1523</v>
      </c>
      <c r="B1532" s="41">
        <v>8133</v>
      </c>
      <c r="C1532" s="41">
        <v>5481</v>
      </c>
      <c r="D1532" s="41" t="s">
        <v>45</v>
      </c>
      <c r="E1532" s="41" t="s">
        <v>1298</v>
      </c>
      <c r="F1532" s="41" t="s">
        <v>4535</v>
      </c>
      <c r="G1532" s="41" t="s">
        <v>4794</v>
      </c>
      <c r="H1532" s="41" t="s">
        <v>4795</v>
      </c>
      <c r="I1532" s="43">
        <v>12</v>
      </c>
      <c r="J1532" s="44" t="str">
        <f>VLOOKUP(G1532,[1]硬件清单!$F:$F,1,0)</f>
        <v>J33GHN0</v>
      </c>
      <c r="K1532" s="43"/>
      <c r="L1532" s="44"/>
      <c r="M1532" s="45" t="s">
        <v>4796</v>
      </c>
    </row>
    <row r="1533" s="26" customFormat="1" ht="30" customHeight="1" spans="1:13">
      <c r="A1533" s="41">
        <f>IF(C1533="","",SUBTOTAL(103,$C$2:C1533))</f>
        <v>1524</v>
      </c>
      <c r="B1533" s="41">
        <v>8134</v>
      </c>
      <c r="C1533" s="41">
        <v>5506</v>
      </c>
      <c r="D1533" s="41" t="s">
        <v>45</v>
      </c>
      <c r="E1533" s="41" t="s">
        <v>1298</v>
      </c>
      <c r="F1533" s="41" t="s">
        <v>4535</v>
      </c>
      <c r="G1533" s="41" t="s">
        <v>4797</v>
      </c>
      <c r="H1533" s="41" t="s">
        <v>4798</v>
      </c>
      <c r="I1533" s="43">
        <v>12</v>
      </c>
      <c r="J1533" s="44" t="str">
        <f>VLOOKUP(G1533,[1]硬件清单!$F:$F,1,0)</f>
        <v>J33GHKV</v>
      </c>
      <c r="K1533" s="43"/>
      <c r="L1533" s="44"/>
      <c r="M1533" s="45" t="s">
        <v>4799</v>
      </c>
    </row>
    <row r="1534" s="26" customFormat="1" ht="30" customHeight="1" spans="1:13">
      <c r="A1534" s="41">
        <f>IF(C1534="","",SUBTOTAL(103,$C$2:C1534))</f>
        <v>1525</v>
      </c>
      <c r="B1534" s="41">
        <v>8135</v>
      </c>
      <c r="C1534" s="41">
        <v>5505</v>
      </c>
      <c r="D1534" s="41" t="s">
        <v>45</v>
      </c>
      <c r="E1534" s="41" t="s">
        <v>1298</v>
      </c>
      <c r="F1534" s="41" t="s">
        <v>4535</v>
      </c>
      <c r="G1534" s="41" t="s">
        <v>4800</v>
      </c>
      <c r="H1534" s="41" t="s">
        <v>4801</v>
      </c>
      <c r="I1534" s="43">
        <v>12</v>
      </c>
      <c r="J1534" s="44" t="str">
        <f>VLOOKUP(G1534,[1]硬件清单!$F:$F,1,0)</f>
        <v>J33GHM5</v>
      </c>
      <c r="K1534" s="43"/>
      <c r="L1534" s="44"/>
      <c r="M1534" s="45" t="s">
        <v>4802</v>
      </c>
    </row>
    <row r="1535" s="26" customFormat="1" ht="30" customHeight="1" spans="1:13">
      <c r="A1535" s="41">
        <f>IF(C1535="","",SUBTOTAL(103,$C$2:C1535))</f>
        <v>1526</v>
      </c>
      <c r="B1535" s="41">
        <v>8136</v>
      </c>
      <c r="C1535" s="41">
        <v>5504</v>
      </c>
      <c r="D1535" s="41" t="s">
        <v>45</v>
      </c>
      <c r="E1535" s="41" t="s">
        <v>1298</v>
      </c>
      <c r="F1535" s="41" t="s">
        <v>4535</v>
      </c>
      <c r="G1535" s="41" t="s">
        <v>4803</v>
      </c>
      <c r="H1535" s="41" t="s">
        <v>4804</v>
      </c>
      <c r="I1535" s="43">
        <v>12</v>
      </c>
      <c r="J1535" s="44" t="str">
        <f>VLOOKUP(G1535,[1]硬件清单!$F:$F,1,0)</f>
        <v>J33GT29</v>
      </c>
      <c r="K1535" s="43"/>
      <c r="L1535" s="44"/>
      <c r="M1535" s="45" t="s">
        <v>4805</v>
      </c>
    </row>
    <row r="1536" s="26" customFormat="1" ht="30" customHeight="1" spans="1:13">
      <c r="A1536" s="41">
        <f>IF(C1536="","",SUBTOTAL(103,$C$2:C1536))</f>
        <v>1527</v>
      </c>
      <c r="B1536" s="41">
        <v>8137</v>
      </c>
      <c r="C1536" s="41">
        <v>5503</v>
      </c>
      <c r="D1536" s="41" t="s">
        <v>45</v>
      </c>
      <c r="E1536" s="41" t="s">
        <v>1298</v>
      </c>
      <c r="F1536" s="41" t="s">
        <v>4535</v>
      </c>
      <c r="G1536" s="41" t="s">
        <v>4806</v>
      </c>
      <c r="H1536" s="41" t="s">
        <v>4807</v>
      </c>
      <c r="I1536" s="43">
        <v>12</v>
      </c>
      <c r="J1536" s="44" t="str">
        <f>VLOOKUP(G1536,[1]硬件清单!$F:$F,1,0)</f>
        <v>J33GT1V</v>
      </c>
      <c r="K1536" s="43"/>
      <c r="L1536" s="44"/>
      <c r="M1536" s="45" t="s">
        <v>4808</v>
      </c>
    </row>
    <row r="1537" s="26" customFormat="1" ht="30" customHeight="1" spans="1:13">
      <c r="A1537" s="41">
        <f>IF(C1537="","",SUBTOTAL(103,$C$2:C1537))</f>
        <v>1528</v>
      </c>
      <c r="B1537" s="41">
        <v>8138</v>
      </c>
      <c r="C1537" s="41">
        <v>5502</v>
      </c>
      <c r="D1537" s="41" t="s">
        <v>45</v>
      </c>
      <c r="E1537" s="41" t="s">
        <v>1298</v>
      </c>
      <c r="F1537" s="41" t="s">
        <v>4535</v>
      </c>
      <c r="G1537" s="41" t="s">
        <v>4809</v>
      </c>
      <c r="H1537" s="41" t="s">
        <v>4810</v>
      </c>
      <c r="I1537" s="43">
        <v>12</v>
      </c>
      <c r="J1537" s="44" t="str">
        <f>VLOOKUP(G1537,[1]硬件清单!$F:$F,1,0)</f>
        <v>J33GT1D</v>
      </c>
      <c r="K1537" s="43"/>
      <c r="L1537" s="44"/>
      <c r="M1537" s="45" t="s">
        <v>4811</v>
      </c>
    </row>
    <row r="1538" s="26" customFormat="1" ht="30" customHeight="1" spans="1:13">
      <c r="A1538" s="41">
        <f>IF(C1538="","",SUBTOTAL(103,$C$2:C1538))</f>
        <v>1529</v>
      </c>
      <c r="B1538" s="41">
        <v>8139</v>
      </c>
      <c r="C1538" s="41">
        <v>5500</v>
      </c>
      <c r="D1538" s="41" t="s">
        <v>45</v>
      </c>
      <c r="E1538" s="41" t="s">
        <v>1298</v>
      </c>
      <c r="F1538" s="41" t="s">
        <v>4535</v>
      </c>
      <c r="G1538" s="41" t="s">
        <v>4812</v>
      </c>
      <c r="H1538" s="41" t="s">
        <v>4813</v>
      </c>
      <c r="I1538" s="43">
        <v>12</v>
      </c>
      <c r="J1538" s="44" t="str">
        <f>VLOOKUP(G1538,[1]硬件清单!$F:$F,1,0)</f>
        <v>J33GRZM</v>
      </c>
      <c r="K1538" s="43"/>
      <c r="L1538" s="44"/>
      <c r="M1538" s="45" t="s">
        <v>4814</v>
      </c>
    </row>
    <row r="1539" s="26" customFormat="1" ht="30" customHeight="1" spans="1:13">
      <c r="A1539" s="41">
        <f>IF(C1539="","",SUBTOTAL(103,$C$2:C1539))</f>
        <v>1530</v>
      </c>
      <c r="B1539" s="41">
        <v>8140</v>
      </c>
      <c r="C1539" s="41">
        <v>5499</v>
      </c>
      <c r="D1539" s="41" t="s">
        <v>45</v>
      </c>
      <c r="E1539" s="41" t="s">
        <v>1298</v>
      </c>
      <c r="F1539" s="41" t="s">
        <v>4535</v>
      </c>
      <c r="G1539" s="41" t="s">
        <v>4815</v>
      </c>
      <c r="H1539" s="41" t="s">
        <v>4816</v>
      </c>
      <c r="I1539" s="43">
        <v>12</v>
      </c>
      <c r="J1539" s="44" t="str">
        <f>VLOOKUP(G1539,[1]硬件清单!$F:$F,1,0)</f>
        <v>J33GRZP</v>
      </c>
      <c r="K1539" s="43"/>
      <c r="L1539" s="44"/>
      <c r="M1539" s="45" t="s">
        <v>4817</v>
      </c>
    </row>
    <row r="1540" s="26" customFormat="1" ht="30" customHeight="1" spans="1:13">
      <c r="A1540" s="41">
        <f>IF(C1540="","",SUBTOTAL(103,$C$2:C1540))</f>
        <v>1531</v>
      </c>
      <c r="B1540" s="41">
        <v>8142</v>
      </c>
      <c r="C1540" s="41">
        <v>5498</v>
      </c>
      <c r="D1540" s="41" t="s">
        <v>45</v>
      </c>
      <c r="E1540" s="41" t="s">
        <v>1298</v>
      </c>
      <c r="F1540" s="41" t="s">
        <v>4535</v>
      </c>
      <c r="G1540" s="41" t="s">
        <v>4818</v>
      </c>
      <c r="H1540" s="41" t="s">
        <v>4819</v>
      </c>
      <c r="I1540" s="43">
        <v>12</v>
      </c>
      <c r="J1540" s="44" t="str">
        <f>VLOOKUP(G1540,[1]硬件清单!$F:$F,1,0)</f>
        <v>J33GT0K</v>
      </c>
      <c r="K1540" s="43"/>
      <c r="L1540" s="44"/>
      <c r="M1540" s="45" t="s">
        <v>4820</v>
      </c>
    </row>
    <row r="1541" s="26" customFormat="1" ht="30" customHeight="1" spans="1:13">
      <c r="A1541" s="41">
        <f>IF(C1541="","",SUBTOTAL(103,$C$2:C1541))</f>
        <v>1532</v>
      </c>
      <c r="B1541" s="41">
        <v>8143</v>
      </c>
      <c r="C1541" s="41">
        <v>5497</v>
      </c>
      <c r="D1541" s="41" t="s">
        <v>45</v>
      </c>
      <c r="E1541" s="41" t="s">
        <v>1298</v>
      </c>
      <c r="F1541" s="41" t="s">
        <v>4535</v>
      </c>
      <c r="G1541" s="41" t="s">
        <v>4821</v>
      </c>
      <c r="H1541" s="41" t="s">
        <v>4822</v>
      </c>
      <c r="I1541" s="43">
        <v>12</v>
      </c>
      <c r="J1541" s="44" t="str">
        <f>VLOOKUP(G1541,[1]硬件清单!$F:$F,1,0)</f>
        <v>J33GT0T</v>
      </c>
      <c r="K1541" s="43"/>
      <c r="L1541" s="44"/>
      <c r="M1541" s="45" t="s">
        <v>4823</v>
      </c>
    </row>
    <row r="1542" s="26" customFormat="1" ht="30" customHeight="1" spans="1:13">
      <c r="A1542" s="41">
        <f>IF(C1542="","",SUBTOTAL(103,$C$2:C1542))</f>
        <v>1533</v>
      </c>
      <c r="B1542" s="41">
        <v>8144</v>
      </c>
      <c r="C1542" s="41">
        <v>5480</v>
      </c>
      <c r="D1542" s="41" t="s">
        <v>45</v>
      </c>
      <c r="E1542" s="41" t="s">
        <v>1298</v>
      </c>
      <c r="F1542" s="41" t="s">
        <v>4535</v>
      </c>
      <c r="G1542" s="41" t="s">
        <v>4824</v>
      </c>
      <c r="H1542" s="41" t="s">
        <v>4825</v>
      </c>
      <c r="I1542" s="43">
        <v>12</v>
      </c>
      <c r="J1542" s="44" t="str">
        <f>VLOOKUP(G1542,[1]硬件清单!$F:$F,1,0)</f>
        <v>J33GT0R</v>
      </c>
      <c r="K1542" s="43"/>
      <c r="L1542" s="44"/>
      <c r="M1542" s="45" t="s">
        <v>4826</v>
      </c>
    </row>
    <row r="1543" s="26" customFormat="1" ht="30" customHeight="1" spans="1:13">
      <c r="A1543" s="41">
        <f>IF(C1543="","",SUBTOTAL(103,$C$2:C1543))</f>
        <v>1534</v>
      </c>
      <c r="B1543" s="41">
        <v>8145</v>
      </c>
      <c r="C1543" s="41">
        <v>5479</v>
      </c>
      <c r="D1543" s="41" t="s">
        <v>45</v>
      </c>
      <c r="E1543" s="41" t="s">
        <v>1298</v>
      </c>
      <c r="F1543" s="41" t="s">
        <v>4535</v>
      </c>
      <c r="G1543" s="41" t="s">
        <v>4827</v>
      </c>
      <c r="H1543" s="41" t="s">
        <v>4828</v>
      </c>
      <c r="I1543" s="43">
        <v>12</v>
      </c>
      <c r="J1543" s="44" t="str">
        <f>VLOOKUP(G1543,[1]硬件清单!$F:$F,1,0)</f>
        <v>J33GT24</v>
      </c>
      <c r="K1543" s="43"/>
      <c r="L1543" s="44"/>
      <c r="M1543" s="45" t="s">
        <v>4829</v>
      </c>
    </row>
    <row r="1544" s="26" customFormat="1" ht="30" customHeight="1" spans="1:13">
      <c r="A1544" s="41">
        <f>IF(C1544="","",SUBTOTAL(103,$C$2:C1544))</f>
        <v>1535</v>
      </c>
      <c r="B1544" s="41">
        <v>8148</v>
      </c>
      <c r="C1544" s="41">
        <v>5484</v>
      </c>
      <c r="D1544" s="41" t="s">
        <v>45</v>
      </c>
      <c r="E1544" s="41" t="s">
        <v>1298</v>
      </c>
      <c r="F1544" s="41" t="s">
        <v>4535</v>
      </c>
      <c r="G1544" s="41" t="s">
        <v>4830</v>
      </c>
      <c r="H1544" s="41" t="s">
        <v>4831</v>
      </c>
      <c r="I1544" s="43">
        <v>12</v>
      </c>
      <c r="J1544" s="44" t="str">
        <f>VLOOKUP(G1544,[1]硬件清单!$F:$F,1,0)</f>
        <v>J33GT1Y</v>
      </c>
      <c r="K1544" s="43"/>
      <c r="L1544" s="44"/>
      <c r="M1544" s="45" t="s">
        <v>4832</v>
      </c>
    </row>
    <row r="1545" s="26" customFormat="1" ht="30" customHeight="1" spans="1:13">
      <c r="A1545" s="41">
        <f>IF(C1545="","",SUBTOTAL(103,$C$2:C1545))</f>
        <v>1536</v>
      </c>
      <c r="B1545" s="41">
        <v>8149</v>
      </c>
      <c r="C1545" s="41">
        <v>5483</v>
      </c>
      <c r="D1545" s="41" t="s">
        <v>45</v>
      </c>
      <c r="E1545" s="41" t="s">
        <v>1298</v>
      </c>
      <c r="F1545" s="41" t="s">
        <v>4535</v>
      </c>
      <c r="G1545" s="41" t="s">
        <v>4833</v>
      </c>
      <c r="H1545" s="41" t="s">
        <v>4834</v>
      </c>
      <c r="I1545" s="43">
        <v>12</v>
      </c>
      <c r="J1545" s="44" t="str">
        <f>VLOOKUP(G1545,[1]硬件清单!$F:$F,1,0)</f>
        <v>J33GT1C</v>
      </c>
      <c r="K1545" s="43"/>
      <c r="L1545" s="44"/>
      <c r="M1545" s="45" t="s">
        <v>4835</v>
      </c>
    </row>
    <row r="1546" s="26" customFormat="1" ht="30" customHeight="1" spans="1:13">
      <c r="A1546" s="41">
        <f>IF(C1546="","",SUBTOTAL(103,$C$2:C1546))</f>
        <v>1537</v>
      </c>
      <c r="B1546" s="41">
        <v>8150</v>
      </c>
      <c r="C1546" s="41">
        <v>5410</v>
      </c>
      <c r="D1546" s="41" t="s">
        <v>45</v>
      </c>
      <c r="E1546" s="41" t="s">
        <v>1298</v>
      </c>
      <c r="F1546" s="41" t="s">
        <v>4535</v>
      </c>
      <c r="G1546" s="41" t="s">
        <v>4836</v>
      </c>
      <c r="H1546" s="41" t="s">
        <v>4837</v>
      </c>
      <c r="I1546" s="43">
        <v>12</v>
      </c>
      <c r="J1546" s="44" t="str">
        <f>VLOOKUP(G1546,[1]硬件清单!$F:$F,1,0)</f>
        <v>J33GHMX</v>
      </c>
      <c r="K1546" s="43"/>
      <c r="L1546" s="44"/>
      <c r="M1546" s="45" t="s">
        <v>4838</v>
      </c>
    </row>
    <row r="1547" s="26" customFormat="1" ht="30" customHeight="1" spans="1:13">
      <c r="A1547" s="41">
        <f>IF(C1547="","",SUBTOTAL(103,$C$2:C1547))</f>
        <v>1538</v>
      </c>
      <c r="B1547" s="41">
        <v>8151</v>
      </c>
      <c r="C1547" s="41">
        <v>5409</v>
      </c>
      <c r="D1547" s="41" t="s">
        <v>45</v>
      </c>
      <c r="E1547" s="41" t="s">
        <v>1298</v>
      </c>
      <c r="F1547" s="41" t="s">
        <v>4535</v>
      </c>
      <c r="G1547" s="41" t="s">
        <v>4839</v>
      </c>
      <c r="H1547" s="41" t="s">
        <v>4840</v>
      </c>
      <c r="I1547" s="43">
        <v>12</v>
      </c>
      <c r="J1547" s="44" t="str">
        <f>VLOOKUP(G1547,[1]硬件清单!$F:$F,1,0)</f>
        <v>J33GHLF</v>
      </c>
      <c r="K1547" s="43"/>
      <c r="L1547" s="44"/>
      <c r="M1547" s="45" t="s">
        <v>4841</v>
      </c>
    </row>
    <row r="1548" s="26" customFormat="1" ht="30" customHeight="1" spans="1:13">
      <c r="A1548" s="41">
        <f>IF(C1548="","",SUBTOTAL(103,$C$2:C1548))</f>
        <v>1539</v>
      </c>
      <c r="B1548" s="41">
        <v>8152</v>
      </c>
      <c r="C1548" s="41">
        <v>5394</v>
      </c>
      <c r="D1548" s="41" t="s">
        <v>45</v>
      </c>
      <c r="E1548" s="41" t="s">
        <v>1298</v>
      </c>
      <c r="F1548" s="41" t="s">
        <v>4535</v>
      </c>
      <c r="G1548" s="41" t="s">
        <v>4842</v>
      </c>
      <c r="H1548" s="41" t="s">
        <v>4843</v>
      </c>
      <c r="I1548" s="43">
        <v>12</v>
      </c>
      <c r="J1548" s="44" t="str">
        <f>VLOOKUP(G1548,[1]硬件清单!$F:$F,1,0)</f>
        <v>J33GT2N</v>
      </c>
      <c r="K1548" s="43"/>
      <c r="L1548" s="44"/>
      <c r="M1548" s="45" t="s">
        <v>4844</v>
      </c>
    </row>
    <row r="1549" s="26" customFormat="1" ht="30" customHeight="1" spans="1:13">
      <c r="A1549" s="41">
        <f>IF(C1549="","",SUBTOTAL(103,$C$2:C1549))</f>
        <v>1540</v>
      </c>
      <c r="B1549" s="41">
        <v>8153</v>
      </c>
      <c r="C1549" s="41">
        <v>5393</v>
      </c>
      <c r="D1549" s="41" t="s">
        <v>45</v>
      </c>
      <c r="E1549" s="41" t="s">
        <v>1298</v>
      </c>
      <c r="F1549" s="41" t="s">
        <v>4535</v>
      </c>
      <c r="G1549" s="41" t="s">
        <v>4845</v>
      </c>
      <c r="H1549" s="41" t="s">
        <v>4846</v>
      </c>
      <c r="I1549" s="43">
        <v>12</v>
      </c>
      <c r="J1549" s="44" t="str">
        <f>VLOOKUP(G1549,[1]硬件清单!$F:$F,1,0)</f>
        <v>J33GHM2</v>
      </c>
      <c r="K1549" s="43"/>
      <c r="L1549" s="44"/>
      <c r="M1549" s="45" t="s">
        <v>4847</v>
      </c>
    </row>
    <row r="1550" s="26" customFormat="1" ht="30" customHeight="1" spans="1:13">
      <c r="A1550" s="41">
        <f>IF(C1550="","",SUBTOTAL(103,$C$2:C1550))</f>
        <v>1541</v>
      </c>
      <c r="B1550" s="41">
        <v>8154</v>
      </c>
      <c r="C1550" s="41">
        <v>5392</v>
      </c>
      <c r="D1550" s="41" t="s">
        <v>45</v>
      </c>
      <c r="E1550" s="41" t="s">
        <v>1298</v>
      </c>
      <c r="F1550" s="41" t="s">
        <v>4535</v>
      </c>
      <c r="G1550" s="41" t="s">
        <v>4848</v>
      </c>
      <c r="H1550" s="41" t="s">
        <v>4849</v>
      </c>
      <c r="I1550" s="43">
        <v>12</v>
      </c>
      <c r="J1550" s="44" t="str">
        <f>VLOOKUP(G1550,[1]硬件清单!$F:$F,1,0)</f>
        <v>J33GT2G</v>
      </c>
      <c r="K1550" s="43"/>
      <c r="L1550" s="44"/>
      <c r="M1550" s="45" t="s">
        <v>4850</v>
      </c>
    </row>
    <row r="1551" s="26" customFormat="1" ht="30" customHeight="1" spans="1:13">
      <c r="A1551" s="41">
        <f>IF(C1551="","",SUBTOTAL(103,$C$2:C1551))</f>
        <v>1542</v>
      </c>
      <c r="B1551" s="41">
        <v>8155</v>
      </c>
      <c r="C1551" s="41">
        <v>5391</v>
      </c>
      <c r="D1551" s="41" t="s">
        <v>45</v>
      </c>
      <c r="E1551" s="41" t="s">
        <v>1298</v>
      </c>
      <c r="F1551" s="41" t="s">
        <v>4535</v>
      </c>
      <c r="G1551" s="41" t="s">
        <v>4851</v>
      </c>
      <c r="H1551" s="41" t="s">
        <v>4852</v>
      </c>
      <c r="I1551" s="43">
        <v>12</v>
      </c>
      <c r="J1551" s="44" t="str">
        <f>VLOOKUP(G1551,[1]硬件清单!$F:$F,1,0)</f>
        <v>J33GHMM</v>
      </c>
      <c r="K1551" s="43"/>
      <c r="L1551" s="44"/>
      <c r="M1551" s="45" t="s">
        <v>4853</v>
      </c>
    </row>
    <row r="1552" s="26" customFormat="1" ht="30" customHeight="1" spans="1:13">
      <c r="A1552" s="41">
        <f>IF(C1552="","",SUBTOTAL(103,$C$2:C1552))</f>
        <v>1543</v>
      </c>
      <c r="B1552" s="41">
        <v>8156</v>
      </c>
      <c r="C1552" s="41">
        <v>5390</v>
      </c>
      <c r="D1552" s="41" t="s">
        <v>45</v>
      </c>
      <c r="E1552" s="41" t="s">
        <v>1298</v>
      </c>
      <c r="F1552" s="41" t="s">
        <v>4535</v>
      </c>
      <c r="G1552" s="41" t="s">
        <v>4854</v>
      </c>
      <c r="H1552" s="41" t="s">
        <v>4855</v>
      </c>
      <c r="I1552" s="43">
        <v>12</v>
      </c>
      <c r="J1552" s="44" t="str">
        <f>VLOOKUP(G1552,[1]硬件清单!$F:$F,1,0)</f>
        <v>J33GT2W</v>
      </c>
      <c r="K1552" s="43"/>
      <c r="L1552" s="44"/>
      <c r="M1552" s="45" t="s">
        <v>4856</v>
      </c>
    </row>
    <row r="1553" s="26" customFormat="1" ht="30" customHeight="1" spans="1:13">
      <c r="A1553" s="41">
        <f>IF(C1553="","",SUBTOTAL(103,$C$2:C1553))</f>
        <v>1544</v>
      </c>
      <c r="B1553" s="41">
        <v>8157</v>
      </c>
      <c r="C1553" s="41">
        <v>5389</v>
      </c>
      <c r="D1553" s="41" t="s">
        <v>45</v>
      </c>
      <c r="E1553" s="41" t="s">
        <v>1298</v>
      </c>
      <c r="F1553" s="41" t="s">
        <v>4535</v>
      </c>
      <c r="G1553" s="41" t="s">
        <v>4857</v>
      </c>
      <c r="H1553" s="41" t="s">
        <v>4858</v>
      </c>
      <c r="I1553" s="43">
        <v>12</v>
      </c>
      <c r="J1553" s="44" t="str">
        <f>VLOOKUP(G1553,[1]硬件清单!$F:$F,1,0)</f>
        <v>J33GT0N</v>
      </c>
      <c r="K1553" s="43"/>
      <c r="L1553" s="44"/>
      <c r="M1553" s="45" t="s">
        <v>4859</v>
      </c>
    </row>
    <row r="1554" s="26" customFormat="1" ht="30" customHeight="1" spans="1:13">
      <c r="A1554" s="41">
        <f>IF(C1554="","",SUBTOTAL(103,$C$2:C1554))</f>
        <v>1545</v>
      </c>
      <c r="B1554" s="41">
        <v>8159</v>
      </c>
      <c r="C1554" s="41">
        <v>5388</v>
      </c>
      <c r="D1554" s="41" t="s">
        <v>45</v>
      </c>
      <c r="E1554" s="41" t="s">
        <v>1298</v>
      </c>
      <c r="F1554" s="41" t="s">
        <v>4535</v>
      </c>
      <c r="G1554" s="41" t="s">
        <v>4860</v>
      </c>
      <c r="H1554" s="41" t="s">
        <v>4861</v>
      </c>
      <c r="I1554" s="43">
        <v>12</v>
      </c>
      <c r="J1554" s="44" t="str">
        <f>VLOOKUP(G1554,[1]硬件清单!$F:$F,1,0)</f>
        <v>J33GRZG</v>
      </c>
      <c r="K1554" s="43"/>
      <c r="L1554" s="44"/>
      <c r="M1554" s="45" t="s">
        <v>4862</v>
      </c>
    </row>
    <row r="1555" s="26" customFormat="1" ht="30" customHeight="1" spans="1:13">
      <c r="A1555" s="41">
        <f>IF(C1555="","",SUBTOTAL(103,$C$2:C1555))</f>
        <v>1546</v>
      </c>
      <c r="B1555" s="41">
        <v>8160</v>
      </c>
      <c r="C1555" s="41">
        <v>5387</v>
      </c>
      <c r="D1555" s="41" t="s">
        <v>45</v>
      </c>
      <c r="E1555" s="41" t="s">
        <v>1298</v>
      </c>
      <c r="F1555" s="41" t="s">
        <v>4535</v>
      </c>
      <c r="G1555" s="41" t="s">
        <v>4863</v>
      </c>
      <c r="H1555" s="41" t="s">
        <v>4864</v>
      </c>
      <c r="I1555" s="43">
        <v>12</v>
      </c>
      <c r="J1555" s="44" t="str">
        <f>VLOOKUP(G1555,[1]硬件清单!$F:$F,1,0)</f>
        <v>J33GT0B</v>
      </c>
      <c r="K1555" s="43"/>
      <c r="L1555" s="44"/>
      <c r="M1555" s="45" t="s">
        <v>4865</v>
      </c>
    </row>
    <row r="1556" s="26" customFormat="1" ht="30" customHeight="1" spans="1:13">
      <c r="A1556" s="41">
        <f>IF(C1556="","",SUBTOTAL(103,$C$2:C1556))</f>
        <v>1547</v>
      </c>
      <c r="B1556" s="41">
        <v>8161</v>
      </c>
      <c r="C1556" s="41">
        <v>5386</v>
      </c>
      <c r="D1556" s="41" t="s">
        <v>45</v>
      </c>
      <c r="E1556" s="41" t="s">
        <v>1298</v>
      </c>
      <c r="F1556" s="41" t="s">
        <v>4535</v>
      </c>
      <c r="G1556" s="41" t="s">
        <v>4866</v>
      </c>
      <c r="H1556" s="41" t="s">
        <v>4867</v>
      </c>
      <c r="I1556" s="43">
        <v>12</v>
      </c>
      <c r="J1556" s="44" t="str">
        <f>VLOOKUP(G1556,[1]硬件清单!$F:$F,1,0)</f>
        <v>J33GRZ9</v>
      </c>
      <c r="K1556" s="43"/>
      <c r="L1556" s="44"/>
      <c r="M1556" s="45" t="s">
        <v>4868</v>
      </c>
    </row>
    <row r="1557" s="26" customFormat="1" ht="30" customHeight="1" spans="1:13">
      <c r="A1557" s="41">
        <f>IF(C1557="","",SUBTOTAL(103,$C$2:C1557))</f>
        <v>1548</v>
      </c>
      <c r="B1557" s="41">
        <v>8162</v>
      </c>
      <c r="C1557" s="41">
        <v>5385</v>
      </c>
      <c r="D1557" s="41" t="s">
        <v>45</v>
      </c>
      <c r="E1557" s="41" t="s">
        <v>1298</v>
      </c>
      <c r="F1557" s="41" t="s">
        <v>4535</v>
      </c>
      <c r="G1557" s="41" t="s">
        <v>4869</v>
      </c>
      <c r="H1557" s="41" t="s">
        <v>4870</v>
      </c>
      <c r="I1557" s="43">
        <v>12</v>
      </c>
      <c r="J1557" s="44" t="str">
        <f>VLOOKUP(G1557,[1]硬件清单!$F:$F,1,0)</f>
        <v>J33GHKZ</v>
      </c>
      <c r="K1557" s="43"/>
      <c r="L1557" s="44"/>
      <c r="M1557" s="45" t="s">
        <v>4871</v>
      </c>
    </row>
    <row r="1558" s="26" customFormat="1" ht="30" customHeight="1" spans="1:13">
      <c r="A1558" s="41">
        <f>IF(C1558="","",SUBTOTAL(103,$C$2:C1558))</f>
        <v>1549</v>
      </c>
      <c r="B1558" s="41">
        <v>8166</v>
      </c>
      <c r="C1558" s="41">
        <v>5414</v>
      </c>
      <c r="D1558" s="41" t="s">
        <v>45</v>
      </c>
      <c r="E1558" s="41" t="s">
        <v>1298</v>
      </c>
      <c r="F1558" s="41" t="s">
        <v>4535</v>
      </c>
      <c r="G1558" s="41" t="s">
        <v>4872</v>
      </c>
      <c r="H1558" s="41" t="s">
        <v>4873</v>
      </c>
      <c r="I1558" s="43">
        <v>12</v>
      </c>
      <c r="J1558" s="44" t="str">
        <f>VLOOKUP(G1558,[1]硬件清单!$F:$F,1,0)</f>
        <v>J33GRZH</v>
      </c>
      <c r="K1558" s="43"/>
      <c r="L1558" s="44"/>
      <c r="M1558" s="45" t="s">
        <v>4874</v>
      </c>
    </row>
    <row r="1559" s="26" customFormat="1" ht="30" customHeight="1" spans="1:13">
      <c r="A1559" s="41">
        <f>IF(C1559="","",SUBTOTAL(103,$C$2:C1559))</f>
        <v>1550</v>
      </c>
      <c r="B1559" s="41">
        <v>8167</v>
      </c>
      <c r="C1559" s="41">
        <v>5413</v>
      </c>
      <c r="D1559" s="41" t="s">
        <v>45</v>
      </c>
      <c r="E1559" s="41" t="s">
        <v>1298</v>
      </c>
      <c r="F1559" s="41" t="s">
        <v>4535</v>
      </c>
      <c r="G1559" s="41" t="s">
        <v>4875</v>
      </c>
      <c r="H1559" s="41" t="s">
        <v>4876</v>
      </c>
      <c r="I1559" s="43">
        <v>12</v>
      </c>
      <c r="J1559" s="44" t="str">
        <f>VLOOKUP(G1559,[1]硬件清单!$F:$F,1,0)</f>
        <v>J33GT1X</v>
      </c>
      <c r="K1559" s="43"/>
      <c r="L1559" s="44"/>
      <c r="M1559" s="45" t="s">
        <v>4877</v>
      </c>
    </row>
    <row r="1560" s="26" customFormat="1" ht="30" customHeight="1" spans="1:13">
      <c r="A1560" s="41">
        <f>IF(C1560="","",SUBTOTAL(103,$C$2:C1560))</f>
        <v>1551</v>
      </c>
      <c r="B1560" s="41">
        <v>8168</v>
      </c>
      <c r="C1560" s="41">
        <v>5412</v>
      </c>
      <c r="D1560" s="41" t="s">
        <v>45</v>
      </c>
      <c r="E1560" s="41" t="s">
        <v>1298</v>
      </c>
      <c r="F1560" s="41" t="s">
        <v>4535</v>
      </c>
      <c r="G1560" s="41" t="s">
        <v>4878</v>
      </c>
      <c r="H1560" s="41" t="s">
        <v>4879</v>
      </c>
      <c r="I1560" s="43">
        <v>12</v>
      </c>
      <c r="J1560" s="44" t="str">
        <f>VLOOKUP(G1560,[1]硬件清单!$F:$F,1,0)</f>
        <v>J33GT2V</v>
      </c>
      <c r="K1560" s="43"/>
      <c r="L1560" s="44"/>
      <c r="M1560" s="45" t="s">
        <v>4880</v>
      </c>
    </row>
    <row r="1561" s="26" customFormat="1" ht="30" customHeight="1" spans="1:13">
      <c r="A1561" s="41">
        <f>IF(C1561="","",SUBTOTAL(103,$C$2:C1561))</f>
        <v>1552</v>
      </c>
      <c r="B1561" s="41">
        <v>8169</v>
      </c>
      <c r="C1561" s="41">
        <v>5411</v>
      </c>
      <c r="D1561" s="41" t="s">
        <v>45</v>
      </c>
      <c r="E1561" s="41" t="s">
        <v>1298</v>
      </c>
      <c r="F1561" s="41" t="s">
        <v>4535</v>
      </c>
      <c r="G1561" s="41" t="s">
        <v>4881</v>
      </c>
      <c r="H1561" s="41" t="s">
        <v>4882</v>
      </c>
      <c r="I1561" s="43">
        <v>12</v>
      </c>
      <c r="J1561" s="44" t="str">
        <f>VLOOKUP(G1561,[1]硬件清单!$F:$F,1,0)</f>
        <v>J33GRZD</v>
      </c>
      <c r="K1561" s="43"/>
      <c r="L1561" s="44"/>
      <c r="M1561" s="45" t="s">
        <v>4883</v>
      </c>
    </row>
    <row r="1562" s="26" customFormat="1" ht="30" customHeight="1" spans="1:13">
      <c r="A1562" s="41">
        <f>IF(C1562="","",SUBTOTAL(103,$C$2:C1562))</f>
        <v>1553</v>
      </c>
      <c r="B1562" s="41">
        <v>8170</v>
      </c>
      <c r="C1562" s="41">
        <v>5494</v>
      </c>
      <c r="D1562" s="41" t="s">
        <v>45</v>
      </c>
      <c r="E1562" s="41" t="s">
        <v>1298</v>
      </c>
      <c r="F1562" s="41" t="s">
        <v>4535</v>
      </c>
      <c r="G1562" s="41" t="s">
        <v>4884</v>
      </c>
      <c r="H1562" s="41" t="s">
        <v>4885</v>
      </c>
      <c r="I1562" s="43">
        <v>12</v>
      </c>
      <c r="J1562" s="44" t="str">
        <f>VLOOKUP(G1562,[1]硬件清单!$F:$F,1,0)</f>
        <v>J33GHMG</v>
      </c>
      <c r="K1562" s="43"/>
      <c r="L1562" s="44"/>
      <c r="M1562" s="45" t="s">
        <v>4886</v>
      </c>
    </row>
    <row r="1563" s="26" customFormat="1" ht="30" customHeight="1" spans="1:13">
      <c r="A1563" s="41">
        <f>IF(C1563="","",SUBTOTAL(103,$C$2:C1563))</f>
        <v>1554</v>
      </c>
      <c r="B1563" s="41">
        <v>8171</v>
      </c>
      <c r="C1563" s="41">
        <v>5493</v>
      </c>
      <c r="D1563" s="41" t="s">
        <v>45</v>
      </c>
      <c r="E1563" s="41" t="s">
        <v>1298</v>
      </c>
      <c r="F1563" s="41" t="s">
        <v>4535</v>
      </c>
      <c r="G1563" s="41" t="s">
        <v>4887</v>
      </c>
      <c r="H1563" s="41" t="s">
        <v>4888</v>
      </c>
      <c r="I1563" s="43">
        <v>12</v>
      </c>
      <c r="J1563" s="44" t="str">
        <f>VLOOKUP(G1563,[1]硬件清单!$F:$F,1,0)</f>
        <v>J33GT0L</v>
      </c>
      <c r="K1563" s="43"/>
      <c r="L1563" s="44"/>
      <c r="M1563" s="45" t="s">
        <v>4889</v>
      </c>
    </row>
    <row r="1564" s="26" customFormat="1" ht="30" customHeight="1" spans="1:13">
      <c r="A1564" s="41">
        <f>IF(C1564="","",SUBTOTAL(103,$C$2:C1564))</f>
        <v>1555</v>
      </c>
      <c r="B1564" s="41">
        <v>8172</v>
      </c>
      <c r="C1564" s="41">
        <v>5492</v>
      </c>
      <c r="D1564" s="41" t="s">
        <v>45</v>
      </c>
      <c r="E1564" s="41" t="s">
        <v>1298</v>
      </c>
      <c r="F1564" s="41" t="s">
        <v>4535</v>
      </c>
      <c r="G1564" s="41" t="s">
        <v>4890</v>
      </c>
      <c r="H1564" s="41" t="s">
        <v>4891</v>
      </c>
      <c r="I1564" s="43">
        <v>12</v>
      </c>
      <c r="J1564" s="44" t="str">
        <f>VLOOKUP(G1564,[1]硬件清单!$F:$F,1,0)</f>
        <v>J33GT2D</v>
      </c>
      <c r="K1564" s="43"/>
      <c r="L1564" s="44"/>
      <c r="M1564" s="45" t="s">
        <v>4892</v>
      </c>
    </row>
    <row r="1565" s="26" customFormat="1" ht="30" customHeight="1" spans="1:13">
      <c r="A1565" s="41">
        <f>IF(C1565="","",SUBTOTAL(103,$C$2:C1565))</f>
        <v>1556</v>
      </c>
      <c r="B1565" s="41">
        <v>8173</v>
      </c>
      <c r="C1565" s="41">
        <v>5491</v>
      </c>
      <c r="D1565" s="41" t="s">
        <v>45</v>
      </c>
      <c r="E1565" s="41" t="s">
        <v>1298</v>
      </c>
      <c r="F1565" s="41" t="s">
        <v>4535</v>
      </c>
      <c r="G1565" s="41" t="s">
        <v>4893</v>
      </c>
      <c r="H1565" s="41" t="s">
        <v>4894</v>
      </c>
      <c r="I1565" s="43">
        <v>12</v>
      </c>
      <c r="J1565" s="44" t="str">
        <f>VLOOKUP(G1565,[1]硬件清单!$F:$F,1,0)</f>
        <v>J33GHMW</v>
      </c>
      <c r="K1565" s="43"/>
      <c r="L1565" s="44"/>
      <c r="M1565" s="45" t="s">
        <v>4895</v>
      </c>
    </row>
    <row r="1566" s="26" customFormat="1" ht="30" customHeight="1" spans="1:13">
      <c r="A1566" s="41">
        <f>IF(C1566="","",SUBTOTAL(103,$C$2:C1566))</f>
        <v>1557</v>
      </c>
      <c r="B1566" s="41">
        <v>8174</v>
      </c>
      <c r="C1566" s="41">
        <v>5490</v>
      </c>
      <c r="D1566" s="41" t="s">
        <v>45</v>
      </c>
      <c r="E1566" s="41" t="s">
        <v>1298</v>
      </c>
      <c r="F1566" s="41" t="s">
        <v>4535</v>
      </c>
      <c r="G1566" s="41" t="s">
        <v>4896</v>
      </c>
      <c r="H1566" s="41" t="s">
        <v>4897</v>
      </c>
      <c r="I1566" s="43">
        <v>12</v>
      </c>
      <c r="J1566" s="44" t="str">
        <f>VLOOKUP(G1566,[1]硬件清单!$F:$F,1,0)</f>
        <v>J33GHN3</v>
      </c>
      <c r="K1566" s="43"/>
      <c r="L1566" s="44"/>
      <c r="M1566" s="45" t="s">
        <v>4898</v>
      </c>
    </row>
    <row r="1567" s="26" customFormat="1" ht="30" customHeight="1" spans="1:13">
      <c r="A1567" s="41">
        <f>IF(C1567="","",SUBTOTAL(103,$C$2:C1567))</f>
        <v>1558</v>
      </c>
      <c r="B1567" s="41">
        <v>8175</v>
      </c>
      <c r="C1567" s="41">
        <v>5489</v>
      </c>
      <c r="D1567" s="41" t="s">
        <v>45</v>
      </c>
      <c r="E1567" s="41" t="s">
        <v>1298</v>
      </c>
      <c r="F1567" s="41" t="s">
        <v>4535</v>
      </c>
      <c r="G1567" s="41" t="s">
        <v>4899</v>
      </c>
      <c r="H1567" s="41" t="s">
        <v>4900</v>
      </c>
      <c r="I1567" s="43">
        <v>12</v>
      </c>
      <c r="J1567" s="44" t="str">
        <f>VLOOKUP(G1567,[1]硬件清单!$F:$F,1,0)</f>
        <v>J33GT2Y</v>
      </c>
      <c r="K1567" s="43"/>
      <c r="L1567" s="44"/>
      <c r="M1567" s="45" t="s">
        <v>4901</v>
      </c>
    </row>
    <row r="1568" s="26" customFormat="1" ht="30" customHeight="1" spans="1:13">
      <c r="A1568" s="41">
        <f>IF(C1568="","",SUBTOTAL(103,$C$2:C1568))</f>
        <v>1559</v>
      </c>
      <c r="B1568" s="41">
        <v>8177</v>
      </c>
      <c r="C1568" s="41">
        <v>5488</v>
      </c>
      <c r="D1568" s="41" t="s">
        <v>45</v>
      </c>
      <c r="E1568" s="41" t="s">
        <v>1298</v>
      </c>
      <c r="F1568" s="41" t="s">
        <v>4535</v>
      </c>
      <c r="G1568" s="41" t="s">
        <v>4902</v>
      </c>
      <c r="H1568" s="41" t="s">
        <v>4903</v>
      </c>
      <c r="I1568" s="43">
        <v>12</v>
      </c>
      <c r="J1568" s="44" t="str">
        <f>VLOOKUP(G1568,[1]硬件清单!$F:$F,1,0)</f>
        <v>J33GHKT</v>
      </c>
      <c r="K1568" s="43"/>
      <c r="L1568" s="44"/>
      <c r="M1568" s="45" t="s">
        <v>4904</v>
      </c>
    </row>
    <row r="1569" s="26" customFormat="1" ht="30" customHeight="1" spans="1:13">
      <c r="A1569" s="41">
        <f>IF(C1569="","",SUBTOTAL(103,$C$2:C1569))</f>
        <v>1560</v>
      </c>
      <c r="B1569" s="41">
        <v>8178</v>
      </c>
      <c r="C1569" s="41">
        <v>5487</v>
      </c>
      <c r="D1569" s="41" t="s">
        <v>45</v>
      </c>
      <c r="E1569" s="41" t="s">
        <v>1298</v>
      </c>
      <c r="F1569" s="41" t="s">
        <v>4535</v>
      </c>
      <c r="G1569" s="41" t="s">
        <v>4905</v>
      </c>
      <c r="H1569" s="41" t="s">
        <v>4906</v>
      </c>
      <c r="I1569" s="43">
        <v>12</v>
      </c>
      <c r="J1569" s="44" t="str">
        <f>VLOOKUP(G1569,[1]硬件清单!$F:$F,1,0)</f>
        <v>J33GHLT</v>
      </c>
      <c r="K1569" s="43"/>
      <c r="L1569" s="44"/>
      <c r="M1569" s="45" t="s">
        <v>4907</v>
      </c>
    </row>
    <row r="1570" s="26" customFormat="1" ht="30" customHeight="1" spans="1:13">
      <c r="A1570" s="41">
        <f>IF(C1570="","",SUBTOTAL(103,$C$2:C1570))</f>
        <v>1561</v>
      </c>
      <c r="B1570" s="41">
        <v>8179</v>
      </c>
      <c r="C1570" s="41">
        <v>5486</v>
      </c>
      <c r="D1570" s="41" t="s">
        <v>45</v>
      </c>
      <c r="E1570" s="41" t="s">
        <v>1298</v>
      </c>
      <c r="F1570" s="41" t="s">
        <v>4535</v>
      </c>
      <c r="G1570" s="41" t="s">
        <v>4908</v>
      </c>
      <c r="H1570" s="41" t="s">
        <v>4909</v>
      </c>
      <c r="I1570" s="43">
        <v>12</v>
      </c>
      <c r="J1570" s="44" t="str">
        <f>VLOOKUP(G1570,[1]硬件清单!$F:$F,1,0)</f>
        <v>J33GHLH</v>
      </c>
      <c r="K1570" s="43"/>
      <c r="L1570" s="44"/>
      <c r="M1570" s="45" t="s">
        <v>4910</v>
      </c>
    </row>
    <row r="1571" s="26" customFormat="1" ht="30" customHeight="1" spans="1:13">
      <c r="A1571" s="41">
        <f>IF(C1571="","",SUBTOTAL(103,$C$2:C1571))</f>
        <v>1562</v>
      </c>
      <c r="B1571" s="41">
        <v>8180</v>
      </c>
      <c r="C1571" s="41">
        <v>5485</v>
      </c>
      <c r="D1571" s="41" t="s">
        <v>45</v>
      </c>
      <c r="E1571" s="41" t="s">
        <v>1298</v>
      </c>
      <c r="F1571" s="41" t="s">
        <v>4535</v>
      </c>
      <c r="G1571" s="41" t="s">
        <v>4911</v>
      </c>
      <c r="H1571" s="41" t="s">
        <v>4912</v>
      </c>
      <c r="I1571" s="43">
        <v>12</v>
      </c>
      <c r="J1571" s="44" t="str">
        <f>VLOOKUP(G1571,[1]硬件清单!$F:$F,1,0)</f>
        <v>J33GT18</v>
      </c>
      <c r="K1571" s="43"/>
      <c r="L1571" s="44"/>
      <c r="M1571" s="45" t="s">
        <v>4913</v>
      </c>
    </row>
    <row r="1572" s="26" customFormat="1" ht="30" customHeight="1" spans="1:13">
      <c r="A1572" s="41">
        <f>IF(C1572="","",SUBTOTAL(103,$C$2:C1572))</f>
        <v>1563</v>
      </c>
      <c r="B1572" s="41">
        <v>8183</v>
      </c>
      <c r="C1572" s="41">
        <v>5428</v>
      </c>
      <c r="D1572" s="41" t="s">
        <v>45</v>
      </c>
      <c r="E1572" s="41" t="s">
        <v>1298</v>
      </c>
      <c r="F1572" s="41" t="s">
        <v>4535</v>
      </c>
      <c r="G1572" s="41" t="s">
        <v>4914</v>
      </c>
      <c r="H1572" s="41" t="s">
        <v>4915</v>
      </c>
      <c r="I1572" s="43">
        <v>12</v>
      </c>
      <c r="J1572" s="44" t="str">
        <f>VLOOKUP(G1572,[1]硬件清单!$F:$F,1,0)</f>
        <v>J33GHLE</v>
      </c>
      <c r="K1572" s="43"/>
      <c r="L1572" s="44"/>
      <c r="M1572" s="45" t="s">
        <v>4916</v>
      </c>
    </row>
    <row r="1573" s="26" customFormat="1" ht="30" customHeight="1" spans="1:13">
      <c r="A1573" s="41">
        <f>IF(C1573="","",SUBTOTAL(103,$C$2:C1573))</f>
        <v>1564</v>
      </c>
      <c r="B1573" s="41">
        <v>8184</v>
      </c>
      <c r="C1573" s="41">
        <v>5427</v>
      </c>
      <c r="D1573" s="41" t="s">
        <v>45</v>
      </c>
      <c r="E1573" s="41" t="s">
        <v>1298</v>
      </c>
      <c r="F1573" s="41" t="s">
        <v>4535</v>
      </c>
      <c r="G1573" s="41" t="s">
        <v>4917</v>
      </c>
      <c r="H1573" s="41" t="s">
        <v>4918</v>
      </c>
      <c r="I1573" s="43">
        <v>12</v>
      </c>
      <c r="J1573" s="44" t="str">
        <f>VLOOKUP(G1573,[1]硬件清单!$F:$F,1,0)</f>
        <v>J33GT1W</v>
      </c>
      <c r="K1573" s="43"/>
      <c r="L1573" s="44"/>
      <c r="M1573" s="45" t="s">
        <v>4919</v>
      </c>
    </row>
    <row r="1574" s="26" customFormat="1" ht="30" customHeight="1" spans="1:13">
      <c r="A1574" s="41">
        <f>IF(C1574="","",SUBTOTAL(103,$C$2:C1574))</f>
        <v>1565</v>
      </c>
      <c r="B1574" s="41">
        <v>8185</v>
      </c>
      <c r="C1574" s="41">
        <v>5426</v>
      </c>
      <c r="D1574" s="41" t="s">
        <v>45</v>
      </c>
      <c r="E1574" s="41" t="s">
        <v>1298</v>
      </c>
      <c r="F1574" s="41" t="s">
        <v>4535</v>
      </c>
      <c r="G1574" s="41" t="s">
        <v>4920</v>
      </c>
      <c r="H1574" s="41" t="s">
        <v>4921</v>
      </c>
      <c r="I1574" s="43">
        <v>12</v>
      </c>
      <c r="J1574" s="44" t="str">
        <f>VLOOKUP(G1574,[1]硬件清单!$F:$F,1,0)</f>
        <v>J33GHMK</v>
      </c>
      <c r="K1574" s="43"/>
      <c r="L1574" s="44"/>
      <c r="M1574" s="45" t="s">
        <v>4922</v>
      </c>
    </row>
    <row r="1575" s="26" customFormat="1" ht="30" customHeight="1" spans="1:13">
      <c r="A1575" s="41">
        <f>IF(C1575="","",SUBTOTAL(103,$C$2:C1575))</f>
        <v>1566</v>
      </c>
      <c r="B1575" s="41">
        <v>8186</v>
      </c>
      <c r="C1575" s="41">
        <v>5425</v>
      </c>
      <c r="D1575" s="41" t="s">
        <v>45</v>
      </c>
      <c r="E1575" s="41" t="s">
        <v>1298</v>
      </c>
      <c r="F1575" s="41" t="s">
        <v>4535</v>
      </c>
      <c r="G1575" s="41" t="s">
        <v>4923</v>
      </c>
      <c r="H1575" s="41" t="s">
        <v>4924</v>
      </c>
      <c r="I1575" s="43">
        <v>12</v>
      </c>
      <c r="J1575" s="44" t="str">
        <f>VLOOKUP(G1575,[1]硬件清单!$F:$F,1,0)</f>
        <v>J33GT07</v>
      </c>
      <c r="K1575" s="43"/>
      <c r="L1575" s="44"/>
      <c r="M1575" s="45" t="s">
        <v>4925</v>
      </c>
    </row>
    <row r="1576" s="26" customFormat="1" ht="30" customHeight="1" spans="1:13">
      <c r="A1576" s="41">
        <f>IF(C1576="","",SUBTOTAL(103,$C$2:C1576))</f>
        <v>1567</v>
      </c>
      <c r="B1576" s="41">
        <v>8187</v>
      </c>
      <c r="C1576" s="41">
        <v>5424</v>
      </c>
      <c r="D1576" s="41" t="s">
        <v>45</v>
      </c>
      <c r="E1576" s="41" t="s">
        <v>1298</v>
      </c>
      <c r="F1576" s="41" t="s">
        <v>4535</v>
      </c>
      <c r="G1576" s="41" t="s">
        <v>4926</v>
      </c>
      <c r="H1576" s="41" t="s">
        <v>4927</v>
      </c>
      <c r="I1576" s="43">
        <v>12</v>
      </c>
      <c r="J1576" s="44" t="str">
        <f>VLOOKUP(G1576,[1]硬件清单!$F:$F,1,0)</f>
        <v>J33GHMT</v>
      </c>
      <c r="K1576" s="43"/>
      <c r="L1576" s="44"/>
      <c r="M1576" s="45" t="s">
        <v>4928</v>
      </c>
    </row>
    <row r="1577" s="26" customFormat="1" ht="30" customHeight="1" spans="1:13">
      <c r="A1577" s="41">
        <f>IF(C1577="","",SUBTOTAL(103,$C$2:C1577))</f>
        <v>1568</v>
      </c>
      <c r="B1577" s="41">
        <v>8188</v>
      </c>
      <c r="C1577" s="41">
        <v>5423</v>
      </c>
      <c r="D1577" s="41" t="s">
        <v>45</v>
      </c>
      <c r="E1577" s="41" t="s">
        <v>1298</v>
      </c>
      <c r="F1577" s="41" t="s">
        <v>4535</v>
      </c>
      <c r="G1577" s="41" t="s">
        <v>4929</v>
      </c>
      <c r="H1577" s="41" t="s">
        <v>4930</v>
      </c>
      <c r="I1577" s="43">
        <v>12</v>
      </c>
      <c r="J1577" s="44" t="str">
        <f>VLOOKUP(G1577,[1]硬件清单!$F:$F,1,0)</f>
        <v>J33GT0C</v>
      </c>
      <c r="K1577" s="43"/>
      <c r="L1577" s="44"/>
      <c r="M1577" s="45" t="s">
        <v>4931</v>
      </c>
    </row>
    <row r="1578" s="26" customFormat="1" ht="30" customHeight="1" spans="1:13">
      <c r="A1578" s="41">
        <f>IF(C1578="","",SUBTOTAL(103,$C$2:C1578))</f>
        <v>1569</v>
      </c>
      <c r="B1578" s="41">
        <v>8189</v>
      </c>
      <c r="C1578" s="41">
        <v>5422</v>
      </c>
      <c r="D1578" s="41" t="s">
        <v>45</v>
      </c>
      <c r="E1578" s="41" t="s">
        <v>1298</v>
      </c>
      <c r="F1578" s="41" t="s">
        <v>4535</v>
      </c>
      <c r="G1578" s="41" t="s">
        <v>4932</v>
      </c>
      <c r="H1578" s="41" t="s">
        <v>4933</v>
      </c>
      <c r="I1578" s="43">
        <v>12</v>
      </c>
      <c r="J1578" s="44" t="str">
        <f>VLOOKUP(G1578,[1]硬件清单!$F:$F,1,0)</f>
        <v>J33GT1R</v>
      </c>
      <c r="K1578" s="43"/>
      <c r="L1578" s="44"/>
      <c r="M1578" s="45" t="s">
        <v>4934</v>
      </c>
    </row>
    <row r="1579" s="26" customFormat="1" ht="30" customHeight="1" spans="1:13">
      <c r="A1579" s="41">
        <f>IF(C1579="","",SUBTOTAL(103,$C$2:C1579))</f>
        <v>1570</v>
      </c>
      <c r="B1579" s="41">
        <v>8190</v>
      </c>
      <c r="C1579" s="41">
        <v>5421</v>
      </c>
      <c r="D1579" s="41" t="s">
        <v>45</v>
      </c>
      <c r="E1579" s="41" t="s">
        <v>1298</v>
      </c>
      <c r="F1579" s="41" t="s">
        <v>4535</v>
      </c>
      <c r="G1579" s="41" t="s">
        <v>4935</v>
      </c>
      <c r="H1579" s="41" t="s">
        <v>4936</v>
      </c>
      <c r="I1579" s="43">
        <v>12</v>
      </c>
      <c r="J1579" s="44" t="str">
        <f>VLOOKUP(G1579,[1]硬件清单!$F:$F,1,0)</f>
        <v>J33GT0G</v>
      </c>
      <c r="K1579" s="43"/>
      <c r="L1579" s="44"/>
      <c r="M1579" s="45" t="s">
        <v>4937</v>
      </c>
    </row>
    <row r="1580" s="26" customFormat="1" ht="30" customHeight="1" spans="1:13">
      <c r="A1580" s="41">
        <f>IF(C1580="","",SUBTOTAL(103,$C$2:C1580))</f>
        <v>1571</v>
      </c>
      <c r="B1580" s="41">
        <v>8191</v>
      </c>
      <c r="C1580" s="41">
        <v>5420</v>
      </c>
      <c r="D1580" s="41" t="s">
        <v>45</v>
      </c>
      <c r="E1580" s="41" t="s">
        <v>1298</v>
      </c>
      <c r="F1580" s="41" t="s">
        <v>4535</v>
      </c>
      <c r="G1580" s="41" t="s">
        <v>4938</v>
      </c>
      <c r="H1580" s="41" t="s">
        <v>4939</v>
      </c>
      <c r="I1580" s="43">
        <v>12</v>
      </c>
      <c r="J1580" s="44" t="str">
        <f>VLOOKUP(G1580,[1]硬件清单!$F:$F,1,0)</f>
        <v>J33GHN2</v>
      </c>
      <c r="K1580" s="43"/>
      <c r="L1580" s="44"/>
      <c r="M1580" s="45" t="s">
        <v>4940</v>
      </c>
    </row>
    <row r="1581" s="26" customFormat="1" ht="30" customHeight="1" spans="1:13">
      <c r="A1581" s="41">
        <f>IF(C1581="","",SUBTOTAL(103,$C$2:C1581))</f>
        <v>1572</v>
      </c>
      <c r="B1581" s="41">
        <v>8192</v>
      </c>
      <c r="C1581" s="41">
        <v>5419</v>
      </c>
      <c r="D1581" s="41" t="s">
        <v>45</v>
      </c>
      <c r="E1581" s="41" t="s">
        <v>1298</v>
      </c>
      <c r="F1581" s="41" t="s">
        <v>4535</v>
      </c>
      <c r="G1581" s="41" t="s">
        <v>4941</v>
      </c>
      <c r="H1581" s="41" t="s">
        <v>4942</v>
      </c>
      <c r="I1581" s="43">
        <v>12</v>
      </c>
      <c r="J1581" s="44" t="str">
        <f>VLOOKUP(G1581,[1]硬件清单!$F:$F,1,0)</f>
        <v>J33GT1T</v>
      </c>
      <c r="K1581" s="43"/>
      <c r="L1581" s="44"/>
      <c r="M1581" s="45" t="s">
        <v>4943</v>
      </c>
    </row>
    <row r="1582" s="26" customFormat="1" ht="30" customHeight="1" spans="1:13">
      <c r="A1582" s="41">
        <f>IF(C1582="","",SUBTOTAL(103,$C$2:C1582))</f>
        <v>1573</v>
      </c>
      <c r="B1582" s="41">
        <v>8194</v>
      </c>
      <c r="C1582" s="41">
        <v>5418</v>
      </c>
      <c r="D1582" s="41" t="s">
        <v>45</v>
      </c>
      <c r="E1582" s="41" t="s">
        <v>1298</v>
      </c>
      <c r="F1582" s="41" t="s">
        <v>4535</v>
      </c>
      <c r="G1582" s="41" t="s">
        <v>4944</v>
      </c>
      <c r="H1582" s="41" t="s">
        <v>4945</v>
      </c>
      <c r="I1582" s="43">
        <v>12</v>
      </c>
      <c r="J1582" s="44" t="str">
        <f>VLOOKUP(G1582,[1]硬件清单!$F:$F,1,0)</f>
        <v>J33GHN4</v>
      </c>
      <c r="K1582" s="43"/>
      <c r="L1582" s="44"/>
      <c r="M1582" s="45" t="s">
        <v>4946</v>
      </c>
    </row>
    <row r="1583" s="26" customFormat="1" ht="30" customHeight="1" spans="1:13">
      <c r="A1583" s="41">
        <f>IF(C1583="","",SUBTOTAL(103,$C$2:C1583))</f>
        <v>1574</v>
      </c>
      <c r="B1583" s="41">
        <v>8195</v>
      </c>
      <c r="C1583" s="41">
        <v>5417</v>
      </c>
      <c r="D1583" s="41" t="s">
        <v>45</v>
      </c>
      <c r="E1583" s="41" t="s">
        <v>1298</v>
      </c>
      <c r="F1583" s="41" t="s">
        <v>4535</v>
      </c>
      <c r="G1583" s="41" t="s">
        <v>4947</v>
      </c>
      <c r="H1583" s="41" t="s">
        <v>4948</v>
      </c>
      <c r="I1583" s="43">
        <v>12</v>
      </c>
      <c r="J1583" s="44" t="str">
        <f>VLOOKUP(G1583,[1]硬件清单!$F:$F,1,0)</f>
        <v>J33GT0E</v>
      </c>
      <c r="K1583" s="43"/>
      <c r="L1583" s="44"/>
      <c r="M1583" s="45" t="s">
        <v>4949</v>
      </c>
    </row>
    <row r="1584" s="26" customFormat="1" ht="30" customHeight="1" spans="1:13">
      <c r="A1584" s="41">
        <f>IF(C1584="","",SUBTOTAL(103,$C$2:C1584))</f>
        <v>1575</v>
      </c>
      <c r="B1584" s="41">
        <v>8196</v>
      </c>
      <c r="C1584" s="41">
        <v>5416</v>
      </c>
      <c r="D1584" s="41" t="s">
        <v>45</v>
      </c>
      <c r="E1584" s="41" t="s">
        <v>1298</v>
      </c>
      <c r="F1584" s="41" t="s">
        <v>4535</v>
      </c>
      <c r="G1584" s="41" t="s">
        <v>4950</v>
      </c>
      <c r="H1584" s="41" t="s">
        <v>4951</v>
      </c>
      <c r="I1584" s="43">
        <v>12</v>
      </c>
      <c r="J1584" s="44" t="str">
        <f>VLOOKUP(G1584,[1]硬件清单!$F:$F,1,0)</f>
        <v>J33GHMB</v>
      </c>
      <c r="K1584" s="43"/>
      <c r="L1584" s="44"/>
      <c r="M1584" s="45" t="s">
        <v>4952</v>
      </c>
    </row>
    <row r="1585" s="26" customFormat="1" ht="30" customHeight="1" spans="1:13">
      <c r="A1585" s="41">
        <f>IF(C1585="","",SUBTOTAL(103,$C$2:C1585))</f>
        <v>1576</v>
      </c>
      <c r="B1585" s="41">
        <v>8197</v>
      </c>
      <c r="C1585" s="41">
        <v>5415</v>
      </c>
      <c r="D1585" s="41" t="s">
        <v>45</v>
      </c>
      <c r="E1585" s="41" t="s">
        <v>1298</v>
      </c>
      <c r="F1585" s="41" t="s">
        <v>4535</v>
      </c>
      <c r="G1585" s="41" t="s">
        <v>4953</v>
      </c>
      <c r="H1585" s="41" t="s">
        <v>4954</v>
      </c>
      <c r="I1585" s="43">
        <v>12</v>
      </c>
      <c r="J1585" s="44" t="str">
        <f>VLOOKUP(G1585,[1]硬件清单!$F:$F,1,0)</f>
        <v>J33GHMC</v>
      </c>
      <c r="K1585" s="43"/>
      <c r="L1585" s="44"/>
      <c r="M1585" s="45" t="s">
        <v>4955</v>
      </c>
    </row>
    <row r="1586" s="26" customFormat="1" ht="30" customHeight="1" spans="1:13">
      <c r="A1586" s="41">
        <f>IF(C1586="","",SUBTOTAL(103,$C$2:C1586))</f>
        <v>1577</v>
      </c>
      <c r="B1586" s="41">
        <v>8840</v>
      </c>
      <c r="C1586" s="41">
        <v>14192</v>
      </c>
      <c r="D1586" s="41" t="s">
        <v>45</v>
      </c>
      <c r="E1586" s="41" t="s">
        <v>1298</v>
      </c>
      <c r="F1586" s="41" t="s">
        <v>4528</v>
      </c>
      <c r="G1586" s="41" t="s">
        <v>4956</v>
      </c>
      <c r="H1586" s="41" t="s">
        <v>4957</v>
      </c>
      <c r="I1586" s="43">
        <v>12</v>
      </c>
      <c r="J1586" s="44" t="str">
        <f>VLOOKUP(G1586,[1]硬件清单!$F:$F,1,0)</f>
        <v>J320C2K</v>
      </c>
      <c r="K1586" s="43"/>
      <c r="L1586" s="44"/>
      <c r="M1586" s="45" t="s">
        <v>4958</v>
      </c>
    </row>
    <row r="1587" s="26" customFormat="1" ht="30" customHeight="1" spans="1:13">
      <c r="A1587" s="41">
        <f>IF(C1587="","",SUBTOTAL(103,$C$2:C1587))</f>
        <v>1578</v>
      </c>
      <c r="B1587" s="41">
        <v>8841</v>
      </c>
      <c r="C1587" s="41">
        <v>5434</v>
      </c>
      <c r="D1587" s="41" t="s">
        <v>45</v>
      </c>
      <c r="E1587" s="41" t="s">
        <v>1298</v>
      </c>
      <c r="F1587" s="41" t="s">
        <v>4535</v>
      </c>
      <c r="G1587" s="41" t="s">
        <v>4959</v>
      </c>
      <c r="H1587" s="41" t="s">
        <v>4960</v>
      </c>
      <c r="I1587" s="43">
        <v>12</v>
      </c>
      <c r="J1587" s="44" t="str">
        <f>VLOOKUP(G1587,[1]硬件清单!$F:$F,1,0)</f>
        <v>J33GHMP</v>
      </c>
      <c r="K1587" s="43"/>
      <c r="L1587" s="44"/>
      <c r="M1587" s="45" t="s">
        <v>4961</v>
      </c>
    </row>
    <row r="1588" s="26" customFormat="1" ht="30" customHeight="1" spans="1:13">
      <c r="A1588" s="41">
        <f>IF(C1588="","",SUBTOTAL(103,$C$2:C1588))</f>
        <v>1579</v>
      </c>
      <c r="B1588" s="41">
        <v>8842</v>
      </c>
      <c r="C1588" s="41">
        <v>5433</v>
      </c>
      <c r="D1588" s="41" t="s">
        <v>45</v>
      </c>
      <c r="E1588" s="41" t="s">
        <v>1298</v>
      </c>
      <c r="F1588" s="41" t="s">
        <v>4535</v>
      </c>
      <c r="G1588" s="41" t="s">
        <v>4962</v>
      </c>
      <c r="H1588" s="41" t="s">
        <v>4963</v>
      </c>
      <c r="I1588" s="43">
        <v>12</v>
      </c>
      <c r="J1588" s="44" t="str">
        <f>VLOOKUP(G1588,[1]硬件清单!$F:$F,1,0)</f>
        <v>J33GT25</v>
      </c>
      <c r="K1588" s="43"/>
      <c r="L1588" s="44"/>
      <c r="M1588" s="45" t="s">
        <v>4964</v>
      </c>
    </row>
    <row r="1589" s="26" customFormat="1" ht="30" customHeight="1" spans="1:13">
      <c r="A1589" s="41">
        <f>IF(C1589="","",SUBTOTAL(103,$C$2:C1589))</f>
        <v>1580</v>
      </c>
      <c r="B1589" s="41">
        <v>8843</v>
      </c>
      <c r="C1589" s="41">
        <v>5432</v>
      </c>
      <c r="D1589" s="41" t="s">
        <v>45</v>
      </c>
      <c r="E1589" s="41" t="s">
        <v>1298</v>
      </c>
      <c r="F1589" s="41" t="s">
        <v>4535</v>
      </c>
      <c r="G1589" s="41" t="s">
        <v>4965</v>
      </c>
      <c r="H1589" s="41" t="s">
        <v>4966</v>
      </c>
      <c r="I1589" s="43">
        <v>12</v>
      </c>
      <c r="J1589" s="44" t="str">
        <f>VLOOKUP(G1589,[1]硬件清单!$F:$F,1,0)</f>
        <v>J33GT2M</v>
      </c>
      <c r="K1589" s="43"/>
      <c r="L1589" s="44"/>
      <c r="M1589" s="45" t="s">
        <v>4967</v>
      </c>
    </row>
    <row r="1590" s="26" customFormat="1" ht="30" customHeight="1" spans="1:13">
      <c r="A1590" s="41">
        <f>IF(C1590="","",SUBTOTAL(103,$C$2:C1590))</f>
        <v>1581</v>
      </c>
      <c r="B1590" s="41">
        <v>8844</v>
      </c>
      <c r="C1590" s="41">
        <v>5431</v>
      </c>
      <c r="D1590" s="41" t="s">
        <v>45</v>
      </c>
      <c r="E1590" s="41" t="s">
        <v>1298</v>
      </c>
      <c r="F1590" s="41" t="s">
        <v>4535</v>
      </c>
      <c r="G1590" s="41" t="s">
        <v>4968</v>
      </c>
      <c r="H1590" s="41" t="s">
        <v>4969</v>
      </c>
      <c r="I1590" s="43">
        <v>12</v>
      </c>
      <c r="J1590" s="44" t="str">
        <f>VLOOKUP(G1590,[1]硬件清单!$F:$F,1,0)</f>
        <v>J33GT30</v>
      </c>
      <c r="K1590" s="43"/>
      <c r="L1590" s="44"/>
      <c r="M1590" s="45" t="s">
        <v>4970</v>
      </c>
    </row>
    <row r="1591" s="26" customFormat="1" ht="30" customHeight="1" spans="1:13">
      <c r="A1591" s="41">
        <f>IF(C1591="","",SUBTOTAL(103,$C$2:C1591))</f>
        <v>1582</v>
      </c>
      <c r="B1591" s="41">
        <v>8856</v>
      </c>
      <c r="C1591" s="41">
        <v>14193</v>
      </c>
      <c r="D1591" s="41" t="s">
        <v>45</v>
      </c>
      <c r="E1591" s="41" t="s">
        <v>1298</v>
      </c>
      <c r="F1591" s="41" t="s">
        <v>4528</v>
      </c>
      <c r="G1591" s="41" t="s">
        <v>4971</v>
      </c>
      <c r="H1591" s="41" t="s">
        <v>4972</v>
      </c>
      <c r="I1591" s="43">
        <v>12</v>
      </c>
      <c r="J1591" s="44" t="str">
        <f>VLOOKUP(G1591,[1]硬件清单!$F:$F,1,0)</f>
        <v>J320C2G</v>
      </c>
      <c r="K1591" s="43"/>
      <c r="L1591" s="44"/>
      <c r="M1591" s="45" t="s">
        <v>4973</v>
      </c>
    </row>
    <row r="1592" s="26" customFormat="1" ht="30" customHeight="1" spans="1:13">
      <c r="A1592" s="41">
        <f>IF(C1592="","",SUBTOTAL(103,$C$2:C1592))</f>
        <v>1583</v>
      </c>
      <c r="B1592" s="41">
        <v>8857</v>
      </c>
      <c r="C1592" s="41">
        <v>5444</v>
      </c>
      <c r="D1592" s="41" t="s">
        <v>45</v>
      </c>
      <c r="E1592" s="41" t="s">
        <v>1298</v>
      </c>
      <c r="F1592" s="41" t="s">
        <v>4535</v>
      </c>
      <c r="G1592" s="41" t="s">
        <v>4974</v>
      </c>
      <c r="H1592" s="41" t="s">
        <v>4975</v>
      </c>
      <c r="I1592" s="43">
        <v>12</v>
      </c>
      <c r="J1592" s="44" t="str">
        <f>VLOOKUP(G1592,[1]硬件清单!$F:$F,1,0)</f>
        <v>J33GT0P</v>
      </c>
      <c r="K1592" s="43"/>
      <c r="L1592" s="44"/>
      <c r="M1592" s="45" t="s">
        <v>4976</v>
      </c>
    </row>
    <row r="1593" s="26" customFormat="1" ht="30" customHeight="1" spans="1:13">
      <c r="A1593" s="41">
        <f>IF(C1593="","",SUBTOTAL(103,$C$2:C1593))</f>
        <v>1584</v>
      </c>
      <c r="B1593" s="41">
        <v>8858</v>
      </c>
      <c r="C1593" s="41">
        <v>5443</v>
      </c>
      <c r="D1593" s="41" t="s">
        <v>45</v>
      </c>
      <c r="E1593" s="41" t="s">
        <v>1298</v>
      </c>
      <c r="F1593" s="41" t="s">
        <v>4535</v>
      </c>
      <c r="G1593" s="41" t="s">
        <v>4977</v>
      </c>
      <c r="H1593" s="41" t="s">
        <v>4978</v>
      </c>
      <c r="I1593" s="43">
        <v>12</v>
      </c>
      <c r="J1593" s="44" t="str">
        <f>VLOOKUP(G1593,[1]硬件清单!$F:$F,1,0)</f>
        <v>J33GHM0</v>
      </c>
      <c r="K1593" s="43"/>
      <c r="L1593" s="44"/>
      <c r="M1593" s="45" t="s">
        <v>4979</v>
      </c>
    </row>
    <row r="1594" s="26" customFormat="1" ht="30" customHeight="1" spans="1:13">
      <c r="A1594" s="41">
        <f>IF(C1594="","",SUBTOTAL(103,$C$2:C1594))</f>
        <v>1585</v>
      </c>
      <c r="B1594" s="41">
        <v>8859</v>
      </c>
      <c r="C1594" s="41">
        <v>5436</v>
      </c>
      <c r="D1594" s="41" t="s">
        <v>45</v>
      </c>
      <c r="E1594" s="41" t="s">
        <v>1298</v>
      </c>
      <c r="F1594" s="41" t="s">
        <v>4535</v>
      </c>
      <c r="G1594" s="41" t="s">
        <v>4980</v>
      </c>
      <c r="H1594" s="41" t="s">
        <v>4981</v>
      </c>
      <c r="I1594" s="43">
        <v>12</v>
      </c>
      <c r="J1594" s="44" t="str">
        <f>VLOOKUP(G1594,[1]硬件清单!$F:$F,1,0)</f>
        <v>J33GT0Y</v>
      </c>
      <c r="K1594" s="43"/>
      <c r="L1594" s="44"/>
      <c r="M1594" s="45" t="s">
        <v>4982</v>
      </c>
    </row>
    <row r="1595" s="26" customFormat="1" ht="30" customHeight="1" spans="1:13">
      <c r="A1595" s="41">
        <f>IF(C1595="","",SUBTOTAL(103,$C$2:C1595))</f>
        <v>1586</v>
      </c>
      <c r="B1595" s="41">
        <v>8860</v>
      </c>
      <c r="C1595" s="41">
        <v>5435</v>
      </c>
      <c r="D1595" s="41" t="s">
        <v>45</v>
      </c>
      <c r="E1595" s="41" t="s">
        <v>1298</v>
      </c>
      <c r="F1595" s="41" t="s">
        <v>4535</v>
      </c>
      <c r="G1595" s="41" t="s">
        <v>4983</v>
      </c>
      <c r="H1595" s="41" t="s">
        <v>4984</v>
      </c>
      <c r="I1595" s="43">
        <v>12</v>
      </c>
      <c r="J1595" s="44" t="str">
        <f>VLOOKUP(G1595,[1]硬件清单!$F:$F,1,0)</f>
        <v>J33GT2E</v>
      </c>
      <c r="K1595" s="43"/>
      <c r="L1595" s="44"/>
      <c r="M1595" s="45" t="s">
        <v>4985</v>
      </c>
    </row>
    <row r="1596" s="26" customFormat="1" ht="30" customHeight="1" spans="1:13">
      <c r="A1596" s="41">
        <f>IF(C1596="","",SUBTOTAL(103,$C$2:C1596))</f>
        <v>1587</v>
      </c>
      <c r="B1596" s="41">
        <v>8879</v>
      </c>
      <c r="C1596" s="41">
        <v>5429</v>
      </c>
      <c r="D1596" s="41" t="s">
        <v>45</v>
      </c>
      <c r="E1596" s="41" t="s">
        <v>1298</v>
      </c>
      <c r="F1596" s="41" t="s">
        <v>4535</v>
      </c>
      <c r="G1596" s="41" t="s">
        <v>4986</v>
      </c>
      <c r="H1596" s="41" t="s">
        <v>4987</v>
      </c>
      <c r="I1596" s="43">
        <v>12</v>
      </c>
      <c r="J1596" s="44" t="str">
        <f>VLOOKUP(G1596,[1]硬件清单!$F:$F,1,0)</f>
        <v>J33GHME</v>
      </c>
      <c r="K1596" s="43"/>
      <c r="L1596" s="44"/>
      <c r="M1596" s="45" t="s">
        <v>4988</v>
      </c>
    </row>
    <row r="1597" s="26" customFormat="1" ht="30" customHeight="1" spans="1:13">
      <c r="A1597" s="41">
        <f>IF(C1597="","",SUBTOTAL(103,$C$2:C1597))</f>
        <v>1588</v>
      </c>
      <c r="B1597" s="41">
        <v>8880</v>
      </c>
      <c r="C1597" s="41">
        <v>5430</v>
      </c>
      <c r="D1597" s="41" t="s">
        <v>45</v>
      </c>
      <c r="E1597" s="41" t="s">
        <v>1298</v>
      </c>
      <c r="F1597" s="41" t="s">
        <v>4535</v>
      </c>
      <c r="G1597" s="41" t="s">
        <v>4989</v>
      </c>
      <c r="H1597" s="41" t="s">
        <v>4990</v>
      </c>
      <c r="I1597" s="43">
        <v>12</v>
      </c>
      <c r="J1597" s="44" t="str">
        <f>VLOOKUP(G1597,[1]硬件清单!$F:$F,1,0)</f>
        <v>J33GRZA</v>
      </c>
      <c r="K1597" s="43"/>
      <c r="L1597" s="44"/>
      <c r="M1597" s="45" t="s">
        <v>4991</v>
      </c>
    </row>
    <row r="1598" s="26" customFormat="1" ht="30" customHeight="1" spans="1:13">
      <c r="A1598" s="41">
        <f>IF(C1598="","",SUBTOTAL(103,$C$2:C1598))</f>
        <v>1589</v>
      </c>
      <c r="B1598" s="41">
        <v>8882</v>
      </c>
      <c r="C1598" s="41">
        <v>5463</v>
      </c>
      <c r="D1598" s="41" t="s">
        <v>45</v>
      </c>
      <c r="E1598" s="41" t="s">
        <v>1298</v>
      </c>
      <c r="F1598" s="41" t="s">
        <v>4535</v>
      </c>
      <c r="G1598" s="41" t="s">
        <v>4992</v>
      </c>
      <c r="H1598" s="41" t="s">
        <v>4993</v>
      </c>
      <c r="I1598" s="43">
        <v>12</v>
      </c>
      <c r="J1598" s="44" t="str">
        <f>VLOOKUP(G1598,[1]硬件清单!$F:$F,1,0)</f>
        <v>J33GHN7</v>
      </c>
      <c r="K1598" s="43"/>
      <c r="L1598" s="44"/>
      <c r="M1598" s="45" t="s">
        <v>4994</v>
      </c>
    </row>
    <row r="1599" s="26" customFormat="1" ht="30" customHeight="1" spans="1:13">
      <c r="A1599" s="41">
        <f>IF(C1599="","",SUBTOTAL(103,$C$2:C1599))</f>
        <v>1590</v>
      </c>
      <c r="B1599" s="41">
        <v>8883</v>
      </c>
      <c r="C1599" s="41">
        <v>5464</v>
      </c>
      <c r="D1599" s="41" t="s">
        <v>45</v>
      </c>
      <c r="E1599" s="41" t="s">
        <v>1298</v>
      </c>
      <c r="F1599" s="41" t="s">
        <v>4535</v>
      </c>
      <c r="G1599" s="41" t="s">
        <v>4995</v>
      </c>
      <c r="H1599" s="41" t="s">
        <v>4996</v>
      </c>
      <c r="I1599" s="43">
        <v>12</v>
      </c>
      <c r="J1599" s="44" t="str">
        <f>VLOOKUP(G1599,[1]硬件清单!$F:$F,1,0)</f>
        <v>J33GHL1</v>
      </c>
      <c r="K1599" s="43"/>
      <c r="L1599" s="44"/>
      <c r="M1599" s="45" t="s">
        <v>4997</v>
      </c>
    </row>
    <row r="1600" s="26" customFormat="1" ht="30" customHeight="1" spans="1:13">
      <c r="A1600" s="41">
        <f>IF(C1600="","",SUBTOTAL(103,$C$2:C1600))</f>
        <v>1591</v>
      </c>
      <c r="B1600" s="41">
        <v>8884</v>
      </c>
      <c r="C1600" s="41">
        <v>5465</v>
      </c>
      <c r="D1600" s="41" t="s">
        <v>45</v>
      </c>
      <c r="E1600" s="41" t="s">
        <v>1298</v>
      </c>
      <c r="F1600" s="41" t="s">
        <v>4535</v>
      </c>
      <c r="G1600" s="41" t="s">
        <v>4998</v>
      </c>
      <c r="H1600" s="41" t="s">
        <v>4999</v>
      </c>
      <c r="I1600" s="43">
        <v>12</v>
      </c>
      <c r="J1600" s="44" t="str">
        <f>VLOOKUP(G1600,[1]硬件清单!$F:$F,1,0)</f>
        <v>J33GRZL</v>
      </c>
      <c r="K1600" s="43"/>
      <c r="L1600" s="44"/>
      <c r="M1600" s="45" t="s">
        <v>5000</v>
      </c>
    </row>
    <row r="1601" s="26" customFormat="1" ht="30" customHeight="1" spans="1:13">
      <c r="A1601" s="41">
        <f>IF(C1601="","",SUBTOTAL(103,$C$2:C1601))</f>
        <v>1592</v>
      </c>
      <c r="B1601" s="41">
        <v>8885</v>
      </c>
      <c r="C1601" s="41">
        <v>5466</v>
      </c>
      <c r="D1601" s="41" t="s">
        <v>45</v>
      </c>
      <c r="E1601" s="41" t="s">
        <v>1298</v>
      </c>
      <c r="F1601" s="41" t="s">
        <v>4535</v>
      </c>
      <c r="G1601" s="41" t="s">
        <v>5001</v>
      </c>
      <c r="H1601" s="41" t="s">
        <v>5002</v>
      </c>
      <c r="I1601" s="43">
        <v>12</v>
      </c>
      <c r="J1601" s="44" t="str">
        <f>VLOOKUP(G1601,[1]硬件清单!$F:$F,1,0)</f>
        <v>J33GT1N</v>
      </c>
      <c r="K1601" s="43"/>
      <c r="L1601" s="44"/>
      <c r="M1601" s="45" t="s">
        <v>5003</v>
      </c>
    </row>
    <row r="1602" s="26" customFormat="1" ht="30" customHeight="1" spans="1:13">
      <c r="A1602" s="41">
        <f>IF(C1602="","",SUBTOTAL(103,$C$2:C1602))</f>
        <v>1593</v>
      </c>
      <c r="B1602" s="41">
        <v>8886</v>
      </c>
      <c r="C1602" s="41">
        <v>5467</v>
      </c>
      <c r="D1602" s="41" t="s">
        <v>45</v>
      </c>
      <c r="E1602" s="41" t="s">
        <v>1298</v>
      </c>
      <c r="F1602" s="41" t="s">
        <v>4535</v>
      </c>
      <c r="G1602" s="41" t="s">
        <v>5004</v>
      </c>
      <c r="H1602" s="41" t="s">
        <v>5005</v>
      </c>
      <c r="I1602" s="43">
        <v>12</v>
      </c>
      <c r="J1602" s="44" t="str">
        <f>VLOOKUP(G1602,[1]硬件清单!$F:$F,1,0)</f>
        <v>J33GT1L</v>
      </c>
      <c r="K1602" s="43"/>
      <c r="L1602" s="44"/>
      <c r="M1602" s="45" t="s">
        <v>5006</v>
      </c>
    </row>
    <row r="1603" s="26" customFormat="1" ht="30" customHeight="1" spans="1:13">
      <c r="A1603" s="41">
        <f>IF(C1603="","",SUBTOTAL(103,$C$2:C1603))</f>
        <v>1594</v>
      </c>
      <c r="B1603" s="41">
        <v>8887</v>
      </c>
      <c r="C1603" s="41">
        <v>5468</v>
      </c>
      <c r="D1603" s="41" t="s">
        <v>45</v>
      </c>
      <c r="E1603" s="41" t="s">
        <v>1298</v>
      </c>
      <c r="F1603" s="41" t="s">
        <v>4535</v>
      </c>
      <c r="G1603" s="41" t="s">
        <v>5007</v>
      </c>
      <c r="H1603" s="41" t="s">
        <v>5008</v>
      </c>
      <c r="I1603" s="43">
        <v>12</v>
      </c>
      <c r="J1603" s="44" t="str">
        <f>VLOOKUP(G1603,[1]硬件清单!$F:$F,1,0)</f>
        <v>J33GT1E</v>
      </c>
      <c r="K1603" s="43"/>
      <c r="L1603" s="44"/>
      <c r="M1603" s="45" t="s">
        <v>5009</v>
      </c>
    </row>
    <row r="1604" s="26" customFormat="1" ht="30" customHeight="1" spans="1:13">
      <c r="A1604" s="41">
        <f>IF(C1604="","",SUBTOTAL(103,$C$2:C1604))</f>
        <v>1595</v>
      </c>
      <c r="B1604" s="41">
        <v>8888</v>
      </c>
      <c r="C1604" s="41">
        <v>5469</v>
      </c>
      <c r="D1604" s="41" t="s">
        <v>45</v>
      </c>
      <c r="E1604" s="41" t="s">
        <v>1298</v>
      </c>
      <c r="F1604" s="41" t="s">
        <v>4535</v>
      </c>
      <c r="G1604" s="41" t="s">
        <v>5010</v>
      </c>
      <c r="H1604" s="41" t="s">
        <v>5011</v>
      </c>
      <c r="I1604" s="43">
        <v>12</v>
      </c>
      <c r="J1604" s="44" t="str">
        <f>VLOOKUP(G1604,[1]硬件清单!$F:$F,1,0)</f>
        <v>J33GT1H</v>
      </c>
      <c r="K1604" s="43"/>
      <c r="L1604" s="44"/>
      <c r="M1604" s="45" t="s">
        <v>5012</v>
      </c>
    </row>
    <row r="1605" s="26" customFormat="1" ht="30" customHeight="1" spans="1:13">
      <c r="A1605" s="41">
        <f>IF(C1605="","",SUBTOTAL(103,$C$2:C1605))</f>
        <v>1596</v>
      </c>
      <c r="B1605" s="41">
        <v>8889</v>
      </c>
      <c r="C1605" s="41">
        <v>5470</v>
      </c>
      <c r="D1605" s="41" t="s">
        <v>45</v>
      </c>
      <c r="E1605" s="41" t="s">
        <v>1298</v>
      </c>
      <c r="F1605" s="41" t="s">
        <v>4535</v>
      </c>
      <c r="G1605" s="41" t="s">
        <v>5013</v>
      </c>
      <c r="H1605" s="41" t="s">
        <v>5014</v>
      </c>
      <c r="I1605" s="43">
        <v>12</v>
      </c>
      <c r="J1605" s="44" t="str">
        <f>VLOOKUP(G1605,[1]硬件清单!$F:$F,1,0)</f>
        <v>J33GHLY</v>
      </c>
      <c r="K1605" s="43"/>
      <c r="L1605" s="44"/>
      <c r="M1605" s="45" t="s">
        <v>5015</v>
      </c>
    </row>
    <row r="1606" s="26" customFormat="1" ht="30" customHeight="1" spans="1:13">
      <c r="A1606" s="41">
        <f>IF(C1606="","",SUBTOTAL(103,$C$2:C1606))</f>
        <v>1597</v>
      </c>
      <c r="B1606" s="41">
        <v>8890</v>
      </c>
      <c r="C1606" s="41">
        <v>5471</v>
      </c>
      <c r="D1606" s="41" t="s">
        <v>45</v>
      </c>
      <c r="E1606" s="41" t="s">
        <v>1298</v>
      </c>
      <c r="F1606" s="41" t="s">
        <v>4535</v>
      </c>
      <c r="G1606" s="41" t="s">
        <v>5016</v>
      </c>
      <c r="H1606" s="41" t="s">
        <v>5017</v>
      </c>
      <c r="I1606" s="43">
        <v>12</v>
      </c>
      <c r="J1606" s="44" t="str">
        <f>VLOOKUP(G1606,[1]硬件清单!$F:$F,1,0)</f>
        <v>J33GHLK</v>
      </c>
      <c r="K1606" s="43"/>
      <c r="L1606" s="44"/>
      <c r="M1606" s="45" t="s">
        <v>5018</v>
      </c>
    </row>
    <row r="1607" s="26" customFormat="1" ht="30" customHeight="1" spans="1:13">
      <c r="A1607" s="41">
        <f>IF(C1607="","",SUBTOTAL(103,$C$2:C1607))</f>
        <v>1598</v>
      </c>
      <c r="B1607" s="41">
        <v>8891</v>
      </c>
      <c r="C1607" s="41">
        <v>5472</v>
      </c>
      <c r="D1607" s="41" t="s">
        <v>45</v>
      </c>
      <c r="E1607" s="41" t="s">
        <v>1298</v>
      </c>
      <c r="F1607" s="41" t="s">
        <v>4535</v>
      </c>
      <c r="G1607" s="41" t="s">
        <v>5019</v>
      </c>
      <c r="H1607" s="41" t="s">
        <v>5020</v>
      </c>
      <c r="I1607" s="43">
        <v>12</v>
      </c>
      <c r="J1607" s="44" t="str">
        <f>VLOOKUP(G1607,[1]硬件清单!$F:$F,1,0)</f>
        <v>J33GHMV</v>
      </c>
      <c r="K1607" s="43"/>
      <c r="L1607" s="44"/>
      <c r="M1607" s="45" t="s">
        <v>5021</v>
      </c>
    </row>
    <row r="1608" s="26" customFormat="1" ht="30" customHeight="1" spans="1:13">
      <c r="A1608" s="41">
        <f>IF(C1608="","",SUBTOTAL(103,$C$2:C1608))</f>
        <v>1599</v>
      </c>
      <c r="B1608" s="41">
        <v>8893</v>
      </c>
      <c r="C1608" s="41">
        <v>5473</v>
      </c>
      <c r="D1608" s="41" t="s">
        <v>45</v>
      </c>
      <c r="E1608" s="41" t="s">
        <v>1298</v>
      </c>
      <c r="F1608" s="41" t="s">
        <v>4535</v>
      </c>
      <c r="G1608" s="41" t="s">
        <v>5022</v>
      </c>
      <c r="H1608" s="41" t="s">
        <v>5023</v>
      </c>
      <c r="I1608" s="43">
        <v>12</v>
      </c>
      <c r="J1608" s="44" t="str">
        <f>VLOOKUP(G1608,[1]硬件清单!$F:$F,1,0)</f>
        <v>J33GHML</v>
      </c>
      <c r="K1608" s="43"/>
      <c r="L1608" s="44"/>
      <c r="M1608" s="45" t="s">
        <v>5024</v>
      </c>
    </row>
    <row r="1609" s="26" customFormat="1" ht="30" customHeight="1" spans="1:13">
      <c r="A1609" s="41">
        <f>IF(C1609="","",SUBTOTAL(103,$C$2:C1609))</f>
        <v>1600</v>
      </c>
      <c r="B1609" s="41">
        <v>8894</v>
      </c>
      <c r="C1609" s="41">
        <v>5474</v>
      </c>
      <c r="D1609" s="41" t="s">
        <v>45</v>
      </c>
      <c r="E1609" s="41" t="s">
        <v>1298</v>
      </c>
      <c r="F1609" s="41" t="s">
        <v>4535</v>
      </c>
      <c r="G1609" s="41" t="s">
        <v>5025</v>
      </c>
      <c r="H1609" s="41" t="s">
        <v>5026</v>
      </c>
      <c r="I1609" s="43">
        <v>12</v>
      </c>
      <c r="J1609" s="44" t="str">
        <f>VLOOKUP(G1609,[1]硬件清单!$F:$F,1,0)</f>
        <v>J33GT28</v>
      </c>
      <c r="K1609" s="43"/>
      <c r="L1609" s="44"/>
      <c r="M1609" s="45" t="s">
        <v>5027</v>
      </c>
    </row>
    <row r="1610" s="26" customFormat="1" ht="30" customHeight="1" spans="1:13">
      <c r="A1610" s="41">
        <f>IF(C1610="","",SUBTOTAL(103,$C$2:C1610))</f>
        <v>1601</v>
      </c>
      <c r="B1610" s="41">
        <v>8895</v>
      </c>
      <c r="C1610" s="41">
        <v>5475</v>
      </c>
      <c r="D1610" s="41" t="s">
        <v>45</v>
      </c>
      <c r="E1610" s="41" t="s">
        <v>1298</v>
      </c>
      <c r="F1610" s="41" t="s">
        <v>4535</v>
      </c>
      <c r="G1610" s="41" t="s">
        <v>5028</v>
      </c>
      <c r="H1610" s="41" t="s">
        <v>5029</v>
      </c>
      <c r="I1610" s="43">
        <v>12</v>
      </c>
      <c r="J1610" s="44" t="str">
        <f>VLOOKUP(G1610,[1]硬件清单!$F:$F,1,0)</f>
        <v>J33GHLR</v>
      </c>
      <c r="K1610" s="43"/>
      <c r="L1610" s="44"/>
      <c r="M1610" s="45" t="s">
        <v>5030</v>
      </c>
    </row>
    <row r="1611" s="26" customFormat="1" ht="30" customHeight="1" spans="1:13">
      <c r="A1611" s="41">
        <f>IF(C1611="","",SUBTOTAL(103,$C$2:C1611))</f>
        <v>1602</v>
      </c>
      <c r="B1611" s="41">
        <v>8896</v>
      </c>
      <c r="C1611" s="41">
        <v>5476</v>
      </c>
      <c r="D1611" s="41" t="s">
        <v>45</v>
      </c>
      <c r="E1611" s="41" t="s">
        <v>1298</v>
      </c>
      <c r="F1611" s="41" t="s">
        <v>4535</v>
      </c>
      <c r="G1611" s="41" t="s">
        <v>5031</v>
      </c>
      <c r="H1611" s="41" t="s">
        <v>5032</v>
      </c>
      <c r="I1611" s="43">
        <v>12</v>
      </c>
      <c r="J1611" s="44" t="str">
        <f>VLOOKUP(G1611,[1]硬件清单!$F:$F,1,0)</f>
        <v>J33GT1P</v>
      </c>
      <c r="K1611" s="43"/>
      <c r="L1611" s="44"/>
      <c r="M1611" s="45" t="s">
        <v>5033</v>
      </c>
    </row>
    <row r="1612" s="26" customFormat="1" ht="30" customHeight="1" spans="1:13">
      <c r="A1612" s="41">
        <f>IF(C1612="","",SUBTOTAL(103,$C$2:C1612))</f>
        <v>1603</v>
      </c>
      <c r="B1612" s="41">
        <v>8900</v>
      </c>
      <c r="C1612" s="41">
        <v>5445</v>
      </c>
      <c r="D1612" s="41" t="s">
        <v>45</v>
      </c>
      <c r="E1612" s="41" t="s">
        <v>1298</v>
      </c>
      <c r="F1612" s="41" t="s">
        <v>4535</v>
      </c>
      <c r="G1612" s="41" t="s">
        <v>5034</v>
      </c>
      <c r="H1612" s="41" t="s">
        <v>5035</v>
      </c>
      <c r="I1612" s="43">
        <v>12</v>
      </c>
      <c r="J1612" s="44" t="str">
        <f>VLOOKUP(G1612,[1]硬件清单!$F:$F,1,0)</f>
        <v>J33GT01</v>
      </c>
      <c r="K1612" s="43"/>
      <c r="L1612" s="44"/>
      <c r="M1612" s="45" t="s">
        <v>5036</v>
      </c>
    </row>
    <row r="1613" s="26" customFormat="1" ht="30" customHeight="1" spans="1:13">
      <c r="A1613" s="41">
        <f>IF(C1613="","",SUBTOTAL(103,$C$2:C1613))</f>
        <v>1604</v>
      </c>
      <c r="B1613" s="41">
        <v>8901</v>
      </c>
      <c r="C1613" s="41">
        <v>5446</v>
      </c>
      <c r="D1613" s="41" t="s">
        <v>45</v>
      </c>
      <c r="E1613" s="41" t="s">
        <v>1298</v>
      </c>
      <c r="F1613" s="41" t="s">
        <v>4535</v>
      </c>
      <c r="G1613" s="41" t="s">
        <v>5037</v>
      </c>
      <c r="H1613" s="41" t="s">
        <v>5038</v>
      </c>
      <c r="I1613" s="43">
        <v>12</v>
      </c>
      <c r="J1613" s="44" t="str">
        <f>VLOOKUP(G1613,[1]硬件清单!$F:$F,1,0)</f>
        <v>J33GRZK</v>
      </c>
      <c r="K1613" s="43"/>
      <c r="L1613" s="44"/>
      <c r="M1613" s="45" t="s">
        <v>5039</v>
      </c>
    </row>
    <row r="1614" s="26" customFormat="1" ht="30" customHeight="1" spans="1:13">
      <c r="A1614" s="41">
        <f>IF(C1614="","",SUBTOTAL(103,$C$2:C1614))</f>
        <v>1605</v>
      </c>
      <c r="B1614" s="41">
        <v>8902</v>
      </c>
      <c r="C1614" s="41">
        <v>5451</v>
      </c>
      <c r="D1614" s="41" t="s">
        <v>45</v>
      </c>
      <c r="E1614" s="41" t="s">
        <v>1298</v>
      </c>
      <c r="F1614" s="41" t="s">
        <v>4535</v>
      </c>
      <c r="G1614" s="41" t="s">
        <v>5040</v>
      </c>
      <c r="H1614" s="41" t="s">
        <v>5041</v>
      </c>
      <c r="I1614" s="43">
        <v>12</v>
      </c>
      <c r="J1614" s="44" t="str">
        <f>VLOOKUP(G1614,[1]硬件清单!$F:$F,1,0)</f>
        <v>J33GT08</v>
      </c>
      <c r="K1614" s="43"/>
      <c r="L1614" s="44"/>
      <c r="M1614" s="45" t="s">
        <v>5042</v>
      </c>
    </row>
    <row r="1615" s="26" customFormat="1" ht="30" customHeight="1" spans="1:13">
      <c r="A1615" s="41">
        <f>IF(C1615="","",SUBTOTAL(103,$C$2:C1615))</f>
        <v>1606</v>
      </c>
      <c r="B1615" s="41">
        <v>8903</v>
      </c>
      <c r="C1615" s="41">
        <v>5452</v>
      </c>
      <c r="D1615" s="41" t="s">
        <v>45</v>
      </c>
      <c r="E1615" s="41" t="s">
        <v>1298</v>
      </c>
      <c r="F1615" s="41" t="s">
        <v>4535</v>
      </c>
      <c r="G1615" s="41" t="s">
        <v>5043</v>
      </c>
      <c r="H1615" s="41" t="s">
        <v>5044</v>
      </c>
      <c r="I1615" s="43">
        <v>12</v>
      </c>
      <c r="J1615" s="44" t="str">
        <f>VLOOKUP(G1615,[1]硬件清单!$F:$F,1,0)</f>
        <v>J33GT2H</v>
      </c>
      <c r="K1615" s="43"/>
      <c r="L1615" s="44"/>
      <c r="M1615" s="45" t="s">
        <v>5045</v>
      </c>
    </row>
    <row r="1616" s="26" customFormat="1" ht="30" customHeight="1" spans="1:13">
      <c r="A1616" s="41">
        <f>IF(C1616="","",SUBTOTAL(103,$C$2:C1616))</f>
        <v>1607</v>
      </c>
      <c r="B1616" s="41">
        <v>8904</v>
      </c>
      <c r="C1616" s="41">
        <v>5453</v>
      </c>
      <c r="D1616" s="41" t="s">
        <v>45</v>
      </c>
      <c r="E1616" s="41" t="s">
        <v>1298</v>
      </c>
      <c r="F1616" s="41" t="s">
        <v>4535</v>
      </c>
      <c r="G1616" s="41" t="s">
        <v>5046</v>
      </c>
      <c r="H1616" s="41" t="s">
        <v>5047</v>
      </c>
      <c r="I1616" s="43">
        <v>12</v>
      </c>
      <c r="J1616" s="44" t="str">
        <f>VLOOKUP(G1616,[1]硬件清单!$F:$F,1,0)</f>
        <v>J33GHLA</v>
      </c>
      <c r="K1616" s="43"/>
      <c r="L1616" s="44"/>
      <c r="M1616" s="45" t="s">
        <v>5048</v>
      </c>
    </row>
    <row r="1617" s="26" customFormat="1" ht="30" customHeight="1" spans="1:13">
      <c r="A1617" s="41">
        <f>IF(C1617="","",SUBTOTAL(103,$C$2:C1617))</f>
        <v>1608</v>
      </c>
      <c r="B1617" s="41">
        <v>8905</v>
      </c>
      <c r="C1617" s="41">
        <v>5454</v>
      </c>
      <c r="D1617" s="41" t="s">
        <v>45</v>
      </c>
      <c r="E1617" s="41" t="s">
        <v>1298</v>
      </c>
      <c r="F1617" s="41" t="s">
        <v>4535</v>
      </c>
      <c r="G1617" s="41" t="s">
        <v>5049</v>
      </c>
      <c r="H1617" s="41" t="s">
        <v>5050</v>
      </c>
      <c r="I1617" s="43">
        <v>12</v>
      </c>
      <c r="J1617" s="44" t="str">
        <f>VLOOKUP(G1617,[1]硬件清单!$F:$F,1,0)</f>
        <v>J33GT2R</v>
      </c>
      <c r="K1617" s="43"/>
      <c r="L1617" s="44"/>
      <c r="M1617" s="45" t="s">
        <v>5051</v>
      </c>
    </row>
    <row r="1618" s="26" customFormat="1" ht="30" customHeight="1" spans="1:13">
      <c r="A1618" s="41">
        <f>IF(C1618="","",SUBTOTAL(103,$C$2:C1618))</f>
        <v>1609</v>
      </c>
      <c r="B1618" s="41">
        <v>8906</v>
      </c>
      <c r="C1618" s="41">
        <v>5455</v>
      </c>
      <c r="D1618" s="41" t="s">
        <v>45</v>
      </c>
      <c r="E1618" s="41" t="s">
        <v>1298</v>
      </c>
      <c r="F1618" s="41" t="s">
        <v>4535</v>
      </c>
      <c r="G1618" s="41" t="s">
        <v>5052</v>
      </c>
      <c r="H1618" s="41" t="s">
        <v>5053</v>
      </c>
      <c r="I1618" s="43">
        <v>12</v>
      </c>
      <c r="J1618" s="44" t="str">
        <f>VLOOKUP(G1618,[1]硬件清单!$F:$F,1,0)</f>
        <v>J33GHMH</v>
      </c>
      <c r="K1618" s="43"/>
      <c r="L1618" s="44"/>
      <c r="M1618" s="45" t="s">
        <v>5054</v>
      </c>
    </row>
    <row r="1619" s="26" customFormat="1" ht="30" customHeight="1" spans="1:13">
      <c r="A1619" s="41">
        <f>IF(C1619="","",SUBTOTAL(103,$C$2:C1619))</f>
        <v>1610</v>
      </c>
      <c r="B1619" s="41">
        <v>8907</v>
      </c>
      <c r="C1619" s="41">
        <v>5456</v>
      </c>
      <c r="D1619" s="41" t="s">
        <v>45</v>
      </c>
      <c r="E1619" s="41" t="s">
        <v>1298</v>
      </c>
      <c r="F1619" s="41" t="s">
        <v>4535</v>
      </c>
      <c r="G1619" s="41" t="s">
        <v>5055</v>
      </c>
      <c r="H1619" s="41" t="s">
        <v>5056</v>
      </c>
      <c r="I1619" s="43">
        <v>12</v>
      </c>
      <c r="J1619" s="44" t="str">
        <f>VLOOKUP(G1619,[1]硬件清单!$F:$F,1,0)</f>
        <v>J33GT2F</v>
      </c>
      <c r="K1619" s="43"/>
      <c r="L1619" s="44"/>
      <c r="M1619" s="45" t="s">
        <v>5057</v>
      </c>
    </row>
    <row r="1620" s="26" customFormat="1" ht="30" customHeight="1" spans="1:13">
      <c r="A1620" s="41">
        <f>IF(C1620="","",SUBTOTAL(103,$C$2:C1620))</f>
        <v>1611</v>
      </c>
      <c r="B1620" s="41">
        <v>8908</v>
      </c>
      <c r="C1620" s="41">
        <v>5457</v>
      </c>
      <c r="D1620" s="41" t="s">
        <v>45</v>
      </c>
      <c r="E1620" s="41" t="s">
        <v>1298</v>
      </c>
      <c r="F1620" s="41" t="s">
        <v>4535</v>
      </c>
      <c r="G1620" s="41" t="s">
        <v>5058</v>
      </c>
      <c r="H1620" s="41" t="s">
        <v>5059</v>
      </c>
      <c r="I1620" s="43">
        <v>12</v>
      </c>
      <c r="J1620" s="44" t="str">
        <f>VLOOKUP(G1620,[1]硬件清单!$F:$F,1,0)</f>
        <v>J33GT20</v>
      </c>
      <c r="K1620" s="43"/>
      <c r="L1620" s="44"/>
      <c r="M1620" s="45" t="s">
        <v>5060</v>
      </c>
    </row>
    <row r="1621" s="26" customFormat="1" ht="30" customHeight="1" spans="1:13">
      <c r="A1621" s="41">
        <f>IF(C1621="","",SUBTOTAL(103,$C$2:C1621))</f>
        <v>1612</v>
      </c>
      <c r="B1621" s="41">
        <v>8909</v>
      </c>
      <c r="C1621" s="41">
        <v>5458</v>
      </c>
      <c r="D1621" s="41" t="s">
        <v>45</v>
      </c>
      <c r="E1621" s="41" t="s">
        <v>1298</v>
      </c>
      <c r="F1621" s="41" t="s">
        <v>4535</v>
      </c>
      <c r="G1621" s="41" t="s">
        <v>5061</v>
      </c>
      <c r="H1621" s="41" t="s">
        <v>5062</v>
      </c>
      <c r="I1621" s="43">
        <v>12</v>
      </c>
      <c r="J1621" s="44" t="str">
        <f>VLOOKUP(G1621,[1]硬件清单!$F:$F,1,0)</f>
        <v>J33GHM8</v>
      </c>
      <c r="K1621" s="43"/>
      <c r="L1621" s="44"/>
      <c r="M1621" s="45" t="s">
        <v>5063</v>
      </c>
    </row>
    <row r="1622" s="26" customFormat="1" ht="30" customHeight="1" spans="1:13">
      <c r="A1622" s="41">
        <f>IF(C1622="","",SUBTOTAL(103,$C$2:C1622))</f>
        <v>1613</v>
      </c>
      <c r="B1622" s="41">
        <v>8911</v>
      </c>
      <c r="C1622" s="41">
        <v>5459</v>
      </c>
      <c r="D1622" s="41" t="s">
        <v>45</v>
      </c>
      <c r="E1622" s="41" t="s">
        <v>1298</v>
      </c>
      <c r="F1622" s="41" t="s">
        <v>4535</v>
      </c>
      <c r="G1622" s="41" t="s">
        <v>5064</v>
      </c>
      <c r="H1622" s="41" t="s">
        <v>5065</v>
      </c>
      <c r="I1622" s="43">
        <v>12</v>
      </c>
      <c r="J1622" s="44" t="str">
        <f>VLOOKUP(G1622,[1]硬件清单!$F:$F,1,0)</f>
        <v>J33GT1K</v>
      </c>
      <c r="K1622" s="43"/>
      <c r="L1622" s="44"/>
      <c r="M1622" s="45" t="s">
        <v>5066</v>
      </c>
    </row>
    <row r="1623" s="26" customFormat="1" ht="30" customHeight="1" spans="1:13">
      <c r="A1623" s="41">
        <f>IF(C1623="","",SUBTOTAL(103,$C$2:C1623))</f>
        <v>1614</v>
      </c>
      <c r="B1623" s="41">
        <v>8912</v>
      </c>
      <c r="C1623" s="41">
        <v>5460</v>
      </c>
      <c r="D1623" s="41" t="s">
        <v>45</v>
      </c>
      <c r="E1623" s="41" t="s">
        <v>1298</v>
      </c>
      <c r="F1623" s="41" t="s">
        <v>4535</v>
      </c>
      <c r="G1623" s="41" t="s">
        <v>5067</v>
      </c>
      <c r="H1623" s="41" t="s">
        <v>5068</v>
      </c>
      <c r="I1623" s="43">
        <v>12</v>
      </c>
      <c r="J1623" s="44" t="str">
        <f>VLOOKUP(G1623,[1]硬件清单!$F:$F,1,0)</f>
        <v>J33GT15</v>
      </c>
      <c r="K1623" s="43"/>
      <c r="L1623" s="44"/>
      <c r="M1623" s="45" t="s">
        <v>5069</v>
      </c>
    </row>
    <row r="1624" s="26" customFormat="1" ht="30" customHeight="1" spans="1:13">
      <c r="A1624" s="41">
        <f>IF(C1624="","",SUBTOTAL(103,$C$2:C1624))</f>
        <v>1615</v>
      </c>
      <c r="B1624" s="41">
        <v>8913</v>
      </c>
      <c r="C1624" s="41">
        <v>5461</v>
      </c>
      <c r="D1624" s="41" t="s">
        <v>45</v>
      </c>
      <c r="E1624" s="41" t="s">
        <v>1298</v>
      </c>
      <c r="F1624" s="41" t="s">
        <v>4535</v>
      </c>
      <c r="G1624" s="41" t="s">
        <v>5070</v>
      </c>
      <c r="H1624" s="41" t="s">
        <v>5071</v>
      </c>
      <c r="I1624" s="43">
        <v>12</v>
      </c>
      <c r="J1624" s="44" t="str">
        <f>VLOOKUP(G1624,[1]硬件清单!$F:$F,1,0)</f>
        <v>J33GT22</v>
      </c>
      <c r="K1624" s="43"/>
      <c r="L1624" s="44"/>
      <c r="M1624" s="45" t="s">
        <v>5072</v>
      </c>
    </row>
    <row r="1625" s="26" customFormat="1" ht="30" customHeight="1" spans="1:13">
      <c r="A1625" s="41">
        <f>IF(C1625="","",SUBTOTAL(103,$C$2:C1625))</f>
        <v>1616</v>
      </c>
      <c r="B1625" s="41">
        <v>8914</v>
      </c>
      <c r="C1625" s="41">
        <v>5462</v>
      </c>
      <c r="D1625" s="41" t="s">
        <v>45</v>
      </c>
      <c r="E1625" s="41" t="s">
        <v>1298</v>
      </c>
      <c r="F1625" s="41" t="s">
        <v>4535</v>
      </c>
      <c r="G1625" s="41" t="s">
        <v>5073</v>
      </c>
      <c r="H1625" s="41" t="s">
        <v>5074</v>
      </c>
      <c r="I1625" s="43">
        <v>12</v>
      </c>
      <c r="J1625" s="44" t="str">
        <f>VLOOKUP(G1625,[1]硬件清单!$F:$F,1,0)</f>
        <v>J33GT27</v>
      </c>
      <c r="K1625" s="43"/>
      <c r="L1625" s="44"/>
      <c r="M1625" s="45" t="s">
        <v>5075</v>
      </c>
    </row>
    <row r="1626" s="26" customFormat="1" ht="30" customHeight="1" spans="1:13">
      <c r="A1626" s="41">
        <f>IF(C1626="","",SUBTOTAL(103,$C$2:C1626))</f>
        <v>1617</v>
      </c>
      <c r="B1626" s="41">
        <v>8926</v>
      </c>
      <c r="C1626" s="41">
        <v>5589</v>
      </c>
      <c r="D1626" s="41" t="s">
        <v>45</v>
      </c>
      <c r="E1626" s="41" t="s">
        <v>1298</v>
      </c>
      <c r="F1626" s="41" t="s">
        <v>5076</v>
      </c>
      <c r="G1626" s="41" t="s">
        <v>5077</v>
      </c>
      <c r="H1626" s="41" t="s">
        <v>5078</v>
      </c>
      <c r="I1626" s="43">
        <v>12</v>
      </c>
      <c r="J1626" s="44" t="str">
        <f>VLOOKUP(G1626,[1]硬件清单!$F:$F,1,0)</f>
        <v>217400370</v>
      </c>
      <c r="K1626" s="43"/>
      <c r="L1626" s="44"/>
      <c r="M1626" s="45" t="s">
        <v>5079</v>
      </c>
    </row>
    <row r="1627" s="26" customFormat="1" ht="30" customHeight="1" spans="1:13">
      <c r="A1627" s="41">
        <f>IF(C1627="","",SUBTOTAL(103,$C$2:C1627))</f>
        <v>1618</v>
      </c>
      <c r="B1627" s="41">
        <v>9028</v>
      </c>
      <c r="C1627" s="41">
        <v>5579</v>
      </c>
      <c r="D1627" s="41" t="s">
        <v>45</v>
      </c>
      <c r="E1627" s="41" t="s">
        <v>1298</v>
      </c>
      <c r="F1627" s="41" t="s">
        <v>4535</v>
      </c>
      <c r="G1627" s="41" t="s">
        <v>5080</v>
      </c>
      <c r="H1627" s="41" t="s">
        <v>5081</v>
      </c>
      <c r="I1627" s="43">
        <v>12</v>
      </c>
      <c r="J1627" s="44" t="str">
        <f>VLOOKUP(G1627,[1]硬件清单!$F:$F,1,0)</f>
        <v>J33GRWP</v>
      </c>
      <c r="K1627" s="43"/>
      <c r="L1627" s="44"/>
      <c r="M1627" s="45" t="s">
        <v>5082</v>
      </c>
    </row>
    <row r="1628" s="26" customFormat="1" ht="30" customHeight="1" spans="1:13">
      <c r="A1628" s="41">
        <f>IF(C1628="","",SUBTOTAL(103,$C$2:C1628))</f>
        <v>1619</v>
      </c>
      <c r="B1628" s="41">
        <v>9030</v>
      </c>
      <c r="C1628" s="41">
        <v>5578</v>
      </c>
      <c r="D1628" s="41" t="s">
        <v>45</v>
      </c>
      <c r="E1628" s="41" t="s">
        <v>1298</v>
      </c>
      <c r="F1628" s="41" t="s">
        <v>4535</v>
      </c>
      <c r="G1628" s="41" t="s">
        <v>5083</v>
      </c>
      <c r="H1628" s="41" t="s">
        <v>5084</v>
      </c>
      <c r="I1628" s="43">
        <v>12</v>
      </c>
      <c r="J1628" s="44" t="str">
        <f>VLOOKUP(G1628,[1]硬件清单!$F:$F,1,0)</f>
        <v>J33GRWC</v>
      </c>
      <c r="K1628" s="43"/>
      <c r="L1628" s="44"/>
      <c r="M1628" s="45" t="s">
        <v>5085</v>
      </c>
    </row>
    <row r="1629" s="26" customFormat="1" ht="30" customHeight="1" spans="1:13">
      <c r="A1629" s="41">
        <f>IF(C1629="","",SUBTOTAL(103,$C$2:C1629))</f>
        <v>1620</v>
      </c>
      <c r="B1629" s="41">
        <v>9031</v>
      </c>
      <c r="C1629" s="41">
        <v>5577</v>
      </c>
      <c r="D1629" s="41" t="s">
        <v>45</v>
      </c>
      <c r="E1629" s="41" t="s">
        <v>1298</v>
      </c>
      <c r="F1629" s="41" t="s">
        <v>4535</v>
      </c>
      <c r="G1629" s="41" t="s">
        <v>5086</v>
      </c>
      <c r="H1629" s="41" t="s">
        <v>5087</v>
      </c>
      <c r="I1629" s="43">
        <v>12</v>
      </c>
      <c r="J1629" s="44" t="str">
        <f>VLOOKUP(G1629,[1]硬件清单!$F:$F,1,0)</f>
        <v>J33GRWE</v>
      </c>
      <c r="K1629" s="43"/>
      <c r="L1629" s="44"/>
      <c r="M1629" s="45" t="s">
        <v>5088</v>
      </c>
    </row>
    <row r="1630" s="26" customFormat="1" ht="30" customHeight="1" spans="1:13">
      <c r="A1630" s="41">
        <f>IF(C1630="","",SUBTOTAL(103,$C$2:C1630))</f>
        <v>1621</v>
      </c>
      <c r="B1630" s="41">
        <v>9032</v>
      </c>
      <c r="C1630" s="41">
        <v>5576</v>
      </c>
      <c r="D1630" s="41" t="s">
        <v>45</v>
      </c>
      <c r="E1630" s="41" t="s">
        <v>1298</v>
      </c>
      <c r="F1630" s="41" t="s">
        <v>4535</v>
      </c>
      <c r="G1630" s="41" t="s">
        <v>5089</v>
      </c>
      <c r="H1630" s="41" t="s">
        <v>5090</v>
      </c>
      <c r="I1630" s="43">
        <v>12</v>
      </c>
      <c r="J1630" s="44" t="str">
        <f>VLOOKUP(G1630,[1]硬件清单!$F:$F,1,0)</f>
        <v>J33GRWH</v>
      </c>
      <c r="K1630" s="43"/>
      <c r="L1630" s="44"/>
      <c r="M1630" s="45" t="s">
        <v>5091</v>
      </c>
    </row>
    <row r="1631" s="26" customFormat="1" ht="30" customHeight="1" spans="1:13">
      <c r="A1631" s="41">
        <f>IF(C1631="","",SUBTOTAL(103,$C$2:C1631))</f>
        <v>1622</v>
      </c>
      <c r="B1631" s="41">
        <v>9033</v>
      </c>
      <c r="C1631" s="41">
        <v>5575</v>
      </c>
      <c r="D1631" s="41" t="s">
        <v>45</v>
      </c>
      <c r="E1631" s="41" t="s">
        <v>1298</v>
      </c>
      <c r="F1631" s="41" t="s">
        <v>4535</v>
      </c>
      <c r="G1631" s="41" t="s">
        <v>5092</v>
      </c>
      <c r="H1631" s="41" t="s">
        <v>5093</v>
      </c>
      <c r="I1631" s="43">
        <v>12</v>
      </c>
      <c r="J1631" s="44" t="str">
        <f>VLOOKUP(G1631,[1]硬件清单!$F:$F,1,0)</f>
        <v>J33GRWF</v>
      </c>
      <c r="K1631" s="43"/>
      <c r="L1631" s="44"/>
      <c r="M1631" s="45" t="s">
        <v>5094</v>
      </c>
    </row>
    <row r="1632" s="26" customFormat="1" ht="30" customHeight="1" spans="1:13">
      <c r="A1632" s="41">
        <f>IF(C1632="","",SUBTOTAL(103,$C$2:C1632))</f>
        <v>1623</v>
      </c>
      <c r="B1632" s="41">
        <v>9034</v>
      </c>
      <c r="C1632" s="41">
        <v>5574</v>
      </c>
      <c r="D1632" s="41" t="s">
        <v>45</v>
      </c>
      <c r="E1632" s="41" t="s">
        <v>1298</v>
      </c>
      <c r="F1632" s="41" t="s">
        <v>4535</v>
      </c>
      <c r="G1632" s="41" t="s">
        <v>5095</v>
      </c>
      <c r="H1632" s="41" t="s">
        <v>5096</v>
      </c>
      <c r="I1632" s="43">
        <v>12</v>
      </c>
      <c r="J1632" s="44" t="str">
        <f>VLOOKUP(G1632,[1]硬件清单!$F:$F,1,0)</f>
        <v>J33GRWN</v>
      </c>
      <c r="K1632" s="43"/>
      <c r="L1632" s="44"/>
      <c r="M1632" s="45" t="s">
        <v>5097</v>
      </c>
    </row>
    <row r="1633" s="26" customFormat="1" ht="30" customHeight="1" spans="1:13">
      <c r="A1633" s="41">
        <f>IF(C1633="","",SUBTOTAL(103,$C$2:C1633))</f>
        <v>1624</v>
      </c>
      <c r="B1633" s="41">
        <v>9035</v>
      </c>
      <c r="C1633" s="41">
        <v>5573</v>
      </c>
      <c r="D1633" s="41" t="s">
        <v>45</v>
      </c>
      <c r="E1633" s="41" t="s">
        <v>1298</v>
      </c>
      <c r="F1633" s="41" t="s">
        <v>4535</v>
      </c>
      <c r="G1633" s="41" t="s">
        <v>5098</v>
      </c>
      <c r="H1633" s="41" t="s">
        <v>5099</v>
      </c>
      <c r="I1633" s="43">
        <v>12</v>
      </c>
      <c r="J1633" s="44" t="str">
        <f>VLOOKUP(G1633,[1]硬件清单!$F:$F,1,0)</f>
        <v>J33GRWA</v>
      </c>
      <c r="K1633" s="43"/>
      <c r="L1633" s="44"/>
      <c r="M1633" s="45" t="s">
        <v>5100</v>
      </c>
    </row>
    <row r="1634" s="26" customFormat="1" ht="30" customHeight="1" spans="1:13">
      <c r="A1634" s="41">
        <f>IF(C1634="","",SUBTOTAL(103,$C$2:C1634))</f>
        <v>1625</v>
      </c>
      <c r="B1634" s="41">
        <v>9036</v>
      </c>
      <c r="C1634" s="41">
        <v>5572</v>
      </c>
      <c r="D1634" s="41" t="s">
        <v>45</v>
      </c>
      <c r="E1634" s="41" t="s">
        <v>1298</v>
      </c>
      <c r="F1634" s="41" t="s">
        <v>4535</v>
      </c>
      <c r="G1634" s="41" t="s">
        <v>5101</v>
      </c>
      <c r="H1634" s="41" t="s">
        <v>5102</v>
      </c>
      <c r="I1634" s="43">
        <v>12</v>
      </c>
      <c r="J1634" s="44" t="str">
        <f>VLOOKUP(G1634,[1]硬件清单!$F:$F,1,0)</f>
        <v>J33GRWK</v>
      </c>
      <c r="K1634" s="43"/>
      <c r="L1634" s="44"/>
      <c r="M1634" s="45" t="s">
        <v>5103</v>
      </c>
    </row>
    <row r="1635" s="26" customFormat="1" ht="30" customHeight="1" spans="1:13">
      <c r="A1635" s="41">
        <f>IF(C1635="","",SUBTOTAL(103,$C$2:C1635))</f>
        <v>1626</v>
      </c>
      <c r="B1635" s="41">
        <v>9037</v>
      </c>
      <c r="C1635" s="41">
        <v>5571</v>
      </c>
      <c r="D1635" s="41" t="s">
        <v>45</v>
      </c>
      <c r="E1635" s="41" t="s">
        <v>1298</v>
      </c>
      <c r="F1635" s="41" t="s">
        <v>4535</v>
      </c>
      <c r="G1635" s="41" t="s">
        <v>5104</v>
      </c>
      <c r="H1635" s="41" t="s">
        <v>5105</v>
      </c>
      <c r="I1635" s="43">
        <v>12</v>
      </c>
      <c r="J1635" s="44" t="str">
        <f>VLOOKUP(G1635,[1]硬件清单!$F:$F,1,0)</f>
        <v>J33GRWB</v>
      </c>
      <c r="K1635" s="43"/>
      <c r="L1635" s="44"/>
      <c r="M1635" s="45" t="s">
        <v>5106</v>
      </c>
    </row>
    <row r="1636" s="26" customFormat="1" ht="30" customHeight="1" spans="1:13">
      <c r="A1636" s="41">
        <f>IF(C1636="","",SUBTOTAL(103,$C$2:C1636))</f>
        <v>1627</v>
      </c>
      <c r="B1636" s="41">
        <v>9054</v>
      </c>
      <c r="C1636" s="41">
        <v>5582</v>
      </c>
      <c r="D1636" s="41" t="s">
        <v>45</v>
      </c>
      <c r="E1636" s="41" t="s">
        <v>1298</v>
      </c>
      <c r="F1636" s="41" t="s">
        <v>5076</v>
      </c>
      <c r="G1636" s="41" t="s">
        <v>5107</v>
      </c>
      <c r="H1636" s="41" t="s">
        <v>5108</v>
      </c>
      <c r="I1636" s="43">
        <v>12</v>
      </c>
      <c r="J1636" s="44" t="str">
        <f>VLOOKUP(G1636,[1]硬件清单!$F:$F,1,0)</f>
        <v>217400368</v>
      </c>
      <c r="K1636" s="43"/>
      <c r="L1636" s="44"/>
      <c r="M1636" s="45" t="s">
        <v>5109</v>
      </c>
    </row>
    <row r="1637" s="26" customFormat="1" ht="30" customHeight="1" spans="1:13">
      <c r="A1637" s="41">
        <f>IF(C1637="","",SUBTOTAL(103,$C$2:C1637))</f>
        <v>1628</v>
      </c>
      <c r="B1637" s="41">
        <v>9055</v>
      </c>
      <c r="C1637" s="41">
        <v>5581</v>
      </c>
      <c r="D1637" s="41" t="s">
        <v>45</v>
      </c>
      <c r="E1637" s="41" t="s">
        <v>1298</v>
      </c>
      <c r="F1637" s="41" t="s">
        <v>5076</v>
      </c>
      <c r="G1637" s="41" t="s">
        <v>5110</v>
      </c>
      <c r="H1637" s="41" t="s">
        <v>5111</v>
      </c>
      <c r="I1637" s="43">
        <v>12</v>
      </c>
      <c r="J1637" s="44" t="str">
        <f>VLOOKUP(G1637,[1]硬件清单!$F:$F,1,0)</f>
        <v>217400369</v>
      </c>
      <c r="K1637" s="43"/>
      <c r="L1637" s="44"/>
      <c r="M1637" s="45" t="s">
        <v>5112</v>
      </c>
    </row>
    <row r="1638" s="26" customFormat="1" ht="30" customHeight="1" spans="1:13">
      <c r="A1638" s="41">
        <f>IF(C1638="","",SUBTOTAL(103,$C$2:C1638))</f>
        <v>1629</v>
      </c>
      <c r="B1638" s="41">
        <v>9057</v>
      </c>
      <c r="C1638" s="41">
        <v>5580</v>
      </c>
      <c r="D1638" s="41" t="s">
        <v>45</v>
      </c>
      <c r="E1638" s="41" t="s">
        <v>1298</v>
      </c>
      <c r="F1638" s="41" t="s">
        <v>5076</v>
      </c>
      <c r="G1638" s="41" t="s">
        <v>5113</v>
      </c>
      <c r="H1638" s="41" t="s">
        <v>5114</v>
      </c>
      <c r="I1638" s="43">
        <v>12</v>
      </c>
      <c r="J1638" s="44" t="str">
        <f>VLOOKUP(G1638,[1]硬件清单!$F:$F,1,0)</f>
        <v>217400367</v>
      </c>
      <c r="K1638" s="43"/>
      <c r="L1638" s="44"/>
      <c r="M1638" s="45" t="s">
        <v>5115</v>
      </c>
    </row>
    <row r="1639" s="26" customFormat="1" ht="30" customHeight="1" spans="1:13">
      <c r="A1639" s="41">
        <f>IF(C1639="","",SUBTOTAL(103,$C$2:C1639))</f>
        <v>1630</v>
      </c>
      <c r="B1639" s="41">
        <v>9059</v>
      </c>
      <c r="C1639" s="41">
        <v>5585</v>
      </c>
      <c r="D1639" s="41" t="s">
        <v>45</v>
      </c>
      <c r="E1639" s="41" t="s">
        <v>1298</v>
      </c>
      <c r="F1639" s="41" t="s">
        <v>5076</v>
      </c>
      <c r="G1639" s="41" t="s">
        <v>5116</v>
      </c>
      <c r="H1639" s="41" t="s">
        <v>5117</v>
      </c>
      <c r="I1639" s="43">
        <v>12</v>
      </c>
      <c r="J1639" s="44" t="str">
        <f>VLOOKUP(G1639,[1]硬件清单!$F:$F,1,0)</f>
        <v>217400376</v>
      </c>
      <c r="K1639" s="43"/>
      <c r="L1639" s="44"/>
      <c r="M1639" s="45" t="s">
        <v>5118</v>
      </c>
    </row>
    <row r="1640" s="26" customFormat="1" ht="30" customHeight="1" spans="1:13">
      <c r="A1640" s="41">
        <f>IF(C1640="","",SUBTOTAL(103,$C$2:C1640))</f>
        <v>1631</v>
      </c>
      <c r="B1640" s="41">
        <v>9060</v>
      </c>
      <c r="C1640" s="41">
        <v>5584</v>
      </c>
      <c r="D1640" s="41" t="s">
        <v>45</v>
      </c>
      <c r="E1640" s="41" t="s">
        <v>1298</v>
      </c>
      <c r="F1640" s="41" t="s">
        <v>5076</v>
      </c>
      <c r="G1640" s="41" t="s">
        <v>5119</v>
      </c>
      <c r="H1640" s="41" t="s">
        <v>5120</v>
      </c>
      <c r="I1640" s="43">
        <v>12</v>
      </c>
      <c r="J1640" s="44" t="str">
        <f>VLOOKUP(G1640,[1]硬件清单!$F:$F,1,0)</f>
        <v>217400373</v>
      </c>
      <c r="K1640" s="43"/>
      <c r="L1640" s="44"/>
      <c r="M1640" s="45" t="s">
        <v>5121</v>
      </c>
    </row>
    <row r="1641" s="26" customFormat="1" ht="30" customHeight="1" spans="1:13">
      <c r="A1641" s="41">
        <f>IF(C1641="","",SUBTOTAL(103,$C$2:C1641))</f>
        <v>1632</v>
      </c>
      <c r="B1641" s="41">
        <v>9061</v>
      </c>
      <c r="C1641" s="41">
        <v>5583</v>
      </c>
      <c r="D1641" s="41" t="s">
        <v>45</v>
      </c>
      <c r="E1641" s="41" t="s">
        <v>1298</v>
      </c>
      <c r="F1641" s="41" t="s">
        <v>5076</v>
      </c>
      <c r="G1641" s="41" t="s">
        <v>5122</v>
      </c>
      <c r="H1641" s="41" t="s">
        <v>5123</v>
      </c>
      <c r="I1641" s="43">
        <v>12</v>
      </c>
      <c r="J1641" s="44" t="str">
        <f>VLOOKUP(G1641,[1]硬件清单!$F:$F,1,0)</f>
        <v>217400375</v>
      </c>
      <c r="K1641" s="43"/>
      <c r="L1641" s="44"/>
      <c r="M1641" s="45" t="s">
        <v>5124</v>
      </c>
    </row>
    <row r="1642" s="26" customFormat="1" ht="30" customHeight="1" spans="1:13">
      <c r="A1642" s="41">
        <f>IF(C1642="","",SUBTOTAL(103,$C$2:C1642))</f>
        <v>1633</v>
      </c>
      <c r="B1642" s="41">
        <v>9063</v>
      </c>
      <c r="C1642" s="41">
        <v>5588</v>
      </c>
      <c r="D1642" s="41" t="s">
        <v>45</v>
      </c>
      <c r="E1642" s="41" t="s">
        <v>1298</v>
      </c>
      <c r="F1642" s="41" t="s">
        <v>5076</v>
      </c>
      <c r="G1642" s="41" t="s">
        <v>5125</v>
      </c>
      <c r="H1642" s="41" t="s">
        <v>5126</v>
      </c>
      <c r="I1642" s="43">
        <v>12</v>
      </c>
      <c r="J1642" s="44" t="str">
        <f>VLOOKUP(G1642,[1]硬件清单!$F:$F,1,0)</f>
        <v>217400371</v>
      </c>
      <c r="K1642" s="43"/>
      <c r="L1642" s="44"/>
      <c r="M1642" s="45" t="s">
        <v>5127</v>
      </c>
    </row>
    <row r="1643" s="26" customFormat="1" ht="30" customHeight="1" spans="1:13">
      <c r="A1643" s="41">
        <f>IF(C1643="","",SUBTOTAL(103,$C$2:C1643))</f>
        <v>1634</v>
      </c>
      <c r="B1643" s="41">
        <v>9064</v>
      </c>
      <c r="C1643" s="41">
        <v>5587</v>
      </c>
      <c r="D1643" s="41" t="s">
        <v>45</v>
      </c>
      <c r="E1643" s="41" t="s">
        <v>1298</v>
      </c>
      <c r="F1643" s="41" t="s">
        <v>5076</v>
      </c>
      <c r="G1643" s="41" t="s">
        <v>5128</v>
      </c>
      <c r="H1643" s="41" t="s">
        <v>5129</v>
      </c>
      <c r="I1643" s="43">
        <v>12</v>
      </c>
      <c r="J1643" s="44" t="str">
        <f>VLOOKUP(G1643,[1]硬件清单!$F:$F,1,0)</f>
        <v>217400374</v>
      </c>
      <c r="K1643" s="43"/>
      <c r="L1643" s="44"/>
      <c r="M1643" s="45" t="s">
        <v>5130</v>
      </c>
    </row>
    <row r="1644" s="26" customFormat="1" ht="30" customHeight="1" spans="1:13">
      <c r="A1644" s="41">
        <f>IF(C1644="","",SUBTOTAL(103,$C$2:C1644))</f>
        <v>1635</v>
      </c>
      <c r="B1644" s="41">
        <v>9066</v>
      </c>
      <c r="C1644" s="41">
        <v>5586</v>
      </c>
      <c r="D1644" s="41" t="s">
        <v>45</v>
      </c>
      <c r="E1644" s="41" t="s">
        <v>1298</v>
      </c>
      <c r="F1644" s="41" t="s">
        <v>5076</v>
      </c>
      <c r="G1644" s="41" t="s">
        <v>5131</v>
      </c>
      <c r="H1644" s="41" t="s">
        <v>5132</v>
      </c>
      <c r="I1644" s="43">
        <v>12</v>
      </c>
      <c r="J1644" s="44" t="str">
        <f>VLOOKUP(G1644,[1]硬件清单!$F:$F,1,0)</f>
        <v>217400372</v>
      </c>
      <c r="K1644" s="43"/>
      <c r="L1644" s="44"/>
      <c r="M1644" s="45" t="s">
        <v>5133</v>
      </c>
    </row>
    <row r="1645" s="26" customFormat="1" ht="30" customHeight="1" spans="1:13">
      <c r="A1645" s="41">
        <f>IF(C1645="","",SUBTOTAL(103,$C$2:C1645))</f>
        <v>1636</v>
      </c>
      <c r="B1645" s="41">
        <v>9068</v>
      </c>
      <c r="C1645" s="41">
        <v>12471</v>
      </c>
      <c r="D1645" s="41" t="s">
        <v>45</v>
      </c>
      <c r="E1645" s="41" t="s">
        <v>1298</v>
      </c>
      <c r="F1645" s="41" t="s">
        <v>2255</v>
      </c>
      <c r="G1645" s="41" t="s">
        <v>5134</v>
      </c>
      <c r="H1645" s="41" t="s">
        <v>5135</v>
      </c>
      <c r="I1645" s="43">
        <v>12</v>
      </c>
      <c r="J1645" s="44" t="str">
        <f>VLOOKUP(G1645,[1]硬件清单!$F:$F,1,0)</f>
        <v>210235A3SUH19A000104</v>
      </c>
      <c r="K1645" s="44"/>
      <c r="L1645" s="44"/>
      <c r="M1645" s="45" t="s">
        <v>5136</v>
      </c>
    </row>
    <row r="1646" s="26" customFormat="1" ht="30" customHeight="1" spans="1:13">
      <c r="A1646" s="41">
        <f>IF(C1646="","",SUBTOTAL(103,$C$2:C1646))</f>
        <v>1637</v>
      </c>
      <c r="B1646" s="41">
        <v>9069</v>
      </c>
      <c r="C1646" s="41">
        <v>12485</v>
      </c>
      <c r="D1646" s="41" t="s">
        <v>45</v>
      </c>
      <c r="E1646" s="41" t="s">
        <v>1298</v>
      </c>
      <c r="F1646" s="41" t="s">
        <v>2255</v>
      </c>
      <c r="G1646" s="41" t="s">
        <v>5137</v>
      </c>
      <c r="H1646" s="41" t="s">
        <v>5138</v>
      </c>
      <c r="I1646" s="43">
        <v>12</v>
      </c>
      <c r="J1646" s="44" t="str">
        <f>VLOOKUP(G1646,[1]硬件清单!$F:$F,1,0)</f>
        <v>210235A3SUH19A000136</v>
      </c>
      <c r="K1646" s="44"/>
      <c r="L1646" s="44"/>
      <c r="M1646" s="45" t="s">
        <v>5139</v>
      </c>
    </row>
    <row r="1647" s="26" customFormat="1" ht="30" customHeight="1" spans="1:13">
      <c r="A1647" s="41">
        <f>IF(C1647="","",SUBTOTAL(103,$C$2:C1647))</f>
        <v>1638</v>
      </c>
      <c r="B1647" s="41">
        <v>9070</v>
      </c>
      <c r="C1647" s="41">
        <v>12492</v>
      </c>
      <c r="D1647" s="41" t="s">
        <v>45</v>
      </c>
      <c r="E1647" s="41" t="s">
        <v>1298</v>
      </c>
      <c r="F1647" s="41" t="s">
        <v>2255</v>
      </c>
      <c r="G1647" s="41" t="s">
        <v>5140</v>
      </c>
      <c r="H1647" s="41" t="s">
        <v>5141</v>
      </c>
      <c r="I1647" s="43">
        <v>12</v>
      </c>
      <c r="J1647" s="44" t="str">
        <f>VLOOKUP(G1647,[1]硬件清单!$F:$F,1,0)</f>
        <v>210235A3SUH19A000223</v>
      </c>
      <c r="K1647" s="44"/>
      <c r="L1647" s="44"/>
      <c r="M1647" s="45" t="s">
        <v>5142</v>
      </c>
    </row>
    <row r="1648" s="26" customFormat="1" ht="30" customHeight="1" spans="1:13">
      <c r="A1648" s="41">
        <f>IF(C1648="","",SUBTOTAL(103,$C$2:C1648))</f>
        <v>1639</v>
      </c>
      <c r="B1648" s="41">
        <v>9071</v>
      </c>
      <c r="C1648" s="41">
        <v>12493</v>
      </c>
      <c r="D1648" s="41" t="s">
        <v>45</v>
      </c>
      <c r="E1648" s="41" t="s">
        <v>1298</v>
      </c>
      <c r="F1648" s="41" t="s">
        <v>2255</v>
      </c>
      <c r="G1648" s="41" t="s">
        <v>5143</v>
      </c>
      <c r="H1648" s="41" t="s">
        <v>5144</v>
      </c>
      <c r="I1648" s="43">
        <v>12</v>
      </c>
      <c r="J1648" s="44" t="str">
        <f>VLOOKUP(G1648,[1]硬件清单!$F:$F,1,0)</f>
        <v>210235A3SUH19A000367</v>
      </c>
      <c r="K1648" s="44"/>
      <c r="L1648" s="44"/>
      <c r="M1648" s="45" t="s">
        <v>5145</v>
      </c>
    </row>
    <row r="1649" s="26" customFormat="1" ht="30" customHeight="1" spans="1:13">
      <c r="A1649" s="41">
        <f>IF(C1649="","",SUBTOTAL(103,$C$2:C1649))</f>
        <v>1640</v>
      </c>
      <c r="B1649" s="41">
        <v>9072</v>
      </c>
      <c r="C1649" s="41">
        <v>12494</v>
      </c>
      <c r="D1649" s="41" t="s">
        <v>45</v>
      </c>
      <c r="E1649" s="41" t="s">
        <v>1298</v>
      </c>
      <c r="F1649" s="41" t="s">
        <v>2255</v>
      </c>
      <c r="G1649" s="41" t="s">
        <v>5146</v>
      </c>
      <c r="H1649" s="41" t="s">
        <v>5147</v>
      </c>
      <c r="I1649" s="43">
        <v>12</v>
      </c>
      <c r="J1649" s="44" t="str">
        <f>VLOOKUP(G1649,[1]硬件清单!$F:$F,1,0)</f>
        <v>210235A3SUH19A000288</v>
      </c>
      <c r="K1649" s="44"/>
      <c r="L1649" s="44"/>
      <c r="M1649" s="45" t="s">
        <v>5148</v>
      </c>
    </row>
    <row r="1650" s="26" customFormat="1" ht="30" customHeight="1" spans="1:13">
      <c r="A1650" s="41">
        <f>IF(C1650="","",SUBTOTAL(103,$C$2:C1650))</f>
        <v>1641</v>
      </c>
      <c r="B1650" s="41">
        <v>9073</v>
      </c>
      <c r="C1650" s="41">
        <v>12495</v>
      </c>
      <c r="D1650" s="41" t="s">
        <v>45</v>
      </c>
      <c r="E1650" s="41" t="s">
        <v>1298</v>
      </c>
      <c r="F1650" s="41" t="s">
        <v>2255</v>
      </c>
      <c r="G1650" s="41" t="s">
        <v>5149</v>
      </c>
      <c r="H1650" s="41" t="s">
        <v>5150</v>
      </c>
      <c r="I1650" s="43">
        <v>12</v>
      </c>
      <c r="J1650" s="44" t="str">
        <f>VLOOKUP(G1650,[1]硬件清单!$F:$F,1,0)</f>
        <v>210235A3SUH19A000146</v>
      </c>
      <c r="K1650" s="44"/>
      <c r="L1650" s="44"/>
      <c r="M1650" s="45" t="s">
        <v>5151</v>
      </c>
    </row>
    <row r="1651" s="26" customFormat="1" ht="30" customHeight="1" spans="1:13">
      <c r="A1651" s="41">
        <f>IF(C1651="","",SUBTOTAL(103,$C$2:C1651))</f>
        <v>1642</v>
      </c>
      <c r="B1651" s="41">
        <v>9074</v>
      </c>
      <c r="C1651" s="41">
        <v>12496</v>
      </c>
      <c r="D1651" s="41" t="s">
        <v>45</v>
      </c>
      <c r="E1651" s="41" t="s">
        <v>1298</v>
      </c>
      <c r="F1651" s="41" t="s">
        <v>2255</v>
      </c>
      <c r="G1651" s="41" t="s">
        <v>5152</v>
      </c>
      <c r="H1651" s="41" t="s">
        <v>5153</v>
      </c>
      <c r="I1651" s="43">
        <v>12</v>
      </c>
      <c r="J1651" s="44" t="str">
        <f>VLOOKUP(G1651,[1]硬件清单!$F:$F,1,0)</f>
        <v>210235A3SUH19A000091</v>
      </c>
      <c r="K1651" s="44"/>
      <c r="L1651" s="44"/>
      <c r="M1651" s="45" t="s">
        <v>5154</v>
      </c>
    </row>
    <row r="1652" s="26" customFormat="1" ht="30" customHeight="1" spans="1:13">
      <c r="A1652" s="41">
        <f>IF(C1652="","",SUBTOTAL(103,$C$2:C1652))</f>
        <v>1643</v>
      </c>
      <c r="B1652" s="41">
        <v>9075</v>
      </c>
      <c r="C1652" s="41">
        <v>12497</v>
      </c>
      <c r="D1652" s="41" t="s">
        <v>45</v>
      </c>
      <c r="E1652" s="41" t="s">
        <v>1298</v>
      </c>
      <c r="F1652" s="41" t="s">
        <v>2255</v>
      </c>
      <c r="G1652" s="41" t="s">
        <v>5155</v>
      </c>
      <c r="H1652" s="41" t="s">
        <v>5156</v>
      </c>
      <c r="I1652" s="43">
        <v>12</v>
      </c>
      <c r="J1652" s="44" t="str">
        <f>VLOOKUP(G1652,[1]硬件清单!$F:$F,1,0)</f>
        <v>210235A3SUH19A000222</v>
      </c>
      <c r="K1652" s="44"/>
      <c r="L1652" s="44"/>
      <c r="M1652" s="45" t="s">
        <v>5157</v>
      </c>
    </row>
    <row r="1653" s="26" customFormat="1" ht="30" customHeight="1" spans="1:13">
      <c r="A1653" s="41">
        <f>IF(C1653="","",SUBTOTAL(103,$C$2:C1653))</f>
        <v>1644</v>
      </c>
      <c r="B1653" s="41">
        <v>9076</v>
      </c>
      <c r="C1653" s="41">
        <v>12472</v>
      </c>
      <c r="D1653" s="41" t="s">
        <v>45</v>
      </c>
      <c r="E1653" s="41" t="s">
        <v>1298</v>
      </c>
      <c r="F1653" s="41" t="s">
        <v>2255</v>
      </c>
      <c r="G1653" s="41" t="s">
        <v>5158</v>
      </c>
      <c r="H1653" s="41" t="s">
        <v>5159</v>
      </c>
      <c r="I1653" s="43">
        <v>12</v>
      </c>
      <c r="J1653" s="44" t="str">
        <f>VLOOKUP(G1653,[1]硬件清单!$F:$F,1,0)</f>
        <v>210235A3SUH19A000120</v>
      </c>
      <c r="K1653" s="44"/>
      <c r="L1653" s="44"/>
      <c r="M1653" s="45" t="s">
        <v>5160</v>
      </c>
    </row>
    <row r="1654" s="26" customFormat="1" ht="30" customHeight="1" spans="1:13">
      <c r="A1654" s="41">
        <f>IF(C1654="","",SUBTOTAL(103,$C$2:C1654))</f>
        <v>1645</v>
      </c>
      <c r="B1654" s="41">
        <v>9077</v>
      </c>
      <c r="C1654" s="41">
        <v>12473</v>
      </c>
      <c r="D1654" s="41" t="s">
        <v>45</v>
      </c>
      <c r="E1654" s="41" t="s">
        <v>1298</v>
      </c>
      <c r="F1654" s="41" t="s">
        <v>2255</v>
      </c>
      <c r="G1654" s="41" t="s">
        <v>5161</v>
      </c>
      <c r="H1654" s="41" t="s">
        <v>5162</v>
      </c>
      <c r="I1654" s="43">
        <v>12</v>
      </c>
      <c r="J1654" s="44" t="str">
        <f>VLOOKUP(G1654,[1]硬件清单!$F:$F,1,0)</f>
        <v>210235A3SUH19A000305</v>
      </c>
      <c r="K1654" s="44"/>
      <c r="L1654" s="44"/>
      <c r="M1654" s="45" t="s">
        <v>5163</v>
      </c>
    </row>
    <row r="1655" s="26" customFormat="1" ht="30" customHeight="1" spans="1:13">
      <c r="A1655" s="41">
        <f>IF(C1655="","",SUBTOTAL(103,$C$2:C1655))</f>
        <v>1646</v>
      </c>
      <c r="B1655" s="41">
        <v>9078</v>
      </c>
      <c r="C1655" s="41">
        <v>12474</v>
      </c>
      <c r="D1655" s="41" t="s">
        <v>45</v>
      </c>
      <c r="E1655" s="41" t="s">
        <v>1298</v>
      </c>
      <c r="F1655" s="41" t="s">
        <v>2255</v>
      </c>
      <c r="G1655" s="41" t="s">
        <v>5164</v>
      </c>
      <c r="H1655" s="41" t="s">
        <v>5165</v>
      </c>
      <c r="I1655" s="43">
        <v>12</v>
      </c>
      <c r="J1655" s="44" t="str">
        <f>VLOOKUP(G1655,[1]硬件清单!$F:$F,1,0)</f>
        <v>210235A3SUH19A000281</v>
      </c>
      <c r="K1655" s="44"/>
      <c r="L1655" s="44"/>
      <c r="M1655" s="45" t="s">
        <v>5166</v>
      </c>
    </row>
    <row r="1656" s="26" customFormat="1" ht="30" customHeight="1" spans="1:13">
      <c r="A1656" s="41">
        <f>IF(C1656="","",SUBTOTAL(103,$C$2:C1656))</f>
        <v>1647</v>
      </c>
      <c r="B1656" s="41">
        <v>9079</v>
      </c>
      <c r="C1656" s="41">
        <v>12475</v>
      </c>
      <c r="D1656" s="41" t="s">
        <v>45</v>
      </c>
      <c r="E1656" s="41" t="s">
        <v>1298</v>
      </c>
      <c r="F1656" s="41" t="s">
        <v>2255</v>
      </c>
      <c r="G1656" s="41" t="s">
        <v>5167</v>
      </c>
      <c r="H1656" s="41" t="s">
        <v>5168</v>
      </c>
      <c r="I1656" s="43">
        <v>12</v>
      </c>
      <c r="J1656" s="44" t="str">
        <f>VLOOKUP(G1656,[1]硬件清单!$F:$F,1,0)</f>
        <v>210235A3SUH19A000130</v>
      </c>
      <c r="K1656" s="44"/>
      <c r="L1656" s="44"/>
      <c r="M1656" s="45" t="s">
        <v>5169</v>
      </c>
    </row>
    <row r="1657" s="26" customFormat="1" ht="30" customHeight="1" spans="1:13">
      <c r="A1657" s="41">
        <f>IF(C1657="","",SUBTOTAL(103,$C$2:C1657))</f>
        <v>1648</v>
      </c>
      <c r="B1657" s="41">
        <v>9080</v>
      </c>
      <c r="C1657" s="41">
        <v>12476</v>
      </c>
      <c r="D1657" s="41" t="s">
        <v>45</v>
      </c>
      <c r="E1657" s="41" t="s">
        <v>1298</v>
      </c>
      <c r="F1657" s="41" t="s">
        <v>2255</v>
      </c>
      <c r="G1657" s="41" t="s">
        <v>5170</v>
      </c>
      <c r="H1657" s="41" t="s">
        <v>5171</v>
      </c>
      <c r="I1657" s="43">
        <v>12</v>
      </c>
      <c r="J1657" s="44" t="str">
        <f>VLOOKUP(G1657,[1]硬件清单!$F:$F,1,0)</f>
        <v>210235A3SUH19A000308</v>
      </c>
      <c r="K1657" s="44"/>
      <c r="L1657" s="44"/>
      <c r="M1657" s="45" t="s">
        <v>5172</v>
      </c>
    </row>
    <row r="1658" s="26" customFormat="1" ht="30" customHeight="1" spans="1:13">
      <c r="A1658" s="41">
        <f>IF(C1658="","",SUBTOTAL(103,$C$2:C1658))</f>
        <v>1649</v>
      </c>
      <c r="B1658" s="41">
        <v>9081</v>
      </c>
      <c r="C1658" s="41">
        <v>12482</v>
      </c>
      <c r="D1658" s="41" t="s">
        <v>45</v>
      </c>
      <c r="E1658" s="41" t="s">
        <v>1298</v>
      </c>
      <c r="F1658" s="41" t="s">
        <v>2255</v>
      </c>
      <c r="G1658" s="41" t="s">
        <v>5173</v>
      </c>
      <c r="H1658" s="41" t="s">
        <v>5174</v>
      </c>
      <c r="I1658" s="43">
        <v>12</v>
      </c>
      <c r="J1658" s="44" t="str">
        <f>VLOOKUP(G1658,[1]硬件清单!$F:$F,1,0)</f>
        <v>210235A3SUH19A000124</v>
      </c>
      <c r="K1658" s="44"/>
      <c r="L1658" s="44"/>
      <c r="M1658" s="45" t="s">
        <v>5175</v>
      </c>
    </row>
    <row r="1659" s="26" customFormat="1" ht="30" customHeight="1" spans="1:13">
      <c r="A1659" s="41">
        <f>IF(C1659="","",SUBTOTAL(103,$C$2:C1659))</f>
        <v>1650</v>
      </c>
      <c r="B1659" s="41">
        <v>9082</v>
      </c>
      <c r="C1659" s="41">
        <v>12483</v>
      </c>
      <c r="D1659" s="41" t="s">
        <v>45</v>
      </c>
      <c r="E1659" s="41" t="s">
        <v>1298</v>
      </c>
      <c r="F1659" s="41" t="s">
        <v>2255</v>
      </c>
      <c r="G1659" s="41" t="s">
        <v>5176</v>
      </c>
      <c r="H1659" s="41" t="s">
        <v>5177</v>
      </c>
      <c r="I1659" s="43">
        <v>12</v>
      </c>
      <c r="J1659" s="44" t="str">
        <f>VLOOKUP(G1659,[1]硬件清单!$F:$F,1,0)</f>
        <v>210235A3SUH19A000299</v>
      </c>
      <c r="K1659" s="44"/>
      <c r="L1659" s="44"/>
      <c r="M1659" s="45" t="s">
        <v>5178</v>
      </c>
    </row>
    <row r="1660" s="26" customFormat="1" ht="30" customHeight="1" spans="1:13">
      <c r="A1660" s="41">
        <f>IF(C1660="","",SUBTOTAL(103,$C$2:C1660))</f>
        <v>1651</v>
      </c>
      <c r="B1660" s="41">
        <v>9083</v>
      </c>
      <c r="C1660" s="41">
        <v>12484</v>
      </c>
      <c r="D1660" s="41" t="s">
        <v>45</v>
      </c>
      <c r="E1660" s="41" t="s">
        <v>1298</v>
      </c>
      <c r="F1660" s="41" t="s">
        <v>2255</v>
      </c>
      <c r="G1660" s="41" t="s">
        <v>5179</v>
      </c>
      <c r="H1660" s="41" t="s">
        <v>5180</v>
      </c>
      <c r="I1660" s="43">
        <v>12</v>
      </c>
      <c r="J1660" s="44" t="str">
        <f>VLOOKUP(G1660,[1]硬件清单!$F:$F,1,0)</f>
        <v>210235A3SUH19A000266</v>
      </c>
      <c r="K1660" s="44"/>
      <c r="L1660" s="44"/>
      <c r="M1660" s="45" t="s">
        <v>5181</v>
      </c>
    </row>
    <row r="1661" s="26" customFormat="1" ht="30" customHeight="1" spans="1:13">
      <c r="A1661" s="41">
        <f>IF(C1661="","",SUBTOTAL(103,$C$2:C1661))</f>
        <v>1652</v>
      </c>
      <c r="B1661" s="41">
        <v>9085</v>
      </c>
      <c r="C1661" s="41">
        <v>12852</v>
      </c>
      <c r="D1661" s="41" t="s">
        <v>45</v>
      </c>
      <c r="E1661" s="41" t="s">
        <v>1298</v>
      </c>
      <c r="F1661" s="41" t="s">
        <v>2308</v>
      </c>
      <c r="G1661" s="41" t="s">
        <v>5182</v>
      </c>
      <c r="H1661" s="41" t="s">
        <v>5183</v>
      </c>
      <c r="I1661" s="43">
        <v>12</v>
      </c>
      <c r="J1661" s="44" t="str">
        <f>VLOOKUP(G1661,[1]硬件清单!$F:$F,1,0)</f>
        <v>J301DN2G</v>
      </c>
      <c r="K1661" s="43"/>
      <c r="L1661" s="44"/>
      <c r="M1661" s="45" t="s">
        <v>5184</v>
      </c>
    </row>
    <row r="1662" s="26" customFormat="1" ht="30" customHeight="1" spans="1:13">
      <c r="A1662" s="41">
        <f>IF(C1662="","",SUBTOTAL(103,$C$2:C1662))</f>
        <v>1653</v>
      </c>
      <c r="B1662" s="41">
        <v>9086</v>
      </c>
      <c r="C1662" s="41">
        <v>12851</v>
      </c>
      <c r="D1662" s="41" t="s">
        <v>45</v>
      </c>
      <c r="E1662" s="41" t="s">
        <v>1298</v>
      </c>
      <c r="F1662" s="41" t="s">
        <v>2308</v>
      </c>
      <c r="G1662" s="41" t="s">
        <v>5185</v>
      </c>
      <c r="H1662" s="41" t="s">
        <v>5186</v>
      </c>
      <c r="I1662" s="43">
        <v>12</v>
      </c>
      <c r="J1662" s="44" t="str">
        <f>VLOOKUP(G1662,[1]硬件清单!$F:$F,1,0)</f>
        <v>J301DN2M</v>
      </c>
      <c r="K1662" s="43"/>
      <c r="L1662" s="44"/>
      <c r="M1662" s="45" t="s">
        <v>5187</v>
      </c>
    </row>
    <row r="1663" s="26" customFormat="1" ht="30" customHeight="1" spans="1:13">
      <c r="A1663" s="41">
        <f>IF(C1663="","",SUBTOTAL(103,$C$2:C1663))</f>
        <v>1654</v>
      </c>
      <c r="B1663" s="41">
        <v>9087</v>
      </c>
      <c r="C1663" s="41">
        <v>12850</v>
      </c>
      <c r="D1663" s="41" t="s">
        <v>45</v>
      </c>
      <c r="E1663" s="41" t="s">
        <v>1298</v>
      </c>
      <c r="F1663" s="41" t="s">
        <v>2308</v>
      </c>
      <c r="G1663" s="41" t="s">
        <v>5188</v>
      </c>
      <c r="H1663" s="41" t="s">
        <v>5189</v>
      </c>
      <c r="I1663" s="43">
        <v>12</v>
      </c>
      <c r="J1663" s="44" t="str">
        <f>VLOOKUP(G1663,[1]硬件清单!$F:$F,1,0)</f>
        <v>J301DN2F</v>
      </c>
      <c r="K1663" s="43"/>
      <c r="L1663" s="44"/>
      <c r="M1663" s="45" t="s">
        <v>5190</v>
      </c>
    </row>
    <row r="1664" s="26" customFormat="1" ht="30" customHeight="1" spans="1:13">
      <c r="A1664" s="41">
        <f>IF(C1664="","",SUBTOTAL(103,$C$2:C1664))</f>
        <v>1655</v>
      </c>
      <c r="B1664" s="41">
        <v>9088</v>
      </c>
      <c r="C1664" s="41">
        <v>12521</v>
      </c>
      <c r="D1664" s="41" t="s">
        <v>45</v>
      </c>
      <c r="E1664" s="41" t="s">
        <v>1298</v>
      </c>
      <c r="F1664" s="41" t="s">
        <v>2255</v>
      </c>
      <c r="G1664" s="41" t="s">
        <v>5191</v>
      </c>
      <c r="H1664" s="41" t="s">
        <v>5192</v>
      </c>
      <c r="I1664" s="43">
        <v>12</v>
      </c>
      <c r="J1664" s="44" t="str">
        <f>VLOOKUP(G1664,[1]硬件清单!$F:$F,1,0)</f>
        <v>210235A3SUH19A000106</v>
      </c>
      <c r="K1664" s="44"/>
      <c r="L1664" s="44"/>
      <c r="M1664" s="45" t="s">
        <v>5193</v>
      </c>
    </row>
    <row r="1665" s="26" customFormat="1" ht="30" customHeight="1" spans="1:13">
      <c r="A1665" s="41">
        <f>IF(C1665="","",SUBTOTAL(103,$C$2:C1665))</f>
        <v>1656</v>
      </c>
      <c r="B1665" s="41">
        <v>9089</v>
      </c>
      <c r="C1665" s="41">
        <v>12552</v>
      </c>
      <c r="D1665" s="41" t="s">
        <v>45</v>
      </c>
      <c r="E1665" s="41" t="s">
        <v>1298</v>
      </c>
      <c r="F1665" s="41" t="s">
        <v>2255</v>
      </c>
      <c r="G1665" s="41" t="s">
        <v>5194</v>
      </c>
      <c r="H1665" s="41" t="s">
        <v>5195</v>
      </c>
      <c r="I1665" s="43">
        <v>12</v>
      </c>
      <c r="J1665" s="44" t="str">
        <f>VLOOKUP(G1665,[1]硬件清单!$F:$F,1,0)</f>
        <v>210235A3SUH19A000256</v>
      </c>
      <c r="K1665" s="44"/>
      <c r="L1665" s="44"/>
      <c r="M1665" s="45" t="s">
        <v>5196</v>
      </c>
    </row>
    <row r="1666" s="26" customFormat="1" ht="30" customHeight="1" spans="1:13">
      <c r="A1666" s="41">
        <f>IF(C1666="","",SUBTOTAL(103,$C$2:C1666))</f>
        <v>1657</v>
      </c>
      <c r="B1666" s="41">
        <v>9090</v>
      </c>
      <c r="C1666" s="41">
        <v>12553</v>
      </c>
      <c r="D1666" s="41" t="s">
        <v>45</v>
      </c>
      <c r="E1666" s="41" t="s">
        <v>1298</v>
      </c>
      <c r="F1666" s="41" t="s">
        <v>2255</v>
      </c>
      <c r="G1666" s="41" t="s">
        <v>5197</v>
      </c>
      <c r="H1666" s="41" t="s">
        <v>5198</v>
      </c>
      <c r="I1666" s="43">
        <v>12</v>
      </c>
      <c r="J1666" s="44" t="str">
        <f>VLOOKUP(G1666,[1]硬件清单!$F:$F,1,0)</f>
        <v>210235A3SUH19A000147</v>
      </c>
      <c r="K1666" s="44"/>
      <c r="L1666" s="44"/>
      <c r="M1666" s="45" t="s">
        <v>5199</v>
      </c>
    </row>
    <row r="1667" s="26" customFormat="1" ht="30" customHeight="1" spans="1:13">
      <c r="A1667" s="41">
        <f>IF(C1667="","",SUBTOTAL(103,$C$2:C1667))</f>
        <v>1658</v>
      </c>
      <c r="B1667" s="41">
        <v>9091</v>
      </c>
      <c r="C1667" s="41">
        <v>12554</v>
      </c>
      <c r="D1667" s="41" t="s">
        <v>45</v>
      </c>
      <c r="E1667" s="41" t="s">
        <v>1298</v>
      </c>
      <c r="F1667" s="41" t="s">
        <v>2255</v>
      </c>
      <c r="G1667" s="41" t="s">
        <v>5200</v>
      </c>
      <c r="H1667" s="41" t="s">
        <v>5201</v>
      </c>
      <c r="I1667" s="43">
        <v>12</v>
      </c>
      <c r="J1667" s="44" t="str">
        <f>VLOOKUP(G1667,[1]硬件清单!$F:$F,1,0)</f>
        <v>210235A3SUH19A000340</v>
      </c>
      <c r="K1667" s="44"/>
      <c r="L1667" s="44"/>
      <c r="M1667" s="45" t="s">
        <v>5202</v>
      </c>
    </row>
    <row r="1668" s="26" customFormat="1" ht="30" customHeight="1" spans="1:13">
      <c r="A1668" s="41">
        <f>IF(C1668="","",SUBTOTAL(103,$C$2:C1668))</f>
        <v>1659</v>
      </c>
      <c r="B1668" s="41">
        <v>9092</v>
      </c>
      <c r="C1668" s="41">
        <v>12565</v>
      </c>
      <c r="D1668" s="41" t="s">
        <v>45</v>
      </c>
      <c r="E1668" s="41" t="s">
        <v>1298</v>
      </c>
      <c r="F1668" s="41" t="s">
        <v>2255</v>
      </c>
      <c r="G1668" s="41" t="s">
        <v>5203</v>
      </c>
      <c r="H1668" s="41" t="s">
        <v>5204</v>
      </c>
      <c r="I1668" s="43">
        <v>12</v>
      </c>
      <c r="J1668" s="44" t="str">
        <f>VLOOKUP(G1668,[1]硬件清单!$F:$F,1,0)</f>
        <v>210235A3SUH19A000307</v>
      </c>
      <c r="K1668" s="44"/>
      <c r="L1668" s="44"/>
      <c r="M1668" s="45" t="s">
        <v>5205</v>
      </c>
    </row>
    <row r="1669" s="26" customFormat="1" ht="30" customHeight="1" spans="1:13">
      <c r="A1669" s="41">
        <f>IF(C1669="","",SUBTOTAL(103,$C$2:C1669))</f>
        <v>1660</v>
      </c>
      <c r="B1669" s="41">
        <v>9093</v>
      </c>
      <c r="C1669" s="41">
        <v>12566</v>
      </c>
      <c r="D1669" s="41" t="s">
        <v>45</v>
      </c>
      <c r="E1669" s="41" t="s">
        <v>1298</v>
      </c>
      <c r="F1669" s="41" t="s">
        <v>2255</v>
      </c>
      <c r="G1669" s="41" t="s">
        <v>5206</v>
      </c>
      <c r="H1669" s="41" t="s">
        <v>5207</v>
      </c>
      <c r="I1669" s="43">
        <v>12</v>
      </c>
      <c r="J1669" s="44" t="str">
        <f>VLOOKUP(G1669,[1]硬件清单!$F:$F,1,0)</f>
        <v>210235A3SUH19A000361</v>
      </c>
      <c r="K1669" s="44"/>
      <c r="L1669" s="44"/>
      <c r="M1669" s="45" t="s">
        <v>5208</v>
      </c>
    </row>
    <row r="1670" s="26" customFormat="1" ht="30" customHeight="1" spans="1:13">
      <c r="A1670" s="41">
        <f>IF(C1670="","",SUBTOTAL(103,$C$2:C1670))</f>
        <v>1661</v>
      </c>
      <c r="B1670" s="41">
        <v>9094</v>
      </c>
      <c r="C1670" s="41">
        <v>12567</v>
      </c>
      <c r="D1670" s="41" t="s">
        <v>45</v>
      </c>
      <c r="E1670" s="41" t="s">
        <v>1298</v>
      </c>
      <c r="F1670" s="41" t="s">
        <v>2255</v>
      </c>
      <c r="G1670" s="41" t="s">
        <v>5209</v>
      </c>
      <c r="H1670" s="41" t="s">
        <v>5210</v>
      </c>
      <c r="I1670" s="43">
        <v>12</v>
      </c>
      <c r="J1670" s="44" t="str">
        <f>VLOOKUP(G1670,[1]硬件清单!$F:$F,1,0)</f>
        <v>210235A3SUH19A000129</v>
      </c>
      <c r="K1670" s="44"/>
      <c r="L1670" s="44"/>
      <c r="M1670" s="45" t="s">
        <v>5211</v>
      </c>
    </row>
    <row r="1671" s="26" customFormat="1" ht="30" customHeight="1" spans="1:13">
      <c r="A1671" s="41">
        <f>IF(C1671="","",SUBTOTAL(103,$C$2:C1671))</f>
        <v>1662</v>
      </c>
      <c r="B1671" s="41">
        <v>9095</v>
      </c>
      <c r="C1671" s="41">
        <v>12568</v>
      </c>
      <c r="D1671" s="41" t="s">
        <v>45</v>
      </c>
      <c r="E1671" s="41" t="s">
        <v>1298</v>
      </c>
      <c r="F1671" s="41" t="s">
        <v>2255</v>
      </c>
      <c r="G1671" s="41" t="s">
        <v>5212</v>
      </c>
      <c r="H1671" s="41" t="s">
        <v>5213</v>
      </c>
      <c r="I1671" s="43">
        <v>12</v>
      </c>
      <c r="J1671" s="44" t="str">
        <f>VLOOKUP(G1671,[1]硬件清单!$F:$F,1,0)</f>
        <v>210235A3SUH19A000229</v>
      </c>
      <c r="K1671" s="44"/>
      <c r="L1671" s="44"/>
      <c r="M1671" s="45" t="s">
        <v>5214</v>
      </c>
    </row>
    <row r="1672" s="26" customFormat="1" ht="30" customHeight="1" spans="1:13">
      <c r="A1672" s="41">
        <f>IF(C1672="","",SUBTOTAL(103,$C$2:C1672))</f>
        <v>1663</v>
      </c>
      <c r="B1672" s="41">
        <v>9096</v>
      </c>
      <c r="C1672" s="41">
        <v>12522</v>
      </c>
      <c r="D1672" s="41" t="s">
        <v>45</v>
      </c>
      <c r="E1672" s="41" t="s">
        <v>1298</v>
      </c>
      <c r="F1672" s="41" t="s">
        <v>2255</v>
      </c>
      <c r="G1672" s="41" t="s">
        <v>5215</v>
      </c>
      <c r="H1672" s="41" t="s">
        <v>5216</v>
      </c>
      <c r="I1672" s="43">
        <v>12</v>
      </c>
      <c r="J1672" s="44" t="str">
        <f>VLOOKUP(G1672,[1]硬件清单!$F:$F,1,0)</f>
        <v>210235A3SUH19A000212</v>
      </c>
      <c r="K1672" s="44"/>
      <c r="L1672" s="44"/>
      <c r="M1672" s="45" t="s">
        <v>5217</v>
      </c>
    </row>
    <row r="1673" s="26" customFormat="1" ht="30" customHeight="1" spans="1:13">
      <c r="A1673" s="41">
        <f>IF(C1673="","",SUBTOTAL(103,$C$2:C1673))</f>
        <v>1664</v>
      </c>
      <c r="B1673" s="41">
        <v>9097</v>
      </c>
      <c r="C1673" s="41">
        <v>12523</v>
      </c>
      <c r="D1673" s="41" t="s">
        <v>45</v>
      </c>
      <c r="E1673" s="41" t="s">
        <v>1298</v>
      </c>
      <c r="F1673" s="41" t="s">
        <v>2255</v>
      </c>
      <c r="G1673" s="41" t="s">
        <v>5218</v>
      </c>
      <c r="H1673" s="41" t="s">
        <v>5219</v>
      </c>
      <c r="I1673" s="43">
        <v>12</v>
      </c>
      <c r="J1673" s="44" t="str">
        <f>VLOOKUP(G1673,[1]硬件清单!$F:$F,1,0)</f>
        <v>210235A3SUH19A000377</v>
      </c>
      <c r="K1673" s="44"/>
      <c r="L1673" s="44"/>
      <c r="M1673" s="45" t="s">
        <v>5220</v>
      </c>
    </row>
    <row r="1674" s="26" customFormat="1" ht="30" customHeight="1" spans="1:13">
      <c r="A1674" s="41">
        <f>IF(C1674="","",SUBTOTAL(103,$C$2:C1674))</f>
        <v>1665</v>
      </c>
      <c r="B1674" s="41">
        <v>9098</v>
      </c>
      <c r="C1674" s="41">
        <v>12524</v>
      </c>
      <c r="D1674" s="41" t="s">
        <v>45</v>
      </c>
      <c r="E1674" s="41" t="s">
        <v>1298</v>
      </c>
      <c r="F1674" s="41" t="s">
        <v>2255</v>
      </c>
      <c r="G1674" s="41" t="s">
        <v>5221</v>
      </c>
      <c r="H1674" s="41" t="s">
        <v>5222</v>
      </c>
      <c r="I1674" s="43">
        <v>12</v>
      </c>
      <c r="J1674" s="44" t="str">
        <f>VLOOKUP(G1674,[1]硬件清单!$F:$F,1,0)</f>
        <v>210235A3SUH19A000375</v>
      </c>
      <c r="K1674" s="44"/>
      <c r="L1674" s="44"/>
      <c r="M1674" s="45" t="s">
        <v>5223</v>
      </c>
    </row>
    <row r="1675" s="26" customFormat="1" ht="30" customHeight="1" spans="1:13">
      <c r="A1675" s="41">
        <f>IF(C1675="","",SUBTOTAL(103,$C$2:C1675))</f>
        <v>1666</v>
      </c>
      <c r="B1675" s="41">
        <v>9099</v>
      </c>
      <c r="C1675" s="41">
        <v>12525</v>
      </c>
      <c r="D1675" s="41" t="s">
        <v>45</v>
      </c>
      <c r="E1675" s="41" t="s">
        <v>1298</v>
      </c>
      <c r="F1675" s="41" t="s">
        <v>2255</v>
      </c>
      <c r="G1675" s="41" t="s">
        <v>5224</v>
      </c>
      <c r="H1675" s="41" t="s">
        <v>5225</v>
      </c>
      <c r="I1675" s="43">
        <v>12</v>
      </c>
      <c r="J1675" s="44" t="str">
        <f>VLOOKUP(G1675,[1]硬件清单!$F:$F,1,0)</f>
        <v>210235A3SUH199000144</v>
      </c>
      <c r="K1675" s="44"/>
      <c r="L1675" s="44"/>
      <c r="M1675" s="45" t="s">
        <v>5226</v>
      </c>
    </row>
    <row r="1676" s="26" customFormat="1" ht="30" customHeight="1" spans="1:13">
      <c r="A1676" s="41">
        <f>IF(C1676="","",SUBTOTAL(103,$C$2:C1676))</f>
        <v>1667</v>
      </c>
      <c r="B1676" s="41">
        <v>9100</v>
      </c>
      <c r="C1676" s="41">
        <v>12526</v>
      </c>
      <c r="D1676" s="41" t="s">
        <v>45</v>
      </c>
      <c r="E1676" s="41" t="s">
        <v>1298</v>
      </c>
      <c r="F1676" s="41" t="s">
        <v>2255</v>
      </c>
      <c r="G1676" s="41" t="s">
        <v>5227</v>
      </c>
      <c r="H1676" s="41" t="s">
        <v>5228</v>
      </c>
      <c r="I1676" s="43">
        <v>12</v>
      </c>
      <c r="J1676" s="44" t="str">
        <f>VLOOKUP(G1676,[1]硬件清单!$F:$F,1,0)</f>
        <v>210235A3SUH19A000171</v>
      </c>
      <c r="K1676" s="44"/>
      <c r="L1676" s="44"/>
      <c r="M1676" s="45" t="s">
        <v>5229</v>
      </c>
    </row>
    <row r="1677" s="26" customFormat="1" ht="30" customHeight="1" spans="1:13">
      <c r="A1677" s="41">
        <f>IF(C1677="","",SUBTOTAL(103,$C$2:C1677))</f>
        <v>1668</v>
      </c>
      <c r="B1677" s="41">
        <v>9101</v>
      </c>
      <c r="C1677" s="41">
        <v>12527</v>
      </c>
      <c r="D1677" s="41" t="s">
        <v>45</v>
      </c>
      <c r="E1677" s="41" t="s">
        <v>1298</v>
      </c>
      <c r="F1677" s="41" t="s">
        <v>2255</v>
      </c>
      <c r="G1677" s="41" t="s">
        <v>5230</v>
      </c>
      <c r="H1677" s="41" t="s">
        <v>5231</v>
      </c>
      <c r="I1677" s="43">
        <v>12</v>
      </c>
      <c r="J1677" s="44" t="str">
        <f>VLOOKUP(G1677,[1]硬件清单!$F:$F,1,0)</f>
        <v>210235A3SUH19A000298</v>
      </c>
      <c r="K1677" s="44"/>
      <c r="L1677" s="44"/>
      <c r="M1677" s="45" t="s">
        <v>5232</v>
      </c>
    </row>
    <row r="1678" s="26" customFormat="1" ht="30" customHeight="1" spans="1:13">
      <c r="A1678" s="41">
        <f>IF(C1678="","",SUBTOTAL(103,$C$2:C1678))</f>
        <v>1669</v>
      </c>
      <c r="B1678" s="41">
        <v>9102</v>
      </c>
      <c r="C1678" s="41">
        <v>12528</v>
      </c>
      <c r="D1678" s="41" t="s">
        <v>45</v>
      </c>
      <c r="E1678" s="41" t="s">
        <v>1298</v>
      </c>
      <c r="F1678" s="41" t="s">
        <v>2255</v>
      </c>
      <c r="G1678" s="41" t="s">
        <v>5233</v>
      </c>
      <c r="H1678" s="41" t="s">
        <v>5234</v>
      </c>
      <c r="I1678" s="43">
        <v>12</v>
      </c>
      <c r="J1678" s="44" t="str">
        <f>VLOOKUP(G1678,[1]硬件清单!$F:$F,1,0)</f>
        <v>210235A3SUH19A000094</v>
      </c>
      <c r="K1678" s="44"/>
      <c r="L1678" s="44"/>
      <c r="M1678" s="45" t="s">
        <v>5235</v>
      </c>
    </row>
    <row r="1679" s="26" customFormat="1" ht="30" customHeight="1" spans="1:13">
      <c r="A1679" s="41">
        <f>IF(C1679="","",SUBTOTAL(103,$C$2:C1679))</f>
        <v>1670</v>
      </c>
      <c r="B1679" s="41">
        <v>9103</v>
      </c>
      <c r="C1679" s="41">
        <v>12551</v>
      </c>
      <c r="D1679" s="41" t="s">
        <v>45</v>
      </c>
      <c r="E1679" s="41" t="s">
        <v>1298</v>
      </c>
      <c r="F1679" s="41" t="s">
        <v>2255</v>
      </c>
      <c r="G1679" s="41" t="s">
        <v>5236</v>
      </c>
      <c r="H1679" s="41" t="s">
        <v>5237</v>
      </c>
      <c r="I1679" s="43">
        <v>12</v>
      </c>
      <c r="J1679" s="44" t="str">
        <f>VLOOKUP(G1679,[1]硬件清单!$F:$F,1,0)</f>
        <v>210235A3SUH199000017</v>
      </c>
      <c r="K1679" s="44"/>
      <c r="L1679" s="44"/>
      <c r="M1679" s="45" t="s">
        <v>5238</v>
      </c>
    </row>
    <row r="1680" s="26" customFormat="1" ht="30" customHeight="1" spans="1:13">
      <c r="A1680" s="41">
        <f>IF(C1680="","",SUBTOTAL(103,$C$2:C1680))</f>
        <v>1671</v>
      </c>
      <c r="B1680" s="41">
        <v>9105</v>
      </c>
      <c r="C1680" s="41">
        <v>12849</v>
      </c>
      <c r="D1680" s="41" t="s">
        <v>45</v>
      </c>
      <c r="E1680" s="41" t="s">
        <v>1298</v>
      </c>
      <c r="F1680" s="41" t="s">
        <v>2308</v>
      </c>
      <c r="G1680" s="41" t="s">
        <v>5239</v>
      </c>
      <c r="H1680" s="41" t="s">
        <v>5240</v>
      </c>
      <c r="I1680" s="43">
        <v>12</v>
      </c>
      <c r="J1680" s="44" t="str">
        <f>VLOOKUP(G1680,[1]硬件清单!$F:$F,1,0)</f>
        <v>J301DN2L</v>
      </c>
      <c r="K1680" s="43"/>
      <c r="L1680" s="44"/>
      <c r="M1680" s="45" t="s">
        <v>5241</v>
      </c>
    </row>
    <row r="1681" s="26" customFormat="1" ht="30" customHeight="1" spans="1:13">
      <c r="A1681" s="41">
        <f>IF(C1681="","",SUBTOTAL(103,$C$2:C1681))</f>
        <v>1672</v>
      </c>
      <c r="B1681" s="41">
        <v>9106</v>
      </c>
      <c r="C1681" s="41">
        <v>12848</v>
      </c>
      <c r="D1681" s="41" t="s">
        <v>45</v>
      </c>
      <c r="E1681" s="41" t="s">
        <v>1298</v>
      </c>
      <c r="F1681" s="41" t="s">
        <v>2308</v>
      </c>
      <c r="G1681" s="41" t="s">
        <v>5242</v>
      </c>
      <c r="H1681" s="41" t="s">
        <v>5243</v>
      </c>
      <c r="I1681" s="43">
        <v>12</v>
      </c>
      <c r="J1681" s="44" t="str">
        <f>VLOOKUP(G1681,[1]硬件清单!$F:$F,1,0)</f>
        <v>J301DN2H</v>
      </c>
      <c r="K1681" s="43"/>
      <c r="L1681" s="44"/>
      <c r="M1681" s="45" t="s">
        <v>5244</v>
      </c>
    </row>
    <row r="1682" s="26" customFormat="1" ht="30" customHeight="1" spans="1:13">
      <c r="A1682" s="41">
        <f>IF(C1682="","",SUBTOTAL(103,$C$2:C1682))</f>
        <v>1673</v>
      </c>
      <c r="B1682" s="41">
        <v>9107</v>
      </c>
      <c r="C1682" s="41">
        <v>12847</v>
      </c>
      <c r="D1682" s="41" t="s">
        <v>45</v>
      </c>
      <c r="E1682" s="41" t="s">
        <v>1298</v>
      </c>
      <c r="F1682" s="41" t="s">
        <v>2308</v>
      </c>
      <c r="G1682" s="41" t="s">
        <v>5245</v>
      </c>
      <c r="H1682" s="41" t="s">
        <v>5246</v>
      </c>
      <c r="I1682" s="43">
        <v>12</v>
      </c>
      <c r="J1682" s="44" t="str">
        <f>VLOOKUP(G1682,[1]硬件清单!$F:$F,1,0)</f>
        <v>J301DN2K</v>
      </c>
      <c r="K1682" s="43"/>
      <c r="L1682" s="44"/>
      <c r="M1682" s="45" t="s">
        <v>5247</v>
      </c>
    </row>
    <row r="1683" s="26" customFormat="1" ht="30" customHeight="1" spans="1:13">
      <c r="A1683" s="41">
        <f>IF(C1683="","",SUBTOTAL(103,$C$2:C1683))</f>
        <v>1674</v>
      </c>
      <c r="B1683" s="41">
        <v>9111</v>
      </c>
      <c r="C1683" s="41">
        <v>12509</v>
      </c>
      <c r="D1683" s="41" t="s">
        <v>45</v>
      </c>
      <c r="E1683" s="41" t="s">
        <v>1298</v>
      </c>
      <c r="F1683" s="41" t="s">
        <v>2255</v>
      </c>
      <c r="G1683" s="41" t="s">
        <v>5248</v>
      </c>
      <c r="H1683" s="41" t="s">
        <v>5249</v>
      </c>
      <c r="I1683" s="43">
        <v>12</v>
      </c>
      <c r="J1683" s="44" t="str">
        <f>VLOOKUP(G1683,[1]硬件清单!$F:$F,1,0)</f>
        <v>210235A3SUH19B000021</v>
      </c>
      <c r="K1683" s="44"/>
      <c r="L1683" s="44"/>
      <c r="M1683" s="45" t="s">
        <v>5250</v>
      </c>
    </row>
    <row r="1684" s="26" customFormat="1" ht="30" customHeight="1" spans="1:13">
      <c r="A1684" s="41">
        <f>IF(C1684="","",SUBTOTAL(103,$C$2:C1684))</f>
        <v>1675</v>
      </c>
      <c r="B1684" s="41">
        <v>9112</v>
      </c>
      <c r="C1684" s="41">
        <v>12515</v>
      </c>
      <c r="D1684" s="41" t="s">
        <v>45</v>
      </c>
      <c r="E1684" s="41" t="s">
        <v>1298</v>
      </c>
      <c r="F1684" s="41" t="s">
        <v>2255</v>
      </c>
      <c r="G1684" s="41" t="s">
        <v>5251</v>
      </c>
      <c r="H1684" s="41" t="s">
        <v>5252</v>
      </c>
      <c r="I1684" s="43">
        <v>12</v>
      </c>
      <c r="J1684" s="44" t="str">
        <f>VLOOKUP(G1684,[1]硬件清单!$F:$F,1,0)</f>
        <v>210235A3SUH19B000106</v>
      </c>
      <c r="K1684" s="44"/>
      <c r="L1684" s="44"/>
      <c r="M1684" s="45" t="s">
        <v>5253</v>
      </c>
    </row>
    <row r="1685" s="26" customFormat="1" ht="30" customHeight="1" spans="1:13">
      <c r="A1685" s="41">
        <f>IF(C1685="","",SUBTOTAL(103,$C$2:C1685))</f>
        <v>1676</v>
      </c>
      <c r="B1685" s="41">
        <v>9113</v>
      </c>
      <c r="C1685" s="41">
        <v>12516</v>
      </c>
      <c r="D1685" s="41" t="s">
        <v>45</v>
      </c>
      <c r="E1685" s="41" t="s">
        <v>1298</v>
      </c>
      <c r="F1685" s="41" t="s">
        <v>2255</v>
      </c>
      <c r="G1685" s="41" t="s">
        <v>5254</v>
      </c>
      <c r="H1685" s="41" t="s">
        <v>5255</v>
      </c>
      <c r="I1685" s="43">
        <v>12</v>
      </c>
      <c r="J1685" s="44" t="str">
        <f>VLOOKUP(G1685,[1]硬件清单!$F:$F,1,0)</f>
        <v>210235A3SUH19B000127</v>
      </c>
      <c r="K1685" s="44"/>
      <c r="L1685" s="44"/>
      <c r="M1685" s="45" t="s">
        <v>5256</v>
      </c>
    </row>
    <row r="1686" s="26" customFormat="1" ht="30" customHeight="1" spans="1:13">
      <c r="A1686" s="41">
        <f>IF(C1686="","",SUBTOTAL(103,$C$2:C1686))</f>
        <v>1677</v>
      </c>
      <c r="B1686" s="41">
        <v>9114</v>
      </c>
      <c r="C1686" s="41">
        <v>12517</v>
      </c>
      <c r="D1686" s="41" t="s">
        <v>45</v>
      </c>
      <c r="E1686" s="41" t="s">
        <v>1298</v>
      </c>
      <c r="F1686" s="41" t="s">
        <v>2255</v>
      </c>
      <c r="G1686" s="41" t="s">
        <v>5257</v>
      </c>
      <c r="H1686" s="41" t="s">
        <v>5258</v>
      </c>
      <c r="I1686" s="43">
        <v>12</v>
      </c>
      <c r="J1686" s="44" t="str">
        <f>VLOOKUP(G1686,[1]硬件清单!$F:$F,1,0)</f>
        <v>210235A3SUH19B000059</v>
      </c>
      <c r="K1686" s="44"/>
      <c r="L1686" s="44"/>
      <c r="M1686" s="45" t="s">
        <v>5259</v>
      </c>
    </row>
    <row r="1687" s="26" customFormat="1" ht="30" customHeight="1" spans="1:13">
      <c r="A1687" s="41">
        <f>IF(C1687="","",SUBTOTAL(103,$C$2:C1687))</f>
        <v>1678</v>
      </c>
      <c r="B1687" s="41">
        <v>9115</v>
      </c>
      <c r="C1687" s="41">
        <v>12518</v>
      </c>
      <c r="D1687" s="41" t="s">
        <v>45</v>
      </c>
      <c r="E1687" s="41" t="s">
        <v>1298</v>
      </c>
      <c r="F1687" s="41" t="s">
        <v>2255</v>
      </c>
      <c r="G1687" s="41" t="s">
        <v>5260</v>
      </c>
      <c r="H1687" s="41" t="s">
        <v>5261</v>
      </c>
      <c r="I1687" s="43">
        <v>12</v>
      </c>
      <c r="J1687" s="44" t="str">
        <f>VLOOKUP(G1687,[1]硬件清单!$F:$F,1,0)</f>
        <v>210235A3SUH19B000126</v>
      </c>
      <c r="K1687" s="44"/>
      <c r="L1687" s="44"/>
      <c r="M1687" s="45" t="s">
        <v>5262</v>
      </c>
    </row>
    <row r="1688" s="26" customFormat="1" ht="30" customHeight="1" spans="1:13">
      <c r="A1688" s="41">
        <f>IF(C1688="","",SUBTOTAL(103,$C$2:C1688))</f>
        <v>1679</v>
      </c>
      <c r="B1688" s="41">
        <v>9116</v>
      </c>
      <c r="C1688" s="41">
        <v>12519</v>
      </c>
      <c r="D1688" s="41" t="s">
        <v>45</v>
      </c>
      <c r="E1688" s="41" t="s">
        <v>1298</v>
      </c>
      <c r="F1688" s="41" t="s">
        <v>2255</v>
      </c>
      <c r="G1688" s="41" t="s">
        <v>5263</v>
      </c>
      <c r="H1688" s="41" t="s">
        <v>5264</v>
      </c>
      <c r="I1688" s="43">
        <v>12</v>
      </c>
      <c r="J1688" s="44" t="str">
        <f>VLOOKUP(G1688,[1]硬件清单!$F:$F,1,0)</f>
        <v>210235A3SUH19B000168</v>
      </c>
      <c r="K1688" s="44"/>
      <c r="L1688" s="44"/>
      <c r="M1688" s="45" t="s">
        <v>5265</v>
      </c>
    </row>
    <row r="1689" s="26" customFormat="1" ht="30" customHeight="1" spans="1:13">
      <c r="A1689" s="41">
        <f>IF(C1689="","",SUBTOTAL(103,$C$2:C1689))</f>
        <v>1680</v>
      </c>
      <c r="B1689" s="41">
        <v>9117</v>
      </c>
      <c r="C1689" s="41">
        <v>12520</v>
      </c>
      <c r="D1689" s="41" t="s">
        <v>45</v>
      </c>
      <c r="E1689" s="41" t="s">
        <v>1298</v>
      </c>
      <c r="F1689" s="41" t="s">
        <v>2255</v>
      </c>
      <c r="G1689" s="41" t="s">
        <v>5266</v>
      </c>
      <c r="H1689" s="41" t="s">
        <v>5267</v>
      </c>
      <c r="I1689" s="43">
        <v>12</v>
      </c>
      <c r="J1689" s="44" t="str">
        <f>VLOOKUP(G1689,[1]硬件清单!$F:$F,1,0)</f>
        <v>210235A3SUH19B000165</v>
      </c>
      <c r="K1689" s="44"/>
      <c r="L1689" s="44"/>
      <c r="M1689" s="45" t="s">
        <v>5268</v>
      </c>
    </row>
    <row r="1690" s="26" customFormat="1" ht="30" customHeight="1" spans="1:13">
      <c r="A1690" s="41">
        <f>IF(C1690="","",SUBTOTAL(103,$C$2:C1690))</f>
        <v>1681</v>
      </c>
      <c r="B1690" s="41">
        <v>9118</v>
      </c>
      <c r="C1690" s="41">
        <v>12479</v>
      </c>
      <c r="D1690" s="41" t="s">
        <v>45</v>
      </c>
      <c r="E1690" s="41" t="s">
        <v>1298</v>
      </c>
      <c r="F1690" s="41" t="s">
        <v>2255</v>
      </c>
      <c r="G1690" s="41" t="s">
        <v>5269</v>
      </c>
      <c r="H1690" s="41" t="s">
        <v>5270</v>
      </c>
      <c r="I1690" s="43">
        <v>12</v>
      </c>
      <c r="J1690" s="44" t="str">
        <f>VLOOKUP(G1690,[1]硬件清单!$F:$F,1,0)</f>
        <v>210235A3SUH19B000150</v>
      </c>
      <c r="K1690" s="44"/>
      <c r="L1690" s="44"/>
      <c r="M1690" s="45" t="s">
        <v>5271</v>
      </c>
    </row>
    <row r="1691" s="26" customFormat="1" ht="30" customHeight="1" spans="1:13">
      <c r="A1691" s="41">
        <f>IF(C1691="","",SUBTOTAL(103,$C$2:C1691))</f>
        <v>1682</v>
      </c>
      <c r="B1691" s="41">
        <v>9119</v>
      </c>
      <c r="C1691" s="41">
        <v>12480</v>
      </c>
      <c r="D1691" s="41" t="s">
        <v>45</v>
      </c>
      <c r="E1691" s="41" t="s">
        <v>1298</v>
      </c>
      <c r="F1691" s="41" t="s">
        <v>2255</v>
      </c>
      <c r="G1691" s="41" t="s">
        <v>5272</v>
      </c>
      <c r="H1691" s="41" t="s">
        <v>5273</v>
      </c>
      <c r="I1691" s="43">
        <v>12</v>
      </c>
      <c r="J1691" s="44" t="str">
        <f>VLOOKUP(G1691,[1]硬件清单!$F:$F,1,0)</f>
        <v>210235A3SUH19B000166</v>
      </c>
      <c r="K1691" s="44"/>
      <c r="L1691" s="44"/>
      <c r="M1691" s="45" t="s">
        <v>5274</v>
      </c>
    </row>
    <row r="1692" s="26" customFormat="1" ht="30" customHeight="1" spans="1:13">
      <c r="A1692" s="41">
        <f>IF(C1692="","",SUBTOTAL(103,$C$2:C1692))</f>
        <v>1683</v>
      </c>
      <c r="B1692" s="41">
        <v>9120</v>
      </c>
      <c r="C1692" s="41">
        <v>12504</v>
      </c>
      <c r="D1692" s="41" t="s">
        <v>45</v>
      </c>
      <c r="E1692" s="41" t="s">
        <v>1298</v>
      </c>
      <c r="F1692" s="41" t="s">
        <v>2255</v>
      </c>
      <c r="G1692" s="41" t="s">
        <v>5275</v>
      </c>
      <c r="H1692" s="41" t="s">
        <v>5276</v>
      </c>
      <c r="I1692" s="43">
        <v>12</v>
      </c>
      <c r="J1692" s="44" t="str">
        <f>VLOOKUP(G1692,[1]硬件清单!$F:$F,1,0)</f>
        <v>210235A3SUH19B000061</v>
      </c>
      <c r="K1692" s="44"/>
      <c r="L1692" s="44"/>
      <c r="M1692" s="45" t="s">
        <v>5277</v>
      </c>
    </row>
    <row r="1693" s="26" customFormat="1" ht="30" customHeight="1" spans="1:13">
      <c r="A1693" s="41">
        <f>IF(C1693="","",SUBTOTAL(103,$C$2:C1693))</f>
        <v>1684</v>
      </c>
      <c r="B1693" s="41">
        <v>9121</v>
      </c>
      <c r="C1693" s="41">
        <v>12505</v>
      </c>
      <c r="D1693" s="41" t="s">
        <v>45</v>
      </c>
      <c r="E1693" s="41" t="s">
        <v>1298</v>
      </c>
      <c r="F1693" s="41" t="s">
        <v>2255</v>
      </c>
      <c r="G1693" s="41" t="s">
        <v>5278</v>
      </c>
      <c r="H1693" s="41" t="s">
        <v>5279</v>
      </c>
      <c r="I1693" s="43">
        <v>12</v>
      </c>
      <c r="J1693" s="44" t="str">
        <f>VLOOKUP(G1693,[1]硬件清单!$F:$F,1,0)</f>
        <v>210235A3SUH19B000105</v>
      </c>
      <c r="K1693" s="44"/>
      <c r="L1693" s="44"/>
      <c r="M1693" s="45" t="s">
        <v>5280</v>
      </c>
    </row>
    <row r="1694" s="26" customFormat="1" ht="30" customHeight="1" spans="1:13">
      <c r="A1694" s="41">
        <f>IF(C1694="","",SUBTOTAL(103,$C$2:C1694))</f>
        <v>1685</v>
      </c>
      <c r="B1694" s="41">
        <v>9122</v>
      </c>
      <c r="C1694" s="41">
        <v>12506</v>
      </c>
      <c r="D1694" s="41" t="s">
        <v>45</v>
      </c>
      <c r="E1694" s="41" t="s">
        <v>1298</v>
      </c>
      <c r="F1694" s="41" t="s">
        <v>2255</v>
      </c>
      <c r="G1694" s="41" t="s">
        <v>5281</v>
      </c>
      <c r="H1694" s="41" t="s">
        <v>5282</v>
      </c>
      <c r="I1694" s="43">
        <v>12</v>
      </c>
      <c r="J1694" s="44" t="str">
        <f>VLOOKUP(G1694,[1]硬件清单!$F:$F,1,0)</f>
        <v>210235A3SUH19B000162</v>
      </c>
      <c r="K1694" s="44"/>
      <c r="L1694" s="44"/>
      <c r="M1694" s="45" t="s">
        <v>5283</v>
      </c>
    </row>
    <row r="1695" s="26" customFormat="1" ht="30" customHeight="1" spans="1:13">
      <c r="A1695" s="41">
        <f>IF(C1695="","",SUBTOTAL(103,$C$2:C1695))</f>
        <v>1686</v>
      </c>
      <c r="B1695" s="41">
        <v>9123</v>
      </c>
      <c r="C1695" s="41">
        <v>12507</v>
      </c>
      <c r="D1695" s="41" t="s">
        <v>45</v>
      </c>
      <c r="E1695" s="41" t="s">
        <v>1298</v>
      </c>
      <c r="F1695" s="41" t="s">
        <v>2255</v>
      </c>
      <c r="G1695" s="41" t="s">
        <v>5284</v>
      </c>
      <c r="H1695" s="41" t="s">
        <v>5285</v>
      </c>
      <c r="I1695" s="43">
        <v>12</v>
      </c>
      <c r="J1695" s="44" t="str">
        <f>VLOOKUP(G1695,[1]硬件清单!$F:$F,1,0)</f>
        <v>210235A3SUH19B000169</v>
      </c>
      <c r="K1695" s="44"/>
      <c r="L1695" s="44"/>
      <c r="M1695" s="45" t="s">
        <v>5286</v>
      </c>
    </row>
    <row r="1696" s="26" customFormat="1" ht="30" customHeight="1" spans="1:13">
      <c r="A1696" s="41">
        <f>IF(C1696="","",SUBTOTAL(103,$C$2:C1696))</f>
        <v>1687</v>
      </c>
      <c r="B1696" s="41">
        <v>9124</v>
      </c>
      <c r="C1696" s="41">
        <v>12508</v>
      </c>
      <c r="D1696" s="41" t="s">
        <v>45</v>
      </c>
      <c r="E1696" s="41" t="s">
        <v>1298</v>
      </c>
      <c r="F1696" s="41" t="s">
        <v>2255</v>
      </c>
      <c r="G1696" s="41" t="s">
        <v>5287</v>
      </c>
      <c r="H1696" s="41" t="s">
        <v>5288</v>
      </c>
      <c r="I1696" s="43">
        <v>12</v>
      </c>
      <c r="J1696" s="44" t="str">
        <f>VLOOKUP(G1696,[1]硬件清单!$F:$F,1,0)</f>
        <v>210235A3SUH19B000160</v>
      </c>
      <c r="K1696" s="44"/>
      <c r="L1696" s="44"/>
      <c r="M1696" s="45" t="s">
        <v>5289</v>
      </c>
    </row>
    <row r="1697" s="26" customFormat="1" ht="30" customHeight="1" spans="1:13">
      <c r="A1697" s="41">
        <f>IF(C1697="","",SUBTOTAL(103,$C$2:C1697))</f>
        <v>1688</v>
      </c>
      <c r="B1697" s="41">
        <v>9125</v>
      </c>
      <c r="C1697" s="41">
        <v>12720</v>
      </c>
      <c r="D1697" s="41" t="s">
        <v>45</v>
      </c>
      <c r="E1697" s="41" t="s">
        <v>1298</v>
      </c>
      <c r="F1697" s="41" t="s">
        <v>2255</v>
      </c>
      <c r="G1697" s="41" t="s">
        <v>5290</v>
      </c>
      <c r="H1697" s="41" t="s">
        <v>5291</v>
      </c>
      <c r="I1697" s="43">
        <v>12</v>
      </c>
      <c r="J1697" s="44" t="str">
        <f>VLOOKUP(G1697,[1]硬件清单!$F:$F,1,0)</f>
        <v>210235A3SUH19A000344</v>
      </c>
      <c r="K1697" s="44"/>
      <c r="L1697" s="44"/>
      <c r="M1697" s="45" t="s">
        <v>5292</v>
      </c>
    </row>
    <row r="1698" s="26" customFormat="1" ht="30" customHeight="1" spans="1:13">
      <c r="A1698" s="41">
        <f>IF(C1698="","",SUBTOTAL(103,$C$2:C1698))</f>
        <v>1689</v>
      </c>
      <c r="B1698" s="41">
        <v>9126</v>
      </c>
      <c r="C1698" s="41">
        <v>12721</v>
      </c>
      <c r="D1698" s="41" t="s">
        <v>45</v>
      </c>
      <c r="E1698" s="41" t="s">
        <v>1298</v>
      </c>
      <c r="F1698" s="41" t="s">
        <v>2255</v>
      </c>
      <c r="G1698" s="41" t="s">
        <v>5293</v>
      </c>
      <c r="H1698" s="41" t="s">
        <v>5294</v>
      </c>
      <c r="I1698" s="43">
        <v>12</v>
      </c>
      <c r="J1698" s="44" t="str">
        <f>VLOOKUP(G1698,[1]硬件清单!$F:$F,1,0)</f>
        <v>210235A3SUH19A000101</v>
      </c>
      <c r="K1698" s="44"/>
      <c r="L1698" s="44"/>
      <c r="M1698" s="45" t="s">
        <v>5295</v>
      </c>
    </row>
    <row r="1699" s="26" customFormat="1" ht="30" customHeight="1" spans="1:13">
      <c r="A1699" s="41">
        <f>IF(C1699="","",SUBTOTAL(103,$C$2:C1699))</f>
        <v>1690</v>
      </c>
      <c r="B1699" s="41">
        <v>9133</v>
      </c>
      <c r="C1699" s="41">
        <v>8471</v>
      </c>
      <c r="D1699" s="41" t="s">
        <v>45</v>
      </c>
      <c r="E1699" s="41" t="s">
        <v>1298</v>
      </c>
      <c r="F1699" s="41" t="s">
        <v>2229</v>
      </c>
      <c r="G1699" s="41" t="s">
        <v>5296</v>
      </c>
      <c r="H1699" s="41" t="s">
        <v>5297</v>
      </c>
      <c r="I1699" s="43">
        <v>12</v>
      </c>
      <c r="J1699" s="44" t="str">
        <f>VLOOKUP(G1699,[1]硬件清单!$F:$F,1,0)</f>
        <v>210235A3U6H195000026</v>
      </c>
      <c r="K1699" s="43"/>
      <c r="L1699" s="44"/>
      <c r="M1699" s="45" t="s">
        <v>5298</v>
      </c>
    </row>
    <row r="1700" s="26" customFormat="1" ht="30" customHeight="1" spans="1:13">
      <c r="A1700" s="41">
        <f>IF(C1700="","",SUBTOTAL(103,$C$2:C1700))</f>
        <v>1691</v>
      </c>
      <c r="B1700" s="41">
        <v>9134</v>
      </c>
      <c r="C1700" s="41">
        <v>8472</v>
      </c>
      <c r="D1700" s="41" t="s">
        <v>45</v>
      </c>
      <c r="E1700" s="41" t="s">
        <v>1298</v>
      </c>
      <c r="F1700" s="41" t="s">
        <v>2229</v>
      </c>
      <c r="G1700" s="41" t="s">
        <v>5299</v>
      </c>
      <c r="H1700" s="41" t="s">
        <v>5300</v>
      </c>
      <c r="I1700" s="43">
        <v>12</v>
      </c>
      <c r="J1700" s="44" t="str">
        <f>VLOOKUP(G1700,[1]硬件清单!$F:$F,1,0)</f>
        <v>210235A3U6H195000022</v>
      </c>
      <c r="K1700" s="43"/>
      <c r="L1700" s="44"/>
      <c r="M1700" s="45" t="s">
        <v>5301</v>
      </c>
    </row>
    <row r="1701" s="26" customFormat="1" ht="30" customHeight="1" spans="1:13">
      <c r="A1701" s="41">
        <f>IF(C1701="","",SUBTOTAL(103,$C$2:C1701))</f>
        <v>1692</v>
      </c>
      <c r="B1701" s="41">
        <v>9135</v>
      </c>
      <c r="C1701" s="41">
        <v>8473</v>
      </c>
      <c r="D1701" s="41" t="s">
        <v>45</v>
      </c>
      <c r="E1701" s="41" t="s">
        <v>1298</v>
      </c>
      <c r="F1701" s="41" t="s">
        <v>2229</v>
      </c>
      <c r="G1701" s="41" t="s">
        <v>5302</v>
      </c>
      <c r="H1701" s="41" t="s">
        <v>5303</v>
      </c>
      <c r="I1701" s="43">
        <v>12</v>
      </c>
      <c r="J1701" s="44" t="str">
        <f>VLOOKUP(G1701,[1]硬件清单!$F:$F,1,0)</f>
        <v>210235A3U6H195000025</v>
      </c>
      <c r="K1701" s="43"/>
      <c r="L1701" s="44"/>
      <c r="M1701" s="45" t="s">
        <v>5304</v>
      </c>
    </row>
    <row r="1702" s="26" customFormat="1" ht="30" customHeight="1" spans="1:13">
      <c r="A1702" s="41">
        <f>IF(C1702="","",SUBTOTAL(103,$C$2:C1702))</f>
        <v>1693</v>
      </c>
      <c r="B1702" s="41">
        <v>9136</v>
      </c>
      <c r="C1702" s="41">
        <v>8466</v>
      </c>
      <c r="D1702" s="41" t="s">
        <v>45</v>
      </c>
      <c r="E1702" s="41" t="s">
        <v>1298</v>
      </c>
      <c r="F1702" s="41" t="s">
        <v>2229</v>
      </c>
      <c r="G1702" s="41" t="s">
        <v>5305</v>
      </c>
      <c r="H1702" s="41" t="s">
        <v>5306</v>
      </c>
      <c r="I1702" s="43">
        <v>12</v>
      </c>
      <c r="J1702" s="44" t="str">
        <f>VLOOKUP(G1702,[1]硬件清单!$F:$F,1,0)</f>
        <v>210235A3U6H195000029</v>
      </c>
      <c r="K1702" s="43"/>
      <c r="L1702" s="44"/>
      <c r="M1702" s="45" t="s">
        <v>5307</v>
      </c>
    </row>
    <row r="1703" s="26" customFormat="1" ht="30" customHeight="1" spans="1:13">
      <c r="A1703" s="41">
        <f>IF(C1703="","",SUBTOTAL(103,$C$2:C1703))</f>
        <v>1694</v>
      </c>
      <c r="B1703" s="41">
        <v>9141</v>
      </c>
      <c r="C1703" s="41">
        <v>8468</v>
      </c>
      <c r="D1703" s="41" t="s">
        <v>45</v>
      </c>
      <c r="E1703" s="41" t="s">
        <v>1298</v>
      </c>
      <c r="F1703" s="41" t="s">
        <v>2229</v>
      </c>
      <c r="G1703" s="41" t="s">
        <v>5308</v>
      </c>
      <c r="H1703" s="41" t="s">
        <v>5309</v>
      </c>
      <c r="I1703" s="43">
        <v>12</v>
      </c>
      <c r="J1703" s="44" t="str">
        <f>VLOOKUP(G1703,[1]硬件清单!$F:$F,1,0)</f>
        <v>210235A3U6H195000027</v>
      </c>
      <c r="K1703" s="43"/>
      <c r="L1703" s="44"/>
      <c r="M1703" s="45" t="s">
        <v>5310</v>
      </c>
    </row>
    <row r="1704" s="26" customFormat="1" ht="30" customHeight="1" spans="1:13">
      <c r="A1704" s="41">
        <f>IF(C1704="","",SUBTOTAL(103,$C$2:C1704))</f>
        <v>1695</v>
      </c>
      <c r="B1704" s="41">
        <v>9142</v>
      </c>
      <c r="C1704" s="41">
        <v>8469</v>
      </c>
      <c r="D1704" s="41" t="s">
        <v>45</v>
      </c>
      <c r="E1704" s="41" t="s">
        <v>1298</v>
      </c>
      <c r="F1704" s="41" t="s">
        <v>2229</v>
      </c>
      <c r="G1704" s="41" t="s">
        <v>5311</v>
      </c>
      <c r="H1704" s="41" t="s">
        <v>5312</v>
      </c>
      <c r="I1704" s="43">
        <v>12</v>
      </c>
      <c r="J1704" s="44" t="str">
        <f>VLOOKUP(G1704,[1]硬件清单!$F:$F,1,0)</f>
        <v>210235A3U6H195000023</v>
      </c>
      <c r="K1704" s="43"/>
      <c r="L1704" s="44"/>
      <c r="M1704" s="45" t="s">
        <v>5313</v>
      </c>
    </row>
    <row r="1705" s="26" customFormat="1" ht="30" customHeight="1" spans="1:13">
      <c r="A1705" s="41">
        <f>IF(C1705="","",SUBTOTAL(103,$C$2:C1705))</f>
        <v>1696</v>
      </c>
      <c r="B1705" s="41">
        <v>9143</v>
      </c>
      <c r="C1705" s="41">
        <v>8478</v>
      </c>
      <c r="D1705" s="41" t="s">
        <v>45</v>
      </c>
      <c r="E1705" s="41" t="s">
        <v>1298</v>
      </c>
      <c r="F1705" s="41" t="s">
        <v>2229</v>
      </c>
      <c r="G1705" s="41" t="s">
        <v>5314</v>
      </c>
      <c r="H1705" s="41" t="s">
        <v>5315</v>
      </c>
      <c r="I1705" s="43">
        <v>12</v>
      </c>
      <c r="J1705" s="44" t="str">
        <f>VLOOKUP(G1705,[1]硬件清单!$F:$F,1,0)</f>
        <v>210235A3U6H195000021</v>
      </c>
      <c r="K1705" s="43"/>
      <c r="L1705" s="44"/>
      <c r="M1705" s="45" t="s">
        <v>5316</v>
      </c>
    </row>
    <row r="1706" s="26" customFormat="1" ht="30" customHeight="1" spans="1:13">
      <c r="A1706" s="41">
        <f>IF(C1706="","",SUBTOTAL(103,$C$2:C1706))</f>
        <v>1697</v>
      </c>
      <c r="B1706" s="41">
        <v>9144</v>
      </c>
      <c r="C1706" s="41">
        <v>8479</v>
      </c>
      <c r="D1706" s="41" t="s">
        <v>45</v>
      </c>
      <c r="E1706" s="41" t="s">
        <v>1298</v>
      </c>
      <c r="F1706" s="41" t="s">
        <v>2229</v>
      </c>
      <c r="G1706" s="41" t="s">
        <v>5317</v>
      </c>
      <c r="H1706" s="41" t="s">
        <v>5318</v>
      </c>
      <c r="I1706" s="43">
        <v>12</v>
      </c>
      <c r="J1706" s="44" t="str">
        <f>VLOOKUP(G1706,[1]硬件清单!$F:$F,1,0)</f>
        <v>210235A3U6H195000031</v>
      </c>
      <c r="K1706" s="43"/>
      <c r="L1706" s="44"/>
      <c r="M1706" s="45" t="s">
        <v>5319</v>
      </c>
    </row>
    <row r="1707" s="26" customFormat="1" ht="30" customHeight="1" spans="1:13">
      <c r="A1707" s="41">
        <f>IF(C1707="","",SUBTOTAL(103,$C$2:C1707))</f>
        <v>1698</v>
      </c>
      <c r="B1707" s="41">
        <v>9145</v>
      </c>
      <c r="C1707" s="41">
        <v>8480</v>
      </c>
      <c r="D1707" s="41" t="s">
        <v>45</v>
      </c>
      <c r="E1707" s="41" t="s">
        <v>1298</v>
      </c>
      <c r="F1707" s="41" t="s">
        <v>2229</v>
      </c>
      <c r="G1707" s="41" t="s">
        <v>5320</v>
      </c>
      <c r="H1707" s="41" t="s">
        <v>5321</v>
      </c>
      <c r="I1707" s="43">
        <v>12</v>
      </c>
      <c r="J1707" s="44" t="str">
        <f>VLOOKUP(G1707,[1]硬件清单!$F:$F,1,0)</f>
        <v>210235A3U6H195000032</v>
      </c>
      <c r="K1707" s="43"/>
      <c r="L1707" s="44"/>
      <c r="M1707" s="45" t="s">
        <v>5322</v>
      </c>
    </row>
    <row r="1708" s="26" customFormat="1" ht="30" customHeight="1" spans="1:13">
      <c r="A1708" s="41">
        <f>IF(C1708="","",SUBTOTAL(103,$C$2:C1708))</f>
        <v>1699</v>
      </c>
      <c r="B1708" s="41">
        <v>9147</v>
      </c>
      <c r="C1708" s="41">
        <v>8474</v>
      </c>
      <c r="D1708" s="41" t="s">
        <v>45</v>
      </c>
      <c r="E1708" s="41" t="s">
        <v>1298</v>
      </c>
      <c r="F1708" s="41" t="s">
        <v>2229</v>
      </c>
      <c r="G1708" s="41" t="s">
        <v>5323</v>
      </c>
      <c r="H1708" s="41" t="s">
        <v>5324</v>
      </c>
      <c r="I1708" s="43">
        <v>12</v>
      </c>
      <c r="J1708" s="44" t="str">
        <f>VLOOKUP(G1708,[1]硬件清单!$F:$F,1,0)</f>
        <v>210235A3U6H195000028</v>
      </c>
      <c r="K1708" s="43"/>
      <c r="L1708" s="44"/>
      <c r="M1708" s="45" t="s">
        <v>5325</v>
      </c>
    </row>
    <row r="1709" s="26" customFormat="1" ht="30" customHeight="1" spans="1:13">
      <c r="A1709" s="41">
        <f>IF(C1709="","",SUBTOTAL(103,$C$2:C1709))</f>
        <v>1700</v>
      </c>
      <c r="B1709" s="41">
        <v>9151</v>
      </c>
      <c r="C1709" s="41">
        <v>8475</v>
      </c>
      <c r="D1709" s="41" t="s">
        <v>45</v>
      </c>
      <c r="E1709" s="41" t="s">
        <v>1298</v>
      </c>
      <c r="F1709" s="41" t="s">
        <v>2229</v>
      </c>
      <c r="G1709" s="41" t="s">
        <v>5326</v>
      </c>
      <c r="H1709" s="41" t="s">
        <v>5327</v>
      </c>
      <c r="I1709" s="43">
        <v>12</v>
      </c>
      <c r="J1709" s="44" t="str">
        <f>VLOOKUP(G1709,[1]硬件清单!$F:$F,1,0)</f>
        <v>210235A3U6H195000030</v>
      </c>
      <c r="K1709" s="43"/>
      <c r="L1709" s="44"/>
      <c r="M1709" s="45" t="s">
        <v>5328</v>
      </c>
    </row>
    <row r="1710" s="26" customFormat="1" ht="30" customHeight="1" spans="1:13">
      <c r="A1710" s="41">
        <f>IF(C1710="","",SUBTOTAL(103,$C$2:C1710))</f>
        <v>1701</v>
      </c>
      <c r="B1710" s="41">
        <v>9152</v>
      </c>
      <c r="C1710" s="41">
        <v>8476</v>
      </c>
      <c r="D1710" s="41" t="s">
        <v>45</v>
      </c>
      <c r="E1710" s="41" t="s">
        <v>1298</v>
      </c>
      <c r="F1710" s="41" t="s">
        <v>2229</v>
      </c>
      <c r="G1710" s="41" t="s">
        <v>5329</v>
      </c>
      <c r="H1710" s="41" t="s">
        <v>5330</v>
      </c>
      <c r="I1710" s="43">
        <v>12</v>
      </c>
      <c r="J1710" s="44" t="str">
        <f>VLOOKUP(G1710,[1]硬件清单!$F:$F,1,0)</f>
        <v>210235A3U6H195000018</v>
      </c>
      <c r="K1710" s="43"/>
      <c r="L1710" s="44"/>
      <c r="M1710" s="45" t="s">
        <v>5331</v>
      </c>
    </row>
    <row r="1711" s="26" customFormat="1" ht="30" customHeight="1" spans="1:13">
      <c r="A1711" s="41">
        <f>IF(C1711="","",SUBTOTAL(103,$C$2:C1711))</f>
        <v>1702</v>
      </c>
      <c r="B1711" s="41">
        <v>9153</v>
      </c>
      <c r="C1711" s="41">
        <v>8477</v>
      </c>
      <c r="D1711" s="41" t="s">
        <v>45</v>
      </c>
      <c r="E1711" s="41" t="s">
        <v>1298</v>
      </c>
      <c r="F1711" s="41" t="s">
        <v>2229</v>
      </c>
      <c r="G1711" s="41" t="s">
        <v>5332</v>
      </c>
      <c r="H1711" s="41" t="s">
        <v>5333</v>
      </c>
      <c r="I1711" s="43">
        <v>12</v>
      </c>
      <c r="J1711" s="44" t="str">
        <f>VLOOKUP(G1711,[1]硬件清单!$F:$F,1,0)</f>
        <v>210235A3U6H195000017</v>
      </c>
      <c r="K1711" s="43"/>
      <c r="L1711" s="44"/>
      <c r="M1711" s="45" t="s">
        <v>5334</v>
      </c>
    </row>
    <row r="1712" s="26" customFormat="1" ht="30" customHeight="1" spans="1:13">
      <c r="A1712" s="41">
        <f>IF(C1712="","",SUBTOTAL(103,$C$2:C1712))</f>
        <v>1703</v>
      </c>
      <c r="B1712" s="41">
        <v>9154</v>
      </c>
      <c r="C1712" s="41">
        <v>8520</v>
      </c>
      <c r="D1712" s="41" t="s">
        <v>45</v>
      </c>
      <c r="E1712" s="41" t="s">
        <v>1298</v>
      </c>
      <c r="F1712" s="41" t="s">
        <v>2229</v>
      </c>
      <c r="G1712" s="41" t="s">
        <v>5335</v>
      </c>
      <c r="H1712" s="41" t="s">
        <v>5336</v>
      </c>
      <c r="I1712" s="43">
        <v>12</v>
      </c>
      <c r="J1712" s="44" t="str">
        <f>VLOOKUP(G1712,[1]硬件清单!$F:$F,1,0)</f>
        <v>210235A3U6H195000015</v>
      </c>
      <c r="K1712" s="43"/>
      <c r="L1712" s="44"/>
      <c r="M1712" s="45" t="s">
        <v>5337</v>
      </c>
    </row>
    <row r="1713" s="26" customFormat="1" ht="30" customHeight="1" spans="1:13">
      <c r="A1713" s="41">
        <f>IF(C1713="","",SUBTOTAL(103,$C$2:C1713))</f>
        <v>1704</v>
      </c>
      <c r="B1713" s="41">
        <v>9156</v>
      </c>
      <c r="C1713" s="41">
        <v>8522</v>
      </c>
      <c r="D1713" s="41" t="s">
        <v>45</v>
      </c>
      <c r="E1713" s="41" t="s">
        <v>1298</v>
      </c>
      <c r="F1713" s="41" t="s">
        <v>2229</v>
      </c>
      <c r="G1713" s="41" t="s">
        <v>5338</v>
      </c>
      <c r="H1713" s="41" t="s">
        <v>5339</v>
      </c>
      <c r="I1713" s="43">
        <v>12</v>
      </c>
      <c r="J1713" s="44" t="str">
        <f>VLOOKUP(G1713,[1]硬件清单!$F:$F,1,0)</f>
        <v>210235A3U6H195000011</v>
      </c>
      <c r="K1713" s="43"/>
      <c r="L1713" s="44"/>
      <c r="M1713" s="45" t="s">
        <v>5340</v>
      </c>
    </row>
    <row r="1714" s="26" customFormat="1" ht="30" customHeight="1" spans="1:13">
      <c r="A1714" s="41">
        <f>IF(C1714="","",SUBTOTAL(103,$C$2:C1714))</f>
        <v>1705</v>
      </c>
      <c r="B1714" s="41">
        <v>9157</v>
      </c>
      <c r="C1714" s="41">
        <v>8523</v>
      </c>
      <c r="D1714" s="41" t="s">
        <v>45</v>
      </c>
      <c r="E1714" s="41" t="s">
        <v>1298</v>
      </c>
      <c r="F1714" s="41" t="s">
        <v>2229</v>
      </c>
      <c r="G1714" s="41" t="s">
        <v>5341</v>
      </c>
      <c r="H1714" s="41" t="s">
        <v>5342</v>
      </c>
      <c r="I1714" s="43">
        <v>12</v>
      </c>
      <c r="J1714" s="44" t="str">
        <f>VLOOKUP(G1714,[1]硬件清单!$F:$F,1,0)</f>
        <v>210235A3U6H195000014</v>
      </c>
      <c r="K1714" s="43"/>
      <c r="L1714" s="44"/>
      <c r="M1714" s="45" t="s">
        <v>5343</v>
      </c>
    </row>
    <row r="1715" s="26" customFormat="1" ht="30" customHeight="1" spans="1:13">
      <c r="A1715" s="41">
        <f>IF(C1715="","",SUBTOTAL(103,$C$2:C1715))</f>
        <v>1706</v>
      </c>
      <c r="B1715" s="41">
        <v>9158</v>
      </c>
      <c r="C1715" s="41">
        <v>8516</v>
      </c>
      <c r="D1715" s="41" t="s">
        <v>45</v>
      </c>
      <c r="E1715" s="41" t="s">
        <v>1298</v>
      </c>
      <c r="F1715" s="41" t="s">
        <v>2229</v>
      </c>
      <c r="G1715" s="41" t="s">
        <v>5344</v>
      </c>
      <c r="H1715" s="41" t="s">
        <v>5345</v>
      </c>
      <c r="I1715" s="43">
        <v>12</v>
      </c>
      <c r="J1715" s="44" t="str">
        <f>VLOOKUP(G1715,[1]硬件清单!$F:$F,1,0)</f>
        <v>210235A3U6H195000016</v>
      </c>
      <c r="K1715" s="43"/>
      <c r="L1715" s="44"/>
      <c r="M1715" s="45" t="s">
        <v>5346</v>
      </c>
    </row>
    <row r="1716" s="26" customFormat="1" ht="30" customHeight="1" spans="1:13">
      <c r="A1716" s="41">
        <f>IF(C1716="","",SUBTOTAL(103,$C$2:C1716))</f>
        <v>1707</v>
      </c>
      <c r="B1716" s="41">
        <v>9162</v>
      </c>
      <c r="C1716" s="41">
        <v>8517</v>
      </c>
      <c r="D1716" s="41" t="s">
        <v>45</v>
      </c>
      <c r="E1716" s="41" t="s">
        <v>1298</v>
      </c>
      <c r="F1716" s="41" t="s">
        <v>2229</v>
      </c>
      <c r="G1716" s="41" t="s">
        <v>5347</v>
      </c>
      <c r="H1716" s="41" t="s">
        <v>5348</v>
      </c>
      <c r="I1716" s="43">
        <v>12</v>
      </c>
      <c r="J1716" s="44" t="str">
        <f>VLOOKUP(G1716,[1]硬件清单!$F:$F,1,0)</f>
        <v>210235A3U6H195000003</v>
      </c>
      <c r="K1716" s="43"/>
      <c r="L1716" s="44"/>
      <c r="M1716" s="45" t="s">
        <v>5349</v>
      </c>
    </row>
    <row r="1717" s="26" customFormat="1" ht="30" customHeight="1" spans="1:13">
      <c r="A1717" s="41">
        <f>IF(C1717="","",SUBTOTAL(103,$C$2:C1717))</f>
        <v>1708</v>
      </c>
      <c r="B1717" s="41">
        <v>9164</v>
      </c>
      <c r="C1717" s="41">
        <v>8519</v>
      </c>
      <c r="D1717" s="41" t="s">
        <v>45</v>
      </c>
      <c r="E1717" s="41" t="s">
        <v>1298</v>
      </c>
      <c r="F1717" s="41" t="s">
        <v>2229</v>
      </c>
      <c r="G1717" s="41" t="s">
        <v>5350</v>
      </c>
      <c r="H1717" s="41" t="s">
        <v>5351</v>
      </c>
      <c r="I1717" s="43">
        <v>12</v>
      </c>
      <c r="J1717" s="44" t="str">
        <f>VLOOKUP(G1717,[1]硬件清单!$F:$F,1,0)</f>
        <v>210235A3U6H195000001</v>
      </c>
      <c r="K1717" s="43"/>
      <c r="L1717" s="44"/>
      <c r="M1717" s="45" t="s">
        <v>5352</v>
      </c>
    </row>
    <row r="1718" s="26" customFormat="1" ht="30" customHeight="1" spans="1:13">
      <c r="A1718" s="41">
        <f>IF(C1718="","",SUBTOTAL(103,$C$2:C1718))</f>
        <v>1709</v>
      </c>
      <c r="B1718" s="41">
        <v>9165</v>
      </c>
      <c r="C1718" s="41">
        <v>8528</v>
      </c>
      <c r="D1718" s="41" t="s">
        <v>45</v>
      </c>
      <c r="E1718" s="41" t="s">
        <v>1298</v>
      </c>
      <c r="F1718" s="41" t="s">
        <v>2229</v>
      </c>
      <c r="G1718" s="41" t="s">
        <v>5353</v>
      </c>
      <c r="H1718" s="41" t="s">
        <v>5354</v>
      </c>
      <c r="I1718" s="43">
        <v>12</v>
      </c>
      <c r="J1718" s="44" t="str">
        <f>VLOOKUP(G1718,[1]硬件清单!$F:$F,1,0)</f>
        <v>210235A3U6H195000010</v>
      </c>
      <c r="K1718" s="43"/>
      <c r="L1718" s="44"/>
      <c r="M1718" s="45" t="s">
        <v>5355</v>
      </c>
    </row>
    <row r="1719" s="26" customFormat="1" ht="30" customHeight="1" spans="1:13">
      <c r="A1719" s="41">
        <f>IF(C1719="","",SUBTOTAL(103,$C$2:C1719))</f>
        <v>1710</v>
      </c>
      <c r="B1719" s="41">
        <v>9166</v>
      </c>
      <c r="C1719" s="41">
        <v>8529</v>
      </c>
      <c r="D1719" s="41" t="s">
        <v>45</v>
      </c>
      <c r="E1719" s="41" t="s">
        <v>1298</v>
      </c>
      <c r="F1719" s="41" t="s">
        <v>2229</v>
      </c>
      <c r="G1719" s="41" t="s">
        <v>5356</v>
      </c>
      <c r="H1719" s="41" t="s">
        <v>5357</v>
      </c>
      <c r="I1719" s="43">
        <v>12</v>
      </c>
      <c r="J1719" s="44" t="str">
        <f>VLOOKUP(G1719,[1]硬件清单!$F:$F,1,0)</f>
        <v>210235A3U6H195000009</v>
      </c>
      <c r="K1719" s="43"/>
      <c r="L1719" s="44"/>
      <c r="M1719" s="45" t="s">
        <v>5358</v>
      </c>
    </row>
    <row r="1720" s="26" customFormat="1" ht="30" customHeight="1" spans="1:13">
      <c r="A1720" s="41">
        <f>IF(C1720="","",SUBTOTAL(103,$C$2:C1720))</f>
        <v>1711</v>
      </c>
      <c r="B1720" s="41">
        <v>9168</v>
      </c>
      <c r="C1720" s="41">
        <v>8531</v>
      </c>
      <c r="D1720" s="41" t="s">
        <v>45</v>
      </c>
      <c r="E1720" s="41" t="s">
        <v>1298</v>
      </c>
      <c r="F1720" s="41" t="s">
        <v>2229</v>
      </c>
      <c r="G1720" s="41" t="s">
        <v>5359</v>
      </c>
      <c r="H1720" s="41" t="s">
        <v>5360</v>
      </c>
      <c r="I1720" s="43">
        <v>12</v>
      </c>
      <c r="J1720" s="44" t="str">
        <f>VLOOKUP(G1720,[1]硬件清单!$F:$F,1,0)</f>
        <v>210235A3U6H195000012</v>
      </c>
      <c r="K1720" s="43"/>
      <c r="L1720" s="44"/>
      <c r="M1720" s="45" t="s">
        <v>5361</v>
      </c>
    </row>
    <row r="1721" s="26" customFormat="1" ht="30" customHeight="1" spans="1:13">
      <c r="A1721" s="41">
        <f>IF(C1721="","",SUBTOTAL(103,$C$2:C1721))</f>
        <v>1712</v>
      </c>
      <c r="B1721" s="41">
        <v>9169</v>
      </c>
      <c r="C1721" s="41">
        <v>8524</v>
      </c>
      <c r="D1721" s="41" t="s">
        <v>45</v>
      </c>
      <c r="E1721" s="41" t="s">
        <v>1298</v>
      </c>
      <c r="F1721" s="41" t="s">
        <v>2229</v>
      </c>
      <c r="G1721" s="41" t="s">
        <v>5362</v>
      </c>
      <c r="H1721" s="41" t="s">
        <v>5363</v>
      </c>
      <c r="I1721" s="43">
        <v>12</v>
      </c>
      <c r="J1721" s="44" t="str">
        <f>VLOOKUP(G1721,[1]硬件清单!$F:$F,1,0)</f>
        <v>210235A3U6H195000004</v>
      </c>
      <c r="K1721" s="43"/>
      <c r="L1721" s="44"/>
      <c r="M1721" s="45" t="s">
        <v>5364</v>
      </c>
    </row>
    <row r="1722" s="26" customFormat="1" ht="30" customHeight="1" spans="1:13">
      <c r="A1722" s="41">
        <f>IF(C1722="","",SUBTOTAL(103,$C$2:C1722))</f>
        <v>1713</v>
      </c>
      <c r="B1722" s="41">
        <v>9173</v>
      </c>
      <c r="C1722" s="41">
        <v>8525</v>
      </c>
      <c r="D1722" s="41" t="s">
        <v>45</v>
      </c>
      <c r="E1722" s="41" t="s">
        <v>1298</v>
      </c>
      <c r="F1722" s="41" t="s">
        <v>2229</v>
      </c>
      <c r="G1722" s="41" t="s">
        <v>5365</v>
      </c>
      <c r="H1722" s="41" t="s">
        <v>5366</v>
      </c>
      <c r="I1722" s="43">
        <v>12</v>
      </c>
      <c r="J1722" s="44" t="str">
        <f>VLOOKUP(G1722,[1]硬件清单!$F:$F,1,0)</f>
        <v>210235A3U6H195000006</v>
      </c>
      <c r="K1722" s="43"/>
      <c r="L1722" s="44"/>
      <c r="M1722" s="45" t="s">
        <v>5367</v>
      </c>
    </row>
    <row r="1723" s="26" customFormat="1" ht="30" customHeight="1" spans="1:13">
      <c r="A1723" s="41">
        <f>IF(C1723="","",SUBTOTAL(103,$C$2:C1723))</f>
        <v>1714</v>
      </c>
      <c r="B1723" s="41">
        <v>9174</v>
      </c>
      <c r="C1723" s="41">
        <v>8526</v>
      </c>
      <c r="D1723" s="41" t="s">
        <v>45</v>
      </c>
      <c r="E1723" s="41" t="s">
        <v>1298</v>
      </c>
      <c r="F1723" s="41" t="s">
        <v>2229</v>
      </c>
      <c r="G1723" s="41" t="s">
        <v>5368</v>
      </c>
      <c r="H1723" s="41" t="s">
        <v>5369</v>
      </c>
      <c r="I1723" s="43">
        <v>12</v>
      </c>
      <c r="J1723" s="44" t="str">
        <f>VLOOKUP(G1723,[1]硬件清单!$F:$F,1,0)</f>
        <v>210235A3U6H195000002</v>
      </c>
      <c r="K1723" s="43"/>
      <c r="L1723" s="44"/>
      <c r="M1723" s="45" t="s">
        <v>5370</v>
      </c>
    </row>
    <row r="1724" s="26" customFormat="1" ht="30" customHeight="1" spans="1:13">
      <c r="A1724" s="41">
        <f>IF(C1724="","",SUBTOTAL(103,$C$2:C1724))</f>
        <v>1715</v>
      </c>
      <c r="B1724" s="41">
        <v>9175</v>
      </c>
      <c r="C1724" s="41">
        <v>8527</v>
      </c>
      <c r="D1724" s="41" t="s">
        <v>45</v>
      </c>
      <c r="E1724" s="41" t="s">
        <v>1298</v>
      </c>
      <c r="F1724" s="41" t="s">
        <v>2229</v>
      </c>
      <c r="G1724" s="41" t="s">
        <v>5371</v>
      </c>
      <c r="H1724" s="41" t="s">
        <v>5372</v>
      </c>
      <c r="I1724" s="43">
        <v>12</v>
      </c>
      <c r="J1724" s="44" t="str">
        <f>VLOOKUP(G1724,[1]硬件清单!$F:$F,1,0)</f>
        <v>210235A3U6H195000007</v>
      </c>
      <c r="K1724" s="43"/>
      <c r="L1724" s="44"/>
      <c r="M1724" s="45" t="s">
        <v>5373</v>
      </c>
    </row>
    <row r="1725" s="26" customFormat="1" ht="30" customHeight="1" spans="1:13">
      <c r="A1725" s="41">
        <f>IF(C1725="","",SUBTOTAL(103,$C$2:C1725))</f>
        <v>1716</v>
      </c>
      <c r="B1725" s="41">
        <v>9231</v>
      </c>
      <c r="C1725" s="41">
        <v>11784</v>
      </c>
      <c r="D1725" s="41" t="s">
        <v>45</v>
      </c>
      <c r="E1725" s="41" t="s">
        <v>1298</v>
      </c>
      <c r="F1725" s="41" t="s">
        <v>2255</v>
      </c>
      <c r="G1725" s="41" t="s">
        <v>5374</v>
      </c>
      <c r="H1725" s="41" t="s">
        <v>5375</v>
      </c>
      <c r="I1725" s="43">
        <v>12</v>
      </c>
      <c r="J1725" s="44" t="str">
        <f>VLOOKUP(G1725,[1]硬件清单!$F:$F,1,0)</f>
        <v>210235A3SUH19A000365</v>
      </c>
      <c r="K1725" s="44"/>
      <c r="L1725" s="44"/>
      <c r="M1725" s="45" t="s">
        <v>5376</v>
      </c>
    </row>
    <row r="1726" s="26" customFormat="1" ht="30" customHeight="1" spans="1:13">
      <c r="A1726" s="41">
        <f>IF(C1726="","",SUBTOTAL(103,$C$2:C1726))</f>
        <v>1717</v>
      </c>
      <c r="B1726" s="41">
        <v>9232</v>
      </c>
      <c r="C1726" s="41">
        <v>11809</v>
      </c>
      <c r="D1726" s="41" t="s">
        <v>45</v>
      </c>
      <c r="E1726" s="41" t="s">
        <v>1298</v>
      </c>
      <c r="F1726" s="41" t="s">
        <v>2255</v>
      </c>
      <c r="G1726" s="41" t="s">
        <v>5377</v>
      </c>
      <c r="H1726" s="41" t="s">
        <v>5378</v>
      </c>
      <c r="I1726" s="43">
        <v>12</v>
      </c>
      <c r="J1726" s="44" t="str">
        <f>VLOOKUP(G1726,[1]硬件清单!$F:$F,1,0)</f>
        <v>210235A3SUH19A000289</v>
      </c>
      <c r="K1726" s="44"/>
      <c r="L1726" s="44"/>
      <c r="M1726" s="45" t="s">
        <v>5379</v>
      </c>
    </row>
    <row r="1727" s="26" customFormat="1" ht="30" customHeight="1" spans="1:13">
      <c r="A1727" s="41">
        <f>IF(C1727="","",SUBTOTAL(103,$C$2:C1727))</f>
        <v>1718</v>
      </c>
      <c r="B1727" s="41">
        <v>9233</v>
      </c>
      <c r="C1727" s="41">
        <v>11810</v>
      </c>
      <c r="D1727" s="41" t="s">
        <v>45</v>
      </c>
      <c r="E1727" s="41" t="s">
        <v>1298</v>
      </c>
      <c r="F1727" s="41" t="s">
        <v>2255</v>
      </c>
      <c r="G1727" s="41" t="s">
        <v>5380</v>
      </c>
      <c r="H1727" s="41" t="s">
        <v>5381</v>
      </c>
      <c r="I1727" s="43">
        <v>12</v>
      </c>
      <c r="J1727" s="44" t="str">
        <f>VLOOKUP(G1727,[1]硬件清单!$F:$F,1,0)</f>
        <v>210235A3SUH19A000092</v>
      </c>
      <c r="K1727" s="44"/>
      <c r="L1727" s="44"/>
      <c r="M1727" s="45" t="s">
        <v>5382</v>
      </c>
    </row>
    <row r="1728" s="26" customFormat="1" ht="30" customHeight="1" spans="1:13">
      <c r="A1728" s="41">
        <f>IF(C1728="","",SUBTOTAL(103,$C$2:C1728))</f>
        <v>1719</v>
      </c>
      <c r="B1728" s="41">
        <v>9234</v>
      </c>
      <c r="C1728" s="41">
        <v>11811</v>
      </c>
      <c r="D1728" s="41" t="s">
        <v>45</v>
      </c>
      <c r="E1728" s="41" t="s">
        <v>1298</v>
      </c>
      <c r="F1728" s="41" t="s">
        <v>2255</v>
      </c>
      <c r="G1728" s="41" t="s">
        <v>5383</v>
      </c>
      <c r="H1728" s="41" t="s">
        <v>5384</v>
      </c>
      <c r="I1728" s="43">
        <v>12</v>
      </c>
      <c r="J1728" s="44" t="str">
        <f>VLOOKUP(G1728,[1]硬件清单!$F:$F,1,0)</f>
        <v>210235A3SUH19A000339</v>
      </c>
      <c r="K1728" s="44"/>
      <c r="L1728" s="44"/>
      <c r="M1728" s="45" t="s">
        <v>5385</v>
      </c>
    </row>
    <row r="1729" s="26" customFormat="1" ht="30" customHeight="1" spans="1:13">
      <c r="A1729" s="41">
        <f>IF(C1729="","",SUBTOTAL(103,$C$2:C1729))</f>
        <v>1720</v>
      </c>
      <c r="B1729" s="41">
        <v>9235</v>
      </c>
      <c r="C1729" s="41">
        <v>11812</v>
      </c>
      <c r="D1729" s="41" t="s">
        <v>45</v>
      </c>
      <c r="E1729" s="41" t="s">
        <v>1298</v>
      </c>
      <c r="F1729" s="41" t="s">
        <v>2255</v>
      </c>
      <c r="G1729" s="41" t="s">
        <v>5386</v>
      </c>
      <c r="H1729" s="41" t="s">
        <v>5387</v>
      </c>
      <c r="I1729" s="43">
        <v>12</v>
      </c>
      <c r="J1729" s="44" t="str">
        <f>VLOOKUP(G1729,[1]硬件清单!$F:$F,1,0)</f>
        <v>210235A3SUH195000050</v>
      </c>
      <c r="K1729" s="44"/>
      <c r="L1729" s="44"/>
      <c r="M1729" s="45" t="s">
        <v>5388</v>
      </c>
    </row>
    <row r="1730" s="26" customFormat="1" ht="30" customHeight="1" spans="1:13">
      <c r="A1730" s="41">
        <f>IF(C1730="","",SUBTOTAL(103,$C$2:C1730))</f>
        <v>1721</v>
      </c>
      <c r="B1730" s="41">
        <v>9236</v>
      </c>
      <c r="C1730" s="41">
        <v>11813</v>
      </c>
      <c r="D1730" s="41" t="s">
        <v>45</v>
      </c>
      <c r="E1730" s="41" t="s">
        <v>1298</v>
      </c>
      <c r="F1730" s="41" t="s">
        <v>2255</v>
      </c>
      <c r="G1730" s="41" t="s">
        <v>5389</v>
      </c>
      <c r="H1730" s="41" t="s">
        <v>5390</v>
      </c>
      <c r="I1730" s="43">
        <v>12</v>
      </c>
      <c r="J1730" s="44" t="str">
        <f>VLOOKUP(G1730,[1]硬件清单!$F:$F,1,0)</f>
        <v>210235A3SUH19A000210</v>
      </c>
      <c r="K1730" s="44"/>
      <c r="L1730" s="44"/>
      <c r="M1730" s="45" t="s">
        <v>5391</v>
      </c>
    </row>
    <row r="1731" s="26" customFormat="1" ht="30" customHeight="1" spans="1:13">
      <c r="A1731" s="41">
        <f>IF(C1731="","",SUBTOTAL(103,$C$2:C1731))</f>
        <v>1722</v>
      </c>
      <c r="B1731" s="41">
        <v>9237</v>
      </c>
      <c r="C1731" s="41">
        <v>11814</v>
      </c>
      <c r="D1731" s="41" t="s">
        <v>45</v>
      </c>
      <c r="E1731" s="41" t="s">
        <v>1298</v>
      </c>
      <c r="F1731" s="41" t="s">
        <v>2255</v>
      </c>
      <c r="G1731" s="41" t="s">
        <v>5392</v>
      </c>
      <c r="H1731" s="41" t="s">
        <v>5393</v>
      </c>
      <c r="I1731" s="43">
        <v>12</v>
      </c>
      <c r="J1731" s="44" t="str">
        <f>VLOOKUP(G1731,[1]硬件清单!$F:$F,1,0)</f>
        <v>210235A3SUH19A000381</v>
      </c>
      <c r="K1731" s="44"/>
      <c r="L1731" s="44"/>
      <c r="M1731" s="45" t="s">
        <v>5394</v>
      </c>
    </row>
    <row r="1732" s="26" customFormat="1" ht="30" customHeight="1" spans="1:13">
      <c r="A1732" s="41">
        <f>IF(C1732="","",SUBTOTAL(103,$C$2:C1732))</f>
        <v>1723</v>
      </c>
      <c r="B1732" s="41">
        <v>9238</v>
      </c>
      <c r="C1732" s="41">
        <v>11815</v>
      </c>
      <c r="D1732" s="41" t="s">
        <v>45</v>
      </c>
      <c r="E1732" s="41" t="s">
        <v>1298</v>
      </c>
      <c r="F1732" s="41" t="s">
        <v>2255</v>
      </c>
      <c r="G1732" s="41" t="s">
        <v>5395</v>
      </c>
      <c r="H1732" s="41" t="s">
        <v>5396</v>
      </c>
      <c r="I1732" s="43">
        <v>12</v>
      </c>
      <c r="J1732" s="44" t="str">
        <f>VLOOKUP(G1732,[1]硬件清单!$F:$F,1,0)</f>
        <v>210235A3SUH19A000141</v>
      </c>
      <c r="K1732" s="44"/>
      <c r="L1732" s="44"/>
      <c r="M1732" s="45" t="s">
        <v>5397</v>
      </c>
    </row>
    <row r="1733" s="26" customFormat="1" ht="30" customHeight="1" spans="1:13">
      <c r="A1733" s="41">
        <f>IF(C1733="","",SUBTOTAL(103,$C$2:C1733))</f>
        <v>1724</v>
      </c>
      <c r="B1733" s="41">
        <v>9239</v>
      </c>
      <c r="C1733" s="41">
        <v>11785</v>
      </c>
      <c r="D1733" s="41" t="s">
        <v>45</v>
      </c>
      <c r="E1733" s="41" t="s">
        <v>1298</v>
      </c>
      <c r="F1733" s="41" t="s">
        <v>2255</v>
      </c>
      <c r="G1733" s="41" t="s">
        <v>5398</v>
      </c>
      <c r="H1733" s="41" t="s">
        <v>5399</v>
      </c>
      <c r="I1733" s="43">
        <v>12</v>
      </c>
      <c r="J1733" s="44" t="str">
        <f>VLOOKUP(G1733,[1]硬件清单!$F:$F,1,0)</f>
        <v>210235A3SUH19A000098</v>
      </c>
      <c r="K1733" s="44"/>
      <c r="L1733" s="44"/>
      <c r="M1733" s="45" t="s">
        <v>5400</v>
      </c>
    </row>
    <row r="1734" s="26" customFormat="1" ht="30" customHeight="1" spans="1:13">
      <c r="A1734" s="41">
        <f>IF(C1734="","",SUBTOTAL(103,$C$2:C1734))</f>
        <v>1725</v>
      </c>
      <c r="B1734" s="41">
        <v>9240</v>
      </c>
      <c r="C1734" s="41">
        <v>11786</v>
      </c>
      <c r="D1734" s="41" t="s">
        <v>45</v>
      </c>
      <c r="E1734" s="41" t="s">
        <v>1298</v>
      </c>
      <c r="F1734" s="41" t="s">
        <v>2255</v>
      </c>
      <c r="G1734" s="41" t="s">
        <v>5401</v>
      </c>
      <c r="H1734" s="41" t="s">
        <v>5402</v>
      </c>
      <c r="I1734" s="43">
        <v>12</v>
      </c>
      <c r="J1734" s="44" t="str">
        <f>VLOOKUP(G1734,[1]硬件清单!$F:$F,1,0)</f>
        <v>210235A3SUH19A000209</v>
      </c>
      <c r="K1734" s="44"/>
      <c r="L1734" s="44"/>
      <c r="M1734" s="45" t="s">
        <v>5403</v>
      </c>
    </row>
    <row r="1735" s="26" customFormat="1" ht="30" customHeight="1" spans="1:13">
      <c r="A1735" s="41">
        <f>IF(C1735="","",SUBTOTAL(103,$C$2:C1735))</f>
        <v>1726</v>
      </c>
      <c r="B1735" s="41">
        <v>9241</v>
      </c>
      <c r="C1735" s="41">
        <v>11787</v>
      </c>
      <c r="D1735" s="41" t="s">
        <v>45</v>
      </c>
      <c r="E1735" s="41" t="s">
        <v>1298</v>
      </c>
      <c r="F1735" s="41" t="s">
        <v>2255</v>
      </c>
      <c r="G1735" s="41" t="s">
        <v>5404</v>
      </c>
      <c r="H1735" s="41" t="s">
        <v>5405</v>
      </c>
      <c r="I1735" s="43">
        <v>12</v>
      </c>
      <c r="J1735" s="44" t="str">
        <f>VLOOKUP(G1735,[1]硬件清单!$F:$F,1,0)</f>
        <v>210235A3SUH19A000354</v>
      </c>
      <c r="K1735" s="44"/>
      <c r="L1735" s="44"/>
      <c r="M1735" s="45" t="s">
        <v>5406</v>
      </c>
    </row>
    <row r="1736" s="26" customFormat="1" ht="30" customHeight="1" spans="1:13">
      <c r="A1736" s="41">
        <f>IF(C1736="","",SUBTOTAL(103,$C$2:C1736))</f>
        <v>1727</v>
      </c>
      <c r="B1736" s="41">
        <v>9242</v>
      </c>
      <c r="C1736" s="41">
        <v>11788</v>
      </c>
      <c r="D1736" s="41" t="s">
        <v>45</v>
      </c>
      <c r="E1736" s="41" t="s">
        <v>1298</v>
      </c>
      <c r="F1736" s="41" t="s">
        <v>2255</v>
      </c>
      <c r="G1736" s="41" t="s">
        <v>5407</v>
      </c>
      <c r="H1736" s="41" t="s">
        <v>5408</v>
      </c>
      <c r="I1736" s="43">
        <v>12</v>
      </c>
      <c r="J1736" s="44" t="str">
        <f>VLOOKUP(G1736,[1]硬件清单!$F:$F,1,0)</f>
        <v>210235A3SUH19A000332</v>
      </c>
      <c r="K1736" s="44"/>
      <c r="L1736" s="44"/>
      <c r="M1736" s="45" t="s">
        <v>5409</v>
      </c>
    </row>
    <row r="1737" s="26" customFormat="1" ht="30" customHeight="1" spans="1:13">
      <c r="A1737" s="41">
        <f>IF(C1737="","",SUBTOTAL(103,$C$2:C1737))</f>
        <v>1728</v>
      </c>
      <c r="B1737" s="41">
        <v>9243</v>
      </c>
      <c r="C1737" s="41">
        <v>11789</v>
      </c>
      <c r="D1737" s="41" t="s">
        <v>45</v>
      </c>
      <c r="E1737" s="41" t="s">
        <v>1298</v>
      </c>
      <c r="F1737" s="41" t="s">
        <v>2255</v>
      </c>
      <c r="G1737" s="41" t="s">
        <v>5410</v>
      </c>
      <c r="H1737" s="41" t="s">
        <v>5411</v>
      </c>
      <c r="I1737" s="43">
        <v>12</v>
      </c>
      <c r="J1737" s="44" t="str">
        <f>VLOOKUP(G1737,[1]硬件清单!$F:$F,1,0)</f>
        <v>210235A3SUH19A000145</v>
      </c>
      <c r="K1737" s="44"/>
      <c r="L1737" s="44"/>
      <c r="M1737" s="45" t="s">
        <v>5412</v>
      </c>
    </row>
    <row r="1738" s="26" customFormat="1" ht="30" customHeight="1" spans="1:13">
      <c r="A1738" s="41">
        <f>IF(C1738="","",SUBTOTAL(103,$C$2:C1738))</f>
        <v>1729</v>
      </c>
      <c r="B1738" s="41">
        <v>9244</v>
      </c>
      <c r="C1738" s="41">
        <v>11790</v>
      </c>
      <c r="D1738" s="41" t="s">
        <v>45</v>
      </c>
      <c r="E1738" s="41" t="s">
        <v>1298</v>
      </c>
      <c r="F1738" s="41" t="s">
        <v>2255</v>
      </c>
      <c r="G1738" s="41" t="s">
        <v>5413</v>
      </c>
      <c r="H1738" s="41" t="s">
        <v>5414</v>
      </c>
      <c r="I1738" s="43">
        <v>12</v>
      </c>
      <c r="J1738" s="44" t="str">
        <f>VLOOKUP(G1738,[1]硬件清单!$F:$F,1,0)</f>
        <v>210235A3SUH19A000125</v>
      </c>
      <c r="K1738" s="44"/>
      <c r="L1738" s="44"/>
      <c r="M1738" s="45" t="s">
        <v>5415</v>
      </c>
    </row>
    <row r="1739" s="26" customFormat="1" ht="30" customHeight="1" spans="1:13">
      <c r="A1739" s="41">
        <f>IF(C1739="","",SUBTOTAL(103,$C$2:C1739))</f>
        <v>1730</v>
      </c>
      <c r="B1739" s="41">
        <v>9245</v>
      </c>
      <c r="C1739" s="41">
        <v>11791</v>
      </c>
      <c r="D1739" s="41" t="s">
        <v>45</v>
      </c>
      <c r="E1739" s="41" t="s">
        <v>1298</v>
      </c>
      <c r="F1739" s="41" t="s">
        <v>2255</v>
      </c>
      <c r="G1739" s="41" t="s">
        <v>5416</v>
      </c>
      <c r="H1739" s="41" t="s">
        <v>5417</v>
      </c>
      <c r="I1739" s="43">
        <v>12</v>
      </c>
      <c r="J1739" s="44" t="str">
        <f>VLOOKUP(G1739,[1]硬件清单!$F:$F,1,0)</f>
        <v>210235A3SUH19A000151</v>
      </c>
      <c r="K1739" s="44"/>
      <c r="L1739" s="44"/>
      <c r="M1739" s="45" t="s">
        <v>5418</v>
      </c>
    </row>
    <row r="1740" s="26" customFormat="1" ht="30" customHeight="1" spans="1:13">
      <c r="A1740" s="41">
        <f>IF(C1740="","",SUBTOTAL(103,$C$2:C1740))</f>
        <v>1731</v>
      </c>
      <c r="B1740" s="41">
        <v>9246</v>
      </c>
      <c r="C1740" s="41">
        <v>11808</v>
      </c>
      <c r="D1740" s="41" t="s">
        <v>45</v>
      </c>
      <c r="E1740" s="41" t="s">
        <v>1298</v>
      </c>
      <c r="F1740" s="41" t="s">
        <v>2255</v>
      </c>
      <c r="G1740" s="41" t="s">
        <v>5419</v>
      </c>
      <c r="H1740" s="41" t="s">
        <v>5420</v>
      </c>
      <c r="I1740" s="43">
        <v>12</v>
      </c>
      <c r="J1740" s="44" t="str">
        <f>VLOOKUP(G1740,[1]硬件清单!$F:$F,1,0)</f>
        <v>210235A3SUH19A000199</v>
      </c>
      <c r="K1740" s="44"/>
      <c r="L1740" s="44"/>
      <c r="M1740" s="45" t="s">
        <v>5421</v>
      </c>
    </row>
    <row r="1741" s="26" customFormat="1" ht="30" customHeight="1" spans="1:13">
      <c r="A1741" s="41">
        <f>IF(C1741="","",SUBTOTAL(103,$C$2:C1741))</f>
        <v>1732</v>
      </c>
      <c r="B1741" s="41">
        <v>9247</v>
      </c>
      <c r="C1741" s="41">
        <v>11825</v>
      </c>
      <c r="D1741" s="41" t="s">
        <v>45</v>
      </c>
      <c r="E1741" s="41" t="s">
        <v>1298</v>
      </c>
      <c r="F1741" s="41" t="s">
        <v>2255</v>
      </c>
      <c r="G1741" s="41" t="s">
        <v>5422</v>
      </c>
      <c r="H1741" s="41" t="s">
        <v>5423</v>
      </c>
      <c r="I1741" s="43">
        <v>12</v>
      </c>
      <c r="J1741" s="44" t="str">
        <f>VLOOKUP(G1741,[1]硬件清单!$F:$F,1,0)</f>
        <v>210235A3SUH19A000293</v>
      </c>
      <c r="K1741" s="44"/>
      <c r="L1741" s="44"/>
      <c r="M1741" s="45" t="s">
        <v>5424</v>
      </c>
    </row>
    <row r="1742" s="26" customFormat="1" ht="30" customHeight="1" spans="1:13">
      <c r="A1742" s="41">
        <f>IF(C1742="","",SUBTOTAL(103,$C$2:C1742))</f>
        <v>1733</v>
      </c>
      <c r="B1742" s="41">
        <v>9248</v>
      </c>
      <c r="C1742" s="41">
        <v>11834</v>
      </c>
      <c r="D1742" s="41" t="s">
        <v>45</v>
      </c>
      <c r="E1742" s="41" t="s">
        <v>1298</v>
      </c>
      <c r="F1742" s="41" t="s">
        <v>2255</v>
      </c>
      <c r="G1742" s="41" t="s">
        <v>5425</v>
      </c>
      <c r="H1742" s="41" t="s">
        <v>5426</v>
      </c>
      <c r="I1742" s="43">
        <v>12</v>
      </c>
      <c r="J1742" s="44" t="str">
        <f>VLOOKUP(G1742,[1]硬件清单!$F:$F,1,0)</f>
        <v>210235A3SUH19A000330</v>
      </c>
      <c r="K1742" s="44"/>
      <c r="L1742" s="44"/>
      <c r="M1742" s="45" t="s">
        <v>5427</v>
      </c>
    </row>
    <row r="1743" s="26" customFormat="1" ht="30" customHeight="1" spans="1:13">
      <c r="A1743" s="41">
        <f>IF(C1743="","",SUBTOTAL(103,$C$2:C1743))</f>
        <v>1734</v>
      </c>
      <c r="B1743" s="41">
        <v>9249</v>
      </c>
      <c r="C1743" s="41">
        <v>11835</v>
      </c>
      <c r="D1743" s="41" t="s">
        <v>45</v>
      </c>
      <c r="E1743" s="41" t="s">
        <v>1298</v>
      </c>
      <c r="F1743" s="41" t="s">
        <v>2255</v>
      </c>
      <c r="G1743" s="41" t="s">
        <v>5428</v>
      </c>
      <c r="H1743" s="41" t="s">
        <v>5429</v>
      </c>
      <c r="I1743" s="43">
        <v>12</v>
      </c>
      <c r="J1743" s="44" t="str">
        <f>VLOOKUP(G1743,[1]硬件清单!$F:$F,1,0)</f>
        <v>210235A3SUH19A000184</v>
      </c>
      <c r="K1743" s="44"/>
      <c r="L1743" s="44"/>
      <c r="M1743" s="45" t="s">
        <v>5430</v>
      </c>
    </row>
    <row r="1744" s="26" customFormat="1" ht="30" customHeight="1" spans="1:13">
      <c r="A1744" s="41">
        <f>IF(C1744="","",SUBTOTAL(103,$C$2:C1744))</f>
        <v>1735</v>
      </c>
      <c r="B1744" s="41">
        <v>9250</v>
      </c>
      <c r="C1744" s="41">
        <v>11836</v>
      </c>
      <c r="D1744" s="41" t="s">
        <v>45</v>
      </c>
      <c r="E1744" s="41" t="s">
        <v>1298</v>
      </c>
      <c r="F1744" s="41" t="s">
        <v>2255</v>
      </c>
      <c r="G1744" s="41" t="s">
        <v>5431</v>
      </c>
      <c r="H1744" s="41" t="s">
        <v>5432</v>
      </c>
      <c r="I1744" s="43">
        <v>12</v>
      </c>
      <c r="J1744" s="44" t="str">
        <f>VLOOKUP(G1744,[1]硬件清单!$F:$F,1,0)</f>
        <v>210235A3SUH19A000122</v>
      </c>
      <c r="K1744" s="44"/>
      <c r="L1744" s="44"/>
      <c r="M1744" s="45" t="s">
        <v>5433</v>
      </c>
    </row>
    <row r="1745" s="26" customFormat="1" ht="30" customHeight="1" spans="1:13">
      <c r="A1745" s="41">
        <f>IF(C1745="","",SUBTOTAL(103,$C$2:C1745))</f>
        <v>1736</v>
      </c>
      <c r="B1745" s="41">
        <v>9251</v>
      </c>
      <c r="C1745" s="41">
        <v>11837</v>
      </c>
      <c r="D1745" s="41" t="s">
        <v>45</v>
      </c>
      <c r="E1745" s="41" t="s">
        <v>1298</v>
      </c>
      <c r="F1745" s="41" t="s">
        <v>2255</v>
      </c>
      <c r="G1745" s="41" t="s">
        <v>5434</v>
      </c>
      <c r="H1745" s="41" t="s">
        <v>5435</v>
      </c>
      <c r="I1745" s="43">
        <v>12</v>
      </c>
      <c r="J1745" s="44" t="str">
        <f>VLOOKUP(G1745,[1]硬件清单!$F:$F,1,0)</f>
        <v>210235A3SUH19A000111</v>
      </c>
      <c r="K1745" s="44"/>
      <c r="L1745" s="44"/>
      <c r="M1745" s="45" t="s">
        <v>5436</v>
      </c>
    </row>
    <row r="1746" s="26" customFormat="1" ht="30" customHeight="1" spans="1:13">
      <c r="A1746" s="41">
        <f>IF(C1746="","",SUBTOTAL(103,$C$2:C1746))</f>
        <v>1737</v>
      </c>
      <c r="B1746" s="41">
        <v>9252</v>
      </c>
      <c r="C1746" s="41">
        <v>11838</v>
      </c>
      <c r="D1746" s="41" t="s">
        <v>45</v>
      </c>
      <c r="E1746" s="41" t="s">
        <v>1298</v>
      </c>
      <c r="F1746" s="41" t="s">
        <v>2255</v>
      </c>
      <c r="G1746" s="41" t="s">
        <v>5437</v>
      </c>
      <c r="H1746" s="41" t="s">
        <v>5438</v>
      </c>
      <c r="I1746" s="43">
        <v>12</v>
      </c>
      <c r="J1746" s="44" t="str">
        <f>VLOOKUP(G1746,[1]硬件清单!$F:$F,1,0)</f>
        <v>210235A3SUH19A000180</v>
      </c>
      <c r="K1746" s="44"/>
      <c r="L1746" s="44"/>
      <c r="M1746" s="45" t="s">
        <v>5439</v>
      </c>
    </row>
    <row r="1747" s="26" customFormat="1" ht="30" customHeight="1" spans="1:13">
      <c r="A1747" s="41">
        <f>IF(C1747="","",SUBTOTAL(103,$C$2:C1747))</f>
        <v>1738</v>
      </c>
      <c r="B1747" s="41">
        <v>9253</v>
      </c>
      <c r="C1747" s="41">
        <v>11966</v>
      </c>
      <c r="D1747" s="41" t="s">
        <v>45</v>
      </c>
      <c r="E1747" s="41" t="s">
        <v>1298</v>
      </c>
      <c r="F1747" s="41" t="s">
        <v>2255</v>
      </c>
      <c r="G1747" s="41" t="s">
        <v>5440</v>
      </c>
      <c r="H1747" s="41" t="s">
        <v>5441</v>
      </c>
      <c r="I1747" s="43">
        <v>12</v>
      </c>
      <c r="J1747" s="44" t="str">
        <f>VLOOKUP(G1747,[1]硬件清单!$F:$F,1,0)</f>
        <v>210235A3SUH19B000136</v>
      </c>
      <c r="K1747" s="44"/>
      <c r="L1747" s="44"/>
      <c r="M1747" s="45" t="s">
        <v>5442</v>
      </c>
    </row>
    <row r="1748" s="26" customFormat="1" ht="30" customHeight="1" spans="1:13">
      <c r="A1748" s="41">
        <f>IF(C1748="","",SUBTOTAL(103,$C$2:C1748))</f>
        <v>1739</v>
      </c>
      <c r="B1748" s="41">
        <v>9254</v>
      </c>
      <c r="C1748" s="41">
        <v>11967</v>
      </c>
      <c r="D1748" s="41" t="s">
        <v>45</v>
      </c>
      <c r="E1748" s="41" t="s">
        <v>1298</v>
      </c>
      <c r="F1748" s="41" t="s">
        <v>2255</v>
      </c>
      <c r="G1748" s="41" t="s">
        <v>5443</v>
      </c>
      <c r="H1748" s="41" t="s">
        <v>5444</v>
      </c>
      <c r="I1748" s="43">
        <v>12</v>
      </c>
      <c r="J1748" s="44" t="str">
        <f>VLOOKUP(G1748,[1]硬件清单!$F:$F,1,0)</f>
        <v>210235A3SUH19B000113</v>
      </c>
      <c r="K1748" s="44"/>
      <c r="L1748" s="44"/>
      <c r="M1748" s="45" t="s">
        <v>5445</v>
      </c>
    </row>
    <row r="1749" s="26" customFormat="1" ht="30" customHeight="1" spans="1:13">
      <c r="A1749" s="41">
        <f>IF(C1749="","",SUBTOTAL(103,$C$2:C1749))</f>
        <v>1740</v>
      </c>
      <c r="B1749" s="41">
        <v>9255</v>
      </c>
      <c r="C1749" s="41">
        <v>11826</v>
      </c>
      <c r="D1749" s="41" t="s">
        <v>45</v>
      </c>
      <c r="E1749" s="41" t="s">
        <v>1298</v>
      </c>
      <c r="F1749" s="41" t="s">
        <v>2255</v>
      </c>
      <c r="G1749" s="41" t="s">
        <v>5446</v>
      </c>
      <c r="H1749" s="41" t="s">
        <v>5447</v>
      </c>
      <c r="I1749" s="43">
        <v>12</v>
      </c>
      <c r="J1749" s="44" t="str">
        <f>VLOOKUP(G1749,[1]硬件清单!$F:$F,1,0)</f>
        <v>210235A3SUH19A000107</v>
      </c>
      <c r="K1749" s="44"/>
      <c r="L1749" s="44"/>
      <c r="M1749" s="45" t="s">
        <v>5448</v>
      </c>
    </row>
    <row r="1750" s="26" customFormat="1" ht="30" customHeight="1" spans="1:13">
      <c r="A1750" s="41">
        <f>IF(C1750="","",SUBTOTAL(103,$C$2:C1750))</f>
        <v>1741</v>
      </c>
      <c r="B1750" s="41">
        <v>9256</v>
      </c>
      <c r="C1750" s="41">
        <v>11827</v>
      </c>
      <c r="D1750" s="41" t="s">
        <v>45</v>
      </c>
      <c r="E1750" s="41" t="s">
        <v>1298</v>
      </c>
      <c r="F1750" s="41" t="s">
        <v>2255</v>
      </c>
      <c r="G1750" s="41" t="s">
        <v>5449</v>
      </c>
      <c r="H1750" s="41" t="s">
        <v>5450</v>
      </c>
      <c r="I1750" s="43">
        <v>12</v>
      </c>
      <c r="J1750" s="44" t="str">
        <f>VLOOKUP(G1750,[1]硬件清单!$F:$F,1,0)</f>
        <v>210235A3SUH19A000103</v>
      </c>
      <c r="K1750" s="44"/>
      <c r="L1750" s="44"/>
      <c r="M1750" s="45" t="s">
        <v>5451</v>
      </c>
    </row>
    <row r="1751" s="26" customFormat="1" ht="30" customHeight="1" spans="1:13">
      <c r="A1751" s="41">
        <f>IF(C1751="","",SUBTOTAL(103,$C$2:C1751))</f>
        <v>1742</v>
      </c>
      <c r="B1751" s="41">
        <v>9257</v>
      </c>
      <c r="C1751" s="41">
        <v>11828</v>
      </c>
      <c r="D1751" s="41" t="s">
        <v>45</v>
      </c>
      <c r="E1751" s="41" t="s">
        <v>1298</v>
      </c>
      <c r="F1751" s="41" t="s">
        <v>2255</v>
      </c>
      <c r="G1751" s="41" t="s">
        <v>5452</v>
      </c>
      <c r="H1751" s="41" t="s">
        <v>5453</v>
      </c>
      <c r="I1751" s="43">
        <v>12</v>
      </c>
      <c r="J1751" s="44" t="str">
        <f>VLOOKUP(G1751,[1]硬件清单!$F:$F,1,0)</f>
        <v>210235A3SUH19A000336</v>
      </c>
      <c r="K1751" s="44"/>
      <c r="L1751" s="44"/>
      <c r="M1751" s="45" t="s">
        <v>5454</v>
      </c>
    </row>
    <row r="1752" s="26" customFormat="1" ht="30" customHeight="1" spans="1:13">
      <c r="A1752" s="41">
        <f>IF(C1752="","",SUBTOTAL(103,$C$2:C1752))</f>
        <v>1743</v>
      </c>
      <c r="B1752" s="41">
        <v>9258</v>
      </c>
      <c r="C1752" s="41">
        <v>11829</v>
      </c>
      <c r="D1752" s="41" t="s">
        <v>45</v>
      </c>
      <c r="E1752" s="41" t="s">
        <v>1298</v>
      </c>
      <c r="F1752" s="41" t="s">
        <v>2255</v>
      </c>
      <c r="G1752" s="41" t="s">
        <v>5455</v>
      </c>
      <c r="H1752" s="41" t="s">
        <v>5456</v>
      </c>
      <c r="I1752" s="43">
        <v>12</v>
      </c>
      <c r="J1752" s="44" t="str">
        <f>VLOOKUP(G1752,[1]硬件清单!$F:$F,1,0)</f>
        <v>210235A3SUH19A000382</v>
      </c>
      <c r="K1752" s="44"/>
      <c r="L1752" s="44"/>
      <c r="M1752" s="45" t="s">
        <v>5457</v>
      </c>
    </row>
    <row r="1753" s="26" customFormat="1" ht="30" customHeight="1" spans="1:13">
      <c r="A1753" s="41">
        <f>IF(C1753="","",SUBTOTAL(103,$C$2:C1753))</f>
        <v>1744</v>
      </c>
      <c r="B1753" s="41">
        <v>9259</v>
      </c>
      <c r="C1753" s="41">
        <v>11830</v>
      </c>
      <c r="D1753" s="41" t="s">
        <v>45</v>
      </c>
      <c r="E1753" s="41" t="s">
        <v>1298</v>
      </c>
      <c r="F1753" s="41" t="s">
        <v>2255</v>
      </c>
      <c r="G1753" s="41" t="s">
        <v>5458</v>
      </c>
      <c r="H1753" s="41" t="s">
        <v>5459</v>
      </c>
      <c r="I1753" s="43">
        <v>12</v>
      </c>
      <c r="J1753" s="44" t="str">
        <f>VLOOKUP(G1753,[1]硬件清单!$F:$F,1,0)</f>
        <v>210235A3SUH19A000341</v>
      </c>
      <c r="K1753" s="44"/>
      <c r="L1753" s="44"/>
      <c r="M1753" s="45" t="s">
        <v>5460</v>
      </c>
    </row>
    <row r="1754" s="26" customFormat="1" ht="30" customHeight="1" spans="1:13">
      <c r="A1754" s="41">
        <f>IF(C1754="","",SUBTOTAL(103,$C$2:C1754))</f>
        <v>1745</v>
      </c>
      <c r="B1754" s="41">
        <v>9260</v>
      </c>
      <c r="C1754" s="41">
        <v>11831</v>
      </c>
      <c r="D1754" s="41" t="s">
        <v>45</v>
      </c>
      <c r="E1754" s="41" t="s">
        <v>1298</v>
      </c>
      <c r="F1754" s="41" t="s">
        <v>2255</v>
      </c>
      <c r="G1754" s="41" t="s">
        <v>5461</v>
      </c>
      <c r="H1754" s="41" t="s">
        <v>5462</v>
      </c>
      <c r="I1754" s="43">
        <v>12</v>
      </c>
      <c r="J1754" s="44" t="str">
        <f>VLOOKUP(G1754,[1]硬件清单!$F:$F,1,0)</f>
        <v>210235A3SUH19A000312</v>
      </c>
      <c r="K1754" s="44"/>
      <c r="L1754" s="44"/>
      <c r="M1754" s="45" t="s">
        <v>5463</v>
      </c>
    </row>
    <row r="1755" s="26" customFormat="1" ht="30" customHeight="1" spans="1:13">
      <c r="A1755" s="41">
        <f>IF(C1755="","",SUBTOTAL(103,$C$2:C1755))</f>
        <v>1746</v>
      </c>
      <c r="B1755" s="41">
        <v>9261</v>
      </c>
      <c r="C1755" s="41">
        <v>11832</v>
      </c>
      <c r="D1755" s="41" t="s">
        <v>45</v>
      </c>
      <c r="E1755" s="41" t="s">
        <v>1298</v>
      </c>
      <c r="F1755" s="41" t="s">
        <v>2255</v>
      </c>
      <c r="G1755" s="41" t="s">
        <v>5464</v>
      </c>
      <c r="H1755" s="41" t="s">
        <v>5465</v>
      </c>
      <c r="I1755" s="43">
        <v>12</v>
      </c>
      <c r="J1755" s="44" t="str">
        <f>VLOOKUP(G1755,[1]硬件清单!$F:$F,1,0)</f>
        <v>210235A3SUH19A000314</v>
      </c>
      <c r="K1755" s="44"/>
      <c r="L1755" s="44"/>
      <c r="M1755" s="45" t="s">
        <v>5466</v>
      </c>
    </row>
    <row r="1756" s="26" customFormat="1" ht="30" customHeight="1" spans="1:13">
      <c r="A1756" s="41">
        <f>IF(C1756="","",SUBTOTAL(103,$C$2:C1756))</f>
        <v>1747</v>
      </c>
      <c r="B1756" s="41">
        <v>9262</v>
      </c>
      <c r="C1756" s="41">
        <v>11833</v>
      </c>
      <c r="D1756" s="41" t="s">
        <v>45</v>
      </c>
      <c r="E1756" s="41" t="s">
        <v>1298</v>
      </c>
      <c r="F1756" s="41" t="s">
        <v>2255</v>
      </c>
      <c r="G1756" s="41" t="s">
        <v>5467</v>
      </c>
      <c r="H1756" s="41" t="s">
        <v>5468</v>
      </c>
      <c r="I1756" s="43">
        <v>12</v>
      </c>
      <c r="J1756" s="44" t="str">
        <f>VLOOKUP(G1756,[1]硬件清单!$F:$F,1,0)</f>
        <v>210235A3SUH19A000297</v>
      </c>
      <c r="K1756" s="44"/>
      <c r="L1756" s="44"/>
      <c r="M1756" s="45" t="s">
        <v>5469</v>
      </c>
    </row>
    <row r="1757" s="26" customFormat="1" ht="30" customHeight="1" spans="1:13">
      <c r="A1757" s="41">
        <f>IF(C1757="","",SUBTOTAL(103,$C$2:C1757))</f>
        <v>1748</v>
      </c>
      <c r="B1757" s="41">
        <v>9264</v>
      </c>
      <c r="C1757" s="41">
        <v>12718</v>
      </c>
      <c r="D1757" s="41" t="s">
        <v>45</v>
      </c>
      <c r="E1757" s="41" t="s">
        <v>1298</v>
      </c>
      <c r="F1757" s="41" t="s">
        <v>2255</v>
      </c>
      <c r="G1757" s="41" t="s">
        <v>5470</v>
      </c>
      <c r="H1757" s="41" t="s">
        <v>5471</v>
      </c>
      <c r="I1757" s="43">
        <v>12</v>
      </c>
      <c r="J1757" s="44" t="str">
        <f>VLOOKUP(G1757,[1]硬件清单!$F:$F,1,0)</f>
        <v>210235A3SUH19A000083</v>
      </c>
      <c r="K1757" s="44"/>
      <c r="L1757" s="44"/>
      <c r="M1757" s="45" t="s">
        <v>5472</v>
      </c>
    </row>
    <row r="1758" s="26" customFormat="1" ht="30" customHeight="1" spans="1:13">
      <c r="A1758" s="41">
        <f>IF(C1758="","",SUBTOTAL(103,$C$2:C1758))</f>
        <v>1749</v>
      </c>
      <c r="B1758" s="41">
        <v>9265</v>
      </c>
      <c r="C1758" s="41">
        <v>12719</v>
      </c>
      <c r="D1758" s="41" t="s">
        <v>45</v>
      </c>
      <c r="E1758" s="41" t="s">
        <v>1298</v>
      </c>
      <c r="F1758" s="41" t="s">
        <v>2255</v>
      </c>
      <c r="G1758" s="41" t="s">
        <v>5473</v>
      </c>
      <c r="H1758" s="41" t="s">
        <v>5474</v>
      </c>
      <c r="I1758" s="43">
        <v>12</v>
      </c>
      <c r="J1758" s="44" t="str">
        <f>VLOOKUP(G1758,[1]硬件清单!$F:$F,1,0)</f>
        <v>210235A3SUH199000066</v>
      </c>
      <c r="K1758" s="44"/>
      <c r="L1758" s="44"/>
      <c r="M1758" s="45" t="s">
        <v>5475</v>
      </c>
    </row>
    <row r="1759" s="26" customFormat="1" ht="30" customHeight="1" spans="1:13">
      <c r="A1759" s="41">
        <f>IF(C1759="","",SUBTOTAL(103,$C$2:C1759))</f>
        <v>1750</v>
      </c>
      <c r="B1759" s="41">
        <v>9266</v>
      </c>
      <c r="C1759" s="41">
        <v>11846</v>
      </c>
      <c r="D1759" s="41" t="s">
        <v>45</v>
      </c>
      <c r="E1759" s="41" t="s">
        <v>1298</v>
      </c>
      <c r="F1759" s="41" t="s">
        <v>2255</v>
      </c>
      <c r="G1759" s="41" t="s">
        <v>5476</v>
      </c>
      <c r="H1759" s="41" t="s">
        <v>5477</v>
      </c>
      <c r="I1759" s="43">
        <v>12</v>
      </c>
      <c r="J1759" s="44" t="str">
        <f>VLOOKUP(G1759,[1]硬件清单!$F:$F,1,0)</f>
        <v>210235A3SUH19A000311</v>
      </c>
      <c r="K1759" s="44"/>
      <c r="L1759" s="44"/>
      <c r="M1759" s="45" t="s">
        <v>5478</v>
      </c>
    </row>
    <row r="1760" s="26" customFormat="1" ht="30" customHeight="1" spans="1:13">
      <c r="A1760" s="41">
        <f>IF(C1760="","",SUBTOTAL(103,$C$2:C1760))</f>
        <v>1751</v>
      </c>
      <c r="B1760" s="41">
        <v>9267</v>
      </c>
      <c r="C1760" s="41">
        <v>11855</v>
      </c>
      <c r="D1760" s="41" t="s">
        <v>45</v>
      </c>
      <c r="E1760" s="41" t="s">
        <v>1298</v>
      </c>
      <c r="F1760" s="41" t="s">
        <v>2255</v>
      </c>
      <c r="G1760" s="41" t="s">
        <v>5479</v>
      </c>
      <c r="H1760" s="41" t="s">
        <v>5480</v>
      </c>
      <c r="I1760" s="43">
        <v>12</v>
      </c>
      <c r="J1760" s="44" t="str">
        <f>VLOOKUP(G1760,[1]硬件清单!$F:$F,1,0)</f>
        <v>210235A3SUH19A000114</v>
      </c>
      <c r="K1760" s="44"/>
      <c r="L1760" s="44"/>
      <c r="M1760" s="45" t="s">
        <v>5481</v>
      </c>
    </row>
    <row r="1761" s="26" customFormat="1" ht="30" customHeight="1" spans="1:13">
      <c r="A1761" s="41">
        <f>IF(C1761="","",SUBTOTAL(103,$C$2:C1761))</f>
        <v>1752</v>
      </c>
      <c r="B1761" s="41">
        <v>9268</v>
      </c>
      <c r="C1761" s="41">
        <v>11856</v>
      </c>
      <c r="D1761" s="41" t="s">
        <v>45</v>
      </c>
      <c r="E1761" s="41" t="s">
        <v>1298</v>
      </c>
      <c r="F1761" s="41" t="s">
        <v>2255</v>
      </c>
      <c r="G1761" s="41" t="s">
        <v>5482</v>
      </c>
      <c r="H1761" s="41" t="s">
        <v>5483</v>
      </c>
      <c r="I1761" s="43">
        <v>12</v>
      </c>
      <c r="J1761" s="44" t="str">
        <f>VLOOKUP(G1761,[1]硬件清单!$F:$F,1,0)</f>
        <v>210235A3SUH19A000225</v>
      </c>
      <c r="K1761" s="44"/>
      <c r="L1761" s="44"/>
      <c r="M1761" s="45" t="s">
        <v>5484</v>
      </c>
    </row>
    <row r="1762" s="26" customFormat="1" ht="30" customHeight="1" spans="1:13">
      <c r="A1762" s="41">
        <f>IF(C1762="","",SUBTOTAL(103,$C$2:C1762))</f>
        <v>1753</v>
      </c>
      <c r="B1762" s="41">
        <v>9269</v>
      </c>
      <c r="C1762" s="41">
        <v>11857</v>
      </c>
      <c r="D1762" s="41" t="s">
        <v>45</v>
      </c>
      <c r="E1762" s="41" t="s">
        <v>1298</v>
      </c>
      <c r="F1762" s="41" t="s">
        <v>2255</v>
      </c>
      <c r="G1762" s="41" t="s">
        <v>5485</v>
      </c>
      <c r="H1762" s="41" t="s">
        <v>5486</v>
      </c>
      <c r="I1762" s="43">
        <v>12</v>
      </c>
      <c r="J1762" s="44" t="str">
        <f>VLOOKUP(G1762,[1]硬件清单!$F:$F,1,0)</f>
        <v>210235A3SUH19A000093</v>
      </c>
      <c r="K1762" s="44"/>
      <c r="L1762" s="44"/>
      <c r="M1762" s="45" t="s">
        <v>5487</v>
      </c>
    </row>
    <row r="1763" s="26" customFormat="1" ht="30" customHeight="1" spans="1:13">
      <c r="A1763" s="41">
        <f>IF(C1763="","",SUBTOTAL(103,$C$2:C1763))</f>
        <v>1754</v>
      </c>
      <c r="B1763" s="41">
        <v>9270</v>
      </c>
      <c r="C1763" s="41">
        <v>11858</v>
      </c>
      <c r="D1763" s="41" t="s">
        <v>45</v>
      </c>
      <c r="E1763" s="41" t="s">
        <v>1298</v>
      </c>
      <c r="F1763" s="41" t="s">
        <v>2255</v>
      </c>
      <c r="G1763" s="41" t="s">
        <v>5488</v>
      </c>
      <c r="H1763" s="41" t="s">
        <v>5489</v>
      </c>
      <c r="I1763" s="43">
        <v>12</v>
      </c>
      <c r="J1763" s="44" t="str">
        <f>VLOOKUP(G1763,[1]硬件清单!$F:$F,1,0)</f>
        <v>210235A3SUH19A000358</v>
      </c>
      <c r="K1763" s="44"/>
      <c r="L1763" s="44"/>
      <c r="M1763" s="45" t="s">
        <v>5490</v>
      </c>
    </row>
    <row r="1764" s="26" customFormat="1" ht="30" customHeight="1" spans="1:13">
      <c r="A1764" s="41">
        <f>IF(C1764="","",SUBTOTAL(103,$C$2:C1764))</f>
        <v>1755</v>
      </c>
      <c r="B1764" s="41">
        <v>9271</v>
      </c>
      <c r="C1764" s="41">
        <v>11859</v>
      </c>
      <c r="D1764" s="41" t="s">
        <v>45</v>
      </c>
      <c r="E1764" s="41" t="s">
        <v>1298</v>
      </c>
      <c r="F1764" s="41" t="s">
        <v>2255</v>
      </c>
      <c r="G1764" s="41" t="s">
        <v>5491</v>
      </c>
      <c r="H1764" s="41" t="s">
        <v>5492</v>
      </c>
      <c r="I1764" s="43">
        <v>12</v>
      </c>
      <c r="J1764" s="44" t="str">
        <f>VLOOKUP(G1764,[1]硬件清单!$F:$F,1,0)</f>
        <v>210235A3SUH19B000020</v>
      </c>
      <c r="K1764" s="44"/>
      <c r="L1764" s="44"/>
      <c r="M1764" s="45" t="s">
        <v>5493</v>
      </c>
    </row>
    <row r="1765" s="26" customFormat="1" ht="30" customHeight="1" spans="1:13">
      <c r="A1765" s="41">
        <f>IF(C1765="","",SUBTOTAL(103,$C$2:C1765))</f>
        <v>1756</v>
      </c>
      <c r="B1765" s="41">
        <v>9272</v>
      </c>
      <c r="C1765" s="41">
        <v>11847</v>
      </c>
      <c r="D1765" s="41" t="s">
        <v>45</v>
      </c>
      <c r="E1765" s="41" t="s">
        <v>1298</v>
      </c>
      <c r="F1765" s="41" t="s">
        <v>2255</v>
      </c>
      <c r="G1765" s="41" t="s">
        <v>5494</v>
      </c>
      <c r="H1765" s="41" t="s">
        <v>5495</v>
      </c>
      <c r="I1765" s="43">
        <v>12</v>
      </c>
      <c r="J1765" s="44" t="str">
        <f>VLOOKUP(G1765,[1]硬件清单!$F:$F,1,0)</f>
        <v>210235A3SUH19A000302</v>
      </c>
      <c r="K1765" s="44"/>
      <c r="L1765" s="44"/>
      <c r="M1765" s="45" t="s">
        <v>5496</v>
      </c>
    </row>
    <row r="1766" s="26" customFormat="1" ht="30" customHeight="1" spans="1:13">
      <c r="A1766" s="41">
        <f>IF(C1766="","",SUBTOTAL(103,$C$2:C1766))</f>
        <v>1757</v>
      </c>
      <c r="B1766" s="41">
        <v>9273</v>
      </c>
      <c r="C1766" s="41">
        <v>11848</v>
      </c>
      <c r="D1766" s="41" t="s">
        <v>45</v>
      </c>
      <c r="E1766" s="41" t="s">
        <v>1298</v>
      </c>
      <c r="F1766" s="41" t="s">
        <v>2255</v>
      </c>
      <c r="G1766" s="41" t="s">
        <v>5497</v>
      </c>
      <c r="H1766" s="41" t="s">
        <v>5498</v>
      </c>
      <c r="I1766" s="43">
        <v>12</v>
      </c>
      <c r="J1766" s="44" t="str">
        <f>VLOOKUP(G1766,[1]硬件清单!$F:$F,1,0)</f>
        <v>210235A3SUH19B000010</v>
      </c>
      <c r="K1766" s="44"/>
      <c r="L1766" s="44"/>
      <c r="M1766" s="45" t="s">
        <v>5499</v>
      </c>
    </row>
    <row r="1767" s="26" customFormat="1" ht="30" customHeight="1" spans="1:13">
      <c r="A1767" s="41">
        <f>IF(C1767="","",SUBTOTAL(103,$C$2:C1767))</f>
        <v>1758</v>
      </c>
      <c r="B1767" s="41">
        <v>9274</v>
      </c>
      <c r="C1767" s="41">
        <v>11849</v>
      </c>
      <c r="D1767" s="41" t="s">
        <v>45</v>
      </c>
      <c r="E1767" s="41" t="s">
        <v>1298</v>
      </c>
      <c r="F1767" s="41" t="s">
        <v>2255</v>
      </c>
      <c r="G1767" s="41" t="s">
        <v>5500</v>
      </c>
      <c r="H1767" s="41" t="s">
        <v>5501</v>
      </c>
      <c r="I1767" s="43">
        <v>12</v>
      </c>
      <c r="J1767" s="44" t="str">
        <f>VLOOKUP(G1767,[1]硬件清单!$F:$F,1,0)</f>
        <v>210235A3SUH19A000355</v>
      </c>
      <c r="K1767" s="44"/>
      <c r="L1767" s="44"/>
      <c r="M1767" s="45" t="s">
        <v>5502</v>
      </c>
    </row>
    <row r="1768" s="26" customFormat="1" ht="30" customHeight="1" spans="1:13">
      <c r="A1768" s="41">
        <f>IF(C1768="","",SUBTOTAL(103,$C$2:C1768))</f>
        <v>1759</v>
      </c>
      <c r="B1768" s="41">
        <v>9275</v>
      </c>
      <c r="C1768" s="41">
        <v>11850</v>
      </c>
      <c r="D1768" s="41" t="s">
        <v>45</v>
      </c>
      <c r="E1768" s="41" t="s">
        <v>1298</v>
      </c>
      <c r="F1768" s="41" t="s">
        <v>2255</v>
      </c>
      <c r="G1768" s="41" t="s">
        <v>5503</v>
      </c>
      <c r="H1768" s="41" t="s">
        <v>5504</v>
      </c>
      <c r="I1768" s="43">
        <v>12</v>
      </c>
      <c r="J1768" s="44" t="str">
        <f>VLOOKUP(G1768,[1]硬件清单!$F:$F,1,0)</f>
        <v>210235A3SUH199000053</v>
      </c>
      <c r="K1768" s="44"/>
      <c r="L1768" s="44"/>
      <c r="M1768" s="45" t="s">
        <v>5505</v>
      </c>
    </row>
    <row r="1769" s="26" customFormat="1" ht="30" customHeight="1" spans="1:13">
      <c r="A1769" s="41">
        <f>IF(C1769="","",SUBTOTAL(103,$C$2:C1769))</f>
        <v>1760</v>
      </c>
      <c r="B1769" s="41">
        <v>9276</v>
      </c>
      <c r="C1769" s="41">
        <v>11851</v>
      </c>
      <c r="D1769" s="41" t="s">
        <v>45</v>
      </c>
      <c r="E1769" s="41" t="s">
        <v>1298</v>
      </c>
      <c r="F1769" s="41" t="s">
        <v>2255</v>
      </c>
      <c r="G1769" s="41" t="s">
        <v>5506</v>
      </c>
      <c r="H1769" s="41" t="s">
        <v>5507</v>
      </c>
      <c r="I1769" s="43">
        <v>12</v>
      </c>
      <c r="J1769" s="44" t="str">
        <f>VLOOKUP(G1769,[1]硬件清单!$F:$F,1,0)</f>
        <v>210235A3SUH19A000170</v>
      </c>
      <c r="K1769" s="44"/>
      <c r="L1769" s="44"/>
      <c r="M1769" s="45" t="s">
        <v>5508</v>
      </c>
    </row>
    <row r="1770" s="26" customFormat="1" ht="30" customHeight="1" spans="1:13">
      <c r="A1770" s="41">
        <f>IF(C1770="","",SUBTOTAL(103,$C$2:C1770))</f>
        <v>1761</v>
      </c>
      <c r="B1770" s="41">
        <v>9277</v>
      </c>
      <c r="C1770" s="41">
        <v>11852</v>
      </c>
      <c r="D1770" s="41" t="s">
        <v>45</v>
      </c>
      <c r="E1770" s="41" t="s">
        <v>1298</v>
      </c>
      <c r="F1770" s="41" t="s">
        <v>2255</v>
      </c>
      <c r="G1770" s="41" t="s">
        <v>5509</v>
      </c>
      <c r="H1770" s="41" t="s">
        <v>5510</v>
      </c>
      <c r="I1770" s="43">
        <v>12</v>
      </c>
      <c r="J1770" s="44" t="str">
        <f>VLOOKUP(G1770,[1]硬件清单!$F:$F,1,0)</f>
        <v>210235A3SUH19A000095</v>
      </c>
      <c r="K1770" s="44"/>
      <c r="L1770" s="44"/>
      <c r="M1770" s="45" t="s">
        <v>5511</v>
      </c>
    </row>
    <row r="1771" s="26" customFormat="1" ht="30" customHeight="1" spans="1:13">
      <c r="A1771" s="41">
        <f>IF(C1771="","",SUBTOTAL(103,$C$2:C1771))</f>
        <v>1762</v>
      </c>
      <c r="B1771" s="41">
        <v>9278</v>
      </c>
      <c r="C1771" s="41">
        <v>11853</v>
      </c>
      <c r="D1771" s="41" t="s">
        <v>45</v>
      </c>
      <c r="E1771" s="41" t="s">
        <v>1298</v>
      </c>
      <c r="F1771" s="41" t="s">
        <v>2255</v>
      </c>
      <c r="G1771" s="41" t="s">
        <v>5512</v>
      </c>
      <c r="H1771" s="41" t="s">
        <v>5513</v>
      </c>
      <c r="I1771" s="43">
        <v>12</v>
      </c>
      <c r="J1771" s="44" t="str">
        <f>VLOOKUP(G1771,[1]硬件清单!$F:$F,1,0)</f>
        <v>210235A3SUH19A000198</v>
      </c>
      <c r="K1771" s="44"/>
      <c r="L1771" s="44"/>
      <c r="M1771" s="45" t="s">
        <v>5514</v>
      </c>
    </row>
    <row r="1772" s="26" customFormat="1" ht="30" customHeight="1" spans="1:13">
      <c r="A1772" s="41">
        <f>IF(C1772="","",SUBTOTAL(103,$C$2:C1772))</f>
        <v>1763</v>
      </c>
      <c r="B1772" s="41">
        <v>9279</v>
      </c>
      <c r="C1772" s="41">
        <v>11854</v>
      </c>
      <c r="D1772" s="41" t="s">
        <v>45</v>
      </c>
      <c r="E1772" s="41" t="s">
        <v>1298</v>
      </c>
      <c r="F1772" s="41" t="s">
        <v>2255</v>
      </c>
      <c r="G1772" s="41" t="s">
        <v>5515</v>
      </c>
      <c r="H1772" s="41" t="s">
        <v>5516</v>
      </c>
      <c r="I1772" s="43">
        <v>12</v>
      </c>
      <c r="J1772" s="44" t="str">
        <f>VLOOKUP(G1772,[1]硬件清单!$F:$F,1,0)</f>
        <v>210235A3SUH19A000135</v>
      </c>
      <c r="K1772" s="44"/>
      <c r="L1772" s="44"/>
      <c r="M1772" s="45" t="s">
        <v>5517</v>
      </c>
    </row>
    <row r="1773" s="26" customFormat="1" ht="30" customHeight="1" spans="1:13">
      <c r="A1773" s="41">
        <f>IF(C1773="","",SUBTOTAL(103,$C$2:C1773))</f>
        <v>1764</v>
      </c>
      <c r="B1773" s="41">
        <v>9282</v>
      </c>
      <c r="C1773" s="41">
        <v>11899</v>
      </c>
      <c r="D1773" s="41" t="s">
        <v>45</v>
      </c>
      <c r="E1773" s="41" t="s">
        <v>1298</v>
      </c>
      <c r="F1773" s="41" t="s">
        <v>2255</v>
      </c>
      <c r="G1773" s="41" t="s">
        <v>5518</v>
      </c>
      <c r="H1773" s="41" t="s">
        <v>5519</v>
      </c>
      <c r="I1773" s="43">
        <v>12</v>
      </c>
      <c r="J1773" s="44" t="str">
        <f>VLOOKUP(G1773,[1]硬件清单!$F:$F,1,0)</f>
        <v>210235A3SUH19A000080</v>
      </c>
      <c r="K1773" s="44"/>
      <c r="L1773" s="44"/>
      <c r="M1773" s="45" t="s">
        <v>5520</v>
      </c>
    </row>
    <row r="1774" s="26" customFormat="1" ht="30" customHeight="1" spans="1:13">
      <c r="A1774" s="41">
        <f>IF(C1774="","",SUBTOTAL(103,$C$2:C1774))</f>
        <v>1765</v>
      </c>
      <c r="B1774" s="41">
        <v>9283</v>
      </c>
      <c r="C1774" s="41">
        <v>11988</v>
      </c>
      <c r="D1774" s="41" t="s">
        <v>45</v>
      </c>
      <c r="E1774" s="41" t="s">
        <v>1298</v>
      </c>
      <c r="F1774" s="41" t="s">
        <v>2255</v>
      </c>
      <c r="G1774" s="41" t="s">
        <v>5521</v>
      </c>
      <c r="H1774" s="41" t="s">
        <v>5522</v>
      </c>
      <c r="I1774" s="43">
        <v>12</v>
      </c>
      <c r="J1774" s="44" t="str">
        <f>VLOOKUP(G1774,[1]硬件清单!$F:$F,1,0)</f>
        <v>210235A3SUH19A000316</v>
      </c>
      <c r="K1774" s="44"/>
      <c r="L1774" s="44"/>
      <c r="M1774" s="45" t="s">
        <v>5523</v>
      </c>
    </row>
    <row r="1775" s="26" customFormat="1" ht="30" customHeight="1" spans="1:13">
      <c r="A1775" s="41">
        <f>IF(C1775="","",SUBTOTAL(103,$C$2:C1775))</f>
        <v>1766</v>
      </c>
      <c r="B1775" s="41">
        <v>9284</v>
      </c>
      <c r="C1775" s="41">
        <v>11989</v>
      </c>
      <c r="D1775" s="41" t="s">
        <v>45</v>
      </c>
      <c r="E1775" s="41" t="s">
        <v>1298</v>
      </c>
      <c r="F1775" s="41" t="s">
        <v>2255</v>
      </c>
      <c r="G1775" s="41" t="s">
        <v>5524</v>
      </c>
      <c r="H1775" s="41" t="s">
        <v>5525</v>
      </c>
      <c r="I1775" s="43">
        <v>12</v>
      </c>
      <c r="J1775" s="44" t="str">
        <f>VLOOKUP(G1775,[1]硬件清单!$F:$F,1,0)</f>
        <v>210235A3SUH19A000359</v>
      </c>
      <c r="K1775" s="44"/>
      <c r="L1775" s="44"/>
      <c r="M1775" s="45" t="s">
        <v>5526</v>
      </c>
    </row>
    <row r="1776" s="26" customFormat="1" ht="30" customHeight="1" spans="1:13">
      <c r="A1776" s="41">
        <f>IF(C1776="","",SUBTOTAL(103,$C$2:C1776))</f>
        <v>1767</v>
      </c>
      <c r="B1776" s="41">
        <v>9285</v>
      </c>
      <c r="C1776" s="41">
        <v>11990</v>
      </c>
      <c r="D1776" s="41" t="s">
        <v>45</v>
      </c>
      <c r="E1776" s="41" t="s">
        <v>1298</v>
      </c>
      <c r="F1776" s="41" t="s">
        <v>2255</v>
      </c>
      <c r="G1776" s="41" t="s">
        <v>5527</v>
      </c>
      <c r="H1776" s="41" t="s">
        <v>5528</v>
      </c>
      <c r="I1776" s="43">
        <v>12</v>
      </c>
      <c r="J1776" s="44" t="str">
        <f>VLOOKUP(G1776,[1]硬件清单!$F:$F,1,0)</f>
        <v>210235A3SUH19A000366</v>
      </c>
      <c r="K1776" s="44"/>
      <c r="L1776" s="44"/>
      <c r="M1776" s="45" t="s">
        <v>5529</v>
      </c>
    </row>
    <row r="1777" s="26" customFormat="1" ht="30" customHeight="1" spans="1:13">
      <c r="A1777" s="41">
        <f>IF(C1777="","",SUBTOTAL(103,$C$2:C1777))</f>
        <v>1768</v>
      </c>
      <c r="B1777" s="41">
        <v>9286</v>
      </c>
      <c r="C1777" s="41">
        <v>11991</v>
      </c>
      <c r="D1777" s="41" t="s">
        <v>45</v>
      </c>
      <c r="E1777" s="41" t="s">
        <v>1298</v>
      </c>
      <c r="F1777" s="41" t="s">
        <v>2255</v>
      </c>
      <c r="G1777" s="41" t="s">
        <v>5530</v>
      </c>
      <c r="H1777" s="41" t="s">
        <v>5531</v>
      </c>
      <c r="I1777" s="43">
        <v>12</v>
      </c>
      <c r="J1777" s="44" t="str">
        <f>VLOOKUP(G1777,[1]硬件清单!$F:$F,1,0)</f>
        <v>210235A3SUH19A000356</v>
      </c>
      <c r="K1777" s="44"/>
      <c r="L1777" s="44"/>
      <c r="M1777" s="45" t="s">
        <v>5532</v>
      </c>
    </row>
    <row r="1778" s="26" customFormat="1" ht="30" customHeight="1" spans="1:13">
      <c r="A1778" s="41">
        <f>IF(C1778="","",SUBTOTAL(103,$C$2:C1778))</f>
        <v>1769</v>
      </c>
      <c r="B1778" s="41">
        <v>9287</v>
      </c>
      <c r="C1778" s="41">
        <v>11992</v>
      </c>
      <c r="D1778" s="41" t="s">
        <v>45</v>
      </c>
      <c r="E1778" s="41" t="s">
        <v>1298</v>
      </c>
      <c r="F1778" s="41" t="s">
        <v>2255</v>
      </c>
      <c r="G1778" s="41" t="s">
        <v>5533</v>
      </c>
      <c r="H1778" s="41" t="s">
        <v>5534</v>
      </c>
      <c r="I1778" s="43">
        <v>12</v>
      </c>
      <c r="J1778" s="44" t="str">
        <f>VLOOKUP(G1778,[1]硬件清单!$F:$F,1,0)</f>
        <v>210235A3SUH19A000132</v>
      </c>
      <c r="K1778" s="44"/>
      <c r="L1778" s="44"/>
      <c r="M1778" s="45" t="s">
        <v>5535</v>
      </c>
    </row>
    <row r="1779" s="26" customFormat="1" ht="30" customHeight="1" spans="1:13">
      <c r="A1779" s="41">
        <f>IF(C1779="","",SUBTOTAL(103,$C$2:C1779))</f>
        <v>1770</v>
      </c>
      <c r="B1779" s="41">
        <v>9288</v>
      </c>
      <c r="C1779" s="41">
        <v>11993</v>
      </c>
      <c r="D1779" s="41" t="s">
        <v>45</v>
      </c>
      <c r="E1779" s="41" t="s">
        <v>1298</v>
      </c>
      <c r="F1779" s="41" t="s">
        <v>2255</v>
      </c>
      <c r="G1779" s="41" t="s">
        <v>5536</v>
      </c>
      <c r="H1779" s="41" t="s">
        <v>5537</v>
      </c>
      <c r="I1779" s="43">
        <v>12</v>
      </c>
      <c r="J1779" s="44" t="str">
        <f>VLOOKUP(G1779,[1]硬件清单!$F:$F,1,0)</f>
        <v>210235A3SUH19A000383</v>
      </c>
      <c r="K1779" s="44"/>
      <c r="L1779" s="44"/>
      <c r="M1779" s="45" t="s">
        <v>5538</v>
      </c>
    </row>
    <row r="1780" s="26" customFormat="1" ht="30" customHeight="1" spans="1:13">
      <c r="A1780" s="41">
        <f>IF(C1780="","",SUBTOTAL(103,$C$2:C1780))</f>
        <v>1771</v>
      </c>
      <c r="B1780" s="41">
        <v>9289</v>
      </c>
      <c r="C1780" s="41">
        <v>11994</v>
      </c>
      <c r="D1780" s="41" t="s">
        <v>45</v>
      </c>
      <c r="E1780" s="41" t="s">
        <v>1298</v>
      </c>
      <c r="F1780" s="41" t="s">
        <v>2255</v>
      </c>
      <c r="G1780" s="41" t="s">
        <v>5539</v>
      </c>
      <c r="H1780" s="41" t="s">
        <v>5540</v>
      </c>
      <c r="I1780" s="43">
        <v>12</v>
      </c>
      <c r="J1780" s="44" t="str">
        <f>VLOOKUP(G1780,[1]硬件清单!$F:$F,1,0)</f>
        <v>210235A3SUH19B000068</v>
      </c>
      <c r="K1780" s="44"/>
      <c r="L1780" s="44"/>
      <c r="M1780" s="45" t="s">
        <v>5541</v>
      </c>
    </row>
    <row r="1781" s="26" customFormat="1" ht="30" customHeight="1" spans="1:13">
      <c r="A1781" s="41">
        <f>IF(C1781="","",SUBTOTAL(103,$C$2:C1781))</f>
        <v>1772</v>
      </c>
      <c r="B1781" s="41">
        <v>9290</v>
      </c>
      <c r="C1781" s="41">
        <v>11900</v>
      </c>
      <c r="D1781" s="41" t="s">
        <v>45</v>
      </c>
      <c r="E1781" s="41" t="s">
        <v>1298</v>
      </c>
      <c r="F1781" s="41" t="s">
        <v>2255</v>
      </c>
      <c r="G1781" s="41" t="s">
        <v>5542</v>
      </c>
      <c r="H1781" s="41" t="s">
        <v>5543</v>
      </c>
      <c r="I1781" s="43">
        <v>12</v>
      </c>
      <c r="J1781" s="44" t="str">
        <f>VLOOKUP(G1781,[1]硬件清单!$F:$F,1,0)</f>
        <v>210235A3SUH19A000102</v>
      </c>
      <c r="K1781" s="44"/>
      <c r="L1781" s="44"/>
      <c r="M1781" s="45" t="s">
        <v>5544</v>
      </c>
    </row>
    <row r="1782" s="26" customFormat="1" ht="30" customHeight="1" spans="1:13">
      <c r="A1782" s="41">
        <f>IF(C1782="","",SUBTOTAL(103,$C$2:C1782))</f>
        <v>1773</v>
      </c>
      <c r="B1782" s="41">
        <v>9291</v>
      </c>
      <c r="C1782" s="41">
        <v>11901</v>
      </c>
      <c r="D1782" s="41" t="s">
        <v>45</v>
      </c>
      <c r="E1782" s="41" t="s">
        <v>1298</v>
      </c>
      <c r="F1782" s="41" t="s">
        <v>2255</v>
      </c>
      <c r="G1782" s="41" t="s">
        <v>5545</v>
      </c>
      <c r="H1782" s="41" t="s">
        <v>5546</v>
      </c>
      <c r="I1782" s="43">
        <v>12</v>
      </c>
      <c r="J1782" s="44" t="str">
        <f>VLOOKUP(G1782,[1]硬件清单!$F:$F,1,0)</f>
        <v>210235A3SUH19A000149</v>
      </c>
      <c r="K1782" s="44"/>
      <c r="L1782" s="44"/>
      <c r="M1782" s="45" t="s">
        <v>5547</v>
      </c>
    </row>
    <row r="1783" s="26" customFormat="1" ht="30" customHeight="1" spans="1:13">
      <c r="A1783" s="41">
        <f>IF(C1783="","",SUBTOTAL(103,$C$2:C1783))</f>
        <v>1774</v>
      </c>
      <c r="B1783" s="41">
        <v>9292</v>
      </c>
      <c r="C1783" s="41">
        <v>11902</v>
      </c>
      <c r="D1783" s="41" t="s">
        <v>45</v>
      </c>
      <c r="E1783" s="41" t="s">
        <v>1298</v>
      </c>
      <c r="F1783" s="41" t="s">
        <v>2255</v>
      </c>
      <c r="G1783" s="41" t="s">
        <v>5548</v>
      </c>
      <c r="H1783" s="41" t="s">
        <v>5549</v>
      </c>
      <c r="I1783" s="43">
        <v>12</v>
      </c>
      <c r="J1783" s="44" t="str">
        <f>VLOOKUP(G1783,[1]硬件清单!$F:$F,1,0)</f>
        <v>210235A3SUH19A000363</v>
      </c>
      <c r="K1783" s="44"/>
      <c r="L1783" s="44"/>
      <c r="M1783" s="45" t="s">
        <v>5550</v>
      </c>
    </row>
    <row r="1784" s="26" customFormat="1" ht="30" customHeight="1" spans="1:13">
      <c r="A1784" s="41">
        <f>IF(C1784="","",SUBTOTAL(103,$C$2:C1784))</f>
        <v>1775</v>
      </c>
      <c r="B1784" s="41">
        <v>9293</v>
      </c>
      <c r="C1784" s="41">
        <v>11903</v>
      </c>
      <c r="D1784" s="41" t="s">
        <v>45</v>
      </c>
      <c r="E1784" s="41" t="s">
        <v>1298</v>
      </c>
      <c r="F1784" s="41" t="s">
        <v>2255</v>
      </c>
      <c r="G1784" s="41" t="s">
        <v>5551</v>
      </c>
      <c r="H1784" s="41" t="s">
        <v>5552</v>
      </c>
      <c r="I1784" s="43">
        <v>12</v>
      </c>
      <c r="J1784" s="44" t="str">
        <f>VLOOKUP(G1784,[1]硬件清单!$F:$F,1,0)</f>
        <v>210235A3SUH19A000319</v>
      </c>
      <c r="K1784" s="44"/>
      <c r="L1784" s="44"/>
      <c r="M1784" s="45" t="s">
        <v>5553</v>
      </c>
    </row>
    <row r="1785" s="26" customFormat="1" ht="30" customHeight="1" spans="1:13">
      <c r="A1785" s="41">
        <f>IF(C1785="","",SUBTOTAL(103,$C$2:C1785))</f>
        <v>1776</v>
      </c>
      <c r="B1785" s="41">
        <v>9294</v>
      </c>
      <c r="C1785" s="41">
        <v>11904</v>
      </c>
      <c r="D1785" s="41" t="s">
        <v>45</v>
      </c>
      <c r="E1785" s="41" t="s">
        <v>1298</v>
      </c>
      <c r="F1785" s="41" t="s">
        <v>2255</v>
      </c>
      <c r="G1785" s="41" t="s">
        <v>5554</v>
      </c>
      <c r="H1785" s="41" t="s">
        <v>5555</v>
      </c>
      <c r="I1785" s="43">
        <v>12</v>
      </c>
      <c r="J1785" s="44" t="str">
        <f>VLOOKUP(G1785,[1]硬件清单!$F:$F,1,0)</f>
        <v>210235A3SUH19A000191</v>
      </c>
      <c r="K1785" s="44"/>
      <c r="L1785" s="44"/>
      <c r="M1785" s="45" t="s">
        <v>5556</v>
      </c>
    </row>
    <row r="1786" s="26" customFormat="1" ht="30" customHeight="1" spans="1:13">
      <c r="A1786" s="41">
        <f>IF(C1786="","",SUBTOTAL(103,$C$2:C1786))</f>
        <v>1777</v>
      </c>
      <c r="B1786" s="41">
        <v>9295</v>
      </c>
      <c r="C1786" s="41">
        <v>11905</v>
      </c>
      <c r="D1786" s="41" t="s">
        <v>45</v>
      </c>
      <c r="E1786" s="41" t="s">
        <v>1298</v>
      </c>
      <c r="F1786" s="41" t="s">
        <v>2255</v>
      </c>
      <c r="G1786" s="41" t="s">
        <v>5557</v>
      </c>
      <c r="H1786" s="41" t="s">
        <v>5558</v>
      </c>
      <c r="I1786" s="43">
        <v>12</v>
      </c>
      <c r="J1786" s="44" t="str">
        <f>VLOOKUP(G1786,[1]硬件清单!$F:$F,1,0)</f>
        <v>210235A3SUH19A000117</v>
      </c>
      <c r="K1786" s="44"/>
      <c r="L1786" s="44"/>
      <c r="M1786" s="45" t="s">
        <v>5559</v>
      </c>
    </row>
    <row r="1787" s="26" customFormat="1" ht="30" customHeight="1" spans="1:13">
      <c r="A1787" s="41">
        <f>IF(C1787="","",SUBTOTAL(103,$C$2:C1787))</f>
        <v>1778</v>
      </c>
      <c r="B1787" s="41">
        <v>9296</v>
      </c>
      <c r="C1787" s="41">
        <v>11906</v>
      </c>
      <c r="D1787" s="41" t="s">
        <v>45</v>
      </c>
      <c r="E1787" s="41" t="s">
        <v>1298</v>
      </c>
      <c r="F1787" s="41" t="s">
        <v>2255</v>
      </c>
      <c r="G1787" s="41" t="s">
        <v>5560</v>
      </c>
      <c r="H1787" s="41" t="s">
        <v>5561</v>
      </c>
      <c r="I1787" s="43">
        <v>12</v>
      </c>
      <c r="J1787" s="44" t="str">
        <f>VLOOKUP(G1787,[1]硬件清单!$F:$F,1,0)</f>
        <v>210235A3SUH19A000175</v>
      </c>
      <c r="K1787" s="44"/>
      <c r="L1787" s="44"/>
      <c r="M1787" s="45" t="s">
        <v>5562</v>
      </c>
    </row>
    <row r="1788" s="26" customFormat="1" ht="30" customHeight="1" spans="1:13">
      <c r="A1788" s="41">
        <f>IF(C1788="","",SUBTOTAL(103,$C$2:C1788))</f>
        <v>1779</v>
      </c>
      <c r="B1788" s="41">
        <v>9297</v>
      </c>
      <c r="C1788" s="41">
        <v>11987</v>
      </c>
      <c r="D1788" s="41" t="s">
        <v>45</v>
      </c>
      <c r="E1788" s="41" t="s">
        <v>1298</v>
      </c>
      <c r="F1788" s="41" t="s">
        <v>2255</v>
      </c>
      <c r="G1788" s="41" t="s">
        <v>5563</v>
      </c>
      <c r="H1788" s="41" t="s">
        <v>5564</v>
      </c>
      <c r="I1788" s="43">
        <v>12</v>
      </c>
      <c r="J1788" s="44" t="str">
        <f>VLOOKUP(G1788,[1]硬件清单!$F:$F,1,0)</f>
        <v>210235A3SUH19A000096</v>
      </c>
      <c r="K1788" s="44"/>
      <c r="L1788" s="44"/>
      <c r="M1788" s="45" t="s">
        <v>5565</v>
      </c>
    </row>
    <row r="1789" s="26" customFormat="1" ht="30" customHeight="1" spans="1:13">
      <c r="A1789" s="41">
        <f>IF(C1789="","",SUBTOTAL(103,$C$2:C1789))</f>
        <v>1780</v>
      </c>
      <c r="B1789" s="41">
        <v>9298</v>
      </c>
      <c r="C1789" s="41">
        <v>11886</v>
      </c>
      <c r="D1789" s="41" t="s">
        <v>45</v>
      </c>
      <c r="E1789" s="41" t="s">
        <v>1298</v>
      </c>
      <c r="F1789" s="41" t="s">
        <v>2255</v>
      </c>
      <c r="G1789" s="41" t="s">
        <v>5566</v>
      </c>
      <c r="H1789" s="41" t="s">
        <v>5567</v>
      </c>
      <c r="I1789" s="43">
        <v>12</v>
      </c>
      <c r="J1789" s="44" t="str">
        <f>VLOOKUP(G1789,[1]硬件清单!$F:$F,1,0)</f>
        <v>210235A3SUH19B000103</v>
      </c>
      <c r="K1789" s="44"/>
      <c r="L1789" s="44"/>
      <c r="M1789" s="45" t="s">
        <v>5568</v>
      </c>
    </row>
    <row r="1790" s="26" customFormat="1" ht="30" customHeight="1" spans="1:13">
      <c r="A1790" s="41">
        <f>IF(C1790="","",SUBTOTAL(103,$C$2:C1790))</f>
        <v>1781</v>
      </c>
      <c r="B1790" s="41">
        <v>9299</v>
      </c>
      <c r="C1790" s="41">
        <v>11887</v>
      </c>
      <c r="D1790" s="41" t="s">
        <v>45</v>
      </c>
      <c r="E1790" s="41" t="s">
        <v>1298</v>
      </c>
      <c r="F1790" s="41" t="s">
        <v>2255</v>
      </c>
      <c r="G1790" s="41" t="s">
        <v>5569</v>
      </c>
      <c r="H1790" s="41" t="s">
        <v>5570</v>
      </c>
      <c r="I1790" s="43">
        <v>12</v>
      </c>
      <c r="J1790" s="44" t="str">
        <f>VLOOKUP(G1790,[1]硬件清单!$F:$F,1,0)</f>
        <v>210235A3SUH19B000125</v>
      </c>
      <c r="K1790" s="44"/>
      <c r="L1790" s="44"/>
      <c r="M1790" s="45" t="s">
        <v>5571</v>
      </c>
    </row>
    <row r="1791" s="26" customFormat="1" ht="30" customHeight="1" spans="1:13">
      <c r="A1791" s="41">
        <f>IF(C1791="","",SUBTOTAL(103,$C$2:C1791))</f>
        <v>1782</v>
      </c>
      <c r="B1791" s="41">
        <v>9300</v>
      </c>
      <c r="C1791" s="41">
        <v>11888</v>
      </c>
      <c r="D1791" s="41" t="s">
        <v>45</v>
      </c>
      <c r="E1791" s="41" t="s">
        <v>1298</v>
      </c>
      <c r="F1791" s="41" t="s">
        <v>2255</v>
      </c>
      <c r="G1791" s="41" t="s">
        <v>5572</v>
      </c>
      <c r="H1791" s="41" t="s">
        <v>5573</v>
      </c>
      <c r="I1791" s="43">
        <v>12</v>
      </c>
      <c r="J1791" s="44" t="str">
        <f>VLOOKUP(G1791,[1]硬件清单!$F:$F,1,0)</f>
        <v>210235A3SUH19B000101</v>
      </c>
      <c r="K1791" s="44"/>
      <c r="L1791" s="44"/>
      <c r="M1791" s="45" t="s">
        <v>5574</v>
      </c>
    </row>
    <row r="1792" s="26" customFormat="1" ht="30" customHeight="1" spans="1:13">
      <c r="A1792" s="41">
        <f>IF(C1792="","",SUBTOTAL(103,$C$2:C1792))</f>
        <v>1783</v>
      </c>
      <c r="B1792" s="41">
        <v>9301</v>
      </c>
      <c r="C1792" s="41">
        <v>11889</v>
      </c>
      <c r="D1792" s="41" t="s">
        <v>45</v>
      </c>
      <c r="E1792" s="41" t="s">
        <v>1298</v>
      </c>
      <c r="F1792" s="41" t="s">
        <v>2255</v>
      </c>
      <c r="G1792" s="41" t="s">
        <v>5575</v>
      </c>
      <c r="H1792" s="41" t="s">
        <v>5576</v>
      </c>
      <c r="I1792" s="43">
        <v>12</v>
      </c>
      <c r="J1792" s="44" t="str">
        <f>VLOOKUP(G1792,[1]硬件清单!$F:$F,1,0)</f>
        <v>210235A3SUH19B000163</v>
      </c>
      <c r="K1792" s="44"/>
      <c r="L1792" s="44"/>
      <c r="M1792" s="45" t="s">
        <v>5577</v>
      </c>
    </row>
    <row r="1793" s="26" customFormat="1" ht="30" customHeight="1" spans="1:13">
      <c r="A1793" s="41">
        <f>IF(C1793="","",SUBTOTAL(103,$C$2:C1793))</f>
        <v>1784</v>
      </c>
      <c r="B1793" s="41">
        <v>9302</v>
      </c>
      <c r="C1793" s="41">
        <v>11890</v>
      </c>
      <c r="D1793" s="41" t="s">
        <v>45</v>
      </c>
      <c r="E1793" s="41" t="s">
        <v>1298</v>
      </c>
      <c r="F1793" s="41" t="s">
        <v>2255</v>
      </c>
      <c r="G1793" s="41" t="s">
        <v>5578</v>
      </c>
      <c r="H1793" s="41" t="s">
        <v>5579</v>
      </c>
      <c r="I1793" s="43">
        <v>12</v>
      </c>
      <c r="J1793" s="44" t="str">
        <f>VLOOKUP(G1793,[1]硬件清单!$F:$F,1,0)</f>
        <v>210235A3SUH19B000123</v>
      </c>
      <c r="K1793" s="44"/>
      <c r="L1793" s="44"/>
      <c r="M1793" s="45" t="s">
        <v>5580</v>
      </c>
    </row>
    <row r="1794" s="26" customFormat="1" ht="30" customHeight="1" spans="1:13">
      <c r="A1794" s="41">
        <f>IF(C1794="","",SUBTOTAL(103,$C$2:C1794))</f>
        <v>1785</v>
      </c>
      <c r="B1794" s="41">
        <v>9303</v>
      </c>
      <c r="C1794" s="41">
        <v>11891</v>
      </c>
      <c r="D1794" s="41" t="s">
        <v>45</v>
      </c>
      <c r="E1794" s="41" t="s">
        <v>1298</v>
      </c>
      <c r="F1794" s="41" t="s">
        <v>2255</v>
      </c>
      <c r="G1794" s="41" t="s">
        <v>5581</v>
      </c>
      <c r="H1794" s="41" t="s">
        <v>5582</v>
      </c>
      <c r="I1794" s="43">
        <v>12</v>
      </c>
      <c r="J1794" s="44" t="str">
        <f>VLOOKUP(G1794,[1]硬件清单!$F:$F,1,0)</f>
        <v>210235A3SUH19B000001</v>
      </c>
      <c r="K1794" s="44"/>
      <c r="L1794" s="44"/>
      <c r="M1794" s="45" t="s">
        <v>5583</v>
      </c>
    </row>
    <row r="1795" s="26" customFormat="1" ht="30" customHeight="1" spans="1:13">
      <c r="A1795" s="41">
        <f>IF(C1795="","",SUBTOTAL(103,$C$2:C1795))</f>
        <v>1786</v>
      </c>
      <c r="B1795" s="41">
        <v>9304</v>
      </c>
      <c r="C1795" s="41">
        <v>11892</v>
      </c>
      <c r="D1795" s="41" t="s">
        <v>45</v>
      </c>
      <c r="E1795" s="41" t="s">
        <v>1298</v>
      </c>
      <c r="F1795" s="41" t="s">
        <v>2255</v>
      </c>
      <c r="G1795" s="41" t="s">
        <v>5584</v>
      </c>
      <c r="H1795" s="41" t="s">
        <v>5585</v>
      </c>
      <c r="I1795" s="43">
        <v>12</v>
      </c>
      <c r="J1795" s="44" t="str">
        <f>VLOOKUP(G1795,[1]硬件清单!$F:$F,1,0)</f>
        <v>210235A3SUH19B000147</v>
      </c>
      <c r="K1795" s="44"/>
      <c r="L1795" s="44"/>
      <c r="M1795" s="45" t="s">
        <v>5586</v>
      </c>
    </row>
    <row r="1796" s="26" customFormat="1" ht="30" customHeight="1" spans="1:13">
      <c r="A1796" s="41">
        <f>IF(C1796="","",SUBTOTAL(103,$C$2:C1796))</f>
        <v>1787</v>
      </c>
      <c r="B1796" s="41">
        <v>9305</v>
      </c>
      <c r="C1796" s="41">
        <v>11881</v>
      </c>
      <c r="D1796" s="41" t="s">
        <v>45</v>
      </c>
      <c r="E1796" s="41" t="s">
        <v>1298</v>
      </c>
      <c r="F1796" s="41" t="s">
        <v>2255</v>
      </c>
      <c r="G1796" s="41" t="s">
        <v>5587</v>
      </c>
      <c r="H1796" s="41" t="s">
        <v>5588</v>
      </c>
      <c r="I1796" s="43">
        <v>12</v>
      </c>
      <c r="J1796" s="44" t="str">
        <f>VLOOKUP(G1796,[1]硬件清单!$F:$F,1,0)</f>
        <v>210235A3SUH19B000158</v>
      </c>
      <c r="K1796" s="44"/>
      <c r="L1796" s="44"/>
      <c r="M1796" s="45" t="s">
        <v>5589</v>
      </c>
    </row>
    <row r="1797" s="26" customFormat="1" ht="30" customHeight="1" spans="1:13">
      <c r="A1797" s="41">
        <f>IF(C1797="","",SUBTOTAL(103,$C$2:C1797))</f>
        <v>1788</v>
      </c>
      <c r="B1797" s="41">
        <v>9306</v>
      </c>
      <c r="C1797" s="41">
        <v>11882</v>
      </c>
      <c r="D1797" s="41" t="s">
        <v>45</v>
      </c>
      <c r="E1797" s="41" t="s">
        <v>1298</v>
      </c>
      <c r="F1797" s="41" t="s">
        <v>2255</v>
      </c>
      <c r="G1797" s="41" t="s">
        <v>5590</v>
      </c>
      <c r="H1797" s="41" t="s">
        <v>5591</v>
      </c>
      <c r="I1797" s="43">
        <v>12</v>
      </c>
      <c r="J1797" s="44" t="str">
        <f>VLOOKUP(G1797,[1]硬件清单!$F:$F,1,0)</f>
        <v>210235A3SUH19B000013</v>
      </c>
      <c r="K1797" s="44"/>
      <c r="L1797" s="44"/>
      <c r="M1797" s="45" t="s">
        <v>5592</v>
      </c>
    </row>
    <row r="1798" s="26" customFormat="1" ht="30" customHeight="1" spans="1:13">
      <c r="A1798" s="41">
        <f>IF(C1798="","",SUBTOTAL(103,$C$2:C1798))</f>
        <v>1789</v>
      </c>
      <c r="B1798" s="41">
        <v>9307</v>
      </c>
      <c r="C1798" s="41">
        <v>11883</v>
      </c>
      <c r="D1798" s="41" t="s">
        <v>45</v>
      </c>
      <c r="E1798" s="41" t="s">
        <v>1298</v>
      </c>
      <c r="F1798" s="41" t="s">
        <v>2255</v>
      </c>
      <c r="G1798" s="41" t="s">
        <v>5593</v>
      </c>
      <c r="H1798" s="41" t="s">
        <v>5594</v>
      </c>
      <c r="I1798" s="43">
        <v>12</v>
      </c>
      <c r="J1798" s="44" t="str">
        <f>VLOOKUP(G1798,[1]硬件清单!$F:$F,1,0)</f>
        <v>210235A3SUH19B000122</v>
      </c>
      <c r="K1798" s="44"/>
      <c r="L1798" s="44"/>
      <c r="M1798" s="45" t="s">
        <v>5595</v>
      </c>
    </row>
    <row r="1799" s="26" customFormat="1" ht="30" customHeight="1" spans="1:13">
      <c r="A1799" s="41">
        <f>IF(C1799="","",SUBTOTAL(103,$C$2:C1799))</f>
        <v>1790</v>
      </c>
      <c r="B1799" s="41">
        <v>9308</v>
      </c>
      <c r="C1799" s="41">
        <v>11884</v>
      </c>
      <c r="D1799" s="41" t="s">
        <v>45</v>
      </c>
      <c r="E1799" s="41" t="s">
        <v>1298</v>
      </c>
      <c r="F1799" s="41" t="s">
        <v>2255</v>
      </c>
      <c r="G1799" s="41" t="s">
        <v>5596</v>
      </c>
      <c r="H1799" s="41" t="s">
        <v>5597</v>
      </c>
      <c r="I1799" s="43">
        <v>12</v>
      </c>
      <c r="J1799" s="44" t="str">
        <f>VLOOKUP(G1799,[1]硬件清单!$F:$F,1,0)</f>
        <v>210235A3SUH19B000133</v>
      </c>
      <c r="K1799" s="44"/>
      <c r="L1799" s="44"/>
      <c r="M1799" s="45" t="s">
        <v>5598</v>
      </c>
    </row>
    <row r="1800" s="26" customFormat="1" ht="30" customHeight="1" spans="1:13">
      <c r="A1800" s="41">
        <f>IF(C1800="","",SUBTOTAL(103,$C$2:C1800))</f>
        <v>1791</v>
      </c>
      <c r="B1800" s="41">
        <v>9309</v>
      </c>
      <c r="C1800" s="41">
        <v>11885</v>
      </c>
      <c r="D1800" s="41" t="s">
        <v>45</v>
      </c>
      <c r="E1800" s="41" t="s">
        <v>1298</v>
      </c>
      <c r="F1800" s="41" t="s">
        <v>2255</v>
      </c>
      <c r="G1800" s="41" t="s">
        <v>5599</v>
      </c>
      <c r="H1800" s="41" t="s">
        <v>5600</v>
      </c>
      <c r="I1800" s="43">
        <v>12</v>
      </c>
      <c r="J1800" s="44" t="str">
        <f>VLOOKUP(G1800,[1]硬件清单!$F:$F,1,0)</f>
        <v>210235A3SUH19B000119</v>
      </c>
      <c r="K1800" s="44"/>
      <c r="L1800" s="44"/>
      <c r="M1800" s="45" t="s">
        <v>5601</v>
      </c>
    </row>
    <row r="1801" s="26" customFormat="1" ht="30" customHeight="1" spans="1:13">
      <c r="A1801" s="41">
        <f>IF(C1801="","",SUBTOTAL(103,$C$2:C1801))</f>
        <v>1792</v>
      </c>
      <c r="B1801" s="41">
        <v>9310</v>
      </c>
      <c r="C1801" s="41">
        <v>11689</v>
      </c>
      <c r="D1801" s="41" t="s">
        <v>45</v>
      </c>
      <c r="E1801" s="41" t="s">
        <v>1298</v>
      </c>
      <c r="F1801" s="41" t="s">
        <v>2255</v>
      </c>
      <c r="G1801" s="41" t="s">
        <v>5602</v>
      </c>
      <c r="H1801" s="41" t="s">
        <v>5603</v>
      </c>
      <c r="I1801" s="43">
        <v>12</v>
      </c>
      <c r="J1801" s="44" t="str">
        <f>VLOOKUP(G1801,[1]硬件清单!$F:$F,1,0)</f>
        <v>210235A3SUH19B000131</v>
      </c>
      <c r="K1801" s="44"/>
      <c r="L1801" s="44"/>
      <c r="M1801" s="45" t="s">
        <v>5604</v>
      </c>
    </row>
    <row r="1802" s="26" customFormat="1" ht="30" customHeight="1" spans="1:13">
      <c r="A1802" s="41">
        <f>IF(C1802="","",SUBTOTAL(103,$C$2:C1802))</f>
        <v>1793</v>
      </c>
      <c r="B1802" s="41">
        <v>9311</v>
      </c>
      <c r="C1802" s="41">
        <v>11690</v>
      </c>
      <c r="D1802" s="41" t="s">
        <v>45</v>
      </c>
      <c r="E1802" s="41" t="s">
        <v>1298</v>
      </c>
      <c r="F1802" s="41" t="s">
        <v>2255</v>
      </c>
      <c r="G1802" s="41" t="s">
        <v>5605</v>
      </c>
      <c r="H1802" s="41" t="s">
        <v>5606</v>
      </c>
      <c r="I1802" s="43">
        <v>12</v>
      </c>
      <c r="J1802" s="44" t="str">
        <f>VLOOKUP(G1802,[1]硬件清单!$F:$F,1,0)</f>
        <v>210235A3SUH19B000104</v>
      </c>
      <c r="K1802" s="44"/>
      <c r="L1802" s="44"/>
      <c r="M1802" s="45" t="s">
        <v>5607</v>
      </c>
    </row>
    <row r="1803" s="26" customFormat="1" ht="30" customHeight="1" spans="1:13">
      <c r="A1803" s="41">
        <f>IF(C1803="","",SUBTOTAL(103,$C$2:C1803))</f>
        <v>1794</v>
      </c>
      <c r="B1803" s="41">
        <v>9312</v>
      </c>
      <c r="C1803" s="41">
        <v>11691</v>
      </c>
      <c r="D1803" s="41" t="s">
        <v>45</v>
      </c>
      <c r="E1803" s="41" t="s">
        <v>1298</v>
      </c>
      <c r="F1803" s="41" t="s">
        <v>2255</v>
      </c>
      <c r="G1803" s="41" t="s">
        <v>5608</v>
      </c>
      <c r="H1803" s="41" t="s">
        <v>5609</v>
      </c>
      <c r="I1803" s="43">
        <v>12</v>
      </c>
      <c r="J1803" s="44" t="str">
        <f>VLOOKUP(G1803,[1]硬件清单!$F:$F,1,0)</f>
        <v>210235A3SUH19B000056</v>
      </c>
      <c r="K1803" s="44"/>
      <c r="L1803" s="44"/>
      <c r="M1803" s="45" t="s">
        <v>5610</v>
      </c>
    </row>
    <row r="1804" s="26" customFormat="1" ht="30" customHeight="1" spans="1:13">
      <c r="A1804" s="41">
        <f>IF(C1804="","",SUBTOTAL(103,$C$2:C1804))</f>
        <v>1795</v>
      </c>
      <c r="B1804" s="41">
        <v>9313</v>
      </c>
      <c r="C1804" s="41">
        <v>11692</v>
      </c>
      <c r="D1804" s="41" t="s">
        <v>45</v>
      </c>
      <c r="E1804" s="41" t="s">
        <v>1298</v>
      </c>
      <c r="F1804" s="41" t="s">
        <v>2255</v>
      </c>
      <c r="G1804" s="41" t="s">
        <v>5611</v>
      </c>
      <c r="H1804" s="41" t="s">
        <v>5612</v>
      </c>
      <c r="I1804" s="43">
        <v>12</v>
      </c>
      <c r="J1804" s="44" t="str">
        <f>VLOOKUP(G1804,[1]硬件清单!$F:$F,1,0)</f>
        <v>210235A3SUH19B000054</v>
      </c>
      <c r="K1804" s="44"/>
      <c r="L1804" s="44"/>
      <c r="M1804" s="45" t="s">
        <v>5613</v>
      </c>
    </row>
    <row r="1805" s="26" customFormat="1" ht="30" customHeight="1" spans="1:13">
      <c r="A1805" s="41">
        <f>IF(C1805="","",SUBTOTAL(103,$C$2:C1805))</f>
        <v>1796</v>
      </c>
      <c r="B1805" s="41">
        <v>9314</v>
      </c>
      <c r="C1805" s="41">
        <v>11865</v>
      </c>
      <c r="D1805" s="41" t="s">
        <v>45</v>
      </c>
      <c r="E1805" s="41" t="s">
        <v>1298</v>
      </c>
      <c r="F1805" s="41" t="s">
        <v>2255</v>
      </c>
      <c r="G1805" s="41" t="s">
        <v>5614</v>
      </c>
      <c r="H1805" s="41" t="s">
        <v>5615</v>
      </c>
      <c r="I1805" s="43">
        <v>12</v>
      </c>
      <c r="J1805" s="44" t="str">
        <f>VLOOKUP(G1805,[1]硬件清单!$F:$F,1,0)</f>
        <v>210235A3SUH19B000157</v>
      </c>
      <c r="K1805" s="44"/>
      <c r="L1805" s="44"/>
      <c r="M1805" s="45" t="s">
        <v>5616</v>
      </c>
    </row>
    <row r="1806" s="26" customFormat="1" ht="30" customHeight="1" spans="1:13">
      <c r="A1806" s="41">
        <f>IF(C1806="","",SUBTOTAL(103,$C$2:C1806))</f>
        <v>1797</v>
      </c>
      <c r="B1806" s="41">
        <v>9315</v>
      </c>
      <c r="C1806" s="41">
        <v>11874</v>
      </c>
      <c r="D1806" s="41" t="s">
        <v>45</v>
      </c>
      <c r="E1806" s="41" t="s">
        <v>1298</v>
      </c>
      <c r="F1806" s="41" t="s">
        <v>2255</v>
      </c>
      <c r="G1806" s="41" t="s">
        <v>5617</v>
      </c>
      <c r="H1806" s="41" t="s">
        <v>5618</v>
      </c>
      <c r="I1806" s="43">
        <v>12</v>
      </c>
      <c r="J1806" s="44" t="str">
        <f>VLOOKUP(G1806,[1]硬件清单!$F:$F,1,0)</f>
        <v>210235A3SUH19B000108</v>
      </c>
      <c r="K1806" s="44"/>
      <c r="L1806" s="44"/>
      <c r="M1806" s="45" t="s">
        <v>5619</v>
      </c>
    </row>
    <row r="1807" s="26" customFormat="1" ht="30" customHeight="1" spans="1:13">
      <c r="A1807" s="41">
        <f>IF(C1807="","",SUBTOTAL(103,$C$2:C1807))</f>
        <v>1798</v>
      </c>
      <c r="B1807" s="41">
        <v>9316</v>
      </c>
      <c r="C1807" s="41">
        <v>11875</v>
      </c>
      <c r="D1807" s="41" t="s">
        <v>45</v>
      </c>
      <c r="E1807" s="41" t="s">
        <v>1298</v>
      </c>
      <c r="F1807" s="41" t="s">
        <v>2255</v>
      </c>
      <c r="G1807" s="41" t="s">
        <v>5620</v>
      </c>
      <c r="H1807" s="41" t="s">
        <v>5621</v>
      </c>
      <c r="I1807" s="43">
        <v>12</v>
      </c>
      <c r="J1807" s="44" t="str">
        <f>VLOOKUP(G1807,[1]硬件清单!$F:$F,1,0)</f>
        <v>210235A3SUH19B000036</v>
      </c>
      <c r="K1807" s="44"/>
      <c r="L1807" s="44"/>
      <c r="M1807" s="45" t="s">
        <v>5622</v>
      </c>
    </row>
    <row r="1808" s="26" customFormat="1" ht="30" customHeight="1" spans="1:13">
      <c r="A1808" s="41">
        <f>IF(C1808="","",SUBTOTAL(103,$C$2:C1808))</f>
        <v>1799</v>
      </c>
      <c r="B1808" s="41">
        <v>9317</v>
      </c>
      <c r="C1808" s="41">
        <v>11876</v>
      </c>
      <c r="D1808" s="41" t="s">
        <v>45</v>
      </c>
      <c r="E1808" s="41" t="s">
        <v>1298</v>
      </c>
      <c r="F1808" s="41" t="s">
        <v>2255</v>
      </c>
      <c r="G1808" s="41" t="s">
        <v>5623</v>
      </c>
      <c r="H1808" s="41" t="s">
        <v>5624</v>
      </c>
      <c r="I1808" s="43">
        <v>12</v>
      </c>
      <c r="J1808" s="44" t="str">
        <f>VLOOKUP(G1808,[1]硬件清单!$F:$F,1,0)</f>
        <v>210235A3SUH19B000057</v>
      </c>
      <c r="K1808" s="44"/>
      <c r="L1808" s="44"/>
      <c r="M1808" s="45" t="s">
        <v>5625</v>
      </c>
    </row>
    <row r="1809" s="26" customFormat="1" ht="30" customHeight="1" spans="1:13">
      <c r="A1809" s="41">
        <f>IF(C1809="","",SUBTOTAL(103,$C$2:C1809))</f>
        <v>1800</v>
      </c>
      <c r="B1809" s="41">
        <v>9318</v>
      </c>
      <c r="C1809" s="41">
        <v>11877</v>
      </c>
      <c r="D1809" s="41" t="s">
        <v>45</v>
      </c>
      <c r="E1809" s="41" t="s">
        <v>1298</v>
      </c>
      <c r="F1809" s="41" t="s">
        <v>2255</v>
      </c>
      <c r="G1809" s="41" t="s">
        <v>5626</v>
      </c>
      <c r="H1809" s="41" t="s">
        <v>5627</v>
      </c>
      <c r="I1809" s="43">
        <v>12</v>
      </c>
      <c r="J1809" s="44" t="str">
        <f>VLOOKUP(G1809,[1]硬件清单!$F:$F,1,0)</f>
        <v>210235A3SUH19B000118</v>
      </c>
      <c r="K1809" s="44"/>
      <c r="L1809" s="44"/>
      <c r="M1809" s="45" t="s">
        <v>5628</v>
      </c>
    </row>
    <row r="1810" s="26" customFormat="1" ht="30" customHeight="1" spans="1:13">
      <c r="A1810" s="41">
        <f>IF(C1810="","",SUBTOTAL(103,$C$2:C1810))</f>
        <v>1801</v>
      </c>
      <c r="B1810" s="41">
        <v>9319</v>
      </c>
      <c r="C1810" s="41">
        <v>11878</v>
      </c>
      <c r="D1810" s="41" t="s">
        <v>45</v>
      </c>
      <c r="E1810" s="41" t="s">
        <v>1298</v>
      </c>
      <c r="F1810" s="41" t="s">
        <v>2255</v>
      </c>
      <c r="G1810" s="41" t="s">
        <v>5629</v>
      </c>
      <c r="H1810" s="41" t="s">
        <v>5630</v>
      </c>
      <c r="I1810" s="43">
        <v>12</v>
      </c>
      <c r="J1810" s="44" t="str">
        <f>VLOOKUP(G1810,[1]硬件清单!$F:$F,1,0)</f>
        <v>210235A3SUH19B000117</v>
      </c>
      <c r="K1810" s="44"/>
      <c r="L1810" s="44"/>
      <c r="M1810" s="45" t="s">
        <v>5631</v>
      </c>
    </row>
    <row r="1811" s="26" customFormat="1" ht="30" customHeight="1" spans="1:13">
      <c r="A1811" s="41">
        <f>IF(C1811="","",SUBTOTAL(103,$C$2:C1811))</f>
        <v>1802</v>
      </c>
      <c r="B1811" s="41">
        <v>9320</v>
      </c>
      <c r="C1811" s="41">
        <v>11879</v>
      </c>
      <c r="D1811" s="41" t="s">
        <v>45</v>
      </c>
      <c r="E1811" s="41" t="s">
        <v>1298</v>
      </c>
      <c r="F1811" s="41" t="s">
        <v>2255</v>
      </c>
      <c r="G1811" s="41" t="s">
        <v>5632</v>
      </c>
      <c r="H1811" s="41" t="s">
        <v>5633</v>
      </c>
      <c r="I1811" s="43">
        <v>12</v>
      </c>
      <c r="J1811" s="44" t="str">
        <f>VLOOKUP(G1811,[1]硬件清单!$F:$F,1,0)</f>
        <v>210235A3SUH19B000155</v>
      </c>
      <c r="K1811" s="44"/>
      <c r="L1811" s="44"/>
      <c r="M1811" s="45" t="s">
        <v>5634</v>
      </c>
    </row>
    <row r="1812" s="26" customFormat="1" ht="30" customHeight="1" spans="1:13">
      <c r="A1812" s="41">
        <f>IF(C1812="","",SUBTOTAL(103,$C$2:C1812))</f>
        <v>1803</v>
      </c>
      <c r="B1812" s="41">
        <v>9321</v>
      </c>
      <c r="C1812" s="41">
        <v>11880</v>
      </c>
      <c r="D1812" s="41" t="s">
        <v>45</v>
      </c>
      <c r="E1812" s="41" t="s">
        <v>1298</v>
      </c>
      <c r="F1812" s="41" t="s">
        <v>2255</v>
      </c>
      <c r="G1812" s="41" t="s">
        <v>5635</v>
      </c>
      <c r="H1812" s="41" t="s">
        <v>5636</v>
      </c>
      <c r="I1812" s="43">
        <v>12</v>
      </c>
      <c r="J1812" s="44" t="str">
        <f>VLOOKUP(G1812,[1]硬件清单!$F:$F,1,0)</f>
        <v>210235A3SUH19B000055</v>
      </c>
      <c r="K1812" s="44"/>
      <c r="L1812" s="44"/>
      <c r="M1812" s="45" t="s">
        <v>5637</v>
      </c>
    </row>
    <row r="1813" s="26" customFormat="1" ht="30" customHeight="1" spans="1:13">
      <c r="A1813" s="41">
        <f>IF(C1813="","",SUBTOTAL(103,$C$2:C1813))</f>
        <v>1804</v>
      </c>
      <c r="B1813" s="41">
        <v>9322</v>
      </c>
      <c r="C1813" s="41">
        <v>11866</v>
      </c>
      <c r="D1813" s="41" t="s">
        <v>45</v>
      </c>
      <c r="E1813" s="41" t="s">
        <v>1298</v>
      </c>
      <c r="F1813" s="41" t="s">
        <v>2255</v>
      </c>
      <c r="G1813" s="41" t="s">
        <v>5638</v>
      </c>
      <c r="H1813" s="41" t="s">
        <v>5639</v>
      </c>
      <c r="I1813" s="43">
        <v>12</v>
      </c>
      <c r="J1813" s="44" t="str">
        <f>VLOOKUP(G1813,[1]硬件清单!$F:$F,1,0)</f>
        <v>210235A3SUH19B000058</v>
      </c>
      <c r="K1813" s="44"/>
      <c r="L1813" s="44"/>
      <c r="M1813" s="45" t="s">
        <v>5640</v>
      </c>
    </row>
    <row r="1814" s="26" customFormat="1" ht="30" customHeight="1" spans="1:13">
      <c r="A1814" s="41">
        <f>IF(C1814="","",SUBTOTAL(103,$C$2:C1814))</f>
        <v>1805</v>
      </c>
      <c r="B1814" s="41">
        <v>9323</v>
      </c>
      <c r="C1814" s="41">
        <v>11867</v>
      </c>
      <c r="D1814" s="41" t="s">
        <v>45</v>
      </c>
      <c r="E1814" s="41" t="s">
        <v>1298</v>
      </c>
      <c r="F1814" s="41" t="s">
        <v>2255</v>
      </c>
      <c r="G1814" s="41" t="s">
        <v>5641</v>
      </c>
      <c r="H1814" s="41" t="s">
        <v>5642</v>
      </c>
      <c r="I1814" s="43">
        <v>12</v>
      </c>
      <c r="J1814" s="44" t="str">
        <f>VLOOKUP(G1814,[1]硬件清单!$F:$F,1,0)</f>
        <v>210235A3SUH19B000130</v>
      </c>
      <c r="K1814" s="44"/>
      <c r="L1814" s="44"/>
      <c r="M1814" s="45" t="s">
        <v>5643</v>
      </c>
    </row>
    <row r="1815" s="26" customFormat="1" ht="30" customHeight="1" spans="1:13">
      <c r="A1815" s="41">
        <f>IF(C1815="","",SUBTOTAL(103,$C$2:C1815))</f>
        <v>1806</v>
      </c>
      <c r="B1815" s="41">
        <v>9324</v>
      </c>
      <c r="C1815" s="41">
        <v>11868</v>
      </c>
      <c r="D1815" s="41" t="s">
        <v>45</v>
      </c>
      <c r="E1815" s="41" t="s">
        <v>1298</v>
      </c>
      <c r="F1815" s="41" t="s">
        <v>2255</v>
      </c>
      <c r="G1815" s="41" t="s">
        <v>5644</v>
      </c>
      <c r="H1815" s="41" t="s">
        <v>5645</v>
      </c>
      <c r="I1815" s="43">
        <v>12</v>
      </c>
      <c r="J1815" s="44" t="str">
        <f>VLOOKUP(G1815,[1]硬件清单!$F:$F,1,0)</f>
        <v>210235A3SUH19B000128</v>
      </c>
      <c r="K1815" s="44"/>
      <c r="L1815" s="44"/>
      <c r="M1815" s="45" t="s">
        <v>5646</v>
      </c>
    </row>
    <row r="1816" s="26" customFormat="1" ht="30" customHeight="1" spans="1:13">
      <c r="A1816" s="41">
        <f>IF(C1816="","",SUBTOTAL(103,$C$2:C1816))</f>
        <v>1807</v>
      </c>
      <c r="B1816" s="41">
        <v>9325</v>
      </c>
      <c r="C1816" s="41">
        <v>11869</v>
      </c>
      <c r="D1816" s="41" t="s">
        <v>45</v>
      </c>
      <c r="E1816" s="41" t="s">
        <v>1298</v>
      </c>
      <c r="F1816" s="41" t="s">
        <v>2255</v>
      </c>
      <c r="G1816" s="41" t="s">
        <v>5647</v>
      </c>
      <c r="H1816" s="41" t="s">
        <v>5648</v>
      </c>
      <c r="I1816" s="43">
        <v>12</v>
      </c>
      <c r="J1816" s="44" t="str">
        <f>VLOOKUP(G1816,[1]硬件清单!$F:$F,1,0)</f>
        <v>210235A3SUH19B000096</v>
      </c>
      <c r="K1816" s="44"/>
      <c r="L1816" s="44"/>
      <c r="M1816" s="45" t="s">
        <v>5649</v>
      </c>
    </row>
    <row r="1817" s="26" customFormat="1" ht="30" customHeight="1" spans="1:13">
      <c r="A1817" s="41">
        <f>IF(C1817="","",SUBTOTAL(103,$C$2:C1817))</f>
        <v>1808</v>
      </c>
      <c r="B1817" s="41">
        <v>9326</v>
      </c>
      <c r="C1817" s="41">
        <v>11870</v>
      </c>
      <c r="D1817" s="41" t="s">
        <v>45</v>
      </c>
      <c r="E1817" s="41" t="s">
        <v>1298</v>
      </c>
      <c r="F1817" s="41" t="s">
        <v>2255</v>
      </c>
      <c r="G1817" s="41" t="s">
        <v>5650</v>
      </c>
      <c r="H1817" s="41" t="s">
        <v>5651</v>
      </c>
      <c r="I1817" s="43">
        <v>12</v>
      </c>
      <c r="J1817" s="44" t="str">
        <f>VLOOKUP(G1817,[1]硬件清单!$F:$F,1,0)</f>
        <v>210235A3SUH19B000167</v>
      </c>
      <c r="K1817" s="44"/>
      <c r="L1817" s="44"/>
      <c r="M1817" s="45" t="s">
        <v>5652</v>
      </c>
    </row>
    <row r="1818" s="26" customFormat="1" ht="30" customHeight="1" spans="1:13">
      <c r="A1818" s="41">
        <f>IF(C1818="","",SUBTOTAL(103,$C$2:C1818))</f>
        <v>1809</v>
      </c>
      <c r="B1818" s="41">
        <v>9327</v>
      </c>
      <c r="C1818" s="41">
        <v>11871</v>
      </c>
      <c r="D1818" s="41" t="s">
        <v>45</v>
      </c>
      <c r="E1818" s="41" t="s">
        <v>1298</v>
      </c>
      <c r="F1818" s="41" t="s">
        <v>2255</v>
      </c>
      <c r="G1818" s="41" t="s">
        <v>5653</v>
      </c>
      <c r="H1818" s="41" t="s">
        <v>5654</v>
      </c>
      <c r="I1818" s="43">
        <v>12</v>
      </c>
      <c r="J1818" s="44" t="str">
        <f>VLOOKUP(G1818,[1]硬件清单!$F:$F,1,0)</f>
        <v>210235A3SUH19B000161</v>
      </c>
      <c r="K1818" s="44"/>
      <c r="L1818" s="44"/>
      <c r="M1818" s="45" t="s">
        <v>5655</v>
      </c>
    </row>
    <row r="1819" s="26" customFormat="1" ht="30" customHeight="1" spans="1:13">
      <c r="A1819" s="41">
        <f>IF(C1819="","",SUBTOTAL(103,$C$2:C1819))</f>
        <v>1810</v>
      </c>
      <c r="B1819" s="41">
        <v>9328</v>
      </c>
      <c r="C1819" s="41">
        <v>11872</v>
      </c>
      <c r="D1819" s="41" t="s">
        <v>45</v>
      </c>
      <c r="E1819" s="41" t="s">
        <v>1298</v>
      </c>
      <c r="F1819" s="41" t="s">
        <v>2255</v>
      </c>
      <c r="G1819" s="41" t="s">
        <v>5656</v>
      </c>
      <c r="H1819" s="41" t="s">
        <v>5657</v>
      </c>
      <c r="I1819" s="43">
        <v>12</v>
      </c>
      <c r="J1819" s="44" t="str">
        <f>VLOOKUP(G1819,[1]硬件清单!$F:$F,1,0)</f>
        <v>210235A3SUH19B000129</v>
      </c>
      <c r="K1819" s="44"/>
      <c r="L1819" s="44"/>
      <c r="M1819" s="45" t="s">
        <v>5658</v>
      </c>
    </row>
    <row r="1820" s="26" customFormat="1" ht="30" customHeight="1" spans="1:13">
      <c r="A1820" s="41">
        <f>IF(C1820="","",SUBTOTAL(103,$C$2:C1820))</f>
        <v>1811</v>
      </c>
      <c r="B1820" s="41">
        <v>9329</v>
      </c>
      <c r="C1820" s="41">
        <v>11873</v>
      </c>
      <c r="D1820" s="41" t="s">
        <v>45</v>
      </c>
      <c r="E1820" s="41" t="s">
        <v>1298</v>
      </c>
      <c r="F1820" s="41" t="s">
        <v>2255</v>
      </c>
      <c r="G1820" s="41" t="s">
        <v>5659</v>
      </c>
      <c r="H1820" s="41" t="s">
        <v>5660</v>
      </c>
      <c r="I1820" s="43">
        <v>12</v>
      </c>
      <c r="J1820" s="44" t="str">
        <f>VLOOKUP(G1820,[1]硬件清单!$F:$F,1,0)</f>
        <v>210235A3SUH19B000124</v>
      </c>
      <c r="K1820" s="44"/>
      <c r="L1820" s="44"/>
      <c r="M1820" s="45" t="s">
        <v>5661</v>
      </c>
    </row>
    <row r="1821" s="26" customFormat="1" ht="30" customHeight="1" spans="1:13">
      <c r="A1821" s="41">
        <f>IF(C1821="","",SUBTOTAL(103,$C$2:C1821))</f>
        <v>1812</v>
      </c>
      <c r="B1821" s="41">
        <v>9350</v>
      </c>
      <c r="C1821" s="41">
        <v>12452</v>
      </c>
      <c r="D1821" s="41" t="s">
        <v>45</v>
      </c>
      <c r="E1821" s="41" t="s">
        <v>1298</v>
      </c>
      <c r="F1821" s="41" t="s">
        <v>2255</v>
      </c>
      <c r="G1821" s="41" t="s">
        <v>5662</v>
      </c>
      <c r="H1821" s="41" t="s">
        <v>5663</v>
      </c>
      <c r="I1821" s="43">
        <v>12</v>
      </c>
      <c r="J1821" s="44" t="str">
        <f>VLOOKUP(G1821,[1]硬件清单!$F:$F,1,0)</f>
        <v>210235A3SUH19B000038</v>
      </c>
      <c r="K1821" s="44"/>
      <c r="L1821" s="44"/>
      <c r="M1821" s="45" t="s">
        <v>5664</v>
      </c>
    </row>
    <row r="1822" s="26" customFormat="1" ht="30" customHeight="1" spans="1:13">
      <c r="A1822" s="41">
        <f>IF(C1822="","",SUBTOTAL(103,$C$2:C1822))</f>
        <v>1813</v>
      </c>
      <c r="B1822" s="41">
        <v>9351</v>
      </c>
      <c r="C1822" s="41">
        <v>12461</v>
      </c>
      <c r="D1822" s="41" t="s">
        <v>45</v>
      </c>
      <c r="E1822" s="41" t="s">
        <v>1298</v>
      </c>
      <c r="F1822" s="41" t="s">
        <v>2255</v>
      </c>
      <c r="G1822" s="41" t="s">
        <v>5665</v>
      </c>
      <c r="H1822" s="41" t="s">
        <v>5666</v>
      </c>
      <c r="I1822" s="43">
        <v>12</v>
      </c>
      <c r="J1822" s="44" t="str">
        <f>VLOOKUP(G1822,[1]硬件清单!$F:$F,1,0)</f>
        <v>210235A3SUH19B000039</v>
      </c>
      <c r="K1822" s="44"/>
      <c r="L1822" s="44"/>
      <c r="M1822" s="45" t="s">
        <v>5667</v>
      </c>
    </row>
    <row r="1823" s="26" customFormat="1" ht="30" customHeight="1" spans="1:13">
      <c r="A1823" s="41">
        <f>IF(C1823="","",SUBTOTAL(103,$C$2:C1823))</f>
        <v>1814</v>
      </c>
      <c r="B1823" s="41">
        <v>9352</v>
      </c>
      <c r="C1823" s="41">
        <v>12462</v>
      </c>
      <c r="D1823" s="41" t="s">
        <v>45</v>
      </c>
      <c r="E1823" s="41" t="s">
        <v>1298</v>
      </c>
      <c r="F1823" s="41" t="s">
        <v>2255</v>
      </c>
      <c r="G1823" s="41" t="s">
        <v>5668</v>
      </c>
      <c r="H1823" s="41" t="s">
        <v>5669</v>
      </c>
      <c r="I1823" s="43">
        <v>12</v>
      </c>
      <c r="J1823" s="44" t="str">
        <f>VLOOKUP(G1823,[1]硬件清单!$F:$F,1,0)</f>
        <v>210235A3SUH19B000035</v>
      </c>
      <c r="K1823" s="44"/>
      <c r="L1823" s="44"/>
      <c r="M1823" s="45" t="s">
        <v>5670</v>
      </c>
    </row>
    <row r="1824" s="26" customFormat="1" ht="30" customHeight="1" spans="1:13">
      <c r="A1824" s="41">
        <f>IF(C1824="","",SUBTOTAL(103,$C$2:C1824))</f>
        <v>1815</v>
      </c>
      <c r="B1824" s="41">
        <v>9353</v>
      </c>
      <c r="C1824" s="41">
        <v>12463</v>
      </c>
      <c r="D1824" s="41" t="s">
        <v>45</v>
      </c>
      <c r="E1824" s="41" t="s">
        <v>1298</v>
      </c>
      <c r="F1824" s="41" t="s">
        <v>2255</v>
      </c>
      <c r="G1824" s="41" t="s">
        <v>5671</v>
      </c>
      <c r="H1824" s="41" t="s">
        <v>5672</v>
      </c>
      <c r="I1824" s="43">
        <v>12</v>
      </c>
      <c r="J1824" s="44" t="str">
        <f>VLOOKUP(G1824,[1]硬件清单!$F:$F,1,0)</f>
        <v>210235A3SUH19B000045</v>
      </c>
      <c r="K1824" s="44"/>
      <c r="L1824" s="44"/>
      <c r="M1824" s="45" t="s">
        <v>5673</v>
      </c>
    </row>
    <row r="1825" s="26" customFormat="1" ht="30" customHeight="1" spans="1:13">
      <c r="A1825" s="41">
        <f>IF(C1825="","",SUBTOTAL(103,$C$2:C1825))</f>
        <v>1816</v>
      </c>
      <c r="B1825" s="41">
        <v>9354</v>
      </c>
      <c r="C1825" s="41">
        <v>12464</v>
      </c>
      <c r="D1825" s="41" t="s">
        <v>45</v>
      </c>
      <c r="E1825" s="41" t="s">
        <v>1298</v>
      </c>
      <c r="F1825" s="41" t="s">
        <v>2255</v>
      </c>
      <c r="G1825" s="41" t="s">
        <v>5674</v>
      </c>
      <c r="H1825" s="41" t="s">
        <v>5675</v>
      </c>
      <c r="I1825" s="43">
        <v>12</v>
      </c>
      <c r="J1825" s="44" t="str">
        <f>VLOOKUP(G1825,[1]硬件清单!$F:$F,1,0)</f>
        <v>210235A3SUH19B000111</v>
      </c>
      <c r="K1825" s="44"/>
      <c r="L1825" s="44"/>
      <c r="M1825" s="45" t="s">
        <v>5676</v>
      </c>
    </row>
    <row r="1826" s="26" customFormat="1" ht="30" customHeight="1" spans="1:13">
      <c r="A1826" s="41">
        <f>IF(C1826="","",SUBTOTAL(103,$C$2:C1826))</f>
        <v>1817</v>
      </c>
      <c r="B1826" s="41">
        <v>9355</v>
      </c>
      <c r="C1826" s="41">
        <v>12465</v>
      </c>
      <c r="D1826" s="41" t="s">
        <v>45</v>
      </c>
      <c r="E1826" s="41" t="s">
        <v>1298</v>
      </c>
      <c r="F1826" s="41" t="s">
        <v>2255</v>
      </c>
      <c r="G1826" s="41" t="s">
        <v>5677</v>
      </c>
      <c r="H1826" s="41" t="s">
        <v>5678</v>
      </c>
      <c r="I1826" s="43">
        <v>12</v>
      </c>
      <c r="J1826" s="44" t="str">
        <f>VLOOKUP(G1826,[1]硬件清单!$F:$F,1,0)</f>
        <v>210235A3SUH19B000099</v>
      </c>
      <c r="K1826" s="44"/>
      <c r="L1826" s="44"/>
      <c r="M1826" s="45" t="s">
        <v>5679</v>
      </c>
    </row>
    <row r="1827" s="26" customFormat="1" ht="30" customHeight="1" spans="1:13">
      <c r="A1827" s="41">
        <f>IF(C1827="","",SUBTOTAL(103,$C$2:C1827))</f>
        <v>1818</v>
      </c>
      <c r="B1827" s="41">
        <v>9356</v>
      </c>
      <c r="C1827" s="41">
        <v>12440</v>
      </c>
      <c r="D1827" s="41" t="s">
        <v>45</v>
      </c>
      <c r="E1827" s="41" t="s">
        <v>1298</v>
      </c>
      <c r="F1827" s="41" t="s">
        <v>2255</v>
      </c>
      <c r="G1827" s="41" t="s">
        <v>5680</v>
      </c>
      <c r="H1827" s="41" t="s">
        <v>5681</v>
      </c>
      <c r="I1827" s="43">
        <v>12</v>
      </c>
      <c r="J1827" s="44" t="str">
        <f>VLOOKUP(G1827,[1]硬件清单!$F:$F,1,0)</f>
        <v>210235A3SUH19A000173</v>
      </c>
      <c r="K1827" s="44"/>
      <c r="L1827" s="44"/>
      <c r="M1827" s="45" t="s">
        <v>5682</v>
      </c>
    </row>
    <row r="1828" s="26" customFormat="1" ht="30" customHeight="1" spans="1:13">
      <c r="A1828" s="41">
        <f>IF(C1828="","",SUBTOTAL(103,$C$2:C1828))</f>
        <v>1819</v>
      </c>
      <c r="B1828" s="41">
        <v>9357</v>
      </c>
      <c r="C1828" s="41">
        <v>12441</v>
      </c>
      <c r="D1828" s="41" t="s">
        <v>45</v>
      </c>
      <c r="E1828" s="41" t="s">
        <v>1298</v>
      </c>
      <c r="F1828" s="41" t="s">
        <v>2255</v>
      </c>
      <c r="G1828" s="41" t="s">
        <v>5683</v>
      </c>
      <c r="H1828" s="41" t="s">
        <v>5684</v>
      </c>
      <c r="I1828" s="43">
        <v>12</v>
      </c>
      <c r="J1828" s="44" t="str">
        <f>VLOOKUP(G1828,[1]硬件清单!$F:$F,1,0)</f>
        <v>210235A3SUH19A000376</v>
      </c>
      <c r="K1828" s="44"/>
      <c r="L1828" s="44"/>
      <c r="M1828" s="45" t="s">
        <v>5685</v>
      </c>
    </row>
    <row r="1829" s="26" customFormat="1" ht="30" customHeight="1" spans="1:13">
      <c r="A1829" s="41">
        <f>IF(C1829="","",SUBTOTAL(103,$C$2:C1829))</f>
        <v>1820</v>
      </c>
      <c r="B1829" s="41">
        <v>9358</v>
      </c>
      <c r="C1829" s="41">
        <v>12453</v>
      </c>
      <c r="D1829" s="41" t="s">
        <v>45</v>
      </c>
      <c r="E1829" s="41" t="s">
        <v>1298</v>
      </c>
      <c r="F1829" s="41" t="s">
        <v>2255</v>
      </c>
      <c r="G1829" s="41" t="s">
        <v>5686</v>
      </c>
      <c r="H1829" s="41" t="s">
        <v>5687</v>
      </c>
      <c r="I1829" s="43">
        <v>12</v>
      </c>
      <c r="J1829" s="44" t="str">
        <f>VLOOKUP(G1829,[1]硬件清单!$F:$F,1,0)</f>
        <v>210235A3SUH19B000110</v>
      </c>
      <c r="K1829" s="44"/>
      <c r="L1829" s="44"/>
      <c r="M1829" s="45" t="s">
        <v>5688</v>
      </c>
    </row>
    <row r="1830" s="26" customFormat="1" ht="30" customHeight="1" spans="1:13">
      <c r="A1830" s="41">
        <f>IF(C1830="","",SUBTOTAL(103,$C$2:C1830))</f>
        <v>1821</v>
      </c>
      <c r="B1830" s="41">
        <v>9359</v>
      </c>
      <c r="C1830" s="41">
        <v>12454</v>
      </c>
      <c r="D1830" s="41" t="s">
        <v>45</v>
      </c>
      <c r="E1830" s="41" t="s">
        <v>1298</v>
      </c>
      <c r="F1830" s="41" t="s">
        <v>2255</v>
      </c>
      <c r="G1830" s="41" t="s">
        <v>5689</v>
      </c>
      <c r="H1830" s="41" t="s">
        <v>5690</v>
      </c>
      <c r="I1830" s="43">
        <v>12</v>
      </c>
      <c r="J1830" s="44" t="str">
        <f>VLOOKUP(G1830,[1]硬件清单!$F:$F,1,0)</f>
        <v>210235A3SUH19B000138</v>
      </c>
      <c r="K1830" s="44"/>
      <c r="L1830" s="44"/>
      <c r="M1830" s="45" t="s">
        <v>5691</v>
      </c>
    </row>
    <row r="1831" s="26" customFormat="1" ht="30" customHeight="1" spans="1:13">
      <c r="A1831" s="41">
        <f>IF(C1831="","",SUBTOTAL(103,$C$2:C1831))</f>
        <v>1822</v>
      </c>
      <c r="B1831" s="41">
        <v>9360</v>
      </c>
      <c r="C1831" s="41">
        <v>12455</v>
      </c>
      <c r="D1831" s="41" t="s">
        <v>45</v>
      </c>
      <c r="E1831" s="41" t="s">
        <v>1298</v>
      </c>
      <c r="F1831" s="41" t="s">
        <v>2255</v>
      </c>
      <c r="G1831" s="41" t="s">
        <v>5692</v>
      </c>
      <c r="H1831" s="41" t="s">
        <v>5693</v>
      </c>
      <c r="I1831" s="43">
        <v>12</v>
      </c>
      <c r="J1831" s="44" t="str">
        <f>VLOOKUP(G1831,[1]硬件清单!$F:$F,1,0)</f>
        <v>210235A3SUH19B000040</v>
      </c>
      <c r="K1831" s="44"/>
      <c r="L1831" s="44"/>
      <c r="M1831" s="45" t="s">
        <v>5694</v>
      </c>
    </row>
    <row r="1832" s="26" customFormat="1" ht="30" customHeight="1" spans="1:13">
      <c r="A1832" s="41">
        <f>IF(C1832="","",SUBTOTAL(103,$C$2:C1832))</f>
        <v>1823</v>
      </c>
      <c r="B1832" s="41">
        <v>9361</v>
      </c>
      <c r="C1832" s="41">
        <v>12456</v>
      </c>
      <c r="D1832" s="41" t="s">
        <v>45</v>
      </c>
      <c r="E1832" s="41" t="s">
        <v>1298</v>
      </c>
      <c r="F1832" s="41" t="s">
        <v>2255</v>
      </c>
      <c r="G1832" s="41" t="s">
        <v>5695</v>
      </c>
      <c r="H1832" s="41" t="s">
        <v>5696</v>
      </c>
      <c r="I1832" s="43">
        <v>12</v>
      </c>
      <c r="J1832" s="44" t="str">
        <f>VLOOKUP(G1832,[1]硬件清单!$F:$F,1,0)</f>
        <v>210235A3SUH19B000109</v>
      </c>
      <c r="K1832" s="44"/>
      <c r="L1832" s="44"/>
      <c r="M1832" s="45" t="s">
        <v>5697</v>
      </c>
    </row>
    <row r="1833" s="26" customFormat="1" ht="30" customHeight="1" spans="1:13">
      <c r="A1833" s="41">
        <f>IF(C1833="","",SUBTOTAL(103,$C$2:C1833))</f>
        <v>1824</v>
      </c>
      <c r="B1833" s="41">
        <v>9362</v>
      </c>
      <c r="C1833" s="41">
        <v>12457</v>
      </c>
      <c r="D1833" s="41" t="s">
        <v>45</v>
      </c>
      <c r="E1833" s="41" t="s">
        <v>1298</v>
      </c>
      <c r="F1833" s="41" t="s">
        <v>2255</v>
      </c>
      <c r="G1833" s="41" t="s">
        <v>5698</v>
      </c>
      <c r="H1833" s="41" t="s">
        <v>5699</v>
      </c>
      <c r="I1833" s="43">
        <v>12</v>
      </c>
      <c r="J1833" s="44" t="str">
        <f>VLOOKUP(G1833,[1]硬件清单!$F:$F,1,0)</f>
        <v>210235A3SUH19B000037</v>
      </c>
      <c r="K1833" s="44"/>
      <c r="L1833" s="44"/>
      <c r="M1833" s="45" t="s">
        <v>5700</v>
      </c>
    </row>
    <row r="1834" s="26" customFormat="1" ht="30" customHeight="1" spans="1:13">
      <c r="A1834" s="41">
        <f>IF(C1834="","",SUBTOTAL(103,$C$2:C1834))</f>
        <v>1825</v>
      </c>
      <c r="B1834" s="41">
        <v>9363</v>
      </c>
      <c r="C1834" s="41">
        <v>12458</v>
      </c>
      <c r="D1834" s="41" t="s">
        <v>45</v>
      </c>
      <c r="E1834" s="41" t="s">
        <v>1298</v>
      </c>
      <c r="F1834" s="41" t="s">
        <v>2255</v>
      </c>
      <c r="G1834" s="41" t="s">
        <v>5701</v>
      </c>
      <c r="H1834" s="41" t="s">
        <v>5702</v>
      </c>
      <c r="I1834" s="43">
        <v>12</v>
      </c>
      <c r="J1834" s="44" t="str">
        <f>VLOOKUP(G1834,[1]硬件清单!$F:$F,1,0)</f>
        <v>210235A3SUH19B000042</v>
      </c>
      <c r="K1834" s="44"/>
      <c r="L1834" s="44"/>
      <c r="M1834" s="45" t="s">
        <v>5703</v>
      </c>
    </row>
    <row r="1835" s="26" customFormat="1" ht="30" customHeight="1" spans="1:13">
      <c r="A1835" s="41">
        <f>IF(C1835="","",SUBTOTAL(103,$C$2:C1835))</f>
        <v>1826</v>
      </c>
      <c r="B1835" s="41">
        <v>9364</v>
      </c>
      <c r="C1835" s="41">
        <v>12459</v>
      </c>
      <c r="D1835" s="41" t="s">
        <v>45</v>
      </c>
      <c r="E1835" s="41" t="s">
        <v>1298</v>
      </c>
      <c r="F1835" s="41" t="s">
        <v>2255</v>
      </c>
      <c r="G1835" s="41" t="s">
        <v>5704</v>
      </c>
      <c r="H1835" s="41" t="s">
        <v>5705</v>
      </c>
      <c r="I1835" s="43">
        <v>12</v>
      </c>
      <c r="J1835" s="44" t="str">
        <f>VLOOKUP(G1835,[1]硬件清单!$F:$F,1,0)</f>
        <v>210235A3SUH19B000041</v>
      </c>
      <c r="K1835" s="44"/>
      <c r="L1835" s="44"/>
      <c r="M1835" s="45" t="e">
        <v>#N/A</v>
      </c>
    </row>
    <row r="1836" s="26" customFormat="1" ht="30" customHeight="1" spans="1:13">
      <c r="A1836" s="41">
        <f>IF(C1836="","",SUBTOTAL(103,$C$2:C1836))</f>
        <v>1827</v>
      </c>
      <c r="B1836" s="41">
        <v>9365</v>
      </c>
      <c r="C1836" s="41">
        <v>12460</v>
      </c>
      <c r="D1836" s="41" t="s">
        <v>45</v>
      </c>
      <c r="E1836" s="41" t="s">
        <v>1298</v>
      </c>
      <c r="F1836" s="41" t="s">
        <v>2255</v>
      </c>
      <c r="G1836" s="41" t="s">
        <v>5706</v>
      </c>
      <c r="H1836" s="41" t="s">
        <v>5707</v>
      </c>
      <c r="I1836" s="43">
        <v>12</v>
      </c>
      <c r="J1836" s="44" t="str">
        <f>VLOOKUP(G1836,[1]硬件清单!$F:$F,1,0)</f>
        <v>210235A3SUH19B000102</v>
      </c>
      <c r="K1836" s="44"/>
      <c r="L1836" s="44"/>
      <c r="M1836" s="45" t="s">
        <v>5708</v>
      </c>
    </row>
    <row r="1837" s="26" customFormat="1" ht="30" customHeight="1" spans="1:13">
      <c r="A1837" s="41">
        <f>IF(C1837="","",SUBTOTAL(103,$C$2:C1837))</f>
        <v>1828</v>
      </c>
      <c r="B1837" s="41">
        <v>9368</v>
      </c>
      <c r="C1837" s="41">
        <v>12387</v>
      </c>
      <c r="D1837" s="41" t="s">
        <v>45</v>
      </c>
      <c r="E1837" s="41" t="s">
        <v>1298</v>
      </c>
      <c r="F1837" s="41" t="s">
        <v>2255</v>
      </c>
      <c r="G1837" s="41" t="s">
        <v>5709</v>
      </c>
      <c r="H1837" s="41" t="s">
        <v>5710</v>
      </c>
      <c r="I1837" s="43">
        <v>12</v>
      </c>
      <c r="J1837" s="44" t="str">
        <f>VLOOKUP(G1837,[1]硬件清单!$F:$F,1,0)</f>
        <v>210235A3SUH19A000108</v>
      </c>
      <c r="K1837" s="44"/>
      <c r="L1837" s="44"/>
      <c r="M1837" s="45" t="s">
        <v>5711</v>
      </c>
    </row>
    <row r="1838" s="26" customFormat="1" ht="30" customHeight="1" spans="1:13">
      <c r="A1838" s="41">
        <f>IF(C1838="","",SUBTOTAL(103,$C$2:C1838))</f>
        <v>1829</v>
      </c>
      <c r="B1838" s="41">
        <v>9369</v>
      </c>
      <c r="C1838" s="41">
        <v>12396</v>
      </c>
      <c r="D1838" s="41" t="s">
        <v>45</v>
      </c>
      <c r="E1838" s="41" t="s">
        <v>1298</v>
      </c>
      <c r="F1838" s="41" t="s">
        <v>2255</v>
      </c>
      <c r="G1838" s="41" t="s">
        <v>5712</v>
      </c>
      <c r="H1838" s="41" t="s">
        <v>5713</v>
      </c>
      <c r="I1838" s="43">
        <v>12</v>
      </c>
      <c r="J1838" s="44" t="str">
        <f>VLOOKUP(G1838,[1]硬件清单!$F:$F,1,0)</f>
        <v>210235A3SUH19A000076</v>
      </c>
      <c r="K1838" s="44"/>
      <c r="L1838" s="44"/>
      <c r="M1838" s="45" t="s">
        <v>5714</v>
      </c>
    </row>
    <row r="1839" s="26" customFormat="1" ht="30" customHeight="1" spans="1:13">
      <c r="A1839" s="41">
        <f>IF(C1839="","",SUBTOTAL(103,$C$2:C1839))</f>
        <v>1830</v>
      </c>
      <c r="B1839" s="41">
        <v>9370</v>
      </c>
      <c r="C1839" s="41">
        <v>12397</v>
      </c>
      <c r="D1839" s="41" t="s">
        <v>45</v>
      </c>
      <c r="E1839" s="41" t="s">
        <v>1298</v>
      </c>
      <c r="F1839" s="41" t="s">
        <v>2255</v>
      </c>
      <c r="G1839" s="41" t="s">
        <v>5715</v>
      </c>
      <c r="H1839" s="41" t="s">
        <v>5716</v>
      </c>
      <c r="I1839" s="43">
        <v>12</v>
      </c>
      <c r="J1839" s="44" t="str">
        <f>VLOOKUP(G1839,[1]硬件清单!$F:$F,1,0)</f>
        <v>210235A3SUH19A000380</v>
      </c>
      <c r="K1839" s="44"/>
      <c r="L1839" s="44"/>
      <c r="M1839" s="45" t="s">
        <v>5717</v>
      </c>
    </row>
    <row r="1840" s="26" customFormat="1" ht="30" customHeight="1" spans="1:13">
      <c r="A1840" s="41">
        <f>IF(C1840="","",SUBTOTAL(103,$C$2:C1840))</f>
        <v>1831</v>
      </c>
      <c r="B1840" s="41">
        <v>9371</v>
      </c>
      <c r="C1840" s="41">
        <v>12398</v>
      </c>
      <c r="D1840" s="41" t="s">
        <v>45</v>
      </c>
      <c r="E1840" s="41" t="s">
        <v>1298</v>
      </c>
      <c r="F1840" s="41" t="s">
        <v>2255</v>
      </c>
      <c r="G1840" s="41" t="s">
        <v>5718</v>
      </c>
      <c r="H1840" s="41" t="s">
        <v>5719</v>
      </c>
      <c r="I1840" s="43">
        <v>12</v>
      </c>
      <c r="J1840" s="44" t="str">
        <f>VLOOKUP(G1840,[1]硬件清单!$F:$F,1,0)</f>
        <v>210235A3SUH19A000374</v>
      </c>
      <c r="K1840" s="44"/>
      <c r="L1840" s="44"/>
      <c r="M1840" s="45" t="s">
        <v>5720</v>
      </c>
    </row>
    <row r="1841" s="26" customFormat="1" ht="30" customHeight="1" spans="1:13">
      <c r="A1841" s="41">
        <f>IF(C1841="","",SUBTOTAL(103,$C$2:C1841))</f>
        <v>1832</v>
      </c>
      <c r="B1841" s="41">
        <v>9372</v>
      </c>
      <c r="C1841" s="41">
        <v>12399</v>
      </c>
      <c r="D1841" s="41" t="s">
        <v>45</v>
      </c>
      <c r="E1841" s="41" t="s">
        <v>1298</v>
      </c>
      <c r="F1841" s="41" t="s">
        <v>2255</v>
      </c>
      <c r="G1841" s="41" t="s">
        <v>5721</v>
      </c>
      <c r="H1841" s="41" t="s">
        <v>5722</v>
      </c>
      <c r="I1841" s="43">
        <v>12</v>
      </c>
      <c r="J1841" s="44" t="str">
        <f>VLOOKUP(G1841,[1]硬件清单!$F:$F,1,0)</f>
        <v>210235A3SUH19A000087</v>
      </c>
      <c r="K1841" s="44"/>
      <c r="L1841" s="44"/>
      <c r="M1841" s="45" t="s">
        <v>5723</v>
      </c>
    </row>
    <row r="1842" s="26" customFormat="1" ht="30" customHeight="1" spans="1:13">
      <c r="A1842" s="41">
        <f>IF(C1842="","",SUBTOTAL(103,$C$2:C1842))</f>
        <v>1833</v>
      </c>
      <c r="B1842" s="41">
        <v>9373</v>
      </c>
      <c r="C1842" s="41">
        <v>12400</v>
      </c>
      <c r="D1842" s="41" t="s">
        <v>45</v>
      </c>
      <c r="E1842" s="41" t="s">
        <v>1298</v>
      </c>
      <c r="F1842" s="41" t="s">
        <v>2255</v>
      </c>
      <c r="G1842" s="41" t="s">
        <v>5724</v>
      </c>
      <c r="H1842" s="41" t="s">
        <v>5725</v>
      </c>
      <c r="I1842" s="43">
        <v>12</v>
      </c>
      <c r="J1842" s="44" t="str">
        <f>VLOOKUP(G1842,[1]硬件清单!$F:$F,1,0)</f>
        <v>210235A3SUH19A000274</v>
      </c>
      <c r="K1842" s="44"/>
      <c r="L1842" s="44"/>
      <c r="M1842" s="45" t="s">
        <v>5726</v>
      </c>
    </row>
    <row r="1843" s="26" customFormat="1" ht="30" customHeight="1" spans="1:13">
      <c r="A1843" s="41">
        <f>IF(C1843="","",SUBTOTAL(103,$C$2:C1843))</f>
        <v>1834</v>
      </c>
      <c r="B1843" s="41">
        <v>9374</v>
      </c>
      <c r="C1843" s="41">
        <v>12434</v>
      </c>
      <c r="D1843" s="41" t="s">
        <v>45</v>
      </c>
      <c r="E1843" s="41" t="s">
        <v>1298</v>
      </c>
      <c r="F1843" s="41" t="s">
        <v>2255</v>
      </c>
      <c r="G1843" s="41" t="s">
        <v>5727</v>
      </c>
      <c r="H1843" s="41" t="s">
        <v>5728</v>
      </c>
      <c r="I1843" s="43">
        <v>12</v>
      </c>
      <c r="J1843" s="44" t="str">
        <f>VLOOKUP(G1843,[1]硬件清单!$F:$F,1,0)</f>
        <v>210235A3SUH19A000105</v>
      </c>
      <c r="K1843" s="44"/>
      <c r="L1843" s="44"/>
      <c r="M1843" s="45" t="s">
        <v>5729</v>
      </c>
    </row>
    <row r="1844" s="26" customFormat="1" ht="30" customHeight="1" spans="1:13">
      <c r="A1844" s="41">
        <f>IF(C1844="","",SUBTOTAL(103,$C$2:C1844))</f>
        <v>1835</v>
      </c>
      <c r="B1844" s="41">
        <v>9375</v>
      </c>
      <c r="C1844" s="41">
        <v>12435</v>
      </c>
      <c r="D1844" s="41" t="s">
        <v>45</v>
      </c>
      <c r="E1844" s="41" t="s">
        <v>1298</v>
      </c>
      <c r="F1844" s="41" t="s">
        <v>2255</v>
      </c>
      <c r="G1844" s="41" t="s">
        <v>5730</v>
      </c>
      <c r="H1844" s="41" t="s">
        <v>5731</v>
      </c>
      <c r="I1844" s="43">
        <v>12</v>
      </c>
      <c r="J1844" s="44" t="str">
        <f>VLOOKUP(G1844,[1]硬件清单!$F:$F,1,0)</f>
        <v>210235A3SUH19A000123</v>
      </c>
      <c r="K1844" s="44"/>
      <c r="L1844" s="44"/>
      <c r="M1844" s="45" t="s">
        <v>5732</v>
      </c>
    </row>
    <row r="1845" s="26" customFormat="1" ht="30" customHeight="1" spans="1:13">
      <c r="A1845" s="41">
        <f>IF(C1845="","",SUBTOTAL(103,$C$2:C1845))</f>
        <v>1836</v>
      </c>
      <c r="B1845" s="41">
        <v>9376</v>
      </c>
      <c r="C1845" s="41">
        <v>12388</v>
      </c>
      <c r="D1845" s="41" t="s">
        <v>45</v>
      </c>
      <c r="E1845" s="41" t="s">
        <v>1298</v>
      </c>
      <c r="F1845" s="41" t="s">
        <v>2255</v>
      </c>
      <c r="G1845" s="41" t="s">
        <v>5733</v>
      </c>
      <c r="H1845" s="41" t="s">
        <v>5734</v>
      </c>
      <c r="I1845" s="43">
        <v>12</v>
      </c>
      <c r="J1845" s="44" t="str">
        <f>VLOOKUP(G1845,[1]硬件清单!$F:$F,1,0)</f>
        <v>210235A3SUH19A000224</v>
      </c>
      <c r="K1845" s="44"/>
      <c r="L1845" s="44"/>
      <c r="M1845" s="45" t="s">
        <v>5735</v>
      </c>
    </row>
    <row r="1846" s="26" customFormat="1" ht="30" customHeight="1" spans="1:13">
      <c r="A1846" s="41">
        <f>IF(C1846="","",SUBTOTAL(103,$C$2:C1846))</f>
        <v>1837</v>
      </c>
      <c r="B1846" s="41">
        <v>9377</v>
      </c>
      <c r="C1846" s="41">
        <v>12389</v>
      </c>
      <c r="D1846" s="41" t="s">
        <v>45</v>
      </c>
      <c r="E1846" s="41" t="s">
        <v>1298</v>
      </c>
      <c r="F1846" s="41" t="s">
        <v>2255</v>
      </c>
      <c r="G1846" s="41" t="s">
        <v>5736</v>
      </c>
      <c r="H1846" s="41" t="s">
        <v>5737</v>
      </c>
      <c r="I1846" s="43">
        <v>12</v>
      </c>
      <c r="J1846" s="44" t="str">
        <f>VLOOKUP(G1846,[1]硬件清单!$F:$F,1,0)</f>
        <v>210235A3SUH19A000085</v>
      </c>
      <c r="K1846" s="44"/>
      <c r="L1846" s="44"/>
      <c r="M1846" s="45" t="s">
        <v>5738</v>
      </c>
    </row>
    <row r="1847" s="26" customFormat="1" ht="30" customHeight="1" spans="1:13">
      <c r="A1847" s="41">
        <f>IF(C1847="","",SUBTOTAL(103,$C$2:C1847))</f>
        <v>1838</v>
      </c>
      <c r="B1847" s="41">
        <v>9378</v>
      </c>
      <c r="C1847" s="41">
        <v>12390</v>
      </c>
      <c r="D1847" s="41" t="s">
        <v>45</v>
      </c>
      <c r="E1847" s="41" t="s">
        <v>1298</v>
      </c>
      <c r="F1847" s="41" t="s">
        <v>2255</v>
      </c>
      <c r="G1847" s="41" t="s">
        <v>5739</v>
      </c>
      <c r="H1847" s="41" t="s">
        <v>5740</v>
      </c>
      <c r="I1847" s="43">
        <v>12</v>
      </c>
      <c r="J1847" s="44" t="str">
        <f>VLOOKUP(G1847,[1]硬件清单!$F:$F,1,0)</f>
        <v>210235A3SUH19A000346</v>
      </c>
      <c r="K1847" s="44"/>
      <c r="L1847" s="44"/>
      <c r="M1847" s="45" t="s">
        <v>5741</v>
      </c>
    </row>
    <row r="1848" s="26" customFormat="1" ht="30" customHeight="1" spans="1:13">
      <c r="A1848" s="41">
        <f>IF(C1848="","",SUBTOTAL(103,$C$2:C1848))</f>
        <v>1839</v>
      </c>
      <c r="B1848" s="41">
        <v>9379</v>
      </c>
      <c r="C1848" s="41">
        <v>12391</v>
      </c>
      <c r="D1848" s="41" t="s">
        <v>45</v>
      </c>
      <c r="E1848" s="41" t="s">
        <v>1298</v>
      </c>
      <c r="F1848" s="41" t="s">
        <v>2255</v>
      </c>
      <c r="G1848" s="41" t="s">
        <v>5742</v>
      </c>
      <c r="H1848" s="41" t="s">
        <v>5743</v>
      </c>
      <c r="I1848" s="43">
        <v>12</v>
      </c>
      <c r="J1848" s="44" t="str">
        <f>VLOOKUP(G1848,[1]硬件清单!$F:$F,1,0)</f>
        <v>210235A3SUH19A000144</v>
      </c>
      <c r="K1848" s="44"/>
      <c r="L1848" s="44"/>
      <c r="M1848" s="45" t="s">
        <v>5744</v>
      </c>
    </row>
    <row r="1849" s="26" customFormat="1" ht="30" customHeight="1" spans="1:13">
      <c r="A1849" s="41">
        <f>IF(C1849="","",SUBTOTAL(103,$C$2:C1849))</f>
        <v>1840</v>
      </c>
      <c r="B1849" s="41">
        <v>9380</v>
      </c>
      <c r="C1849" s="41">
        <v>12392</v>
      </c>
      <c r="D1849" s="41" t="s">
        <v>45</v>
      </c>
      <c r="E1849" s="41" t="s">
        <v>1298</v>
      </c>
      <c r="F1849" s="41" t="s">
        <v>2255</v>
      </c>
      <c r="G1849" s="41" t="s">
        <v>5745</v>
      </c>
      <c r="H1849" s="41" t="s">
        <v>5746</v>
      </c>
      <c r="I1849" s="43">
        <v>12</v>
      </c>
      <c r="J1849" s="44" t="str">
        <f>VLOOKUP(G1849,[1]硬件清单!$F:$F,1,0)</f>
        <v>210235A3SUH19A000287</v>
      </c>
      <c r="K1849" s="44"/>
      <c r="L1849" s="44"/>
      <c r="M1849" s="45" t="s">
        <v>5747</v>
      </c>
    </row>
    <row r="1850" s="26" customFormat="1" ht="30" customHeight="1" spans="1:13">
      <c r="A1850" s="41">
        <f>IF(C1850="","",SUBTOTAL(103,$C$2:C1850))</f>
        <v>1841</v>
      </c>
      <c r="B1850" s="41">
        <v>9381</v>
      </c>
      <c r="C1850" s="41">
        <v>12393</v>
      </c>
      <c r="D1850" s="41" t="s">
        <v>45</v>
      </c>
      <c r="E1850" s="41" t="s">
        <v>1298</v>
      </c>
      <c r="F1850" s="41" t="s">
        <v>2255</v>
      </c>
      <c r="G1850" s="41" t="s">
        <v>5748</v>
      </c>
      <c r="H1850" s="41" t="s">
        <v>5749</v>
      </c>
      <c r="I1850" s="43">
        <v>12</v>
      </c>
      <c r="J1850" s="44" t="str">
        <f>VLOOKUP(G1850,[1]硬件清单!$F:$F,1,0)</f>
        <v>210235A3SUH19A000203</v>
      </c>
      <c r="K1850" s="44"/>
      <c r="L1850" s="44"/>
      <c r="M1850" s="45" t="s">
        <v>5750</v>
      </c>
    </row>
    <row r="1851" s="26" customFormat="1" ht="30" customHeight="1" spans="1:13">
      <c r="A1851" s="41">
        <f>IF(C1851="","",SUBTOTAL(103,$C$2:C1851))</f>
        <v>1842</v>
      </c>
      <c r="B1851" s="41">
        <v>9382</v>
      </c>
      <c r="C1851" s="41">
        <v>12394</v>
      </c>
      <c r="D1851" s="41" t="s">
        <v>45</v>
      </c>
      <c r="E1851" s="41" t="s">
        <v>1298</v>
      </c>
      <c r="F1851" s="41" t="s">
        <v>2255</v>
      </c>
      <c r="G1851" s="41" t="s">
        <v>5751</v>
      </c>
      <c r="H1851" s="41" t="s">
        <v>5752</v>
      </c>
      <c r="I1851" s="43">
        <v>12</v>
      </c>
      <c r="J1851" s="44" t="str">
        <f>VLOOKUP(G1851,[1]硬件清单!$F:$F,1,0)</f>
        <v>210235A3SUH19A000309</v>
      </c>
      <c r="K1851" s="44"/>
      <c r="L1851" s="44"/>
      <c r="M1851" s="45" t="s">
        <v>5753</v>
      </c>
    </row>
    <row r="1852" s="26" customFormat="1" ht="30" customHeight="1" spans="1:13">
      <c r="A1852" s="41">
        <f>IF(C1852="","",SUBTOTAL(103,$C$2:C1852))</f>
        <v>1843</v>
      </c>
      <c r="B1852" s="41">
        <v>9383</v>
      </c>
      <c r="C1852" s="41">
        <v>12395</v>
      </c>
      <c r="D1852" s="41" t="s">
        <v>45</v>
      </c>
      <c r="E1852" s="41" t="s">
        <v>1298</v>
      </c>
      <c r="F1852" s="41" t="s">
        <v>2255</v>
      </c>
      <c r="G1852" s="41" t="s">
        <v>5754</v>
      </c>
      <c r="H1852" s="41" t="s">
        <v>5755</v>
      </c>
      <c r="I1852" s="43">
        <v>12</v>
      </c>
      <c r="J1852" s="44" t="str">
        <f>VLOOKUP(G1852,[1]硬件清单!$F:$F,1,0)</f>
        <v>210235A3SUH19A000300</v>
      </c>
      <c r="K1852" s="44"/>
      <c r="L1852" s="44"/>
      <c r="M1852" s="45" t="s">
        <v>5756</v>
      </c>
    </row>
    <row r="1853" s="26" customFormat="1" ht="30" customHeight="1" spans="1:13">
      <c r="A1853" s="41">
        <f>IF(C1853="","",SUBTOTAL(103,$C$2:C1853))</f>
        <v>1844</v>
      </c>
      <c r="B1853" s="41">
        <v>9403</v>
      </c>
      <c r="C1853" s="41">
        <v>5570</v>
      </c>
      <c r="D1853" s="41" t="s">
        <v>45</v>
      </c>
      <c r="E1853" s="41" t="s">
        <v>1298</v>
      </c>
      <c r="F1853" s="41" t="s">
        <v>4535</v>
      </c>
      <c r="G1853" s="41" t="s">
        <v>5757</v>
      </c>
      <c r="H1853" s="41" t="s">
        <v>5758</v>
      </c>
      <c r="I1853" s="43">
        <v>12</v>
      </c>
      <c r="J1853" s="44" t="str">
        <f>VLOOKUP(G1853,[1]硬件清单!$F:$F,1,0)</f>
        <v>J33GRWD</v>
      </c>
      <c r="K1853" s="43"/>
      <c r="L1853" s="44"/>
      <c r="M1853" s="45" t="s">
        <v>5759</v>
      </c>
    </row>
    <row r="1854" s="26" customFormat="1" ht="30" customHeight="1" spans="1:13">
      <c r="A1854" s="41">
        <f>IF(C1854="","",SUBTOTAL(103,$C$2:C1854))</f>
        <v>1845</v>
      </c>
      <c r="B1854" s="41">
        <v>9404</v>
      </c>
      <c r="C1854" s="41">
        <v>5569</v>
      </c>
      <c r="D1854" s="41" t="s">
        <v>45</v>
      </c>
      <c r="E1854" s="41" t="s">
        <v>1298</v>
      </c>
      <c r="F1854" s="41" t="s">
        <v>4535</v>
      </c>
      <c r="G1854" s="41" t="s">
        <v>5760</v>
      </c>
      <c r="H1854" s="41" t="s">
        <v>5761</v>
      </c>
      <c r="I1854" s="43">
        <v>12</v>
      </c>
      <c r="J1854" s="44" t="str">
        <f>VLOOKUP(G1854,[1]硬件清单!$F:$F,1,0)</f>
        <v>J33GRWL</v>
      </c>
      <c r="K1854" s="43"/>
      <c r="L1854" s="44"/>
      <c r="M1854" s="45" t="s">
        <v>5762</v>
      </c>
    </row>
    <row r="1855" s="26" customFormat="1" ht="30" customHeight="1" spans="1:13">
      <c r="A1855" s="41">
        <f>IF(C1855="","",SUBTOTAL(103,$C$2:C1855))</f>
        <v>1846</v>
      </c>
      <c r="B1855" s="41">
        <v>9405</v>
      </c>
      <c r="C1855" s="41">
        <v>5568</v>
      </c>
      <c r="D1855" s="41" t="s">
        <v>45</v>
      </c>
      <c r="E1855" s="41" t="s">
        <v>1298</v>
      </c>
      <c r="F1855" s="41" t="s">
        <v>4535</v>
      </c>
      <c r="G1855" s="41" t="s">
        <v>5763</v>
      </c>
      <c r="H1855" s="41" t="s">
        <v>5764</v>
      </c>
      <c r="I1855" s="43">
        <v>12</v>
      </c>
      <c r="J1855" s="44" t="str">
        <f>VLOOKUP(G1855,[1]硬件清单!$F:$F,1,0)</f>
        <v>J33GRWT</v>
      </c>
      <c r="K1855" s="43"/>
      <c r="L1855" s="44"/>
      <c r="M1855" s="45" t="s">
        <v>5765</v>
      </c>
    </row>
    <row r="1856" s="26" customFormat="1" ht="30" customHeight="1" spans="1:13">
      <c r="A1856" s="41">
        <f>IF(C1856="","",SUBTOTAL(103,$C$2:C1856))</f>
        <v>1847</v>
      </c>
      <c r="B1856" s="41">
        <v>9406</v>
      </c>
      <c r="C1856" s="41">
        <v>5567</v>
      </c>
      <c r="D1856" s="41" t="s">
        <v>45</v>
      </c>
      <c r="E1856" s="41" t="s">
        <v>1298</v>
      </c>
      <c r="F1856" s="41" t="s">
        <v>4535</v>
      </c>
      <c r="G1856" s="41" t="s">
        <v>5766</v>
      </c>
      <c r="H1856" s="41" t="s">
        <v>5767</v>
      </c>
      <c r="I1856" s="43">
        <v>12</v>
      </c>
      <c r="J1856" s="44" t="str">
        <f>VLOOKUP(G1856,[1]硬件清单!$F:$F,1,0)</f>
        <v>J33GRWG</v>
      </c>
      <c r="K1856" s="43"/>
      <c r="L1856" s="44"/>
      <c r="M1856" s="45" t="s">
        <v>5768</v>
      </c>
    </row>
    <row r="1857" s="26" customFormat="1" ht="30" customHeight="1" spans="1:13">
      <c r="A1857" s="41">
        <f>IF(C1857="","",SUBTOTAL(103,$C$2:C1857))</f>
        <v>1848</v>
      </c>
      <c r="B1857" s="41">
        <v>9407</v>
      </c>
      <c r="C1857" s="41">
        <v>5566</v>
      </c>
      <c r="D1857" s="41" t="s">
        <v>45</v>
      </c>
      <c r="E1857" s="41" t="s">
        <v>1298</v>
      </c>
      <c r="F1857" s="41" t="s">
        <v>4535</v>
      </c>
      <c r="G1857" s="41" t="s">
        <v>5769</v>
      </c>
      <c r="H1857" s="41" t="s">
        <v>5770</v>
      </c>
      <c r="I1857" s="43">
        <v>12</v>
      </c>
      <c r="J1857" s="44" t="str">
        <f>VLOOKUP(G1857,[1]硬件清单!$F:$F,1,0)</f>
        <v>J33GRWR</v>
      </c>
      <c r="K1857" s="43"/>
      <c r="L1857" s="44"/>
      <c r="M1857" s="45" t="s">
        <v>5771</v>
      </c>
    </row>
    <row r="1858" s="26" customFormat="1" ht="30" customHeight="1" spans="1:13">
      <c r="A1858" s="41">
        <f>IF(C1858="","",SUBTOTAL(103,$C$2:C1858))</f>
        <v>1849</v>
      </c>
      <c r="B1858" s="41">
        <v>9408</v>
      </c>
      <c r="C1858" s="41">
        <v>5565</v>
      </c>
      <c r="D1858" s="41" t="s">
        <v>45</v>
      </c>
      <c r="E1858" s="41" t="s">
        <v>1298</v>
      </c>
      <c r="F1858" s="41" t="s">
        <v>4535</v>
      </c>
      <c r="G1858" s="41" t="s">
        <v>5772</v>
      </c>
      <c r="H1858" s="41" t="s">
        <v>5773</v>
      </c>
      <c r="I1858" s="43">
        <v>12</v>
      </c>
      <c r="J1858" s="44" t="str">
        <f>VLOOKUP(G1858,[1]硬件清单!$F:$F,1,0)</f>
        <v>J33GRWM</v>
      </c>
      <c r="K1858" s="43"/>
      <c r="L1858" s="44"/>
      <c r="M1858" s="45" t="s">
        <v>5774</v>
      </c>
    </row>
    <row r="1859" s="26" customFormat="1" ht="30" customHeight="1" spans="1:13">
      <c r="A1859" s="41">
        <f>IF(C1859="","",SUBTOTAL(103,$C$2:C1859))</f>
        <v>1850</v>
      </c>
      <c r="B1859" s="41">
        <v>9505</v>
      </c>
      <c r="C1859" s="41">
        <v>5442</v>
      </c>
      <c r="D1859" s="41" t="s">
        <v>45</v>
      </c>
      <c r="E1859" s="41" t="s">
        <v>1298</v>
      </c>
      <c r="F1859" s="41" t="s">
        <v>4535</v>
      </c>
      <c r="G1859" s="41" t="s">
        <v>5775</v>
      </c>
      <c r="H1859" s="41" t="s">
        <v>5776</v>
      </c>
      <c r="I1859" s="43">
        <v>12</v>
      </c>
      <c r="J1859" s="44" t="str">
        <f>VLOOKUP(G1859,[1]硬件清单!$F:$F,1,0)</f>
        <v>J33GRYL</v>
      </c>
      <c r="K1859" s="43"/>
      <c r="L1859" s="44"/>
      <c r="M1859" s="45" t="s">
        <v>5777</v>
      </c>
    </row>
    <row r="1860" s="26" customFormat="1" ht="30" customHeight="1" spans="1:13">
      <c r="A1860" s="41">
        <f>IF(C1860="","",SUBTOTAL(103,$C$2:C1860))</f>
        <v>1851</v>
      </c>
      <c r="B1860" s="41">
        <v>9506</v>
      </c>
      <c r="C1860" s="41">
        <v>5441</v>
      </c>
      <c r="D1860" s="41" t="s">
        <v>45</v>
      </c>
      <c r="E1860" s="41" t="s">
        <v>1298</v>
      </c>
      <c r="F1860" s="41" t="s">
        <v>4535</v>
      </c>
      <c r="G1860" s="41" t="s">
        <v>5778</v>
      </c>
      <c r="H1860" s="41" t="s">
        <v>5779</v>
      </c>
      <c r="I1860" s="43">
        <v>12</v>
      </c>
      <c r="J1860" s="44" t="str">
        <f>VLOOKUP(G1860,[1]硬件清单!$F:$F,1,0)</f>
        <v>J33GRYK</v>
      </c>
      <c r="K1860" s="43"/>
      <c r="L1860" s="44"/>
      <c r="M1860" s="45" t="s">
        <v>5780</v>
      </c>
    </row>
    <row r="1861" s="26" customFormat="1" ht="30" customHeight="1" spans="1:13">
      <c r="A1861" s="41">
        <f>IF(C1861="","",SUBTOTAL(103,$C$2:C1861))</f>
        <v>1852</v>
      </c>
      <c r="B1861" s="41">
        <v>9507</v>
      </c>
      <c r="C1861" s="41">
        <v>5552</v>
      </c>
      <c r="D1861" s="41" t="s">
        <v>45</v>
      </c>
      <c r="E1861" s="41" t="s">
        <v>1298</v>
      </c>
      <c r="F1861" s="41" t="s">
        <v>4535</v>
      </c>
      <c r="G1861" s="41" t="s">
        <v>5781</v>
      </c>
      <c r="H1861" s="41" t="s">
        <v>5782</v>
      </c>
      <c r="I1861" s="43">
        <v>12</v>
      </c>
      <c r="J1861" s="44" t="str">
        <f>VLOOKUP(G1861,[1]硬件清单!$F:$F,1,0)</f>
        <v>J33GYDA</v>
      </c>
      <c r="K1861" s="43"/>
      <c r="L1861" s="44"/>
      <c r="M1861" s="45" t="s">
        <v>5783</v>
      </c>
    </row>
    <row r="1862" s="26" customFormat="1" ht="30" customHeight="1" spans="1:13">
      <c r="A1862" s="41">
        <f>IF(C1862="","",SUBTOTAL(103,$C$2:C1862))</f>
        <v>1853</v>
      </c>
      <c r="B1862" s="41">
        <v>9508</v>
      </c>
      <c r="C1862" s="41">
        <v>5551</v>
      </c>
      <c r="D1862" s="41" t="s">
        <v>45</v>
      </c>
      <c r="E1862" s="41" t="s">
        <v>1298</v>
      </c>
      <c r="F1862" s="41" t="s">
        <v>4535</v>
      </c>
      <c r="G1862" s="41" t="s">
        <v>5784</v>
      </c>
      <c r="H1862" s="41" t="s">
        <v>5785</v>
      </c>
      <c r="I1862" s="43">
        <v>12</v>
      </c>
      <c r="J1862" s="44" t="str">
        <f>VLOOKUP(G1862,[1]硬件清单!$F:$F,1,0)</f>
        <v>J33H3EM</v>
      </c>
      <c r="K1862" s="43"/>
      <c r="L1862" s="44"/>
      <c r="M1862" s="45" t="s">
        <v>5786</v>
      </c>
    </row>
    <row r="1863" s="26" customFormat="1" ht="30" customHeight="1" spans="1:13">
      <c r="A1863" s="41">
        <f>IF(C1863="","",SUBTOTAL(103,$C$2:C1863))</f>
        <v>1854</v>
      </c>
      <c r="B1863" s="41">
        <v>9509</v>
      </c>
      <c r="C1863" s="41">
        <v>5550</v>
      </c>
      <c r="D1863" s="41" t="s">
        <v>45</v>
      </c>
      <c r="E1863" s="41" t="s">
        <v>1298</v>
      </c>
      <c r="F1863" s="41" t="s">
        <v>4535</v>
      </c>
      <c r="G1863" s="41" t="s">
        <v>5787</v>
      </c>
      <c r="H1863" s="41" t="s">
        <v>5788</v>
      </c>
      <c r="I1863" s="43">
        <v>12</v>
      </c>
      <c r="J1863" s="44" t="str">
        <f>VLOOKUP(G1863,[1]硬件清单!$F:$F,1,0)</f>
        <v>J33GYDB</v>
      </c>
      <c r="K1863" s="43"/>
      <c r="L1863" s="44"/>
      <c r="M1863" s="45" t="s">
        <v>5789</v>
      </c>
    </row>
    <row r="1864" s="26" customFormat="1" ht="30" customHeight="1" spans="1:13">
      <c r="A1864" s="41">
        <f>IF(C1864="","",SUBTOTAL(103,$C$2:C1864))</f>
        <v>1855</v>
      </c>
      <c r="B1864" s="41">
        <v>9510</v>
      </c>
      <c r="C1864" s="41">
        <v>5549</v>
      </c>
      <c r="D1864" s="41" t="s">
        <v>45</v>
      </c>
      <c r="E1864" s="41" t="s">
        <v>1298</v>
      </c>
      <c r="F1864" s="41" t="s">
        <v>4535</v>
      </c>
      <c r="G1864" s="41" t="s">
        <v>5790</v>
      </c>
      <c r="H1864" s="41" t="s">
        <v>5791</v>
      </c>
      <c r="I1864" s="43">
        <v>12</v>
      </c>
      <c r="J1864" s="44" t="str">
        <f>VLOOKUP(G1864,[1]硬件清单!$F:$F,1,0)</f>
        <v>J33H3EL</v>
      </c>
      <c r="K1864" s="43"/>
      <c r="L1864" s="44"/>
      <c r="M1864" s="45" t="s">
        <v>5792</v>
      </c>
    </row>
    <row r="1865" s="26" customFormat="1" ht="30" customHeight="1" spans="1:13">
      <c r="A1865" s="41">
        <f>IF(C1865="","",SUBTOTAL(103,$C$2:C1865))</f>
        <v>1856</v>
      </c>
      <c r="B1865" s="41">
        <v>9511</v>
      </c>
      <c r="C1865" s="41">
        <v>5548</v>
      </c>
      <c r="D1865" s="41" t="s">
        <v>45</v>
      </c>
      <c r="E1865" s="41" t="s">
        <v>1298</v>
      </c>
      <c r="F1865" s="41" t="s">
        <v>4535</v>
      </c>
      <c r="G1865" s="41" t="s">
        <v>5793</v>
      </c>
      <c r="H1865" s="41" t="s">
        <v>5794</v>
      </c>
      <c r="I1865" s="43">
        <v>12</v>
      </c>
      <c r="J1865" s="44" t="str">
        <f>VLOOKUP(G1865,[1]硬件清单!$F:$F,1,0)</f>
        <v>J33GRYM</v>
      </c>
      <c r="K1865" s="43"/>
      <c r="L1865" s="44"/>
      <c r="M1865" s="45" t="s">
        <v>5795</v>
      </c>
    </row>
    <row r="1866" s="26" customFormat="1" ht="30" customHeight="1" spans="1:13">
      <c r="A1866" s="41">
        <f>IF(C1866="","",SUBTOTAL(103,$C$2:C1866))</f>
        <v>1857</v>
      </c>
      <c r="B1866" s="41">
        <v>9512</v>
      </c>
      <c r="C1866" s="41">
        <v>5547</v>
      </c>
      <c r="D1866" s="41" t="s">
        <v>45</v>
      </c>
      <c r="E1866" s="41" t="s">
        <v>1298</v>
      </c>
      <c r="F1866" s="41" t="s">
        <v>4535</v>
      </c>
      <c r="G1866" s="41" t="s">
        <v>5796</v>
      </c>
      <c r="H1866" s="41" t="s">
        <v>5797</v>
      </c>
      <c r="I1866" s="43">
        <v>12</v>
      </c>
      <c r="J1866" s="44" t="str">
        <f>VLOOKUP(G1866,[1]硬件清单!$F:$F,1,0)</f>
        <v>J33GRYP</v>
      </c>
      <c r="K1866" s="43"/>
      <c r="L1866" s="44"/>
      <c r="M1866" s="45" t="s">
        <v>5798</v>
      </c>
    </row>
    <row r="1867" s="26" customFormat="1" ht="30" customHeight="1" spans="1:13">
      <c r="A1867" s="41">
        <f>IF(C1867="","",SUBTOTAL(103,$C$2:C1867))</f>
        <v>1858</v>
      </c>
      <c r="B1867" s="41">
        <v>9513</v>
      </c>
      <c r="C1867" s="41">
        <v>5440</v>
      </c>
      <c r="D1867" s="41" t="s">
        <v>45</v>
      </c>
      <c r="E1867" s="41" t="s">
        <v>1298</v>
      </c>
      <c r="F1867" s="41" t="s">
        <v>4535</v>
      </c>
      <c r="G1867" s="41" t="s">
        <v>5799</v>
      </c>
      <c r="H1867" s="41" t="s">
        <v>5800</v>
      </c>
      <c r="I1867" s="43">
        <v>12</v>
      </c>
      <c r="J1867" s="44" t="str">
        <f>VLOOKUP(G1867,[1]硬件清单!$F:$F,1,0)</f>
        <v>J33GRYR</v>
      </c>
      <c r="K1867" s="43"/>
      <c r="L1867" s="44"/>
      <c r="M1867" s="45" t="s">
        <v>5801</v>
      </c>
    </row>
    <row r="1868" s="26" customFormat="1" ht="30" customHeight="1" spans="1:13">
      <c r="A1868" s="41">
        <f>IF(C1868="","",SUBTOTAL(103,$C$2:C1868))</f>
        <v>1859</v>
      </c>
      <c r="B1868" s="41">
        <v>9514</v>
      </c>
      <c r="C1868" s="41">
        <v>5439</v>
      </c>
      <c r="D1868" s="41" t="s">
        <v>45</v>
      </c>
      <c r="E1868" s="41" t="s">
        <v>1298</v>
      </c>
      <c r="F1868" s="41" t="s">
        <v>4535</v>
      </c>
      <c r="G1868" s="41" t="s">
        <v>5802</v>
      </c>
      <c r="H1868" s="41" t="s">
        <v>5803</v>
      </c>
      <c r="I1868" s="43">
        <v>12</v>
      </c>
      <c r="J1868" s="44" t="str">
        <f>VLOOKUP(G1868,[1]硬件清单!$F:$F,1,0)</f>
        <v>J33GRYH</v>
      </c>
      <c r="K1868" s="43"/>
      <c r="L1868" s="44"/>
      <c r="M1868" s="45" t="s">
        <v>5804</v>
      </c>
    </row>
    <row r="1869" s="26" customFormat="1" ht="30" customHeight="1" spans="1:13">
      <c r="A1869" s="41">
        <f>IF(C1869="","",SUBTOTAL(103,$C$2:C1869))</f>
        <v>1860</v>
      </c>
      <c r="B1869" s="41">
        <v>9516</v>
      </c>
      <c r="C1869" s="41">
        <v>5438</v>
      </c>
      <c r="D1869" s="41" t="s">
        <v>45</v>
      </c>
      <c r="E1869" s="41" t="s">
        <v>1298</v>
      </c>
      <c r="F1869" s="41" t="s">
        <v>4535</v>
      </c>
      <c r="G1869" s="41" t="s">
        <v>5805</v>
      </c>
      <c r="H1869" s="41" t="s">
        <v>5806</v>
      </c>
      <c r="I1869" s="43">
        <v>12</v>
      </c>
      <c r="J1869" s="44" t="str">
        <f>VLOOKUP(G1869,[1]硬件清单!$F:$F,1,0)</f>
        <v>J33GRYG</v>
      </c>
      <c r="K1869" s="43"/>
      <c r="L1869" s="44"/>
      <c r="M1869" s="45" t="s">
        <v>5807</v>
      </c>
    </row>
    <row r="1870" s="26" customFormat="1" ht="30" customHeight="1" spans="1:13">
      <c r="A1870" s="41">
        <f>IF(C1870="","",SUBTOTAL(103,$C$2:C1870))</f>
        <v>1861</v>
      </c>
      <c r="B1870" s="41">
        <v>9517</v>
      </c>
      <c r="C1870" s="41">
        <v>5437</v>
      </c>
      <c r="D1870" s="41" t="s">
        <v>45</v>
      </c>
      <c r="E1870" s="41" t="s">
        <v>1298</v>
      </c>
      <c r="F1870" s="41" t="s">
        <v>4535</v>
      </c>
      <c r="G1870" s="41" t="s">
        <v>5808</v>
      </c>
      <c r="H1870" s="41" t="s">
        <v>5809</v>
      </c>
      <c r="I1870" s="43">
        <v>12</v>
      </c>
      <c r="J1870" s="44" t="str">
        <f>VLOOKUP(G1870,[1]硬件清单!$F:$F,1,0)</f>
        <v>J33GRYN</v>
      </c>
      <c r="K1870" s="43"/>
      <c r="L1870" s="44"/>
      <c r="M1870" s="45" t="s">
        <v>5810</v>
      </c>
    </row>
    <row r="1871" s="26" customFormat="1" ht="30" customHeight="1" spans="1:13">
      <c r="A1871" s="41">
        <f>IF(C1871="","",SUBTOTAL(103,$C$2:C1871))</f>
        <v>1862</v>
      </c>
      <c r="B1871" s="41">
        <v>9675</v>
      </c>
      <c r="C1871" s="41">
        <v>7426</v>
      </c>
      <c r="D1871" s="41" t="s">
        <v>19</v>
      </c>
      <c r="E1871" s="41" t="s">
        <v>20</v>
      </c>
      <c r="F1871" s="41" t="s">
        <v>5811</v>
      </c>
      <c r="G1871" s="41" t="s">
        <v>5812</v>
      </c>
      <c r="H1871" s="41" t="s">
        <v>5813</v>
      </c>
      <c r="I1871" s="43">
        <v>12</v>
      </c>
      <c r="J1871" s="44" t="str">
        <f>VLOOKUP(G1871,[1]硬件清单!$F:$F,1,0)</f>
        <v>210235A0J7X149000005</v>
      </c>
      <c r="K1871" s="44"/>
      <c r="L1871" s="44" t="s">
        <v>17</v>
      </c>
      <c r="M1871" s="45" t="s">
        <v>5814</v>
      </c>
    </row>
    <row r="1872" s="26" customFormat="1" ht="30" customHeight="1" spans="1:13">
      <c r="A1872" s="41">
        <f>IF(C1872="","",SUBTOTAL(103,$C$2:C1872))</f>
        <v>1863</v>
      </c>
      <c r="B1872" s="41">
        <v>9677</v>
      </c>
      <c r="C1872" s="41">
        <v>7427</v>
      </c>
      <c r="D1872" s="41" t="s">
        <v>19</v>
      </c>
      <c r="E1872" s="41" t="s">
        <v>20</v>
      </c>
      <c r="F1872" s="41" t="s">
        <v>5811</v>
      </c>
      <c r="G1872" s="41" t="s">
        <v>5815</v>
      </c>
      <c r="H1872" s="41" t="s">
        <v>5816</v>
      </c>
      <c r="I1872" s="43">
        <v>12</v>
      </c>
      <c r="J1872" s="44" t="str">
        <f>VLOOKUP(G1872,[1]硬件清单!$F:$F,1,0)</f>
        <v>210235A0J7X149000002</v>
      </c>
      <c r="K1872" s="44"/>
      <c r="L1872" s="44" t="s">
        <v>17</v>
      </c>
      <c r="M1872" s="45" t="s">
        <v>5817</v>
      </c>
    </row>
    <row r="1873" s="26" customFormat="1" ht="30" customHeight="1" spans="1:13">
      <c r="A1873" s="41">
        <f>IF(C1873="","",SUBTOTAL(103,$C$2:C1873))</f>
        <v>1864</v>
      </c>
      <c r="B1873" s="41">
        <v>9679</v>
      </c>
      <c r="C1873" s="41">
        <v>7433</v>
      </c>
      <c r="D1873" s="41" t="s">
        <v>19</v>
      </c>
      <c r="E1873" s="41" t="s">
        <v>20</v>
      </c>
      <c r="F1873" s="41" t="s">
        <v>5818</v>
      </c>
      <c r="G1873" s="41" t="s">
        <v>5819</v>
      </c>
      <c r="H1873" s="41" t="s">
        <v>5820</v>
      </c>
      <c r="I1873" s="43">
        <v>12</v>
      </c>
      <c r="J1873" s="44" t="str">
        <f>VLOOKUP(G1873,[1]硬件清单!$F:$F,1,0)</f>
        <v>FDO1710P1GZ</v>
      </c>
      <c r="K1873" s="43"/>
      <c r="L1873" s="44"/>
      <c r="M1873" s="45" t="s">
        <v>5821</v>
      </c>
    </row>
    <row r="1874" s="26" customFormat="1" ht="30" customHeight="1" spans="1:13">
      <c r="A1874" s="41">
        <f>IF(C1874="","",SUBTOTAL(103,$C$2:C1874))</f>
        <v>1865</v>
      </c>
      <c r="B1874" s="41">
        <v>9680</v>
      </c>
      <c r="C1874" s="46">
        <v>2546</v>
      </c>
      <c r="D1874" s="46" t="s">
        <v>19</v>
      </c>
      <c r="E1874" s="46" t="s">
        <v>20</v>
      </c>
      <c r="F1874" s="46" t="s">
        <v>2383</v>
      </c>
      <c r="G1874" s="41" t="s">
        <v>5822</v>
      </c>
      <c r="H1874" s="41" t="s">
        <v>5823</v>
      </c>
      <c r="I1874" s="43">
        <v>12</v>
      </c>
      <c r="J1874" s="44" t="str">
        <f>VLOOKUP(G1874,[1]硬件清单!$F:$F,1,0)</f>
        <v>219801A12T9198Q001JN</v>
      </c>
      <c r="K1874" s="43"/>
      <c r="L1874" s="44"/>
      <c r="M1874" s="45" t="s">
        <v>5824</v>
      </c>
    </row>
    <row r="1875" s="26" customFormat="1" ht="30" customHeight="1" spans="1:13">
      <c r="A1875" s="41">
        <f>IF(C1875="","",SUBTOTAL(103,$C$2:C1875))</f>
        <v>1866</v>
      </c>
      <c r="B1875" s="41">
        <v>9681</v>
      </c>
      <c r="C1875" s="46">
        <v>2512</v>
      </c>
      <c r="D1875" s="46" t="s">
        <v>19</v>
      </c>
      <c r="E1875" s="46" t="s">
        <v>20</v>
      </c>
      <c r="F1875" s="46" t="s">
        <v>3778</v>
      </c>
      <c r="G1875" s="41" t="s">
        <v>5825</v>
      </c>
      <c r="H1875" s="41" t="s">
        <v>5826</v>
      </c>
      <c r="I1875" s="43">
        <v>12</v>
      </c>
      <c r="J1875" s="44" t="str">
        <f>VLOOKUP(G1875,[1]硬件清单!$F:$F,1,0)</f>
        <v>2102350DLVDMK8001019</v>
      </c>
      <c r="K1875" s="43"/>
      <c r="L1875" s="44"/>
      <c r="M1875" s="45" t="s">
        <v>5827</v>
      </c>
    </row>
    <row r="1876" s="26" customFormat="1" ht="30" customHeight="1" spans="1:13">
      <c r="A1876" s="41">
        <f>IF(C1876="","",SUBTOTAL(103,$C$2:C1876))</f>
        <v>1867</v>
      </c>
      <c r="B1876" s="41">
        <v>9682</v>
      </c>
      <c r="C1876" s="41">
        <v>7434</v>
      </c>
      <c r="D1876" s="41" t="s">
        <v>19</v>
      </c>
      <c r="E1876" s="41" t="s">
        <v>20</v>
      </c>
      <c r="F1876" s="41" t="s">
        <v>5818</v>
      </c>
      <c r="G1876" s="41" t="s">
        <v>5828</v>
      </c>
      <c r="H1876" s="41" t="s">
        <v>5829</v>
      </c>
      <c r="I1876" s="43">
        <v>12</v>
      </c>
      <c r="J1876" s="44" t="str">
        <f>VLOOKUP(G1876,[1]硬件清单!$F:$F,1,0)</f>
        <v>FDO1710P1CP</v>
      </c>
      <c r="K1876" s="43"/>
      <c r="L1876" s="44"/>
      <c r="M1876" s="45" t="s">
        <v>5830</v>
      </c>
    </row>
    <row r="1877" s="26" customFormat="1" ht="30" customHeight="1" spans="1:13">
      <c r="A1877" s="41">
        <f>IF(C1877="","",SUBTOTAL(103,$C$2:C1877))</f>
        <v>1868</v>
      </c>
      <c r="B1877" s="41">
        <v>9683</v>
      </c>
      <c r="C1877" s="46">
        <v>2547</v>
      </c>
      <c r="D1877" s="46" t="s">
        <v>19</v>
      </c>
      <c r="E1877" s="46" t="s">
        <v>20</v>
      </c>
      <c r="F1877" s="46" t="s">
        <v>2383</v>
      </c>
      <c r="G1877" s="41" t="s">
        <v>5831</v>
      </c>
      <c r="H1877" s="41" t="s">
        <v>5832</v>
      </c>
      <c r="I1877" s="43">
        <v>12</v>
      </c>
      <c r="J1877" s="44" t="str">
        <f>VLOOKUP(G1877,[1]硬件清单!$F:$F,1,0)</f>
        <v>219801A12T919AQ00024</v>
      </c>
      <c r="K1877" s="43"/>
      <c r="L1877" s="44"/>
      <c r="M1877" s="45" t="s">
        <v>5833</v>
      </c>
    </row>
    <row r="1878" s="26" customFormat="1" ht="30" customHeight="1" spans="1:13">
      <c r="A1878" s="41">
        <f>IF(C1878="","",SUBTOTAL(103,$C$2:C1878))</f>
        <v>1869</v>
      </c>
      <c r="B1878" s="41">
        <v>9684</v>
      </c>
      <c r="C1878" s="46">
        <v>2513</v>
      </c>
      <c r="D1878" s="46" t="s">
        <v>19</v>
      </c>
      <c r="E1878" s="46" t="s">
        <v>20</v>
      </c>
      <c r="F1878" s="46" t="s">
        <v>3778</v>
      </c>
      <c r="G1878" s="41" t="s">
        <v>5834</v>
      </c>
      <c r="H1878" s="41" t="s">
        <v>5835</v>
      </c>
      <c r="I1878" s="43">
        <v>12</v>
      </c>
      <c r="J1878" s="44" t="str">
        <f>VLOOKUP(G1878,[1]硬件清单!$F:$F,1,0)</f>
        <v>2102350DLVDMK8001609</v>
      </c>
      <c r="K1878" s="43"/>
      <c r="L1878" s="44"/>
      <c r="M1878" s="45" t="s">
        <v>5836</v>
      </c>
    </row>
    <row r="1879" s="26" customFormat="1" ht="30" customHeight="1" spans="1:13">
      <c r="A1879" s="41">
        <f>IF(C1879="","",SUBTOTAL(103,$C$2:C1879))</f>
        <v>1870</v>
      </c>
      <c r="B1879" s="41">
        <v>9685</v>
      </c>
      <c r="C1879" s="41">
        <v>15467</v>
      </c>
      <c r="D1879" s="41" t="s">
        <v>45</v>
      </c>
      <c r="E1879" s="41" t="s">
        <v>246</v>
      </c>
      <c r="F1879" s="41" t="s">
        <v>5837</v>
      </c>
      <c r="G1879" s="41" t="s">
        <v>5838</v>
      </c>
      <c r="H1879" s="41" t="s">
        <v>5839</v>
      </c>
      <c r="I1879" s="43">
        <v>12</v>
      </c>
      <c r="J1879" s="44" t="str">
        <f>VLOOKUP(G1879,[1]硬件清单!$F:$F,1,0)</f>
        <v>SGH118XNTC</v>
      </c>
      <c r="K1879" s="43"/>
      <c r="L1879" s="44"/>
      <c r="M1879" s="45" t="s">
        <v>5840</v>
      </c>
    </row>
    <row r="1880" s="26" customFormat="1" ht="30" customHeight="1" spans="1:13">
      <c r="A1880" s="41">
        <f>IF(C1880="","",SUBTOTAL(103,$C$2:C1880))</f>
        <v>1871</v>
      </c>
      <c r="B1880" s="41">
        <v>9688</v>
      </c>
      <c r="C1880" s="46">
        <v>3578</v>
      </c>
      <c r="D1880" s="46" t="s">
        <v>45</v>
      </c>
      <c r="E1880" s="46" t="s">
        <v>1298</v>
      </c>
      <c r="F1880" s="46" t="s">
        <v>4535</v>
      </c>
      <c r="G1880" s="41" t="s">
        <v>5841</v>
      </c>
      <c r="H1880" s="41" t="s">
        <v>5842</v>
      </c>
      <c r="I1880" s="43">
        <v>12</v>
      </c>
      <c r="J1880" s="44" t="str">
        <f>VLOOKUP(G1880,[1]硬件清单!$F:$F,1,0)</f>
        <v>J33GRYB</v>
      </c>
      <c r="K1880" s="43"/>
      <c r="L1880" s="44"/>
      <c r="M1880" s="45" t="s">
        <v>5843</v>
      </c>
    </row>
    <row r="1881" s="26" customFormat="1" ht="30" customHeight="1" spans="1:13">
      <c r="A1881" s="41">
        <f>IF(C1881="","",SUBTOTAL(103,$C$2:C1881))</f>
        <v>1872</v>
      </c>
      <c r="B1881" s="41">
        <v>9689</v>
      </c>
      <c r="C1881" s="41">
        <v>3577</v>
      </c>
      <c r="D1881" s="41" t="s">
        <v>45</v>
      </c>
      <c r="E1881" s="41" t="s">
        <v>1298</v>
      </c>
      <c r="F1881" s="41" t="s">
        <v>4535</v>
      </c>
      <c r="G1881" s="41" t="s">
        <v>5844</v>
      </c>
      <c r="H1881" s="41" t="s">
        <v>5845</v>
      </c>
      <c r="I1881" s="43">
        <v>12</v>
      </c>
      <c r="J1881" s="44" t="str">
        <f>VLOOKUP(G1881,[1]硬件清单!$F:$F,1,0)</f>
        <v>J33GRY7</v>
      </c>
      <c r="K1881" s="43"/>
      <c r="L1881" s="44"/>
      <c r="M1881" s="45" t="s">
        <v>5846</v>
      </c>
    </row>
    <row r="1882" s="26" customFormat="1" ht="30" customHeight="1" spans="1:13">
      <c r="A1882" s="41">
        <f>IF(C1882="","",SUBTOTAL(103,$C$2:C1882))</f>
        <v>1873</v>
      </c>
      <c r="B1882" s="41">
        <v>9690</v>
      </c>
      <c r="C1882" s="41">
        <v>3576</v>
      </c>
      <c r="D1882" s="41" t="s">
        <v>45</v>
      </c>
      <c r="E1882" s="41" t="s">
        <v>1298</v>
      </c>
      <c r="F1882" s="41" t="s">
        <v>4535</v>
      </c>
      <c r="G1882" s="41" t="s">
        <v>5847</v>
      </c>
      <c r="H1882" s="41" t="s">
        <v>5848</v>
      </c>
      <c r="I1882" s="43">
        <v>12</v>
      </c>
      <c r="J1882" s="44" t="str">
        <f>VLOOKUP(G1882,[1]硬件清单!$F:$F,1,0)</f>
        <v>J33GRY8</v>
      </c>
      <c r="K1882" s="43"/>
      <c r="L1882" s="44"/>
      <c r="M1882" s="45" t="s">
        <v>5849</v>
      </c>
    </row>
    <row r="1883" s="26" customFormat="1" ht="30" customHeight="1" spans="1:13">
      <c r="A1883" s="41">
        <f>IF(C1883="","",SUBTOTAL(103,$C$2:C1883))</f>
        <v>1874</v>
      </c>
      <c r="B1883" s="41">
        <v>9691</v>
      </c>
      <c r="C1883" s="41">
        <v>3575</v>
      </c>
      <c r="D1883" s="41" t="s">
        <v>45</v>
      </c>
      <c r="E1883" s="41" t="s">
        <v>1298</v>
      </c>
      <c r="F1883" s="41" t="s">
        <v>4535</v>
      </c>
      <c r="G1883" s="41" t="s">
        <v>5850</v>
      </c>
      <c r="H1883" s="41" t="s">
        <v>5851</v>
      </c>
      <c r="I1883" s="43">
        <v>12</v>
      </c>
      <c r="J1883" s="44" t="str">
        <f>VLOOKUP(G1883,[1]硬件清单!$F:$F,1,0)</f>
        <v>J33GRYF</v>
      </c>
      <c r="K1883" s="43"/>
      <c r="L1883" s="44"/>
      <c r="M1883" s="45" t="s">
        <v>5852</v>
      </c>
    </row>
    <row r="1884" s="26" customFormat="1" ht="30" customHeight="1" spans="1:13">
      <c r="A1884" s="41">
        <f>IF(C1884="","",SUBTOTAL(103,$C$2:C1884))</f>
        <v>1875</v>
      </c>
      <c r="B1884" s="41">
        <v>9692</v>
      </c>
      <c r="C1884" s="41">
        <v>3574</v>
      </c>
      <c r="D1884" s="41" t="s">
        <v>45</v>
      </c>
      <c r="E1884" s="41" t="s">
        <v>1298</v>
      </c>
      <c r="F1884" s="41" t="s">
        <v>4535</v>
      </c>
      <c r="G1884" s="41" t="s">
        <v>5853</v>
      </c>
      <c r="H1884" s="41" t="s">
        <v>5854</v>
      </c>
      <c r="I1884" s="43">
        <v>12</v>
      </c>
      <c r="J1884" s="44" t="str">
        <f>VLOOKUP(G1884,[1]硬件清单!$F:$F,1,0)</f>
        <v>J33GRYD</v>
      </c>
      <c r="K1884" s="43"/>
      <c r="L1884" s="44"/>
      <c r="M1884" s="45" t="s">
        <v>5855</v>
      </c>
    </row>
    <row r="1885" s="26" customFormat="1" ht="30" customHeight="1" spans="1:13">
      <c r="A1885" s="41">
        <f>IF(C1885="","",SUBTOTAL(103,$C$2:C1885))</f>
        <v>1876</v>
      </c>
      <c r="B1885" s="41">
        <v>9693</v>
      </c>
      <c r="C1885" s="41">
        <v>3582</v>
      </c>
      <c r="D1885" s="41" t="s">
        <v>45</v>
      </c>
      <c r="E1885" s="41" t="s">
        <v>1298</v>
      </c>
      <c r="F1885" s="41" t="s">
        <v>4535</v>
      </c>
      <c r="G1885" s="41" t="s">
        <v>5856</v>
      </c>
      <c r="H1885" s="41" t="s">
        <v>5857</v>
      </c>
      <c r="I1885" s="43">
        <v>12</v>
      </c>
      <c r="J1885" s="44" t="str">
        <f>VLOOKUP(G1885,[1]硬件清单!$F:$F,1,0)</f>
        <v>J33GRYA</v>
      </c>
      <c r="K1885" s="43"/>
      <c r="L1885" s="44"/>
      <c r="M1885" s="45" t="s">
        <v>5858</v>
      </c>
    </row>
    <row r="1886" s="26" customFormat="1" ht="30" customHeight="1" spans="1:13">
      <c r="A1886" s="41">
        <f>IF(C1886="","",SUBTOTAL(103,$C$2:C1886))</f>
        <v>1877</v>
      </c>
      <c r="B1886" s="41">
        <v>9694</v>
      </c>
      <c r="C1886" s="41">
        <v>3581</v>
      </c>
      <c r="D1886" s="41" t="s">
        <v>45</v>
      </c>
      <c r="E1886" s="41" t="s">
        <v>1298</v>
      </c>
      <c r="F1886" s="41" t="s">
        <v>4535</v>
      </c>
      <c r="G1886" s="41" t="s">
        <v>5859</v>
      </c>
      <c r="H1886" s="41" t="s">
        <v>5860</v>
      </c>
      <c r="I1886" s="43">
        <v>12</v>
      </c>
      <c r="J1886" s="44" t="str">
        <f>VLOOKUP(G1886,[1]硬件清单!$F:$F,1,0)</f>
        <v>J33GRYC</v>
      </c>
      <c r="K1886" s="43"/>
      <c r="L1886" s="44"/>
      <c r="M1886" s="45" t="s">
        <v>5861</v>
      </c>
    </row>
    <row r="1887" s="26" customFormat="1" ht="30" customHeight="1" spans="1:13">
      <c r="A1887" s="41">
        <f>IF(C1887="","",SUBTOTAL(103,$C$2:C1887))</f>
        <v>1878</v>
      </c>
      <c r="B1887" s="41">
        <v>9695</v>
      </c>
      <c r="C1887" s="41">
        <v>3580</v>
      </c>
      <c r="D1887" s="41" t="s">
        <v>45</v>
      </c>
      <c r="E1887" s="41" t="s">
        <v>1298</v>
      </c>
      <c r="F1887" s="41" t="s">
        <v>4535</v>
      </c>
      <c r="G1887" s="41" t="s">
        <v>5862</v>
      </c>
      <c r="H1887" s="41" t="s">
        <v>5863</v>
      </c>
      <c r="I1887" s="43">
        <v>12</v>
      </c>
      <c r="J1887" s="44" t="str">
        <f>VLOOKUP(G1887,[1]硬件清单!$F:$F,1,0)</f>
        <v>J33GRY9</v>
      </c>
      <c r="K1887" s="43"/>
      <c r="L1887" s="44"/>
      <c r="M1887" s="45" t="s">
        <v>5864</v>
      </c>
    </row>
    <row r="1888" s="26" customFormat="1" ht="30" customHeight="1" spans="1:13">
      <c r="A1888" s="41">
        <f>IF(C1888="","",SUBTOTAL(103,$C$2:C1888))</f>
        <v>1879</v>
      </c>
      <c r="B1888" s="41">
        <v>9696</v>
      </c>
      <c r="C1888" s="41">
        <v>3579</v>
      </c>
      <c r="D1888" s="41" t="s">
        <v>45</v>
      </c>
      <c r="E1888" s="41" t="s">
        <v>1298</v>
      </c>
      <c r="F1888" s="41" t="s">
        <v>4535</v>
      </c>
      <c r="G1888" s="41" t="s">
        <v>5865</v>
      </c>
      <c r="H1888" s="41" t="s">
        <v>5866</v>
      </c>
      <c r="I1888" s="43">
        <v>12</v>
      </c>
      <c r="J1888" s="44" t="str">
        <f>VLOOKUP(G1888,[1]硬件清单!$F:$F,1,0)</f>
        <v>J33GRYE</v>
      </c>
      <c r="K1888" s="43"/>
      <c r="L1888" s="44"/>
      <c r="M1888" s="45" t="s">
        <v>5867</v>
      </c>
    </row>
    <row r="1889" s="26" customFormat="1" ht="30" customHeight="1" spans="1:13">
      <c r="A1889" s="41">
        <f>IF(C1889="","",SUBTOTAL(103,$C$2:C1889))</f>
        <v>1880</v>
      </c>
      <c r="B1889" s="41">
        <v>9745</v>
      </c>
      <c r="C1889" s="46">
        <v>2509</v>
      </c>
      <c r="D1889" s="46" t="s">
        <v>19</v>
      </c>
      <c r="E1889" s="46" t="s">
        <v>20</v>
      </c>
      <c r="F1889" s="46" t="s">
        <v>3778</v>
      </c>
      <c r="G1889" s="41" t="s">
        <v>5868</v>
      </c>
      <c r="H1889" s="41" t="s">
        <v>5869</v>
      </c>
      <c r="I1889" s="43">
        <v>12</v>
      </c>
      <c r="J1889" s="44" t="str">
        <f>VLOOKUP(G1889,[1]硬件清单!$F:$F,1,0)</f>
        <v>2102350DLVDMK8000148</v>
      </c>
      <c r="K1889" s="43"/>
      <c r="L1889" s="44"/>
      <c r="M1889" s="45" t="s">
        <v>5870</v>
      </c>
    </row>
    <row r="1890" s="26" customFormat="1" ht="30" customHeight="1" spans="1:13">
      <c r="A1890" s="41">
        <f>IF(C1890="","",SUBTOTAL(103,$C$2:C1890))</f>
        <v>1881</v>
      </c>
      <c r="B1890" s="41">
        <v>9747</v>
      </c>
      <c r="C1890" s="46">
        <v>2504</v>
      </c>
      <c r="D1890" s="46" t="s">
        <v>19</v>
      </c>
      <c r="E1890" s="46" t="s">
        <v>20</v>
      </c>
      <c r="F1890" s="46" t="s">
        <v>3778</v>
      </c>
      <c r="G1890" s="41" t="s">
        <v>5871</v>
      </c>
      <c r="H1890" s="41" t="s">
        <v>5872</v>
      </c>
      <c r="I1890" s="43">
        <v>12</v>
      </c>
      <c r="J1890" s="44" t="str">
        <f>VLOOKUP(G1890,[1]硬件清单!$F:$F,1,0)</f>
        <v>2102350DLVDMK8000096</v>
      </c>
      <c r="K1890" s="43"/>
      <c r="L1890" s="44"/>
      <c r="M1890" s="45" t="s">
        <v>5873</v>
      </c>
    </row>
    <row r="1891" s="26" customFormat="1" ht="30" customHeight="1" spans="1:13">
      <c r="A1891" s="41">
        <f>IF(C1891="","",SUBTOTAL(103,$C$2:C1891))</f>
        <v>1882</v>
      </c>
      <c r="B1891" s="41">
        <v>9749</v>
      </c>
      <c r="C1891" s="46">
        <v>2508</v>
      </c>
      <c r="D1891" s="46" t="s">
        <v>19</v>
      </c>
      <c r="E1891" s="46" t="s">
        <v>20</v>
      </c>
      <c r="F1891" s="46" t="s">
        <v>3778</v>
      </c>
      <c r="G1891" s="41" t="s">
        <v>5874</v>
      </c>
      <c r="H1891" s="41" t="s">
        <v>5875</v>
      </c>
      <c r="I1891" s="43">
        <v>12</v>
      </c>
      <c r="J1891" s="44" t="str">
        <f>VLOOKUP(G1891,[1]硬件清单!$F:$F,1,0)</f>
        <v>2102350DLVDMK8001611</v>
      </c>
      <c r="K1891" s="43"/>
      <c r="L1891" s="44"/>
      <c r="M1891" s="45" t="s">
        <v>5876</v>
      </c>
    </row>
    <row r="1892" s="26" customFormat="1" ht="30" customHeight="1" spans="1:13">
      <c r="A1892" s="41">
        <f>IF(C1892="","",SUBTOTAL(103,$C$2:C1892))</f>
        <v>1883</v>
      </c>
      <c r="B1892" s="41">
        <v>9750</v>
      </c>
      <c r="C1892" s="46">
        <v>2539</v>
      </c>
      <c r="D1892" s="46" t="s">
        <v>19</v>
      </c>
      <c r="E1892" s="46" t="s">
        <v>20</v>
      </c>
      <c r="F1892" s="46" t="s">
        <v>2383</v>
      </c>
      <c r="G1892" s="41" t="s">
        <v>5877</v>
      </c>
      <c r="H1892" s="41" t="s">
        <v>5878</v>
      </c>
      <c r="I1892" s="43">
        <v>12</v>
      </c>
      <c r="J1892" s="44" t="str">
        <f>VLOOKUP(G1892,[1]硬件清单!$F:$F,1,0)</f>
        <v>219801A12T9198Q00179</v>
      </c>
      <c r="K1892" s="43"/>
      <c r="L1892" s="44"/>
      <c r="M1892" s="45" t="s">
        <v>5879</v>
      </c>
    </row>
    <row r="1893" s="26" customFormat="1" ht="30" customHeight="1" spans="1:13">
      <c r="A1893" s="41">
        <f>IF(C1893="","",SUBTOTAL(103,$C$2:C1893))</f>
        <v>1884</v>
      </c>
      <c r="B1893" s="41">
        <v>9751</v>
      </c>
      <c r="C1893" s="46">
        <v>2505</v>
      </c>
      <c r="D1893" s="46" t="s">
        <v>19</v>
      </c>
      <c r="E1893" s="46" t="s">
        <v>20</v>
      </c>
      <c r="F1893" s="46" t="s">
        <v>3778</v>
      </c>
      <c r="G1893" s="41" t="s">
        <v>5880</v>
      </c>
      <c r="H1893" s="41" t="s">
        <v>5881</v>
      </c>
      <c r="I1893" s="43">
        <v>12</v>
      </c>
      <c r="J1893" s="44" t="str">
        <f>VLOOKUP(G1893,[1]硬件清单!$F:$F,1,0)</f>
        <v>2102350DLVDMK8001040</v>
      </c>
      <c r="K1893" s="43"/>
      <c r="L1893" s="44"/>
      <c r="M1893" s="45" t="s">
        <v>5882</v>
      </c>
    </row>
    <row r="1894" s="26" customFormat="1" ht="30" customHeight="1" spans="1:13">
      <c r="A1894" s="41">
        <f>IF(C1894="","",SUBTOTAL(103,$C$2:C1894))</f>
        <v>1885</v>
      </c>
      <c r="B1894" s="41">
        <v>9762</v>
      </c>
      <c r="C1894" s="41">
        <v>2205</v>
      </c>
      <c r="D1894" s="41" t="s">
        <v>45</v>
      </c>
      <c r="E1894" s="41" t="s">
        <v>1298</v>
      </c>
      <c r="F1894" s="41" t="s">
        <v>5883</v>
      </c>
      <c r="G1894" s="41" t="s">
        <v>5884</v>
      </c>
      <c r="H1894" s="41" t="s">
        <v>5885</v>
      </c>
      <c r="I1894" s="43">
        <v>12</v>
      </c>
      <c r="J1894" s="44" t="str">
        <f>VLOOKUP(G1894,[1]硬件清单!$F:$F,1,0)</f>
        <v>JPQYVL2</v>
      </c>
      <c r="K1894" s="43"/>
      <c r="L1894" s="44"/>
      <c r="M1894" s="45" t="s">
        <v>5886</v>
      </c>
    </row>
    <row r="1895" s="26" customFormat="1" ht="30" customHeight="1" spans="1:13">
      <c r="A1895" s="41">
        <f>IF(C1895="","",SUBTOTAL(103,$C$2:C1895))</f>
        <v>1886</v>
      </c>
      <c r="B1895" s="41">
        <v>9763</v>
      </c>
      <c r="C1895" s="41">
        <v>3250</v>
      </c>
      <c r="D1895" s="41" t="s">
        <v>45</v>
      </c>
      <c r="E1895" s="41" t="s">
        <v>1298</v>
      </c>
      <c r="F1895" s="41" t="s">
        <v>5887</v>
      </c>
      <c r="G1895" s="41" t="s">
        <v>5888</v>
      </c>
      <c r="H1895" s="41" t="s">
        <v>5889</v>
      </c>
      <c r="I1895" s="43">
        <v>12</v>
      </c>
      <c r="J1895" s="44" t="str">
        <f>VLOOKUP(G1895,[1]硬件清单!$F:$F,1,0)</f>
        <v>JPR5KL2</v>
      </c>
      <c r="K1895" s="43"/>
      <c r="L1895" s="44"/>
      <c r="M1895" s="45" t="s">
        <v>5890</v>
      </c>
    </row>
    <row r="1896" s="26" customFormat="1" ht="30" customHeight="1" spans="1:13">
      <c r="A1896" s="41">
        <f>IF(C1896="","",SUBTOTAL(103,$C$2:C1896))</f>
        <v>1887</v>
      </c>
      <c r="B1896" s="41">
        <v>9764</v>
      </c>
      <c r="C1896" s="41">
        <v>3281</v>
      </c>
      <c r="D1896" s="41" t="s">
        <v>45</v>
      </c>
      <c r="E1896" s="41" t="s">
        <v>1298</v>
      </c>
      <c r="F1896" s="41" t="s">
        <v>5887</v>
      </c>
      <c r="G1896" s="41" t="s">
        <v>5891</v>
      </c>
      <c r="H1896" s="41" t="s">
        <v>5892</v>
      </c>
      <c r="I1896" s="43">
        <v>12</v>
      </c>
      <c r="J1896" s="44" t="str">
        <f>VLOOKUP(G1896,[1]硬件清单!$F:$F,1,0)</f>
        <v>JPRYVL2</v>
      </c>
      <c r="K1896" s="43"/>
      <c r="L1896" s="44"/>
      <c r="M1896" s="45" t="s">
        <v>5893</v>
      </c>
    </row>
    <row r="1897" s="26" customFormat="1" ht="30" customHeight="1" spans="1:13">
      <c r="A1897" s="41">
        <f>IF(C1897="","",SUBTOTAL(103,$C$2:C1897))</f>
        <v>1888</v>
      </c>
      <c r="B1897" s="41">
        <v>9765</v>
      </c>
      <c r="C1897" s="41">
        <v>3282</v>
      </c>
      <c r="D1897" s="41" t="s">
        <v>45</v>
      </c>
      <c r="E1897" s="41" t="s">
        <v>1298</v>
      </c>
      <c r="F1897" s="41" t="s">
        <v>5887</v>
      </c>
      <c r="G1897" s="41" t="s">
        <v>5894</v>
      </c>
      <c r="H1897" s="41" t="s">
        <v>5895</v>
      </c>
      <c r="I1897" s="43">
        <v>12</v>
      </c>
      <c r="J1897" s="44" t="str">
        <f>VLOOKUP(G1897,[1]硬件清单!$F:$F,1,0)</f>
        <v>JPRXJL2</v>
      </c>
      <c r="K1897" s="43"/>
      <c r="L1897" s="44"/>
      <c r="M1897" s="45" t="s">
        <v>5896</v>
      </c>
    </row>
    <row r="1898" s="26" customFormat="1" ht="30" customHeight="1" spans="1:13">
      <c r="A1898" s="41">
        <f>IF(C1898="","",SUBTOTAL(103,$C$2:C1898))</f>
        <v>1889</v>
      </c>
      <c r="B1898" s="41">
        <v>9766</v>
      </c>
      <c r="C1898" s="41">
        <v>3283</v>
      </c>
      <c r="D1898" s="41" t="s">
        <v>45</v>
      </c>
      <c r="E1898" s="41" t="s">
        <v>1298</v>
      </c>
      <c r="F1898" s="41" t="s">
        <v>5887</v>
      </c>
      <c r="G1898" s="41" t="s">
        <v>5897</v>
      </c>
      <c r="H1898" s="41" t="s">
        <v>5898</v>
      </c>
      <c r="I1898" s="43">
        <v>12</v>
      </c>
      <c r="J1898" s="44" t="str">
        <f>VLOOKUP(G1898,[1]硬件清单!$F:$F,1,0)</f>
        <v>JPRSVL2</v>
      </c>
      <c r="K1898" s="43"/>
      <c r="L1898" s="44"/>
      <c r="M1898" s="45" t="s">
        <v>5899</v>
      </c>
    </row>
    <row r="1899" s="26" customFormat="1" ht="30" customHeight="1" spans="1:13">
      <c r="A1899" s="41">
        <f>IF(C1899="","",SUBTOTAL(103,$C$2:C1899))</f>
        <v>1890</v>
      </c>
      <c r="B1899" s="41">
        <v>9767</v>
      </c>
      <c r="C1899" s="41">
        <v>3300</v>
      </c>
      <c r="D1899" s="41" t="s">
        <v>45</v>
      </c>
      <c r="E1899" s="41" t="s">
        <v>1298</v>
      </c>
      <c r="F1899" s="41" t="s">
        <v>5887</v>
      </c>
      <c r="G1899" s="41" t="s">
        <v>5900</v>
      </c>
      <c r="H1899" s="41" t="s">
        <v>5901</v>
      </c>
      <c r="I1899" s="43">
        <v>12</v>
      </c>
      <c r="J1899" s="44" t="str">
        <f>VLOOKUP(G1899,[1]硬件清单!$F:$F,1,0)</f>
        <v>JPR5YL2</v>
      </c>
      <c r="K1899" s="43"/>
      <c r="L1899" s="44"/>
      <c r="M1899" s="45" t="s">
        <v>5902</v>
      </c>
    </row>
    <row r="1900" s="26" customFormat="1" ht="30" customHeight="1" spans="1:13">
      <c r="A1900" s="41">
        <f>IF(C1900="","",SUBTOTAL(103,$C$2:C1900))</f>
        <v>1891</v>
      </c>
      <c r="B1900" s="41">
        <v>9768</v>
      </c>
      <c r="C1900" s="41">
        <v>3301</v>
      </c>
      <c r="D1900" s="41" t="s">
        <v>45</v>
      </c>
      <c r="E1900" s="41" t="s">
        <v>1298</v>
      </c>
      <c r="F1900" s="41" t="s">
        <v>5887</v>
      </c>
      <c r="G1900" s="41" t="s">
        <v>5903</v>
      </c>
      <c r="H1900" s="41" t="s">
        <v>5904</v>
      </c>
      <c r="I1900" s="43">
        <v>12</v>
      </c>
      <c r="J1900" s="44" t="str">
        <f>VLOOKUP(G1900,[1]硬件清单!$F:$F,1,0)</f>
        <v>JPRTVL2</v>
      </c>
      <c r="K1900" s="43"/>
      <c r="L1900" s="44"/>
      <c r="M1900" s="45" t="s">
        <v>5905</v>
      </c>
    </row>
    <row r="1901" s="26" customFormat="1" ht="30" customHeight="1" spans="1:13">
      <c r="A1901" s="41">
        <f>IF(C1901="","",SUBTOTAL(103,$C$2:C1901))</f>
        <v>1892</v>
      </c>
      <c r="B1901" s="41">
        <v>9769</v>
      </c>
      <c r="C1901" s="41">
        <v>3306</v>
      </c>
      <c r="D1901" s="41" t="s">
        <v>45</v>
      </c>
      <c r="E1901" s="41" t="s">
        <v>1298</v>
      </c>
      <c r="F1901" s="41" t="s">
        <v>5887</v>
      </c>
      <c r="G1901" s="41" t="s">
        <v>5906</v>
      </c>
      <c r="H1901" s="41" t="s">
        <v>5907</v>
      </c>
      <c r="I1901" s="43">
        <v>12</v>
      </c>
      <c r="J1901" s="44" t="str">
        <f>VLOOKUP(G1901,[1]硬件清单!$F:$F,1,0)</f>
        <v>JPRYJL2</v>
      </c>
      <c r="K1901" s="43"/>
      <c r="L1901" s="44"/>
      <c r="M1901" s="45" t="s">
        <v>5908</v>
      </c>
    </row>
    <row r="1902" s="26" customFormat="1" ht="30" customHeight="1" spans="1:13">
      <c r="A1902" s="41">
        <f>IF(C1902="","",SUBTOTAL(103,$C$2:C1902))</f>
        <v>1893</v>
      </c>
      <c r="B1902" s="41">
        <v>9770</v>
      </c>
      <c r="C1902" s="41">
        <v>3307</v>
      </c>
      <c r="D1902" s="41" t="s">
        <v>45</v>
      </c>
      <c r="E1902" s="41" t="s">
        <v>1298</v>
      </c>
      <c r="F1902" s="41" t="s">
        <v>5887</v>
      </c>
      <c r="G1902" s="41" t="s">
        <v>5909</v>
      </c>
      <c r="H1902" s="41" t="s">
        <v>5910</v>
      </c>
      <c r="I1902" s="43">
        <v>12</v>
      </c>
      <c r="J1902" s="44" t="str">
        <f>VLOOKUP(G1902,[1]硬件清单!$F:$F,1,0)</f>
        <v>JPRWVL2</v>
      </c>
      <c r="K1902" s="43"/>
      <c r="L1902" s="44"/>
      <c r="M1902" s="45" t="s">
        <v>5911</v>
      </c>
    </row>
    <row r="1903" s="26" customFormat="1" ht="30" customHeight="1" spans="1:13">
      <c r="A1903" s="41">
        <f>IF(C1903="","",SUBTOTAL(103,$C$2:C1903))</f>
        <v>1894</v>
      </c>
      <c r="B1903" s="41">
        <v>9771</v>
      </c>
      <c r="C1903" s="41">
        <v>3251</v>
      </c>
      <c r="D1903" s="41" t="s">
        <v>45</v>
      </c>
      <c r="E1903" s="41" t="s">
        <v>1298</v>
      </c>
      <c r="F1903" s="41" t="s">
        <v>5887</v>
      </c>
      <c r="G1903" s="41" t="s">
        <v>5912</v>
      </c>
      <c r="H1903" s="41" t="s">
        <v>5913</v>
      </c>
      <c r="I1903" s="43">
        <v>12</v>
      </c>
      <c r="J1903" s="44" t="str">
        <f>VLOOKUP(G1903,[1]硬件清单!$F:$F,1,0)</f>
        <v>JPRZXL2</v>
      </c>
      <c r="K1903" s="43"/>
      <c r="L1903" s="44"/>
      <c r="M1903" s="45" t="s">
        <v>5914</v>
      </c>
    </row>
    <row r="1904" s="26" customFormat="1" ht="30" customHeight="1" spans="1:13">
      <c r="A1904" s="41">
        <f>IF(C1904="","",SUBTOTAL(103,$C$2:C1904))</f>
        <v>1895</v>
      </c>
      <c r="B1904" s="41">
        <v>9772</v>
      </c>
      <c r="C1904" s="41">
        <v>3252</v>
      </c>
      <c r="D1904" s="41" t="s">
        <v>45</v>
      </c>
      <c r="E1904" s="41" t="s">
        <v>1298</v>
      </c>
      <c r="F1904" s="41" t="s">
        <v>5887</v>
      </c>
      <c r="G1904" s="41" t="s">
        <v>5915</v>
      </c>
      <c r="H1904" s="41" t="s">
        <v>5916</v>
      </c>
      <c r="I1904" s="43">
        <v>12</v>
      </c>
      <c r="J1904" s="44" t="str">
        <f>VLOOKUP(G1904,[1]硬件清单!$F:$F,1,0)</f>
        <v>JPS0WL2</v>
      </c>
      <c r="K1904" s="43"/>
      <c r="L1904" s="44"/>
      <c r="M1904" s="45" t="s">
        <v>5917</v>
      </c>
    </row>
    <row r="1905" s="26" customFormat="1" ht="30" customHeight="1" spans="1:13">
      <c r="A1905" s="41">
        <f>IF(C1905="","",SUBTOTAL(103,$C$2:C1905))</f>
        <v>1896</v>
      </c>
      <c r="B1905" s="41">
        <v>9773</v>
      </c>
      <c r="C1905" s="41">
        <v>3253</v>
      </c>
      <c r="D1905" s="41" t="s">
        <v>45</v>
      </c>
      <c r="E1905" s="41" t="s">
        <v>1298</v>
      </c>
      <c r="F1905" s="41" t="s">
        <v>5887</v>
      </c>
      <c r="G1905" s="41" t="s">
        <v>5918</v>
      </c>
      <c r="H1905" s="41" t="s">
        <v>5919</v>
      </c>
      <c r="I1905" s="43">
        <v>12</v>
      </c>
      <c r="J1905" s="44" t="str">
        <f>VLOOKUP(G1905,[1]硬件清单!$F:$F,1,0)</f>
        <v>JPRXVL2</v>
      </c>
      <c r="K1905" s="43"/>
      <c r="L1905" s="44"/>
      <c r="M1905" s="45" t="s">
        <v>5920</v>
      </c>
    </row>
    <row r="1906" s="26" customFormat="1" ht="30" customHeight="1" spans="1:13">
      <c r="A1906" s="41">
        <f>IF(C1906="","",SUBTOTAL(103,$C$2:C1906))</f>
        <v>1897</v>
      </c>
      <c r="B1906" s="41">
        <v>9774</v>
      </c>
      <c r="C1906" s="41">
        <v>3264</v>
      </c>
      <c r="D1906" s="41" t="s">
        <v>45</v>
      </c>
      <c r="E1906" s="41" t="s">
        <v>1298</v>
      </c>
      <c r="F1906" s="41" t="s">
        <v>5887</v>
      </c>
      <c r="G1906" s="41" t="s">
        <v>5921</v>
      </c>
      <c r="H1906" s="41" t="s">
        <v>5922</v>
      </c>
      <c r="I1906" s="43">
        <v>12</v>
      </c>
      <c r="J1906" s="44" t="str">
        <f>VLOOKUP(G1906,[1]硬件清单!$F:$F,1,0)</f>
        <v>JPS0YL2</v>
      </c>
      <c r="K1906" s="43"/>
      <c r="L1906" s="44"/>
      <c r="M1906" s="45" t="s">
        <v>5923</v>
      </c>
    </row>
    <row r="1907" s="26" customFormat="1" ht="30" customHeight="1" spans="1:13">
      <c r="A1907" s="41">
        <f>IF(C1907="","",SUBTOTAL(103,$C$2:C1907))</f>
        <v>1898</v>
      </c>
      <c r="B1907" s="41">
        <v>9775</v>
      </c>
      <c r="C1907" s="41">
        <v>3265</v>
      </c>
      <c r="D1907" s="41" t="s">
        <v>45</v>
      </c>
      <c r="E1907" s="41" t="s">
        <v>1298</v>
      </c>
      <c r="F1907" s="41" t="s">
        <v>5887</v>
      </c>
      <c r="G1907" s="41" t="s">
        <v>5924</v>
      </c>
      <c r="H1907" s="41" t="s">
        <v>5925</v>
      </c>
      <c r="I1907" s="43">
        <v>12</v>
      </c>
      <c r="J1907" s="44" t="str">
        <f>VLOOKUP(G1907,[1]硬件清单!$F:$F,1,0)</f>
        <v>JPRYXL2</v>
      </c>
      <c r="K1907" s="43"/>
      <c r="L1907" s="44"/>
      <c r="M1907" s="45" t="s">
        <v>5926</v>
      </c>
    </row>
    <row r="1908" s="26" customFormat="1" ht="30" customHeight="1" spans="1:13">
      <c r="A1908" s="41">
        <f>IF(C1908="","",SUBTOTAL(103,$C$2:C1908))</f>
        <v>1899</v>
      </c>
      <c r="B1908" s="41">
        <v>9776</v>
      </c>
      <c r="C1908" s="41">
        <v>3266</v>
      </c>
      <c r="D1908" s="41" t="s">
        <v>45</v>
      </c>
      <c r="E1908" s="41" t="s">
        <v>1298</v>
      </c>
      <c r="F1908" s="41" t="s">
        <v>5887</v>
      </c>
      <c r="G1908" s="41" t="s">
        <v>5927</v>
      </c>
      <c r="H1908" s="41" t="s">
        <v>5928</v>
      </c>
      <c r="I1908" s="43">
        <v>12</v>
      </c>
      <c r="J1908" s="44" t="str">
        <f>VLOOKUP(G1908,[1]硬件清单!$F:$F,1,0)</f>
        <v>JPRVVL2</v>
      </c>
      <c r="K1908" s="43"/>
      <c r="L1908" s="44"/>
      <c r="M1908" s="45" t="s">
        <v>5929</v>
      </c>
    </row>
    <row r="1909" s="26" customFormat="1" ht="30" customHeight="1" spans="1:13">
      <c r="A1909" s="41">
        <f>IF(C1909="","",SUBTOTAL(103,$C$2:C1909))</f>
        <v>1900</v>
      </c>
      <c r="B1909" s="41">
        <v>9777</v>
      </c>
      <c r="C1909" s="41">
        <v>3267</v>
      </c>
      <c r="D1909" s="41" t="s">
        <v>45</v>
      </c>
      <c r="E1909" s="41" t="s">
        <v>1298</v>
      </c>
      <c r="F1909" s="41" t="s">
        <v>5887</v>
      </c>
      <c r="G1909" s="41" t="s">
        <v>5930</v>
      </c>
      <c r="H1909" s="41" t="s">
        <v>5931</v>
      </c>
      <c r="I1909" s="43">
        <v>12</v>
      </c>
      <c r="J1909" s="44" t="str">
        <f>VLOOKUP(G1909,[1]硬件清单!$F:$F,1,0)</f>
        <v>JPR6YL2</v>
      </c>
      <c r="K1909" s="43"/>
      <c r="L1909" s="44"/>
      <c r="M1909" s="45" t="s">
        <v>5932</v>
      </c>
    </row>
    <row r="1910" s="26" customFormat="1" ht="30" customHeight="1" spans="1:13">
      <c r="A1910" s="41">
        <f>IF(C1910="","",SUBTOTAL(103,$C$2:C1910))</f>
        <v>1901</v>
      </c>
      <c r="B1910" s="41">
        <v>9778</v>
      </c>
      <c r="C1910" s="41">
        <v>3280</v>
      </c>
      <c r="D1910" s="41" t="s">
        <v>45</v>
      </c>
      <c r="E1910" s="41" t="s">
        <v>1298</v>
      </c>
      <c r="F1910" s="41" t="s">
        <v>5887</v>
      </c>
      <c r="G1910" s="41" t="s">
        <v>5933</v>
      </c>
      <c r="H1910" s="41" t="s">
        <v>5934</v>
      </c>
      <c r="I1910" s="43">
        <v>12</v>
      </c>
      <c r="J1910" s="44" t="str">
        <f>VLOOKUP(G1910,[1]硬件清单!$F:$F,1,0)</f>
        <v>JPRRVL2</v>
      </c>
      <c r="K1910" s="43"/>
      <c r="L1910" s="44"/>
      <c r="M1910" s="45" t="s">
        <v>5935</v>
      </c>
    </row>
    <row r="1911" s="26" customFormat="1" ht="30" customHeight="1" spans="1:13">
      <c r="A1911" s="41">
        <f>IF(C1911="","",SUBTOTAL(103,$C$2:C1911))</f>
        <v>1902</v>
      </c>
      <c r="B1911" s="41">
        <v>9779</v>
      </c>
      <c r="C1911" s="41">
        <v>2206</v>
      </c>
      <c r="D1911" s="41" t="s">
        <v>45</v>
      </c>
      <c r="E1911" s="41" t="s">
        <v>1298</v>
      </c>
      <c r="F1911" s="41" t="s">
        <v>5883</v>
      </c>
      <c r="G1911" s="41" t="s">
        <v>5936</v>
      </c>
      <c r="H1911" s="41" t="s">
        <v>5937</v>
      </c>
      <c r="I1911" s="43">
        <v>12</v>
      </c>
      <c r="J1911" s="44" t="str">
        <f>VLOOKUP(G1911,[1]硬件清单!$F:$F,1,0)</f>
        <v>JG8YJL2</v>
      </c>
      <c r="K1911" s="43"/>
      <c r="L1911" s="44"/>
      <c r="M1911" s="45" t="s">
        <v>5938</v>
      </c>
    </row>
    <row r="1912" s="26" customFormat="1" ht="30" customHeight="1" spans="1:13">
      <c r="A1912" s="41">
        <f>IF(C1912="","",SUBTOTAL(103,$C$2:C1912))</f>
        <v>1903</v>
      </c>
      <c r="B1912" s="41">
        <v>9780</v>
      </c>
      <c r="C1912" s="41">
        <v>2149</v>
      </c>
      <c r="D1912" s="41" t="s">
        <v>45</v>
      </c>
      <c r="E1912" s="41" t="s">
        <v>1298</v>
      </c>
      <c r="F1912" s="41" t="s">
        <v>5887</v>
      </c>
      <c r="G1912" s="41" t="s">
        <v>5939</v>
      </c>
      <c r="H1912" s="41" t="s">
        <v>5940</v>
      </c>
      <c r="I1912" s="43">
        <v>12</v>
      </c>
      <c r="J1912" s="44" t="str">
        <f>VLOOKUP(G1912,[1]硬件清单!$F:$F,1,0)</f>
        <v>JGC5KL2</v>
      </c>
      <c r="K1912" s="43"/>
      <c r="L1912" s="44"/>
      <c r="M1912" s="45" t="s">
        <v>5941</v>
      </c>
    </row>
    <row r="1913" s="26" customFormat="1" ht="30" customHeight="1" spans="1:13">
      <c r="A1913" s="41">
        <f>IF(C1913="","",SUBTOTAL(103,$C$2:C1913))</f>
        <v>1904</v>
      </c>
      <c r="B1913" s="41">
        <v>9781</v>
      </c>
      <c r="C1913" s="41">
        <v>2158</v>
      </c>
      <c r="D1913" s="41" t="s">
        <v>45</v>
      </c>
      <c r="E1913" s="41" t="s">
        <v>1298</v>
      </c>
      <c r="F1913" s="41" t="s">
        <v>5887</v>
      </c>
      <c r="G1913" s="41" t="s">
        <v>5942</v>
      </c>
      <c r="H1913" s="41" t="s">
        <v>5943</v>
      </c>
      <c r="I1913" s="43">
        <v>12</v>
      </c>
      <c r="J1913" s="44" t="str">
        <f>VLOOKUP(G1913,[1]硬件清单!$F:$F,1,0)</f>
        <v>JGDYVL2</v>
      </c>
      <c r="K1913" s="43"/>
      <c r="L1913" s="44"/>
      <c r="M1913" s="45" t="s">
        <v>5944</v>
      </c>
    </row>
    <row r="1914" s="26" customFormat="1" ht="30" customHeight="1" spans="1:13">
      <c r="A1914" s="41">
        <f>IF(C1914="","",SUBTOTAL(103,$C$2:C1914))</f>
        <v>1905</v>
      </c>
      <c r="B1914" s="41">
        <v>9782</v>
      </c>
      <c r="C1914" s="41">
        <v>2159</v>
      </c>
      <c r="D1914" s="41" t="s">
        <v>45</v>
      </c>
      <c r="E1914" s="41" t="s">
        <v>1298</v>
      </c>
      <c r="F1914" s="41" t="s">
        <v>5887</v>
      </c>
      <c r="G1914" s="41" t="s">
        <v>5945</v>
      </c>
      <c r="H1914" s="41" t="s">
        <v>5946</v>
      </c>
      <c r="I1914" s="43">
        <v>12</v>
      </c>
      <c r="J1914" s="44" t="str">
        <f>VLOOKUP(G1914,[1]硬件清单!$F:$F,1,0)</f>
        <v>JGC3YL2</v>
      </c>
      <c r="K1914" s="43"/>
      <c r="L1914" s="44"/>
      <c r="M1914" s="45" t="s">
        <v>5947</v>
      </c>
    </row>
    <row r="1915" s="26" customFormat="1" ht="30" customHeight="1" spans="1:13">
      <c r="A1915" s="41">
        <f>IF(C1915="","",SUBTOTAL(103,$C$2:C1915))</f>
        <v>1906</v>
      </c>
      <c r="B1915" s="41">
        <v>9783</v>
      </c>
      <c r="C1915" s="41">
        <v>2160</v>
      </c>
      <c r="D1915" s="41" t="s">
        <v>45</v>
      </c>
      <c r="E1915" s="41" t="s">
        <v>1298</v>
      </c>
      <c r="F1915" s="41" t="s">
        <v>5887</v>
      </c>
      <c r="G1915" s="41" t="s">
        <v>5948</v>
      </c>
      <c r="H1915" s="41" t="s">
        <v>5949</v>
      </c>
      <c r="I1915" s="43">
        <v>12</v>
      </c>
      <c r="J1915" s="44" t="str">
        <f>VLOOKUP(G1915,[1]硬件清单!$F:$F,1,0)</f>
        <v>JGD4KL2</v>
      </c>
      <c r="K1915" s="43"/>
      <c r="L1915" s="44"/>
      <c r="M1915" s="45" t="s">
        <v>5950</v>
      </c>
    </row>
    <row r="1916" s="26" customFormat="1" ht="30" customHeight="1" spans="1:13">
      <c r="A1916" s="41">
        <f>IF(C1916="","",SUBTOTAL(103,$C$2:C1916))</f>
        <v>1907</v>
      </c>
      <c r="B1916" s="41">
        <v>9784</v>
      </c>
      <c r="C1916" s="41">
        <v>2161</v>
      </c>
      <c r="D1916" s="41" t="s">
        <v>45</v>
      </c>
      <c r="E1916" s="41" t="s">
        <v>1298</v>
      </c>
      <c r="F1916" s="41" t="s">
        <v>5887</v>
      </c>
      <c r="G1916" s="41" t="s">
        <v>5951</v>
      </c>
      <c r="H1916" s="41" t="s">
        <v>5952</v>
      </c>
      <c r="I1916" s="43">
        <v>12</v>
      </c>
      <c r="J1916" s="44" t="str">
        <f>VLOOKUP(G1916,[1]硬件清单!$F:$F,1,0)</f>
        <v>JGCZXL2</v>
      </c>
      <c r="K1916" s="43"/>
      <c r="L1916" s="44"/>
      <c r="M1916" s="45" t="s">
        <v>5953</v>
      </c>
    </row>
    <row r="1917" s="26" customFormat="1" ht="30" customHeight="1" spans="1:13">
      <c r="A1917" s="41">
        <f>IF(C1917="","",SUBTOTAL(103,$C$2:C1917))</f>
        <v>1908</v>
      </c>
      <c r="B1917" s="41">
        <v>9785</v>
      </c>
      <c r="C1917" s="41">
        <v>2162</v>
      </c>
      <c r="D1917" s="41" t="s">
        <v>45</v>
      </c>
      <c r="E1917" s="41" t="s">
        <v>1298</v>
      </c>
      <c r="F1917" s="41" t="s">
        <v>5887</v>
      </c>
      <c r="G1917" s="41" t="s">
        <v>5954</v>
      </c>
      <c r="H1917" s="41" t="s">
        <v>5955</v>
      </c>
      <c r="I1917" s="43">
        <v>12</v>
      </c>
      <c r="J1917" s="44" t="str">
        <f>VLOOKUP(G1917,[1]硬件清单!$F:$F,1,0)</f>
        <v>JGC6YL2</v>
      </c>
      <c r="K1917" s="43"/>
      <c r="L1917" s="44"/>
      <c r="M1917" s="45" t="s">
        <v>5956</v>
      </c>
    </row>
    <row r="1918" s="26" customFormat="1" ht="30" customHeight="1" spans="1:13">
      <c r="A1918" s="41">
        <f>IF(C1918="","",SUBTOTAL(103,$C$2:C1918))</f>
        <v>1909</v>
      </c>
      <c r="B1918" s="41">
        <v>9786</v>
      </c>
      <c r="C1918" s="41">
        <v>2163</v>
      </c>
      <c r="D1918" s="41" t="s">
        <v>45</v>
      </c>
      <c r="E1918" s="41" t="s">
        <v>1298</v>
      </c>
      <c r="F1918" s="41" t="s">
        <v>5887</v>
      </c>
      <c r="G1918" s="41" t="s">
        <v>5957</v>
      </c>
      <c r="H1918" s="41" t="s">
        <v>5958</v>
      </c>
      <c r="I1918" s="43">
        <v>12</v>
      </c>
      <c r="J1918" s="44" t="str">
        <f>VLOOKUP(G1918,[1]硬件清单!$F:$F,1,0)</f>
        <v>JGCXVL2</v>
      </c>
      <c r="K1918" s="43"/>
      <c r="L1918" s="44"/>
      <c r="M1918" s="45" t="s">
        <v>5959</v>
      </c>
    </row>
    <row r="1919" s="26" customFormat="1" ht="30" customHeight="1" spans="1:13">
      <c r="A1919" s="41">
        <f>IF(C1919="","",SUBTOTAL(103,$C$2:C1919))</f>
        <v>1910</v>
      </c>
      <c r="B1919" s="41">
        <v>9787</v>
      </c>
      <c r="C1919" s="41">
        <v>2164</v>
      </c>
      <c r="D1919" s="41" t="s">
        <v>45</v>
      </c>
      <c r="E1919" s="41" t="s">
        <v>1298</v>
      </c>
      <c r="F1919" s="41" t="s">
        <v>5887</v>
      </c>
      <c r="G1919" s="41" t="s">
        <v>5960</v>
      </c>
      <c r="H1919" s="41" t="s">
        <v>5961</v>
      </c>
      <c r="I1919" s="43">
        <v>12</v>
      </c>
      <c r="J1919" s="44" t="str">
        <f>VLOOKUP(G1919,[1]硬件清单!$F:$F,1,0)</f>
        <v>JGBZXL2</v>
      </c>
      <c r="K1919" s="43"/>
      <c r="L1919" s="44"/>
      <c r="M1919" s="45" t="s">
        <v>5962</v>
      </c>
    </row>
    <row r="1920" s="26" customFormat="1" ht="30" customHeight="1" spans="1:13">
      <c r="A1920" s="41">
        <f>IF(C1920="","",SUBTOTAL(103,$C$2:C1920))</f>
        <v>1911</v>
      </c>
      <c r="B1920" s="41">
        <v>9788</v>
      </c>
      <c r="C1920" s="41">
        <v>2150</v>
      </c>
      <c r="D1920" s="41" t="s">
        <v>45</v>
      </c>
      <c r="E1920" s="41" t="s">
        <v>1298</v>
      </c>
      <c r="F1920" s="41" t="s">
        <v>5887</v>
      </c>
      <c r="G1920" s="41" t="s">
        <v>5963</v>
      </c>
      <c r="H1920" s="41" t="s">
        <v>5964</v>
      </c>
      <c r="I1920" s="43">
        <v>12</v>
      </c>
      <c r="J1920" s="44" t="str">
        <f>VLOOKUP(G1920,[1]硬件清单!$F:$F,1,0)</f>
        <v>JGD6KL2</v>
      </c>
      <c r="K1920" s="43"/>
      <c r="L1920" s="44"/>
      <c r="M1920" s="45" t="s">
        <v>5965</v>
      </c>
    </row>
    <row r="1921" s="26" customFormat="1" ht="30" customHeight="1" spans="1:13">
      <c r="A1921" s="41">
        <f>IF(C1921="","",SUBTOTAL(103,$C$2:C1921))</f>
        <v>1912</v>
      </c>
      <c r="B1921" s="41">
        <v>9789</v>
      </c>
      <c r="C1921" s="41">
        <v>2151</v>
      </c>
      <c r="D1921" s="41" t="s">
        <v>45</v>
      </c>
      <c r="E1921" s="41" t="s">
        <v>1298</v>
      </c>
      <c r="F1921" s="41" t="s">
        <v>5887</v>
      </c>
      <c r="G1921" s="41" t="s">
        <v>5966</v>
      </c>
      <c r="H1921" s="41" t="s">
        <v>5967</v>
      </c>
      <c r="I1921" s="43">
        <v>12</v>
      </c>
      <c r="J1921" s="44" t="str">
        <f>VLOOKUP(G1921,[1]硬件清单!$F:$F,1,0)</f>
        <v>JGDWVL2</v>
      </c>
      <c r="K1921" s="43"/>
      <c r="L1921" s="44"/>
      <c r="M1921" s="45" t="s">
        <v>5968</v>
      </c>
    </row>
    <row r="1922" s="26" customFormat="1" ht="30" customHeight="1" spans="1:13">
      <c r="A1922" s="41">
        <f>IF(C1922="","",SUBTOTAL(103,$C$2:C1922))</f>
        <v>1913</v>
      </c>
      <c r="B1922" s="41">
        <v>9790</v>
      </c>
      <c r="C1922" s="41">
        <v>2152</v>
      </c>
      <c r="D1922" s="41" t="s">
        <v>45</v>
      </c>
      <c r="E1922" s="41" t="s">
        <v>1298</v>
      </c>
      <c r="F1922" s="41" t="s">
        <v>5887</v>
      </c>
      <c r="G1922" s="41" t="s">
        <v>5969</v>
      </c>
      <c r="H1922" s="41" t="s">
        <v>5970</v>
      </c>
      <c r="I1922" s="43">
        <v>12</v>
      </c>
      <c r="J1922" s="44" t="str">
        <f>VLOOKUP(G1922,[1]硬件清单!$F:$F,1,0)</f>
        <v>JGDSVL2</v>
      </c>
      <c r="K1922" s="43"/>
      <c r="L1922" s="44"/>
      <c r="M1922" s="45" t="s">
        <v>5971</v>
      </c>
    </row>
    <row r="1923" s="26" customFormat="1" ht="30" customHeight="1" spans="1:13">
      <c r="A1923" s="41">
        <f>IF(C1923="","",SUBTOTAL(103,$C$2:C1923))</f>
        <v>1914</v>
      </c>
      <c r="B1923" s="41">
        <v>9791</v>
      </c>
      <c r="C1923" s="41">
        <v>2153</v>
      </c>
      <c r="D1923" s="41" t="s">
        <v>45</v>
      </c>
      <c r="E1923" s="41" t="s">
        <v>1298</v>
      </c>
      <c r="F1923" s="41" t="s">
        <v>5887</v>
      </c>
      <c r="G1923" s="41" t="s">
        <v>5972</v>
      </c>
      <c r="H1923" s="41" t="s">
        <v>5973</v>
      </c>
      <c r="I1923" s="43">
        <v>12</v>
      </c>
      <c r="J1923" s="44" t="str">
        <f>VLOOKUP(G1923,[1]硬件清单!$F:$F,1,0)</f>
        <v>JGC1YL2</v>
      </c>
      <c r="K1923" s="43"/>
      <c r="L1923" s="44"/>
      <c r="M1923" s="45" t="s">
        <v>5974</v>
      </c>
    </row>
    <row r="1924" s="26" customFormat="1" ht="30" customHeight="1" spans="1:13">
      <c r="A1924" s="41">
        <f>IF(C1924="","",SUBTOTAL(103,$C$2:C1924))</f>
        <v>1915</v>
      </c>
      <c r="B1924" s="41">
        <v>9792</v>
      </c>
      <c r="C1924" s="41">
        <v>2154</v>
      </c>
      <c r="D1924" s="41" t="s">
        <v>45</v>
      </c>
      <c r="E1924" s="41" t="s">
        <v>1298</v>
      </c>
      <c r="F1924" s="41" t="s">
        <v>5887</v>
      </c>
      <c r="G1924" s="41" t="s">
        <v>5975</v>
      </c>
      <c r="H1924" s="41" t="s">
        <v>5976</v>
      </c>
      <c r="I1924" s="43">
        <v>12</v>
      </c>
      <c r="J1924" s="44" t="str">
        <f>VLOOKUP(G1924,[1]硬件清单!$F:$F,1,0)</f>
        <v>JGDZXL2</v>
      </c>
      <c r="K1924" s="43"/>
      <c r="L1924" s="44"/>
      <c r="M1924" s="45" t="s">
        <v>5977</v>
      </c>
    </row>
    <row r="1925" s="26" customFormat="1" ht="30" customHeight="1" spans="1:13">
      <c r="A1925" s="41">
        <f>IF(C1925="","",SUBTOTAL(103,$C$2:C1925))</f>
        <v>1916</v>
      </c>
      <c r="B1925" s="41">
        <v>9793</v>
      </c>
      <c r="C1925" s="41">
        <v>2155</v>
      </c>
      <c r="D1925" s="41" t="s">
        <v>45</v>
      </c>
      <c r="E1925" s="41" t="s">
        <v>1298</v>
      </c>
      <c r="F1925" s="41" t="s">
        <v>5887</v>
      </c>
      <c r="G1925" s="41" t="s">
        <v>5978</v>
      </c>
      <c r="H1925" s="41" t="s">
        <v>5979</v>
      </c>
      <c r="I1925" s="43">
        <v>12</v>
      </c>
      <c r="J1925" s="44" t="str">
        <f>VLOOKUP(G1925,[1]硬件清单!$F:$F,1,0)</f>
        <v>JGCSVL2</v>
      </c>
      <c r="K1925" s="43"/>
      <c r="L1925" s="44"/>
      <c r="M1925" s="45" t="s">
        <v>5980</v>
      </c>
    </row>
    <row r="1926" s="26" customFormat="1" ht="30" customHeight="1" spans="1:13">
      <c r="A1926" s="41">
        <f>IF(C1926="","",SUBTOTAL(103,$C$2:C1926))</f>
        <v>1917</v>
      </c>
      <c r="B1926" s="41">
        <v>9794</v>
      </c>
      <c r="C1926" s="41">
        <v>2156</v>
      </c>
      <c r="D1926" s="41" t="s">
        <v>45</v>
      </c>
      <c r="E1926" s="41" t="s">
        <v>1298</v>
      </c>
      <c r="F1926" s="41" t="s">
        <v>5887</v>
      </c>
      <c r="G1926" s="41" t="s">
        <v>5981</v>
      </c>
      <c r="H1926" s="41" t="s">
        <v>5982</v>
      </c>
      <c r="I1926" s="43">
        <v>12</v>
      </c>
      <c r="J1926" s="44" t="str">
        <f>VLOOKUP(G1926,[1]硬件清单!$F:$F,1,0)</f>
        <v>JGD0YL2</v>
      </c>
      <c r="K1926" s="43"/>
      <c r="L1926" s="44"/>
      <c r="M1926" s="45" t="s">
        <v>5983</v>
      </c>
    </row>
    <row r="1927" s="26" customFormat="1" ht="30" customHeight="1" spans="1:13">
      <c r="A1927" s="41">
        <f>IF(C1927="","",SUBTOTAL(103,$C$2:C1927))</f>
        <v>1918</v>
      </c>
      <c r="B1927" s="41">
        <v>9795</v>
      </c>
      <c r="C1927" s="41">
        <v>2157</v>
      </c>
      <c r="D1927" s="41" t="s">
        <v>45</v>
      </c>
      <c r="E1927" s="41" t="s">
        <v>1298</v>
      </c>
      <c r="F1927" s="41" t="s">
        <v>5887</v>
      </c>
      <c r="G1927" s="41" t="s">
        <v>5984</v>
      </c>
      <c r="H1927" s="41" t="s">
        <v>5985</v>
      </c>
      <c r="I1927" s="43">
        <v>12</v>
      </c>
      <c r="J1927" s="44" t="str">
        <f>VLOOKUP(G1927,[1]硬件清单!$F:$F,1,0)</f>
        <v>JGD2YL2</v>
      </c>
      <c r="K1927" s="43"/>
      <c r="L1927" s="44"/>
      <c r="M1927" s="45" t="s">
        <v>5986</v>
      </c>
    </row>
    <row r="1928" s="26" customFormat="1" ht="30" customHeight="1" spans="1:13">
      <c r="A1928" s="41">
        <f>IF(C1928="","",SUBTOTAL(103,$C$2:C1928))</f>
        <v>1919</v>
      </c>
      <c r="B1928" s="41">
        <v>9796</v>
      </c>
      <c r="C1928" s="41">
        <v>2207</v>
      </c>
      <c r="D1928" s="41" t="s">
        <v>45</v>
      </c>
      <c r="E1928" s="41" t="s">
        <v>1298</v>
      </c>
      <c r="F1928" s="41" t="s">
        <v>5883</v>
      </c>
      <c r="G1928" s="41" t="s">
        <v>5987</v>
      </c>
      <c r="H1928" s="41" t="s">
        <v>5988</v>
      </c>
      <c r="I1928" s="43">
        <v>12</v>
      </c>
      <c r="J1928" s="44" t="str">
        <f>VLOOKUP(G1928,[1]硬件清单!$F:$F,1,0)</f>
        <v>JGFTVL2</v>
      </c>
      <c r="K1928" s="43"/>
      <c r="L1928" s="44"/>
      <c r="M1928" s="45" t="s">
        <v>5989</v>
      </c>
    </row>
    <row r="1929" s="26" customFormat="1" ht="30" customHeight="1" spans="1:13">
      <c r="A1929" s="41">
        <f>IF(C1929="","",SUBTOTAL(103,$C$2:C1929))</f>
        <v>1920</v>
      </c>
      <c r="B1929" s="41">
        <v>9797</v>
      </c>
      <c r="C1929" s="41">
        <v>2455</v>
      </c>
      <c r="D1929" s="41" t="s">
        <v>45</v>
      </c>
      <c r="E1929" s="41" t="s">
        <v>1298</v>
      </c>
      <c r="F1929" s="41" t="s">
        <v>5887</v>
      </c>
      <c r="G1929" s="41" t="s">
        <v>5990</v>
      </c>
      <c r="H1929" s="41" t="s">
        <v>5991</v>
      </c>
      <c r="I1929" s="43">
        <v>12</v>
      </c>
      <c r="J1929" s="44" t="str">
        <f>VLOOKUP(G1929,[1]硬件清单!$F:$F,1,0)</f>
        <v>JG9TVL2</v>
      </c>
      <c r="K1929" s="43"/>
      <c r="L1929" s="44"/>
      <c r="M1929" s="45" t="s">
        <v>5992</v>
      </c>
    </row>
    <row r="1930" s="26" customFormat="1" ht="30" customHeight="1" spans="1:13">
      <c r="A1930" s="41">
        <f>IF(C1930="","",SUBTOTAL(103,$C$2:C1930))</f>
        <v>1921</v>
      </c>
      <c r="B1930" s="41">
        <v>9798</v>
      </c>
      <c r="C1930" s="41">
        <v>2464</v>
      </c>
      <c r="D1930" s="41" t="s">
        <v>45</v>
      </c>
      <c r="E1930" s="41" t="s">
        <v>1298</v>
      </c>
      <c r="F1930" s="41" t="s">
        <v>5887</v>
      </c>
      <c r="G1930" s="41" t="s">
        <v>5993</v>
      </c>
      <c r="H1930" s="41" t="s">
        <v>5994</v>
      </c>
      <c r="I1930" s="43">
        <v>12</v>
      </c>
      <c r="J1930" s="44" t="str">
        <f>VLOOKUP(G1930,[1]硬件清单!$F:$F,1,0)</f>
        <v>JG9ZVL2</v>
      </c>
      <c r="K1930" s="43"/>
      <c r="L1930" s="44"/>
      <c r="M1930" s="45" t="s">
        <v>5995</v>
      </c>
    </row>
    <row r="1931" s="26" customFormat="1" ht="30" customHeight="1" spans="1:13">
      <c r="A1931" s="41">
        <f>IF(C1931="","",SUBTOTAL(103,$C$2:C1931))</f>
        <v>1922</v>
      </c>
      <c r="B1931" s="41">
        <v>9799</v>
      </c>
      <c r="C1931" s="41">
        <v>2465</v>
      </c>
      <c r="D1931" s="41" t="s">
        <v>45</v>
      </c>
      <c r="E1931" s="41" t="s">
        <v>1298</v>
      </c>
      <c r="F1931" s="41" t="s">
        <v>5887</v>
      </c>
      <c r="G1931" s="41" t="s">
        <v>5996</v>
      </c>
      <c r="H1931" s="41" t="s">
        <v>5997</v>
      </c>
      <c r="I1931" s="43">
        <v>12</v>
      </c>
      <c r="J1931" s="44" t="str">
        <f>VLOOKUP(G1931,[1]硬件清单!$F:$F,1,0)</f>
        <v>JGB4KL2</v>
      </c>
      <c r="K1931" s="43"/>
      <c r="L1931" s="44"/>
      <c r="M1931" s="45" t="s">
        <v>5998</v>
      </c>
    </row>
    <row r="1932" s="26" customFormat="1" ht="30" customHeight="1" spans="1:13">
      <c r="A1932" s="41">
        <f>IF(C1932="","",SUBTOTAL(103,$C$2:C1932))</f>
        <v>1923</v>
      </c>
      <c r="B1932" s="41">
        <v>9800</v>
      </c>
      <c r="C1932" s="41">
        <v>2466</v>
      </c>
      <c r="D1932" s="41" t="s">
        <v>45</v>
      </c>
      <c r="E1932" s="41" t="s">
        <v>1298</v>
      </c>
      <c r="F1932" s="41" t="s">
        <v>5887</v>
      </c>
      <c r="G1932" s="41" t="s">
        <v>5999</v>
      </c>
      <c r="H1932" s="41" t="s">
        <v>6000</v>
      </c>
      <c r="I1932" s="43">
        <v>12</v>
      </c>
      <c r="J1932" s="44" t="str">
        <f>VLOOKUP(G1932,[1]硬件清单!$F:$F,1,0)</f>
        <v>JGB0WL2</v>
      </c>
      <c r="K1932" s="43"/>
      <c r="L1932" s="44"/>
      <c r="M1932" s="45" t="s">
        <v>6001</v>
      </c>
    </row>
    <row r="1933" s="26" customFormat="1" ht="30" customHeight="1" spans="1:13">
      <c r="A1933" s="41">
        <f>IF(C1933="","",SUBTOTAL(103,$C$2:C1933))</f>
        <v>1924</v>
      </c>
      <c r="B1933" s="41">
        <v>9801</v>
      </c>
      <c r="C1933" s="41">
        <v>2456</v>
      </c>
      <c r="D1933" s="41" t="s">
        <v>45</v>
      </c>
      <c r="E1933" s="41" t="s">
        <v>1298</v>
      </c>
      <c r="F1933" s="41" t="s">
        <v>5887</v>
      </c>
      <c r="G1933" s="41" t="s">
        <v>6002</v>
      </c>
      <c r="H1933" s="41" t="s">
        <v>6003</v>
      </c>
      <c r="I1933" s="43">
        <v>12</v>
      </c>
      <c r="J1933" s="44" t="str">
        <f>VLOOKUP(G1933,[1]硬件清单!$F:$F,1,0)</f>
        <v>JG92KL2</v>
      </c>
      <c r="K1933" s="43"/>
      <c r="L1933" s="44"/>
      <c r="M1933" s="45" t="s">
        <v>6004</v>
      </c>
    </row>
    <row r="1934" s="26" customFormat="1" ht="30" customHeight="1" spans="1:13">
      <c r="A1934" s="41">
        <f>IF(C1934="","",SUBTOTAL(103,$C$2:C1934))</f>
        <v>1925</v>
      </c>
      <c r="B1934" s="41">
        <v>9802</v>
      </c>
      <c r="C1934" s="41">
        <v>2457</v>
      </c>
      <c r="D1934" s="41" t="s">
        <v>45</v>
      </c>
      <c r="E1934" s="41" t="s">
        <v>1298</v>
      </c>
      <c r="F1934" s="41" t="s">
        <v>5887</v>
      </c>
      <c r="G1934" s="41" t="s">
        <v>6005</v>
      </c>
      <c r="H1934" s="41" t="s">
        <v>6006</v>
      </c>
      <c r="I1934" s="43">
        <v>12</v>
      </c>
      <c r="J1934" s="44" t="str">
        <f>VLOOKUP(G1934,[1]硬件清单!$F:$F,1,0)</f>
        <v>JG97YL2</v>
      </c>
      <c r="K1934" s="43"/>
      <c r="L1934" s="44"/>
      <c r="M1934" s="45" t="s">
        <v>6007</v>
      </c>
    </row>
    <row r="1935" s="26" customFormat="1" ht="30" customHeight="1" spans="1:13">
      <c r="A1935" s="41">
        <f>IF(C1935="","",SUBTOTAL(103,$C$2:C1935))</f>
        <v>1926</v>
      </c>
      <c r="B1935" s="41">
        <v>9803</v>
      </c>
      <c r="C1935" s="41">
        <v>2458</v>
      </c>
      <c r="D1935" s="41" t="s">
        <v>45</v>
      </c>
      <c r="E1935" s="41" t="s">
        <v>1298</v>
      </c>
      <c r="F1935" s="41" t="s">
        <v>5887</v>
      </c>
      <c r="G1935" s="41" t="s">
        <v>6008</v>
      </c>
      <c r="H1935" s="41" t="s">
        <v>6009</v>
      </c>
      <c r="I1935" s="43">
        <v>12</v>
      </c>
      <c r="J1935" s="44" t="str">
        <f>VLOOKUP(G1935,[1]硬件清单!$F:$F,1,0)</f>
        <v>JG9YJL2</v>
      </c>
      <c r="K1935" s="43"/>
      <c r="L1935" s="44"/>
      <c r="M1935" s="45" t="s">
        <v>6010</v>
      </c>
    </row>
    <row r="1936" s="26" customFormat="1" ht="30" customHeight="1" spans="1:13">
      <c r="A1936" s="41">
        <f>IF(C1936="","",SUBTOTAL(103,$C$2:C1936))</f>
        <v>1927</v>
      </c>
      <c r="B1936" s="41">
        <v>9804</v>
      </c>
      <c r="C1936" s="41">
        <v>2459</v>
      </c>
      <c r="D1936" s="41" t="s">
        <v>45</v>
      </c>
      <c r="E1936" s="41" t="s">
        <v>1298</v>
      </c>
      <c r="F1936" s="41" t="s">
        <v>5887</v>
      </c>
      <c r="G1936" s="41" t="s">
        <v>6011</v>
      </c>
      <c r="H1936" s="41" t="s">
        <v>6012</v>
      </c>
      <c r="I1936" s="43">
        <v>12</v>
      </c>
      <c r="J1936" s="44" t="str">
        <f>VLOOKUP(G1936,[1]硬件清单!$F:$F,1,0)</f>
        <v>JG8VVL2</v>
      </c>
      <c r="K1936" s="43"/>
      <c r="L1936" s="44"/>
      <c r="M1936" s="45" t="s">
        <v>6013</v>
      </c>
    </row>
    <row r="1937" s="26" customFormat="1" ht="30" customHeight="1" spans="1:13">
      <c r="A1937" s="41">
        <f>IF(C1937="","",SUBTOTAL(103,$C$2:C1937))</f>
        <v>1928</v>
      </c>
      <c r="B1937" s="41">
        <v>9805</v>
      </c>
      <c r="C1937" s="41">
        <v>2460</v>
      </c>
      <c r="D1937" s="41" t="s">
        <v>45</v>
      </c>
      <c r="E1937" s="41" t="s">
        <v>1298</v>
      </c>
      <c r="F1937" s="41" t="s">
        <v>5887</v>
      </c>
      <c r="G1937" s="41" t="s">
        <v>6014</v>
      </c>
      <c r="H1937" s="41" t="s">
        <v>6015</v>
      </c>
      <c r="I1937" s="43">
        <v>12</v>
      </c>
      <c r="J1937" s="44" t="str">
        <f>VLOOKUP(G1937,[1]硬件清单!$F:$F,1,0)</f>
        <v>JG8ZVL2</v>
      </c>
      <c r="K1937" s="43"/>
      <c r="L1937" s="44"/>
      <c r="M1937" s="45" t="s">
        <v>6016</v>
      </c>
    </row>
    <row r="1938" s="26" customFormat="1" ht="30" customHeight="1" spans="1:13">
      <c r="A1938" s="41">
        <f>IF(C1938="","",SUBTOTAL(103,$C$2:C1938))</f>
        <v>1929</v>
      </c>
      <c r="B1938" s="41">
        <v>9806</v>
      </c>
      <c r="C1938" s="41">
        <v>2461</v>
      </c>
      <c r="D1938" s="41" t="s">
        <v>45</v>
      </c>
      <c r="E1938" s="41" t="s">
        <v>1298</v>
      </c>
      <c r="F1938" s="41" t="s">
        <v>5887</v>
      </c>
      <c r="G1938" s="41" t="s">
        <v>6017</v>
      </c>
      <c r="H1938" s="41" t="s">
        <v>6018</v>
      </c>
      <c r="I1938" s="43">
        <v>12</v>
      </c>
      <c r="J1938" s="44" t="str">
        <f>VLOOKUP(G1938,[1]硬件清单!$F:$F,1,0)</f>
        <v>JG93KL2</v>
      </c>
      <c r="K1938" s="43"/>
      <c r="L1938" s="44"/>
      <c r="M1938" s="45" t="s">
        <v>6019</v>
      </c>
    </row>
    <row r="1939" s="26" customFormat="1" ht="30" customHeight="1" spans="1:13">
      <c r="A1939" s="41">
        <f>IF(C1939="","",SUBTOTAL(103,$C$2:C1939))</f>
        <v>1930</v>
      </c>
      <c r="B1939" s="41">
        <v>9807</v>
      </c>
      <c r="C1939" s="41">
        <v>2462</v>
      </c>
      <c r="D1939" s="41" t="s">
        <v>45</v>
      </c>
      <c r="E1939" s="41" t="s">
        <v>1298</v>
      </c>
      <c r="F1939" s="41" t="s">
        <v>5887</v>
      </c>
      <c r="G1939" s="41" t="s">
        <v>6020</v>
      </c>
      <c r="H1939" s="41" t="s">
        <v>6021</v>
      </c>
      <c r="I1939" s="43">
        <v>12</v>
      </c>
      <c r="J1939" s="44" t="str">
        <f>VLOOKUP(G1939,[1]硬件清单!$F:$F,1,0)</f>
        <v>JG90WL2</v>
      </c>
      <c r="K1939" s="43"/>
      <c r="L1939" s="44"/>
      <c r="M1939" s="45" t="s">
        <v>6022</v>
      </c>
    </row>
    <row r="1940" s="26" customFormat="1" ht="30" customHeight="1" spans="1:13">
      <c r="A1940" s="41">
        <f>IF(C1940="","",SUBTOTAL(103,$C$2:C1940))</f>
        <v>1931</v>
      </c>
      <c r="B1940" s="41">
        <v>9808</v>
      </c>
      <c r="C1940" s="41">
        <v>2463</v>
      </c>
      <c r="D1940" s="41" t="s">
        <v>45</v>
      </c>
      <c r="E1940" s="41" t="s">
        <v>1298</v>
      </c>
      <c r="F1940" s="41" t="s">
        <v>5887</v>
      </c>
      <c r="G1940" s="41" t="s">
        <v>6023</v>
      </c>
      <c r="H1940" s="41" t="s">
        <v>6024</v>
      </c>
      <c r="I1940" s="43">
        <v>12</v>
      </c>
      <c r="J1940" s="44" t="str">
        <f>VLOOKUP(G1940,[1]硬件清单!$F:$F,1,0)</f>
        <v>JG95KL2</v>
      </c>
      <c r="K1940" s="43"/>
      <c r="L1940" s="44"/>
      <c r="M1940" s="45" t="s">
        <v>6025</v>
      </c>
    </row>
    <row r="1941" s="26" customFormat="1" ht="30" customHeight="1" spans="1:13">
      <c r="A1941" s="41">
        <f>IF(C1941="","",SUBTOTAL(103,$C$2:C1941))</f>
        <v>1932</v>
      </c>
      <c r="B1941" s="41">
        <v>9809</v>
      </c>
      <c r="C1941" s="41">
        <v>2208</v>
      </c>
      <c r="D1941" s="41" t="s">
        <v>45</v>
      </c>
      <c r="E1941" s="41" t="s">
        <v>1298</v>
      </c>
      <c r="F1941" s="41" t="s">
        <v>5883</v>
      </c>
      <c r="G1941" s="41" t="s">
        <v>6026</v>
      </c>
      <c r="H1941" s="41" t="s">
        <v>6027</v>
      </c>
      <c r="I1941" s="43">
        <v>12</v>
      </c>
      <c r="J1941" s="44" t="str">
        <f>VLOOKUP(G1941,[1]硬件清单!$F:$F,1,0)</f>
        <v>JG8ZJL2</v>
      </c>
      <c r="K1941" s="43"/>
      <c r="L1941" s="44"/>
      <c r="M1941" s="45" t="s">
        <v>6028</v>
      </c>
    </row>
    <row r="1942" s="26" customFormat="1" ht="30" customHeight="1" spans="1:13">
      <c r="A1942" s="41">
        <f>IF(C1942="","",SUBTOTAL(103,$C$2:C1942))</f>
        <v>1933</v>
      </c>
      <c r="B1942" s="41">
        <v>9810</v>
      </c>
      <c r="C1942" s="41">
        <v>2467</v>
      </c>
      <c r="D1942" s="41" t="s">
        <v>45</v>
      </c>
      <c r="E1942" s="41" t="s">
        <v>1298</v>
      </c>
      <c r="F1942" s="41" t="s">
        <v>5887</v>
      </c>
      <c r="G1942" s="41" t="s">
        <v>6029</v>
      </c>
      <c r="H1942" s="41" t="s">
        <v>6030</v>
      </c>
      <c r="I1942" s="43">
        <v>12</v>
      </c>
      <c r="J1942" s="44" t="str">
        <f>VLOOKUP(G1942,[1]硬件清单!$F:$F,1,0)</f>
        <v>JGD0WL2</v>
      </c>
      <c r="K1942" s="43"/>
      <c r="L1942" s="44"/>
      <c r="M1942" s="45" t="s">
        <v>6031</v>
      </c>
    </row>
    <row r="1943" s="26" customFormat="1" ht="30" customHeight="1" spans="1:13">
      <c r="A1943" s="41">
        <f>IF(C1943="","",SUBTOTAL(103,$C$2:C1943))</f>
        <v>1934</v>
      </c>
      <c r="B1943" s="41">
        <v>9811</v>
      </c>
      <c r="C1943" s="41">
        <v>2476</v>
      </c>
      <c r="D1943" s="41" t="s">
        <v>45</v>
      </c>
      <c r="E1943" s="41" t="s">
        <v>1298</v>
      </c>
      <c r="F1943" s="41" t="s">
        <v>5887</v>
      </c>
      <c r="G1943" s="41" t="s">
        <v>6032</v>
      </c>
      <c r="H1943" s="41" t="s">
        <v>6033</v>
      </c>
      <c r="I1943" s="43">
        <v>12</v>
      </c>
      <c r="J1943" s="44" t="str">
        <f>VLOOKUP(G1943,[1]硬件清单!$F:$F,1,0)</f>
        <v>JGD2KL2</v>
      </c>
      <c r="K1943" s="43"/>
      <c r="L1943" s="44"/>
      <c r="M1943" s="45" t="s">
        <v>6034</v>
      </c>
    </row>
    <row r="1944" s="26" customFormat="1" ht="30" customHeight="1" spans="1:13">
      <c r="A1944" s="41">
        <f>IF(C1944="","",SUBTOTAL(103,$C$2:C1944))</f>
        <v>1935</v>
      </c>
      <c r="B1944" s="41">
        <v>9812</v>
      </c>
      <c r="C1944" s="41">
        <v>2477</v>
      </c>
      <c r="D1944" s="41" t="s">
        <v>45</v>
      </c>
      <c r="E1944" s="41" t="s">
        <v>1298</v>
      </c>
      <c r="F1944" s="41" t="s">
        <v>5887</v>
      </c>
      <c r="G1944" s="41" t="s">
        <v>6035</v>
      </c>
      <c r="H1944" s="41" t="s">
        <v>6036</v>
      </c>
      <c r="I1944" s="43">
        <v>12</v>
      </c>
      <c r="J1944" s="44" t="str">
        <f>VLOOKUP(G1944,[1]硬件清单!$F:$F,1,0)</f>
        <v>JGCYVL2</v>
      </c>
      <c r="K1944" s="43"/>
      <c r="L1944" s="44"/>
      <c r="M1944" s="45" t="s">
        <v>6037</v>
      </c>
    </row>
    <row r="1945" s="26" customFormat="1" ht="30" customHeight="1" spans="1:13">
      <c r="A1945" s="41">
        <f>IF(C1945="","",SUBTOTAL(103,$C$2:C1945))</f>
        <v>1936</v>
      </c>
      <c r="B1945" s="41">
        <v>9813</v>
      </c>
      <c r="C1945" s="41">
        <v>2478</v>
      </c>
      <c r="D1945" s="41" t="s">
        <v>45</v>
      </c>
      <c r="E1945" s="41" t="s">
        <v>1298</v>
      </c>
      <c r="F1945" s="41" t="s">
        <v>5887</v>
      </c>
      <c r="G1945" s="41" t="s">
        <v>6038</v>
      </c>
      <c r="H1945" s="41" t="s">
        <v>6039</v>
      </c>
      <c r="I1945" s="43">
        <v>12</v>
      </c>
      <c r="J1945" s="44" t="str">
        <f>VLOOKUP(G1945,[1]硬件清单!$F:$F,1,0)</f>
        <v>JGBZJL2</v>
      </c>
      <c r="K1945" s="43"/>
      <c r="L1945" s="44"/>
      <c r="M1945" s="45" t="s">
        <v>6040</v>
      </c>
    </row>
    <row r="1946" s="26" customFormat="1" ht="30" customHeight="1" spans="1:13">
      <c r="A1946" s="41">
        <f>IF(C1946="","",SUBTOTAL(103,$C$2:C1946))</f>
        <v>1937</v>
      </c>
      <c r="B1946" s="41">
        <v>9814</v>
      </c>
      <c r="C1946" s="41">
        <v>2468</v>
      </c>
      <c r="D1946" s="41" t="s">
        <v>45</v>
      </c>
      <c r="E1946" s="41" t="s">
        <v>1298</v>
      </c>
      <c r="F1946" s="41" t="s">
        <v>5887</v>
      </c>
      <c r="G1946" s="41" t="s">
        <v>6041</v>
      </c>
      <c r="H1946" s="41" t="s">
        <v>6042</v>
      </c>
      <c r="I1946" s="43">
        <v>12</v>
      </c>
      <c r="J1946" s="44" t="str">
        <f>VLOOKUP(G1946,[1]硬件清单!$F:$F,1,0)</f>
        <v>JGC6KL2</v>
      </c>
      <c r="K1946" s="43"/>
      <c r="L1946" s="44"/>
      <c r="M1946" s="45" t="s">
        <v>6043</v>
      </c>
    </row>
    <row r="1947" s="26" customFormat="1" ht="30" customHeight="1" spans="1:13">
      <c r="A1947" s="41">
        <f>IF(C1947="","",SUBTOTAL(103,$C$2:C1947))</f>
        <v>1938</v>
      </c>
      <c r="B1947" s="41">
        <v>9815</v>
      </c>
      <c r="C1947" s="41">
        <v>2469</v>
      </c>
      <c r="D1947" s="41" t="s">
        <v>45</v>
      </c>
      <c r="E1947" s="41" t="s">
        <v>1298</v>
      </c>
      <c r="F1947" s="41" t="s">
        <v>5887</v>
      </c>
      <c r="G1947" s="41" t="s">
        <v>6044</v>
      </c>
      <c r="H1947" s="41" t="s">
        <v>6045</v>
      </c>
      <c r="I1947" s="43">
        <v>12</v>
      </c>
      <c r="J1947" s="44" t="str">
        <f>VLOOKUP(G1947,[1]硬件清单!$F:$F,1,0)</f>
        <v>JGD4YL2</v>
      </c>
      <c r="K1947" s="43"/>
      <c r="L1947" s="44"/>
      <c r="M1947" s="45" t="s">
        <v>6046</v>
      </c>
    </row>
    <row r="1948" s="26" customFormat="1" ht="30" customHeight="1" spans="1:13">
      <c r="A1948" s="41">
        <f>IF(C1948="","",SUBTOTAL(103,$C$2:C1948))</f>
        <v>1939</v>
      </c>
      <c r="B1948" s="41">
        <v>9816</v>
      </c>
      <c r="C1948" s="41">
        <v>2470</v>
      </c>
      <c r="D1948" s="41" t="s">
        <v>45</v>
      </c>
      <c r="E1948" s="41" t="s">
        <v>1298</v>
      </c>
      <c r="F1948" s="41" t="s">
        <v>5887</v>
      </c>
      <c r="G1948" s="41" t="s">
        <v>6047</v>
      </c>
      <c r="H1948" s="41" t="s">
        <v>6048</v>
      </c>
      <c r="I1948" s="43">
        <v>12</v>
      </c>
      <c r="J1948" s="44" t="str">
        <f>VLOOKUP(G1948,[1]硬件清单!$F:$F,1,0)</f>
        <v>JGD6YL2</v>
      </c>
      <c r="K1948" s="43"/>
      <c r="L1948" s="44"/>
      <c r="M1948" s="45" t="s">
        <v>6049</v>
      </c>
    </row>
    <row r="1949" s="26" customFormat="1" ht="30" customHeight="1" spans="1:13">
      <c r="A1949" s="41">
        <f>IF(C1949="","",SUBTOTAL(103,$C$2:C1949))</f>
        <v>1940</v>
      </c>
      <c r="B1949" s="41">
        <v>9817</v>
      </c>
      <c r="C1949" s="41">
        <v>2471</v>
      </c>
      <c r="D1949" s="41" t="s">
        <v>45</v>
      </c>
      <c r="E1949" s="41" t="s">
        <v>1298</v>
      </c>
      <c r="F1949" s="41" t="s">
        <v>5887</v>
      </c>
      <c r="G1949" s="41" t="s">
        <v>6050</v>
      </c>
      <c r="H1949" s="41" t="s">
        <v>6051</v>
      </c>
      <c r="I1949" s="43">
        <v>12</v>
      </c>
      <c r="J1949" s="44" t="str">
        <f>VLOOKUP(G1949,[1]硬件清单!$F:$F,1,0)</f>
        <v>JGC3KL2</v>
      </c>
      <c r="K1949" s="43"/>
      <c r="L1949" s="44"/>
      <c r="M1949" s="45" t="s">
        <v>6052</v>
      </c>
    </row>
    <row r="1950" s="26" customFormat="1" ht="30" customHeight="1" spans="1:13">
      <c r="A1950" s="41">
        <f>IF(C1950="","",SUBTOTAL(103,$C$2:C1950))</f>
        <v>1941</v>
      </c>
      <c r="B1950" s="41">
        <v>9818</v>
      </c>
      <c r="C1950" s="41">
        <v>2472</v>
      </c>
      <c r="D1950" s="41" t="s">
        <v>45</v>
      </c>
      <c r="E1950" s="41" t="s">
        <v>1298</v>
      </c>
      <c r="F1950" s="41" t="s">
        <v>5887</v>
      </c>
      <c r="G1950" s="41" t="s">
        <v>6053</v>
      </c>
      <c r="H1950" s="41" t="s">
        <v>6054</v>
      </c>
      <c r="I1950" s="43">
        <v>12</v>
      </c>
      <c r="J1950" s="44" t="str">
        <f>VLOOKUP(G1950,[1]硬件清单!$F:$F,1,0)</f>
        <v>JGC4YL2</v>
      </c>
      <c r="K1950" s="43"/>
      <c r="L1950" s="44"/>
      <c r="M1950" s="45" t="s">
        <v>6055</v>
      </c>
    </row>
    <row r="1951" s="26" customFormat="1" ht="30" customHeight="1" spans="1:13">
      <c r="A1951" s="41">
        <f>IF(C1951="","",SUBTOTAL(103,$C$2:C1951))</f>
        <v>1942</v>
      </c>
      <c r="B1951" s="41">
        <v>9819</v>
      </c>
      <c r="C1951" s="41">
        <v>2473</v>
      </c>
      <c r="D1951" s="41" t="s">
        <v>45</v>
      </c>
      <c r="E1951" s="41" t="s">
        <v>1298</v>
      </c>
      <c r="F1951" s="41" t="s">
        <v>5887</v>
      </c>
      <c r="G1951" s="41" t="s">
        <v>6056</v>
      </c>
      <c r="H1951" s="41" t="s">
        <v>6057</v>
      </c>
      <c r="I1951" s="43">
        <v>12</v>
      </c>
      <c r="J1951" s="44" t="str">
        <f>VLOOKUP(G1951,[1]硬件清单!$F:$F,1,0)</f>
        <v>JGCRVL2</v>
      </c>
      <c r="K1951" s="43"/>
      <c r="L1951" s="44"/>
      <c r="M1951" s="45" t="s">
        <v>6058</v>
      </c>
    </row>
    <row r="1952" s="26" customFormat="1" ht="30" customHeight="1" spans="1:13">
      <c r="A1952" s="41">
        <f>IF(C1952="","",SUBTOTAL(103,$C$2:C1952))</f>
        <v>1943</v>
      </c>
      <c r="B1952" s="41">
        <v>9820</v>
      </c>
      <c r="C1952" s="41">
        <v>2474</v>
      </c>
      <c r="D1952" s="41" t="s">
        <v>45</v>
      </c>
      <c r="E1952" s="41" t="s">
        <v>1298</v>
      </c>
      <c r="F1952" s="41" t="s">
        <v>5887</v>
      </c>
      <c r="G1952" s="41" t="s">
        <v>6059</v>
      </c>
      <c r="H1952" s="41" t="s">
        <v>6060</v>
      </c>
      <c r="I1952" s="43">
        <v>12</v>
      </c>
      <c r="J1952" s="44" t="str">
        <f>VLOOKUP(G1952,[1]硬件清单!$F:$F,1,0)</f>
        <v>JGCWVL2</v>
      </c>
      <c r="K1952" s="43"/>
      <c r="L1952" s="44"/>
      <c r="M1952" s="45" t="s">
        <v>6061</v>
      </c>
    </row>
    <row r="1953" s="26" customFormat="1" ht="30" customHeight="1" spans="1:13">
      <c r="A1953" s="41">
        <f>IF(C1953="","",SUBTOTAL(103,$C$2:C1953))</f>
        <v>1944</v>
      </c>
      <c r="B1953" s="41">
        <v>9821</v>
      </c>
      <c r="C1953" s="41">
        <v>2475</v>
      </c>
      <c r="D1953" s="41" t="s">
        <v>45</v>
      </c>
      <c r="E1953" s="41" t="s">
        <v>1298</v>
      </c>
      <c r="F1953" s="41" t="s">
        <v>5887</v>
      </c>
      <c r="G1953" s="41" t="s">
        <v>6062</v>
      </c>
      <c r="H1953" s="41" t="s">
        <v>6063</v>
      </c>
      <c r="I1953" s="43">
        <v>12</v>
      </c>
      <c r="J1953" s="44" t="str">
        <f>VLOOKUP(G1953,[1]硬件清单!$F:$F,1,0)</f>
        <v>JGC0YL2</v>
      </c>
      <c r="K1953" s="43"/>
      <c r="L1953" s="44"/>
      <c r="M1953" s="45" t="s">
        <v>6064</v>
      </c>
    </row>
    <row r="1954" s="26" customFormat="1" ht="30" customHeight="1" spans="1:13">
      <c r="A1954" s="41">
        <f>IF(C1954="","",SUBTOTAL(103,$C$2:C1954))</f>
        <v>1945</v>
      </c>
      <c r="B1954" s="41">
        <v>9826</v>
      </c>
      <c r="C1954" s="46">
        <v>14095</v>
      </c>
      <c r="D1954" s="46" t="s">
        <v>45</v>
      </c>
      <c r="E1954" s="46" t="s">
        <v>1298</v>
      </c>
      <c r="F1954" s="46" t="s">
        <v>6065</v>
      </c>
      <c r="G1954" s="41" t="s">
        <v>6066</v>
      </c>
      <c r="H1954" s="41" t="s">
        <v>6067</v>
      </c>
      <c r="I1954" s="43">
        <v>12</v>
      </c>
      <c r="J1954" s="44" t="str">
        <f>VLOOKUP(G1954,[1]硬件清单!$F:$F,1,0)</f>
        <v>210305613210GA001640</v>
      </c>
      <c r="K1954" s="43"/>
      <c r="L1954" s="44"/>
      <c r="M1954" s="45" t="s">
        <v>6068</v>
      </c>
    </row>
    <row r="1955" s="26" customFormat="1" ht="30" customHeight="1" spans="1:13">
      <c r="A1955" s="41">
        <f>IF(C1955="","",SUBTOTAL(103,$C$2:C1955))</f>
        <v>1946</v>
      </c>
      <c r="B1955" s="41">
        <v>9827</v>
      </c>
      <c r="C1955" s="41">
        <v>14077</v>
      </c>
      <c r="D1955" s="41" t="s">
        <v>45</v>
      </c>
      <c r="E1955" s="41" t="s">
        <v>1298</v>
      </c>
      <c r="F1955" s="41" t="s">
        <v>6065</v>
      </c>
      <c r="G1955" s="41" t="s">
        <v>6069</v>
      </c>
      <c r="H1955" s="41" t="s">
        <v>6070</v>
      </c>
      <c r="I1955" s="43">
        <v>12</v>
      </c>
      <c r="J1955" s="44" t="str">
        <f>VLOOKUP(G1955,[1]硬件清单!$F:$F,1,0)</f>
        <v>210305613210GA001641</v>
      </c>
      <c r="K1955" s="43"/>
      <c r="L1955" s="44"/>
      <c r="M1955" s="45" t="s">
        <v>6071</v>
      </c>
    </row>
    <row r="1956" s="26" customFormat="1" ht="30" customHeight="1" spans="1:13">
      <c r="A1956" s="41">
        <f>IF(C1956="","",SUBTOTAL(103,$C$2:C1956))</f>
        <v>1947</v>
      </c>
      <c r="B1956" s="41">
        <v>9828</v>
      </c>
      <c r="C1956" s="41">
        <v>14097</v>
      </c>
      <c r="D1956" s="41" t="s">
        <v>45</v>
      </c>
      <c r="E1956" s="41" t="s">
        <v>1298</v>
      </c>
      <c r="F1956" s="41" t="s">
        <v>6065</v>
      </c>
      <c r="G1956" s="41" t="s">
        <v>6072</v>
      </c>
      <c r="H1956" s="41" t="s">
        <v>6073</v>
      </c>
      <c r="I1956" s="43">
        <v>12</v>
      </c>
      <c r="J1956" s="44" t="str">
        <f>VLOOKUP(G1956,[1]硬件清单!$F:$F,1,0)</f>
        <v>210305613210GA001649</v>
      </c>
      <c r="K1956" s="43"/>
      <c r="L1956" s="44"/>
      <c r="M1956" s="45" t="s">
        <v>6074</v>
      </c>
    </row>
    <row r="1957" s="26" customFormat="1" ht="30" customHeight="1" spans="1:13">
      <c r="A1957" s="41">
        <f>IF(C1957="","",SUBTOTAL(103,$C$2:C1957))</f>
        <v>1948</v>
      </c>
      <c r="B1957" s="41">
        <v>9829</v>
      </c>
      <c r="C1957" s="41">
        <v>14098</v>
      </c>
      <c r="D1957" s="41" t="s">
        <v>45</v>
      </c>
      <c r="E1957" s="41" t="s">
        <v>1298</v>
      </c>
      <c r="F1957" s="41" t="s">
        <v>6065</v>
      </c>
      <c r="G1957" s="41" t="s">
        <v>6075</v>
      </c>
      <c r="H1957" s="41" t="s">
        <v>6076</v>
      </c>
      <c r="I1957" s="43">
        <v>12</v>
      </c>
      <c r="J1957" s="44" t="str">
        <f>VLOOKUP(G1957,[1]硬件清单!$F:$F,1,0)</f>
        <v>210305613210GA001657</v>
      </c>
      <c r="K1957" s="43"/>
      <c r="L1957" s="44"/>
      <c r="M1957" s="45" t="s">
        <v>6077</v>
      </c>
    </row>
    <row r="1958" s="26" customFormat="1" ht="30" customHeight="1" spans="1:13">
      <c r="A1958" s="41">
        <f>IF(C1958="","",SUBTOTAL(103,$C$2:C1958))</f>
        <v>1949</v>
      </c>
      <c r="B1958" s="41">
        <v>9830</v>
      </c>
      <c r="C1958" s="41">
        <v>14099</v>
      </c>
      <c r="D1958" s="41" t="s">
        <v>45</v>
      </c>
      <c r="E1958" s="41" t="s">
        <v>1298</v>
      </c>
      <c r="F1958" s="41" t="s">
        <v>6065</v>
      </c>
      <c r="G1958" s="41" t="s">
        <v>6078</v>
      </c>
      <c r="H1958" s="41" t="s">
        <v>6079</v>
      </c>
      <c r="I1958" s="43">
        <v>12</v>
      </c>
      <c r="J1958" s="44" t="str">
        <f>VLOOKUP(G1958,[1]硬件清单!$F:$F,1,0)</f>
        <v>210305613210GA001644</v>
      </c>
      <c r="K1958" s="43"/>
      <c r="L1958" s="44"/>
      <c r="M1958" s="45" t="s">
        <v>6080</v>
      </c>
    </row>
    <row r="1959" s="26" customFormat="1" ht="30" customHeight="1" spans="1:13">
      <c r="A1959" s="41">
        <f>IF(C1959="","",SUBTOTAL(103,$C$2:C1959))</f>
        <v>1950</v>
      </c>
      <c r="B1959" s="41">
        <v>9831</v>
      </c>
      <c r="C1959" s="41">
        <v>14078</v>
      </c>
      <c r="D1959" s="41" t="s">
        <v>45</v>
      </c>
      <c r="E1959" s="41" t="s">
        <v>1298</v>
      </c>
      <c r="F1959" s="41" t="s">
        <v>6065</v>
      </c>
      <c r="G1959" s="41" t="s">
        <v>6081</v>
      </c>
      <c r="H1959" s="41" t="s">
        <v>6082</v>
      </c>
      <c r="I1959" s="43">
        <v>12</v>
      </c>
      <c r="J1959" s="44" t="str">
        <f>VLOOKUP(G1959,[1]硬件清单!$F:$F,1,0)</f>
        <v>210305613210GA001655</v>
      </c>
      <c r="K1959" s="43"/>
      <c r="L1959" s="44"/>
      <c r="M1959" s="45" t="s">
        <v>6083</v>
      </c>
    </row>
    <row r="1960" s="26" customFormat="1" ht="30" customHeight="1" spans="1:13">
      <c r="A1960" s="41">
        <f>IF(C1960="","",SUBTOTAL(103,$C$2:C1960))</f>
        <v>1951</v>
      </c>
      <c r="B1960" s="41">
        <v>9832</v>
      </c>
      <c r="C1960" s="41">
        <v>14079</v>
      </c>
      <c r="D1960" s="41" t="s">
        <v>45</v>
      </c>
      <c r="E1960" s="41" t="s">
        <v>1298</v>
      </c>
      <c r="F1960" s="41" t="s">
        <v>6065</v>
      </c>
      <c r="G1960" s="41" t="s">
        <v>6084</v>
      </c>
      <c r="H1960" s="41" t="s">
        <v>6085</v>
      </c>
      <c r="I1960" s="43">
        <v>12</v>
      </c>
      <c r="J1960" s="44" t="str">
        <f>VLOOKUP(G1960,[1]硬件清单!$F:$F,1,0)</f>
        <v>210305613210GA001647</v>
      </c>
      <c r="K1960" s="43"/>
      <c r="L1960" s="44"/>
      <c r="M1960" s="45" t="s">
        <v>6086</v>
      </c>
    </row>
    <row r="1961" s="26" customFormat="1" ht="30" customHeight="1" spans="1:13">
      <c r="A1961" s="41">
        <f>IF(C1961="","",SUBTOTAL(103,$C$2:C1961))</f>
        <v>1952</v>
      </c>
      <c r="B1961" s="41">
        <v>9833</v>
      </c>
      <c r="C1961" s="41">
        <v>14080</v>
      </c>
      <c r="D1961" s="41" t="s">
        <v>45</v>
      </c>
      <c r="E1961" s="41" t="s">
        <v>1298</v>
      </c>
      <c r="F1961" s="41" t="s">
        <v>6065</v>
      </c>
      <c r="G1961" s="41" t="s">
        <v>6087</v>
      </c>
      <c r="H1961" s="41" t="s">
        <v>6088</v>
      </c>
      <c r="I1961" s="43">
        <v>12</v>
      </c>
      <c r="J1961" s="44" t="str">
        <f>VLOOKUP(G1961,[1]硬件清单!$F:$F,1,0)</f>
        <v>210305613210GA001638</v>
      </c>
      <c r="K1961" s="43"/>
      <c r="L1961" s="44"/>
      <c r="M1961" s="45" t="s">
        <v>6089</v>
      </c>
    </row>
    <row r="1962" s="26" customFormat="1" ht="30" customHeight="1" spans="1:13">
      <c r="A1962" s="41">
        <f>IF(C1962="","",SUBTOTAL(103,$C$2:C1962))</f>
        <v>1953</v>
      </c>
      <c r="B1962" s="41">
        <v>9834</v>
      </c>
      <c r="C1962" s="41">
        <v>14081</v>
      </c>
      <c r="D1962" s="41" t="s">
        <v>45</v>
      </c>
      <c r="E1962" s="41" t="s">
        <v>1298</v>
      </c>
      <c r="F1962" s="41" t="s">
        <v>6065</v>
      </c>
      <c r="G1962" s="41" t="s">
        <v>6090</v>
      </c>
      <c r="H1962" s="41" t="s">
        <v>6091</v>
      </c>
      <c r="I1962" s="43">
        <v>12</v>
      </c>
      <c r="J1962" s="44" t="str">
        <f>VLOOKUP(G1962,[1]硬件清单!$F:$F,1,0)</f>
        <v>210305613210GA001652</v>
      </c>
      <c r="K1962" s="43"/>
      <c r="L1962" s="44"/>
      <c r="M1962" s="45" t="s">
        <v>6092</v>
      </c>
    </row>
    <row r="1963" s="26" customFormat="1" ht="30" customHeight="1" spans="1:13">
      <c r="A1963" s="41">
        <f>IF(C1963="","",SUBTOTAL(103,$C$2:C1963))</f>
        <v>1954</v>
      </c>
      <c r="B1963" s="41">
        <v>9835</v>
      </c>
      <c r="C1963" s="41">
        <v>14082</v>
      </c>
      <c r="D1963" s="41" t="s">
        <v>45</v>
      </c>
      <c r="E1963" s="41" t="s">
        <v>1298</v>
      </c>
      <c r="F1963" s="41" t="s">
        <v>6065</v>
      </c>
      <c r="G1963" s="41" t="s">
        <v>6093</v>
      </c>
      <c r="H1963" s="41" t="s">
        <v>6094</v>
      </c>
      <c r="I1963" s="43">
        <v>12</v>
      </c>
      <c r="J1963" s="44" t="str">
        <f>VLOOKUP(G1963,[1]硬件清单!$F:$F,1,0)</f>
        <v>210305613210GA001639</v>
      </c>
      <c r="K1963" s="43"/>
      <c r="L1963" s="44"/>
      <c r="M1963" s="45" t="s">
        <v>6095</v>
      </c>
    </row>
    <row r="1964" s="26" customFormat="1" ht="30" customHeight="1" spans="1:13">
      <c r="A1964" s="41">
        <f>IF(C1964="","",SUBTOTAL(103,$C$2:C1964))</f>
        <v>1955</v>
      </c>
      <c r="B1964" s="41">
        <v>9836</v>
      </c>
      <c r="C1964" s="41">
        <v>14083</v>
      </c>
      <c r="D1964" s="41" t="s">
        <v>45</v>
      </c>
      <c r="E1964" s="41" t="s">
        <v>1298</v>
      </c>
      <c r="F1964" s="41" t="s">
        <v>6065</v>
      </c>
      <c r="G1964" s="41" t="s">
        <v>6096</v>
      </c>
      <c r="H1964" s="41" t="s">
        <v>6097</v>
      </c>
      <c r="I1964" s="43">
        <v>12</v>
      </c>
      <c r="J1964" s="44" t="str">
        <f>VLOOKUP(G1964,[1]硬件清单!$F:$F,1,0)</f>
        <v>210305613210GA001658</v>
      </c>
      <c r="K1964" s="43"/>
      <c r="L1964" s="44"/>
      <c r="M1964" s="45" t="s">
        <v>6098</v>
      </c>
    </row>
    <row r="1965" s="26" customFormat="1" ht="30" customHeight="1" spans="1:13">
      <c r="A1965" s="41">
        <f>IF(C1965="","",SUBTOTAL(103,$C$2:C1965))</f>
        <v>1956</v>
      </c>
      <c r="B1965" s="41">
        <v>9837</v>
      </c>
      <c r="C1965" s="41">
        <v>14084</v>
      </c>
      <c r="D1965" s="41" t="s">
        <v>45</v>
      </c>
      <c r="E1965" s="41" t="s">
        <v>1298</v>
      </c>
      <c r="F1965" s="41" t="s">
        <v>6065</v>
      </c>
      <c r="G1965" s="41" t="s">
        <v>6099</v>
      </c>
      <c r="H1965" s="41" t="s">
        <v>6100</v>
      </c>
      <c r="I1965" s="43">
        <v>12</v>
      </c>
      <c r="J1965" s="44" t="str">
        <f>VLOOKUP(G1965,[1]硬件清单!$F:$F,1,0)</f>
        <v>210305613210GA001650</v>
      </c>
      <c r="K1965" s="43"/>
      <c r="L1965" s="44"/>
      <c r="M1965" s="45" t="s">
        <v>6101</v>
      </c>
    </row>
    <row r="1966" s="26" customFormat="1" ht="30" customHeight="1" spans="1:13">
      <c r="A1966" s="41">
        <f>IF(C1966="","",SUBTOTAL(103,$C$2:C1966))</f>
        <v>1957</v>
      </c>
      <c r="B1966" s="41">
        <v>9838</v>
      </c>
      <c r="C1966" s="41">
        <v>14096</v>
      </c>
      <c r="D1966" s="41" t="s">
        <v>45</v>
      </c>
      <c r="E1966" s="41" t="s">
        <v>1298</v>
      </c>
      <c r="F1966" s="41" t="s">
        <v>6065</v>
      </c>
      <c r="G1966" s="41" t="s">
        <v>6102</v>
      </c>
      <c r="H1966" s="41" t="s">
        <v>6103</v>
      </c>
      <c r="I1966" s="43">
        <v>12</v>
      </c>
      <c r="J1966" s="44" t="str">
        <f>VLOOKUP(G1966,[1]硬件清单!$F:$F,1,0)</f>
        <v>210305613210GA001646</v>
      </c>
      <c r="K1966" s="43"/>
      <c r="L1966" s="44"/>
      <c r="M1966" s="45" t="s">
        <v>6104</v>
      </c>
    </row>
    <row r="1967" s="26" customFormat="1" ht="30" customHeight="1" spans="1:13">
      <c r="A1967" s="41">
        <f>IF(C1967="","",SUBTOTAL(103,$C$2:C1967))</f>
        <v>1958</v>
      </c>
      <c r="B1967" s="41">
        <v>9839</v>
      </c>
      <c r="C1967" s="41">
        <v>14085</v>
      </c>
      <c r="D1967" s="41" t="s">
        <v>45</v>
      </c>
      <c r="E1967" s="41" t="s">
        <v>1298</v>
      </c>
      <c r="F1967" s="41" t="s">
        <v>6065</v>
      </c>
      <c r="G1967" s="41" t="s">
        <v>6105</v>
      </c>
      <c r="H1967" s="41" t="s">
        <v>6106</v>
      </c>
      <c r="I1967" s="43">
        <v>12</v>
      </c>
      <c r="J1967" s="44" t="str">
        <f>VLOOKUP(G1967,[1]硬件清单!$F:$F,1,0)</f>
        <v>210305613210GA001648</v>
      </c>
      <c r="K1967" s="43"/>
      <c r="L1967" s="44"/>
      <c r="M1967" s="45" t="s">
        <v>6107</v>
      </c>
    </row>
    <row r="1968" s="26" customFormat="1" ht="30" customHeight="1" spans="1:13">
      <c r="A1968" s="41">
        <f>IF(C1968="","",SUBTOTAL(103,$C$2:C1968))</f>
        <v>1959</v>
      </c>
      <c r="B1968" s="41">
        <v>9840</v>
      </c>
      <c r="C1968" s="41">
        <v>14091</v>
      </c>
      <c r="D1968" s="41" t="s">
        <v>45</v>
      </c>
      <c r="E1968" s="41" t="s">
        <v>1298</v>
      </c>
      <c r="F1968" s="41" t="s">
        <v>6065</v>
      </c>
      <c r="G1968" s="41" t="s">
        <v>6108</v>
      </c>
      <c r="H1968" s="41" t="s">
        <v>6109</v>
      </c>
      <c r="I1968" s="43">
        <v>12</v>
      </c>
      <c r="J1968" s="44" t="str">
        <f>VLOOKUP(G1968,[1]硬件清单!$F:$F,1,0)</f>
        <v>210305613210GA001643</v>
      </c>
      <c r="K1968" s="43"/>
      <c r="L1968" s="44"/>
      <c r="M1968" s="45" t="s">
        <v>6110</v>
      </c>
    </row>
    <row r="1969" s="26" customFormat="1" ht="30" customHeight="1" spans="1:13">
      <c r="A1969" s="41">
        <f>IF(C1969="","",SUBTOTAL(103,$C$2:C1969))</f>
        <v>1960</v>
      </c>
      <c r="B1969" s="41">
        <v>9841</v>
      </c>
      <c r="C1969" s="41">
        <v>14092</v>
      </c>
      <c r="D1969" s="41" t="s">
        <v>45</v>
      </c>
      <c r="E1969" s="41" t="s">
        <v>1298</v>
      </c>
      <c r="F1969" s="41" t="s">
        <v>6065</v>
      </c>
      <c r="G1969" s="41" t="s">
        <v>6111</v>
      </c>
      <c r="H1969" s="41" t="s">
        <v>6112</v>
      </c>
      <c r="I1969" s="43">
        <v>12</v>
      </c>
      <c r="J1969" s="44" t="str">
        <f>VLOOKUP(G1969,[1]硬件清单!$F:$F,1,0)</f>
        <v>210305613210GA001642</v>
      </c>
      <c r="K1969" s="43"/>
      <c r="L1969" s="44"/>
      <c r="M1969" s="45" t="s">
        <v>6113</v>
      </c>
    </row>
    <row r="1970" s="26" customFormat="1" ht="30" customHeight="1" spans="1:13">
      <c r="A1970" s="41">
        <f>IF(C1970="","",SUBTOTAL(103,$C$2:C1970))</f>
        <v>1961</v>
      </c>
      <c r="B1970" s="41">
        <v>9842</v>
      </c>
      <c r="C1970" s="41">
        <v>14076</v>
      </c>
      <c r="D1970" s="41" t="s">
        <v>45</v>
      </c>
      <c r="E1970" s="41" t="s">
        <v>1298</v>
      </c>
      <c r="F1970" s="41" t="s">
        <v>6065</v>
      </c>
      <c r="G1970" s="41" t="s">
        <v>6114</v>
      </c>
      <c r="H1970" s="41" t="s">
        <v>6115</v>
      </c>
      <c r="I1970" s="43">
        <v>12</v>
      </c>
      <c r="J1970" s="44" t="str">
        <f>VLOOKUP(G1970,[1]硬件清单!$F:$F,1,0)</f>
        <v>210305613210GA001656</v>
      </c>
      <c r="K1970" s="43"/>
      <c r="L1970" s="44"/>
      <c r="M1970" s="45" t="s">
        <v>6116</v>
      </c>
    </row>
    <row r="1971" s="26" customFormat="1" ht="30" customHeight="1" spans="1:13">
      <c r="A1971" s="41">
        <f>IF(C1971="","",SUBTOTAL(103,$C$2:C1971))</f>
        <v>1962</v>
      </c>
      <c r="B1971" s="41">
        <v>9843</v>
      </c>
      <c r="C1971" s="41">
        <v>14086</v>
      </c>
      <c r="D1971" s="41" t="s">
        <v>45</v>
      </c>
      <c r="E1971" s="41" t="s">
        <v>1298</v>
      </c>
      <c r="F1971" s="41" t="s">
        <v>6065</v>
      </c>
      <c r="G1971" s="41" t="s">
        <v>6117</v>
      </c>
      <c r="H1971" s="41" t="s">
        <v>6118</v>
      </c>
      <c r="I1971" s="43">
        <v>12</v>
      </c>
      <c r="J1971" s="44" t="str">
        <f>VLOOKUP(G1971,[1]硬件清单!$F:$F,1,0)</f>
        <v>210305613210GA001659</v>
      </c>
      <c r="K1971" s="43"/>
      <c r="L1971" s="44"/>
      <c r="M1971" s="45" t="s">
        <v>6119</v>
      </c>
    </row>
    <row r="1972" s="26" customFormat="1" ht="30" customHeight="1" spans="1:13">
      <c r="A1972" s="41">
        <f>IF(C1972="","",SUBTOTAL(103,$C$2:C1972))</f>
        <v>1963</v>
      </c>
      <c r="B1972" s="41">
        <v>9844</v>
      </c>
      <c r="C1972" s="41">
        <v>14087</v>
      </c>
      <c r="D1972" s="41" t="s">
        <v>45</v>
      </c>
      <c r="E1972" s="41" t="s">
        <v>1298</v>
      </c>
      <c r="F1972" s="41" t="s">
        <v>6065</v>
      </c>
      <c r="G1972" s="41" t="s">
        <v>6120</v>
      </c>
      <c r="H1972" s="41" t="s">
        <v>6121</v>
      </c>
      <c r="I1972" s="43">
        <v>12</v>
      </c>
      <c r="J1972" s="44" t="str">
        <f>VLOOKUP(G1972,[1]硬件清单!$F:$F,1,0)</f>
        <v>210305613210GA001660</v>
      </c>
      <c r="K1972" s="43"/>
      <c r="L1972" s="44"/>
      <c r="M1972" s="45" t="s">
        <v>6122</v>
      </c>
    </row>
    <row r="1973" s="26" customFormat="1" ht="30" customHeight="1" spans="1:13">
      <c r="A1973" s="41">
        <f>IF(C1973="","",SUBTOTAL(103,$C$2:C1973))</f>
        <v>1964</v>
      </c>
      <c r="B1973" s="41">
        <v>9845</v>
      </c>
      <c r="C1973" s="41">
        <v>14088</v>
      </c>
      <c r="D1973" s="41" t="s">
        <v>45</v>
      </c>
      <c r="E1973" s="41" t="s">
        <v>1298</v>
      </c>
      <c r="F1973" s="41" t="s">
        <v>6065</v>
      </c>
      <c r="G1973" s="41" t="s">
        <v>6123</v>
      </c>
      <c r="H1973" s="41" t="s">
        <v>6124</v>
      </c>
      <c r="I1973" s="43">
        <v>12</v>
      </c>
      <c r="J1973" s="44" t="str">
        <f>VLOOKUP(G1973,[1]硬件清单!$F:$F,1,0)</f>
        <v>210305613210GA001653</v>
      </c>
      <c r="K1973" s="43"/>
      <c r="L1973" s="44"/>
      <c r="M1973" s="45" t="s">
        <v>6125</v>
      </c>
    </row>
    <row r="1974" s="26" customFormat="1" ht="30" customHeight="1" spans="1:13">
      <c r="A1974" s="41">
        <f>IF(C1974="","",SUBTOTAL(103,$C$2:C1974))</f>
        <v>1965</v>
      </c>
      <c r="B1974" s="41">
        <v>9846</v>
      </c>
      <c r="C1974" s="41">
        <v>14093</v>
      </c>
      <c r="D1974" s="41" t="s">
        <v>45</v>
      </c>
      <c r="E1974" s="41" t="s">
        <v>1298</v>
      </c>
      <c r="F1974" s="41" t="s">
        <v>6065</v>
      </c>
      <c r="G1974" s="41" t="s">
        <v>6126</v>
      </c>
      <c r="H1974" s="41" t="s">
        <v>6127</v>
      </c>
      <c r="I1974" s="43">
        <v>12</v>
      </c>
      <c r="J1974" s="44" t="str">
        <f>VLOOKUP(G1974,[1]硬件清单!$F:$F,1,0)</f>
        <v>210305613210GA001654</v>
      </c>
      <c r="K1974" s="43"/>
      <c r="L1974" s="44"/>
      <c r="M1974" s="45" t="s">
        <v>6128</v>
      </c>
    </row>
    <row r="1975" s="26" customFormat="1" ht="30" customHeight="1" spans="1:13">
      <c r="A1975" s="41">
        <f>IF(C1975="","",SUBTOTAL(103,$C$2:C1975))</f>
        <v>1966</v>
      </c>
      <c r="B1975" s="41">
        <v>9847</v>
      </c>
      <c r="C1975" s="41">
        <v>14094</v>
      </c>
      <c r="D1975" s="41" t="s">
        <v>45</v>
      </c>
      <c r="E1975" s="41" t="s">
        <v>1298</v>
      </c>
      <c r="F1975" s="41" t="s">
        <v>6065</v>
      </c>
      <c r="G1975" s="41" t="s">
        <v>6129</v>
      </c>
      <c r="H1975" s="41" t="s">
        <v>6130</v>
      </c>
      <c r="I1975" s="43">
        <v>12</v>
      </c>
      <c r="J1975" s="44" t="str">
        <f>VLOOKUP(G1975,[1]硬件清单!$F:$F,1,0)</f>
        <v>210305613210GA001637</v>
      </c>
      <c r="K1975" s="43"/>
      <c r="L1975" s="44"/>
      <c r="M1975" s="45" t="s">
        <v>6131</v>
      </c>
    </row>
    <row r="1976" s="26" customFormat="1" ht="30" customHeight="1" spans="1:13">
      <c r="A1976" s="41">
        <f>IF(C1976="","",SUBTOTAL(103,$C$2:C1976))</f>
        <v>1967</v>
      </c>
      <c r="B1976" s="41">
        <v>9848</v>
      </c>
      <c r="C1976" s="41">
        <v>14089</v>
      </c>
      <c r="D1976" s="41" t="s">
        <v>45</v>
      </c>
      <c r="E1976" s="41" t="s">
        <v>1298</v>
      </c>
      <c r="F1976" s="41" t="s">
        <v>6065</v>
      </c>
      <c r="G1976" s="41" t="s">
        <v>6132</v>
      </c>
      <c r="H1976" s="41" t="s">
        <v>6133</v>
      </c>
      <c r="I1976" s="43">
        <v>12</v>
      </c>
      <c r="J1976" s="44" t="str">
        <f>VLOOKUP(G1976,[1]硬件清单!$F:$F,1,0)</f>
        <v>210305613210GA001645</v>
      </c>
      <c r="K1976" s="43"/>
      <c r="L1976" s="44"/>
      <c r="M1976" s="45" t="s">
        <v>6134</v>
      </c>
    </row>
    <row r="1977" s="26" customFormat="1" ht="30" customHeight="1" spans="1:13">
      <c r="A1977" s="41">
        <f>IF(C1977="","",SUBTOTAL(103,$C$2:C1977))</f>
        <v>1968</v>
      </c>
      <c r="B1977" s="41">
        <v>9849</v>
      </c>
      <c r="C1977" s="41">
        <v>14090</v>
      </c>
      <c r="D1977" s="41" t="s">
        <v>45</v>
      </c>
      <c r="E1977" s="41" t="s">
        <v>1298</v>
      </c>
      <c r="F1977" s="41" t="s">
        <v>6065</v>
      </c>
      <c r="G1977" s="41" t="s">
        <v>6135</v>
      </c>
      <c r="H1977" s="41" t="s">
        <v>6136</v>
      </c>
      <c r="I1977" s="43">
        <v>12</v>
      </c>
      <c r="J1977" s="44" t="str">
        <f>VLOOKUP(G1977,[1]硬件清单!$F:$F,1,0)</f>
        <v>210305613210GA001651</v>
      </c>
      <c r="K1977" s="43"/>
      <c r="L1977" s="44"/>
      <c r="M1977" s="45" t="s">
        <v>6137</v>
      </c>
    </row>
    <row r="1978" s="26" customFormat="1" ht="30" customHeight="1" spans="1:13">
      <c r="A1978" s="41">
        <f>IF(C1978="","",SUBTOTAL(103,$C$2:C1978))</f>
        <v>1969</v>
      </c>
      <c r="B1978" s="41">
        <v>9850</v>
      </c>
      <c r="C1978" s="41">
        <v>6785</v>
      </c>
      <c r="D1978" s="41" t="s">
        <v>45</v>
      </c>
      <c r="E1978" s="41" t="s">
        <v>1298</v>
      </c>
      <c r="F1978" s="41" t="s">
        <v>6138</v>
      </c>
      <c r="G1978" s="41" t="s">
        <v>6139</v>
      </c>
      <c r="H1978" s="41" t="s">
        <v>6140</v>
      </c>
      <c r="I1978" s="43">
        <v>12</v>
      </c>
      <c r="J1978" s="44" t="str">
        <f>VLOOKUP(G1978,[1]硬件清单!$F:$F,1,0)</f>
        <v>6CU315YJZY</v>
      </c>
      <c r="K1978" s="43"/>
      <c r="L1978" s="44"/>
      <c r="M1978" s="45" t="s">
        <v>6141</v>
      </c>
    </row>
    <row r="1979" s="26" customFormat="1" ht="30" customHeight="1" spans="1:13">
      <c r="A1979" s="41">
        <f>IF(C1979="","",SUBTOTAL(103,$C$2:C1979))</f>
        <v>1970</v>
      </c>
      <c r="B1979" s="41">
        <v>9851</v>
      </c>
      <c r="C1979" s="41">
        <v>6794</v>
      </c>
      <c r="D1979" s="41" t="s">
        <v>45</v>
      </c>
      <c r="E1979" s="41" t="s">
        <v>1298</v>
      </c>
      <c r="F1979" s="41" t="s">
        <v>6138</v>
      </c>
      <c r="G1979" s="41" t="s">
        <v>6142</v>
      </c>
      <c r="H1979" s="41" t="s">
        <v>6143</v>
      </c>
      <c r="I1979" s="43">
        <v>12</v>
      </c>
      <c r="J1979" s="44" t="str">
        <f>VLOOKUP(G1979,[1]硬件清单!$F:$F,1,0)</f>
        <v>6CU315YJZM</v>
      </c>
      <c r="K1979" s="43"/>
      <c r="L1979" s="44"/>
      <c r="M1979" s="45" t="s">
        <v>6144</v>
      </c>
    </row>
    <row r="1980" s="26" customFormat="1" ht="30" customHeight="1" spans="1:13">
      <c r="A1980" s="41">
        <f>IF(C1980="","",SUBTOTAL(103,$C$2:C1980))</f>
        <v>1971</v>
      </c>
      <c r="B1980" s="41">
        <v>9852</v>
      </c>
      <c r="C1980" s="41">
        <v>6795</v>
      </c>
      <c r="D1980" s="41" t="s">
        <v>45</v>
      </c>
      <c r="E1980" s="41" t="s">
        <v>1298</v>
      </c>
      <c r="F1980" s="41" t="s">
        <v>6138</v>
      </c>
      <c r="G1980" s="41" t="s">
        <v>6145</v>
      </c>
      <c r="H1980" s="41" t="s">
        <v>6146</v>
      </c>
      <c r="I1980" s="43">
        <v>12</v>
      </c>
      <c r="J1980" s="44" t="str">
        <f>VLOOKUP(G1980,[1]硬件清单!$F:$F,1,0)</f>
        <v>6CU314YGVK</v>
      </c>
      <c r="K1980" s="43"/>
      <c r="L1980" s="44"/>
      <c r="M1980" s="45" t="s">
        <v>6147</v>
      </c>
    </row>
    <row r="1981" s="26" customFormat="1" ht="30" customHeight="1" spans="1:13">
      <c r="A1981" s="41">
        <f>IF(C1981="","",SUBTOTAL(103,$C$2:C1981))</f>
        <v>1972</v>
      </c>
      <c r="B1981" s="41">
        <v>9853</v>
      </c>
      <c r="C1981" s="41">
        <v>6796</v>
      </c>
      <c r="D1981" s="41" t="s">
        <v>45</v>
      </c>
      <c r="E1981" s="41" t="s">
        <v>1298</v>
      </c>
      <c r="F1981" s="41" t="s">
        <v>6138</v>
      </c>
      <c r="G1981" s="41" t="s">
        <v>6148</v>
      </c>
      <c r="H1981" s="41" t="s">
        <v>6149</v>
      </c>
      <c r="I1981" s="43">
        <v>12</v>
      </c>
      <c r="J1981" s="44" t="str">
        <f>VLOOKUP(G1981,[1]硬件清单!$F:$F,1,0)</f>
        <v>6CU3454YRG</v>
      </c>
      <c r="K1981" s="43"/>
      <c r="L1981" s="44"/>
      <c r="M1981" s="45" t="s">
        <v>6150</v>
      </c>
    </row>
    <row r="1982" s="26" customFormat="1" ht="30" customHeight="1" spans="1:13">
      <c r="A1982" s="41">
        <f>IF(C1982="","",SUBTOTAL(103,$C$2:C1982))</f>
        <v>1973</v>
      </c>
      <c r="B1982" s="41">
        <v>9854</v>
      </c>
      <c r="C1982" s="41">
        <v>6786</v>
      </c>
      <c r="D1982" s="41" t="s">
        <v>45</v>
      </c>
      <c r="E1982" s="41" t="s">
        <v>1298</v>
      </c>
      <c r="F1982" s="41" t="s">
        <v>6138</v>
      </c>
      <c r="G1982" s="41" t="s">
        <v>6151</v>
      </c>
      <c r="H1982" s="41" t="s">
        <v>6152</v>
      </c>
      <c r="I1982" s="43">
        <v>12</v>
      </c>
      <c r="J1982" s="44" t="str">
        <f>VLOOKUP(G1982,[1]硬件清单!$F:$F,1,0)</f>
        <v>6CU3454YRL</v>
      </c>
      <c r="K1982" s="43"/>
      <c r="L1982" s="44"/>
      <c r="M1982" s="45" t="s">
        <v>6153</v>
      </c>
    </row>
    <row r="1983" s="26" customFormat="1" ht="30" customHeight="1" spans="1:13">
      <c r="A1983" s="41">
        <f>IF(C1983="","",SUBTOTAL(103,$C$2:C1983))</f>
        <v>1974</v>
      </c>
      <c r="B1983" s="41">
        <v>9855</v>
      </c>
      <c r="C1983" s="41">
        <v>6787</v>
      </c>
      <c r="D1983" s="41" t="s">
        <v>45</v>
      </c>
      <c r="E1983" s="41" t="s">
        <v>1298</v>
      </c>
      <c r="F1983" s="41" t="s">
        <v>6138</v>
      </c>
      <c r="G1983" s="41" t="s">
        <v>6154</v>
      </c>
      <c r="H1983" s="41" t="s">
        <v>6155</v>
      </c>
      <c r="I1983" s="43">
        <v>12</v>
      </c>
      <c r="J1983" s="44" t="str">
        <f>VLOOKUP(G1983,[1]硬件清单!$F:$F,1,0)</f>
        <v>6CU315YJZH</v>
      </c>
      <c r="K1983" s="43"/>
      <c r="L1983" s="44"/>
      <c r="M1983" s="45" t="s">
        <v>6156</v>
      </c>
    </row>
    <row r="1984" s="26" customFormat="1" ht="30" customHeight="1" spans="1:13">
      <c r="A1984" s="41">
        <f>IF(C1984="","",SUBTOTAL(103,$C$2:C1984))</f>
        <v>1975</v>
      </c>
      <c r="B1984" s="41">
        <v>9856</v>
      </c>
      <c r="C1984" s="41">
        <v>6788</v>
      </c>
      <c r="D1984" s="41" t="s">
        <v>45</v>
      </c>
      <c r="E1984" s="41" t="s">
        <v>1298</v>
      </c>
      <c r="F1984" s="41" t="s">
        <v>6138</v>
      </c>
      <c r="G1984" s="41" t="s">
        <v>6157</v>
      </c>
      <c r="H1984" s="41" t="s">
        <v>6158</v>
      </c>
      <c r="I1984" s="43">
        <v>12</v>
      </c>
      <c r="J1984" s="44" t="str">
        <f>VLOOKUP(G1984,[1]硬件清单!$F:$F,1,0)</f>
        <v>6CU314YGVH</v>
      </c>
      <c r="K1984" s="43"/>
      <c r="L1984" s="44"/>
      <c r="M1984" s="45" t="s">
        <v>6159</v>
      </c>
    </row>
    <row r="1985" s="26" customFormat="1" ht="30" customHeight="1" spans="1:13">
      <c r="A1985" s="41">
        <f>IF(C1985="","",SUBTOTAL(103,$C$2:C1985))</f>
        <v>1976</v>
      </c>
      <c r="B1985" s="41">
        <v>9857</v>
      </c>
      <c r="C1985" s="41">
        <v>6789</v>
      </c>
      <c r="D1985" s="41" t="s">
        <v>45</v>
      </c>
      <c r="E1985" s="41" t="s">
        <v>1298</v>
      </c>
      <c r="F1985" s="41" t="s">
        <v>6138</v>
      </c>
      <c r="G1985" s="41" t="s">
        <v>6160</v>
      </c>
      <c r="H1985" s="41" t="s">
        <v>6161</v>
      </c>
      <c r="I1985" s="43">
        <v>12</v>
      </c>
      <c r="J1985" s="44" t="str">
        <f>VLOOKUP(G1985,[1]硬件清单!$F:$F,1,0)</f>
        <v>6CU3454YRQ</v>
      </c>
      <c r="K1985" s="43"/>
      <c r="L1985" s="44"/>
      <c r="M1985" s="45" t="s">
        <v>6162</v>
      </c>
    </row>
    <row r="1986" s="26" customFormat="1" ht="30" customHeight="1" spans="1:13">
      <c r="A1986" s="41">
        <f>IF(C1986="","",SUBTOTAL(103,$C$2:C1986))</f>
        <v>1977</v>
      </c>
      <c r="B1986" s="41">
        <v>9858</v>
      </c>
      <c r="C1986" s="41">
        <v>6790</v>
      </c>
      <c r="D1986" s="41" t="s">
        <v>45</v>
      </c>
      <c r="E1986" s="41" t="s">
        <v>1298</v>
      </c>
      <c r="F1986" s="41" t="s">
        <v>6138</v>
      </c>
      <c r="G1986" s="41" t="s">
        <v>6163</v>
      </c>
      <c r="H1986" s="41" t="s">
        <v>6164</v>
      </c>
      <c r="I1986" s="43">
        <v>12</v>
      </c>
      <c r="J1986" s="44" t="str">
        <f>VLOOKUP(G1986,[1]硬件清单!$F:$F,1,0)</f>
        <v>6CU314YGVT</v>
      </c>
      <c r="K1986" s="43"/>
      <c r="L1986" s="44"/>
      <c r="M1986" s="45" t="s">
        <v>6165</v>
      </c>
    </row>
    <row r="1987" s="26" customFormat="1" ht="30" customHeight="1" spans="1:13">
      <c r="A1987" s="41">
        <f>IF(C1987="","",SUBTOTAL(103,$C$2:C1987))</f>
        <v>1978</v>
      </c>
      <c r="B1987" s="41">
        <v>9859</v>
      </c>
      <c r="C1987" s="41">
        <v>6791</v>
      </c>
      <c r="D1987" s="41" t="s">
        <v>45</v>
      </c>
      <c r="E1987" s="41" t="s">
        <v>1298</v>
      </c>
      <c r="F1987" s="41" t="s">
        <v>6138</v>
      </c>
      <c r="G1987" s="41" t="s">
        <v>6166</v>
      </c>
      <c r="H1987" s="41" t="s">
        <v>6167</v>
      </c>
      <c r="I1987" s="43">
        <v>12</v>
      </c>
      <c r="J1987" s="44" t="str">
        <f>VLOOKUP(G1987,[1]硬件清单!$F:$F,1,0)</f>
        <v>6CU320ZTY1</v>
      </c>
      <c r="K1987" s="43"/>
      <c r="L1987" s="44"/>
      <c r="M1987" s="45" t="s">
        <v>6168</v>
      </c>
    </row>
    <row r="1988" s="26" customFormat="1" ht="30" customHeight="1" spans="1:13">
      <c r="A1988" s="41">
        <f>IF(C1988="","",SUBTOTAL(103,$C$2:C1988))</f>
        <v>1979</v>
      </c>
      <c r="B1988" s="41">
        <v>9860</v>
      </c>
      <c r="C1988" s="41">
        <v>6792</v>
      </c>
      <c r="D1988" s="41" t="s">
        <v>45</v>
      </c>
      <c r="E1988" s="41" t="s">
        <v>1298</v>
      </c>
      <c r="F1988" s="41" t="s">
        <v>6138</v>
      </c>
      <c r="G1988" s="41" t="s">
        <v>6169</v>
      </c>
      <c r="H1988" s="41" t="s">
        <v>6170</v>
      </c>
      <c r="I1988" s="43">
        <v>12</v>
      </c>
      <c r="J1988" s="44" t="str">
        <f>VLOOKUP(G1988,[1]硬件清单!$F:$F,1,0)</f>
        <v>6CU314YGVW</v>
      </c>
      <c r="K1988" s="43"/>
      <c r="L1988" s="44"/>
      <c r="M1988" s="45" t="s">
        <v>6171</v>
      </c>
    </row>
    <row r="1989" s="26" customFormat="1" ht="30" customHeight="1" spans="1:13">
      <c r="A1989" s="41">
        <f>IF(C1989="","",SUBTOTAL(103,$C$2:C1989))</f>
        <v>1980</v>
      </c>
      <c r="B1989" s="41">
        <v>9861</v>
      </c>
      <c r="C1989" s="41">
        <v>6793</v>
      </c>
      <c r="D1989" s="41" t="s">
        <v>45</v>
      </c>
      <c r="E1989" s="41" t="s">
        <v>1298</v>
      </c>
      <c r="F1989" s="41" t="s">
        <v>6138</v>
      </c>
      <c r="G1989" s="41" t="s">
        <v>6172</v>
      </c>
      <c r="H1989" s="41" t="s">
        <v>6173</v>
      </c>
      <c r="I1989" s="43">
        <v>12</v>
      </c>
      <c r="J1989" s="44" t="str">
        <f>VLOOKUP(G1989,[1]硬件清单!$F:$F,1,0)</f>
        <v>6CU314YGVR</v>
      </c>
      <c r="K1989" s="43"/>
      <c r="L1989" s="44"/>
      <c r="M1989" s="45" t="s">
        <v>6174</v>
      </c>
    </row>
    <row r="1990" s="26" customFormat="1" ht="30" customHeight="1" spans="1:13">
      <c r="A1990" s="41">
        <f>IF(C1990="","",SUBTOTAL(103,$C$2:C1990))</f>
        <v>1981</v>
      </c>
      <c r="B1990" s="41">
        <v>9862</v>
      </c>
      <c r="C1990" s="41">
        <v>3494</v>
      </c>
      <c r="D1990" s="41" t="s">
        <v>19</v>
      </c>
      <c r="E1990" s="41" t="s">
        <v>20</v>
      </c>
      <c r="F1990" s="41" t="s">
        <v>6175</v>
      </c>
      <c r="G1990" s="41" t="s">
        <v>6176</v>
      </c>
      <c r="H1990" s="41" t="s">
        <v>6177</v>
      </c>
      <c r="I1990" s="43">
        <v>12</v>
      </c>
      <c r="J1990" s="44" t="str">
        <f>VLOOKUP(G1990,[1]硬件清单!$F:$F,1,0)</f>
        <v>SNC-400v3.0-150519-00913
SNC-400v3.0-262137-01018</v>
      </c>
      <c r="K1990" s="43"/>
      <c r="L1990" s="44"/>
      <c r="M1990" s="45" t="s">
        <v>6178</v>
      </c>
    </row>
    <row r="1991" s="26" customFormat="1" ht="30" customHeight="1" spans="1:13">
      <c r="A1991" s="41">
        <f>IF(C1991="","",SUBTOTAL(103,$C$2:C1991))</f>
        <v>1982</v>
      </c>
      <c r="B1991" s="41">
        <v>9863</v>
      </c>
      <c r="C1991" s="41">
        <v>6797</v>
      </c>
      <c r="D1991" s="41" t="s">
        <v>45</v>
      </c>
      <c r="E1991" s="41" t="s">
        <v>1298</v>
      </c>
      <c r="F1991" s="41" t="s">
        <v>6138</v>
      </c>
      <c r="G1991" s="41" t="s">
        <v>6179</v>
      </c>
      <c r="H1991" s="41" t="s">
        <v>6180</v>
      </c>
      <c r="I1991" s="43">
        <v>12</v>
      </c>
      <c r="J1991" s="44" t="str">
        <f>VLOOKUP(G1991,[1]硬件清单!$F:$F,1,0)</f>
        <v>6CU320ZTY2</v>
      </c>
      <c r="K1991" s="43"/>
      <c r="L1991" s="44"/>
      <c r="M1991" s="45" t="s">
        <v>6181</v>
      </c>
    </row>
    <row r="1992" s="26" customFormat="1" ht="30" customHeight="1" spans="1:13">
      <c r="A1992" s="41">
        <f>IF(C1992="","",SUBTOTAL(103,$C$2:C1992))</f>
        <v>1983</v>
      </c>
      <c r="B1992" s="41">
        <v>9864</v>
      </c>
      <c r="C1992" s="41">
        <v>6806</v>
      </c>
      <c r="D1992" s="41" t="s">
        <v>45</v>
      </c>
      <c r="E1992" s="41" t="s">
        <v>1298</v>
      </c>
      <c r="F1992" s="41" t="s">
        <v>6138</v>
      </c>
      <c r="G1992" s="41" t="s">
        <v>6182</v>
      </c>
      <c r="H1992" s="41" t="s">
        <v>6183</v>
      </c>
      <c r="I1992" s="43">
        <v>12</v>
      </c>
      <c r="J1992" s="44" t="str">
        <f>VLOOKUP(G1992,[1]硬件清单!$F:$F,1,0)</f>
        <v>6CU314YGVM</v>
      </c>
      <c r="K1992" s="43"/>
      <c r="L1992" s="44"/>
      <c r="M1992" s="45" t="s">
        <v>6184</v>
      </c>
    </row>
    <row r="1993" s="26" customFormat="1" ht="30" customHeight="1" spans="1:13">
      <c r="A1993" s="41">
        <f>IF(C1993="","",SUBTOTAL(103,$C$2:C1993))</f>
        <v>1984</v>
      </c>
      <c r="B1993" s="41">
        <v>9865</v>
      </c>
      <c r="C1993" s="41">
        <v>6807</v>
      </c>
      <c r="D1993" s="41" t="s">
        <v>45</v>
      </c>
      <c r="E1993" s="41" t="s">
        <v>1298</v>
      </c>
      <c r="F1993" s="41" t="s">
        <v>6138</v>
      </c>
      <c r="G1993" s="41" t="s">
        <v>6185</v>
      </c>
      <c r="H1993" s="41" t="s">
        <v>6186</v>
      </c>
      <c r="I1993" s="43">
        <v>12</v>
      </c>
      <c r="J1993" s="44" t="str">
        <f>VLOOKUP(G1993,[1]硬件清单!$F:$F,1,0)</f>
        <v>6CU319ZQWJ</v>
      </c>
      <c r="K1993" s="43"/>
      <c r="L1993" s="44"/>
      <c r="M1993" s="45" t="s">
        <v>6187</v>
      </c>
    </row>
    <row r="1994" s="26" customFormat="1" ht="30" customHeight="1" spans="1:13">
      <c r="A1994" s="41">
        <f>IF(C1994="","",SUBTOTAL(103,$C$2:C1994))</f>
        <v>1985</v>
      </c>
      <c r="B1994" s="41">
        <v>9866</v>
      </c>
      <c r="C1994" s="41">
        <v>6808</v>
      </c>
      <c r="D1994" s="41" t="s">
        <v>45</v>
      </c>
      <c r="E1994" s="41" t="s">
        <v>1298</v>
      </c>
      <c r="F1994" s="41" t="s">
        <v>6138</v>
      </c>
      <c r="G1994" s="41" t="s">
        <v>6188</v>
      </c>
      <c r="H1994" s="41" t="s">
        <v>6189</v>
      </c>
      <c r="I1994" s="43">
        <v>12</v>
      </c>
      <c r="J1994" s="44" t="str">
        <f>VLOOKUP(G1994,[1]硬件清单!$F:$F,1,0)</f>
        <v>6CU315YJZT</v>
      </c>
      <c r="K1994" s="43"/>
      <c r="L1994" s="44"/>
      <c r="M1994" s="45" t="s">
        <v>6190</v>
      </c>
    </row>
    <row r="1995" s="26" customFormat="1" ht="30" customHeight="1" spans="1:13">
      <c r="A1995" s="41">
        <f>IF(C1995="","",SUBTOTAL(103,$C$2:C1995))</f>
        <v>1986</v>
      </c>
      <c r="B1995" s="41">
        <v>9867</v>
      </c>
      <c r="C1995" s="41">
        <v>6798</v>
      </c>
      <c r="D1995" s="41" t="s">
        <v>45</v>
      </c>
      <c r="E1995" s="41" t="s">
        <v>1298</v>
      </c>
      <c r="F1995" s="41" t="s">
        <v>6138</v>
      </c>
      <c r="G1995" s="41" t="s">
        <v>6191</v>
      </c>
      <c r="H1995" s="41" t="s">
        <v>6192</v>
      </c>
      <c r="I1995" s="43">
        <v>12</v>
      </c>
      <c r="J1995" s="44" t="str">
        <f>VLOOKUP(G1995,[1]硬件清单!$F:$F,1,0)</f>
        <v>6CU3454YRN</v>
      </c>
      <c r="K1995" s="43"/>
      <c r="L1995" s="44"/>
      <c r="M1995" s="45" t="s">
        <v>6193</v>
      </c>
    </row>
    <row r="1996" s="26" customFormat="1" ht="30" customHeight="1" spans="1:13">
      <c r="A1996" s="41">
        <f>IF(C1996="","",SUBTOTAL(103,$C$2:C1996))</f>
        <v>1987</v>
      </c>
      <c r="B1996" s="41">
        <v>9868</v>
      </c>
      <c r="C1996" s="41">
        <v>6799</v>
      </c>
      <c r="D1996" s="41" t="s">
        <v>45</v>
      </c>
      <c r="E1996" s="41" t="s">
        <v>1298</v>
      </c>
      <c r="F1996" s="41" t="s">
        <v>6138</v>
      </c>
      <c r="G1996" s="41" t="s">
        <v>6194</v>
      </c>
      <c r="H1996" s="41" t="s">
        <v>6195</v>
      </c>
      <c r="I1996" s="43">
        <v>12</v>
      </c>
      <c r="J1996" s="44" t="str">
        <f>VLOOKUP(G1996,[1]硬件清单!$F:$F,1,0)</f>
        <v>6CU314YGVP</v>
      </c>
      <c r="K1996" s="43"/>
      <c r="L1996" s="44"/>
      <c r="M1996" s="45" t="s">
        <v>6196</v>
      </c>
    </row>
    <row r="1997" s="26" customFormat="1" ht="30" customHeight="1" spans="1:13">
      <c r="A1997" s="41">
        <f>IF(C1997="","",SUBTOTAL(103,$C$2:C1997))</f>
        <v>1988</v>
      </c>
      <c r="B1997" s="41">
        <v>9869</v>
      </c>
      <c r="C1997" s="41">
        <v>6800</v>
      </c>
      <c r="D1997" s="41" t="s">
        <v>45</v>
      </c>
      <c r="E1997" s="41" t="s">
        <v>1298</v>
      </c>
      <c r="F1997" s="41" t="s">
        <v>6138</v>
      </c>
      <c r="G1997" s="41" t="s">
        <v>6197</v>
      </c>
      <c r="H1997" s="41" t="s">
        <v>6198</v>
      </c>
      <c r="I1997" s="43">
        <v>12</v>
      </c>
      <c r="J1997" s="44" t="str">
        <f>VLOOKUP(G1997,[1]硬件清单!$F:$F,1,0)</f>
        <v>6CU320ZTXZ</v>
      </c>
      <c r="K1997" s="43"/>
      <c r="L1997" s="44"/>
      <c r="M1997" s="45" t="s">
        <v>6199</v>
      </c>
    </row>
    <row r="1998" s="26" customFormat="1" ht="30" customHeight="1" spans="1:13">
      <c r="A1998" s="41">
        <f>IF(C1998="","",SUBTOTAL(103,$C$2:C1998))</f>
        <v>1989</v>
      </c>
      <c r="B1998" s="41">
        <v>9870</v>
      </c>
      <c r="C1998" s="41">
        <v>6801</v>
      </c>
      <c r="D1998" s="41" t="s">
        <v>45</v>
      </c>
      <c r="E1998" s="41" t="s">
        <v>1298</v>
      </c>
      <c r="F1998" s="41" t="s">
        <v>6138</v>
      </c>
      <c r="G1998" s="41" t="s">
        <v>6200</v>
      </c>
      <c r="H1998" s="41" t="s">
        <v>6201</v>
      </c>
      <c r="I1998" s="43">
        <v>12</v>
      </c>
      <c r="J1998" s="44" t="str">
        <f>VLOOKUP(G1998,[1]硬件清单!$F:$F,1,0)</f>
        <v>6CU33631B0</v>
      </c>
      <c r="K1998" s="43"/>
      <c r="L1998" s="44"/>
      <c r="M1998" s="45" t="s">
        <v>6202</v>
      </c>
    </row>
    <row r="1999" s="26" customFormat="1" ht="30" customHeight="1" spans="1:13">
      <c r="A1999" s="41">
        <f>IF(C1999="","",SUBTOTAL(103,$C$2:C1999))</f>
        <v>1990</v>
      </c>
      <c r="B1999" s="41">
        <v>9871</v>
      </c>
      <c r="C1999" s="41">
        <v>6802</v>
      </c>
      <c r="D1999" s="41" t="s">
        <v>45</v>
      </c>
      <c r="E1999" s="41" t="s">
        <v>1298</v>
      </c>
      <c r="F1999" s="41" t="s">
        <v>6138</v>
      </c>
      <c r="G1999" s="41" t="s">
        <v>6203</v>
      </c>
      <c r="H1999" s="41" t="s">
        <v>6204</v>
      </c>
      <c r="I1999" s="43">
        <v>12</v>
      </c>
      <c r="J1999" s="44" t="str">
        <f>VLOOKUP(G1999,[1]硬件清单!$F:$F,1,0)</f>
        <v>6CU33631C4</v>
      </c>
      <c r="K1999" s="43"/>
      <c r="L1999" s="44"/>
      <c r="M1999" s="45" t="s">
        <v>6205</v>
      </c>
    </row>
    <row r="2000" s="26" customFormat="1" ht="30" customHeight="1" spans="1:13">
      <c r="A2000" s="41">
        <f>IF(C2000="","",SUBTOTAL(103,$C$2:C2000))</f>
        <v>1991</v>
      </c>
      <c r="B2000" s="41">
        <v>9872</v>
      </c>
      <c r="C2000" s="41">
        <v>6803</v>
      </c>
      <c r="D2000" s="41" t="s">
        <v>45</v>
      </c>
      <c r="E2000" s="41" t="s">
        <v>1298</v>
      </c>
      <c r="F2000" s="41" t="s">
        <v>6138</v>
      </c>
      <c r="G2000" s="41" t="s">
        <v>6206</v>
      </c>
      <c r="H2000" s="41" t="s">
        <v>6207</v>
      </c>
      <c r="I2000" s="43">
        <v>12</v>
      </c>
      <c r="J2000" s="44" t="str">
        <f>VLOOKUP(G2000,[1]硬件清单!$F:$F,1,0)</f>
        <v>6CU319ZQW2</v>
      </c>
      <c r="K2000" s="43"/>
      <c r="L2000" s="44"/>
      <c r="M2000" s="45" t="s">
        <v>6208</v>
      </c>
    </row>
    <row r="2001" s="26" customFormat="1" ht="30" customHeight="1" spans="1:13">
      <c r="A2001" s="41">
        <f>IF(C2001="","",SUBTOTAL(103,$C$2:C2001))</f>
        <v>1992</v>
      </c>
      <c r="B2001" s="41">
        <v>9873</v>
      </c>
      <c r="C2001" s="41">
        <v>6804</v>
      </c>
      <c r="D2001" s="41" t="s">
        <v>45</v>
      </c>
      <c r="E2001" s="41" t="s">
        <v>1298</v>
      </c>
      <c r="F2001" s="41" t="s">
        <v>6138</v>
      </c>
      <c r="G2001" s="41" t="s">
        <v>6209</v>
      </c>
      <c r="H2001" s="41" t="s">
        <v>6210</v>
      </c>
      <c r="I2001" s="43">
        <v>12</v>
      </c>
      <c r="J2001" s="44" t="str">
        <f>VLOOKUP(G2001,[1]硬件清单!$F:$F,1,0)</f>
        <v>6CU319ZQWL</v>
      </c>
      <c r="K2001" s="43"/>
      <c r="L2001" s="44"/>
      <c r="M2001" s="45" t="s">
        <v>6211</v>
      </c>
    </row>
    <row r="2002" s="26" customFormat="1" ht="30" customHeight="1" spans="1:13">
      <c r="A2002" s="41">
        <f>IF(C2002="","",SUBTOTAL(103,$C$2:C2002))</f>
        <v>1993</v>
      </c>
      <c r="B2002" s="41">
        <v>9874</v>
      </c>
      <c r="C2002" s="41">
        <v>6805</v>
      </c>
      <c r="D2002" s="41" t="s">
        <v>45</v>
      </c>
      <c r="E2002" s="41" t="s">
        <v>1298</v>
      </c>
      <c r="F2002" s="41" t="s">
        <v>6138</v>
      </c>
      <c r="G2002" s="41" t="s">
        <v>6212</v>
      </c>
      <c r="H2002" s="41" t="s">
        <v>6213</v>
      </c>
      <c r="I2002" s="43">
        <v>12</v>
      </c>
      <c r="J2002" s="44" t="str">
        <f>VLOOKUP(G2002,[1]硬件清单!$F:$F,1,0)</f>
        <v>6CU3454YRJ</v>
      </c>
      <c r="K2002" s="43"/>
      <c r="L2002" s="44"/>
      <c r="M2002" s="45" t="s">
        <v>6214</v>
      </c>
    </row>
    <row r="2003" s="26" customFormat="1" ht="30" customHeight="1" spans="1:13">
      <c r="A2003" s="41">
        <f>IF(C2003="","",SUBTOTAL(103,$C$2:C2003))</f>
        <v>1994</v>
      </c>
      <c r="B2003" s="41">
        <v>9875</v>
      </c>
      <c r="C2003" s="41">
        <v>5975</v>
      </c>
      <c r="D2003" s="41" t="s">
        <v>45</v>
      </c>
      <c r="E2003" s="41" t="s">
        <v>246</v>
      </c>
      <c r="F2003" s="41" t="s">
        <v>6215</v>
      </c>
      <c r="G2003" s="41" t="s">
        <v>6216</v>
      </c>
      <c r="H2003" s="41" t="s">
        <v>6217</v>
      </c>
      <c r="I2003" s="43">
        <v>12</v>
      </c>
      <c r="J2003" s="44" t="str">
        <f>VLOOKUP(G2003,[1]硬件清单!$F:$F,1,0)</f>
        <v>AK00250144</v>
      </c>
      <c r="K2003" s="43"/>
      <c r="L2003" s="44"/>
      <c r="M2003" s="45" t="s">
        <v>6218</v>
      </c>
    </row>
    <row r="2004" s="26" customFormat="1" ht="30" customHeight="1" spans="1:13">
      <c r="A2004" s="41">
        <f>IF(C2004="","",SUBTOTAL(103,$C$2:C2004))</f>
        <v>1995</v>
      </c>
      <c r="B2004" s="41">
        <v>9876</v>
      </c>
      <c r="C2004" s="41">
        <v>5976</v>
      </c>
      <c r="D2004" s="41" t="s">
        <v>45</v>
      </c>
      <c r="E2004" s="41" t="s">
        <v>246</v>
      </c>
      <c r="F2004" s="41" t="s">
        <v>6215</v>
      </c>
      <c r="G2004" s="41" t="s">
        <v>6219</v>
      </c>
      <c r="H2004" s="41" t="s">
        <v>6220</v>
      </c>
      <c r="I2004" s="43">
        <v>12</v>
      </c>
      <c r="J2004" s="44" t="str">
        <f>VLOOKUP(G2004,[1]硬件清单!$F:$F,1,0)</f>
        <v>A00K250143</v>
      </c>
      <c r="K2004" s="43"/>
      <c r="L2004" s="44"/>
      <c r="M2004" s="45" t="s">
        <v>6221</v>
      </c>
    </row>
    <row r="2005" s="26" customFormat="1" ht="30" customHeight="1" spans="1:13">
      <c r="A2005" s="41">
        <f>IF(C2005="","",SUBTOTAL(103,$C$2:C2005))</f>
        <v>1996</v>
      </c>
      <c r="B2005" s="41">
        <v>9891</v>
      </c>
      <c r="C2005" s="41">
        <v>14119</v>
      </c>
      <c r="D2005" s="41" t="s">
        <v>45</v>
      </c>
      <c r="E2005" s="41" t="s">
        <v>1298</v>
      </c>
      <c r="F2005" s="41" t="s">
        <v>6222</v>
      </c>
      <c r="G2005" s="41" t="s">
        <v>6223</v>
      </c>
      <c r="H2005" s="41" t="s">
        <v>6224</v>
      </c>
      <c r="I2005" s="43">
        <v>12</v>
      </c>
      <c r="J2005" s="44" t="str">
        <f>VLOOKUP(G2005,[1]硬件清单!$F:$F,1,0)</f>
        <v>159SLG2</v>
      </c>
      <c r="K2005" s="43"/>
      <c r="L2005" s="44"/>
      <c r="M2005" s="45" t="s">
        <v>6225</v>
      </c>
    </row>
    <row r="2006" s="26" customFormat="1" ht="30" customHeight="1" spans="1:13">
      <c r="A2006" s="41">
        <f>IF(C2006="","",SUBTOTAL(103,$C$2:C2006))</f>
        <v>1997</v>
      </c>
      <c r="B2006" s="41">
        <v>9892</v>
      </c>
      <c r="C2006" s="41">
        <v>14128</v>
      </c>
      <c r="D2006" s="41" t="s">
        <v>45</v>
      </c>
      <c r="E2006" s="41" t="s">
        <v>1298</v>
      </c>
      <c r="F2006" s="41" t="s">
        <v>6222</v>
      </c>
      <c r="G2006" s="41" t="s">
        <v>6226</v>
      </c>
      <c r="H2006" s="41" t="s">
        <v>6227</v>
      </c>
      <c r="I2006" s="43">
        <v>12</v>
      </c>
      <c r="J2006" s="44" t="str">
        <f>VLOOKUP(G2006,[1]硬件清单!$F:$F,1,0)</f>
        <v>158WLG2</v>
      </c>
      <c r="K2006" s="43"/>
      <c r="L2006" s="44"/>
      <c r="M2006" s="45" t="s">
        <v>6228</v>
      </c>
    </row>
    <row r="2007" s="26" customFormat="1" ht="30" customHeight="1" spans="1:13">
      <c r="A2007" s="41">
        <f>IF(C2007="","",SUBTOTAL(103,$C$2:C2007))</f>
        <v>1998</v>
      </c>
      <c r="B2007" s="41">
        <v>9893</v>
      </c>
      <c r="C2007" s="41">
        <v>14129</v>
      </c>
      <c r="D2007" s="41" t="s">
        <v>45</v>
      </c>
      <c r="E2007" s="41" t="s">
        <v>1298</v>
      </c>
      <c r="F2007" s="41" t="s">
        <v>6222</v>
      </c>
      <c r="G2007" s="41" t="s">
        <v>6229</v>
      </c>
      <c r="H2007" s="41" t="s">
        <v>6230</v>
      </c>
      <c r="I2007" s="43">
        <v>12</v>
      </c>
      <c r="J2007" s="44" t="str">
        <f>VLOOKUP(G2007,[1]硬件清单!$F:$F,1,0)</f>
        <v>15C1MG2</v>
      </c>
      <c r="K2007" s="43"/>
      <c r="L2007" s="44"/>
      <c r="M2007" s="45" t="s">
        <v>6231</v>
      </c>
    </row>
    <row r="2008" s="26" customFormat="1" ht="30" customHeight="1" spans="1:13">
      <c r="A2008" s="41">
        <f>IF(C2008="","",SUBTOTAL(103,$C$2:C2008))</f>
        <v>1999</v>
      </c>
      <c r="B2008" s="41">
        <v>9894</v>
      </c>
      <c r="C2008" s="41">
        <v>14130</v>
      </c>
      <c r="D2008" s="41" t="s">
        <v>45</v>
      </c>
      <c r="E2008" s="41" t="s">
        <v>1298</v>
      </c>
      <c r="F2008" s="41" t="s">
        <v>6222</v>
      </c>
      <c r="G2008" s="41" t="s">
        <v>6232</v>
      </c>
      <c r="H2008" s="41" t="s">
        <v>6233</v>
      </c>
      <c r="I2008" s="43">
        <v>12</v>
      </c>
      <c r="J2008" s="44" t="str">
        <f>VLOOKUP(G2008,[1]硬件清单!$F:$F,1,0)</f>
        <v>15CZLG2</v>
      </c>
      <c r="K2008" s="43"/>
      <c r="L2008" s="44"/>
      <c r="M2008" s="45" t="s">
        <v>6234</v>
      </c>
    </row>
    <row r="2009" s="26" customFormat="1" ht="30" customHeight="1" spans="1:13">
      <c r="A2009" s="41">
        <f>IF(C2009="","",SUBTOTAL(103,$C$2:C2009))</f>
        <v>2000</v>
      </c>
      <c r="B2009" s="41">
        <v>9895</v>
      </c>
      <c r="C2009" s="41">
        <v>14131</v>
      </c>
      <c r="D2009" s="41" t="s">
        <v>45</v>
      </c>
      <c r="E2009" s="41" t="s">
        <v>1298</v>
      </c>
      <c r="F2009" s="41" t="s">
        <v>6222</v>
      </c>
      <c r="G2009" s="41" t="s">
        <v>6235</v>
      </c>
      <c r="H2009" s="41" t="s">
        <v>6236</v>
      </c>
      <c r="I2009" s="43">
        <v>12</v>
      </c>
      <c r="J2009" s="44" t="str">
        <f>VLOOKUP(G2009,[1]硬件清单!$F:$F,1,0)</f>
        <v>159XLG2</v>
      </c>
      <c r="K2009" s="43"/>
      <c r="L2009" s="44"/>
      <c r="M2009" s="45" t="s">
        <v>6237</v>
      </c>
    </row>
    <row r="2010" s="26" customFormat="1" ht="30" customHeight="1" spans="1:13">
      <c r="A2010" s="41">
        <f>IF(C2010="","",SUBTOTAL(103,$C$2:C2010))</f>
        <v>2001</v>
      </c>
      <c r="B2010" s="41">
        <v>9896</v>
      </c>
      <c r="C2010" s="41">
        <v>14132</v>
      </c>
      <c r="D2010" s="41" t="s">
        <v>45</v>
      </c>
      <c r="E2010" s="41" t="s">
        <v>1298</v>
      </c>
      <c r="F2010" s="41" t="s">
        <v>6222</v>
      </c>
      <c r="G2010" s="41" t="s">
        <v>6238</v>
      </c>
      <c r="H2010" s="41" t="s">
        <v>6239</v>
      </c>
      <c r="I2010" s="43">
        <v>12</v>
      </c>
      <c r="J2010" s="44" t="str">
        <f>VLOOKUP(G2010,[1]硬件清单!$F:$F,1,0)</f>
        <v>1500MG2</v>
      </c>
      <c r="K2010" s="43"/>
      <c r="L2010" s="44"/>
      <c r="M2010" s="45" t="s">
        <v>6240</v>
      </c>
    </row>
    <row r="2011" s="26" customFormat="1" ht="30" customHeight="1" spans="1:13">
      <c r="A2011" s="41">
        <f>IF(C2011="","",SUBTOTAL(103,$C$2:C2011))</f>
        <v>2002</v>
      </c>
      <c r="B2011" s="41">
        <v>9897</v>
      </c>
      <c r="C2011" s="41">
        <v>14133</v>
      </c>
      <c r="D2011" s="41" t="s">
        <v>45</v>
      </c>
      <c r="E2011" s="41" t="s">
        <v>1298</v>
      </c>
      <c r="F2011" s="41" t="s">
        <v>6222</v>
      </c>
      <c r="G2011" s="41" t="s">
        <v>6241</v>
      </c>
      <c r="H2011" s="41" t="s">
        <v>6242</v>
      </c>
      <c r="I2011" s="43">
        <v>12</v>
      </c>
      <c r="J2011" s="44" t="str">
        <f>VLOOKUP(G2011,[1]硬件清单!$F:$F,1,0)</f>
        <v>1581MG2</v>
      </c>
      <c r="K2011" s="43"/>
      <c r="L2011" s="44"/>
      <c r="M2011" s="45" t="s">
        <v>6243</v>
      </c>
    </row>
    <row r="2012" s="26" customFormat="1" ht="30" customHeight="1" spans="1:13">
      <c r="A2012" s="41">
        <f>IF(C2012="","",SUBTOTAL(103,$C$2:C2012))</f>
        <v>2003</v>
      </c>
      <c r="B2012" s="41">
        <v>9898</v>
      </c>
      <c r="C2012" s="41">
        <v>14134</v>
      </c>
      <c r="D2012" s="41" t="s">
        <v>45</v>
      </c>
      <c r="E2012" s="41" t="s">
        <v>1298</v>
      </c>
      <c r="F2012" s="41" t="s">
        <v>6222</v>
      </c>
      <c r="G2012" s="41" t="s">
        <v>6244</v>
      </c>
      <c r="H2012" s="41" t="s">
        <v>6245</v>
      </c>
      <c r="I2012" s="43">
        <v>12</v>
      </c>
      <c r="J2012" s="44" t="str">
        <f>VLOOKUP(G2012,[1]硬件清单!$F:$F,1,0)</f>
        <v>15DTLG2</v>
      </c>
      <c r="K2012" s="43"/>
      <c r="L2012" s="44"/>
      <c r="M2012" s="45" t="s">
        <v>6246</v>
      </c>
    </row>
    <row r="2013" s="26" customFormat="1" ht="30" customHeight="1" spans="1:13">
      <c r="A2013" s="41">
        <f>IF(C2013="","",SUBTOTAL(103,$C$2:C2013))</f>
        <v>2004</v>
      </c>
      <c r="B2013" s="41">
        <v>9899</v>
      </c>
      <c r="C2013" s="41">
        <v>14120</v>
      </c>
      <c r="D2013" s="41" t="s">
        <v>45</v>
      </c>
      <c r="E2013" s="41" t="s">
        <v>1298</v>
      </c>
      <c r="F2013" s="41" t="s">
        <v>6222</v>
      </c>
      <c r="G2013" s="41" t="s">
        <v>6247</v>
      </c>
      <c r="H2013" s="41" t="s">
        <v>6248</v>
      </c>
      <c r="I2013" s="43">
        <v>12</v>
      </c>
      <c r="J2013" s="44" t="str">
        <f>VLOOKUP(G2013,[1]硬件清单!$F:$F,1,0)</f>
        <v>15DXLG2</v>
      </c>
      <c r="K2013" s="43"/>
      <c r="L2013" s="44"/>
      <c r="M2013" s="45" t="s">
        <v>6249</v>
      </c>
    </row>
    <row r="2014" s="26" customFormat="1" ht="30" customHeight="1" spans="1:13">
      <c r="A2014" s="41">
        <f>IF(C2014="","",SUBTOTAL(103,$C$2:C2014))</f>
        <v>2005</v>
      </c>
      <c r="B2014" s="41">
        <v>9900</v>
      </c>
      <c r="C2014" s="41">
        <v>14121</v>
      </c>
      <c r="D2014" s="41" t="s">
        <v>45</v>
      </c>
      <c r="E2014" s="41" t="s">
        <v>1298</v>
      </c>
      <c r="F2014" s="41" t="s">
        <v>6222</v>
      </c>
      <c r="G2014" s="41" t="s">
        <v>6250</v>
      </c>
      <c r="H2014" s="41" t="s">
        <v>6251</v>
      </c>
      <c r="I2014" s="43">
        <v>12</v>
      </c>
      <c r="J2014" s="44" t="str">
        <f>VLOOKUP(G2014,[1]硬件清单!$F:$F,1,0)</f>
        <v>15BXLG2</v>
      </c>
      <c r="K2014" s="43"/>
      <c r="L2014" s="44"/>
      <c r="M2014" s="45" t="s">
        <v>6252</v>
      </c>
    </row>
    <row r="2015" s="26" customFormat="1" ht="30" customHeight="1" spans="1:13">
      <c r="A2015" s="41">
        <f>IF(C2015="","",SUBTOTAL(103,$C$2:C2015))</f>
        <v>2006</v>
      </c>
      <c r="B2015" s="41">
        <v>9901</v>
      </c>
      <c r="C2015" s="41">
        <v>14122</v>
      </c>
      <c r="D2015" s="41" t="s">
        <v>45</v>
      </c>
      <c r="E2015" s="41" t="s">
        <v>1298</v>
      </c>
      <c r="F2015" s="41" t="s">
        <v>6222</v>
      </c>
      <c r="G2015" s="41" t="s">
        <v>6253</v>
      </c>
      <c r="H2015" s="41" t="s">
        <v>6254</v>
      </c>
      <c r="I2015" s="43">
        <v>12</v>
      </c>
      <c r="J2015" s="44" t="str">
        <f>VLOOKUP(G2015,[1]硬件清单!$F:$F,1,0)</f>
        <v>15BSLG2</v>
      </c>
      <c r="K2015" s="43"/>
      <c r="L2015" s="44"/>
      <c r="M2015" s="45" t="s">
        <v>6255</v>
      </c>
    </row>
    <row r="2016" s="26" customFormat="1" ht="30" customHeight="1" spans="1:13">
      <c r="A2016" s="41">
        <f>IF(C2016="","",SUBTOTAL(103,$C$2:C2016))</f>
        <v>2007</v>
      </c>
      <c r="B2016" s="41">
        <v>9902</v>
      </c>
      <c r="C2016" s="41">
        <v>14123</v>
      </c>
      <c r="D2016" s="41" t="s">
        <v>45</v>
      </c>
      <c r="E2016" s="41" t="s">
        <v>1298</v>
      </c>
      <c r="F2016" s="41" t="s">
        <v>6222</v>
      </c>
      <c r="G2016" s="41" t="s">
        <v>6256</v>
      </c>
      <c r="H2016" s="41" t="s">
        <v>6257</v>
      </c>
      <c r="I2016" s="43">
        <v>12</v>
      </c>
      <c r="J2016" s="44" t="str">
        <f>VLOOKUP(G2016,[1]硬件清单!$F:$F,1,0)</f>
        <v>1540MG2</v>
      </c>
      <c r="K2016" s="43"/>
      <c r="L2016" s="44"/>
      <c r="M2016" s="45" t="s">
        <v>6258</v>
      </c>
    </row>
    <row r="2017" s="26" customFormat="1" ht="30" customHeight="1" spans="1:13">
      <c r="A2017" s="41">
        <f>IF(C2017="","",SUBTOTAL(103,$C$2:C2017))</f>
        <v>2008</v>
      </c>
      <c r="B2017" s="41">
        <v>9903</v>
      </c>
      <c r="C2017" s="41">
        <v>14124</v>
      </c>
      <c r="D2017" s="41" t="s">
        <v>45</v>
      </c>
      <c r="E2017" s="41" t="s">
        <v>1298</v>
      </c>
      <c r="F2017" s="41" t="s">
        <v>6222</v>
      </c>
      <c r="G2017" s="41" t="s">
        <v>6259</v>
      </c>
      <c r="H2017" s="41" t="s">
        <v>6260</v>
      </c>
      <c r="I2017" s="43">
        <v>12</v>
      </c>
      <c r="J2017" s="44" t="str">
        <f>VLOOKUP(G2017,[1]硬件清单!$F:$F,1,0)</f>
        <v>156WLG2</v>
      </c>
      <c r="K2017" s="43"/>
      <c r="L2017" s="44"/>
      <c r="M2017" s="45" t="s">
        <v>6261</v>
      </c>
    </row>
    <row r="2018" s="26" customFormat="1" ht="30" customHeight="1" spans="1:13">
      <c r="A2018" s="41">
        <f>IF(C2018="","",SUBTOTAL(103,$C$2:C2018))</f>
        <v>2009</v>
      </c>
      <c r="B2018" s="41">
        <v>9904</v>
      </c>
      <c r="C2018" s="41">
        <v>14125</v>
      </c>
      <c r="D2018" s="41" t="s">
        <v>45</v>
      </c>
      <c r="E2018" s="41" t="s">
        <v>1298</v>
      </c>
      <c r="F2018" s="41" t="s">
        <v>6222</v>
      </c>
      <c r="G2018" s="41" t="s">
        <v>6262</v>
      </c>
      <c r="H2018" s="41" t="s">
        <v>6263</v>
      </c>
      <c r="I2018" s="43">
        <v>12</v>
      </c>
      <c r="J2018" s="44" t="str">
        <f>VLOOKUP(G2018,[1]硬件清单!$F:$F,1,0)</f>
        <v>155YLG2</v>
      </c>
      <c r="K2018" s="43"/>
      <c r="L2018" s="44"/>
      <c r="M2018" s="45" t="s">
        <v>6264</v>
      </c>
    </row>
    <row r="2019" s="26" customFormat="1" ht="30" customHeight="1" spans="1:13">
      <c r="A2019" s="41">
        <f>IF(C2019="","",SUBTOTAL(103,$C$2:C2019))</f>
        <v>2010</v>
      </c>
      <c r="B2019" s="41">
        <v>9905</v>
      </c>
      <c r="C2019" s="41">
        <v>14126</v>
      </c>
      <c r="D2019" s="41" t="s">
        <v>45</v>
      </c>
      <c r="E2019" s="41" t="s">
        <v>1298</v>
      </c>
      <c r="F2019" s="41" t="s">
        <v>6222</v>
      </c>
      <c r="G2019" s="41" t="s">
        <v>6265</v>
      </c>
      <c r="H2019" s="41" t="s">
        <v>6266</v>
      </c>
      <c r="I2019" s="43">
        <v>12</v>
      </c>
      <c r="J2019" s="44" t="str">
        <f>VLOOKUP(G2019,[1]硬件清单!$F:$F,1,0)</f>
        <v>15CWLG2</v>
      </c>
      <c r="K2019" s="43"/>
      <c r="L2019" s="44"/>
      <c r="M2019" s="45" t="s">
        <v>6267</v>
      </c>
    </row>
    <row r="2020" s="26" customFormat="1" ht="30" customHeight="1" spans="1:13">
      <c r="A2020" s="41">
        <f>IF(C2020="","",SUBTOTAL(103,$C$2:C2020))</f>
        <v>2011</v>
      </c>
      <c r="B2020" s="41">
        <v>9906</v>
      </c>
      <c r="C2020" s="41">
        <v>14127</v>
      </c>
      <c r="D2020" s="41" t="s">
        <v>45</v>
      </c>
      <c r="E2020" s="41" t="s">
        <v>1298</v>
      </c>
      <c r="F2020" s="41" t="s">
        <v>6222</v>
      </c>
      <c r="G2020" s="41" t="s">
        <v>6268</v>
      </c>
      <c r="H2020" s="41" t="s">
        <v>6269</v>
      </c>
      <c r="I2020" s="43">
        <v>12</v>
      </c>
      <c r="J2020" s="44" t="str">
        <f>VLOOKUP(G2020,[1]硬件清单!$F:$F,1,0)</f>
        <v>157SLG2</v>
      </c>
      <c r="K2020" s="43"/>
      <c r="L2020" s="44"/>
      <c r="M2020" s="45" t="s">
        <v>6270</v>
      </c>
    </row>
    <row r="2021" s="26" customFormat="1" ht="30" customHeight="1" spans="1:13">
      <c r="A2021" s="41">
        <f>IF(C2021="","",SUBTOTAL(103,$C$2:C2021))</f>
        <v>2012</v>
      </c>
      <c r="B2021" s="41">
        <v>9907</v>
      </c>
      <c r="C2021" s="41">
        <v>14135</v>
      </c>
      <c r="D2021" s="41" t="s">
        <v>45</v>
      </c>
      <c r="E2021" s="41" t="s">
        <v>1298</v>
      </c>
      <c r="F2021" s="41" t="s">
        <v>6222</v>
      </c>
      <c r="G2021" s="41" t="s">
        <v>6271</v>
      </c>
      <c r="H2021" s="41" t="s">
        <v>6272</v>
      </c>
      <c r="I2021" s="43">
        <v>12</v>
      </c>
      <c r="J2021" s="44" t="str">
        <f>VLOOKUP(G2021,[1]硬件清单!$F:$F,1,0)</f>
        <v>FLZGHG2</v>
      </c>
      <c r="K2021" s="43"/>
      <c r="L2021" s="44"/>
      <c r="M2021" s="45" t="s">
        <v>6273</v>
      </c>
    </row>
    <row r="2022" s="26" customFormat="1" ht="30" customHeight="1" spans="1:13">
      <c r="A2022" s="41">
        <f>IF(C2022="","",SUBTOTAL(103,$C$2:C2022))</f>
        <v>2013</v>
      </c>
      <c r="B2022" s="41">
        <v>9908</v>
      </c>
      <c r="C2022" s="41">
        <v>14144</v>
      </c>
      <c r="D2022" s="41" t="s">
        <v>45</v>
      </c>
      <c r="E2022" s="41" t="s">
        <v>1298</v>
      </c>
      <c r="F2022" s="41" t="s">
        <v>6222</v>
      </c>
      <c r="G2022" s="41" t="s">
        <v>6274</v>
      </c>
      <c r="H2022" s="41" t="s">
        <v>6275</v>
      </c>
      <c r="I2022" s="43">
        <v>12</v>
      </c>
      <c r="J2022" s="44" t="str">
        <f>VLOOKUP(G2022,[1]硬件清单!$F:$F,1,0)</f>
        <v>FM11KG2</v>
      </c>
      <c r="K2022" s="43"/>
      <c r="L2022" s="44"/>
      <c r="M2022" s="45" t="s">
        <v>6276</v>
      </c>
    </row>
    <row r="2023" s="26" customFormat="1" ht="30" customHeight="1" spans="1:13">
      <c r="A2023" s="41">
        <f>IF(C2023="","",SUBTOTAL(103,$C$2:C2023))</f>
        <v>2014</v>
      </c>
      <c r="B2023" s="41">
        <v>9909</v>
      </c>
      <c r="C2023" s="41">
        <v>14145</v>
      </c>
      <c r="D2023" s="41" t="s">
        <v>45</v>
      </c>
      <c r="E2023" s="41" t="s">
        <v>1298</v>
      </c>
      <c r="F2023" s="41" t="s">
        <v>6222</v>
      </c>
      <c r="G2023" s="41" t="s">
        <v>6277</v>
      </c>
      <c r="H2023" s="41" t="s">
        <v>6278</v>
      </c>
      <c r="I2023" s="43">
        <v>12</v>
      </c>
      <c r="J2023" s="44" t="str">
        <f>VLOOKUP(G2023,[1]硬件清单!$F:$F,1,0)</f>
        <v>FM04KG2</v>
      </c>
      <c r="K2023" s="43"/>
      <c r="L2023" s="44"/>
      <c r="M2023" s="45" t="s">
        <v>6279</v>
      </c>
    </row>
    <row r="2024" s="26" customFormat="1" ht="30" customHeight="1" spans="1:13">
      <c r="A2024" s="41">
        <f>IF(C2024="","",SUBTOTAL(103,$C$2:C2024))</f>
        <v>2015</v>
      </c>
      <c r="B2024" s="41">
        <v>9910</v>
      </c>
      <c r="C2024" s="41">
        <v>14146</v>
      </c>
      <c r="D2024" s="41" t="s">
        <v>45</v>
      </c>
      <c r="E2024" s="41" t="s">
        <v>1298</v>
      </c>
      <c r="F2024" s="41" t="s">
        <v>6222</v>
      </c>
      <c r="G2024" s="41" t="s">
        <v>6280</v>
      </c>
      <c r="H2024" s="41" t="s">
        <v>6281</v>
      </c>
      <c r="I2024" s="43">
        <v>12</v>
      </c>
      <c r="J2024" s="44" t="str">
        <f>VLOOKUP(G2024,[1]硬件清单!$F:$F,1,0)</f>
        <v>FLZ1KG2</v>
      </c>
      <c r="K2024" s="43"/>
      <c r="L2024" s="44"/>
      <c r="M2024" s="45" t="s">
        <v>6282</v>
      </c>
    </row>
    <row r="2025" s="26" customFormat="1" ht="30" customHeight="1" spans="1:13">
      <c r="A2025" s="41">
        <f>IF(C2025="","",SUBTOTAL(103,$C$2:C2025))</f>
        <v>2016</v>
      </c>
      <c r="B2025" s="41">
        <v>9911</v>
      </c>
      <c r="C2025" s="41">
        <v>14147</v>
      </c>
      <c r="D2025" s="41" t="s">
        <v>45</v>
      </c>
      <c r="E2025" s="41" t="s">
        <v>1298</v>
      </c>
      <c r="F2025" s="41" t="s">
        <v>6222</v>
      </c>
      <c r="G2025" s="41" t="s">
        <v>6283</v>
      </c>
      <c r="H2025" s="41" t="s">
        <v>6284</v>
      </c>
      <c r="I2025" s="43">
        <v>12</v>
      </c>
      <c r="J2025" s="44" t="str">
        <f>VLOOKUP(G2025,[1]硬件清单!$F:$F,1,0)</f>
        <v>FM0NHG2</v>
      </c>
      <c r="K2025" s="43"/>
      <c r="L2025" s="44"/>
      <c r="M2025" s="45" t="s">
        <v>6285</v>
      </c>
    </row>
    <row r="2026" s="26" customFormat="1" ht="30" customHeight="1" spans="1:13">
      <c r="A2026" s="41">
        <f>IF(C2026="","",SUBTOTAL(103,$C$2:C2026))</f>
        <v>2017</v>
      </c>
      <c r="B2026" s="41">
        <v>9912</v>
      </c>
      <c r="C2026" s="41">
        <v>14148</v>
      </c>
      <c r="D2026" s="41" t="s">
        <v>45</v>
      </c>
      <c r="E2026" s="41" t="s">
        <v>1298</v>
      </c>
      <c r="F2026" s="41" t="s">
        <v>6222</v>
      </c>
      <c r="G2026" s="41" t="s">
        <v>6286</v>
      </c>
      <c r="H2026" s="41" t="s">
        <v>6287</v>
      </c>
      <c r="I2026" s="43">
        <v>12</v>
      </c>
      <c r="J2026" s="44" t="str">
        <f>VLOOKUP(G2026,[1]硬件清单!$F:$F,1,0)</f>
        <v>FLZ4KG2</v>
      </c>
      <c r="K2026" s="43"/>
      <c r="L2026" s="44"/>
      <c r="M2026" s="45" t="s">
        <v>6288</v>
      </c>
    </row>
    <row r="2027" s="26" customFormat="1" ht="30" customHeight="1" spans="1:13">
      <c r="A2027" s="41">
        <f>IF(C2027="","",SUBTOTAL(103,$C$2:C2027))</f>
        <v>2018</v>
      </c>
      <c r="B2027" s="41">
        <v>9913</v>
      </c>
      <c r="C2027" s="41">
        <v>14149</v>
      </c>
      <c r="D2027" s="41" t="s">
        <v>45</v>
      </c>
      <c r="E2027" s="41" t="s">
        <v>1298</v>
      </c>
      <c r="F2027" s="41" t="s">
        <v>6222</v>
      </c>
      <c r="G2027" s="41" t="s">
        <v>6289</v>
      </c>
      <c r="H2027" s="41" t="s">
        <v>6290</v>
      </c>
      <c r="I2027" s="43">
        <v>12</v>
      </c>
      <c r="J2027" s="44" t="str">
        <f>VLOOKUP(G2027,[1]硬件清单!$F:$F,1,0)</f>
        <v>FLYWJG2</v>
      </c>
      <c r="K2027" s="43"/>
      <c r="L2027" s="44"/>
      <c r="M2027" s="45" t="s">
        <v>6291</v>
      </c>
    </row>
    <row r="2028" s="26" customFormat="1" ht="30" customHeight="1" spans="1:13">
      <c r="A2028" s="41">
        <f>IF(C2028="","",SUBTOTAL(103,$C$2:C2028))</f>
        <v>2019</v>
      </c>
      <c r="B2028" s="41">
        <v>9914</v>
      </c>
      <c r="C2028" s="41">
        <v>14150</v>
      </c>
      <c r="D2028" s="41" t="s">
        <v>45</v>
      </c>
      <c r="E2028" s="41" t="s">
        <v>1298</v>
      </c>
      <c r="F2028" s="41" t="s">
        <v>6222</v>
      </c>
      <c r="G2028" s="41" t="s">
        <v>6292</v>
      </c>
      <c r="H2028" s="41" t="s">
        <v>6293</v>
      </c>
      <c r="I2028" s="43">
        <v>12</v>
      </c>
      <c r="J2028" s="44" t="str">
        <f>VLOOKUP(G2028,[1]硬件清单!$F:$F,1,0)</f>
        <v>FM0YJG2</v>
      </c>
      <c r="K2028" s="43"/>
      <c r="L2028" s="44"/>
      <c r="M2028" s="45" t="s">
        <v>6294</v>
      </c>
    </row>
    <row r="2029" s="26" customFormat="1" ht="30" customHeight="1" spans="1:13">
      <c r="A2029" s="41">
        <f>IF(C2029="","",SUBTOTAL(103,$C$2:C2029))</f>
        <v>2020</v>
      </c>
      <c r="B2029" s="41">
        <v>9915</v>
      </c>
      <c r="C2029" s="41">
        <v>14136</v>
      </c>
      <c r="D2029" s="41" t="s">
        <v>45</v>
      </c>
      <c r="E2029" s="41" t="s">
        <v>1298</v>
      </c>
      <c r="F2029" s="41" t="s">
        <v>6222</v>
      </c>
      <c r="G2029" s="41" t="s">
        <v>6295</v>
      </c>
      <c r="H2029" s="41" t="s">
        <v>6296</v>
      </c>
      <c r="I2029" s="43">
        <v>12</v>
      </c>
      <c r="J2029" s="44" t="str">
        <f>VLOOKUP(G2029,[1]硬件清单!$F:$F,1,0)</f>
        <v>FM1PHG2</v>
      </c>
      <c r="K2029" s="43"/>
      <c r="L2029" s="44"/>
      <c r="M2029" s="45" t="s">
        <v>6297</v>
      </c>
    </row>
    <row r="2030" s="26" customFormat="1" ht="30" customHeight="1" spans="1:13">
      <c r="A2030" s="41">
        <f>IF(C2030="","",SUBTOTAL(103,$C$2:C2030))</f>
        <v>2021</v>
      </c>
      <c r="B2030" s="41">
        <v>9916</v>
      </c>
      <c r="C2030" s="41">
        <v>14137</v>
      </c>
      <c r="D2030" s="41" t="s">
        <v>45</v>
      </c>
      <c r="E2030" s="41" t="s">
        <v>1298</v>
      </c>
      <c r="F2030" s="41" t="s">
        <v>6222</v>
      </c>
      <c r="G2030" s="41" t="s">
        <v>6298</v>
      </c>
      <c r="H2030" s="41" t="s">
        <v>6299</v>
      </c>
      <c r="I2030" s="43">
        <v>12</v>
      </c>
      <c r="J2030" s="44" t="str">
        <f>VLOOKUP(G2030,[1]硬件清单!$F:$F,1,0)</f>
        <v>FM15KG2</v>
      </c>
      <c r="K2030" s="43"/>
      <c r="L2030" s="44"/>
      <c r="M2030" s="45" t="s">
        <v>6300</v>
      </c>
    </row>
    <row r="2031" s="26" customFormat="1" ht="30" customHeight="1" spans="1:13">
      <c r="A2031" s="41">
        <f>IF(C2031="","",SUBTOTAL(103,$C$2:C2031))</f>
        <v>2022</v>
      </c>
      <c r="B2031" s="41">
        <v>9917</v>
      </c>
      <c r="C2031" s="41">
        <v>14138</v>
      </c>
      <c r="D2031" s="41" t="s">
        <v>45</v>
      </c>
      <c r="E2031" s="41" t="s">
        <v>1298</v>
      </c>
      <c r="F2031" s="41" t="s">
        <v>6222</v>
      </c>
      <c r="G2031" s="41" t="s">
        <v>6301</v>
      </c>
      <c r="H2031" s="41" t="s">
        <v>6302</v>
      </c>
      <c r="I2031" s="43">
        <v>12</v>
      </c>
      <c r="J2031" s="44" t="str">
        <f>VLOOKUP(G2031,[1]硬件清单!$F:$F,1,0)</f>
        <v>FLZZJG2</v>
      </c>
      <c r="K2031" s="43"/>
      <c r="L2031" s="44"/>
      <c r="M2031" s="45" t="s">
        <v>6303</v>
      </c>
    </row>
    <row r="2032" s="26" customFormat="1" ht="30" customHeight="1" spans="1:13">
      <c r="A2032" s="41">
        <f>IF(C2032="","",SUBTOTAL(103,$C$2:C2032))</f>
        <v>2023</v>
      </c>
      <c r="B2032" s="41">
        <v>9918</v>
      </c>
      <c r="C2032" s="41">
        <v>14139</v>
      </c>
      <c r="D2032" s="41" t="s">
        <v>45</v>
      </c>
      <c r="E2032" s="41" t="s">
        <v>1298</v>
      </c>
      <c r="F2032" s="41" t="s">
        <v>6222</v>
      </c>
      <c r="G2032" s="41" t="s">
        <v>6304</v>
      </c>
      <c r="H2032" s="41" t="s">
        <v>6305</v>
      </c>
      <c r="I2032" s="43">
        <v>12</v>
      </c>
      <c r="J2032" s="44" t="str">
        <f>VLOOKUP(G2032,[1]硬件清单!$F:$F,1,0)</f>
        <v>FLZXJG2</v>
      </c>
      <c r="K2032" s="43"/>
      <c r="L2032" s="44"/>
      <c r="M2032" s="45" t="s">
        <v>6306</v>
      </c>
    </row>
    <row r="2033" s="26" customFormat="1" ht="30" customHeight="1" spans="1:13">
      <c r="A2033" s="41">
        <f>IF(C2033="","",SUBTOTAL(103,$C$2:C2033))</f>
        <v>2024</v>
      </c>
      <c r="B2033" s="41">
        <v>9919</v>
      </c>
      <c r="C2033" s="41">
        <v>14140</v>
      </c>
      <c r="D2033" s="41" t="s">
        <v>45</v>
      </c>
      <c r="E2033" s="41" t="s">
        <v>1298</v>
      </c>
      <c r="F2033" s="41" t="s">
        <v>6222</v>
      </c>
      <c r="G2033" s="41" t="s">
        <v>6307</v>
      </c>
      <c r="H2033" s="41" t="s">
        <v>6308</v>
      </c>
      <c r="I2033" s="43">
        <v>12</v>
      </c>
      <c r="J2033" s="44" t="str">
        <f>VLOOKUP(G2033,[1]硬件清单!$F:$F,1,0)</f>
        <v>FM1KHG2</v>
      </c>
      <c r="K2033" s="43"/>
      <c r="L2033" s="44"/>
      <c r="M2033" s="45" t="s">
        <v>6309</v>
      </c>
    </row>
    <row r="2034" s="26" customFormat="1" ht="30" customHeight="1" spans="1:13">
      <c r="A2034" s="41">
        <f>IF(C2034="","",SUBTOTAL(103,$C$2:C2034))</f>
        <v>2025</v>
      </c>
      <c r="B2034" s="41">
        <v>9920</v>
      </c>
      <c r="C2034" s="41">
        <v>14141</v>
      </c>
      <c r="D2034" s="41" t="s">
        <v>45</v>
      </c>
      <c r="E2034" s="41" t="s">
        <v>1298</v>
      </c>
      <c r="F2034" s="41" t="s">
        <v>6222</v>
      </c>
      <c r="G2034" s="41" t="s">
        <v>6310</v>
      </c>
      <c r="H2034" s="41" t="s">
        <v>6311</v>
      </c>
      <c r="I2034" s="43">
        <v>12</v>
      </c>
      <c r="J2034" s="44" t="str">
        <f>VLOOKUP(G2034,[1]硬件清单!$F:$F,1,0)</f>
        <v>FLZHHG2</v>
      </c>
      <c r="K2034" s="43"/>
      <c r="L2034" s="44"/>
      <c r="M2034" s="45" t="s">
        <v>6312</v>
      </c>
    </row>
    <row r="2035" s="26" customFormat="1" ht="30" customHeight="1" spans="1:13">
      <c r="A2035" s="41">
        <f>IF(C2035="","",SUBTOTAL(103,$C$2:C2035))</f>
        <v>2026</v>
      </c>
      <c r="B2035" s="41">
        <v>9921</v>
      </c>
      <c r="C2035" s="41">
        <v>14142</v>
      </c>
      <c r="D2035" s="41" t="s">
        <v>45</v>
      </c>
      <c r="E2035" s="41" t="s">
        <v>1298</v>
      </c>
      <c r="F2035" s="41" t="s">
        <v>6222</v>
      </c>
      <c r="G2035" s="41" t="s">
        <v>6313</v>
      </c>
      <c r="H2035" s="41" t="s">
        <v>6314</v>
      </c>
      <c r="I2035" s="43">
        <v>12</v>
      </c>
      <c r="J2035" s="44" t="str">
        <f>VLOOKUP(G2035,[1]硬件清单!$F:$F,1,0)</f>
        <v>FLZKHG2</v>
      </c>
      <c r="K2035" s="43"/>
      <c r="L2035" s="44"/>
      <c r="M2035" s="45" t="s">
        <v>6315</v>
      </c>
    </row>
    <row r="2036" s="26" customFormat="1" ht="30" customHeight="1" spans="1:13">
      <c r="A2036" s="41">
        <f>IF(C2036="","",SUBTOTAL(103,$C$2:C2036))</f>
        <v>2027</v>
      </c>
      <c r="B2036" s="41">
        <v>9922</v>
      </c>
      <c r="C2036" s="41">
        <v>14143</v>
      </c>
      <c r="D2036" s="41" t="s">
        <v>45</v>
      </c>
      <c r="E2036" s="41" t="s">
        <v>1298</v>
      </c>
      <c r="F2036" s="41" t="s">
        <v>6222</v>
      </c>
      <c r="G2036" s="41" t="s">
        <v>6316</v>
      </c>
      <c r="H2036" s="41" t="s">
        <v>6317</v>
      </c>
      <c r="I2036" s="43">
        <v>12</v>
      </c>
      <c r="J2036" s="44" t="str">
        <f>VLOOKUP(G2036,[1]硬件清单!$F:$F,1,0)</f>
        <v>FM0JHG2</v>
      </c>
      <c r="K2036" s="43"/>
      <c r="L2036" s="44"/>
      <c r="M2036" s="45" t="s">
        <v>6318</v>
      </c>
    </row>
    <row r="2037" s="26" customFormat="1" ht="30" customHeight="1" spans="1:13">
      <c r="A2037" s="41">
        <f>IF(C2037="","",SUBTOTAL(103,$C$2:C2037))</f>
        <v>2028</v>
      </c>
      <c r="B2037" s="41">
        <v>9924</v>
      </c>
      <c r="C2037" s="41">
        <v>8592</v>
      </c>
      <c r="D2037" s="41" t="s">
        <v>45</v>
      </c>
      <c r="E2037" s="41" t="s">
        <v>1298</v>
      </c>
      <c r="F2037" s="41" t="s">
        <v>6319</v>
      </c>
      <c r="G2037" s="41" t="s">
        <v>6320</v>
      </c>
      <c r="H2037" s="41" t="s">
        <v>6321</v>
      </c>
      <c r="I2037" s="43">
        <v>12</v>
      </c>
      <c r="J2037" s="44" t="str">
        <f>VLOOKUP(G2037,[1]硬件清单!$F:$F,1,0)</f>
        <v>CJ45YK2</v>
      </c>
      <c r="K2037" s="43"/>
      <c r="L2037" s="44"/>
      <c r="M2037" s="45" t="s">
        <v>6322</v>
      </c>
    </row>
    <row r="2038" s="26" customFormat="1" ht="30" customHeight="1" spans="1:13">
      <c r="A2038" s="41">
        <f>IF(C2038="","",SUBTOTAL(103,$C$2:C2038))</f>
        <v>2029</v>
      </c>
      <c r="B2038" s="41">
        <v>9925</v>
      </c>
      <c r="C2038" s="41">
        <v>8591</v>
      </c>
      <c r="D2038" s="41" t="s">
        <v>45</v>
      </c>
      <c r="E2038" s="41" t="s">
        <v>1298</v>
      </c>
      <c r="F2038" s="41" t="s">
        <v>6319</v>
      </c>
      <c r="G2038" s="41" t="s">
        <v>6323</v>
      </c>
      <c r="H2038" s="41" t="s">
        <v>6324</v>
      </c>
      <c r="I2038" s="43">
        <v>12</v>
      </c>
      <c r="J2038" s="44" t="str">
        <f>VLOOKUP(G2038,[1]硬件清单!$F:$F,1,0)</f>
        <v>CJ49YK2</v>
      </c>
      <c r="K2038" s="43"/>
      <c r="L2038" s="44"/>
      <c r="M2038" s="45" t="s">
        <v>6325</v>
      </c>
    </row>
    <row r="2039" s="26" customFormat="1" ht="30" customHeight="1" spans="1:13">
      <c r="A2039" s="41">
        <f>IF(C2039="","",SUBTOTAL(103,$C$2:C2039))</f>
        <v>2030</v>
      </c>
      <c r="B2039" s="41">
        <v>9926</v>
      </c>
      <c r="C2039" s="41">
        <v>8590</v>
      </c>
      <c r="D2039" s="41" t="s">
        <v>45</v>
      </c>
      <c r="E2039" s="41" t="s">
        <v>1298</v>
      </c>
      <c r="F2039" s="41" t="s">
        <v>6319</v>
      </c>
      <c r="G2039" s="41" t="s">
        <v>6326</v>
      </c>
      <c r="H2039" s="41" t="s">
        <v>6327</v>
      </c>
      <c r="I2039" s="43">
        <v>12</v>
      </c>
      <c r="J2039" s="44" t="str">
        <f>VLOOKUP(G2039,[1]硬件清单!$F:$F,1,0)</f>
        <v>CJ5BYK2</v>
      </c>
      <c r="K2039" s="43"/>
      <c r="L2039" s="44"/>
      <c r="M2039" s="45" t="s">
        <v>6328</v>
      </c>
    </row>
    <row r="2040" s="26" customFormat="1" ht="30" customHeight="1" spans="1:13">
      <c r="A2040" s="41">
        <f>IF(C2040="","",SUBTOTAL(103,$C$2:C2040))</f>
        <v>2031</v>
      </c>
      <c r="B2040" s="41">
        <v>9927</v>
      </c>
      <c r="C2040" s="41">
        <v>8589</v>
      </c>
      <c r="D2040" s="41" t="s">
        <v>45</v>
      </c>
      <c r="E2040" s="41" t="s">
        <v>1298</v>
      </c>
      <c r="F2040" s="41" t="s">
        <v>6319</v>
      </c>
      <c r="G2040" s="41" t="s">
        <v>6329</v>
      </c>
      <c r="H2040" s="41" t="s">
        <v>6330</v>
      </c>
      <c r="I2040" s="43">
        <v>12</v>
      </c>
      <c r="J2040" s="44" t="str">
        <f>VLOOKUP(G2040,[1]硬件清单!$F:$F,1,0)</f>
        <v>CJ6CYK2</v>
      </c>
      <c r="K2040" s="43"/>
      <c r="L2040" s="44"/>
      <c r="M2040" s="45" t="s">
        <v>6331</v>
      </c>
    </row>
    <row r="2041" s="26" customFormat="1" ht="30" customHeight="1" spans="1:13">
      <c r="A2041" s="41">
        <f>IF(C2041="","",SUBTOTAL(103,$C$2:C2041))</f>
        <v>2032</v>
      </c>
      <c r="B2041" s="41">
        <v>9928</v>
      </c>
      <c r="C2041" s="41">
        <v>8750</v>
      </c>
      <c r="D2041" s="41" t="s">
        <v>45</v>
      </c>
      <c r="E2041" s="41" t="s">
        <v>1298</v>
      </c>
      <c r="F2041" s="41" t="s">
        <v>6332</v>
      </c>
      <c r="G2041" s="41" t="s">
        <v>6333</v>
      </c>
      <c r="H2041" s="41" t="s">
        <v>6334</v>
      </c>
      <c r="I2041" s="43">
        <v>12</v>
      </c>
      <c r="J2041" s="44" t="str">
        <f>VLOOKUP(G2041,[1]硬件清单!$F:$F,1,0)</f>
        <v>8426KL2</v>
      </c>
      <c r="K2041" s="43"/>
      <c r="L2041" s="44"/>
      <c r="M2041" s="45" t="s">
        <v>6335</v>
      </c>
    </row>
    <row r="2042" s="26" customFormat="1" ht="30" customHeight="1" spans="1:13">
      <c r="A2042" s="41">
        <f>IF(C2042="","",SUBTOTAL(103,$C$2:C2042))</f>
        <v>2033</v>
      </c>
      <c r="B2042" s="41">
        <v>9929</v>
      </c>
      <c r="C2042" s="41">
        <v>8749</v>
      </c>
      <c r="D2042" s="41" t="s">
        <v>45</v>
      </c>
      <c r="E2042" s="41" t="s">
        <v>1298</v>
      </c>
      <c r="F2042" s="41" t="s">
        <v>6332</v>
      </c>
      <c r="G2042" s="41" t="s">
        <v>6336</v>
      </c>
      <c r="H2042" s="41" t="s">
        <v>6337</v>
      </c>
      <c r="I2042" s="43">
        <v>12</v>
      </c>
      <c r="J2042" s="44" t="str">
        <f>VLOOKUP(G2042,[1]硬件清单!$F:$F,1,0)</f>
        <v>8425KL2</v>
      </c>
      <c r="K2042" s="43"/>
      <c r="L2042" s="44"/>
      <c r="M2042" s="45" t="s">
        <v>6338</v>
      </c>
    </row>
    <row r="2043" s="26" customFormat="1" ht="30" customHeight="1" spans="1:13">
      <c r="A2043" s="41">
        <f>IF(C2043="","",SUBTOTAL(103,$C$2:C2043))</f>
        <v>2034</v>
      </c>
      <c r="B2043" s="41">
        <v>9930</v>
      </c>
      <c r="C2043" s="41">
        <v>8748</v>
      </c>
      <c r="D2043" s="41" t="s">
        <v>45</v>
      </c>
      <c r="E2043" s="41" t="s">
        <v>1298</v>
      </c>
      <c r="F2043" s="41" t="s">
        <v>6332</v>
      </c>
      <c r="G2043" s="41" t="s">
        <v>6339</v>
      </c>
      <c r="H2043" s="41" t="s">
        <v>6340</v>
      </c>
      <c r="I2043" s="43">
        <v>12</v>
      </c>
      <c r="J2043" s="44" t="str">
        <f>VLOOKUP(G2043,[1]硬件清单!$F:$F,1,0)</f>
        <v>8424KL2</v>
      </c>
      <c r="K2043" s="43"/>
      <c r="L2043" s="44"/>
      <c r="M2043" s="45" t="s">
        <v>6341</v>
      </c>
    </row>
    <row r="2044" s="26" customFormat="1" ht="30" customHeight="1" spans="1:13">
      <c r="A2044" s="41">
        <f>IF(C2044="","",SUBTOTAL(103,$C$2:C2044))</f>
        <v>2035</v>
      </c>
      <c r="B2044" s="41">
        <v>9931</v>
      </c>
      <c r="C2044" s="41">
        <v>8752</v>
      </c>
      <c r="D2044" s="41" t="s">
        <v>45</v>
      </c>
      <c r="E2044" s="41" t="s">
        <v>1298</v>
      </c>
      <c r="F2044" s="41" t="s">
        <v>6342</v>
      </c>
      <c r="G2044" s="41" t="s">
        <v>6343</v>
      </c>
      <c r="H2044" s="41" t="s">
        <v>6344</v>
      </c>
      <c r="I2044" s="43">
        <v>12</v>
      </c>
      <c r="J2044" s="44" t="str">
        <f>VLOOKUP(G2044,[1]硬件清单!$F:$F,1,0)</f>
        <v>J33924B</v>
      </c>
      <c r="K2044" s="43"/>
      <c r="L2044" s="44"/>
      <c r="M2044" s="45" t="s">
        <v>6345</v>
      </c>
    </row>
    <row r="2045" s="26" customFormat="1" ht="30" customHeight="1" spans="1:13">
      <c r="A2045" s="41">
        <f>IF(C2045="","",SUBTOTAL(103,$C$2:C2045))</f>
        <v>2036</v>
      </c>
      <c r="B2045" s="41">
        <v>9932</v>
      </c>
      <c r="C2045" s="41">
        <v>8751</v>
      </c>
      <c r="D2045" s="41" t="s">
        <v>45</v>
      </c>
      <c r="E2045" s="41" t="s">
        <v>1298</v>
      </c>
      <c r="F2045" s="41" t="s">
        <v>6342</v>
      </c>
      <c r="G2045" s="41" t="s">
        <v>6346</v>
      </c>
      <c r="H2045" s="41" t="s">
        <v>6347</v>
      </c>
      <c r="I2045" s="43">
        <v>12</v>
      </c>
      <c r="J2045" s="44" t="str">
        <f>VLOOKUP(G2045,[1]硬件清单!$F:$F,1,0)</f>
        <v>J339246</v>
      </c>
      <c r="K2045" s="43"/>
      <c r="L2045" s="44"/>
      <c r="M2045" s="45" t="s">
        <v>6348</v>
      </c>
    </row>
    <row r="2046" s="26" customFormat="1" ht="30" customHeight="1" spans="1:13">
      <c r="A2046" s="41">
        <f>IF(C2046="","",SUBTOTAL(103,$C$2:C2046))</f>
        <v>2037</v>
      </c>
      <c r="B2046" s="41">
        <v>9939</v>
      </c>
      <c r="C2046" s="41">
        <v>8461</v>
      </c>
      <c r="D2046" s="41" t="s">
        <v>45</v>
      </c>
      <c r="E2046" s="41" t="s">
        <v>1298</v>
      </c>
      <c r="F2046" s="41" t="s">
        <v>6349</v>
      </c>
      <c r="G2046" s="41" t="s">
        <v>6350</v>
      </c>
      <c r="H2046" s="41" t="s">
        <v>6351</v>
      </c>
      <c r="I2046" s="43">
        <v>12</v>
      </c>
      <c r="J2046" s="44" t="str">
        <f>VLOOKUP(G2046,[1]硬件清单!$F:$F,1,0)</f>
        <v>2102311QGN10GB000072</v>
      </c>
      <c r="K2046" s="43"/>
      <c r="L2046" s="44"/>
      <c r="M2046" s="45" t="s">
        <v>6352</v>
      </c>
    </row>
    <row r="2047" s="26" customFormat="1" ht="30" customHeight="1" spans="1:13">
      <c r="A2047" s="41">
        <f>IF(C2047="","",SUBTOTAL(103,$C$2:C2047))</f>
        <v>2038</v>
      </c>
      <c r="B2047" s="41">
        <v>9940</v>
      </c>
      <c r="C2047" s="41">
        <v>8460</v>
      </c>
      <c r="D2047" s="41" t="s">
        <v>45</v>
      </c>
      <c r="E2047" s="41" t="s">
        <v>1298</v>
      </c>
      <c r="F2047" s="41" t="s">
        <v>6349</v>
      </c>
      <c r="G2047" s="41" t="s">
        <v>6353</v>
      </c>
      <c r="H2047" s="41" t="s">
        <v>6354</v>
      </c>
      <c r="I2047" s="43">
        <v>12</v>
      </c>
      <c r="J2047" s="44" t="str">
        <f>VLOOKUP(G2047,[1]硬件清单!$F:$F,1,0)</f>
        <v>2102311ESF10H2000175</v>
      </c>
      <c r="K2047" s="43"/>
      <c r="L2047" s="44"/>
      <c r="M2047" s="45" t="s">
        <v>6355</v>
      </c>
    </row>
    <row r="2048" s="26" customFormat="1" ht="30" customHeight="1" spans="1:13">
      <c r="A2048" s="41">
        <f>IF(C2048="","",SUBTOTAL(103,$C$2:C2048))</f>
        <v>2039</v>
      </c>
      <c r="B2048" s="41">
        <v>9941</v>
      </c>
      <c r="C2048" s="41">
        <v>8290</v>
      </c>
      <c r="D2048" s="41" t="s">
        <v>45</v>
      </c>
      <c r="E2048" s="41" t="s">
        <v>1298</v>
      </c>
      <c r="F2048" s="41" t="s">
        <v>6349</v>
      </c>
      <c r="G2048" s="41" t="s">
        <v>6356</v>
      </c>
      <c r="H2048" s="41" t="s">
        <v>6357</v>
      </c>
      <c r="I2048" s="43">
        <v>12</v>
      </c>
      <c r="J2048" s="44" t="str">
        <f>VLOOKUP(G2048,[1]硬件清单!$F:$F,1,0)</f>
        <v>2102310YPY10H6005035</v>
      </c>
      <c r="K2048" s="43"/>
      <c r="L2048" s="44"/>
      <c r="M2048" s="45" t="s">
        <v>6358</v>
      </c>
    </row>
    <row r="2049" s="26" customFormat="1" ht="30" customHeight="1" spans="1:13">
      <c r="A2049" s="41">
        <f>IF(C2049="","",SUBTOTAL(103,$C$2:C2049))</f>
        <v>2040</v>
      </c>
      <c r="B2049" s="41">
        <v>9942</v>
      </c>
      <c r="C2049" s="41">
        <v>8289</v>
      </c>
      <c r="D2049" s="41" t="s">
        <v>45</v>
      </c>
      <c r="E2049" s="41" t="s">
        <v>1298</v>
      </c>
      <c r="F2049" s="41" t="s">
        <v>6349</v>
      </c>
      <c r="G2049" s="41" t="s">
        <v>6359</v>
      </c>
      <c r="H2049" s="41" t="s">
        <v>6360</v>
      </c>
      <c r="I2049" s="43">
        <v>12</v>
      </c>
      <c r="J2049" s="44" t="str">
        <f>VLOOKUP(G2049,[1]硬件清单!$F:$F,1,0)</f>
        <v>2102310YPY10H6005027</v>
      </c>
      <c r="K2049" s="43"/>
      <c r="L2049" s="44"/>
      <c r="M2049" s="45" t="s">
        <v>6361</v>
      </c>
    </row>
    <row r="2050" s="26" customFormat="1" ht="30" customHeight="1" spans="1:13">
      <c r="A2050" s="41">
        <f>IF(C2050="","",SUBTOTAL(103,$C$2:C2050))</f>
        <v>2041</v>
      </c>
      <c r="B2050" s="41">
        <v>9943</v>
      </c>
      <c r="C2050" s="41">
        <v>8288</v>
      </c>
      <c r="D2050" s="41" t="s">
        <v>45</v>
      </c>
      <c r="E2050" s="41" t="s">
        <v>1298</v>
      </c>
      <c r="F2050" s="41" t="s">
        <v>6349</v>
      </c>
      <c r="G2050" s="41" t="s">
        <v>6362</v>
      </c>
      <c r="H2050" s="41" t="s">
        <v>6363</v>
      </c>
      <c r="I2050" s="43">
        <v>12</v>
      </c>
      <c r="J2050" s="44" t="str">
        <f>VLOOKUP(G2050,[1]硬件清单!$F:$F,1,0)</f>
        <v>2102310YPY10H6005036</v>
      </c>
      <c r="K2050" s="43"/>
      <c r="L2050" s="44"/>
      <c r="M2050" s="45" t="s">
        <v>6364</v>
      </c>
    </row>
    <row r="2051" s="26" customFormat="1" ht="30" customHeight="1" spans="1:13">
      <c r="A2051" s="41">
        <f>IF(C2051="","",SUBTOTAL(103,$C$2:C2051))</f>
        <v>2042</v>
      </c>
      <c r="B2051" s="41">
        <v>9944</v>
      </c>
      <c r="C2051" s="41">
        <v>8287</v>
      </c>
      <c r="D2051" s="41" t="s">
        <v>45</v>
      </c>
      <c r="E2051" s="41" t="s">
        <v>1298</v>
      </c>
      <c r="F2051" s="41" t="s">
        <v>6349</v>
      </c>
      <c r="G2051" s="41" t="s">
        <v>6365</v>
      </c>
      <c r="H2051" s="41" t="s">
        <v>6366</v>
      </c>
      <c r="I2051" s="43">
        <v>12</v>
      </c>
      <c r="J2051" s="44" t="str">
        <f>VLOOKUP(G2051,[1]硬件清单!$F:$F,1,0)</f>
        <v>2102310YPY10H6005030</v>
      </c>
      <c r="K2051" s="43"/>
      <c r="L2051" s="44"/>
      <c r="M2051" s="45" t="s">
        <v>6367</v>
      </c>
    </row>
    <row r="2052" s="26" customFormat="1" ht="30" customHeight="1" spans="1:13">
      <c r="A2052" s="41">
        <f>IF(C2052="","",SUBTOTAL(103,$C$2:C2052))</f>
        <v>2043</v>
      </c>
      <c r="B2052" s="41">
        <v>9945</v>
      </c>
      <c r="C2052" s="41">
        <v>8286</v>
      </c>
      <c r="D2052" s="41" t="s">
        <v>45</v>
      </c>
      <c r="E2052" s="41" t="s">
        <v>1298</v>
      </c>
      <c r="F2052" s="41" t="s">
        <v>6349</v>
      </c>
      <c r="G2052" s="41" t="s">
        <v>6368</v>
      </c>
      <c r="H2052" s="41" t="s">
        <v>6369</v>
      </c>
      <c r="I2052" s="43">
        <v>12</v>
      </c>
      <c r="J2052" s="44" t="str">
        <f>VLOOKUP(G2052,[1]硬件清单!$F:$F,1,0)</f>
        <v>2102310YPY10H6005038</v>
      </c>
      <c r="K2052" s="43"/>
      <c r="L2052" s="44"/>
      <c r="M2052" s="45" t="s">
        <v>6370</v>
      </c>
    </row>
    <row r="2053" s="26" customFormat="1" ht="30" customHeight="1" spans="1:13">
      <c r="A2053" s="41">
        <f>IF(C2053="","",SUBTOTAL(103,$C$2:C2053))</f>
        <v>2044</v>
      </c>
      <c r="B2053" s="41">
        <v>9946</v>
      </c>
      <c r="C2053" s="41">
        <v>8285</v>
      </c>
      <c r="D2053" s="41" t="s">
        <v>45</v>
      </c>
      <c r="E2053" s="41" t="s">
        <v>1298</v>
      </c>
      <c r="F2053" s="41" t="s">
        <v>6349</v>
      </c>
      <c r="G2053" s="41" t="s">
        <v>6371</v>
      </c>
      <c r="H2053" s="41" t="s">
        <v>6372</v>
      </c>
      <c r="I2053" s="43">
        <v>12</v>
      </c>
      <c r="J2053" s="44" t="str">
        <f>VLOOKUP(G2053,[1]硬件清单!$F:$F,1,0)</f>
        <v>2102310YPY10H6005028</v>
      </c>
      <c r="K2053" s="43"/>
      <c r="L2053" s="44"/>
      <c r="M2053" s="45" t="s">
        <v>6373</v>
      </c>
    </row>
    <row r="2054" s="26" customFormat="1" ht="30" customHeight="1" spans="1:13">
      <c r="A2054" s="41">
        <f>IF(C2054="","",SUBTOTAL(103,$C$2:C2054))</f>
        <v>2045</v>
      </c>
      <c r="B2054" s="41">
        <v>9950</v>
      </c>
      <c r="C2054" s="41">
        <v>8548</v>
      </c>
      <c r="D2054" s="41" t="s">
        <v>45</v>
      </c>
      <c r="E2054" s="41" t="s">
        <v>1298</v>
      </c>
      <c r="F2054" s="41" t="s">
        <v>6374</v>
      </c>
      <c r="G2054" s="41" t="s">
        <v>6375</v>
      </c>
      <c r="H2054" s="41" t="s">
        <v>6376</v>
      </c>
      <c r="I2054" s="43">
        <v>12</v>
      </c>
      <c r="J2054" s="44" t="str">
        <f>VLOOKUP(G2054,[1]硬件清单!$F:$F,1,0)</f>
        <v>DGM3YK2</v>
      </c>
      <c r="K2054" s="43"/>
      <c r="L2054" s="44"/>
      <c r="M2054" s="45" t="s">
        <v>6377</v>
      </c>
    </row>
    <row r="2055" s="26" customFormat="1" ht="30" customHeight="1" spans="1:13">
      <c r="A2055" s="41">
        <f>IF(C2055="","",SUBTOTAL(103,$C$2:C2055))</f>
        <v>2046</v>
      </c>
      <c r="B2055" s="41">
        <v>9951</v>
      </c>
      <c r="C2055" s="41">
        <v>8547</v>
      </c>
      <c r="D2055" s="41" t="s">
        <v>45</v>
      </c>
      <c r="E2055" s="41" t="s">
        <v>1298</v>
      </c>
      <c r="F2055" s="41" t="s">
        <v>6374</v>
      </c>
      <c r="G2055" s="41" t="s">
        <v>6378</v>
      </c>
      <c r="H2055" s="41" t="s">
        <v>6379</v>
      </c>
      <c r="I2055" s="43">
        <v>12</v>
      </c>
      <c r="J2055" s="44" t="str">
        <f>VLOOKUP(G2055,[1]硬件清单!$F:$F,1,0)</f>
        <v>DGK7YK2</v>
      </c>
      <c r="K2055" s="43"/>
      <c r="L2055" s="44"/>
      <c r="M2055" s="45" t="s">
        <v>6380</v>
      </c>
    </row>
    <row r="2056" s="26" customFormat="1" ht="30" customHeight="1" spans="1:13">
      <c r="A2056" s="41">
        <f>IF(C2056="","",SUBTOTAL(103,$C$2:C2056))</f>
        <v>2047</v>
      </c>
      <c r="B2056" s="41">
        <v>9952</v>
      </c>
      <c r="C2056" s="41">
        <v>8515</v>
      </c>
      <c r="D2056" s="41" t="s">
        <v>45</v>
      </c>
      <c r="E2056" s="41" t="s">
        <v>1298</v>
      </c>
      <c r="F2056" s="41" t="s">
        <v>6374</v>
      </c>
      <c r="G2056" s="41" t="s">
        <v>6381</v>
      </c>
      <c r="H2056" s="41" t="s">
        <v>6382</v>
      </c>
      <c r="I2056" s="43">
        <v>12</v>
      </c>
      <c r="J2056" s="44" t="str">
        <f>VLOOKUP(G2056,[1]硬件清单!$F:$F,1,0)</f>
        <v>DGPCYK2</v>
      </c>
      <c r="K2056" s="43"/>
      <c r="L2056" s="44"/>
      <c r="M2056" s="45" t="s">
        <v>6383</v>
      </c>
    </row>
    <row r="2057" s="26" customFormat="1" ht="30" customHeight="1" spans="1:13">
      <c r="A2057" s="41">
        <f>IF(C2057="","",SUBTOTAL(103,$C$2:C2057))</f>
        <v>2048</v>
      </c>
      <c r="B2057" s="41">
        <v>9953</v>
      </c>
      <c r="C2057" s="41">
        <v>8514</v>
      </c>
      <c r="D2057" s="41" t="s">
        <v>45</v>
      </c>
      <c r="E2057" s="41" t="s">
        <v>1298</v>
      </c>
      <c r="F2057" s="41" t="s">
        <v>6374</v>
      </c>
      <c r="G2057" s="41" t="s">
        <v>6384</v>
      </c>
      <c r="H2057" s="41" t="s">
        <v>6385</v>
      </c>
      <c r="I2057" s="43">
        <v>12</v>
      </c>
      <c r="J2057" s="44" t="str">
        <f>VLOOKUP(G2057,[1]硬件清单!$F:$F,1,0)</f>
        <v>DGL9YK2</v>
      </c>
      <c r="K2057" s="43"/>
      <c r="L2057" s="44"/>
      <c r="M2057" s="45" t="s">
        <v>6386</v>
      </c>
    </row>
    <row r="2058" s="26" customFormat="1" ht="30" customHeight="1" spans="1:13">
      <c r="A2058" s="41">
        <f>IF(C2058="","",SUBTOTAL(103,$C$2:C2058))</f>
        <v>2049</v>
      </c>
      <c r="B2058" s="41">
        <v>9954</v>
      </c>
      <c r="C2058" s="41">
        <v>8756</v>
      </c>
      <c r="D2058" s="41" t="s">
        <v>45</v>
      </c>
      <c r="E2058" s="41" t="s">
        <v>1298</v>
      </c>
      <c r="F2058" s="41" t="s">
        <v>6387</v>
      </c>
      <c r="G2058" s="41" t="s">
        <v>6388</v>
      </c>
      <c r="H2058" s="41" t="s">
        <v>6389</v>
      </c>
      <c r="I2058" s="43">
        <v>12</v>
      </c>
      <c r="J2058" s="44" t="str">
        <f>VLOOKUP(G2058,[1]硬件清单!$F:$F,1,0)</f>
        <v>2102311QGN10GB000115</v>
      </c>
      <c r="K2058" s="43"/>
      <c r="L2058" s="44"/>
      <c r="M2058" s="45" t="s">
        <v>6390</v>
      </c>
    </row>
    <row r="2059" s="26" customFormat="1" ht="30" customHeight="1" spans="1:13">
      <c r="A2059" s="41">
        <f>IF(C2059="","",SUBTOTAL(103,$C$2:C2059))</f>
        <v>2050</v>
      </c>
      <c r="B2059" s="41">
        <v>9955</v>
      </c>
      <c r="C2059" s="41">
        <v>8755</v>
      </c>
      <c r="D2059" s="41" t="s">
        <v>45</v>
      </c>
      <c r="E2059" s="41" t="s">
        <v>1298</v>
      </c>
      <c r="F2059" s="41" t="s">
        <v>6387</v>
      </c>
      <c r="G2059" s="41" t="s">
        <v>6391</v>
      </c>
      <c r="H2059" s="41" t="s">
        <v>6392</v>
      </c>
      <c r="I2059" s="43">
        <v>12</v>
      </c>
      <c r="J2059" s="44" t="str">
        <f>VLOOKUP(G2059,[1]硬件清单!$F:$F,1,0)</f>
        <v>2102311QGN10GB000059</v>
      </c>
      <c r="K2059" s="43"/>
      <c r="L2059" s="44"/>
      <c r="M2059" s="45" t="s">
        <v>6393</v>
      </c>
    </row>
    <row r="2060" s="26" customFormat="1" ht="30" customHeight="1" spans="1:13">
      <c r="A2060" s="41">
        <f>IF(C2060="","",SUBTOTAL(103,$C$2:C2060))</f>
        <v>2051</v>
      </c>
      <c r="B2060" s="41">
        <v>9956</v>
      </c>
      <c r="C2060" s="41">
        <v>8754</v>
      </c>
      <c r="D2060" s="41" t="s">
        <v>45</v>
      </c>
      <c r="E2060" s="41" t="s">
        <v>1298</v>
      </c>
      <c r="F2060" s="41" t="s">
        <v>6387</v>
      </c>
      <c r="G2060" s="41" t="s">
        <v>6394</v>
      </c>
      <c r="H2060" s="41" t="s">
        <v>6395</v>
      </c>
      <c r="I2060" s="43">
        <v>12</v>
      </c>
      <c r="J2060" s="44" t="str">
        <f>VLOOKUP(G2060,[1]硬件清单!$F:$F,1,0)</f>
        <v>2102310YPY10H6005034</v>
      </c>
      <c r="K2060" s="43"/>
      <c r="L2060" s="44"/>
      <c r="M2060" s="45" t="s">
        <v>6396</v>
      </c>
    </row>
    <row r="2061" s="26" customFormat="1" ht="30" customHeight="1" spans="1:13">
      <c r="A2061" s="41">
        <f>IF(C2061="","",SUBTOTAL(103,$C$2:C2061))</f>
        <v>2052</v>
      </c>
      <c r="B2061" s="41">
        <v>9957</v>
      </c>
      <c r="C2061" s="41">
        <v>8753</v>
      </c>
      <c r="D2061" s="41" t="s">
        <v>45</v>
      </c>
      <c r="E2061" s="41" t="s">
        <v>1298</v>
      </c>
      <c r="F2061" s="41" t="s">
        <v>6387</v>
      </c>
      <c r="G2061" s="41" t="s">
        <v>6397</v>
      </c>
      <c r="H2061" s="41" t="s">
        <v>6398</v>
      </c>
      <c r="I2061" s="43">
        <v>12</v>
      </c>
      <c r="J2061" s="44" t="str">
        <f>VLOOKUP(G2061,[1]硬件清单!$F:$F,1,0)</f>
        <v>2102310YPY10H6005033</v>
      </c>
      <c r="K2061" s="43"/>
      <c r="L2061" s="44"/>
      <c r="M2061" s="45" t="s">
        <v>6399</v>
      </c>
    </row>
    <row r="2062" s="26" customFormat="1" ht="30" customHeight="1" spans="1:13">
      <c r="A2062" s="41">
        <f>IF(C2062="","",SUBTOTAL(103,$C$2:C2062))</f>
        <v>2053</v>
      </c>
      <c r="B2062" s="41">
        <v>9958</v>
      </c>
      <c r="C2062" s="41">
        <v>8465</v>
      </c>
      <c r="D2062" s="41" t="s">
        <v>45</v>
      </c>
      <c r="E2062" s="41" t="s">
        <v>1298</v>
      </c>
      <c r="F2062" s="41" t="s">
        <v>6349</v>
      </c>
      <c r="G2062" s="41" t="s">
        <v>6400</v>
      </c>
      <c r="H2062" s="41" t="s">
        <v>6401</v>
      </c>
      <c r="I2062" s="43">
        <v>12</v>
      </c>
      <c r="J2062" s="44" t="str">
        <f>VLOOKUP(G2062,[1]硬件清单!$F:$F,1,0)</f>
        <v>2102310YPY10H6005032</v>
      </c>
      <c r="K2062" s="43"/>
      <c r="L2062" s="44"/>
      <c r="M2062" s="45" t="s">
        <v>6402</v>
      </c>
    </row>
    <row r="2063" s="26" customFormat="1" ht="30" customHeight="1" spans="1:13">
      <c r="A2063" s="41">
        <f>IF(C2063="","",SUBTOTAL(103,$C$2:C2063))</f>
        <v>2054</v>
      </c>
      <c r="B2063" s="41">
        <v>9959</v>
      </c>
      <c r="C2063" s="41">
        <v>8464</v>
      </c>
      <c r="D2063" s="41" t="s">
        <v>45</v>
      </c>
      <c r="E2063" s="41" t="s">
        <v>1298</v>
      </c>
      <c r="F2063" s="41" t="s">
        <v>6349</v>
      </c>
      <c r="G2063" s="41" t="s">
        <v>6403</v>
      </c>
      <c r="H2063" s="41" t="s">
        <v>6404</v>
      </c>
      <c r="I2063" s="43">
        <v>12</v>
      </c>
      <c r="J2063" s="44" t="str">
        <f>VLOOKUP(G2063,[1]硬件清单!$F:$F,1,0)</f>
        <v>2102310YPY10H6005029</v>
      </c>
      <c r="K2063" s="43"/>
      <c r="L2063" s="44"/>
      <c r="M2063" s="45" t="s">
        <v>6405</v>
      </c>
    </row>
    <row r="2064" s="26" customFormat="1" ht="30" customHeight="1" spans="1:13">
      <c r="A2064" s="41">
        <f>IF(C2064="","",SUBTOTAL(103,$C$2:C2064))</f>
        <v>2055</v>
      </c>
      <c r="B2064" s="41">
        <v>9960</v>
      </c>
      <c r="C2064" s="41">
        <v>8463</v>
      </c>
      <c r="D2064" s="41" t="s">
        <v>45</v>
      </c>
      <c r="E2064" s="41" t="s">
        <v>1298</v>
      </c>
      <c r="F2064" s="41" t="s">
        <v>6349</v>
      </c>
      <c r="G2064" s="41" t="s">
        <v>6406</v>
      </c>
      <c r="H2064" s="41" t="s">
        <v>6407</v>
      </c>
      <c r="I2064" s="43">
        <v>12</v>
      </c>
      <c r="J2064" s="44" t="str">
        <f>VLOOKUP(G2064,[1]硬件清单!$F:$F,1,0)</f>
        <v>2102310YPY10H6005031</v>
      </c>
      <c r="K2064" s="43"/>
      <c r="L2064" s="44"/>
      <c r="M2064" s="45" t="s">
        <v>6408</v>
      </c>
    </row>
    <row r="2065" s="26" customFormat="1" ht="30" customHeight="1" spans="1:13">
      <c r="A2065" s="41">
        <f>IF(C2065="","",SUBTOTAL(103,$C$2:C2065))</f>
        <v>2056</v>
      </c>
      <c r="B2065" s="41">
        <v>9961</v>
      </c>
      <c r="C2065" s="41">
        <v>8462</v>
      </c>
      <c r="D2065" s="41" t="s">
        <v>45</v>
      </c>
      <c r="E2065" s="41" t="s">
        <v>1298</v>
      </c>
      <c r="F2065" s="41" t="s">
        <v>6349</v>
      </c>
      <c r="G2065" s="41" t="s">
        <v>6409</v>
      </c>
      <c r="H2065" s="41" t="s">
        <v>6410</v>
      </c>
      <c r="I2065" s="43">
        <v>12</v>
      </c>
      <c r="J2065" s="44" t="str">
        <f>VLOOKUP(G2065,[1]硬件清单!$F:$F,1,0)</f>
        <v>2102310YPY10H6005037</v>
      </c>
      <c r="K2065" s="43"/>
      <c r="L2065" s="44"/>
      <c r="M2065" s="45" t="s">
        <v>6411</v>
      </c>
    </row>
    <row r="2066" s="26" customFormat="1" ht="30" customHeight="1" spans="1:13">
      <c r="A2066" s="41">
        <f>IF(C2066="","",SUBTOTAL(103,$C$2:C2066))</f>
        <v>2057</v>
      </c>
      <c r="B2066" s="41">
        <v>9965</v>
      </c>
      <c r="C2066" s="41">
        <v>8552</v>
      </c>
      <c r="D2066" s="41" t="s">
        <v>45</v>
      </c>
      <c r="E2066" s="41" t="s">
        <v>1298</v>
      </c>
      <c r="F2066" s="41" t="s">
        <v>6374</v>
      </c>
      <c r="G2066" s="41" t="s">
        <v>6412</v>
      </c>
      <c r="H2066" s="41" t="s">
        <v>6413</v>
      </c>
      <c r="I2066" s="43">
        <v>12</v>
      </c>
      <c r="J2066" s="44" t="str">
        <f>VLOOKUP(G2066,[1]硬件清单!$F:$F,1,0)</f>
        <v>DGNCYK2</v>
      </c>
      <c r="K2066" s="43"/>
      <c r="L2066" s="44"/>
      <c r="M2066" s="45" t="s">
        <v>6414</v>
      </c>
    </row>
    <row r="2067" s="26" customFormat="1" ht="30" customHeight="1" spans="1:13">
      <c r="A2067" s="41">
        <f>IF(C2067="","",SUBTOTAL(103,$C$2:C2067))</f>
        <v>2058</v>
      </c>
      <c r="B2067" s="41">
        <v>9966</v>
      </c>
      <c r="C2067" s="41">
        <v>8551</v>
      </c>
      <c r="D2067" s="41" t="s">
        <v>45</v>
      </c>
      <c r="E2067" s="41" t="s">
        <v>1298</v>
      </c>
      <c r="F2067" s="41" t="s">
        <v>6374</v>
      </c>
      <c r="G2067" s="41" t="s">
        <v>6415</v>
      </c>
      <c r="H2067" s="41" t="s">
        <v>6416</v>
      </c>
      <c r="I2067" s="43">
        <v>12</v>
      </c>
      <c r="J2067" s="44" t="str">
        <f>VLOOKUP(G2067,[1]硬件清单!$F:$F,1,0)</f>
        <v>DGR8YK2</v>
      </c>
      <c r="K2067" s="43"/>
      <c r="L2067" s="44"/>
      <c r="M2067" s="45" t="s">
        <v>6417</v>
      </c>
    </row>
    <row r="2068" s="26" customFormat="1" ht="30" customHeight="1" spans="1:13">
      <c r="A2068" s="41">
        <f>IF(C2068="","",SUBTOTAL(103,$C$2:C2068))</f>
        <v>2059</v>
      </c>
      <c r="B2068" s="41">
        <v>9967</v>
      </c>
      <c r="C2068" s="41">
        <v>8550</v>
      </c>
      <c r="D2068" s="41" t="s">
        <v>45</v>
      </c>
      <c r="E2068" s="41" t="s">
        <v>1298</v>
      </c>
      <c r="F2068" s="41" t="s">
        <v>6374</v>
      </c>
      <c r="G2068" s="41" t="s">
        <v>6418</v>
      </c>
      <c r="H2068" s="41" t="s">
        <v>6419</v>
      </c>
      <c r="I2068" s="43">
        <v>12</v>
      </c>
      <c r="J2068" s="44" t="str">
        <f>VLOOKUP(G2068,[1]硬件清单!$F:$F,1,0)</f>
        <v>DGN5YK2</v>
      </c>
      <c r="K2068" s="43"/>
      <c r="L2068" s="44"/>
      <c r="M2068" s="45" t="s">
        <v>6420</v>
      </c>
    </row>
    <row r="2069" s="26" customFormat="1" ht="30" customHeight="1" spans="1:13">
      <c r="A2069" s="41">
        <f>IF(C2069="","",SUBTOTAL(103,$C$2:C2069))</f>
        <v>2060</v>
      </c>
      <c r="B2069" s="41">
        <v>9968</v>
      </c>
      <c r="C2069" s="41">
        <v>8549</v>
      </c>
      <c r="D2069" s="41" t="s">
        <v>45</v>
      </c>
      <c r="E2069" s="41" t="s">
        <v>1298</v>
      </c>
      <c r="F2069" s="41" t="s">
        <v>6374</v>
      </c>
      <c r="G2069" s="41" t="s">
        <v>6421</v>
      </c>
      <c r="H2069" s="41" t="s">
        <v>6422</v>
      </c>
      <c r="I2069" s="43">
        <v>12</v>
      </c>
      <c r="J2069" s="44" t="str">
        <f>VLOOKUP(G2069,[1]硬件清单!$F:$F,1,0)</f>
        <v>DGP7YK2</v>
      </c>
      <c r="K2069" s="43"/>
      <c r="L2069" s="44"/>
      <c r="M2069" s="45" t="s">
        <v>6423</v>
      </c>
    </row>
    <row r="2070" s="26" customFormat="1" ht="30" customHeight="1" spans="1:13">
      <c r="A2070" s="41">
        <f>IF(C2070="","",SUBTOTAL(103,$C$2:C2070))</f>
        <v>2061</v>
      </c>
      <c r="B2070" s="41">
        <v>9969</v>
      </c>
      <c r="C2070" s="46">
        <v>15588</v>
      </c>
      <c r="D2070" s="46" t="s">
        <v>45</v>
      </c>
      <c r="E2070" s="46" t="s">
        <v>1298</v>
      </c>
      <c r="F2070" s="46" t="s">
        <v>6424</v>
      </c>
      <c r="G2070" s="41" t="s">
        <v>6425</v>
      </c>
      <c r="H2070" s="41" t="s">
        <v>6426</v>
      </c>
      <c r="I2070" s="43">
        <v>12</v>
      </c>
      <c r="J2070" s="44" t="str">
        <f>VLOOKUP(G2070,[1]硬件清单!$F:$F,1,0)</f>
        <v>99W3431</v>
      </c>
      <c r="K2070" s="43"/>
      <c r="L2070" s="44"/>
      <c r="M2070" s="45" t="s">
        <v>6427</v>
      </c>
    </row>
    <row r="2071" s="26" customFormat="1" ht="30" customHeight="1" spans="1:13">
      <c r="A2071" s="41">
        <f>IF(C2071="","",SUBTOTAL(103,$C$2:C2071))</f>
        <v>2062</v>
      </c>
      <c r="B2071" s="41">
        <v>9970</v>
      </c>
      <c r="C2071" s="46">
        <v>15597</v>
      </c>
      <c r="D2071" s="46" t="s">
        <v>45</v>
      </c>
      <c r="E2071" s="46" t="s">
        <v>1298</v>
      </c>
      <c r="F2071" s="46" t="s">
        <v>6424</v>
      </c>
      <c r="G2071" s="41" t="s">
        <v>6428</v>
      </c>
      <c r="H2071" s="41" t="s">
        <v>6429</v>
      </c>
      <c r="I2071" s="43">
        <v>12</v>
      </c>
      <c r="J2071" s="44" t="str">
        <f>VLOOKUP(G2071,[1]硬件清单!$F:$F,1,0)</f>
        <v>99W3440</v>
      </c>
      <c r="K2071" s="43"/>
      <c r="L2071" s="44"/>
      <c r="M2071" s="45" t="s">
        <v>6430</v>
      </c>
    </row>
    <row r="2072" s="26" customFormat="1" ht="30" customHeight="1" spans="1:13">
      <c r="A2072" s="41">
        <f>IF(C2072="","",SUBTOTAL(103,$C$2:C2072))</f>
        <v>2063</v>
      </c>
      <c r="B2072" s="41">
        <v>9971</v>
      </c>
      <c r="C2072" s="46">
        <v>15598</v>
      </c>
      <c r="D2072" s="46" t="s">
        <v>45</v>
      </c>
      <c r="E2072" s="46" t="s">
        <v>1298</v>
      </c>
      <c r="F2072" s="46" t="s">
        <v>6424</v>
      </c>
      <c r="G2072" s="41" t="s">
        <v>6431</v>
      </c>
      <c r="H2072" s="41" t="s">
        <v>6432</v>
      </c>
      <c r="I2072" s="43">
        <v>12</v>
      </c>
      <c r="J2072" s="44" t="str">
        <f>VLOOKUP(G2072,[1]硬件清单!$F:$F,1,0)</f>
        <v>99W3435</v>
      </c>
      <c r="K2072" s="43"/>
      <c r="L2072" s="44"/>
      <c r="M2072" s="45" t="s">
        <v>6433</v>
      </c>
    </row>
    <row r="2073" s="26" customFormat="1" ht="30" customHeight="1" spans="1:13">
      <c r="A2073" s="41">
        <f>IF(C2073="","",SUBTOTAL(103,$C$2:C2073))</f>
        <v>2064</v>
      </c>
      <c r="B2073" s="41">
        <v>9972</v>
      </c>
      <c r="C2073" s="46">
        <v>15599</v>
      </c>
      <c r="D2073" s="46" t="s">
        <v>45</v>
      </c>
      <c r="E2073" s="46" t="s">
        <v>1298</v>
      </c>
      <c r="F2073" s="46" t="s">
        <v>6424</v>
      </c>
      <c r="G2073" s="41" t="s">
        <v>6434</v>
      </c>
      <c r="H2073" s="41" t="s">
        <v>6435</v>
      </c>
      <c r="I2073" s="43">
        <v>12</v>
      </c>
      <c r="J2073" s="44" t="str">
        <f>VLOOKUP(G2073,[1]硬件清单!$F:$F,1,0)</f>
        <v>99W3428</v>
      </c>
      <c r="K2073" s="43"/>
      <c r="L2073" s="44"/>
      <c r="M2073" s="45" t="s">
        <v>6436</v>
      </c>
    </row>
    <row r="2074" s="26" customFormat="1" ht="30" customHeight="1" spans="1:13">
      <c r="A2074" s="41">
        <f>IF(C2074="","",SUBTOTAL(103,$C$2:C2074))</f>
        <v>2065</v>
      </c>
      <c r="B2074" s="41">
        <v>9973</v>
      </c>
      <c r="C2074" s="46">
        <v>15600</v>
      </c>
      <c r="D2074" s="46" t="s">
        <v>45</v>
      </c>
      <c r="E2074" s="46" t="s">
        <v>1298</v>
      </c>
      <c r="F2074" s="46" t="s">
        <v>6424</v>
      </c>
      <c r="G2074" s="41" t="s">
        <v>6437</v>
      </c>
      <c r="H2074" s="41" t="s">
        <v>6438</v>
      </c>
      <c r="I2074" s="43">
        <v>12</v>
      </c>
      <c r="J2074" s="44" t="str">
        <f>VLOOKUP(G2074,[1]硬件清单!$F:$F,1,0)</f>
        <v>99W3436</v>
      </c>
      <c r="K2074" s="43"/>
      <c r="L2074" s="44"/>
      <c r="M2074" s="45" t="s">
        <v>6439</v>
      </c>
    </row>
    <row r="2075" s="26" customFormat="1" ht="30" customHeight="1" spans="1:13">
      <c r="A2075" s="41">
        <f>IF(C2075="","",SUBTOTAL(103,$C$2:C2075))</f>
        <v>2066</v>
      </c>
      <c r="B2075" s="41">
        <v>9974</v>
      </c>
      <c r="C2075" s="46">
        <v>15601</v>
      </c>
      <c r="D2075" s="46" t="s">
        <v>45</v>
      </c>
      <c r="E2075" s="46" t="s">
        <v>1298</v>
      </c>
      <c r="F2075" s="46" t="s">
        <v>6424</v>
      </c>
      <c r="G2075" s="41" t="s">
        <v>6440</v>
      </c>
      <c r="H2075" s="41" t="s">
        <v>6441</v>
      </c>
      <c r="I2075" s="43">
        <v>12</v>
      </c>
      <c r="J2075" s="44" t="str">
        <f>VLOOKUP(G2075,[1]硬件清单!$F:$F,1,0)</f>
        <v>99W3434</v>
      </c>
      <c r="K2075" s="43"/>
      <c r="L2075" s="44"/>
      <c r="M2075" s="45" t="s">
        <v>6442</v>
      </c>
    </row>
    <row r="2076" s="26" customFormat="1" ht="30" customHeight="1" spans="1:13">
      <c r="A2076" s="41">
        <f>IF(C2076="","",SUBTOTAL(103,$C$2:C2076))</f>
        <v>2067</v>
      </c>
      <c r="B2076" s="41">
        <v>9975</v>
      </c>
      <c r="C2076" s="46">
        <v>15589</v>
      </c>
      <c r="D2076" s="46" t="s">
        <v>45</v>
      </c>
      <c r="E2076" s="46" t="s">
        <v>1298</v>
      </c>
      <c r="F2076" s="46" t="s">
        <v>6424</v>
      </c>
      <c r="G2076" s="41" t="s">
        <v>6443</v>
      </c>
      <c r="H2076" s="41" t="s">
        <v>6444</v>
      </c>
      <c r="I2076" s="43">
        <v>12</v>
      </c>
      <c r="J2076" s="44" t="str">
        <f>VLOOKUP(G2076,[1]硬件清单!$F:$F,1,0)</f>
        <v>99W3425</v>
      </c>
      <c r="K2076" s="43"/>
      <c r="L2076" s="44"/>
      <c r="M2076" s="45" t="s">
        <v>6445</v>
      </c>
    </row>
    <row r="2077" s="26" customFormat="1" ht="30" customHeight="1" spans="1:13">
      <c r="A2077" s="41">
        <f>IF(C2077="","",SUBTOTAL(103,$C$2:C2077))</f>
        <v>2068</v>
      </c>
      <c r="B2077" s="41">
        <v>9976</v>
      </c>
      <c r="C2077" s="46">
        <v>15590</v>
      </c>
      <c r="D2077" s="46" t="s">
        <v>45</v>
      </c>
      <c r="E2077" s="46" t="s">
        <v>1298</v>
      </c>
      <c r="F2077" s="46" t="s">
        <v>6424</v>
      </c>
      <c r="G2077" s="41" t="s">
        <v>6446</v>
      </c>
      <c r="H2077" s="41" t="s">
        <v>6447</v>
      </c>
      <c r="I2077" s="43">
        <v>12</v>
      </c>
      <c r="J2077" s="44" t="str">
        <f>VLOOKUP(G2077,[1]硬件清单!$F:$F,1,0)</f>
        <v>99W3438</v>
      </c>
      <c r="K2077" s="43"/>
      <c r="L2077" s="44"/>
      <c r="M2077" s="45" t="s">
        <v>6448</v>
      </c>
    </row>
    <row r="2078" s="26" customFormat="1" ht="30" customHeight="1" spans="1:13">
      <c r="A2078" s="41">
        <f>IF(C2078="","",SUBTOTAL(103,$C$2:C2078))</f>
        <v>2069</v>
      </c>
      <c r="B2078" s="41">
        <v>9977</v>
      </c>
      <c r="C2078" s="46">
        <v>15591</v>
      </c>
      <c r="D2078" s="46" t="s">
        <v>45</v>
      </c>
      <c r="E2078" s="46" t="s">
        <v>1298</v>
      </c>
      <c r="F2078" s="46" t="s">
        <v>6424</v>
      </c>
      <c r="G2078" s="41" t="s">
        <v>6449</v>
      </c>
      <c r="H2078" s="41" t="s">
        <v>6450</v>
      </c>
      <c r="I2078" s="43">
        <v>12</v>
      </c>
      <c r="J2078" s="44" t="str">
        <f>VLOOKUP(G2078,[1]硬件清单!$F:$F,1,0)</f>
        <v>99W3448</v>
      </c>
      <c r="K2078" s="43"/>
      <c r="L2078" s="44"/>
      <c r="M2078" s="45" t="s">
        <v>6451</v>
      </c>
    </row>
    <row r="2079" s="26" customFormat="1" ht="30" customHeight="1" spans="1:13">
      <c r="A2079" s="41">
        <f>IF(C2079="","",SUBTOTAL(103,$C$2:C2079))</f>
        <v>2070</v>
      </c>
      <c r="B2079" s="41">
        <v>9978</v>
      </c>
      <c r="C2079" s="46">
        <v>15592</v>
      </c>
      <c r="D2079" s="46" t="s">
        <v>45</v>
      </c>
      <c r="E2079" s="46" t="s">
        <v>1298</v>
      </c>
      <c r="F2079" s="46" t="s">
        <v>6424</v>
      </c>
      <c r="G2079" s="41" t="s">
        <v>6452</v>
      </c>
      <c r="H2079" s="41" t="s">
        <v>6453</v>
      </c>
      <c r="I2079" s="43">
        <v>12</v>
      </c>
      <c r="J2079" s="44" t="str">
        <f>VLOOKUP(G2079,[1]硬件清单!$F:$F,1,0)</f>
        <v>99W3446</v>
      </c>
      <c r="K2079" s="43"/>
      <c r="L2079" s="44"/>
      <c r="M2079" s="45" t="s">
        <v>6454</v>
      </c>
    </row>
    <row r="2080" s="26" customFormat="1" ht="30" customHeight="1" spans="1:13">
      <c r="A2080" s="41">
        <f>IF(C2080="","",SUBTOTAL(103,$C$2:C2080))</f>
        <v>2071</v>
      </c>
      <c r="B2080" s="41">
        <v>9979</v>
      </c>
      <c r="C2080" s="46">
        <v>15593</v>
      </c>
      <c r="D2080" s="46" t="s">
        <v>45</v>
      </c>
      <c r="E2080" s="46" t="s">
        <v>1298</v>
      </c>
      <c r="F2080" s="46" t="s">
        <v>6424</v>
      </c>
      <c r="G2080" s="41" t="s">
        <v>6455</v>
      </c>
      <c r="H2080" s="41" t="s">
        <v>6456</v>
      </c>
      <c r="I2080" s="43">
        <v>12</v>
      </c>
      <c r="J2080" s="44" t="str">
        <f>VLOOKUP(G2080,[1]硬件清单!$F:$F,1,0)</f>
        <v>99W3447</v>
      </c>
      <c r="K2080" s="43"/>
      <c r="L2080" s="44"/>
      <c r="M2080" s="45" t="s">
        <v>6457</v>
      </c>
    </row>
    <row r="2081" s="26" customFormat="1" ht="30" customHeight="1" spans="1:13">
      <c r="A2081" s="41">
        <f>IF(C2081="","",SUBTOTAL(103,$C$2:C2081))</f>
        <v>2072</v>
      </c>
      <c r="B2081" s="41">
        <v>9980</v>
      </c>
      <c r="C2081" s="46">
        <v>15594</v>
      </c>
      <c r="D2081" s="46" t="s">
        <v>45</v>
      </c>
      <c r="E2081" s="46" t="s">
        <v>1298</v>
      </c>
      <c r="F2081" s="46" t="s">
        <v>6424</v>
      </c>
      <c r="G2081" s="41" t="s">
        <v>6458</v>
      </c>
      <c r="H2081" s="41" t="s">
        <v>6459</v>
      </c>
      <c r="I2081" s="43">
        <v>12</v>
      </c>
      <c r="J2081" s="44" t="str">
        <f>VLOOKUP(G2081,[1]硬件清单!$F:$F,1,0)</f>
        <v>99W3439</v>
      </c>
      <c r="K2081" s="43"/>
      <c r="L2081" s="44"/>
      <c r="M2081" s="45" t="s">
        <v>6460</v>
      </c>
    </row>
    <row r="2082" s="26" customFormat="1" ht="30" customHeight="1" spans="1:13">
      <c r="A2082" s="41">
        <f>IF(C2082="","",SUBTOTAL(103,$C$2:C2082))</f>
        <v>2073</v>
      </c>
      <c r="B2082" s="41">
        <v>9981</v>
      </c>
      <c r="C2082" s="46">
        <v>15595</v>
      </c>
      <c r="D2082" s="46" t="s">
        <v>45</v>
      </c>
      <c r="E2082" s="46" t="s">
        <v>1298</v>
      </c>
      <c r="F2082" s="46" t="s">
        <v>6424</v>
      </c>
      <c r="G2082" s="41" t="s">
        <v>6461</v>
      </c>
      <c r="H2082" s="41" t="s">
        <v>6462</v>
      </c>
      <c r="I2082" s="43">
        <v>12</v>
      </c>
      <c r="J2082" s="44" t="str">
        <f>VLOOKUP(G2082,[1]硬件清单!$F:$F,1,0)</f>
        <v>99W3441</v>
      </c>
      <c r="K2082" s="43"/>
      <c r="L2082" s="44"/>
      <c r="M2082" s="45" t="s">
        <v>6463</v>
      </c>
    </row>
    <row r="2083" s="26" customFormat="1" ht="30" customHeight="1" spans="1:13">
      <c r="A2083" s="41">
        <f>IF(C2083="","",SUBTOTAL(103,$C$2:C2083))</f>
        <v>2074</v>
      </c>
      <c r="B2083" s="41">
        <v>9982</v>
      </c>
      <c r="C2083" s="46">
        <v>15596</v>
      </c>
      <c r="D2083" s="46" t="s">
        <v>45</v>
      </c>
      <c r="E2083" s="46" t="s">
        <v>1298</v>
      </c>
      <c r="F2083" s="46" t="s">
        <v>6424</v>
      </c>
      <c r="G2083" s="41" t="s">
        <v>6464</v>
      </c>
      <c r="H2083" s="41" t="s">
        <v>6465</v>
      </c>
      <c r="I2083" s="43">
        <v>12</v>
      </c>
      <c r="J2083" s="44" t="str">
        <f>VLOOKUP(G2083,[1]硬件清单!$F:$F,1,0)</f>
        <v>99W3449</v>
      </c>
      <c r="K2083" s="43"/>
      <c r="L2083" s="44"/>
      <c r="M2083" s="45" t="s">
        <v>6466</v>
      </c>
    </row>
    <row r="2084" s="26" customFormat="1" ht="30" customHeight="1" spans="1:13">
      <c r="A2084" s="41">
        <f>IF(C2084="","",SUBTOTAL(103,$C$2:C2084))</f>
        <v>2075</v>
      </c>
      <c r="B2084" s="41">
        <v>9983</v>
      </c>
      <c r="C2084" s="46">
        <v>15673</v>
      </c>
      <c r="D2084" s="46" t="s">
        <v>45</v>
      </c>
      <c r="E2084" s="46" t="s">
        <v>1298</v>
      </c>
      <c r="F2084" s="46" t="s">
        <v>6424</v>
      </c>
      <c r="G2084" s="41" t="s">
        <v>6467</v>
      </c>
      <c r="H2084" s="41" t="s">
        <v>6468</v>
      </c>
      <c r="I2084" s="43">
        <v>12</v>
      </c>
      <c r="J2084" s="44" t="str">
        <f>VLOOKUP(G2084,[1]硬件清单!$F:$F,1,0)</f>
        <v>99W3327</v>
      </c>
      <c r="K2084" s="43"/>
      <c r="L2084" s="44"/>
      <c r="M2084" s="45" t="s">
        <v>6469</v>
      </c>
    </row>
    <row r="2085" s="26" customFormat="1" ht="30" customHeight="1" spans="1:13">
      <c r="A2085" s="41">
        <f>IF(C2085="","",SUBTOTAL(103,$C$2:C2085))</f>
        <v>2076</v>
      </c>
      <c r="B2085" s="41">
        <v>9984</v>
      </c>
      <c r="C2085" s="46">
        <v>15687</v>
      </c>
      <c r="D2085" s="46" t="s">
        <v>45</v>
      </c>
      <c r="E2085" s="46" t="s">
        <v>1298</v>
      </c>
      <c r="F2085" s="46" t="s">
        <v>6424</v>
      </c>
      <c r="G2085" s="41" t="s">
        <v>6470</v>
      </c>
      <c r="H2085" s="41" t="s">
        <v>6471</v>
      </c>
      <c r="I2085" s="43">
        <v>12</v>
      </c>
      <c r="J2085" s="44" t="str">
        <f>VLOOKUP(G2085,[1]硬件清单!$F:$F,1,0)</f>
        <v>99G7860</v>
      </c>
      <c r="K2085" s="43"/>
      <c r="L2085" s="44"/>
      <c r="M2085" s="45" t="s">
        <v>6472</v>
      </c>
    </row>
    <row r="2086" s="26" customFormat="1" ht="30" customHeight="1" spans="1:13">
      <c r="A2086" s="41">
        <f>IF(C2086="","",SUBTOTAL(103,$C$2:C2086))</f>
        <v>2077</v>
      </c>
      <c r="B2086" s="41">
        <v>9985</v>
      </c>
      <c r="C2086" s="46">
        <v>15679</v>
      </c>
      <c r="D2086" s="46" t="s">
        <v>45</v>
      </c>
      <c r="E2086" s="46" t="s">
        <v>1298</v>
      </c>
      <c r="F2086" s="46" t="s">
        <v>6424</v>
      </c>
      <c r="G2086" s="41" t="s">
        <v>6473</v>
      </c>
      <c r="H2086" s="41" t="s">
        <v>6474</v>
      </c>
      <c r="I2086" s="43">
        <v>12</v>
      </c>
      <c r="J2086" s="44" t="str">
        <f>VLOOKUP(G2086,[1]硬件清单!$F:$F,1,0)</f>
        <v>99W3223</v>
      </c>
      <c r="K2086" s="43"/>
      <c r="L2086" s="44"/>
      <c r="M2086" s="45" t="s">
        <v>6475</v>
      </c>
    </row>
    <row r="2087" s="26" customFormat="1" ht="30" customHeight="1" spans="1:13">
      <c r="A2087" s="41">
        <f>IF(C2087="","",SUBTOTAL(103,$C$2:C2087))</f>
        <v>2078</v>
      </c>
      <c r="B2087" s="41">
        <v>9986</v>
      </c>
      <c r="C2087" s="46">
        <v>15682</v>
      </c>
      <c r="D2087" s="46" t="s">
        <v>45</v>
      </c>
      <c r="E2087" s="46" t="s">
        <v>1298</v>
      </c>
      <c r="F2087" s="46" t="s">
        <v>6424</v>
      </c>
      <c r="G2087" s="41" t="s">
        <v>6476</v>
      </c>
      <c r="H2087" s="41" t="s">
        <v>6477</v>
      </c>
      <c r="I2087" s="43">
        <v>12</v>
      </c>
      <c r="J2087" s="44" t="str">
        <f>VLOOKUP(G2087,[1]硬件清单!$F:$F,1,0)</f>
        <v>99W3226</v>
      </c>
      <c r="K2087" s="43"/>
      <c r="L2087" s="44"/>
      <c r="M2087" s="45" t="s">
        <v>6478</v>
      </c>
    </row>
    <row r="2088" s="26" customFormat="1" ht="30" customHeight="1" spans="1:13">
      <c r="A2088" s="41">
        <f>IF(C2088="","",SUBTOTAL(103,$C$2:C2088))</f>
        <v>2079</v>
      </c>
      <c r="B2088" s="41">
        <v>9987</v>
      </c>
      <c r="C2088" s="46">
        <v>15685</v>
      </c>
      <c r="D2088" s="46" t="s">
        <v>45</v>
      </c>
      <c r="E2088" s="46" t="s">
        <v>1298</v>
      </c>
      <c r="F2088" s="46" t="s">
        <v>6424</v>
      </c>
      <c r="G2088" s="41" t="s">
        <v>6479</v>
      </c>
      <c r="H2088" s="41" t="s">
        <v>6480</v>
      </c>
      <c r="I2088" s="43">
        <v>12</v>
      </c>
      <c r="J2088" s="44" t="str">
        <f>VLOOKUP(G2088,[1]硬件清单!$F:$F,1,0)</f>
        <v>99W3260</v>
      </c>
      <c r="K2088" s="43"/>
      <c r="L2088" s="44"/>
      <c r="M2088" s="45" t="s">
        <v>6481</v>
      </c>
    </row>
    <row r="2089" s="26" customFormat="1" ht="30" customHeight="1" spans="1:13">
      <c r="A2089" s="41">
        <f>IF(C2089="","",SUBTOTAL(103,$C$2:C2089))</f>
        <v>2080</v>
      </c>
      <c r="B2089" s="41">
        <v>9988</v>
      </c>
      <c r="C2089" s="46">
        <v>15674</v>
      </c>
      <c r="D2089" s="46" t="s">
        <v>45</v>
      </c>
      <c r="E2089" s="46" t="s">
        <v>1298</v>
      </c>
      <c r="F2089" s="46" t="s">
        <v>6424</v>
      </c>
      <c r="G2089" s="41" t="s">
        <v>6482</v>
      </c>
      <c r="H2089" s="41" t="s">
        <v>6483</v>
      </c>
      <c r="I2089" s="43">
        <v>12</v>
      </c>
      <c r="J2089" s="44" t="str">
        <f>VLOOKUP(G2089,[1]硬件清单!$F:$F,1,0)</f>
        <v>99W3229</v>
      </c>
      <c r="K2089" s="43"/>
      <c r="L2089" s="44"/>
      <c r="M2089" s="45" t="s">
        <v>6484</v>
      </c>
    </row>
    <row r="2090" s="26" customFormat="1" ht="30" customHeight="1" spans="1:13">
      <c r="A2090" s="41">
        <f>IF(C2090="","",SUBTOTAL(103,$C$2:C2090))</f>
        <v>2081</v>
      </c>
      <c r="B2090" s="41">
        <v>9989</v>
      </c>
      <c r="C2090" s="46">
        <v>15677</v>
      </c>
      <c r="D2090" s="46" t="s">
        <v>45</v>
      </c>
      <c r="E2090" s="46" t="s">
        <v>1298</v>
      </c>
      <c r="F2090" s="46" t="s">
        <v>6424</v>
      </c>
      <c r="G2090" s="41" t="s">
        <v>6485</v>
      </c>
      <c r="H2090" s="41" t="s">
        <v>6486</v>
      </c>
      <c r="I2090" s="43">
        <v>12</v>
      </c>
      <c r="J2090" s="44" t="str">
        <f>VLOOKUP(G2090,[1]硬件清单!$F:$F,1,0)</f>
        <v>99W3198</v>
      </c>
      <c r="K2090" s="43"/>
      <c r="L2090" s="44"/>
      <c r="M2090" s="45" t="s">
        <v>6487</v>
      </c>
    </row>
    <row r="2091" s="26" customFormat="1" ht="30" customHeight="1" spans="1:13">
      <c r="A2091" s="41">
        <f>IF(C2091="","",SUBTOTAL(103,$C$2:C2091))</f>
        <v>2082</v>
      </c>
      <c r="B2091" s="41">
        <v>9990</v>
      </c>
      <c r="C2091" s="46">
        <v>15678</v>
      </c>
      <c r="D2091" s="46" t="s">
        <v>45</v>
      </c>
      <c r="E2091" s="46" t="s">
        <v>1298</v>
      </c>
      <c r="F2091" s="46" t="s">
        <v>6424</v>
      </c>
      <c r="G2091" s="41" t="s">
        <v>6488</v>
      </c>
      <c r="H2091" s="41" t="s">
        <v>6489</v>
      </c>
      <c r="I2091" s="43">
        <v>12</v>
      </c>
      <c r="J2091" s="44" t="str">
        <f>VLOOKUP(G2091,[1]硬件清单!$F:$F,1,0)</f>
        <v>99W3301</v>
      </c>
      <c r="K2091" s="43"/>
      <c r="L2091" s="44"/>
      <c r="M2091" s="45" t="s">
        <v>6490</v>
      </c>
    </row>
    <row r="2092" s="26" customFormat="1" ht="30" customHeight="1" spans="1:13">
      <c r="A2092" s="41">
        <f>IF(C2092="","",SUBTOTAL(103,$C$2:C2092))</f>
        <v>2083</v>
      </c>
      <c r="B2092" s="41">
        <v>9991</v>
      </c>
      <c r="C2092" s="46">
        <v>15680</v>
      </c>
      <c r="D2092" s="46" t="s">
        <v>45</v>
      </c>
      <c r="E2092" s="46" t="s">
        <v>1298</v>
      </c>
      <c r="F2092" s="46" t="s">
        <v>6424</v>
      </c>
      <c r="G2092" s="41" t="s">
        <v>6491</v>
      </c>
      <c r="H2092" s="41" t="s">
        <v>6492</v>
      </c>
      <c r="I2092" s="43">
        <v>12</v>
      </c>
      <c r="J2092" s="44" t="str">
        <f>VLOOKUP(G2092,[1]硬件清单!$F:$F,1,0)</f>
        <v>99W3210</v>
      </c>
      <c r="K2092" s="43"/>
      <c r="L2092" s="44"/>
      <c r="M2092" s="45" t="s">
        <v>6493</v>
      </c>
    </row>
    <row r="2093" s="26" customFormat="1" ht="30" customHeight="1" spans="1:13">
      <c r="A2093" s="41">
        <f>IF(C2093="","",SUBTOTAL(103,$C$2:C2093))</f>
        <v>2084</v>
      </c>
      <c r="B2093" s="41">
        <v>9992</v>
      </c>
      <c r="C2093" s="46">
        <v>15681</v>
      </c>
      <c r="D2093" s="46" t="s">
        <v>45</v>
      </c>
      <c r="E2093" s="46" t="s">
        <v>1298</v>
      </c>
      <c r="F2093" s="46" t="s">
        <v>6424</v>
      </c>
      <c r="G2093" s="41" t="s">
        <v>6494</v>
      </c>
      <c r="H2093" s="41" t="s">
        <v>6495</v>
      </c>
      <c r="I2093" s="43">
        <v>12</v>
      </c>
      <c r="J2093" s="44" t="str">
        <f>VLOOKUP(G2093,[1]硬件清单!$F:$F,1,0)</f>
        <v>99W3214</v>
      </c>
      <c r="K2093" s="43"/>
      <c r="L2093" s="44"/>
      <c r="M2093" s="45" t="s">
        <v>6496</v>
      </c>
    </row>
    <row r="2094" s="26" customFormat="1" ht="30" customHeight="1" spans="1:13">
      <c r="A2094" s="41">
        <f>IF(C2094="","",SUBTOTAL(103,$C$2:C2094))</f>
        <v>2085</v>
      </c>
      <c r="B2094" s="41">
        <v>9993</v>
      </c>
      <c r="C2094" s="46">
        <v>15683</v>
      </c>
      <c r="D2094" s="46" t="s">
        <v>45</v>
      </c>
      <c r="E2094" s="46" t="s">
        <v>1298</v>
      </c>
      <c r="F2094" s="46" t="s">
        <v>6424</v>
      </c>
      <c r="G2094" s="41" t="s">
        <v>6497</v>
      </c>
      <c r="H2094" s="41" t="s">
        <v>6498</v>
      </c>
      <c r="I2094" s="43">
        <v>12</v>
      </c>
      <c r="J2094" s="44" t="str">
        <f>VLOOKUP(G2094,[1]硬件清单!$F:$F,1,0)</f>
        <v>99W3188</v>
      </c>
      <c r="K2094" s="43"/>
      <c r="L2094" s="44"/>
      <c r="M2094" s="45" t="s">
        <v>6499</v>
      </c>
    </row>
    <row r="2095" s="26" customFormat="1" ht="30" customHeight="1" spans="1:13">
      <c r="A2095" s="41">
        <f>IF(C2095="","",SUBTOTAL(103,$C$2:C2095))</f>
        <v>2086</v>
      </c>
      <c r="B2095" s="41">
        <v>9994</v>
      </c>
      <c r="C2095" s="46">
        <v>15684</v>
      </c>
      <c r="D2095" s="46" t="s">
        <v>45</v>
      </c>
      <c r="E2095" s="46" t="s">
        <v>1298</v>
      </c>
      <c r="F2095" s="46" t="s">
        <v>6424</v>
      </c>
      <c r="G2095" s="41" t="s">
        <v>6500</v>
      </c>
      <c r="H2095" s="41" t="s">
        <v>6501</v>
      </c>
      <c r="I2095" s="43">
        <v>12</v>
      </c>
      <c r="J2095" s="44" t="str">
        <f>VLOOKUP(G2095,[1]硬件清单!$F:$F,1,0)</f>
        <v>99W3215</v>
      </c>
      <c r="K2095" s="43"/>
      <c r="L2095" s="44"/>
      <c r="M2095" s="45" t="s">
        <v>6502</v>
      </c>
    </row>
    <row r="2096" s="26" customFormat="1" ht="30" customHeight="1" spans="1:13">
      <c r="A2096" s="41">
        <f>IF(C2096="","",SUBTOTAL(103,$C$2:C2096))</f>
        <v>2087</v>
      </c>
      <c r="B2096" s="41">
        <v>9995</v>
      </c>
      <c r="C2096" s="46">
        <v>15686</v>
      </c>
      <c r="D2096" s="46" t="s">
        <v>45</v>
      </c>
      <c r="E2096" s="46" t="s">
        <v>1298</v>
      </c>
      <c r="F2096" s="46" t="s">
        <v>6424</v>
      </c>
      <c r="G2096" s="41" t="s">
        <v>6503</v>
      </c>
      <c r="H2096" s="41" t="s">
        <v>6504</v>
      </c>
      <c r="I2096" s="43">
        <v>12</v>
      </c>
      <c r="J2096" s="44" t="str">
        <f>VLOOKUP(G2096,[1]硬件清单!$F:$F,1,0)</f>
        <v>99W3241</v>
      </c>
      <c r="K2096" s="43"/>
      <c r="L2096" s="44"/>
      <c r="M2096" s="45" t="s">
        <v>6505</v>
      </c>
    </row>
    <row r="2097" s="26" customFormat="1" ht="30" customHeight="1" spans="1:13">
      <c r="A2097" s="41">
        <f>IF(C2097="","",SUBTOTAL(103,$C$2:C2097))</f>
        <v>2088</v>
      </c>
      <c r="B2097" s="41">
        <v>9996</v>
      </c>
      <c r="C2097" s="41">
        <v>3486</v>
      </c>
      <c r="D2097" s="41" t="s">
        <v>19</v>
      </c>
      <c r="E2097" s="41" t="s">
        <v>20</v>
      </c>
      <c r="F2097" s="41" t="s">
        <v>6506</v>
      </c>
      <c r="G2097" s="41" t="s">
        <v>6507</v>
      </c>
      <c r="H2097" s="41" t="s">
        <v>6508</v>
      </c>
      <c r="I2097" s="43">
        <v>12</v>
      </c>
      <c r="J2097" s="44" t="str">
        <f>VLOOKUP(G2097,[1]硬件清单!$F:$F,1,0)</f>
        <v>210235A1TXH179000206</v>
      </c>
      <c r="K2097" s="43"/>
      <c r="L2097" s="44"/>
      <c r="M2097" s="45" t="s">
        <v>6509</v>
      </c>
    </row>
    <row r="2098" s="26" customFormat="1" ht="30" customHeight="1" spans="1:13">
      <c r="A2098" s="41">
        <f>IF(C2098="","",SUBTOTAL(103,$C$2:C2098))</f>
        <v>2089</v>
      </c>
      <c r="B2098" s="41">
        <v>9997</v>
      </c>
      <c r="C2098" s="46">
        <v>2542</v>
      </c>
      <c r="D2098" s="46" t="s">
        <v>19</v>
      </c>
      <c r="E2098" s="46" t="s">
        <v>20</v>
      </c>
      <c r="F2098" s="46" t="s">
        <v>2383</v>
      </c>
      <c r="G2098" s="41" t="s">
        <v>6510</v>
      </c>
      <c r="H2098" s="41" t="s">
        <v>6511</v>
      </c>
      <c r="I2098" s="43">
        <v>12</v>
      </c>
      <c r="J2098" s="44" t="str">
        <f>VLOOKUP(G2098,[1]硬件清单!$F:$F,1,0)</f>
        <v>219801A12T9199Q000M0</v>
      </c>
      <c r="K2098" s="43"/>
      <c r="L2098" s="44"/>
      <c r="M2098" s="45" t="s">
        <v>6512</v>
      </c>
    </row>
    <row r="2099" s="26" customFormat="1" ht="30" customHeight="1" spans="1:13">
      <c r="A2099" s="41">
        <f>IF(C2099="","",SUBTOTAL(103,$C$2:C2099))</f>
        <v>2090</v>
      </c>
      <c r="B2099" s="41">
        <v>9998</v>
      </c>
      <c r="C2099" s="46">
        <v>2540</v>
      </c>
      <c r="D2099" s="46" t="s">
        <v>19</v>
      </c>
      <c r="E2099" s="46" t="s">
        <v>20</v>
      </c>
      <c r="F2099" s="46" t="s">
        <v>2383</v>
      </c>
      <c r="G2099" s="41" t="s">
        <v>6513</v>
      </c>
      <c r="H2099" s="41" t="s">
        <v>6514</v>
      </c>
      <c r="I2099" s="43">
        <v>12</v>
      </c>
      <c r="J2099" s="44" t="str">
        <f>VLOOKUP(G2099,[1]硬件清单!$F:$F,1,0)</f>
        <v>219801A12T919AQ000ML</v>
      </c>
      <c r="K2099" s="43"/>
      <c r="L2099" s="44"/>
      <c r="M2099" s="45" t="s">
        <v>6515</v>
      </c>
    </row>
    <row r="2100" s="26" customFormat="1" ht="30" customHeight="1" spans="1:13">
      <c r="A2100" s="41">
        <f>IF(C2100="","",SUBTOTAL(103,$C$2:C2100))</f>
        <v>2091</v>
      </c>
      <c r="B2100" s="41">
        <v>9999</v>
      </c>
      <c r="C2100" s="46">
        <v>2506</v>
      </c>
      <c r="D2100" s="46" t="s">
        <v>19</v>
      </c>
      <c r="E2100" s="46" t="s">
        <v>20</v>
      </c>
      <c r="F2100" s="46" t="s">
        <v>3778</v>
      </c>
      <c r="G2100" s="41" t="s">
        <v>6516</v>
      </c>
      <c r="H2100" s="41" t="s">
        <v>6517</v>
      </c>
      <c r="I2100" s="43">
        <v>12</v>
      </c>
      <c r="J2100" s="44" t="str">
        <f>VLOOKUP(G2100,[1]硬件清单!$F:$F,1,0)</f>
        <v>2102350DLVDMK8000129</v>
      </c>
      <c r="K2100" s="43"/>
      <c r="L2100" s="44"/>
      <c r="M2100" s="45" t="s">
        <v>6518</v>
      </c>
    </row>
    <row r="2101" s="26" customFormat="1" ht="30" customHeight="1" spans="1:13">
      <c r="A2101" s="41">
        <f>IF(C2101="","",SUBTOTAL(103,$C$2:C2101))</f>
        <v>2092</v>
      </c>
      <c r="B2101" s="41">
        <v>10000</v>
      </c>
      <c r="C2101" s="41">
        <v>3487</v>
      </c>
      <c r="D2101" s="41" t="s">
        <v>19</v>
      </c>
      <c r="E2101" s="41" t="s">
        <v>20</v>
      </c>
      <c r="F2101" s="41" t="s">
        <v>6506</v>
      </c>
      <c r="G2101" s="41" t="s">
        <v>6519</v>
      </c>
      <c r="H2101" s="41" t="s">
        <v>6520</v>
      </c>
      <c r="I2101" s="43">
        <v>12</v>
      </c>
      <c r="J2101" s="44" t="str">
        <f>VLOOKUP(G2101,[1]硬件清单!$F:$F,1,0)</f>
        <v>210235A1TXH179000335</v>
      </c>
      <c r="K2101" s="43"/>
      <c r="L2101" s="44"/>
      <c r="M2101" s="45" t="s">
        <v>6521</v>
      </c>
    </row>
    <row r="2102" s="26" customFormat="1" ht="30" customHeight="1" spans="1:13">
      <c r="A2102" s="41">
        <f>IF(C2102="","",SUBTOTAL(103,$C$2:C2102))</f>
        <v>2093</v>
      </c>
      <c r="B2102" s="41">
        <v>10001</v>
      </c>
      <c r="C2102" s="46">
        <v>2543</v>
      </c>
      <c r="D2102" s="46" t="s">
        <v>19</v>
      </c>
      <c r="E2102" s="46" t="s">
        <v>20</v>
      </c>
      <c r="F2102" s="46" t="s">
        <v>2383</v>
      </c>
      <c r="G2102" s="41" t="s">
        <v>6522</v>
      </c>
      <c r="H2102" s="41" t="s">
        <v>6523</v>
      </c>
      <c r="I2102" s="43">
        <v>12</v>
      </c>
      <c r="J2102" s="44" t="str">
        <f>VLOOKUP(G2102,[1]硬件清单!$F:$F,1,0)</f>
        <v>219801A12T9198Q001H8</v>
      </c>
      <c r="K2102" s="43"/>
      <c r="L2102" s="44"/>
      <c r="M2102" s="45" t="s">
        <v>6524</v>
      </c>
    </row>
    <row r="2103" s="26" customFormat="1" ht="30" customHeight="1" spans="1:13">
      <c r="A2103" s="41">
        <f>IF(C2103="","",SUBTOTAL(103,$C$2:C2103))</f>
        <v>2094</v>
      </c>
      <c r="B2103" s="41">
        <v>10002</v>
      </c>
      <c r="C2103" s="46">
        <v>2541</v>
      </c>
      <c r="D2103" s="46" t="s">
        <v>19</v>
      </c>
      <c r="E2103" s="46" t="s">
        <v>20</v>
      </c>
      <c r="F2103" s="46" t="s">
        <v>2383</v>
      </c>
      <c r="G2103" s="41" t="s">
        <v>6525</v>
      </c>
      <c r="H2103" s="41" t="s">
        <v>6526</v>
      </c>
      <c r="I2103" s="43">
        <v>12</v>
      </c>
      <c r="J2103" s="44" t="str">
        <f>VLOOKUP(G2103,[1]硬件清单!$F:$F,1,0)</f>
        <v>219801A12T9198Q0016R</v>
      </c>
      <c r="K2103" s="43"/>
      <c r="L2103" s="44"/>
      <c r="M2103" s="45" t="s">
        <v>6527</v>
      </c>
    </row>
    <row r="2104" s="26" customFormat="1" ht="30" customHeight="1" spans="1:13">
      <c r="A2104" s="41">
        <f>IF(C2104="","",SUBTOTAL(103,$C$2:C2104))</f>
        <v>2095</v>
      </c>
      <c r="B2104" s="41">
        <v>10003</v>
      </c>
      <c r="C2104" s="46">
        <v>2507</v>
      </c>
      <c r="D2104" s="46" t="s">
        <v>19</v>
      </c>
      <c r="E2104" s="46" t="s">
        <v>20</v>
      </c>
      <c r="F2104" s="46" t="s">
        <v>3778</v>
      </c>
      <c r="G2104" s="41" t="s">
        <v>6528</v>
      </c>
      <c r="H2104" s="41" t="s">
        <v>6529</v>
      </c>
      <c r="I2104" s="43">
        <v>12</v>
      </c>
      <c r="J2104" s="44" t="str">
        <f>VLOOKUP(G2104,[1]硬件清单!$F:$F,1,0)</f>
        <v>2102350DLVDMK8000137</v>
      </c>
      <c r="K2104" s="43"/>
      <c r="L2104" s="44"/>
      <c r="M2104" s="45" t="s">
        <v>6530</v>
      </c>
    </row>
    <row r="2105" s="26" customFormat="1" ht="30" customHeight="1" spans="1:13">
      <c r="A2105" s="41">
        <f>IF(C2105="","",SUBTOTAL(103,$C$2:C2105))</f>
        <v>2096</v>
      </c>
      <c r="B2105" s="41">
        <v>10004</v>
      </c>
      <c r="C2105" s="41">
        <v>15445</v>
      </c>
      <c r="D2105" s="41" t="s">
        <v>45</v>
      </c>
      <c r="E2105" s="41" t="s">
        <v>246</v>
      </c>
      <c r="F2105" s="41" t="s">
        <v>6531</v>
      </c>
      <c r="G2105" s="41" t="s">
        <v>6532</v>
      </c>
      <c r="H2105" s="41" t="s">
        <v>6533</v>
      </c>
      <c r="I2105" s="43">
        <v>12</v>
      </c>
      <c r="J2105" s="44" t="str">
        <f>VLOOKUP(G2105,[1]硬件清单!$F:$F,1,0)</f>
        <v>0650FBP</v>
      </c>
      <c r="K2105" s="43"/>
      <c r="L2105" s="44"/>
      <c r="M2105" s="45" t="s">
        <v>6534</v>
      </c>
    </row>
    <row r="2106" s="26" customFormat="1" ht="30" customHeight="1" spans="1:13">
      <c r="A2106" s="41">
        <f>IF(C2106="","",SUBTOTAL(103,$C$2:C2106))</f>
        <v>2097</v>
      </c>
      <c r="B2106" s="41">
        <v>10006</v>
      </c>
      <c r="C2106" s="41">
        <v>15446</v>
      </c>
      <c r="D2106" s="41" t="s">
        <v>45</v>
      </c>
      <c r="E2106" s="41" t="s">
        <v>246</v>
      </c>
      <c r="F2106" s="41" t="s">
        <v>6531</v>
      </c>
      <c r="G2106" s="41" t="s">
        <v>6535</v>
      </c>
      <c r="H2106" s="41" t="s">
        <v>6536</v>
      </c>
      <c r="I2106" s="43">
        <v>12</v>
      </c>
      <c r="J2106" s="44" t="str">
        <f>VLOOKUP(G2106,[1]硬件清单!$F:$F,1,0)</f>
        <v>0650D6P</v>
      </c>
      <c r="K2106" s="43"/>
      <c r="L2106" s="44"/>
      <c r="M2106" s="45" t="s">
        <v>6537</v>
      </c>
    </row>
    <row r="2107" s="26" customFormat="1" ht="30" customHeight="1" spans="1:13">
      <c r="A2107" s="41">
        <f>IF(C2107="","",SUBTOTAL(103,$C$2:C2107))</f>
        <v>2098</v>
      </c>
      <c r="B2107" s="41">
        <v>10008</v>
      </c>
      <c r="C2107" s="41">
        <v>17306</v>
      </c>
      <c r="D2107" s="41" t="s">
        <v>19</v>
      </c>
      <c r="E2107" s="41" t="s">
        <v>20</v>
      </c>
      <c r="F2107" s="41" t="s">
        <v>6538</v>
      </c>
      <c r="G2107" s="41" t="s">
        <v>6539</v>
      </c>
      <c r="H2107" s="41" t="s">
        <v>6540</v>
      </c>
      <c r="I2107" s="43">
        <v>12</v>
      </c>
      <c r="J2107" s="44" t="str">
        <f>VLOOKUP(G2107,[1]硬件清单!$F:$F,1,0)</f>
        <v>210235A0H9H119000165</v>
      </c>
      <c r="K2107" s="43"/>
      <c r="L2107" s="44"/>
      <c r="M2107" s="45" t="s">
        <v>6541</v>
      </c>
    </row>
    <row r="2108" s="26" customFormat="1" ht="30" customHeight="1" spans="1:13">
      <c r="A2108" s="41">
        <f>IF(C2108="","",SUBTOTAL(103,$C$2:C2108))</f>
        <v>2099</v>
      </c>
      <c r="B2108" s="41">
        <v>10009</v>
      </c>
      <c r="C2108" s="41">
        <v>15447</v>
      </c>
      <c r="D2108" s="41" t="s">
        <v>45</v>
      </c>
      <c r="E2108" s="41" t="s">
        <v>246</v>
      </c>
      <c r="F2108" s="41" t="s">
        <v>4478</v>
      </c>
      <c r="G2108" s="41" t="s">
        <v>6542</v>
      </c>
      <c r="H2108" s="41" t="s">
        <v>6543</v>
      </c>
      <c r="I2108" s="43">
        <v>12</v>
      </c>
      <c r="J2108" s="44" t="str">
        <f>VLOOKUP(G2108,[1]硬件清单!$F:$F,1,0)</f>
        <v>0650B6P</v>
      </c>
      <c r="K2108" s="43"/>
      <c r="L2108" s="44"/>
      <c r="M2108" s="45" t="s">
        <v>6544</v>
      </c>
    </row>
    <row r="2109" s="26" customFormat="1" ht="30" customHeight="1" spans="1:13">
      <c r="A2109" s="41">
        <f>IF(C2109="","",SUBTOTAL(103,$C$2:C2109))</f>
        <v>2100</v>
      </c>
      <c r="B2109" s="41">
        <v>10011</v>
      </c>
      <c r="C2109" s="41">
        <v>15448</v>
      </c>
      <c r="D2109" s="41" t="s">
        <v>45</v>
      </c>
      <c r="E2109" s="41" t="s">
        <v>246</v>
      </c>
      <c r="F2109" s="41" t="s">
        <v>4478</v>
      </c>
      <c r="G2109" s="41" t="s">
        <v>6545</v>
      </c>
      <c r="H2109" s="41" t="s">
        <v>6546</v>
      </c>
      <c r="I2109" s="43">
        <v>12</v>
      </c>
      <c r="J2109" s="44" t="str">
        <f>VLOOKUP(G2109,[1]硬件清单!$F:$F,1,0)</f>
        <v>0650D2P</v>
      </c>
      <c r="K2109" s="43"/>
      <c r="L2109" s="44"/>
      <c r="M2109" s="45" t="s">
        <v>6547</v>
      </c>
    </row>
    <row r="2110" s="26" customFormat="1" ht="30" customHeight="1" spans="1:13">
      <c r="A2110" s="41">
        <f>IF(C2110="","",SUBTOTAL(103,$C$2:C2110))</f>
        <v>2101</v>
      </c>
      <c r="B2110" s="41">
        <v>10013</v>
      </c>
      <c r="C2110" s="41">
        <v>15561</v>
      </c>
      <c r="D2110" s="41" t="s">
        <v>45</v>
      </c>
      <c r="E2110" s="41" t="s">
        <v>246</v>
      </c>
      <c r="F2110" s="41" t="s">
        <v>4478</v>
      </c>
      <c r="G2110" s="41" t="s">
        <v>6548</v>
      </c>
      <c r="H2110" s="41" t="s">
        <v>6549</v>
      </c>
      <c r="I2110" s="43">
        <v>12</v>
      </c>
      <c r="J2110" s="44" t="str">
        <f>VLOOKUP(G2110,[1]硬件清单!$F:$F,1,0)</f>
        <v>06B920P</v>
      </c>
      <c r="K2110" s="43"/>
      <c r="L2110" s="44"/>
      <c r="M2110" s="45" t="s">
        <v>6550</v>
      </c>
    </row>
    <row r="2111" s="26" customFormat="1" ht="30" customHeight="1" spans="1:13">
      <c r="A2111" s="41">
        <f>IF(C2111="","",SUBTOTAL(103,$C$2:C2111))</f>
        <v>2102</v>
      </c>
      <c r="B2111" s="41">
        <v>10015</v>
      </c>
      <c r="C2111" s="41">
        <v>15560</v>
      </c>
      <c r="D2111" s="41" t="s">
        <v>45</v>
      </c>
      <c r="E2111" s="41" t="s">
        <v>246</v>
      </c>
      <c r="F2111" s="41" t="s">
        <v>4478</v>
      </c>
      <c r="G2111" s="41" t="s">
        <v>6551</v>
      </c>
      <c r="H2111" s="41" t="s">
        <v>6552</v>
      </c>
      <c r="I2111" s="43">
        <v>12</v>
      </c>
      <c r="J2111" s="44" t="str">
        <f>VLOOKUP(G2111,[1]硬件清单!$F:$F,1,0)</f>
        <v>06B91EP</v>
      </c>
      <c r="K2111" s="43"/>
      <c r="L2111" s="44"/>
      <c r="M2111" s="45" t="s">
        <v>6553</v>
      </c>
    </row>
    <row r="2112" s="26" customFormat="1" ht="30" customHeight="1" spans="1:13">
      <c r="A2112" s="41">
        <f>IF(C2112="","",SUBTOTAL(103,$C$2:C2112))</f>
        <v>2103</v>
      </c>
      <c r="B2112" s="41">
        <v>10016</v>
      </c>
      <c r="C2112" s="41">
        <v>15690</v>
      </c>
      <c r="D2112" s="41" t="s">
        <v>45</v>
      </c>
      <c r="E2112" s="41" t="s">
        <v>246</v>
      </c>
      <c r="F2112" s="41" t="s">
        <v>1430</v>
      </c>
      <c r="G2112" s="41" t="s">
        <v>6554</v>
      </c>
      <c r="H2112" s="41" t="s">
        <v>6555</v>
      </c>
      <c r="I2112" s="43">
        <v>12</v>
      </c>
      <c r="J2112" s="44" t="str">
        <f>VLOOKUP(G2112,[1]硬件清单!$F:$F,1,0)</f>
        <v>SGH117XB2F</v>
      </c>
      <c r="K2112" s="43"/>
      <c r="L2112" s="44"/>
      <c r="M2112" s="45" t="s">
        <v>6556</v>
      </c>
    </row>
    <row r="2113" s="26" customFormat="1" ht="30" customHeight="1" spans="1:13">
      <c r="A2113" s="41">
        <f>IF(C2113="","",SUBTOTAL(103,$C$2:C2113))</f>
        <v>2104</v>
      </c>
      <c r="B2113" s="41">
        <v>10017</v>
      </c>
      <c r="C2113" s="41">
        <v>15566</v>
      </c>
      <c r="D2113" s="41" t="s">
        <v>45</v>
      </c>
      <c r="E2113" s="41" t="s">
        <v>246</v>
      </c>
      <c r="F2113" s="41" t="s">
        <v>6557</v>
      </c>
      <c r="G2113" s="41" t="s">
        <v>6558</v>
      </c>
      <c r="H2113" s="41" t="s">
        <v>6559</v>
      </c>
      <c r="I2113" s="43">
        <v>12</v>
      </c>
      <c r="J2113" s="44" t="str">
        <f>VLOOKUP(G2113,[1]硬件清单!$F:$F,1,0)</f>
        <v>SGH118XKV1</v>
      </c>
      <c r="K2113" s="43"/>
      <c r="L2113" s="44"/>
      <c r="M2113" s="45" t="s">
        <v>6560</v>
      </c>
    </row>
    <row r="2114" s="26" customFormat="1" ht="30" customHeight="1" spans="1:13">
      <c r="A2114" s="41">
        <f>IF(C2114="","",SUBTOTAL(103,$C$2:C2114))</f>
        <v>2105</v>
      </c>
      <c r="B2114" s="41">
        <v>10018</v>
      </c>
      <c r="C2114" s="41">
        <v>15567</v>
      </c>
      <c r="D2114" s="41" t="s">
        <v>45</v>
      </c>
      <c r="E2114" s="41" t="s">
        <v>246</v>
      </c>
      <c r="F2114" s="41" t="s">
        <v>6557</v>
      </c>
      <c r="G2114" s="41" t="s">
        <v>6561</v>
      </c>
      <c r="H2114" s="41" t="s">
        <v>6562</v>
      </c>
      <c r="I2114" s="43">
        <v>12</v>
      </c>
      <c r="J2114" s="44" t="str">
        <f>VLOOKUP(G2114,[1]硬件清单!$F:$F,1,0)</f>
        <v>SGH118XJP1</v>
      </c>
      <c r="K2114" s="43"/>
      <c r="L2114" s="44"/>
      <c r="M2114" s="45" t="s">
        <v>6563</v>
      </c>
    </row>
    <row r="2115" s="26" customFormat="1" ht="30" customHeight="1" spans="1:13">
      <c r="A2115" s="41">
        <f>IF(C2115="","",SUBTOTAL(103,$C$2:C2115))</f>
        <v>2106</v>
      </c>
      <c r="B2115" s="41">
        <v>10019</v>
      </c>
      <c r="C2115" s="41">
        <v>15568</v>
      </c>
      <c r="D2115" s="41" t="s">
        <v>45</v>
      </c>
      <c r="E2115" s="41" t="s">
        <v>246</v>
      </c>
      <c r="F2115" s="41" t="s">
        <v>6557</v>
      </c>
      <c r="G2115" s="41" t="s">
        <v>6564</v>
      </c>
      <c r="H2115" s="41" t="s">
        <v>6565</v>
      </c>
      <c r="I2115" s="43">
        <v>12</v>
      </c>
      <c r="J2115" s="44" t="str">
        <f>VLOOKUP(G2115,[1]硬件清单!$F:$F,1,0)</f>
        <v>SGH118XKVJ</v>
      </c>
      <c r="K2115" s="43"/>
      <c r="L2115" s="44"/>
      <c r="M2115" s="45" t="s">
        <v>6566</v>
      </c>
    </row>
    <row r="2116" s="26" customFormat="1" ht="30" customHeight="1" spans="1:13">
      <c r="A2116" s="41">
        <f>IF(C2116="","",SUBTOTAL(103,$C$2:C2116))</f>
        <v>2107</v>
      </c>
      <c r="B2116" s="41">
        <v>10020</v>
      </c>
      <c r="C2116" s="41">
        <v>15569</v>
      </c>
      <c r="D2116" s="41" t="s">
        <v>45</v>
      </c>
      <c r="E2116" s="41" t="s">
        <v>246</v>
      </c>
      <c r="F2116" s="41" t="s">
        <v>6557</v>
      </c>
      <c r="G2116" s="41" t="s">
        <v>6567</v>
      </c>
      <c r="H2116" s="41" t="s">
        <v>6568</v>
      </c>
      <c r="I2116" s="43">
        <v>12</v>
      </c>
      <c r="J2116" s="44" t="str">
        <f>VLOOKUP(G2116,[1]硬件清单!$F:$F,1,0)</f>
        <v>SGH118XFT6</v>
      </c>
      <c r="K2116" s="43"/>
      <c r="L2116" s="44"/>
      <c r="M2116" s="45" t="s">
        <v>6569</v>
      </c>
    </row>
    <row r="2117" s="26" customFormat="1" ht="30" customHeight="1" spans="1:13">
      <c r="A2117" s="41">
        <f>IF(C2117="","",SUBTOTAL(103,$C$2:C2117))</f>
        <v>2108</v>
      </c>
      <c r="B2117" s="41">
        <v>10021</v>
      </c>
      <c r="C2117" s="41">
        <v>15570</v>
      </c>
      <c r="D2117" s="41" t="s">
        <v>45</v>
      </c>
      <c r="E2117" s="41" t="s">
        <v>246</v>
      </c>
      <c r="F2117" s="41" t="s">
        <v>6557</v>
      </c>
      <c r="G2117" s="41" t="s">
        <v>6570</v>
      </c>
      <c r="H2117" s="41" t="s">
        <v>6571</v>
      </c>
      <c r="I2117" s="43">
        <v>12</v>
      </c>
      <c r="J2117" s="44" t="str">
        <f>VLOOKUP(G2117,[1]硬件清单!$F:$F,1,0)</f>
        <v>SGH118XJTT</v>
      </c>
      <c r="K2117" s="43"/>
      <c r="L2117" s="44"/>
      <c r="M2117" s="45" t="s">
        <v>6572</v>
      </c>
    </row>
    <row r="2118" s="26" customFormat="1" ht="30" customHeight="1" spans="1:13">
      <c r="A2118" s="41">
        <f>IF(C2118="","",SUBTOTAL(103,$C$2:C2118))</f>
        <v>2109</v>
      </c>
      <c r="B2118" s="41">
        <v>10022</v>
      </c>
      <c r="C2118" s="41">
        <v>15571</v>
      </c>
      <c r="D2118" s="41" t="s">
        <v>45</v>
      </c>
      <c r="E2118" s="41" t="s">
        <v>246</v>
      </c>
      <c r="F2118" s="41" t="s">
        <v>6557</v>
      </c>
      <c r="G2118" s="41" t="s">
        <v>6573</v>
      </c>
      <c r="H2118" s="41" t="s">
        <v>6574</v>
      </c>
      <c r="I2118" s="43">
        <v>12</v>
      </c>
      <c r="J2118" s="44" t="str">
        <f>VLOOKUP(G2118,[1]硬件清单!$F:$F,1,0)</f>
        <v>SGH118XKXS</v>
      </c>
      <c r="K2118" s="43"/>
      <c r="L2118" s="44"/>
      <c r="M2118" s="45" t="s">
        <v>6575</v>
      </c>
    </row>
    <row r="2119" s="26" customFormat="1" ht="30" customHeight="1" spans="1:13">
      <c r="A2119" s="41">
        <f>IF(C2119="","",SUBTOTAL(103,$C$2:C2119))</f>
        <v>2110</v>
      </c>
      <c r="B2119" s="41">
        <v>10023</v>
      </c>
      <c r="C2119" s="41">
        <v>15689</v>
      </c>
      <c r="D2119" s="41" t="s">
        <v>45</v>
      </c>
      <c r="E2119" s="41" t="s">
        <v>246</v>
      </c>
      <c r="F2119" s="41" t="s">
        <v>1430</v>
      </c>
      <c r="G2119" s="41" t="s">
        <v>6576</v>
      </c>
      <c r="H2119" s="41" t="s">
        <v>6577</v>
      </c>
      <c r="I2119" s="43">
        <v>12</v>
      </c>
      <c r="J2119" s="44" t="str">
        <f>VLOOKUP(G2119,[1]硬件清单!$F:$F,1,0)</f>
        <v>SGH117XB2Y</v>
      </c>
      <c r="K2119" s="43"/>
      <c r="L2119" s="44"/>
      <c r="M2119" s="45" t="s">
        <v>6578</v>
      </c>
    </row>
    <row r="2120" s="26" customFormat="1" ht="30" customHeight="1" spans="1:13">
      <c r="A2120" s="41">
        <f>IF(C2120="","",SUBTOTAL(103,$C$2:C2120))</f>
        <v>2111</v>
      </c>
      <c r="B2120" s="41">
        <v>10024</v>
      </c>
      <c r="C2120" s="41">
        <v>15562</v>
      </c>
      <c r="D2120" s="41" t="s">
        <v>45</v>
      </c>
      <c r="E2120" s="41" t="s">
        <v>246</v>
      </c>
      <c r="F2120" s="41" t="s">
        <v>6557</v>
      </c>
      <c r="G2120" s="41" t="s">
        <v>6579</v>
      </c>
      <c r="H2120" s="41" t="s">
        <v>6580</v>
      </c>
      <c r="I2120" s="43">
        <v>12</v>
      </c>
      <c r="J2120" s="44" t="str">
        <f>VLOOKUP(G2120,[1]硬件清单!$F:$F,1,0)</f>
        <v>SGH118XKXT</v>
      </c>
      <c r="K2120" s="43"/>
      <c r="L2120" s="44"/>
      <c r="M2120" s="45" t="s">
        <v>6581</v>
      </c>
    </row>
    <row r="2121" s="26" customFormat="1" ht="30" customHeight="1" spans="1:13">
      <c r="A2121" s="41">
        <f>IF(C2121="","",SUBTOTAL(103,$C$2:C2121))</f>
        <v>2112</v>
      </c>
      <c r="B2121" s="41">
        <v>10025</v>
      </c>
      <c r="C2121" s="41">
        <v>15563</v>
      </c>
      <c r="D2121" s="41" t="s">
        <v>45</v>
      </c>
      <c r="E2121" s="41" t="s">
        <v>246</v>
      </c>
      <c r="F2121" s="41" t="s">
        <v>6557</v>
      </c>
      <c r="G2121" s="41" t="s">
        <v>6582</v>
      </c>
      <c r="H2121" s="41" t="s">
        <v>6583</v>
      </c>
      <c r="I2121" s="43">
        <v>12</v>
      </c>
      <c r="J2121" s="44" t="str">
        <f>VLOOKUP(G2121,[1]硬件清单!$F:$F,1,0)</f>
        <v>SGH118XJTS</v>
      </c>
      <c r="K2121" s="43"/>
      <c r="L2121" s="44"/>
      <c r="M2121" s="45" t="s">
        <v>6584</v>
      </c>
    </row>
    <row r="2122" s="26" customFormat="1" ht="30" customHeight="1" spans="1:13">
      <c r="A2122" s="41">
        <f>IF(C2122="","",SUBTOTAL(103,$C$2:C2122))</f>
        <v>2113</v>
      </c>
      <c r="B2122" s="41">
        <v>10026</v>
      </c>
      <c r="C2122" s="41">
        <v>15564</v>
      </c>
      <c r="D2122" s="41" t="s">
        <v>45</v>
      </c>
      <c r="E2122" s="41" t="s">
        <v>246</v>
      </c>
      <c r="F2122" s="41" t="s">
        <v>6557</v>
      </c>
      <c r="G2122" s="41" t="s">
        <v>6585</v>
      </c>
      <c r="H2122" s="41" t="s">
        <v>6586</v>
      </c>
      <c r="I2122" s="43">
        <v>12</v>
      </c>
      <c r="J2122" s="44" t="str">
        <f>VLOOKUP(G2122,[1]硬件清单!$F:$F,1,0)</f>
        <v>SGH118XK5F</v>
      </c>
      <c r="K2122" s="43"/>
      <c r="L2122" s="44"/>
      <c r="M2122" s="45" t="s">
        <v>6587</v>
      </c>
    </row>
    <row r="2123" s="26" customFormat="1" ht="30" customHeight="1" spans="1:13">
      <c r="A2123" s="41">
        <f>IF(C2123="","",SUBTOTAL(103,$C$2:C2123))</f>
        <v>2114</v>
      </c>
      <c r="B2123" s="41">
        <v>10027</v>
      </c>
      <c r="C2123" s="41">
        <v>15548</v>
      </c>
      <c r="D2123" s="41" t="s">
        <v>45</v>
      </c>
      <c r="E2123" s="41" t="s">
        <v>246</v>
      </c>
      <c r="F2123" s="41" t="s">
        <v>6588</v>
      </c>
      <c r="G2123" s="41" t="s">
        <v>6589</v>
      </c>
      <c r="H2123" s="41" t="s">
        <v>6590</v>
      </c>
      <c r="I2123" s="43">
        <v>12</v>
      </c>
      <c r="J2123" s="44" t="str">
        <f>VLOOKUP(G2123,[1]硬件清单!$F:$F,1,0)</f>
        <v>SGH118XHHD</v>
      </c>
      <c r="K2123" s="43"/>
      <c r="L2123" s="44"/>
      <c r="M2123" s="45" t="s">
        <v>6591</v>
      </c>
    </row>
    <row r="2124" s="26" customFormat="1" ht="30" customHeight="1" spans="1:13">
      <c r="A2124" s="41">
        <f>IF(C2124="","",SUBTOTAL(103,$C$2:C2124))</f>
        <v>2115</v>
      </c>
      <c r="B2124" s="41">
        <v>10028</v>
      </c>
      <c r="C2124" s="41">
        <v>15565</v>
      </c>
      <c r="D2124" s="41" t="s">
        <v>45</v>
      </c>
      <c r="E2124" s="41" t="s">
        <v>246</v>
      </c>
      <c r="F2124" s="41" t="s">
        <v>6557</v>
      </c>
      <c r="G2124" s="41" t="s">
        <v>6589</v>
      </c>
      <c r="H2124" s="41" t="s">
        <v>6592</v>
      </c>
      <c r="I2124" s="43">
        <v>12</v>
      </c>
      <c r="J2124" s="44" t="str">
        <f>VLOOKUP(G2124,[1]硬件清单!$F:$F,1,0)</f>
        <v>SGH118XHHD</v>
      </c>
      <c r="K2124" s="43"/>
      <c r="L2124" s="44"/>
      <c r="M2124" s="45" t="s">
        <v>6591</v>
      </c>
    </row>
    <row r="2125" s="26" customFormat="1" ht="30" customHeight="1" spans="1:13">
      <c r="A2125" s="41">
        <f>IF(C2125="","",SUBTOTAL(103,$C$2:C2125))</f>
        <v>2116</v>
      </c>
      <c r="B2125" s="41">
        <v>10030</v>
      </c>
      <c r="C2125" s="41">
        <v>15576</v>
      </c>
      <c r="D2125" s="41" t="s">
        <v>45</v>
      </c>
      <c r="E2125" s="41" t="s">
        <v>246</v>
      </c>
      <c r="F2125" s="41" t="s">
        <v>6557</v>
      </c>
      <c r="G2125" s="41" t="s">
        <v>6593</v>
      </c>
      <c r="H2125" s="41" t="s">
        <v>6594</v>
      </c>
      <c r="I2125" s="43">
        <v>12</v>
      </c>
      <c r="J2125" s="44" t="str">
        <f>VLOOKUP(G2125,[1]硬件清单!$F:$F,1,0)</f>
        <v>SGH230A2A4(升级870C I2)</v>
      </c>
      <c r="K2125" s="43"/>
      <c r="L2125" s="44"/>
      <c r="M2125" s="45" t="s">
        <v>6595</v>
      </c>
    </row>
    <row r="2126" s="26" customFormat="1" ht="30" customHeight="1" spans="1:13">
      <c r="A2126" s="41">
        <f>IF(C2126="","",SUBTOTAL(103,$C$2:C2126))</f>
        <v>2117</v>
      </c>
      <c r="B2126" s="41">
        <v>10031</v>
      </c>
      <c r="C2126" s="41">
        <v>15577</v>
      </c>
      <c r="D2126" s="41" t="s">
        <v>45</v>
      </c>
      <c r="E2126" s="41" t="s">
        <v>246</v>
      </c>
      <c r="F2126" s="41" t="s">
        <v>6557</v>
      </c>
      <c r="G2126" s="41" t="s">
        <v>6593</v>
      </c>
      <c r="H2126" s="41" t="s">
        <v>6596</v>
      </c>
      <c r="I2126" s="43">
        <v>12</v>
      </c>
      <c r="J2126" s="44" t="str">
        <f>VLOOKUP(G2126,[1]硬件清单!$F:$F,1,0)</f>
        <v>SGH230A2A4(升级870C I2)</v>
      </c>
      <c r="K2126" s="43"/>
      <c r="L2126" s="44"/>
      <c r="M2126" s="45" t="s">
        <v>6595</v>
      </c>
    </row>
    <row r="2127" s="26" customFormat="1" ht="30" customHeight="1" spans="1:13">
      <c r="A2127" s="41">
        <f>IF(C2127="","",SUBTOTAL(103,$C$2:C2127))</f>
        <v>2118</v>
      </c>
      <c r="B2127" s="41">
        <v>10032</v>
      </c>
      <c r="C2127" s="41">
        <v>15578</v>
      </c>
      <c r="D2127" s="41" t="s">
        <v>45</v>
      </c>
      <c r="E2127" s="41" t="s">
        <v>246</v>
      </c>
      <c r="F2127" s="41" t="s">
        <v>6557</v>
      </c>
      <c r="G2127" s="41" t="s">
        <v>6597</v>
      </c>
      <c r="H2127" s="41" t="s">
        <v>6598</v>
      </c>
      <c r="I2127" s="43">
        <v>12</v>
      </c>
      <c r="J2127" s="44" t="str">
        <f>VLOOKUP(G2127,[1]硬件清单!$F:$F,1,0)</f>
        <v>SGH230A2A3(升级870C I2)</v>
      </c>
      <c r="K2127" s="43"/>
      <c r="L2127" s="44"/>
      <c r="M2127" s="45" t="s">
        <v>6599</v>
      </c>
    </row>
    <row r="2128" s="26" customFormat="1" ht="30" customHeight="1" spans="1:13">
      <c r="A2128" s="41">
        <f>IF(C2128="","",SUBTOTAL(103,$C$2:C2128))</f>
        <v>2119</v>
      </c>
      <c r="B2128" s="41">
        <v>10033</v>
      </c>
      <c r="C2128" s="41">
        <v>15579</v>
      </c>
      <c r="D2128" s="41" t="s">
        <v>45</v>
      </c>
      <c r="E2128" s="41" t="s">
        <v>246</v>
      </c>
      <c r="F2128" s="41" t="s">
        <v>6557</v>
      </c>
      <c r="G2128" s="41" t="s">
        <v>6597</v>
      </c>
      <c r="H2128" s="41" t="s">
        <v>6600</v>
      </c>
      <c r="I2128" s="43">
        <v>12</v>
      </c>
      <c r="J2128" s="44" t="str">
        <f>VLOOKUP(G2128,[1]硬件清单!$F:$F,1,0)</f>
        <v>SGH230A2A3(升级870C I2)</v>
      </c>
      <c r="K2128" s="43"/>
      <c r="L2128" s="44"/>
      <c r="M2128" s="45" t="s">
        <v>6599</v>
      </c>
    </row>
    <row r="2129" s="26" customFormat="1" ht="30" customHeight="1" spans="1:13">
      <c r="A2129" s="41">
        <f>IF(C2129="","",SUBTOTAL(103,$C$2:C2129))</f>
        <v>2120</v>
      </c>
      <c r="B2129" s="41">
        <v>10034</v>
      </c>
      <c r="C2129" s="41">
        <v>15580</v>
      </c>
      <c r="D2129" s="41" t="s">
        <v>45</v>
      </c>
      <c r="E2129" s="41" t="s">
        <v>246</v>
      </c>
      <c r="F2129" s="41" t="s">
        <v>6557</v>
      </c>
      <c r="G2129" s="41" t="s">
        <v>6601</v>
      </c>
      <c r="H2129" s="41" t="s">
        <v>6602</v>
      </c>
      <c r="I2129" s="43">
        <v>12</v>
      </c>
      <c r="J2129" s="44" t="str">
        <f>VLOOKUP(G2129,[1]硬件清单!$F:$F,1,0)</f>
        <v>SGH230A2A0(升级870C I2)</v>
      </c>
      <c r="K2129" s="43"/>
      <c r="L2129" s="44"/>
      <c r="M2129" s="45" t="s">
        <v>6603</v>
      </c>
    </row>
    <row r="2130" s="26" customFormat="1" ht="30" customHeight="1" spans="1:13">
      <c r="A2130" s="41">
        <f>IF(C2130="","",SUBTOTAL(103,$C$2:C2130))</f>
        <v>2121</v>
      </c>
      <c r="B2130" s="41">
        <v>10035</v>
      </c>
      <c r="C2130" s="41">
        <v>15582</v>
      </c>
      <c r="D2130" s="41" t="s">
        <v>45</v>
      </c>
      <c r="E2130" s="41" t="s">
        <v>246</v>
      </c>
      <c r="F2130" s="41" t="s">
        <v>6557</v>
      </c>
      <c r="G2130" s="41" t="s">
        <v>6604</v>
      </c>
      <c r="H2130" s="41" t="s">
        <v>6605</v>
      </c>
      <c r="I2130" s="43">
        <v>12</v>
      </c>
      <c r="J2130" s="44" t="str">
        <f>VLOOKUP(G2130,[1]硬件清单!$F:$F,1,0)</f>
        <v>SGH230A29Y(升级870C I2)</v>
      </c>
      <c r="K2130" s="43"/>
      <c r="L2130" s="44"/>
      <c r="M2130" s="45" t="s">
        <v>6606</v>
      </c>
    </row>
    <row r="2131" s="26" customFormat="1" ht="30" customHeight="1" spans="1:13">
      <c r="A2131" s="41">
        <f>IF(C2131="","",SUBTOTAL(103,$C$2:C2131))</f>
        <v>2122</v>
      </c>
      <c r="B2131" s="41">
        <v>10036</v>
      </c>
      <c r="C2131" s="41">
        <v>15583</v>
      </c>
      <c r="D2131" s="41" t="s">
        <v>45</v>
      </c>
      <c r="E2131" s="41" t="s">
        <v>246</v>
      </c>
      <c r="F2131" s="41" t="s">
        <v>6557</v>
      </c>
      <c r="G2131" s="41" t="s">
        <v>6604</v>
      </c>
      <c r="H2131" s="41" t="s">
        <v>6607</v>
      </c>
      <c r="I2131" s="43">
        <v>12</v>
      </c>
      <c r="J2131" s="44" t="str">
        <f>VLOOKUP(G2131,[1]硬件清单!$F:$F,1,0)</f>
        <v>SGH230A29Y(升级870C I2)</v>
      </c>
      <c r="K2131" s="43"/>
      <c r="L2131" s="44"/>
      <c r="M2131" s="45" t="s">
        <v>6606</v>
      </c>
    </row>
    <row r="2132" s="26" customFormat="1" ht="30" customHeight="1" spans="1:13">
      <c r="A2132" s="41">
        <f>IF(C2132="","",SUBTOTAL(103,$C$2:C2132))</f>
        <v>2123</v>
      </c>
      <c r="B2132" s="41">
        <v>10043</v>
      </c>
      <c r="C2132" s="41">
        <v>15581</v>
      </c>
      <c r="D2132" s="41" t="s">
        <v>45</v>
      </c>
      <c r="E2132" s="41" t="s">
        <v>246</v>
      </c>
      <c r="F2132" s="41" t="s">
        <v>6557</v>
      </c>
      <c r="G2132" s="41" t="s">
        <v>6608</v>
      </c>
      <c r="H2132" s="41" t="s">
        <v>6609</v>
      </c>
      <c r="I2132" s="43">
        <v>12</v>
      </c>
      <c r="J2132" s="44" t="str">
        <f>VLOOKUP(G2132,[1]硬件清单!$F:$F,1,0)</f>
        <v>SGH230A2A0﹝升级870C I2﹞</v>
      </c>
      <c r="K2132" s="43"/>
      <c r="L2132" s="44"/>
      <c r="M2132" s="45" t="s">
        <v>6610</v>
      </c>
    </row>
    <row r="2133" s="26" customFormat="1" ht="30" customHeight="1" spans="1:13">
      <c r="A2133" s="41">
        <f>IF(C2133="","",SUBTOTAL(103,$C$2:C2133))</f>
        <v>2124</v>
      </c>
      <c r="B2133" s="41">
        <v>10044</v>
      </c>
      <c r="C2133" s="41">
        <v>6835</v>
      </c>
      <c r="D2133" s="41" t="s">
        <v>45</v>
      </c>
      <c r="E2133" s="41" t="s">
        <v>1298</v>
      </c>
      <c r="F2133" s="41" t="s">
        <v>6611</v>
      </c>
      <c r="G2133" s="41" t="s">
        <v>6612</v>
      </c>
      <c r="H2133" s="41" t="s">
        <v>6613</v>
      </c>
      <c r="I2133" s="43">
        <v>12</v>
      </c>
      <c r="J2133" s="44" t="str">
        <f>VLOOKUP(G2133,[1]硬件清单!$F:$F,1,0)</f>
        <v>FOX1834GTFL</v>
      </c>
      <c r="K2133" s="43"/>
      <c r="L2133" s="44"/>
      <c r="M2133" s="45" t="s">
        <v>6614</v>
      </c>
    </row>
    <row r="2134" s="26" customFormat="1" ht="30" customHeight="1" spans="1:13">
      <c r="A2134" s="41">
        <f>IF(C2134="","",SUBTOTAL(103,$C$2:C2134))</f>
        <v>2125</v>
      </c>
      <c r="B2134" s="41">
        <v>10045</v>
      </c>
      <c r="C2134" s="41">
        <v>6822</v>
      </c>
      <c r="D2134" s="41" t="s">
        <v>45</v>
      </c>
      <c r="E2134" s="41" t="s">
        <v>1298</v>
      </c>
      <c r="F2134" s="41" t="s">
        <v>6615</v>
      </c>
      <c r="G2134" s="41" t="s">
        <v>6616</v>
      </c>
      <c r="H2134" s="41" t="s">
        <v>6617</v>
      </c>
      <c r="I2134" s="43">
        <v>12</v>
      </c>
      <c r="J2134" s="44" t="str">
        <f>VLOOKUP(G2134,[1]硬件清单!$F:$F,1,0)</f>
        <v>FCH1834J6PX</v>
      </c>
      <c r="K2134" s="43"/>
      <c r="L2134" s="44"/>
      <c r="M2134" s="45" t="s">
        <v>6618</v>
      </c>
    </row>
    <row r="2135" s="26" customFormat="1" ht="30" customHeight="1" spans="1:13">
      <c r="A2135" s="41">
        <f>IF(C2135="","",SUBTOTAL(103,$C$2:C2135))</f>
        <v>2126</v>
      </c>
      <c r="B2135" s="41">
        <v>10046</v>
      </c>
      <c r="C2135" s="41">
        <v>6823</v>
      </c>
      <c r="D2135" s="41" t="s">
        <v>45</v>
      </c>
      <c r="E2135" s="41" t="s">
        <v>1298</v>
      </c>
      <c r="F2135" s="41" t="s">
        <v>6615</v>
      </c>
      <c r="G2135" s="41" t="s">
        <v>6619</v>
      </c>
      <c r="H2135" s="41" t="s">
        <v>6620</v>
      </c>
      <c r="I2135" s="43">
        <v>12</v>
      </c>
      <c r="J2135" s="44" t="str">
        <f>VLOOKUP(G2135,[1]硬件清单!$F:$F,1,0)</f>
        <v>FCH1834J0JL</v>
      </c>
      <c r="K2135" s="43"/>
      <c r="L2135" s="44"/>
      <c r="M2135" s="45" t="s">
        <v>6621</v>
      </c>
    </row>
    <row r="2136" s="26" customFormat="1" ht="30" customHeight="1" spans="1:13">
      <c r="A2136" s="41">
        <f>IF(C2136="","",SUBTOTAL(103,$C$2:C2136))</f>
        <v>2127</v>
      </c>
      <c r="B2136" s="41">
        <v>10047</v>
      </c>
      <c r="C2136" s="41">
        <v>6824</v>
      </c>
      <c r="D2136" s="41" t="s">
        <v>45</v>
      </c>
      <c r="E2136" s="41" t="s">
        <v>1298</v>
      </c>
      <c r="F2136" s="41" t="s">
        <v>6615</v>
      </c>
      <c r="G2136" s="41" t="s">
        <v>6622</v>
      </c>
      <c r="H2136" s="41" t="s">
        <v>6623</v>
      </c>
      <c r="I2136" s="43">
        <v>12</v>
      </c>
      <c r="J2136" s="44" t="str">
        <f>VLOOKUP(G2136,[1]硬件清单!$F:$F,1,0)</f>
        <v>FCH1834J0PD</v>
      </c>
      <c r="K2136" s="43"/>
      <c r="L2136" s="44"/>
      <c r="M2136" s="45" t="s">
        <v>6624</v>
      </c>
    </row>
    <row r="2137" s="26" customFormat="1" ht="30" customHeight="1" spans="1:13">
      <c r="A2137" s="41">
        <f>IF(C2137="","",SUBTOTAL(103,$C$2:C2137))</f>
        <v>2128</v>
      </c>
      <c r="B2137" s="41">
        <v>10048</v>
      </c>
      <c r="C2137" s="41">
        <v>6825</v>
      </c>
      <c r="D2137" s="41" t="s">
        <v>45</v>
      </c>
      <c r="E2137" s="41" t="s">
        <v>1298</v>
      </c>
      <c r="F2137" s="41" t="s">
        <v>6615</v>
      </c>
      <c r="G2137" s="41" t="s">
        <v>6625</v>
      </c>
      <c r="H2137" s="41" t="s">
        <v>6626</v>
      </c>
      <c r="I2137" s="43">
        <v>12</v>
      </c>
      <c r="J2137" s="44" t="str">
        <f>VLOOKUP(G2137,[1]硬件清单!$F:$F,1,0)</f>
        <v>FCH1834JEQ6</v>
      </c>
      <c r="K2137" s="43"/>
      <c r="L2137" s="44"/>
      <c r="M2137" s="45" t="s">
        <v>6627</v>
      </c>
    </row>
    <row r="2138" s="26" customFormat="1" ht="30" customHeight="1" spans="1:13">
      <c r="A2138" s="41">
        <f>IF(C2138="","",SUBTOTAL(103,$C$2:C2138))</f>
        <v>2129</v>
      </c>
      <c r="B2138" s="41">
        <v>10049</v>
      </c>
      <c r="C2138" s="41">
        <v>6826</v>
      </c>
      <c r="D2138" s="41" t="s">
        <v>45</v>
      </c>
      <c r="E2138" s="41" t="s">
        <v>1298</v>
      </c>
      <c r="F2138" s="41" t="s">
        <v>6615</v>
      </c>
      <c r="G2138" s="41" t="s">
        <v>6628</v>
      </c>
      <c r="H2138" s="41" t="s">
        <v>6629</v>
      </c>
      <c r="I2138" s="43">
        <v>12</v>
      </c>
      <c r="J2138" s="44" t="str">
        <f>VLOOKUP(G2138,[1]硬件清单!$F:$F,1,0)</f>
        <v>FCH1834JEPH</v>
      </c>
      <c r="K2138" s="43"/>
      <c r="L2138" s="44"/>
      <c r="M2138" s="45" t="s">
        <v>6630</v>
      </c>
    </row>
    <row r="2139" s="26" customFormat="1" ht="30" customHeight="1" spans="1:13">
      <c r="A2139" s="41">
        <f>IF(C2139="","",SUBTOTAL(103,$C$2:C2139))</f>
        <v>2130</v>
      </c>
      <c r="B2139" s="41">
        <v>10050</v>
      </c>
      <c r="C2139" s="41">
        <v>6827</v>
      </c>
      <c r="D2139" s="41" t="s">
        <v>45</v>
      </c>
      <c r="E2139" s="41" t="s">
        <v>1298</v>
      </c>
      <c r="F2139" s="41" t="s">
        <v>6615</v>
      </c>
      <c r="G2139" s="41" t="s">
        <v>6631</v>
      </c>
      <c r="H2139" s="41" t="s">
        <v>6632</v>
      </c>
      <c r="I2139" s="43">
        <v>12</v>
      </c>
      <c r="J2139" s="44" t="str">
        <f>VLOOKUP(G2139,[1]硬件清单!$F:$F,1,0)</f>
        <v>FCH1834JDRY</v>
      </c>
      <c r="K2139" s="43"/>
      <c r="L2139" s="44"/>
      <c r="M2139" s="45" t="s">
        <v>6633</v>
      </c>
    </row>
    <row r="2140" s="26" customFormat="1" ht="30" customHeight="1" spans="1:13">
      <c r="A2140" s="41">
        <f>IF(C2140="","",SUBTOTAL(103,$C$2:C2140))</f>
        <v>2131</v>
      </c>
      <c r="B2140" s="41">
        <v>10051</v>
      </c>
      <c r="C2140" s="41">
        <v>6828</v>
      </c>
      <c r="D2140" s="41" t="s">
        <v>45</v>
      </c>
      <c r="E2140" s="41" t="s">
        <v>1298</v>
      </c>
      <c r="F2140" s="41" t="s">
        <v>6615</v>
      </c>
      <c r="G2140" s="41" t="s">
        <v>6634</v>
      </c>
      <c r="H2140" s="41" t="s">
        <v>6635</v>
      </c>
      <c r="I2140" s="43">
        <v>12</v>
      </c>
      <c r="J2140" s="44" t="str">
        <f>VLOOKUP(G2140,[1]硬件清单!$F:$F,1,0)</f>
        <v>FCH1834JDNQ</v>
      </c>
      <c r="K2140" s="43"/>
      <c r="L2140" s="44"/>
      <c r="M2140" s="45" t="s">
        <v>6636</v>
      </c>
    </row>
    <row r="2141" s="26" customFormat="1" ht="30" customHeight="1" spans="1:13">
      <c r="A2141" s="41">
        <f>IF(C2141="","",SUBTOTAL(103,$C$2:C2141))</f>
        <v>2132</v>
      </c>
      <c r="B2141" s="41">
        <v>10052</v>
      </c>
      <c r="C2141" s="41">
        <v>6829</v>
      </c>
      <c r="D2141" s="41" t="s">
        <v>45</v>
      </c>
      <c r="E2141" s="41" t="s">
        <v>1298</v>
      </c>
      <c r="F2141" s="41" t="s">
        <v>6615</v>
      </c>
      <c r="G2141" s="41" t="s">
        <v>6637</v>
      </c>
      <c r="H2141" s="41" t="s">
        <v>6638</v>
      </c>
      <c r="I2141" s="43">
        <v>12</v>
      </c>
      <c r="J2141" s="44" t="str">
        <f>VLOOKUP(G2141,[1]硬件清单!$F:$F,1,0)</f>
        <v>FCH18347Q27</v>
      </c>
      <c r="K2141" s="43"/>
      <c r="L2141" s="44"/>
      <c r="M2141" s="45" t="s">
        <v>6639</v>
      </c>
    </row>
    <row r="2142" s="26" customFormat="1" ht="30" customHeight="1" spans="1:13">
      <c r="A2142" s="41">
        <f>IF(C2142="","",SUBTOTAL(103,$C$2:C2142))</f>
        <v>2133</v>
      </c>
      <c r="B2142" s="41">
        <v>10053</v>
      </c>
      <c r="C2142" s="41">
        <v>6862</v>
      </c>
      <c r="D2142" s="41" t="s">
        <v>45</v>
      </c>
      <c r="E2142" s="41" t="s">
        <v>1298</v>
      </c>
      <c r="F2142" s="41" t="s">
        <v>6611</v>
      </c>
      <c r="G2142" s="41" t="s">
        <v>6640</v>
      </c>
      <c r="H2142" s="41" t="s">
        <v>6641</v>
      </c>
      <c r="I2142" s="43">
        <v>12</v>
      </c>
      <c r="J2142" s="44" t="str">
        <f>VLOOKUP(G2142,[1]硬件清单!$F:$F,1,0)</f>
        <v>FOX1842GHVG</v>
      </c>
      <c r="K2142" s="43"/>
      <c r="L2142" s="44"/>
      <c r="M2142" s="45" t="s">
        <v>6642</v>
      </c>
    </row>
    <row r="2143" s="26" customFormat="1" ht="30" customHeight="1" spans="1:13">
      <c r="A2143" s="41">
        <f>IF(C2143="","",SUBTOTAL(103,$C$2:C2143))</f>
        <v>2134</v>
      </c>
      <c r="B2143" s="41">
        <v>10054</v>
      </c>
      <c r="C2143" s="41">
        <v>6836</v>
      </c>
      <c r="D2143" s="41" t="s">
        <v>45</v>
      </c>
      <c r="E2143" s="41" t="s">
        <v>1298</v>
      </c>
      <c r="F2143" s="41" t="s">
        <v>6615</v>
      </c>
      <c r="G2143" s="41" t="s">
        <v>6643</v>
      </c>
      <c r="H2143" s="41" t="s">
        <v>6644</v>
      </c>
      <c r="I2143" s="43">
        <v>12</v>
      </c>
      <c r="J2143" s="44" t="str">
        <f>VLOOKUP(G2143,[1]硬件清单!$F:$F,1,0)</f>
        <v>FCH18347JT2</v>
      </c>
      <c r="K2143" s="43"/>
      <c r="L2143" s="44"/>
      <c r="M2143" s="45" t="s">
        <v>6645</v>
      </c>
    </row>
    <row r="2144" s="26" customFormat="1" ht="30" customHeight="1" spans="1:13">
      <c r="A2144" s="41">
        <f>IF(C2144="","",SUBTOTAL(103,$C$2:C2144))</f>
        <v>2135</v>
      </c>
      <c r="B2144" s="41">
        <v>10055</v>
      </c>
      <c r="C2144" s="41">
        <v>6837</v>
      </c>
      <c r="D2144" s="41" t="s">
        <v>45</v>
      </c>
      <c r="E2144" s="41" t="s">
        <v>1298</v>
      </c>
      <c r="F2144" s="41" t="s">
        <v>6615</v>
      </c>
      <c r="G2144" s="41" t="s">
        <v>6646</v>
      </c>
      <c r="H2144" s="41" t="s">
        <v>6647</v>
      </c>
      <c r="I2144" s="43">
        <v>12</v>
      </c>
      <c r="J2144" s="44" t="str">
        <f>VLOOKUP(G2144,[1]硬件清单!$F:$F,1,0)</f>
        <v>FCH18347HVG</v>
      </c>
      <c r="K2144" s="43"/>
      <c r="L2144" s="44"/>
      <c r="M2144" s="45" t="s">
        <v>6648</v>
      </c>
    </row>
    <row r="2145" s="26" customFormat="1" ht="30" customHeight="1" spans="1:13">
      <c r="A2145" s="41">
        <f>IF(C2145="","",SUBTOTAL(103,$C$2:C2145))</f>
        <v>2136</v>
      </c>
      <c r="B2145" s="41">
        <v>10056</v>
      </c>
      <c r="C2145" s="41">
        <v>6838</v>
      </c>
      <c r="D2145" s="41" t="s">
        <v>45</v>
      </c>
      <c r="E2145" s="41" t="s">
        <v>1298</v>
      </c>
      <c r="F2145" s="41" t="s">
        <v>6615</v>
      </c>
      <c r="G2145" s="41" t="s">
        <v>6649</v>
      </c>
      <c r="H2145" s="41" t="s">
        <v>6650</v>
      </c>
      <c r="I2145" s="43">
        <v>12</v>
      </c>
      <c r="J2145" s="44" t="str">
        <f>VLOOKUP(G2145,[1]硬件清单!$F:$F,1,0)</f>
        <v>FCH18347HRA</v>
      </c>
      <c r="K2145" s="43"/>
      <c r="L2145" s="44"/>
      <c r="M2145" s="45" t="s">
        <v>6651</v>
      </c>
    </row>
    <row r="2146" s="26" customFormat="1" ht="30" customHeight="1" spans="1:13">
      <c r="A2146" s="41">
        <f>IF(C2146="","",SUBTOTAL(103,$C$2:C2146))</f>
        <v>2137</v>
      </c>
      <c r="B2146" s="41">
        <v>10057</v>
      </c>
      <c r="C2146" s="41">
        <v>6839</v>
      </c>
      <c r="D2146" s="41" t="s">
        <v>45</v>
      </c>
      <c r="E2146" s="41" t="s">
        <v>1298</v>
      </c>
      <c r="F2146" s="41" t="s">
        <v>6615</v>
      </c>
      <c r="G2146" s="41" t="s">
        <v>6652</v>
      </c>
      <c r="H2146" s="41" t="s">
        <v>6653</v>
      </c>
      <c r="I2146" s="43">
        <v>12</v>
      </c>
      <c r="J2146" s="44" t="str">
        <f>VLOOKUP(G2146,[1]硬件清单!$F:$F,1,0)</f>
        <v>FCH18347KZU</v>
      </c>
      <c r="K2146" s="43"/>
      <c r="L2146" s="44"/>
      <c r="M2146" s="45" t="s">
        <v>6654</v>
      </c>
    </row>
    <row r="2147" s="26" customFormat="1" ht="30" customHeight="1" spans="1:13">
      <c r="A2147" s="41">
        <f>IF(C2147="","",SUBTOTAL(103,$C$2:C2147))</f>
        <v>2138</v>
      </c>
      <c r="B2147" s="41">
        <v>10058</v>
      </c>
      <c r="C2147" s="41">
        <v>6840</v>
      </c>
      <c r="D2147" s="41" t="s">
        <v>45</v>
      </c>
      <c r="E2147" s="41" t="s">
        <v>1298</v>
      </c>
      <c r="F2147" s="41" t="s">
        <v>6615</v>
      </c>
      <c r="G2147" s="41" t="s">
        <v>6655</v>
      </c>
      <c r="H2147" s="41" t="s">
        <v>6656</v>
      </c>
      <c r="I2147" s="43">
        <v>12</v>
      </c>
      <c r="J2147" s="44" t="str">
        <f>VLOOKUP(G2147,[1]硬件清单!$F:$F,1,0)</f>
        <v>FCH18347HUZ</v>
      </c>
      <c r="K2147" s="43"/>
      <c r="L2147" s="44"/>
      <c r="M2147" s="45" t="s">
        <v>6657</v>
      </c>
    </row>
    <row r="2148" s="26" customFormat="1" ht="30" customHeight="1" spans="1:13">
      <c r="A2148" s="41">
        <f>IF(C2148="","",SUBTOTAL(103,$C$2:C2148))</f>
        <v>2139</v>
      </c>
      <c r="B2148" s="41">
        <v>10059</v>
      </c>
      <c r="C2148" s="41">
        <v>6841</v>
      </c>
      <c r="D2148" s="41" t="s">
        <v>45</v>
      </c>
      <c r="E2148" s="41" t="s">
        <v>1298</v>
      </c>
      <c r="F2148" s="41" t="s">
        <v>6615</v>
      </c>
      <c r="G2148" s="41" t="s">
        <v>6658</v>
      </c>
      <c r="H2148" s="41" t="s">
        <v>6659</v>
      </c>
      <c r="I2148" s="43">
        <v>12</v>
      </c>
      <c r="J2148" s="44" t="str">
        <f>VLOOKUP(G2148,[1]硬件清单!$F:$F,1,0)</f>
        <v>FCH18347HCZ</v>
      </c>
      <c r="K2148" s="43"/>
      <c r="L2148" s="44"/>
      <c r="M2148" s="45" t="s">
        <v>6660</v>
      </c>
    </row>
    <row r="2149" s="26" customFormat="1" ht="30" customHeight="1" spans="1:13">
      <c r="A2149" s="41">
        <f>IF(C2149="","",SUBTOTAL(103,$C$2:C2149))</f>
        <v>2140</v>
      </c>
      <c r="B2149" s="41">
        <v>10060</v>
      </c>
      <c r="C2149" s="41">
        <v>6842</v>
      </c>
      <c r="D2149" s="41" t="s">
        <v>45</v>
      </c>
      <c r="E2149" s="41" t="s">
        <v>1298</v>
      </c>
      <c r="F2149" s="41" t="s">
        <v>6615</v>
      </c>
      <c r="G2149" s="41" t="s">
        <v>6661</v>
      </c>
      <c r="H2149" s="41" t="s">
        <v>6662</v>
      </c>
      <c r="I2149" s="43">
        <v>12</v>
      </c>
      <c r="J2149" s="44" t="str">
        <f>VLOOKUP(G2149,[1]硬件清单!$F:$F,1,0)</f>
        <v>FCH18347JCE</v>
      </c>
      <c r="K2149" s="43"/>
      <c r="L2149" s="44"/>
      <c r="M2149" s="45" t="s">
        <v>6663</v>
      </c>
    </row>
    <row r="2150" s="26" customFormat="1" ht="30" customHeight="1" spans="1:13">
      <c r="A2150" s="41">
        <f>IF(C2150="","",SUBTOTAL(103,$C$2:C2150))</f>
        <v>2141</v>
      </c>
      <c r="B2150" s="41">
        <v>10061</v>
      </c>
      <c r="C2150" s="41">
        <v>6843</v>
      </c>
      <c r="D2150" s="41" t="s">
        <v>45</v>
      </c>
      <c r="E2150" s="41" t="s">
        <v>1298</v>
      </c>
      <c r="F2150" s="41" t="s">
        <v>6615</v>
      </c>
      <c r="G2150" s="41" t="s">
        <v>6664</v>
      </c>
      <c r="H2150" s="41" t="s">
        <v>6665</v>
      </c>
      <c r="I2150" s="43">
        <v>12</v>
      </c>
      <c r="J2150" s="44" t="str">
        <f>VLOOKUP(G2150,[1]硬件清单!$F:$F,1,0)</f>
        <v>FCH18347KP9</v>
      </c>
      <c r="K2150" s="43"/>
      <c r="L2150" s="44"/>
      <c r="M2150" s="45" t="s">
        <v>6666</v>
      </c>
    </row>
    <row r="2151" s="26" customFormat="1" ht="30" customHeight="1" spans="1:13">
      <c r="A2151" s="41">
        <f>IF(C2151="","",SUBTOTAL(103,$C$2:C2151))</f>
        <v>2142</v>
      </c>
      <c r="B2151" s="41">
        <v>10062</v>
      </c>
      <c r="C2151" s="41">
        <v>6863</v>
      </c>
      <c r="D2151" s="41" t="s">
        <v>45</v>
      </c>
      <c r="E2151" s="41" t="s">
        <v>1298</v>
      </c>
      <c r="F2151" s="41" t="s">
        <v>6611</v>
      </c>
      <c r="G2151" s="41" t="s">
        <v>6667</v>
      </c>
      <c r="H2151" s="41" t="s">
        <v>6668</v>
      </c>
      <c r="I2151" s="43">
        <v>12</v>
      </c>
      <c r="J2151" s="44" t="str">
        <f>VLOOKUP(G2151,[1]硬件清单!$F:$F,1,0)</f>
        <v>FOX1842G6HM</v>
      </c>
      <c r="K2151" s="43"/>
      <c r="L2151" s="44"/>
      <c r="M2151" s="45" t="s">
        <v>6669</v>
      </c>
    </row>
    <row r="2152" s="26" customFormat="1" ht="30" customHeight="1" spans="1:13">
      <c r="A2152" s="41">
        <f>IF(C2152="","",SUBTOTAL(103,$C$2:C2152))</f>
        <v>2143</v>
      </c>
      <c r="B2152" s="41">
        <v>10063</v>
      </c>
      <c r="C2152" s="41">
        <v>6844</v>
      </c>
      <c r="D2152" s="41" t="s">
        <v>45</v>
      </c>
      <c r="E2152" s="41" t="s">
        <v>1298</v>
      </c>
      <c r="F2152" s="41" t="s">
        <v>6615</v>
      </c>
      <c r="G2152" s="41" t="s">
        <v>6670</v>
      </c>
      <c r="H2152" s="41" t="s">
        <v>6671</v>
      </c>
      <c r="I2152" s="43">
        <v>12</v>
      </c>
      <c r="J2152" s="44" t="str">
        <f>VLOOKUP(G2152,[1]硬件清单!$F:$F,1,0)</f>
        <v>FCH18347HAF</v>
      </c>
      <c r="K2152" s="43"/>
      <c r="L2152" s="44"/>
      <c r="M2152" s="45" t="s">
        <v>6672</v>
      </c>
    </row>
    <row r="2153" s="26" customFormat="1" ht="30" customHeight="1" spans="1:13">
      <c r="A2153" s="41">
        <f>IF(C2153="","",SUBTOTAL(103,$C$2:C2153))</f>
        <v>2144</v>
      </c>
      <c r="B2153" s="41">
        <v>10064</v>
      </c>
      <c r="C2153" s="41">
        <v>6845</v>
      </c>
      <c r="D2153" s="41" t="s">
        <v>45</v>
      </c>
      <c r="E2153" s="41" t="s">
        <v>1298</v>
      </c>
      <c r="F2153" s="41" t="s">
        <v>6615</v>
      </c>
      <c r="G2153" s="41" t="s">
        <v>6673</v>
      </c>
      <c r="H2153" s="41" t="s">
        <v>6674</v>
      </c>
      <c r="I2153" s="43">
        <v>12</v>
      </c>
      <c r="J2153" s="44" t="str">
        <f>VLOOKUP(G2153,[1]硬件清单!$F:$F,1,0)</f>
        <v>FCH18347K43</v>
      </c>
      <c r="K2153" s="43"/>
      <c r="L2153" s="44"/>
      <c r="M2153" s="45" t="s">
        <v>6675</v>
      </c>
    </row>
    <row r="2154" s="26" customFormat="1" ht="30" customHeight="1" spans="1:13">
      <c r="A2154" s="41">
        <f>IF(C2154="","",SUBTOTAL(103,$C$2:C2154))</f>
        <v>2145</v>
      </c>
      <c r="B2154" s="41">
        <v>10065</v>
      </c>
      <c r="C2154" s="41">
        <v>6846</v>
      </c>
      <c r="D2154" s="41" t="s">
        <v>45</v>
      </c>
      <c r="E2154" s="41" t="s">
        <v>1298</v>
      </c>
      <c r="F2154" s="41" t="s">
        <v>6615</v>
      </c>
      <c r="G2154" s="41" t="s">
        <v>6676</v>
      </c>
      <c r="H2154" s="41" t="s">
        <v>6677</v>
      </c>
      <c r="I2154" s="43">
        <v>12</v>
      </c>
      <c r="J2154" s="44" t="str">
        <f>VLOOKUP(G2154,[1]硬件清单!$F:$F,1,0)</f>
        <v>FCH18347JYX</v>
      </c>
      <c r="K2154" s="43"/>
      <c r="L2154" s="44"/>
      <c r="M2154" s="45" t="s">
        <v>6678</v>
      </c>
    </row>
    <row r="2155" s="26" customFormat="1" ht="30" customHeight="1" spans="1:13">
      <c r="A2155" s="41">
        <f>IF(C2155="","",SUBTOTAL(103,$C$2:C2155))</f>
        <v>2146</v>
      </c>
      <c r="B2155" s="41">
        <v>10066</v>
      </c>
      <c r="C2155" s="41">
        <v>6847</v>
      </c>
      <c r="D2155" s="41" t="s">
        <v>45</v>
      </c>
      <c r="E2155" s="41" t="s">
        <v>1298</v>
      </c>
      <c r="F2155" s="41" t="s">
        <v>6615</v>
      </c>
      <c r="G2155" s="41" t="s">
        <v>6679</v>
      </c>
      <c r="H2155" s="41" t="s">
        <v>6680</v>
      </c>
      <c r="I2155" s="43">
        <v>12</v>
      </c>
      <c r="J2155" s="44" t="str">
        <f>VLOOKUP(G2155,[1]硬件清单!$F:$F,1,0)</f>
        <v>FCH18347K2E</v>
      </c>
      <c r="K2155" s="43"/>
      <c r="L2155" s="44"/>
      <c r="M2155" s="45" t="s">
        <v>6681</v>
      </c>
    </row>
    <row r="2156" s="26" customFormat="1" ht="30" customHeight="1" spans="1:13">
      <c r="A2156" s="41">
        <f>IF(C2156="","",SUBTOTAL(103,$C$2:C2156))</f>
        <v>2147</v>
      </c>
      <c r="B2156" s="41">
        <v>10067</v>
      </c>
      <c r="C2156" s="41">
        <v>6848</v>
      </c>
      <c r="D2156" s="41" t="s">
        <v>45</v>
      </c>
      <c r="E2156" s="41" t="s">
        <v>1298</v>
      </c>
      <c r="F2156" s="41" t="s">
        <v>6615</v>
      </c>
      <c r="G2156" s="41" t="s">
        <v>6682</v>
      </c>
      <c r="H2156" s="41" t="s">
        <v>6683</v>
      </c>
      <c r="I2156" s="43">
        <v>12</v>
      </c>
      <c r="J2156" s="44" t="str">
        <f>VLOOKUP(G2156,[1]硬件清单!$F:$F,1,0)</f>
        <v>FCH18347KD3</v>
      </c>
      <c r="K2156" s="43"/>
      <c r="L2156" s="44"/>
      <c r="M2156" s="45" t="s">
        <v>6684</v>
      </c>
    </row>
    <row r="2157" s="26" customFormat="1" ht="30" customHeight="1" spans="1:13">
      <c r="A2157" s="41">
        <f>IF(C2157="","",SUBTOTAL(103,$C$2:C2157))</f>
        <v>2148</v>
      </c>
      <c r="B2157" s="41">
        <v>10068</v>
      </c>
      <c r="C2157" s="41">
        <v>6849</v>
      </c>
      <c r="D2157" s="41" t="s">
        <v>45</v>
      </c>
      <c r="E2157" s="41" t="s">
        <v>1298</v>
      </c>
      <c r="F2157" s="41" t="s">
        <v>6615</v>
      </c>
      <c r="G2157" s="41" t="s">
        <v>6685</v>
      </c>
      <c r="H2157" s="41" t="s">
        <v>6686</v>
      </c>
      <c r="I2157" s="43">
        <v>12</v>
      </c>
      <c r="J2157" s="44" t="str">
        <f>VLOOKUP(G2157,[1]硬件清单!$F:$F,1,0)</f>
        <v>FCH18347M8L</v>
      </c>
      <c r="K2157" s="43"/>
      <c r="L2157" s="44"/>
      <c r="M2157" s="45" t="s">
        <v>6687</v>
      </c>
    </row>
    <row r="2158" s="26" customFormat="1" ht="30" customHeight="1" spans="1:13">
      <c r="A2158" s="41">
        <f>IF(C2158="","",SUBTOTAL(103,$C$2:C2158))</f>
        <v>2149</v>
      </c>
      <c r="B2158" s="41">
        <v>10069</v>
      </c>
      <c r="C2158" s="41">
        <v>6850</v>
      </c>
      <c r="D2158" s="41" t="s">
        <v>45</v>
      </c>
      <c r="E2158" s="41" t="s">
        <v>1298</v>
      </c>
      <c r="F2158" s="41" t="s">
        <v>6615</v>
      </c>
      <c r="G2158" s="41" t="s">
        <v>6688</v>
      </c>
      <c r="H2158" s="41" t="s">
        <v>6689</v>
      </c>
      <c r="I2158" s="43">
        <v>12</v>
      </c>
      <c r="J2158" s="44" t="str">
        <f>VLOOKUP(G2158,[1]硬件清单!$F:$F,1,0)</f>
        <v>FCH18347LOL</v>
      </c>
      <c r="K2158" s="43"/>
      <c r="L2158" s="44"/>
      <c r="M2158" s="45" t="s">
        <v>6690</v>
      </c>
    </row>
    <row r="2159" s="26" customFormat="1" ht="30" customHeight="1" spans="1:13">
      <c r="A2159" s="41">
        <f>IF(C2159="","",SUBTOTAL(103,$C$2:C2159))</f>
        <v>2150</v>
      </c>
      <c r="B2159" s="41">
        <v>10070</v>
      </c>
      <c r="C2159" s="41">
        <v>6851</v>
      </c>
      <c r="D2159" s="41" t="s">
        <v>45</v>
      </c>
      <c r="E2159" s="41" t="s">
        <v>1298</v>
      </c>
      <c r="F2159" s="41" t="s">
        <v>6615</v>
      </c>
      <c r="G2159" s="41" t="s">
        <v>6691</v>
      </c>
      <c r="H2159" s="41" t="s">
        <v>6692</v>
      </c>
      <c r="I2159" s="43">
        <v>12</v>
      </c>
      <c r="J2159" s="44" t="str">
        <f>VLOOKUP(G2159,[1]硬件清单!$F:$F,1,0)</f>
        <v>FCH18347KDC</v>
      </c>
      <c r="K2159" s="43"/>
      <c r="L2159" s="44"/>
      <c r="M2159" s="45" t="s">
        <v>6693</v>
      </c>
    </row>
    <row r="2160" s="26" customFormat="1" ht="30" customHeight="1" spans="1:13">
      <c r="A2160" s="41">
        <f>IF(C2160="","",SUBTOTAL(103,$C$2:C2160))</f>
        <v>2151</v>
      </c>
      <c r="B2160" s="41">
        <v>10071</v>
      </c>
      <c r="C2160" s="41">
        <v>6834</v>
      </c>
      <c r="D2160" s="41" t="s">
        <v>45</v>
      </c>
      <c r="E2160" s="41" t="s">
        <v>1298</v>
      </c>
      <c r="F2160" s="41" t="s">
        <v>6611</v>
      </c>
      <c r="G2160" s="41" t="s">
        <v>6694</v>
      </c>
      <c r="H2160" s="41" t="s">
        <v>6695</v>
      </c>
      <c r="I2160" s="43">
        <v>12</v>
      </c>
      <c r="J2160" s="44" t="str">
        <f>VLOOKUP(G2160,[1]硬件清单!$F:$F,1,0)</f>
        <v>FOX1838GTEG</v>
      </c>
      <c r="K2160" s="43"/>
      <c r="L2160" s="44"/>
      <c r="M2160" s="45" t="s">
        <v>6696</v>
      </c>
    </row>
    <row r="2161" s="26" customFormat="1" ht="30" customHeight="1" spans="1:13">
      <c r="A2161" s="41">
        <f>IF(C2161="","",SUBTOTAL(103,$C$2:C2161))</f>
        <v>2152</v>
      </c>
      <c r="B2161" s="41">
        <v>10072</v>
      </c>
      <c r="C2161" s="41">
        <v>6814</v>
      </c>
      <c r="D2161" s="41" t="s">
        <v>45</v>
      </c>
      <c r="E2161" s="41" t="s">
        <v>1298</v>
      </c>
      <c r="F2161" s="41" t="s">
        <v>6615</v>
      </c>
      <c r="G2161" s="41" t="s">
        <v>6697</v>
      </c>
      <c r="H2161" s="41" t="s">
        <v>6698</v>
      </c>
      <c r="I2161" s="43">
        <v>12</v>
      </c>
      <c r="J2161" s="44" t="str">
        <f>VLOOKUP(G2161,[1]硬件清单!$F:$F,1,0)</f>
        <v>FCH1834JDMH</v>
      </c>
      <c r="K2161" s="43"/>
      <c r="L2161" s="44"/>
      <c r="M2161" s="45" t="s">
        <v>6699</v>
      </c>
    </row>
    <row r="2162" s="26" customFormat="1" ht="30" customHeight="1" spans="1:13">
      <c r="A2162" s="41">
        <f>IF(C2162="","",SUBTOTAL(103,$C$2:C2162))</f>
        <v>2153</v>
      </c>
      <c r="B2162" s="41">
        <v>10073</v>
      </c>
      <c r="C2162" s="41">
        <v>6815</v>
      </c>
      <c r="D2162" s="41" t="s">
        <v>45</v>
      </c>
      <c r="E2162" s="41" t="s">
        <v>1298</v>
      </c>
      <c r="F2162" s="41" t="s">
        <v>6615</v>
      </c>
      <c r="G2162" s="41" t="s">
        <v>6700</v>
      </c>
      <c r="H2162" s="41" t="s">
        <v>6701</v>
      </c>
      <c r="I2162" s="43">
        <v>12</v>
      </c>
      <c r="J2162" s="44" t="str">
        <f>VLOOKUP(G2162,[1]硬件清单!$F:$F,1,0)</f>
        <v>FCH1834JE4B</v>
      </c>
      <c r="K2162" s="43"/>
      <c r="L2162" s="44"/>
      <c r="M2162" s="45" t="s">
        <v>6702</v>
      </c>
    </row>
    <row r="2163" s="26" customFormat="1" ht="30" customHeight="1" spans="1:13">
      <c r="A2163" s="41">
        <f>IF(C2163="","",SUBTOTAL(103,$C$2:C2163))</f>
        <v>2154</v>
      </c>
      <c r="B2163" s="41">
        <v>10074</v>
      </c>
      <c r="C2163" s="41">
        <v>6816</v>
      </c>
      <c r="D2163" s="41" t="s">
        <v>45</v>
      </c>
      <c r="E2163" s="41" t="s">
        <v>1298</v>
      </c>
      <c r="F2163" s="41" t="s">
        <v>6615</v>
      </c>
      <c r="G2163" s="41" t="s">
        <v>6703</v>
      </c>
      <c r="H2163" s="41" t="s">
        <v>6704</v>
      </c>
      <c r="I2163" s="43">
        <v>12</v>
      </c>
      <c r="J2163" s="44" t="str">
        <f>VLOOKUP(G2163,[1]硬件清单!$F:$F,1,0)</f>
        <v>FCH1834JDPZ</v>
      </c>
      <c r="K2163" s="43"/>
      <c r="L2163" s="44"/>
      <c r="M2163" s="45" t="s">
        <v>6705</v>
      </c>
    </row>
    <row r="2164" s="26" customFormat="1" ht="30" customHeight="1" spans="1:13">
      <c r="A2164" s="41">
        <f>IF(C2164="","",SUBTOTAL(103,$C$2:C2164))</f>
        <v>2155</v>
      </c>
      <c r="B2164" s="41">
        <v>10075</v>
      </c>
      <c r="C2164" s="41">
        <v>6817</v>
      </c>
      <c r="D2164" s="41" t="s">
        <v>45</v>
      </c>
      <c r="E2164" s="41" t="s">
        <v>1298</v>
      </c>
      <c r="F2164" s="41" t="s">
        <v>6615</v>
      </c>
      <c r="G2164" s="41" t="s">
        <v>6706</v>
      </c>
      <c r="H2164" s="41" t="s">
        <v>6707</v>
      </c>
      <c r="I2164" s="43">
        <v>12</v>
      </c>
      <c r="J2164" s="44" t="str">
        <f>VLOOKUP(G2164,[1]硬件清单!$F:$F,1,0)</f>
        <v>FCH18347Q24</v>
      </c>
      <c r="K2164" s="43"/>
      <c r="L2164" s="44"/>
      <c r="M2164" s="45" t="s">
        <v>6708</v>
      </c>
    </row>
    <row r="2165" s="26" customFormat="1" ht="30" customHeight="1" spans="1:13">
      <c r="A2165" s="41">
        <f>IF(C2165="","",SUBTOTAL(103,$C$2:C2165))</f>
        <v>2156</v>
      </c>
      <c r="B2165" s="41">
        <v>10076</v>
      </c>
      <c r="C2165" s="41">
        <v>6818</v>
      </c>
      <c r="D2165" s="41" t="s">
        <v>45</v>
      </c>
      <c r="E2165" s="41" t="s">
        <v>1298</v>
      </c>
      <c r="F2165" s="41" t="s">
        <v>6615</v>
      </c>
      <c r="G2165" s="41" t="s">
        <v>6709</v>
      </c>
      <c r="H2165" s="41" t="s">
        <v>6710</v>
      </c>
      <c r="I2165" s="43">
        <v>12</v>
      </c>
      <c r="J2165" s="44" t="str">
        <f>VLOOKUP(G2165,[1]硬件清单!$F:$F,1,0)</f>
        <v>FCH1834JERN</v>
      </c>
      <c r="K2165" s="43"/>
      <c r="L2165" s="44"/>
      <c r="M2165" s="45" t="s">
        <v>6711</v>
      </c>
    </row>
    <row r="2166" s="26" customFormat="1" ht="30" customHeight="1" spans="1:13">
      <c r="A2166" s="41">
        <f>IF(C2166="","",SUBTOTAL(103,$C$2:C2166))</f>
        <v>2157</v>
      </c>
      <c r="B2166" s="41">
        <v>10077</v>
      </c>
      <c r="C2166" s="41">
        <v>6819</v>
      </c>
      <c r="D2166" s="41" t="s">
        <v>45</v>
      </c>
      <c r="E2166" s="41" t="s">
        <v>1298</v>
      </c>
      <c r="F2166" s="41" t="s">
        <v>6615</v>
      </c>
      <c r="G2166" s="41" t="s">
        <v>6712</v>
      </c>
      <c r="H2166" s="41" t="s">
        <v>6713</v>
      </c>
      <c r="I2166" s="43">
        <v>12</v>
      </c>
      <c r="J2166" s="44" t="str">
        <f>VLOOKUP(G2166,[1]硬件清单!$F:$F,1,0)</f>
        <v>FCH1834JEAY</v>
      </c>
      <c r="K2166" s="43"/>
      <c r="L2166" s="44"/>
      <c r="M2166" s="45" t="s">
        <v>6714</v>
      </c>
    </row>
    <row r="2167" s="26" customFormat="1" ht="30" customHeight="1" spans="1:13">
      <c r="A2167" s="41">
        <f>IF(C2167="","",SUBTOTAL(103,$C$2:C2167))</f>
        <v>2158</v>
      </c>
      <c r="B2167" s="41">
        <v>10078</v>
      </c>
      <c r="C2167" s="41">
        <v>6820</v>
      </c>
      <c r="D2167" s="41" t="s">
        <v>45</v>
      </c>
      <c r="E2167" s="41" t="s">
        <v>1298</v>
      </c>
      <c r="F2167" s="41" t="s">
        <v>6615</v>
      </c>
      <c r="G2167" s="41" t="s">
        <v>6715</v>
      </c>
      <c r="H2167" s="41" t="s">
        <v>6716</v>
      </c>
      <c r="I2167" s="43">
        <v>12</v>
      </c>
      <c r="J2167" s="44" t="str">
        <f>VLOOKUP(G2167,[1]硬件清单!$F:$F,1,0)</f>
        <v>FCH1834JDKV</v>
      </c>
      <c r="K2167" s="43"/>
      <c r="L2167" s="44"/>
      <c r="M2167" s="45" t="s">
        <v>6717</v>
      </c>
    </row>
    <row r="2168" s="26" customFormat="1" ht="30" customHeight="1" spans="1:13">
      <c r="A2168" s="41">
        <f>IF(C2168="","",SUBTOTAL(103,$C$2:C2168))</f>
        <v>2159</v>
      </c>
      <c r="B2168" s="41">
        <v>10079</v>
      </c>
      <c r="C2168" s="41">
        <v>6821</v>
      </c>
      <c r="D2168" s="41" t="s">
        <v>45</v>
      </c>
      <c r="E2168" s="41" t="s">
        <v>1298</v>
      </c>
      <c r="F2168" s="41" t="s">
        <v>6615</v>
      </c>
      <c r="G2168" s="41" t="s">
        <v>6718</v>
      </c>
      <c r="H2168" s="41" t="s">
        <v>6719</v>
      </c>
      <c r="I2168" s="43">
        <v>12</v>
      </c>
      <c r="J2168" s="44" t="str">
        <f>VLOOKUP(G2168,[1]硬件清单!$F:$F,1,0)</f>
        <v>FCH1834JEBK</v>
      </c>
      <c r="K2168" s="43"/>
      <c r="L2168" s="44"/>
      <c r="M2168" s="45" t="s">
        <v>6720</v>
      </c>
    </row>
    <row r="2169" s="26" customFormat="1" ht="30" customHeight="1" spans="1:13">
      <c r="A2169" s="41">
        <f>IF(C2169="","",SUBTOTAL(103,$C$2:C2169))</f>
        <v>2160</v>
      </c>
      <c r="B2169" s="41">
        <v>10080</v>
      </c>
      <c r="C2169" s="41">
        <v>6869</v>
      </c>
      <c r="D2169" s="41" t="s">
        <v>45</v>
      </c>
      <c r="E2169" s="41" t="s">
        <v>1298</v>
      </c>
      <c r="F2169" s="41" t="s">
        <v>6611</v>
      </c>
      <c r="G2169" s="41" t="s">
        <v>6721</v>
      </c>
      <c r="H2169" s="41" t="s">
        <v>6722</v>
      </c>
      <c r="I2169" s="43">
        <v>12</v>
      </c>
      <c r="J2169" s="44" t="str">
        <f>VLOOKUP(G2169,[1]硬件清单!$F:$F,1,0)</f>
        <v>FOX1842GHWG</v>
      </c>
      <c r="K2169" s="43"/>
      <c r="L2169" s="44"/>
      <c r="M2169" s="45" t="s">
        <v>6723</v>
      </c>
    </row>
    <row r="2170" s="26" customFormat="1" ht="30" customHeight="1" spans="1:13">
      <c r="A2170" s="41">
        <f>IF(C2170="","",SUBTOTAL(103,$C$2:C2170))</f>
        <v>2161</v>
      </c>
      <c r="B2170" s="41">
        <v>10081</v>
      </c>
      <c r="C2170" s="41">
        <v>6830</v>
      </c>
      <c r="D2170" s="41" t="s">
        <v>45</v>
      </c>
      <c r="E2170" s="41" t="s">
        <v>1298</v>
      </c>
      <c r="F2170" s="41" t="s">
        <v>6615</v>
      </c>
      <c r="G2170" s="41" t="s">
        <v>6724</v>
      </c>
      <c r="H2170" s="41" t="s">
        <v>6725</v>
      </c>
      <c r="I2170" s="43">
        <v>12</v>
      </c>
      <c r="J2170" s="44" t="str">
        <f>VLOOKUP(G2170,[1]硬件清单!$F:$F,1,0)</f>
        <v>FCH18347HTE</v>
      </c>
      <c r="K2170" s="43"/>
      <c r="L2170" s="44"/>
      <c r="M2170" s="45" t="s">
        <v>6726</v>
      </c>
    </row>
    <row r="2171" s="26" customFormat="1" ht="30" customHeight="1" spans="1:13">
      <c r="A2171" s="41">
        <f>IF(C2171="","",SUBTOTAL(103,$C$2:C2171))</f>
        <v>2162</v>
      </c>
      <c r="B2171" s="41">
        <v>10082</v>
      </c>
      <c r="C2171" s="41">
        <v>6831</v>
      </c>
      <c r="D2171" s="41" t="s">
        <v>45</v>
      </c>
      <c r="E2171" s="41" t="s">
        <v>1298</v>
      </c>
      <c r="F2171" s="41" t="s">
        <v>6615</v>
      </c>
      <c r="G2171" s="41" t="s">
        <v>6727</v>
      </c>
      <c r="H2171" s="41" t="s">
        <v>6728</v>
      </c>
      <c r="I2171" s="43">
        <v>12</v>
      </c>
      <c r="J2171" s="44" t="str">
        <f>VLOOKUP(G2171,[1]硬件清单!$F:$F,1,0)</f>
        <v>FCH18347JD7</v>
      </c>
      <c r="K2171" s="43"/>
      <c r="L2171" s="44"/>
      <c r="M2171" s="45" t="s">
        <v>6729</v>
      </c>
    </row>
    <row r="2172" s="26" customFormat="1" ht="30" customHeight="1" spans="1:13">
      <c r="A2172" s="41">
        <f>IF(C2172="","",SUBTOTAL(103,$C$2:C2172))</f>
        <v>2163</v>
      </c>
      <c r="B2172" s="41">
        <v>10083</v>
      </c>
      <c r="C2172" s="41">
        <v>6865</v>
      </c>
      <c r="D2172" s="41" t="s">
        <v>45</v>
      </c>
      <c r="E2172" s="41" t="s">
        <v>1298</v>
      </c>
      <c r="F2172" s="41" t="s">
        <v>6615</v>
      </c>
      <c r="G2172" s="41" t="s">
        <v>6730</v>
      </c>
      <c r="H2172" s="41" t="s">
        <v>6731</v>
      </c>
      <c r="I2172" s="43">
        <v>12</v>
      </c>
      <c r="J2172" s="44" t="str">
        <f>VLOOKUP(G2172,[1]硬件清单!$F:$F,1,0)</f>
        <v>FCH18347K08</v>
      </c>
      <c r="K2172" s="43"/>
      <c r="L2172" s="44"/>
      <c r="M2172" s="45" t="s">
        <v>6732</v>
      </c>
    </row>
    <row r="2173" s="26" customFormat="1" ht="30" customHeight="1" spans="1:13">
      <c r="A2173" s="41">
        <f>IF(C2173="","",SUBTOTAL(103,$C$2:C2173))</f>
        <v>2164</v>
      </c>
      <c r="B2173" s="41">
        <v>10084</v>
      </c>
      <c r="C2173" s="41">
        <v>6866</v>
      </c>
      <c r="D2173" s="41" t="s">
        <v>45</v>
      </c>
      <c r="E2173" s="41" t="s">
        <v>1298</v>
      </c>
      <c r="F2173" s="41" t="s">
        <v>6615</v>
      </c>
      <c r="G2173" s="41" t="s">
        <v>6733</v>
      </c>
      <c r="H2173" s="41" t="s">
        <v>6734</v>
      </c>
      <c r="I2173" s="43">
        <v>12</v>
      </c>
      <c r="J2173" s="44" t="str">
        <f>VLOOKUP(G2173,[1]硬件清单!$F:$F,1,0)</f>
        <v>FCH18347K3J</v>
      </c>
      <c r="K2173" s="43"/>
      <c r="L2173" s="44"/>
      <c r="M2173" s="45" t="s">
        <v>6735</v>
      </c>
    </row>
    <row r="2174" s="26" customFormat="1" ht="30" customHeight="1" spans="1:13">
      <c r="A2174" s="41">
        <f>IF(C2174="","",SUBTOTAL(103,$C$2:C2174))</f>
        <v>2165</v>
      </c>
      <c r="B2174" s="41">
        <v>10085</v>
      </c>
      <c r="C2174" s="41">
        <v>6860</v>
      </c>
      <c r="D2174" s="41" t="s">
        <v>45</v>
      </c>
      <c r="E2174" s="41" t="s">
        <v>1298</v>
      </c>
      <c r="F2174" s="41" t="s">
        <v>6615</v>
      </c>
      <c r="G2174" s="41" t="s">
        <v>6736</v>
      </c>
      <c r="H2174" s="41" t="s">
        <v>6737</v>
      </c>
      <c r="I2174" s="43">
        <v>12</v>
      </c>
      <c r="J2174" s="44" t="str">
        <f>VLOOKUP(G2174,[1]硬件清单!$F:$F,1,0)</f>
        <v>FCH18407JSW</v>
      </c>
      <c r="K2174" s="43"/>
      <c r="L2174" s="44"/>
      <c r="M2174" s="45" t="s">
        <v>6738</v>
      </c>
    </row>
    <row r="2175" s="26" customFormat="1" ht="30" customHeight="1" spans="1:13">
      <c r="A2175" s="41">
        <f>IF(C2175="","",SUBTOTAL(103,$C$2:C2175))</f>
        <v>2166</v>
      </c>
      <c r="B2175" s="41">
        <v>10086</v>
      </c>
      <c r="C2175" s="41">
        <v>6813</v>
      </c>
      <c r="D2175" s="41" t="s">
        <v>45</v>
      </c>
      <c r="E2175" s="41" t="s">
        <v>1298</v>
      </c>
      <c r="F2175" s="41" t="s">
        <v>6611</v>
      </c>
      <c r="G2175" s="41" t="s">
        <v>6739</v>
      </c>
      <c r="H2175" s="41" t="s">
        <v>6740</v>
      </c>
      <c r="I2175" s="43">
        <v>12</v>
      </c>
      <c r="J2175" s="44" t="str">
        <f>VLOOKUP(G2175,[1]硬件清单!$F:$F,1,0)</f>
        <v>FOX1842GJ1R</v>
      </c>
      <c r="K2175" s="43"/>
      <c r="L2175" s="44"/>
      <c r="M2175" s="45" t="s">
        <v>6741</v>
      </c>
    </row>
    <row r="2176" s="26" customFormat="1" ht="30" customHeight="1" spans="1:13">
      <c r="A2176" s="41">
        <f>IF(C2176="","",SUBTOTAL(103,$C$2:C2176))</f>
        <v>2167</v>
      </c>
      <c r="B2176" s="41">
        <v>10087</v>
      </c>
      <c r="C2176" s="41">
        <v>6832</v>
      </c>
      <c r="D2176" s="41" t="s">
        <v>45</v>
      </c>
      <c r="E2176" s="41" t="s">
        <v>1298</v>
      </c>
      <c r="F2176" s="41" t="s">
        <v>6615</v>
      </c>
      <c r="G2176" s="41" t="s">
        <v>6742</v>
      </c>
      <c r="H2176" s="41" t="s">
        <v>6743</v>
      </c>
      <c r="I2176" s="43">
        <v>12</v>
      </c>
      <c r="J2176" s="44" t="str">
        <f>VLOOKUP(G2176,[1]硬件清单!$F:$F,1,0)</f>
        <v>FCH18347J1R</v>
      </c>
      <c r="K2176" s="43"/>
      <c r="L2176" s="44"/>
      <c r="M2176" s="45" t="s">
        <v>6744</v>
      </c>
    </row>
    <row r="2177" s="26" customFormat="1" ht="30" customHeight="1" spans="1:13">
      <c r="A2177" s="41">
        <f>IF(C2177="","",SUBTOTAL(103,$C$2:C2177))</f>
        <v>2168</v>
      </c>
      <c r="B2177" s="41">
        <v>10088</v>
      </c>
      <c r="C2177" s="41">
        <v>6833</v>
      </c>
      <c r="D2177" s="41" t="s">
        <v>45</v>
      </c>
      <c r="E2177" s="41" t="s">
        <v>1298</v>
      </c>
      <c r="F2177" s="41" t="s">
        <v>6615</v>
      </c>
      <c r="G2177" s="41" t="s">
        <v>6745</v>
      </c>
      <c r="H2177" s="41" t="s">
        <v>6746</v>
      </c>
      <c r="I2177" s="43">
        <v>12</v>
      </c>
      <c r="J2177" s="44" t="str">
        <f>VLOOKUP(G2177,[1]硬件清单!$F:$F,1,0)</f>
        <v>FCH18347HS4</v>
      </c>
      <c r="K2177" s="43"/>
      <c r="L2177" s="44"/>
      <c r="M2177" s="45" t="s">
        <v>6747</v>
      </c>
    </row>
    <row r="2178" s="26" customFormat="1" ht="30" customHeight="1" spans="1:13">
      <c r="A2178" s="41">
        <f>IF(C2178="","",SUBTOTAL(103,$C$2:C2178))</f>
        <v>2169</v>
      </c>
      <c r="B2178" s="41">
        <v>10089</v>
      </c>
      <c r="C2178" s="41">
        <v>6867</v>
      </c>
      <c r="D2178" s="41" t="s">
        <v>45</v>
      </c>
      <c r="E2178" s="41" t="s">
        <v>1298</v>
      </c>
      <c r="F2178" s="41" t="s">
        <v>6615</v>
      </c>
      <c r="G2178" s="41" t="s">
        <v>6748</v>
      </c>
      <c r="H2178" s="41" t="s">
        <v>6749</v>
      </c>
      <c r="I2178" s="43">
        <v>12</v>
      </c>
      <c r="J2178" s="44" t="str">
        <f>VLOOKUP(G2178,[1]硬件清单!$F:$F,1,0)</f>
        <v>FCH18347KXU</v>
      </c>
      <c r="K2178" s="43"/>
      <c r="L2178" s="44"/>
      <c r="M2178" s="45" t="s">
        <v>6750</v>
      </c>
    </row>
    <row r="2179" s="26" customFormat="1" ht="30" customHeight="1" spans="1:13">
      <c r="A2179" s="41">
        <f>IF(C2179="","",SUBTOTAL(103,$C$2:C2179))</f>
        <v>2170</v>
      </c>
      <c r="B2179" s="41">
        <v>10090</v>
      </c>
      <c r="C2179" s="41">
        <v>6868</v>
      </c>
      <c r="D2179" s="41" t="s">
        <v>45</v>
      </c>
      <c r="E2179" s="41" t="s">
        <v>1298</v>
      </c>
      <c r="F2179" s="41" t="s">
        <v>6615</v>
      </c>
      <c r="G2179" s="41" t="s">
        <v>6751</v>
      </c>
      <c r="H2179" s="41" t="s">
        <v>6752</v>
      </c>
      <c r="I2179" s="43">
        <v>12</v>
      </c>
      <c r="J2179" s="44" t="str">
        <f>VLOOKUP(G2179,[1]硬件清单!$F:$F,1,0)</f>
        <v>FCH18347LGP</v>
      </c>
      <c r="K2179" s="43"/>
      <c r="L2179" s="44"/>
      <c r="M2179" s="45" t="s">
        <v>6753</v>
      </c>
    </row>
    <row r="2180" s="26" customFormat="1" ht="30" customHeight="1" spans="1:13">
      <c r="A2180" s="41">
        <f>IF(C2180="","",SUBTOTAL(103,$C$2:C2180))</f>
        <v>2171</v>
      </c>
      <c r="B2180" s="41">
        <v>10091</v>
      </c>
      <c r="C2180" s="41">
        <v>6861</v>
      </c>
      <c r="D2180" s="41" t="s">
        <v>45</v>
      </c>
      <c r="E2180" s="41" t="s">
        <v>1298</v>
      </c>
      <c r="F2180" s="41" t="s">
        <v>6615</v>
      </c>
      <c r="G2180" s="41" t="s">
        <v>6754</v>
      </c>
      <c r="H2180" s="41" t="s">
        <v>6755</v>
      </c>
      <c r="I2180" s="43">
        <v>12</v>
      </c>
      <c r="J2180" s="44" t="str">
        <f>VLOOKUP(G2180,[1]硬件清单!$F:$F,1,0)</f>
        <v>FCH18407HCA</v>
      </c>
      <c r="K2180" s="43"/>
      <c r="L2180" s="44"/>
      <c r="M2180" s="45" t="s">
        <v>6756</v>
      </c>
    </row>
    <row r="2181" s="26" customFormat="1" ht="30" customHeight="1" spans="1:13">
      <c r="A2181" s="41">
        <f>IF(C2181="","",SUBTOTAL(103,$C$2:C2181))</f>
        <v>2172</v>
      </c>
      <c r="B2181" s="41">
        <v>10092</v>
      </c>
      <c r="C2181" s="41">
        <v>6864</v>
      </c>
      <c r="D2181" s="41" t="s">
        <v>45</v>
      </c>
      <c r="E2181" s="41" t="s">
        <v>1298</v>
      </c>
      <c r="F2181" s="41" t="s">
        <v>6611</v>
      </c>
      <c r="G2181" s="41" t="s">
        <v>6757</v>
      </c>
      <c r="H2181" s="41" t="s">
        <v>6758</v>
      </c>
      <c r="I2181" s="43">
        <v>12</v>
      </c>
      <c r="J2181" s="44" t="str">
        <f>VLOOKUP(G2181,[1]硬件清单!$F:$F,1,0)</f>
        <v>FOX1841G3NY</v>
      </c>
      <c r="K2181" s="43"/>
      <c r="L2181" s="44"/>
      <c r="M2181" s="45" t="s">
        <v>6759</v>
      </c>
    </row>
    <row r="2182" s="26" customFormat="1" ht="30" customHeight="1" spans="1:13">
      <c r="A2182" s="41">
        <f>IF(C2182="","",SUBTOTAL(103,$C$2:C2182))</f>
        <v>2173</v>
      </c>
      <c r="B2182" s="41">
        <v>10093</v>
      </c>
      <c r="C2182" s="41">
        <v>6852</v>
      </c>
      <c r="D2182" s="41" t="s">
        <v>45</v>
      </c>
      <c r="E2182" s="41" t="s">
        <v>1298</v>
      </c>
      <c r="F2182" s="41" t="s">
        <v>6615</v>
      </c>
      <c r="G2182" s="41" t="s">
        <v>6760</v>
      </c>
      <c r="H2182" s="41" t="s">
        <v>6761</v>
      </c>
      <c r="I2182" s="43">
        <v>12</v>
      </c>
      <c r="J2182" s="44" t="str">
        <f>VLOOKUP(G2182,[1]硬件清单!$F:$F,1,0)</f>
        <v>FCH18347HXQ</v>
      </c>
      <c r="K2182" s="43"/>
      <c r="L2182" s="44"/>
      <c r="M2182" s="45" t="s">
        <v>6762</v>
      </c>
    </row>
    <row r="2183" s="26" customFormat="1" ht="30" customHeight="1" spans="1:13">
      <c r="A2183" s="41">
        <f>IF(C2183="","",SUBTOTAL(103,$C$2:C2183))</f>
        <v>2174</v>
      </c>
      <c r="B2183" s="41">
        <v>10094</v>
      </c>
      <c r="C2183" s="41">
        <v>6853</v>
      </c>
      <c r="D2183" s="41" t="s">
        <v>45</v>
      </c>
      <c r="E2183" s="41" t="s">
        <v>1298</v>
      </c>
      <c r="F2183" s="41" t="s">
        <v>6615</v>
      </c>
      <c r="G2183" s="41" t="s">
        <v>6763</v>
      </c>
      <c r="H2183" s="41" t="s">
        <v>6764</v>
      </c>
      <c r="I2183" s="43">
        <v>12</v>
      </c>
      <c r="J2183" s="44" t="str">
        <f>VLOOKUP(G2183,[1]硬件清单!$F:$F,1,0)</f>
        <v>FCH18347KMQ</v>
      </c>
      <c r="K2183" s="43"/>
      <c r="L2183" s="44"/>
      <c r="M2183" s="45" t="s">
        <v>6765</v>
      </c>
    </row>
    <row r="2184" s="26" customFormat="1" ht="30" customHeight="1" spans="1:13">
      <c r="A2184" s="41">
        <f>IF(C2184="","",SUBTOTAL(103,$C$2:C2184))</f>
        <v>2175</v>
      </c>
      <c r="B2184" s="41">
        <v>10095</v>
      </c>
      <c r="C2184" s="41">
        <v>6854</v>
      </c>
      <c r="D2184" s="41" t="s">
        <v>45</v>
      </c>
      <c r="E2184" s="41" t="s">
        <v>1298</v>
      </c>
      <c r="F2184" s="41" t="s">
        <v>6615</v>
      </c>
      <c r="G2184" s="41" t="s">
        <v>6766</v>
      </c>
      <c r="H2184" s="41" t="s">
        <v>6767</v>
      </c>
      <c r="I2184" s="43">
        <v>12</v>
      </c>
      <c r="J2184" s="44" t="str">
        <f>VLOOKUP(G2184,[1]硬件清单!$F:$F,1,0)</f>
        <v>FCH18347J58</v>
      </c>
      <c r="K2184" s="43"/>
      <c r="L2184" s="44"/>
      <c r="M2184" s="45" t="s">
        <v>6768</v>
      </c>
    </row>
    <row r="2185" s="26" customFormat="1" ht="30" customHeight="1" spans="1:13">
      <c r="A2185" s="41">
        <f>IF(C2185="","",SUBTOTAL(103,$C$2:C2185))</f>
        <v>2176</v>
      </c>
      <c r="B2185" s="41">
        <v>10096</v>
      </c>
      <c r="C2185" s="41">
        <v>6855</v>
      </c>
      <c r="D2185" s="41" t="s">
        <v>45</v>
      </c>
      <c r="E2185" s="41" t="s">
        <v>1298</v>
      </c>
      <c r="F2185" s="41" t="s">
        <v>6615</v>
      </c>
      <c r="G2185" s="41" t="s">
        <v>6769</v>
      </c>
      <c r="H2185" s="41" t="s">
        <v>6770</v>
      </c>
      <c r="I2185" s="43">
        <v>12</v>
      </c>
      <c r="J2185" s="44" t="str">
        <f>VLOOKUP(G2185,[1]硬件清单!$F:$F,1,0)</f>
        <v>FCH18347J6S</v>
      </c>
      <c r="K2185" s="43"/>
      <c r="L2185" s="44"/>
      <c r="M2185" s="45" t="s">
        <v>6771</v>
      </c>
    </row>
    <row r="2186" s="26" customFormat="1" ht="30" customHeight="1" spans="1:13">
      <c r="A2186" s="41">
        <f>IF(C2186="","",SUBTOTAL(103,$C$2:C2186))</f>
        <v>2177</v>
      </c>
      <c r="B2186" s="41">
        <v>10097</v>
      </c>
      <c r="C2186" s="41">
        <v>6856</v>
      </c>
      <c r="D2186" s="41" t="s">
        <v>45</v>
      </c>
      <c r="E2186" s="41" t="s">
        <v>1298</v>
      </c>
      <c r="F2186" s="41" t="s">
        <v>6615</v>
      </c>
      <c r="G2186" s="41" t="s">
        <v>6772</v>
      </c>
      <c r="H2186" s="41" t="s">
        <v>6773</v>
      </c>
      <c r="I2186" s="43">
        <v>12</v>
      </c>
      <c r="J2186" s="44" t="str">
        <f>VLOOKUP(G2186,[1]硬件清单!$F:$F,1,0)</f>
        <v>FCH18347KG9</v>
      </c>
      <c r="K2186" s="43"/>
      <c r="L2186" s="44"/>
      <c r="M2186" s="45" t="s">
        <v>6774</v>
      </c>
    </row>
    <row r="2187" s="26" customFormat="1" ht="30" customHeight="1" spans="1:13">
      <c r="A2187" s="41">
        <f>IF(C2187="","",SUBTOTAL(103,$C$2:C2187))</f>
        <v>2178</v>
      </c>
      <c r="B2187" s="41">
        <v>10098</v>
      </c>
      <c r="C2187" s="41">
        <v>6857</v>
      </c>
      <c r="D2187" s="41" t="s">
        <v>45</v>
      </c>
      <c r="E2187" s="41" t="s">
        <v>1298</v>
      </c>
      <c r="F2187" s="41" t="s">
        <v>6615</v>
      </c>
      <c r="G2187" s="41" t="s">
        <v>6775</v>
      </c>
      <c r="H2187" s="41" t="s">
        <v>6776</v>
      </c>
      <c r="I2187" s="43">
        <v>12</v>
      </c>
      <c r="J2187" s="44" t="str">
        <f>VLOOKUP(G2187,[1]硬件清单!$F:$F,1,0)</f>
        <v>FCH18347HT4</v>
      </c>
      <c r="K2187" s="43"/>
      <c r="L2187" s="44"/>
      <c r="M2187" s="45" t="s">
        <v>6777</v>
      </c>
    </row>
    <row r="2188" s="26" customFormat="1" ht="30" customHeight="1" spans="1:13">
      <c r="A2188" s="41">
        <f>IF(C2188="","",SUBTOTAL(103,$C$2:C2188))</f>
        <v>2179</v>
      </c>
      <c r="B2188" s="41">
        <v>10099</v>
      </c>
      <c r="C2188" s="41">
        <v>6858</v>
      </c>
      <c r="D2188" s="41" t="s">
        <v>45</v>
      </c>
      <c r="E2188" s="41" t="s">
        <v>1298</v>
      </c>
      <c r="F2188" s="41" t="s">
        <v>6615</v>
      </c>
      <c r="G2188" s="41" t="s">
        <v>6778</v>
      </c>
      <c r="H2188" s="41" t="s">
        <v>6779</v>
      </c>
      <c r="I2188" s="43">
        <v>12</v>
      </c>
      <c r="J2188" s="44" t="str">
        <f>VLOOKUP(G2188,[1]硬件清单!$F:$F,1,0)</f>
        <v>FCH18347J6Z</v>
      </c>
      <c r="K2188" s="43"/>
      <c r="L2188" s="44"/>
      <c r="M2188" s="45" t="s">
        <v>6780</v>
      </c>
    </row>
    <row r="2189" s="26" customFormat="1" ht="30" customHeight="1" spans="1:13">
      <c r="A2189" s="41">
        <f>IF(C2189="","",SUBTOTAL(103,$C$2:C2189))</f>
        <v>2180</v>
      </c>
      <c r="B2189" s="41">
        <v>10100</v>
      </c>
      <c r="C2189" s="41">
        <v>6859</v>
      </c>
      <c r="D2189" s="41" t="s">
        <v>45</v>
      </c>
      <c r="E2189" s="41" t="s">
        <v>1298</v>
      </c>
      <c r="F2189" s="41" t="s">
        <v>6615</v>
      </c>
      <c r="G2189" s="41" t="s">
        <v>6781</v>
      </c>
      <c r="H2189" s="41" t="s">
        <v>6782</v>
      </c>
      <c r="I2189" s="43">
        <v>12</v>
      </c>
      <c r="J2189" s="44" t="str">
        <f>VLOOKUP(G2189,[1]硬件清单!$F:$F,1,0)</f>
        <v>FCH18347JKH</v>
      </c>
      <c r="K2189" s="43"/>
      <c r="L2189" s="44"/>
      <c r="M2189" s="45" t="s">
        <v>6783</v>
      </c>
    </row>
    <row r="2190" s="26" customFormat="1" ht="30" customHeight="1" spans="1:13">
      <c r="A2190" s="41">
        <f>IF(C2190="","",SUBTOTAL(103,$C$2:C2190))</f>
        <v>2181</v>
      </c>
      <c r="B2190" s="41">
        <v>10101</v>
      </c>
      <c r="C2190" s="41">
        <v>6195</v>
      </c>
      <c r="D2190" s="41" t="s">
        <v>45</v>
      </c>
      <c r="E2190" s="41" t="s">
        <v>1298</v>
      </c>
      <c r="F2190" s="41" t="s">
        <v>6784</v>
      </c>
      <c r="G2190" s="41" t="s">
        <v>6785</v>
      </c>
      <c r="H2190" s="41" t="s">
        <v>6786</v>
      </c>
      <c r="I2190" s="43">
        <v>12</v>
      </c>
      <c r="J2190" s="44" t="str">
        <f>VLOOKUP(G2190,[1]硬件清单!$F:$F,1,0)</f>
        <v>CNG230S8Z8</v>
      </c>
      <c r="K2190" s="43"/>
      <c r="L2190" s="44"/>
      <c r="M2190" s="45" t="s">
        <v>6787</v>
      </c>
    </row>
    <row r="2191" s="26" customFormat="1" ht="30" customHeight="1" spans="1:13">
      <c r="A2191" s="41">
        <f>IF(C2191="","",SUBTOTAL(103,$C$2:C2191))</f>
        <v>2182</v>
      </c>
      <c r="B2191" s="41">
        <v>10102</v>
      </c>
      <c r="C2191" s="41">
        <v>6196</v>
      </c>
      <c r="D2191" s="41" t="s">
        <v>45</v>
      </c>
      <c r="E2191" s="41" t="s">
        <v>1298</v>
      </c>
      <c r="F2191" s="41" t="s">
        <v>6784</v>
      </c>
      <c r="G2191" s="41" t="s">
        <v>6788</v>
      </c>
      <c r="H2191" s="41" t="s">
        <v>6789</v>
      </c>
      <c r="I2191" s="43">
        <v>12</v>
      </c>
      <c r="J2191" s="44" t="str">
        <f>VLOOKUP(G2191,[1]硬件清单!$F:$F,1,0)</f>
        <v>CNG230S8Z6</v>
      </c>
      <c r="K2191" s="43"/>
      <c r="L2191" s="44"/>
      <c r="M2191" s="45" t="s">
        <v>6790</v>
      </c>
    </row>
    <row r="2192" s="26" customFormat="1" ht="30" customHeight="1" spans="1:13">
      <c r="A2192" s="41">
        <f>IF(C2192="","",SUBTOTAL(103,$C$2:C2192))</f>
        <v>2183</v>
      </c>
      <c r="B2192" s="41">
        <v>10103</v>
      </c>
      <c r="C2192" s="46">
        <v>15672</v>
      </c>
      <c r="D2192" s="46" t="s">
        <v>45</v>
      </c>
      <c r="E2192" s="46" t="s">
        <v>1298</v>
      </c>
      <c r="F2192" s="46" t="s">
        <v>6424</v>
      </c>
      <c r="G2192" s="41" t="s">
        <v>6791</v>
      </c>
      <c r="H2192" s="41" t="s">
        <v>6792</v>
      </c>
      <c r="I2192" s="43">
        <v>12</v>
      </c>
      <c r="J2192" s="44" t="str">
        <f>VLOOKUP(G2192,[1]硬件清单!$F:$F,1,0)</f>
        <v>99W3250</v>
      </c>
      <c r="K2192" s="43"/>
      <c r="L2192" s="44"/>
      <c r="M2192" s="45" t="s">
        <v>6793</v>
      </c>
    </row>
    <row r="2193" s="26" customFormat="1" ht="30" customHeight="1" spans="1:13">
      <c r="A2193" s="41">
        <f>IF(C2193="","",SUBTOTAL(103,$C$2:C2193))</f>
        <v>2184</v>
      </c>
      <c r="B2193" s="41">
        <v>10104</v>
      </c>
      <c r="C2193" s="46">
        <v>15602</v>
      </c>
      <c r="D2193" s="46" t="s">
        <v>45</v>
      </c>
      <c r="E2193" s="46" t="s">
        <v>1298</v>
      </c>
      <c r="F2193" s="46" t="s">
        <v>6424</v>
      </c>
      <c r="G2193" s="41" t="s">
        <v>6794</v>
      </c>
      <c r="H2193" s="41" t="s">
        <v>6795</v>
      </c>
      <c r="I2193" s="43">
        <v>12</v>
      </c>
      <c r="J2193" s="44" t="str">
        <f>VLOOKUP(G2193,[1]硬件清单!$F:$F,1,0)</f>
        <v>99W3444</v>
      </c>
      <c r="K2193" s="43"/>
      <c r="L2193" s="44"/>
      <c r="M2193" s="45" t="s">
        <v>6796</v>
      </c>
    </row>
    <row r="2194" s="26" customFormat="1" ht="30" customHeight="1" spans="1:13">
      <c r="A2194" s="41">
        <f>IF(C2194="","",SUBTOTAL(103,$C$2:C2194))</f>
        <v>2185</v>
      </c>
      <c r="B2194" s="41">
        <v>10105</v>
      </c>
      <c r="C2194" s="46">
        <v>15611</v>
      </c>
      <c r="D2194" s="46" t="s">
        <v>45</v>
      </c>
      <c r="E2194" s="46" t="s">
        <v>1298</v>
      </c>
      <c r="F2194" s="46" t="s">
        <v>6424</v>
      </c>
      <c r="G2194" s="41" t="s">
        <v>6797</v>
      </c>
      <c r="H2194" s="41" t="s">
        <v>6798</v>
      </c>
      <c r="I2194" s="43">
        <v>12</v>
      </c>
      <c r="J2194" s="44" t="str">
        <f>VLOOKUP(G2194,[1]硬件清单!$F:$F,1,0)</f>
        <v>99W3450</v>
      </c>
      <c r="K2194" s="43"/>
      <c r="L2194" s="44"/>
      <c r="M2194" s="45" t="s">
        <v>6799</v>
      </c>
    </row>
    <row r="2195" s="26" customFormat="1" ht="30" customHeight="1" spans="1:13">
      <c r="A2195" s="41">
        <f>IF(C2195="","",SUBTOTAL(103,$C$2:C2195))</f>
        <v>2186</v>
      </c>
      <c r="B2195" s="41">
        <v>10106</v>
      </c>
      <c r="C2195" s="46">
        <v>15612</v>
      </c>
      <c r="D2195" s="46" t="s">
        <v>45</v>
      </c>
      <c r="E2195" s="46" t="s">
        <v>1298</v>
      </c>
      <c r="F2195" s="46" t="s">
        <v>6424</v>
      </c>
      <c r="G2195" s="41" t="s">
        <v>6800</v>
      </c>
      <c r="H2195" s="41" t="s">
        <v>6801</v>
      </c>
      <c r="I2195" s="43">
        <v>12</v>
      </c>
      <c r="J2195" s="44" t="str">
        <f>VLOOKUP(G2195,[1]硬件清单!$F:$F,1,0)</f>
        <v>99W3429</v>
      </c>
      <c r="K2195" s="43"/>
      <c r="L2195" s="44"/>
      <c r="M2195" s="45" t="s">
        <v>6802</v>
      </c>
    </row>
    <row r="2196" s="26" customFormat="1" ht="30" customHeight="1" spans="1:13">
      <c r="A2196" s="41">
        <f>IF(C2196="","",SUBTOTAL(103,$C$2:C2196))</f>
        <v>2187</v>
      </c>
      <c r="B2196" s="41">
        <v>10107</v>
      </c>
      <c r="C2196" s="46">
        <v>15613</v>
      </c>
      <c r="D2196" s="46" t="s">
        <v>45</v>
      </c>
      <c r="E2196" s="46" t="s">
        <v>1298</v>
      </c>
      <c r="F2196" s="46" t="s">
        <v>6424</v>
      </c>
      <c r="G2196" s="41" t="s">
        <v>6803</v>
      </c>
      <c r="H2196" s="41" t="s">
        <v>6804</v>
      </c>
      <c r="I2196" s="43">
        <v>12</v>
      </c>
      <c r="J2196" s="44" t="str">
        <f>VLOOKUP(G2196,[1]硬件清单!$F:$F,1,0)</f>
        <v>99W3433</v>
      </c>
      <c r="K2196" s="43"/>
      <c r="L2196" s="44"/>
      <c r="M2196" s="45" t="s">
        <v>6805</v>
      </c>
    </row>
    <row r="2197" s="26" customFormat="1" ht="30" customHeight="1" spans="1:13">
      <c r="A2197" s="41">
        <f>IF(C2197="","",SUBTOTAL(103,$C$2:C2197))</f>
        <v>2188</v>
      </c>
      <c r="B2197" s="41">
        <v>10108</v>
      </c>
      <c r="C2197" s="46">
        <v>15614</v>
      </c>
      <c r="D2197" s="46" t="s">
        <v>45</v>
      </c>
      <c r="E2197" s="46" t="s">
        <v>1298</v>
      </c>
      <c r="F2197" s="46" t="s">
        <v>6424</v>
      </c>
      <c r="G2197" s="41" t="s">
        <v>6806</v>
      </c>
      <c r="H2197" s="41" t="s">
        <v>6807</v>
      </c>
      <c r="I2197" s="43">
        <v>12</v>
      </c>
      <c r="J2197" s="44" t="str">
        <f>VLOOKUP(G2197,[1]硬件清单!$F:$F,1,0)</f>
        <v>99W3267</v>
      </c>
      <c r="K2197" s="43"/>
      <c r="L2197" s="44"/>
      <c r="M2197" s="45" t="s">
        <v>6808</v>
      </c>
    </row>
    <row r="2198" s="26" customFormat="1" ht="30" customHeight="1" spans="1:13">
      <c r="A2198" s="41">
        <f>IF(C2198="","",SUBTOTAL(103,$C$2:C2198))</f>
        <v>2189</v>
      </c>
      <c r="B2198" s="41">
        <v>10109</v>
      </c>
      <c r="C2198" s="46">
        <v>15615</v>
      </c>
      <c r="D2198" s="46" t="s">
        <v>45</v>
      </c>
      <c r="E2198" s="46" t="s">
        <v>1298</v>
      </c>
      <c r="F2198" s="46" t="s">
        <v>6424</v>
      </c>
      <c r="G2198" s="41" t="s">
        <v>6809</v>
      </c>
      <c r="H2198" s="41" t="s">
        <v>6810</v>
      </c>
      <c r="I2198" s="43">
        <v>12</v>
      </c>
      <c r="J2198" s="44" t="str">
        <f>VLOOKUP(G2198,[1]硬件清单!$F:$F,1,0)</f>
        <v>99W3277</v>
      </c>
      <c r="K2198" s="43"/>
      <c r="L2198" s="44"/>
      <c r="M2198" s="45" t="s">
        <v>6811</v>
      </c>
    </row>
    <row r="2199" s="26" customFormat="1" ht="30" customHeight="1" spans="1:13">
      <c r="A2199" s="41">
        <f>IF(C2199="","",SUBTOTAL(103,$C$2:C2199))</f>
        <v>2190</v>
      </c>
      <c r="B2199" s="41">
        <v>10110</v>
      </c>
      <c r="C2199" s="46">
        <v>15603</v>
      </c>
      <c r="D2199" s="46" t="s">
        <v>45</v>
      </c>
      <c r="E2199" s="46" t="s">
        <v>1298</v>
      </c>
      <c r="F2199" s="46" t="s">
        <v>6424</v>
      </c>
      <c r="G2199" s="41" t="s">
        <v>6812</v>
      </c>
      <c r="H2199" s="41" t="s">
        <v>6813</v>
      </c>
      <c r="I2199" s="43">
        <v>12</v>
      </c>
      <c r="J2199" s="44" t="str">
        <f>VLOOKUP(G2199,[1]硬件清单!$F:$F,1,0)</f>
        <v>99W3432</v>
      </c>
      <c r="K2199" s="43"/>
      <c r="L2199" s="44"/>
      <c r="M2199" s="45" t="s">
        <v>6814</v>
      </c>
    </row>
    <row r="2200" s="26" customFormat="1" ht="30" customHeight="1" spans="1:13">
      <c r="A2200" s="41">
        <f>IF(C2200="","",SUBTOTAL(103,$C$2:C2200))</f>
        <v>2191</v>
      </c>
      <c r="B2200" s="41">
        <v>10111</v>
      </c>
      <c r="C2200" s="46">
        <v>15604</v>
      </c>
      <c r="D2200" s="46" t="s">
        <v>45</v>
      </c>
      <c r="E2200" s="46" t="s">
        <v>1298</v>
      </c>
      <c r="F2200" s="46" t="s">
        <v>6424</v>
      </c>
      <c r="G2200" s="41" t="s">
        <v>6815</v>
      </c>
      <c r="H2200" s="41" t="s">
        <v>6816</v>
      </c>
      <c r="I2200" s="43">
        <v>12</v>
      </c>
      <c r="J2200" s="44" t="str">
        <f>VLOOKUP(G2200,[1]硬件清单!$F:$F,1,0)</f>
        <v>99W3445</v>
      </c>
      <c r="K2200" s="43"/>
      <c r="L2200" s="44"/>
      <c r="M2200" s="45" t="s">
        <v>6817</v>
      </c>
    </row>
    <row r="2201" s="26" customFormat="1" ht="30" customHeight="1" spans="1:13">
      <c r="A2201" s="41">
        <f>IF(C2201="","",SUBTOTAL(103,$C$2:C2201))</f>
        <v>2192</v>
      </c>
      <c r="B2201" s="41">
        <v>10112</v>
      </c>
      <c r="C2201" s="46">
        <v>15605</v>
      </c>
      <c r="D2201" s="46" t="s">
        <v>45</v>
      </c>
      <c r="E2201" s="46" t="s">
        <v>1298</v>
      </c>
      <c r="F2201" s="46" t="s">
        <v>6424</v>
      </c>
      <c r="G2201" s="41" t="s">
        <v>6428</v>
      </c>
      <c r="H2201" s="41" t="s">
        <v>6818</v>
      </c>
      <c r="I2201" s="43">
        <v>12</v>
      </c>
      <c r="J2201" s="44" t="str">
        <f>VLOOKUP(G2201,[1]硬件清单!$F:$F,1,0)</f>
        <v>99W3440</v>
      </c>
      <c r="K2201" s="43"/>
      <c r="L2201" s="44"/>
      <c r="M2201" s="45" t="s">
        <v>6819</v>
      </c>
    </row>
    <row r="2202" s="26" customFormat="1" ht="30" customHeight="1" spans="1:13">
      <c r="A2202" s="41">
        <f>IF(C2202="","",SUBTOTAL(103,$C$2:C2202))</f>
        <v>2193</v>
      </c>
      <c r="B2202" s="41">
        <v>10113</v>
      </c>
      <c r="C2202" s="46">
        <v>15606</v>
      </c>
      <c r="D2202" s="46" t="s">
        <v>45</v>
      </c>
      <c r="E2202" s="46" t="s">
        <v>1298</v>
      </c>
      <c r="F2202" s="46" t="s">
        <v>6424</v>
      </c>
      <c r="G2202" s="41" t="s">
        <v>6820</v>
      </c>
      <c r="H2202" s="41" t="s">
        <v>6821</v>
      </c>
      <c r="I2202" s="43">
        <v>12</v>
      </c>
      <c r="J2202" s="44" t="str">
        <f>VLOOKUP(G2202,[1]硬件清单!$F:$F,1,0)</f>
        <v>99W3443</v>
      </c>
      <c r="K2202" s="43"/>
      <c r="L2202" s="44"/>
      <c r="M2202" s="45" t="s">
        <v>6822</v>
      </c>
    </row>
    <row r="2203" s="26" customFormat="1" ht="30" customHeight="1" spans="1:13">
      <c r="A2203" s="41">
        <f>IF(C2203="","",SUBTOTAL(103,$C$2:C2203))</f>
        <v>2194</v>
      </c>
      <c r="B2203" s="41">
        <v>10114</v>
      </c>
      <c r="C2203" s="46">
        <v>15607</v>
      </c>
      <c r="D2203" s="46" t="s">
        <v>45</v>
      </c>
      <c r="E2203" s="46" t="s">
        <v>1298</v>
      </c>
      <c r="F2203" s="46" t="s">
        <v>6424</v>
      </c>
      <c r="G2203" s="41" t="s">
        <v>6823</v>
      </c>
      <c r="H2203" s="41" t="s">
        <v>6824</v>
      </c>
      <c r="I2203" s="43">
        <v>12</v>
      </c>
      <c r="J2203" s="44" t="str">
        <f>VLOOKUP(G2203,[1]硬件清单!$F:$F,1,0)</f>
        <v>99W3426</v>
      </c>
      <c r="K2203" s="43"/>
      <c r="L2203" s="44"/>
      <c r="M2203" s="45" t="s">
        <v>6825</v>
      </c>
    </row>
    <row r="2204" s="26" customFormat="1" ht="30" customHeight="1" spans="1:13">
      <c r="A2204" s="41">
        <f>IF(C2204="","",SUBTOTAL(103,$C$2:C2204))</f>
        <v>2195</v>
      </c>
      <c r="B2204" s="41">
        <v>10115</v>
      </c>
      <c r="C2204" s="46">
        <v>15608</v>
      </c>
      <c r="D2204" s="46" t="s">
        <v>45</v>
      </c>
      <c r="E2204" s="46" t="s">
        <v>1298</v>
      </c>
      <c r="F2204" s="46" t="s">
        <v>6424</v>
      </c>
      <c r="G2204" s="41" t="s">
        <v>6826</v>
      </c>
      <c r="H2204" s="41" t="s">
        <v>6827</v>
      </c>
      <c r="I2204" s="43">
        <v>12</v>
      </c>
      <c r="J2204" s="44" t="str">
        <f>VLOOKUP(G2204,[1]硬件清单!$F:$F,1,0)</f>
        <v>99W3427</v>
      </c>
      <c r="K2204" s="43"/>
      <c r="L2204" s="44"/>
      <c r="M2204" s="45" t="s">
        <v>6828</v>
      </c>
    </row>
    <row r="2205" s="26" customFormat="1" ht="30" customHeight="1" spans="1:13">
      <c r="A2205" s="41">
        <f>IF(C2205="","",SUBTOTAL(103,$C$2:C2205))</f>
        <v>2196</v>
      </c>
      <c r="B2205" s="41">
        <v>10116</v>
      </c>
      <c r="C2205" s="46">
        <v>15609</v>
      </c>
      <c r="D2205" s="46" t="s">
        <v>45</v>
      </c>
      <c r="E2205" s="46" t="s">
        <v>1298</v>
      </c>
      <c r="F2205" s="46" t="s">
        <v>6424</v>
      </c>
      <c r="G2205" s="41" t="s">
        <v>6829</v>
      </c>
      <c r="H2205" s="41" t="s">
        <v>6830</v>
      </c>
      <c r="I2205" s="43">
        <v>12</v>
      </c>
      <c r="J2205" s="44" t="str">
        <f>VLOOKUP(G2205,[1]硬件清单!$F:$F,1,0)</f>
        <v>99W3442</v>
      </c>
      <c r="K2205" s="43"/>
      <c r="L2205" s="44"/>
      <c r="M2205" s="45" t="s">
        <v>6831</v>
      </c>
    </row>
    <row r="2206" s="26" customFormat="1" ht="30" customHeight="1" spans="1:13">
      <c r="A2206" s="41">
        <f>IF(C2206="","",SUBTOTAL(103,$C$2:C2206))</f>
        <v>2197</v>
      </c>
      <c r="B2206" s="41">
        <v>10117</v>
      </c>
      <c r="C2206" s="46">
        <v>15610</v>
      </c>
      <c r="D2206" s="46" t="s">
        <v>45</v>
      </c>
      <c r="E2206" s="46" t="s">
        <v>1298</v>
      </c>
      <c r="F2206" s="46" t="s">
        <v>6424</v>
      </c>
      <c r="G2206" s="41" t="s">
        <v>6832</v>
      </c>
      <c r="H2206" s="41" t="s">
        <v>6833</v>
      </c>
      <c r="I2206" s="43">
        <v>12</v>
      </c>
      <c r="J2206" s="44" t="str">
        <f>VLOOKUP(G2206,[1]硬件清单!$F:$F,1,0)</f>
        <v>99W3437</v>
      </c>
      <c r="K2206" s="43"/>
      <c r="L2206" s="44"/>
      <c r="M2206" s="45" t="s">
        <v>6834</v>
      </c>
    </row>
    <row r="2207" s="26" customFormat="1" ht="30" customHeight="1" spans="1:13">
      <c r="A2207" s="41">
        <f>IF(C2207="","",SUBTOTAL(103,$C$2:C2207))</f>
        <v>2198</v>
      </c>
      <c r="B2207" s="41">
        <v>10118</v>
      </c>
      <c r="C2207" s="46">
        <v>15616</v>
      </c>
      <c r="D2207" s="46" t="s">
        <v>45</v>
      </c>
      <c r="E2207" s="46" t="s">
        <v>1298</v>
      </c>
      <c r="F2207" s="46" t="s">
        <v>6424</v>
      </c>
      <c r="G2207" s="41" t="s">
        <v>6835</v>
      </c>
      <c r="H2207" s="41" t="s">
        <v>6836</v>
      </c>
      <c r="I2207" s="43">
        <v>12</v>
      </c>
      <c r="J2207" s="44" t="str">
        <f>VLOOKUP(G2207,[1]硬件清单!$F:$F,1,0)</f>
        <v>99W3197</v>
      </c>
      <c r="K2207" s="43"/>
      <c r="L2207" s="44"/>
      <c r="M2207" s="45" t="s">
        <v>6837</v>
      </c>
    </row>
    <row r="2208" s="26" customFormat="1" ht="30" customHeight="1" spans="1:13">
      <c r="A2208" s="41">
        <f>IF(C2208="","",SUBTOTAL(103,$C$2:C2208))</f>
        <v>2199</v>
      </c>
      <c r="B2208" s="41">
        <v>10119</v>
      </c>
      <c r="C2208" s="46">
        <v>15625</v>
      </c>
      <c r="D2208" s="46" t="s">
        <v>45</v>
      </c>
      <c r="E2208" s="46" t="s">
        <v>1298</v>
      </c>
      <c r="F2208" s="46" t="s">
        <v>6424</v>
      </c>
      <c r="G2208" s="41" t="s">
        <v>6838</v>
      </c>
      <c r="H2208" s="41" t="s">
        <v>6839</v>
      </c>
      <c r="I2208" s="43">
        <v>12</v>
      </c>
      <c r="J2208" s="44" t="str">
        <f>VLOOKUP(G2208,[1]硬件清单!$F:$F,1,0)</f>
        <v>99W3282</v>
      </c>
      <c r="K2208" s="43"/>
      <c r="L2208" s="44"/>
      <c r="M2208" s="45" t="s">
        <v>6840</v>
      </c>
    </row>
    <row r="2209" s="26" customFormat="1" ht="30" customHeight="1" spans="1:13">
      <c r="A2209" s="41">
        <f>IF(C2209="","",SUBTOTAL(103,$C$2:C2209))</f>
        <v>2200</v>
      </c>
      <c r="B2209" s="41">
        <v>10120</v>
      </c>
      <c r="C2209" s="46">
        <v>15626</v>
      </c>
      <c r="D2209" s="46" t="s">
        <v>45</v>
      </c>
      <c r="E2209" s="46" t="s">
        <v>1298</v>
      </c>
      <c r="F2209" s="46" t="s">
        <v>6424</v>
      </c>
      <c r="G2209" s="41" t="s">
        <v>6841</v>
      </c>
      <c r="H2209" s="41" t="s">
        <v>6842</v>
      </c>
      <c r="I2209" s="43">
        <v>12</v>
      </c>
      <c r="J2209" s="44" t="str">
        <f>VLOOKUP(G2209,[1]硬件清单!$F:$F,1,0)</f>
        <v>99W3243</v>
      </c>
      <c r="K2209" s="43"/>
      <c r="L2209" s="44"/>
      <c r="M2209" s="45" t="s">
        <v>6843</v>
      </c>
    </row>
    <row r="2210" s="26" customFormat="1" ht="30" customHeight="1" spans="1:13">
      <c r="A2210" s="41">
        <f>IF(C2210="","",SUBTOTAL(103,$C$2:C2210))</f>
        <v>2201</v>
      </c>
      <c r="B2210" s="41">
        <v>10121</v>
      </c>
      <c r="C2210" s="46">
        <v>15627</v>
      </c>
      <c r="D2210" s="46" t="s">
        <v>45</v>
      </c>
      <c r="E2210" s="46" t="s">
        <v>1298</v>
      </c>
      <c r="F2210" s="46" t="s">
        <v>6424</v>
      </c>
      <c r="G2210" s="41" t="s">
        <v>6844</v>
      </c>
      <c r="H2210" s="41" t="s">
        <v>6845</v>
      </c>
      <c r="I2210" s="43">
        <v>12</v>
      </c>
      <c r="J2210" s="44" t="str">
        <f>VLOOKUP(G2210,[1]硬件清单!$F:$F,1,0)</f>
        <v>99W3271</v>
      </c>
      <c r="K2210" s="43"/>
      <c r="L2210" s="44"/>
      <c r="M2210" s="45" t="s">
        <v>6846</v>
      </c>
    </row>
    <row r="2211" s="26" customFormat="1" ht="30" customHeight="1" spans="1:13">
      <c r="A2211" s="41">
        <f>IF(C2211="","",SUBTOTAL(103,$C$2:C2211))</f>
        <v>2202</v>
      </c>
      <c r="B2211" s="41">
        <v>10122</v>
      </c>
      <c r="C2211" s="46">
        <v>15628</v>
      </c>
      <c r="D2211" s="46" t="s">
        <v>45</v>
      </c>
      <c r="E2211" s="46" t="s">
        <v>1298</v>
      </c>
      <c r="F2211" s="46" t="s">
        <v>6424</v>
      </c>
      <c r="G2211" s="41" t="s">
        <v>6847</v>
      </c>
      <c r="H2211" s="41" t="s">
        <v>6848</v>
      </c>
      <c r="I2211" s="43">
        <v>12</v>
      </c>
      <c r="J2211" s="44" t="str">
        <f>VLOOKUP(G2211,[1]硬件清单!$F:$F,1,0)</f>
        <v>99W3230</v>
      </c>
      <c r="K2211" s="43"/>
      <c r="L2211" s="44"/>
      <c r="M2211" s="45" t="s">
        <v>6849</v>
      </c>
    </row>
    <row r="2212" s="26" customFormat="1" ht="30" customHeight="1" spans="1:13">
      <c r="A2212" s="41">
        <f>IF(C2212="","",SUBTOTAL(103,$C$2:C2212))</f>
        <v>2203</v>
      </c>
      <c r="B2212" s="41">
        <v>10123</v>
      </c>
      <c r="C2212" s="46">
        <v>15629</v>
      </c>
      <c r="D2212" s="46" t="s">
        <v>45</v>
      </c>
      <c r="E2212" s="46" t="s">
        <v>1298</v>
      </c>
      <c r="F2212" s="46" t="s">
        <v>6424</v>
      </c>
      <c r="G2212" s="41" t="s">
        <v>6850</v>
      </c>
      <c r="H2212" s="41" t="s">
        <v>6851</v>
      </c>
      <c r="I2212" s="43">
        <v>12</v>
      </c>
      <c r="J2212" s="44" t="str">
        <f>VLOOKUP(G2212,[1]硬件清单!$F:$F,1,0)</f>
        <v>99W3219</v>
      </c>
      <c r="K2212" s="43"/>
      <c r="L2212" s="44"/>
      <c r="M2212" s="45" t="s">
        <v>6852</v>
      </c>
    </row>
    <row r="2213" s="26" customFormat="1" ht="30" customHeight="1" spans="1:13">
      <c r="A2213" s="41">
        <f>IF(C2213="","",SUBTOTAL(103,$C$2:C2213))</f>
        <v>2204</v>
      </c>
      <c r="B2213" s="41">
        <v>10124</v>
      </c>
      <c r="C2213" s="46">
        <v>15617</v>
      </c>
      <c r="D2213" s="46" t="s">
        <v>45</v>
      </c>
      <c r="E2213" s="46" t="s">
        <v>1298</v>
      </c>
      <c r="F2213" s="46" t="s">
        <v>6424</v>
      </c>
      <c r="G2213" s="41" t="s">
        <v>6853</v>
      </c>
      <c r="H2213" s="41" t="s">
        <v>6854</v>
      </c>
      <c r="I2213" s="43">
        <v>12</v>
      </c>
      <c r="J2213" s="44" t="str">
        <f>VLOOKUP(G2213,[1]硬件清单!$F:$F,1,0)</f>
        <v>99W3274</v>
      </c>
      <c r="K2213" s="43"/>
      <c r="L2213" s="44"/>
      <c r="M2213" s="45" t="s">
        <v>6855</v>
      </c>
    </row>
    <row r="2214" s="26" customFormat="1" ht="30" customHeight="1" spans="1:13">
      <c r="A2214" s="41">
        <f>IF(C2214="","",SUBTOTAL(103,$C$2:C2214))</f>
        <v>2205</v>
      </c>
      <c r="B2214" s="41">
        <v>10125</v>
      </c>
      <c r="C2214" s="46">
        <v>15618</v>
      </c>
      <c r="D2214" s="46" t="s">
        <v>45</v>
      </c>
      <c r="E2214" s="46" t="s">
        <v>1298</v>
      </c>
      <c r="F2214" s="46" t="s">
        <v>6424</v>
      </c>
      <c r="G2214" s="41" t="s">
        <v>6856</v>
      </c>
      <c r="H2214" s="41" t="s">
        <v>6857</v>
      </c>
      <c r="I2214" s="43">
        <v>12</v>
      </c>
      <c r="J2214" s="44" t="str">
        <f>VLOOKUP(G2214,[1]硬件清单!$F:$F,1,0)</f>
        <v>99W3220</v>
      </c>
      <c r="K2214" s="43"/>
      <c r="L2214" s="44"/>
      <c r="M2214" s="45" t="s">
        <v>6858</v>
      </c>
    </row>
    <row r="2215" s="26" customFormat="1" ht="30" customHeight="1" spans="1:13">
      <c r="A2215" s="41">
        <f>IF(C2215="","",SUBTOTAL(103,$C$2:C2215))</f>
        <v>2206</v>
      </c>
      <c r="B2215" s="41">
        <v>10126</v>
      </c>
      <c r="C2215" s="46">
        <v>15619</v>
      </c>
      <c r="D2215" s="46" t="s">
        <v>45</v>
      </c>
      <c r="E2215" s="46" t="s">
        <v>1298</v>
      </c>
      <c r="F2215" s="46" t="s">
        <v>6424</v>
      </c>
      <c r="G2215" s="41" t="s">
        <v>6859</v>
      </c>
      <c r="H2215" s="41" t="s">
        <v>6860</v>
      </c>
      <c r="I2215" s="43">
        <v>12</v>
      </c>
      <c r="J2215" s="44" t="str">
        <f>VLOOKUP(G2215,[1]硬件清单!$F:$F,1,0)</f>
        <v>99W3199</v>
      </c>
      <c r="K2215" s="43"/>
      <c r="L2215" s="44"/>
      <c r="M2215" s="45" t="s">
        <v>6861</v>
      </c>
    </row>
    <row r="2216" s="26" customFormat="1" ht="30" customHeight="1" spans="1:13">
      <c r="A2216" s="41">
        <f>IF(C2216="","",SUBTOTAL(103,$C$2:C2216))</f>
        <v>2207</v>
      </c>
      <c r="B2216" s="41">
        <v>10127</v>
      </c>
      <c r="C2216" s="46">
        <v>15620</v>
      </c>
      <c r="D2216" s="46" t="s">
        <v>45</v>
      </c>
      <c r="E2216" s="46" t="s">
        <v>1298</v>
      </c>
      <c r="F2216" s="46" t="s">
        <v>6424</v>
      </c>
      <c r="G2216" s="41" t="s">
        <v>6862</v>
      </c>
      <c r="H2216" s="41" t="s">
        <v>6863</v>
      </c>
      <c r="I2216" s="43">
        <v>12</v>
      </c>
      <c r="J2216" s="44" t="str">
        <f>VLOOKUP(G2216,[1]硬件清单!$F:$F,1,0)</f>
        <v>99W3299</v>
      </c>
      <c r="K2216" s="43"/>
      <c r="L2216" s="44"/>
      <c r="M2216" s="45" t="s">
        <v>6864</v>
      </c>
    </row>
    <row r="2217" s="26" customFormat="1" ht="30" customHeight="1" spans="1:13">
      <c r="A2217" s="41">
        <f>IF(C2217="","",SUBTOTAL(103,$C$2:C2217))</f>
        <v>2208</v>
      </c>
      <c r="B2217" s="41">
        <v>10128</v>
      </c>
      <c r="C2217" s="46">
        <v>15621</v>
      </c>
      <c r="D2217" s="46" t="s">
        <v>45</v>
      </c>
      <c r="E2217" s="46" t="s">
        <v>1298</v>
      </c>
      <c r="F2217" s="46" t="s">
        <v>6424</v>
      </c>
      <c r="G2217" s="41" t="s">
        <v>6865</v>
      </c>
      <c r="H2217" s="41" t="s">
        <v>6866</v>
      </c>
      <c r="I2217" s="43">
        <v>12</v>
      </c>
      <c r="J2217" s="44" t="str">
        <f>VLOOKUP(G2217,[1]硬件清单!$F:$F,1,0)</f>
        <v>99W3281</v>
      </c>
      <c r="K2217" s="43"/>
      <c r="L2217" s="44"/>
      <c r="M2217" s="45" t="s">
        <v>6867</v>
      </c>
    </row>
    <row r="2218" s="26" customFormat="1" ht="30" customHeight="1" spans="1:13">
      <c r="A2218" s="41">
        <f>IF(C2218="","",SUBTOTAL(103,$C$2:C2218))</f>
        <v>2209</v>
      </c>
      <c r="B2218" s="41">
        <v>10129</v>
      </c>
      <c r="C2218" s="46">
        <v>15622</v>
      </c>
      <c r="D2218" s="46" t="s">
        <v>45</v>
      </c>
      <c r="E2218" s="46" t="s">
        <v>1298</v>
      </c>
      <c r="F2218" s="46" t="s">
        <v>6424</v>
      </c>
      <c r="G2218" s="41" t="s">
        <v>6868</v>
      </c>
      <c r="H2218" s="41" t="s">
        <v>6869</v>
      </c>
      <c r="I2218" s="43">
        <v>12</v>
      </c>
      <c r="J2218" s="44" t="str">
        <f>VLOOKUP(G2218,[1]硬件清单!$F:$F,1,0)</f>
        <v>99W3298</v>
      </c>
      <c r="K2218" s="43"/>
      <c r="L2218" s="44"/>
      <c r="M2218" s="45" t="s">
        <v>6870</v>
      </c>
    </row>
    <row r="2219" s="26" customFormat="1" ht="30" customHeight="1" spans="1:13">
      <c r="A2219" s="41">
        <f>IF(C2219="","",SUBTOTAL(103,$C$2:C2219))</f>
        <v>2210</v>
      </c>
      <c r="B2219" s="41">
        <v>10130</v>
      </c>
      <c r="C2219" s="46">
        <v>15623</v>
      </c>
      <c r="D2219" s="46" t="s">
        <v>45</v>
      </c>
      <c r="E2219" s="46" t="s">
        <v>1298</v>
      </c>
      <c r="F2219" s="46" t="s">
        <v>6424</v>
      </c>
      <c r="G2219" s="41" t="s">
        <v>6871</v>
      </c>
      <c r="H2219" s="41" t="s">
        <v>6872</v>
      </c>
      <c r="I2219" s="43">
        <v>12</v>
      </c>
      <c r="J2219" s="44" t="str">
        <f>VLOOKUP(G2219,[1]硬件清单!$F:$F,1,0)</f>
        <v>99W3234</v>
      </c>
      <c r="K2219" s="43"/>
      <c r="L2219" s="44"/>
      <c r="M2219" s="45" t="s">
        <v>6873</v>
      </c>
    </row>
    <row r="2220" s="26" customFormat="1" ht="30" customHeight="1" spans="1:13">
      <c r="A2220" s="41">
        <f>IF(C2220="","",SUBTOTAL(103,$C$2:C2220))</f>
        <v>2211</v>
      </c>
      <c r="B2220" s="41">
        <v>10131</v>
      </c>
      <c r="C2220" s="46">
        <v>15624</v>
      </c>
      <c r="D2220" s="46" t="s">
        <v>45</v>
      </c>
      <c r="E2220" s="46" t="s">
        <v>1298</v>
      </c>
      <c r="F2220" s="46" t="s">
        <v>6424</v>
      </c>
      <c r="G2220" s="41" t="s">
        <v>6874</v>
      </c>
      <c r="H2220" s="41" t="s">
        <v>6875</v>
      </c>
      <c r="I2220" s="43">
        <v>12</v>
      </c>
      <c r="J2220" s="44" t="str">
        <f>VLOOKUP(G2220,[1]硬件清单!$F:$F,1,0)</f>
        <v>99W3287</v>
      </c>
      <c r="K2220" s="43"/>
      <c r="L2220" s="44"/>
      <c r="M2220" s="45" t="s">
        <v>6876</v>
      </c>
    </row>
    <row r="2221" s="26" customFormat="1" ht="30" customHeight="1" spans="1:13">
      <c r="A2221" s="41">
        <f>IF(C2221="","",SUBTOTAL(103,$C$2:C2221))</f>
        <v>2212</v>
      </c>
      <c r="B2221" s="41">
        <v>10132</v>
      </c>
      <c r="C2221" s="46">
        <v>15630</v>
      </c>
      <c r="D2221" s="46" t="s">
        <v>45</v>
      </c>
      <c r="E2221" s="46" t="s">
        <v>1298</v>
      </c>
      <c r="F2221" s="46" t="s">
        <v>6424</v>
      </c>
      <c r="G2221" s="41" t="s">
        <v>6877</v>
      </c>
      <c r="H2221" s="41" t="s">
        <v>6878</v>
      </c>
      <c r="I2221" s="43">
        <v>12</v>
      </c>
      <c r="J2221" s="44" t="str">
        <f>VLOOKUP(G2221,[1]硬件清单!$F:$F,1,0)</f>
        <v>99W3185</v>
      </c>
      <c r="K2221" s="43"/>
      <c r="L2221" s="44"/>
      <c r="M2221" s="45" t="s">
        <v>6879</v>
      </c>
    </row>
    <row r="2222" s="26" customFormat="1" ht="30" customHeight="1" spans="1:13">
      <c r="A2222" s="41">
        <f>IF(C2222="","",SUBTOTAL(103,$C$2:C2222))</f>
        <v>2213</v>
      </c>
      <c r="B2222" s="41">
        <v>10133</v>
      </c>
      <c r="C2222" s="46">
        <v>15638</v>
      </c>
      <c r="D2222" s="46" t="s">
        <v>45</v>
      </c>
      <c r="E2222" s="46" t="s">
        <v>1298</v>
      </c>
      <c r="F2222" s="46" t="s">
        <v>6424</v>
      </c>
      <c r="G2222" s="41" t="s">
        <v>6880</v>
      </c>
      <c r="H2222" s="41" t="s">
        <v>6881</v>
      </c>
      <c r="I2222" s="43">
        <v>12</v>
      </c>
      <c r="J2222" s="44" t="str">
        <f>VLOOKUP(G2222,[1]硬件清单!$F:$F,1,0)</f>
        <v>99W3189</v>
      </c>
      <c r="K2222" s="43"/>
      <c r="L2222" s="44"/>
      <c r="M2222" s="45" t="s">
        <v>6882</v>
      </c>
    </row>
    <row r="2223" s="26" customFormat="1" ht="30" customHeight="1" spans="1:13">
      <c r="A2223" s="41">
        <f>IF(C2223="","",SUBTOTAL(103,$C$2:C2223))</f>
        <v>2214</v>
      </c>
      <c r="B2223" s="41">
        <v>10134</v>
      </c>
      <c r="C2223" s="46">
        <v>15639</v>
      </c>
      <c r="D2223" s="46" t="s">
        <v>45</v>
      </c>
      <c r="E2223" s="46" t="s">
        <v>1298</v>
      </c>
      <c r="F2223" s="46" t="s">
        <v>6424</v>
      </c>
      <c r="G2223" s="41" t="s">
        <v>6883</v>
      </c>
      <c r="H2223" s="41" t="s">
        <v>6884</v>
      </c>
      <c r="I2223" s="43">
        <v>12</v>
      </c>
      <c r="J2223" s="44" t="str">
        <f>VLOOKUP(G2223,[1]硬件清单!$F:$F,1,0)</f>
        <v>99W3183</v>
      </c>
      <c r="K2223" s="43"/>
      <c r="L2223" s="44"/>
      <c r="M2223" s="45" t="s">
        <v>6885</v>
      </c>
    </row>
    <row r="2224" s="26" customFormat="1" ht="30" customHeight="1" spans="1:13">
      <c r="A2224" s="41">
        <f>IF(C2224="","",SUBTOTAL(103,$C$2:C2224))</f>
        <v>2215</v>
      </c>
      <c r="B2224" s="41">
        <v>10135</v>
      </c>
      <c r="C2224" s="46">
        <v>15640</v>
      </c>
      <c r="D2224" s="46" t="s">
        <v>45</v>
      </c>
      <c r="E2224" s="46" t="s">
        <v>1298</v>
      </c>
      <c r="F2224" s="46" t="s">
        <v>6424</v>
      </c>
      <c r="G2224" s="41" t="s">
        <v>6886</v>
      </c>
      <c r="H2224" s="41" t="s">
        <v>6887</v>
      </c>
      <c r="I2224" s="43">
        <v>12</v>
      </c>
      <c r="J2224" s="44" t="str">
        <f>VLOOKUP(G2224,[1]硬件清单!$F:$F,1,0)</f>
        <v>99W3246</v>
      </c>
      <c r="K2224" s="43"/>
      <c r="L2224" s="44"/>
      <c r="M2224" s="45" t="s">
        <v>6888</v>
      </c>
    </row>
    <row r="2225" s="26" customFormat="1" ht="30" customHeight="1" spans="1:13">
      <c r="A2225" s="41">
        <f>IF(C2225="","",SUBTOTAL(103,$C$2:C2225))</f>
        <v>2216</v>
      </c>
      <c r="B2225" s="41">
        <v>10136</v>
      </c>
      <c r="C2225" s="46">
        <v>15641</v>
      </c>
      <c r="D2225" s="46" t="s">
        <v>45</v>
      </c>
      <c r="E2225" s="46" t="s">
        <v>1298</v>
      </c>
      <c r="F2225" s="46" t="s">
        <v>6424</v>
      </c>
      <c r="G2225" s="41" t="s">
        <v>6889</v>
      </c>
      <c r="H2225" s="41" t="s">
        <v>6890</v>
      </c>
      <c r="I2225" s="43">
        <v>12</v>
      </c>
      <c r="J2225" s="44" t="str">
        <f>VLOOKUP(G2225,[1]硬件清单!$F:$F,1,0)</f>
        <v>99W3307</v>
      </c>
      <c r="K2225" s="43"/>
      <c r="L2225" s="44"/>
      <c r="M2225" s="45" t="s">
        <v>6891</v>
      </c>
    </row>
    <row r="2226" s="26" customFormat="1" ht="30" customHeight="1" spans="1:13">
      <c r="A2226" s="41">
        <f>IF(C2226="","",SUBTOTAL(103,$C$2:C2226))</f>
        <v>2217</v>
      </c>
      <c r="B2226" s="41">
        <v>10137</v>
      </c>
      <c r="C2226" s="46">
        <v>15642</v>
      </c>
      <c r="D2226" s="46" t="s">
        <v>45</v>
      </c>
      <c r="E2226" s="46" t="s">
        <v>1298</v>
      </c>
      <c r="F2226" s="46" t="s">
        <v>6424</v>
      </c>
      <c r="G2226" s="41" t="s">
        <v>6892</v>
      </c>
      <c r="H2226" s="41" t="s">
        <v>6893</v>
      </c>
      <c r="I2226" s="43">
        <v>12</v>
      </c>
      <c r="J2226" s="44" t="str">
        <f>VLOOKUP(G2226,[1]硬件清单!$F:$F,1,0)</f>
        <v>99W3265</v>
      </c>
      <c r="K2226" s="43"/>
      <c r="L2226" s="44"/>
      <c r="M2226" s="45" t="s">
        <v>6894</v>
      </c>
    </row>
    <row r="2227" s="26" customFormat="1" ht="30" customHeight="1" spans="1:13">
      <c r="A2227" s="41">
        <f>IF(C2227="","",SUBTOTAL(103,$C$2:C2227))</f>
        <v>2218</v>
      </c>
      <c r="B2227" s="41">
        <v>10138</v>
      </c>
      <c r="C2227" s="46">
        <v>15645</v>
      </c>
      <c r="D2227" s="46" t="s">
        <v>45</v>
      </c>
      <c r="E2227" s="46" t="s">
        <v>1298</v>
      </c>
      <c r="F2227" s="46" t="s">
        <v>6424</v>
      </c>
      <c r="G2227" s="41" t="s">
        <v>6895</v>
      </c>
      <c r="H2227" s="41" t="s">
        <v>6896</v>
      </c>
      <c r="I2227" s="43">
        <v>12</v>
      </c>
      <c r="J2227" s="44" t="str">
        <f>VLOOKUP(G2227,[1]硬件清单!$F:$F,1,0)</f>
        <v>99W3244</v>
      </c>
      <c r="K2227" s="43"/>
      <c r="L2227" s="44"/>
      <c r="M2227" s="45" t="s">
        <v>6897</v>
      </c>
    </row>
    <row r="2228" s="26" customFormat="1" ht="30" customHeight="1" spans="1:13">
      <c r="A2228" s="41">
        <f>IF(C2228="","",SUBTOTAL(103,$C$2:C2228))</f>
        <v>2219</v>
      </c>
      <c r="B2228" s="41">
        <v>10139</v>
      </c>
      <c r="C2228" s="46">
        <v>15631</v>
      </c>
      <c r="D2228" s="46" t="s">
        <v>45</v>
      </c>
      <c r="E2228" s="46" t="s">
        <v>1298</v>
      </c>
      <c r="F2228" s="46" t="s">
        <v>6424</v>
      </c>
      <c r="G2228" s="41" t="s">
        <v>6898</v>
      </c>
      <c r="H2228" s="41" t="s">
        <v>6899</v>
      </c>
      <c r="I2228" s="43">
        <v>12</v>
      </c>
      <c r="J2228" s="44" t="str">
        <f>VLOOKUP(G2228,[1]硬件清单!$F:$F,1,0)</f>
        <v>99W3269</v>
      </c>
      <c r="K2228" s="43"/>
      <c r="L2228" s="44"/>
      <c r="M2228" s="45" t="s">
        <v>6900</v>
      </c>
    </row>
    <row r="2229" s="26" customFormat="1" ht="30" customHeight="1" spans="1:13">
      <c r="A2229" s="41">
        <f>IF(C2229="","",SUBTOTAL(103,$C$2:C2229))</f>
        <v>2220</v>
      </c>
      <c r="B2229" s="41">
        <v>10140</v>
      </c>
      <c r="C2229" s="46">
        <v>15632</v>
      </c>
      <c r="D2229" s="46" t="s">
        <v>45</v>
      </c>
      <c r="E2229" s="46" t="s">
        <v>1298</v>
      </c>
      <c r="F2229" s="46" t="s">
        <v>6424</v>
      </c>
      <c r="G2229" s="41" t="s">
        <v>6901</v>
      </c>
      <c r="H2229" s="41" t="s">
        <v>6902</v>
      </c>
      <c r="I2229" s="43">
        <v>12</v>
      </c>
      <c r="J2229" s="44" t="str">
        <f>VLOOKUP(G2229,[1]硬件清单!$F:$F,1,0)</f>
        <v>99W3270</v>
      </c>
      <c r="K2229" s="43"/>
      <c r="L2229" s="44"/>
      <c r="M2229" s="45" t="s">
        <v>6903</v>
      </c>
    </row>
    <row r="2230" s="26" customFormat="1" ht="30" customHeight="1" spans="1:13">
      <c r="A2230" s="41">
        <f>IF(C2230="","",SUBTOTAL(103,$C$2:C2230))</f>
        <v>2221</v>
      </c>
      <c r="B2230" s="41">
        <v>10141</v>
      </c>
      <c r="C2230" s="46">
        <v>15633</v>
      </c>
      <c r="D2230" s="46" t="s">
        <v>45</v>
      </c>
      <c r="E2230" s="46" t="s">
        <v>1298</v>
      </c>
      <c r="F2230" s="46" t="s">
        <v>6424</v>
      </c>
      <c r="G2230" s="41" t="s">
        <v>6904</v>
      </c>
      <c r="H2230" s="41" t="s">
        <v>6905</v>
      </c>
      <c r="I2230" s="43">
        <v>12</v>
      </c>
      <c r="J2230" s="44" t="str">
        <f>VLOOKUP(G2230,[1]硬件清单!$F:$F,1,0)</f>
        <v>99W3248</v>
      </c>
      <c r="K2230" s="43"/>
      <c r="L2230" s="44"/>
      <c r="M2230" s="45" t="s">
        <v>6906</v>
      </c>
    </row>
    <row r="2231" s="26" customFormat="1" ht="30" customHeight="1" spans="1:13">
      <c r="A2231" s="41">
        <f>IF(C2231="","",SUBTOTAL(103,$C$2:C2231))</f>
        <v>2222</v>
      </c>
      <c r="B2231" s="41">
        <v>10142</v>
      </c>
      <c r="C2231" s="46">
        <v>15634</v>
      </c>
      <c r="D2231" s="46" t="s">
        <v>45</v>
      </c>
      <c r="E2231" s="46" t="s">
        <v>1298</v>
      </c>
      <c r="F2231" s="46" t="s">
        <v>6424</v>
      </c>
      <c r="G2231" s="41" t="s">
        <v>6907</v>
      </c>
      <c r="H2231" s="41" t="s">
        <v>6908</v>
      </c>
      <c r="I2231" s="43">
        <v>12</v>
      </c>
      <c r="J2231" s="44" t="str">
        <f>VLOOKUP(G2231,[1]硬件清单!$F:$F,1,0)</f>
        <v>99W3242</v>
      </c>
      <c r="K2231" s="43"/>
      <c r="L2231" s="44"/>
      <c r="M2231" s="45" t="s">
        <v>6909</v>
      </c>
    </row>
    <row r="2232" s="26" customFormat="1" ht="30" customHeight="1" spans="1:13">
      <c r="A2232" s="41">
        <f>IF(C2232="","",SUBTOTAL(103,$C$2:C2232))</f>
        <v>2223</v>
      </c>
      <c r="B2232" s="41">
        <v>10143</v>
      </c>
      <c r="C2232" s="46">
        <v>15635</v>
      </c>
      <c r="D2232" s="46" t="s">
        <v>45</v>
      </c>
      <c r="E2232" s="46" t="s">
        <v>1298</v>
      </c>
      <c r="F2232" s="46" t="s">
        <v>6424</v>
      </c>
      <c r="G2232" s="41" t="s">
        <v>6910</v>
      </c>
      <c r="H2232" s="41" t="s">
        <v>6911</v>
      </c>
      <c r="I2232" s="43">
        <v>12</v>
      </c>
      <c r="J2232" s="44" t="str">
        <f>VLOOKUP(G2232,[1]硬件清单!$F:$F,1,0)</f>
        <v>99W3323</v>
      </c>
      <c r="K2232" s="43"/>
      <c r="L2232" s="44"/>
      <c r="M2232" s="45" t="s">
        <v>6912</v>
      </c>
    </row>
    <row r="2233" s="26" customFormat="1" ht="30" customHeight="1" spans="1:13">
      <c r="A2233" s="41">
        <f>IF(C2233="","",SUBTOTAL(103,$C$2:C2233))</f>
        <v>2224</v>
      </c>
      <c r="B2233" s="41">
        <v>10144</v>
      </c>
      <c r="C2233" s="46">
        <v>15636</v>
      </c>
      <c r="D2233" s="46" t="s">
        <v>45</v>
      </c>
      <c r="E2233" s="46" t="s">
        <v>1298</v>
      </c>
      <c r="F2233" s="46" t="s">
        <v>6424</v>
      </c>
      <c r="G2233" s="41" t="s">
        <v>6913</v>
      </c>
      <c r="H2233" s="41" t="s">
        <v>6914</v>
      </c>
      <c r="I2233" s="43">
        <v>12</v>
      </c>
      <c r="J2233" s="44" t="str">
        <f>VLOOKUP(G2233,[1]硬件清单!$F:$F,1,0)</f>
        <v>99W3318</v>
      </c>
      <c r="K2233" s="43"/>
      <c r="L2233" s="44"/>
      <c r="M2233" s="45" t="s">
        <v>6915</v>
      </c>
    </row>
    <row r="2234" s="26" customFormat="1" ht="30" customHeight="1" spans="1:13">
      <c r="A2234" s="41">
        <f>IF(C2234="","",SUBTOTAL(103,$C$2:C2234))</f>
        <v>2225</v>
      </c>
      <c r="B2234" s="41">
        <v>10145</v>
      </c>
      <c r="C2234" s="46">
        <v>15637</v>
      </c>
      <c r="D2234" s="46" t="s">
        <v>45</v>
      </c>
      <c r="E2234" s="46" t="s">
        <v>1298</v>
      </c>
      <c r="F2234" s="46" t="s">
        <v>6424</v>
      </c>
      <c r="G2234" s="41" t="s">
        <v>6916</v>
      </c>
      <c r="H2234" s="41" t="s">
        <v>6917</v>
      </c>
      <c r="I2234" s="43">
        <v>12</v>
      </c>
      <c r="J2234" s="44" t="str">
        <f>VLOOKUP(G2234,[1]硬件清单!$F:$F,1,0)</f>
        <v>99W3314</v>
      </c>
      <c r="K2234" s="43"/>
      <c r="L2234" s="44"/>
      <c r="M2234" s="45" t="s">
        <v>6918</v>
      </c>
    </row>
    <row r="2235" s="26" customFormat="1" ht="30" customHeight="1" spans="1:13">
      <c r="A2235" s="41">
        <f>IF(C2235="","",SUBTOTAL(103,$C$2:C2235))</f>
        <v>2226</v>
      </c>
      <c r="B2235" s="41">
        <v>10146</v>
      </c>
      <c r="C2235" s="46">
        <v>15643</v>
      </c>
      <c r="D2235" s="46" t="s">
        <v>45</v>
      </c>
      <c r="E2235" s="46" t="s">
        <v>1298</v>
      </c>
      <c r="F2235" s="46" t="s">
        <v>6424</v>
      </c>
      <c r="G2235" s="41" t="s">
        <v>6919</v>
      </c>
      <c r="H2235" s="41" t="s">
        <v>6920</v>
      </c>
      <c r="I2235" s="43">
        <v>12</v>
      </c>
      <c r="J2235" s="44" t="str">
        <f>VLOOKUP(G2235,[1]硬件清单!$F:$F,1,0)</f>
        <v>99W3204</v>
      </c>
      <c r="K2235" s="43"/>
      <c r="L2235" s="44"/>
      <c r="M2235" s="45" t="s">
        <v>6921</v>
      </c>
    </row>
    <row r="2236" s="26" customFormat="1" ht="30" customHeight="1" spans="1:13">
      <c r="A2236" s="41">
        <f>IF(C2236="","",SUBTOTAL(103,$C$2:C2236))</f>
        <v>2227</v>
      </c>
      <c r="B2236" s="41">
        <v>10147</v>
      </c>
      <c r="C2236" s="46">
        <v>15653</v>
      </c>
      <c r="D2236" s="46" t="s">
        <v>45</v>
      </c>
      <c r="E2236" s="46" t="s">
        <v>1298</v>
      </c>
      <c r="F2236" s="46" t="s">
        <v>6424</v>
      </c>
      <c r="G2236" s="41" t="s">
        <v>6922</v>
      </c>
      <c r="H2236" s="41" t="s">
        <v>6923</v>
      </c>
      <c r="I2236" s="43">
        <v>12</v>
      </c>
      <c r="J2236" s="44" t="str">
        <f>VLOOKUP(G2236,[1]硬件清单!$F:$F,1,0)</f>
        <v>99W3227</v>
      </c>
      <c r="K2236" s="43"/>
      <c r="L2236" s="44"/>
      <c r="M2236" s="45" t="s">
        <v>6924</v>
      </c>
    </row>
    <row r="2237" s="26" customFormat="1" ht="30" customHeight="1" spans="1:13">
      <c r="A2237" s="41">
        <f>IF(C2237="","",SUBTOTAL(103,$C$2:C2237))</f>
        <v>2228</v>
      </c>
      <c r="B2237" s="41">
        <v>10148</v>
      </c>
      <c r="C2237" s="46">
        <v>15654</v>
      </c>
      <c r="D2237" s="46" t="s">
        <v>45</v>
      </c>
      <c r="E2237" s="46" t="s">
        <v>1298</v>
      </c>
      <c r="F2237" s="46" t="s">
        <v>6424</v>
      </c>
      <c r="G2237" s="41" t="s">
        <v>6925</v>
      </c>
      <c r="H2237" s="41" t="s">
        <v>6926</v>
      </c>
      <c r="I2237" s="43">
        <v>12</v>
      </c>
      <c r="J2237" s="44" t="str">
        <f>VLOOKUP(G2237,[1]硬件清单!$F:$F,1,0)</f>
        <v>99W3300</v>
      </c>
      <c r="K2237" s="43"/>
      <c r="L2237" s="44"/>
      <c r="M2237" s="45" t="s">
        <v>6927</v>
      </c>
    </row>
    <row r="2238" s="26" customFormat="1" ht="30" customHeight="1" spans="1:13">
      <c r="A2238" s="41">
        <f>IF(C2238="","",SUBTOTAL(103,$C$2:C2238))</f>
        <v>2229</v>
      </c>
      <c r="B2238" s="41">
        <v>10149</v>
      </c>
      <c r="C2238" s="46">
        <v>15655</v>
      </c>
      <c r="D2238" s="46" t="s">
        <v>45</v>
      </c>
      <c r="E2238" s="46" t="s">
        <v>1298</v>
      </c>
      <c r="F2238" s="46" t="s">
        <v>6424</v>
      </c>
      <c r="G2238" s="41" t="s">
        <v>6928</v>
      </c>
      <c r="H2238" s="41" t="s">
        <v>6929</v>
      </c>
      <c r="I2238" s="43">
        <v>12</v>
      </c>
      <c r="J2238" s="44" t="str">
        <f>VLOOKUP(G2238,[1]硬件清单!$F:$F,1,0)</f>
        <v>99W3309</v>
      </c>
      <c r="K2238" s="43"/>
      <c r="L2238" s="44"/>
      <c r="M2238" s="45" t="s">
        <v>6930</v>
      </c>
    </row>
    <row r="2239" s="26" customFormat="1" ht="30" customHeight="1" spans="1:13">
      <c r="A2239" s="41">
        <f>IF(C2239="","",SUBTOTAL(103,$C$2:C2239))</f>
        <v>2230</v>
      </c>
      <c r="B2239" s="41">
        <v>10150</v>
      </c>
      <c r="C2239" s="46">
        <v>15656</v>
      </c>
      <c r="D2239" s="46" t="s">
        <v>45</v>
      </c>
      <c r="E2239" s="46" t="s">
        <v>1298</v>
      </c>
      <c r="F2239" s="46" t="s">
        <v>6424</v>
      </c>
      <c r="G2239" s="41" t="s">
        <v>6931</v>
      </c>
      <c r="H2239" s="41" t="s">
        <v>6932</v>
      </c>
      <c r="I2239" s="43">
        <v>12</v>
      </c>
      <c r="J2239" s="44" t="str">
        <f>VLOOKUP(G2239,[1]硬件清单!$F:$F,1,0)</f>
        <v>99W3263</v>
      </c>
      <c r="K2239" s="43"/>
      <c r="L2239" s="44"/>
      <c r="M2239" s="45" t="s">
        <v>6933</v>
      </c>
    </row>
    <row r="2240" s="26" customFormat="1" ht="30" customHeight="1" spans="1:13">
      <c r="A2240" s="41">
        <f>IF(C2240="","",SUBTOTAL(103,$C$2:C2240))</f>
        <v>2231</v>
      </c>
      <c r="B2240" s="41">
        <v>10151</v>
      </c>
      <c r="C2240" s="46">
        <v>15657</v>
      </c>
      <c r="D2240" s="46" t="s">
        <v>45</v>
      </c>
      <c r="E2240" s="46" t="s">
        <v>1298</v>
      </c>
      <c r="F2240" s="46" t="s">
        <v>6424</v>
      </c>
      <c r="G2240" s="41" t="s">
        <v>6934</v>
      </c>
      <c r="H2240" s="41" t="s">
        <v>6935</v>
      </c>
      <c r="I2240" s="43">
        <v>12</v>
      </c>
      <c r="J2240" s="44" t="str">
        <f>VLOOKUP(G2240,[1]硬件清单!$F:$F,1,0)</f>
        <v>99W3190</v>
      </c>
      <c r="K2240" s="43"/>
      <c r="L2240" s="44"/>
      <c r="M2240" s="45" t="s">
        <v>6936</v>
      </c>
    </row>
    <row r="2241" s="26" customFormat="1" ht="30" customHeight="1" spans="1:13">
      <c r="A2241" s="41">
        <f>IF(C2241="","",SUBTOTAL(103,$C$2:C2241))</f>
        <v>2232</v>
      </c>
      <c r="B2241" s="41">
        <v>10152</v>
      </c>
      <c r="C2241" s="46">
        <v>15644</v>
      </c>
      <c r="D2241" s="46" t="s">
        <v>45</v>
      </c>
      <c r="E2241" s="46" t="s">
        <v>1298</v>
      </c>
      <c r="F2241" s="46" t="s">
        <v>6424</v>
      </c>
      <c r="G2241" s="41" t="s">
        <v>6937</v>
      </c>
      <c r="H2241" s="41" t="s">
        <v>6938</v>
      </c>
      <c r="I2241" s="43">
        <v>12</v>
      </c>
      <c r="J2241" s="44" t="str">
        <f>VLOOKUP(G2241,[1]硬件清单!$F:$F,1,0)</f>
        <v>99W3225</v>
      </c>
      <c r="K2241" s="43"/>
      <c r="L2241" s="44"/>
      <c r="M2241" s="45" t="s">
        <v>6939</v>
      </c>
    </row>
    <row r="2242" s="26" customFormat="1" ht="30" customHeight="1" spans="1:13">
      <c r="A2242" s="41">
        <f>IF(C2242="","",SUBTOTAL(103,$C$2:C2242))</f>
        <v>2233</v>
      </c>
      <c r="B2242" s="41">
        <v>10153</v>
      </c>
      <c r="C2242" s="46">
        <v>15646</v>
      </c>
      <c r="D2242" s="46" t="s">
        <v>45</v>
      </c>
      <c r="E2242" s="46" t="s">
        <v>1298</v>
      </c>
      <c r="F2242" s="46" t="s">
        <v>6424</v>
      </c>
      <c r="G2242" s="41" t="s">
        <v>6940</v>
      </c>
      <c r="H2242" s="41" t="s">
        <v>6941</v>
      </c>
      <c r="I2242" s="43">
        <v>12</v>
      </c>
      <c r="J2242" s="44" t="str">
        <f>VLOOKUP(G2242,[1]硬件清单!$F:$F,1,0)</f>
        <v>99W3209</v>
      </c>
      <c r="K2242" s="43"/>
      <c r="L2242" s="44"/>
      <c r="M2242" s="45" t="s">
        <v>6942</v>
      </c>
    </row>
    <row r="2243" s="26" customFormat="1" ht="30" customHeight="1" spans="1:13">
      <c r="A2243" s="41">
        <f>IF(C2243="","",SUBTOTAL(103,$C$2:C2243))</f>
        <v>2234</v>
      </c>
      <c r="B2243" s="41">
        <v>10154</v>
      </c>
      <c r="C2243" s="46">
        <v>15647</v>
      </c>
      <c r="D2243" s="46" t="s">
        <v>45</v>
      </c>
      <c r="E2243" s="46" t="s">
        <v>1298</v>
      </c>
      <c r="F2243" s="46" t="s">
        <v>6424</v>
      </c>
      <c r="G2243" s="41" t="s">
        <v>6943</v>
      </c>
      <c r="H2243" s="41" t="s">
        <v>6944</v>
      </c>
      <c r="I2243" s="43">
        <v>12</v>
      </c>
      <c r="J2243" s="44" t="str">
        <f>VLOOKUP(G2243,[1]硬件清单!$F:$F,1,0)</f>
        <v>99W3181</v>
      </c>
      <c r="K2243" s="43"/>
      <c r="L2243" s="44"/>
      <c r="M2243" s="45" t="s">
        <v>6945</v>
      </c>
    </row>
    <row r="2244" s="26" customFormat="1" ht="30" customHeight="1" spans="1:13">
      <c r="A2244" s="41">
        <f>IF(C2244="","",SUBTOTAL(103,$C$2:C2244))</f>
        <v>2235</v>
      </c>
      <c r="B2244" s="41">
        <v>10155</v>
      </c>
      <c r="C2244" s="46">
        <v>15648</v>
      </c>
      <c r="D2244" s="46" t="s">
        <v>45</v>
      </c>
      <c r="E2244" s="46" t="s">
        <v>1298</v>
      </c>
      <c r="F2244" s="46" t="s">
        <v>6424</v>
      </c>
      <c r="G2244" s="41" t="s">
        <v>6946</v>
      </c>
      <c r="H2244" s="41" t="s">
        <v>6947</v>
      </c>
      <c r="I2244" s="43">
        <v>12</v>
      </c>
      <c r="J2244" s="44" t="str">
        <f>VLOOKUP(G2244,[1]硬件清单!$F:$F,1,0)</f>
        <v>99W3297</v>
      </c>
      <c r="K2244" s="43"/>
      <c r="L2244" s="44"/>
      <c r="M2244" s="45" t="s">
        <v>6948</v>
      </c>
    </row>
    <row r="2245" s="26" customFormat="1" ht="30" customHeight="1" spans="1:13">
      <c r="A2245" s="41">
        <f>IF(C2245="","",SUBTOTAL(103,$C$2:C2245))</f>
        <v>2236</v>
      </c>
      <c r="B2245" s="41">
        <v>10156</v>
      </c>
      <c r="C2245" s="46">
        <v>15649</v>
      </c>
      <c r="D2245" s="46" t="s">
        <v>45</v>
      </c>
      <c r="E2245" s="46" t="s">
        <v>1298</v>
      </c>
      <c r="F2245" s="46" t="s">
        <v>6424</v>
      </c>
      <c r="G2245" s="41" t="s">
        <v>6949</v>
      </c>
      <c r="H2245" s="41" t="s">
        <v>6950</v>
      </c>
      <c r="I2245" s="43">
        <v>12</v>
      </c>
      <c r="J2245" s="44" t="str">
        <f>VLOOKUP(G2245,[1]硬件清单!$F:$F,1,0)</f>
        <v>99W3295</v>
      </c>
      <c r="K2245" s="43"/>
      <c r="L2245" s="44"/>
      <c r="M2245" s="45" t="s">
        <v>6951</v>
      </c>
    </row>
    <row r="2246" s="26" customFormat="1" ht="30" customHeight="1" spans="1:13">
      <c r="A2246" s="41">
        <f>IF(C2246="","",SUBTOTAL(103,$C$2:C2246))</f>
        <v>2237</v>
      </c>
      <c r="B2246" s="41">
        <v>10157</v>
      </c>
      <c r="C2246" s="46">
        <v>15650</v>
      </c>
      <c r="D2246" s="46" t="s">
        <v>45</v>
      </c>
      <c r="E2246" s="46" t="s">
        <v>1298</v>
      </c>
      <c r="F2246" s="46" t="s">
        <v>6424</v>
      </c>
      <c r="G2246" s="41" t="s">
        <v>6952</v>
      </c>
      <c r="H2246" s="41" t="s">
        <v>6953</v>
      </c>
      <c r="I2246" s="43">
        <v>12</v>
      </c>
      <c r="J2246" s="44" t="str">
        <f>VLOOKUP(G2246,[1]硬件清单!$F:$F,1,0)</f>
        <v>99W3289</v>
      </c>
      <c r="K2246" s="43"/>
      <c r="L2246" s="44"/>
      <c r="M2246" s="45" t="s">
        <v>6954</v>
      </c>
    </row>
    <row r="2247" s="26" customFormat="1" ht="30" customHeight="1" spans="1:13">
      <c r="A2247" s="41">
        <f>IF(C2247="","",SUBTOTAL(103,$C$2:C2247))</f>
        <v>2238</v>
      </c>
      <c r="B2247" s="41">
        <v>10158</v>
      </c>
      <c r="C2247" s="46">
        <v>15651</v>
      </c>
      <c r="D2247" s="46" t="s">
        <v>45</v>
      </c>
      <c r="E2247" s="46" t="s">
        <v>1298</v>
      </c>
      <c r="F2247" s="46" t="s">
        <v>6424</v>
      </c>
      <c r="G2247" s="41" t="s">
        <v>6955</v>
      </c>
      <c r="H2247" s="41" t="s">
        <v>6956</v>
      </c>
      <c r="I2247" s="43">
        <v>12</v>
      </c>
      <c r="J2247" s="44" t="str">
        <f>VLOOKUP(G2247,[1]硬件清单!$F:$F,1,0)</f>
        <v>99W3193</v>
      </c>
      <c r="K2247" s="43"/>
      <c r="L2247" s="44"/>
      <c r="M2247" s="45" t="s">
        <v>6957</v>
      </c>
    </row>
    <row r="2248" s="26" customFormat="1" ht="30" customHeight="1" spans="1:13">
      <c r="A2248" s="41">
        <f>IF(C2248="","",SUBTOTAL(103,$C$2:C2248))</f>
        <v>2239</v>
      </c>
      <c r="B2248" s="41">
        <v>10159</v>
      </c>
      <c r="C2248" s="46">
        <v>15652</v>
      </c>
      <c r="D2248" s="46" t="s">
        <v>45</v>
      </c>
      <c r="E2248" s="46" t="s">
        <v>1298</v>
      </c>
      <c r="F2248" s="46" t="s">
        <v>6424</v>
      </c>
      <c r="G2248" s="41" t="s">
        <v>6958</v>
      </c>
      <c r="H2248" s="41" t="s">
        <v>6959</v>
      </c>
      <c r="I2248" s="43">
        <v>12</v>
      </c>
      <c r="J2248" s="44" t="str">
        <f>VLOOKUP(G2248,[1]硬件清单!$F:$F,1,0)</f>
        <v>99W3296</v>
      </c>
      <c r="K2248" s="43"/>
      <c r="L2248" s="44"/>
      <c r="M2248" s="45" t="s">
        <v>6960</v>
      </c>
    </row>
    <row r="2249" s="26" customFormat="1" ht="30" customHeight="1" spans="1:13">
      <c r="A2249" s="41">
        <f>IF(C2249="","",SUBTOTAL(103,$C$2:C2249))</f>
        <v>2240</v>
      </c>
      <c r="B2249" s="41">
        <v>10160</v>
      </c>
      <c r="C2249" s="41">
        <v>15832</v>
      </c>
      <c r="D2249" s="41" t="s">
        <v>45</v>
      </c>
      <c r="E2249" s="41" t="s">
        <v>1298</v>
      </c>
      <c r="F2249" s="41" t="s">
        <v>6961</v>
      </c>
      <c r="G2249" s="41" t="s">
        <v>6962</v>
      </c>
      <c r="H2249" s="41" t="s">
        <v>6963</v>
      </c>
      <c r="I2249" s="43">
        <v>12</v>
      </c>
      <c r="J2249" s="44" t="str">
        <f>VLOOKUP(G2249,[1]硬件清单!$F:$F,1,0)</f>
        <v>06YG384</v>
      </c>
      <c r="K2249" s="43"/>
      <c r="L2249" s="44"/>
      <c r="M2249" s="45" t="s">
        <v>6964</v>
      </c>
    </row>
    <row r="2250" s="26" customFormat="1" ht="30" customHeight="1" spans="1:13">
      <c r="A2250" s="41">
        <f>IF(C2250="","",SUBTOTAL(103,$C$2:C2250))</f>
        <v>2241</v>
      </c>
      <c r="B2250" s="41">
        <v>10161</v>
      </c>
      <c r="C2250" s="41">
        <v>15852</v>
      </c>
      <c r="D2250" s="41" t="s">
        <v>45</v>
      </c>
      <c r="E2250" s="41" t="s">
        <v>1298</v>
      </c>
      <c r="F2250" s="41" t="s">
        <v>6965</v>
      </c>
      <c r="G2250" s="41" t="s">
        <v>6966</v>
      </c>
      <c r="H2250" s="41" t="s">
        <v>6967</v>
      </c>
      <c r="I2250" s="43">
        <v>12</v>
      </c>
      <c r="J2250" s="44" t="str">
        <f>VLOOKUP(G2250,[1]硬件清单!$F:$F,1,0)</f>
        <v>06YG377</v>
      </c>
      <c r="K2250" s="43"/>
      <c r="L2250" s="44"/>
      <c r="M2250" s="45" t="s">
        <v>6968</v>
      </c>
    </row>
    <row r="2251" s="26" customFormat="1" ht="30" customHeight="1" spans="1:13">
      <c r="A2251" s="41">
        <f>IF(C2251="","",SUBTOTAL(103,$C$2:C2251))</f>
        <v>2242</v>
      </c>
      <c r="B2251" s="41">
        <v>10162</v>
      </c>
      <c r="C2251" s="41">
        <v>15831</v>
      </c>
      <c r="D2251" s="41" t="s">
        <v>45</v>
      </c>
      <c r="E2251" s="41" t="s">
        <v>1298</v>
      </c>
      <c r="F2251" s="41" t="s">
        <v>6961</v>
      </c>
      <c r="G2251" s="41" t="s">
        <v>6966</v>
      </c>
      <c r="H2251" s="41" t="s">
        <v>6969</v>
      </c>
      <c r="I2251" s="43">
        <v>12</v>
      </c>
      <c r="J2251" s="44" t="str">
        <f>VLOOKUP(G2251,[1]硬件清单!$F:$F,1,0)</f>
        <v>06YG377</v>
      </c>
      <c r="K2251" s="43"/>
      <c r="L2251" s="44"/>
      <c r="M2251" s="45" t="s">
        <v>6968</v>
      </c>
    </row>
    <row r="2252" s="26" customFormat="1" ht="30" customHeight="1" spans="1:13">
      <c r="A2252" s="41">
        <f>IF(C2252="","",SUBTOTAL(103,$C$2:C2252))</f>
        <v>2243</v>
      </c>
      <c r="B2252" s="41">
        <v>10163</v>
      </c>
      <c r="C2252" s="46">
        <v>15658</v>
      </c>
      <c r="D2252" s="46" t="s">
        <v>45</v>
      </c>
      <c r="E2252" s="46" t="s">
        <v>1298</v>
      </c>
      <c r="F2252" s="46" t="s">
        <v>6424</v>
      </c>
      <c r="G2252" s="41" t="s">
        <v>6970</v>
      </c>
      <c r="H2252" s="41" t="s">
        <v>6971</v>
      </c>
      <c r="I2252" s="43">
        <v>12</v>
      </c>
      <c r="J2252" s="44" t="str">
        <f>VLOOKUP(G2252,[1]硬件清单!$F:$F,1,0)</f>
        <v>99W3316</v>
      </c>
      <c r="K2252" s="43"/>
      <c r="L2252" s="44"/>
      <c r="M2252" s="45" t="s">
        <v>6972</v>
      </c>
    </row>
    <row r="2253" s="26" customFormat="1" ht="30" customHeight="1" spans="1:13">
      <c r="A2253" s="41">
        <f>IF(C2253="","",SUBTOTAL(103,$C$2:C2253))</f>
        <v>2244</v>
      </c>
      <c r="B2253" s="41">
        <v>10164</v>
      </c>
      <c r="C2253" s="46">
        <v>15667</v>
      </c>
      <c r="D2253" s="46" t="s">
        <v>45</v>
      </c>
      <c r="E2253" s="46" t="s">
        <v>1298</v>
      </c>
      <c r="F2253" s="46" t="s">
        <v>6424</v>
      </c>
      <c r="G2253" s="41" t="s">
        <v>6973</v>
      </c>
      <c r="H2253" s="41" t="s">
        <v>6974</v>
      </c>
      <c r="I2253" s="43">
        <v>12</v>
      </c>
      <c r="J2253" s="44" t="str">
        <f>VLOOKUP(G2253,[1]硬件清单!$F:$F,1,0)</f>
        <v>99W3294</v>
      </c>
      <c r="K2253" s="43"/>
      <c r="L2253" s="44"/>
      <c r="M2253" s="45" t="s">
        <v>6975</v>
      </c>
    </row>
    <row r="2254" s="26" customFormat="1" ht="30" customHeight="1" spans="1:13">
      <c r="A2254" s="41">
        <f>IF(C2254="","",SUBTOTAL(103,$C$2:C2254))</f>
        <v>2245</v>
      </c>
      <c r="B2254" s="41">
        <v>10165</v>
      </c>
      <c r="C2254" s="46">
        <v>15668</v>
      </c>
      <c r="D2254" s="46" t="s">
        <v>45</v>
      </c>
      <c r="E2254" s="46" t="s">
        <v>1298</v>
      </c>
      <c r="F2254" s="46" t="s">
        <v>6424</v>
      </c>
      <c r="G2254" s="41" t="s">
        <v>6976</v>
      </c>
      <c r="H2254" s="41" t="s">
        <v>6977</v>
      </c>
      <c r="I2254" s="43">
        <v>12</v>
      </c>
      <c r="J2254" s="44" t="str">
        <f>VLOOKUP(G2254,[1]硬件清单!$F:$F,1,0)</f>
        <v>99W3195</v>
      </c>
      <c r="K2254" s="43"/>
      <c r="L2254" s="44"/>
      <c r="M2254" s="45" t="s">
        <v>6978</v>
      </c>
    </row>
    <row r="2255" s="26" customFormat="1" ht="30" customHeight="1" spans="1:13">
      <c r="A2255" s="41">
        <f>IF(C2255="","",SUBTOTAL(103,$C$2:C2255))</f>
        <v>2246</v>
      </c>
      <c r="B2255" s="41">
        <v>10166</v>
      </c>
      <c r="C2255" s="46">
        <v>15669</v>
      </c>
      <c r="D2255" s="46" t="s">
        <v>45</v>
      </c>
      <c r="E2255" s="46" t="s">
        <v>1298</v>
      </c>
      <c r="F2255" s="46" t="s">
        <v>6424</v>
      </c>
      <c r="G2255" s="41" t="s">
        <v>6979</v>
      </c>
      <c r="H2255" s="41" t="s">
        <v>6980</v>
      </c>
      <c r="I2255" s="43">
        <v>12</v>
      </c>
      <c r="J2255" s="44" t="str">
        <f>VLOOKUP(G2255,[1]硬件清单!$F:$F,1,0)</f>
        <v>99W3207</v>
      </c>
      <c r="K2255" s="43"/>
      <c r="L2255" s="44"/>
      <c r="M2255" s="45" t="s">
        <v>6981</v>
      </c>
    </row>
    <row r="2256" s="26" customFormat="1" ht="30" customHeight="1" spans="1:13">
      <c r="A2256" s="41">
        <f>IF(C2256="","",SUBTOTAL(103,$C$2:C2256))</f>
        <v>2247</v>
      </c>
      <c r="B2256" s="41">
        <v>10167</v>
      </c>
      <c r="C2256" s="46">
        <v>15670</v>
      </c>
      <c r="D2256" s="46" t="s">
        <v>45</v>
      </c>
      <c r="E2256" s="46" t="s">
        <v>1298</v>
      </c>
      <c r="F2256" s="46" t="s">
        <v>6424</v>
      </c>
      <c r="G2256" s="41" t="s">
        <v>6982</v>
      </c>
      <c r="H2256" s="41" t="s">
        <v>6983</v>
      </c>
      <c r="I2256" s="43">
        <v>12</v>
      </c>
      <c r="J2256" s="44" t="str">
        <f>VLOOKUP(G2256,[1]硬件清单!$F:$F,1,0)</f>
        <v>99W3329</v>
      </c>
      <c r="K2256" s="43"/>
      <c r="L2256" s="44"/>
      <c r="M2256" s="45" t="s">
        <v>6984</v>
      </c>
    </row>
    <row r="2257" s="26" customFormat="1" ht="30" customHeight="1" spans="1:13">
      <c r="A2257" s="41">
        <f>IF(C2257="","",SUBTOTAL(103,$C$2:C2257))</f>
        <v>2248</v>
      </c>
      <c r="B2257" s="41">
        <v>10168</v>
      </c>
      <c r="C2257" s="46">
        <v>15671</v>
      </c>
      <c r="D2257" s="46" t="s">
        <v>45</v>
      </c>
      <c r="E2257" s="46" t="s">
        <v>1298</v>
      </c>
      <c r="F2257" s="46" t="s">
        <v>6424</v>
      </c>
      <c r="G2257" s="41" t="s">
        <v>6985</v>
      </c>
      <c r="H2257" s="41" t="s">
        <v>6986</v>
      </c>
      <c r="I2257" s="43">
        <v>12</v>
      </c>
      <c r="J2257" s="44" t="str">
        <f>VLOOKUP(G2257,[1]硬件清单!$F:$F,1,0)</f>
        <v>99W3232</v>
      </c>
      <c r="K2257" s="43"/>
      <c r="L2257" s="44"/>
      <c r="M2257" s="45" t="s">
        <v>6987</v>
      </c>
    </row>
    <row r="2258" s="26" customFormat="1" ht="30" customHeight="1" spans="1:13">
      <c r="A2258" s="41">
        <f>IF(C2258="","",SUBTOTAL(103,$C$2:C2258))</f>
        <v>2249</v>
      </c>
      <c r="B2258" s="41">
        <v>10169</v>
      </c>
      <c r="C2258" s="46">
        <v>15659</v>
      </c>
      <c r="D2258" s="46" t="s">
        <v>45</v>
      </c>
      <c r="E2258" s="46" t="s">
        <v>1298</v>
      </c>
      <c r="F2258" s="46" t="s">
        <v>6424</v>
      </c>
      <c r="G2258" s="41" t="s">
        <v>6988</v>
      </c>
      <c r="H2258" s="41" t="s">
        <v>6989</v>
      </c>
      <c r="I2258" s="43">
        <v>12</v>
      </c>
      <c r="J2258" s="44" t="str">
        <f>VLOOKUP(G2258,[1]硬件清单!$F:$F,1,0)</f>
        <v>99W3224</v>
      </c>
      <c r="K2258" s="43"/>
      <c r="L2258" s="44"/>
      <c r="M2258" s="45" t="s">
        <v>6990</v>
      </c>
    </row>
    <row r="2259" s="26" customFormat="1" ht="30" customHeight="1" spans="1:13">
      <c r="A2259" s="41">
        <f>IF(C2259="","",SUBTOTAL(103,$C$2:C2259))</f>
        <v>2250</v>
      </c>
      <c r="B2259" s="41">
        <v>10170</v>
      </c>
      <c r="C2259" s="46">
        <v>15660</v>
      </c>
      <c r="D2259" s="46" t="s">
        <v>45</v>
      </c>
      <c r="E2259" s="46" t="s">
        <v>1298</v>
      </c>
      <c r="F2259" s="46" t="s">
        <v>6424</v>
      </c>
      <c r="G2259" s="41" t="s">
        <v>6991</v>
      </c>
      <c r="H2259" s="41" t="s">
        <v>6992</v>
      </c>
      <c r="I2259" s="43">
        <v>12</v>
      </c>
      <c r="J2259" s="44" t="str">
        <f>VLOOKUP(G2259,[1]硬件清单!$F:$F,1,0)</f>
        <v>99W3315</v>
      </c>
      <c r="K2259" s="43"/>
      <c r="L2259" s="44"/>
      <c r="M2259" s="45" t="s">
        <v>6993</v>
      </c>
    </row>
    <row r="2260" s="26" customFormat="1" ht="30" customHeight="1" spans="1:13">
      <c r="A2260" s="41">
        <f>IF(C2260="","",SUBTOTAL(103,$C$2:C2260))</f>
        <v>2251</v>
      </c>
      <c r="B2260" s="41">
        <v>10171</v>
      </c>
      <c r="C2260" s="46">
        <v>15661</v>
      </c>
      <c r="D2260" s="46" t="s">
        <v>45</v>
      </c>
      <c r="E2260" s="46" t="s">
        <v>1298</v>
      </c>
      <c r="F2260" s="46" t="s">
        <v>6424</v>
      </c>
      <c r="G2260" s="41" t="s">
        <v>6994</v>
      </c>
      <c r="H2260" s="41" t="s">
        <v>6995</v>
      </c>
      <c r="I2260" s="43">
        <v>12</v>
      </c>
      <c r="J2260" s="44" t="str">
        <f>VLOOKUP(G2260,[1]硬件清单!$F:$F,1,0)</f>
        <v>99W3304</v>
      </c>
      <c r="K2260" s="43"/>
      <c r="L2260" s="44"/>
      <c r="M2260" s="45" t="s">
        <v>6996</v>
      </c>
    </row>
    <row r="2261" s="26" customFormat="1" ht="30" customHeight="1" spans="1:13">
      <c r="A2261" s="41">
        <f>IF(C2261="","",SUBTOTAL(103,$C$2:C2261))</f>
        <v>2252</v>
      </c>
      <c r="B2261" s="41">
        <v>10172</v>
      </c>
      <c r="C2261" s="46">
        <v>15662</v>
      </c>
      <c r="D2261" s="46" t="s">
        <v>45</v>
      </c>
      <c r="E2261" s="46" t="s">
        <v>1298</v>
      </c>
      <c r="F2261" s="46" t="s">
        <v>6424</v>
      </c>
      <c r="G2261" s="41" t="s">
        <v>6997</v>
      </c>
      <c r="H2261" s="41" t="s">
        <v>6998</v>
      </c>
      <c r="I2261" s="43">
        <v>12</v>
      </c>
      <c r="J2261" s="44" t="str">
        <f>VLOOKUP(G2261,[1]硬件清单!$F:$F,1,0)</f>
        <v>99W3182</v>
      </c>
      <c r="K2261" s="43"/>
      <c r="L2261" s="44"/>
      <c r="M2261" s="45" t="s">
        <v>6999</v>
      </c>
    </row>
    <row r="2262" s="26" customFormat="1" ht="30" customHeight="1" spans="1:13">
      <c r="A2262" s="41">
        <f>IF(C2262="","",SUBTOTAL(103,$C$2:C2262))</f>
        <v>2253</v>
      </c>
      <c r="B2262" s="41">
        <v>10173</v>
      </c>
      <c r="C2262" s="46">
        <v>15663</v>
      </c>
      <c r="D2262" s="46" t="s">
        <v>45</v>
      </c>
      <c r="E2262" s="46" t="s">
        <v>1298</v>
      </c>
      <c r="F2262" s="46" t="s">
        <v>6424</v>
      </c>
      <c r="G2262" s="41" t="s">
        <v>7000</v>
      </c>
      <c r="H2262" s="41" t="s">
        <v>7001</v>
      </c>
      <c r="I2262" s="43">
        <v>12</v>
      </c>
      <c r="J2262" s="44" t="str">
        <f>VLOOKUP(G2262,[1]硬件清单!$F:$F,1,0)</f>
        <v>99W3180</v>
      </c>
      <c r="K2262" s="43"/>
      <c r="L2262" s="44"/>
      <c r="M2262" s="45" t="s">
        <v>7002</v>
      </c>
    </row>
    <row r="2263" s="26" customFormat="1" ht="30" customHeight="1" spans="1:13">
      <c r="A2263" s="41">
        <f>IF(C2263="","",SUBTOTAL(103,$C$2:C2263))</f>
        <v>2254</v>
      </c>
      <c r="B2263" s="41">
        <v>10174</v>
      </c>
      <c r="C2263" s="46">
        <v>15664</v>
      </c>
      <c r="D2263" s="46" t="s">
        <v>45</v>
      </c>
      <c r="E2263" s="46" t="s">
        <v>1298</v>
      </c>
      <c r="F2263" s="46" t="s">
        <v>6424</v>
      </c>
      <c r="G2263" s="41" t="s">
        <v>7003</v>
      </c>
      <c r="H2263" s="41" t="s">
        <v>7004</v>
      </c>
      <c r="I2263" s="43">
        <v>12</v>
      </c>
      <c r="J2263" s="44" t="str">
        <f>VLOOKUP(G2263,[1]硬件清单!$F:$F,1,0)</f>
        <v>99W3236</v>
      </c>
      <c r="K2263" s="43"/>
      <c r="L2263" s="44"/>
      <c r="M2263" s="45" t="s">
        <v>7005</v>
      </c>
    </row>
    <row r="2264" s="26" customFormat="1" ht="30" customHeight="1" spans="1:13">
      <c r="A2264" s="41">
        <f>IF(C2264="","",SUBTOTAL(103,$C$2:C2264))</f>
        <v>2255</v>
      </c>
      <c r="B2264" s="41">
        <v>10175</v>
      </c>
      <c r="C2264" s="46">
        <v>15665</v>
      </c>
      <c r="D2264" s="46" t="s">
        <v>45</v>
      </c>
      <c r="E2264" s="46" t="s">
        <v>1298</v>
      </c>
      <c r="F2264" s="46" t="s">
        <v>6424</v>
      </c>
      <c r="G2264" s="41" t="s">
        <v>7006</v>
      </c>
      <c r="H2264" s="41" t="s">
        <v>7007</v>
      </c>
      <c r="I2264" s="43">
        <v>12</v>
      </c>
      <c r="J2264" s="44" t="str">
        <f>VLOOKUP(G2264,[1]硬件清单!$F:$F,1,0)</f>
        <v>99W3203</v>
      </c>
      <c r="K2264" s="43"/>
      <c r="L2264" s="44"/>
      <c r="M2264" s="45" t="s">
        <v>7008</v>
      </c>
    </row>
    <row r="2265" s="26" customFormat="1" ht="30" customHeight="1" spans="1:13">
      <c r="A2265" s="41">
        <f>IF(C2265="","",SUBTOTAL(103,$C$2:C2265))</f>
        <v>2256</v>
      </c>
      <c r="B2265" s="41">
        <v>10176</v>
      </c>
      <c r="C2265" s="46">
        <v>15666</v>
      </c>
      <c r="D2265" s="46" t="s">
        <v>45</v>
      </c>
      <c r="E2265" s="46" t="s">
        <v>1298</v>
      </c>
      <c r="F2265" s="46" t="s">
        <v>6424</v>
      </c>
      <c r="G2265" s="41" t="s">
        <v>7009</v>
      </c>
      <c r="H2265" s="41" t="s">
        <v>7010</v>
      </c>
      <c r="I2265" s="43">
        <v>12</v>
      </c>
      <c r="J2265" s="44" t="str">
        <f>VLOOKUP(G2265,[1]硬件清单!$F:$F,1,0)</f>
        <v>99W3216</v>
      </c>
      <c r="K2265" s="43"/>
      <c r="L2265" s="44"/>
      <c r="M2265" s="45" t="s">
        <v>7011</v>
      </c>
    </row>
    <row r="2266" s="26" customFormat="1" ht="30" customHeight="1" spans="1:13">
      <c r="A2266" s="41">
        <f>IF(C2266="","",SUBTOTAL(103,$C$2:C2266))</f>
        <v>2257</v>
      </c>
      <c r="B2266" s="41">
        <v>10180</v>
      </c>
      <c r="C2266" s="46">
        <v>2511</v>
      </c>
      <c r="D2266" s="46" t="s">
        <v>19</v>
      </c>
      <c r="E2266" s="46" t="s">
        <v>20</v>
      </c>
      <c r="F2266" s="46" t="s">
        <v>3778</v>
      </c>
      <c r="G2266" s="41" t="s">
        <v>7012</v>
      </c>
      <c r="H2266" s="41" t="s">
        <v>7013</v>
      </c>
      <c r="I2266" s="43">
        <v>12</v>
      </c>
      <c r="J2266" s="44" t="str">
        <f>VLOOKUP(G2266,[1]硬件清单!$F:$F,1,0)</f>
        <v>2102350DLVDMK8000141</v>
      </c>
      <c r="K2266" s="43"/>
      <c r="L2266" s="44"/>
      <c r="M2266" s="45" t="s">
        <v>7014</v>
      </c>
    </row>
    <row r="2267" s="26" customFormat="1" ht="30" customHeight="1" spans="1:13">
      <c r="A2267" s="41">
        <f>IF(C2267="","",SUBTOTAL(103,$C$2:C2267))</f>
        <v>2258</v>
      </c>
      <c r="B2267" s="41">
        <v>10181</v>
      </c>
      <c r="C2267" s="46">
        <v>2510</v>
      </c>
      <c r="D2267" s="46" t="s">
        <v>19</v>
      </c>
      <c r="E2267" s="46" t="s">
        <v>20</v>
      </c>
      <c r="F2267" s="46" t="s">
        <v>3778</v>
      </c>
      <c r="G2267" s="41" t="s">
        <v>7015</v>
      </c>
      <c r="H2267" s="41" t="s">
        <v>7016</v>
      </c>
      <c r="I2267" s="43">
        <v>12</v>
      </c>
      <c r="J2267" s="44" t="str">
        <f>VLOOKUP(G2267,[1]硬件清单!$F:$F,1,0)</f>
        <v>2102350DLVDMK8000101</v>
      </c>
      <c r="K2267" s="43"/>
      <c r="L2267" s="44"/>
      <c r="M2267" s="45" t="s">
        <v>7017</v>
      </c>
    </row>
    <row r="2268" s="26" customFormat="1" ht="30" customHeight="1" spans="1:13">
      <c r="A2268" s="41">
        <f>IF(C2268="","",SUBTOTAL(103,$C$2:C2268))</f>
        <v>2259</v>
      </c>
      <c r="B2268" s="41">
        <v>10182</v>
      </c>
      <c r="C2268" s="46">
        <v>2545</v>
      </c>
      <c r="D2268" s="46" t="s">
        <v>19</v>
      </c>
      <c r="E2268" s="46" t="s">
        <v>20</v>
      </c>
      <c r="F2268" s="46" t="s">
        <v>2383</v>
      </c>
      <c r="G2268" s="41" t="s">
        <v>7018</v>
      </c>
      <c r="H2268" s="41" t="s">
        <v>7019</v>
      </c>
      <c r="I2268" s="43">
        <v>12</v>
      </c>
      <c r="J2268" s="44" t="str">
        <f>VLOOKUP(G2268,[1]硬件清单!$F:$F,1,0)</f>
        <v>219801A12T9198Q0016L</v>
      </c>
      <c r="K2268" s="43"/>
      <c r="L2268" s="44"/>
      <c r="M2268" s="45" t="s">
        <v>7020</v>
      </c>
    </row>
    <row r="2269" s="26" customFormat="1" ht="30" customHeight="1" spans="1:13">
      <c r="A2269" s="41">
        <f>IF(C2269="","",SUBTOTAL(103,$C$2:C2269))</f>
        <v>2260</v>
      </c>
      <c r="B2269" s="41">
        <v>10183</v>
      </c>
      <c r="C2269" s="46">
        <v>2544</v>
      </c>
      <c r="D2269" s="46" t="s">
        <v>19</v>
      </c>
      <c r="E2269" s="46" t="s">
        <v>20</v>
      </c>
      <c r="F2269" s="46" t="s">
        <v>2383</v>
      </c>
      <c r="G2269" s="41" t="s">
        <v>7021</v>
      </c>
      <c r="H2269" s="41" t="s">
        <v>7022</v>
      </c>
      <c r="I2269" s="43">
        <v>12</v>
      </c>
      <c r="J2269" s="44" t="str">
        <f>VLOOKUP(G2269,[1]硬件清单!$F:$F,1,0)</f>
        <v>219801A12T9198Q0016H</v>
      </c>
      <c r="K2269" s="43"/>
      <c r="L2269" s="44"/>
      <c r="M2269" s="45" t="s">
        <v>7023</v>
      </c>
    </row>
    <row r="2270" s="26" customFormat="1" ht="30" customHeight="1" spans="1:13">
      <c r="A2270" s="41">
        <f>IF(C2270="","",SUBTOTAL(103,$C$2:C2270))</f>
        <v>2261</v>
      </c>
      <c r="B2270" s="41">
        <v>10184</v>
      </c>
      <c r="C2270" s="46">
        <v>2515</v>
      </c>
      <c r="D2270" s="46" t="s">
        <v>19</v>
      </c>
      <c r="E2270" s="46" t="s">
        <v>20</v>
      </c>
      <c r="F2270" s="46" t="s">
        <v>3778</v>
      </c>
      <c r="G2270" s="41" t="s">
        <v>7024</v>
      </c>
      <c r="H2270" s="41" t="s">
        <v>7025</v>
      </c>
      <c r="I2270" s="43">
        <v>12</v>
      </c>
      <c r="J2270" s="44" t="str">
        <f>VLOOKUP(G2270,[1]硬件清单!$F:$F,1,0)</f>
        <v>2102350DLVDMK8000138</v>
      </c>
      <c r="K2270" s="43"/>
      <c r="L2270" s="44"/>
      <c r="M2270" s="45" t="s">
        <v>7026</v>
      </c>
    </row>
    <row r="2271" s="26" customFormat="1" ht="30" customHeight="1" spans="1:13">
      <c r="A2271" s="41">
        <f>IF(C2271="","",SUBTOTAL(103,$C$2:C2271))</f>
        <v>2262</v>
      </c>
      <c r="B2271" s="41">
        <v>10185</v>
      </c>
      <c r="C2271" s="46">
        <v>2514</v>
      </c>
      <c r="D2271" s="46" t="s">
        <v>19</v>
      </c>
      <c r="E2271" s="46" t="s">
        <v>20</v>
      </c>
      <c r="F2271" s="46" t="s">
        <v>3778</v>
      </c>
      <c r="G2271" s="41" t="s">
        <v>7027</v>
      </c>
      <c r="H2271" s="41" t="s">
        <v>7028</v>
      </c>
      <c r="I2271" s="43">
        <v>12</v>
      </c>
      <c r="J2271" s="44" t="str">
        <f>VLOOKUP(G2271,[1]硬件清单!$F:$F,1,0)</f>
        <v>2102350DLVDMK8000144</v>
      </c>
      <c r="K2271" s="43"/>
      <c r="L2271" s="44"/>
      <c r="M2271" s="45" t="s">
        <v>7029</v>
      </c>
    </row>
    <row r="2272" s="26" customFormat="1" ht="30" customHeight="1" spans="1:13">
      <c r="A2272" s="41">
        <f>IF(C2272="","",SUBTOTAL(103,$C$2:C2272))</f>
        <v>2263</v>
      </c>
      <c r="B2272" s="41">
        <v>10186</v>
      </c>
      <c r="C2272" s="46">
        <v>2549</v>
      </c>
      <c r="D2272" s="46" t="s">
        <v>19</v>
      </c>
      <c r="E2272" s="46" t="s">
        <v>20</v>
      </c>
      <c r="F2272" s="46" t="s">
        <v>2383</v>
      </c>
      <c r="G2272" s="41" t="s">
        <v>7030</v>
      </c>
      <c r="H2272" s="41" t="s">
        <v>7031</v>
      </c>
      <c r="I2272" s="43">
        <v>12</v>
      </c>
      <c r="J2272" s="44" t="str">
        <f>VLOOKUP(G2272,[1]硬件清单!$F:$F,1,0)</f>
        <v>219801A12T9199Q000M8</v>
      </c>
      <c r="K2272" s="43"/>
      <c r="L2272" s="44"/>
      <c r="M2272" s="45" t="s">
        <v>7032</v>
      </c>
    </row>
    <row r="2273" s="26" customFormat="1" ht="30" customHeight="1" spans="1:13">
      <c r="A2273" s="41">
        <f>IF(C2273="","",SUBTOTAL(103,$C$2:C2273))</f>
        <v>2264</v>
      </c>
      <c r="B2273" s="41">
        <v>10187</v>
      </c>
      <c r="C2273" s="46">
        <v>2548</v>
      </c>
      <c r="D2273" s="46" t="s">
        <v>19</v>
      </c>
      <c r="E2273" s="46" t="s">
        <v>20</v>
      </c>
      <c r="F2273" s="46" t="s">
        <v>2383</v>
      </c>
      <c r="G2273" s="41" t="s">
        <v>7033</v>
      </c>
      <c r="H2273" s="41" t="s">
        <v>7034</v>
      </c>
      <c r="I2273" s="43">
        <v>12</v>
      </c>
      <c r="J2273" s="44" t="str">
        <f>VLOOKUP(G2273,[1]硬件清单!$F:$F,1,0)</f>
        <v>219801A12T9198Q001HQ</v>
      </c>
      <c r="K2273" s="43"/>
      <c r="L2273" s="44"/>
      <c r="M2273" s="45" t="s">
        <v>7035</v>
      </c>
    </row>
    <row r="2274" s="26" customFormat="1" ht="30" customHeight="1" spans="1:13">
      <c r="A2274" s="41">
        <f>IF(C2274="","",SUBTOTAL(103,$C$2:C2274))</f>
        <v>2265</v>
      </c>
      <c r="B2274" s="41">
        <v>10188</v>
      </c>
      <c r="C2274" s="41">
        <v>1442</v>
      </c>
      <c r="D2274" s="41" t="s">
        <v>45</v>
      </c>
      <c r="E2274" s="41" t="s">
        <v>1298</v>
      </c>
      <c r="F2274" s="41" t="s">
        <v>5883</v>
      </c>
      <c r="G2274" s="41" t="s">
        <v>7036</v>
      </c>
      <c r="H2274" s="41" t="s">
        <v>7037</v>
      </c>
      <c r="I2274" s="43">
        <v>12</v>
      </c>
      <c r="J2274" s="44" t="str">
        <f>VLOOKUP(G2274,[1]硬件清单!$F:$F,1,0)</f>
        <v>JGFYJL2</v>
      </c>
      <c r="K2274" s="43"/>
      <c r="L2274" s="44"/>
      <c r="M2274" s="45" t="s">
        <v>7038</v>
      </c>
    </row>
    <row r="2275" s="26" customFormat="1" ht="30" customHeight="1" spans="1:13">
      <c r="A2275" s="41">
        <f>IF(C2275="","",SUBTOTAL(103,$C$2:C2275))</f>
        <v>2266</v>
      </c>
      <c r="B2275" s="41">
        <v>10189</v>
      </c>
      <c r="C2275" s="41">
        <v>135</v>
      </c>
      <c r="D2275" s="41" t="s">
        <v>45</v>
      </c>
      <c r="E2275" s="41" t="s">
        <v>1298</v>
      </c>
      <c r="F2275" s="41" t="s">
        <v>5887</v>
      </c>
      <c r="G2275" s="41" t="s">
        <v>7039</v>
      </c>
      <c r="H2275" s="41" t="s">
        <v>7040</v>
      </c>
      <c r="I2275" s="43">
        <v>12</v>
      </c>
      <c r="J2275" s="44" t="str">
        <f>VLOOKUP(G2275,[1]硬件清单!$F:$F,1,0)</f>
        <v>JGBXVL2</v>
      </c>
      <c r="K2275" s="43"/>
      <c r="L2275" s="44"/>
      <c r="M2275" s="45" t="s">
        <v>7041</v>
      </c>
    </row>
    <row r="2276" s="26" customFormat="1" ht="30" customHeight="1" spans="1:13">
      <c r="A2276" s="41">
        <f>IF(C2276="","",SUBTOTAL(103,$C$2:C2276))</f>
        <v>2267</v>
      </c>
      <c r="B2276" s="41">
        <v>10190</v>
      </c>
      <c r="C2276" s="41">
        <v>144</v>
      </c>
      <c r="D2276" s="41" t="s">
        <v>45</v>
      </c>
      <c r="E2276" s="41" t="s">
        <v>1298</v>
      </c>
      <c r="F2276" s="41" t="s">
        <v>5887</v>
      </c>
      <c r="G2276" s="41" t="s">
        <v>7042</v>
      </c>
      <c r="H2276" s="41" t="s">
        <v>7043</v>
      </c>
      <c r="I2276" s="43">
        <v>12</v>
      </c>
      <c r="J2276" s="44" t="str">
        <f>VLOOKUP(G2276,[1]硬件清单!$F:$F,1,0)</f>
        <v>JGBYVL2</v>
      </c>
      <c r="K2276" s="43"/>
      <c r="L2276" s="44"/>
      <c r="M2276" s="45" t="s">
        <v>7044</v>
      </c>
    </row>
    <row r="2277" s="26" customFormat="1" ht="30" customHeight="1" spans="1:13">
      <c r="A2277" s="41">
        <f>IF(C2277="","",SUBTOTAL(103,$C$2:C2277))</f>
        <v>2268</v>
      </c>
      <c r="B2277" s="41">
        <v>10191</v>
      </c>
      <c r="C2277" s="41">
        <v>145</v>
      </c>
      <c r="D2277" s="41" t="s">
        <v>45</v>
      </c>
      <c r="E2277" s="41" t="s">
        <v>1298</v>
      </c>
      <c r="F2277" s="41" t="s">
        <v>5887</v>
      </c>
      <c r="G2277" s="41" t="s">
        <v>7045</v>
      </c>
      <c r="H2277" s="41" t="s">
        <v>7046</v>
      </c>
      <c r="I2277" s="43">
        <v>12</v>
      </c>
      <c r="J2277" s="44" t="str">
        <f>VLOOKUP(G2277,[1]硬件清单!$F:$F,1,0)</f>
        <v>JG93YL2</v>
      </c>
      <c r="K2277" s="43"/>
      <c r="L2277" s="44"/>
      <c r="M2277" s="45" t="s">
        <v>7047</v>
      </c>
    </row>
    <row r="2278" s="26" customFormat="1" ht="30" customHeight="1" spans="1:13">
      <c r="A2278" s="41">
        <f>IF(C2278="","",SUBTOTAL(103,$C$2:C2278))</f>
        <v>2269</v>
      </c>
      <c r="B2278" s="41">
        <v>10192</v>
      </c>
      <c r="C2278" s="41">
        <v>146</v>
      </c>
      <c r="D2278" s="41" t="s">
        <v>45</v>
      </c>
      <c r="E2278" s="41" t="s">
        <v>1298</v>
      </c>
      <c r="F2278" s="41" t="s">
        <v>5887</v>
      </c>
      <c r="G2278" s="41" t="s">
        <v>7048</v>
      </c>
      <c r="H2278" s="41" t="s">
        <v>7049</v>
      </c>
      <c r="I2278" s="43">
        <v>12</v>
      </c>
      <c r="J2278" s="44" t="str">
        <f>VLOOKUP(G2278,[1]硬件清单!$F:$F,1,0)</f>
        <v>JG9WVL2</v>
      </c>
      <c r="K2278" s="43"/>
      <c r="L2278" s="44"/>
      <c r="M2278" s="45" t="s">
        <v>7050</v>
      </c>
    </row>
    <row r="2279" s="26" customFormat="1" ht="30" customHeight="1" spans="1:13">
      <c r="A2279" s="41">
        <f>IF(C2279="","",SUBTOTAL(103,$C$2:C2279))</f>
        <v>2270</v>
      </c>
      <c r="B2279" s="41">
        <v>10193</v>
      </c>
      <c r="C2279" s="41">
        <v>757</v>
      </c>
      <c r="D2279" s="41" t="s">
        <v>45</v>
      </c>
      <c r="E2279" s="41" t="s">
        <v>1298</v>
      </c>
      <c r="F2279" s="41" t="s">
        <v>5887</v>
      </c>
      <c r="G2279" s="41" t="s">
        <v>7051</v>
      </c>
      <c r="H2279" s="41" t="s">
        <v>7052</v>
      </c>
      <c r="I2279" s="43">
        <v>12</v>
      </c>
      <c r="J2279" s="44" t="str">
        <f>VLOOKUP(G2279,[1]硬件清单!$F:$F,1,0)</f>
        <v>JGC2YL2</v>
      </c>
      <c r="K2279" s="43"/>
      <c r="L2279" s="44"/>
      <c r="M2279" s="45" t="s">
        <v>7053</v>
      </c>
    </row>
    <row r="2280" s="26" customFormat="1" ht="30" customHeight="1" spans="1:13">
      <c r="A2280" s="41">
        <f>IF(C2280="","",SUBTOTAL(103,$C$2:C2280))</f>
        <v>2271</v>
      </c>
      <c r="B2280" s="41">
        <v>10194</v>
      </c>
      <c r="C2280" s="41">
        <v>758</v>
      </c>
      <c r="D2280" s="41" t="s">
        <v>45</v>
      </c>
      <c r="E2280" s="41" t="s">
        <v>1298</v>
      </c>
      <c r="F2280" s="41" t="s">
        <v>5887</v>
      </c>
      <c r="G2280" s="41" t="s">
        <v>7054</v>
      </c>
      <c r="H2280" s="41" t="s">
        <v>7055</v>
      </c>
      <c r="I2280" s="43">
        <v>12</v>
      </c>
      <c r="J2280" s="44" t="str">
        <f>VLOOKUP(G2280,[1]硬件清单!$F:$F,1,0)</f>
        <v>JGB2YL2</v>
      </c>
      <c r="K2280" s="43"/>
      <c r="L2280" s="44"/>
      <c r="M2280" s="45" t="s">
        <v>7056</v>
      </c>
    </row>
    <row r="2281" s="26" customFormat="1" ht="30" customHeight="1" spans="1:13">
      <c r="A2281" s="41">
        <f>IF(C2281="","",SUBTOTAL(103,$C$2:C2281))</f>
        <v>2272</v>
      </c>
      <c r="B2281" s="41">
        <v>10195</v>
      </c>
      <c r="C2281" s="41">
        <v>759</v>
      </c>
      <c r="D2281" s="41" t="s">
        <v>45</v>
      </c>
      <c r="E2281" s="41" t="s">
        <v>1298</v>
      </c>
      <c r="F2281" s="41" t="s">
        <v>5887</v>
      </c>
      <c r="G2281" s="41" t="s">
        <v>7057</v>
      </c>
      <c r="H2281" s="41" t="s">
        <v>7058</v>
      </c>
      <c r="I2281" s="43">
        <v>12</v>
      </c>
      <c r="J2281" s="44" t="str">
        <f>VLOOKUP(G2281,[1]硬件清单!$F:$F,1,0)</f>
        <v>JGB1KL2</v>
      </c>
      <c r="K2281" s="43"/>
      <c r="L2281" s="44"/>
      <c r="M2281" s="45" t="s">
        <v>7059</v>
      </c>
    </row>
    <row r="2282" s="26" customFormat="1" ht="30" customHeight="1" spans="1:13">
      <c r="A2282" s="41">
        <f>IF(C2282="","",SUBTOTAL(103,$C$2:C2282))</f>
        <v>2273</v>
      </c>
      <c r="B2282" s="41">
        <v>10196</v>
      </c>
      <c r="C2282" s="41">
        <v>760</v>
      </c>
      <c r="D2282" s="41" t="s">
        <v>45</v>
      </c>
      <c r="E2282" s="41" t="s">
        <v>1298</v>
      </c>
      <c r="F2282" s="41" t="s">
        <v>5887</v>
      </c>
      <c r="G2282" s="41" t="s">
        <v>7060</v>
      </c>
      <c r="H2282" s="41" t="s">
        <v>7061</v>
      </c>
      <c r="I2282" s="43">
        <v>12</v>
      </c>
      <c r="J2282" s="44" t="str">
        <f>VLOOKUP(G2282,[1]硬件清单!$F:$F,1,0)</f>
        <v>JGB0KL2</v>
      </c>
      <c r="K2282" s="43"/>
      <c r="L2282" s="44"/>
      <c r="M2282" s="45" t="s">
        <v>7062</v>
      </c>
    </row>
    <row r="2283" s="26" customFormat="1" ht="30" customHeight="1" spans="1:13">
      <c r="A2283" s="41">
        <f>IF(C2283="","",SUBTOTAL(103,$C$2:C2283))</f>
        <v>2274</v>
      </c>
      <c r="B2283" s="41">
        <v>10197</v>
      </c>
      <c r="C2283" s="41">
        <v>136</v>
      </c>
      <c r="D2283" s="41" t="s">
        <v>45</v>
      </c>
      <c r="E2283" s="41" t="s">
        <v>1298</v>
      </c>
      <c r="F2283" s="41" t="s">
        <v>5887</v>
      </c>
      <c r="G2283" s="41" t="s">
        <v>7063</v>
      </c>
      <c r="H2283" s="41" t="s">
        <v>7064</v>
      </c>
      <c r="I2283" s="43">
        <v>12</v>
      </c>
      <c r="J2283" s="44" t="str">
        <f>VLOOKUP(G2283,[1]硬件清单!$F:$F,1,0)</f>
        <v>JGB6KL2</v>
      </c>
      <c r="K2283" s="43"/>
      <c r="L2283" s="44"/>
      <c r="M2283" s="45" t="s">
        <v>7065</v>
      </c>
    </row>
    <row r="2284" s="26" customFormat="1" ht="30" customHeight="1" spans="1:13">
      <c r="A2284" s="41">
        <f>IF(C2284="","",SUBTOTAL(103,$C$2:C2284))</f>
        <v>2275</v>
      </c>
      <c r="B2284" s="41">
        <v>10198</v>
      </c>
      <c r="C2284" s="41">
        <v>137</v>
      </c>
      <c r="D2284" s="41" t="s">
        <v>45</v>
      </c>
      <c r="E2284" s="41" t="s">
        <v>1298</v>
      </c>
      <c r="F2284" s="41" t="s">
        <v>5887</v>
      </c>
      <c r="G2284" s="41" t="s">
        <v>7066</v>
      </c>
      <c r="H2284" s="41" t="s">
        <v>7067</v>
      </c>
      <c r="I2284" s="43">
        <v>12</v>
      </c>
      <c r="J2284" s="44" t="str">
        <f>VLOOKUP(G2284,[1]硬件清单!$F:$F,1,0)</f>
        <v>JGBRVL2</v>
      </c>
      <c r="K2284" s="43"/>
      <c r="L2284" s="44"/>
      <c r="M2284" s="45" t="s">
        <v>7068</v>
      </c>
    </row>
    <row r="2285" s="26" customFormat="1" ht="30" customHeight="1" spans="1:13">
      <c r="A2285" s="41">
        <f>IF(C2285="","",SUBTOTAL(103,$C$2:C2285))</f>
        <v>2276</v>
      </c>
      <c r="B2285" s="41">
        <v>10199</v>
      </c>
      <c r="C2285" s="41">
        <v>138</v>
      </c>
      <c r="D2285" s="41" t="s">
        <v>45</v>
      </c>
      <c r="E2285" s="41" t="s">
        <v>1298</v>
      </c>
      <c r="F2285" s="41" t="s">
        <v>5887</v>
      </c>
      <c r="G2285" s="41" t="s">
        <v>7069</v>
      </c>
      <c r="H2285" s="41" t="s">
        <v>7070</v>
      </c>
      <c r="I2285" s="43">
        <v>12</v>
      </c>
      <c r="J2285" s="44" t="str">
        <f>VLOOKUP(G2285,[1]硬件清单!$F:$F,1,0)</f>
        <v>JGB4YL2</v>
      </c>
      <c r="K2285" s="43"/>
      <c r="L2285" s="44"/>
      <c r="M2285" s="45" t="s">
        <v>7071</v>
      </c>
    </row>
    <row r="2286" s="26" customFormat="1" ht="30" customHeight="1" spans="1:13">
      <c r="A2286" s="41">
        <f>IF(C2286="","",SUBTOTAL(103,$C$2:C2286))</f>
        <v>2277</v>
      </c>
      <c r="B2286" s="41">
        <v>10200</v>
      </c>
      <c r="C2286" s="41">
        <v>139</v>
      </c>
      <c r="D2286" s="41" t="s">
        <v>45</v>
      </c>
      <c r="E2286" s="41" t="s">
        <v>1298</v>
      </c>
      <c r="F2286" s="41" t="s">
        <v>5887</v>
      </c>
      <c r="G2286" s="41" t="s">
        <v>7072</v>
      </c>
      <c r="H2286" s="41" t="s">
        <v>7073</v>
      </c>
      <c r="I2286" s="43">
        <v>12</v>
      </c>
      <c r="J2286" s="44" t="str">
        <f>VLOOKUP(G2286,[1]硬件清单!$F:$F,1,0)</f>
        <v>JG9RVL2</v>
      </c>
      <c r="K2286" s="43"/>
      <c r="L2286" s="44"/>
      <c r="M2286" s="45" t="s">
        <v>7074</v>
      </c>
    </row>
    <row r="2287" s="26" customFormat="1" ht="30" customHeight="1" spans="1:13">
      <c r="A2287" s="41">
        <f>IF(C2287="","",SUBTOTAL(103,$C$2:C2287))</f>
        <v>2278</v>
      </c>
      <c r="B2287" s="41">
        <v>10201</v>
      </c>
      <c r="C2287" s="41">
        <v>140</v>
      </c>
      <c r="D2287" s="41" t="s">
        <v>45</v>
      </c>
      <c r="E2287" s="41" t="s">
        <v>1298</v>
      </c>
      <c r="F2287" s="41" t="s">
        <v>5887</v>
      </c>
      <c r="G2287" s="41" t="s">
        <v>7075</v>
      </c>
      <c r="H2287" s="41" t="s">
        <v>7076</v>
      </c>
      <c r="I2287" s="43">
        <v>12</v>
      </c>
      <c r="J2287" s="44" t="str">
        <f>VLOOKUP(G2287,[1]硬件清单!$F:$F,1,0)</f>
        <v>JG96KL2</v>
      </c>
      <c r="K2287" s="43"/>
      <c r="L2287" s="44"/>
      <c r="M2287" s="45" t="s">
        <v>7077</v>
      </c>
    </row>
    <row r="2288" s="26" customFormat="1" ht="30" customHeight="1" spans="1:13">
      <c r="A2288" s="41">
        <f>IF(C2288="","",SUBTOTAL(103,$C$2:C2288))</f>
        <v>2279</v>
      </c>
      <c r="B2288" s="41">
        <v>10202</v>
      </c>
      <c r="C2288" s="41">
        <v>141</v>
      </c>
      <c r="D2288" s="41" t="s">
        <v>45</v>
      </c>
      <c r="E2288" s="41" t="s">
        <v>1298</v>
      </c>
      <c r="F2288" s="41" t="s">
        <v>5887</v>
      </c>
      <c r="G2288" s="41" t="s">
        <v>7078</v>
      </c>
      <c r="H2288" s="41" t="s">
        <v>7079</v>
      </c>
      <c r="I2288" s="43">
        <v>12</v>
      </c>
      <c r="J2288" s="44" t="str">
        <f>VLOOKUP(G2288,[1]硬件清单!$F:$F,1,0)</f>
        <v>JGBVVL2</v>
      </c>
      <c r="K2288" s="43"/>
      <c r="L2288" s="44"/>
      <c r="M2288" s="45" t="s">
        <v>7080</v>
      </c>
    </row>
    <row r="2289" s="26" customFormat="1" ht="30" customHeight="1" spans="1:13">
      <c r="A2289" s="41">
        <f>IF(C2289="","",SUBTOTAL(103,$C$2:C2289))</f>
        <v>2280</v>
      </c>
      <c r="B2289" s="41">
        <v>10203</v>
      </c>
      <c r="C2289" s="41">
        <v>142</v>
      </c>
      <c r="D2289" s="41" t="s">
        <v>45</v>
      </c>
      <c r="E2289" s="41" t="s">
        <v>1298</v>
      </c>
      <c r="F2289" s="41" t="s">
        <v>5887</v>
      </c>
      <c r="G2289" s="41" t="s">
        <v>7081</v>
      </c>
      <c r="H2289" s="41" t="s">
        <v>7082</v>
      </c>
      <c r="I2289" s="43">
        <v>12</v>
      </c>
      <c r="J2289" s="44" t="str">
        <f>VLOOKUP(G2289,[1]硬件清单!$F:$F,1,0)</f>
        <v>JGC0WL2</v>
      </c>
      <c r="K2289" s="43"/>
      <c r="L2289" s="44"/>
      <c r="M2289" s="45" t="s">
        <v>7083</v>
      </c>
    </row>
    <row r="2290" s="26" customFormat="1" ht="30" customHeight="1" spans="1:13">
      <c r="A2290" s="41">
        <f>IF(C2290="","",SUBTOTAL(103,$C$2:C2290))</f>
        <v>2281</v>
      </c>
      <c r="B2290" s="41">
        <v>10204</v>
      </c>
      <c r="C2290" s="41">
        <v>143</v>
      </c>
      <c r="D2290" s="41" t="s">
        <v>45</v>
      </c>
      <c r="E2290" s="41" t="s">
        <v>1298</v>
      </c>
      <c r="F2290" s="41" t="s">
        <v>5887</v>
      </c>
      <c r="G2290" s="41" t="s">
        <v>7084</v>
      </c>
      <c r="H2290" s="41" t="s">
        <v>7085</v>
      </c>
      <c r="I2290" s="43">
        <v>12</v>
      </c>
      <c r="J2290" s="44" t="str">
        <f>VLOOKUP(G2290,[1]硬件清单!$F:$F,1,0)</f>
        <v>JG9YVL2</v>
      </c>
      <c r="K2290" s="43"/>
      <c r="L2290" s="44"/>
      <c r="M2290" s="45" t="s">
        <v>7086</v>
      </c>
    </row>
    <row r="2291" s="26" customFormat="1" ht="30" customHeight="1" spans="1:13">
      <c r="A2291" s="41">
        <f>IF(C2291="","",SUBTOTAL(103,$C$2:C2291))</f>
        <v>2282</v>
      </c>
      <c r="B2291" s="41">
        <v>10205</v>
      </c>
      <c r="C2291" s="41">
        <v>1443</v>
      </c>
      <c r="D2291" s="41" t="s">
        <v>45</v>
      </c>
      <c r="E2291" s="41" t="s">
        <v>1298</v>
      </c>
      <c r="F2291" s="41" t="s">
        <v>5883</v>
      </c>
      <c r="G2291" s="41" t="s">
        <v>7087</v>
      </c>
      <c r="H2291" s="41" t="s">
        <v>7088</v>
      </c>
      <c r="I2291" s="43">
        <v>12</v>
      </c>
      <c r="J2291" s="44" t="str">
        <f>VLOOKUP(G2291,[1]硬件清单!$F:$F,1,0)</f>
        <v>JGB2KL2</v>
      </c>
      <c r="K2291" s="43"/>
      <c r="L2291" s="44"/>
      <c r="M2291" s="45" t="s">
        <v>7089</v>
      </c>
    </row>
    <row r="2292" s="26" customFormat="1" ht="30" customHeight="1" spans="1:13">
      <c r="A2292" s="41">
        <f>IF(C2292="","",SUBTOTAL(103,$C$2:C2292))</f>
        <v>2283</v>
      </c>
      <c r="B2292" s="41">
        <v>10206</v>
      </c>
      <c r="C2292" s="41">
        <v>761</v>
      </c>
      <c r="D2292" s="41" t="s">
        <v>45</v>
      </c>
      <c r="E2292" s="41" t="s">
        <v>1298</v>
      </c>
      <c r="F2292" s="41" t="s">
        <v>5887</v>
      </c>
      <c r="G2292" s="41" t="s">
        <v>7090</v>
      </c>
      <c r="H2292" s="41" t="s">
        <v>7091</v>
      </c>
      <c r="I2292" s="43">
        <v>12</v>
      </c>
      <c r="J2292" s="44" t="str">
        <f>VLOOKUP(G2292,[1]硬件清单!$F:$F,1,0)</f>
        <v>JGF5YL2</v>
      </c>
      <c r="K2292" s="43"/>
      <c r="L2292" s="44"/>
      <c r="M2292" s="45" t="s">
        <v>7092</v>
      </c>
    </row>
    <row r="2293" s="26" customFormat="1" ht="30" customHeight="1" spans="1:13">
      <c r="A2293" s="41">
        <f>IF(C2293="","",SUBTOTAL(103,$C$2:C2293))</f>
        <v>2284</v>
      </c>
      <c r="B2293" s="41">
        <v>10207</v>
      </c>
      <c r="C2293" s="41">
        <v>770</v>
      </c>
      <c r="D2293" s="41" t="s">
        <v>45</v>
      </c>
      <c r="E2293" s="41" t="s">
        <v>1298</v>
      </c>
      <c r="F2293" s="41" t="s">
        <v>5887</v>
      </c>
      <c r="G2293" s="41" t="s">
        <v>7093</v>
      </c>
      <c r="H2293" s="41" t="s">
        <v>7094</v>
      </c>
      <c r="I2293" s="43">
        <v>12</v>
      </c>
      <c r="J2293" s="44" t="str">
        <f>VLOOKUP(G2293,[1]硬件清单!$F:$F,1,0)</f>
        <v>JGF3KL2</v>
      </c>
      <c r="K2293" s="43"/>
      <c r="L2293" s="44"/>
      <c r="M2293" s="45" t="s">
        <v>7095</v>
      </c>
    </row>
    <row r="2294" s="26" customFormat="1" ht="30" customHeight="1" spans="1:13">
      <c r="A2294" s="41">
        <f>IF(C2294="","",SUBTOTAL(103,$C$2:C2294))</f>
        <v>2285</v>
      </c>
      <c r="B2294" s="41">
        <v>10208</v>
      </c>
      <c r="C2294" s="41">
        <v>771</v>
      </c>
      <c r="D2294" s="41" t="s">
        <v>45</v>
      </c>
      <c r="E2294" s="41" t="s">
        <v>1298</v>
      </c>
      <c r="F2294" s="41" t="s">
        <v>5887</v>
      </c>
      <c r="G2294" s="41" t="s">
        <v>7096</v>
      </c>
      <c r="H2294" s="41" t="s">
        <v>7097</v>
      </c>
      <c r="I2294" s="43">
        <v>12</v>
      </c>
      <c r="J2294" s="44" t="str">
        <f>VLOOKUP(G2294,[1]硬件清单!$F:$F,1,0)</f>
        <v>JGF4KL2</v>
      </c>
      <c r="K2294" s="43"/>
      <c r="L2294" s="44"/>
      <c r="M2294" s="45" t="s">
        <v>7098</v>
      </c>
    </row>
    <row r="2295" s="26" customFormat="1" ht="30" customHeight="1" spans="1:13">
      <c r="A2295" s="41">
        <f>IF(C2295="","",SUBTOTAL(103,$C$2:C2295))</f>
        <v>2286</v>
      </c>
      <c r="B2295" s="41">
        <v>10209</v>
      </c>
      <c r="C2295" s="41">
        <v>772</v>
      </c>
      <c r="D2295" s="41" t="s">
        <v>45</v>
      </c>
      <c r="E2295" s="41" t="s">
        <v>1298</v>
      </c>
      <c r="F2295" s="41" t="s">
        <v>5887</v>
      </c>
      <c r="G2295" s="41" t="s">
        <v>7099</v>
      </c>
      <c r="H2295" s="41" t="s">
        <v>7100</v>
      </c>
      <c r="I2295" s="43">
        <v>12</v>
      </c>
      <c r="J2295" s="44" t="str">
        <f>VLOOKUP(G2295,[1]硬件清单!$F:$F,1,0)</f>
        <v>JGF0KL2</v>
      </c>
      <c r="K2295" s="43"/>
      <c r="L2295" s="44"/>
      <c r="M2295" s="45" t="s">
        <v>7101</v>
      </c>
    </row>
    <row r="2296" s="26" customFormat="1" ht="30" customHeight="1" spans="1:13">
      <c r="A2296" s="41">
        <f>IF(C2296="","",SUBTOTAL(103,$C$2:C2296))</f>
        <v>2287</v>
      </c>
      <c r="B2296" s="41">
        <v>10210</v>
      </c>
      <c r="C2296" s="41">
        <v>1201</v>
      </c>
      <c r="D2296" s="41" t="s">
        <v>45</v>
      </c>
      <c r="E2296" s="41" t="s">
        <v>1298</v>
      </c>
      <c r="F2296" s="41" t="s">
        <v>5887</v>
      </c>
      <c r="G2296" s="41" t="s">
        <v>7102</v>
      </c>
      <c r="H2296" s="41" t="s">
        <v>7103</v>
      </c>
      <c r="I2296" s="43">
        <v>12</v>
      </c>
      <c r="J2296" s="44" t="str">
        <f>VLOOKUP(G2296,[1]硬件清单!$F:$F,1,0)</f>
        <v>JGF6KL2</v>
      </c>
      <c r="K2296" s="43"/>
      <c r="L2296" s="44"/>
      <c r="M2296" s="45" t="s">
        <v>7104</v>
      </c>
    </row>
    <row r="2297" s="26" customFormat="1" ht="30" customHeight="1" spans="1:13">
      <c r="A2297" s="41">
        <f>IF(C2297="","",SUBTOTAL(103,$C$2:C2297))</f>
        <v>2288</v>
      </c>
      <c r="B2297" s="41">
        <v>10211</v>
      </c>
      <c r="C2297" s="41">
        <v>1202</v>
      </c>
      <c r="D2297" s="41" t="s">
        <v>45</v>
      </c>
      <c r="E2297" s="41" t="s">
        <v>1298</v>
      </c>
      <c r="F2297" s="41" t="s">
        <v>5887</v>
      </c>
      <c r="G2297" s="41" t="s">
        <v>7105</v>
      </c>
      <c r="H2297" s="41" t="s">
        <v>7106</v>
      </c>
      <c r="I2297" s="43">
        <v>12</v>
      </c>
      <c r="J2297" s="44" t="str">
        <f>VLOOKUP(G2297,[1]硬件清单!$F:$F,1,0)</f>
        <v>JGF1KL2</v>
      </c>
      <c r="K2297" s="43"/>
      <c r="L2297" s="44"/>
      <c r="M2297" s="45" t="s">
        <v>7107</v>
      </c>
    </row>
    <row r="2298" s="26" customFormat="1" ht="30" customHeight="1" spans="1:13">
      <c r="A2298" s="41">
        <f>IF(C2298="","",SUBTOTAL(103,$C$2:C2298))</f>
        <v>2289</v>
      </c>
      <c r="B2298" s="41">
        <v>10212</v>
      </c>
      <c r="C2298" s="41">
        <v>1203</v>
      </c>
      <c r="D2298" s="41" t="s">
        <v>45</v>
      </c>
      <c r="E2298" s="41" t="s">
        <v>1298</v>
      </c>
      <c r="F2298" s="41" t="s">
        <v>5887</v>
      </c>
      <c r="G2298" s="41" t="s">
        <v>7108</v>
      </c>
      <c r="H2298" s="41" t="s">
        <v>7109</v>
      </c>
      <c r="I2298" s="43">
        <v>12</v>
      </c>
      <c r="J2298" s="44" t="str">
        <f>VLOOKUP(G2298,[1]硬件清单!$F:$F,1,0)</f>
        <v>JGF2KL2</v>
      </c>
      <c r="K2298" s="43"/>
      <c r="L2298" s="44"/>
      <c r="M2298" s="45" t="s">
        <v>7110</v>
      </c>
    </row>
    <row r="2299" s="26" customFormat="1" ht="30" customHeight="1" spans="1:13">
      <c r="A2299" s="41">
        <f>IF(C2299="","",SUBTOTAL(103,$C$2:C2299))</f>
        <v>2290</v>
      </c>
      <c r="B2299" s="41">
        <v>10213</v>
      </c>
      <c r="C2299" s="41">
        <v>1204</v>
      </c>
      <c r="D2299" s="41" t="s">
        <v>45</v>
      </c>
      <c r="E2299" s="41" t="s">
        <v>1298</v>
      </c>
      <c r="F2299" s="41" t="s">
        <v>5887</v>
      </c>
      <c r="G2299" s="41" t="s">
        <v>7111</v>
      </c>
      <c r="H2299" s="41" t="s">
        <v>7112</v>
      </c>
      <c r="I2299" s="43">
        <v>12</v>
      </c>
      <c r="J2299" s="44" t="str">
        <f>VLOOKUP(G2299,[1]硬件清单!$F:$F,1,0)</f>
        <v>JGDTVL2</v>
      </c>
      <c r="K2299" s="43"/>
      <c r="L2299" s="44"/>
      <c r="M2299" s="45" t="s">
        <v>7113</v>
      </c>
    </row>
    <row r="2300" s="26" customFormat="1" ht="30" customHeight="1" spans="1:13">
      <c r="A2300" s="41">
        <f>IF(C2300="","",SUBTOTAL(103,$C$2:C2300))</f>
        <v>2291</v>
      </c>
      <c r="B2300" s="41">
        <v>10214</v>
      </c>
      <c r="C2300" s="41">
        <v>762</v>
      </c>
      <c r="D2300" s="41" t="s">
        <v>45</v>
      </c>
      <c r="E2300" s="41" t="s">
        <v>1298</v>
      </c>
      <c r="F2300" s="41" t="s">
        <v>5887</v>
      </c>
      <c r="G2300" s="41" t="s">
        <v>7114</v>
      </c>
      <c r="H2300" s="41" t="s">
        <v>7115</v>
      </c>
      <c r="I2300" s="43">
        <v>12</v>
      </c>
      <c r="J2300" s="44" t="str">
        <f>VLOOKUP(G2300,[1]硬件清单!$F:$F,1,0)</f>
        <v>JGD3YL2</v>
      </c>
      <c r="K2300" s="43"/>
      <c r="L2300" s="44"/>
      <c r="M2300" s="45" t="s">
        <v>7116</v>
      </c>
    </row>
    <row r="2301" s="26" customFormat="1" ht="30" customHeight="1" spans="1:13">
      <c r="A2301" s="41">
        <f>IF(C2301="","",SUBTOTAL(103,$C$2:C2301))</f>
        <v>2292</v>
      </c>
      <c r="B2301" s="41">
        <v>10215</v>
      </c>
      <c r="C2301" s="41">
        <v>763</v>
      </c>
      <c r="D2301" s="41" t="s">
        <v>45</v>
      </c>
      <c r="E2301" s="41" t="s">
        <v>1298</v>
      </c>
      <c r="F2301" s="41" t="s">
        <v>5887</v>
      </c>
      <c r="G2301" s="41" t="s">
        <v>7117</v>
      </c>
      <c r="H2301" s="41" t="s">
        <v>7118</v>
      </c>
      <c r="I2301" s="43">
        <v>12</v>
      </c>
      <c r="J2301" s="44" t="str">
        <f>VLOOKUP(G2301,[1]硬件清单!$F:$F,1,0)</f>
        <v>JGD5YL2</v>
      </c>
      <c r="K2301" s="43"/>
      <c r="L2301" s="44"/>
      <c r="M2301" s="45" t="s">
        <v>7119</v>
      </c>
    </row>
    <row r="2302" s="26" customFormat="1" ht="30" customHeight="1" spans="1:13">
      <c r="A2302" s="41">
        <f>IF(C2302="","",SUBTOTAL(103,$C$2:C2302))</f>
        <v>2293</v>
      </c>
      <c r="B2302" s="41">
        <v>10216</v>
      </c>
      <c r="C2302" s="41">
        <v>764</v>
      </c>
      <c r="D2302" s="41" t="s">
        <v>45</v>
      </c>
      <c r="E2302" s="41" t="s">
        <v>1298</v>
      </c>
      <c r="F2302" s="41" t="s">
        <v>5887</v>
      </c>
      <c r="G2302" s="41" t="s">
        <v>7120</v>
      </c>
      <c r="H2302" s="41" t="s">
        <v>7121</v>
      </c>
      <c r="I2302" s="43">
        <v>12</v>
      </c>
      <c r="J2302" s="44" t="str">
        <f>VLOOKUP(G2302,[1]硬件清单!$F:$F,1,0)</f>
        <v>JGCZVL2</v>
      </c>
      <c r="K2302" s="43"/>
      <c r="L2302" s="44"/>
      <c r="M2302" s="45" t="s">
        <v>7122</v>
      </c>
    </row>
    <row r="2303" s="26" customFormat="1" ht="30" customHeight="1" spans="1:13">
      <c r="A2303" s="41">
        <f>IF(C2303="","",SUBTOTAL(103,$C$2:C2303))</f>
        <v>2294</v>
      </c>
      <c r="B2303" s="41">
        <v>10217</v>
      </c>
      <c r="C2303" s="41">
        <v>765</v>
      </c>
      <c r="D2303" s="41" t="s">
        <v>45</v>
      </c>
      <c r="E2303" s="41" t="s">
        <v>1298</v>
      </c>
      <c r="F2303" s="41" t="s">
        <v>5887</v>
      </c>
      <c r="G2303" s="41" t="s">
        <v>7123</v>
      </c>
      <c r="H2303" s="41" t="s">
        <v>7124</v>
      </c>
      <c r="I2303" s="43">
        <v>12</v>
      </c>
      <c r="J2303" s="44" t="str">
        <f>VLOOKUP(G2303,[1]硬件清单!$F:$F,1,0)</f>
        <v>JGDZJL2</v>
      </c>
      <c r="K2303" s="43"/>
      <c r="L2303" s="44"/>
      <c r="M2303" s="45" t="s">
        <v>7125</v>
      </c>
    </row>
    <row r="2304" s="26" customFormat="1" ht="30" customHeight="1" spans="1:13">
      <c r="A2304" s="41">
        <f>IF(C2304="","",SUBTOTAL(103,$C$2:C2304))</f>
        <v>2295</v>
      </c>
      <c r="B2304" s="41">
        <v>10218</v>
      </c>
      <c r="C2304" s="41">
        <v>766</v>
      </c>
      <c r="D2304" s="41" t="s">
        <v>45</v>
      </c>
      <c r="E2304" s="41" t="s">
        <v>1298</v>
      </c>
      <c r="F2304" s="41" t="s">
        <v>5887</v>
      </c>
      <c r="G2304" s="41" t="s">
        <v>7126</v>
      </c>
      <c r="H2304" s="41" t="s">
        <v>7127</v>
      </c>
      <c r="I2304" s="43">
        <v>12</v>
      </c>
      <c r="J2304" s="44" t="str">
        <f>VLOOKUP(G2304,[1]硬件清单!$F:$F,1,0)</f>
        <v>JGD7YL2</v>
      </c>
      <c r="K2304" s="43"/>
      <c r="L2304" s="44"/>
      <c r="M2304" s="45" t="s">
        <v>7128</v>
      </c>
    </row>
    <row r="2305" s="26" customFormat="1" ht="30" customHeight="1" spans="1:13">
      <c r="A2305" s="41">
        <f>IF(C2305="","",SUBTOTAL(103,$C$2:C2305))</f>
        <v>2296</v>
      </c>
      <c r="B2305" s="41">
        <v>10219</v>
      </c>
      <c r="C2305" s="41">
        <v>767</v>
      </c>
      <c r="D2305" s="41" t="s">
        <v>45</v>
      </c>
      <c r="E2305" s="41" t="s">
        <v>1298</v>
      </c>
      <c r="F2305" s="41" t="s">
        <v>5887</v>
      </c>
      <c r="G2305" s="41" t="s">
        <v>7129</v>
      </c>
      <c r="H2305" s="41" t="s">
        <v>7130</v>
      </c>
      <c r="I2305" s="43">
        <v>12</v>
      </c>
      <c r="J2305" s="44" t="str">
        <f>VLOOKUP(G2305,[1]硬件清单!$F:$F,1,0)</f>
        <v>JGDXVL2</v>
      </c>
      <c r="K2305" s="43"/>
      <c r="L2305" s="44"/>
      <c r="M2305" s="45" t="s">
        <v>7131</v>
      </c>
    </row>
    <row r="2306" s="26" customFormat="1" ht="30" customHeight="1" spans="1:13">
      <c r="A2306" s="41">
        <f>IF(C2306="","",SUBTOTAL(103,$C$2:C2306))</f>
        <v>2297</v>
      </c>
      <c r="B2306" s="41">
        <v>10220</v>
      </c>
      <c r="C2306" s="41">
        <v>768</v>
      </c>
      <c r="D2306" s="41" t="s">
        <v>45</v>
      </c>
      <c r="E2306" s="41" t="s">
        <v>1298</v>
      </c>
      <c r="F2306" s="41" t="s">
        <v>5887</v>
      </c>
      <c r="G2306" s="41" t="s">
        <v>7132</v>
      </c>
      <c r="H2306" s="41" t="s">
        <v>7133</v>
      </c>
      <c r="I2306" s="43">
        <v>12</v>
      </c>
      <c r="J2306" s="44" t="str">
        <f>VLOOKUP(G2306,[1]硬件清单!$F:$F,1,0)</f>
        <v>JGF5KL2</v>
      </c>
      <c r="K2306" s="43"/>
      <c r="L2306" s="44"/>
      <c r="M2306" s="45" t="s">
        <v>7134</v>
      </c>
    </row>
    <row r="2307" s="26" customFormat="1" ht="30" customHeight="1" spans="1:13">
      <c r="A2307" s="41">
        <f>IF(C2307="","",SUBTOTAL(103,$C$2:C2307))</f>
        <v>2298</v>
      </c>
      <c r="B2307" s="41">
        <v>10221</v>
      </c>
      <c r="C2307" s="41">
        <v>769</v>
      </c>
      <c r="D2307" s="41" t="s">
        <v>45</v>
      </c>
      <c r="E2307" s="41" t="s">
        <v>1298</v>
      </c>
      <c r="F2307" s="41" t="s">
        <v>5887</v>
      </c>
      <c r="G2307" s="41" t="s">
        <v>7135</v>
      </c>
      <c r="H2307" s="41" t="s">
        <v>7136</v>
      </c>
      <c r="I2307" s="43">
        <v>12</v>
      </c>
      <c r="J2307" s="44" t="str">
        <f>VLOOKUP(G2307,[1]硬件清单!$F:$F,1,0)</f>
        <v>JGD1KL2</v>
      </c>
      <c r="K2307" s="43"/>
      <c r="L2307" s="44"/>
      <c r="M2307" s="45" t="s">
        <v>7137</v>
      </c>
    </row>
    <row r="2308" s="26" customFormat="1" ht="30" customHeight="1" spans="1:13">
      <c r="A2308" s="41">
        <f>IF(C2308="","",SUBTOTAL(103,$C$2:C2308))</f>
        <v>2299</v>
      </c>
      <c r="B2308" s="41">
        <v>10225</v>
      </c>
      <c r="C2308" s="41">
        <v>1444</v>
      </c>
      <c r="D2308" s="41" t="s">
        <v>45</v>
      </c>
      <c r="E2308" s="41" t="s">
        <v>1298</v>
      </c>
      <c r="F2308" s="41" t="s">
        <v>5883</v>
      </c>
      <c r="G2308" s="41" t="s">
        <v>7138</v>
      </c>
      <c r="H2308" s="41" t="s">
        <v>7139</v>
      </c>
      <c r="I2308" s="43">
        <v>12</v>
      </c>
      <c r="J2308" s="44" t="str">
        <f>VLOOKUP(G2308,[1]硬件清单!$F:$F,1,0)</f>
        <v>JPS1KL2</v>
      </c>
      <c r="K2308" s="43"/>
      <c r="L2308" s="44"/>
      <c r="M2308" s="45" t="s">
        <v>7140</v>
      </c>
    </row>
    <row r="2309" s="26" customFormat="1" ht="30" customHeight="1" spans="1:13">
      <c r="A2309" s="41">
        <f>IF(C2309="","",SUBTOTAL(103,$C$2:C2309))</f>
        <v>2300</v>
      </c>
      <c r="B2309" s="41">
        <v>10226</v>
      </c>
      <c r="C2309" s="41">
        <v>1205</v>
      </c>
      <c r="D2309" s="41" t="s">
        <v>45</v>
      </c>
      <c r="E2309" s="41" t="s">
        <v>1298</v>
      </c>
      <c r="F2309" s="41" t="s">
        <v>5887</v>
      </c>
      <c r="G2309" s="41" t="s">
        <v>7141</v>
      </c>
      <c r="H2309" s="41" t="s">
        <v>7142</v>
      </c>
      <c r="I2309" s="43">
        <v>12</v>
      </c>
      <c r="J2309" s="44" t="str">
        <f>VLOOKUP(G2309,[1]硬件清单!$F:$F,1,0)</f>
        <v>JPR2YL2</v>
      </c>
      <c r="K2309" s="43"/>
      <c r="L2309" s="44"/>
      <c r="M2309" s="45" t="s">
        <v>7143</v>
      </c>
    </row>
    <row r="2310" s="26" customFormat="1" ht="30" customHeight="1" spans="1:13">
      <c r="A2310" s="41">
        <f>IF(C2310="","",SUBTOTAL(103,$C$2:C2310))</f>
        <v>2301</v>
      </c>
      <c r="B2310" s="41">
        <v>10227</v>
      </c>
      <c r="C2310" s="41">
        <v>1214</v>
      </c>
      <c r="D2310" s="41" t="s">
        <v>45</v>
      </c>
      <c r="E2310" s="41" t="s">
        <v>1298</v>
      </c>
      <c r="F2310" s="41" t="s">
        <v>5887</v>
      </c>
      <c r="G2310" s="41" t="s">
        <v>7144</v>
      </c>
      <c r="H2310" s="41" t="s">
        <v>7145</v>
      </c>
      <c r="I2310" s="43">
        <v>12</v>
      </c>
      <c r="J2310" s="44" t="str">
        <f>VLOOKUP(G2310,[1]硬件清单!$F:$F,1,0)</f>
        <v>JPQ5KL2</v>
      </c>
      <c r="K2310" s="43"/>
      <c r="L2310" s="44"/>
      <c r="M2310" s="45" t="s">
        <v>7146</v>
      </c>
    </row>
    <row r="2311" s="26" customFormat="1" ht="30" customHeight="1" spans="1:13">
      <c r="A2311" s="41">
        <f>IF(C2311="","",SUBTOTAL(103,$C$2:C2311))</f>
        <v>2302</v>
      </c>
      <c r="B2311" s="41">
        <v>10228</v>
      </c>
      <c r="C2311" s="41">
        <v>1215</v>
      </c>
      <c r="D2311" s="41" t="s">
        <v>45</v>
      </c>
      <c r="E2311" s="41" t="s">
        <v>1298</v>
      </c>
      <c r="F2311" s="41" t="s">
        <v>5887</v>
      </c>
      <c r="G2311" s="41" t="s">
        <v>7147</v>
      </c>
      <c r="H2311" s="41" t="s">
        <v>7148</v>
      </c>
      <c r="I2311" s="43">
        <v>12</v>
      </c>
      <c r="J2311" s="44" t="str">
        <f>VLOOKUP(G2311,[1]硬件清单!$F:$F,1,0)</f>
        <v>JPR1KL2</v>
      </c>
      <c r="K2311" s="43"/>
      <c r="L2311" s="44"/>
      <c r="M2311" s="45" t="s">
        <v>7149</v>
      </c>
    </row>
    <row r="2312" s="26" customFormat="1" ht="30" customHeight="1" spans="1:13">
      <c r="A2312" s="41">
        <f>IF(C2312="","",SUBTOTAL(103,$C$2:C2312))</f>
        <v>2303</v>
      </c>
      <c r="B2312" s="41">
        <v>10229</v>
      </c>
      <c r="C2312" s="41">
        <v>1216</v>
      </c>
      <c r="D2312" s="41" t="s">
        <v>45</v>
      </c>
      <c r="E2312" s="41" t="s">
        <v>1298</v>
      </c>
      <c r="F2312" s="41" t="s">
        <v>5887</v>
      </c>
      <c r="G2312" s="41" t="s">
        <v>7150</v>
      </c>
      <c r="H2312" s="41" t="s">
        <v>7151</v>
      </c>
      <c r="I2312" s="43">
        <v>12</v>
      </c>
      <c r="J2312" s="44" t="str">
        <f>VLOOKUP(G2312,[1]硬件清单!$F:$F,1,0)</f>
        <v>JPR0YL2</v>
      </c>
      <c r="K2312" s="43"/>
      <c r="L2312" s="44"/>
      <c r="M2312" s="45" t="s">
        <v>7152</v>
      </c>
    </row>
    <row r="2313" s="26" customFormat="1" ht="30" customHeight="1" spans="1:13">
      <c r="A2313" s="41">
        <f>IF(C2313="","",SUBTOTAL(103,$C$2:C2313))</f>
        <v>2304</v>
      </c>
      <c r="B2313" s="41">
        <v>10230</v>
      </c>
      <c r="C2313" s="41">
        <v>2087</v>
      </c>
      <c r="D2313" s="41" t="s">
        <v>45</v>
      </c>
      <c r="E2313" s="41" t="s">
        <v>1298</v>
      </c>
      <c r="F2313" s="41" t="s">
        <v>5887</v>
      </c>
      <c r="G2313" s="41" t="s">
        <v>7153</v>
      </c>
      <c r="H2313" s="41" t="s">
        <v>7154</v>
      </c>
      <c r="I2313" s="43">
        <v>12</v>
      </c>
      <c r="J2313" s="44" t="str">
        <f>VLOOKUP(G2313,[1]硬件清单!$F:$F,1,0)</f>
        <v>JPR3YL2</v>
      </c>
      <c r="K2313" s="43"/>
      <c r="L2313" s="44"/>
      <c r="M2313" s="45" t="s">
        <v>7155</v>
      </c>
    </row>
    <row r="2314" s="26" customFormat="1" ht="30" customHeight="1" spans="1:13">
      <c r="A2314" s="41">
        <f>IF(C2314="","",SUBTOTAL(103,$C$2:C2314))</f>
        <v>2305</v>
      </c>
      <c r="B2314" s="41">
        <v>10231</v>
      </c>
      <c r="C2314" s="41">
        <v>2088</v>
      </c>
      <c r="D2314" s="41" t="s">
        <v>45</v>
      </c>
      <c r="E2314" s="41" t="s">
        <v>1298</v>
      </c>
      <c r="F2314" s="41" t="s">
        <v>5887</v>
      </c>
      <c r="G2314" s="41" t="s">
        <v>7156</v>
      </c>
      <c r="H2314" s="41" t="s">
        <v>7157</v>
      </c>
      <c r="I2314" s="43">
        <v>12</v>
      </c>
      <c r="J2314" s="44" t="str">
        <f>VLOOKUP(G2314,[1]硬件清单!$F:$F,1,0)</f>
        <v>JPQXVL2</v>
      </c>
      <c r="K2314" s="43"/>
      <c r="L2314" s="44"/>
      <c r="M2314" s="45" t="s">
        <v>7158</v>
      </c>
    </row>
    <row r="2315" s="26" customFormat="1" ht="30" customHeight="1" spans="1:13">
      <c r="A2315" s="41">
        <f>IF(C2315="","",SUBTOTAL(103,$C$2:C2315))</f>
        <v>2306</v>
      </c>
      <c r="B2315" s="41">
        <v>10232</v>
      </c>
      <c r="C2315" s="41">
        <v>2089</v>
      </c>
      <c r="D2315" s="41" t="s">
        <v>45</v>
      </c>
      <c r="E2315" s="41" t="s">
        <v>1298</v>
      </c>
      <c r="F2315" s="41" t="s">
        <v>5887</v>
      </c>
      <c r="G2315" s="41" t="s">
        <v>7159</v>
      </c>
      <c r="H2315" s="41" t="s">
        <v>7160</v>
      </c>
      <c r="I2315" s="43">
        <v>12</v>
      </c>
      <c r="J2315" s="44" t="str">
        <f>VLOOKUP(G2315,[1]硬件清单!$F:$F,1,0)</f>
        <v>JPR4YL2</v>
      </c>
      <c r="K2315" s="43"/>
      <c r="L2315" s="44"/>
      <c r="M2315" s="45" t="s">
        <v>7161</v>
      </c>
    </row>
    <row r="2316" s="26" customFormat="1" ht="30" customHeight="1" spans="1:13">
      <c r="A2316" s="41">
        <f>IF(C2316="","",SUBTOTAL(103,$C$2:C2316))</f>
        <v>2307</v>
      </c>
      <c r="B2316" s="41">
        <v>10233</v>
      </c>
      <c r="C2316" s="41">
        <v>2090</v>
      </c>
      <c r="D2316" s="41" t="s">
        <v>45</v>
      </c>
      <c r="E2316" s="41" t="s">
        <v>1298</v>
      </c>
      <c r="F2316" s="41" t="s">
        <v>5887</v>
      </c>
      <c r="G2316" s="41" t="s">
        <v>7162</v>
      </c>
      <c r="H2316" s="41" t="s">
        <v>7163</v>
      </c>
      <c r="I2316" s="43">
        <v>12</v>
      </c>
      <c r="J2316" s="44" t="str">
        <f>VLOOKUP(G2316,[1]硬件清单!$F:$F,1,0)</f>
        <v>JPR3KL2</v>
      </c>
      <c r="K2316" s="43"/>
      <c r="L2316" s="44"/>
      <c r="M2316" s="45" t="s">
        <v>7164</v>
      </c>
    </row>
    <row r="2317" s="26" customFormat="1" ht="30" customHeight="1" spans="1:13">
      <c r="A2317" s="41">
        <f>IF(C2317="","",SUBTOTAL(103,$C$2:C2317))</f>
        <v>2308</v>
      </c>
      <c r="B2317" s="41">
        <v>10234</v>
      </c>
      <c r="C2317" s="41">
        <v>1206</v>
      </c>
      <c r="D2317" s="41" t="s">
        <v>45</v>
      </c>
      <c r="E2317" s="41" t="s">
        <v>1298</v>
      </c>
      <c r="F2317" s="41" t="s">
        <v>5887</v>
      </c>
      <c r="G2317" s="41" t="s">
        <v>7165</v>
      </c>
      <c r="H2317" s="41" t="s">
        <v>7166</v>
      </c>
      <c r="I2317" s="43">
        <v>12</v>
      </c>
      <c r="J2317" s="44" t="str">
        <f>VLOOKUP(G2317,[1]硬件清单!$F:$F,1,0)</f>
        <v>JPQTVL2</v>
      </c>
      <c r="K2317" s="43"/>
      <c r="L2317" s="44"/>
      <c r="M2317" s="45" t="s">
        <v>7167</v>
      </c>
    </row>
    <row r="2318" s="26" customFormat="1" ht="30" customHeight="1" spans="1:13">
      <c r="A2318" s="41">
        <f>IF(C2318="","",SUBTOTAL(103,$C$2:C2318))</f>
        <v>2309</v>
      </c>
      <c r="B2318" s="41">
        <v>10235</v>
      </c>
      <c r="C2318" s="41">
        <v>1207</v>
      </c>
      <c r="D2318" s="41" t="s">
        <v>45</v>
      </c>
      <c r="E2318" s="41" t="s">
        <v>1298</v>
      </c>
      <c r="F2318" s="41" t="s">
        <v>5887</v>
      </c>
      <c r="G2318" s="41" t="s">
        <v>7168</v>
      </c>
      <c r="H2318" s="41" t="s">
        <v>7169</v>
      </c>
      <c r="I2318" s="43">
        <v>12</v>
      </c>
      <c r="J2318" s="44" t="str">
        <f>VLOOKUP(G2318,[1]硬件清单!$F:$F,1,0)</f>
        <v>JPQRVL2</v>
      </c>
      <c r="K2318" s="43"/>
      <c r="L2318" s="44"/>
      <c r="M2318" s="45" t="s">
        <v>7170</v>
      </c>
    </row>
    <row r="2319" s="26" customFormat="1" ht="30" customHeight="1" spans="1:13">
      <c r="A2319" s="41">
        <f>IF(C2319="","",SUBTOTAL(103,$C$2:C2319))</f>
        <v>2310</v>
      </c>
      <c r="B2319" s="41">
        <v>10236</v>
      </c>
      <c r="C2319" s="41">
        <v>1208</v>
      </c>
      <c r="D2319" s="41" t="s">
        <v>45</v>
      </c>
      <c r="E2319" s="41" t="s">
        <v>1298</v>
      </c>
      <c r="F2319" s="41" t="s">
        <v>5887</v>
      </c>
      <c r="G2319" s="41" t="s">
        <v>7171</v>
      </c>
      <c r="H2319" s="41" t="s">
        <v>7172</v>
      </c>
      <c r="I2319" s="43">
        <v>12</v>
      </c>
      <c r="J2319" s="44" t="str">
        <f>VLOOKUP(G2319,[1]硬件清单!$F:$F,1,0)</f>
        <v>JPR0KL2</v>
      </c>
      <c r="K2319" s="43"/>
      <c r="L2319" s="44"/>
      <c r="M2319" s="45" t="s">
        <v>7173</v>
      </c>
    </row>
    <row r="2320" s="26" customFormat="1" ht="30" customHeight="1" spans="1:13">
      <c r="A2320" s="41">
        <f>IF(C2320="","",SUBTOTAL(103,$C$2:C2320))</f>
        <v>2311</v>
      </c>
      <c r="B2320" s="41">
        <v>10237</v>
      </c>
      <c r="C2320" s="41">
        <v>1209</v>
      </c>
      <c r="D2320" s="41" t="s">
        <v>45</v>
      </c>
      <c r="E2320" s="41" t="s">
        <v>1298</v>
      </c>
      <c r="F2320" s="41" t="s">
        <v>5887</v>
      </c>
      <c r="G2320" s="41" t="s">
        <v>7174</v>
      </c>
      <c r="H2320" s="41" t="s">
        <v>7175</v>
      </c>
      <c r="I2320" s="43">
        <v>12</v>
      </c>
      <c r="J2320" s="44" t="str">
        <f>VLOOKUP(G2320,[1]硬件清单!$F:$F,1,0)</f>
        <v>JPR4KL2</v>
      </c>
      <c r="K2320" s="43"/>
      <c r="L2320" s="44"/>
      <c r="M2320" s="45" t="s">
        <v>7176</v>
      </c>
    </row>
    <row r="2321" s="26" customFormat="1" ht="30" customHeight="1" spans="1:13">
      <c r="A2321" s="41">
        <f>IF(C2321="","",SUBTOTAL(103,$C$2:C2321))</f>
        <v>2312</v>
      </c>
      <c r="B2321" s="41">
        <v>10238</v>
      </c>
      <c r="C2321" s="41">
        <v>1210</v>
      </c>
      <c r="D2321" s="41" t="s">
        <v>45</v>
      </c>
      <c r="E2321" s="41" t="s">
        <v>1298</v>
      </c>
      <c r="F2321" s="41" t="s">
        <v>5887</v>
      </c>
      <c r="G2321" s="41" t="s">
        <v>7177</v>
      </c>
      <c r="H2321" s="41" t="s">
        <v>7178</v>
      </c>
      <c r="I2321" s="43">
        <v>12</v>
      </c>
      <c r="J2321" s="44" t="str">
        <f>VLOOKUP(G2321,[1]硬件清单!$F:$F,1,0)</f>
        <v>JPR2KL2</v>
      </c>
      <c r="K2321" s="43"/>
      <c r="L2321" s="44"/>
      <c r="M2321" s="45" t="s">
        <v>7179</v>
      </c>
    </row>
    <row r="2322" s="26" customFormat="1" ht="30" customHeight="1" spans="1:13">
      <c r="A2322" s="41">
        <f>IF(C2322="","",SUBTOTAL(103,$C$2:C2322))</f>
        <v>2313</v>
      </c>
      <c r="B2322" s="41">
        <v>10239</v>
      </c>
      <c r="C2322" s="41">
        <v>1211</v>
      </c>
      <c r="D2322" s="41" t="s">
        <v>45</v>
      </c>
      <c r="E2322" s="41" t="s">
        <v>1298</v>
      </c>
      <c r="F2322" s="41" t="s">
        <v>5887</v>
      </c>
      <c r="G2322" s="41" t="s">
        <v>7180</v>
      </c>
      <c r="H2322" s="41" t="s">
        <v>7181</v>
      </c>
      <c r="I2322" s="43">
        <v>12</v>
      </c>
      <c r="J2322" s="44" t="str">
        <f>VLOOKUP(G2322,[1]硬件清单!$F:$F,1,0)</f>
        <v>JPR1YL2</v>
      </c>
      <c r="K2322" s="43"/>
      <c r="L2322" s="44"/>
      <c r="M2322" s="45" t="s">
        <v>7182</v>
      </c>
    </row>
    <row r="2323" s="26" customFormat="1" ht="30" customHeight="1" spans="1:13">
      <c r="A2323" s="41">
        <f>IF(C2323="","",SUBTOTAL(103,$C$2:C2323))</f>
        <v>2314</v>
      </c>
      <c r="B2323" s="41">
        <v>10240</v>
      </c>
      <c r="C2323" s="41">
        <v>1212</v>
      </c>
      <c r="D2323" s="41" t="s">
        <v>45</v>
      </c>
      <c r="E2323" s="41" t="s">
        <v>1298</v>
      </c>
      <c r="F2323" s="41" t="s">
        <v>5887</v>
      </c>
      <c r="G2323" s="41" t="s">
        <v>7183</v>
      </c>
      <c r="H2323" s="41" t="s">
        <v>7184</v>
      </c>
      <c r="I2323" s="43">
        <v>12</v>
      </c>
      <c r="J2323" s="44" t="str">
        <f>VLOOKUP(G2323,[1]硬件清单!$F:$F,1,0)</f>
        <v>JPQZVL2</v>
      </c>
      <c r="K2323" s="43"/>
      <c r="L2323" s="44"/>
      <c r="M2323" s="45" t="s">
        <v>7185</v>
      </c>
    </row>
    <row r="2324" s="26" customFormat="1" ht="30" customHeight="1" spans="1:13">
      <c r="A2324" s="41">
        <f>IF(C2324="","",SUBTOTAL(103,$C$2:C2324))</f>
        <v>2315</v>
      </c>
      <c r="B2324" s="41">
        <v>10241</v>
      </c>
      <c r="C2324" s="41">
        <v>1213</v>
      </c>
      <c r="D2324" s="41" t="s">
        <v>45</v>
      </c>
      <c r="E2324" s="41" t="s">
        <v>1298</v>
      </c>
      <c r="F2324" s="41" t="s">
        <v>5887</v>
      </c>
      <c r="G2324" s="41" t="s">
        <v>7186</v>
      </c>
      <c r="H2324" s="41" t="s">
        <v>7187</v>
      </c>
      <c r="I2324" s="43">
        <v>12</v>
      </c>
      <c r="J2324" s="44" t="str">
        <f>VLOOKUP(G2324,[1]硬件清单!$F:$F,1,0)</f>
        <v>JPQWVL2</v>
      </c>
      <c r="K2324" s="43"/>
      <c r="L2324" s="44"/>
      <c r="M2324" s="45" t="s">
        <v>7188</v>
      </c>
    </row>
    <row r="2325" s="26" customFormat="1" ht="30" customHeight="1" spans="1:13">
      <c r="A2325" s="41">
        <f>IF(C2325="","",SUBTOTAL(103,$C$2:C2325))</f>
        <v>2316</v>
      </c>
      <c r="B2325" s="41">
        <v>10242</v>
      </c>
      <c r="C2325" s="41">
        <v>1445</v>
      </c>
      <c r="D2325" s="41" t="s">
        <v>45</v>
      </c>
      <c r="E2325" s="41" t="s">
        <v>1298</v>
      </c>
      <c r="F2325" s="41" t="s">
        <v>5883</v>
      </c>
      <c r="G2325" s="41" t="s">
        <v>7189</v>
      </c>
      <c r="H2325" s="41" t="s">
        <v>7190</v>
      </c>
      <c r="I2325" s="43">
        <v>12</v>
      </c>
      <c r="J2325" s="44" t="str">
        <f>VLOOKUP(G2325,[1]硬件清单!$F:$F,1,0)</f>
        <v>JPRZJL2</v>
      </c>
      <c r="K2325" s="43"/>
      <c r="L2325" s="44"/>
      <c r="M2325" s="45" t="s">
        <v>7191</v>
      </c>
    </row>
    <row r="2326" s="26" customFormat="1" ht="30" customHeight="1" spans="1:13">
      <c r="A2326" s="41">
        <f>IF(C2326="","",SUBTOTAL(103,$C$2:C2326))</f>
        <v>2317</v>
      </c>
      <c r="B2326" s="41">
        <v>10243</v>
      </c>
      <c r="C2326" s="41">
        <v>2091</v>
      </c>
      <c r="D2326" s="41" t="s">
        <v>45</v>
      </c>
      <c r="E2326" s="41" t="s">
        <v>1298</v>
      </c>
      <c r="F2326" s="41" t="s">
        <v>5887</v>
      </c>
      <c r="G2326" s="41" t="s">
        <v>7192</v>
      </c>
      <c r="H2326" s="41" t="s">
        <v>7193</v>
      </c>
      <c r="I2326" s="43">
        <v>12</v>
      </c>
      <c r="J2326" s="44" t="str">
        <f>VLOOKUP(G2326,[1]硬件清单!$F:$F,1,0)</f>
        <v>JPQ6YL2</v>
      </c>
      <c r="K2326" s="43"/>
      <c r="L2326" s="44"/>
      <c r="M2326" s="45" t="s">
        <v>7194</v>
      </c>
    </row>
    <row r="2327" s="26" customFormat="1" ht="30" customHeight="1" spans="1:13">
      <c r="A2327" s="41">
        <f>IF(C2327="","",SUBTOTAL(103,$C$2:C2327))</f>
        <v>2318</v>
      </c>
      <c r="B2327" s="41">
        <v>10244</v>
      </c>
      <c r="C2327" s="41">
        <v>2100</v>
      </c>
      <c r="D2327" s="41" t="s">
        <v>45</v>
      </c>
      <c r="E2327" s="41" t="s">
        <v>1298</v>
      </c>
      <c r="F2327" s="41" t="s">
        <v>5887</v>
      </c>
      <c r="G2327" s="41" t="s">
        <v>7195</v>
      </c>
      <c r="H2327" s="41" t="s">
        <v>7196</v>
      </c>
      <c r="I2327" s="43">
        <v>12</v>
      </c>
      <c r="J2327" s="44" t="str">
        <f>VLOOKUP(G2327,[1]硬件清单!$F:$F,1,0)</f>
        <v>JPQZJL2</v>
      </c>
      <c r="K2327" s="43"/>
      <c r="L2327" s="44"/>
      <c r="M2327" s="45" t="s">
        <v>7197</v>
      </c>
    </row>
    <row r="2328" s="26" customFormat="1" ht="30" customHeight="1" spans="1:13">
      <c r="A2328" s="41">
        <f>IF(C2328="","",SUBTOTAL(103,$C$2:C2328))</f>
        <v>2319</v>
      </c>
      <c r="B2328" s="41">
        <v>10245</v>
      </c>
      <c r="C2328" s="41">
        <v>2101</v>
      </c>
      <c r="D2328" s="41" t="s">
        <v>45</v>
      </c>
      <c r="E2328" s="41" t="s">
        <v>1298</v>
      </c>
      <c r="F2328" s="41" t="s">
        <v>5887</v>
      </c>
      <c r="G2328" s="41" t="s">
        <v>7198</v>
      </c>
      <c r="H2328" s="41" t="s">
        <v>7199</v>
      </c>
      <c r="I2328" s="43">
        <v>12</v>
      </c>
      <c r="J2328" s="44" t="str">
        <f>VLOOKUP(G2328,[1]硬件清单!$F:$F,1,0)</f>
        <v>JPQZXL2</v>
      </c>
      <c r="K2328" s="43"/>
      <c r="L2328" s="44"/>
      <c r="M2328" s="45" t="s">
        <v>7200</v>
      </c>
    </row>
    <row r="2329" s="26" customFormat="1" ht="30" customHeight="1" spans="1:13">
      <c r="A2329" s="41">
        <f>IF(C2329="","",SUBTOTAL(103,$C$2:C2329))</f>
        <v>2320</v>
      </c>
      <c r="B2329" s="41">
        <v>10246</v>
      </c>
      <c r="C2329" s="41">
        <v>2102</v>
      </c>
      <c r="D2329" s="41" t="s">
        <v>45</v>
      </c>
      <c r="E2329" s="41" t="s">
        <v>1298</v>
      </c>
      <c r="F2329" s="41" t="s">
        <v>5887</v>
      </c>
      <c r="G2329" s="41" t="s">
        <v>7201</v>
      </c>
      <c r="H2329" s="41" t="s">
        <v>7202</v>
      </c>
      <c r="I2329" s="43">
        <v>12</v>
      </c>
      <c r="J2329" s="44" t="str">
        <f>VLOOKUP(G2329,[1]硬件清单!$F:$F,1,0)</f>
        <v>JPQ4YL2</v>
      </c>
      <c r="K2329" s="43"/>
      <c r="L2329" s="44"/>
      <c r="M2329" s="45" t="s">
        <v>7203</v>
      </c>
    </row>
    <row r="2330" s="26" customFormat="1" ht="30" customHeight="1" spans="1:13">
      <c r="A2330" s="41">
        <f>IF(C2330="","",SUBTOTAL(103,$C$2:C2330))</f>
        <v>2321</v>
      </c>
      <c r="B2330" s="41">
        <v>10247</v>
      </c>
      <c r="C2330" s="41">
        <v>2525</v>
      </c>
      <c r="D2330" s="41" t="s">
        <v>45</v>
      </c>
      <c r="E2330" s="41" t="s">
        <v>1298</v>
      </c>
      <c r="F2330" s="41" t="s">
        <v>5887</v>
      </c>
      <c r="G2330" s="41" t="s">
        <v>7204</v>
      </c>
      <c r="H2330" s="41" t="s">
        <v>7205</v>
      </c>
      <c r="I2330" s="43">
        <v>12</v>
      </c>
      <c r="J2330" s="44" t="str">
        <f>VLOOKUP(G2330,[1]硬件清单!$F:$F,1,0)</f>
        <v>JPQ2KL2</v>
      </c>
      <c r="K2330" s="43"/>
      <c r="L2330" s="44"/>
      <c r="M2330" s="45" t="s">
        <v>7206</v>
      </c>
    </row>
    <row r="2331" s="26" customFormat="1" ht="30" customHeight="1" spans="1:13">
      <c r="A2331" s="41">
        <f>IF(C2331="","",SUBTOTAL(103,$C$2:C2331))</f>
        <v>2322</v>
      </c>
      <c r="B2331" s="41">
        <v>10248</v>
      </c>
      <c r="C2331" s="41">
        <v>2526</v>
      </c>
      <c r="D2331" s="41" t="s">
        <v>45</v>
      </c>
      <c r="E2331" s="41" t="s">
        <v>1298</v>
      </c>
      <c r="F2331" s="41" t="s">
        <v>5887</v>
      </c>
      <c r="G2331" s="41" t="s">
        <v>7207</v>
      </c>
      <c r="H2331" s="41" t="s">
        <v>7208</v>
      </c>
      <c r="I2331" s="43">
        <v>12</v>
      </c>
      <c r="J2331" s="44" t="str">
        <f>VLOOKUP(G2331,[1]硬件清单!$F:$F,1,0)</f>
        <v>JPQ5YL2</v>
      </c>
      <c r="K2331" s="43"/>
      <c r="L2331" s="44"/>
      <c r="M2331" s="45" t="s">
        <v>7209</v>
      </c>
    </row>
    <row r="2332" s="26" customFormat="1" ht="30" customHeight="1" spans="1:13">
      <c r="A2332" s="41">
        <f>IF(C2332="","",SUBTOTAL(103,$C$2:C2332))</f>
        <v>2323</v>
      </c>
      <c r="B2332" s="41">
        <v>10249</v>
      </c>
      <c r="C2332" s="41">
        <v>3231</v>
      </c>
      <c r="D2332" s="41" t="s">
        <v>45</v>
      </c>
      <c r="E2332" s="41" t="s">
        <v>1298</v>
      </c>
      <c r="F2332" s="41" t="s">
        <v>5887</v>
      </c>
      <c r="G2332" s="41" t="s">
        <v>7210</v>
      </c>
      <c r="H2332" s="41" t="s">
        <v>7211</v>
      </c>
      <c r="I2332" s="43">
        <v>12</v>
      </c>
      <c r="J2332" s="44" t="str">
        <f>VLOOKUP(G2332,[1]硬件清单!$F:$F,1,0)</f>
        <v>JPQSVL2</v>
      </c>
      <c r="K2332" s="43"/>
      <c r="L2332" s="44"/>
      <c r="M2332" s="45" t="s">
        <v>7212</v>
      </c>
    </row>
    <row r="2333" s="26" customFormat="1" ht="30" customHeight="1" spans="1:13">
      <c r="A2333" s="41">
        <f>IF(C2333="","",SUBTOTAL(103,$C$2:C2333))</f>
        <v>2324</v>
      </c>
      <c r="B2333" s="41">
        <v>10250</v>
      </c>
      <c r="C2333" s="41">
        <v>3232</v>
      </c>
      <c r="D2333" s="41" t="s">
        <v>45</v>
      </c>
      <c r="E2333" s="41" t="s">
        <v>1298</v>
      </c>
      <c r="F2333" s="41" t="s">
        <v>5887</v>
      </c>
      <c r="G2333" s="41" t="s">
        <v>7213</v>
      </c>
      <c r="H2333" s="41" t="s">
        <v>7214</v>
      </c>
      <c r="I2333" s="43">
        <v>12</v>
      </c>
      <c r="J2333" s="44" t="str">
        <f>VLOOKUP(G2333,[1]硬件清单!$F:$F,1,0)</f>
        <v>JPQ0YL2</v>
      </c>
      <c r="K2333" s="43"/>
      <c r="L2333" s="44"/>
      <c r="M2333" s="45" t="s">
        <v>7215</v>
      </c>
    </row>
    <row r="2334" s="26" customFormat="1" ht="30" customHeight="1" spans="1:13">
      <c r="A2334" s="41">
        <f>IF(C2334="","",SUBTOTAL(103,$C$2:C2334))</f>
        <v>2325</v>
      </c>
      <c r="B2334" s="41">
        <v>10251</v>
      </c>
      <c r="C2334" s="41">
        <v>2092</v>
      </c>
      <c r="D2334" s="41" t="s">
        <v>45</v>
      </c>
      <c r="E2334" s="41" t="s">
        <v>1298</v>
      </c>
      <c r="F2334" s="41" t="s">
        <v>5887</v>
      </c>
      <c r="G2334" s="41" t="s">
        <v>7216</v>
      </c>
      <c r="H2334" s="41" t="s">
        <v>7217</v>
      </c>
      <c r="I2334" s="43">
        <v>12</v>
      </c>
      <c r="J2334" s="44" t="str">
        <f>VLOOKUP(G2334,[1]硬件清单!$F:$F,1,0)</f>
        <v>JPQXJL2</v>
      </c>
      <c r="K2334" s="43"/>
      <c r="L2334" s="44"/>
      <c r="M2334" s="45" t="s">
        <v>7218</v>
      </c>
    </row>
    <row r="2335" s="26" customFormat="1" ht="30" customHeight="1" spans="1:13">
      <c r="A2335" s="41">
        <f>IF(C2335="","",SUBTOTAL(103,$C$2:C2335))</f>
        <v>2326</v>
      </c>
      <c r="B2335" s="41">
        <v>10252</v>
      </c>
      <c r="C2335" s="41">
        <v>2093</v>
      </c>
      <c r="D2335" s="41" t="s">
        <v>45</v>
      </c>
      <c r="E2335" s="41" t="s">
        <v>1298</v>
      </c>
      <c r="F2335" s="41" t="s">
        <v>5887</v>
      </c>
      <c r="G2335" s="41" t="s">
        <v>7219</v>
      </c>
      <c r="H2335" s="41" t="s">
        <v>7220</v>
      </c>
      <c r="I2335" s="43">
        <v>12</v>
      </c>
      <c r="J2335" s="44" t="str">
        <f>VLOOKUP(G2335,[1]硬件清单!$F:$F,1,0)</f>
        <v>JPQ4KL2</v>
      </c>
      <c r="K2335" s="43"/>
      <c r="L2335" s="44"/>
      <c r="M2335" s="45" t="s">
        <v>7221</v>
      </c>
    </row>
    <row r="2336" s="26" customFormat="1" ht="30" customHeight="1" spans="1:13">
      <c r="A2336" s="41">
        <f>IF(C2336="","",SUBTOTAL(103,$C$2:C2336))</f>
        <v>2327</v>
      </c>
      <c r="B2336" s="41">
        <v>10253</v>
      </c>
      <c r="C2336" s="41">
        <v>2094</v>
      </c>
      <c r="D2336" s="41" t="s">
        <v>45</v>
      </c>
      <c r="E2336" s="41" t="s">
        <v>1298</v>
      </c>
      <c r="F2336" s="41" t="s">
        <v>5887</v>
      </c>
      <c r="G2336" s="41" t="s">
        <v>7222</v>
      </c>
      <c r="H2336" s="41" t="s">
        <v>7223</v>
      </c>
      <c r="I2336" s="43">
        <v>12</v>
      </c>
      <c r="J2336" s="44" t="str">
        <f>VLOOKUP(G2336,[1]硬件清单!$F:$F,1,0)</f>
        <v>JPQ2YL2</v>
      </c>
      <c r="K2336" s="43"/>
      <c r="L2336" s="44"/>
      <c r="M2336" s="45" t="s">
        <v>7224</v>
      </c>
    </row>
    <row r="2337" s="26" customFormat="1" ht="30" customHeight="1" spans="1:13">
      <c r="A2337" s="41">
        <f>IF(C2337="","",SUBTOTAL(103,$C$2:C2337))</f>
        <v>2328</v>
      </c>
      <c r="B2337" s="41">
        <v>10254</v>
      </c>
      <c r="C2337" s="41">
        <v>2095</v>
      </c>
      <c r="D2337" s="41" t="s">
        <v>45</v>
      </c>
      <c r="E2337" s="41" t="s">
        <v>1298</v>
      </c>
      <c r="F2337" s="41" t="s">
        <v>5887</v>
      </c>
      <c r="G2337" s="41" t="s">
        <v>7225</v>
      </c>
      <c r="H2337" s="41" t="s">
        <v>7226</v>
      </c>
      <c r="I2337" s="43">
        <v>12</v>
      </c>
      <c r="J2337" s="44" t="str">
        <f>VLOOKUP(G2337,[1]硬件清单!$F:$F,1,0)</f>
        <v>JPQ3KL2</v>
      </c>
      <c r="K2337" s="43"/>
      <c r="L2337" s="44"/>
      <c r="M2337" s="45" t="s">
        <v>7227</v>
      </c>
    </row>
    <row r="2338" s="26" customFormat="1" ht="30" customHeight="1" spans="1:13">
      <c r="A2338" s="41">
        <f>IF(C2338="","",SUBTOTAL(103,$C$2:C2338))</f>
        <v>2329</v>
      </c>
      <c r="B2338" s="41">
        <v>10255</v>
      </c>
      <c r="C2338" s="41">
        <v>2096</v>
      </c>
      <c r="D2338" s="41" t="s">
        <v>45</v>
      </c>
      <c r="E2338" s="41" t="s">
        <v>1298</v>
      </c>
      <c r="F2338" s="41" t="s">
        <v>5887</v>
      </c>
      <c r="G2338" s="41" t="s">
        <v>7228</v>
      </c>
      <c r="H2338" s="41" t="s">
        <v>7229</v>
      </c>
      <c r="I2338" s="43">
        <v>12</v>
      </c>
      <c r="J2338" s="44" t="str">
        <f>VLOOKUP(G2338,[1]硬件清单!$F:$F,1,0)</f>
        <v>JPR0WL2</v>
      </c>
      <c r="K2338" s="43"/>
      <c r="L2338" s="44"/>
      <c r="M2338" s="45" t="s">
        <v>7230</v>
      </c>
    </row>
    <row r="2339" s="26" customFormat="1" ht="30" customHeight="1" spans="1:13">
      <c r="A2339" s="41">
        <f>IF(C2339="","",SUBTOTAL(103,$C$2:C2339))</f>
        <v>2330</v>
      </c>
      <c r="B2339" s="41">
        <v>10256</v>
      </c>
      <c r="C2339" s="41">
        <v>2097</v>
      </c>
      <c r="D2339" s="41" t="s">
        <v>45</v>
      </c>
      <c r="E2339" s="41" t="s">
        <v>1298</v>
      </c>
      <c r="F2339" s="41" t="s">
        <v>5887</v>
      </c>
      <c r="G2339" s="41" t="s">
        <v>7231</v>
      </c>
      <c r="H2339" s="41" t="s">
        <v>7232</v>
      </c>
      <c r="I2339" s="43">
        <v>12</v>
      </c>
      <c r="J2339" s="44" t="str">
        <f>VLOOKUP(G2339,[1]硬件清单!$F:$F,1,0)</f>
        <v>JPQ1YL2</v>
      </c>
      <c r="K2339" s="43"/>
      <c r="L2339" s="44"/>
      <c r="M2339" s="45" t="s">
        <v>7233</v>
      </c>
    </row>
    <row r="2340" s="26" customFormat="1" ht="30" customHeight="1" spans="1:13">
      <c r="A2340" s="41">
        <f>IF(C2340="","",SUBTOTAL(103,$C$2:C2340))</f>
        <v>2331</v>
      </c>
      <c r="B2340" s="41">
        <v>10257</v>
      </c>
      <c r="C2340" s="41">
        <v>2098</v>
      </c>
      <c r="D2340" s="41" t="s">
        <v>45</v>
      </c>
      <c r="E2340" s="41" t="s">
        <v>1298</v>
      </c>
      <c r="F2340" s="41" t="s">
        <v>5887</v>
      </c>
      <c r="G2340" s="41" t="s">
        <v>7234</v>
      </c>
      <c r="H2340" s="41" t="s">
        <v>7235</v>
      </c>
      <c r="I2340" s="43">
        <v>12</v>
      </c>
      <c r="J2340" s="44" t="str">
        <f>VLOOKUP(G2340,[1]硬件清单!$F:$F,1,0)</f>
        <v>JPQYJL2</v>
      </c>
      <c r="K2340" s="43"/>
      <c r="L2340" s="44"/>
      <c r="M2340" s="45" t="s">
        <v>7236</v>
      </c>
    </row>
    <row r="2341" s="26" customFormat="1" ht="30" customHeight="1" spans="1:13">
      <c r="A2341" s="41">
        <f>IF(C2341="","",SUBTOTAL(103,$C$2:C2341))</f>
        <v>2332</v>
      </c>
      <c r="B2341" s="41">
        <v>10258</v>
      </c>
      <c r="C2341" s="41">
        <v>2099</v>
      </c>
      <c r="D2341" s="41" t="s">
        <v>45</v>
      </c>
      <c r="E2341" s="41" t="s">
        <v>1298</v>
      </c>
      <c r="F2341" s="41" t="s">
        <v>5887</v>
      </c>
      <c r="G2341" s="41" t="s">
        <v>7237</v>
      </c>
      <c r="H2341" s="41" t="s">
        <v>7238</v>
      </c>
      <c r="I2341" s="43">
        <v>12</v>
      </c>
      <c r="J2341" s="44" t="str">
        <f>VLOOKUP(G2341,[1]硬件清单!$F:$F,1,0)</f>
        <v>JPQVVL2</v>
      </c>
      <c r="K2341" s="43"/>
      <c r="L2341" s="44"/>
      <c r="M2341" s="45" t="s">
        <v>7239</v>
      </c>
    </row>
    <row r="2342" s="26" customFormat="1" ht="30" customHeight="1" spans="1:13">
      <c r="A2342" s="41">
        <f>IF(C2342="","",SUBTOTAL(103,$C$2:C2342))</f>
        <v>2333</v>
      </c>
      <c r="B2342" s="41">
        <v>10260</v>
      </c>
      <c r="C2342" s="41">
        <v>3489</v>
      </c>
      <c r="D2342" s="41" t="s">
        <v>19</v>
      </c>
      <c r="E2342" s="41" t="s">
        <v>20</v>
      </c>
      <c r="F2342" s="41" t="s">
        <v>6506</v>
      </c>
      <c r="G2342" s="41" t="s">
        <v>7240</v>
      </c>
      <c r="H2342" s="41" t="s">
        <v>7241</v>
      </c>
      <c r="I2342" s="43">
        <v>12</v>
      </c>
      <c r="J2342" s="44" t="str">
        <f>VLOOKUP(G2342,[1]硬件清单!$F:$F,1,0)</f>
        <v>210235A1TXH179000311</v>
      </c>
      <c r="K2342" s="43"/>
      <c r="L2342" s="44"/>
      <c r="M2342" s="45" t="s">
        <v>7242</v>
      </c>
    </row>
    <row r="2343" s="26" customFormat="1" ht="30" customHeight="1" spans="1:13">
      <c r="A2343" s="41">
        <f>IF(C2343="","",SUBTOTAL(103,$C$2:C2343))</f>
        <v>2334</v>
      </c>
      <c r="B2343" s="41">
        <v>10261</v>
      </c>
      <c r="C2343" s="41">
        <v>3488</v>
      </c>
      <c r="D2343" s="41" t="s">
        <v>19</v>
      </c>
      <c r="E2343" s="41" t="s">
        <v>20</v>
      </c>
      <c r="F2343" s="41" t="s">
        <v>6506</v>
      </c>
      <c r="G2343" s="41" t="s">
        <v>7243</v>
      </c>
      <c r="H2343" s="41" t="s">
        <v>7244</v>
      </c>
      <c r="I2343" s="43">
        <v>12</v>
      </c>
      <c r="J2343" s="44" t="str">
        <f>VLOOKUP(G2343,[1]硬件清单!$F:$F,1,0)</f>
        <v>210235A1TXH179000356</v>
      </c>
      <c r="K2343" s="43"/>
      <c r="L2343" s="44"/>
      <c r="M2343" s="45" t="s">
        <v>7245</v>
      </c>
    </row>
    <row r="2344" s="26" customFormat="1" ht="30" customHeight="1" spans="1:13">
      <c r="A2344" s="41">
        <f>IF(C2344="","",SUBTOTAL(103,$C$2:C2344))</f>
        <v>2335</v>
      </c>
      <c r="B2344" s="41">
        <v>10265</v>
      </c>
      <c r="C2344" s="41">
        <v>6287</v>
      </c>
      <c r="D2344" s="41" t="s">
        <v>45</v>
      </c>
      <c r="E2344" s="41" t="s">
        <v>1298</v>
      </c>
      <c r="F2344" s="41" t="s">
        <v>6784</v>
      </c>
      <c r="G2344" s="41" t="s">
        <v>7246</v>
      </c>
      <c r="H2344" s="41" t="s">
        <v>7247</v>
      </c>
      <c r="I2344" s="43">
        <v>12</v>
      </c>
      <c r="J2344" s="44" t="str">
        <f>VLOOKUP(G2344,[1]硬件清单!$F:$F,1,0)</f>
        <v>CNG230S8ZD</v>
      </c>
      <c r="K2344" s="43"/>
      <c r="L2344" s="44"/>
      <c r="M2344" s="45" t="s">
        <v>7248</v>
      </c>
    </row>
    <row r="2345" s="26" customFormat="1" ht="30" customHeight="1" spans="1:13">
      <c r="A2345" s="41">
        <f>IF(C2345="","",SUBTOTAL(103,$C$2:C2345))</f>
        <v>2336</v>
      </c>
      <c r="B2345" s="41">
        <v>10268</v>
      </c>
      <c r="C2345" s="41">
        <v>7332</v>
      </c>
      <c r="D2345" s="41" t="s">
        <v>19</v>
      </c>
      <c r="E2345" s="41" t="s">
        <v>20</v>
      </c>
      <c r="F2345" s="41" t="s">
        <v>7249</v>
      </c>
      <c r="G2345" s="41" t="s">
        <v>7250</v>
      </c>
      <c r="H2345" s="41" t="s">
        <v>7251</v>
      </c>
      <c r="I2345" s="43">
        <v>12</v>
      </c>
      <c r="J2345" s="44" t="str">
        <f>VLOOKUP(G2345,[1]硬件清单!$F:$F,1,0)</f>
        <v>FDO1630R19E</v>
      </c>
      <c r="K2345" s="43"/>
      <c r="L2345" s="44"/>
      <c r="M2345" s="45" t="s">
        <v>7252</v>
      </c>
    </row>
    <row r="2346" s="26" customFormat="1" ht="30" customHeight="1" spans="1:13">
      <c r="A2346" s="41">
        <f>IF(C2346="","",SUBTOTAL(103,$C$2:C2346))</f>
        <v>2337</v>
      </c>
      <c r="B2346" s="41">
        <v>10269</v>
      </c>
      <c r="C2346" s="41">
        <v>7369</v>
      </c>
      <c r="D2346" s="41" t="s">
        <v>19</v>
      </c>
      <c r="E2346" s="41" t="s">
        <v>20</v>
      </c>
      <c r="F2346" s="41" t="s">
        <v>7253</v>
      </c>
      <c r="G2346" s="41" t="s">
        <v>7254</v>
      </c>
      <c r="H2346" s="41" t="s">
        <v>7255</v>
      </c>
      <c r="I2346" s="43">
        <v>12</v>
      </c>
      <c r="J2346" s="44" t="str">
        <f>VLOOKUP(G2346,[1]硬件清单!$F:$F,1,0)</f>
        <v>210235A0HAH126000162</v>
      </c>
      <c r="K2346" s="43"/>
      <c r="L2346" s="44"/>
      <c r="M2346" s="45" t="s">
        <v>7256</v>
      </c>
    </row>
    <row r="2347" s="26" customFormat="1" ht="30" customHeight="1" spans="1:13">
      <c r="A2347" s="41">
        <f>IF(C2347="","",SUBTOTAL(103,$C$2:C2347))</f>
        <v>2338</v>
      </c>
      <c r="B2347" s="41">
        <v>10270</v>
      </c>
      <c r="C2347" s="41">
        <v>7370</v>
      </c>
      <c r="D2347" s="41" t="s">
        <v>19</v>
      </c>
      <c r="E2347" s="41" t="s">
        <v>20</v>
      </c>
      <c r="F2347" s="41" t="s">
        <v>7253</v>
      </c>
      <c r="G2347" s="41" t="s">
        <v>7257</v>
      </c>
      <c r="H2347" s="41" t="s">
        <v>7258</v>
      </c>
      <c r="I2347" s="43">
        <v>12</v>
      </c>
      <c r="J2347" s="44" t="str">
        <f>VLOOKUP(G2347,[1]硬件清单!$F:$F,1,0)</f>
        <v>210235A0HAH127000040</v>
      </c>
      <c r="K2347" s="43"/>
      <c r="L2347" s="44"/>
      <c r="M2347" s="45" t="s">
        <v>7259</v>
      </c>
    </row>
    <row r="2348" s="26" customFormat="1" ht="30" customHeight="1" spans="1:13">
      <c r="A2348" s="41">
        <f>IF(C2348="","",SUBTOTAL(103,$C$2:C2348))</f>
        <v>2339</v>
      </c>
      <c r="B2348" s="41">
        <v>10274</v>
      </c>
      <c r="C2348" s="41">
        <v>7334</v>
      </c>
      <c r="D2348" s="41" t="s">
        <v>19</v>
      </c>
      <c r="E2348" s="41" t="s">
        <v>20</v>
      </c>
      <c r="F2348" s="41" t="s">
        <v>7249</v>
      </c>
      <c r="G2348" s="41" t="s">
        <v>7260</v>
      </c>
      <c r="H2348" s="41" t="s">
        <v>7261</v>
      </c>
      <c r="I2348" s="43">
        <v>12</v>
      </c>
      <c r="J2348" s="44" t="str">
        <f>VLOOKUP(G2348,[1]硬件清单!$F:$F,1,0)</f>
        <v>FD01630P0KT</v>
      </c>
      <c r="K2348" s="43"/>
      <c r="L2348" s="44"/>
      <c r="M2348" s="45" t="s">
        <v>7262</v>
      </c>
    </row>
    <row r="2349" s="26" customFormat="1" ht="30" customHeight="1" spans="1:13">
      <c r="A2349" s="41">
        <f>IF(C2349="","",SUBTOTAL(103,$C$2:C2349))</f>
        <v>2340</v>
      </c>
      <c r="B2349" s="41">
        <v>10275</v>
      </c>
      <c r="C2349" s="41">
        <v>7335</v>
      </c>
      <c r="D2349" s="41" t="s">
        <v>19</v>
      </c>
      <c r="E2349" s="41" t="s">
        <v>20</v>
      </c>
      <c r="F2349" s="41" t="s">
        <v>7249</v>
      </c>
      <c r="G2349" s="41" t="s">
        <v>7263</v>
      </c>
      <c r="H2349" s="41" t="s">
        <v>7264</v>
      </c>
      <c r="I2349" s="43">
        <v>12</v>
      </c>
      <c r="J2349" s="44" t="str">
        <f>VLOOKUP(G2349,[1]硬件清单!$F:$F,1,0)</f>
        <v>FD01630R153</v>
      </c>
      <c r="K2349" s="43"/>
      <c r="L2349" s="44"/>
      <c r="M2349" s="45" t="s">
        <v>7265</v>
      </c>
    </row>
    <row r="2350" s="26" customFormat="1" ht="30" customHeight="1" spans="1:13">
      <c r="A2350" s="41">
        <f>IF(C2350="","",SUBTOTAL(103,$C$2:C2350))</f>
        <v>2341</v>
      </c>
      <c r="B2350" s="41">
        <v>10276</v>
      </c>
      <c r="C2350" s="41">
        <v>7371</v>
      </c>
      <c r="D2350" s="41" t="s">
        <v>19</v>
      </c>
      <c r="E2350" s="41" t="s">
        <v>20</v>
      </c>
      <c r="F2350" s="41" t="s">
        <v>7253</v>
      </c>
      <c r="G2350" s="41" t="s">
        <v>7266</v>
      </c>
      <c r="H2350" s="41" t="s">
        <v>7267</v>
      </c>
      <c r="I2350" s="43">
        <v>12</v>
      </c>
      <c r="J2350" s="44" t="str">
        <f>VLOOKUP(G2350,[1]硬件清单!$F:$F,1,0)</f>
        <v>210235A0HAH127000062</v>
      </c>
      <c r="K2350" s="43"/>
      <c r="L2350" s="44"/>
      <c r="M2350" s="45" t="s">
        <v>7268</v>
      </c>
    </row>
    <row r="2351" s="26" customFormat="1" ht="30" customHeight="1" spans="1:13">
      <c r="A2351" s="41">
        <f>IF(C2351="","",SUBTOTAL(103,$C$2:C2351))</f>
        <v>2342</v>
      </c>
      <c r="B2351" s="41">
        <v>10277</v>
      </c>
      <c r="C2351" s="41">
        <v>7372</v>
      </c>
      <c r="D2351" s="41" t="s">
        <v>19</v>
      </c>
      <c r="E2351" s="41" t="s">
        <v>20</v>
      </c>
      <c r="F2351" s="41" t="s">
        <v>7253</v>
      </c>
      <c r="G2351" s="41" t="s">
        <v>7269</v>
      </c>
      <c r="H2351" s="41" t="s">
        <v>7270</v>
      </c>
      <c r="I2351" s="43">
        <v>12</v>
      </c>
      <c r="J2351" s="44" t="str">
        <f>VLOOKUP(G2351,[1]硬件清单!$F:$F,1,0)</f>
        <v>210235A0HAH126000126</v>
      </c>
      <c r="K2351" s="43"/>
      <c r="L2351" s="44"/>
      <c r="M2351" s="45" t="s">
        <v>7271</v>
      </c>
    </row>
    <row r="2352" s="26" customFormat="1" ht="30" customHeight="1" spans="1:13">
      <c r="A2352" s="41">
        <f>IF(C2352="","",SUBTOTAL(103,$C$2:C2352))</f>
        <v>2343</v>
      </c>
      <c r="B2352" s="41">
        <v>10280</v>
      </c>
      <c r="C2352" s="41">
        <v>6147</v>
      </c>
      <c r="D2352" s="41" t="s">
        <v>45</v>
      </c>
      <c r="E2352" s="41" t="s">
        <v>1298</v>
      </c>
      <c r="F2352" s="41" t="s">
        <v>7272</v>
      </c>
      <c r="G2352" s="41" t="s">
        <v>7273</v>
      </c>
      <c r="H2352" s="41" t="s">
        <v>7274</v>
      </c>
      <c r="I2352" s="43">
        <v>12</v>
      </c>
      <c r="J2352" s="44" t="str">
        <f>VLOOKUP(G2352,[1]硬件清单!$F:$F,1,0)</f>
        <v>CNG230S9BG</v>
      </c>
      <c r="K2352" s="43"/>
      <c r="L2352" s="44"/>
      <c r="M2352" s="45" t="s">
        <v>7275</v>
      </c>
    </row>
    <row r="2353" s="26" customFormat="1" ht="30" customHeight="1" spans="1:13">
      <c r="A2353" s="41">
        <f>IF(C2353="","",SUBTOTAL(103,$C$2:C2353))</f>
        <v>2344</v>
      </c>
      <c r="B2353" s="41">
        <v>10281</v>
      </c>
      <c r="C2353" s="41">
        <v>6156</v>
      </c>
      <c r="D2353" s="41" t="s">
        <v>45</v>
      </c>
      <c r="E2353" s="41" t="s">
        <v>1298</v>
      </c>
      <c r="F2353" s="41" t="s">
        <v>7272</v>
      </c>
      <c r="G2353" s="41" t="s">
        <v>7276</v>
      </c>
      <c r="H2353" s="41" t="s">
        <v>7277</v>
      </c>
      <c r="I2353" s="43">
        <v>12</v>
      </c>
      <c r="J2353" s="44" t="str">
        <f>VLOOKUP(G2353,[1]硬件清单!$F:$F,1,0)</f>
        <v>CNG230S9B8</v>
      </c>
      <c r="K2353" s="43"/>
      <c r="L2353" s="44"/>
      <c r="M2353" s="45" t="s">
        <v>7278</v>
      </c>
    </row>
    <row r="2354" s="26" customFormat="1" ht="30" customHeight="1" spans="1:13">
      <c r="A2354" s="41">
        <f>IF(C2354="","",SUBTOTAL(103,$C$2:C2354))</f>
        <v>2345</v>
      </c>
      <c r="B2354" s="41">
        <v>10282</v>
      </c>
      <c r="C2354" s="41">
        <v>6157</v>
      </c>
      <c r="D2354" s="41" t="s">
        <v>45</v>
      </c>
      <c r="E2354" s="41" t="s">
        <v>1298</v>
      </c>
      <c r="F2354" s="41" t="s">
        <v>7272</v>
      </c>
      <c r="G2354" s="41" t="s">
        <v>7279</v>
      </c>
      <c r="H2354" s="41" t="s">
        <v>7280</v>
      </c>
      <c r="I2354" s="43">
        <v>12</v>
      </c>
      <c r="J2354" s="44" t="str">
        <f>VLOOKUP(G2354,[1]硬件清单!$F:$F,1,0)</f>
        <v>CNG230S98Z</v>
      </c>
      <c r="K2354" s="43"/>
      <c r="L2354" s="44"/>
      <c r="M2354" s="45" t="s">
        <v>7281</v>
      </c>
    </row>
    <row r="2355" s="26" customFormat="1" ht="30" customHeight="1" spans="1:13">
      <c r="A2355" s="41">
        <f>IF(C2355="","",SUBTOTAL(103,$C$2:C2355))</f>
        <v>2346</v>
      </c>
      <c r="B2355" s="41">
        <v>10283</v>
      </c>
      <c r="C2355" s="41">
        <v>6158</v>
      </c>
      <c r="D2355" s="41" t="s">
        <v>45</v>
      </c>
      <c r="E2355" s="41" t="s">
        <v>1298</v>
      </c>
      <c r="F2355" s="41" t="s">
        <v>7272</v>
      </c>
      <c r="G2355" s="41" t="s">
        <v>7282</v>
      </c>
      <c r="H2355" s="41" t="s">
        <v>7283</v>
      </c>
      <c r="I2355" s="43">
        <v>12</v>
      </c>
      <c r="J2355" s="44" t="str">
        <f>VLOOKUP(G2355,[1]硬件清单!$F:$F,1,0)</f>
        <v>CNG230S993</v>
      </c>
      <c r="K2355" s="43"/>
      <c r="L2355" s="44"/>
      <c r="M2355" s="45" t="s">
        <v>7284</v>
      </c>
    </row>
    <row r="2356" s="26" customFormat="1" ht="30" customHeight="1" spans="1:13">
      <c r="A2356" s="41">
        <f>IF(C2356="","",SUBTOTAL(103,$C$2:C2356))</f>
        <v>2347</v>
      </c>
      <c r="B2356" s="41">
        <v>10284</v>
      </c>
      <c r="C2356" s="41">
        <v>6159</v>
      </c>
      <c r="D2356" s="41" t="s">
        <v>45</v>
      </c>
      <c r="E2356" s="41" t="s">
        <v>1298</v>
      </c>
      <c r="F2356" s="41" t="s">
        <v>7272</v>
      </c>
      <c r="G2356" s="41" t="s">
        <v>7285</v>
      </c>
      <c r="H2356" s="41" t="s">
        <v>7286</v>
      </c>
      <c r="I2356" s="43">
        <v>12</v>
      </c>
      <c r="J2356" s="44" t="str">
        <f>VLOOKUP(G2356,[1]硬件清单!$F:$F,1,0)</f>
        <v>CNG230S98S</v>
      </c>
      <c r="K2356" s="43"/>
      <c r="L2356" s="44"/>
      <c r="M2356" s="45" t="s">
        <v>7287</v>
      </c>
    </row>
    <row r="2357" s="26" customFormat="1" ht="30" customHeight="1" spans="1:13">
      <c r="A2357" s="41">
        <f>IF(C2357="","",SUBTOTAL(103,$C$2:C2357))</f>
        <v>2348</v>
      </c>
      <c r="B2357" s="41">
        <v>10285</v>
      </c>
      <c r="C2357" s="41">
        <v>6160</v>
      </c>
      <c r="D2357" s="41" t="s">
        <v>45</v>
      </c>
      <c r="E2357" s="41" t="s">
        <v>1298</v>
      </c>
      <c r="F2357" s="41" t="s">
        <v>7272</v>
      </c>
      <c r="G2357" s="41" t="s">
        <v>7288</v>
      </c>
      <c r="H2357" s="41" t="s">
        <v>7289</v>
      </c>
      <c r="I2357" s="43">
        <v>12</v>
      </c>
      <c r="J2357" s="44" t="str">
        <f>VLOOKUP(G2357,[1]硬件清单!$F:$F,1,0)</f>
        <v>CNG230S995</v>
      </c>
      <c r="K2357" s="43"/>
      <c r="L2357" s="44"/>
      <c r="M2357" s="45" t="s">
        <v>7290</v>
      </c>
    </row>
    <row r="2358" s="26" customFormat="1" ht="30" customHeight="1" spans="1:13">
      <c r="A2358" s="41">
        <f>IF(C2358="","",SUBTOTAL(103,$C$2:C2358))</f>
        <v>2349</v>
      </c>
      <c r="B2358" s="41">
        <v>10286</v>
      </c>
      <c r="C2358" s="41">
        <v>6161</v>
      </c>
      <c r="D2358" s="41" t="s">
        <v>45</v>
      </c>
      <c r="E2358" s="41" t="s">
        <v>1298</v>
      </c>
      <c r="F2358" s="41" t="s">
        <v>7272</v>
      </c>
      <c r="G2358" s="41" t="s">
        <v>7291</v>
      </c>
      <c r="H2358" s="41" t="s">
        <v>7292</v>
      </c>
      <c r="I2358" s="43">
        <v>12</v>
      </c>
      <c r="J2358" s="44" t="str">
        <f>VLOOKUP(G2358,[1]硬件清单!$F:$F,1,0)</f>
        <v>CNG230S96D</v>
      </c>
      <c r="K2358" s="43"/>
      <c r="L2358" s="44"/>
      <c r="M2358" s="45" t="s">
        <v>7293</v>
      </c>
    </row>
    <row r="2359" s="26" customFormat="1" ht="30" customHeight="1" spans="1:13">
      <c r="A2359" s="41">
        <f>IF(C2359="","",SUBTOTAL(103,$C$2:C2359))</f>
        <v>2350</v>
      </c>
      <c r="B2359" s="41">
        <v>10287</v>
      </c>
      <c r="C2359" s="41">
        <v>6162</v>
      </c>
      <c r="D2359" s="41" t="s">
        <v>45</v>
      </c>
      <c r="E2359" s="41" t="s">
        <v>1298</v>
      </c>
      <c r="F2359" s="41" t="s">
        <v>7272</v>
      </c>
      <c r="G2359" s="41" t="s">
        <v>7294</v>
      </c>
      <c r="H2359" s="41" t="s">
        <v>7295</v>
      </c>
      <c r="I2359" s="43">
        <v>12</v>
      </c>
      <c r="J2359" s="44" t="str">
        <f>VLOOKUP(G2359,[1]硬件清单!$F:$F,1,0)</f>
        <v>CNG230S986</v>
      </c>
      <c r="K2359" s="43"/>
      <c r="L2359" s="44"/>
      <c r="M2359" s="45" t="s">
        <v>7296</v>
      </c>
    </row>
    <row r="2360" s="26" customFormat="1" ht="30" customHeight="1" spans="1:13">
      <c r="A2360" s="41">
        <f>IF(C2360="","",SUBTOTAL(103,$C$2:C2360))</f>
        <v>2351</v>
      </c>
      <c r="B2360" s="41">
        <v>10288</v>
      </c>
      <c r="C2360" s="41">
        <v>6148</v>
      </c>
      <c r="D2360" s="41" t="s">
        <v>45</v>
      </c>
      <c r="E2360" s="41" t="s">
        <v>1298</v>
      </c>
      <c r="F2360" s="41" t="s">
        <v>7272</v>
      </c>
      <c r="G2360" s="41" t="s">
        <v>7297</v>
      </c>
      <c r="H2360" s="41" t="s">
        <v>7298</v>
      </c>
      <c r="I2360" s="43">
        <v>12</v>
      </c>
      <c r="J2360" s="44" t="str">
        <f>VLOOKUP(G2360,[1]硬件清单!$F:$F,1,0)</f>
        <v>CNG230S98V</v>
      </c>
      <c r="K2360" s="43"/>
      <c r="L2360" s="44"/>
      <c r="M2360" s="45" t="s">
        <v>7299</v>
      </c>
    </row>
    <row r="2361" s="26" customFormat="1" ht="30" customHeight="1" spans="1:13">
      <c r="A2361" s="41">
        <f>IF(C2361="","",SUBTOTAL(103,$C$2:C2361))</f>
        <v>2352</v>
      </c>
      <c r="B2361" s="41">
        <v>10289</v>
      </c>
      <c r="C2361" s="41">
        <v>6149</v>
      </c>
      <c r="D2361" s="41" t="s">
        <v>45</v>
      </c>
      <c r="E2361" s="41" t="s">
        <v>1298</v>
      </c>
      <c r="F2361" s="41" t="s">
        <v>7272</v>
      </c>
      <c r="G2361" s="41" t="s">
        <v>7300</v>
      </c>
      <c r="H2361" s="41" t="s">
        <v>7301</v>
      </c>
      <c r="I2361" s="43">
        <v>12</v>
      </c>
      <c r="J2361" s="44" t="str">
        <f>VLOOKUP(G2361,[1]硬件清单!$F:$F,1,0)</f>
        <v>CNG230S96J</v>
      </c>
      <c r="K2361" s="43"/>
      <c r="L2361" s="44"/>
      <c r="M2361" s="45" t="s">
        <v>7302</v>
      </c>
    </row>
    <row r="2362" s="26" customFormat="1" ht="30" customHeight="1" spans="1:13">
      <c r="A2362" s="41">
        <f>IF(C2362="","",SUBTOTAL(103,$C$2:C2362))</f>
        <v>2353</v>
      </c>
      <c r="B2362" s="41">
        <v>10290</v>
      </c>
      <c r="C2362" s="41">
        <v>6150</v>
      </c>
      <c r="D2362" s="41" t="s">
        <v>45</v>
      </c>
      <c r="E2362" s="41" t="s">
        <v>1298</v>
      </c>
      <c r="F2362" s="41" t="s">
        <v>7272</v>
      </c>
      <c r="G2362" s="41" t="s">
        <v>7303</v>
      </c>
      <c r="H2362" s="41" t="s">
        <v>7304</v>
      </c>
      <c r="I2362" s="43">
        <v>12</v>
      </c>
      <c r="J2362" s="44" t="str">
        <f>VLOOKUP(G2362,[1]硬件清单!$F:$F,1,0)</f>
        <v>CNG230S99M</v>
      </c>
      <c r="K2362" s="43"/>
      <c r="L2362" s="44"/>
      <c r="M2362" s="45" t="s">
        <v>7305</v>
      </c>
    </row>
    <row r="2363" s="26" customFormat="1" ht="30" customHeight="1" spans="1:13">
      <c r="A2363" s="41">
        <f>IF(C2363="","",SUBTOTAL(103,$C$2:C2363))</f>
        <v>2354</v>
      </c>
      <c r="B2363" s="41">
        <v>10291</v>
      </c>
      <c r="C2363" s="41">
        <v>6151</v>
      </c>
      <c r="D2363" s="41" t="s">
        <v>45</v>
      </c>
      <c r="E2363" s="41" t="s">
        <v>1298</v>
      </c>
      <c r="F2363" s="41" t="s">
        <v>7272</v>
      </c>
      <c r="G2363" s="41" t="s">
        <v>7306</v>
      </c>
      <c r="H2363" s="41" t="s">
        <v>7307</v>
      </c>
      <c r="I2363" s="43">
        <v>12</v>
      </c>
      <c r="J2363" s="44" t="str">
        <f>VLOOKUP(G2363,[1]硬件清单!$F:$F,1,0)</f>
        <v>CNG230S984</v>
      </c>
      <c r="K2363" s="43"/>
      <c r="L2363" s="44"/>
      <c r="M2363" s="45" t="s">
        <v>7308</v>
      </c>
    </row>
    <row r="2364" s="26" customFormat="1" ht="30" customHeight="1" spans="1:13">
      <c r="A2364" s="41">
        <f>IF(C2364="","",SUBTOTAL(103,$C$2:C2364))</f>
        <v>2355</v>
      </c>
      <c r="B2364" s="41">
        <v>10292</v>
      </c>
      <c r="C2364" s="41">
        <v>6152</v>
      </c>
      <c r="D2364" s="41" t="s">
        <v>45</v>
      </c>
      <c r="E2364" s="41" t="s">
        <v>1298</v>
      </c>
      <c r="F2364" s="41" t="s">
        <v>7272</v>
      </c>
      <c r="G2364" s="41" t="s">
        <v>7309</v>
      </c>
      <c r="H2364" s="41" t="s">
        <v>7310</v>
      </c>
      <c r="I2364" s="43">
        <v>12</v>
      </c>
      <c r="J2364" s="44" t="str">
        <f>VLOOKUP(G2364,[1]硬件清单!$F:$F,1,0)</f>
        <v>CNG230S99W</v>
      </c>
      <c r="K2364" s="43"/>
      <c r="L2364" s="44"/>
      <c r="M2364" s="45" t="s">
        <v>7311</v>
      </c>
    </row>
    <row r="2365" s="26" customFormat="1" ht="30" customHeight="1" spans="1:13">
      <c r="A2365" s="41">
        <f>IF(C2365="","",SUBTOTAL(103,$C$2:C2365))</f>
        <v>2356</v>
      </c>
      <c r="B2365" s="41">
        <v>10293</v>
      </c>
      <c r="C2365" s="41">
        <v>6153</v>
      </c>
      <c r="D2365" s="41" t="s">
        <v>45</v>
      </c>
      <c r="E2365" s="41" t="s">
        <v>1298</v>
      </c>
      <c r="F2365" s="41" t="s">
        <v>7272</v>
      </c>
      <c r="G2365" s="41" t="s">
        <v>7312</v>
      </c>
      <c r="H2365" s="41" t="s">
        <v>7313</v>
      </c>
      <c r="I2365" s="43">
        <v>12</v>
      </c>
      <c r="J2365" s="44" t="str">
        <f>VLOOKUP(G2365,[1]硬件清单!$F:$F,1,0)</f>
        <v>CNG230S99T</v>
      </c>
      <c r="K2365" s="43"/>
      <c r="L2365" s="44"/>
      <c r="M2365" s="45" t="s">
        <v>7314</v>
      </c>
    </row>
    <row r="2366" s="26" customFormat="1" ht="30" customHeight="1" spans="1:13">
      <c r="A2366" s="41">
        <f>IF(C2366="","",SUBTOTAL(103,$C$2:C2366))</f>
        <v>2357</v>
      </c>
      <c r="B2366" s="41">
        <v>10294</v>
      </c>
      <c r="C2366" s="41">
        <v>6154</v>
      </c>
      <c r="D2366" s="41" t="s">
        <v>45</v>
      </c>
      <c r="E2366" s="41" t="s">
        <v>1298</v>
      </c>
      <c r="F2366" s="41" t="s">
        <v>7272</v>
      </c>
      <c r="G2366" s="41" t="s">
        <v>7315</v>
      </c>
      <c r="H2366" s="41" t="s">
        <v>7316</v>
      </c>
      <c r="I2366" s="43">
        <v>12</v>
      </c>
      <c r="J2366" s="44" t="str">
        <f>VLOOKUP(G2366,[1]硬件清单!$F:$F,1,0)</f>
        <v>CNG230S97T</v>
      </c>
      <c r="K2366" s="43"/>
      <c r="L2366" s="44"/>
      <c r="M2366" s="45" t="s">
        <v>7317</v>
      </c>
    </row>
    <row r="2367" s="26" customFormat="1" ht="30" customHeight="1" spans="1:13">
      <c r="A2367" s="41">
        <f>IF(C2367="","",SUBTOTAL(103,$C$2:C2367))</f>
        <v>2358</v>
      </c>
      <c r="B2367" s="41">
        <v>10295</v>
      </c>
      <c r="C2367" s="41">
        <v>6155</v>
      </c>
      <c r="D2367" s="41" t="s">
        <v>45</v>
      </c>
      <c r="E2367" s="41" t="s">
        <v>1298</v>
      </c>
      <c r="F2367" s="41" t="s">
        <v>7272</v>
      </c>
      <c r="G2367" s="41" t="s">
        <v>7318</v>
      </c>
      <c r="H2367" s="41" t="s">
        <v>7319</v>
      </c>
      <c r="I2367" s="43">
        <v>12</v>
      </c>
      <c r="J2367" s="44" t="str">
        <f>VLOOKUP(G2367,[1]硬件清单!$F:$F,1,0)</f>
        <v>CNG230S980</v>
      </c>
      <c r="K2367" s="43"/>
      <c r="L2367" s="44"/>
      <c r="M2367" s="45" t="s">
        <v>7320</v>
      </c>
    </row>
    <row r="2368" s="26" customFormat="1" ht="30" customHeight="1" spans="1:13">
      <c r="A2368" s="41">
        <f>IF(C2368="","",SUBTOTAL(103,$C$2:C2368))</f>
        <v>2359</v>
      </c>
      <c r="B2368" s="41">
        <v>10296</v>
      </c>
      <c r="C2368" s="41">
        <v>6131</v>
      </c>
      <c r="D2368" s="41" t="s">
        <v>45</v>
      </c>
      <c r="E2368" s="41" t="s">
        <v>1298</v>
      </c>
      <c r="F2368" s="41" t="s">
        <v>7272</v>
      </c>
      <c r="G2368" s="41" t="s">
        <v>7321</v>
      </c>
      <c r="H2368" s="41" t="s">
        <v>7322</v>
      </c>
      <c r="I2368" s="43">
        <v>12</v>
      </c>
      <c r="J2368" s="44" t="str">
        <f>VLOOKUP(G2368,[1]硬件清单!$F:$F,1,0)</f>
        <v>CNG230S98J</v>
      </c>
      <c r="K2368" s="43"/>
      <c r="L2368" s="44"/>
      <c r="M2368" s="45" t="s">
        <v>7323</v>
      </c>
    </row>
    <row r="2369" s="26" customFormat="1" ht="30" customHeight="1" spans="1:13">
      <c r="A2369" s="41">
        <f>IF(C2369="","",SUBTOTAL(103,$C$2:C2369))</f>
        <v>2360</v>
      </c>
      <c r="B2369" s="41">
        <v>10297</v>
      </c>
      <c r="C2369" s="41">
        <v>6140</v>
      </c>
      <c r="D2369" s="41" t="s">
        <v>45</v>
      </c>
      <c r="E2369" s="41" t="s">
        <v>1298</v>
      </c>
      <c r="F2369" s="41" t="s">
        <v>7272</v>
      </c>
      <c r="G2369" s="41" t="s">
        <v>7324</v>
      </c>
      <c r="H2369" s="41" t="s">
        <v>7325</v>
      </c>
      <c r="I2369" s="43">
        <v>12</v>
      </c>
      <c r="J2369" s="44" t="str">
        <f>VLOOKUP(G2369,[1]硬件清单!$F:$F,1,0)</f>
        <v>CNG230S97Y</v>
      </c>
      <c r="K2369" s="43"/>
      <c r="L2369" s="44"/>
      <c r="M2369" s="45" t="s">
        <v>7326</v>
      </c>
    </row>
    <row r="2370" s="26" customFormat="1" ht="30" customHeight="1" spans="1:13">
      <c r="A2370" s="41">
        <f>IF(C2370="","",SUBTOTAL(103,$C$2:C2370))</f>
        <v>2361</v>
      </c>
      <c r="B2370" s="41">
        <v>10298</v>
      </c>
      <c r="C2370" s="41">
        <v>6141</v>
      </c>
      <c r="D2370" s="41" t="s">
        <v>45</v>
      </c>
      <c r="E2370" s="41" t="s">
        <v>1298</v>
      </c>
      <c r="F2370" s="41" t="s">
        <v>7272</v>
      </c>
      <c r="G2370" s="41" t="s">
        <v>7327</v>
      </c>
      <c r="H2370" s="41" t="s">
        <v>7328</v>
      </c>
      <c r="I2370" s="43">
        <v>12</v>
      </c>
      <c r="J2370" s="44" t="str">
        <f>VLOOKUP(G2370,[1]硬件清单!$F:$F,1,0)</f>
        <v>CNG230S97F</v>
      </c>
      <c r="K2370" s="43"/>
      <c r="L2370" s="44"/>
      <c r="M2370" s="45" t="s">
        <v>7329</v>
      </c>
    </row>
    <row r="2371" s="26" customFormat="1" ht="30" customHeight="1" spans="1:13">
      <c r="A2371" s="41">
        <f>IF(C2371="","",SUBTOTAL(103,$C$2:C2371))</f>
        <v>2362</v>
      </c>
      <c r="B2371" s="41">
        <v>10299</v>
      </c>
      <c r="C2371" s="41">
        <v>6142</v>
      </c>
      <c r="D2371" s="41" t="s">
        <v>45</v>
      </c>
      <c r="E2371" s="41" t="s">
        <v>1298</v>
      </c>
      <c r="F2371" s="41" t="s">
        <v>7272</v>
      </c>
      <c r="G2371" s="41" t="s">
        <v>7330</v>
      </c>
      <c r="H2371" s="41" t="s">
        <v>7331</v>
      </c>
      <c r="I2371" s="43">
        <v>12</v>
      </c>
      <c r="J2371" s="44" t="str">
        <f>VLOOKUP(G2371,[1]硬件清单!$F:$F,1,0)</f>
        <v>CNG230S975</v>
      </c>
      <c r="K2371" s="43"/>
      <c r="L2371" s="44"/>
      <c r="M2371" s="45" t="s">
        <v>7332</v>
      </c>
    </row>
    <row r="2372" s="26" customFormat="1" ht="30" customHeight="1" spans="1:13">
      <c r="A2372" s="41">
        <f>IF(C2372="","",SUBTOTAL(103,$C$2:C2372))</f>
        <v>2363</v>
      </c>
      <c r="B2372" s="41">
        <v>10300</v>
      </c>
      <c r="C2372" s="41">
        <v>6143</v>
      </c>
      <c r="D2372" s="41" t="s">
        <v>45</v>
      </c>
      <c r="E2372" s="41" t="s">
        <v>1298</v>
      </c>
      <c r="F2372" s="41" t="s">
        <v>7272</v>
      </c>
      <c r="G2372" s="41" t="s">
        <v>7333</v>
      </c>
      <c r="H2372" s="41" t="s">
        <v>7334</v>
      </c>
      <c r="I2372" s="43">
        <v>12</v>
      </c>
      <c r="J2372" s="44" t="str">
        <f>VLOOKUP(G2372,[1]硬件清单!$F:$F,1,0)</f>
        <v>CNG230S96S</v>
      </c>
      <c r="K2372" s="43"/>
      <c r="L2372" s="44"/>
      <c r="M2372" s="45" t="s">
        <v>7335</v>
      </c>
    </row>
    <row r="2373" s="26" customFormat="1" ht="30" customHeight="1" spans="1:13">
      <c r="A2373" s="41">
        <f>IF(C2373="","",SUBTOTAL(103,$C$2:C2373))</f>
        <v>2364</v>
      </c>
      <c r="B2373" s="41">
        <v>10301</v>
      </c>
      <c r="C2373" s="41">
        <v>6144</v>
      </c>
      <c r="D2373" s="41" t="s">
        <v>45</v>
      </c>
      <c r="E2373" s="41" t="s">
        <v>1298</v>
      </c>
      <c r="F2373" s="41" t="s">
        <v>7272</v>
      </c>
      <c r="G2373" s="41" t="s">
        <v>7336</v>
      </c>
      <c r="H2373" s="41" t="s">
        <v>7337</v>
      </c>
      <c r="I2373" s="43">
        <v>12</v>
      </c>
      <c r="J2373" s="44" t="str">
        <f>VLOOKUP(G2373,[1]硬件清单!$F:$F,1,0)</f>
        <v>CNG230S99H</v>
      </c>
      <c r="K2373" s="43"/>
      <c r="L2373" s="44"/>
      <c r="M2373" s="45" t="s">
        <v>7338</v>
      </c>
    </row>
    <row r="2374" s="26" customFormat="1" ht="30" customHeight="1" spans="1:13">
      <c r="A2374" s="41">
        <f>IF(C2374="","",SUBTOTAL(103,$C$2:C2374))</f>
        <v>2365</v>
      </c>
      <c r="B2374" s="41">
        <v>10302</v>
      </c>
      <c r="C2374" s="41">
        <v>6145</v>
      </c>
      <c r="D2374" s="41" t="s">
        <v>45</v>
      </c>
      <c r="E2374" s="41" t="s">
        <v>1298</v>
      </c>
      <c r="F2374" s="41" t="s">
        <v>7272</v>
      </c>
      <c r="G2374" s="41" t="s">
        <v>7339</v>
      </c>
      <c r="H2374" s="41" t="s">
        <v>7340</v>
      </c>
      <c r="I2374" s="43">
        <v>12</v>
      </c>
      <c r="J2374" s="44" t="str">
        <f>VLOOKUP(G2374,[1]硬件清单!$F:$F,1,0)</f>
        <v>CNG230S97R</v>
      </c>
      <c r="K2374" s="43"/>
      <c r="L2374" s="44"/>
      <c r="M2374" s="45" t="s">
        <v>7341</v>
      </c>
    </row>
    <row r="2375" s="26" customFormat="1" ht="30" customHeight="1" spans="1:13">
      <c r="A2375" s="41">
        <f>IF(C2375="","",SUBTOTAL(103,$C$2:C2375))</f>
        <v>2366</v>
      </c>
      <c r="B2375" s="41">
        <v>10303</v>
      </c>
      <c r="C2375" s="41">
        <v>6146</v>
      </c>
      <c r="D2375" s="41" t="s">
        <v>45</v>
      </c>
      <c r="E2375" s="41" t="s">
        <v>1298</v>
      </c>
      <c r="F2375" s="41" t="s">
        <v>7272</v>
      </c>
      <c r="G2375" s="41" t="s">
        <v>7342</v>
      </c>
      <c r="H2375" s="41" t="s">
        <v>7343</v>
      </c>
      <c r="I2375" s="43">
        <v>12</v>
      </c>
      <c r="J2375" s="44" t="str">
        <f>VLOOKUP(G2375,[1]硬件清单!$F:$F,1,0)</f>
        <v>CNG230S96N</v>
      </c>
      <c r="K2375" s="43"/>
      <c r="L2375" s="44"/>
      <c r="M2375" s="45" t="s">
        <v>7344</v>
      </c>
    </row>
    <row r="2376" s="26" customFormat="1" ht="30" customHeight="1" spans="1:13">
      <c r="A2376" s="41">
        <f>IF(C2376="","",SUBTOTAL(103,$C$2:C2376))</f>
        <v>2367</v>
      </c>
      <c r="B2376" s="41">
        <v>10304</v>
      </c>
      <c r="C2376" s="41">
        <v>6132</v>
      </c>
      <c r="D2376" s="41" t="s">
        <v>45</v>
      </c>
      <c r="E2376" s="41" t="s">
        <v>1298</v>
      </c>
      <c r="F2376" s="41" t="s">
        <v>7272</v>
      </c>
      <c r="G2376" s="41" t="s">
        <v>7345</v>
      </c>
      <c r="H2376" s="41" t="s">
        <v>7346</v>
      </c>
      <c r="I2376" s="43">
        <v>12</v>
      </c>
      <c r="J2376" s="44" t="str">
        <f>VLOOKUP(G2376,[1]硬件清单!$F:$F,1,0)</f>
        <v>CNG230S96G</v>
      </c>
      <c r="K2376" s="43"/>
      <c r="L2376" s="44"/>
      <c r="M2376" s="45" t="s">
        <v>7347</v>
      </c>
    </row>
    <row r="2377" s="26" customFormat="1" ht="30" customHeight="1" spans="1:13">
      <c r="A2377" s="41">
        <f>IF(C2377="","",SUBTOTAL(103,$C$2:C2377))</f>
        <v>2368</v>
      </c>
      <c r="B2377" s="41">
        <v>10305</v>
      </c>
      <c r="C2377" s="41">
        <v>6133</v>
      </c>
      <c r="D2377" s="41" t="s">
        <v>45</v>
      </c>
      <c r="E2377" s="41" t="s">
        <v>1298</v>
      </c>
      <c r="F2377" s="41" t="s">
        <v>7272</v>
      </c>
      <c r="G2377" s="41" t="s">
        <v>7348</v>
      </c>
      <c r="H2377" s="41" t="s">
        <v>7349</v>
      </c>
      <c r="I2377" s="43">
        <v>12</v>
      </c>
      <c r="J2377" s="44" t="str">
        <f>VLOOKUP(G2377,[1]硬件清单!$F:$F,1,0)</f>
        <v>CNG230S9BD</v>
      </c>
      <c r="K2377" s="43"/>
      <c r="L2377" s="44"/>
      <c r="M2377" s="45" t="s">
        <v>7350</v>
      </c>
    </row>
    <row r="2378" s="26" customFormat="1" ht="30" customHeight="1" spans="1:13">
      <c r="A2378" s="41">
        <f>IF(C2378="","",SUBTOTAL(103,$C$2:C2378))</f>
        <v>2369</v>
      </c>
      <c r="B2378" s="41">
        <v>10306</v>
      </c>
      <c r="C2378" s="41">
        <v>6134</v>
      </c>
      <c r="D2378" s="41" t="s">
        <v>45</v>
      </c>
      <c r="E2378" s="41" t="s">
        <v>1298</v>
      </c>
      <c r="F2378" s="41" t="s">
        <v>7272</v>
      </c>
      <c r="G2378" s="41" t="s">
        <v>7351</v>
      </c>
      <c r="H2378" s="41" t="s">
        <v>7352</v>
      </c>
      <c r="I2378" s="43">
        <v>12</v>
      </c>
      <c r="J2378" s="44" t="str">
        <f>VLOOKUP(G2378,[1]硬件清单!$F:$F,1,0)</f>
        <v>CNG230S97C</v>
      </c>
      <c r="K2378" s="43"/>
      <c r="L2378" s="44"/>
      <c r="M2378" s="45" t="s">
        <v>7353</v>
      </c>
    </row>
    <row r="2379" s="26" customFormat="1" ht="30" customHeight="1" spans="1:13">
      <c r="A2379" s="41">
        <f>IF(C2379="","",SUBTOTAL(103,$C$2:C2379))</f>
        <v>2370</v>
      </c>
      <c r="B2379" s="41">
        <v>10307</v>
      </c>
      <c r="C2379" s="41">
        <v>6135</v>
      </c>
      <c r="D2379" s="41" t="s">
        <v>45</v>
      </c>
      <c r="E2379" s="41" t="s">
        <v>1298</v>
      </c>
      <c r="F2379" s="41" t="s">
        <v>7272</v>
      </c>
      <c r="G2379" s="41" t="s">
        <v>7354</v>
      </c>
      <c r="H2379" s="41" t="s">
        <v>7355</v>
      </c>
      <c r="I2379" s="43">
        <v>12</v>
      </c>
      <c r="J2379" s="44" t="str">
        <f>VLOOKUP(G2379,[1]硬件清单!$F:$F,1,0)</f>
        <v>CNG230S988</v>
      </c>
      <c r="K2379" s="43"/>
      <c r="L2379" s="44"/>
      <c r="M2379" s="45" t="s">
        <v>7356</v>
      </c>
    </row>
    <row r="2380" s="26" customFormat="1" ht="30" customHeight="1" spans="1:13">
      <c r="A2380" s="41">
        <f>IF(C2380="","",SUBTOTAL(103,$C$2:C2380))</f>
        <v>2371</v>
      </c>
      <c r="B2380" s="41">
        <v>10308</v>
      </c>
      <c r="C2380" s="41">
        <v>6136</v>
      </c>
      <c r="D2380" s="41" t="s">
        <v>45</v>
      </c>
      <c r="E2380" s="41" t="s">
        <v>1298</v>
      </c>
      <c r="F2380" s="41" t="s">
        <v>7272</v>
      </c>
      <c r="G2380" s="41" t="s">
        <v>7357</v>
      </c>
      <c r="H2380" s="41" t="s">
        <v>7358</v>
      </c>
      <c r="I2380" s="43">
        <v>12</v>
      </c>
      <c r="J2380" s="44" t="str">
        <f>VLOOKUP(G2380,[1]硬件清单!$F:$F,1,0)</f>
        <v>CNG230S96X</v>
      </c>
      <c r="K2380" s="43"/>
      <c r="L2380" s="44"/>
      <c r="M2380" s="45" t="s">
        <v>7359</v>
      </c>
    </row>
    <row r="2381" s="26" customFormat="1" ht="30" customHeight="1" spans="1:13">
      <c r="A2381" s="41">
        <f>IF(C2381="","",SUBTOTAL(103,$C$2:C2381))</f>
        <v>2372</v>
      </c>
      <c r="B2381" s="41">
        <v>10309</v>
      </c>
      <c r="C2381" s="41">
        <v>6137</v>
      </c>
      <c r="D2381" s="41" t="s">
        <v>45</v>
      </c>
      <c r="E2381" s="41" t="s">
        <v>1298</v>
      </c>
      <c r="F2381" s="41" t="s">
        <v>7272</v>
      </c>
      <c r="G2381" s="41" t="s">
        <v>7360</v>
      </c>
      <c r="H2381" s="41" t="s">
        <v>7361</v>
      </c>
      <c r="I2381" s="43">
        <v>12</v>
      </c>
      <c r="J2381" s="44" t="str">
        <f>VLOOKUP(G2381,[1]硬件清单!$F:$F,1,0)</f>
        <v>CNG230S9B4</v>
      </c>
      <c r="K2381" s="43"/>
      <c r="L2381" s="44"/>
      <c r="M2381" s="45" t="s">
        <v>7362</v>
      </c>
    </row>
    <row r="2382" s="26" customFormat="1" ht="30" customHeight="1" spans="1:13">
      <c r="A2382" s="41">
        <f>IF(C2382="","",SUBTOTAL(103,$C$2:C2382))</f>
        <v>2373</v>
      </c>
      <c r="B2382" s="41">
        <v>10310</v>
      </c>
      <c r="C2382" s="41">
        <v>6138</v>
      </c>
      <c r="D2382" s="41" t="s">
        <v>45</v>
      </c>
      <c r="E2382" s="41" t="s">
        <v>1298</v>
      </c>
      <c r="F2382" s="41" t="s">
        <v>7272</v>
      </c>
      <c r="G2382" s="41" t="s">
        <v>7363</v>
      </c>
      <c r="H2382" s="41" t="s">
        <v>7364</v>
      </c>
      <c r="I2382" s="43">
        <v>12</v>
      </c>
      <c r="J2382" s="44" t="str">
        <f>VLOOKUP(G2382,[1]硬件清单!$F:$F,1,0)</f>
        <v>CNG230S98D</v>
      </c>
      <c r="K2382" s="43"/>
      <c r="L2382" s="44"/>
      <c r="M2382" s="45" t="s">
        <v>7365</v>
      </c>
    </row>
    <row r="2383" s="26" customFormat="1" ht="30" customHeight="1" spans="1:13">
      <c r="A2383" s="41">
        <f>IF(C2383="","",SUBTOTAL(103,$C$2:C2383))</f>
        <v>2374</v>
      </c>
      <c r="B2383" s="41">
        <v>10311</v>
      </c>
      <c r="C2383" s="41">
        <v>6139</v>
      </c>
      <c r="D2383" s="41" t="s">
        <v>45</v>
      </c>
      <c r="E2383" s="41" t="s">
        <v>1298</v>
      </c>
      <c r="F2383" s="41" t="s">
        <v>7272</v>
      </c>
      <c r="G2383" s="41" t="s">
        <v>7366</v>
      </c>
      <c r="H2383" s="41" t="s">
        <v>7367</v>
      </c>
      <c r="I2383" s="43">
        <v>12</v>
      </c>
      <c r="J2383" s="44" t="str">
        <f>VLOOKUP(G2383,[1]硬件清单!$F:$F,1,0)</f>
        <v>CNG230S96Z</v>
      </c>
      <c r="K2383" s="43"/>
      <c r="L2383" s="44"/>
      <c r="M2383" s="45" t="s">
        <v>7368</v>
      </c>
    </row>
    <row r="2384" s="26" customFormat="1" ht="30" customHeight="1" spans="1:13">
      <c r="A2384" s="41">
        <f>IF(C2384="","",SUBTOTAL(103,$C$2:C2384))</f>
        <v>2375</v>
      </c>
      <c r="B2384" s="41">
        <v>10312</v>
      </c>
      <c r="C2384" s="41">
        <v>6197</v>
      </c>
      <c r="D2384" s="41" t="s">
        <v>45</v>
      </c>
      <c r="E2384" s="41" t="s">
        <v>1298</v>
      </c>
      <c r="F2384" s="41" t="s">
        <v>7272</v>
      </c>
      <c r="G2384" s="41" t="s">
        <v>7369</v>
      </c>
      <c r="H2384" s="41" t="s">
        <v>7370</v>
      </c>
      <c r="I2384" s="43">
        <v>12</v>
      </c>
      <c r="J2384" s="44" t="str">
        <f>VLOOKUP(G2384,[1]硬件清单!$F:$F,1,0)</f>
        <v>CNG230S9N8</v>
      </c>
      <c r="K2384" s="43"/>
      <c r="L2384" s="44"/>
      <c r="M2384" s="45" t="s">
        <v>7371</v>
      </c>
    </row>
    <row r="2385" s="26" customFormat="1" ht="30" customHeight="1" spans="1:13">
      <c r="A2385" s="41">
        <f>IF(C2385="","",SUBTOTAL(103,$C$2:C2385))</f>
        <v>2376</v>
      </c>
      <c r="B2385" s="41">
        <v>10313</v>
      </c>
      <c r="C2385" s="41">
        <v>6206</v>
      </c>
      <c r="D2385" s="41" t="s">
        <v>45</v>
      </c>
      <c r="E2385" s="41" t="s">
        <v>1298</v>
      </c>
      <c r="F2385" s="41" t="s">
        <v>7272</v>
      </c>
      <c r="G2385" s="41" t="s">
        <v>7372</v>
      </c>
      <c r="H2385" s="41" t="s">
        <v>7373</v>
      </c>
      <c r="I2385" s="43">
        <v>12</v>
      </c>
      <c r="J2385" s="44" t="str">
        <f>VLOOKUP(G2385,[1]硬件清单!$F:$F,1,0)</f>
        <v>CNG230S9KP</v>
      </c>
      <c r="K2385" s="43"/>
      <c r="L2385" s="44"/>
      <c r="M2385" s="45" t="s">
        <v>7374</v>
      </c>
    </row>
    <row r="2386" s="26" customFormat="1" ht="30" customHeight="1" spans="1:13">
      <c r="A2386" s="41">
        <f>IF(C2386="","",SUBTOTAL(103,$C$2:C2386))</f>
        <v>2377</v>
      </c>
      <c r="B2386" s="41">
        <v>10314</v>
      </c>
      <c r="C2386" s="41">
        <v>6207</v>
      </c>
      <c r="D2386" s="41" t="s">
        <v>45</v>
      </c>
      <c r="E2386" s="41" t="s">
        <v>1298</v>
      </c>
      <c r="F2386" s="41" t="s">
        <v>7272</v>
      </c>
      <c r="G2386" s="41" t="s">
        <v>7375</v>
      </c>
      <c r="H2386" s="41" t="s">
        <v>7376</v>
      </c>
      <c r="I2386" s="43">
        <v>12</v>
      </c>
      <c r="J2386" s="44" t="str">
        <f>VLOOKUP(G2386,[1]硬件清单!$F:$F,1,0)</f>
        <v>CNG230S9KW</v>
      </c>
      <c r="K2386" s="43"/>
      <c r="L2386" s="44"/>
      <c r="M2386" s="45" t="s">
        <v>7377</v>
      </c>
    </row>
    <row r="2387" s="26" customFormat="1" ht="30" customHeight="1" spans="1:13">
      <c r="A2387" s="41">
        <f>IF(C2387="","",SUBTOTAL(103,$C$2:C2387))</f>
        <v>2378</v>
      </c>
      <c r="B2387" s="41">
        <v>10315</v>
      </c>
      <c r="C2387" s="41">
        <v>6208</v>
      </c>
      <c r="D2387" s="41" t="s">
        <v>45</v>
      </c>
      <c r="E2387" s="41" t="s">
        <v>1298</v>
      </c>
      <c r="F2387" s="41" t="s">
        <v>7272</v>
      </c>
      <c r="G2387" s="41" t="s">
        <v>7378</v>
      </c>
      <c r="H2387" s="41" t="s">
        <v>7379</v>
      </c>
      <c r="I2387" s="43">
        <v>12</v>
      </c>
      <c r="J2387" s="44" t="str">
        <f>VLOOKUP(G2387,[1]硬件清单!$F:$F,1,0)</f>
        <v>CNG230S9J2</v>
      </c>
      <c r="K2387" s="43"/>
      <c r="L2387" s="44"/>
      <c r="M2387" s="45" t="s">
        <v>7380</v>
      </c>
    </row>
    <row r="2388" s="26" customFormat="1" ht="30" customHeight="1" spans="1:13">
      <c r="A2388" s="41">
        <f>IF(C2388="","",SUBTOTAL(103,$C$2:C2388))</f>
        <v>2379</v>
      </c>
      <c r="B2388" s="41">
        <v>10316</v>
      </c>
      <c r="C2388" s="41">
        <v>6209</v>
      </c>
      <c r="D2388" s="41" t="s">
        <v>45</v>
      </c>
      <c r="E2388" s="41" t="s">
        <v>1298</v>
      </c>
      <c r="F2388" s="41" t="s">
        <v>7272</v>
      </c>
      <c r="G2388" s="41" t="s">
        <v>7381</v>
      </c>
      <c r="H2388" s="41" t="s">
        <v>7382</v>
      </c>
      <c r="I2388" s="43">
        <v>12</v>
      </c>
      <c r="J2388" s="44" t="str">
        <f>VLOOKUP(G2388,[1]硬件清单!$F:$F,1,0)</f>
        <v>CNG230S9ND</v>
      </c>
      <c r="K2388" s="43"/>
      <c r="L2388" s="44"/>
      <c r="M2388" s="45" t="s">
        <v>7383</v>
      </c>
    </row>
    <row r="2389" s="26" customFormat="1" ht="30" customHeight="1" spans="1:13">
      <c r="A2389" s="41">
        <f>IF(C2389="","",SUBTOTAL(103,$C$2:C2389))</f>
        <v>2380</v>
      </c>
      <c r="B2389" s="41">
        <v>10317</v>
      </c>
      <c r="C2389" s="41">
        <v>6210</v>
      </c>
      <c r="D2389" s="41" t="s">
        <v>45</v>
      </c>
      <c r="E2389" s="41" t="s">
        <v>1298</v>
      </c>
      <c r="F2389" s="41" t="s">
        <v>7272</v>
      </c>
      <c r="G2389" s="41" t="s">
        <v>7384</v>
      </c>
      <c r="H2389" s="41" t="s">
        <v>7385</v>
      </c>
      <c r="I2389" s="43">
        <v>12</v>
      </c>
      <c r="J2389" s="44" t="str">
        <f>VLOOKUP(G2389,[1]硬件清单!$F:$F,1,0)</f>
        <v>CNG230S9M9</v>
      </c>
      <c r="K2389" s="43"/>
      <c r="L2389" s="44"/>
      <c r="M2389" s="45" t="s">
        <v>7386</v>
      </c>
    </row>
    <row r="2390" s="26" customFormat="1" ht="30" customHeight="1" spans="1:13">
      <c r="A2390" s="41">
        <f>IF(C2390="","",SUBTOTAL(103,$C$2:C2390))</f>
        <v>2381</v>
      </c>
      <c r="B2390" s="41">
        <v>10318</v>
      </c>
      <c r="C2390" s="41">
        <v>6211</v>
      </c>
      <c r="D2390" s="41" t="s">
        <v>45</v>
      </c>
      <c r="E2390" s="41" t="s">
        <v>1298</v>
      </c>
      <c r="F2390" s="41" t="s">
        <v>7272</v>
      </c>
      <c r="G2390" s="41" t="s">
        <v>7387</v>
      </c>
      <c r="H2390" s="41" t="s">
        <v>7388</v>
      </c>
      <c r="I2390" s="43">
        <v>12</v>
      </c>
      <c r="J2390" s="44" t="str">
        <f>VLOOKUP(G2390,[1]硬件清单!$F:$F,1,0)</f>
        <v>CNG230S9JV</v>
      </c>
      <c r="K2390" s="43"/>
      <c r="L2390" s="44"/>
      <c r="M2390" s="45" t="s">
        <v>7389</v>
      </c>
    </row>
    <row r="2391" s="26" customFormat="1" ht="30" customHeight="1" spans="1:13">
      <c r="A2391" s="41">
        <f>IF(C2391="","",SUBTOTAL(103,$C$2:C2391))</f>
        <v>2382</v>
      </c>
      <c r="B2391" s="41">
        <v>10319</v>
      </c>
      <c r="C2391" s="41">
        <v>6212</v>
      </c>
      <c r="D2391" s="41" t="s">
        <v>45</v>
      </c>
      <c r="E2391" s="41" t="s">
        <v>1298</v>
      </c>
      <c r="F2391" s="41" t="s">
        <v>7272</v>
      </c>
      <c r="G2391" s="41" t="s">
        <v>7390</v>
      </c>
      <c r="H2391" s="41" t="s">
        <v>7391</v>
      </c>
      <c r="I2391" s="43">
        <v>12</v>
      </c>
      <c r="J2391" s="44" t="str">
        <f>VLOOKUP(G2391,[1]硬件清单!$F:$F,1,0)</f>
        <v>CNG230S9N4</v>
      </c>
      <c r="K2391" s="43"/>
      <c r="L2391" s="44"/>
      <c r="M2391" s="45" t="s">
        <v>7392</v>
      </c>
    </row>
    <row r="2392" s="26" customFormat="1" ht="30" customHeight="1" spans="1:13">
      <c r="A2392" s="41">
        <f>IF(C2392="","",SUBTOTAL(103,$C$2:C2392))</f>
        <v>2383</v>
      </c>
      <c r="B2392" s="41">
        <v>10320</v>
      </c>
      <c r="C2392" s="41">
        <v>6198</v>
      </c>
      <c r="D2392" s="41" t="s">
        <v>45</v>
      </c>
      <c r="E2392" s="41" t="s">
        <v>1298</v>
      </c>
      <c r="F2392" s="41" t="s">
        <v>7272</v>
      </c>
      <c r="G2392" s="41" t="s">
        <v>7393</v>
      </c>
      <c r="H2392" s="41" t="s">
        <v>7394</v>
      </c>
      <c r="I2392" s="43">
        <v>12</v>
      </c>
      <c r="J2392" s="44" t="str">
        <f>VLOOKUP(G2392,[1]硬件清单!$F:$F,1,0)</f>
        <v>CNG230S9NZ</v>
      </c>
      <c r="K2392" s="43"/>
      <c r="L2392" s="44"/>
      <c r="M2392" s="45" t="s">
        <v>7395</v>
      </c>
    </row>
    <row r="2393" s="26" customFormat="1" ht="30" customHeight="1" spans="1:13">
      <c r="A2393" s="41">
        <f>IF(C2393="","",SUBTOTAL(103,$C$2:C2393))</f>
        <v>2384</v>
      </c>
      <c r="B2393" s="41">
        <v>10321</v>
      </c>
      <c r="C2393" s="41">
        <v>6199</v>
      </c>
      <c r="D2393" s="41" t="s">
        <v>45</v>
      </c>
      <c r="E2393" s="41" t="s">
        <v>1298</v>
      </c>
      <c r="F2393" s="41" t="s">
        <v>7272</v>
      </c>
      <c r="G2393" s="41" t="s">
        <v>7396</v>
      </c>
      <c r="H2393" s="41" t="s">
        <v>7397</v>
      </c>
      <c r="I2393" s="43">
        <v>12</v>
      </c>
      <c r="J2393" s="44" t="str">
        <f>VLOOKUP(G2393,[1]硬件清单!$F:$F,1,0)</f>
        <v>CNG230S9KF</v>
      </c>
      <c r="K2393" s="43"/>
      <c r="L2393" s="44"/>
      <c r="M2393" s="45" t="s">
        <v>7398</v>
      </c>
    </row>
    <row r="2394" s="26" customFormat="1" ht="30" customHeight="1" spans="1:13">
      <c r="A2394" s="41">
        <f>IF(C2394="","",SUBTOTAL(103,$C$2:C2394))</f>
        <v>2385</v>
      </c>
      <c r="B2394" s="41">
        <v>10322</v>
      </c>
      <c r="C2394" s="41">
        <v>6200</v>
      </c>
      <c r="D2394" s="41" t="s">
        <v>45</v>
      </c>
      <c r="E2394" s="41" t="s">
        <v>1298</v>
      </c>
      <c r="F2394" s="41" t="s">
        <v>7272</v>
      </c>
      <c r="G2394" s="41" t="s">
        <v>7399</v>
      </c>
      <c r="H2394" s="41" t="s">
        <v>7400</v>
      </c>
      <c r="I2394" s="43">
        <v>12</v>
      </c>
      <c r="J2394" s="44" t="str">
        <f>VLOOKUP(G2394,[1]硬件清单!$F:$F,1,0)</f>
        <v>CNG230S9GN</v>
      </c>
      <c r="K2394" s="43"/>
      <c r="L2394" s="44"/>
      <c r="M2394" s="45" t="s">
        <v>7401</v>
      </c>
    </row>
    <row r="2395" s="26" customFormat="1" ht="30" customHeight="1" spans="1:13">
      <c r="A2395" s="41">
        <f>IF(C2395="","",SUBTOTAL(103,$C$2:C2395))</f>
        <v>2386</v>
      </c>
      <c r="B2395" s="41">
        <v>10323</v>
      </c>
      <c r="C2395" s="41">
        <v>6201</v>
      </c>
      <c r="D2395" s="41" t="s">
        <v>45</v>
      </c>
      <c r="E2395" s="41" t="s">
        <v>1298</v>
      </c>
      <c r="F2395" s="41" t="s">
        <v>7272</v>
      </c>
      <c r="G2395" s="41" t="s">
        <v>7402</v>
      </c>
      <c r="H2395" s="41" t="s">
        <v>7403</v>
      </c>
      <c r="I2395" s="43">
        <v>12</v>
      </c>
      <c r="J2395" s="44" t="str">
        <f>VLOOKUP(G2395,[1]硬件清单!$F:$F,1,0)</f>
        <v>CNG230S9N0</v>
      </c>
      <c r="K2395" s="43"/>
      <c r="L2395" s="44"/>
      <c r="M2395" s="45" t="s">
        <v>7404</v>
      </c>
    </row>
    <row r="2396" s="26" customFormat="1" ht="30" customHeight="1" spans="1:13">
      <c r="A2396" s="41">
        <f>IF(C2396="","",SUBTOTAL(103,$C$2:C2396))</f>
        <v>2387</v>
      </c>
      <c r="B2396" s="41">
        <v>10324</v>
      </c>
      <c r="C2396" s="41">
        <v>6202</v>
      </c>
      <c r="D2396" s="41" t="s">
        <v>45</v>
      </c>
      <c r="E2396" s="41" t="s">
        <v>1298</v>
      </c>
      <c r="F2396" s="41" t="s">
        <v>7272</v>
      </c>
      <c r="G2396" s="41" t="s">
        <v>7405</v>
      </c>
      <c r="H2396" s="41" t="s">
        <v>7406</v>
      </c>
      <c r="I2396" s="43">
        <v>12</v>
      </c>
      <c r="J2396" s="44" t="str">
        <f>VLOOKUP(G2396,[1]硬件清单!$F:$F,1,0)</f>
        <v>CNG230S9HH</v>
      </c>
      <c r="K2396" s="43"/>
      <c r="L2396" s="44"/>
      <c r="M2396" s="45" t="s">
        <v>7407</v>
      </c>
    </row>
    <row r="2397" s="26" customFormat="1" ht="30" customHeight="1" spans="1:13">
      <c r="A2397" s="41">
        <f>IF(C2397="","",SUBTOTAL(103,$C$2:C2397))</f>
        <v>2388</v>
      </c>
      <c r="B2397" s="41">
        <v>10325</v>
      </c>
      <c r="C2397" s="41">
        <v>6203</v>
      </c>
      <c r="D2397" s="41" t="s">
        <v>45</v>
      </c>
      <c r="E2397" s="41" t="s">
        <v>1298</v>
      </c>
      <c r="F2397" s="41" t="s">
        <v>7272</v>
      </c>
      <c r="G2397" s="41" t="s">
        <v>7408</v>
      </c>
      <c r="H2397" s="41" t="s">
        <v>7409</v>
      </c>
      <c r="I2397" s="43">
        <v>12</v>
      </c>
      <c r="J2397" s="44" t="str">
        <f>VLOOKUP(G2397,[1]硬件清单!$F:$F,1,0)</f>
        <v>CNG230S9HK</v>
      </c>
      <c r="K2397" s="43"/>
      <c r="L2397" s="44"/>
      <c r="M2397" s="45" t="s">
        <v>7410</v>
      </c>
    </row>
    <row r="2398" s="26" customFormat="1" ht="30" customHeight="1" spans="1:13">
      <c r="A2398" s="41">
        <f>IF(C2398="","",SUBTOTAL(103,$C$2:C2398))</f>
        <v>2389</v>
      </c>
      <c r="B2398" s="41">
        <v>10326</v>
      </c>
      <c r="C2398" s="41">
        <v>6204</v>
      </c>
      <c r="D2398" s="41" t="s">
        <v>45</v>
      </c>
      <c r="E2398" s="41" t="s">
        <v>1298</v>
      </c>
      <c r="F2398" s="41" t="s">
        <v>7272</v>
      </c>
      <c r="G2398" s="41" t="s">
        <v>7411</v>
      </c>
      <c r="H2398" s="41" t="s">
        <v>7412</v>
      </c>
      <c r="I2398" s="43">
        <v>12</v>
      </c>
      <c r="J2398" s="44" t="str">
        <f>VLOOKUP(G2398,[1]硬件清单!$F:$F,1,0)</f>
        <v>CNG230S9Q2</v>
      </c>
      <c r="K2398" s="43"/>
      <c r="L2398" s="44"/>
      <c r="M2398" s="45" t="s">
        <v>7413</v>
      </c>
    </row>
    <row r="2399" s="26" customFormat="1" ht="30" customHeight="1" spans="1:13">
      <c r="A2399" s="41">
        <f>IF(C2399="","",SUBTOTAL(103,$C$2:C2399))</f>
        <v>2390</v>
      </c>
      <c r="B2399" s="41">
        <v>10327</v>
      </c>
      <c r="C2399" s="41">
        <v>6205</v>
      </c>
      <c r="D2399" s="41" t="s">
        <v>45</v>
      </c>
      <c r="E2399" s="41" t="s">
        <v>1298</v>
      </c>
      <c r="F2399" s="41" t="s">
        <v>7272</v>
      </c>
      <c r="G2399" s="41" t="s">
        <v>7414</v>
      </c>
      <c r="H2399" s="41" t="s">
        <v>7415</v>
      </c>
      <c r="I2399" s="43">
        <v>12</v>
      </c>
      <c r="J2399" s="44" t="str">
        <f>VLOOKUP(G2399,[1]硬件清单!$F:$F,1,0)</f>
        <v>CNG230S9NN</v>
      </c>
      <c r="K2399" s="43"/>
      <c r="L2399" s="44"/>
      <c r="M2399" s="45" t="s">
        <v>7416</v>
      </c>
    </row>
    <row r="2400" s="26" customFormat="1" ht="30" customHeight="1" spans="1:13">
      <c r="A2400" s="41">
        <f>IF(C2400="","",SUBTOTAL(103,$C$2:C2400))</f>
        <v>2391</v>
      </c>
      <c r="B2400" s="41">
        <v>10328</v>
      </c>
      <c r="C2400" s="41">
        <v>6213</v>
      </c>
      <c r="D2400" s="41" t="s">
        <v>45</v>
      </c>
      <c r="E2400" s="41" t="s">
        <v>1298</v>
      </c>
      <c r="F2400" s="41" t="s">
        <v>7272</v>
      </c>
      <c r="G2400" s="41" t="s">
        <v>7417</v>
      </c>
      <c r="H2400" s="41" t="s">
        <v>7418</v>
      </c>
      <c r="I2400" s="43">
        <v>12</v>
      </c>
      <c r="J2400" s="44" t="str">
        <f>VLOOKUP(G2400,[1]硬件清单!$F:$F,1,0)</f>
        <v>CNG230S9P3</v>
      </c>
      <c r="K2400" s="43"/>
      <c r="L2400" s="44"/>
      <c r="M2400" s="45" t="s">
        <v>7419</v>
      </c>
    </row>
    <row r="2401" s="26" customFormat="1" ht="30" customHeight="1" spans="1:13">
      <c r="A2401" s="41">
        <f>IF(C2401="","",SUBTOTAL(103,$C$2:C2401))</f>
        <v>2392</v>
      </c>
      <c r="B2401" s="41">
        <v>10329</v>
      </c>
      <c r="C2401" s="41">
        <v>6222</v>
      </c>
      <c r="D2401" s="41" t="s">
        <v>45</v>
      </c>
      <c r="E2401" s="41" t="s">
        <v>1298</v>
      </c>
      <c r="F2401" s="41" t="s">
        <v>7272</v>
      </c>
      <c r="G2401" s="41" t="s">
        <v>7420</v>
      </c>
      <c r="H2401" s="41" t="s">
        <v>7421</v>
      </c>
      <c r="I2401" s="43">
        <v>12</v>
      </c>
      <c r="J2401" s="44" t="str">
        <f>VLOOKUP(G2401,[1]硬件清单!$F:$F,1,0)</f>
        <v>CNG230S9MR</v>
      </c>
      <c r="K2401" s="43"/>
      <c r="L2401" s="44"/>
      <c r="M2401" s="45" t="s">
        <v>7422</v>
      </c>
    </row>
    <row r="2402" s="26" customFormat="1" ht="30" customHeight="1" spans="1:13">
      <c r="A2402" s="41">
        <f>IF(C2402="","",SUBTOTAL(103,$C$2:C2402))</f>
        <v>2393</v>
      </c>
      <c r="B2402" s="41">
        <v>10330</v>
      </c>
      <c r="C2402" s="41">
        <v>6223</v>
      </c>
      <c r="D2402" s="41" t="s">
        <v>45</v>
      </c>
      <c r="E2402" s="41" t="s">
        <v>1298</v>
      </c>
      <c r="F2402" s="41" t="s">
        <v>7272</v>
      </c>
      <c r="G2402" s="41" t="s">
        <v>7423</v>
      </c>
      <c r="H2402" s="41" t="s">
        <v>7424</v>
      </c>
      <c r="I2402" s="43">
        <v>12</v>
      </c>
      <c r="J2402" s="44" t="str">
        <f>VLOOKUP(G2402,[1]硬件清单!$F:$F,1,0)</f>
        <v>CNG230S9QJ</v>
      </c>
      <c r="K2402" s="43"/>
      <c r="L2402" s="44"/>
      <c r="M2402" s="45" t="s">
        <v>7425</v>
      </c>
    </row>
    <row r="2403" s="26" customFormat="1" ht="30" customHeight="1" spans="1:13">
      <c r="A2403" s="41">
        <f>IF(C2403="","",SUBTOTAL(103,$C$2:C2403))</f>
        <v>2394</v>
      </c>
      <c r="B2403" s="41">
        <v>10331</v>
      </c>
      <c r="C2403" s="41">
        <v>6224</v>
      </c>
      <c r="D2403" s="41" t="s">
        <v>45</v>
      </c>
      <c r="E2403" s="41" t="s">
        <v>1298</v>
      </c>
      <c r="F2403" s="41" t="s">
        <v>7272</v>
      </c>
      <c r="G2403" s="41" t="s">
        <v>7426</v>
      </c>
      <c r="H2403" s="41" t="s">
        <v>7427</v>
      </c>
      <c r="I2403" s="43">
        <v>12</v>
      </c>
      <c r="J2403" s="44" t="str">
        <f>VLOOKUP(G2403,[1]硬件清单!$F:$F,1,0)</f>
        <v>CNG230S9LN</v>
      </c>
      <c r="K2403" s="43"/>
      <c r="L2403" s="44"/>
      <c r="M2403" s="45" t="s">
        <v>7428</v>
      </c>
    </row>
    <row r="2404" s="26" customFormat="1" ht="30" customHeight="1" spans="1:13">
      <c r="A2404" s="41">
        <f>IF(C2404="","",SUBTOTAL(103,$C$2:C2404))</f>
        <v>2395</v>
      </c>
      <c r="B2404" s="41">
        <v>10332</v>
      </c>
      <c r="C2404" s="41">
        <v>6225</v>
      </c>
      <c r="D2404" s="41" t="s">
        <v>45</v>
      </c>
      <c r="E2404" s="41" t="s">
        <v>1298</v>
      </c>
      <c r="F2404" s="41" t="s">
        <v>7272</v>
      </c>
      <c r="G2404" s="41" t="s">
        <v>7429</v>
      </c>
      <c r="H2404" s="41" t="s">
        <v>7430</v>
      </c>
      <c r="I2404" s="43">
        <v>12</v>
      </c>
      <c r="J2404" s="44" t="str">
        <f>VLOOKUP(G2404,[1]硬件清单!$F:$F,1,0)</f>
        <v>CNG230S9R7</v>
      </c>
      <c r="K2404" s="43"/>
      <c r="L2404" s="44"/>
      <c r="M2404" s="45" t="s">
        <v>7431</v>
      </c>
    </row>
    <row r="2405" s="26" customFormat="1" ht="30" customHeight="1" spans="1:13">
      <c r="A2405" s="41">
        <f>IF(C2405="","",SUBTOTAL(103,$C$2:C2405))</f>
        <v>2396</v>
      </c>
      <c r="B2405" s="41">
        <v>10333</v>
      </c>
      <c r="C2405" s="46">
        <v>6226</v>
      </c>
      <c r="D2405" s="46" t="s">
        <v>45</v>
      </c>
      <c r="E2405" s="46" t="s">
        <v>1298</v>
      </c>
      <c r="F2405" s="46" t="s">
        <v>7272</v>
      </c>
      <c r="G2405" s="41" t="s">
        <v>7432</v>
      </c>
      <c r="H2405" s="41" t="s">
        <v>7433</v>
      </c>
      <c r="I2405" s="43">
        <v>12</v>
      </c>
      <c r="J2405" s="44" t="str">
        <f>VLOOKUP(G2405,[1]硬件清单!$F:$F,1,0)</f>
        <v>CNG230S9LX</v>
      </c>
      <c r="K2405" s="43"/>
      <c r="L2405" s="44"/>
      <c r="M2405" s="45" t="s">
        <v>7434</v>
      </c>
    </row>
    <row r="2406" s="26" customFormat="1" ht="30" customHeight="1" spans="1:13">
      <c r="A2406" s="41">
        <f>IF(C2406="","",SUBTOTAL(103,$C$2:C2406))</f>
        <v>2397</v>
      </c>
      <c r="B2406" s="41">
        <v>10334</v>
      </c>
      <c r="C2406" s="41">
        <v>6227</v>
      </c>
      <c r="D2406" s="41" t="s">
        <v>45</v>
      </c>
      <c r="E2406" s="41" t="s">
        <v>1298</v>
      </c>
      <c r="F2406" s="41" t="s">
        <v>7272</v>
      </c>
      <c r="G2406" s="41" t="s">
        <v>7435</v>
      </c>
      <c r="H2406" s="41" t="s">
        <v>7436</v>
      </c>
      <c r="I2406" s="43">
        <v>12</v>
      </c>
      <c r="J2406" s="44" t="str">
        <f>VLOOKUP(G2406,[1]硬件清单!$F:$F,1,0)</f>
        <v>CNG230S9N6</v>
      </c>
      <c r="K2406" s="43"/>
      <c r="L2406" s="44"/>
      <c r="M2406" s="45" t="s">
        <v>7437</v>
      </c>
    </row>
    <row r="2407" s="26" customFormat="1" ht="30" customHeight="1" spans="1:13">
      <c r="A2407" s="41">
        <f>IF(C2407="","",SUBTOTAL(103,$C$2:C2407))</f>
        <v>2398</v>
      </c>
      <c r="B2407" s="41">
        <v>10335</v>
      </c>
      <c r="C2407" s="41">
        <v>6228</v>
      </c>
      <c r="D2407" s="41" t="s">
        <v>45</v>
      </c>
      <c r="E2407" s="41" t="s">
        <v>1298</v>
      </c>
      <c r="F2407" s="41" t="s">
        <v>7272</v>
      </c>
      <c r="G2407" s="41" t="s">
        <v>7438</v>
      </c>
      <c r="H2407" s="41" t="s">
        <v>7439</v>
      </c>
      <c r="I2407" s="43">
        <v>12</v>
      </c>
      <c r="J2407" s="44" t="str">
        <f>VLOOKUP(G2407,[1]硬件清单!$F:$F,1,0)</f>
        <v>CNG230S9HC</v>
      </c>
      <c r="K2407" s="43"/>
      <c r="L2407" s="44"/>
      <c r="M2407" s="45" t="s">
        <v>7440</v>
      </c>
    </row>
    <row r="2408" s="26" customFormat="1" ht="30" customHeight="1" spans="1:13">
      <c r="A2408" s="41">
        <f>IF(C2408="","",SUBTOTAL(103,$C$2:C2408))</f>
        <v>2399</v>
      </c>
      <c r="B2408" s="41">
        <v>10336</v>
      </c>
      <c r="C2408" s="41">
        <v>6214</v>
      </c>
      <c r="D2408" s="41" t="s">
        <v>45</v>
      </c>
      <c r="E2408" s="41" t="s">
        <v>1298</v>
      </c>
      <c r="F2408" s="41" t="s">
        <v>7272</v>
      </c>
      <c r="G2408" s="41" t="s">
        <v>7441</v>
      </c>
      <c r="H2408" s="41" t="s">
        <v>7442</v>
      </c>
      <c r="I2408" s="43">
        <v>12</v>
      </c>
      <c r="J2408" s="44" t="str">
        <f>VLOOKUP(G2408,[1]硬件清单!$F:$F,1,0)</f>
        <v>CNG230S9GS</v>
      </c>
      <c r="K2408" s="43"/>
      <c r="L2408" s="44"/>
      <c r="M2408" s="45" t="s">
        <v>7443</v>
      </c>
    </row>
    <row r="2409" s="26" customFormat="1" ht="30" customHeight="1" spans="1:13">
      <c r="A2409" s="41">
        <f>IF(C2409="","",SUBTOTAL(103,$C$2:C2409))</f>
        <v>2400</v>
      </c>
      <c r="B2409" s="41">
        <v>10337</v>
      </c>
      <c r="C2409" s="41">
        <v>6215</v>
      </c>
      <c r="D2409" s="41" t="s">
        <v>45</v>
      </c>
      <c r="E2409" s="41" t="s">
        <v>1298</v>
      </c>
      <c r="F2409" s="41" t="s">
        <v>7272</v>
      </c>
      <c r="G2409" s="41" t="s">
        <v>7444</v>
      </c>
      <c r="H2409" s="41" t="s">
        <v>7445</v>
      </c>
      <c r="I2409" s="43">
        <v>12</v>
      </c>
      <c r="J2409" s="44" t="str">
        <f>VLOOKUP(G2409,[1]硬件清单!$F:$F,1,0)</f>
        <v>CNG230S9HW</v>
      </c>
      <c r="K2409" s="43"/>
      <c r="L2409" s="44"/>
      <c r="M2409" s="45" t="s">
        <v>7446</v>
      </c>
    </row>
    <row r="2410" s="26" customFormat="1" ht="30" customHeight="1" spans="1:13">
      <c r="A2410" s="41">
        <f>IF(C2410="","",SUBTOTAL(103,$C$2:C2410))</f>
        <v>2401</v>
      </c>
      <c r="B2410" s="41">
        <v>10338</v>
      </c>
      <c r="C2410" s="41">
        <v>6216</v>
      </c>
      <c r="D2410" s="41" t="s">
        <v>45</v>
      </c>
      <c r="E2410" s="41" t="s">
        <v>1298</v>
      </c>
      <c r="F2410" s="41" t="s">
        <v>7272</v>
      </c>
      <c r="G2410" s="41" t="s">
        <v>7447</v>
      </c>
      <c r="H2410" s="41" t="s">
        <v>7448</v>
      </c>
      <c r="I2410" s="43">
        <v>12</v>
      </c>
      <c r="J2410" s="44" t="str">
        <f>VLOOKUP(G2410,[1]硬件清单!$F:$F,1,0)</f>
        <v>CNG230S9L4</v>
      </c>
      <c r="K2410" s="43"/>
      <c r="L2410" s="44"/>
      <c r="M2410" s="45" t="s">
        <v>7449</v>
      </c>
    </row>
    <row r="2411" s="26" customFormat="1" ht="30" customHeight="1" spans="1:13">
      <c r="A2411" s="41">
        <f>IF(C2411="","",SUBTOTAL(103,$C$2:C2411))</f>
        <v>2402</v>
      </c>
      <c r="B2411" s="41">
        <v>10339</v>
      </c>
      <c r="C2411" s="41">
        <v>6217</v>
      </c>
      <c r="D2411" s="41" t="s">
        <v>45</v>
      </c>
      <c r="E2411" s="41" t="s">
        <v>1298</v>
      </c>
      <c r="F2411" s="41" t="s">
        <v>7272</v>
      </c>
      <c r="G2411" s="41" t="s">
        <v>7450</v>
      </c>
      <c r="H2411" s="41" t="s">
        <v>7451</v>
      </c>
      <c r="I2411" s="43">
        <v>12</v>
      </c>
      <c r="J2411" s="44" t="str">
        <f>VLOOKUP(G2411,[1]硬件清单!$F:$F,1,0)</f>
        <v>CNG230S9NJ</v>
      </c>
      <c r="K2411" s="43"/>
      <c r="L2411" s="44"/>
      <c r="M2411" s="45" t="s">
        <v>7452</v>
      </c>
    </row>
    <row r="2412" s="26" customFormat="1" ht="30" customHeight="1" spans="1:13">
      <c r="A2412" s="41">
        <f>IF(C2412="","",SUBTOTAL(103,$C$2:C2412))</f>
        <v>2403</v>
      </c>
      <c r="B2412" s="41">
        <v>10340</v>
      </c>
      <c r="C2412" s="41">
        <v>6218</v>
      </c>
      <c r="D2412" s="41" t="s">
        <v>45</v>
      </c>
      <c r="E2412" s="41" t="s">
        <v>1298</v>
      </c>
      <c r="F2412" s="41" t="s">
        <v>7272</v>
      </c>
      <c r="G2412" s="41" t="s">
        <v>7453</v>
      </c>
      <c r="H2412" s="41" t="s">
        <v>7454</v>
      </c>
      <c r="I2412" s="43">
        <v>12</v>
      </c>
      <c r="J2412" s="44" t="str">
        <f>VLOOKUP(G2412,[1]硬件清单!$F:$F,1,0)</f>
        <v>CNG230S9M5</v>
      </c>
      <c r="K2412" s="43"/>
      <c r="L2412" s="44"/>
      <c r="M2412" s="45" t="s">
        <v>7455</v>
      </c>
    </row>
    <row r="2413" s="26" customFormat="1" ht="30" customHeight="1" spans="1:13">
      <c r="A2413" s="41">
        <f>IF(C2413="","",SUBTOTAL(103,$C$2:C2413))</f>
        <v>2404</v>
      </c>
      <c r="B2413" s="41">
        <v>10341</v>
      </c>
      <c r="C2413" s="41">
        <v>6219</v>
      </c>
      <c r="D2413" s="41" t="s">
        <v>45</v>
      </c>
      <c r="E2413" s="41" t="s">
        <v>1298</v>
      </c>
      <c r="F2413" s="41" t="s">
        <v>7272</v>
      </c>
      <c r="G2413" s="41" t="s">
        <v>7456</v>
      </c>
      <c r="H2413" s="41" t="s">
        <v>7457</v>
      </c>
      <c r="I2413" s="43">
        <v>12</v>
      </c>
      <c r="J2413" s="44" t="str">
        <f>VLOOKUP(G2413,[1]硬件清单!$F:$F,1,0)</f>
        <v>CNG230S9MP</v>
      </c>
      <c r="K2413" s="43"/>
      <c r="L2413" s="44"/>
      <c r="M2413" s="45" t="s">
        <v>7458</v>
      </c>
    </row>
    <row r="2414" s="26" customFormat="1" ht="30" customHeight="1" spans="1:13">
      <c r="A2414" s="41">
        <f>IF(C2414="","",SUBTOTAL(103,$C$2:C2414))</f>
        <v>2405</v>
      </c>
      <c r="B2414" s="41">
        <v>10342</v>
      </c>
      <c r="C2414" s="41">
        <v>6220</v>
      </c>
      <c r="D2414" s="41" t="s">
        <v>45</v>
      </c>
      <c r="E2414" s="41" t="s">
        <v>1298</v>
      </c>
      <c r="F2414" s="41" t="s">
        <v>7272</v>
      </c>
      <c r="G2414" s="41" t="s">
        <v>7459</v>
      </c>
      <c r="H2414" s="41" t="s">
        <v>7460</v>
      </c>
      <c r="I2414" s="43">
        <v>12</v>
      </c>
      <c r="J2414" s="44" t="str">
        <f>VLOOKUP(G2414,[1]硬件清单!$F:$F,1,0)</f>
        <v>CNG230S9LS</v>
      </c>
      <c r="K2414" s="43"/>
      <c r="L2414" s="44"/>
      <c r="M2414" s="45" t="s">
        <v>7461</v>
      </c>
    </row>
    <row r="2415" s="26" customFormat="1" ht="30" customHeight="1" spans="1:13">
      <c r="A2415" s="41">
        <f>IF(C2415="","",SUBTOTAL(103,$C$2:C2415))</f>
        <v>2406</v>
      </c>
      <c r="B2415" s="41">
        <v>10343</v>
      </c>
      <c r="C2415" s="41">
        <v>6221</v>
      </c>
      <c r="D2415" s="41" t="s">
        <v>45</v>
      </c>
      <c r="E2415" s="41" t="s">
        <v>1298</v>
      </c>
      <c r="F2415" s="41" t="s">
        <v>7272</v>
      </c>
      <c r="G2415" s="41" t="s">
        <v>7462</v>
      </c>
      <c r="H2415" s="41" t="s">
        <v>7463</v>
      </c>
      <c r="I2415" s="43">
        <v>12</v>
      </c>
      <c r="J2415" s="44" t="str">
        <f>VLOOKUP(G2415,[1]硬件清单!$F:$F,1,0)</f>
        <v>CNG230S9JX</v>
      </c>
      <c r="K2415" s="43"/>
      <c r="L2415" s="44"/>
      <c r="M2415" s="45" t="s">
        <v>7464</v>
      </c>
    </row>
    <row r="2416" s="26" customFormat="1" ht="30" customHeight="1" spans="1:13">
      <c r="A2416" s="41">
        <f>IF(C2416="","",SUBTOTAL(103,$C$2:C2416))</f>
        <v>2407</v>
      </c>
      <c r="B2416" s="41">
        <v>10344</v>
      </c>
      <c r="C2416" s="41">
        <v>6953</v>
      </c>
      <c r="D2416" s="41" t="s">
        <v>45</v>
      </c>
      <c r="E2416" s="41" t="s">
        <v>1298</v>
      </c>
      <c r="F2416" s="41" t="s">
        <v>7465</v>
      </c>
      <c r="G2416" s="41" t="s">
        <v>7466</v>
      </c>
      <c r="H2416" s="41" t="s">
        <v>7467</v>
      </c>
      <c r="I2416" s="43">
        <v>12</v>
      </c>
      <c r="J2416" s="44" t="str">
        <f>VLOOKUP(G2416,[1]硬件清单!$F:$F,1,0)</f>
        <v>DW3JZZ1</v>
      </c>
      <c r="K2416" s="43"/>
      <c r="L2416" s="44"/>
      <c r="M2416" s="45" t="s">
        <v>7468</v>
      </c>
    </row>
    <row r="2417" s="26" customFormat="1" ht="30" customHeight="1" spans="1:13">
      <c r="A2417" s="41">
        <f>IF(C2417="","",SUBTOTAL(103,$C$2:C2417))</f>
        <v>2408</v>
      </c>
      <c r="B2417" s="41">
        <v>10345</v>
      </c>
      <c r="C2417" s="41">
        <v>6229</v>
      </c>
      <c r="D2417" s="41" t="s">
        <v>45</v>
      </c>
      <c r="E2417" s="41" t="s">
        <v>1298</v>
      </c>
      <c r="F2417" s="41" t="s">
        <v>7272</v>
      </c>
      <c r="G2417" s="41" t="s">
        <v>7469</v>
      </c>
      <c r="H2417" s="41" t="s">
        <v>7470</v>
      </c>
      <c r="I2417" s="43">
        <v>12</v>
      </c>
      <c r="J2417" s="44" t="str">
        <f>VLOOKUP(G2417,[1]硬件清单!$F:$F,1,0)</f>
        <v>CNG230S9QD</v>
      </c>
      <c r="K2417" s="43"/>
      <c r="L2417" s="44"/>
      <c r="M2417" s="45" t="s">
        <v>7471</v>
      </c>
    </row>
    <row r="2418" s="26" customFormat="1" ht="30" customHeight="1" spans="1:13">
      <c r="A2418" s="41">
        <f>IF(C2418="","",SUBTOTAL(103,$C$2:C2418))</f>
        <v>2409</v>
      </c>
      <c r="B2418" s="41">
        <v>10346</v>
      </c>
      <c r="C2418" s="41">
        <v>6238</v>
      </c>
      <c r="D2418" s="41" t="s">
        <v>45</v>
      </c>
      <c r="E2418" s="41" t="s">
        <v>1298</v>
      </c>
      <c r="F2418" s="41" t="s">
        <v>7272</v>
      </c>
      <c r="G2418" s="41" t="s">
        <v>7472</v>
      </c>
      <c r="H2418" s="41" t="s">
        <v>7473</v>
      </c>
      <c r="I2418" s="43">
        <v>12</v>
      </c>
      <c r="J2418" s="44" t="str">
        <f>VLOOKUP(G2418,[1]硬件清单!$F:$F,1,0)</f>
        <v>CNG230S9P1</v>
      </c>
      <c r="K2418" s="43"/>
      <c r="L2418" s="44"/>
      <c r="M2418" s="45" t="s">
        <v>7474</v>
      </c>
    </row>
    <row r="2419" s="26" customFormat="1" ht="30" customHeight="1" spans="1:13">
      <c r="A2419" s="41">
        <f>IF(C2419="","",SUBTOTAL(103,$C$2:C2419))</f>
        <v>2410</v>
      </c>
      <c r="B2419" s="41">
        <v>10347</v>
      </c>
      <c r="C2419" s="41">
        <v>6239</v>
      </c>
      <c r="D2419" s="41" t="s">
        <v>45</v>
      </c>
      <c r="E2419" s="41" t="s">
        <v>1298</v>
      </c>
      <c r="F2419" s="41" t="s">
        <v>7272</v>
      </c>
      <c r="G2419" s="41" t="s">
        <v>7475</v>
      </c>
      <c r="H2419" s="41" t="s">
        <v>7476</v>
      </c>
      <c r="I2419" s="43">
        <v>12</v>
      </c>
      <c r="J2419" s="44" t="str">
        <f>VLOOKUP(G2419,[1]硬件清单!$F:$F,1,0)</f>
        <v>CNG230S9RM</v>
      </c>
      <c r="K2419" s="43"/>
      <c r="L2419" s="44"/>
      <c r="M2419" s="45" t="s">
        <v>7477</v>
      </c>
    </row>
    <row r="2420" s="26" customFormat="1" ht="30" customHeight="1" spans="1:13">
      <c r="A2420" s="41">
        <f>IF(C2420="","",SUBTOTAL(103,$C$2:C2420))</f>
        <v>2411</v>
      </c>
      <c r="B2420" s="41">
        <v>10348</v>
      </c>
      <c r="C2420" s="41">
        <v>6240</v>
      </c>
      <c r="D2420" s="41" t="s">
        <v>45</v>
      </c>
      <c r="E2420" s="41" t="s">
        <v>1298</v>
      </c>
      <c r="F2420" s="41" t="s">
        <v>7272</v>
      </c>
      <c r="G2420" s="41" t="s">
        <v>7478</v>
      </c>
      <c r="H2420" s="41" t="s">
        <v>7479</v>
      </c>
      <c r="I2420" s="43">
        <v>12</v>
      </c>
      <c r="J2420" s="44" t="str">
        <f>VLOOKUP(G2420,[1]硬件清单!$F:$F,1,0)</f>
        <v>CNG230S9MF</v>
      </c>
      <c r="K2420" s="43"/>
      <c r="L2420" s="44"/>
      <c r="M2420" s="45" t="s">
        <v>7480</v>
      </c>
    </row>
    <row r="2421" s="26" customFormat="1" ht="30" customHeight="1" spans="1:13">
      <c r="A2421" s="41">
        <f>IF(C2421="","",SUBTOTAL(103,$C$2:C2421))</f>
        <v>2412</v>
      </c>
      <c r="B2421" s="41">
        <v>10349</v>
      </c>
      <c r="C2421" s="41">
        <v>6241</v>
      </c>
      <c r="D2421" s="41" t="s">
        <v>45</v>
      </c>
      <c r="E2421" s="41" t="s">
        <v>1298</v>
      </c>
      <c r="F2421" s="41" t="s">
        <v>7272</v>
      </c>
      <c r="G2421" s="41" t="s">
        <v>7481</v>
      </c>
      <c r="H2421" s="41" t="s">
        <v>7482</v>
      </c>
      <c r="I2421" s="43">
        <v>12</v>
      </c>
      <c r="J2421" s="44" t="str">
        <f>VLOOKUP(G2421,[1]硬件清单!$F:$F,1,0)</f>
        <v>CNG230S9Q4</v>
      </c>
      <c r="K2421" s="43"/>
      <c r="L2421" s="44"/>
      <c r="M2421" s="45" t="s">
        <v>7483</v>
      </c>
    </row>
    <row r="2422" s="26" customFormat="1" ht="30" customHeight="1" spans="1:13">
      <c r="A2422" s="41">
        <f>IF(C2422="","",SUBTOTAL(103,$C$2:C2422))</f>
        <v>2413</v>
      </c>
      <c r="B2422" s="41">
        <v>10350</v>
      </c>
      <c r="C2422" s="41">
        <v>6242</v>
      </c>
      <c r="D2422" s="41" t="s">
        <v>45</v>
      </c>
      <c r="E2422" s="41" t="s">
        <v>1298</v>
      </c>
      <c r="F2422" s="41" t="s">
        <v>7272</v>
      </c>
      <c r="G2422" s="41" t="s">
        <v>7484</v>
      </c>
      <c r="H2422" s="41" t="s">
        <v>7485</v>
      </c>
      <c r="I2422" s="43">
        <v>12</v>
      </c>
      <c r="J2422" s="44" t="str">
        <f>VLOOKUP(G2422,[1]硬件清单!$F:$F,1,0)</f>
        <v>CNG230S9RR</v>
      </c>
      <c r="K2422" s="43"/>
      <c r="L2422" s="44"/>
      <c r="M2422" s="45" t="s">
        <v>7486</v>
      </c>
    </row>
    <row r="2423" s="26" customFormat="1" ht="30" customHeight="1" spans="1:13">
      <c r="A2423" s="41">
        <f>IF(C2423="","",SUBTOTAL(103,$C$2:C2423))</f>
        <v>2414</v>
      </c>
      <c r="B2423" s="41">
        <v>10351</v>
      </c>
      <c r="C2423" s="41">
        <v>6243</v>
      </c>
      <c r="D2423" s="41" t="s">
        <v>45</v>
      </c>
      <c r="E2423" s="41" t="s">
        <v>1298</v>
      </c>
      <c r="F2423" s="41" t="s">
        <v>7272</v>
      </c>
      <c r="G2423" s="41" t="s">
        <v>7487</v>
      </c>
      <c r="H2423" s="41" t="s">
        <v>7488</v>
      </c>
      <c r="I2423" s="43">
        <v>12</v>
      </c>
      <c r="J2423" s="44" t="str">
        <f>VLOOKUP(G2423,[1]硬件清单!$F:$F,1,0)</f>
        <v>CNG230S9MY</v>
      </c>
      <c r="K2423" s="43"/>
      <c r="L2423" s="44"/>
      <c r="M2423" s="45" t="s">
        <v>7489</v>
      </c>
    </row>
    <row r="2424" s="26" customFormat="1" ht="30" customHeight="1" spans="1:13">
      <c r="A2424" s="41">
        <f>IF(C2424="","",SUBTOTAL(103,$C$2:C2424))</f>
        <v>2415</v>
      </c>
      <c r="B2424" s="41">
        <v>10352</v>
      </c>
      <c r="C2424" s="41">
        <v>6244</v>
      </c>
      <c r="D2424" s="41" t="s">
        <v>45</v>
      </c>
      <c r="E2424" s="41" t="s">
        <v>1298</v>
      </c>
      <c r="F2424" s="41" t="s">
        <v>7272</v>
      </c>
      <c r="G2424" s="41" t="s">
        <v>7490</v>
      </c>
      <c r="H2424" s="41" t="s">
        <v>7491</v>
      </c>
      <c r="I2424" s="43">
        <v>12</v>
      </c>
      <c r="J2424" s="44" t="str">
        <f>VLOOKUP(G2424,[1]硬件清单!$F:$F,1,0)</f>
        <v>CNG230S9K7</v>
      </c>
      <c r="K2424" s="43"/>
      <c r="L2424" s="44"/>
      <c r="M2424" s="45" t="s">
        <v>7492</v>
      </c>
    </row>
    <row r="2425" s="26" customFormat="1" ht="30" customHeight="1" spans="1:13">
      <c r="A2425" s="41">
        <f>IF(C2425="","",SUBTOTAL(103,$C$2:C2425))</f>
        <v>2416</v>
      </c>
      <c r="B2425" s="41">
        <v>10353</v>
      </c>
      <c r="C2425" s="41">
        <v>6230</v>
      </c>
      <c r="D2425" s="41" t="s">
        <v>45</v>
      </c>
      <c r="E2425" s="41" t="s">
        <v>1298</v>
      </c>
      <c r="F2425" s="41" t="s">
        <v>7272</v>
      </c>
      <c r="G2425" s="41" t="s">
        <v>7493</v>
      </c>
      <c r="H2425" s="41" t="s">
        <v>7494</v>
      </c>
      <c r="I2425" s="43">
        <v>12</v>
      </c>
      <c r="J2425" s="44" t="str">
        <f>VLOOKUP(G2425,[1]硬件清单!$F:$F,1,0)</f>
        <v>CNG230S9HM</v>
      </c>
      <c r="K2425" s="43"/>
      <c r="L2425" s="44"/>
      <c r="M2425" s="45" t="s">
        <v>7495</v>
      </c>
    </row>
    <row r="2426" s="26" customFormat="1" ht="30" customHeight="1" spans="1:13">
      <c r="A2426" s="41">
        <f>IF(C2426="","",SUBTOTAL(103,$C$2:C2426))</f>
        <v>2417</v>
      </c>
      <c r="B2426" s="41">
        <v>10354</v>
      </c>
      <c r="C2426" s="41">
        <v>6231</v>
      </c>
      <c r="D2426" s="41" t="s">
        <v>45</v>
      </c>
      <c r="E2426" s="41" t="s">
        <v>1298</v>
      </c>
      <c r="F2426" s="41" t="s">
        <v>7272</v>
      </c>
      <c r="G2426" s="41" t="s">
        <v>7496</v>
      </c>
      <c r="H2426" s="41" t="s">
        <v>7497</v>
      </c>
      <c r="I2426" s="43">
        <v>12</v>
      </c>
      <c r="J2426" s="44" t="str">
        <f>VLOOKUP(G2426,[1]硬件清单!$F:$F,1,0)</f>
        <v>CNG230S9RP</v>
      </c>
      <c r="K2426" s="43"/>
      <c r="L2426" s="44"/>
      <c r="M2426" s="45" t="s">
        <v>7498</v>
      </c>
    </row>
    <row r="2427" s="26" customFormat="1" ht="30" customHeight="1" spans="1:13">
      <c r="A2427" s="41">
        <f>IF(C2427="","",SUBTOTAL(103,$C$2:C2427))</f>
        <v>2418</v>
      </c>
      <c r="B2427" s="41">
        <v>10355</v>
      </c>
      <c r="C2427" s="41">
        <v>6232</v>
      </c>
      <c r="D2427" s="41" t="s">
        <v>45</v>
      </c>
      <c r="E2427" s="41" t="s">
        <v>1298</v>
      </c>
      <c r="F2427" s="41" t="s">
        <v>7272</v>
      </c>
      <c r="G2427" s="41" t="s">
        <v>7499</v>
      </c>
      <c r="H2427" s="41" t="s">
        <v>7500</v>
      </c>
      <c r="I2427" s="43">
        <v>12</v>
      </c>
      <c r="J2427" s="44" t="str">
        <f>VLOOKUP(G2427,[1]硬件清单!$F:$F,1,0)</f>
        <v>CNG230S9RK</v>
      </c>
      <c r="K2427" s="43"/>
      <c r="L2427" s="44"/>
      <c r="M2427" s="45" t="s">
        <v>7501</v>
      </c>
    </row>
    <row r="2428" s="26" customFormat="1" ht="30" customHeight="1" spans="1:13">
      <c r="A2428" s="41">
        <f>IF(C2428="","",SUBTOTAL(103,$C$2:C2428))</f>
        <v>2419</v>
      </c>
      <c r="B2428" s="41">
        <v>10356</v>
      </c>
      <c r="C2428" s="41">
        <v>6233</v>
      </c>
      <c r="D2428" s="41" t="s">
        <v>45</v>
      </c>
      <c r="E2428" s="41" t="s">
        <v>1298</v>
      </c>
      <c r="F2428" s="41" t="s">
        <v>7272</v>
      </c>
      <c r="G2428" s="41" t="s">
        <v>7502</v>
      </c>
      <c r="H2428" s="41" t="s">
        <v>7503</v>
      </c>
      <c r="I2428" s="43">
        <v>12</v>
      </c>
      <c r="J2428" s="44" t="str">
        <f>VLOOKUP(G2428,[1]硬件清单!$F:$F,1,0)</f>
        <v>CNG230S9J0</v>
      </c>
      <c r="K2428" s="43"/>
      <c r="L2428" s="44"/>
      <c r="M2428" s="45" t="s">
        <v>7504</v>
      </c>
    </row>
    <row r="2429" s="26" customFormat="1" ht="30" customHeight="1" spans="1:13">
      <c r="A2429" s="41">
        <f>IF(C2429="","",SUBTOTAL(103,$C$2:C2429))</f>
        <v>2420</v>
      </c>
      <c r="B2429" s="41">
        <v>10357</v>
      </c>
      <c r="C2429" s="41">
        <v>6234</v>
      </c>
      <c r="D2429" s="41" t="s">
        <v>45</v>
      </c>
      <c r="E2429" s="41" t="s">
        <v>1298</v>
      </c>
      <c r="F2429" s="41" t="s">
        <v>7272</v>
      </c>
      <c r="G2429" s="41" t="s">
        <v>7505</v>
      </c>
      <c r="H2429" s="41" t="s">
        <v>7506</v>
      </c>
      <c r="I2429" s="43">
        <v>12</v>
      </c>
      <c r="J2429" s="44" t="str">
        <f>VLOOKUP(G2429,[1]硬件清单!$F:$F,1,0)</f>
        <v>CNG230S9NL</v>
      </c>
      <c r="K2429" s="43"/>
      <c r="L2429" s="44"/>
      <c r="M2429" s="45" t="s">
        <v>7507</v>
      </c>
    </row>
    <row r="2430" s="26" customFormat="1" ht="30" customHeight="1" spans="1:13">
      <c r="A2430" s="41">
        <f>IF(C2430="","",SUBTOTAL(103,$C$2:C2430))</f>
        <v>2421</v>
      </c>
      <c r="B2430" s="41">
        <v>10358</v>
      </c>
      <c r="C2430" s="41">
        <v>6235</v>
      </c>
      <c r="D2430" s="41" t="s">
        <v>45</v>
      </c>
      <c r="E2430" s="41" t="s">
        <v>1298</v>
      </c>
      <c r="F2430" s="41" t="s">
        <v>7272</v>
      </c>
      <c r="G2430" s="41" t="s">
        <v>7508</v>
      </c>
      <c r="H2430" s="41" t="s">
        <v>7509</v>
      </c>
      <c r="I2430" s="43">
        <v>12</v>
      </c>
      <c r="J2430" s="44" t="str">
        <f>VLOOKUP(G2430,[1]硬件清单!$F:$F,1,0)</f>
        <v>CNG230S9M1</v>
      </c>
      <c r="K2430" s="43"/>
      <c r="L2430" s="44"/>
      <c r="M2430" s="45" t="s">
        <v>7510</v>
      </c>
    </row>
    <row r="2431" s="26" customFormat="1" ht="30" customHeight="1" spans="1:13">
      <c r="A2431" s="41">
        <f>IF(C2431="","",SUBTOTAL(103,$C$2:C2431))</f>
        <v>2422</v>
      </c>
      <c r="B2431" s="41">
        <v>10359</v>
      </c>
      <c r="C2431" s="41">
        <v>6236</v>
      </c>
      <c r="D2431" s="41" t="s">
        <v>45</v>
      </c>
      <c r="E2431" s="41" t="s">
        <v>1298</v>
      </c>
      <c r="F2431" s="41" t="s">
        <v>7272</v>
      </c>
      <c r="G2431" s="41" t="s">
        <v>7511</v>
      </c>
      <c r="H2431" s="41" t="s">
        <v>7512</v>
      </c>
      <c r="I2431" s="43">
        <v>12</v>
      </c>
      <c r="J2431" s="44" t="str">
        <f>VLOOKUP(G2431,[1]硬件清单!$F:$F,1,0)</f>
        <v>CNG230S9N2</v>
      </c>
      <c r="K2431" s="43"/>
      <c r="L2431" s="44"/>
      <c r="M2431" s="45" t="s">
        <v>7513</v>
      </c>
    </row>
    <row r="2432" s="26" customFormat="1" ht="30" customHeight="1" spans="1:13">
      <c r="A2432" s="41">
        <f>IF(C2432="","",SUBTOTAL(103,$C$2:C2432))</f>
        <v>2423</v>
      </c>
      <c r="B2432" s="41">
        <v>10360</v>
      </c>
      <c r="C2432" s="41">
        <v>6237</v>
      </c>
      <c r="D2432" s="41" t="s">
        <v>45</v>
      </c>
      <c r="E2432" s="41" t="s">
        <v>1298</v>
      </c>
      <c r="F2432" s="41" t="s">
        <v>7272</v>
      </c>
      <c r="G2432" s="41" t="s">
        <v>7514</v>
      </c>
      <c r="H2432" s="41" t="s">
        <v>7515</v>
      </c>
      <c r="I2432" s="43">
        <v>12</v>
      </c>
      <c r="J2432" s="44" t="str">
        <f>VLOOKUP(G2432,[1]硬件清单!$F:$F,1,0)</f>
        <v>CNG230S9LV</v>
      </c>
      <c r="K2432" s="43"/>
      <c r="L2432" s="44"/>
      <c r="M2432" s="45" t="s">
        <v>7516</v>
      </c>
    </row>
    <row r="2433" s="26" customFormat="1" ht="30" customHeight="1" spans="1:13">
      <c r="A2433" s="41">
        <f>IF(C2433="","",SUBTOTAL(103,$C$2:C2433))</f>
        <v>2424</v>
      </c>
      <c r="B2433" s="41">
        <v>10361</v>
      </c>
      <c r="C2433" s="41">
        <v>6937</v>
      </c>
      <c r="D2433" s="41" t="s">
        <v>45</v>
      </c>
      <c r="E2433" s="41" t="s">
        <v>1298</v>
      </c>
      <c r="F2433" s="41" t="s">
        <v>7517</v>
      </c>
      <c r="G2433" s="41" t="s">
        <v>7518</v>
      </c>
      <c r="H2433" s="41" t="s">
        <v>7519</v>
      </c>
      <c r="I2433" s="43">
        <v>12</v>
      </c>
      <c r="J2433" s="44" t="str">
        <f>VLOOKUP(G2433,[1]硬件清单!$F:$F,1,0)</f>
        <v>6W3JZZ1</v>
      </c>
      <c r="K2433" s="43"/>
      <c r="L2433" s="44"/>
      <c r="M2433" s="45" t="s">
        <v>7520</v>
      </c>
    </row>
    <row r="2434" s="26" customFormat="1" ht="30" customHeight="1" spans="1:13">
      <c r="A2434" s="41">
        <f>IF(C2434="","",SUBTOTAL(103,$C$2:C2434))</f>
        <v>2425</v>
      </c>
      <c r="B2434" s="41">
        <v>10362</v>
      </c>
      <c r="C2434" s="41">
        <v>6938</v>
      </c>
      <c r="D2434" s="41" t="s">
        <v>45</v>
      </c>
      <c r="E2434" s="41" t="s">
        <v>1298</v>
      </c>
      <c r="F2434" s="41" t="s">
        <v>7517</v>
      </c>
      <c r="G2434" s="41" t="s">
        <v>7521</v>
      </c>
      <c r="H2434" s="41" t="s">
        <v>7522</v>
      </c>
      <c r="I2434" s="43">
        <v>12</v>
      </c>
      <c r="J2434" s="44" t="str">
        <f>VLOOKUP(G2434,[1]硬件清单!$F:$F,1,0)</f>
        <v>1X3JZZ1</v>
      </c>
      <c r="K2434" s="43"/>
      <c r="L2434" s="44"/>
      <c r="M2434" s="45" t="s">
        <v>7523</v>
      </c>
    </row>
    <row r="2435" s="26" customFormat="1" ht="30" customHeight="1" spans="1:13">
      <c r="A2435" s="41">
        <f>IF(C2435="","",SUBTOTAL(103,$C$2:C2435))</f>
        <v>2426</v>
      </c>
      <c r="B2435" s="41">
        <v>10363</v>
      </c>
      <c r="C2435" s="41">
        <v>6939</v>
      </c>
      <c r="D2435" s="41" t="s">
        <v>45</v>
      </c>
      <c r="E2435" s="41" t="s">
        <v>1298</v>
      </c>
      <c r="F2435" s="41" t="s">
        <v>7517</v>
      </c>
      <c r="G2435" s="41" t="s">
        <v>7524</v>
      </c>
      <c r="H2435" s="41" t="s">
        <v>7525</v>
      </c>
      <c r="I2435" s="43">
        <v>12</v>
      </c>
      <c r="J2435" s="44" t="str">
        <f>VLOOKUP(G2435,[1]硬件清单!$F:$F,1,0)</f>
        <v>BW3JZZ1</v>
      </c>
      <c r="K2435" s="43"/>
      <c r="L2435" s="44"/>
      <c r="M2435" s="45" t="s">
        <v>7526</v>
      </c>
    </row>
    <row r="2436" s="26" customFormat="1" ht="30" customHeight="1" spans="1:13">
      <c r="A2436" s="41">
        <f>IF(C2436="","",SUBTOTAL(103,$C$2:C2436))</f>
        <v>2427</v>
      </c>
      <c r="B2436" s="41">
        <v>10364</v>
      </c>
      <c r="C2436" s="41">
        <v>6940</v>
      </c>
      <c r="D2436" s="41" t="s">
        <v>45</v>
      </c>
      <c r="E2436" s="41" t="s">
        <v>1298</v>
      </c>
      <c r="F2436" s="41" t="s">
        <v>7517</v>
      </c>
      <c r="G2436" s="41" t="s">
        <v>7527</v>
      </c>
      <c r="H2436" s="41" t="s">
        <v>7528</v>
      </c>
      <c r="I2436" s="43">
        <v>12</v>
      </c>
      <c r="J2436" s="44" t="str">
        <f>VLOOKUP(G2436,[1]硬件清单!$F:$F,1,0)</f>
        <v>FW3JZZ1</v>
      </c>
      <c r="K2436" s="43"/>
      <c r="L2436" s="44"/>
      <c r="M2436" s="45" t="s">
        <v>7529</v>
      </c>
    </row>
    <row r="2437" s="26" customFormat="1" ht="30" customHeight="1" spans="1:13">
      <c r="A2437" s="41">
        <f>IF(C2437="","",SUBTOTAL(103,$C$2:C2437))</f>
        <v>2428</v>
      </c>
      <c r="B2437" s="41">
        <v>10365</v>
      </c>
      <c r="C2437" s="41">
        <v>6941</v>
      </c>
      <c r="D2437" s="41" t="s">
        <v>45</v>
      </c>
      <c r="E2437" s="41" t="s">
        <v>1298</v>
      </c>
      <c r="F2437" s="41" t="s">
        <v>7517</v>
      </c>
      <c r="G2437" s="41" t="s">
        <v>7530</v>
      </c>
      <c r="H2437" s="41" t="s">
        <v>7531</v>
      </c>
      <c r="I2437" s="43">
        <v>12</v>
      </c>
      <c r="J2437" s="44" t="str">
        <f>VLOOKUP(G2437,[1]硬件清单!$F:$F,1,0)</f>
        <v>CW3JZZ1</v>
      </c>
      <c r="K2437" s="43"/>
      <c r="L2437" s="44"/>
      <c r="M2437" s="45" t="s">
        <v>7532</v>
      </c>
    </row>
    <row r="2438" s="26" customFormat="1" ht="30" customHeight="1" spans="1:13">
      <c r="A2438" s="41">
        <f>IF(C2438="","",SUBTOTAL(103,$C$2:C2438))</f>
        <v>2429</v>
      </c>
      <c r="B2438" s="41">
        <v>10366</v>
      </c>
      <c r="C2438" s="41">
        <v>6942</v>
      </c>
      <c r="D2438" s="41" t="s">
        <v>45</v>
      </c>
      <c r="E2438" s="41" t="s">
        <v>1298</v>
      </c>
      <c r="F2438" s="41" t="s">
        <v>7517</v>
      </c>
      <c r="G2438" s="41" t="s">
        <v>7533</v>
      </c>
      <c r="H2438" s="41" t="s">
        <v>7534</v>
      </c>
      <c r="I2438" s="43">
        <v>12</v>
      </c>
      <c r="J2438" s="44" t="str">
        <f>VLOOKUP(G2438,[1]硬件清单!$F:$F,1,0)</f>
        <v>7W3JZZ1</v>
      </c>
      <c r="K2438" s="43"/>
      <c r="L2438" s="44"/>
      <c r="M2438" s="45" t="s">
        <v>7535</v>
      </c>
    </row>
    <row r="2439" s="26" customFormat="1" ht="30" customHeight="1" spans="1:13">
      <c r="A2439" s="41">
        <f>IF(C2439="","",SUBTOTAL(103,$C$2:C2439))</f>
        <v>2430</v>
      </c>
      <c r="B2439" s="41">
        <v>10367</v>
      </c>
      <c r="C2439" s="41">
        <v>6943</v>
      </c>
      <c r="D2439" s="41" t="s">
        <v>45</v>
      </c>
      <c r="E2439" s="41" t="s">
        <v>1298</v>
      </c>
      <c r="F2439" s="41" t="s">
        <v>7517</v>
      </c>
      <c r="G2439" s="41" t="s">
        <v>7536</v>
      </c>
      <c r="H2439" s="41" t="s">
        <v>7537</v>
      </c>
      <c r="I2439" s="43">
        <v>12</v>
      </c>
      <c r="J2439" s="44" t="str">
        <f>VLOOKUP(G2439,[1]硬件清单!$F:$F,1,0)</f>
        <v>9W3JZZ1</v>
      </c>
      <c r="K2439" s="43"/>
      <c r="L2439" s="44"/>
      <c r="M2439" s="45" t="s">
        <v>7538</v>
      </c>
    </row>
    <row r="2440" s="26" customFormat="1" ht="30" customHeight="1" spans="1:13">
      <c r="A2440" s="41">
        <f>IF(C2440="","",SUBTOTAL(103,$C$2:C2440))</f>
        <v>2431</v>
      </c>
      <c r="B2440" s="41">
        <v>10368</v>
      </c>
      <c r="C2440" s="41">
        <v>6944</v>
      </c>
      <c r="D2440" s="41" t="s">
        <v>45</v>
      </c>
      <c r="E2440" s="41" t="s">
        <v>1298</v>
      </c>
      <c r="F2440" s="41" t="s">
        <v>7517</v>
      </c>
      <c r="G2440" s="41" t="s">
        <v>7539</v>
      </c>
      <c r="H2440" s="41" t="s">
        <v>7540</v>
      </c>
      <c r="I2440" s="43">
        <v>12</v>
      </c>
      <c r="J2440" s="44" t="str">
        <f>VLOOKUP(G2440,[1]硬件清单!$F:$F,1,0)</f>
        <v>JW3JZZ1</v>
      </c>
      <c r="K2440" s="43"/>
      <c r="L2440" s="44"/>
      <c r="M2440" s="45" t="s">
        <v>7541</v>
      </c>
    </row>
    <row r="2441" s="26" customFormat="1" ht="30" customHeight="1" spans="1:13">
      <c r="A2441" s="41">
        <f>IF(C2441="","",SUBTOTAL(103,$C$2:C2441))</f>
        <v>2432</v>
      </c>
      <c r="B2441" s="41">
        <v>10369</v>
      </c>
      <c r="C2441" s="46">
        <v>6245</v>
      </c>
      <c r="D2441" s="46" t="s">
        <v>45</v>
      </c>
      <c r="E2441" s="46" t="s">
        <v>1298</v>
      </c>
      <c r="F2441" s="46" t="s">
        <v>7272</v>
      </c>
      <c r="G2441" s="41" t="s">
        <v>7542</v>
      </c>
      <c r="H2441" s="41" t="s">
        <v>7543</v>
      </c>
      <c r="I2441" s="43">
        <v>12</v>
      </c>
      <c r="J2441" s="44" t="str">
        <f>VLOOKUP(G2441,[1]硬件清单!$F:$F,1,0)</f>
        <v>CNG230S97P</v>
      </c>
      <c r="K2441" s="43"/>
      <c r="L2441" s="44"/>
      <c r="M2441" s="45" t="s">
        <v>7544</v>
      </c>
    </row>
    <row r="2442" s="26" customFormat="1" ht="30" customHeight="1" spans="1:13">
      <c r="A2442" s="41">
        <f>IF(C2442="","",SUBTOTAL(103,$C$2:C2442))</f>
        <v>2433</v>
      </c>
      <c r="B2442" s="41">
        <v>10370</v>
      </c>
      <c r="C2442" s="46">
        <v>6254</v>
      </c>
      <c r="D2442" s="46" t="s">
        <v>45</v>
      </c>
      <c r="E2442" s="46" t="s">
        <v>1298</v>
      </c>
      <c r="F2442" s="46" t="s">
        <v>7272</v>
      </c>
      <c r="G2442" s="41" t="s">
        <v>7545</v>
      </c>
      <c r="H2442" s="41" t="s">
        <v>7546</v>
      </c>
      <c r="I2442" s="43">
        <v>12</v>
      </c>
      <c r="J2442" s="44" t="str">
        <f>VLOOKUP(G2442,[1]硬件清单!$F:$F,1,0)</f>
        <v>CNG230S979</v>
      </c>
      <c r="K2442" s="43"/>
      <c r="L2442" s="44"/>
      <c r="M2442" s="45" t="s">
        <v>7547</v>
      </c>
    </row>
    <row r="2443" s="26" customFormat="1" ht="30" customHeight="1" spans="1:13">
      <c r="A2443" s="41">
        <f>IF(C2443="","",SUBTOTAL(103,$C$2:C2443))</f>
        <v>2434</v>
      </c>
      <c r="B2443" s="41">
        <v>10371</v>
      </c>
      <c r="C2443" s="46">
        <v>6255</v>
      </c>
      <c r="D2443" s="46" t="s">
        <v>45</v>
      </c>
      <c r="E2443" s="46" t="s">
        <v>1298</v>
      </c>
      <c r="F2443" s="46" t="s">
        <v>7272</v>
      </c>
      <c r="G2443" s="41" t="s">
        <v>7548</v>
      </c>
      <c r="H2443" s="41" t="s">
        <v>7549</v>
      </c>
      <c r="I2443" s="43">
        <v>12</v>
      </c>
      <c r="J2443" s="44" t="str">
        <f>VLOOKUP(G2443,[1]硬件清单!$F:$F,1,0)</f>
        <v>CNG230S971</v>
      </c>
      <c r="K2443" s="43"/>
      <c r="L2443" s="44"/>
      <c r="M2443" s="45" t="s">
        <v>7550</v>
      </c>
    </row>
    <row r="2444" s="26" customFormat="1" ht="30" customHeight="1" spans="1:13">
      <c r="A2444" s="41">
        <f>IF(C2444="","",SUBTOTAL(103,$C$2:C2444))</f>
        <v>2435</v>
      </c>
      <c r="B2444" s="41">
        <v>10372</v>
      </c>
      <c r="C2444" s="46">
        <v>6256</v>
      </c>
      <c r="D2444" s="46" t="s">
        <v>45</v>
      </c>
      <c r="E2444" s="46" t="s">
        <v>1298</v>
      </c>
      <c r="F2444" s="46" t="s">
        <v>7272</v>
      </c>
      <c r="G2444" s="41" t="s">
        <v>7551</v>
      </c>
      <c r="H2444" s="41" t="s">
        <v>7552</v>
      </c>
      <c r="I2444" s="43">
        <v>12</v>
      </c>
      <c r="J2444" s="44" t="str">
        <f>VLOOKUP(G2444,[1]硬件清单!$F:$F,1,0)</f>
        <v>CNG230S99P</v>
      </c>
      <c r="K2444" s="43"/>
      <c r="L2444" s="44"/>
      <c r="M2444" s="45" t="s">
        <v>7553</v>
      </c>
    </row>
    <row r="2445" s="26" customFormat="1" ht="30" customHeight="1" spans="1:13">
      <c r="A2445" s="41">
        <f>IF(C2445="","",SUBTOTAL(103,$C$2:C2445))</f>
        <v>2436</v>
      </c>
      <c r="B2445" s="41">
        <v>10373</v>
      </c>
      <c r="C2445" s="46">
        <v>6257</v>
      </c>
      <c r="D2445" s="46" t="s">
        <v>45</v>
      </c>
      <c r="E2445" s="46" t="s">
        <v>1298</v>
      </c>
      <c r="F2445" s="46" t="s">
        <v>7272</v>
      </c>
      <c r="G2445" s="41" t="s">
        <v>7554</v>
      </c>
      <c r="H2445" s="41" t="s">
        <v>7555</v>
      </c>
      <c r="I2445" s="43">
        <v>12</v>
      </c>
      <c r="J2445" s="44" t="str">
        <f>VLOOKUP(G2445,[1]硬件清单!$F:$F,1,0)</f>
        <v>CNG230S98L</v>
      </c>
      <c r="K2445" s="43"/>
      <c r="L2445" s="44"/>
      <c r="M2445" s="45" t="s">
        <v>7556</v>
      </c>
    </row>
    <row r="2446" s="26" customFormat="1" ht="30" customHeight="1" spans="1:13">
      <c r="A2446" s="41">
        <f>IF(C2446="","",SUBTOTAL(103,$C$2:C2446))</f>
        <v>2437</v>
      </c>
      <c r="B2446" s="41">
        <v>10374</v>
      </c>
      <c r="C2446" s="46">
        <v>6258</v>
      </c>
      <c r="D2446" s="46" t="s">
        <v>45</v>
      </c>
      <c r="E2446" s="46" t="s">
        <v>1298</v>
      </c>
      <c r="F2446" s="46" t="s">
        <v>7272</v>
      </c>
      <c r="G2446" s="41" t="s">
        <v>7557</v>
      </c>
      <c r="H2446" s="41" t="s">
        <v>7558</v>
      </c>
      <c r="I2446" s="43">
        <v>12</v>
      </c>
      <c r="J2446" s="44" t="str">
        <f>VLOOKUP(G2446,[1]硬件清单!$F:$F,1,0)</f>
        <v>CNG230S99Y</v>
      </c>
      <c r="K2446" s="43"/>
      <c r="L2446" s="44"/>
      <c r="M2446" s="45" t="s">
        <v>7559</v>
      </c>
    </row>
    <row r="2447" s="26" customFormat="1" ht="30" customHeight="1" spans="1:13">
      <c r="A2447" s="41">
        <f>IF(C2447="","",SUBTOTAL(103,$C$2:C2447))</f>
        <v>2438</v>
      </c>
      <c r="B2447" s="41">
        <v>10375</v>
      </c>
      <c r="C2447" s="46">
        <v>6259</v>
      </c>
      <c r="D2447" s="46" t="s">
        <v>45</v>
      </c>
      <c r="E2447" s="46" t="s">
        <v>1298</v>
      </c>
      <c r="F2447" s="46" t="s">
        <v>7272</v>
      </c>
      <c r="G2447" s="41" t="s">
        <v>7560</v>
      </c>
      <c r="H2447" s="41" t="s">
        <v>7561</v>
      </c>
      <c r="I2447" s="43">
        <v>12</v>
      </c>
      <c r="J2447" s="44" t="str">
        <f>VLOOKUP(G2447,[1]硬件清单!$F:$F,1,0)</f>
        <v>CNG230S999</v>
      </c>
      <c r="K2447" s="43"/>
      <c r="L2447" s="44"/>
      <c r="M2447" s="45" t="s">
        <v>7562</v>
      </c>
    </row>
    <row r="2448" s="26" customFormat="1" ht="30" customHeight="1" spans="1:13">
      <c r="A2448" s="41">
        <f>IF(C2448="","",SUBTOTAL(103,$C$2:C2448))</f>
        <v>2439</v>
      </c>
      <c r="B2448" s="41">
        <v>10376</v>
      </c>
      <c r="C2448" s="46">
        <v>6260</v>
      </c>
      <c r="D2448" s="46" t="s">
        <v>45</v>
      </c>
      <c r="E2448" s="46" t="s">
        <v>1298</v>
      </c>
      <c r="F2448" s="46" t="s">
        <v>7272</v>
      </c>
      <c r="G2448" s="41" t="s">
        <v>7563</v>
      </c>
      <c r="H2448" s="41" t="s">
        <v>7564</v>
      </c>
      <c r="I2448" s="43">
        <v>12</v>
      </c>
      <c r="J2448" s="44" t="str">
        <f>VLOOKUP(G2448,[1]硬件清单!$F:$F,1,0)</f>
        <v>CNG230S96L</v>
      </c>
      <c r="K2448" s="43"/>
      <c r="L2448" s="44"/>
      <c r="M2448" s="45" t="s">
        <v>7565</v>
      </c>
    </row>
    <row r="2449" s="26" customFormat="1" ht="30" customHeight="1" spans="1:13">
      <c r="A2449" s="41">
        <f>IF(C2449="","",SUBTOTAL(103,$C$2:C2449))</f>
        <v>2440</v>
      </c>
      <c r="B2449" s="41">
        <v>10377</v>
      </c>
      <c r="C2449" s="46">
        <v>6246</v>
      </c>
      <c r="D2449" s="46" t="s">
        <v>45</v>
      </c>
      <c r="E2449" s="46" t="s">
        <v>1298</v>
      </c>
      <c r="F2449" s="46" t="s">
        <v>7272</v>
      </c>
      <c r="G2449" s="41" t="s">
        <v>7566</v>
      </c>
      <c r="H2449" s="41" t="s">
        <v>7567</v>
      </c>
      <c r="I2449" s="43">
        <v>12</v>
      </c>
      <c r="J2449" s="44" t="str">
        <f>VLOOKUP(G2449,[1]硬件清单!$F:$F,1,0)</f>
        <v>CNG230S9B6</v>
      </c>
      <c r="K2449" s="43"/>
      <c r="L2449" s="44"/>
      <c r="M2449" s="45" t="s">
        <v>7568</v>
      </c>
    </row>
    <row r="2450" s="26" customFormat="1" ht="30" customHeight="1" spans="1:13">
      <c r="A2450" s="41">
        <f>IF(C2450="","",SUBTOTAL(103,$C$2:C2450))</f>
        <v>2441</v>
      </c>
      <c r="B2450" s="41">
        <v>10378</v>
      </c>
      <c r="C2450" s="46">
        <v>6247</v>
      </c>
      <c r="D2450" s="46" t="s">
        <v>45</v>
      </c>
      <c r="E2450" s="46" t="s">
        <v>1298</v>
      </c>
      <c r="F2450" s="46" t="s">
        <v>7272</v>
      </c>
      <c r="G2450" s="41" t="s">
        <v>7569</v>
      </c>
      <c r="H2450" s="41" t="s">
        <v>7570</v>
      </c>
      <c r="I2450" s="43">
        <v>12</v>
      </c>
      <c r="J2450" s="44" t="str">
        <f>VLOOKUP(G2450,[1]硬件清单!$F:$F,1,0)</f>
        <v>CNG230S997</v>
      </c>
      <c r="K2450" s="43"/>
      <c r="L2450" s="44"/>
      <c r="M2450" s="45" t="s">
        <v>7571</v>
      </c>
    </row>
    <row r="2451" s="26" customFormat="1" ht="30" customHeight="1" spans="1:13">
      <c r="A2451" s="41">
        <f>IF(C2451="","",SUBTOTAL(103,$C$2:C2451))</f>
        <v>2442</v>
      </c>
      <c r="B2451" s="41">
        <v>10379</v>
      </c>
      <c r="C2451" s="46">
        <v>6248</v>
      </c>
      <c r="D2451" s="46" t="s">
        <v>45</v>
      </c>
      <c r="E2451" s="46" t="s">
        <v>1298</v>
      </c>
      <c r="F2451" s="46" t="s">
        <v>7272</v>
      </c>
      <c r="G2451" s="41" t="s">
        <v>7572</v>
      </c>
      <c r="H2451" s="41" t="s">
        <v>7573</v>
      </c>
      <c r="I2451" s="43">
        <v>12</v>
      </c>
      <c r="J2451" s="44" t="str">
        <f>VLOOKUP(G2451,[1]硬件清单!$F:$F,1,0)</f>
        <v>CNG230S9BJ</v>
      </c>
      <c r="K2451" s="43"/>
      <c r="L2451" s="44"/>
      <c r="M2451" s="45" t="s">
        <v>7574</v>
      </c>
    </row>
    <row r="2452" s="26" customFormat="1" ht="30" customHeight="1" spans="1:13">
      <c r="A2452" s="41">
        <f>IF(C2452="","",SUBTOTAL(103,$C$2:C2452))</f>
        <v>2443</v>
      </c>
      <c r="B2452" s="41">
        <v>10380</v>
      </c>
      <c r="C2452" s="46">
        <v>6249</v>
      </c>
      <c r="D2452" s="46" t="s">
        <v>45</v>
      </c>
      <c r="E2452" s="46" t="s">
        <v>1298</v>
      </c>
      <c r="F2452" s="46" t="s">
        <v>7272</v>
      </c>
      <c r="G2452" s="41" t="s">
        <v>7575</v>
      </c>
      <c r="H2452" s="41" t="s">
        <v>7576</v>
      </c>
      <c r="I2452" s="43">
        <v>12</v>
      </c>
      <c r="J2452" s="44" t="str">
        <f>VLOOKUP(G2452,[1]硬件清单!$F:$F,1,0)</f>
        <v>CNG230S97K</v>
      </c>
      <c r="K2452" s="43"/>
      <c r="L2452" s="44"/>
      <c r="M2452" s="45" t="s">
        <v>7577</v>
      </c>
    </row>
    <row r="2453" s="26" customFormat="1" ht="30" customHeight="1" spans="1:13">
      <c r="A2453" s="41">
        <f>IF(C2453="","",SUBTOTAL(103,$C$2:C2453))</f>
        <v>2444</v>
      </c>
      <c r="B2453" s="41">
        <v>10381</v>
      </c>
      <c r="C2453" s="46">
        <v>6250</v>
      </c>
      <c r="D2453" s="46" t="s">
        <v>45</v>
      </c>
      <c r="E2453" s="46" t="s">
        <v>1298</v>
      </c>
      <c r="F2453" s="46" t="s">
        <v>7272</v>
      </c>
      <c r="G2453" s="41" t="s">
        <v>7578</v>
      </c>
      <c r="H2453" s="41" t="s">
        <v>7579</v>
      </c>
      <c r="I2453" s="43">
        <v>12</v>
      </c>
      <c r="J2453" s="44" t="str">
        <f>VLOOKUP(G2453,[1]硬件清单!$F:$F,1,0)</f>
        <v>CNG230S98B</v>
      </c>
      <c r="K2453" s="43"/>
      <c r="L2453" s="44"/>
      <c r="M2453" s="45" t="s">
        <v>7580</v>
      </c>
    </row>
    <row r="2454" s="26" customFormat="1" ht="30" customHeight="1" spans="1:13">
      <c r="A2454" s="41">
        <f>IF(C2454="","",SUBTOTAL(103,$C$2:C2454))</f>
        <v>2445</v>
      </c>
      <c r="B2454" s="41">
        <v>10382</v>
      </c>
      <c r="C2454" s="46">
        <v>6251</v>
      </c>
      <c r="D2454" s="46" t="s">
        <v>45</v>
      </c>
      <c r="E2454" s="46" t="s">
        <v>1298</v>
      </c>
      <c r="F2454" s="46" t="s">
        <v>7272</v>
      </c>
      <c r="G2454" s="41" t="s">
        <v>7581</v>
      </c>
      <c r="H2454" s="41" t="s">
        <v>7582</v>
      </c>
      <c r="I2454" s="43">
        <v>12</v>
      </c>
      <c r="J2454" s="44" t="str">
        <f>VLOOKUP(G2454,[1]硬件清单!$F:$F,1,0)</f>
        <v>CNG230S97H</v>
      </c>
      <c r="K2454" s="43"/>
      <c r="L2454" s="44"/>
      <c r="M2454" s="45" t="s">
        <v>7583</v>
      </c>
    </row>
    <row r="2455" s="26" customFormat="1" ht="30" customHeight="1" spans="1:13">
      <c r="A2455" s="41">
        <f>IF(C2455="","",SUBTOTAL(103,$C$2:C2455))</f>
        <v>2446</v>
      </c>
      <c r="B2455" s="41">
        <v>10383</v>
      </c>
      <c r="C2455" s="46">
        <v>6252</v>
      </c>
      <c r="D2455" s="46" t="s">
        <v>45</v>
      </c>
      <c r="E2455" s="46" t="s">
        <v>1298</v>
      </c>
      <c r="F2455" s="46" t="s">
        <v>7272</v>
      </c>
      <c r="G2455" s="41" t="s">
        <v>7584</v>
      </c>
      <c r="H2455" s="41" t="s">
        <v>7585</v>
      </c>
      <c r="I2455" s="43">
        <v>12</v>
      </c>
      <c r="J2455" s="44" t="str">
        <f>VLOOKUP(G2455,[1]硬件清单!$F:$F,1,0)</f>
        <v>CNG230S968</v>
      </c>
      <c r="K2455" s="43"/>
      <c r="L2455" s="44"/>
      <c r="M2455" s="45" t="s">
        <v>7586</v>
      </c>
    </row>
    <row r="2456" s="26" customFormat="1" ht="30" customHeight="1" spans="1:13">
      <c r="A2456" s="41">
        <f>IF(C2456="","",SUBTOTAL(103,$C$2:C2456))</f>
        <v>2447</v>
      </c>
      <c r="B2456" s="41">
        <v>10384</v>
      </c>
      <c r="C2456" s="46">
        <v>6253</v>
      </c>
      <c r="D2456" s="46" t="s">
        <v>45</v>
      </c>
      <c r="E2456" s="46" t="s">
        <v>1298</v>
      </c>
      <c r="F2456" s="46" t="s">
        <v>7272</v>
      </c>
      <c r="G2456" s="41" t="s">
        <v>7587</v>
      </c>
      <c r="H2456" s="41" t="s">
        <v>7588</v>
      </c>
      <c r="I2456" s="43">
        <v>12</v>
      </c>
      <c r="J2456" s="44" t="str">
        <f>VLOOKUP(G2456,[1]硬件清单!$F:$F,1,0)</f>
        <v>CNG230S9Y8</v>
      </c>
      <c r="K2456" s="43"/>
      <c r="L2456" s="44"/>
      <c r="M2456" s="45" t="s">
        <v>7589</v>
      </c>
    </row>
    <row r="2457" s="26" customFormat="1" ht="30" customHeight="1" spans="1:13">
      <c r="A2457" s="41">
        <f>IF(C2457="","",SUBTOTAL(103,$C$2:C2457))</f>
        <v>2448</v>
      </c>
      <c r="B2457" s="41">
        <v>10385</v>
      </c>
      <c r="C2457" s="46">
        <v>6261</v>
      </c>
      <c r="D2457" s="46" t="s">
        <v>45</v>
      </c>
      <c r="E2457" s="46" t="s">
        <v>1298</v>
      </c>
      <c r="F2457" s="46" t="s">
        <v>7272</v>
      </c>
      <c r="G2457" s="41" t="s">
        <v>7590</v>
      </c>
      <c r="H2457" s="41" t="s">
        <v>7591</v>
      </c>
      <c r="I2457" s="43">
        <v>12</v>
      </c>
      <c r="J2457" s="44" t="str">
        <f>VLOOKUP(G2457,[1]硬件清单!$F:$F,1,0)</f>
        <v>CNG230S98N</v>
      </c>
      <c r="K2457" s="43"/>
      <c r="L2457" s="44"/>
      <c r="M2457" s="45" t="s">
        <v>7592</v>
      </c>
    </row>
    <row r="2458" s="26" customFormat="1" ht="30" customHeight="1" spans="1:13">
      <c r="A2458" s="41">
        <f>IF(C2458="","",SUBTOTAL(103,$C$2:C2458))</f>
        <v>2449</v>
      </c>
      <c r="B2458" s="41">
        <v>10386</v>
      </c>
      <c r="C2458" s="46">
        <v>6270</v>
      </c>
      <c r="D2458" s="46" t="s">
        <v>45</v>
      </c>
      <c r="E2458" s="46" t="s">
        <v>1298</v>
      </c>
      <c r="F2458" s="46" t="s">
        <v>7272</v>
      </c>
      <c r="G2458" s="41" t="s">
        <v>7593</v>
      </c>
      <c r="H2458" s="41" t="s">
        <v>7594</v>
      </c>
      <c r="I2458" s="43">
        <v>12</v>
      </c>
      <c r="J2458" s="44" t="str">
        <f>VLOOKUP(G2458,[1]硬件清单!$F:$F,1,0)</f>
        <v>CNG230S99C</v>
      </c>
      <c r="K2458" s="43"/>
      <c r="L2458" s="44"/>
      <c r="M2458" s="45" t="s">
        <v>7595</v>
      </c>
    </row>
    <row r="2459" s="26" customFormat="1" ht="30" customHeight="1" spans="1:13">
      <c r="A2459" s="41">
        <f>IF(C2459="","",SUBTOTAL(103,$C$2:C2459))</f>
        <v>2450</v>
      </c>
      <c r="B2459" s="41">
        <v>10387</v>
      </c>
      <c r="C2459" s="46">
        <v>6271</v>
      </c>
      <c r="D2459" s="46" t="s">
        <v>45</v>
      </c>
      <c r="E2459" s="46" t="s">
        <v>1298</v>
      </c>
      <c r="F2459" s="46" t="s">
        <v>7272</v>
      </c>
      <c r="G2459" s="41" t="s">
        <v>7596</v>
      </c>
      <c r="H2459" s="41" t="s">
        <v>7597</v>
      </c>
      <c r="I2459" s="43">
        <v>12</v>
      </c>
      <c r="J2459" s="44" t="str">
        <f>VLOOKUP(G2459,[1]硬件清单!$F:$F,1,0)</f>
        <v>CNG230S96Q</v>
      </c>
      <c r="K2459" s="43"/>
      <c r="L2459" s="44"/>
      <c r="M2459" s="45" t="s">
        <v>7598</v>
      </c>
    </row>
    <row r="2460" s="26" customFormat="1" ht="30" customHeight="1" spans="1:13">
      <c r="A2460" s="41">
        <f>IF(C2460="","",SUBTOTAL(103,$C$2:C2460))</f>
        <v>2451</v>
      </c>
      <c r="B2460" s="41">
        <v>10388</v>
      </c>
      <c r="C2460" s="46">
        <v>6272</v>
      </c>
      <c r="D2460" s="46" t="s">
        <v>45</v>
      </c>
      <c r="E2460" s="46" t="s">
        <v>1298</v>
      </c>
      <c r="F2460" s="46" t="s">
        <v>7272</v>
      </c>
      <c r="G2460" s="41" t="s">
        <v>7599</v>
      </c>
      <c r="H2460" s="41" t="s">
        <v>7600</v>
      </c>
      <c r="I2460" s="43">
        <v>12</v>
      </c>
      <c r="J2460" s="44" t="str">
        <f>VLOOKUP(G2460,[1]硬件清单!$F:$F,1,0)</f>
        <v>CNG230S97M</v>
      </c>
      <c r="K2460" s="43"/>
      <c r="L2460" s="44"/>
      <c r="M2460" s="45" t="s">
        <v>7601</v>
      </c>
    </row>
    <row r="2461" s="26" customFormat="1" ht="30" customHeight="1" spans="1:13">
      <c r="A2461" s="41">
        <f>IF(C2461="","",SUBTOTAL(103,$C$2:C2461))</f>
        <v>2452</v>
      </c>
      <c r="B2461" s="41">
        <v>10389</v>
      </c>
      <c r="C2461" s="46">
        <v>6273</v>
      </c>
      <c r="D2461" s="46" t="s">
        <v>45</v>
      </c>
      <c r="E2461" s="46" t="s">
        <v>1298</v>
      </c>
      <c r="F2461" s="46" t="s">
        <v>7272</v>
      </c>
      <c r="G2461" s="41" t="s">
        <v>7602</v>
      </c>
      <c r="H2461" s="41" t="s">
        <v>7603</v>
      </c>
      <c r="I2461" s="43">
        <v>12</v>
      </c>
      <c r="J2461" s="44" t="str">
        <f>VLOOKUP(G2461,[1]硬件清单!$F:$F,1,0)</f>
        <v>CNG230S99R</v>
      </c>
      <c r="K2461" s="43"/>
      <c r="L2461" s="44"/>
      <c r="M2461" s="45" t="s">
        <v>7604</v>
      </c>
    </row>
    <row r="2462" s="26" customFormat="1" ht="30" customHeight="1" spans="1:13">
      <c r="A2462" s="41">
        <f>IF(C2462="","",SUBTOTAL(103,$C$2:C2462))</f>
        <v>2453</v>
      </c>
      <c r="B2462" s="41">
        <v>10390</v>
      </c>
      <c r="C2462" s="46">
        <v>6274</v>
      </c>
      <c r="D2462" s="46" t="s">
        <v>45</v>
      </c>
      <c r="E2462" s="46" t="s">
        <v>1298</v>
      </c>
      <c r="F2462" s="46" t="s">
        <v>7272</v>
      </c>
      <c r="G2462" s="41" t="s">
        <v>7605</v>
      </c>
      <c r="H2462" s="41" t="s">
        <v>7606</v>
      </c>
      <c r="I2462" s="43">
        <v>12</v>
      </c>
      <c r="J2462" s="44" t="str">
        <f>VLOOKUP(G2462,[1]硬件清单!$F:$F,1,0)</f>
        <v>CNG230S98Q</v>
      </c>
      <c r="K2462" s="43"/>
      <c r="L2462" s="44"/>
      <c r="M2462" s="45" t="s">
        <v>7607</v>
      </c>
    </row>
    <row r="2463" s="26" customFormat="1" ht="30" customHeight="1" spans="1:13">
      <c r="A2463" s="41">
        <f>IF(C2463="","",SUBTOTAL(103,$C$2:C2463))</f>
        <v>2454</v>
      </c>
      <c r="B2463" s="41">
        <v>10391</v>
      </c>
      <c r="C2463" s="46">
        <v>6275</v>
      </c>
      <c r="D2463" s="46" t="s">
        <v>45</v>
      </c>
      <c r="E2463" s="46" t="s">
        <v>1298</v>
      </c>
      <c r="F2463" s="46" t="s">
        <v>7272</v>
      </c>
      <c r="G2463" s="41" t="s">
        <v>7608</v>
      </c>
      <c r="H2463" s="41" t="s">
        <v>7609</v>
      </c>
      <c r="I2463" s="43">
        <v>12</v>
      </c>
      <c r="J2463" s="44" t="str">
        <f>VLOOKUP(G2463,[1]硬件清单!$F:$F,1,0)</f>
        <v>CNG230S982</v>
      </c>
      <c r="K2463" s="43"/>
      <c r="L2463" s="44"/>
      <c r="M2463" s="45" t="s">
        <v>7610</v>
      </c>
    </row>
    <row r="2464" s="26" customFormat="1" ht="30" customHeight="1" spans="1:13">
      <c r="A2464" s="41">
        <f>IF(C2464="","",SUBTOTAL(103,$C$2:C2464))</f>
        <v>2455</v>
      </c>
      <c r="B2464" s="41">
        <v>10392</v>
      </c>
      <c r="C2464" s="46">
        <v>6276</v>
      </c>
      <c r="D2464" s="46" t="s">
        <v>45</v>
      </c>
      <c r="E2464" s="46" t="s">
        <v>1298</v>
      </c>
      <c r="F2464" s="46" t="s">
        <v>7272</v>
      </c>
      <c r="G2464" s="41" t="s">
        <v>7611</v>
      </c>
      <c r="H2464" s="41" t="s">
        <v>7612</v>
      </c>
      <c r="I2464" s="43">
        <v>12</v>
      </c>
      <c r="J2464" s="44" t="str">
        <f>VLOOKUP(G2464,[1]硬件清单!$F:$F,1,0)</f>
        <v>CNG230S977</v>
      </c>
      <c r="K2464" s="43"/>
      <c r="L2464" s="44"/>
      <c r="M2464" s="45" t="s">
        <v>7613</v>
      </c>
    </row>
    <row r="2465" s="26" customFormat="1" ht="30" customHeight="1" spans="1:13">
      <c r="A2465" s="41">
        <f>IF(C2465="","",SUBTOTAL(103,$C$2:C2465))</f>
        <v>2456</v>
      </c>
      <c r="B2465" s="41">
        <v>10393</v>
      </c>
      <c r="C2465" s="46">
        <v>6262</v>
      </c>
      <c r="D2465" s="46" t="s">
        <v>45</v>
      </c>
      <c r="E2465" s="46" t="s">
        <v>1298</v>
      </c>
      <c r="F2465" s="46" t="s">
        <v>7272</v>
      </c>
      <c r="G2465" s="41" t="s">
        <v>7614</v>
      </c>
      <c r="H2465" s="41" t="s">
        <v>7615</v>
      </c>
      <c r="I2465" s="43">
        <v>12</v>
      </c>
      <c r="J2465" s="44" t="str">
        <f>VLOOKUP(G2465,[1]硬件清单!$F:$F,1,0)</f>
        <v>CNG230S9B0</v>
      </c>
      <c r="K2465" s="43"/>
      <c r="L2465" s="44"/>
      <c r="M2465" s="45" t="s">
        <v>7616</v>
      </c>
    </row>
    <row r="2466" s="26" customFormat="1" ht="30" customHeight="1" spans="1:13">
      <c r="A2466" s="41">
        <f>IF(C2466="","",SUBTOTAL(103,$C$2:C2466))</f>
        <v>2457</v>
      </c>
      <c r="B2466" s="41">
        <v>10394</v>
      </c>
      <c r="C2466" s="46">
        <v>6263</v>
      </c>
      <c r="D2466" s="46" t="s">
        <v>45</v>
      </c>
      <c r="E2466" s="46" t="s">
        <v>1298</v>
      </c>
      <c r="F2466" s="46" t="s">
        <v>7272</v>
      </c>
      <c r="G2466" s="41" t="s">
        <v>7617</v>
      </c>
      <c r="H2466" s="41" t="s">
        <v>7618</v>
      </c>
      <c r="I2466" s="43">
        <v>12</v>
      </c>
      <c r="J2466" s="44" t="str">
        <f>VLOOKUP(G2466,[1]硬件清单!$F:$F,1,0)</f>
        <v>CNG230S9B2</v>
      </c>
      <c r="K2466" s="43"/>
      <c r="L2466" s="44"/>
      <c r="M2466" s="45" t="s">
        <v>7619</v>
      </c>
    </row>
    <row r="2467" s="26" customFormat="1" ht="30" customHeight="1" spans="1:13">
      <c r="A2467" s="41">
        <f>IF(C2467="","",SUBTOTAL(103,$C$2:C2467))</f>
        <v>2458</v>
      </c>
      <c r="B2467" s="41">
        <v>10395</v>
      </c>
      <c r="C2467" s="46">
        <v>6264</v>
      </c>
      <c r="D2467" s="46" t="s">
        <v>45</v>
      </c>
      <c r="E2467" s="46" t="s">
        <v>1298</v>
      </c>
      <c r="F2467" s="46" t="s">
        <v>7272</v>
      </c>
      <c r="G2467" s="41" t="s">
        <v>7620</v>
      </c>
      <c r="H2467" s="41" t="s">
        <v>7621</v>
      </c>
      <c r="I2467" s="43">
        <v>12</v>
      </c>
      <c r="J2467" s="44" t="str">
        <f>VLOOKUP(G2467,[1]硬件清单!$F:$F,1,0)</f>
        <v>CNG230S98G</v>
      </c>
      <c r="K2467" s="43"/>
      <c r="L2467" s="44"/>
      <c r="M2467" s="45" t="s">
        <v>7622</v>
      </c>
    </row>
    <row r="2468" s="26" customFormat="1" ht="30" customHeight="1" spans="1:13">
      <c r="A2468" s="41">
        <f>IF(C2468="","",SUBTOTAL(103,$C$2:C2468))</f>
        <v>2459</v>
      </c>
      <c r="B2468" s="41">
        <v>10396</v>
      </c>
      <c r="C2468" s="46">
        <v>6265</v>
      </c>
      <c r="D2468" s="46" t="s">
        <v>45</v>
      </c>
      <c r="E2468" s="46" t="s">
        <v>1298</v>
      </c>
      <c r="F2468" s="46" t="s">
        <v>7272</v>
      </c>
      <c r="G2468" s="41" t="s">
        <v>7623</v>
      </c>
      <c r="H2468" s="41" t="s">
        <v>7624</v>
      </c>
      <c r="I2468" s="43">
        <v>12</v>
      </c>
      <c r="J2468" s="44" t="str">
        <f>VLOOKUP(G2468,[1]硬件清单!$F:$F,1,0)</f>
        <v>CNG230S98X</v>
      </c>
      <c r="K2468" s="43"/>
      <c r="L2468" s="44"/>
      <c r="M2468" s="45" t="s">
        <v>7625</v>
      </c>
    </row>
    <row r="2469" s="26" customFormat="1" ht="30" customHeight="1" spans="1:13">
      <c r="A2469" s="41">
        <f>IF(C2469="","",SUBTOTAL(103,$C$2:C2469))</f>
        <v>2460</v>
      </c>
      <c r="B2469" s="41">
        <v>10397</v>
      </c>
      <c r="C2469" s="46">
        <v>6266</v>
      </c>
      <c r="D2469" s="46" t="s">
        <v>45</v>
      </c>
      <c r="E2469" s="46" t="s">
        <v>1298</v>
      </c>
      <c r="F2469" s="46" t="s">
        <v>7272</v>
      </c>
      <c r="G2469" s="41" t="s">
        <v>7626</v>
      </c>
      <c r="H2469" s="41" t="s">
        <v>7627</v>
      </c>
      <c r="I2469" s="43">
        <v>12</v>
      </c>
      <c r="J2469" s="44" t="str">
        <f>VLOOKUP(G2469,[1]硬件清单!$F:$F,1,0)</f>
        <v>CNG230S96B</v>
      </c>
      <c r="K2469" s="43"/>
      <c r="L2469" s="44"/>
      <c r="M2469" s="45" t="s">
        <v>7628</v>
      </c>
    </row>
    <row r="2470" s="26" customFormat="1" ht="30" customHeight="1" spans="1:13">
      <c r="A2470" s="41">
        <f>IF(C2470="","",SUBTOTAL(103,$C$2:C2470))</f>
        <v>2461</v>
      </c>
      <c r="B2470" s="41">
        <v>10398</v>
      </c>
      <c r="C2470" s="46">
        <v>6267</v>
      </c>
      <c r="D2470" s="46" t="s">
        <v>45</v>
      </c>
      <c r="E2470" s="46" t="s">
        <v>1298</v>
      </c>
      <c r="F2470" s="46" t="s">
        <v>7272</v>
      </c>
      <c r="G2470" s="41" t="s">
        <v>7629</v>
      </c>
      <c r="H2470" s="41" t="s">
        <v>7630</v>
      </c>
      <c r="I2470" s="43">
        <v>12</v>
      </c>
      <c r="J2470" s="44" t="str">
        <f>VLOOKUP(G2470,[1]硬件清单!$F:$F,1,0)</f>
        <v>CNG230S99K</v>
      </c>
      <c r="K2470" s="43"/>
      <c r="L2470" s="44"/>
      <c r="M2470" s="45" t="s">
        <v>7631</v>
      </c>
    </row>
    <row r="2471" s="26" customFormat="1" ht="30" customHeight="1" spans="1:13">
      <c r="A2471" s="41">
        <f>IF(C2471="","",SUBTOTAL(103,$C$2:C2471))</f>
        <v>2462</v>
      </c>
      <c r="B2471" s="41">
        <v>10399</v>
      </c>
      <c r="C2471" s="46">
        <v>6268</v>
      </c>
      <c r="D2471" s="46" t="s">
        <v>45</v>
      </c>
      <c r="E2471" s="46" t="s">
        <v>1298</v>
      </c>
      <c r="F2471" s="46" t="s">
        <v>7272</v>
      </c>
      <c r="G2471" s="41" t="s">
        <v>7632</v>
      </c>
      <c r="H2471" s="41" t="s">
        <v>7633</v>
      </c>
      <c r="I2471" s="43">
        <v>12</v>
      </c>
      <c r="J2471" s="44" t="str">
        <f>VLOOKUP(G2471,[1]硬件清单!$F:$F,1,0)</f>
        <v>CNG230S9BL</v>
      </c>
      <c r="K2471" s="43"/>
      <c r="L2471" s="44"/>
      <c r="M2471" s="45" t="s">
        <v>7634</v>
      </c>
    </row>
    <row r="2472" s="26" customFormat="1" ht="30" customHeight="1" spans="1:13">
      <c r="A2472" s="41">
        <f>IF(C2472="","",SUBTOTAL(103,$C$2:C2472))</f>
        <v>2463</v>
      </c>
      <c r="B2472" s="41">
        <v>10400</v>
      </c>
      <c r="C2472" s="46">
        <v>6269</v>
      </c>
      <c r="D2472" s="46" t="s">
        <v>45</v>
      </c>
      <c r="E2472" s="46" t="s">
        <v>1298</v>
      </c>
      <c r="F2472" s="46" t="s">
        <v>7272</v>
      </c>
      <c r="G2472" s="41" t="s">
        <v>7635</v>
      </c>
      <c r="H2472" s="41" t="s">
        <v>7636</v>
      </c>
      <c r="I2472" s="43">
        <v>12</v>
      </c>
      <c r="J2472" s="44" t="str">
        <f>VLOOKUP(G2472,[1]硬件清单!$F:$F,1,0)</f>
        <v>CNG230S99F</v>
      </c>
      <c r="K2472" s="43"/>
      <c r="L2472" s="44"/>
      <c r="M2472" s="45" t="s">
        <v>7637</v>
      </c>
    </row>
    <row r="2473" s="26" customFormat="1" ht="30" customHeight="1" spans="1:13">
      <c r="A2473" s="41">
        <f>IF(C2473="","",SUBTOTAL(103,$C$2:C2473))</f>
        <v>2464</v>
      </c>
      <c r="B2473" s="41">
        <v>10401</v>
      </c>
      <c r="C2473" s="41">
        <v>6360</v>
      </c>
      <c r="D2473" s="41" t="s">
        <v>45</v>
      </c>
      <c r="E2473" s="41" t="s">
        <v>1298</v>
      </c>
      <c r="F2473" s="41" t="s">
        <v>7272</v>
      </c>
      <c r="G2473" s="41" t="s">
        <v>7638</v>
      </c>
      <c r="H2473" s="41" t="s">
        <v>7639</v>
      </c>
      <c r="I2473" s="43">
        <v>12</v>
      </c>
      <c r="J2473" s="44" t="str">
        <f>VLOOKUP(G2473,[1]硬件清单!$F:$F,1,0)</f>
        <v>CNG230S9MH</v>
      </c>
      <c r="K2473" s="43"/>
      <c r="L2473" s="44"/>
      <c r="M2473" s="45" t="s">
        <v>7640</v>
      </c>
    </row>
    <row r="2474" s="26" customFormat="1" ht="30" customHeight="1" spans="1:13">
      <c r="A2474" s="41">
        <f>IF(C2474="","",SUBTOTAL(103,$C$2:C2474))</f>
        <v>2465</v>
      </c>
      <c r="B2474" s="41">
        <v>10402</v>
      </c>
      <c r="C2474" s="46">
        <v>6369</v>
      </c>
      <c r="D2474" s="46" t="s">
        <v>45</v>
      </c>
      <c r="E2474" s="46" t="s">
        <v>1298</v>
      </c>
      <c r="F2474" s="46" t="s">
        <v>7272</v>
      </c>
      <c r="G2474" s="41" t="s">
        <v>7641</v>
      </c>
      <c r="H2474" s="41" t="s">
        <v>7642</v>
      </c>
      <c r="I2474" s="43">
        <v>12</v>
      </c>
      <c r="J2474" s="44" t="str">
        <f>VLOOKUP(G2474,[1]硬件清单!$F:$F,1,0)</f>
        <v>CNG230S9RT</v>
      </c>
      <c r="K2474" s="43"/>
      <c r="L2474" s="44"/>
      <c r="M2474" s="45" t="s">
        <v>7643</v>
      </c>
    </row>
    <row r="2475" s="26" customFormat="1" ht="30" customHeight="1" spans="1:13">
      <c r="A2475" s="41">
        <f>IF(C2475="","",SUBTOTAL(103,$C$2:C2475))</f>
        <v>2466</v>
      </c>
      <c r="B2475" s="41">
        <v>10403</v>
      </c>
      <c r="C2475" s="46">
        <v>6370</v>
      </c>
      <c r="D2475" s="46" t="s">
        <v>45</v>
      </c>
      <c r="E2475" s="46" t="s">
        <v>1298</v>
      </c>
      <c r="F2475" s="46" t="s">
        <v>7272</v>
      </c>
      <c r="G2475" s="41" t="s">
        <v>7644</v>
      </c>
      <c r="H2475" s="41" t="s">
        <v>7645</v>
      </c>
      <c r="I2475" s="43">
        <v>12</v>
      </c>
      <c r="J2475" s="44" t="str">
        <f>VLOOKUP(G2475,[1]硬件清单!$F:$F,1,0)</f>
        <v>CNG230S9PW</v>
      </c>
      <c r="K2475" s="43"/>
      <c r="L2475" s="44"/>
      <c r="M2475" s="45" t="s">
        <v>7646</v>
      </c>
    </row>
    <row r="2476" s="26" customFormat="1" ht="30" customHeight="1" spans="1:13">
      <c r="A2476" s="41">
        <f>IF(C2476="","",SUBTOTAL(103,$C$2:C2476))</f>
        <v>2467</v>
      </c>
      <c r="B2476" s="41">
        <v>10404</v>
      </c>
      <c r="C2476" s="46">
        <v>6371</v>
      </c>
      <c r="D2476" s="46" t="s">
        <v>45</v>
      </c>
      <c r="E2476" s="46" t="s">
        <v>1298</v>
      </c>
      <c r="F2476" s="46" t="s">
        <v>7272</v>
      </c>
      <c r="G2476" s="41" t="s">
        <v>7647</v>
      </c>
      <c r="H2476" s="41" t="s">
        <v>7648</v>
      </c>
      <c r="I2476" s="43">
        <v>12</v>
      </c>
      <c r="J2476" s="44" t="str">
        <f>VLOOKUP(G2476,[1]硬件清单!$F:$F,1,0)</f>
        <v>CNG230S9L8</v>
      </c>
      <c r="K2476" s="43"/>
      <c r="L2476" s="44"/>
      <c r="M2476" s="45" t="s">
        <v>7649</v>
      </c>
    </row>
    <row r="2477" s="26" customFormat="1" ht="30" customHeight="1" spans="1:13">
      <c r="A2477" s="41">
        <f>IF(C2477="","",SUBTOTAL(103,$C$2:C2477))</f>
        <v>2468</v>
      </c>
      <c r="B2477" s="41">
        <v>10405</v>
      </c>
      <c r="C2477" s="46">
        <v>6372</v>
      </c>
      <c r="D2477" s="46" t="s">
        <v>45</v>
      </c>
      <c r="E2477" s="46" t="s">
        <v>1298</v>
      </c>
      <c r="F2477" s="46" t="s">
        <v>7272</v>
      </c>
      <c r="G2477" s="41" t="s">
        <v>7650</v>
      </c>
      <c r="H2477" s="41" t="s">
        <v>7651</v>
      </c>
      <c r="I2477" s="43">
        <v>12</v>
      </c>
      <c r="J2477" s="44" t="str">
        <f>VLOOKUP(G2477,[1]硬件清单!$F:$F,1,0)</f>
        <v>CNG230S9K3</v>
      </c>
      <c r="K2477" s="43"/>
      <c r="L2477" s="44"/>
      <c r="M2477" s="45" t="s">
        <v>7652</v>
      </c>
    </row>
    <row r="2478" s="26" customFormat="1" ht="30" customHeight="1" spans="1:13">
      <c r="A2478" s="41">
        <f>IF(C2478="","",SUBTOTAL(103,$C$2:C2478))</f>
        <v>2469</v>
      </c>
      <c r="B2478" s="41">
        <v>10406</v>
      </c>
      <c r="C2478" s="46">
        <v>6373</v>
      </c>
      <c r="D2478" s="46" t="s">
        <v>45</v>
      </c>
      <c r="E2478" s="46" t="s">
        <v>1298</v>
      </c>
      <c r="F2478" s="46" t="s">
        <v>7272</v>
      </c>
      <c r="G2478" s="41" t="s">
        <v>7653</v>
      </c>
      <c r="H2478" s="41" t="s">
        <v>7654</v>
      </c>
      <c r="I2478" s="43">
        <v>12</v>
      </c>
      <c r="J2478" s="44" t="str">
        <f>VLOOKUP(G2478,[1]硬件清单!$F:$F,1,0)</f>
        <v>CNG230S9QN</v>
      </c>
      <c r="K2478" s="43"/>
      <c r="L2478" s="44"/>
      <c r="M2478" s="45" t="s">
        <v>7655</v>
      </c>
    </row>
    <row r="2479" s="26" customFormat="1" ht="30" customHeight="1" spans="1:13">
      <c r="A2479" s="41">
        <f>IF(C2479="","",SUBTOTAL(103,$C$2:C2479))</f>
        <v>2470</v>
      </c>
      <c r="B2479" s="41">
        <v>10407</v>
      </c>
      <c r="C2479" s="46">
        <v>6374</v>
      </c>
      <c r="D2479" s="46" t="s">
        <v>45</v>
      </c>
      <c r="E2479" s="46" t="s">
        <v>1298</v>
      </c>
      <c r="F2479" s="46" t="s">
        <v>7272</v>
      </c>
      <c r="G2479" s="41" t="s">
        <v>7656</v>
      </c>
      <c r="H2479" s="41" t="s">
        <v>7657</v>
      </c>
      <c r="I2479" s="43">
        <v>12</v>
      </c>
      <c r="J2479" s="44" t="str">
        <f>VLOOKUP(G2479,[1]硬件清单!$F:$F,1,0)</f>
        <v>CNG230S9R3</v>
      </c>
      <c r="K2479" s="43"/>
      <c r="L2479" s="44"/>
      <c r="M2479" s="45" t="s">
        <v>7658</v>
      </c>
    </row>
    <row r="2480" s="26" customFormat="1" ht="30" customHeight="1" spans="1:13">
      <c r="A2480" s="41">
        <f>IF(C2480="","",SUBTOTAL(103,$C$2:C2480))</f>
        <v>2471</v>
      </c>
      <c r="B2480" s="41">
        <v>10408</v>
      </c>
      <c r="C2480" s="46">
        <v>6375</v>
      </c>
      <c r="D2480" s="46" t="s">
        <v>45</v>
      </c>
      <c r="E2480" s="46" t="s">
        <v>1298</v>
      </c>
      <c r="F2480" s="46" t="s">
        <v>7272</v>
      </c>
      <c r="G2480" s="41" t="s">
        <v>7659</v>
      </c>
      <c r="H2480" s="41" t="s">
        <v>7660</v>
      </c>
      <c r="I2480" s="43">
        <v>12</v>
      </c>
      <c r="J2480" s="44" t="str">
        <f>VLOOKUP(G2480,[1]硬件清单!$F:$F,1,0)</f>
        <v>CNG230S9QZ</v>
      </c>
      <c r="K2480" s="43"/>
      <c r="L2480" s="44"/>
      <c r="M2480" s="45" t="s">
        <v>7661</v>
      </c>
    </row>
    <row r="2481" s="26" customFormat="1" ht="30" customHeight="1" spans="1:13">
      <c r="A2481" s="41">
        <f>IF(C2481="","",SUBTOTAL(103,$C$2:C2481))</f>
        <v>2472</v>
      </c>
      <c r="B2481" s="41">
        <v>10409</v>
      </c>
      <c r="C2481" s="41">
        <v>6361</v>
      </c>
      <c r="D2481" s="41" t="s">
        <v>45</v>
      </c>
      <c r="E2481" s="41" t="s">
        <v>1298</v>
      </c>
      <c r="F2481" s="41" t="s">
        <v>7272</v>
      </c>
      <c r="G2481" s="41" t="s">
        <v>7662</v>
      </c>
      <c r="H2481" s="41" t="s">
        <v>7663</v>
      </c>
      <c r="I2481" s="43">
        <v>12</v>
      </c>
      <c r="J2481" s="44" t="str">
        <f>VLOOKUP(G2481,[1]硬件清单!$F:$F,1,0)</f>
        <v>CNG230S9H9</v>
      </c>
      <c r="K2481" s="43"/>
      <c r="L2481" s="44"/>
      <c r="M2481" s="45" t="s">
        <v>7664</v>
      </c>
    </row>
    <row r="2482" s="26" customFormat="1" ht="30" customHeight="1" spans="1:13">
      <c r="A2482" s="41">
        <f>IF(C2482="","",SUBTOTAL(103,$C$2:C2482))</f>
        <v>2473</v>
      </c>
      <c r="B2482" s="41">
        <v>10410</v>
      </c>
      <c r="C2482" s="41">
        <v>6362</v>
      </c>
      <c r="D2482" s="41" t="s">
        <v>45</v>
      </c>
      <c r="E2482" s="41" t="s">
        <v>1298</v>
      </c>
      <c r="F2482" s="41" t="s">
        <v>7272</v>
      </c>
      <c r="G2482" s="41" t="s">
        <v>7665</v>
      </c>
      <c r="H2482" s="41" t="s">
        <v>7666</v>
      </c>
      <c r="I2482" s="43">
        <v>12</v>
      </c>
      <c r="J2482" s="44" t="str">
        <f>VLOOKUP(G2482,[1]硬件清单!$F:$F,1,0)</f>
        <v>CNG230S9NX</v>
      </c>
      <c r="K2482" s="43"/>
      <c r="L2482" s="44"/>
      <c r="M2482" s="45" t="s">
        <v>7667</v>
      </c>
    </row>
    <row r="2483" s="26" customFormat="1" ht="30" customHeight="1" spans="1:13">
      <c r="A2483" s="41">
        <f>IF(C2483="","",SUBTOTAL(103,$C$2:C2483))</f>
        <v>2474</v>
      </c>
      <c r="B2483" s="41">
        <v>10411</v>
      </c>
      <c r="C2483" s="41">
        <v>6363</v>
      </c>
      <c r="D2483" s="41" t="s">
        <v>45</v>
      </c>
      <c r="E2483" s="41" t="s">
        <v>1298</v>
      </c>
      <c r="F2483" s="41" t="s">
        <v>7272</v>
      </c>
      <c r="G2483" s="41" t="s">
        <v>7668</v>
      </c>
      <c r="H2483" s="41" t="s">
        <v>7669</v>
      </c>
      <c r="I2483" s="43">
        <v>12</v>
      </c>
      <c r="J2483" s="44" t="str">
        <f>VLOOKUP(G2483,[1]硬件清单!$F:$F,1,0)</f>
        <v>CNG230S9QO</v>
      </c>
      <c r="K2483" s="43"/>
      <c r="L2483" s="44"/>
      <c r="M2483" s="45" t="s">
        <v>7670</v>
      </c>
    </row>
    <row r="2484" s="26" customFormat="1" ht="30" customHeight="1" spans="1:13">
      <c r="A2484" s="41">
        <f>IF(C2484="","",SUBTOTAL(103,$C$2:C2484))</f>
        <v>2475</v>
      </c>
      <c r="B2484" s="41">
        <v>10412</v>
      </c>
      <c r="C2484" s="41">
        <v>6364</v>
      </c>
      <c r="D2484" s="41" t="s">
        <v>45</v>
      </c>
      <c r="E2484" s="41" t="s">
        <v>1298</v>
      </c>
      <c r="F2484" s="41" t="s">
        <v>7272</v>
      </c>
      <c r="G2484" s="41" t="s">
        <v>7671</v>
      </c>
      <c r="H2484" s="41" t="s">
        <v>7672</v>
      </c>
      <c r="I2484" s="43">
        <v>12</v>
      </c>
      <c r="J2484" s="44" t="str">
        <f>VLOOKUP(G2484,[1]硬件清单!$F:$F,1,0)</f>
        <v>CNG230S9SO</v>
      </c>
      <c r="K2484" s="43"/>
      <c r="L2484" s="44"/>
      <c r="M2484" s="45" t="s">
        <v>7673</v>
      </c>
    </row>
    <row r="2485" s="26" customFormat="1" ht="30" customHeight="1" spans="1:13">
      <c r="A2485" s="41">
        <f>IF(C2485="","",SUBTOTAL(103,$C$2:C2485))</f>
        <v>2476</v>
      </c>
      <c r="B2485" s="41">
        <v>10413</v>
      </c>
      <c r="C2485" s="41">
        <v>6365</v>
      </c>
      <c r="D2485" s="41" t="s">
        <v>45</v>
      </c>
      <c r="E2485" s="41" t="s">
        <v>1298</v>
      </c>
      <c r="F2485" s="41" t="s">
        <v>7272</v>
      </c>
      <c r="G2485" s="41" t="s">
        <v>7674</v>
      </c>
      <c r="H2485" s="41" t="s">
        <v>7675</v>
      </c>
      <c r="I2485" s="43">
        <v>12</v>
      </c>
      <c r="J2485" s="44" t="str">
        <f>VLOOKUP(G2485,[1]硬件清单!$F:$F,1,0)</f>
        <v>CNG230S9Q6</v>
      </c>
      <c r="K2485" s="43"/>
      <c r="L2485" s="44"/>
      <c r="M2485" s="45" t="s">
        <v>7676</v>
      </c>
    </row>
    <row r="2486" s="26" customFormat="1" ht="30" customHeight="1" spans="1:13">
      <c r="A2486" s="41">
        <f>IF(C2486="","",SUBTOTAL(103,$C$2:C2486))</f>
        <v>2477</v>
      </c>
      <c r="B2486" s="41">
        <v>10414</v>
      </c>
      <c r="C2486" s="41">
        <v>6366</v>
      </c>
      <c r="D2486" s="41" t="s">
        <v>45</v>
      </c>
      <c r="E2486" s="41" t="s">
        <v>1298</v>
      </c>
      <c r="F2486" s="41" t="s">
        <v>7272</v>
      </c>
      <c r="G2486" s="41" t="s">
        <v>7677</v>
      </c>
      <c r="H2486" s="41" t="s">
        <v>7678</v>
      </c>
      <c r="I2486" s="43">
        <v>12</v>
      </c>
      <c r="J2486" s="44" t="str">
        <f>VLOOKUP(G2486,[1]硬件清单!$F:$F,1,0)</f>
        <v>CNG230S9P5</v>
      </c>
      <c r="K2486" s="43"/>
      <c r="L2486" s="44"/>
      <c r="M2486" s="45" t="s">
        <v>7679</v>
      </c>
    </row>
    <row r="2487" s="26" customFormat="1" ht="30" customHeight="1" spans="1:13">
      <c r="A2487" s="41">
        <f>IF(C2487="","",SUBTOTAL(103,$C$2:C2487))</f>
        <v>2478</v>
      </c>
      <c r="B2487" s="41">
        <v>10415</v>
      </c>
      <c r="C2487" s="46">
        <v>6367</v>
      </c>
      <c r="D2487" s="46" t="s">
        <v>45</v>
      </c>
      <c r="E2487" s="46" t="s">
        <v>1298</v>
      </c>
      <c r="F2487" s="46" t="s">
        <v>7272</v>
      </c>
      <c r="G2487" s="41" t="s">
        <v>7680</v>
      </c>
      <c r="H2487" s="41" t="s">
        <v>7681</v>
      </c>
      <c r="I2487" s="43">
        <v>12</v>
      </c>
      <c r="J2487" s="44" t="str">
        <f>VLOOKUP(G2487,[1]硬件清单!$F:$F,1,0)</f>
        <v>CNG230S9JJ</v>
      </c>
      <c r="K2487" s="43"/>
      <c r="L2487" s="44"/>
      <c r="M2487" s="45" t="s">
        <v>7682</v>
      </c>
    </row>
    <row r="2488" s="26" customFormat="1" ht="30" customHeight="1" spans="1:13">
      <c r="A2488" s="41">
        <f>IF(C2488="","",SUBTOTAL(103,$C$2:C2488))</f>
        <v>2479</v>
      </c>
      <c r="B2488" s="41">
        <v>10416</v>
      </c>
      <c r="C2488" s="46">
        <v>6368</v>
      </c>
      <c r="D2488" s="46" t="s">
        <v>45</v>
      </c>
      <c r="E2488" s="46" t="s">
        <v>1298</v>
      </c>
      <c r="F2488" s="46" t="s">
        <v>7272</v>
      </c>
      <c r="G2488" s="41" t="s">
        <v>7683</v>
      </c>
      <c r="H2488" s="41" t="s">
        <v>7684</v>
      </c>
      <c r="I2488" s="43">
        <v>12</v>
      </c>
      <c r="J2488" s="44" t="str">
        <f>VLOOKUP(G2488,[1]硬件清单!$F:$F,1,0)</f>
        <v>CNG230S9KC</v>
      </c>
      <c r="K2488" s="43"/>
      <c r="L2488" s="44"/>
      <c r="M2488" s="45" t="s">
        <v>7685</v>
      </c>
    </row>
    <row r="2489" s="26" customFormat="1" ht="30" customHeight="1" spans="1:13">
      <c r="A2489" s="41">
        <f>IF(C2489="","",SUBTOTAL(103,$C$2:C2489))</f>
        <v>2480</v>
      </c>
      <c r="B2489" s="41">
        <v>10417</v>
      </c>
      <c r="C2489" s="41">
        <v>6376</v>
      </c>
      <c r="D2489" s="41" t="s">
        <v>45</v>
      </c>
      <c r="E2489" s="41" t="s">
        <v>1298</v>
      </c>
      <c r="F2489" s="41" t="s">
        <v>7272</v>
      </c>
      <c r="G2489" s="41" t="s">
        <v>7686</v>
      </c>
      <c r="H2489" s="41" t="s">
        <v>7687</v>
      </c>
      <c r="I2489" s="43">
        <v>12</v>
      </c>
      <c r="J2489" s="44" t="str">
        <f>VLOOKUP(G2489,[1]硬件清单!$F:$F,1,0)</f>
        <v>CNG230S9M3</v>
      </c>
      <c r="K2489" s="43"/>
      <c r="L2489" s="44"/>
      <c r="M2489" s="45" t="s">
        <v>7688</v>
      </c>
    </row>
    <row r="2490" s="26" customFormat="1" ht="30" customHeight="1" spans="1:13">
      <c r="A2490" s="41">
        <f>IF(C2490="","",SUBTOTAL(103,$C$2:C2490))</f>
        <v>2481</v>
      </c>
      <c r="B2490" s="41">
        <v>10418</v>
      </c>
      <c r="C2490" s="41">
        <v>6528</v>
      </c>
      <c r="D2490" s="41" t="s">
        <v>45</v>
      </c>
      <c r="E2490" s="41" t="s">
        <v>1298</v>
      </c>
      <c r="F2490" s="41" t="s">
        <v>7272</v>
      </c>
      <c r="G2490" s="41" t="s">
        <v>7689</v>
      </c>
      <c r="H2490" s="41" t="s">
        <v>7690</v>
      </c>
      <c r="I2490" s="43">
        <v>12</v>
      </c>
      <c r="J2490" s="44" t="str">
        <f>VLOOKUP(G2490,[1]硬件清单!$F:$F,1,0)</f>
        <v>CNG230S97W</v>
      </c>
      <c r="K2490" s="43"/>
      <c r="L2490" s="44"/>
      <c r="M2490" s="45" t="s">
        <v>7691</v>
      </c>
    </row>
    <row r="2491" s="26" customFormat="1" ht="30" customHeight="1" spans="1:13">
      <c r="A2491" s="41">
        <f>IF(C2491="","",SUBTOTAL(103,$C$2:C2491))</f>
        <v>2482</v>
      </c>
      <c r="B2491" s="41">
        <v>10419</v>
      </c>
      <c r="C2491" s="41">
        <v>6377</v>
      </c>
      <c r="D2491" s="41" t="s">
        <v>45</v>
      </c>
      <c r="E2491" s="41" t="s">
        <v>1298</v>
      </c>
      <c r="F2491" s="41" t="s">
        <v>7272</v>
      </c>
      <c r="G2491" s="41" t="s">
        <v>7692</v>
      </c>
      <c r="H2491" s="41" t="s">
        <v>7693</v>
      </c>
      <c r="I2491" s="43">
        <v>12</v>
      </c>
      <c r="J2491" s="44" t="str">
        <f>VLOOKUP(G2491,[1]硬件清单!$F:$F,1,0)</f>
        <v>CNG230S9NV</v>
      </c>
      <c r="K2491" s="43"/>
      <c r="L2491" s="44"/>
      <c r="M2491" s="45" t="s">
        <v>7694</v>
      </c>
    </row>
    <row r="2492" s="26" customFormat="1" ht="30" customHeight="1" spans="1:13">
      <c r="A2492" s="41">
        <f>IF(C2492="","",SUBTOTAL(103,$C$2:C2492))</f>
        <v>2483</v>
      </c>
      <c r="B2492" s="41">
        <v>10420</v>
      </c>
      <c r="C2492" s="41">
        <v>6378</v>
      </c>
      <c r="D2492" s="41" t="s">
        <v>45</v>
      </c>
      <c r="E2492" s="41" t="s">
        <v>1298</v>
      </c>
      <c r="F2492" s="41" t="s">
        <v>7272</v>
      </c>
      <c r="G2492" s="41" t="s">
        <v>7695</v>
      </c>
      <c r="H2492" s="41" t="s">
        <v>7696</v>
      </c>
      <c r="I2492" s="43">
        <v>12</v>
      </c>
      <c r="J2492" s="44" t="str">
        <f>VLOOKUP(G2492,[1]硬件清单!$F:$F,1,0)</f>
        <v>CNG230S9LZ</v>
      </c>
      <c r="K2492" s="43"/>
      <c r="L2492" s="44"/>
      <c r="M2492" s="45" t="s">
        <v>7697</v>
      </c>
    </row>
    <row r="2493" s="26" customFormat="1" ht="30" customHeight="1" spans="1:13">
      <c r="A2493" s="41">
        <f>IF(C2493="","",SUBTOTAL(103,$C$2:C2493))</f>
        <v>2484</v>
      </c>
      <c r="B2493" s="41">
        <v>10421</v>
      </c>
      <c r="C2493" s="41">
        <v>6379</v>
      </c>
      <c r="D2493" s="41" t="s">
        <v>45</v>
      </c>
      <c r="E2493" s="41" t="s">
        <v>1298</v>
      </c>
      <c r="F2493" s="41" t="s">
        <v>7272</v>
      </c>
      <c r="G2493" s="41" t="s">
        <v>7698</v>
      </c>
      <c r="H2493" s="41" t="s">
        <v>7699</v>
      </c>
      <c r="I2493" s="43">
        <v>12</v>
      </c>
      <c r="J2493" s="44" t="str">
        <f>VLOOKUP(G2493,[1]硬件清单!$F:$F,1,0)</f>
        <v>CNG230S9PH</v>
      </c>
      <c r="K2493" s="43"/>
      <c r="L2493" s="44"/>
      <c r="M2493" s="45" t="s">
        <v>7700</v>
      </c>
    </row>
    <row r="2494" s="26" customFormat="1" ht="30" customHeight="1" spans="1:13">
      <c r="A2494" s="41">
        <f>IF(C2494="","",SUBTOTAL(103,$C$2:C2494))</f>
        <v>2485</v>
      </c>
      <c r="B2494" s="41">
        <v>10422</v>
      </c>
      <c r="C2494" s="41">
        <v>6380</v>
      </c>
      <c r="D2494" s="41" t="s">
        <v>45</v>
      </c>
      <c r="E2494" s="41" t="s">
        <v>1298</v>
      </c>
      <c r="F2494" s="41" t="s">
        <v>7272</v>
      </c>
      <c r="G2494" s="41" t="s">
        <v>7701</v>
      </c>
      <c r="H2494" s="41" t="s">
        <v>7702</v>
      </c>
      <c r="I2494" s="43">
        <v>12</v>
      </c>
      <c r="J2494" s="44" t="str">
        <f>VLOOKUP(G2494,[1]硬件清单!$F:$F,1,0)</f>
        <v>CNG230S9P9</v>
      </c>
      <c r="K2494" s="43"/>
      <c r="L2494" s="44"/>
      <c r="M2494" s="45" t="s">
        <v>7703</v>
      </c>
    </row>
    <row r="2495" s="26" customFormat="1" ht="30" customHeight="1" spans="1:13">
      <c r="A2495" s="41">
        <f>IF(C2495="","",SUBTOTAL(103,$C$2:C2495))</f>
        <v>2486</v>
      </c>
      <c r="B2495" s="41">
        <v>10423</v>
      </c>
      <c r="C2495" s="41">
        <v>6381</v>
      </c>
      <c r="D2495" s="41" t="s">
        <v>45</v>
      </c>
      <c r="E2495" s="41" t="s">
        <v>1298</v>
      </c>
      <c r="F2495" s="41" t="s">
        <v>7272</v>
      </c>
      <c r="G2495" s="41" t="s">
        <v>7704</v>
      </c>
      <c r="H2495" s="41" t="s">
        <v>7705</v>
      </c>
      <c r="I2495" s="43">
        <v>12</v>
      </c>
      <c r="J2495" s="44" t="str">
        <f>VLOOKUP(G2495,[1]硬件清单!$F:$F,1,0)</f>
        <v>CNG230S9LJ</v>
      </c>
      <c r="K2495" s="43"/>
      <c r="L2495" s="44"/>
      <c r="M2495" s="45" t="s">
        <v>7706</v>
      </c>
    </row>
    <row r="2496" s="26" customFormat="1" ht="30" customHeight="1" spans="1:13">
      <c r="A2496" s="41">
        <f>IF(C2496="","",SUBTOTAL(103,$C$2:C2496))</f>
        <v>2487</v>
      </c>
      <c r="B2496" s="41">
        <v>10424</v>
      </c>
      <c r="C2496" s="41">
        <v>6382</v>
      </c>
      <c r="D2496" s="41" t="s">
        <v>45</v>
      </c>
      <c r="E2496" s="41" t="s">
        <v>1298</v>
      </c>
      <c r="F2496" s="41" t="s">
        <v>7272</v>
      </c>
      <c r="G2496" s="41" t="s">
        <v>7707</v>
      </c>
      <c r="H2496" s="41" t="s">
        <v>7708</v>
      </c>
      <c r="I2496" s="43">
        <v>12</v>
      </c>
      <c r="J2496" s="44" t="str">
        <f>VLOOKUP(G2496,[1]硬件清单!$F:$F,1,0)</f>
        <v>CNG230S9QV</v>
      </c>
      <c r="K2496" s="43"/>
      <c r="L2496" s="44"/>
      <c r="M2496" s="45" t="s">
        <v>7709</v>
      </c>
    </row>
    <row r="2497" s="26" customFormat="1" ht="30" customHeight="1" spans="1:13">
      <c r="A2497" s="41">
        <f>IF(C2497="","",SUBTOTAL(103,$C$2:C2497))</f>
        <v>2488</v>
      </c>
      <c r="B2497" s="41">
        <v>10425</v>
      </c>
      <c r="C2497" s="41">
        <v>6383</v>
      </c>
      <c r="D2497" s="41" t="s">
        <v>45</v>
      </c>
      <c r="E2497" s="41" t="s">
        <v>1298</v>
      </c>
      <c r="F2497" s="41" t="s">
        <v>7272</v>
      </c>
      <c r="G2497" s="41" t="s">
        <v>7710</v>
      </c>
      <c r="H2497" s="41" t="s">
        <v>7711</v>
      </c>
      <c r="I2497" s="43">
        <v>12</v>
      </c>
      <c r="J2497" s="44" t="str">
        <f>VLOOKUP(G2497,[1]硬件清单!$F:$F,1,0)</f>
        <v>CNG230S9H7</v>
      </c>
      <c r="K2497" s="43"/>
      <c r="L2497" s="44"/>
      <c r="M2497" s="45" t="s">
        <v>7712</v>
      </c>
    </row>
    <row r="2498" s="26" customFormat="1" ht="30" customHeight="1" spans="1:13">
      <c r="A2498" s="41">
        <f>IF(C2498="","",SUBTOTAL(103,$C$2:C2498))</f>
        <v>2489</v>
      </c>
      <c r="B2498" s="41">
        <v>10426</v>
      </c>
      <c r="C2498" s="41">
        <v>6532</v>
      </c>
      <c r="D2498" s="41" t="s">
        <v>45</v>
      </c>
      <c r="E2498" s="41" t="s">
        <v>1298</v>
      </c>
      <c r="F2498" s="41" t="s">
        <v>7272</v>
      </c>
      <c r="G2498" s="41" t="s">
        <v>7713</v>
      </c>
      <c r="H2498" s="41" t="s">
        <v>7714</v>
      </c>
      <c r="I2498" s="43">
        <v>12</v>
      </c>
      <c r="J2498" s="44" t="str">
        <f>VLOOKUP(G2498,[1]硬件清单!$F:$F,1,0)</f>
        <v>CNG230S9RY</v>
      </c>
      <c r="K2498" s="43"/>
      <c r="L2498" s="44"/>
      <c r="M2498" s="45" t="s">
        <v>7715</v>
      </c>
    </row>
    <row r="2499" s="26" customFormat="1" ht="30" customHeight="1" spans="1:13">
      <c r="A2499" s="41">
        <f>IF(C2499="","",SUBTOTAL(103,$C$2:C2499))</f>
        <v>2490</v>
      </c>
      <c r="B2499" s="41">
        <v>10453</v>
      </c>
      <c r="C2499" s="41">
        <v>7326</v>
      </c>
      <c r="D2499" s="41" t="s">
        <v>19</v>
      </c>
      <c r="E2499" s="41" t="s">
        <v>20</v>
      </c>
      <c r="F2499" s="41" t="s">
        <v>7249</v>
      </c>
      <c r="G2499" s="41" t="s">
        <v>7716</v>
      </c>
      <c r="H2499" s="41" t="s">
        <v>7717</v>
      </c>
      <c r="I2499" s="43">
        <v>12</v>
      </c>
      <c r="J2499" s="44" t="str">
        <f>VLOOKUP(G2499,[1]硬件清单!$F:$F,1,0)</f>
        <v>FDO1630P0LZ</v>
      </c>
      <c r="K2499" s="43"/>
      <c r="L2499" s="44"/>
      <c r="M2499" s="45" t="s">
        <v>7718</v>
      </c>
    </row>
    <row r="2500" s="26" customFormat="1" ht="30" customHeight="1" spans="1:13">
      <c r="A2500" s="41">
        <f>IF(C2500="","",SUBTOTAL(103,$C$2:C2500))</f>
        <v>2491</v>
      </c>
      <c r="B2500" s="41">
        <v>10454</v>
      </c>
      <c r="C2500" s="41">
        <v>7327</v>
      </c>
      <c r="D2500" s="41" t="s">
        <v>19</v>
      </c>
      <c r="E2500" s="41" t="s">
        <v>20</v>
      </c>
      <c r="F2500" s="41" t="s">
        <v>7249</v>
      </c>
      <c r="G2500" s="41" t="s">
        <v>7719</v>
      </c>
      <c r="H2500" s="41" t="s">
        <v>7720</v>
      </c>
      <c r="I2500" s="43">
        <v>12</v>
      </c>
      <c r="J2500" s="44" t="str">
        <f>VLOOKUP(G2500,[1]硬件清单!$F:$F,1,0)</f>
        <v>FDO1630R19F</v>
      </c>
      <c r="K2500" s="43"/>
      <c r="L2500" s="44"/>
      <c r="M2500" s="45" t="s">
        <v>7718</v>
      </c>
    </row>
    <row r="2501" s="26" customFormat="1" ht="30" customHeight="1" spans="1:13">
      <c r="A2501" s="41">
        <f>IF(C2501="","",SUBTOTAL(103,$C$2:C2501))</f>
        <v>2492</v>
      </c>
      <c r="B2501" s="41">
        <v>10455</v>
      </c>
      <c r="C2501" s="41">
        <v>7359</v>
      </c>
      <c r="D2501" s="41" t="s">
        <v>19</v>
      </c>
      <c r="E2501" s="41" t="s">
        <v>20</v>
      </c>
      <c r="F2501" s="41" t="s">
        <v>7253</v>
      </c>
      <c r="G2501" s="41" t="s">
        <v>7721</v>
      </c>
      <c r="H2501" s="41" t="s">
        <v>7722</v>
      </c>
      <c r="I2501" s="43">
        <v>12</v>
      </c>
      <c r="J2501" s="44" t="str">
        <f>VLOOKUP(G2501,[1]硬件清单!$F:$F,1,0)</f>
        <v>210235A0HAH126000124</v>
      </c>
      <c r="K2501" s="43"/>
      <c r="L2501" s="44"/>
      <c r="M2501" s="45" t="s">
        <v>7723</v>
      </c>
    </row>
    <row r="2502" s="26" customFormat="1" ht="30" customHeight="1" spans="1:13">
      <c r="A2502" s="41">
        <f>IF(C2502="","",SUBTOTAL(103,$C$2:C2502))</f>
        <v>2493</v>
      </c>
      <c r="B2502" s="41">
        <v>10456</v>
      </c>
      <c r="C2502" s="41">
        <v>7360</v>
      </c>
      <c r="D2502" s="41" t="s">
        <v>19</v>
      </c>
      <c r="E2502" s="41" t="s">
        <v>20</v>
      </c>
      <c r="F2502" s="41" t="s">
        <v>7253</v>
      </c>
      <c r="G2502" s="41" t="s">
        <v>7724</v>
      </c>
      <c r="H2502" s="41" t="s">
        <v>7725</v>
      </c>
      <c r="I2502" s="43">
        <v>12</v>
      </c>
      <c r="J2502" s="44" t="str">
        <f>VLOOKUP(G2502,[1]硬件清单!$F:$F,1,0)</f>
        <v>210235A0HAH127000015</v>
      </c>
      <c r="K2502" s="43"/>
      <c r="L2502" s="44"/>
      <c r="M2502" s="45" t="s">
        <v>7726</v>
      </c>
    </row>
    <row r="2503" s="26" customFormat="1" ht="30" customHeight="1" spans="1:13">
      <c r="A2503" s="41">
        <f>IF(C2503="","",SUBTOTAL(103,$C$2:C2503))</f>
        <v>2494</v>
      </c>
      <c r="B2503" s="41">
        <v>10459</v>
      </c>
      <c r="C2503" s="41">
        <v>7408</v>
      </c>
      <c r="D2503" s="41" t="s">
        <v>19</v>
      </c>
      <c r="E2503" s="41" t="s">
        <v>20</v>
      </c>
      <c r="F2503" s="41" t="s">
        <v>7727</v>
      </c>
      <c r="G2503" s="41" t="s">
        <v>7728</v>
      </c>
      <c r="H2503" s="41" t="s">
        <v>7729</v>
      </c>
      <c r="I2503" s="43">
        <v>12</v>
      </c>
      <c r="J2503" s="44" t="str">
        <f>VLOOKUP(G2503,[1]硬件清单!$F:$F,1,0)</f>
        <v>210235A1DWH149000084</v>
      </c>
      <c r="K2503" s="43"/>
      <c r="L2503" s="44"/>
      <c r="M2503" s="45" t="s">
        <v>7730</v>
      </c>
    </row>
    <row r="2504" s="26" customFormat="1" ht="30" customHeight="1" spans="1:13">
      <c r="A2504" s="41">
        <f>IF(C2504="","",SUBTOTAL(103,$C$2:C2504))</f>
        <v>2495</v>
      </c>
      <c r="B2504" s="41">
        <v>10460</v>
      </c>
      <c r="C2504" s="41">
        <v>7407</v>
      </c>
      <c r="D2504" s="41" t="s">
        <v>19</v>
      </c>
      <c r="E2504" s="41" t="s">
        <v>20</v>
      </c>
      <c r="F2504" s="41" t="s">
        <v>7727</v>
      </c>
      <c r="G2504" s="41" t="s">
        <v>7731</v>
      </c>
      <c r="H2504" s="41" t="s">
        <v>7732</v>
      </c>
      <c r="I2504" s="43">
        <v>12</v>
      </c>
      <c r="J2504" s="44" t="str">
        <f>VLOOKUP(G2504,[1]硬件清单!$F:$F,1,0)</f>
        <v>210235A1DWH149000113</v>
      </c>
      <c r="K2504" s="43"/>
      <c r="L2504" s="44"/>
      <c r="M2504" s="45" t="s">
        <v>7733</v>
      </c>
    </row>
    <row r="2505" s="26" customFormat="1" ht="30" customHeight="1" spans="1:13">
      <c r="A2505" s="41">
        <f>IF(C2505="","",SUBTOTAL(103,$C$2:C2505))</f>
        <v>2496</v>
      </c>
      <c r="B2505" s="41">
        <v>10461</v>
      </c>
      <c r="C2505" s="41">
        <v>6318</v>
      </c>
      <c r="D2505" s="41" t="s">
        <v>45</v>
      </c>
      <c r="E2505" s="41" t="s">
        <v>1298</v>
      </c>
      <c r="F2505" s="41" t="s">
        <v>7734</v>
      </c>
      <c r="G2505" s="41" t="s">
        <v>7735</v>
      </c>
      <c r="H2505" s="41" t="s">
        <v>7736</v>
      </c>
      <c r="I2505" s="43">
        <v>12</v>
      </c>
      <c r="J2505" s="44" t="str">
        <f>VLOOKUP(G2505,[1]硬件清单!$F:$F,1,0)</f>
        <v>06ACNR3</v>
      </c>
      <c r="K2505" s="43"/>
      <c r="L2505" s="44"/>
      <c r="M2505" s="45" t="s">
        <v>7737</v>
      </c>
    </row>
    <row r="2506" s="26" customFormat="1" ht="30" customHeight="1" spans="1:13">
      <c r="A2506" s="41">
        <f>IF(C2506="","",SUBTOTAL(103,$C$2:C2506))</f>
        <v>2497</v>
      </c>
      <c r="B2506" s="41">
        <v>10462</v>
      </c>
      <c r="C2506" s="41">
        <v>6327</v>
      </c>
      <c r="D2506" s="41" t="s">
        <v>45</v>
      </c>
      <c r="E2506" s="41" t="s">
        <v>1298</v>
      </c>
      <c r="F2506" s="41" t="s">
        <v>7734</v>
      </c>
      <c r="G2506" s="41" t="s">
        <v>7738</v>
      </c>
      <c r="H2506" s="41" t="s">
        <v>7739</v>
      </c>
      <c r="I2506" s="43">
        <v>12</v>
      </c>
      <c r="J2506" s="44" t="str">
        <f>VLOOKUP(G2506,[1]硬件清单!$F:$F,1,0)</f>
        <v>06ACNL8</v>
      </c>
      <c r="K2506" s="43"/>
      <c r="L2506" s="44"/>
      <c r="M2506" s="45" t="s">
        <v>7740</v>
      </c>
    </row>
    <row r="2507" s="26" customFormat="1" ht="30" customHeight="1" spans="1:13">
      <c r="A2507" s="41">
        <f>IF(C2507="","",SUBTOTAL(103,$C$2:C2507))</f>
        <v>2498</v>
      </c>
      <c r="B2507" s="41">
        <v>10463</v>
      </c>
      <c r="C2507" s="41">
        <v>6191</v>
      </c>
      <c r="D2507" s="41" t="s">
        <v>45</v>
      </c>
      <c r="E2507" s="41" t="s">
        <v>1298</v>
      </c>
      <c r="F2507" s="41" t="s">
        <v>7734</v>
      </c>
      <c r="G2507" s="41" t="s">
        <v>7741</v>
      </c>
      <c r="H2507" s="41" t="s">
        <v>7742</v>
      </c>
      <c r="I2507" s="43">
        <v>12</v>
      </c>
      <c r="J2507" s="44" t="str">
        <f>VLOOKUP(G2507,[1]硬件清单!$F:$F,1,0)</f>
        <v>06ACPT1</v>
      </c>
      <c r="K2507" s="43"/>
      <c r="L2507" s="44"/>
      <c r="M2507" s="45" t="s">
        <v>7743</v>
      </c>
    </row>
    <row r="2508" s="26" customFormat="1" ht="30" customHeight="1" spans="1:13">
      <c r="A2508" s="41">
        <f>IF(C2508="","",SUBTOTAL(103,$C$2:C2508))</f>
        <v>2499</v>
      </c>
      <c r="B2508" s="41">
        <v>10464</v>
      </c>
      <c r="C2508" s="41">
        <v>6192</v>
      </c>
      <c r="D2508" s="41" t="s">
        <v>45</v>
      </c>
      <c r="E2508" s="41" t="s">
        <v>1298</v>
      </c>
      <c r="F2508" s="41" t="s">
        <v>7734</v>
      </c>
      <c r="G2508" s="41" t="s">
        <v>7744</v>
      </c>
      <c r="H2508" s="41" t="s">
        <v>7745</v>
      </c>
      <c r="I2508" s="43">
        <v>12</v>
      </c>
      <c r="J2508" s="44" t="str">
        <f>VLOOKUP(G2508,[1]硬件清单!$F:$F,1,0)</f>
        <v>06ACPC8</v>
      </c>
      <c r="K2508" s="43"/>
      <c r="L2508" s="44"/>
      <c r="M2508" s="45" t="s">
        <v>7746</v>
      </c>
    </row>
    <row r="2509" s="26" customFormat="1" ht="30" customHeight="1" spans="1:13">
      <c r="A2509" s="41">
        <f>IF(C2509="","",SUBTOTAL(103,$C$2:C2509))</f>
        <v>2500</v>
      </c>
      <c r="B2509" s="41">
        <v>10465</v>
      </c>
      <c r="C2509" s="41">
        <v>6193</v>
      </c>
      <c r="D2509" s="41" t="s">
        <v>45</v>
      </c>
      <c r="E2509" s="41" t="s">
        <v>1298</v>
      </c>
      <c r="F2509" s="41" t="s">
        <v>7734</v>
      </c>
      <c r="G2509" s="41" t="s">
        <v>7747</v>
      </c>
      <c r="H2509" s="41" t="s">
        <v>7748</v>
      </c>
      <c r="I2509" s="43">
        <v>12</v>
      </c>
      <c r="J2509" s="44" t="str">
        <f>VLOOKUP(G2509,[1]硬件清单!$F:$F,1,0)</f>
        <v>06ACPY5</v>
      </c>
      <c r="K2509" s="43"/>
      <c r="L2509" s="44"/>
      <c r="M2509" s="45" t="s">
        <v>7749</v>
      </c>
    </row>
    <row r="2510" s="26" customFormat="1" ht="30" customHeight="1" spans="1:13">
      <c r="A2510" s="41">
        <f>IF(C2510="","",SUBTOTAL(103,$C$2:C2510))</f>
        <v>2501</v>
      </c>
      <c r="B2510" s="41">
        <v>10466</v>
      </c>
      <c r="C2510" s="41">
        <v>6194</v>
      </c>
      <c r="D2510" s="41" t="s">
        <v>45</v>
      </c>
      <c r="E2510" s="41" t="s">
        <v>1298</v>
      </c>
      <c r="F2510" s="41" t="s">
        <v>7734</v>
      </c>
      <c r="G2510" s="41" t="s">
        <v>7750</v>
      </c>
      <c r="H2510" s="41" t="s">
        <v>7751</v>
      </c>
      <c r="I2510" s="43">
        <v>12</v>
      </c>
      <c r="J2510" s="44" t="str">
        <f>VLOOKUP(G2510,[1]硬件清单!$F:$F,1,0)</f>
        <v>06ACNX4</v>
      </c>
      <c r="K2510" s="43"/>
      <c r="L2510" s="44"/>
      <c r="M2510" s="45" t="s">
        <v>7752</v>
      </c>
    </row>
    <row r="2511" s="26" customFormat="1" ht="30" customHeight="1" spans="1:13">
      <c r="A2511" s="41">
        <f>IF(C2511="","",SUBTOTAL(103,$C$2:C2511))</f>
        <v>2502</v>
      </c>
      <c r="B2511" s="41">
        <v>10467</v>
      </c>
      <c r="C2511" s="41">
        <v>6319</v>
      </c>
      <c r="D2511" s="41" t="s">
        <v>45</v>
      </c>
      <c r="E2511" s="41" t="s">
        <v>1298</v>
      </c>
      <c r="F2511" s="41" t="s">
        <v>7734</v>
      </c>
      <c r="G2511" s="41" t="s">
        <v>7753</v>
      </c>
      <c r="H2511" s="41" t="s">
        <v>7754</v>
      </c>
      <c r="I2511" s="43">
        <v>12</v>
      </c>
      <c r="J2511" s="44" t="str">
        <f>VLOOKUP(G2511,[1]硬件清单!$F:$F,1,0)</f>
        <v>06ACNP8</v>
      </c>
      <c r="K2511" s="43"/>
      <c r="L2511" s="44"/>
      <c r="M2511" s="45" t="s">
        <v>7755</v>
      </c>
    </row>
    <row r="2512" s="26" customFormat="1" ht="30" customHeight="1" spans="1:13">
      <c r="A2512" s="41">
        <f>IF(C2512="","",SUBTOTAL(103,$C$2:C2512))</f>
        <v>2503</v>
      </c>
      <c r="B2512" s="41">
        <v>10468</v>
      </c>
      <c r="C2512" s="41">
        <v>6320</v>
      </c>
      <c r="D2512" s="41" t="s">
        <v>45</v>
      </c>
      <c r="E2512" s="41" t="s">
        <v>1298</v>
      </c>
      <c r="F2512" s="41" t="s">
        <v>7734</v>
      </c>
      <c r="G2512" s="41" t="s">
        <v>7756</v>
      </c>
      <c r="H2512" s="41" t="s">
        <v>7757</v>
      </c>
      <c r="I2512" s="43">
        <v>12</v>
      </c>
      <c r="J2512" s="44" t="str">
        <f>VLOOKUP(G2512,[1]硬件清单!$F:$F,1,0)</f>
        <v>06ACNV4</v>
      </c>
      <c r="K2512" s="43"/>
      <c r="L2512" s="44"/>
      <c r="M2512" s="45" t="s">
        <v>7758</v>
      </c>
    </row>
    <row r="2513" s="26" customFormat="1" ht="30" customHeight="1" spans="1:13">
      <c r="A2513" s="41">
        <f>IF(C2513="","",SUBTOTAL(103,$C$2:C2513))</f>
        <v>2504</v>
      </c>
      <c r="B2513" s="41">
        <v>10469</v>
      </c>
      <c r="C2513" s="41">
        <v>6321</v>
      </c>
      <c r="D2513" s="41" t="s">
        <v>45</v>
      </c>
      <c r="E2513" s="41" t="s">
        <v>1298</v>
      </c>
      <c r="F2513" s="41" t="s">
        <v>7734</v>
      </c>
      <c r="G2513" s="41" t="s">
        <v>7759</v>
      </c>
      <c r="H2513" s="41" t="s">
        <v>7760</v>
      </c>
      <c r="I2513" s="43">
        <v>12</v>
      </c>
      <c r="J2513" s="44" t="str">
        <f>VLOOKUP(G2513,[1]硬件清单!$F:$F,1,0)</f>
        <v>06ACNX5</v>
      </c>
      <c r="K2513" s="43"/>
      <c r="L2513" s="44"/>
      <c r="M2513" s="45" t="s">
        <v>7761</v>
      </c>
    </row>
    <row r="2514" s="26" customFormat="1" ht="30" customHeight="1" spans="1:13">
      <c r="A2514" s="41">
        <f>IF(C2514="","",SUBTOTAL(103,$C$2:C2514))</f>
        <v>2505</v>
      </c>
      <c r="B2514" s="41">
        <v>10470</v>
      </c>
      <c r="C2514" s="41">
        <v>6322</v>
      </c>
      <c r="D2514" s="41" t="s">
        <v>45</v>
      </c>
      <c r="E2514" s="41" t="s">
        <v>1298</v>
      </c>
      <c r="F2514" s="41" t="s">
        <v>7734</v>
      </c>
      <c r="G2514" s="41" t="s">
        <v>7762</v>
      </c>
      <c r="H2514" s="41" t="s">
        <v>7763</v>
      </c>
      <c r="I2514" s="43">
        <v>12</v>
      </c>
      <c r="J2514" s="44" t="str">
        <f>VLOOKUP(G2514,[1]硬件清单!$F:$F,1,0)</f>
        <v>06ACPW0</v>
      </c>
      <c r="K2514" s="43"/>
      <c r="L2514" s="44"/>
      <c r="M2514" s="45" t="s">
        <v>7764</v>
      </c>
    </row>
    <row r="2515" s="26" customFormat="1" ht="30" customHeight="1" spans="1:13">
      <c r="A2515" s="41">
        <f>IF(C2515="","",SUBTOTAL(103,$C$2:C2515))</f>
        <v>2506</v>
      </c>
      <c r="B2515" s="41">
        <v>10471</v>
      </c>
      <c r="C2515" s="41">
        <v>6323</v>
      </c>
      <c r="D2515" s="41" t="s">
        <v>45</v>
      </c>
      <c r="E2515" s="41" t="s">
        <v>1298</v>
      </c>
      <c r="F2515" s="41" t="s">
        <v>7734</v>
      </c>
      <c r="G2515" s="41" t="s">
        <v>7765</v>
      </c>
      <c r="H2515" s="41" t="s">
        <v>7766</v>
      </c>
      <c r="I2515" s="43">
        <v>12</v>
      </c>
      <c r="J2515" s="44" t="str">
        <f>VLOOKUP(G2515,[1]硬件清单!$F:$F,1,0)</f>
        <v>06ACNL9</v>
      </c>
      <c r="K2515" s="43"/>
      <c r="L2515" s="44"/>
      <c r="M2515" s="45" t="s">
        <v>7767</v>
      </c>
    </row>
    <row r="2516" s="26" customFormat="1" ht="30" customHeight="1" spans="1:13">
      <c r="A2516" s="41">
        <f>IF(C2516="","",SUBTOTAL(103,$C$2:C2516))</f>
        <v>2507</v>
      </c>
      <c r="B2516" s="41">
        <v>10472</v>
      </c>
      <c r="C2516" s="41">
        <v>6324</v>
      </c>
      <c r="D2516" s="41" t="s">
        <v>45</v>
      </c>
      <c r="E2516" s="41" t="s">
        <v>1298</v>
      </c>
      <c r="F2516" s="41" t="s">
        <v>7734</v>
      </c>
      <c r="G2516" s="41" t="s">
        <v>7768</v>
      </c>
      <c r="H2516" s="41" t="s">
        <v>7769</v>
      </c>
      <c r="I2516" s="43">
        <v>12</v>
      </c>
      <c r="J2516" s="44" t="str">
        <f>VLOOKUP(G2516,[1]硬件清单!$F:$F,1,0)</f>
        <v>06ACPN0</v>
      </c>
      <c r="K2516" s="43"/>
      <c r="L2516" s="44"/>
      <c r="M2516" s="45" t="s">
        <v>7770</v>
      </c>
    </row>
    <row r="2517" s="26" customFormat="1" ht="30" customHeight="1" spans="1:13">
      <c r="A2517" s="41">
        <f>IF(C2517="","",SUBTOTAL(103,$C$2:C2517))</f>
        <v>2508</v>
      </c>
      <c r="B2517" s="41">
        <v>10473</v>
      </c>
      <c r="C2517" s="41">
        <v>6325</v>
      </c>
      <c r="D2517" s="41" t="s">
        <v>45</v>
      </c>
      <c r="E2517" s="41" t="s">
        <v>1298</v>
      </c>
      <c r="F2517" s="41" t="s">
        <v>7734</v>
      </c>
      <c r="G2517" s="41" t="s">
        <v>7771</v>
      </c>
      <c r="H2517" s="41" t="s">
        <v>7772</v>
      </c>
      <c r="I2517" s="43">
        <v>12</v>
      </c>
      <c r="J2517" s="44" t="str">
        <f>VLOOKUP(G2517,[1]硬件清单!$F:$F,1,0)</f>
        <v>06ACNV7</v>
      </c>
      <c r="K2517" s="43"/>
      <c r="L2517" s="44"/>
      <c r="M2517" s="45" t="s">
        <v>7773</v>
      </c>
    </row>
    <row r="2518" s="26" customFormat="1" ht="30" customHeight="1" spans="1:13">
      <c r="A2518" s="41">
        <f>IF(C2518="","",SUBTOTAL(103,$C$2:C2518))</f>
        <v>2509</v>
      </c>
      <c r="B2518" s="41">
        <v>10474</v>
      </c>
      <c r="C2518" s="41">
        <v>6326</v>
      </c>
      <c r="D2518" s="41" t="s">
        <v>45</v>
      </c>
      <c r="E2518" s="41" t="s">
        <v>1298</v>
      </c>
      <c r="F2518" s="41" t="s">
        <v>7734</v>
      </c>
      <c r="G2518" s="41" t="s">
        <v>7774</v>
      </c>
      <c r="H2518" s="41" t="s">
        <v>7775</v>
      </c>
      <c r="I2518" s="43">
        <v>12</v>
      </c>
      <c r="J2518" s="44" t="str">
        <f>VLOOKUP(G2518,[1]硬件清单!$F:$F,1,0)</f>
        <v>06ACPE9</v>
      </c>
      <c r="K2518" s="43"/>
      <c r="L2518" s="44"/>
      <c r="M2518" s="45" t="s">
        <v>7776</v>
      </c>
    </row>
    <row r="2519" s="26" customFormat="1" ht="30" customHeight="1" spans="1:13">
      <c r="A2519" s="41">
        <f>IF(C2519="","",SUBTOTAL(103,$C$2:C2519))</f>
        <v>2510</v>
      </c>
      <c r="B2519" s="41">
        <v>10475</v>
      </c>
      <c r="C2519" s="41">
        <v>6107</v>
      </c>
      <c r="D2519" s="41" t="s">
        <v>45</v>
      </c>
      <c r="E2519" s="41" t="s">
        <v>1298</v>
      </c>
      <c r="F2519" s="41" t="s">
        <v>7734</v>
      </c>
      <c r="G2519" s="41" t="s">
        <v>7777</v>
      </c>
      <c r="H2519" s="41" t="s">
        <v>7778</v>
      </c>
      <c r="I2519" s="43">
        <v>12</v>
      </c>
      <c r="J2519" s="44" t="str">
        <f>VLOOKUP(G2519,[1]硬件清单!$F:$F,1,0)</f>
        <v>06ACPL9</v>
      </c>
      <c r="K2519" s="43"/>
      <c r="L2519" s="44"/>
      <c r="M2519" s="45" t="s">
        <v>7779</v>
      </c>
    </row>
    <row r="2520" s="26" customFormat="1" ht="30" customHeight="1" spans="1:13">
      <c r="A2520" s="41">
        <f>IF(C2520="","",SUBTOTAL(103,$C$2:C2520))</f>
        <v>2511</v>
      </c>
      <c r="B2520" s="41">
        <v>10476</v>
      </c>
      <c r="C2520" s="41">
        <v>6108</v>
      </c>
      <c r="D2520" s="41" t="s">
        <v>45</v>
      </c>
      <c r="E2520" s="41" t="s">
        <v>1298</v>
      </c>
      <c r="F2520" s="41" t="s">
        <v>7734</v>
      </c>
      <c r="G2520" s="41" t="s">
        <v>7780</v>
      </c>
      <c r="H2520" s="41" t="s">
        <v>7781</v>
      </c>
      <c r="I2520" s="43">
        <v>12</v>
      </c>
      <c r="J2520" s="44" t="str">
        <f>VLOOKUP(G2520,[1]硬件清单!$F:$F,1,0)</f>
        <v>06ACNL7</v>
      </c>
      <c r="K2520" s="43"/>
      <c r="L2520" s="44"/>
      <c r="M2520" s="45" t="s">
        <v>7782</v>
      </c>
    </row>
    <row r="2521" s="26" customFormat="1" ht="30" customHeight="1" spans="1:13">
      <c r="A2521" s="41">
        <f>IF(C2521="","",SUBTOTAL(103,$C$2:C2521))</f>
        <v>2512</v>
      </c>
      <c r="B2521" s="41">
        <v>10477</v>
      </c>
      <c r="C2521" s="41">
        <v>6109</v>
      </c>
      <c r="D2521" s="41" t="s">
        <v>45</v>
      </c>
      <c r="E2521" s="41" t="s">
        <v>1298</v>
      </c>
      <c r="F2521" s="41" t="s">
        <v>7734</v>
      </c>
      <c r="G2521" s="41" t="s">
        <v>7783</v>
      </c>
      <c r="H2521" s="41" t="s">
        <v>7784</v>
      </c>
      <c r="I2521" s="43">
        <v>12</v>
      </c>
      <c r="J2521" s="44" t="str">
        <f>VLOOKUP(G2521,[1]硬件清单!$F:$F,1,0)</f>
        <v>06ACPY2</v>
      </c>
      <c r="K2521" s="43"/>
      <c r="L2521" s="44"/>
      <c r="M2521" s="45" t="s">
        <v>7785</v>
      </c>
    </row>
    <row r="2522" s="26" customFormat="1" ht="30" customHeight="1" spans="1:13">
      <c r="A2522" s="41">
        <f>IF(C2522="","",SUBTOTAL(103,$C$2:C2522))</f>
        <v>2513</v>
      </c>
      <c r="B2522" s="41">
        <v>10478</v>
      </c>
      <c r="C2522" s="41">
        <v>6110</v>
      </c>
      <c r="D2522" s="41" t="s">
        <v>45</v>
      </c>
      <c r="E2522" s="41" t="s">
        <v>1298</v>
      </c>
      <c r="F2522" s="41" t="s">
        <v>7734</v>
      </c>
      <c r="G2522" s="41" t="s">
        <v>7786</v>
      </c>
      <c r="H2522" s="41" t="s">
        <v>7787</v>
      </c>
      <c r="I2522" s="43">
        <v>12</v>
      </c>
      <c r="J2522" s="44" t="str">
        <f>VLOOKUP(G2522,[1]硬件清单!$F:$F,1,0)</f>
        <v>06ACNP7</v>
      </c>
      <c r="K2522" s="43"/>
      <c r="L2522" s="44"/>
      <c r="M2522" s="45" t="s">
        <v>7788</v>
      </c>
    </row>
    <row r="2523" s="26" customFormat="1" ht="30" customHeight="1" spans="1:13">
      <c r="A2523" s="41">
        <f>IF(C2523="","",SUBTOTAL(103,$C$2:C2523))</f>
        <v>2514</v>
      </c>
      <c r="B2523" s="41">
        <v>10479</v>
      </c>
      <c r="C2523" s="41">
        <v>6111</v>
      </c>
      <c r="D2523" s="41" t="s">
        <v>45</v>
      </c>
      <c r="E2523" s="41" t="s">
        <v>1298</v>
      </c>
      <c r="F2523" s="41" t="s">
        <v>7734</v>
      </c>
      <c r="G2523" s="41" t="s">
        <v>7789</v>
      </c>
      <c r="H2523" s="41" t="s">
        <v>7790</v>
      </c>
      <c r="I2523" s="43">
        <v>12</v>
      </c>
      <c r="J2523" s="44" t="str">
        <f>VLOOKUP(G2523,[1]硬件清单!$F:$F,1,0)</f>
        <v>06ACPK4</v>
      </c>
      <c r="K2523" s="43"/>
      <c r="L2523" s="44"/>
      <c r="M2523" s="45" t="s">
        <v>7791</v>
      </c>
    </row>
    <row r="2524" s="26" customFormat="1" ht="30" customHeight="1" spans="1:13">
      <c r="A2524" s="41">
        <f>IF(C2524="","",SUBTOTAL(103,$C$2:C2524))</f>
        <v>2515</v>
      </c>
      <c r="B2524" s="41">
        <v>10480</v>
      </c>
      <c r="C2524" s="41">
        <v>6112</v>
      </c>
      <c r="D2524" s="41" t="s">
        <v>45</v>
      </c>
      <c r="E2524" s="41" t="s">
        <v>1298</v>
      </c>
      <c r="F2524" s="41" t="s">
        <v>7734</v>
      </c>
      <c r="G2524" s="41" t="s">
        <v>7792</v>
      </c>
      <c r="H2524" s="41" t="s">
        <v>7793</v>
      </c>
      <c r="I2524" s="43">
        <v>12</v>
      </c>
      <c r="J2524" s="44" t="str">
        <f>VLOOKUP(G2524,[1]硬件清单!$F:$F,1,0)</f>
        <v>06ACPA6</v>
      </c>
      <c r="K2524" s="43"/>
      <c r="L2524" s="44"/>
      <c r="M2524" s="45" t="s">
        <v>7794</v>
      </c>
    </row>
    <row r="2525" s="26" customFormat="1" ht="30" customHeight="1" spans="1:13">
      <c r="A2525" s="41">
        <f>IF(C2525="","",SUBTOTAL(103,$C$2:C2525))</f>
        <v>2516</v>
      </c>
      <c r="B2525" s="41">
        <v>10481</v>
      </c>
      <c r="C2525" s="41">
        <v>6113</v>
      </c>
      <c r="D2525" s="41" t="s">
        <v>45</v>
      </c>
      <c r="E2525" s="41" t="s">
        <v>1298</v>
      </c>
      <c r="F2525" s="41" t="s">
        <v>7734</v>
      </c>
      <c r="G2525" s="41" t="s">
        <v>7795</v>
      </c>
      <c r="H2525" s="41" t="s">
        <v>7796</v>
      </c>
      <c r="I2525" s="43">
        <v>12</v>
      </c>
      <c r="J2525" s="44" t="str">
        <f>VLOOKUP(G2525,[1]硬件清单!$F:$F,1,0)</f>
        <v>06ACPT3</v>
      </c>
      <c r="K2525" s="43"/>
      <c r="L2525" s="44"/>
      <c r="M2525" s="45" t="s">
        <v>7797</v>
      </c>
    </row>
    <row r="2526" s="26" customFormat="1" ht="30" customHeight="1" spans="1:13">
      <c r="A2526" s="41">
        <f>IF(C2526="","",SUBTOTAL(103,$C$2:C2526))</f>
        <v>2517</v>
      </c>
      <c r="B2526" s="41">
        <v>10482</v>
      </c>
      <c r="C2526" s="41">
        <v>6114</v>
      </c>
      <c r="D2526" s="41" t="s">
        <v>45</v>
      </c>
      <c r="E2526" s="41" t="s">
        <v>1298</v>
      </c>
      <c r="F2526" s="41" t="s">
        <v>7734</v>
      </c>
      <c r="G2526" s="41" t="s">
        <v>7798</v>
      </c>
      <c r="H2526" s="41" t="s">
        <v>7799</v>
      </c>
      <c r="I2526" s="43">
        <v>12</v>
      </c>
      <c r="J2526" s="44" t="str">
        <f>VLOOKUP(G2526,[1]硬件清单!$F:$F,1,0)</f>
        <v>06ACNP2</v>
      </c>
      <c r="K2526" s="43"/>
      <c r="L2526" s="44"/>
      <c r="M2526" s="45" t="s">
        <v>7800</v>
      </c>
    </row>
    <row r="2527" s="26" customFormat="1" ht="30" customHeight="1" spans="1:13">
      <c r="A2527" s="41">
        <f>IF(C2527="","",SUBTOTAL(103,$C$2:C2527))</f>
        <v>2518</v>
      </c>
      <c r="B2527" s="41">
        <v>10484</v>
      </c>
      <c r="C2527" s="41">
        <v>6163</v>
      </c>
      <c r="D2527" s="41" t="s">
        <v>45</v>
      </c>
      <c r="E2527" s="41" t="s">
        <v>1298</v>
      </c>
      <c r="F2527" s="41" t="s">
        <v>7734</v>
      </c>
      <c r="G2527" s="41" t="s">
        <v>7801</v>
      </c>
      <c r="H2527" s="41" t="s">
        <v>7802</v>
      </c>
      <c r="I2527" s="43">
        <v>12</v>
      </c>
      <c r="J2527" s="44" t="str">
        <f>VLOOKUP(G2527,[1]硬件清单!$F:$F,1,0)</f>
        <v>06ACPB0</v>
      </c>
      <c r="K2527" s="43"/>
      <c r="L2527" s="44"/>
      <c r="M2527" s="45" t="s">
        <v>7803</v>
      </c>
    </row>
    <row r="2528" s="26" customFormat="1" ht="30" customHeight="1" spans="1:13">
      <c r="A2528" s="41">
        <f>IF(C2528="","",SUBTOTAL(103,$C$2:C2528))</f>
        <v>2519</v>
      </c>
      <c r="B2528" s="41">
        <v>10485</v>
      </c>
      <c r="C2528" s="41">
        <v>6172</v>
      </c>
      <c r="D2528" s="41" t="s">
        <v>45</v>
      </c>
      <c r="E2528" s="41" t="s">
        <v>1298</v>
      </c>
      <c r="F2528" s="41" t="s">
        <v>7734</v>
      </c>
      <c r="G2528" s="41" t="s">
        <v>7804</v>
      </c>
      <c r="H2528" s="41" t="s">
        <v>7805</v>
      </c>
      <c r="I2528" s="43">
        <v>12</v>
      </c>
      <c r="J2528" s="44" t="str">
        <f>VLOOKUP(G2528,[1]硬件清单!$F:$F,1,0)</f>
        <v>06ACNT7</v>
      </c>
      <c r="K2528" s="43"/>
      <c r="L2528" s="44"/>
      <c r="M2528" s="45" t="s">
        <v>7806</v>
      </c>
    </row>
    <row r="2529" s="26" customFormat="1" ht="30" customHeight="1" spans="1:13">
      <c r="A2529" s="41">
        <f>IF(C2529="","",SUBTOTAL(103,$C$2:C2529))</f>
        <v>2520</v>
      </c>
      <c r="B2529" s="41">
        <v>10486</v>
      </c>
      <c r="C2529" s="41">
        <v>6173</v>
      </c>
      <c r="D2529" s="41" t="s">
        <v>45</v>
      </c>
      <c r="E2529" s="41" t="s">
        <v>1298</v>
      </c>
      <c r="F2529" s="41" t="s">
        <v>7734</v>
      </c>
      <c r="G2529" s="41" t="s">
        <v>7807</v>
      </c>
      <c r="H2529" s="41" t="s">
        <v>7808</v>
      </c>
      <c r="I2529" s="43">
        <v>12</v>
      </c>
      <c r="J2529" s="44" t="str">
        <f>VLOOKUP(G2529,[1]硬件清单!$F:$F,1,0)</f>
        <v>06ACPP1</v>
      </c>
      <c r="K2529" s="43"/>
      <c r="L2529" s="44"/>
      <c r="M2529" s="45" t="s">
        <v>7809</v>
      </c>
    </row>
    <row r="2530" s="26" customFormat="1" ht="30" customHeight="1" spans="1:13">
      <c r="A2530" s="41">
        <f>IF(C2530="","",SUBTOTAL(103,$C$2:C2530))</f>
        <v>2521</v>
      </c>
      <c r="B2530" s="41">
        <v>10487</v>
      </c>
      <c r="C2530" s="41">
        <v>6174</v>
      </c>
      <c r="D2530" s="41" t="s">
        <v>45</v>
      </c>
      <c r="E2530" s="41" t="s">
        <v>1298</v>
      </c>
      <c r="F2530" s="41" t="s">
        <v>7734</v>
      </c>
      <c r="G2530" s="41" t="s">
        <v>7810</v>
      </c>
      <c r="H2530" s="41" t="s">
        <v>7811</v>
      </c>
      <c r="I2530" s="43">
        <v>12</v>
      </c>
      <c r="J2530" s="44" t="str">
        <f>VLOOKUP(G2530,[1]硬件清单!$F:$F,1,0)</f>
        <v>06ACNR8</v>
      </c>
      <c r="K2530" s="43"/>
      <c r="L2530" s="44"/>
      <c r="M2530" s="45" t="s">
        <v>7812</v>
      </c>
    </row>
    <row r="2531" s="26" customFormat="1" ht="30" customHeight="1" spans="1:13">
      <c r="A2531" s="41">
        <f>IF(C2531="","",SUBTOTAL(103,$C$2:C2531))</f>
        <v>2522</v>
      </c>
      <c r="B2531" s="41">
        <v>10488</v>
      </c>
      <c r="C2531" s="41">
        <v>6175</v>
      </c>
      <c r="D2531" s="41" t="s">
        <v>45</v>
      </c>
      <c r="E2531" s="41" t="s">
        <v>1298</v>
      </c>
      <c r="F2531" s="41" t="s">
        <v>7734</v>
      </c>
      <c r="G2531" s="41" t="s">
        <v>7813</v>
      </c>
      <c r="H2531" s="41" t="s">
        <v>7814</v>
      </c>
      <c r="I2531" s="43">
        <v>12</v>
      </c>
      <c r="J2531" s="44" t="str">
        <f>VLOOKUP(G2531,[1]硬件清单!$F:$F,1,0)</f>
        <v>06ACPC6</v>
      </c>
      <c r="K2531" s="43"/>
      <c r="L2531" s="44"/>
      <c r="M2531" s="45" t="s">
        <v>7815</v>
      </c>
    </row>
    <row r="2532" s="26" customFormat="1" ht="30" customHeight="1" spans="1:13">
      <c r="A2532" s="41">
        <f>IF(C2532="","",SUBTOTAL(103,$C$2:C2532))</f>
        <v>2523</v>
      </c>
      <c r="B2532" s="41">
        <v>10489</v>
      </c>
      <c r="C2532" s="41">
        <v>6176</v>
      </c>
      <c r="D2532" s="41" t="s">
        <v>45</v>
      </c>
      <c r="E2532" s="41" t="s">
        <v>1298</v>
      </c>
      <c r="F2532" s="41" t="s">
        <v>7734</v>
      </c>
      <c r="G2532" s="41" t="s">
        <v>7816</v>
      </c>
      <c r="H2532" s="41" t="s">
        <v>7817</v>
      </c>
      <c r="I2532" s="43">
        <v>12</v>
      </c>
      <c r="J2532" s="44" t="str">
        <f>VLOOKUP(G2532,[1]硬件清单!$F:$F,1,0)</f>
        <v>06ACPF9</v>
      </c>
      <c r="K2532" s="43"/>
      <c r="L2532" s="44"/>
      <c r="M2532" s="45" t="s">
        <v>7818</v>
      </c>
    </row>
    <row r="2533" s="26" customFormat="1" ht="30" customHeight="1" spans="1:13">
      <c r="A2533" s="41">
        <f>IF(C2533="","",SUBTOTAL(103,$C$2:C2533))</f>
        <v>2524</v>
      </c>
      <c r="B2533" s="41">
        <v>10490</v>
      </c>
      <c r="C2533" s="41">
        <v>6164</v>
      </c>
      <c r="D2533" s="41" t="s">
        <v>45</v>
      </c>
      <c r="E2533" s="41" t="s">
        <v>1298</v>
      </c>
      <c r="F2533" s="41" t="s">
        <v>7734</v>
      </c>
      <c r="G2533" s="41" t="s">
        <v>7819</v>
      </c>
      <c r="H2533" s="41" t="s">
        <v>7820</v>
      </c>
      <c r="I2533" s="43">
        <v>12</v>
      </c>
      <c r="J2533" s="44" t="str">
        <f>VLOOKUP(G2533,[1]硬件清单!$F:$F,1,0)</f>
        <v>06ACPE1</v>
      </c>
      <c r="K2533" s="43"/>
      <c r="L2533" s="44"/>
      <c r="M2533" s="45" t="s">
        <v>7821</v>
      </c>
    </row>
    <row r="2534" s="26" customFormat="1" ht="30" customHeight="1" spans="1:13">
      <c r="A2534" s="41">
        <f>IF(C2534="","",SUBTOTAL(103,$C$2:C2534))</f>
        <v>2525</v>
      </c>
      <c r="B2534" s="41">
        <v>10491</v>
      </c>
      <c r="C2534" s="41">
        <v>6165</v>
      </c>
      <c r="D2534" s="41" t="s">
        <v>45</v>
      </c>
      <c r="E2534" s="41" t="s">
        <v>1298</v>
      </c>
      <c r="F2534" s="41" t="s">
        <v>7734</v>
      </c>
      <c r="G2534" s="41" t="s">
        <v>7822</v>
      </c>
      <c r="H2534" s="41" t="s">
        <v>7823</v>
      </c>
      <c r="I2534" s="43">
        <v>12</v>
      </c>
      <c r="J2534" s="44" t="str">
        <f>VLOOKUP(G2534,[1]硬件清单!$F:$F,1,0)</f>
        <v>06ACNW8</v>
      </c>
      <c r="K2534" s="43"/>
      <c r="L2534" s="44"/>
      <c r="M2534" s="45" t="s">
        <v>7824</v>
      </c>
    </row>
    <row r="2535" s="26" customFormat="1" ht="30" customHeight="1" spans="1:13">
      <c r="A2535" s="41">
        <f>IF(C2535="","",SUBTOTAL(103,$C$2:C2535))</f>
        <v>2526</v>
      </c>
      <c r="B2535" s="41">
        <v>10492</v>
      </c>
      <c r="C2535" s="41">
        <v>6166</v>
      </c>
      <c r="D2535" s="41" t="s">
        <v>45</v>
      </c>
      <c r="E2535" s="41" t="s">
        <v>1298</v>
      </c>
      <c r="F2535" s="41" t="s">
        <v>7734</v>
      </c>
      <c r="G2535" s="41" t="s">
        <v>7825</v>
      </c>
      <c r="H2535" s="41" t="s">
        <v>7826</v>
      </c>
      <c r="I2535" s="43">
        <v>12</v>
      </c>
      <c r="J2535" s="44" t="str">
        <f>VLOOKUP(G2535,[1]硬件清单!$F:$F,1,0)</f>
        <v>06ACPH5</v>
      </c>
      <c r="K2535" s="43"/>
      <c r="L2535" s="44"/>
      <c r="M2535" s="45" t="s">
        <v>7827</v>
      </c>
    </row>
    <row r="2536" s="26" customFormat="1" ht="30" customHeight="1" spans="1:13">
      <c r="A2536" s="41">
        <f>IF(C2536="","",SUBTOTAL(103,$C$2:C2536))</f>
        <v>2527</v>
      </c>
      <c r="B2536" s="41">
        <v>10493</v>
      </c>
      <c r="C2536" s="41">
        <v>6167</v>
      </c>
      <c r="D2536" s="41" t="s">
        <v>45</v>
      </c>
      <c r="E2536" s="41" t="s">
        <v>1298</v>
      </c>
      <c r="F2536" s="41" t="s">
        <v>7734</v>
      </c>
      <c r="G2536" s="41" t="s">
        <v>7828</v>
      </c>
      <c r="H2536" s="41" t="s">
        <v>7829</v>
      </c>
      <c r="I2536" s="43">
        <v>12</v>
      </c>
      <c r="J2536" s="44" t="str">
        <f>VLOOKUP(G2536,[1]硬件清单!$F:$F,1,0)</f>
        <v>06ACNM1</v>
      </c>
      <c r="K2536" s="43"/>
      <c r="L2536" s="44"/>
      <c r="M2536" s="45" t="s">
        <v>7830</v>
      </c>
    </row>
    <row r="2537" s="26" customFormat="1" ht="30" customHeight="1" spans="1:13">
      <c r="A2537" s="41">
        <f>IF(C2537="","",SUBTOTAL(103,$C$2:C2537))</f>
        <v>2528</v>
      </c>
      <c r="B2537" s="41">
        <v>10494</v>
      </c>
      <c r="C2537" s="41">
        <v>6168</v>
      </c>
      <c r="D2537" s="41" t="s">
        <v>45</v>
      </c>
      <c r="E2537" s="41" t="s">
        <v>1298</v>
      </c>
      <c r="F2537" s="41" t="s">
        <v>7734</v>
      </c>
      <c r="G2537" s="41" t="s">
        <v>7831</v>
      </c>
      <c r="H2537" s="41" t="s">
        <v>7832</v>
      </c>
      <c r="I2537" s="43">
        <v>12</v>
      </c>
      <c r="J2537" s="44" t="str">
        <f>VLOOKUP(G2537,[1]硬件清单!$F:$F,1,0)</f>
        <v>06ACNP0</v>
      </c>
      <c r="K2537" s="43"/>
      <c r="L2537" s="44"/>
      <c r="M2537" s="45" t="s">
        <v>7833</v>
      </c>
    </row>
    <row r="2538" s="26" customFormat="1" ht="30" customHeight="1" spans="1:13">
      <c r="A2538" s="41">
        <f>IF(C2538="","",SUBTOTAL(103,$C$2:C2538))</f>
        <v>2529</v>
      </c>
      <c r="B2538" s="41">
        <v>10495</v>
      </c>
      <c r="C2538" s="41">
        <v>6169</v>
      </c>
      <c r="D2538" s="41" t="s">
        <v>45</v>
      </c>
      <c r="E2538" s="41" t="s">
        <v>1298</v>
      </c>
      <c r="F2538" s="41" t="s">
        <v>7734</v>
      </c>
      <c r="G2538" s="41" t="s">
        <v>7834</v>
      </c>
      <c r="H2538" s="41" t="s">
        <v>7835</v>
      </c>
      <c r="I2538" s="43">
        <v>12</v>
      </c>
      <c r="J2538" s="44" t="str">
        <f>VLOOKUP(G2538,[1]硬件清单!$F:$F,1,0)</f>
        <v>06ACPH2</v>
      </c>
      <c r="K2538" s="43"/>
      <c r="L2538" s="44"/>
      <c r="M2538" s="45" t="s">
        <v>7836</v>
      </c>
    </row>
    <row r="2539" s="26" customFormat="1" ht="30" customHeight="1" spans="1:13">
      <c r="A2539" s="41">
        <f>IF(C2539="","",SUBTOTAL(103,$C$2:C2539))</f>
        <v>2530</v>
      </c>
      <c r="B2539" s="41">
        <v>10496</v>
      </c>
      <c r="C2539" s="41">
        <v>6170</v>
      </c>
      <c r="D2539" s="41" t="s">
        <v>45</v>
      </c>
      <c r="E2539" s="41" t="s">
        <v>1298</v>
      </c>
      <c r="F2539" s="41" t="s">
        <v>7734</v>
      </c>
      <c r="G2539" s="41" t="s">
        <v>7837</v>
      </c>
      <c r="H2539" s="41" t="s">
        <v>7838</v>
      </c>
      <c r="I2539" s="43">
        <v>12</v>
      </c>
      <c r="J2539" s="44" t="str">
        <f>VLOOKUP(G2539,[1]硬件清单!$F:$F,1,0)</f>
        <v>06ACPV5</v>
      </c>
      <c r="K2539" s="43"/>
      <c r="L2539" s="44"/>
      <c r="M2539" s="45" t="s">
        <v>7839</v>
      </c>
    </row>
    <row r="2540" s="26" customFormat="1" ht="30" customHeight="1" spans="1:13">
      <c r="A2540" s="41">
        <f>IF(C2540="","",SUBTOTAL(103,$C$2:C2540))</f>
        <v>2531</v>
      </c>
      <c r="B2540" s="41">
        <v>10497</v>
      </c>
      <c r="C2540" s="41">
        <v>6171</v>
      </c>
      <c r="D2540" s="41" t="s">
        <v>45</v>
      </c>
      <c r="E2540" s="41" t="s">
        <v>1298</v>
      </c>
      <c r="F2540" s="41" t="s">
        <v>7734</v>
      </c>
      <c r="G2540" s="41" t="s">
        <v>7840</v>
      </c>
      <c r="H2540" s="41" t="s">
        <v>7841</v>
      </c>
      <c r="I2540" s="43">
        <v>12</v>
      </c>
      <c r="J2540" s="44" t="str">
        <f>VLOOKUP(G2540,[1]硬件清单!$F:$F,1,0)</f>
        <v>06ACNL6</v>
      </c>
      <c r="K2540" s="43"/>
      <c r="L2540" s="44"/>
      <c r="M2540" s="45" t="s">
        <v>7842</v>
      </c>
    </row>
    <row r="2541" s="26" customFormat="1" ht="30" customHeight="1" spans="1:13">
      <c r="A2541" s="41">
        <f>IF(C2541="","",SUBTOTAL(103,$C$2:C2541))</f>
        <v>2532</v>
      </c>
      <c r="B2541" s="41">
        <v>10498</v>
      </c>
      <c r="C2541" s="41">
        <v>6177</v>
      </c>
      <c r="D2541" s="41" t="s">
        <v>45</v>
      </c>
      <c r="E2541" s="41" t="s">
        <v>1298</v>
      </c>
      <c r="F2541" s="41" t="s">
        <v>7734</v>
      </c>
      <c r="G2541" s="41" t="s">
        <v>7843</v>
      </c>
      <c r="H2541" s="41" t="s">
        <v>7844</v>
      </c>
      <c r="I2541" s="43">
        <v>12</v>
      </c>
      <c r="J2541" s="44" t="str">
        <f>VLOOKUP(G2541,[1]硬件清单!$F:$F,1,0)</f>
        <v>06ACPK5</v>
      </c>
      <c r="K2541" s="43"/>
      <c r="L2541" s="44"/>
      <c r="M2541" s="45" t="s">
        <v>7845</v>
      </c>
    </row>
    <row r="2542" s="26" customFormat="1" ht="30" customHeight="1" spans="1:13">
      <c r="A2542" s="41">
        <f>IF(C2542="","",SUBTOTAL(103,$C$2:C2542))</f>
        <v>2533</v>
      </c>
      <c r="B2542" s="41">
        <v>10499</v>
      </c>
      <c r="C2542" s="41">
        <v>6186</v>
      </c>
      <c r="D2542" s="41" t="s">
        <v>45</v>
      </c>
      <c r="E2542" s="41" t="s">
        <v>1298</v>
      </c>
      <c r="F2542" s="41" t="s">
        <v>7734</v>
      </c>
      <c r="G2542" s="41" t="s">
        <v>7846</v>
      </c>
      <c r="H2542" s="41" t="s">
        <v>7847</v>
      </c>
      <c r="I2542" s="43">
        <v>12</v>
      </c>
      <c r="J2542" s="44" t="str">
        <f>VLOOKUP(G2542,[1]硬件清单!$F:$F,1,0)</f>
        <v>06ACPP7</v>
      </c>
      <c r="K2542" s="43"/>
      <c r="L2542" s="44"/>
      <c r="M2542" s="45" t="s">
        <v>7848</v>
      </c>
    </row>
    <row r="2543" s="26" customFormat="1" ht="30" customHeight="1" spans="1:13">
      <c r="A2543" s="41">
        <f>IF(C2543="","",SUBTOTAL(103,$C$2:C2543))</f>
        <v>2534</v>
      </c>
      <c r="B2543" s="41">
        <v>10500</v>
      </c>
      <c r="C2543" s="41">
        <v>6187</v>
      </c>
      <c r="D2543" s="41" t="s">
        <v>45</v>
      </c>
      <c r="E2543" s="41" t="s">
        <v>1298</v>
      </c>
      <c r="F2543" s="41" t="s">
        <v>7734</v>
      </c>
      <c r="G2543" s="41" t="s">
        <v>7849</v>
      </c>
      <c r="H2543" s="41" t="s">
        <v>7850</v>
      </c>
      <c r="I2543" s="43">
        <v>12</v>
      </c>
      <c r="J2543" s="44" t="str">
        <f>VLOOKUP(G2543,[1]硬件清单!$F:$F,1,0)</f>
        <v>06ACNP1</v>
      </c>
      <c r="K2543" s="43"/>
      <c r="L2543" s="44"/>
      <c r="M2543" s="45" t="s">
        <v>7851</v>
      </c>
    </row>
    <row r="2544" s="26" customFormat="1" ht="30" customHeight="1" spans="1:13">
      <c r="A2544" s="41">
        <f>IF(C2544="","",SUBTOTAL(103,$C$2:C2544))</f>
        <v>2535</v>
      </c>
      <c r="B2544" s="41">
        <v>10501</v>
      </c>
      <c r="C2544" s="41">
        <v>6188</v>
      </c>
      <c r="D2544" s="41" t="s">
        <v>45</v>
      </c>
      <c r="E2544" s="41" t="s">
        <v>1298</v>
      </c>
      <c r="F2544" s="41" t="s">
        <v>7734</v>
      </c>
      <c r="G2544" s="41" t="s">
        <v>7852</v>
      </c>
      <c r="H2544" s="41" t="s">
        <v>7853</v>
      </c>
      <c r="I2544" s="43">
        <v>12</v>
      </c>
      <c r="J2544" s="44" t="str">
        <f>VLOOKUP(G2544,[1]硬件清单!$F:$F,1,0)</f>
        <v>06ACPK9</v>
      </c>
      <c r="K2544" s="43"/>
      <c r="L2544" s="44"/>
      <c r="M2544" s="45" t="s">
        <v>7854</v>
      </c>
    </row>
    <row r="2545" s="26" customFormat="1" ht="30" customHeight="1" spans="1:13">
      <c r="A2545" s="41">
        <f>IF(C2545="","",SUBTOTAL(103,$C$2:C2545))</f>
        <v>2536</v>
      </c>
      <c r="B2545" s="41">
        <v>10502</v>
      </c>
      <c r="C2545" s="41">
        <v>6189</v>
      </c>
      <c r="D2545" s="41" t="s">
        <v>45</v>
      </c>
      <c r="E2545" s="41" t="s">
        <v>1298</v>
      </c>
      <c r="F2545" s="41" t="s">
        <v>7734</v>
      </c>
      <c r="G2545" s="41" t="s">
        <v>7855</v>
      </c>
      <c r="H2545" s="41" t="s">
        <v>7856</v>
      </c>
      <c r="I2545" s="43">
        <v>12</v>
      </c>
      <c r="J2545" s="44" t="str">
        <f>VLOOKUP(G2545,[1]硬件清单!$F:$F,1,0)</f>
        <v>06ACPF8</v>
      </c>
      <c r="K2545" s="43"/>
      <c r="L2545" s="44"/>
      <c r="M2545" s="45" t="s">
        <v>7857</v>
      </c>
    </row>
    <row r="2546" s="26" customFormat="1" ht="30" customHeight="1" spans="1:13">
      <c r="A2546" s="41">
        <f>IF(C2546="","",SUBTOTAL(103,$C$2:C2546))</f>
        <v>2537</v>
      </c>
      <c r="B2546" s="41">
        <v>10503</v>
      </c>
      <c r="C2546" s="41">
        <v>6190</v>
      </c>
      <c r="D2546" s="41" t="s">
        <v>45</v>
      </c>
      <c r="E2546" s="41" t="s">
        <v>1298</v>
      </c>
      <c r="F2546" s="41" t="s">
        <v>7734</v>
      </c>
      <c r="G2546" s="41" t="s">
        <v>7858</v>
      </c>
      <c r="H2546" s="41" t="s">
        <v>7859</v>
      </c>
      <c r="I2546" s="43">
        <v>12</v>
      </c>
      <c r="J2546" s="44" t="str">
        <f>VLOOKUP(G2546,[1]硬件清单!$F:$F,1,0)</f>
        <v>06ACPT8</v>
      </c>
      <c r="K2546" s="43"/>
      <c r="L2546" s="44"/>
      <c r="M2546" s="45" t="s">
        <v>7860</v>
      </c>
    </row>
    <row r="2547" s="26" customFormat="1" ht="30" customHeight="1" spans="1:13">
      <c r="A2547" s="41">
        <f>IF(C2547="","",SUBTOTAL(103,$C$2:C2547))</f>
        <v>2538</v>
      </c>
      <c r="B2547" s="41">
        <v>10504</v>
      </c>
      <c r="C2547" s="41">
        <v>6178</v>
      </c>
      <c r="D2547" s="41" t="s">
        <v>45</v>
      </c>
      <c r="E2547" s="41" t="s">
        <v>1298</v>
      </c>
      <c r="F2547" s="41" t="s">
        <v>7734</v>
      </c>
      <c r="G2547" s="41" t="s">
        <v>7861</v>
      </c>
      <c r="H2547" s="41" t="s">
        <v>7862</v>
      </c>
      <c r="I2547" s="43">
        <v>12</v>
      </c>
      <c r="J2547" s="44" t="str">
        <f>VLOOKUP(G2547,[1]硬件清单!$F:$F,1,0)</f>
        <v>06ACPY1</v>
      </c>
      <c r="K2547" s="43"/>
      <c r="L2547" s="44"/>
      <c r="M2547" s="45" t="s">
        <v>7863</v>
      </c>
    </row>
    <row r="2548" s="26" customFormat="1" ht="30" customHeight="1" spans="1:13">
      <c r="A2548" s="41">
        <f>IF(C2548="","",SUBTOTAL(103,$C$2:C2548))</f>
        <v>2539</v>
      </c>
      <c r="B2548" s="41">
        <v>10505</v>
      </c>
      <c r="C2548" s="41">
        <v>6179</v>
      </c>
      <c r="D2548" s="41" t="s">
        <v>45</v>
      </c>
      <c r="E2548" s="41" t="s">
        <v>1298</v>
      </c>
      <c r="F2548" s="41" t="s">
        <v>7734</v>
      </c>
      <c r="G2548" s="41" t="s">
        <v>7864</v>
      </c>
      <c r="H2548" s="41" t="s">
        <v>7865</v>
      </c>
      <c r="I2548" s="43">
        <v>12</v>
      </c>
      <c r="J2548" s="44" t="str">
        <f>VLOOKUP(G2548,[1]硬件清单!$F:$F,1,0)</f>
        <v>06ACNP3</v>
      </c>
      <c r="K2548" s="43"/>
      <c r="L2548" s="44"/>
      <c r="M2548" s="45" t="s">
        <v>7866</v>
      </c>
    </row>
    <row r="2549" s="26" customFormat="1" ht="30" customHeight="1" spans="1:13">
      <c r="A2549" s="41">
        <f>IF(C2549="","",SUBTOTAL(103,$C$2:C2549))</f>
        <v>2540</v>
      </c>
      <c r="B2549" s="41">
        <v>10506</v>
      </c>
      <c r="C2549" s="41">
        <v>6180</v>
      </c>
      <c r="D2549" s="41" t="s">
        <v>45</v>
      </c>
      <c r="E2549" s="41" t="s">
        <v>1298</v>
      </c>
      <c r="F2549" s="41" t="s">
        <v>7734</v>
      </c>
      <c r="G2549" s="41" t="s">
        <v>7867</v>
      </c>
      <c r="H2549" s="41" t="s">
        <v>7868</v>
      </c>
      <c r="I2549" s="43">
        <v>12</v>
      </c>
      <c r="J2549" s="44" t="str">
        <f>VLOOKUP(G2549,[1]硬件清单!$F:$F,1,0)</f>
        <v>06ACPX4</v>
      </c>
      <c r="K2549" s="43"/>
      <c r="L2549" s="44"/>
      <c r="M2549" s="45" t="s">
        <v>7869</v>
      </c>
    </row>
    <row r="2550" s="26" customFormat="1" ht="30" customHeight="1" spans="1:13">
      <c r="A2550" s="41">
        <f>IF(C2550="","",SUBTOTAL(103,$C$2:C2550))</f>
        <v>2541</v>
      </c>
      <c r="B2550" s="41">
        <v>10507</v>
      </c>
      <c r="C2550" s="41">
        <v>6181</v>
      </c>
      <c r="D2550" s="41" t="s">
        <v>45</v>
      </c>
      <c r="E2550" s="41" t="s">
        <v>1298</v>
      </c>
      <c r="F2550" s="41" t="s">
        <v>7734</v>
      </c>
      <c r="G2550" s="41" t="s">
        <v>7870</v>
      </c>
      <c r="H2550" s="41" t="s">
        <v>7871</v>
      </c>
      <c r="I2550" s="43">
        <v>12</v>
      </c>
      <c r="J2550" s="44" t="str">
        <f>VLOOKUP(G2550,[1]硬件清单!$F:$F,1,0)</f>
        <v>06ACPN9</v>
      </c>
      <c r="K2550" s="43"/>
      <c r="L2550" s="44"/>
      <c r="M2550" s="45" t="s">
        <v>7872</v>
      </c>
    </row>
    <row r="2551" s="26" customFormat="1" ht="30" customHeight="1" spans="1:13">
      <c r="A2551" s="41">
        <f>IF(C2551="","",SUBTOTAL(103,$C$2:C2551))</f>
        <v>2542</v>
      </c>
      <c r="B2551" s="41">
        <v>10508</v>
      </c>
      <c r="C2551" s="41">
        <v>6182</v>
      </c>
      <c r="D2551" s="41" t="s">
        <v>45</v>
      </c>
      <c r="E2551" s="41" t="s">
        <v>1298</v>
      </c>
      <c r="F2551" s="41" t="s">
        <v>7734</v>
      </c>
      <c r="G2551" s="41" t="s">
        <v>7873</v>
      </c>
      <c r="H2551" s="41" t="s">
        <v>7874</v>
      </c>
      <c r="I2551" s="43">
        <v>12</v>
      </c>
      <c r="J2551" s="44" t="str">
        <f>VLOOKUP(G2551,[1]硬件清单!$F:$F,1,0)</f>
        <v>06ACPY4</v>
      </c>
      <c r="K2551" s="43"/>
      <c r="L2551" s="44"/>
      <c r="M2551" s="45" t="s">
        <v>7875</v>
      </c>
    </row>
    <row r="2552" s="26" customFormat="1" ht="30" customHeight="1" spans="1:13">
      <c r="A2552" s="41">
        <f>IF(C2552="","",SUBTOTAL(103,$C$2:C2552))</f>
        <v>2543</v>
      </c>
      <c r="B2552" s="41">
        <v>10509</v>
      </c>
      <c r="C2552" s="41">
        <v>6183</v>
      </c>
      <c r="D2552" s="41" t="s">
        <v>45</v>
      </c>
      <c r="E2552" s="41" t="s">
        <v>1298</v>
      </c>
      <c r="F2552" s="41" t="s">
        <v>7734</v>
      </c>
      <c r="G2552" s="41" t="s">
        <v>7876</v>
      </c>
      <c r="H2552" s="41" t="s">
        <v>7877</v>
      </c>
      <c r="I2552" s="43">
        <v>12</v>
      </c>
      <c r="J2552" s="44" t="str">
        <f>VLOOKUP(G2552,[1]硬件清单!$F:$F,1,0)</f>
        <v>06ACPK1</v>
      </c>
      <c r="K2552" s="43"/>
      <c r="L2552" s="44"/>
      <c r="M2552" s="45" t="s">
        <v>7878</v>
      </c>
    </row>
    <row r="2553" s="26" customFormat="1" ht="30" customHeight="1" spans="1:13">
      <c r="A2553" s="41">
        <f>IF(C2553="","",SUBTOTAL(103,$C$2:C2553))</f>
        <v>2544</v>
      </c>
      <c r="B2553" s="41">
        <v>10510</v>
      </c>
      <c r="C2553" s="41">
        <v>6184</v>
      </c>
      <c r="D2553" s="41" t="s">
        <v>45</v>
      </c>
      <c r="E2553" s="41" t="s">
        <v>1298</v>
      </c>
      <c r="F2553" s="41" t="s">
        <v>7734</v>
      </c>
      <c r="G2553" s="41" t="s">
        <v>7879</v>
      </c>
      <c r="H2553" s="41" t="s">
        <v>7880</v>
      </c>
      <c r="I2553" s="43">
        <v>12</v>
      </c>
      <c r="J2553" s="44" t="str">
        <f>VLOOKUP(G2553,[1]硬件清单!$F:$F,1,0)</f>
        <v>06ACPC0</v>
      </c>
      <c r="K2553" s="43"/>
      <c r="L2553" s="44"/>
      <c r="M2553" s="45" t="s">
        <v>7881</v>
      </c>
    </row>
    <row r="2554" s="26" customFormat="1" ht="30" customHeight="1" spans="1:13">
      <c r="A2554" s="41">
        <f>IF(C2554="","",SUBTOTAL(103,$C$2:C2554))</f>
        <v>2545</v>
      </c>
      <c r="B2554" s="41">
        <v>10511</v>
      </c>
      <c r="C2554" s="41">
        <v>6185</v>
      </c>
      <c r="D2554" s="41" t="s">
        <v>45</v>
      </c>
      <c r="E2554" s="41" t="s">
        <v>1298</v>
      </c>
      <c r="F2554" s="41" t="s">
        <v>7734</v>
      </c>
      <c r="G2554" s="41" t="s">
        <v>7882</v>
      </c>
      <c r="H2554" s="41" t="s">
        <v>7883</v>
      </c>
      <c r="I2554" s="43">
        <v>12</v>
      </c>
      <c r="J2554" s="44" t="str">
        <f>VLOOKUP(G2554,[1]硬件清单!$F:$F,1,0)</f>
        <v>06ACPL4</v>
      </c>
      <c r="K2554" s="43"/>
      <c r="L2554" s="44"/>
      <c r="M2554" s="45" t="s">
        <v>7884</v>
      </c>
    </row>
    <row r="2555" s="26" customFormat="1" ht="30" customHeight="1" spans="1:13">
      <c r="A2555" s="41">
        <f>IF(C2555="","",SUBTOTAL(103,$C$2:C2555))</f>
        <v>2546</v>
      </c>
      <c r="B2555" s="41">
        <v>10512</v>
      </c>
      <c r="C2555" s="41">
        <v>6115</v>
      </c>
      <c r="D2555" s="41" t="s">
        <v>45</v>
      </c>
      <c r="E2555" s="41" t="s">
        <v>1298</v>
      </c>
      <c r="F2555" s="41" t="s">
        <v>7885</v>
      </c>
      <c r="G2555" s="41" t="s">
        <v>7886</v>
      </c>
      <c r="H2555" s="41" t="s">
        <v>7887</v>
      </c>
      <c r="I2555" s="43">
        <v>12</v>
      </c>
      <c r="J2555" s="44" t="str">
        <f>VLOOKUP(G2555,[1]硬件清单!$F:$F,1,0)</f>
        <v>FCH16287K76</v>
      </c>
      <c r="K2555" s="43"/>
      <c r="L2555" s="44"/>
      <c r="M2555" s="45" t="s">
        <v>7888</v>
      </c>
    </row>
    <row r="2556" s="26" customFormat="1" ht="30" customHeight="1" spans="1:13">
      <c r="A2556" s="41">
        <f>IF(C2556="","",SUBTOTAL(103,$C$2:C2556))</f>
        <v>2547</v>
      </c>
      <c r="B2556" s="41">
        <v>10513</v>
      </c>
      <c r="C2556" s="41">
        <v>6116</v>
      </c>
      <c r="D2556" s="41" t="s">
        <v>45</v>
      </c>
      <c r="E2556" s="41" t="s">
        <v>1298</v>
      </c>
      <c r="F2556" s="41" t="s">
        <v>7885</v>
      </c>
      <c r="G2556" s="41" t="s">
        <v>7889</v>
      </c>
      <c r="H2556" s="41" t="s">
        <v>7890</v>
      </c>
      <c r="I2556" s="43">
        <v>12</v>
      </c>
      <c r="J2556" s="44" t="str">
        <f>VLOOKUP(G2556,[1]硬件清单!$F:$F,1,0)</f>
        <v>FCH16297CPZ</v>
      </c>
      <c r="K2556" s="43"/>
      <c r="L2556" s="44"/>
      <c r="M2556" s="45" t="s">
        <v>7891</v>
      </c>
    </row>
    <row r="2557" s="26" customFormat="1" ht="30" customHeight="1" spans="1:13">
      <c r="A2557" s="41">
        <f>IF(C2557="","",SUBTOTAL(103,$C$2:C2557))</f>
        <v>2548</v>
      </c>
      <c r="B2557" s="41">
        <v>10514</v>
      </c>
      <c r="C2557" s="41">
        <v>6117</v>
      </c>
      <c r="D2557" s="41" t="s">
        <v>45</v>
      </c>
      <c r="E2557" s="41" t="s">
        <v>1298</v>
      </c>
      <c r="F2557" s="41" t="s">
        <v>7885</v>
      </c>
      <c r="G2557" s="41" t="s">
        <v>7892</v>
      </c>
      <c r="H2557" s="41" t="s">
        <v>7893</v>
      </c>
      <c r="I2557" s="43">
        <v>12</v>
      </c>
      <c r="J2557" s="44" t="str">
        <f>VLOOKUP(G2557,[1]硬件清单!$F:$F,1,0)</f>
        <v>FCH16287JVF</v>
      </c>
      <c r="K2557" s="43"/>
      <c r="L2557" s="44"/>
      <c r="M2557" s="45" t="s">
        <v>7894</v>
      </c>
    </row>
    <row r="2558" s="26" customFormat="1" ht="30" customHeight="1" spans="1:13">
      <c r="A2558" s="41">
        <f>IF(C2558="","",SUBTOTAL(103,$C$2:C2558))</f>
        <v>2549</v>
      </c>
      <c r="B2558" s="41">
        <v>10515</v>
      </c>
      <c r="C2558" s="41">
        <v>6118</v>
      </c>
      <c r="D2558" s="41" t="s">
        <v>45</v>
      </c>
      <c r="E2558" s="41" t="s">
        <v>1298</v>
      </c>
      <c r="F2558" s="41" t="s">
        <v>7885</v>
      </c>
      <c r="G2558" s="41" t="s">
        <v>7895</v>
      </c>
      <c r="H2558" s="41" t="s">
        <v>7896</v>
      </c>
      <c r="I2558" s="43">
        <v>12</v>
      </c>
      <c r="J2558" s="44" t="str">
        <f>VLOOKUP(G2558,[1]硬件清单!$F:$F,1,0)</f>
        <v>FCH16287KDK</v>
      </c>
      <c r="K2558" s="43"/>
      <c r="L2558" s="44"/>
      <c r="M2558" s="45" t="s">
        <v>7897</v>
      </c>
    </row>
    <row r="2559" s="26" customFormat="1" ht="30" customHeight="1" spans="1:13">
      <c r="A2559" s="41">
        <f>IF(C2559="","",SUBTOTAL(103,$C$2:C2559))</f>
        <v>2550</v>
      </c>
      <c r="B2559" s="41">
        <v>10516</v>
      </c>
      <c r="C2559" s="41">
        <v>6119</v>
      </c>
      <c r="D2559" s="41" t="s">
        <v>45</v>
      </c>
      <c r="E2559" s="41" t="s">
        <v>1298</v>
      </c>
      <c r="F2559" s="41" t="s">
        <v>7885</v>
      </c>
      <c r="G2559" s="41" t="s">
        <v>7898</v>
      </c>
      <c r="H2559" s="41" t="s">
        <v>7899</v>
      </c>
      <c r="I2559" s="43">
        <v>12</v>
      </c>
      <c r="J2559" s="44" t="str">
        <f>VLOOKUP(G2559,[1]硬件清单!$F:$F,1,0)</f>
        <v>FCH16287JVL</v>
      </c>
      <c r="K2559" s="43"/>
      <c r="L2559" s="44"/>
      <c r="M2559" s="45" t="s">
        <v>7900</v>
      </c>
    </row>
    <row r="2560" s="26" customFormat="1" ht="30" customHeight="1" spans="1:13">
      <c r="A2560" s="41">
        <f>IF(C2560="","",SUBTOTAL(103,$C$2:C2560))</f>
        <v>2551</v>
      </c>
      <c r="B2560" s="41">
        <v>10517</v>
      </c>
      <c r="C2560" s="41">
        <v>6120</v>
      </c>
      <c r="D2560" s="41" t="s">
        <v>45</v>
      </c>
      <c r="E2560" s="41" t="s">
        <v>1298</v>
      </c>
      <c r="F2560" s="41" t="s">
        <v>7885</v>
      </c>
      <c r="G2560" s="41" t="s">
        <v>7901</v>
      </c>
      <c r="H2560" s="41" t="s">
        <v>7902</v>
      </c>
      <c r="I2560" s="43">
        <v>12</v>
      </c>
      <c r="J2560" s="44" t="str">
        <f>VLOOKUP(G2560,[1]硬件清单!$F:$F,1,0)</f>
        <v>FCH16297CRY</v>
      </c>
      <c r="K2560" s="43"/>
      <c r="L2560" s="44"/>
      <c r="M2560" s="45" t="s">
        <v>7903</v>
      </c>
    </row>
    <row r="2561" s="26" customFormat="1" ht="30" customHeight="1" spans="1:13">
      <c r="A2561" s="41">
        <f>IF(C2561="","",SUBTOTAL(103,$C$2:C2561))</f>
        <v>2552</v>
      </c>
      <c r="B2561" s="41">
        <v>10518</v>
      </c>
      <c r="C2561" s="41">
        <v>6121</v>
      </c>
      <c r="D2561" s="41" t="s">
        <v>45</v>
      </c>
      <c r="E2561" s="41" t="s">
        <v>1298</v>
      </c>
      <c r="F2561" s="41" t="s">
        <v>7885</v>
      </c>
      <c r="G2561" s="41" t="s">
        <v>7904</v>
      </c>
      <c r="H2561" s="41" t="s">
        <v>7905</v>
      </c>
      <c r="I2561" s="43">
        <v>12</v>
      </c>
      <c r="J2561" s="44" t="str">
        <f>VLOOKUP(G2561,[1]硬件清单!$F:$F,1,0)</f>
        <v>FCH16247QZM</v>
      </c>
      <c r="K2561" s="43"/>
      <c r="L2561" s="44"/>
      <c r="M2561" s="45" t="s">
        <v>7906</v>
      </c>
    </row>
    <row r="2562" s="26" customFormat="1" ht="30" customHeight="1" spans="1:13">
      <c r="A2562" s="41">
        <f>IF(C2562="","",SUBTOTAL(103,$C$2:C2562))</f>
        <v>2553</v>
      </c>
      <c r="B2562" s="41">
        <v>10519</v>
      </c>
      <c r="C2562" s="41">
        <v>6122</v>
      </c>
      <c r="D2562" s="41" t="s">
        <v>45</v>
      </c>
      <c r="E2562" s="41" t="s">
        <v>1298</v>
      </c>
      <c r="F2562" s="41" t="s">
        <v>7885</v>
      </c>
      <c r="G2562" s="41" t="s">
        <v>7907</v>
      </c>
      <c r="H2562" s="41" t="s">
        <v>7908</v>
      </c>
      <c r="I2562" s="43">
        <v>12</v>
      </c>
      <c r="J2562" s="44" t="str">
        <f>VLOOKUP(G2562,[1]硬件清单!$F:$F,1,0)</f>
        <v>FCH16287JX1</v>
      </c>
      <c r="K2562" s="43"/>
      <c r="L2562" s="44"/>
      <c r="M2562" s="45" t="s">
        <v>7909</v>
      </c>
    </row>
    <row r="2563" s="26" customFormat="1" ht="30" customHeight="1" spans="1:13">
      <c r="A2563" s="41">
        <f>IF(C2563="","",SUBTOTAL(103,$C$2:C2563))</f>
        <v>2554</v>
      </c>
      <c r="B2563" s="41">
        <v>10521</v>
      </c>
      <c r="C2563" s="41">
        <v>6328</v>
      </c>
      <c r="D2563" s="41" t="s">
        <v>45</v>
      </c>
      <c r="E2563" s="41" t="s">
        <v>1298</v>
      </c>
      <c r="F2563" s="41" t="s">
        <v>7885</v>
      </c>
      <c r="G2563" s="41" t="s">
        <v>7910</v>
      </c>
      <c r="H2563" s="41" t="s">
        <v>7911</v>
      </c>
      <c r="I2563" s="43">
        <v>12</v>
      </c>
      <c r="J2563" s="44" t="str">
        <f>VLOOKUP(G2563,[1]硬件清单!$F:$F,1,0)</f>
        <v>FCH16287KL4</v>
      </c>
      <c r="K2563" s="43"/>
      <c r="L2563" s="44"/>
      <c r="M2563" s="45" t="s">
        <v>7912</v>
      </c>
    </row>
    <row r="2564" s="26" customFormat="1" ht="30" customHeight="1" spans="1:13">
      <c r="A2564" s="41">
        <f>IF(C2564="","",SUBTOTAL(103,$C$2:C2564))</f>
        <v>2555</v>
      </c>
      <c r="B2564" s="41">
        <v>10522</v>
      </c>
      <c r="C2564" s="41">
        <v>6329</v>
      </c>
      <c r="D2564" s="41" t="s">
        <v>45</v>
      </c>
      <c r="E2564" s="41" t="s">
        <v>1298</v>
      </c>
      <c r="F2564" s="41" t="s">
        <v>7885</v>
      </c>
      <c r="G2564" s="41" t="s">
        <v>7913</v>
      </c>
      <c r="H2564" s="41" t="s">
        <v>7914</v>
      </c>
      <c r="I2564" s="43">
        <v>12</v>
      </c>
      <c r="J2564" s="44" t="str">
        <f>VLOOKUP(G2564,[1]硬件清单!$F:$F,1,0)</f>
        <v>FCH16277YK9</v>
      </c>
      <c r="K2564" s="43"/>
      <c r="L2564" s="44"/>
      <c r="M2564" s="45" t="s">
        <v>7915</v>
      </c>
    </row>
    <row r="2565" s="26" customFormat="1" ht="30" customHeight="1" spans="1:13">
      <c r="A2565" s="41">
        <f>IF(C2565="","",SUBTOTAL(103,$C$2:C2565))</f>
        <v>2556</v>
      </c>
      <c r="B2565" s="41">
        <v>10523</v>
      </c>
      <c r="C2565" s="41">
        <v>6330</v>
      </c>
      <c r="D2565" s="41" t="s">
        <v>45</v>
      </c>
      <c r="E2565" s="41" t="s">
        <v>1298</v>
      </c>
      <c r="F2565" s="41" t="s">
        <v>7885</v>
      </c>
      <c r="G2565" s="41" t="s">
        <v>7916</v>
      </c>
      <c r="H2565" s="41" t="s">
        <v>7917</v>
      </c>
      <c r="I2565" s="43">
        <v>12</v>
      </c>
      <c r="J2565" s="44" t="str">
        <f>VLOOKUP(G2565,[1]硬件清单!$F:$F,1,0)</f>
        <v>FCH16287K49</v>
      </c>
      <c r="K2565" s="43"/>
      <c r="L2565" s="44"/>
      <c r="M2565" s="45" t="s">
        <v>7918</v>
      </c>
    </row>
    <row r="2566" s="26" customFormat="1" ht="30" customHeight="1" spans="1:13">
      <c r="A2566" s="41">
        <f>IF(C2566="","",SUBTOTAL(103,$C$2:C2566))</f>
        <v>2557</v>
      </c>
      <c r="B2566" s="41">
        <v>10524</v>
      </c>
      <c r="C2566" s="41">
        <v>6331</v>
      </c>
      <c r="D2566" s="41" t="s">
        <v>45</v>
      </c>
      <c r="E2566" s="41" t="s">
        <v>1298</v>
      </c>
      <c r="F2566" s="41" t="s">
        <v>7885</v>
      </c>
      <c r="G2566" s="41" t="s">
        <v>7919</v>
      </c>
      <c r="H2566" s="41" t="s">
        <v>7920</v>
      </c>
      <c r="I2566" s="43">
        <v>12</v>
      </c>
      <c r="J2566" s="44" t="str">
        <f>VLOOKUP(G2566,[1]硬件清单!$F:$F,1,0)</f>
        <v>FCH16297QMT</v>
      </c>
      <c r="K2566" s="43"/>
      <c r="L2566" s="44"/>
      <c r="M2566" s="45" t="s">
        <v>7921</v>
      </c>
    </row>
    <row r="2567" s="26" customFormat="1" ht="30" customHeight="1" spans="1:13">
      <c r="A2567" s="41">
        <f>IF(C2567="","",SUBTOTAL(103,$C$2:C2567))</f>
        <v>2558</v>
      </c>
      <c r="B2567" s="41">
        <v>10525</v>
      </c>
      <c r="C2567" s="41">
        <v>6332</v>
      </c>
      <c r="D2567" s="41" t="s">
        <v>45</v>
      </c>
      <c r="E2567" s="41" t="s">
        <v>1298</v>
      </c>
      <c r="F2567" s="41" t="s">
        <v>7885</v>
      </c>
      <c r="G2567" s="41" t="s">
        <v>7922</v>
      </c>
      <c r="H2567" s="41" t="s">
        <v>7923</v>
      </c>
      <c r="I2567" s="43">
        <v>12</v>
      </c>
      <c r="J2567" s="44" t="str">
        <f>VLOOKUP(G2567,[1]硬件清单!$F:$F,1,0)</f>
        <v>FCH16277Z7W</v>
      </c>
      <c r="K2567" s="43"/>
      <c r="L2567" s="44"/>
      <c r="M2567" s="45" t="s">
        <v>7924</v>
      </c>
    </row>
    <row r="2568" s="26" customFormat="1" ht="30" customHeight="1" spans="1:13">
      <c r="A2568" s="41">
        <f>IF(C2568="","",SUBTOTAL(103,$C$2:C2568))</f>
        <v>2559</v>
      </c>
      <c r="B2568" s="41">
        <v>10526</v>
      </c>
      <c r="C2568" s="41">
        <v>6333</v>
      </c>
      <c r="D2568" s="41" t="s">
        <v>45</v>
      </c>
      <c r="E2568" s="41" t="s">
        <v>1298</v>
      </c>
      <c r="F2568" s="41" t="s">
        <v>7885</v>
      </c>
      <c r="G2568" s="41" t="s">
        <v>7925</v>
      </c>
      <c r="H2568" s="41" t="s">
        <v>7926</v>
      </c>
      <c r="I2568" s="43">
        <v>12</v>
      </c>
      <c r="J2568" s="44" t="str">
        <f>VLOOKUP(G2568,[1]硬件清单!$F:$F,1,0)</f>
        <v>FCH160779DB</v>
      </c>
      <c r="K2568" s="43"/>
      <c r="L2568" s="44"/>
      <c r="M2568" s="45" t="s">
        <v>7927</v>
      </c>
    </row>
    <row r="2569" s="26" customFormat="1" ht="30" customHeight="1" spans="1:13">
      <c r="A2569" s="41">
        <f>IF(C2569="","",SUBTOTAL(103,$C$2:C2569))</f>
        <v>2560</v>
      </c>
      <c r="B2569" s="41">
        <v>10527</v>
      </c>
      <c r="C2569" s="41">
        <v>6334</v>
      </c>
      <c r="D2569" s="41" t="s">
        <v>45</v>
      </c>
      <c r="E2569" s="41" t="s">
        <v>1298</v>
      </c>
      <c r="F2569" s="41" t="s">
        <v>7885</v>
      </c>
      <c r="G2569" s="41" t="s">
        <v>7928</v>
      </c>
      <c r="H2569" s="41" t="s">
        <v>7929</v>
      </c>
      <c r="I2569" s="43">
        <v>12</v>
      </c>
      <c r="J2569" s="44" t="str">
        <f>VLOOKUP(G2569,[1]硬件清单!$F:$F,1,0)</f>
        <v>FCH16277YFM</v>
      </c>
      <c r="K2569" s="43"/>
      <c r="L2569" s="44"/>
      <c r="M2569" s="45" t="s">
        <v>7930</v>
      </c>
    </row>
    <row r="2570" s="26" customFormat="1" ht="30" customHeight="1" spans="1:13">
      <c r="A2570" s="41">
        <f>IF(C2570="","",SUBTOTAL(103,$C$2:C2570))</f>
        <v>2561</v>
      </c>
      <c r="B2570" s="41">
        <v>10528</v>
      </c>
      <c r="C2570" s="41">
        <v>6335</v>
      </c>
      <c r="D2570" s="41" t="s">
        <v>45</v>
      </c>
      <c r="E2570" s="41" t="s">
        <v>1298</v>
      </c>
      <c r="F2570" s="41" t="s">
        <v>7885</v>
      </c>
      <c r="G2570" s="41" t="s">
        <v>7931</v>
      </c>
      <c r="H2570" s="41" t="s">
        <v>7932</v>
      </c>
      <c r="I2570" s="43">
        <v>12</v>
      </c>
      <c r="J2570" s="44" t="str">
        <f>VLOOKUP(G2570,[1]硬件清单!$F:$F,1,0)</f>
        <v>FCH16297CUF</v>
      </c>
      <c r="K2570" s="43"/>
      <c r="L2570" s="44"/>
      <c r="M2570" s="45" t="s">
        <v>7933</v>
      </c>
    </row>
    <row r="2571" s="26" customFormat="1" ht="30" customHeight="1" spans="1:13">
      <c r="A2571" s="41">
        <f>IF(C2571="","",SUBTOTAL(103,$C$2:C2571))</f>
        <v>2562</v>
      </c>
      <c r="B2571" s="41">
        <v>10529</v>
      </c>
      <c r="C2571" s="41">
        <v>6125</v>
      </c>
      <c r="D2571" s="41" t="s">
        <v>45</v>
      </c>
      <c r="E2571" s="41" t="s">
        <v>1298</v>
      </c>
      <c r="F2571" s="41" t="s">
        <v>7885</v>
      </c>
      <c r="G2571" s="41" t="s">
        <v>7934</v>
      </c>
      <c r="H2571" s="41" t="s">
        <v>7935</v>
      </c>
      <c r="I2571" s="43">
        <v>12</v>
      </c>
      <c r="J2571" s="44" t="str">
        <f>VLOOKUP(G2571,[1]硬件清单!$F:$F,1,0)</f>
        <v>FCH16277ZJS</v>
      </c>
      <c r="K2571" s="43"/>
      <c r="L2571" s="44"/>
      <c r="M2571" s="45" t="s">
        <v>7936</v>
      </c>
    </row>
    <row r="2572" s="26" customFormat="1" ht="30" customHeight="1" spans="1:13">
      <c r="A2572" s="41">
        <f>IF(C2572="","",SUBTOTAL(103,$C$2:C2572))</f>
        <v>2563</v>
      </c>
      <c r="B2572" s="41">
        <v>10530</v>
      </c>
      <c r="C2572" s="41">
        <v>6129</v>
      </c>
      <c r="D2572" s="41" t="s">
        <v>45</v>
      </c>
      <c r="E2572" s="41" t="s">
        <v>1298</v>
      </c>
      <c r="F2572" s="41" t="s">
        <v>7885</v>
      </c>
      <c r="G2572" s="41" t="s">
        <v>7937</v>
      </c>
      <c r="H2572" s="41" t="s">
        <v>7938</v>
      </c>
      <c r="I2572" s="43">
        <v>12</v>
      </c>
      <c r="J2572" s="44" t="str">
        <f>VLOOKUP(G2572,[1]硬件清单!$F:$F,1,0)</f>
        <v>FCH1813762Z</v>
      </c>
      <c r="K2572" s="43"/>
      <c r="L2572" s="44"/>
      <c r="M2572" s="45" t="s">
        <v>7939</v>
      </c>
    </row>
    <row r="2573" s="26" customFormat="1" ht="30" customHeight="1" spans="1:13">
      <c r="A2573" s="41">
        <f>IF(C2573="","",SUBTOTAL(103,$C$2:C2573))</f>
        <v>2564</v>
      </c>
      <c r="B2573" s="41">
        <v>10531</v>
      </c>
      <c r="C2573" s="41">
        <v>6124</v>
      </c>
      <c r="D2573" s="41" t="s">
        <v>45</v>
      </c>
      <c r="E2573" s="41" t="s">
        <v>1298</v>
      </c>
      <c r="F2573" s="41" t="s">
        <v>7885</v>
      </c>
      <c r="G2573" s="41" t="s">
        <v>7940</v>
      </c>
      <c r="H2573" s="41" t="s">
        <v>7941</v>
      </c>
      <c r="I2573" s="43">
        <v>12</v>
      </c>
      <c r="J2573" s="44" t="str">
        <f>VLOOKUP(G2573,[1]硬件清单!$F:$F,1,0)</f>
        <v>FCH16287K2L</v>
      </c>
      <c r="K2573" s="43"/>
      <c r="L2573" s="44"/>
      <c r="M2573" s="45" t="s">
        <v>7942</v>
      </c>
    </row>
    <row r="2574" s="26" customFormat="1" ht="30" customHeight="1" spans="1:13">
      <c r="A2574" s="41">
        <f>IF(C2574="","",SUBTOTAL(103,$C$2:C2574))</f>
        <v>2565</v>
      </c>
      <c r="B2574" s="41">
        <v>10532</v>
      </c>
      <c r="C2574" s="41">
        <v>6123</v>
      </c>
      <c r="D2574" s="41" t="s">
        <v>45</v>
      </c>
      <c r="E2574" s="41" t="s">
        <v>1298</v>
      </c>
      <c r="F2574" s="41" t="s">
        <v>7885</v>
      </c>
      <c r="G2574" s="41" t="s">
        <v>7943</v>
      </c>
      <c r="H2574" s="41" t="s">
        <v>7944</v>
      </c>
      <c r="I2574" s="43">
        <v>12</v>
      </c>
      <c r="J2574" s="44" t="str">
        <f>VLOOKUP(G2574,[1]硬件清单!$F:$F,1,0)</f>
        <v>FCH16287K1N</v>
      </c>
      <c r="K2574" s="43"/>
      <c r="L2574" s="44"/>
      <c r="M2574" s="45" t="s">
        <v>7945</v>
      </c>
    </row>
    <row r="2575" s="26" customFormat="1" ht="30" customHeight="1" spans="1:13">
      <c r="A2575" s="41">
        <f>IF(C2575="","",SUBTOTAL(103,$C$2:C2575))</f>
        <v>2566</v>
      </c>
      <c r="B2575" s="41">
        <v>10533</v>
      </c>
      <c r="C2575" s="41">
        <v>6130</v>
      </c>
      <c r="D2575" s="41" t="s">
        <v>45</v>
      </c>
      <c r="E2575" s="41" t="s">
        <v>1298</v>
      </c>
      <c r="F2575" s="41" t="s">
        <v>7885</v>
      </c>
      <c r="G2575" s="41" t="s">
        <v>7946</v>
      </c>
      <c r="H2575" s="41" t="s">
        <v>7947</v>
      </c>
      <c r="I2575" s="43">
        <v>12</v>
      </c>
      <c r="J2575" s="44" t="str">
        <f>VLOOKUP(G2575,[1]硬件清单!$F:$F,1,0)</f>
        <v>FCH16287K41</v>
      </c>
      <c r="K2575" s="43"/>
      <c r="L2575" s="44"/>
      <c r="M2575" s="45" t="s">
        <v>7948</v>
      </c>
    </row>
    <row r="2576" s="26" customFormat="1" ht="30" customHeight="1" spans="1:13">
      <c r="A2576" s="41">
        <f>IF(C2576="","",SUBTOTAL(103,$C$2:C2576))</f>
        <v>2567</v>
      </c>
      <c r="B2576" s="41">
        <v>10534</v>
      </c>
      <c r="C2576" s="41">
        <v>6128</v>
      </c>
      <c r="D2576" s="41" t="s">
        <v>45</v>
      </c>
      <c r="E2576" s="41" t="s">
        <v>1298</v>
      </c>
      <c r="F2576" s="41" t="s">
        <v>7885</v>
      </c>
      <c r="G2576" s="41" t="s">
        <v>7949</v>
      </c>
      <c r="H2576" s="41" t="s">
        <v>7950</v>
      </c>
      <c r="I2576" s="43">
        <v>12</v>
      </c>
      <c r="J2576" s="44" t="str">
        <f>VLOOKUP(G2576,[1]硬件清单!$F:$F,1,0)</f>
        <v>FCH16297CA4</v>
      </c>
      <c r="K2576" s="43"/>
      <c r="L2576" s="44"/>
      <c r="M2576" s="45" t="s">
        <v>7951</v>
      </c>
    </row>
    <row r="2577" s="26" customFormat="1" ht="30" customHeight="1" spans="1:13">
      <c r="A2577" s="41">
        <f>IF(C2577="","",SUBTOTAL(103,$C$2:C2577))</f>
        <v>2568</v>
      </c>
      <c r="B2577" s="41">
        <v>10535</v>
      </c>
      <c r="C2577" s="41">
        <v>6127</v>
      </c>
      <c r="D2577" s="41" t="s">
        <v>45</v>
      </c>
      <c r="E2577" s="41" t="s">
        <v>1298</v>
      </c>
      <c r="F2577" s="41" t="s">
        <v>7885</v>
      </c>
      <c r="G2577" s="41" t="s">
        <v>7952</v>
      </c>
      <c r="H2577" s="41" t="s">
        <v>7953</v>
      </c>
      <c r="I2577" s="43">
        <v>12</v>
      </c>
      <c r="J2577" s="44" t="str">
        <f>VLOOKUP(G2577,[1]硬件清单!$F:$F,1,0)</f>
        <v>FCH16277OC6</v>
      </c>
      <c r="K2577" s="43"/>
      <c r="L2577" s="44"/>
      <c r="M2577" s="45" t="s">
        <v>7954</v>
      </c>
    </row>
    <row r="2578" s="26" customFormat="1" ht="30" customHeight="1" spans="1:13">
      <c r="A2578" s="41">
        <f>IF(C2578="","",SUBTOTAL(103,$C$2:C2578))</f>
        <v>2569</v>
      </c>
      <c r="B2578" s="41">
        <v>10536</v>
      </c>
      <c r="C2578" s="41">
        <v>6126</v>
      </c>
      <c r="D2578" s="41" t="s">
        <v>45</v>
      </c>
      <c r="E2578" s="41" t="s">
        <v>1298</v>
      </c>
      <c r="F2578" s="41" t="s">
        <v>7885</v>
      </c>
      <c r="G2578" s="41" t="s">
        <v>7955</v>
      </c>
      <c r="H2578" s="41" t="s">
        <v>7956</v>
      </c>
      <c r="I2578" s="43">
        <v>12</v>
      </c>
      <c r="J2578" s="44" t="str">
        <f>VLOOKUP(G2578,[1]硬件清单!$F:$F,1,0)</f>
        <v>FCH16237JUH</v>
      </c>
      <c r="K2578" s="43"/>
      <c r="L2578" s="44"/>
      <c r="M2578" s="45" t="s">
        <v>7957</v>
      </c>
    </row>
    <row r="2579" s="26" customFormat="1" ht="30" customHeight="1" spans="1:13">
      <c r="A2579" s="41">
        <f>IF(C2579="","",SUBTOTAL(103,$C$2:C2579))</f>
        <v>2570</v>
      </c>
      <c r="B2579" s="41">
        <v>10538</v>
      </c>
      <c r="C2579" s="41">
        <v>6336</v>
      </c>
      <c r="D2579" s="41" t="s">
        <v>45</v>
      </c>
      <c r="E2579" s="41" t="s">
        <v>1298</v>
      </c>
      <c r="F2579" s="41" t="s">
        <v>7885</v>
      </c>
      <c r="G2579" s="41" t="s">
        <v>7958</v>
      </c>
      <c r="H2579" s="41" t="s">
        <v>7959</v>
      </c>
      <c r="I2579" s="43">
        <v>12</v>
      </c>
      <c r="J2579" s="44" t="str">
        <f>VLOOKUP(G2579,[1]硬件清单!$F:$F,1,0)</f>
        <v>FCH16277DEZ</v>
      </c>
      <c r="K2579" s="43"/>
      <c r="L2579" s="44"/>
      <c r="M2579" s="45" t="s">
        <v>7960</v>
      </c>
    </row>
    <row r="2580" s="26" customFormat="1" ht="30" customHeight="1" spans="1:13">
      <c r="A2580" s="41">
        <f>IF(C2580="","",SUBTOTAL(103,$C$2:C2580))</f>
        <v>2571</v>
      </c>
      <c r="B2580" s="41">
        <v>10539</v>
      </c>
      <c r="C2580" s="41">
        <v>6337</v>
      </c>
      <c r="D2580" s="41" t="s">
        <v>45</v>
      </c>
      <c r="E2580" s="41" t="s">
        <v>1298</v>
      </c>
      <c r="F2580" s="41" t="s">
        <v>7885</v>
      </c>
      <c r="G2580" s="41" t="s">
        <v>7961</v>
      </c>
      <c r="H2580" s="41" t="s">
        <v>7962</v>
      </c>
      <c r="I2580" s="43">
        <v>12</v>
      </c>
      <c r="J2580" s="44" t="str">
        <f>VLOOKUP(G2580,[1]硬件清单!$F:$F,1,0)</f>
        <v>FCH162770AE</v>
      </c>
      <c r="K2580" s="43"/>
      <c r="L2580" s="44"/>
      <c r="M2580" s="45" t="s">
        <v>7963</v>
      </c>
    </row>
    <row r="2581" s="26" customFormat="1" ht="30" customHeight="1" spans="1:13">
      <c r="A2581" s="41">
        <f>IF(C2581="","",SUBTOTAL(103,$C$2:C2581))</f>
        <v>2572</v>
      </c>
      <c r="B2581" s="41">
        <v>10540</v>
      </c>
      <c r="C2581" s="41">
        <v>6338</v>
      </c>
      <c r="D2581" s="41" t="s">
        <v>45</v>
      </c>
      <c r="E2581" s="41" t="s">
        <v>1298</v>
      </c>
      <c r="F2581" s="41" t="s">
        <v>7885</v>
      </c>
      <c r="G2581" s="41" t="s">
        <v>7964</v>
      </c>
      <c r="H2581" s="41" t="s">
        <v>7965</v>
      </c>
      <c r="I2581" s="43">
        <v>12</v>
      </c>
      <c r="J2581" s="44" t="str">
        <f>VLOOKUP(G2581,[1]硬件清单!$F:$F,1,0)</f>
        <v>FCH16287KGC</v>
      </c>
      <c r="K2581" s="43"/>
      <c r="L2581" s="44"/>
      <c r="M2581" s="45" t="s">
        <v>7966</v>
      </c>
    </row>
    <row r="2582" s="26" customFormat="1" ht="30" customHeight="1" spans="1:13">
      <c r="A2582" s="41">
        <f>IF(C2582="","",SUBTOTAL(103,$C$2:C2582))</f>
        <v>2573</v>
      </c>
      <c r="B2582" s="41">
        <v>10541</v>
      </c>
      <c r="C2582" s="41">
        <v>6339</v>
      </c>
      <c r="D2582" s="41" t="s">
        <v>45</v>
      </c>
      <c r="E2582" s="41" t="s">
        <v>1298</v>
      </c>
      <c r="F2582" s="41" t="s">
        <v>7885</v>
      </c>
      <c r="G2582" s="41" t="s">
        <v>7967</v>
      </c>
      <c r="H2582" s="41" t="s">
        <v>7968</v>
      </c>
      <c r="I2582" s="43">
        <v>12</v>
      </c>
      <c r="J2582" s="44" t="str">
        <f>VLOOKUP(G2582,[1]硬件清单!$F:$F,1,0)</f>
        <v>FCH16277YME</v>
      </c>
      <c r="K2582" s="43"/>
      <c r="L2582" s="44"/>
      <c r="M2582" s="45" t="s">
        <v>7969</v>
      </c>
    </row>
    <row r="2583" s="26" customFormat="1" ht="30" customHeight="1" spans="1:13">
      <c r="A2583" s="41">
        <f>IF(C2583="","",SUBTOTAL(103,$C$2:C2583))</f>
        <v>2574</v>
      </c>
      <c r="B2583" s="41">
        <v>10542</v>
      </c>
      <c r="C2583" s="41">
        <v>6340</v>
      </c>
      <c r="D2583" s="41" t="s">
        <v>45</v>
      </c>
      <c r="E2583" s="41" t="s">
        <v>1298</v>
      </c>
      <c r="F2583" s="41" t="s">
        <v>7885</v>
      </c>
      <c r="G2583" s="41" t="s">
        <v>7970</v>
      </c>
      <c r="H2583" s="41" t="s">
        <v>7971</v>
      </c>
      <c r="I2583" s="43">
        <v>12</v>
      </c>
      <c r="J2583" s="44" t="str">
        <f>VLOOKUP(G2583,[1]硬件清单!$F:$F,1,0)</f>
        <v>FCH16277YAJ</v>
      </c>
      <c r="K2583" s="43"/>
      <c r="L2583" s="44"/>
      <c r="M2583" s="45" t="s">
        <v>7972</v>
      </c>
    </row>
    <row r="2584" s="26" customFormat="1" ht="30" customHeight="1" spans="1:13">
      <c r="A2584" s="41">
        <f>IF(C2584="","",SUBTOTAL(103,$C$2:C2584))</f>
        <v>2575</v>
      </c>
      <c r="B2584" s="41">
        <v>10543</v>
      </c>
      <c r="C2584" s="41">
        <v>6341</v>
      </c>
      <c r="D2584" s="41" t="s">
        <v>45</v>
      </c>
      <c r="E2584" s="41" t="s">
        <v>1298</v>
      </c>
      <c r="F2584" s="41" t="s">
        <v>7885</v>
      </c>
      <c r="G2584" s="41" t="s">
        <v>7973</v>
      </c>
      <c r="H2584" s="41" t="s">
        <v>7974</v>
      </c>
      <c r="I2584" s="43">
        <v>12</v>
      </c>
      <c r="J2584" s="44" t="str">
        <f>VLOOKUP(G2584,[1]硬件清单!$F:$F,1,0)</f>
        <v>FCH16287KD7</v>
      </c>
      <c r="K2584" s="43"/>
      <c r="L2584" s="44"/>
      <c r="M2584" s="45" t="s">
        <v>7975</v>
      </c>
    </row>
    <row r="2585" s="26" customFormat="1" ht="30" customHeight="1" spans="1:13">
      <c r="A2585" s="41">
        <f>IF(C2585="","",SUBTOTAL(103,$C$2:C2585))</f>
        <v>2576</v>
      </c>
      <c r="B2585" s="41">
        <v>10544</v>
      </c>
      <c r="C2585" s="41">
        <v>6342</v>
      </c>
      <c r="D2585" s="41" t="s">
        <v>45</v>
      </c>
      <c r="E2585" s="41" t="s">
        <v>1298</v>
      </c>
      <c r="F2585" s="41" t="s">
        <v>7885</v>
      </c>
      <c r="G2585" s="41" t="s">
        <v>7976</v>
      </c>
      <c r="H2585" s="41" t="s">
        <v>7977</v>
      </c>
      <c r="I2585" s="43">
        <v>12</v>
      </c>
      <c r="J2585" s="44" t="str">
        <f>VLOOKUP(G2585,[1]硬件清单!$F:$F,1,0)</f>
        <v>FCH16297DEV</v>
      </c>
      <c r="K2585" s="43"/>
      <c r="L2585" s="44"/>
      <c r="M2585" s="45" t="s">
        <v>7978</v>
      </c>
    </row>
    <row r="2586" s="26" customFormat="1" ht="30" customHeight="1" spans="1:13">
      <c r="A2586" s="41">
        <f>IF(C2586="","",SUBTOTAL(103,$C$2:C2586))</f>
        <v>2577</v>
      </c>
      <c r="B2586" s="41">
        <v>10545</v>
      </c>
      <c r="C2586" s="41">
        <v>6343</v>
      </c>
      <c r="D2586" s="41" t="s">
        <v>45</v>
      </c>
      <c r="E2586" s="41" t="s">
        <v>1298</v>
      </c>
      <c r="F2586" s="41" t="s">
        <v>7885</v>
      </c>
      <c r="G2586" s="41" t="s">
        <v>7979</v>
      </c>
      <c r="H2586" s="41" t="s">
        <v>7980</v>
      </c>
      <c r="I2586" s="43">
        <v>12</v>
      </c>
      <c r="J2586" s="44" t="str">
        <f>VLOOKUP(G2586,[1]硬件清单!$F:$F,1,0)</f>
        <v>FCH16277Y9U</v>
      </c>
      <c r="K2586" s="43"/>
      <c r="L2586" s="44"/>
      <c r="M2586" s="45" t="s">
        <v>7981</v>
      </c>
    </row>
    <row r="2587" s="26" customFormat="1" ht="30" customHeight="1" spans="1:13">
      <c r="A2587" s="41">
        <f>IF(C2587="","",SUBTOTAL(103,$C$2:C2587))</f>
        <v>2578</v>
      </c>
      <c r="B2587" s="41">
        <v>10546</v>
      </c>
      <c r="C2587" s="41">
        <v>6352</v>
      </c>
      <c r="D2587" s="41" t="s">
        <v>45</v>
      </c>
      <c r="E2587" s="41" t="s">
        <v>1298</v>
      </c>
      <c r="F2587" s="41" t="s">
        <v>7885</v>
      </c>
      <c r="G2587" s="41" t="s">
        <v>7982</v>
      </c>
      <c r="H2587" s="41" t="s">
        <v>7983</v>
      </c>
      <c r="I2587" s="43">
        <v>12</v>
      </c>
      <c r="J2587" s="44" t="str">
        <f>VLOOKUP(G2587,[1]硬件清单!$F:$F,1,0)</f>
        <v>FCH16277YD5</v>
      </c>
      <c r="K2587" s="43"/>
      <c r="L2587" s="44"/>
      <c r="M2587" s="45" t="s">
        <v>7984</v>
      </c>
    </row>
    <row r="2588" s="26" customFormat="1" ht="30" customHeight="1" spans="1:13">
      <c r="A2588" s="41">
        <f>IF(C2588="","",SUBTOTAL(103,$C$2:C2588))</f>
        <v>2579</v>
      </c>
      <c r="B2588" s="41">
        <v>10547</v>
      </c>
      <c r="C2588" s="41">
        <v>6353</v>
      </c>
      <c r="D2588" s="41" t="s">
        <v>45</v>
      </c>
      <c r="E2588" s="41" t="s">
        <v>1298</v>
      </c>
      <c r="F2588" s="41" t="s">
        <v>7885</v>
      </c>
      <c r="G2588" s="41" t="s">
        <v>7985</v>
      </c>
      <c r="H2588" s="41" t="s">
        <v>7986</v>
      </c>
      <c r="I2588" s="43">
        <v>12</v>
      </c>
      <c r="J2588" s="44" t="str">
        <f>VLOOKUP(G2588,[1]硬件清单!$F:$F,1,0)</f>
        <v>FCH16287KEN</v>
      </c>
      <c r="K2588" s="43"/>
      <c r="L2588" s="44"/>
      <c r="M2588" s="45" t="s">
        <v>7987</v>
      </c>
    </row>
    <row r="2589" s="26" customFormat="1" ht="30" customHeight="1" spans="1:13">
      <c r="A2589" s="41">
        <f>IF(C2589="","",SUBTOTAL(103,$C$2:C2589))</f>
        <v>2580</v>
      </c>
      <c r="B2589" s="41">
        <v>10548</v>
      </c>
      <c r="C2589" s="41">
        <v>6354</v>
      </c>
      <c r="D2589" s="41" t="s">
        <v>45</v>
      </c>
      <c r="E2589" s="41" t="s">
        <v>1298</v>
      </c>
      <c r="F2589" s="41" t="s">
        <v>7885</v>
      </c>
      <c r="G2589" s="41" t="s">
        <v>7988</v>
      </c>
      <c r="H2589" s="41" t="s">
        <v>7989</v>
      </c>
      <c r="I2589" s="43">
        <v>12</v>
      </c>
      <c r="J2589" s="44" t="str">
        <f>VLOOKUP(G2589,[1]硬件清单!$F:$F,1,0)</f>
        <v>FCH162770WP</v>
      </c>
      <c r="K2589" s="43"/>
      <c r="L2589" s="44"/>
      <c r="M2589" s="45" t="s">
        <v>7990</v>
      </c>
    </row>
    <row r="2590" s="26" customFormat="1" ht="30" customHeight="1" spans="1:13">
      <c r="A2590" s="41">
        <f>IF(C2590="","",SUBTOTAL(103,$C$2:C2590))</f>
        <v>2581</v>
      </c>
      <c r="B2590" s="41">
        <v>10549</v>
      </c>
      <c r="C2590" s="41">
        <v>6355</v>
      </c>
      <c r="D2590" s="41" t="s">
        <v>45</v>
      </c>
      <c r="E2590" s="41" t="s">
        <v>1298</v>
      </c>
      <c r="F2590" s="41" t="s">
        <v>7885</v>
      </c>
      <c r="G2590" s="41" t="s">
        <v>7991</v>
      </c>
      <c r="H2590" s="41" t="s">
        <v>7992</v>
      </c>
      <c r="I2590" s="43">
        <v>12</v>
      </c>
      <c r="J2590" s="44" t="str">
        <f>VLOOKUP(G2590,[1]硬件清单!$F:$F,1,0)</f>
        <v>FCH16287K3C</v>
      </c>
      <c r="K2590" s="43"/>
      <c r="L2590" s="44"/>
      <c r="M2590" s="45" t="s">
        <v>7993</v>
      </c>
    </row>
    <row r="2591" s="26" customFormat="1" ht="30" customHeight="1" spans="1:13">
      <c r="A2591" s="41">
        <f>IF(C2591="","",SUBTOTAL(103,$C$2:C2591))</f>
        <v>2582</v>
      </c>
      <c r="B2591" s="41">
        <v>10550</v>
      </c>
      <c r="C2591" s="41">
        <v>6356</v>
      </c>
      <c r="D2591" s="41" t="s">
        <v>45</v>
      </c>
      <c r="E2591" s="41" t="s">
        <v>1298</v>
      </c>
      <c r="F2591" s="41" t="s">
        <v>7885</v>
      </c>
      <c r="G2591" s="41" t="s">
        <v>7994</v>
      </c>
      <c r="H2591" s="41" t="s">
        <v>7995</v>
      </c>
      <c r="I2591" s="43">
        <v>12</v>
      </c>
      <c r="J2591" s="44" t="str">
        <f>VLOOKUP(G2591,[1]硬件清单!$F:$F,1,0)</f>
        <v>FCH16287K65</v>
      </c>
      <c r="K2591" s="43"/>
      <c r="L2591" s="44"/>
      <c r="M2591" s="45" t="s">
        <v>7996</v>
      </c>
    </row>
    <row r="2592" s="26" customFormat="1" ht="30" customHeight="1" spans="1:13">
      <c r="A2592" s="41">
        <f>IF(C2592="","",SUBTOTAL(103,$C$2:C2592))</f>
        <v>2583</v>
      </c>
      <c r="B2592" s="41">
        <v>10551</v>
      </c>
      <c r="C2592" s="41">
        <v>6357</v>
      </c>
      <c r="D2592" s="41" t="s">
        <v>45</v>
      </c>
      <c r="E2592" s="41" t="s">
        <v>1298</v>
      </c>
      <c r="F2592" s="41" t="s">
        <v>7885</v>
      </c>
      <c r="G2592" s="41" t="s">
        <v>7997</v>
      </c>
      <c r="H2592" s="41" t="s">
        <v>7998</v>
      </c>
      <c r="I2592" s="43">
        <v>12</v>
      </c>
      <c r="J2592" s="44" t="str">
        <f>VLOOKUP(G2592,[1]硬件清单!$F:$F,1,0)</f>
        <v>FCH16287KA9</v>
      </c>
      <c r="K2592" s="43"/>
      <c r="L2592" s="44"/>
      <c r="M2592" s="45" t="s">
        <v>7999</v>
      </c>
    </row>
    <row r="2593" s="26" customFormat="1" ht="30" customHeight="1" spans="1:13">
      <c r="A2593" s="41">
        <f>IF(C2593="","",SUBTOTAL(103,$C$2:C2593))</f>
        <v>2584</v>
      </c>
      <c r="B2593" s="41">
        <v>10552</v>
      </c>
      <c r="C2593" s="41">
        <v>6358</v>
      </c>
      <c r="D2593" s="41" t="s">
        <v>45</v>
      </c>
      <c r="E2593" s="41" t="s">
        <v>1298</v>
      </c>
      <c r="F2593" s="41" t="s">
        <v>7885</v>
      </c>
      <c r="G2593" s="41" t="s">
        <v>8000</v>
      </c>
      <c r="H2593" s="41" t="s">
        <v>8001</v>
      </c>
      <c r="I2593" s="43">
        <v>12</v>
      </c>
      <c r="J2593" s="44" t="str">
        <f>VLOOKUP(G2593,[1]硬件清单!$F:$F,1,0)</f>
        <v>FCH16277YYD</v>
      </c>
      <c r="K2593" s="43"/>
      <c r="L2593" s="44"/>
      <c r="M2593" s="45" t="s">
        <v>8002</v>
      </c>
    </row>
    <row r="2594" s="26" customFormat="1" ht="30" customHeight="1" spans="1:13">
      <c r="A2594" s="41">
        <f>IF(C2594="","",SUBTOTAL(103,$C$2:C2594))</f>
        <v>2585</v>
      </c>
      <c r="B2594" s="41">
        <v>10553</v>
      </c>
      <c r="C2594" s="41">
        <v>6359</v>
      </c>
      <c r="D2594" s="41" t="s">
        <v>45</v>
      </c>
      <c r="E2594" s="41" t="s">
        <v>1298</v>
      </c>
      <c r="F2594" s="41" t="s">
        <v>7885</v>
      </c>
      <c r="G2594" s="41" t="s">
        <v>8003</v>
      </c>
      <c r="H2594" s="41" t="s">
        <v>8004</v>
      </c>
      <c r="I2594" s="43">
        <v>12</v>
      </c>
      <c r="J2594" s="44" t="str">
        <f>VLOOKUP(G2594,[1]硬件清单!$F:$F,1,0)</f>
        <v>FCH16277YY8</v>
      </c>
      <c r="K2594" s="43"/>
      <c r="L2594" s="44"/>
      <c r="M2594" s="45" t="s">
        <v>8005</v>
      </c>
    </row>
    <row r="2595" s="26" customFormat="1" ht="30" customHeight="1" spans="1:13">
      <c r="A2595" s="41">
        <f>IF(C2595="","",SUBTOTAL(103,$C$2:C2595))</f>
        <v>2586</v>
      </c>
      <c r="B2595" s="41">
        <v>10554</v>
      </c>
      <c r="C2595" s="41">
        <v>6344</v>
      </c>
      <c r="D2595" s="41" t="s">
        <v>45</v>
      </c>
      <c r="E2595" s="41" t="s">
        <v>1298</v>
      </c>
      <c r="F2595" s="41" t="s">
        <v>7885</v>
      </c>
      <c r="G2595" s="41" t="s">
        <v>8006</v>
      </c>
      <c r="H2595" s="41" t="s">
        <v>8007</v>
      </c>
      <c r="I2595" s="43">
        <v>12</v>
      </c>
      <c r="J2595" s="44" t="str">
        <f>VLOOKUP(G2595,[1]硬件清单!$F:$F,1,0)</f>
        <v>FCH16297CNR</v>
      </c>
      <c r="K2595" s="43"/>
      <c r="L2595" s="44"/>
      <c r="M2595" s="45" t="s">
        <v>8008</v>
      </c>
    </row>
    <row r="2596" s="26" customFormat="1" ht="30" customHeight="1" spans="1:13">
      <c r="A2596" s="41">
        <f>IF(C2596="","",SUBTOTAL(103,$C$2:C2596))</f>
        <v>2587</v>
      </c>
      <c r="B2596" s="41">
        <v>10555</v>
      </c>
      <c r="C2596" s="41">
        <v>6345</v>
      </c>
      <c r="D2596" s="41" t="s">
        <v>45</v>
      </c>
      <c r="E2596" s="41" t="s">
        <v>1298</v>
      </c>
      <c r="F2596" s="41" t="s">
        <v>7885</v>
      </c>
      <c r="G2596" s="41" t="s">
        <v>8009</v>
      </c>
      <c r="H2596" s="41" t="s">
        <v>8010</v>
      </c>
      <c r="I2596" s="43">
        <v>12</v>
      </c>
      <c r="J2596" s="44" t="str">
        <f>VLOOKUP(G2596,[1]硬件清单!$F:$F,1,0)</f>
        <v>FCH16237K1X</v>
      </c>
      <c r="K2596" s="43"/>
      <c r="L2596" s="44"/>
      <c r="M2596" s="45" t="s">
        <v>8011</v>
      </c>
    </row>
    <row r="2597" s="26" customFormat="1" ht="30" customHeight="1" spans="1:13">
      <c r="A2597" s="41">
        <f>IF(C2597="","",SUBTOTAL(103,$C$2:C2597))</f>
        <v>2588</v>
      </c>
      <c r="B2597" s="41">
        <v>10556</v>
      </c>
      <c r="C2597" s="41">
        <v>6346</v>
      </c>
      <c r="D2597" s="41" t="s">
        <v>45</v>
      </c>
      <c r="E2597" s="41" t="s">
        <v>1298</v>
      </c>
      <c r="F2597" s="41" t="s">
        <v>7885</v>
      </c>
      <c r="G2597" s="41" t="s">
        <v>8012</v>
      </c>
      <c r="H2597" s="41" t="s">
        <v>8013</v>
      </c>
      <c r="I2597" s="43">
        <v>12</v>
      </c>
      <c r="J2597" s="44" t="str">
        <f>VLOOKUP(G2597,[1]硬件清单!$F:$F,1,0)</f>
        <v>FCH16287KBE</v>
      </c>
      <c r="K2597" s="43"/>
      <c r="L2597" s="44"/>
      <c r="M2597" s="45" t="s">
        <v>8014</v>
      </c>
    </row>
    <row r="2598" s="26" customFormat="1" ht="30" customHeight="1" spans="1:13">
      <c r="A2598" s="41">
        <f>IF(C2598="","",SUBTOTAL(103,$C$2:C2598))</f>
        <v>2589</v>
      </c>
      <c r="B2598" s="41">
        <v>10557</v>
      </c>
      <c r="C2598" s="41">
        <v>6347</v>
      </c>
      <c r="D2598" s="41" t="s">
        <v>45</v>
      </c>
      <c r="E2598" s="41" t="s">
        <v>1298</v>
      </c>
      <c r="F2598" s="41" t="s">
        <v>7885</v>
      </c>
      <c r="G2598" s="41" t="s">
        <v>8015</v>
      </c>
      <c r="H2598" s="41" t="s">
        <v>8016</v>
      </c>
      <c r="I2598" s="43">
        <v>12</v>
      </c>
      <c r="J2598" s="44" t="str">
        <f>VLOOKUP(G2598,[1]硬件清单!$F:$F,1,0)</f>
        <v>FCH16287JTC</v>
      </c>
      <c r="K2598" s="43"/>
      <c r="L2598" s="44"/>
      <c r="M2598" s="45" t="s">
        <v>8017</v>
      </c>
    </row>
    <row r="2599" s="26" customFormat="1" ht="30" customHeight="1" spans="1:13">
      <c r="A2599" s="41">
        <f>IF(C2599="","",SUBTOTAL(103,$C$2:C2599))</f>
        <v>2590</v>
      </c>
      <c r="B2599" s="41">
        <v>10558</v>
      </c>
      <c r="C2599" s="41">
        <v>6348</v>
      </c>
      <c r="D2599" s="41" t="s">
        <v>45</v>
      </c>
      <c r="E2599" s="41" t="s">
        <v>1298</v>
      </c>
      <c r="F2599" s="41" t="s">
        <v>7885</v>
      </c>
      <c r="G2599" s="41" t="s">
        <v>8018</v>
      </c>
      <c r="H2599" s="41" t="s">
        <v>8019</v>
      </c>
      <c r="I2599" s="43">
        <v>12</v>
      </c>
      <c r="J2599" s="44" t="str">
        <f>VLOOKUP(G2599,[1]硬件清单!$F:$F,1,0)</f>
        <v>FCH16287K1C</v>
      </c>
      <c r="K2599" s="43"/>
      <c r="L2599" s="44"/>
      <c r="M2599" s="45" t="s">
        <v>8020</v>
      </c>
    </row>
    <row r="2600" s="26" customFormat="1" ht="30" customHeight="1" spans="1:13">
      <c r="A2600" s="41">
        <f>IF(C2600="","",SUBTOTAL(103,$C$2:C2600))</f>
        <v>2591</v>
      </c>
      <c r="B2600" s="41">
        <v>10559</v>
      </c>
      <c r="C2600" s="41">
        <v>6349</v>
      </c>
      <c r="D2600" s="41" t="s">
        <v>45</v>
      </c>
      <c r="E2600" s="41" t="s">
        <v>1298</v>
      </c>
      <c r="F2600" s="41" t="s">
        <v>7885</v>
      </c>
      <c r="G2600" s="41" t="s">
        <v>8021</v>
      </c>
      <c r="H2600" s="41" t="s">
        <v>8022</v>
      </c>
      <c r="I2600" s="43">
        <v>12</v>
      </c>
      <c r="J2600" s="44" t="str">
        <f>VLOOKUP(G2600,[1]硬件清单!$F:$F,1,0)</f>
        <v>FCH16297DMU</v>
      </c>
      <c r="K2600" s="43"/>
      <c r="L2600" s="44"/>
      <c r="M2600" s="45" t="s">
        <v>8023</v>
      </c>
    </row>
    <row r="2601" s="26" customFormat="1" ht="30" customHeight="1" spans="1:13">
      <c r="A2601" s="41">
        <f>IF(C2601="","",SUBTOTAL(103,$C$2:C2601))</f>
        <v>2592</v>
      </c>
      <c r="B2601" s="41">
        <v>10560</v>
      </c>
      <c r="C2601" s="41">
        <v>6350</v>
      </c>
      <c r="D2601" s="41" t="s">
        <v>45</v>
      </c>
      <c r="E2601" s="41" t="s">
        <v>1298</v>
      </c>
      <c r="F2601" s="41" t="s">
        <v>7885</v>
      </c>
      <c r="G2601" s="41" t="s">
        <v>8024</v>
      </c>
      <c r="H2601" s="41" t="s">
        <v>8025</v>
      </c>
      <c r="I2601" s="43">
        <v>12</v>
      </c>
      <c r="J2601" s="44" t="str">
        <f>VLOOKUP(G2601,[1]硬件清单!$F:$F,1,0)</f>
        <v>FCH16277YMP</v>
      </c>
      <c r="K2601" s="43"/>
      <c r="L2601" s="44"/>
      <c r="M2601" s="45" t="s">
        <v>8026</v>
      </c>
    </row>
    <row r="2602" s="26" customFormat="1" ht="30" customHeight="1" spans="1:13">
      <c r="A2602" s="41">
        <f>IF(C2602="","",SUBTOTAL(103,$C$2:C2602))</f>
        <v>2593</v>
      </c>
      <c r="B2602" s="41">
        <v>10561</v>
      </c>
      <c r="C2602" s="41">
        <v>6351</v>
      </c>
      <c r="D2602" s="41" t="s">
        <v>45</v>
      </c>
      <c r="E2602" s="41" t="s">
        <v>1298</v>
      </c>
      <c r="F2602" s="41" t="s">
        <v>7885</v>
      </c>
      <c r="G2602" s="41" t="s">
        <v>8027</v>
      </c>
      <c r="H2602" s="41" t="s">
        <v>8028</v>
      </c>
      <c r="I2602" s="43">
        <v>12</v>
      </c>
      <c r="J2602" s="44" t="str">
        <f>VLOOKUP(G2602,[1]硬件清单!$F:$F,1,0)</f>
        <v>FCH162772LD</v>
      </c>
      <c r="K2602" s="43"/>
      <c r="L2602" s="44"/>
      <c r="M2602" s="45" t="s">
        <v>8029</v>
      </c>
    </row>
    <row r="2603" s="26" customFormat="1" ht="30" customHeight="1" spans="1:13">
      <c r="A2603" s="41">
        <f>IF(C2603="","",SUBTOTAL(103,$C$2:C2603))</f>
        <v>2594</v>
      </c>
      <c r="B2603" s="41">
        <v>10562</v>
      </c>
      <c r="C2603" s="41">
        <v>6810</v>
      </c>
      <c r="D2603" s="41" t="s">
        <v>45</v>
      </c>
      <c r="E2603" s="41" t="s">
        <v>1298</v>
      </c>
      <c r="F2603" s="41" t="s">
        <v>6611</v>
      </c>
      <c r="G2603" s="41" t="s">
        <v>8030</v>
      </c>
      <c r="H2603" s="41" t="s">
        <v>8031</v>
      </c>
      <c r="I2603" s="43">
        <v>12</v>
      </c>
      <c r="J2603" s="44" t="str">
        <f>VLOOKUP(G2603,[1]硬件清单!$F:$F,1,0)</f>
        <v>F0X1744H0JK</v>
      </c>
      <c r="K2603" s="43"/>
      <c r="L2603" s="44"/>
      <c r="M2603" s="45" t="s">
        <v>8032</v>
      </c>
    </row>
    <row r="2604" s="26" customFormat="1" ht="30" customHeight="1" spans="1:13">
      <c r="A2604" s="41">
        <f>IF(C2604="","",SUBTOTAL(103,$C$2:C2604))</f>
        <v>2595</v>
      </c>
      <c r="B2604" s="41">
        <v>10563</v>
      </c>
      <c r="C2604" s="41">
        <v>6737</v>
      </c>
      <c r="D2604" s="41" t="s">
        <v>45</v>
      </c>
      <c r="E2604" s="41" t="s">
        <v>1298</v>
      </c>
      <c r="F2604" s="41" t="s">
        <v>6615</v>
      </c>
      <c r="G2604" s="41" t="s">
        <v>8033</v>
      </c>
      <c r="H2604" s="41" t="s">
        <v>8034</v>
      </c>
      <c r="I2604" s="43">
        <v>12</v>
      </c>
      <c r="J2604" s="44" t="str">
        <f>VLOOKUP(G2604,[1]硬件清单!$F:$F,1,0)</f>
        <v>FCH1744JJUN</v>
      </c>
      <c r="K2604" s="43"/>
      <c r="L2604" s="44"/>
      <c r="M2604" s="45" t="s">
        <v>8035</v>
      </c>
    </row>
    <row r="2605" s="26" customFormat="1" ht="30" customHeight="1" spans="1:13">
      <c r="A2605" s="41">
        <f>IF(C2605="","",SUBTOTAL(103,$C$2:C2605))</f>
        <v>2596</v>
      </c>
      <c r="B2605" s="41">
        <v>10564</v>
      </c>
      <c r="C2605" s="41">
        <v>6738</v>
      </c>
      <c r="D2605" s="41" t="s">
        <v>45</v>
      </c>
      <c r="E2605" s="41" t="s">
        <v>1298</v>
      </c>
      <c r="F2605" s="41" t="s">
        <v>6615</v>
      </c>
      <c r="G2605" s="41" t="s">
        <v>8036</v>
      </c>
      <c r="H2605" s="41" t="s">
        <v>8037</v>
      </c>
      <c r="I2605" s="43">
        <v>12</v>
      </c>
      <c r="J2605" s="44" t="str">
        <f>VLOOKUP(G2605,[1]硬件清单!$F:$F,1,0)</f>
        <v>FCH1744JGGJ</v>
      </c>
      <c r="K2605" s="43"/>
      <c r="L2605" s="44"/>
      <c r="M2605" s="45" t="s">
        <v>8038</v>
      </c>
    </row>
    <row r="2606" s="26" customFormat="1" ht="30" customHeight="1" spans="1:13">
      <c r="A2606" s="41">
        <f>IF(C2606="","",SUBTOTAL(103,$C$2:C2606))</f>
        <v>2597</v>
      </c>
      <c r="B2606" s="41">
        <v>10565</v>
      </c>
      <c r="C2606" s="41">
        <v>6739</v>
      </c>
      <c r="D2606" s="41" t="s">
        <v>45</v>
      </c>
      <c r="E2606" s="41" t="s">
        <v>1298</v>
      </c>
      <c r="F2606" s="41" t="s">
        <v>6615</v>
      </c>
      <c r="G2606" s="41" t="s">
        <v>8039</v>
      </c>
      <c r="H2606" s="41" t="s">
        <v>8040</v>
      </c>
      <c r="I2606" s="43">
        <v>12</v>
      </c>
      <c r="J2606" s="44" t="str">
        <f>VLOOKUP(G2606,[1]硬件清单!$F:$F,1,0)</f>
        <v>FCH1744JJUT</v>
      </c>
      <c r="K2606" s="43"/>
      <c r="L2606" s="44"/>
      <c r="M2606" s="45" t="s">
        <v>8041</v>
      </c>
    </row>
    <row r="2607" s="26" customFormat="1" ht="30" customHeight="1" spans="1:13">
      <c r="A2607" s="41">
        <f>IF(C2607="","",SUBTOTAL(103,$C$2:C2607))</f>
        <v>2598</v>
      </c>
      <c r="B2607" s="41">
        <v>10566</v>
      </c>
      <c r="C2607" s="41">
        <v>6740</v>
      </c>
      <c r="D2607" s="41" t="s">
        <v>45</v>
      </c>
      <c r="E2607" s="41" t="s">
        <v>1298</v>
      </c>
      <c r="F2607" s="41" t="s">
        <v>6615</v>
      </c>
      <c r="G2607" s="41" t="s">
        <v>8042</v>
      </c>
      <c r="H2607" s="41" t="s">
        <v>8043</v>
      </c>
      <c r="I2607" s="43">
        <v>12</v>
      </c>
      <c r="J2607" s="44" t="str">
        <f>VLOOKUP(G2607,[1]硬件清单!$F:$F,1,0)</f>
        <v>FCH1744JLK5</v>
      </c>
      <c r="K2607" s="43"/>
      <c r="L2607" s="44"/>
      <c r="M2607" s="45" t="s">
        <v>8044</v>
      </c>
    </row>
    <row r="2608" s="26" customFormat="1" ht="30" customHeight="1" spans="1:13">
      <c r="A2608" s="41">
        <f>IF(C2608="","",SUBTOTAL(103,$C$2:C2608))</f>
        <v>2599</v>
      </c>
      <c r="B2608" s="41">
        <v>10567</v>
      </c>
      <c r="C2608" s="41">
        <v>6741</v>
      </c>
      <c r="D2608" s="41" t="s">
        <v>45</v>
      </c>
      <c r="E2608" s="41" t="s">
        <v>1298</v>
      </c>
      <c r="F2608" s="41" t="s">
        <v>6615</v>
      </c>
      <c r="G2608" s="41" t="s">
        <v>8045</v>
      </c>
      <c r="H2608" s="41" t="s">
        <v>8046</v>
      </c>
      <c r="I2608" s="43">
        <v>12</v>
      </c>
      <c r="J2608" s="44" t="str">
        <f>VLOOKUP(G2608,[1]硬件清单!$F:$F,1,0)</f>
        <v>FCH1744JJLG</v>
      </c>
      <c r="K2608" s="43"/>
      <c r="L2608" s="44"/>
      <c r="M2608" s="45" t="s">
        <v>8047</v>
      </c>
    </row>
    <row r="2609" s="26" customFormat="1" ht="30" customHeight="1" spans="1:13">
      <c r="A2609" s="41">
        <f>IF(C2609="","",SUBTOTAL(103,$C$2:C2609))</f>
        <v>2600</v>
      </c>
      <c r="B2609" s="41">
        <v>10568</v>
      </c>
      <c r="C2609" s="41">
        <v>6742</v>
      </c>
      <c r="D2609" s="41" t="s">
        <v>45</v>
      </c>
      <c r="E2609" s="41" t="s">
        <v>1298</v>
      </c>
      <c r="F2609" s="41" t="s">
        <v>6615</v>
      </c>
      <c r="G2609" s="41" t="s">
        <v>8048</v>
      </c>
      <c r="H2609" s="41" t="s">
        <v>8049</v>
      </c>
      <c r="I2609" s="43">
        <v>12</v>
      </c>
      <c r="J2609" s="44" t="str">
        <f>VLOOKUP(G2609,[1]硬件清单!$F:$F,1,0)</f>
        <v>FCH1744JMTV</v>
      </c>
      <c r="K2609" s="43"/>
      <c r="L2609" s="44"/>
      <c r="M2609" s="45" t="s">
        <v>8050</v>
      </c>
    </row>
    <row r="2610" s="26" customFormat="1" ht="30" customHeight="1" spans="1:13">
      <c r="A2610" s="41">
        <f>IF(C2610="","",SUBTOTAL(103,$C$2:C2610))</f>
        <v>2601</v>
      </c>
      <c r="B2610" s="41">
        <v>10569</v>
      </c>
      <c r="C2610" s="41">
        <v>6743</v>
      </c>
      <c r="D2610" s="41" t="s">
        <v>45</v>
      </c>
      <c r="E2610" s="41" t="s">
        <v>1298</v>
      </c>
      <c r="F2610" s="41" t="s">
        <v>6615</v>
      </c>
      <c r="G2610" s="41" t="s">
        <v>8051</v>
      </c>
      <c r="H2610" s="41" t="s">
        <v>8052</v>
      </c>
      <c r="I2610" s="43">
        <v>12</v>
      </c>
      <c r="J2610" s="44" t="str">
        <f>VLOOKUP(G2610,[1]硬件清单!$F:$F,1,0)</f>
        <v>FCH1744JJNQ</v>
      </c>
      <c r="K2610" s="43"/>
      <c r="L2610" s="44"/>
      <c r="M2610" s="45" t="s">
        <v>8053</v>
      </c>
    </row>
    <row r="2611" s="26" customFormat="1" ht="30" customHeight="1" spans="1:13">
      <c r="A2611" s="41">
        <f>IF(C2611="","",SUBTOTAL(103,$C$2:C2611))</f>
        <v>2602</v>
      </c>
      <c r="B2611" s="41">
        <v>10570</v>
      </c>
      <c r="C2611" s="41">
        <v>6744</v>
      </c>
      <c r="D2611" s="41" t="s">
        <v>45</v>
      </c>
      <c r="E2611" s="41" t="s">
        <v>1298</v>
      </c>
      <c r="F2611" s="41" t="s">
        <v>6615</v>
      </c>
      <c r="G2611" s="41" t="s">
        <v>8054</v>
      </c>
      <c r="H2611" s="41" t="s">
        <v>8055</v>
      </c>
      <c r="I2611" s="43">
        <v>12</v>
      </c>
      <c r="J2611" s="44" t="str">
        <f>VLOOKUP(G2611,[1]硬件清单!$F:$F,1,0)</f>
        <v>FCH1744JMKY</v>
      </c>
      <c r="K2611" s="43"/>
      <c r="L2611" s="44"/>
      <c r="M2611" s="45" t="s">
        <v>8056</v>
      </c>
    </row>
    <row r="2612" s="26" customFormat="1" ht="30" customHeight="1" spans="1:13">
      <c r="A2612" s="41">
        <f>IF(C2612="","",SUBTOTAL(103,$C$2:C2612))</f>
        <v>2603</v>
      </c>
      <c r="B2612" s="41">
        <v>10571</v>
      </c>
      <c r="C2612" s="41">
        <v>6809</v>
      </c>
      <c r="D2612" s="41" t="s">
        <v>45</v>
      </c>
      <c r="E2612" s="41" t="s">
        <v>1298</v>
      </c>
      <c r="F2612" s="41" t="s">
        <v>6611</v>
      </c>
      <c r="G2612" s="41" t="s">
        <v>8057</v>
      </c>
      <c r="H2612" s="41" t="s">
        <v>8058</v>
      </c>
      <c r="I2612" s="43">
        <v>12</v>
      </c>
      <c r="J2612" s="44" t="str">
        <f>VLOOKUP(G2612,[1]硬件清单!$F:$F,1,0)</f>
        <v>FOX1744GZFX</v>
      </c>
      <c r="K2612" s="43"/>
      <c r="L2612" s="44"/>
      <c r="M2612" s="45" t="s">
        <v>8059</v>
      </c>
    </row>
    <row r="2613" s="26" customFormat="1" ht="30" customHeight="1" spans="1:13">
      <c r="A2613" s="41">
        <f>IF(C2613="","",SUBTOTAL(103,$C$2:C2613))</f>
        <v>2604</v>
      </c>
      <c r="B2613" s="41">
        <v>10572</v>
      </c>
      <c r="C2613" s="41">
        <v>6729</v>
      </c>
      <c r="D2613" s="41" t="s">
        <v>45</v>
      </c>
      <c r="E2613" s="41" t="s">
        <v>1298</v>
      </c>
      <c r="F2613" s="41" t="s">
        <v>6615</v>
      </c>
      <c r="G2613" s="41" t="s">
        <v>8060</v>
      </c>
      <c r="H2613" s="41" t="s">
        <v>8061</v>
      </c>
      <c r="I2613" s="43">
        <v>12</v>
      </c>
      <c r="J2613" s="44" t="str">
        <f>VLOOKUP(G2613,[1]硬件清单!$F:$F,1,0)</f>
        <v>FCH1744JKSP</v>
      </c>
      <c r="K2613" s="43"/>
      <c r="L2613" s="44"/>
      <c r="M2613" s="45" t="s">
        <v>8062</v>
      </c>
    </row>
    <row r="2614" s="26" customFormat="1" ht="30" customHeight="1" spans="1:13">
      <c r="A2614" s="41">
        <f>IF(C2614="","",SUBTOTAL(103,$C$2:C2614))</f>
        <v>2605</v>
      </c>
      <c r="B2614" s="41">
        <v>10573</v>
      </c>
      <c r="C2614" s="41">
        <v>6730</v>
      </c>
      <c r="D2614" s="41" t="s">
        <v>45</v>
      </c>
      <c r="E2614" s="41" t="s">
        <v>1298</v>
      </c>
      <c r="F2614" s="41" t="s">
        <v>6615</v>
      </c>
      <c r="G2614" s="41" t="s">
        <v>8063</v>
      </c>
      <c r="H2614" s="41" t="s">
        <v>8064</v>
      </c>
      <c r="I2614" s="43">
        <v>12</v>
      </c>
      <c r="J2614" s="44" t="str">
        <f>VLOOKUP(G2614,[1]硬件清单!$F:$F,1,0)</f>
        <v>FCH1744JJR9</v>
      </c>
      <c r="K2614" s="43"/>
      <c r="L2614" s="44"/>
      <c r="M2614" s="45" t="s">
        <v>8065</v>
      </c>
    </row>
    <row r="2615" s="26" customFormat="1" ht="30" customHeight="1" spans="1:13">
      <c r="A2615" s="41">
        <f>IF(C2615="","",SUBTOTAL(103,$C$2:C2615))</f>
        <v>2606</v>
      </c>
      <c r="B2615" s="41">
        <v>10574</v>
      </c>
      <c r="C2615" s="41">
        <v>6731</v>
      </c>
      <c r="D2615" s="41" t="s">
        <v>45</v>
      </c>
      <c r="E2615" s="41" t="s">
        <v>1298</v>
      </c>
      <c r="F2615" s="41" t="s">
        <v>6615</v>
      </c>
      <c r="G2615" s="41" t="s">
        <v>8066</v>
      </c>
      <c r="H2615" s="41" t="s">
        <v>8067</v>
      </c>
      <c r="I2615" s="43">
        <v>12</v>
      </c>
      <c r="J2615" s="44" t="str">
        <f>VLOOKUP(G2615,[1]硬件清单!$F:$F,1,0)</f>
        <v>FCH1744JN23</v>
      </c>
      <c r="K2615" s="43"/>
      <c r="L2615" s="44"/>
      <c r="M2615" s="45" t="s">
        <v>8068</v>
      </c>
    </row>
    <row r="2616" s="26" customFormat="1" ht="30" customHeight="1" spans="1:13">
      <c r="A2616" s="41">
        <f>IF(C2616="","",SUBTOTAL(103,$C$2:C2616))</f>
        <v>2607</v>
      </c>
      <c r="B2616" s="41">
        <v>10575</v>
      </c>
      <c r="C2616" s="41">
        <v>6732</v>
      </c>
      <c r="D2616" s="41" t="s">
        <v>45</v>
      </c>
      <c r="E2616" s="41" t="s">
        <v>1298</v>
      </c>
      <c r="F2616" s="41" t="s">
        <v>6615</v>
      </c>
      <c r="G2616" s="41" t="s">
        <v>8069</v>
      </c>
      <c r="H2616" s="41" t="s">
        <v>8070</v>
      </c>
      <c r="I2616" s="43">
        <v>12</v>
      </c>
      <c r="J2616" s="44" t="str">
        <f>VLOOKUP(G2616,[1]硬件清单!$F:$F,1,0)</f>
        <v>FCH1744JMRO</v>
      </c>
      <c r="K2616" s="43"/>
      <c r="L2616" s="44"/>
      <c r="M2616" s="45" t="s">
        <v>8071</v>
      </c>
    </row>
    <row r="2617" s="26" customFormat="1" ht="30" customHeight="1" spans="1:13">
      <c r="A2617" s="41">
        <f>IF(C2617="","",SUBTOTAL(103,$C$2:C2617))</f>
        <v>2608</v>
      </c>
      <c r="B2617" s="41">
        <v>10576</v>
      </c>
      <c r="C2617" s="41">
        <v>6733</v>
      </c>
      <c r="D2617" s="41" t="s">
        <v>45</v>
      </c>
      <c r="E2617" s="41" t="s">
        <v>1298</v>
      </c>
      <c r="F2617" s="41" t="s">
        <v>6615</v>
      </c>
      <c r="G2617" s="41" t="s">
        <v>8072</v>
      </c>
      <c r="H2617" s="41" t="s">
        <v>8073</v>
      </c>
      <c r="I2617" s="43">
        <v>12</v>
      </c>
      <c r="J2617" s="44" t="str">
        <f>VLOOKUP(G2617,[1]硬件清单!$F:$F,1,0)</f>
        <v>FCH1744JLBR</v>
      </c>
      <c r="K2617" s="43"/>
      <c r="L2617" s="44"/>
      <c r="M2617" s="45" t="s">
        <v>8074</v>
      </c>
    </row>
    <row r="2618" s="26" customFormat="1" ht="30" customHeight="1" spans="1:13">
      <c r="A2618" s="41">
        <f>IF(C2618="","",SUBTOTAL(103,$C$2:C2618))</f>
        <v>2609</v>
      </c>
      <c r="B2618" s="41">
        <v>10577</v>
      </c>
      <c r="C2618" s="41">
        <v>6734</v>
      </c>
      <c r="D2618" s="41" t="s">
        <v>45</v>
      </c>
      <c r="E2618" s="41" t="s">
        <v>1298</v>
      </c>
      <c r="F2618" s="41" t="s">
        <v>6615</v>
      </c>
      <c r="G2618" s="41" t="s">
        <v>8075</v>
      </c>
      <c r="H2618" s="41" t="s">
        <v>8076</v>
      </c>
      <c r="I2618" s="43">
        <v>12</v>
      </c>
      <c r="J2618" s="44" t="str">
        <f>VLOOKUP(G2618,[1]硬件清单!$F:$F,1,0)</f>
        <v>FCH1744JLBJ</v>
      </c>
      <c r="K2618" s="43"/>
      <c r="L2618" s="44"/>
      <c r="M2618" s="45" t="s">
        <v>8077</v>
      </c>
    </row>
    <row r="2619" s="26" customFormat="1" ht="30" customHeight="1" spans="1:13">
      <c r="A2619" s="41">
        <f>IF(C2619="","",SUBTOTAL(103,$C$2:C2619))</f>
        <v>2610</v>
      </c>
      <c r="B2619" s="41">
        <v>10578</v>
      </c>
      <c r="C2619" s="41">
        <v>6735</v>
      </c>
      <c r="D2619" s="41" t="s">
        <v>45</v>
      </c>
      <c r="E2619" s="41" t="s">
        <v>1298</v>
      </c>
      <c r="F2619" s="41" t="s">
        <v>6615</v>
      </c>
      <c r="G2619" s="41" t="s">
        <v>8078</v>
      </c>
      <c r="H2619" s="41" t="s">
        <v>8079</v>
      </c>
      <c r="I2619" s="43">
        <v>12</v>
      </c>
      <c r="J2619" s="44" t="str">
        <f>VLOOKUP(G2619,[1]硬件清单!$F:$F,1,0)</f>
        <v>FCH1744JFDZ</v>
      </c>
      <c r="K2619" s="43"/>
      <c r="L2619" s="44"/>
      <c r="M2619" s="45" t="s">
        <v>8080</v>
      </c>
    </row>
    <row r="2620" s="26" customFormat="1" ht="30" customHeight="1" spans="1:13">
      <c r="A2620" s="41">
        <f>IF(C2620="","",SUBTOTAL(103,$C$2:C2620))</f>
        <v>2611</v>
      </c>
      <c r="B2620" s="41">
        <v>10579</v>
      </c>
      <c r="C2620" s="41">
        <v>6736</v>
      </c>
      <c r="D2620" s="41" t="s">
        <v>45</v>
      </c>
      <c r="E2620" s="41" t="s">
        <v>1298</v>
      </c>
      <c r="F2620" s="41" t="s">
        <v>6615</v>
      </c>
      <c r="G2620" s="41" t="s">
        <v>8081</v>
      </c>
      <c r="H2620" s="41" t="s">
        <v>8082</v>
      </c>
      <c r="I2620" s="43">
        <v>12</v>
      </c>
      <c r="J2620" s="44" t="str">
        <f>VLOOKUP(G2620,[1]硬件清单!$F:$F,1,0)</f>
        <v>FCH1744JKUV</v>
      </c>
      <c r="K2620" s="43"/>
      <c r="L2620" s="44"/>
      <c r="M2620" s="45" t="s">
        <v>8083</v>
      </c>
    </row>
    <row r="2621" s="26" customFormat="1" ht="30" customHeight="1" spans="1:13">
      <c r="A2621" s="41">
        <f>IF(C2621="","",SUBTOTAL(103,$C$2:C2621))</f>
        <v>2612</v>
      </c>
      <c r="B2621" s="41">
        <v>10580</v>
      </c>
      <c r="C2621" s="41">
        <v>6753</v>
      </c>
      <c r="D2621" s="41" t="s">
        <v>45</v>
      </c>
      <c r="E2621" s="41" t="s">
        <v>1298</v>
      </c>
      <c r="F2621" s="41" t="s">
        <v>6615</v>
      </c>
      <c r="G2621" s="41" t="s">
        <v>8084</v>
      </c>
      <c r="H2621" s="41" t="s">
        <v>8085</v>
      </c>
      <c r="I2621" s="43">
        <v>12</v>
      </c>
      <c r="J2621" s="44" t="str">
        <f>VLOOKUP(G2621,[1]硬件清单!$F:$F,1,0)</f>
        <v>FCH1744JJUS</v>
      </c>
      <c r="K2621" s="43"/>
      <c r="L2621" s="44"/>
      <c r="M2621" s="45" t="s">
        <v>8086</v>
      </c>
    </row>
    <row r="2622" s="26" customFormat="1" ht="30" customHeight="1" spans="1:13">
      <c r="A2622" s="41">
        <f>IF(C2622="","",SUBTOTAL(103,$C$2:C2622))</f>
        <v>2613</v>
      </c>
      <c r="B2622" s="41">
        <v>10581</v>
      </c>
      <c r="C2622" s="41">
        <v>6754</v>
      </c>
      <c r="D2622" s="41" t="s">
        <v>45</v>
      </c>
      <c r="E2622" s="41" t="s">
        <v>1298</v>
      </c>
      <c r="F2622" s="41" t="s">
        <v>6615</v>
      </c>
      <c r="G2622" s="41" t="s">
        <v>8087</v>
      </c>
      <c r="H2622" s="41" t="s">
        <v>8088</v>
      </c>
      <c r="I2622" s="43">
        <v>12</v>
      </c>
      <c r="J2622" s="44" t="str">
        <f>VLOOKUP(G2622,[1]硬件清单!$F:$F,1,0)</f>
        <v>FCH1744JMVH</v>
      </c>
      <c r="K2622" s="43"/>
      <c r="L2622" s="44"/>
      <c r="M2622" s="45" t="s">
        <v>8089</v>
      </c>
    </row>
    <row r="2623" s="26" customFormat="1" ht="30" customHeight="1" spans="1:13">
      <c r="A2623" s="41">
        <f>IF(C2623="","",SUBTOTAL(103,$C$2:C2623))</f>
        <v>2614</v>
      </c>
      <c r="B2623" s="41">
        <v>10582</v>
      </c>
      <c r="C2623" s="41">
        <v>6755</v>
      </c>
      <c r="D2623" s="41" t="s">
        <v>45</v>
      </c>
      <c r="E2623" s="41" t="s">
        <v>1298</v>
      </c>
      <c r="F2623" s="41" t="s">
        <v>6615</v>
      </c>
      <c r="G2623" s="41" t="s">
        <v>8090</v>
      </c>
      <c r="H2623" s="41" t="s">
        <v>8091</v>
      </c>
      <c r="I2623" s="43">
        <v>12</v>
      </c>
      <c r="J2623" s="44" t="str">
        <f>VLOOKUP(G2623,[1]硬件清单!$F:$F,1,0)</f>
        <v>FCH1744JKRZ</v>
      </c>
      <c r="K2623" s="43"/>
      <c r="L2623" s="44"/>
      <c r="M2623" s="45" t="s">
        <v>8092</v>
      </c>
    </row>
    <row r="2624" s="26" customFormat="1" ht="30" customHeight="1" spans="1:13">
      <c r="A2624" s="41">
        <f>IF(C2624="","",SUBTOTAL(103,$C$2:C2624))</f>
        <v>2615</v>
      </c>
      <c r="B2624" s="41">
        <v>10583</v>
      </c>
      <c r="C2624" s="41">
        <v>6756</v>
      </c>
      <c r="D2624" s="41" t="s">
        <v>45</v>
      </c>
      <c r="E2624" s="41" t="s">
        <v>1298</v>
      </c>
      <c r="F2624" s="41" t="s">
        <v>6615</v>
      </c>
      <c r="G2624" s="41" t="s">
        <v>8093</v>
      </c>
      <c r="H2624" s="41" t="s">
        <v>8094</v>
      </c>
      <c r="I2624" s="43">
        <v>12</v>
      </c>
      <c r="J2624" s="44" t="str">
        <f>VLOOKUP(G2624,[1]硬件清单!$F:$F,1,0)</f>
        <v>FCH1744JFFJ</v>
      </c>
      <c r="K2624" s="43"/>
      <c r="L2624" s="44"/>
      <c r="M2624" s="45" t="s">
        <v>8095</v>
      </c>
    </row>
    <row r="2625" s="26" customFormat="1" ht="30" customHeight="1" spans="1:13">
      <c r="A2625" s="41">
        <f>IF(C2625="","",SUBTOTAL(103,$C$2:C2625))</f>
        <v>2616</v>
      </c>
      <c r="B2625" s="41">
        <v>10584</v>
      </c>
      <c r="C2625" s="41">
        <v>6757</v>
      </c>
      <c r="D2625" s="41" t="s">
        <v>45</v>
      </c>
      <c r="E2625" s="41" t="s">
        <v>1298</v>
      </c>
      <c r="F2625" s="41" t="s">
        <v>6615</v>
      </c>
      <c r="G2625" s="41" t="s">
        <v>8096</v>
      </c>
      <c r="H2625" s="41" t="s">
        <v>8097</v>
      </c>
      <c r="I2625" s="43">
        <v>12</v>
      </c>
      <c r="J2625" s="44" t="str">
        <f>VLOOKUP(G2625,[1]硬件清单!$F:$F,1,0)</f>
        <v>FCH1744JFHY</v>
      </c>
      <c r="K2625" s="43"/>
      <c r="L2625" s="44"/>
      <c r="M2625" s="45" t="s">
        <v>8098</v>
      </c>
    </row>
    <row r="2626" s="26" customFormat="1" ht="30" customHeight="1" spans="1:13">
      <c r="A2626" s="41">
        <f>IF(C2626="","",SUBTOTAL(103,$C$2:C2626))</f>
        <v>2617</v>
      </c>
      <c r="B2626" s="41">
        <v>10585</v>
      </c>
      <c r="C2626" s="41">
        <v>6758</v>
      </c>
      <c r="D2626" s="41" t="s">
        <v>45</v>
      </c>
      <c r="E2626" s="41" t="s">
        <v>1298</v>
      </c>
      <c r="F2626" s="41" t="s">
        <v>6615</v>
      </c>
      <c r="G2626" s="41" t="s">
        <v>8099</v>
      </c>
      <c r="H2626" s="41" t="s">
        <v>8100</v>
      </c>
      <c r="I2626" s="43">
        <v>12</v>
      </c>
      <c r="J2626" s="44" t="str">
        <f>VLOOKUP(G2626,[1]硬件清单!$F:$F,1,0)</f>
        <v>FCH1744JJS3</v>
      </c>
      <c r="K2626" s="43"/>
      <c r="L2626" s="44"/>
      <c r="M2626" s="45" t="s">
        <v>8101</v>
      </c>
    </row>
    <row r="2627" s="26" customFormat="1" ht="30" customHeight="1" spans="1:13">
      <c r="A2627" s="41">
        <f>IF(C2627="","",SUBTOTAL(103,$C$2:C2627))</f>
        <v>2618</v>
      </c>
      <c r="B2627" s="41">
        <v>10586</v>
      </c>
      <c r="C2627" s="41">
        <v>6759</v>
      </c>
      <c r="D2627" s="41" t="s">
        <v>45</v>
      </c>
      <c r="E2627" s="41" t="s">
        <v>1298</v>
      </c>
      <c r="F2627" s="41" t="s">
        <v>6615</v>
      </c>
      <c r="G2627" s="41" t="s">
        <v>8102</v>
      </c>
      <c r="H2627" s="41" t="s">
        <v>8103</v>
      </c>
      <c r="I2627" s="43">
        <v>12</v>
      </c>
      <c r="J2627" s="44" t="str">
        <f>VLOOKUP(G2627,[1]硬件清单!$F:$F,1,0)</f>
        <v>FCH1744JJVS</v>
      </c>
      <c r="K2627" s="43"/>
      <c r="L2627" s="44"/>
      <c r="M2627" s="45" t="s">
        <v>8104</v>
      </c>
    </row>
    <row r="2628" s="26" customFormat="1" ht="30" customHeight="1" spans="1:13">
      <c r="A2628" s="41">
        <f>IF(C2628="","",SUBTOTAL(103,$C$2:C2628))</f>
        <v>2619</v>
      </c>
      <c r="B2628" s="41">
        <v>10587</v>
      </c>
      <c r="C2628" s="41">
        <v>6760</v>
      </c>
      <c r="D2628" s="41" t="s">
        <v>45</v>
      </c>
      <c r="E2628" s="41" t="s">
        <v>1298</v>
      </c>
      <c r="F2628" s="41" t="s">
        <v>6615</v>
      </c>
      <c r="G2628" s="41" t="s">
        <v>8105</v>
      </c>
      <c r="H2628" s="41" t="s">
        <v>8106</v>
      </c>
      <c r="I2628" s="43">
        <v>12</v>
      </c>
      <c r="J2628" s="44" t="str">
        <f>VLOOKUP(G2628,[1]硬件清单!$F:$F,1,0)</f>
        <v>FCH1744JMM2</v>
      </c>
      <c r="K2628" s="43"/>
      <c r="L2628" s="44"/>
      <c r="M2628" s="45" t="s">
        <v>8107</v>
      </c>
    </row>
    <row r="2629" s="26" customFormat="1" ht="30" customHeight="1" spans="1:13">
      <c r="A2629" s="41">
        <f>IF(C2629="","",SUBTOTAL(103,$C$2:C2629))</f>
        <v>2620</v>
      </c>
      <c r="B2629" s="41">
        <v>10588</v>
      </c>
      <c r="C2629" s="41">
        <v>6812</v>
      </c>
      <c r="D2629" s="41" t="s">
        <v>45</v>
      </c>
      <c r="E2629" s="41" t="s">
        <v>1298</v>
      </c>
      <c r="F2629" s="41" t="s">
        <v>6611</v>
      </c>
      <c r="G2629" s="41" t="s">
        <v>8108</v>
      </c>
      <c r="H2629" s="41" t="s">
        <v>8109</v>
      </c>
      <c r="I2629" s="43">
        <v>12</v>
      </c>
      <c r="J2629" s="44" t="str">
        <f>VLOOKUP(G2629,[1]硬件清单!$F:$F,1,0)</f>
        <v>FOX1744H0J2</v>
      </c>
      <c r="K2629" s="43"/>
      <c r="L2629" s="44"/>
      <c r="M2629" s="45" t="s">
        <v>8110</v>
      </c>
    </row>
    <row r="2630" s="26" customFormat="1" ht="30" customHeight="1" spans="1:13">
      <c r="A2630" s="41">
        <f>IF(C2630="","",SUBTOTAL(103,$C$2:C2630))</f>
        <v>2621</v>
      </c>
      <c r="B2630" s="41">
        <v>10590</v>
      </c>
      <c r="C2630" s="41">
        <v>6811</v>
      </c>
      <c r="D2630" s="41" t="s">
        <v>45</v>
      </c>
      <c r="E2630" s="41" t="s">
        <v>1298</v>
      </c>
      <c r="F2630" s="41" t="s">
        <v>6611</v>
      </c>
      <c r="G2630" s="41" t="s">
        <v>8111</v>
      </c>
      <c r="H2630" s="41" t="s">
        <v>8112</v>
      </c>
      <c r="I2630" s="43">
        <v>12</v>
      </c>
      <c r="J2630" s="44" t="str">
        <f>VLOOKUP(G2630,[1]硬件清单!$F:$F,1,0)</f>
        <v>FOX1744H0J5</v>
      </c>
      <c r="K2630" s="43"/>
      <c r="L2630" s="44"/>
      <c r="M2630" s="45" t="s">
        <v>8113</v>
      </c>
    </row>
    <row r="2631" s="26" customFormat="1" ht="30" customHeight="1" spans="1:13">
      <c r="A2631" s="41">
        <f>IF(C2631="","",SUBTOTAL(103,$C$2:C2631))</f>
        <v>2622</v>
      </c>
      <c r="B2631" s="41">
        <v>10591</v>
      </c>
      <c r="C2631" s="41">
        <v>6745</v>
      </c>
      <c r="D2631" s="41" t="s">
        <v>45</v>
      </c>
      <c r="E2631" s="41" t="s">
        <v>1298</v>
      </c>
      <c r="F2631" s="41" t="s">
        <v>6615</v>
      </c>
      <c r="G2631" s="41" t="s">
        <v>8114</v>
      </c>
      <c r="H2631" s="41" t="s">
        <v>8115</v>
      </c>
      <c r="I2631" s="43">
        <v>12</v>
      </c>
      <c r="J2631" s="44" t="str">
        <f>VLOOKUP(G2631,[1]硬件清单!$F:$F,1,0)</f>
        <v>FCH1744JL3A</v>
      </c>
      <c r="K2631" s="43"/>
      <c r="L2631" s="44"/>
      <c r="M2631" s="45" t="s">
        <v>8116</v>
      </c>
    </row>
    <row r="2632" s="26" customFormat="1" ht="30" customHeight="1" spans="1:13">
      <c r="A2632" s="41">
        <f>IF(C2632="","",SUBTOTAL(103,$C$2:C2632))</f>
        <v>2623</v>
      </c>
      <c r="B2632" s="41">
        <v>10592</v>
      </c>
      <c r="C2632" s="41">
        <v>6746</v>
      </c>
      <c r="D2632" s="41" t="s">
        <v>45</v>
      </c>
      <c r="E2632" s="41" t="s">
        <v>1298</v>
      </c>
      <c r="F2632" s="41" t="s">
        <v>6615</v>
      </c>
      <c r="G2632" s="41" t="s">
        <v>8117</v>
      </c>
      <c r="H2632" s="41" t="s">
        <v>8118</v>
      </c>
      <c r="I2632" s="43">
        <v>12</v>
      </c>
      <c r="J2632" s="44" t="str">
        <f>VLOOKUP(G2632,[1]硬件清单!$F:$F,1,0)</f>
        <v>FCH1744JLB3</v>
      </c>
      <c r="K2632" s="43"/>
      <c r="L2632" s="44"/>
      <c r="M2632" s="45" t="s">
        <v>8119</v>
      </c>
    </row>
    <row r="2633" s="26" customFormat="1" ht="30" customHeight="1" spans="1:13">
      <c r="A2633" s="41">
        <f>IF(C2633="","",SUBTOTAL(103,$C$2:C2633))</f>
        <v>2624</v>
      </c>
      <c r="B2633" s="41">
        <v>10593</v>
      </c>
      <c r="C2633" s="41">
        <v>6747</v>
      </c>
      <c r="D2633" s="41" t="s">
        <v>45</v>
      </c>
      <c r="E2633" s="41" t="s">
        <v>1298</v>
      </c>
      <c r="F2633" s="41" t="s">
        <v>6615</v>
      </c>
      <c r="G2633" s="41" t="s">
        <v>8120</v>
      </c>
      <c r="H2633" s="41" t="s">
        <v>8121</v>
      </c>
      <c r="I2633" s="43">
        <v>12</v>
      </c>
      <c r="J2633" s="44" t="str">
        <f>VLOOKUP(G2633,[1]硬件清单!$F:$F,1,0)</f>
        <v>FCH1744JL0L</v>
      </c>
      <c r="K2633" s="43"/>
      <c r="L2633" s="44"/>
      <c r="M2633" s="45" t="s">
        <v>8122</v>
      </c>
    </row>
    <row r="2634" s="26" customFormat="1" ht="30" customHeight="1" spans="1:13">
      <c r="A2634" s="41">
        <f>IF(C2634="","",SUBTOTAL(103,$C$2:C2634))</f>
        <v>2625</v>
      </c>
      <c r="B2634" s="41">
        <v>10594</v>
      </c>
      <c r="C2634" s="41">
        <v>6748</v>
      </c>
      <c r="D2634" s="41" t="s">
        <v>45</v>
      </c>
      <c r="E2634" s="41" t="s">
        <v>1298</v>
      </c>
      <c r="F2634" s="41" t="s">
        <v>6615</v>
      </c>
      <c r="G2634" s="41" t="s">
        <v>8123</v>
      </c>
      <c r="H2634" s="41" t="s">
        <v>8124</v>
      </c>
      <c r="I2634" s="43">
        <v>12</v>
      </c>
      <c r="J2634" s="44" t="str">
        <f>VLOOKUP(G2634,[1]硬件清单!$F:$F,1,0)</f>
        <v>FCH1744JGGF</v>
      </c>
      <c r="K2634" s="43"/>
      <c r="L2634" s="44"/>
      <c r="M2634" s="45" t="s">
        <v>8125</v>
      </c>
    </row>
    <row r="2635" s="26" customFormat="1" ht="30" customHeight="1" spans="1:13">
      <c r="A2635" s="41">
        <f>IF(C2635="","",SUBTOTAL(103,$C$2:C2635))</f>
        <v>2626</v>
      </c>
      <c r="B2635" s="41">
        <v>10595</v>
      </c>
      <c r="C2635" s="41">
        <v>6749</v>
      </c>
      <c r="D2635" s="41" t="s">
        <v>45</v>
      </c>
      <c r="E2635" s="41" t="s">
        <v>1298</v>
      </c>
      <c r="F2635" s="41" t="s">
        <v>6615</v>
      </c>
      <c r="G2635" s="41" t="s">
        <v>8126</v>
      </c>
      <c r="H2635" s="41" t="s">
        <v>8127</v>
      </c>
      <c r="I2635" s="43">
        <v>12</v>
      </c>
      <c r="J2635" s="44" t="str">
        <f>VLOOKUP(G2635,[1]硬件清单!$F:$F,1,0)</f>
        <v>FCH1744JGAF</v>
      </c>
      <c r="K2635" s="43"/>
      <c r="L2635" s="44"/>
      <c r="M2635" s="45" t="s">
        <v>8128</v>
      </c>
    </row>
    <row r="2636" s="26" customFormat="1" ht="30" customHeight="1" spans="1:13">
      <c r="A2636" s="41">
        <f>IF(C2636="","",SUBTOTAL(103,$C$2:C2636))</f>
        <v>2627</v>
      </c>
      <c r="B2636" s="41">
        <v>10596</v>
      </c>
      <c r="C2636" s="41">
        <v>6750</v>
      </c>
      <c r="D2636" s="41" t="s">
        <v>45</v>
      </c>
      <c r="E2636" s="41" t="s">
        <v>1298</v>
      </c>
      <c r="F2636" s="41" t="s">
        <v>6615</v>
      </c>
      <c r="G2636" s="41" t="s">
        <v>8129</v>
      </c>
      <c r="H2636" s="41" t="s">
        <v>8130</v>
      </c>
      <c r="I2636" s="43">
        <v>12</v>
      </c>
      <c r="J2636" s="44" t="str">
        <f>VLOOKUP(G2636,[1]硬件清单!$F:$F,1,0)</f>
        <v>FCH1744JLK4</v>
      </c>
      <c r="K2636" s="43"/>
      <c r="L2636" s="44"/>
      <c r="M2636" s="45" t="s">
        <v>8131</v>
      </c>
    </row>
    <row r="2637" s="26" customFormat="1" ht="30" customHeight="1" spans="1:13">
      <c r="A2637" s="41">
        <f>IF(C2637="","",SUBTOTAL(103,$C$2:C2637))</f>
        <v>2628</v>
      </c>
      <c r="B2637" s="41">
        <v>10597</v>
      </c>
      <c r="C2637" s="41">
        <v>6751</v>
      </c>
      <c r="D2637" s="41" t="s">
        <v>45</v>
      </c>
      <c r="E2637" s="41" t="s">
        <v>1298</v>
      </c>
      <c r="F2637" s="41" t="s">
        <v>6615</v>
      </c>
      <c r="G2637" s="41" t="s">
        <v>8132</v>
      </c>
      <c r="H2637" s="41" t="s">
        <v>8133</v>
      </c>
      <c r="I2637" s="43">
        <v>12</v>
      </c>
      <c r="J2637" s="44" t="str">
        <f>VLOOKUP(G2637,[1]硬件清单!$F:$F,1,0)</f>
        <v>FCH1744JJKV</v>
      </c>
      <c r="K2637" s="43"/>
      <c r="L2637" s="44"/>
      <c r="M2637" s="45" t="s">
        <v>8134</v>
      </c>
    </row>
    <row r="2638" s="26" customFormat="1" ht="30" customHeight="1" spans="1:13">
      <c r="A2638" s="41">
        <f>IF(C2638="","",SUBTOTAL(103,$C$2:C2638))</f>
        <v>2629</v>
      </c>
      <c r="B2638" s="41">
        <v>10598</v>
      </c>
      <c r="C2638" s="41">
        <v>6752</v>
      </c>
      <c r="D2638" s="41" t="s">
        <v>45</v>
      </c>
      <c r="E2638" s="41" t="s">
        <v>1298</v>
      </c>
      <c r="F2638" s="41" t="s">
        <v>6615</v>
      </c>
      <c r="G2638" s="41" t="s">
        <v>8135</v>
      </c>
      <c r="H2638" s="41" t="s">
        <v>8136</v>
      </c>
      <c r="I2638" s="43">
        <v>12</v>
      </c>
      <c r="J2638" s="44" t="str">
        <f>VLOOKUP(G2638,[1]硬件清单!$F:$F,1,0)</f>
        <v>FCH1744JLCE</v>
      </c>
      <c r="K2638" s="43"/>
      <c r="L2638" s="44"/>
      <c r="M2638" s="45" t="s">
        <v>8137</v>
      </c>
    </row>
    <row r="2639" s="26" customFormat="1" ht="30" customHeight="1" spans="1:13">
      <c r="A2639" s="41">
        <f>IF(C2639="","",SUBTOTAL(103,$C$2:C2639))</f>
        <v>2630</v>
      </c>
      <c r="B2639" s="41">
        <v>10599</v>
      </c>
      <c r="C2639" s="41">
        <v>7329</v>
      </c>
      <c r="D2639" s="41" t="s">
        <v>19</v>
      </c>
      <c r="E2639" s="41" t="s">
        <v>20</v>
      </c>
      <c r="F2639" s="41" t="s">
        <v>7249</v>
      </c>
      <c r="G2639" s="41" t="s">
        <v>8138</v>
      </c>
      <c r="H2639" s="41" t="s">
        <v>8139</v>
      </c>
      <c r="I2639" s="43">
        <v>12</v>
      </c>
      <c r="J2639" s="44" t="str">
        <f>VLOOKUP(G2639,[1]硬件清单!$F:$F,1,0)</f>
        <v>FDO1630P0KU</v>
      </c>
      <c r="K2639" s="43"/>
      <c r="L2639" s="44"/>
      <c r="M2639" s="45" t="s">
        <v>8140</v>
      </c>
    </row>
    <row r="2640" s="26" customFormat="1" ht="30" customHeight="1" spans="1:13">
      <c r="A2640" s="41">
        <f>IF(C2640="","",SUBTOTAL(103,$C$2:C2640))</f>
        <v>2631</v>
      </c>
      <c r="B2640" s="41">
        <v>10600</v>
      </c>
      <c r="C2640" s="41">
        <v>7328</v>
      </c>
      <c r="D2640" s="41" t="s">
        <v>19</v>
      </c>
      <c r="E2640" s="41" t="s">
        <v>20</v>
      </c>
      <c r="F2640" s="41" t="s">
        <v>7249</v>
      </c>
      <c r="G2640" s="41" t="s">
        <v>8141</v>
      </c>
      <c r="H2640" s="41" t="s">
        <v>8142</v>
      </c>
      <c r="I2640" s="43">
        <v>12</v>
      </c>
      <c r="J2640" s="44" t="str">
        <f>VLOOKUP(G2640,[1]硬件清单!$F:$F,1,0)</f>
        <v>FDO1630P0LX</v>
      </c>
      <c r="K2640" s="43"/>
      <c r="L2640" s="44"/>
      <c r="M2640" s="45" t="s">
        <v>8143</v>
      </c>
    </row>
    <row r="2641" s="26" customFormat="1" ht="30" customHeight="1" spans="1:13">
      <c r="A2641" s="41">
        <f>IF(C2641="","",SUBTOTAL(103,$C$2:C2641))</f>
        <v>2632</v>
      </c>
      <c r="B2641" s="41">
        <v>10601</v>
      </c>
      <c r="C2641" s="41">
        <v>7361</v>
      </c>
      <c r="D2641" s="41" t="s">
        <v>19</v>
      </c>
      <c r="E2641" s="41" t="s">
        <v>20</v>
      </c>
      <c r="F2641" s="41" t="s">
        <v>7253</v>
      </c>
      <c r="G2641" s="41" t="s">
        <v>8144</v>
      </c>
      <c r="H2641" s="41" t="s">
        <v>8145</v>
      </c>
      <c r="I2641" s="43">
        <v>12</v>
      </c>
      <c r="J2641" s="44" t="str">
        <f>VLOOKUP(G2641,[1]硬件清单!$F:$F,1,0)</f>
        <v>210235A0HAH127000089</v>
      </c>
      <c r="K2641" s="43"/>
      <c r="L2641" s="44"/>
      <c r="M2641" s="45" t="s">
        <v>8146</v>
      </c>
    </row>
    <row r="2642" s="26" customFormat="1" ht="30" customHeight="1" spans="1:13">
      <c r="A2642" s="41">
        <f>IF(C2642="","",SUBTOTAL(103,$C$2:C2642))</f>
        <v>2633</v>
      </c>
      <c r="B2642" s="41">
        <v>10602</v>
      </c>
      <c r="C2642" s="41">
        <v>7362</v>
      </c>
      <c r="D2642" s="41" t="s">
        <v>19</v>
      </c>
      <c r="E2642" s="41" t="s">
        <v>20</v>
      </c>
      <c r="F2642" s="41" t="s">
        <v>7253</v>
      </c>
      <c r="G2642" s="41" t="s">
        <v>8147</v>
      </c>
      <c r="H2642" s="41" t="s">
        <v>8148</v>
      </c>
      <c r="I2642" s="43">
        <v>12</v>
      </c>
      <c r="J2642" s="44" t="str">
        <f>VLOOKUP(G2642,[1]硬件清单!$F:$F,1,0)</f>
        <v>210235A0HAH126000123</v>
      </c>
      <c r="K2642" s="43"/>
      <c r="L2642" s="44"/>
      <c r="M2642" s="45" t="s">
        <v>8149</v>
      </c>
    </row>
    <row r="2643" s="26" customFormat="1" ht="30" customHeight="1" spans="1:13">
      <c r="A2643" s="41">
        <f>IF(C2643="","",SUBTOTAL(103,$C$2:C2643))</f>
        <v>2634</v>
      </c>
      <c r="B2643" s="41">
        <v>10605</v>
      </c>
      <c r="C2643" s="41">
        <v>6886</v>
      </c>
      <c r="D2643" s="41" t="s">
        <v>45</v>
      </c>
      <c r="E2643" s="41" t="s">
        <v>1298</v>
      </c>
      <c r="F2643" s="41" t="s">
        <v>1455</v>
      </c>
      <c r="G2643" s="41" t="s">
        <v>8150</v>
      </c>
      <c r="H2643" s="41" t="s">
        <v>8151</v>
      </c>
      <c r="I2643" s="43">
        <v>12</v>
      </c>
      <c r="J2643" s="44" t="str">
        <f>VLOOKUP(G2643,[1]硬件清单!$F:$F,1,0)</f>
        <v>2102300742N0DB000043</v>
      </c>
      <c r="K2643" s="43"/>
      <c r="L2643" s="44"/>
      <c r="M2643" s="45" t="s">
        <v>8152</v>
      </c>
    </row>
    <row r="2644" s="26" customFormat="1" ht="30" customHeight="1" spans="1:13">
      <c r="A2644" s="41">
        <f>IF(C2644="","",SUBTOTAL(103,$C$2:C2644))</f>
        <v>2635</v>
      </c>
      <c r="B2644" s="41">
        <v>10606</v>
      </c>
      <c r="C2644" s="41">
        <v>6870</v>
      </c>
      <c r="D2644" s="41" t="s">
        <v>45</v>
      </c>
      <c r="E2644" s="41" t="s">
        <v>1298</v>
      </c>
      <c r="F2644" s="41" t="s">
        <v>8153</v>
      </c>
      <c r="G2644" s="41" t="s">
        <v>8154</v>
      </c>
      <c r="H2644" s="41" t="s">
        <v>8155</v>
      </c>
      <c r="I2644" s="43">
        <v>12</v>
      </c>
      <c r="J2644" s="44" t="str">
        <f>VLOOKUP(G2644,[1]硬件清单!$F:$F,1,0)</f>
        <v>210305485510DB000037</v>
      </c>
      <c r="K2644" s="43"/>
      <c r="L2644" s="44"/>
      <c r="M2644" s="45" t="s">
        <v>8156</v>
      </c>
    </row>
    <row r="2645" s="26" customFormat="1" ht="30" customHeight="1" spans="1:13">
      <c r="A2645" s="41">
        <f>IF(C2645="","",SUBTOTAL(103,$C$2:C2645))</f>
        <v>2636</v>
      </c>
      <c r="B2645" s="41">
        <v>10607</v>
      </c>
      <c r="C2645" s="41">
        <v>6879</v>
      </c>
      <c r="D2645" s="41" t="s">
        <v>45</v>
      </c>
      <c r="E2645" s="41" t="s">
        <v>1298</v>
      </c>
      <c r="F2645" s="41" t="s">
        <v>8153</v>
      </c>
      <c r="G2645" s="41" t="s">
        <v>8157</v>
      </c>
      <c r="H2645" s="41" t="s">
        <v>8158</v>
      </c>
      <c r="I2645" s="43">
        <v>12</v>
      </c>
      <c r="J2645" s="44" t="str">
        <f>VLOOKUP(G2645,[1]硬件清单!$F:$F,1,0)</f>
        <v>210305485510DB000045</v>
      </c>
      <c r="K2645" s="43"/>
      <c r="L2645" s="44"/>
      <c r="M2645" s="45" t="s">
        <v>8159</v>
      </c>
    </row>
    <row r="2646" s="26" customFormat="1" ht="30" customHeight="1" spans="1:13">
      <c r="A2646" s="41">
        <f>IF(C2646="","",SUBTOTAL(103,$C$2:C2646))</f>
        <v>2637</v>
      </c>
      <c r="B2646" s="41">
        <v>10608</v>
      </c>
      <c r="C2646" s="41">
        <v>6880</v>
      </c>
      <c r="D2646" s="41" t="s">
        <v>45</v>
      </c>
      <c r="E2646" s="41" t="s">
        <v>1298</v>
      </c>
      <c r="F2646" s="41" t="s">
        <v>8153</v>
      </c>
      <c r="G2646" s="41" t="s">
        <v>8160</v>
      </c>
      <c r="H2646" s="41" t="s">
        <v>8161</v>
      </c>
      <c r="I2646" s="43">
        <v>12</v>
      </c>
      <c r="J2646" s="44" t="str">
        <f>VLOOKUP(G2646,[1]硬件清单!$F:$F,1,0)</f>
        <v>210305485510DB000043</v>
      </c>
      <c r="K2646" s="43"/>
      <c r="L2646" s="44"/>
      <c r="M2646" s="45" t="s">
        <v>8162</v>
      </c>
    </row>
    <row r="2647" s="26" customFormat="1" ht="30" customHeight="1" spans="1:13">
      <c r="A2647" s="41">
        <f>IF(C2647="","",SUBTOTAL(103,$C$2:C2647))</f>
        <v>2638</v>
      </c>
      <c r="B2647" s="41">
        <v>10609</v>
      </c>
      <c r="C2647" s="41">
        <v>6881</v>
      </c>
      <c r="D2647" s="41" t="s">
        <v>45</v>
      </c>
      <c r="E2647" s="41" t="s">
        <v>1298</v>
      </c>
      <c r="F2647" s="41" t="s">
        <v>8153</v>
      </c>
      <c r="G2647" s="41" t="s">
        <v>8163</v>
      </c>
      <c r="H2647" s="41" t="s">
        <v>8164</v>
      </c>
      <c r="I2647" s="43">
        <v>12</v>
      </c>
      <c r="J2647" s="44" t="str">
        <f>VLOOKUP(G2647,[1]硬件清单!$F:$F,1,0)</f>
        <v>210305485510DB000030</v>
      </c>
      <c r="K2647" s="43"/>
      <c r="L2647" s="44"/>
      <c r="M2647" s="45" t="s">
        <v>8165</v>
      </c>
    </row>
    <row r="2648" s="26" customFormat="1" ht="30" customHeight="1" spans="1:13">
      <c r="A2648" s="41">
        <f>IF(C2648="","",SUBTOTAL(103,$C$2:C2648))</f>
        <v>2639</v>
      </c>
      <c r="B2648" s="41">
        <v>10610</v>
      </c>
      <c r="C2648" s="41">
        <v>6882</v>
      </c>
      <c r="D2648" s="41" t="s">
        <v>45</v>
      </c>
      <c r="E2648" s="41" t="s">
        <v>1298</v>
      </c>
      <c r="F2648" s="41" t="s">
        <v>8153</v>
      </c>
      <c r="G2648" s="41" t="s">
        <v>8166</v>
      </c>
      <c r="H2648" s="41" t="s">
        <v>8167</v>
      </c>
      <c r="I2648" s="43">
        <v>12</v>
      </c>
      <c r="J2648" s="44" t="str">
        <f>VLOOKUP(G2648,[1]硬件清单!$F:$F,1,0)</f>
        <v>210305485510DB000040</v>
      </c>
      <c r="K2648" s="43"/>
      <c r="L2648" s="44"/>
      <c r="M2648" s="45" t="s">
        <v>8168</v>
      </c>
    </row>
    <row r="2649" s="26" customFormat="1" ht="30" customHeight="1" spans="1:13">
      <c r="A2649" s="41">
        <f>IF(C2649="","",SUBTOTAL(103,$C$2:C2649))</f>
        <v>2640</v>
      </c>
      <c r="B2649" s="41">
        <v>10611</v>
      </c>
      <c r="C2649" s="41">
        <v>6883</v>
      </c>
      <c r="D2649" s="41" t="s">
        <v>45</v>
      </c>
      <c r="E2649" s="41" t="s">
        <v>1298</v>
      </c>
      <c r="F2649" s="41" t="s">
        <v>8153</v>
      </c>
      <c r="G2649" s="41" t="s">
        <v>8169</v>
      </c>
      <c r="H2649" s="41" t="s">
        <v>8170</v>
      </c>
      <c r="I2649" s="43">
        <v>12</v>
      </c>
      <c r="J2649" s="44" t="str">
        <f>VLOOKUP(G2649,[1]硬件清单!$F:$F,1,0)</f>
        <v>210305485510DB000046</v>
      </c>
      <c r="K2649" s="43"/>
      <c r="L2649" s="44"/>
      <c r="M2649" s="45" t="s">
        <v>8171</v>
      </c>
    </row>
    <row r="2650" s="26" customFormat="1" ht="30" customHeight="1" spans="1:13">
      <c r="A2650" s="41">
        <f>IF(C2650="","",SUBTOTAL(103,$C$2:C2650))</f>
        <v>2641</v>
      </c>
      <c r="B2650" s="41">
        <v>10612</v>
      </c>
      <c r="C2650" s="41">
        <v>6884</v>
      </c>
      <c r="D2650" s="41" t="s">
        <v>45</v>
      </c>
      <c r="E2650" s="41" t="s">
        <v>1298</v>
      </c>
      <c r="F2650" s="41" t="s">
        <v>8153</v>
      </c>
      <c r="G2650" s="41" t="s">
        <v>8172</v>
      </c>
      <c r="H2650" s="41" t="s">
        <v>8173</v>
      </c>
      <c r="I2650" s="43">
        <v>12</v>
      </c>
      <c r="J2650" s="44" t="str">
        <f>VLOOKUP(G2650,[1]硬件清单!$F:$F,1,0)</f>
        <v>210305485510DB000048</v>
      </c>
      <c r="K2650" s="43"/>
      <c r="L2650" s="44"/>
      <c r="M2650" s="45" t="s">
        <v>8174</v>
      </c>
    </row>
    <row r="2651" s="26" customFormat="1" ht="30" customHeight="1" spans="1:13">
      <c r="A2651" s="41">
        <f>IF(C2651="","",SUBTOTAL(103,$C$2:C2651))</f>
        <v>2642</v>
      </c>
      <c r="B2651" s="41">
        <v>10613</v>
      </c>
      <c r="C2651" s="41">
        <v>6885</v>
      </c>
      <c r="D2651" s="41" t="s">
        <v>45</v>
      </c>
      <c r="E2651" s="41" t="s">
        <v>1298</v>
      </c>
      <c r="F2651" s="41" t="s">
        <v>8153</v>
      </c>
      <c r="G2651" s="41" t="s">
        <v>8175</v>
      </c>
      <c r="H2651" s="41" t="s">
        <v>8176</v>
      </c>
      <c r="I2651" s="43">
        <v>12</v>
      </c>
      <c r="J2651" s="44" t="str">
        <f>VLOOKUP(G2651,[1]硬件清单!$F:$F,1,0)</f>
        <v>210305485510DB000031</v>
      </c>
      <c r="K2651" s="43"/>
      <c r="L2651" s="44"/>
      <c r="M2651" s="45" t="s">
        <v>8177</v>
      </c>
    </row>
    <row r="2652" s="26" customFormat="1" ht="30" customHeight="1" spans="1:13">
      <c r="A2652" s="41">
        <f>IF(C2652="","",SUBTOTAL(103,$C$2:C2652))</f>
        <v>2643</v>
      </c>
      <c r="B2652" s="41">
        <v>10614</v>
      </c>
      <c r="C2652" s="41">
        <v>6871</v>
      </c>
      <c r="D2652" s="41" t="s">
        <v>45</v>
      </c>
      <c r="E2652" s="41" t="s">
        <v>1298</v>
      </c>
      <c r="F2652" s="41" t="s">
        <v>8153</v>
      </c>
      <c r="G2652" s="41" t="s">
        <v>8178</v>
      </c>
      <c r="H2652" s="41" t="s">
        <v>8179</v>
      </c>
      <c r="I2652" s="43">
        <v>12</v>
      </c>
      <c r="J2652" s="44" t="str">
        <f>VLOOKUP(G2652,[1]硬件清单!$F:$F,1,0)</f>
        <v>210305485510DB000047</v>
      </c>
      <c r="K2652" s="43"/>
      <c r="L2652" s="44"/>
      <c r="M2652" s="45" t="s">
        <v>8180</v>
      </c>
    </row>
    <row r="2653" s="26" customFormat="1" ht="30" customHeight="1" spans="1:13">
      <c r="A2653" s="41">
        <f>IF(C2653="","",SUBTOTAL(103,$C$2:C2653))</f>
        <v>2644</v>
      </c>
      <c r="B2653" s="41">
        <v>10615</v>
      </c>
      <c r="C2653" s="41">
        <v>6872</v>
      </c>
      <c r="D2653" s="41" t="s">
        <v>45</v>
      </c>
      <c r="E2653" s="41" t="s">
        <v>1298</v>
      </c>
      <c r="F2653" s="41" t="s">
        <v>8153</v>
      </c>
      <c r="G2653" s="41" t="s">
        <v>8181</v>
      </c>
      <c r="H2653" s="41" t="s">
        <v>8182</v>
      </c>
      <c r="I2653" s="43">
        <v>12</v>
      </c>
      <c r="J2653" s="44" t="str">
        <f>VLOOKUP(G2653,[1]硬件清单!$F:$F,1,0)</f>
        <v>210305485510DB000039</v>
      </c>
      <c r="K2653" s="43"/>
      <c r="L2653" s="44"/>
      <c r="M2653" s="45" t="s">
        <v>8183</v>
      </c>
    </row>
    <row r="2654" s="26" customFormat="1" ht="30" customHeight="1" spans="1:13">
      <c r="A2654" s="41">
        <f>IF(C2654="","",SUBTOTAL(103,$C$2:C2654))</f>
        <v>2645</v>
      </c>
      <c r="B2654" s="41">
        <v>10616</v>
      </c>
      <c r="C2654" s="41">
        <v>6873</v>
      </c>
      <c r="D2654" s="41" t="s">
        <v>45</v>
      </c>
      <c r="E2654" s="41" t="s">
        <v>1298</v>
      </c>
      <c r="F2654" s="41" t="s">
        <v>8153</v>
      </c>
      <c r="G2654" s="41" t="s">
        <v>8184</v>
      </c>
      <c r="H2654" s="41" t="s">
        <v>8185</v>
      </c>
      <c r="I2654" s="43">
        <v>12</v>
      </c>
      <c r="J2654" s="44" t="str">
        <f>VLOOKUP(G2654,[1]硬件清单!$F:$F,1,0)</f>
        <v>210305485510DB000038</v>
      </c>
      <c r="K2654" s="43"/>
      <c r="L2654" s="44"/>
      <c r="M2654" s="45" t="s">
        <v>8186</v>
      </c>
    </row>
    <row r="2655" s="26" customFormat="1" ht="30" customHeight="1" spans="1:13">
      <c r="A2655" s="41">
        <f>IF(C2655="","",SUBTOTAL(103,$C$2:C2655))</f>
        <v>2646</v>
      </c>
      <c r="B2655" s="41">
        <v>10617</v>
      </c>
      <c r="C2655" s="41">
        <v>6874</v>
      </c>
      <c r="D2655" s="41" t="s">
        <v>45</v>
      </c>
      <c r="E2655" s="41" t="s">
        <v>1298</v>
      </c>
      <c r="F2655" s="41" t="s">
        <v>8153</v>
      </c>
      <c r="G2655" s="41" t="s">
        <v>8187</v>
      </c>
      <c r="H2655" s="41" t="s">
        <v>8188</v>
      </c>
      <c r="I2655" s="43">
        <v>12</v>
      </c>
      <c r="J2655" s="44" t="str">
        <f>VLOOKUP(G2655,[1]硬件清单!$F:$F,1,0)</f>
        <v>210305485510DB000036</v>
      </c>
      <c r="K2655" s="43"/>
      <c r="L2655" s="44"/>
      <c r="M2655" s="45" t="s">
        <v>8189</v>
      </c>
    </row>
    <row r="2656" s="26" customFormat="1" ht="30" customHeight="1" spans="1:13">
      <c r="A2656" s="41">
        <f>IF(C2656="","",SUBTOTAL(103,$C$2:C2656))</f>
        <v>2647</v>
      </c>
      <c r="B2656" s="41">
        <v>10618</v>
      </c>
      <c r="C2656" s="41">
        <v>6875</v>
      </c>
      <c r="D2656" s="41" t="s">
        <v>45</v>
      </c>
      <c r="E2656" s="41" t="s">
        <v>1298</v>
      </c>
      <c r="F2656" s="41" t="s">
        <v>8153</v>
      </c>
      <c r="G2656" s="41" t="s">
        <v>8190</v>
      </c>
      <c r="H2656" s="41" t="s">
        <v>8191</v>
      </c>
      <c r="I2656" s="43">
        <v>12</v>
      </c>
      <c r="J2656" s="44" t="str">
        <f>VLOOKUP(G2656,[1]硬件清单!$F:$F,1,0)</f>
        <v>210305485510DB000044</v>
      </c>
      <c r="K2656" s="43"/>
      <c r="L2656" s="44"/>
      <c r="M2656" s="45" t="s">
        <v>8192</v>
      </c>
    </row>
    <row r="2657" s="26" customFormat="1" ht="30" customHeight="1" spans="1:13">
      <c r="A2657" s="41">
        <f>IF(C2657="","",SUBTOTAL(103,$C$2:C2657))</f>
        <v>2648</v>
      </c>
      <c r="B2657" s="41">
        <v>10619</v>
      </c>
      <c r="C2657" s="41">
        <v>6876</v>
      </c>
      <c r="D2657" s="41" t="s">
        <v>45</v>
      </c>
      <c r="E2657" s="41" t="s">
        <v>1298</v>
      </c>
      <c r="F2657" s="41" t="s">
        <v>8153</v>
      </c>
      <c r="G2657" s="41" t="s">
        <v>8193</v>
      </c>
      <c r="H2657" s="41" t="s">
        <v>8194</v>
      </c>
      <c r="I2657" s="43">
        <v>12</v>
      </c>
      <c r="J2657" s="44" t="str">
        <f>VLOOKUP(G2657,[1]硬件清单!$F:$F,1,0)</f>
        <v>210305485510DB000041</v>
      </c>
      <c r="K2657" s="43"/>
      <c r="L2657" s="44"/>
      <c r="M2657" s="45" t="s">
        <v>8195</v>
      </c>
    </row>
    <row r="2658" s="26" customFormat="1" ht="30" customHeight="1" spans="1:13">
      <c r="A2658" s="41">
        <f>IF(C2658="","",SUBTOTAL(103,$C$2:C2658))</f>
        <v>2649</v>
      </c>
      <c r="B2658" s="41">
        <v>10620</v>
      </c>
      <c r="C2658" s="41">
        <v>6877</v>
      </c>
      <c r="D2658" s="41" t="s">
        <v>45</v>
      </c>
      <c r="E2658" s="41" t="s">
        <v>1298</v>
      </c>
      <c r="F2658" s="41" t="s">
        <v>8153</v>
      </c>
      <c r="G2658" s="41" t="s">
        <v>8196</v>
      </c>
      <c r="H2658" s="41" t="s">
        <v>8197</v>
      </c>
      <c r="I2658" s="43">
        <v>12</v>
      </c>
      <c r="J2658" s="44" t="str">
        <f>VLOOKUP(G2658,[1]硬件清单!$F:$F,1,0)</f>
        <v>210305485510DB000032</v>
      </c>
      <c r="K2658" s="43"/>
      <c r="L2658" s="44"/>
      <c r="M2658" s="45" t="s">
        <v>8198</v>
      </c>
    </row>
    <row r="2659" s="26" customFormat="1" ht="30" customHeight="1" spans="1:13">
      <c r="A2659" s="41">
        <f>IF(C2659="","",SUBTOTAL(103,$C$2:C2659))</f>
        <v>2650</v>
      </c>
      <c r="B2659" s="41">
        <v>10621</v>
      </c>
      <c r="C2659" s="41">
        <v>6878</v>
      </c>
      <c r="D2659" s="41" t="s">
        <v>45</v>
      </c>
      <c r="E2659" s="41" t="s">
        <v>1298</v>
      </c>
      <c r="F2659" s="41" t="s">
        <v>8153</v>
      </c>
      <c r="G2659" s="41" t="s">
        <v>8199</v>
      </c>
      <c r="H2659" s="41" t="s">
        <v>8200</v>
      </c>
      <c r="I2659" s="43">
        <v>12</v>
      </c>
      <c r="J2659" s="44" t="str">
        <f>VLOOKUP(G2659,[1]硬件清单!$F:$F,1,0)</f>
        <v>210305485510DB000042</v>
      </c>
      <c r="K2659" s="43"/>
      <c r="L2659" s="44"/>
      <c r="M2659" s="45" t="s">
        <v>8201</v>
      </c>
    </row>
    <row r="2660" s="26" customFormat="1" ht="30" customHeight="1" spans="1:13">
      <c r="A2660" s="41">
        <f>IF(C2660="","",SUBTOTAL(103,$C$2:C2660))</f>
        <v>2651</v>
      </c>
      <c r="B2660" s="41">
        <v>10622</v>
      </c>
      <c r="C2660" s="46">
        <v>6706</v>
      </c>
      <c r="D2660" s="46" t="s">
        <v>45</v>
      </c>
      <c r="E2660" s="46" t="s">
        <v>1298</v>
      </c>
      <c r="F2660" s="46" t="s">
        <v>8202</v>
      </c>
      <c r="G2660" s="41" t="s">
        <v>8203</v>
      </c>
      <c r="H2660" s="41" t="s">
        <v>8204</v>
      </c>
      <c r="I2660" s="43">
        <v>12</v>
      </c>
      <c r="J2660" s="44" t="str">
        <f>VLOOKUP(G2660,[1]硬件清单!$F:$F,1,0)</f>
        <v>GS79D02</v>
      </c>
      <c r="K2660" s="43"/>
      <c r="L2660" s="44"/>
      <c r="M2660" s="45" t="s">
        <v>8205</v>
      </c>
    </row>
    <row r="2661" s="26" customFormat="1" ht="30" customHeight="1" spans="1:13">
      <c r="A2661" s="41">
        <f>IF(C2661="","",SUBTOTAL(103,$C$2:C2661))</f>
        <v>2652</v>
      </c>
      <c r="B2661" s="41">
        <v>10623</v>
      </c>
      <c r="C2661" s="41">
        <v>6460</v>
      </c>
      <c r="D2661" s="41" t="s">
        <v>45</v>
      </c>
      <c r="E2661" s="41" t="s">
        <v>1298</v>
      </c>
      <c r="F2661" s="41" t="s">
        <v>4201</v>
      </c>
      <c r="G2661" s="41" t="s">
        <v>8206</v>
      </c>
      <c r="H2661" s="41" t="s">
        <v>8207</v>
      </c>
      <c r="I2661" s="43">
        <v>12</v>
      </c>
      <c r="J2661" s="44" t="str">
        <f>VLOOKUP(G2661,[1]硬件清单!$F:$F,1,0)</f>
        <v>FLPDF3X</v>
      </c>
      <c r="K2661" s="43"/>
      <c r="L2661" s="44"/>
      <c r="M2661" s="45" t="s">
        <v>8208</v>
      </c>
    </row>
    <row r="2662" s="26" customFormat="1" ht="30" customHeight="1" spans="1:13">
      <c r="A2662" s="41">
        <f>IF(C2662="","",SUBTOTAL(103,$C$2:C2662))</f>
        <v>2653</v>
      </c>
      <c r="B2662" s="41">
        <v>10624</v>
      </c>
      <c r="C2662" s="41">
        <v>6469</v>
      </c>
      <c r="D2662" s="41" t="s">
        <v>45</v>
      </c>
      <c r="E2662" s="41" t="s">
        <v>1298</v>
      </c>
      <c r="F2662" s="41" t="s">
        <v>4201</v>
      </c>
      <c r="G2662" s="41" t="s">
        <v>8209</v>
      </c>
      <c r="H2662" s="41" t="s">
        <v>8210</v>
      </c>
      <c r="I2662" s="43">
        <v>12</v>
      </c>
      <c r="J2662" s="44" t="str">
        <f>VLOOKUP(G2662,[1]硬件清单!$F:$F,1,0)</f>
        <v>JLPDF3X</v>
      </c>
      <c r="K2662" s="43"/>
      <c r="L2662" s="44"/>
      <c r="M2662" s="45" t="s">
        <v>8211</v>
      </c>
    </row>
    <row r="2663" s="26" customFormat="1" ht="30" customHeight="1" spans="1:13">
      <c r="A2663" s="41">
        <f>IF(C2663="","",SUBTOTAL(103,$C$2:C2663))</f>
        <v>2654</v>
      </c>
      <c r="B2663" s="41">
        <v>10625</v>
      </c>
      <c r="C2663" s="41">
        <v>6470</v>
      </c>
      <c r="D2663" s="41" t="s">
        <v>45</v>
      </c>
      <c r="E2663" s="41" t="s">
        <v>1298</v>
      </c>
      <c r="F2663" s="41" t="s">
        <v>4201</v>
      </c>
      <c r="G2663" s="41" t="s">
        <v>8212</v>
      </c>
      <c r="H2663" s="41" t="s">
        <v>8213</v>
      </c>
      <c r="I2663" s="43">
        <v>12</v>
      </c>
      <c r="J2663" s="44" t="str">
        <f>VLOOKUP(G2663,[1]硬件清单!$F:$F,1,0)</f>
        <v>4MPDF3X</v>
      </c>
      <c r="K2663" s="43"/>
      <c r="L2663" s="44"/>
      <c r="M2663" s="45" t="s">
        <v>8214</v>
      </c>
    </row>
    <row r="2664" s="26" customFormat="1" ht="30" customHeight="1" spans="1:13">
      <c r="A2664" s="41">
        <f>IF(C2664="","",SUBTOTAL(103,$C$2:C2664))</f>
        <v>2655</v>
      </c>
      <c r="B2664" s="41">
        <v>10626</v>
      </c>
      <c r="C2664" s="41">
        <v>6471</v>
      </c>
      <c r="D2664" s="41" t="s">
        <v>45</v>
      </c>
      <c r="E2664" s="41" t="s">
        <v>1298</v>
      </c>
      <c r="F2664" s="41" t="s">
        <v>4201</v>
      </c>
      <c r="G2664" s="41" t="s">
        <v>8215</v>
      </c>
      <c r="H2664" s="41" t="s">
        <v>8216</v>
      </c>
      <c r="I2664" s="43">
        <v>12</v>
      </c>
      <c r="J2664" s="44" t="str">
        <f>VLOOKUP(G2664,[1]硬件清单!$F:$F,1,0)</f>
        <v>1MPDF3X</v>
      </c>
      <c r="K2664" s="43"/>
      <c r="L2664" s="44"/>
      <c r="M2664" s="45" t="s">
        <v>8217</v>
      </c>
    </row>
    <row r="2665" s="26" customFormat="1" ht="30" customHeight="1" spans="1:13">
      <c r="A2665" s="41">
        <f>IF(C2665="","",SUBTOTAL(103,$C$2:C2665))</f>
        <v>2656</v>
      </c>
      <c r="B2665" s="41">
        <v>10627</v>
      </c>
      <c r="C2665" s="41">
        <v>6472</v>
      </c>
      <c r="D2665" s="41" t="s">
        <v>45</v>
      </c>
      <c r="E2665" s="41" t="s">
        <v>1298</v>
      </c>
      <c r="F2665" s="41" t="s">
        <v>4201</v>
      </c>
      <c r="G2665" s="41" t="s">
        <v>8218</v>
      </c>
      <c r="H2665" s="41" t="s">
        <v>8219</v>
      </c>
      <c r="I2665" s="43">
        <v>12</v>
      </c>
      <c r="J2665" s="44" t="str">
        <f>VLOOKUP(G2665,[1]硬件清单!$F:$F,1,0)</f>
        <v>6SPDF3X</v>
      </c>
      <c r="K2665" s="43"/>
      <c r="L2665" s="44"/>
      <c r="M2665" s="45" t="s">
        <v>8220</v>
      </c>
    </row>
    <row r="2666" s="26" customFormat="1" ht="30" customHeight="1" spans="1:13">
      <c r="A2666" s="41">
        <f>IF(C2666="","",SUBTOTAL(103,$C$2:C2666))</f>
        <v>2657</v>
      </c>
      <c r="B2666" s="41">
        <v>10628</v>
      </c>
      <c r="C2666" s="41">
        <v>6473</v>
      </c>
      <c r="D2666" s="41" t="s">
        <v>45</v>
      </c>
      <c r="E2666" s="41" t="s">
        <v>1298</v>
      </c>
      <c r="F2666" s="41" t="s">
        <v>4201</v>
      </c>
      <c r="G2666" s="41" t="s">
        <v>8221</v>
      </c>
      <c r="H2666" s="41" t="s">
        <v>8222</v>
      </c>
      <c r="I2666" s="43">
        <v>12</v>
      </c>
      <c r="J2666" s="44" t="str">
        <f>VLOOKUP(G2666,[1]硬件清单!$F:$F,1,0)</f>
        <v>GRPDF3X</v>
      </c>
      <c r="K2666" s="43"/>
      <c r="L2666" s="44"/>
      <c r="M2666" s="45" t="s">
        <v>8223</v>
      </c>
    </row>
    <row r="2667" s="26" customFormat="1" ht="30" customHeight="1" spans="1:13">
      <c r="A2667" s="41">
        <f>IF(C2667="","",SUBTOTAL(103,$C$2:C2667))</f>
        <v>2658</v>
      </c>
      <c r="B2667" s="41">
        <v>10629</v>
      </c>
      <c r="C2667" s="41">
        <v>6474</v>
      </c>
      <c r="D2667" s="41" t="s">
        <v>45</v>
      </c>
      <c r="E2667" s="41" t="s">
        <v>1298</v>
      </c>
      <c r="F2667" s="41" t="s">
        <v>4201</v>
      </c>
      <c r="G2667" s="41" t="s">
        <v>8224</v>
      </c>
      <c r="H2667" s="41" t="s">
        <v>8225</v>
      </c>
      <c r="I2667" s="43">
        <v>12</v>
      </c>
      <c r="J2667" s="44" t="str">
        <f>VLOOKUP(G2667,[1]硬件清单!$F:$F,1,0)</f>
        <v>FRPDF3X</v>
      </c>
      <c r="K2667" s="43"/>
      <c r="L2667" s="44"/>
      <c r="M2667" s="45" t="s">
        <v>8226</v>
      </c>
    </row>
    <row r="2668" s="26" customFormat="1" ht="30" customHeight="1" spans="1:13">
      <c r="A2668" s="41">
        <f>IF(C2668="","",SUBTOTAL(103,$C$2:C2668))</f>
        <v>2659</v>
      </c>
      <c r="B2668" s="41">
        <v>10630</v>
      </c>
      <c r="C2668" s="41">
        <v>6475</v>
      </c>
      <c r="D2668" s="41" t="s">
        <v>45</v>
      </c>
      <c r="E2668" s="41" t="s">
        <v>1298</v>
      </c>
      <c r="F2668" s="41" t="s">
        <v>4201</v>
      </c>
      <c r="G2668" s="41" t="s">
        <v>8227</v>
      </c>
      <c r="H2668" s="41" t="s">
        <v>8228</v>
      </c>
      <c r="I2668" s="43">
        <v>12</v>
      </c>
      <c r="J2668" s="44" t="str">
        <f>VLOOKUP(G2668,[1]硬件清单!$F:$F,1,0)</f>
        <v>3SPDF3X</v>
      </c>
      <c r="K2668" s="43"/>
      <c r="L2668" s="44"/>
      <c r="M2668" s="45" t="s">
        <v>8229</v>
      </c>
    </row>
    <row r="2669" s="26" customFormat="1" ht="30" customHeight="1" spans="1:13">
      <c r="A2669" s="41">
        <f>IF(C2669="","",SUBTOTAL(103,$C$2:C2669))</f>
        <v>2660</v>
      </c>
      <c r="B2669" s="41">
        <v>10631</v>
      </c>
      <c r="C2669" s="41">
        <v>6461</v>
      </c>
      <c r="D2669" s="41" t="s">
        <v>45</v>
      </c>
      <c r="E2669" s="41" t="s">
        <v>1298</v>
      </c>
      <c r="F2669" s="41" t="s">
        <v>4201</v>
      </c>
      <c r="G2669" s="41" t="s">
        <v>8230</v>
      </c>
      <c r="H2669" s="41" t="s">
        <v>8231</v>
      </c>
      <c r="I2669" s="43">
        <v>12</v>
      </c>
      <c r="J2669" s="44" t="str">
        <f>VLOOKUP(G2669,[1]硬件清单!$F:$F,1,0)</f>
        <v>CLPDF3X</v>
      </c>
      <c r="K2669" s="43"/>
      <c r="L2669" s="44"/>
      <c r="M2669" s="45" t="s">
        <v>8232</v>
      </c>
    </row>
    <row r="2670" s="26" customFormat="1" ht="30" customHeight="1" spans="1:13">
      <c r="A2670" s="41">
        <f>IF(C2670="","",SUBTOTAL(103,$C$2:C2670))</f>
        <v>2661</v>
      </c>
      <c r="B2670" s="41">
        <v>10632</v>
      </c>
      <c r="C2670" s="41">
        <v>6462</v>
      </c>
      <c r="D2670" s="41" t="s">
        <v>45</v>
      </c>
      <c r="E2670" s="41" t="s">
        <v>1298</v>
      </c>
      <c r="F2670" s="41" t="s">
        <v>4201</v>
      </c>
      <c r="G2670" s="41" t="s">
        <v>8233</v>
      </c>
      <c r="H2670" s="41" t="s">
        <v>8234</v>
      </c>
      <c r="I2670" s="43">
        <v>12</v>
      </c>
      <c r="J2670" s="44" t="str">
        <f>VLOOKUP(G2670,[1]硬件清单!$F:$F,1,0)</f>
        <v>GLPDF3X</v>
      </c>
      <c r="K2670" s="43"/>
      <c r="L2670" s="44"/>
      <c r="M2670" s="45" t="s">
        <v>8235</v>
      </c>
    </row>
    <row r="2671" s="26" customFormat="1" ht="30" customHeight="1" spans="1:13">
      <c r="A2671" s="41">
        <f>IF(C2671="","",SUBTOTAL(103,$C$2:C2671))</f>
        <v>2662</v>
      </c>
      <c r="B2671" s="41">
        <v>10633</v>
      </c>
      <c r="C2671" s="41">
        <v>6463</v>
      </c>
      <c r="D2671" s="41" t="s">
        <v>45</v>
      </c>
      <c r="E2671" s="41" t="s">
        <v>1298</v>
      </c>
      <c r="F2671" s="41" t="s">
        <v>4201</v>
      </c>
      <c r="G2671" s="41" t="s">
        <v>8236</v>
      </c>
      <c r="H2671" s="41" t="s">
        <v>8237</v>
      </c>
      <c r="I2671" s="43">
        <v>12</v>
      </c>
      <c r="J2671" s="44" t="str">
        <f>VLOOKUP(G2671,[1]硬件清单!$F:$F,1,0)</f>
        <v>3MPDF3X</v>
      </c>
      <c r="K2671" s="43"/>
      <c r="L2671" s="44"/>
      <c r="M2671" s="45" t="s">
        <v>8238</v>
      </c>
    </row>
    <row r="2672" s="26" customFormat="1" ht="30" customHeight="1" spans="1:13">
      <c r="A2672" s="41">
        <f>IF(C2672="","",SUBTOTAL(103,$C$2:C2672))</f>
        <v>2663</v>
      </c>
      <c r="B2672" s="41">
        <v>10634</v>
      </c>
      <c r="C2672" s="41">
        <v>6464</v>
      </c>
      <c r="D2672" s="41" t="s">
        <v>45</v>
      </c>
      <c r="E2672" s="41" t="s">
        <v>1298</v>
      </c>
      <c r="F2672" s="41" t="s">
        <v>4201</v>
      </c>
      <c r="G2672" s="41" t="s">
        <v>8239</v>
      </c>
      <c r="H2672" s="41" t="s">
        <v>8240</v>
      </c>
      <c r="I2672" s="43">
        <v>12</v>
      </c>
      <c r="J2672" s="44" t="str">
        <f>VLOOKUP(G2672,[1]硬件清单!$F:$F,1,0)</f>
        <v>9LPDF3X</v>
      </c>
      <c r="K2672" s="43"/>
      <c r="L2672" s="44"/>
      <c r="M2672" s="45" t="s">
        <v>8241</v>
      </c>
    </row>
    <row r="2673" s="26" customFormat="1" ht="30" customHeight="1" spans="1:13">
      <c r="A2673" s="41">
        <f>IF(C2673="","",SUBTOTAL(103,$C$2:C2673))</f>
        <v>2664</v>
      </c>
      <c r="B2673" s="41">
        <v>10635</v>
      </c>
      <c r="C2673" s="41">
        <v>6465</v>
      </c>
      <c r="D2673" s="41" t="s">
        <v>45</v>
      </c>
      <c r="E2673" s="41" t="s">
        <v>1298</v>
      </c>
      <c r="F2673" s="41" t="s">
        <v>4201</v>
      </c>
      <c r="G2673" s="41" t="s">
        <v>8242</v>
      </c>
      <c r="H2673" s="41" t="s">
        <v>8243</v>
      </c>
      <c r="I2673" s="43">
        <v>12</v>
      </c>
      <c r="J2673" s="44" t="str">
        <f>VLOOKUP(G2673,[1]硬件清单!$F:$F,1,0)</f>
        <v>DLPDF3X</v>
      </c>
      <c r="K2673" s="43"/>
      <c r="L2673" s="44"/>
      <c r="M2673" s="45" t="s">
        <v>8244</v>
      </c>
    </row>
    <row r="2674" s="26" customFormat="1" ht="30" customHeight="1" spans="1:13">
      <c r="A2674" s="41">
        <f>IF(C2674="","",SUBTOTAL(103,$C$2:C2674))</f>
        <v>2665</v>
      </c>
      <c r="B2674" s="41">
        <v>10636</v>
      </c>
      <c r="C2674" s="41">
        <v>6466</v>
      </c>
      <c r="D2674" s="41" t="s">
        <v>45</v>
      </c>
      <c r="E2674" s="41" t="s">
        <v>1298</v>
      </c>
      <c r="F2674" s="41" t="s">
        <v>4201</v>
      </c>
      <c r="G2674" s="41" t="s">
        <v>8245</v>
      </c>
      <c r="H2674" s="41" t="s">
        <v>8246</v>
      </c>
      <c r="I2674" s="43">
        <v>12</v>
      </c>
      <c r="J2674" s="44" t="str">
        <f>VLOOKUP(G2674,[1]硬件清单!$F:$F,1,0)</f>
        <v>2MPDF3X</v>
      </c>
      <c r="K2674" s="43"/>
      <c r="L2674" s="44"/>
      <c r="M2674" s="45" t="s">
        <v>8247</v>
      </c>
    </row>
    <row r="2675" s="26" customFormat="1" ht="30" customHeight="1" spans="1:13">
      <c r="A2675" s="41">
        <f>IF(C2675="","",SUBTOTAL(103,$C$2:C2675))</f>
        <v>2666</v>
      </c>
      <c r="B2675" s="41">
        <v>10637</v>
      </c>
      <c r="C2675" s="41">
        <v>6467</v>
      </c>
      <c r="D2675" s="41" t="s">
        <v>45</v>
      </c>
      <c r="E2675" s="41" t="s">
        <v>1298</v>
      </c>
      <c r="F2675" s="41" t="s">
        <v>4201</v>
      </c>
      <c r="G2675" s="41" t="s">
        <v>8248</v>
      </c>
      <c r="H2675" s="41" t="s">
        <v>8249</v>
      </c>
      <c r="I2675" s="43">
        <v>12</v>
      </c>
      <c r="J2675" s="44" t="str">
        <f>VLOOKUP(G2675,[1]硬件清单!$F:$F,1,0)</f>
        <v>BLPDF3X</v>
      </c>
      <c r="K2675" s="43"/>
      <c r="L2675" s="44"/>
      <c r="M2675" s="45" t="s">
        <v>8250</v>
      </c>
    </row>
    <row r="2676" s="26" customFormat="1" ht="30" customHeight="1" spans="1:13">
      <c r="A2676" s="41">
        <f>IF(C2676="","",SUBTOTAL(103,$C$2:C2676))</f>
        <v>2667</v>
      </c>
      <c r="B2676" s="41">
        <v>10638</v>
      </c>
      <c r="C2676" s="41">
        <v>6468</v>
      </c>
      <c r="D2676" s="41" t="s">
        <v>45</v>
      </c>
      <c r="E2676" s="41" t="s">
        <v>1298</v>
      </c>
      <c r="F2676" s="41" t="s">
        <v>4201</v>
      </c>
      <c r="G2676" s="41" t="s">
        <v>8251</v>
      </c>
      <c r="H2676" s="41" t="s">
        <v>8252</v>
      </c>
      <c r="I2676" s="43">
        <v>12</v>
      </c>
      <c r="J2676" s="44" t="str">
        <f>VLOOKUP(G2676,[1]硬件清单!$F:$F,1,0)</f>
        <v>HLPDF3X</v>
      </c>
      <c r="K2676" s="43"/>
      <c r="L2676" s="44"/>
      <c r="M2676" s="45" t="s">
        <v>8253</v>
      </c>
    </row>
    <row r="2677" s="26" customFormat="1" ht="30" customHeight="1" spans="1:13">
      <c r="A2677" s="41">
        <f>IF(C2677="","",SUBTOTAL(103,$C$2:C2677))</f>
        <v>2668</v>
      </c>
      <c r="B2677" s="41">
        <v>10639</v>
      </c>
      <c r="C2677" s="41">
        <v>6476</v>
      </c>
      <c r="D2677" s="41" t="s">
        <v>45</v>
      </c>
      <c r="E2677" s="41" t="s">
        <v>1298</v>
      </c>
      <c r="F2677" s="41" t="s">
        <v>4201</v>
      </c>
      <c r="G2677" s="41" t="s">
        <v>8254</v>
      </c>
      <c r="H2677" s="41" t="s">
        <v>8255</v>
      </c>
      <c r="I2677" s="43">
        <v>12</v>
      </c>
      <c r="J2677" s="44" t="str">
        <f>VLOOKUP(G2677,[1]硬件清单!$F:$F,1,0)</f>
        <v>4NPDF3X</v>
      </c>
      <c r="K2677" s="43"/>
      <c r="L2677" s="44"/>
      <c r="M2677" s="45" t="s">
        <v>8256</v>
      </c>
    </row>
    <row r="2678" s="26" customFormat="1" ht="30" customHeight="1" spans="1:13">
      <c r="A2678" s="41">
        <f>IF(C2678="","",SUBTOTAL(103,$C$2:C2678))</f>
        <v>2669</v>
      </c>
      <c r="B2678" s="41">
        <v>10640</v>
      </c>
      <c r="C2678" s="41">
        <v>6485</v>
      </c>
      <c r="D2678" s="41" t="s">
        <v>45</v>
      </c>
      <c r="E2678" s="41" t="s">
        <v>1298</v>
      </c>
      <c r="F2678" s="41" t="s">
        <v>4201</v>
      </c>
      <c r="G2678" s="41" t="s">
        <v>8257</v>
      </c>
      <c r="H2678" s="41" t="s">
        <v>8258</v>
      </c>
      <c r="I2678" s="43">
        <v>12</v>
      </c>
      <c r="J2678" s="44" t="str">
        <f>VLOOKUP(G2678,[1]硬件清单!$F:$F,1,0)</f>
        <v>DMPDF3X</v>
      </c>
      <c r="K2678" s="43"/>
      <c r="L2678" s="44"/>
      <c r="M2678" s="45" t="s">
        <v>8259</v>
      </c>
    </row>
    <row r="2679" s="26" customFormat="1" ht="30" customHeight="1" spans="1:13">
      <c r="A2679" s="41">
        <f>IF(C2679="","",SUBTOTAL(103,$C$2:C2679))</f>
        <v>2670</v>
      </c>
      <c r="B2679" s="41">
        <v>10641</v>
      </c>
      <c r="C2679" s="41">
        <v>6486</v>
      </c>
      <c r="D2679" s="41" t="s">
        <v>45</v>
      </c>
      <c r="E2679" s="41" t="s">
        <v>1298</v>
      </c>
      <c r="F2679" s="41" t="s">
        <v>4201</v>
      </c>
      <c r="G2679" s="41" t="s">
        <v>8260</v>
      </c>
      <c r="H2679" s="41" t="s">
        <v>8261</v>
      </c>
      <c r="I2679" s="43">
        <v>12</v>
      </c>
      <c r="J2679" s="44" t="str">
        <f>VLOOKUP(G2679,[1]硬件清单!$F:$F,1,0)</f>
        <v>1NPDF3X</v>
      </c>
      <c r="K2679" s="43"/>
      <c r="L2679" s="44"/>
      <c r="M2679" s="45" t="s">
        <v>8262</v>
      </c>
    </row>
    <row r="2680" s="26" customFormat="1" ht="30" customHeight="1" spans="1:13">
      <c r="A2680" s="41">
        <f>IF(C2680="","",SUBTOTAL(103,$C$2:C2680))</f>
        <v>2671</v>
      </c>
      <c r="B2680" s="41">
        <v>10642</v>
      </c>
      <c r="C2680" s="41">
        <v>6487</v>
      </c>
      <c r="D2680" s="41" t="s">
        <v>45</v>
      </c>
      <c r="E2680" s="41" t="s">
        <v>1298</v>
      </c>
      <c r="F2680" s="41" t="s">
        <v>4201</v>
      </c>
      <c r="G2680" s="41" t="s">
        <v>8263</v>
      </c>
      <c r="H2680" s="41" t="s">
        <v>8264</v>
      </c>
      <c r="I2680" s="43">
        <v>12</v>
      </c>
      <c r="J2680" s="44" t="str">
        <f>VLOOKUP(G2680,[1]硬件清单!$F:$F,1,0)</f>
        <v>FMPDF3X</v>
      </c>
      <c r="K2680" s="43"/>
      <c r="L2680" s="44"/>
      <c r="M2680" s="45" t="s">
        <v>8265</v>
      </c>
    </row>
    <row r="2681" s="26" customFormat="1" ht="30" customHeight="1" spans="1:13">
      <c r="A2681" s="41">
        <f>IF(C2681="","",SUBTOTAL(103,$C$2:C2681))</f>
        <v>2672</v>
      </c>
      <c r="B2681" s="41">
        <v>10643</v>
      </c>
      <c r="C2681" s="41">
        <v>6488</v>
      </c>
      <c r="D2681" s="41" t="s">
        <v>45</v>
      </c>
      <c r="E2681" s="41" t="s">
        <v>1298</v>
      </c>
      <c r="F2681" s="41" t="s">
        <v>4201</v>
      </c>
      <c r="G2681" s="41" t="s">
        <v>8266</v>
      </c>
      <c r="H2681" s="41" t="s">
        <v>8267</v>
      </c>
      <c r="I2681" s="43">
        <v>12</v>
      </c>
      <c r="J2681" s="44" t="str">
        <f>VLOOKUP(G2681,[1]硬件清单!$F:$F,1,0)</f>
        <v>HRPDF3X</v>
      </c>
      <c r="K2681" s="43"/>
      <c r="L2681" s="44"/>
      <c r="M2681" s="45" t="s">
        <v>8268</v>
      </c>
    </row>
    <row r="2682" s="26" customFormat="1" ht="30" customHeight="1" spans="1:13">
      <c r="A2682" s="41">
        <f>IF(C2682="","",SUBTOTAL(103,$C$2:C2682))</f>
        <v>2673</v>
      </c>
      <c r="B2682" s="41">
        <v>10644</v>
      </c>
      <c r="C2682" s="41">
        <v>6477</v>
      </c>
      <c r="D2682" s="41" t="s">
        <v>45</v>
      </c>
      <c r="E2682" s="41" t="s">
        <v>1298</v>
      </c>
      <c r="F2682" s="41" t="s">
        <v>4201</v>
      </c>
      <c r="G2682" s="41" t="s">
        <v>8269</v>
      </c>
      <c r="H2682" s="41" t="s">
        <v>8270</v>
      </c>
      <c r="I2682" s="43">
        <v>12</v>
      </c>
      <c r="J2682" s="44" t="str">
        <f>VLOOKUP(G2682,[1]硬件清单!$F:$F,1,0)</f>
        <v>GMPDF3X</v>
      </c>
      <c r="K2682" s="43"/>
      <c r="L2682" s="44"/>
      <c r="M2682" s="45" t="s">
        <v>8271</v>
      </c>
    </row>
    <row r="2683" s="26" customFormat="1" ht="30" customHeight="1" spans="1:13">
      <c r="A2683" s="41">
        <f>IF(C2683="","",SUBTOTAL(103,$C$2:C2683))</f>
        <v>2674</v>
      </c>
      <c r="B2683" s="41">
        <v>10645</v>
      </c>
      <c r="C2683" s="41">
        <v>6478</v>
      </c>
      <c r="D2683" s="41" t="s">
        <v>45</v>
      </c>
      <c r="E2683" s="41" t="s">
        <v>1298</v>
      </c>
      <c r="F2683" s="41" t="s">
        <v>4201</v>
      </c>
      <c r="G2683" s="41" t="s">
        <v>8272</v>
      </c>
      <c r="H2683" s="41" t="s">
        <v>8273</v>
      </c>
      <c r="I2683" s="43">
        <v>12</v>
      </c>
      <c r="J2683" s="44" t="str">
        <f>VLOOKUP(G2683,[1]硬件清单!$F:$F,1,0)</f>
        <v>CMPDF3X</v>
      </c>
      <c r="K2683" s="43"/>
      <c r="L2683" s="44"/>
      <c r="M2683" s="45" t="s">
        <v>8274</v>
      </c>
    </row>
    <row r="2684" s="26" customFormat="1" ht="30" customHeight="1" spans="1:13">
      <c r="A2684" s="41">
        <f>IF(C2684="","",SUBTOTAL(103,$C$2:C2684))</f>
        <v>2675</v>
      </c>
      <c r="B2684" s="41">
        <v>10646</v>
      </c>
      <c r="C2684" s="41">
        <v>6479</v>
      </c>
      <c r="D2684" s="41" t="s">
        <v>45</v>
      </c>
      <c r="E2684" s="41" t="s">
        <v>1298</v>
      </c>
      <c r="F2684" s="41" t="s">
        <v>4201</v>
      </c>
      <c r="G2684" s="41" t="s">
        <v>8275</v>
      </c>
      <c r="H2684" s="41" t="s">
        <v>8276</v>
      </c>
      <c r="I2684" s="43">
        <v>12</v>
      </c>
      <c r="J2684" s="44" t="str">
        <f>VLOOKUP(G2684,[1]硬件清单!$F:$F,1,0)</f>
        <v>BMPDF3X</v>
      </c>
      <c r="K2684" s="43"/>
      <c r="L2684" s="44"/>
      <c r="M2684" s="45" t="s">
        <v>8277</v>
      </c>
    </row>
    <row r="2685" s="26" customFormat="1" ht="30" customHeight="1" spans="1:13">
      <c r="A2685" s="41">
        <f>IF(C2685="","",SUBTOTAL(103,$C$2:C2685))</f>
        <v>2676</v>
      </c>
      <c r="B2685" s="41">
        <v>10647</v>
      </c>
      <c r="C2685" s="41">
        <v>6480</v>
      </c>
      <c r="D2685" s="41" t="s">
        <v>45</v>
      </c>
      <c r="E2685" s="41" t="s">
        <v>1298</v>
      </c>
      <c r="F2685" s="41" t="s">
        <v>4201</v>
      </c>
      <c r="G2685" s="41" t="s">
        <v>8278</v>
      </c>
      <c r="H2685" s="41" t="s">
        <v>8279</v>
      </c>
      <c r="I2685" s="43">
        <v>12</v>
      </c>
      <c r="J2685" s="44" t="str">
        <f>VLOOKUP(G2685,[1]硬件清单!$F:$F,1,0)</f>
        <v>2NPDF3X</v>
      </c>
      <c r="K2685" s="43"/>
      <c r="L2685" s="44"/>
      <c r="M2685" s="45" t="s">
        <v>8280</v>
      </c>
    </row>
    <row r="2686" s="26" customFormat="1" ht="30" customHeight="1" spans="1:13">
      <c r="A2686" s="41">
        <f>IF(C2686="","",SUBTOTAL(103,$C$2:C2686))</f>
        <v>2677</v>
      </c>
      <c r="B2686" s="41">
        <v>10648</v>
      </c>
      <c r="C2686" s="41">
        <v>6481</v>
      </c>
      <c r="D2686" s="41" t="s">
        <v>45</v>
      </c>
      <c r="E2686" s="41" t="s">
        <v>1298</v>
      </c>
      <c r="F2686" s="41" t="s">
        <v>4201</v>
      </c>
      <c r="G2686" s="41" t="s">
        <v>8281</v>
      </c>
      <c r="H2686" s="41" t="s">
        <v>8282</v>
      </c>
      <c r="I2686" s="43">
        <v>12</v>
      </c>
      <c r="J2686" s="44" t="str">
        <f>VLOOKUP(G2686,[1]硬件清单!$F:$F,1,0)</f>
        <v>3NPDF3X</v>
      </c>
      <c r="K2686" s="43"/>
      <c r="L2686" s="44"/>
      <c r="M2686" s="45" t="s">
        <v>8283</v>
      </c>
    </row>
    <row r="2687" s="26" customFormat="1" ht="30" customHeight="1" spans="1:13">
      <c r="A2687" s="41">
        <f>IF(C2687="","",SUBTOTAL(103,$C$2:C2687))</f>
        <v>2678</v>
      </c>
      <c r="B2687" s="41">
        <v>10649</v>
      </c>
      <c r="C2687" s="41">
        <v>6482</v>
      </c>
      <c r="D2687" s="41" t="s">
        <v>45</v>
      </c>
      <c r="E2687" s="41" t="s">
        <v>1298</v>
      </c>
      <c r="F2687" s="41" t="s">
        <v>4201</v>
      </c>
      <c r="G2687" s="41" t="s">
        <v>8284</v>
      </c>
      <c r="H2687" s="41" t="s">
        <v>8285</v>
      </c>
      <c r="I2687" s="43">
        <v>12</v>
      </c>
      <c r="J2687" s="44" t="str">
        <f>VLOOKUP(G2687,[1]硬件清单!$F:$F,1,0)</f>
        <v>5NPDF3X</v>
      </c>
      <c r="K2687" s="43"/>
      <c r="L2687" s="44"/>
      <c r="M2687" s="45" t="s">
        <v>8286</v>
      </c>
    </row>
    <row r="2688" s="26" customFormat="1" ht="30" customHeight="1" spans="1:13">
      <c r="A2688" s="41">
        <f>IF(C2688="","",SUBTOTAL(103,$C$2:C2688))</f>
        <v>2679</v>
      </c>
      <c r="B2688" s="41">
        <v>10650</v>
      </c>
      <c r="C2688" s="41">
        <v>6483</v>
      </c>
      <c r="D2688" s="41" t="s">
        <v>45</v>
      </c>
      <c r="E2688" s="41" t="s">
        <v>1298</v>
      </c>
      <c r="F2688" s="41" t="s">
        <v>4201</v>
      </c>
      <c r="G2688" s="41" t="s">
        <v>8287</v>
      </c>
      <c r="H2688" s="41" t="s">
        <v>8288</v>
      </c>
      <c r="I2688" s="43">
        <v>12</v>
      </c>
      <c r="J2688" s="44" t="str">
        <f>VLOOKUP(G2688,[1]硬件清单!$F:$F,1,0)</f>
        <v>JMPDF3X</v>
      </c>
      <c r="K2688" s="43"/>
      <c r="L2688" s="44"/>
      <c r="M2688" s="45" t="s">
        <v>8289</v>
      </c>
    </row>
    <row r="2689" s="26" customFormat="1" ht="30" customHeight="1" spans="1:13">
      <c r="A2689" s="41">
        <f>IF(C2689="","",SUBTOTAL(103,$C$2:C2689))</f>
        <v>2680</v>
      </c>
      <c r="B2689" s="41">
        <v>10651</v>
      </c>
      <c r="C2689" s="41">
        <v>6484</v>
      </c>
      <c r="D2689" s="41" t="s">
        <v>45</v>
      </c>
      <c r="E2689" s="41" t="s">
        <v>1298</v>
      </c>
      <c r="F2689" s="41" t="s">
        <v>4201</v>
      </c>
      <c r="G2689" s="41" t="s">
        <v>8290</v>
      </c>
      <c r="H2689" s="41" t="s">
        <v>8291</v>
      </c>
      <c r="I2689" s="43">
        <v>12</v>
      </c>
      <c r="J2689" s="44" t="str">
        <f>VLOOKUP(G2689,[1]硬件清单!$F:$F,1,0)</f>
        <v>HMPDF3X</v>
      </c>
      <c r="K2689" s="43"/>
      <c r="L2689" s="44"/>
      <c r="M2689" s="45" t="s">
        <v>8292</v>
      </c>
    </row>
    <row r="2690" s="26" customFormat="1" ht="30" customHeight="1" spans="1:13">
      <c r="A2690" s="41">
        <f>IF(C2690="","",SUBTOTAL(103,$C$2:C2690))</f>
        <v>2681</v>
      </c>
      <c r="B2690" s="41">
        <v>10653</v>
      </c>
      <c r="C2690" s="41">
        <v>6492</v>
      </c>
      <c r="D2690" s="41" t="s">
        <v>45</v>
      </c>
      <c r="E2690" s="41" t="s">
        <v>1298</v>
      </c>
      <c r="F2690" s="41" t="s">
        <v>4201</v>
      </c>
      <c r="G2690" s="41" t="s">
        <v>8293</v>
      </c>
      <c r="H2690" s="41" t="s">
        <v>8294</v>
      </c>
      <c r="I2690" s="43">
        <v>12</v>
      </c>
      <c r="J2690" s="44" t="str">
        <f>VLOOKUP(G2690,[1]硬件清单!$F:$F,1,0)</f>
        <v>1KPDF3X</v>
      </c>
      <c r="K2690" s="43"/>
      <c r="L2690" s="44"/>
      <c r="M2690" s="45" t="s">
        <v>8295</v>
      </c>
    </row>
    <row r="2691" s="26" customFormat="1" ht="30" customHeight="1" spans="1:13">
      <c r="A2691" s="41">
        <f>IF(C2691="","",SUBTOTAL(103,$C$2:C2691))</f>
        <v>2682</v>
      </c>
      <c r="B2691" s="41">
        <v>10654</v>
      </c>
      <c r="C2691" s="41">
        <v>6501</v>
      </c>
      <c r="D2691" s="41" t="s">
        <v>45</v>
      </c>
      <c r="E2691" s="41" t="s">
        <v>1298</v>
      </c>
      <c r="F2691" s="41" t="s">
        <v>4201</v>
      </c>
      <c r="G2691" s="41" t="s">
        <v>8296</v>
      </c>
      <c r="H2691" s="41" t="s">
        <v>8297</v>
      </c>
      <c r="I2691" s="43">
        <v>12</v>
      </c>
      <c r="J2691" s="44" t="str">
        <f>VLOOKUP(G2691,[1]硬件清单!$F:$F,1,0)</f>
        <v>6KPDF3X</v>
      </c>
      <c r="K2691" s="43"/>
      <c r="L2691" s="44"/>
      <c r="M2691" s="45" t="s">
        <v>8298</v>
      </c>
    </row>
    <row r="2692" s="26" customFormat="1" ht="30" customHeight="1" spans="1:13">
      <c r="A2692" s="41">
        <f>IF(C2692="","",SUBTOTAL(103,$C$2:C2692))</f>
        <v>2683</v>
      </c>
      <c r="B2692" s="41">
        <v>10655</v>
      </c>
      <c r="C2692" s="41">
        <v>6502</v>
      </c>
      <c r="D2692" s="41" t="s">
        <v>45</v>
      </c>
      <c r="E2692" s="41" t="s">
        <v>1298</v>
      </c>
      <c r="F2692" s="41" t="s">
        <v>4201</v>
      </c>
      <c r="G2692" s="41" t="s">
        <v>8299</v>
      </c>
      <c r="H2692" s="41" t="s">
        <v>8300</v>
      </c>
      <c r="I2692" s="43">
        <v>12</v>
      </c>
      <c r="J2692" s="44" t="str">
        <f>VLOOKUP(G2692,[1]硬件清单!$F:$F,1,0)</f>
        <v>HJPDF3X</v>
      </c>
      <c r="K2692" s="43"/>
      <c r="L2692" s="44"/>
      <c r="M2692" s="45" t="s">
        <v>8301</v>
      </c>
    </row>
    <row r="2693" s="26" customFormat="1" ht="30" customHeight="1" spans="1:13">
      <c r="A2693" s="41">
        <f>IF(C2693="","",SUBTOTAL(103,$C$2:C2693))</f>
        <v>2684</v>
      </c>
      <c r="B2693" s="41">
        <v>10656</v>
      </c>
      <c r="C2693" s="41">
        <v>6503</v>
      </c>
      <c r="D2693" s="41" t="s">
        <v>45</v>
      </c>
      <c r="E2693" s="41" t="s">
        <v>1298</v>
      </c>
      <c r="F2693" s="41" t="s">
        <v>4201</v>
      </c>
      <c r="G2693" s="41" t="s">
        <v>8302</v>
      </c>
      <c r="H2693" s="41" t="s">
        <v>8303</v>
      </c>
      <c r="I2693" s="43">
        <v>12</v>
      </c>
      <c r="J2693" s="44" t="str">
        <f>VLOOKUP(G2693,[1]硬件清单!$F:$F,1,0)</f>
        <v>4KPDF3X</v>
      </c>
      <c r="K2693" s="43"/>
      <c r="L2693" s="44"/>
      <c r="M2693" s="45" t="s">
        <v>8304</v>
      </c>
    </row>
    <row r="2694" s="26" customFormat="1" ht="30" customHeight="1" spans="1:13">
      <c r="A2694" s="41">
        <f>IF(C2694="","",SUBTOTAL(103,$C$2:C2694))</f>
        <v>2685</v>
      </c>
      <c r="B2694" s="41">
        <v>10657</v>
      </c>
      <c r="C2694" s="41">
        <v>6504</v>
      </c>
      <c r="D2694" s="41" t="s">
        <v>45</v>
      </c>
      <c r="E2694" s="41" t="s">
        <v>1298</v>
      </c>
      <c r="F2694" s="41" t="s">
        <v>4201</v>
      </c>
      <c r="G2694" s="41" t="s">
        <v>8305</v>
      </c>
      <c r="H2694" s="41" t="s">
        <v>8306</v>
      </c>
      <c r="I2694" s="43">
        <v>12</v>
      </c>
      <c r="J2694" s="44" t="str">
        <f>VLOOKUP(G2694,[1]硬件清单!$F:$F,1,0)</f>
        <v>85PDF3X</v>
      </c>
      <c r="K2694" s="43"/>
      <c r="L2694" s="44"/>
      <c r="M2694" s="45" t="s">
        <v>8307</v>
      </c>
    </row>
    <row r="2695" s="26" customFormat="1" ht="30" customHeight="1" spans="1:13">
      <c r="A2695" s="41">
        <f>IF(C2695="","",SUBTOTAL(103,$C$2:C2695))</f>
        <v>2686</v>
      </c>
      <c r="B2695" s="41">
        <v>10658</v>
      </c>
      <c r="C2695" s="41">
        <v>6505</v>
      </c>
      <c r="D2695" s="41" t="s">
        <v>45</v>
      </c>
      <c r="E2695" s="41" t="s">
        <v>1298</v>
      </c>
      <c r="F2695" s="41" t="s">
        <v>4201</v>
      </c>
      <c r="G2695" s="41" t="s">
        <v>8308</v>
      </c>
      <c r="H2695" s="41" t="s">
        <v>8309</v>
      </c>
      <c r="I2695" s="43">
        <v>12</v>
      </c>
      <c r="J2695" s="44" t="str">
        <f>VLOOKUP(G2695,[1]硬件清单!$F:$F,1,0)</f>
        <v>95PDF3X</v>
      </c>
      <c r="K2695" s="43"/>
      <c r="L2695" s="44"/>
      <c r="M2695" s="45" t="s">
        <v>8310</v>
      </c>
    </row>
    <row r="2696" s="26" customFormat="1" ht="30" customHeight="1" spans="1:13">
      <c r="A2696" s="41">
        <f>IF(C2696="","",SUBTOTAL(103,$C$2:C2696))</f>
        <v>2687</v>
      </c>
      <c r="B2696" s="41">
        <v>10659</v>
      </c>
      <c r="C2696" s="41">
        <v>6506</v>
      </c>
      <c r="D2696" s="41" t="s">
        <v>45</v>
      </c>
      <c r="E2696" s="41" t="s">
        <v>1298</v>
      </c>
      <c r="F2696" s="41" t="s">
        <v>4201</v>
      </c>
      <c r="G2696" s="41" t="s">
        <v>8311</v>
      </c>
      <c r="H2696" s="41" t="s">
        <v>8312</v>
      </c>
      <c r="I2696" s="43">
        <v>12</v>
      </c>
      <c r="J2696" s="44" t="str">
        <f>VLOOKUP(G2696,[1]硬件清单!$F:$F,1,0)</f>
        <v>75PDF3X</v>
      </c>
      <c r="K2696" s="43"/>
      <c r="L2696" s="44"/>
      <c r="M2696" s="45" t="s">
        <v>8313</v>
      </c>
    </row>
    <row r="2697" s="26" customFormat="1" ht="30" customHeight="1" spans="1:13">
      <c r="A2697" s="41">
        <f>IF(C2697="","",SUBTOTAL(103,$C$2:C2697))</f>
        <v>2688</v>
      </c>
      <c r="B2697" s="41">
        <v>10660</v>
      </c>
      <c r="C2697" s="41">
        <v>6507</v>
      </c>
      <c r="D2697" s="41" t="s">
        <v>45</v>
      </c>
      <c r="E2697" s="41" t="s">
        <v>1298</v>
      </c>
      <c r="F2697" s="41" t="s">
        <v>4201</v>
      </c>
      <c r="G2697" s="41" t="s">
        <v>8314</v>
      </c>
      <c r="H2697" s="41" t="s">
        <v>8315</v>
      </c>
      <c r="I2697" s="43">
        <v>12</v>
      </c>
      <c r="J2697" s="44" t="str">
        <f>VLOOKUP(G2697,[1]硬件清单!$F:$F,1,0)</f>
        <v>G5PDF3X</v>
      </c>
      <c r="K2697" s="43"/>
      <c r="L2697" s="44"/>
      <c r="M2697" s="45" t="s">
        <v>8316</v>
      </c>
    </row>
    <row r="2698" s="26" customFormat="1" ht="30" customHeight="1" spans="1:13">
      <c r="A2698" s="41">
        <f>IF(C2698="","",SUBTOTAL(103,$C$2:C2698))</f>
        <v>2689</v>
      </c>
      <c r="B2698" s="41">
        <v>10661</v>
      </c>
      <c r="C2698" s="41">
        <v>6493</v>
      </c>
      <c r="D2698" s="41" t="s">
        <v>45</v>
      </c>
      <c r="E2698" s="41" t="s">
        <v>1298</v>
      </c>
      <c r="F2698" s="41" t="s">
        <v>4201</v>
      </c>
      <c r="G2698" s="41" t="s">
        <v>8317</v>
      </c>
      <c r="H2698" s="41" t="s">
        <v>8318</v>
      </c>
      <c r="I2698" s="43">
        <v>12</v>
      </c>
      <c r="J2698" s="44" t="str">
        <f>VLOOKUP(G2698,[1]硬件清单!$F:$F,1,0)</f>
        <v>5KPDF3X</v>
      </c>
      <c r="K2698" s="43"/>
      <c r="L2698" s="44"/>
      <c r="M2698" s="45" t="s">
        <v>8319</v>
      </c>
    </row>
    <row r="2699" s="26" customFormat="1" ht="30" customHeight="1" spans="1:13">
      <c r="A2699" s="41">
        <f>IF(C2699="","",SUBTOTAL(103,$C$2:C2699))</f>
        <v>2690</v>
      </c>
      <c r="B2699" s="41">
        <v>10662</v>
      </c>
      <c r="C2699" s="41">
        <v>6494</v>
      </c>
      <c r="D2699" s="41" t="s">
        <v>45</v>
      </c>
      <c r="E2699" s="41" t="s">
        <v>1298</v>
      </c>
      <c r="F2699" s="41" t="s">
        <v>4201</v>
      </c>
      <c r="G2699" s="41" t="s">
        <v>8320</v>
      </c>
      <c r="H2699" s="41" t="s">
        <v>8321</v>
      </c>
      <c r="I2699" s="43">
        <v>12</v>
      </c>
      <c r="J2699" s="44" t="str">
        <f>VLOOKUP(G2699,[1]硬件清单!$F:$F,1,0)</f>
        <v>JJPDF3X</v>
      </c>
      <c r="K2699" s="43"/>
      <c r="L2699" s="44"/>
      <c r="M2699" s="45" t="s">
        <v>8322</v>
      </c>
    </row>
    <row r="2700" s="26" customFormat="1" ht="30" customHeight="1" spans="1:13">
      <c r="A2700" s="41">
        <f>IF(C2700="","",SUBTOTAL(103,$C$2:C2700))</f>
        <v>2691</v>
      </c>
      <c r="B2700" s="41">
        <v>10663</v>
      </c>
      <c r="C2700" s="41">
        <v>6495</v>
      </c>
      <c r="D2700" s="41" t="s">
        <v>45</v>
      </c>
      <c r="E2700" s="41" t="s">
        <v>1298</v>
      </c>
      <c r="F2700" s="41" t="s">
        <v>4201</v>
      </c>
      <c r="G2700" s="41" t="s">
        <v>8323</v>
      </c>
      <c r="H2700" s="41" t="s">
        <v>8324</v>
      </c>
      <c r="I2700" s="43">
        <v>12</v>
      </c>
      <c r="J2700" s="44" t="str">
        <f>VLOOKUP(G2700,[1]硬件清单!$F:$F,1,0)</f>
        <v>9KPDF3X</v>
      </c>
      <c r="K2700" s="43"/>
      <c r="L2700" s="44"/>
      <c r="M2700" s="45" t="s">
        <v>8325</v>
      </c>
    </row>
    <row r="2701" s="26" customFormat="1" ht="30" customHeight="1" spans="1:13">
      <c r="A2701" s="41">
        <f>IF(C2701="","",SUBTOTAL(103,$C$2:C2701))</f>
        <v>2692</v>
      </c>
      <c r="B2701" s="41">
        <v>10664</v>
      </c>
      <c r="C2701" s="41">
        <v>6496</v>
      </c>
      <c r="D2701" s="41" t="s">
        <v>45</v>
      </c>
      <c r="E2701" s="41" t="s">
        <v>1298</v>
      </c>
      <c r="F2701" s="41" t="s">
        <v>4201</v>
      </c>
      <c r="G2701" s="41" t="s">
        <v>8326</v>
      </c>
      <c r="H2701" s="41" t="s">
        <v>8327</v>
      </c>
      <c r="I2701" s="43">
        <v>12</v>
      </c>
      <c r="J2701" s="44" t="str">
        <f>VLOOKUP(G2701,[1]硬件清单!$F:$F,1,0)</f>
        <v>3KPDF3X</v>
      </c>
      <c r="K2701" s="43"/>
      <c r="L2701" s="44"/>
      <c r="M2701" s="45" t="s">
        <v>8328</v>
      </c>
    </row>
    <row r="2702" s="26" customFormat="1" ht="30" customHeight="1" spans="1:13">
      <c r="A2702" s="41">
        <f>IF(C2702="","",SUBTOTAL(103,$C$2:C2702))</f>
        <v>2693</v>
      </c>
      <c r="B2702" s="41">
        <v>10665</v>
      </c>
      <c r="C2702" s="41">
        <v>6497</v>
      </c>
      <c r="D2702" s="41" t="s">
        <v>45</v>
      </c>
      <c r="E2702" s="41" t="s">
        <v>1298</v>
      </c>
      <c r="F2702" s="41" t="s">
        <v>4201</v>
      </c>
      <c r="G2702" s="41" t="s">
        <v>8329</v>
      </c>
      <c r="H2702" s="41" t="s">
        <v>8330</v>
      </c>
      <c r="I2702" s="43">
        <v>12</v>
      </c>
      <c r="J2702" s="44" t="str">
        <f>VLOOKUP(G2702,[1]硬件清单!$F:$F,1,0)</f>
        <v>2KPDF3X</v>
      </c>
      <c r="K2702" s="43"/>
      <c r="L2702" s="44"/>
      <c r="M2702" s="45" t="s">
        <v>8331</v>
      </c>
    </row>
    <row r="2703" s="26" customFormat="1" ht="30" customHeight="1" spans="1:13">
      <c r="A2703" s="41">
        <f>IF(C2703="","",SUBTOTAL(103,$C$2:C2703))</f>
        <v>2694</v>
      </c>
      <c r="B2703" s="41">
        <v>10666</v>
      </c>
      <c r="C2703" s="41">
        <v>6498</v>
      </c>
      <c r="D2703" s="41" t="s">
        <v>45</v>
      </c>
      <c r="E2703" s="41" t="s">
        <v>1298</v>
      </c>
      <c r="F2703" s="41" t="s">
        <v>4201</v>
      </c>
      <c r="G2703" s="41" t="s">
        <v>8332</v>
      </c>
      <c r="H2703" s="41" t="s">
        <v>8333</v>
      </c>
      <c r="I2703" s="43">
        <v>12</v>
      </c>
      <c r="J2703" s="44" t="str">
        <f>VLOOKUP(G2703,[1]硬件清单!$F:$F,1,0)</f>
        <v>BKPDF3X</v>
      </c>
      <c r="K2703" s="43"/>
      <c r="L2703" s="44"/>
      <c r="M2703" s="45" t="s">
        <v>8334</v>
      </c>
    </row>
    <row r="2704" s="26" customFormat="1" ht="30" customHeight="1" spans="1:13">
      <c r="A2704" s="41">
        <f>IF(C2704="","",SUBTOTAL(103,$C$2:C2704))</f>
        <v>2695</v>
      </c>
      <c r="B2704" s="41">
        <v>10667</v>
      </c>
      <c r="C2704" s="41">
        <v>6499</v>
      </c>
      <c r="D2704" s="41" t="s">
        <v>45</v>
      </c>
      <c r="E2704" s="41" t="s">
        <v>1298</v>
      </c>
      <c r="F2704" s="41" t="s">
        <v>4201</v>
      </c>
      <c r="G2704" s="41" t="s">
        <v>8335</v>
      </c>
      <c r="H2704" s="41" t="s">
        <v>8336</v>
      </c>
      <c r="I2704" s="43">
        <v>12</v>
      </c>
      <c r="J2704" s="44" t="str">
        <f>VLOOKUP(G2704,[1]硬件清单!$F:$F,1,0)</f>
        <v>7KPDF3X</v>
      </c>
      <c r="K2704" s="43"/>
      <c r="L2704" s="44"/>
      <c r="M2704" s="45" t="s">
        <v>8337</v>
      </c>
    </row>
    <row r="2705" s="26" customFormat="1" ht="30" customHeight="1" spans="1:13">
      <c r="A2705" s="41">
        <f>IF(C2705="","",SUBTOTAL(103,$C$2:C2705))</f>
        <v>2696</v>
      </c>
      <c r="B2705" s="41">
        <v>10668</v>
      </c>
      <c r="C2705" s="41">
        <v>6500</v>
      </c>
      <c r="D2705" s="41" t="s">
        <v>45</v>
      </c>
      <c r="E2705" s="41" t="s">
        <v>1298</v>
      </c>
      <c r="F2705" s="41" t="s">
        <v>4201</v>
      </c>
      <c r="G2705" s="41" t="s">
        <v>8338</v>
      </c>
      <c r="H2705" s="41" t="s">
        <v>8339</v>
      </c>
      <c r="I2705" s="43">
        <v>12</v>
      </c>
      <c r="J2705" s="44" t="str">
        <f>VLOOKUP(G2705,[1]硬件清单!$F:$F,1,0)</f>
        <v>8KPDF3X</v>
      </c>
      <c r="K2705" s="43"/>
      <c r="L2705" s="44"/>
      <c r="M2705" s="45" t="s">
        <v>8340</v>
      </c>
    </row>
    <row r="2706" s="26" customFormat="1" ht="30" customHeight="1" spans="1:13">
      <c r="A2706" s="41">
        <f>IF(C2706="","",SUBTOTAL(103,$C$2:C2706))</f>
        <v>2697</v>
      </c>
      <c r="B2706" s="41">
        <v>10669</v>
      </c>
      <c r="C2706" s="41">
        <v>6508</v>
      </c>
      <c r="D2706" s="41" t="s">
        <v>45</v>
      </c>
      <c r="E2706" s="41" t="s">
        <v>1298</v>
      </c>
      <c r="F2706" s="41" t="s">
        <v>4201</v>
      </c>
      <c r="G2706" s="41" t="s">
        <v>8341</v>
      </c>
      <c r="H2706" s="41" t="s">
        <v>8342</v>
      </c>
      <c r="I2706" s="43">
        <v>12</v>
      </c>
      <c r="J2706" s="44" t="str">
        <f>VLOOKUP(G2706,[1]硬件清单!$F:$F,1,0)</f>
        <v>1RPDF3X</v>
      </c>
      <c r="K2706" s="43"/>
      <c r="L2706" s="44"/>
      <c r="M2706" s="45" t="s">
        <v>8343</v>
      </c>
    </row>
    <row r="2707" s="26" customFormat="1" ht="30" customHeight="1" spans="1:13">
      <c r="A2707" s="41">
        <f>IF(C2707="","",SUBTOTAL(103,$C$2:C2707))</f>
        <v>2698</v>
      </c>
      <c r="B2707" s="41">
        <v>10670</v>
      </c>
      <c r="C2707" s="41">
        <v>6517</v>
      </c>
      <c r="D2707" s="41" t="s">
        <v>45</v>
      </c>
      <c r="E2707" s="41" t="s">
        <v>1298</v>
      </c>
      <c r="F2707" s="41" t="s">
        <v>4201</v>
      </c>
      <c r="G2707" s="41" t="s">
        <v>8344</v>
      </c>
      <c r="H2707" s="41" t="s">
        <v>8345</v>
      </c>
      <c r="I2707" s="43">
        <v>12</v>
      </c>
      <c r="J2707" s="44" t="str">
        <f>VLOOKUP(G2707,[1]硬件清单!$F:$F,1,0)</f>
        <v>FQPDF3X</v>
      </c>
      <c r="K2707" s="43"/>
      <c r="L2707" s="44"/>
      <c r="M2707" s="45" t="s">
        <v>8346</v>
      </c>
    </row>
    <row r="2708" s="26" customFormat="1" ht="30" customHeight="1" spans="1:13">
      <c r="A2708" s="41">
        <f>IF(C2708="","",SUBTOTAL(103,$C$2:C2708))</f>
        <v>2699</v>
      </c>
      <c r="B2708" s="41">
        <v>10671</v>
      </c>
      <c r="C2708" s="41">
        <v>6518</v>
      </c>
      <c r="D2708" s="41" t="s">
        <v>45</v>
      </c>
      <c r="E2708" s="41" t="s">
        <v>1298</v>
      </c>
      <c r="F2708" s="41" t="s">
        <v>4201</v>
      </c>
      <c r="G2708" s="41" t="s">
        <v>8347</v>
      </c>
      <c r="H2708" s="41" t="s">
        <v>8348</v>
      </c>
      <c r="I2708" s="43">
        <v>12</v>
      </c>
      <c r="J2708" s="44" t="str">
        <f>VLOOKUP(G2708,[1]硬件清单!$F:$F,1,0)</f>
        <v>GQPDF3X</v>
      </c>
      <c r="K2708" s="43"/>
      <c r="L2708" s="44"/>
      <c r="M2708" s="45" t="s">
        <v>8349</v>
      </c>
    </row>
    <row r="2709" s="26" customFormat="1" ht="30" customHeight="1" spans="1:13">
      <c r="A2709" s="41">
        <f>IF(C2709="","",SUBTOTAL(103,$C$2:C2709))</f>
        <v>2700</v>
      </c>
      <c r="B2709" s="41">
        <v>10672</v>
      </c>
      <c r="C2709" s="41">
        <v>6519</v>
      </c>
      <c r="D2709" s="41" t="s">
        <v>45</v>
      </c>
      <c r="E2709" s="41" t="s">
        <v>1298</v>
      </c>
      <c r="F2709" s="41" t="s">
        <v>4201</v>
      </c>
      <c r="G2709" s="41" t="s">
        <v>8350</v>
      </c>
      <c r="H2709" s="41" t="s">
        <v>8351</v>
      </c>
      <c r="I2709" s="43">
        <v>12</v>
      </c>
      <c r="J2709" s="44" t="str">
        <f>VLOOKUP(G2709,[1]硬件清单!$F:$F,1,0)</f>
        <v>JQPDF3X</v>
      </c>
      <c r="K2709" s="43"/>
      <c r="L2709" s="44"/>
      <c r="M2709" s="45" t="s">
        <v>8352</v>
      </c>
    </row>
    <row r="2710" s="26" customFormat="1" ht="30" customHeight="1" spans="1:13">
      <c r="A2710" s="41">
        <f>IF(C2710="","",SUBTOTAL(103,$C$2:C2710))</f>
        <v>2701</v>
      </c>
      <c r="B2710" s="41">
        <v>10673</v>
      </c>
      <c r="C2710" s="41">
        <v>6520</v>
      </c>
      <c r="D2710" s="41" t="s">
        <v>45</v>
      </c>
      <c r="E2710" s="41" t="s">
        <v>1298</v>
      </c>
      <c r="F2710" s="41" t="s">
        <v>4201</v>
      </c>
      <c r="G2710" s="41" t="s">
        <v>8353</v>
      </c>
      <c r="H2710" s="41" t="s">
        <v>8354</v>
      </c>
      <c r="I2710" s="43">
        <v>12</v>
      </c>
      <c r="J2710" s="44" t="str">
        <f>VLOOKUP(G2710,[1]硬件清单!$F:$F,1,0)</f>
        <v>4SPDF3X</v>
      </c>
      <c r="K2710" s="43"/>
      <c r="L2710" s="44"/>
      <c r="M2710" s="45" t="s">
        <v>8355</v>
      </c>
    </row>
    <row r="2711" s="26" customFormat="1" ht="30" customHeight="1" spans="1:13">
      <c r="A2711" s="41">
        <f>IF(C2711="","",SUBTOTAL(103,$C$2:C2711))</f>
        <v>2702</v>
      </c>
      <c r="B2711" s="41">
        <v>10674</v>
      </c>
      <c r="C2711" s="41">
        <v>6521</v>
      </c>
      <c r="D2711" s="41" t="s">
        <v>45</v>
      </c>
      <c r="E2711" s="41" t="s">
        <v>1298</v>
      </c>
      <c r="F2711" s="41" t="s">
        <v>4201</v>
      </c>
      <c r="G2711" s="41" t="s">
        <v>8356</v>
      </c>
      <c r="H2711" s="41" t="s">
        <v>8357</v>
      </c>
      <c r="I2711" s="43">
        <v>12</v>
      </c>
      <c r="J2711" s="44" t="str">
        <f>VLOOKUP(G2711,[1]硬件清单!$F:$F,1,0)</f>
        <v>JRPDF3X</v>
      </c>
      <c r="K2711" s="43"/>
      <c r="L2711" s="44"/>
      <c r="M2711" s="45" t="s">
        <v>8358</v>
      </c>
    </row>
    <row r="2712" s="26" customFormat="1" ht="30" customHeight="1" spans="1:13">
      <c r="A2712" s="41">
        <f>IF(C2712="","",SUBTOTAL(103,$C$2:C2712))</f>
        <v>2703</v>
      </c>
      <c r="B2712" s="41">
        <v>10675</v>
      </c>
      <c r="C2712" s="41">
        <v>6522</v>
      </c>
      <c r="D2712" s="41" t="s">
        <v>45</v>
      </c>
      <c r="E2712" s="41" t="s">
        <v>1298</v>
      </c>
      <c r="F2712" s="41" t="s">
        <v>4201</v>
      </c>
      <c r="G2712" s="41" t="s">
        <v>8359</v>
      </c>
      <c r="H2712" s="41" t="s">
        <v>8360</v>
      </c>
      <c r="I2712" s="43">
        <v>12</v>
      </c>
      <c r="J2712" s="44" t="str">
        <f>VLOOKUP(G2712,[1]硬件清单!$F:$F,1,0)</f>
        <v>7SPDF3X</v>
      </c>
      <c r="K2712" s="43"/>
      <c r="L2712" s="44"/>
      <c r="M2712" s="45" t="s">
        <v>8361</v>
      </c>
    </row>
    <row r="2713" s="26" customFormat="1" ht="30" customHeight="1" spans="1:13">
      <c r="A2713" s="41">
        <f>IF(C2713="","",SUBTOTAL(103,$C$2:C2713))</f>
        <v>2704</v>
      </c>
      <c r="B2713" s="41">
        <v>10676</v>
      </c>
      <c r="C2713" s="41">
        <v>6523</v>
      </c>
      <c r="D2713" s="41" t="s">
        <v>45</v>
      </c>
      <c r="E2713" s="41" t="s">
        <v>1298</v>
      </c>
      <c r="F2713" s="41" t="s">
        <v>4201</v>
      </c>
      <c r="G2713" s="41" t="s">
        <v>8362</v>
      </c>
      <c r="H2713" s="41" t="s">
        <v>8363</v>
      </c>
      <c r="I2713" s="43">
        <v>12</v>
      </c>
      <c r="J2713" s="44" t="str">
        <f>VLOOKUP(G2713,[1]硬件清单!$F:$F,1,0)</f>
        <v>5SPDF3X</v>
      </c>
      <c r="K2713" s="43"/>
      <c r="L2713" s="44"/>
      <c r="M2713" s="45" t="s">
        <v>8364</v>
      </c>
    </row>
    <row r="2714" s="26" customFormat="1" ht="30" customHeight="1" spans="1:13">
      <c r="A2714" s="41">
        <f>IF(C2714="","",SUBTOTAL(103,$C$2:C2714))</f>
        <v>2705</v>
      </c>
      <c r="B2714" s="41">
        <v>10677</v>
      </c>
      <c r="C2714" s="41">
        <v>6509</v>
      </c>
      <c r="D2714" s="41" t="s">
        <v>45</v>
      </c>
      <c r="E2714" s="41" t="s">
        <v>1298</v>
      </c>
      <c r="F2714" s="41" t="s">
        <v>4201</v>
      </c>
      <c r="G2714" s="41" t="s">
        <v>8365</v>
      </c>
      <c r="H2714" s="41" t="s">
        <v>8366</v>
      </c>
      <c r="I2714" s="43">
        <v>12</v>
      </c>
      <c r="J2714" s="44" t="str">
        <f>VLOOKUP(G2714,[1]硬件清单!$F:$F,1,0)</f>
        <v>2RPDF3X</v>
      </c>
      <c r="K2714" s="43"/>
      <c r="L2714" s="44"/>
      <c r="M2714" s="45" t="s">
        <v>8367</v>
      </c>
    </row>
    <row r="2715" s="26" customFormat="1" ht="30" customHeight="1" spans="1:13">
      <c r="A2715" s="41">
        <f>IF(C2715="","",SUBTOTAL(103,$C$2:C2715))</f>
        <v>2706</v>
      </c>
      <c r="B2715" s="41">
        <v>10678</v>
      </c>
      <c r="C2715" s="41">
        <v>6510</v>
      </c>
      <c r="D2715" s="41" t="s">
        <v>45</v>
      </c>
      <c r="E2715" s="41" t="s">
        <v>1298</v>
      </c>
      <c r="F2715" s="41" t="s">
        <v>4201</v>
      </c>
      <c r="G2715" s="41" t="s">
        <v>8368</v>
      </c>
      <c r="H2715" s="41" t="s">
        <v>8369</v>
      </c>
      <c r="I2715" s="43">
        <v>12</v>
      </c>
      <c r="J2715" s="44" t="str">
        <f>VLOOKUP(G2715,[1]硬件清单!$F:$F,1,0)</f>
        <v>3RPDF3X</v>
      </c>
      <c r="K2715" s="43"/>
      <c r="L2715" s="44"/>
      <c r="M2715" s="45" t="s">
        <v>8370</v>
      </c>
    </row>
    <row r="2716" s="26" customFormat="1" ht="30" customHeight="1" spans="1:13">
      <c r="A2716" s="41">
        <f>IF(C2716="","",SUBTOTAL(103,$C$2:C2716))</f>
        <v>2707</v>
      </c>
      <c r="B2716" s="41">
        <v>10679</v>
      </c>
      <c r="C2716" s="41">
        <v>6511</v>
      </c>
      <c r="D2716" s="41" t="s">
        <v>45</v>
      </c>
      <c r="E2716" s="41" t="s">
        <v>1298</v>
      </c>
      <c r="F2716" s="41" t="s">
        <v>4201</v>
      </c>
      <c r="G2716" s="41" t="s">
        <v>8371</v>
      </c>
      <c r="H2716" s="41" t="s">
        <v>8372</v>
      </c>
      <c r="I2716" s="43">
        <v>12</v>
      </c>
      <c r="J2716" s="44" t="str">
        <f>VLOOKUP(G2716,[1]硬件清单!$F:$F,1,0)</f>
        <v>4RPDF3X</v>
      </c>
      <c r="K2716" s="43"/>
      <c r="L2716" s="44"/>
      <c r="M2716" s="45" t="s">
        <v>8373</v>
      </c>
    </row>
    <row r="2717" s="26" customFormat="1" ht="30" customHeight="1" spans="1:13">
      <c r="A2717" s="41">
        <f>IF(C2717="","",SUBTOTAL(103,$C$2:C2717))</f>
        <v>2708</v>
      </c>
      <c r="B2717" s="41">
        <v>10680</v>
      </c>
      <c r="C2717" s="41">
        <v>6512</v>
      </c>
      <c r="D2717" s="41" t="s">
        <v>45</v>
      </c>
      <c r="E2717" s="41" t="s">
        <v>1298</v>
      </c>
      <c r="F2717" s="41" t="s">
        <v>4201</v>
      </c>
      <c r="G2717" s="41" t="s">
        <v>8374</v>
      </c>
      <c r="H2717" s="41" t="s">
        <v>8375</v>
      </c>
      <c r="I2717" s="43">
        <v>12</v>
      </c>
      <c r="J2717" s="44" t="str">
        <f>VLOOKUP(G2717,[1]硬件清单!$F:$F,1,0)</f>
        <v>5RPDF3X</v>
      </c>
      <c r="K2717" s="43"/>
      <c r="L2717" s="44"/>
      <c r="M2717" s="45" t="s">
        <v>8376</v>
      </c>
    </row>
    <row r="2718" s="26" customFormat="1" ht="30" customHeight="1" spans="1:13">
      <c r="A2718" s="41">
        <f>IF(C2718="","",SUBTOTAL(103,$C$2:C2718))</f>
        <v>2709</v>
      </c>
      <c r="B2718" s="41">
        <v>10681</v>
      </c>
      <c r="C2718" s="41">
        <v>6513</v>
      </c>
      <c r="D2718" s="41" t="s">
        <v>45</v>
      </c>
      <c r="E2718" s="41" t="s">
        <v>1298</v>
      </c>
      <c r="F2718" s="41" t="s">
        <v>4201</v>
      </c>
      <c r="G2718" s="41" t="s">
        <v>8377</v>
      </c>
      <c r="H2718" s="41" t="s">
        <v>8378</v>
      </c>
      <c r="I2718" s="43">
        <v>12</v>
      </c>
      <c r="J2718" s="44" t="str">
        <f>VLOOKUP(G2718,[1]硬件清单!$F:$F,1,0)</f>
        <v>6RPDF3X</v>
      </c>
      <c r="K2718" s="43"/>
      <c r="L2718" s="44"/>
      <c r="M2718" s="45" t="s">
        <v>8379</v>
      </c>
    </row>
    <row r="2719" s="26" customFormat="1" ht="30" customHeight="1" spans="1:13">
      <c r="A2719" s="41">
        <f>IF(C2719="","",SUBTOTAL(103,$C$2:C2719))</f>
        <v>2710</v>
      </c>
      <c r="B2719" s="41">
        <v>10682</v>
      </c>
      <c r="C2719" s="41">
        <v>6514</v>
      </c>
      <c r="D2719" s="41" t="s">
        <v>45</v>
      </c>
      <c r="E2719" s="41" t="s">
        <v>1298</v>
      </c>
      <c r="F2719" s="41" t="s">
        <v>4201</v>
      </c>
      <c r="G2719" s="41" t="s">
        <v>8380</v>
      </c>
      <c r="H2719" s="41" t="s">
        <v>8381</v>
      </c>
      <c r="I2719" s="43">
        <v>12</v>
      </c>
      <c r="J2719" s="44" t="str">
        <f>VLOOKUP(G2719,[1]硬件清单!$F:$F,1,0)</f>
        <v>CQPDF3X</v>
      </c>
      <c r="K2719" s="43"/>
      <c r="L2719" s="44"/>
      <c r="M2719" s="45" t="s">
        <v>8382</v>
      </c>
    </row>
    <row r="2720" s="26" customFormat="1" ht="30" customHeight="1" spans="1:13">
      <c r="A2720" s="41">
        <f>IF(C2720="","",SUBTOTAL(103,$C$2:C2720))</f>
        <v>2711</v>
      </c>
      <c r="B2720" s="41">
        <v>10683</v>
      </c>
      <c r="C2720" s="41">
        <v>6515</v>
      </c>
      <c r="D2720" s="41" t="s">
        <v>45</v>
      </c>
      <c r="E2720" s="41" t="s">
        <v>1298</v>
      </c>
      <c r="F2720" s="41" t="s">
        <v>4201</v>
      </c>
      <c r="G2720" s="41" t="s">
        <v>8383</v>
      </c>
      <c r="H2720" s="41" t="s">
        <v>8384</v>
      </c>
      <c r="I2720" s="43">
        <v>12</v>
      </c>
      <c r="J2720" s="44" t="str">
        <f>VLOOKUP(G2720,[1]硬件清单!$F:$F,1,0)</f>
        <v>HQPDF3X</v>
      </c>
      <c r="K2720" s="43"/>
      <c r="L2720" s="44"/>
      <c r="M2720" s="45" t="s">
        <v>8385</v>
      </c>
    </row>
    <row r="2721" s="26" customFormat="1" ht="30" customHeight="1" spans="1:13">
      <c r="A2721" s="41">
        <f>IF(C2721="","",SUBTOTAL(103,$C$2:C2721))</f>
        <v>2712</v>
      </c>
      <c r="B2721" s="41">
        <v>10684</v>
      </c>
      <c r="C2721" s="41">
        <v>6516</v>
      </c>
      <c r="D2721" s="41" t="s">
        <v>45</v>
      </c>
      <c r="E2721" s="41" t="s">
        <v>1298</v>
      </c>
      <c r="F2721" s="41" t="s">
        <v>4201</v>
      </c>
      <c r="G2721" s="41" t="s">
        <v>8386</v>
      </c>
      <c r="H2721" s="41" t="s">
        <v>8387</v>
      </c>
      <c r="I2721" s="43">
        <v>12</v>
      </c>
      <c r="J2721" s="44" t="str">
        <f>VLOOKUP(G2721,[1]硬件清单!$F:$F,1,0)</f>
        <v>DQPDF3X</v>
      </c>
      <c r="K2721" s="43"/>
      <c r="L2721" s="44"/>
      <c r="M2721" s="45" t="s">
        <v>8388</v>
      </c>
    </row>
    <row r="2722" s="26" customFormat="1" ht="30" customHeight="1" spans="1:13">
      <c r="A2722" s="41">
        <f>IF(C2722="","",SUBTOTAL(103,$C$2:C2722))</f>
        <v>2713</v>
      </c>
      <c r="B2722" s="41">
        <v>10685</v>
      </c>
      <c r="C2722" s="41">
        <v>6524</v>
      </c>
      <c r="D2722" s="41" t="s">
        <v>45</v>
      </c>
      <c r="E2722" s="41" t="s">
        <v>1298</v>
      </c>
      <c r="F2722" s="41" t="s">
        <v>4201</v>
      </c>
      <c r="G2722" s="41" t="s">
        <v>8389</v>
      </c>
      <c r="H2722" s="41" t="s">
        <v>8390</v>
      </c>
      <c r="I2722" s="43">
        <v>12</v>
      </c>
      <c r="J2722" s="44" t="str">
        <f>VLOOKUP(G2722,[1]硬件清单!$F:$F,1,0)</f>
        <v>B5PDF3X</v>
      </c>
      <c r="K2722" s="43"/>
      <c r="L2722" s="44"/>
      <c r="M2722" s="45" t="s">
        <v>8391</v>
      </c>
    </row>
    <row r="2723" s="26" customFormat="1" ht="30" customHeight="1" spans="1:13">
      <c r="A2723" s="41">
        <f>IF(C2723="","",SUBTOTAL(103,$C$2:C2723))</f>
        <v>2714</v>
      </c>
      <c r="B2723" s="41">
        <v>10686</v>
      </c>
      <c r="C2723" s="41">
        <v>6525</v>
      </c>
      <c r="D2723" s="41" t="s">
        <v>45</v>
      </c>
      <c r="E2723" s="41" t="s">
        <v>1298</v>
      </c>
      <c r="F2723" s="41" t="s">
        <v>4201</v>
      </c>
      <c r="G2723" s="41" t="s">
        <v>8392</v>
      </c>
      <c r="H2723" s="41" t="s">
        <v>8393</v>
      </c>
      <c r="I2723" s="43">
        <v>12</v>
      </c>
      <c r="J2723" s="44" t="str">
        <f>VLOOKUP(G2723,[1]硬件清单!$F:$F,1,0)</f>
        <v>C5PDF3X</v>
      </c>
      <c r="K2723" s="43"/>
      <c r="L2723" s="44"/>
      <c r="M2723" s="45" t="s">
        <v>8394</v>
      </c>
    </row>
    <row r="2724" s="26" customFormat="1" ht="30" customHeight="1" spans="1:13">
      <c r="A2724" s="41">
        <f>IF(C2724="","",SUBTOTAL(103,$C$2:C2724))</f>
        <v>2715</v>
      </c>
      <c r="B2724" s="41">
        <v>10687</v>
      </c>
      <c r="C2724" s="41">
        <v>6526</v>
      </c>
      <c r="D2724" s="41" t="s">
        <v>45</v>
      </c>
      <c r="E2724" s="41" t="s">
        <v>1298</v>
      </c>
      <c r="F2724" s="41" t="s">
        <v>4201</v>
      </c>
      <c r="G2724" s="41" t="s">
        <v>8395</v>
      </c>
      <c r="H2724" s="41" t="s">
        <v>8396</v>
      </c>
      <c r="I2724" s="43">
        <v>12</v>
      </c>
      <c r="J2724" s="44" t="str">
        <f>VLOOKUP(G2724,[1]硬件清单!$F:$F,1,0)</f>
        <v>D5PDF3X</v>
      </c>
      <c r="K2724" s="43"/>
      <c r="L2724" s="44"/>
      <c r="M2724" s="45" t="s">
        <v>8397</v>
      </c>
    </row>
    <row r="2725" s="26" customFormat="1" ht="30" customHeight="1" spans="1:13">
      <c r="A2725" s="41">
        <f>IF(C2725="","",SUBTOTAL(103,$C$2:C2725))</f>
        <v>2716</v>
      </c>
      <c r="B2725" s="41">
        <v>10688</v>
      </c>
      <c r="C2725" s="41">
        <v>6527</v>
      </c>
      <c r="D2725" s="41" t="s">
        <v>45</v>
      </c>
      <c r="E2725" s="41" t="s">
        <v>1298</v>
      </c>
      <c r="F2725" s="41" t="s">
        <v>4201</v>
      </c>
      <c r="G2725" s="41" t="s">
        <v>8398</v>
      </c>
      <c r="H2725" s="41" t="s">
        <v>8399</v>
      </c>
      <c r="I2725" s="43">
        <v>12</v>
      </c>
      <c r="J2725" s="44" t="str">
        <f>VLOOKUP(G2725,[1]硬件清单!$F:$F,1,0)</f>
        <v>F5PDF3X</v>
      </c>
      <c r="K2725" s="43"/>
      <c r="L2725" s="44"/>
      <c r="M2725" s="45" t="s">
        <v>8400</v>
      </c>
    </row>
    <row r="2726" s="26" customFormat="1" ht="30" customHeight="1" spans="1:13">
      <c r="A2726" s="41">
        <f>IF(C2726="","",SUBTOTAL(103,$C$2:C2726))</f>
        <v>2717</v>
      </c>
      <c r="B2726" s="41">
        <v>10690</v>
      </c>
      <c r="C2726" s="41">
        <v>6282</v>
      </c>
      <c r="D2726" s="41" t="s">
        <v>45</v>
      </c>
      <c r="E2726" s="41" t="s">
        <v>1298</v>
      </c>
      <c r="F2726" s="41" t="s">
        <v>8401</v>
      </c>
      <c r="G2726" s="41" t="s">
        <v>8402</v>
      </c>
      <c r="H2726" s="41" t="s">
        <v>8403</v>
      </c>
      <c r="I2726" s="43">
        <v>12</v>
      </c>
      <c r="J2726" s="44" t="str">
        <f>VLOOKUP(G2726,[1]硬件清单!$F:$F,1,0)</f>
        <v>44LDF3X</v>
      </c>
      <c r="K2726" s="43"/>
      <c r="L2726" s="44"/>
      <c r="M2726" s="45" t="s">
        <v>8404</v>
      </c>
    </row>
    <row r="2727" s="26" customFormat="1" ht="30" customHeight="1" spans="1:13">
      <c r="A2727" s="41">
        <f>IF(C2727="","",SUBTOTAL(103,$C$2:C2727))</f>
        <v>2718</v>
      </c>
      <c r="B2727" s="41">
        <v>10691</v>
      </c>
      <c r="C2727" s="41">
        <v>6279</v>
      </c>
      <c r="D2727" s="41" t="s">
        <v>45</v>
      </c>
      <c r="E2727" s="41" t="s">
        <v>1298</v>
      </c>
      <c r="F2727" s="41" t="s">
        <v>8401</v>
      </c>
      <c r="G2727" s="41" t="s">
        <v>8405</v>
      </c>
      <c r="H2727" s="41" t="s">
        <v>8406</v>
      </c>
      <c r="I2727" s="43">
        <v>12</v>
      </c>
      <c r="J2727" s="44" t="str">
        <f>VLOOKUP(G2727,[1]硬件清单!$F:$F,1,0)</f>
        <v>94LDF3X</v>
      </c>
      <c r="K2727" s="43"/>
      <c r="L2727" s="44"/>
      <c r="M2727" s="45" t="s">
        <v>8407</v>
      </c>
    </row>
    <row r="2728" s="26" customFormat="1" ht="30" customHeight="1" spans="1:13">
      <c r="A2728" s="41">
        <f>IF(C2728="","",SUBTOTAL(103,$C$2:C2728))</f>
        <v>2719</v>
      </c>
      <c r="B2728" s="41">
        <v>10692</v>
      </c>
      <c r="C2728" s="41">
        <v>6280</v>
      </c>
      <c r="D2728" s="41" t="s">
        <v>45</v>
      </c>
      <c r="E2728" s="41" t="s">
        <v>1298</v>
      </c>
      <c r="F2728" s="41" t="s">
        <v>8401</v>
      </c>
      <c r="G2728" s="41" t="s">
        <v>8408</v>
      </c>
      <c r="H2728" s="41" t="s">
        <v>8409</v>
      </c>
      <c r="I2728" s="43">
        <v>12</v>
      </c>
      <c r="J2728" s="44" t="str">
        <f>VLOOKUP(G2728,[1]硬件清单!$F:$F,1,0)</f>
        <v>25LDF3X</v>
      </c>
      <c r="K2728" s="43"/>
      <c r="L2728" s="44"/>
      <c r="M2728" s="45" t="s">
        <v>8410</v>
      </c>
    </row>
    <row r="2729" s="26" customFormat="1" ht="30" customHeight="1" spans="1:13">
      <c r="A2729" s="41">
        <f>IF(C2729="","",SUBTOTAL(103,$C$2:C2729))</f>
        <v>2720</v>
      </c>
      <c r="B2729" s="41">
        <v>10693</v>
      </c>
      <c r="C2729" s="41">
        <v>6281</v>
      </c>
      <c r="D2729" s="41" t="s">
        <v>45</v>
      </c>
      <c r="E2729" s="41" t="s">
        <v>1298</v>
      </c>
      <c r="F2729" s="41" t="s">
        <v>8401</v>
      </c>
      <c r="G2729" s="41" t="s">
        <v>8411</v>
      </c>
      <c r="H2729" s="41" t="s">
        <v>8412</v>
      </c>
      <c r="I2729" s="43">
        <v>12</v>
      </c>
      <c r="J2729" s="44" t="str">
        <f>VLOOKUP(G2729,[1]硬件清单!$F:$F,1,0)</f>
        <v>G4LDF3X</v>
      </c>
      <c r="K2729" s="43"/>
      <c r="L2729" s="44"/>
      <c r="M2729" s="45" t="s">
        <v>8413</v>
      </c>
    </row>
    <row r="2730" s="26" customFormat="1" ht="30" customHeight="1" spans="1:13">
      <c r="A2730" s="41">
        <f>IF(C2730="","",SUBTOTAL(103,$C$2:C2730))</f>
        <v>2721</v>
      </c>
      <c r="B2730" s="41">
        <v>10694</v>
      </c>
      <c r="C2730" s="41">
        <v>7330</v>
      </c>
      <c r="D2730" s="41" t="s">
        <v>19</v>
      </c>
      <c r="E2730" s="41" t="s">
        <v>20</v>
      </c>
      <c r="F2730" s="41" t="s">
        <v>7249</v>
      </c>
      <c r="G2730" s="41" t="s">
        <v>8414</v>
      </c>
      <c r="H2730" s="41" t="s">
        <v>8415</v>
      </c>
      <c r="I2730" s="43">
        <v>12</v>
      </c>
      <c r="J2730" s="44" t="str">
        <f>VLOOKUP(G2730,[1]硬件清单!$F:$F,1,0)</f>
        <v>FDO1630P0JT</v>
      </c>
      <c r="K2730" s="43"/>
      <c r="L2730" s="44"/>
      <c r="M2730" s="45" t="s">
        <v>8416</v>
      </c>
    </row>
    <row r="2731" s="26" customFormat="1" ht="30" customHeight="1" spans="1:13">
      <c r="A2731" s="41">
        <f>IF(C2731="","",SUBTOTAL(103,$C$2:C2731))</f>
        <v>2722</v>
      </c>
      <c r="B2731" s="41">
        <v>10695</v>
      </c>
      <c r="C2731" s="41">
        <v>7331</v>
      </c>
      <c r="D2731" s="41" t="s">
        <v>19</v>
      </c>
      <c r="E2731" s="41" t="s">
        <v>20</v>
      </c>
      <c r="F2731" s="41" t="s">
        <v>7249</v>
      </c>
      <c r="G2731" s="41" t="s">
        <v>8417</v>
      </c>
      <c r="H2731" s="41" t="s">
        <v>8418</v>
      </c>
      <c r="I2731" s="43">
        <v>12</v>
      </c>
      <c r="J2731" s="44" t="str">
        <f>VLOOKUP(G2731,[1]硬件清单!$F:$F,1,0)</f>
        <v>FDO1630R10N</v>
      </c>
      <c r="K2731" s="43"/>
      <c r="L2731" s="44"/>
      <c r="M2731" s="45" t="s">
        <v>8419</v>
      </c>
    </row>
    <row r="2732" s="26" customFormat="1" ht="30" customHeight="1" spans="1:13">
      <c r="A2732" s="41">
        <f>IF(C2732="","",SUBTOTAL(103,$C$2:C2732))</f>
        <v>2723</v>
      </c>
      <c r="B2732" s="41">
        <v>10696</v>
      </c>
      <c r="C2732" s="41">
        <v>7363</v>
      </c>
      <c r="D2732" s="41" t="s">
        <v>19</v>
      </c>
      <c r="E2732" s="41" t="s">
        <v>20</v>
      </c>
      <c r="F2732" s="41" t="s">
        <v>7253</v>
      </c>
      <c r="G2732" s="41" t="s">
        <v>8420</v>
      </c>
      <c r="H2732" s="41" t="s">
        <v>8421</v>
      </c>
      <c r="I2732" s="43">
        <v>12</v>
      </c>
      <c r="J2732" s="44" t="str">
        <f>VLOOKUP(G2732,[1]硬件清单!$F:$F,1,0)</f>
        <v>210235AOHAH126000180</v>
      </c>
      <c r="K2732" s="43"/>
      <c r="L2732" s="44"/>
      <c r="M2732" s="45" t="s">
        <v>8422</v>
      </c>
    </row>
    <row r="2733" s="26" customFormat="1" ht="30" customHeight="1" spans="1:13">
      <c r="A2733" s="41">
        <f>IF(C2733="","",SUBTOTAL(103,$C$2:C2733))</f>
        <v>2724</v>
      </c>
      <c r="B2733" s="41">
        <v>10697</v>
      </c>
      <c r="C2733" s="41">
        <v>7364</v>
      </c>
      <c r="D2733" s="41" t="s">
        <v>19</v>
      </c>
      <c r="E2733" s="41" t="s">
        <v>20</v>
      </c>
      <c r="F2733" s="41" t="s">
        <v>7253</v>
      </c>
      <c r="G2733" s="41" t="s">
        <v>8423</v>
      </c>
      <c r="H2733" s="41" t="s">
        <v>8424</v>
      </c>
      <c r="I2733" s="43">
        <v>12</v>
      </c>
      <c r="J2733" s="44" t="str">
        <f>VLOOKUP(G2733,[1]硬件清单!$F:$F,1,0)</f>
        <v>210235AOHAH127000096</v>
      </c>
      <c r="K2733" s="43"/>
      <c r="L2733" s="44"/>
      <c r="M2733" s="45" t="s">
        <v>8425</v>
      </c>
    </row>
    <row r="2734" s="26" customFormat="1" ht="30" customHeight="1" spans="1:13">
      <c r="A2734" s="41">
        <f>IF(C2734="","",SUBTOTAL(103,$C$2:C2734))</f>
        <v>2725</v>
      </c>
      <c r="B2734" s="41">
        <v>10700</v>
      </c>
      <c r="C2734" s="41">
        <v>6766</v>
      </c>
      <c r="D2734" s="41" t="s">
        <v>45</v>
      </c>
      <c r="E2734" s="41" t="s">
        <v>1298</v>
      </c>
      <c r="F2734" s="41" t="s">
        <v>8426</v>
      </c>
      <c r="G2734" s="41" t="s">
        <v>8427</v>
      </c>
      <c r="H2734" s="41" t="s">
        <v>8428</v>
      </c>
      <c r="I2734" s="43">
        <v>12</v>
      </c>
      <c r="J2734" s="44" t="str">
        <f>VLOOKUP(G2734,[1]硬件清单!$F:$F,1,0)</f>
        <v>06XNAL1</v>
      </c>
      <c r="K2734" s="43"/>
      <c r="L2734" s="44"/>
      <c r="M2734" s="45" t="s">
        <v>8429</v>
      </c>
    </row>
    <row r="2735" s="26" customFormat="1" ht="30" customHeight="1" spans="1:13">
      <c r="A2735" s="41">
        <f>IF(C2735="","",SUBTOTAL(103,$C$2:C2735))</f>
        <v>2726</v>
      </c>
      <c r="B2735" s="41">
        <v>10701</v>
      </c>
      <c r="C2735" s="41">
        <v>6768</v>
      </c>
      <c r="D2735" s="41" t="s">
        <v>45</v>
      </c>
      <c r="E2735" s="41" t="s">
        <v>1298</v>
      </c>
      <c r="F2735" s="41" t="s">
        <v>8426</v>
      </c>
      <c r="G2735" s="41" t="s">
        <v>8430</v>
      </c>
      <c r="H2735" s="41" t="s">
        <v>8431</v>
      </c>
      <c r="I2735" s="43">
        <v>12</v>
      </c>
      <c r="J2735" s="44" t="str">
        <f>VLOOKUP(G2735,[1]硬件清单!$F:$F,1,0)</f>
        <v>06XNAK2</v>
      </c>
      <c r="K2735" s="43"/>
      <c r="L2735" s="44"/>
      <c r="M2735" s="45" t="s">
        <v>8432</v>
      </c>
    </row>
    <row r="2736" s="26" customFormat="1" ht="30" customHeight="1" spans="1:13">
      <c r="A2736" s="41">
        <f>IF(C2736="","",SUBTOTAL(103,$C$2:C2736))</f>
        <v>2727</v>
      </c>
      <c r="B2736" s="41">
        <v>10702</v>
      </c>
      <c r="C2736" s="41">
        <v>6761</v>
      </c>
      <c r="D2736" s="41" t="s">
        <v>45</v>
      </c>
      <c r="E2736" s="41" t="s">
        <v>1298</v>
      </c>
      <c r="F2736" s="41" t="s">
        <v>8426</v>
      </c>
      <c r="G2736" s="41" t="s">
        <v>8433</v>
      </c>
      <c r="H2736" s="41" t="s">
        <v>8434</v>
      </c>
      <c r="I2736" s="43">
        <v>12</v>
      </c>
      <c r="J2736" s="44" t="str">
        <f>VLOOKUP(G2736,[1]硬件清单!$F:$F,1,0)</f>
        <v>06XNAL9</v>
      </c>
      <c r="K2736" s="43"/>
      <c r="L2736" s="44"/>
      <c r="M2736" s="45" t="s">
        <v>8435</v>
      </c>
    </row>
    <row r="2737" s="26" customFormat="1" ht="30" customHeight="1" spans="1:13">
      <c r="A2737" s="41">
        <f>IF(C2737="","",SUBTOTAL(103,$C$2:C2737))</f>
        <v>2728</v>
      </c>
      <c r="B2737" s="41">
        <v>10703</v>
      </c>
      <c r="C2737" s="41">
        <v>6767</v>
      </c>
      <c r="D2737" s="41" t="s">
        <v>45</v>
      </c>
      <c r="E2737" s="41" t="s">
        <v>1298</v>
      </c>
      <c r="F2737" s="41" t="s">
        <v>8426</v>
      </c>
      <c r="G2737" s="41" t="s">
        <v>8436</v>
      </c>
      <c r="H2737" s="41" t="s">
        <v>8437</v>
      </c>
      <c r="I2737" s="43">
        <v>12</v>
      </c>
      <c r="J2737" s="44" t="str">
        <f>VLOOKUP(G2737,[1]硬件清单!$F:$F,1,0)</f>
        <v>06XNAK8</v>
      </c>
      <c r="K2737" s="43"/>
      <c r="L2737" s="44"/>
      <c r="M2737" s="45" t="s">
        <v>8438</v>
      </c>
    </row>
    <row r="2738" s="26" customFormat="1" ht="30" customHeight="1" spans="1:13">
      <c r="A2738" s="41">
        <f>IF(C2738="","",SUBTOTAL(103,$C$2:C2738))</f>
        <v>2729</v>
      </c>
      <c r="B2738" s="41">
        <v>10704</v>
      </c>
      <c r="C2738" s="41">
        <v>6772</v>
      </c>
      <c r="D2738" s="41" t="s">
        <v>45</v>
      </c>
      <c r="E2738" s="41" t="s">
        <v>1298</v>
      </c>
      <c r="F2738" s="41" t="s">
        <v>8426</v>
      </c>
      <c r="G2738" s="41" t="s">
        <v>8439</v>
      </c>
      <c r="H2738" s="41" t="s">
        <v>8440</v>
      </c>
      <c r="I2738" s="43">
        <v>12</v>
      </c>
      <c r="J2738" s="44" t="str">
        <f>VLOOKUP(G2738,[1]硬件清单!$F:$F,1,0)</f>
        <v>06XNAH7</v>
      </c>
      <c r="K2738" s="43"/>
      <c r="L2738" s="44"/>
      <c r="M2738" s="45" t="s">
        <v>8441</v>
      </c>
    </row>
    <row r="2739" s="26" customFormat="1" ht="30" customHeight="1" spans="1:13">
      <c r="A2739" s="41">
        <f>IF(C2739="","",SUBTOTAL(103,$C$2:C2739))</f>
        <v>2730</v>
      </c>
      <c r="B2739" s="41">
        <v>10705</v>
      </c>
      <c r="C2739" s="41">
        <v>6765</v>
      </c>
      <c r="D2739" s="41" t="s">
        <v>45</v>
      </c>
      <c r="E2739" s="41" t="s">
        <v>1298</v>
      </c>
      <c r="F2739" s="41" t="s">
        <v>8426</v>
      </c>
      <c r="G2739" s="41" t="s">
        <v>8442</v>
      </c>
      <c r="H2739" s="41" t="s">
        <v>8443</v>
      </c>
      <c r="I2739" s="43">
        <v>12</v>
      </c>
      <c r="J2739" s="44" t="str">
        <f>VLOOKUP(G2739,[1]硬件清单!$F:$F,1,0)</f>
        <v>06XNAL5</v>
      </c>
      <c r="K2739" s="43"/>
      <c r="L2739" s="44"/>
      <c r="M2739" s="45" t="s">
        <v>8444</v>
      </c>
    </row>
    <row r="2740" s="26" customFormat="1" ht="30" customHeight="1" spans="1:13">
      <c r="A2740" s="41">
        <f>IF(C2740="","",SUBTOTAL(103,$C$2:C2740))</f>
        <v>2731</v>
      </c>
      <c r="B2740" s="41">
        <v>10706</v>
      </c>
      <c r="C2740" s="41">
        <v>6771</v>
      </c>
      <c r="D2740" s="41" t="s">
        <v>45</v>
      </c>
      <c r="E2740" s="41" t="s">
        <v>1298</v>
      </c>
      <c r="F2740" s="41" t="s">
        <v>8426</v>
      </c>
      <c r="G2740" s="41" t="s">
        <v>8445</v>
      </c>
      <c r="H2740" s="41" t="s">
        <v>8446</v>
      </c>
      <c r="I2740" s="43">
        <v>12</v>
      </c>
      <c r="J2740" s="44" t="str">
        <f>VLOOKUP(G2740,[1]硬件清单!$F:$F,1,0)</f>
        <v>06XNAL2</v>
      </c>
      <c r="K2740" s="43"/>
      <c r="L2740" s="44"/>
      <c r="M2740" s="45" t="s">
        <v>8447</v>
      </c>
    </row>
    <row r="2741" s="26" customFormat="1" ht="30" customHeight="1" spans="1:13">
      <c r="A2741" s="41">
        <f>IF(C2741="","",SUBTOTAL(103,$C$2:C2741))</f>
        <v>2732</v>
      </c>
      <c r="B2741" s="41">
        <v>10707</v>
      </c>
      <c r="C2741" s="41">
        <v>6764</v>
      </c>
      <c r="D2741" s="41" t="s">
        <v>45</v>
      </c>
      <c r="E2741" s="41" t="s">
        <v>1298</v>
      </c>
      <c r="F2741" s="41" t="s">
        <v>8426</v>
      </c>
      <c r="G2741" s="41" t="s">
        <v>8448</v>
      </c>
      <c r="H2741" s="41" t="s">
        <v>8449</v>
      </c>
      <c r="I2741" s="43">
        <v>12</v>
      </c>
      <c r="J2741" s="44" t="str">
        <f>VLOOKUP(G2741,[1]硬件清单!$F:$F,1,0)</f>
        <v>06XNAK1</v>
      </c>
      <c r="K2741" s="43"/>
      <c r="L2741" s="44"/>
      <c r="M2741" s="45" t="s">
        <v>8450</v>
      </c>
    </row>
    <row r="2742" s="26" customFormat="1" ht="30" customHeight="1" spans="1:13">
      <c r="A2742" s="41">
        <f>IF(C2742="","",SUBTOTAL(103,$C$2:C2742))</f>
        <v>2733</v>
      </c>
      <c r="B2742" s="41">
        <v>10708</v>
      </c>
      <c r="C2742" s="41">
        <v>6770</v>
      </c>
      <c r="D2742" s="41" t="s">
        <v>45</v>
      </c>
      <c r="E2742" s="41" t="s">
        <v>1298</v>
      </c>
      <c r="F2742" s="41" t="s">
        <v>8426</v>
      </c>
      <c r="G2742" s="41" t="s">
        <v>8451</v>
      </c>
      <c r="H2742" s="41" t="s">
        <v>8452</v>
      </c>
      <c r="I2742" s="43">
        <v>12</v>
      </c>
      <c r="J2742" s="44" t="str">
        <f>VLOOKUP(G2742,[1]硬件清单!$F:$F,1,0)</f>
        <v>06XNAK4</v>
      </c>
      <c r="K2742" s="43"/>
      <c r="L2742" s="44"/>
      <c r="M2742" s="45" t="s">
        <v>8453</v>
      </c>
    </row>
    <row r="2743" s="26" customFormat="1" ht="30" customHeight="1" spans="1:13">
      <c r="A2743" s="41">
        <f>IF(C2743="","",SUBTOTAL(103,$C$2:C2743))</f>
        <v>2734</v>
      </c>
      <c r="B2743" s="41">
        <v>10709</v>
      </c>
      <c r="C2743" s="41">
        <v>6763</v>
      </c>
      <c r="D2743" s="41" t="s">
        <v>45</v>
      </c>
      <c r="E2743" s="41" t="s">
        <v>1298</v>
      </c>
      <c r="F2743" s="41" t="s">
        <v>8426</v>
      </c>
      <c r="G2743" s="41" t="s">
        <v>8454</v>
      </c>
      <c r="H2743" s="41" t="s">
        <v>8455</v>
      </c>
      <c r="I2743" s="43">
        <v>12</v>
      </c>
      <c r="J2743" s="44" t="str">
        <f>VLOOKUP(G2743,[1]硬件清单!$F:$F,1,0)</f>
        <v>06XNAK7</v>
      </c>
      <c r="K2743" s="43"/>
      <c r="L2743" s="44"/>
      <c r="M2743" s="45" t="s">
        <v>8456</v>
      </c>
    </row>
    <row r="2744" s="26" customFormat="1" ht="30" customHeight="1" spans="1:13">
      <c r="A2744" s="41">
        <f>IF(C2744="","",SUBTOTAL(103,$C$2:C2744))</f>
        <v>2735</v>
      </c>
      <c r="B2744" s="41">
        <v>10710</v>
      </c>
      <c r="C2744" s="41">
        <v>6769</v>
      </c>
      <c r="D2744" s="41" t="s">
        <v>45</v>
      </c>
      <c r="E2744" s="41" t="s">
        <v>1298</v>
      </c>
      <c r="F2744" s="41" t="s">
        <v>8426</v>
      </c>
      <c r="G2744" s="41" t="s">
        <v>8457</v>
      </c>
      <c r="H2744" s="41" t="s">
        <v>8458</v>
      </c>
      <c r="I2744" s="43">
        <v>12</v>
      </c>
      <c r="J2744" s="44" t="str">
        <f>VLOOKUP(G2744,[1]硬件清单!$F:$F,1,0)</f>
        <v>06XNAH8</v>
      </c>
      <c r="K2744" s="43"/>
      <c r="L2744" s="44"/>
      <c r="M2744" s="45" t="s">
        <v>8459</v>
      </c>
    </row>
    <row r="2745" s="26" customFormat="1" ht="30" customHeight="1" spans="1:13">
      <c r="A2745" s="41">
        <f>IF(C2745="","",SUBTOTAL(103,$C$2:C2745))</f>
        <v>2736</v>
      </c>
      <c r="B2745" s="41">
        <v>10711</v>
      </c>
      <c r="C2745" s="41">
        <v>6762</v>
      </c>
      <c r="D2745" s="41" t="s">
        <v>45</v>
      </c>
      <c r="E2745" s="41" t="s">
        <v>1298</v>
      </c>
      <c r="F2745" s="41" t="s">
        <v>8426</v>
      </c>
      <c r="G2745" s="41" t="s">
        <v>8460</v>
      </c>
      <c r="H2745" s="41" t="s">
        <v>8461</v>
      </c>
      <c r="I2745" s="43">
        <v>12</v>
      </c>
      <c r="J2745" s="44" t="str">
        <f>VLOOKUP(G2745,[1]硬件清单!$F:$F,1,0)</f>
        <v>06XNAL4</v>
      </c>
      <c r="K2745" s="43"/>
      <c r="L2745" s="44"/>
      <c r="M2745" s="45" t="s">
        <v>8462</v>
      </c>
    </row>
    <row r="2746" s="26" customFormat="1" ht="30" customHeight="1" spans="1:13">
      <c r="A2746" s="41">
        <f>IF(C2746="","",SUBTOTAL(103,$C$2:C2746))</f>
        <v>2737</v>
      </c>
      <c r="B2746" s="41">
        <v>10713</v>
      </c>
      <c r="C2746" s="41">
        <v>5995</v>
      </c>
      <c r="D2746" s="41" t="s">
        <v>45</v>
      </c>
      <c r="E2746" s="41" t="s">
        <v>1298</v>
      </c>
      <c r="F2746" s="41" t="s">
        <v>7734</v>
      </c>
      <c r="G2746" s="41" t="s">
        <v>8463</v>
      </c>
      <c r="H2746" s="41" t="s">
        <v>8464</v>
      </c>
      <c r="I2746" s="43">
        <v>12</v>
      </c>
      <c r="J2746" s="44" t="str">
        <f>VLOOKUP(G2746,[1]硬件清单!$F:$F,1,0)</f>
        <v>06ACPX7</v>
      </c>
      <c r="K2746" s="43"/>
      <c r="L2746" s="44"/>
      <c r="M2746" s="45" t="s">
        <v>8465</v>
      </c>
    </row>
    <row r="2747" s="26" customFormat="1" ht="30" customHeight="1" spans="1:13">
      <c r="A2747" s="41">
        <f>IF(C2747="","",SUBTOTAL(103,$C$2:C2747))</f>
        <v>2738</v>
      </c>
      <c r="B2747" s="41">
        <v>10714</v>
      </c>
      <c r="C2747" s="41">
        <v>6004</v>
      </c>
      <c r="D2747" s="41" t="s">
        <v>45</v>
      </c>
      <c r="E2747" s="41" t="s">
        <v>1298</v>
      </c>
      <c r="F2747" s="41" t="s">
        <v>7734</v>
      </c>
      <c r="G2747" s="41" t="s">
        <v>8466</v>
      </c>
      <c r="H2747" s="41" t="s">
        <v>8467</v>
      </c>
      <c r="I2747" s="43">
        <v>12</v>
      </c>
      <c r="J2747" s="44" t="str">
        <f>VLOOKUP(G2747,[1]硬件清单!$F:$F,1,0)</f>
        <v>06ACNM8</v>
      </c>
      <c r="K2747" s="43"/>
      <c r="L2747" s="44"/>
      <c r="M2747" s="45" t="s">
        <v>8468</v>
      </c>
    </row>
    <row r="2748" s="26" customFormat="1" ht="30" customHeight="1" spans="1:13">
      <c r="A2748" s="41">
        <f>IF(C2748="","",SUBTOTAL(103,$C$2:C2748))</f>
        <v>2739</v>
      </c>
      <c r="B2748" s="41">
        <v>10715</v>
      </c>
      <c r="C2748" s="41">
        <v>6005</v>
      </c>
      <c r="D2748" s="41" t="s">
        <v>45</v>
      </c>
      <c r="E2748" s="41" t="s">
        <v>1298</v>
      </c>
      <c r="F2748" s="41" t="s">
        <v>7734</v>
      </c>
      <c r="G2748" s="41" t="s">
        <v>8469</v>
      </c>
      <c r="H2748" s="41" t="s">
        <v>8470</v>
      </c>
      <c r="I2748" s="43">
        <v>12</v>
      </c>
      <c r="J2748" s="44" t="str">
        <f>VLOOKUP(G2748,[1]硬件清单!$F:$F,1,0)</f>
        <v>06ACNV3</v>
      </c>
      <c r="K2748" s="43"/>
      <c r="L2748" s="44"/>
      <c r="M2748" s="45" t="s">
        <v>8471</v>
      </c>
    </row>
    <row r="2749" s="26" customFormat="1" ht="30" customHeight="1" spans="1:13">
      <c r="A2749" s="41">
        <f>IF(C2749="","",SUBTOTAL(103,$C$2:C2749))</f>
        <v>2740</v>
      </c>
      <c r="B2749" s="41">
        <v>10716</v>
      </c>
      <c r="C2749" s="41">
        <v>6006</v>
      </c>
      <c r="D2749" s="41" t="s">
        <v>45</v>
      </c>
      <c r="E2749" s="41" t="s">
        <v>1298</v>
      </c>
      <c r="F2749" s="41" t="s">
        <v>7734</v>
      </c>
      <c r="G2749" s="41" t="s">
        <v>8472</v>
      </c>
      <c r="H2749" s="41" t="s">
        <v>8473</v>
      </c>
      <c r="I2749" s="43">
        <v>12</v>
      </c>
      <c r="J2749" s="44" t="str">
        <f>VLOOKUP(G2749,[1]硬件清单!$F:$F,1,0)</f>
        <v>06ACPF6</v>
      </c>
      <c r="K2749" s="43"/>
      <c r="L2749" s="44"/>
      <c r="M2749" s="45" t="s">
        <v>8474</v>
      </c>
    </row>
    <row r="2750" s="26" customFormat="1" ht="30" customHeight="1" spans="1:13">
      <c r="A2750" s="41">
        <f>IF(C2750="","",SUBTOTAL(103,$C$2:C2750))</f>
        <v>2741</v>
      </c>
      <c r="B2750" s="41">
        <v>10717</v>
      </c>
      <c r="C2750" s="41">
        <v>6007</v>
      </c>
      <c r="D2750" s="41" t="s">
        <v>45</v>
      </c>
      <c r="E2750" s="41" t="s">
        <v>1298</v>
      </c>
      <c r="F2750" s="41" t="s">
        <v>7734</v>
      </c>
      <c r="G2750" s="41" t="s">
        <v>8475</v>
      </c>
      <c r="H2750" s="41" t="s">
        <v>8476</v>
      </c>
      <c r="I2750" s="43">
        <v>12</v>
      </c>
      <c r="J2750" s="44" t="str">
        <f>VLOOKUP(G2750,[1]硬件清单!$F:$F,1,0)</f>
        <v>06ACPG0</v>
      </c>
      <c r="K2750" s="43"/>
      <c r="L2750" s="44"/>
      <c r="M2750" s="45" t="s">
        <v>8477</v>
      </c>
    </row>
    <row r="2751" s="26" customFormat="1" ht="30" customHeight="1" spans="1:13">
      <c r="A2751" s="41">
        <f>IF(C2751="","",SUBTOTAL(103,$C$2:C2751))</f>
        <v>2742</v>
      </c>
      <c r="B2751" s="41">
        <v>10718</v>
      </c>
      <c r="C2751" s="41">
        <v>5996</v>
      </c>
      <c r="D2751" s="41" t="s">
        <v>45</v>
      </c>
      <c r="E2751" s="41" t="s">
        <v>1298</v>
      </c>
      <c r="F2751" s="41" t="s">
        <v>7734</v>
      </c>
      <c r="G2751" s="41" t="s">
        <v>8478</v>
      </c>
      <c r="H2751" s="41" t="s">
        <v>8479</v>
      </c>
      <c r="I2751" s="43">
        <v>12</v>
      </c>
      <c r="J2751" s="44" t="str">
        <f>VLOOKUP(G2751,[1]硬件清单!$F:$F,1,0)</f>
        <v>06ACNL5</v>
      </c>
      <c r="K2751" s="43"/>
      <c r="L2751" s="44"/>
      <c r="M2751" s="45" t="s">
        <v>8480</v>
      </c>
    </row>
    <row r="2752" s="26" customFormat="1" ht="30" customHeight="1" spans="1:13">
      <c r="A2752" s="41">
        <f>IF(C2752="","",SUBTOTAL(103,$C$2:C2752))</f>
        <v>2743</v>
      </c>
      <c r="B2752" s="41">
        <v>10719</v>
      </c>
      <c r="C2752" s="41">
        <v>5997</v>
      </c>
      <c r="D2752" s="41" t="s">
        <v>45</v>
      </c>
      <c r="E2752" s="41" t="s">
        <v>1298</v>
      </c>
      <c r="F2752" s="41" t="s">
        <v>7734</v>
      </c>
      <c r="G2752" s="41" t="s">
        <v>8481</v>
      </c>
      <c r="H2752" s="41" t="s">
        <v>8482</v>
      </c>
      <c r="I2752" s="43">
        <v>12</v>
      </c>
      <c r="J2752" s="44" t="str">
        <f>VLOOKUP(G2752,[1]硬件清单!$F:$F,1,0)</f>
        <v>06ACNM7</v>
      </c>
      <c r="K2752" s="43"/>
      <c r="L2752" s="44"/>
      <c r="M2752" s="45" t="s">
        <v>8483</v>
      </c>
    </row>
    <row r="2753" s="26" customFormat="1" ht="30" customHeight="1" spans="1:13">
      <c r="A2753" s="41">
        <f>IF(C2753="","",SUBTOTAL(103,$C$2:C2753))</f>
        <v>2744</v>
      </c>
      <c r="B2753" s="41">
        <v>10720</v>
      </c>
      <c r="C2753" s="41">
        <v>5998</v>
      </c>
      <c r="D2753" s="41" t="s">
        <v>45</v>
      </c>
      <c r="E2753" s="41" t="s">
        <v>1298</v>
      </c>
      <c r="F2753" s="41" t="s">
        <v>7734</v>
      </c>
      <c r="G2753" s="41" t="s">
        <v>8484</v>
      </c>
      <c r="H2753" s="41" t="s">
        <v>8485</v>
      </c>
      <c r="I2753" s="43">
        <v>12</v>
      </c>
      <c r="J2753" s="44" t="str">
        <f>VLOOKUP(G2753,[1]硬件清单!$F:$F,1,0)</f>
        <v>06ACNT5</v>
      </c>
      <c r="K2753" s="43"/>
      <c r="L2753" s="44"/>
      <c r="M2753" s="45" t="s">
        <v>8486</v>
      </c>
    </row>
    <row r="2754" s="26" customFormat="1" ht="30" customHeight="1" spans="1:13">
      <c r="A2754" s="41">
        <f>IF(C2754="","",SUBTOTAL(103,$C$2:C2754))</f>
        <v>2745</v>
      </c>
      <c r="B2754" s="41">
        <v>10721</v>
      </c>
      <c r="C2754" s="41">
        <v>5999</v>
      </c>
      <c r="D2754" s="41" t="s">
        <v>45</v>
      </c>
      <c r="E2754" s="41" t="s">
        <v>1298</v>
      </c>
      <c r="F2754" s="41" t="s">
        <v>7734</v>
      </c>
      <c r="G2754" s="41" t="s">
        <v>8487</v>
      </c>
      <c r="H2754" s="41" t="s">
        <v>8488</v>
      </c>
      <c r="I2754" s="43">
        <v>12</v>
      </c>
      <c r="J2754" s="44" t="str">
        <f>VLOOKUP(G2754,[1]硬件清单!$F:$F,1,0)</f>
        <v>06ACPN5</v>
      </c>
      <c r="K2754" s="43"/>
      <c r="L2754" s="44"/>
      <c r="M2754" s="45" t="s">
        <v>8489</v>
      </c>
    </row>
    <row r="2755" s="26" customFormat="1" ht="30" customHeight="1" spans="1:13">
      <c r="A2755" s="41">
        <f>IF(C2755="","",SUBTOTAL(103,$C$2:C2755))</f>
        <v>2746</v>
      </c>
      <c r="B2755" s="41">
        <v>10722</v>
      </c>
      <c r="C2755" s="41">
        <v>6000</v>
      </c>
      <c r="D2755" s="41" t="s">
        <v>45</v>
      </c>
      <c r="E2755" s="41" t="s">
        <v>1298</v>
      </c>
      <c r="F2755" s="41" t="s">
        <v>7734</v>
      </c>
      <c r="G2755" s="41" t="s">
        <v>8490</v>
      </c>
      <c r="H2755" s="41" t="s">
        <v>8491</v>
      </c>
      <c r="I2755" s="43">
        <v>12</v>
      </c>
      <c r="J2755" s="44" t="str">
        <f>VLOOKUP(G2755,[1]硬件清单!$F:$F,1,0)</f>
        <v>06ACNW7</v>
      </c>
      <c r="K2755" s="43"/>
      <c r="L2755" s="44"/>
      <c r="M2755" s="45" t="s">
        <v>8492</v>
      </c>
    </row>
    <row r="2756" s="26" customFormat="1" ht="30" customHeight="1" spans="1:13">
      <c r="A2756" s="41">
        <f>IF(C2756="","",SUBTOTAL(103,$C$2:C2756))</f>
        <v>2747</v>
      </c>
      <c r="B2756" s="41">
        <v>10723</v>
      </c>
      <c r="C2756" s="41">
        <v>6001</v>
      </c>
      <c r="D2756" s="41" t="s">
        <v>45</v>
      </c>
      <c r="E2756" s="41" t="s">
        <v>1298</v>
      </c>
      <c r="F2756" s="41" t="s">
        <v>7734</v>
      </c>
      <c r="G2756" s="41" t="s">
        <v>8493</v>
      </c>
      <c r="H2756" s="41" t="s">
        <v>8494</v>
      </c>
      <c r="I2756" s="43">
        <v>12</v>
      </c>
      <c r="J2756" s="44" t="str">
        <f>VLOOKUP(G2756,[1]硬件清单!$F:$F,1,0)</f>
        <v>06ACPB4</v>
      </c>
      <c r="K2756" s="43"/>
      <c r="L2756" s="44"/>
      <c r="M2756" s="45" t="s">
        <v>8495</v>
      </c>
    </row>
    <row r="2757" s="26" customFormat="1" ht="30" customHeight="1" spans="1:13">
      <c r="A2757" s="41">
        <f>IF(C2757="","",SUBTOTAL(103,$C$2:C2757))</f>
        <v>2748</v>
      </c>
      <c r="B2757" s="41">
        <v>10724</v>
      </c>
      <c r="C2757" s="41">
        <v>6002</v>
      </c>
      <c r="D2757" s="41" t="s">
        <v>45</v>
      </c>
      <c r="E2757" s="41" t="s">
        <v>1298</v>
      </c>
      <c r="F2757" s="41" t="s">
        <v>7734</v>
      </c>
      <c r="G2757" s="41" t="s">
        <v>8496</v>
      </c>
      <c r="H2757" s="41" t="s">
        <v>8497</v>
      </c>
      <c r="I2757" s="43">
        <v>12</v>
      </c>
      <c r="J2757" s="44" t="str">
        <f>VLOOKUP(G2757,[1]硬件清单!$F:$F,1,0)</f>
        <v>06ACNT4</v>
      </c>
      <c r="K2757" s="43"/>
      <c r="L2757" s="44"/>
      <c r="M2757" s="45" t="s">
        <v>8498</v>
      </c>
    </row>
    <row r="2758" s="26" customFormat="1" ht="30" customHeight="1" spans="1:13">
      <c r="A2758" s="41">
        <f>IF(C2758="","",SUBTOTAL(103,$C$2:C2758))</f>
        <v>2749</v>
      </c>
      <c r="B2758" s="41">
        <v>10725</v>
      </c>
      <c r="C2758" s="41">
        <v>6003</v>
      </c>
      <c r="D2758" s="41" t="s">
        <v>45</v>
      </c>
      <c r="E2758" s="41" t="s">
        <v>1298</v>
      </c>
      <c r="F2758" s="41" t="s">
        <v>7734</v>
      </c>
      <c r="G2758" s="41" t="s">
        <v>8499</v>
      </c>
      <c r="H2758" s="41" t="s">
        <v>8500</v>
      </c>
      <c r="I2758" s="43">
        <v>12</v>
      </c>
      <c r="J2758" s="44" t="str">
        <f>VLOOKUP(G2758,[1]硬件清单!$F:$F,1,0)</f>
        <v>06ACPD5</v>
      </c>
      <c r="K2758" s="43"/>
      <c r="L2758" s="44"/>
      <c r="M2758" s="45" t="s">
        <v>8501</v>
      </c>
    </row>
    <row r="2759" s="26" customFormat="1" ht="30" customHeight="1" spans="1:13">
      <c r="A2759" s="41">
        <f>IF(C2759="","",SUBTOTAL(103,$C$2:C2759))</f>
        <v>2750</v>
      </c>
      <c r="B2759" s="41">
        <v>10726</v>
      </c>
      <c r="C2759" s="41">
        <v>6009</v>
      </c>
      <c r="D2759" s="41" t="s">
        <v>45</v>
      </c>
      <c r="E2759" s="41" t="s">
        <v>1298</v>
      </c>
      <c r="F2759" s="41" t="s">
        <v>7734</v>
      </c>
      <c r="G2759" s="41" t="s">
        <v>8502</v>
      </c>
      <c r="H2759" s="41" t="s">
        <v>8503</v>
      </c>
      <c r="I2759" s="43">
        <v>12</v>
      </c>
      <c r="J2759" s="44" t="str">
        <f>VLOOKUP(G2759,[1]硬件清单!$F:$F,1,0)</f>
        <v>06ACPH1</v>
      </c>
      <c r="K2759" s="43"/>
      <c r="L2759" s="44"/>
      <c r="M2759" s="45" t="s">
        <v>8504</v>
      </c>
    </row>
    <row r="2760" s="26" customFormat="1" ht="30" customHeight="1" spans="1:13">
      <c r="A2760" s="41">
        <f>IF(C2760="","",SUBTOTAL(103,$C$2:C2760))</f>
        <v>2751</v>
      </c>
      <c r="B2760" s="41">
        <v>10727</v>
      </c>
      <c r="C2760" s="41">
        <v>6018</v>
      </c>
      <c r="D2760" s="41" t="s">
        <v>45</v>
      </c>
      <c r="E2760" s="41" t="s">
        <v>1298</v>
      </c>
      <c r="F2760" s="41" t="s">
        <v>7734</v>
      </c>
      <c r="G2760" s="41" t="s">
        <v>8505</v>
      </c>
      <c r="H2760" s="41" t="s">
        <v>8506</v>
      </c>
      <c r="I2760" s="43">
        <v>12</v>
      </c>
      <c r="J2760" s="44" t="str">
        <f>VLOOKUP(G2760,[1]硬件清单!$F:$F,1,0)</f>
        <v>06ACNM6</v>
      </c>
      <c r="K2760" s="43"/>
      <c r="L2760" s="44"/>
      <c r="M2760" s="45" t="s">
        <v>8507</v>
      </c>
    </row>
    <row r="2761" s="26" customFormat="1" ht="30" customHeight="1" spans="1:13">
      <c r="A2761" s="41">
        <f>IF(C2761="","",SUBTOTAL(103,$C$2:C2761))</f>
        <v>2752</v>
      </c>
      <c r="B2761" s="41">
        <v>10728</v>
      </c>
      <c r="C2761" s="41">
        <v>6019</v>
      </c>
      <c r="D2761" s="41" t="s">
        <v>45</v>
      </c>
      <c r="E2761" s="41" t="s">
        <v>1298</v>
      </c>
      <c r="F2761" s="41" t="s">
        <v>7734</v>
      </c>
      <c r="G2761" s="41" t="s">
        <v>8508</v>
      </c>
      <c r="H2761" s="41" t="s">
        <v>8509</v>
      </c>
      <c r="I2761" s="43">
        <v>12</v>
      </c>
      <c r="J2761" s="44" t="str">
        <f>VLOOKUP(G2761,[1]硬件清单!$F:$F,1,0)</f>
        <v>06ACPY3</v>
      </c>
      <c r="K2761" s="43"/>
      <c r="L2761" s="44"/>
      <c r="M2761" s="45" t="s">
        <v>8510</v>
      </c>
    </row>
    <row r="2762" s="26" customFormat="1" ht="30" customHeight="1" spans="1:13">
      <c r="A2762" s="41">
        <f>IF(C2762="","",SUBTOTAL(103,$C$2:C2762))</f>
        <v>2753</v>
      </c>
      <c r="B2762" s="41">
        <v>10729</v>
      </c>
      <c r="C2762" s="41">
        <v>6020</v>
      </c>
      <c r="D2762" s="41" t="s">
        <v>45</v>
      </c>
      <c r="E2762" s="41" t="s">
        <v>1298</v>
      </c>
      <c r="F2762" s="41" t="s">
        <v>7734</v>
      </c>
      <c r="G2762" s="41" t="s">
        <v>8511</v>
      </c>
      <c r="H2762" s="41" t="s">
        <v>8512</v>
      </c>
      <c r="I2762" s="43">
        <v>12</v>
      </c>
      <c r="J2762" s="44" t="str">
        <f>VLOOKUP(G2762,[1]硬件清单!$F:$F,1,0)</f>
        <v>06ACPX1</v>
      </c>
      <c r="K2762" s="43"/>
      <c r="L2762" s="44"/>
      <c r="M2762" s="45" t="s">
        <v>8513</v>
      </c>
    </row>
    <row r="2763" s="26" customFormat="1" ht="30" customHeight="1" spans="1:13">
      <c r="A2763" s="41">
        <f>IF(C2763="","",SUBTOTAL(103,$C$2:C2763))</f>
        <v>2754</v>
      </c>
      <c r="B2763" s="41">
        <v>10730</v>
      </c>
      <c r="C2763" s="41">
        <v>6021</v>
      </c>
      <c r="D2763" s="41" t="s">
        <v>45</v>
      </c>
      <c r="E2763" s="41" t="s">
        <v>1298</v>
      </c>
      <c r="F2763" s="41" t="s">
        <v>7734</v>
      </c>
      <c r="G2763" s="41" t="s">
        <v>8514</v>
      </c>
      <c r="H2763" s="41" t="s">
        <v>8515</v>
      </c>
      <c r="I2763" s="43">
        <v>12</v>
      </c>
      <c r="J2763" s="44" t="str">
        <f>VLOOKUP(G2763,[1]硬件清单!$F:$F,1,0)</f>
        <v>06ACPN4</v>
      </c>
      <c r="K2763" s="43"/>
      <c r="L2763" s="44"/>
      <c r="M2763" s="45" t="s">
        <v>8516</v>
      </c>
    </row>
    <row r="2764" s="26" customFormat="1" ht="30" customHeight="1" spans="1:13">
      <c r="A2764" s="41">
        <f>IF(C2764="","",SUBTOTAL(103,$C$2:C2764))</f>
        <v>2755</v>
      </c>
      <c r="B2764" s="41">
        <v>10731</v>
      </c>
      <c r="C2764" s="41">
        <v>6022</v>
      </c>
      <c r="D2764" s="41" t="s">
        <v>45</v>
      </c>
      <c r="E2764" s="41" t="s">
        <v>1298</v>
      </c>
      <c r="F2764" s="41" t="s">
        <v>7734</v>
      </c>
      <c r="G2764" s="41" t="s">
        <v>8517</v>
      </c>
      <c r="H2764" s="41" t="s">
        <v>8518</v>
      </c>
      <c r="I2764" s="43">
        <v>12</v>
      </c>
      <c r="J2764" s="44" t="str">
        <f>VLOOKUP(G2764,[1]硬件清单!$F:$F,1,0)</f>
        <v>06ACNW2</v>
      </c>
      <c r="K2764" s="43"/>
      <c r="L2764" s="44"/>
      <c r="M2764" s="45" t="s">
        <v>8519</v>
      </c>
    </row>
    <row r="2765" s="26" customFormat="1" ht="30" customHeight="1" spans="1:13">
      <c r="A2765" s="41">
        <f>IF(C2765="","",SUBTOTAL(103,$C$2:C2765))</f>
        <v>2756</v>
      </c>
      <c r="B2765" s="41">
        <v>10732</v>
      </c>
      <c r="C2765" s="41">
        <v>6010</v>
      </c>
      <c r="D2765" s="41" t="s">
        <v>45</v>
      </c>
      <c r="E2765" s="41" t="s">
        <v>1298</v>
      </c>
      <c r="F2765" s="41" t="s">
        <v>7734</v>
      </c>
      <c r="G2765" s="41" t="s">
        <v>8520</v>
      </c>
      <c r="H2765" s="41" t="s">
        <v>8521</v>
      </c>
      <c r="I2765" s="43">
        <v>12</v>
      </c>
      <c r="J2765" s="44" t="str">
        <f>VLOOKUP(G2765,[1]硬件清单!$F:$F,1,0)</f>
        <v>06ACPF3</v>
      </c>
      <c r="K2765" s="43"/>
      <c r="L2765" s="44"/>
      <c r="M2765" s="45" t="s">
        <v>8522</v>
      </c>
    </row>
    <row r="2766" s="26" customFormat="1" ht="30" customHeight="1" spans="1:13">
      <c r="A2766" s="41">
        <f>IF(C2766="","",SUBTOTAL(103,$C$2:C2766))</f>
        <v>2757</v>
      </c>
      <c r="B2766" s="41">
        <v>10733</v>
      </c>
      <c r="C2766" s="41">
        <v>6011</v>
      </c>
      <c r="D2766" s="41" t="s">
        <v>45</v>
      </c>
      <c r="E2766" s="41" t="s">
        <v>1298</v>
      </c>
      <c r="F2766" s="41" t="s">
        <v>7734</v>
      </c>
      <c r="G2766" s="41" t="s">
        <v>8523</v>
      </c>
      <c r="H2766" s="41" t="s">
        <v>8524</v>
      </c>
      <c r="I2766" s="43">
        <v>12</v>
      </c>
      <c r="J2766" s="44" t="str">
        <f>VLOOKUP(G2766,[1]硬件清单!$F:$F,1,0)</f>
        <v>06ACNN1</v>
      </c>
      <c r="K2766" s="43"/>
      <c r="L2766" s="44"/>
      <c r="M2766" s="45" t="s">
        <v>8525</v>
      </c>
    </row>
    <row r="2767" s="26" customFormat="1" ht="30" customHeight="1" spans="1:13">
      <c r="A2767" s="41">
        <f>IF(C2767="","",SUBTOTAL(103,$C$2:C2767))</f>
        <v>2758</v>
      </c>
      <c r="B2767" s="41">
        <v>10734</v>
      </c>
      <c r="C2767" s="41">
        <v>6012</v>
      </c>
      <c r="D2767" s="41" t="s">
        <v>45</v>
      </c>
      <c r="E2767" s="41" t="s">
        <v>1298</v>
      </c>
      <c r="F2767" s="41" t="s">
        <v>7734</v>
      </c>
      <c r="G2767" s="41" t="s">
        <v>8526</v>
      </c>
      <c r="H2767" s="41" t="s">
        <v>8527</v>
      </c>
      <c r="I2767" s="43">
        <v>12</v>
      </c>
      <c r="J2767" s="44" t="str">
        <f>VLOOKUP(G2767,[1]硬件清单!$F:$F,1,0)</f>
        <v>06ACPX9</v>
      </c>
      <c r="K2767" s="43"/>
      <c r="L2767" s="44"/>
      <c r="M2767" s="45" t="s">
        <v>8528</v>
      </c>
    </row>
    <row r="2768" s="26" customFormat="1" ht="30" customHeight="1" spans="1:13">
      <c r="A2768" s="41">
        <f>IF(C2768="","",SUBTOTAL(103,$C$2:C2768))</f>
        <v>2759</v>
      </c>
      <c r="B2768" s="41">
        <v>10735</v>
      </c>
      <c r="C2768" s="41">
        <v>6013</v>
      </c>
      <c r="D2768" s="41" t="s">
        <v>45</v>
      </c>
      <c r="E2768" s="41" t="s">
        <v>1298</v>
      </c>
      <c r="F2768" s="41" t="s">
        <v>7734</v>
      </c>
      <c r="G2768" s="41" t="s">
        <v>8529</v>
      </c>
      <c r="H2768" s="41" t="s">
        <v>8530</v>
      </c>
      <c r="I2768" s="43">
        <v>12</v>
      </c>
      <c r="J2768" s="44" t="str">
        <f>VLOOKUP(G2768,[1]硬件清单!$F:$F,1,0)</f>
        <v>06ACPW3</v>
      </c>
      <c r="K2768" s="43"/>
      <c r="L2768" s="44"/>
      <c r="M2768" s="45" t="s">
        <v>8531</v>
      </c>
    </row>
    <row r="2769" s="26" customFormat="1" ht="30" customHeight="1" spans="1:13">
      <c r="A2769" s="41">
        <f>IF(C2769="","",SUBTOTAL(103,$C$2:C2769))</f>
        <v>2760</v>
      </c>
      <c r="B2769" s="41">
        <v>10736</v>
      </c>
      <c r="C2769" s="41">
        <v>6014</v>
      </c>
      <c r="D2769" s="41" t="s">
        <v>45</v>
      </c>
      <c r="E2769" s="41" t="s">
        <v>1298</v>
      </c>
      <c r="F2769" s="41" t="s">
        <v>7734</v>
      </c>
      <c r="G2769" s="41" t="s">
        <v>8532</v>
      </c>
      <c r="H2769" s="41" t="s">
        <v>8533</v>
      </c>
      <c r="I2769" s="43">
        <v>12</v>
      </c>
      <c r="J2769" s="44" t="str">
        <f>VLOOKUP(G2769,[1]硬件清单!$F:$F,1,0)</f>
        <v>06ACPX6</v>
      </c>
      <c r="K2769" s="43"/>
      <c r="L2769" s="44"/>
      <c r="M2769" s="45" t="s">
        <v>8534</v>
      </c>
    </row>
    <row r="2770" s="26" customFormat="1" ht="30" customHeight="1" spans="1:13">
      <c r="A2770" s="41">
        <f>IF(C2770="","",SUBTOTAL(103,$C$2:C2770))</f>
        <v>2761</v>
      </c>
      <c r="B2770" s="41">
        <v>10737</v>
      </c>
      <c r="C2770" s="41">
        <v>6015</v>
      </c>
      <c r="D2770" s="41" t="s">
        <v>45</v>
      </c>
      <c r="E2770" s="41" t="s">
        <v>1298</v>
      </c>
      <c r="F2770" s="41" t="s">
        <v>7734</v>
      </c>
      <c r="G2770" s="41" t="s">
        <v>8535</v>
      </c>
      <c r="H2770" s="41" t="s">
        <v>8536</v>
      </c>
      <c r="I2770" s="43">
        <v>12</v>
      </c>
      <c r="J2770" s="44" t="str">
        <f>VLOOKUP(G2770,[1]硬件清单!$F:$F,1,0)</f>
        <v>06ACPG8</v>
      </c>
      <c r="K2770" s="43"/>
      <c r="L2770" s="44"/>
      <c r="M2770" s="45" t="s">
        <v>8537</v>
      </c>
    </row>
    <row r="2771" s="26" customFormat="1" ht="30" customHeight="1" spans="1:13">
      <c r="A2771" s="41">
        <f>IF(C2771="","",SUBTOTAL(103,$C$2:C2771))</f>
        <v>2762</v>
      </c>
      <c r="B2771" s="41">
        <v>10738</v>
      </c>
      <c r="C2771" s="41">
        <v>6016</v>
      </c>
      <c r="D2771" s="41" t="s">
        <v>45</v>
      </c>
      <c r="E2771" s="41" t="s">
        <v>1298</v>
      </c>
      <c r="F2771" s="41" t="s">
        <v>7734</v>
      </c>
      <c r="G2771" s="41" t="s">
        <v>8538</v>
      </c>
      <c r="H2771" s="41" t="s">
        <v>8539</v>
      </c>
      <c r="I2771" s="43">
        <v>12</v>
      </c>
      <c r="J2771" s="44" t="str">
        <f>VLOOKUP(G2771,[1]硬件清单!$F:$F,1,0)</f>
        <v>06ACPH6</v>
      </c>
      <c r="K2771" s="43"/>
      <c r="L2771" s="44"/>
      <c r="M2771" s="45" t="s">
        <v>8540</v>
      </c>
    </row>
    <row r="2772" s="26" customFormat="1" ht="30" customHeight="1" spans="1:13">
      <c r="A2772" s="41">
        <f>IF(C2772="","",SUBTOTAL(103,$C$2:C2772))</f>
        <v>2763</v>
      </c>
      <c r="B2772" s="41">
        <v>10739</v>
      </c>
      <c r="C2772" s="41">
        <v>6017</v>
      </c>
      <c r="D2772" s="41" t="s">
        <v>45</v>
      </c>
      <c r="E2772" s="41" t="s">
        <v>1298</v>
      </c>
      <c r="F2772" s="41" t="s">
        <v>7734</v>
      </c>
      <c r="G2772" s="41" t="s">
        <v>8541</v>
      </c>
      <c r="H2772" s="41" t="s">
        <v>8542</v>
      </c>
      <c r="I2772" s="43">
        <v>12</v>
      </c>
      <c r="J2772" s="44" t="str">
        <f>VLOOKUP(G2772,[1]硬件清单!$F:$F,1,0)</f>
        <v>06ACPG2</v>
      </c>
      <c r="K2772" s="43"/>
      <c r="L2772" s="44"/>
      <c r="M2772" s="45" t="s">
        <v>8543</v>
      </c>
    </row>
    <row r="2773" s="26" customFormat="1" ht="30" customHeight="1" spans="1:13">
      <c r="A2773" s="41">
        <f>IF(C2773="","",SUBTOTAL(103,$C$2:C2773))</f>
        <v>2764</v>
      </c>
      <c r="B2773" s="41">
        <v>10740</v>
      </c>
      <c r="C2773" s="41">
        <v>6277</v>
      </c>
      <c r="D2773" s="41" t="s">
        <v>45</v>
      </c>
      <c r="E2773" s="41" t="s">
        <v>1298</v>
      </c>
      <c r="F2773" s="41" t="s">
        <v>8544</v>
      </c>
      <c r="G2773" s="41" t="s">
        <v>8545</v>
      </c>
      <c r="H2773" s="41" t="s">
        <v>8546</v>
      </c>
      <c r="I2773" s="43">
        <v>12</v>
      </c>
      <c r="J2773" s="44" t="str">
        <f>VLOOKUP(G2773,[1]硬件清单!$F:$F,1,0)</f>
        <v>06L1859</v>
      </c>
      <c r="K2773" s="43"/>
      <c r="L2773" s="44"/>
      <c r="M2773" s="45" t="s">
        <v>8547</v>
      </c>
    </row>
    <row r="2774" s="26" customFormat="1" ht="30" customHeight="1" spans="1:13">
      <c r="A2774" s="41">
        <f>IF(C2774="","",SUBTOTAL(103,$C$2:C2774))</f>
        <v>2765</v>
      </c>
      <c r="B2774" s="41">
        <v>10741</v>
      </c>
      <c r="C2774" s="41">
        <v>6278</v>
      </c>
      <c r="D2774" s="41" t="s">
        <v>45</v>
      </c>
      <c r="E2774" s="41" t="s">
        <v>1298</v>
      </c>
      <c r="F2774" s="41" t="s">
        <v>8544</v>
      </c>
      <c r="G2774" s="41" t="s">
        <v>8548</v>
      </c>
      <c r="H2774" s="41" t="s">
        <v>8549</v>
      </c>
      <c r="I2774" s="43">
        <v>12</v>
      </c>
      <c r="J2774" s="44" t="str">
        <f>VLOOKUP(G2774,[1]硬件清单!$F:$F,1,0)</f>
        <v>06L1860</v>
      </c>
      <c r="K2774" s="43"/>
      <c r="L2774" s="44"/>
      <c r="M2774" s="45" t="s">
        <v>8550</v>
      </c>
    </row>
    <row r="2775" s="26" customFormat="1" ht="30" customHeight="1" spans="1:13">
      <c r="A2775" s="41">
        <f>IF(C2775="","",SUBTOTAL(103,$C$2:C2775))</f>
        <v>2766</v>
      </c>
      <c r="B2775" s="41">
        <v>10743</v>
      </c>
      <c r="C2775" s="41">
        <v>6023</v>
      </c>
      <c r="D2775" s="41" t="s">
        <v>45</v>
      </c>
      <c r="E2775" s="41" t="s">
        <v>1298</v>
      </c>
      <c r="F2775" s="41" t="s">
        <v>7734</v>
      </c>
      <c r="G2775" s="41" t="s">
        <v>8551</v>
      </c>
      <c r="H2775" s="41" t="s">
        <v>8552</v>
      </c>
      <c r="I2775" s="43">
        <v>12</v>
      </c>
      <c r="J2775" s="44" t="str">
        <f>VLOOKUP(G2775,[1]硬件清单!$F:$F,1,0)</f>
        <v>06ACPF5</v>
      </c>
      <c r="K2775" s="43"/>
      <c r="L2775" s="44"/>
      <c r="M2775" s="45" t="s">
        <v>8553</v>
      </c>
    </row>
    <row r="2776" s="26" customFormat="1" ht="30" customHeight="1" spans="1:13">
      <c r="A2776" s="41">
        <f>IF(C2776="","",SUBTOTAL(103,$C$2:C2776))</f>
        <v>2767</v>
      </c>
      <c r="B2776" s="41">
        <v>10744</v>
      </c>
      <c r="C2776" s="41">
        <v>6032</v>
      </c>
      <c r="D2776" s="41" t="s">
        <v>45</v>
      </c>
      <c r="E2776" s="41" t="s">
        <v>1298</v>
      </c>
      <c r="F2776" s="41" t="s">
        <v>7734</v>
      </c>
      <c r="G2776" s="41" t="s">
        <v>8554</v>
      </c>
      <c r="H2776" s="41" t="s">
        <v>8555</v>
      </c>
      <c r="I2776" s="43">
        <v>12</v>
      </c>
      <c r="J2776" s="44" t="str">
        <f>VLOOKUP(G2776,[1]硬件清单!$F:$F,1,0)</f>
        <v>06ACPT0</v>
      </c>
      <c r="K2776" s="43"/>
      <c r="L2776" s="44"/>
      <c r="M2776" s="45" t="s">
        <v>8556</v>
      </c>
    </row>
    <row r="2777" s="26" customFormat="1" ht="30" customHeight="1" spans="1:13">
      <c r="A2777" s="41">
        <f>IF(C2777="","",SUBTOTAL(103,$C$2:C2777))</f>
        <v>2768</v>
      </c>
      <c r="B2777" s="41">
        <v>10745</v>
      </c>
      <c r="C2777" s="41">
        <v>6033</v>
      </c>
      <c r="D2777" s="41" t="s">
        <v>45</v>
      </c>
      <c r="E2777" s="41" t="s">
        <v>1298</v>
      </c>
      <c r="F2777" s="41" t="s">
        <v>7734</v>
      </c>
      <c r="G2777" s="41" t="s">
        <v>8557</v>
      </c>
      <c r="H2777" s="41" t="s">
        <v>8558</v>
      </c>
      <c r="I2777" s="43">
        <v>12</v>
      </c>
      <c r="J2777" s="44" t="str">
        <f>VLOOKUP(G2777,[1]硬件清单!$F:$F,1,0)</f>
        <v>06ACPL0</v>
      </c>
      <c r="K2777" s="43"/>
      <c r="L2777" s="44"/>
      <c r="M2777" s="45" t="s">
        <v>8559</v>
      </c>
    </row>
    <row r="2778" s="26" customFormat="1" ht="30" customHeight="1" spans="1:13">
      <c r="A2778" s="41">
        <f>IF(C2778="","",SUBTOTAL(103,$C$2:C2778))</f>
        <v>2769</v>
      </c>
      <c r="B2778" s="41">
        <v>10746</v>
      </c>
      <c r="C2778" s="41">
        <v>6034</v>
      </c>
      <c r="D2778" s="41" t="s">
        <v>45</v>
      </c>
      <c r="E2778" s="41" t="s">
        <v>1298</v>
      </c>
      <c r="F2778" s="41" t="s">
        <v>7734</v>
      </c>
      <c r="G2778" s="41" t="s">
        <v>8560</v>
      </c>
      <c r="H2778" s="41" t="s">
        <v>8561</v>
      </c>
      <c r="I2778" s="43">
        <v>12</v>
      </c>
      <c r="J2778" s="44" t="str">
        <f>VLOOKUP(G2778,[1]硬件清单!$F:$F,1,0)</f>
        <v>06ACPR6</v>
      </c>
      <c r="K2778" s="43"/>
      <c r="L2778" s="44"/>
      <c r="M2778" s="45" t="s">
        <v>8562</v>
      </c>
    </row>
    <row r="2779" s="26" customFormat="1" ht="30" customHeight="1" spans="1:13">
      <c r="A2779" s="41">
        <f>IF(C2779="","",SUBTOTAL(103,$C$2:C2779))</f>
        <v>2770</v>
      </c>
      <c r="B2779" s="41">
        <v>10747</v>
      </c>
      <c r="C2779" s="41">
        <v>6035</v>
      </c>
      <c r="D2779" s="41" t="s">
        <v>45</v>
      </c>
      <c r="E2779" s="41" t="s">
        <v>1298</v>
      </c>
      <c r="F2779" s="41" t="s">
        <v>7734</v>
      </c>
      <c r="G2779" s="41" t="s">
        <v>8563</v>
      </c>
      <c r="H2779" s="41" t="s">
        <v>8564</v>
      </c>
      <c r="I2779" s="43">
        <v>12</v>
      </c>
      <c r="J2779" s="44" t="str">
        <f>VLOOKUP(G2779,[1]硬件清单!$F:$F,1,0)</f>
        <v>06ACNW4</v>
      </c>
      <c r="K2779" s="43"/>
      <c r="L2779" s="44"/>
      <c r="M2779" s="45" t="s">
        <v>8565</v>
      </c>
    </row>
    <row r="2780" s="26" customFormat="1" ht="30" customHeight="1" spans="1:13">
      <c r="A2780" s="41">
        <f>IF(C2780="","",SUBTOTAL(103,$C$2:C2780))</f>
        <v>2771</v>
      </c>
      <c r="B2780" s="41">
        <v>10748</v>
      </c>
      <c r="C2780" s="41">
        <v>6036</v>
      </c>
      <c r="D2780" s="41" t="s">
        <v>45</v>
      </c>
      <c r="E2780" s="41" t="s">
        <v>1298</v>
      </c>
      <c r="F2780" s="41" t="s">
        <v>7734</v>
      </c>
      <c r="G2780" s="41" t="s">
        <v>8566</v>
      </c>
      <c r="H2780" s="41" t="s">
        <v>8567</v>
      </c>
      <c r="I2780" s="43">
        <v>12</v>
      </c>
      <c r="J2780" s="44" t="str">
        <f>VLOOKUP(G2780,[1]硬件清单!$F:$F,1,0)</f>
        <v>06ACPL1</v>
      </c>
      <c r="K2780" s="43"/>
      <c r="L2780" s="44"/>
      <c r="M2780" s="45" t="s">
        <v>8568</v>
      </c>
    </row>
    <row r="2781" s="26" customFormat="1" ht="30" customHeight="1" spans="1:13">
      <c r="A2781" s="41">
        <f>IF(C2781="","",SUBTOTAL(103,$C$2:C2781))</f>
        <v>2772</v>
      </c>
      <c r="B2781" s="41">
        <v>10749</v>
      </c>
      <c r="C2781" s="41">
        <v>6024</v>
      </c>
      <c r="D2781" s="41" t="s">
        <v>45</v>
      </c>
      <c r="E2781" s="41" t="s">
        <v>1298</v>
      </c>
      <c r="F2781" s="41" t="s">
        <v>7734</v>
      </c>
      <c r="G2781" s="41" t="s">
        <v>8569</v>
      </c>
      <c r="H2781" s="41" t="s">
        <v>8570</v>
      </c>
      <c r="I2781" s="43">
        <v>12</v>
      </c>
      <c r="J2781" s="44" t="str">
        <f>VLOOKUP(G2781,[1]硬件清单!$F:$F,1,0)</f>
        <v>06ACNP5</v>
      </c>
      <c r="K2781" s="43"/>
      <c r="L2781" s="44"/>
      <c r="M2781" s="45" t="s">
        <v>8571</v>
      </c>
    </row>
    <row r="2782" s="26" customFormat="1" ht="30" customHeight="1" spans="1:13">
      <c r="A2782" s="41">
        <f>IF(C2782="","",SUBTOTAL(103,$C$2:C2782))</f>
        <v>2773</v>
      </c>
      <c r="B2782" s="41">
        <v>10750</v>
      </c>
      <c r="C2782" s="41">
        <v>6025</v>
      </c>
      <c r="D2782" s="41" t="s">
        <v>45</v>
      </c>
      <c r="E2782" s="41" t="s">
        <v>1298</v>
      </c>
      <c r="F2782" s="41" t="s">
        <v>7734</v>
      </c>
      <c r="G2782" s="41" t="s">
        <v>8572</v>
      </c>
      <c r="H2782" s="41" t="s">
        <v>8573</v>
      </c>
      <c r="I2782" s="43">
        <v>12</v>
      </c>
      <c r="J2782" s="44" t="str">
        <f>VLOOKUP(G2782,[1]硬件清单!$F:$F,1,0)</f>
        <v>06ACPM9</v>
      </c>
      <c r="K2782" s="43"/>
      <c r="L2782" s="44"/>
      <c r="M2782" s="45" t="s">
        <v>8574</v>
      </c>
    </row>
    <row r="2783" s="26" customFormat="1" ht="30" customHeight="1" spans="1:13">
      <c r="A2783" s="41">
        <f>IF(C2783="","",SUBTOTAL(103,$C$2:C2783))</f>
        <v>2774</v>
      </c>
      <c r="B2783" s="41">
        <v>10751</v>
      </c>
      <c r="C2783" s="41">
        <v>6026</v>
      </c>
      <c r="D2783" s="41" t="s">
        <v>45</v>
      </c>
      <c r="E2783" s="41" t="s">
        <v>1298</v>
      </c>
      <c r="F2783" s="41" t="s">
        <v>7734</v>
      </c>
      <c r="G2783" s="41" t="s">
        <v>8575</v>
      </c>
      <c r="H2783" s="41" t="s">
        <v>8576</v>
      </c>
      <c r="I2783" s="43">
        <v>12</v>
      </c>
      <c r="J2783" s="44" t="str">
        <f>VLOOKUP(G2783,[1]硬件清单!$F:$F,1,0)</f>
        <v>06ACPM8</v>
      </c>
      <c r="K2783" s="43"/>
      <c r="L2783" s="44"/>
      <c r="M2783" s="45" t="s">
        <v>8577</v>
      </c>
    </row>
    <row r="2784" s="26" customFormat="1" ht="30" customHeight="1" spans="1:13">
      <c r="A2784" s="41">
        <f>IF(C2784="","",SUBTOTAL(103,$C$2:C2784))</f>
        <v>2775</v>
      </c>
      <c r="B2784" s="41">
        <v>10752</v>
      </c>
      <c r="C2784" s="41">
        <v>6027</v>
      </c>
      <c r="D2784" s="41" t="s">
        <v>45</v>
      </c>
      <c r="E2784" s="41" t="s">
        <v>1298</v>
      </c>
      <c r="F2784" s="41" t="s">
        <v>7734</v>
      </c>
      <c r="G2784" s="41" t="s">
        <v>8578</v>
      </c>
      <c r="H2784" s="41" t="s">
        <v>8579</v>
      </c>
      <c r="I2784" s="43">
        <v>12</v>
      </c>
      <c r="J2784" s="44" t="str">
        <f>VLOOKUP(G2784,[1]硬件清单!$F:$F,1,0)</f>
        <v>06ACPT4</v>
      </c>
      <c r="K2784" s="43"/>
      <c r="L2784" s="44"/>
      <c r="M2784" s="45" t="s">
        <v>8580</v>
      </c>
    </row>
    <row r="2785" s="26" customFormat="1" ht="30" customHeight="1" spans="1:13">
      <c r="A2785" s="41">
        <f>IF(C2785="","",SUBTOTAL(103,$C$2:C2785))</f>
        <v>2776</v>
      </c>
      <c r="B2785" s="41">
        <v>10753</v>
      </c>
      <c r="C2785" s="41">
        <v>6028</v>
      </c>
      <c r="D2785" s="41" t="s">
        <v>45</v>
      </c>
      <c r="E2785" s="41" t="s">
        <v>1298</v>
      </c>
      <c r="F2785" s="41" t="s">
        <v>7734</v>
      </c>
      <c r="G2785" s="41" t="s">
        <v>8581</v>
      </c>
      <c r="H2785" s="41" t="s">
        <v>8582</v>
      </c>
      <c r="I2785" s="43">
        <v>12</v>
      </c>
      <c r="J2785" s="44" t="str">
        <f>VLOOKUP(G2785,[1]硬件清单!$F:$F,1,0)</f>
        <v>06ACPD6</v>
      </c>
      <c r="K2785" s="43"/>
      <c r="L2785" s="44"/>
      <c r="M2785" s="45" t="s">
        <v>8583</v>
      </c>
    </row>
    <row r="2786" s="26" customFormat="1" ht="30" customHeight="1" spans="1:13">
      <c r="A2786" s="41">
        <f>IF(C2786="","",SUBTOTAL(103,$C$2:C2786))</f>
        <v>2777</v>
      </c>
      <c r="B2786" s="41">
        <v>10754</v>
      </c>
      <c r="C2786" s="41">
        <v>6029</v>
      </c>
      <c r="D2786" s="41" t="s">
        <v>45</v>
      </c>
      <c r="E2786" s="41" t="s">
        <v>1298</v>
      </c>
      <c r="F2786" s="41" t="s">
        <v>7734</v>
      </c>
      <c r="G2786" s="41" t="s">
        <v>8584</v>
      </c>
      <c r="H2786" s="41" t="s">
        <v>8585</v>
      </c>
      <c r="I2786" s="43">
        <v>12</v>
      </c>
      <c r="J2786" s="44" t="str">
        <f>VLOOKUP(G2786,[1]硬件清单!$F:$F,1,0)</f>
        <v>06ACNM4</v>
      </c>
      <c r="K2786" s="43"/>
      <c r="L2786" s="44"/>
      <c r="M2786" s="45" t="s">
        <v>8586</v>
      </c>
    </row>
    <row r="2787" s="26" customFormat="1" ht="30" customHeight="1" spans="1:13">
      <c r="A2787" s="41">
        <f>IF(C2787="","",SUBTOTAL(103,$C$2:C2787))</f>
        <v>2778</v>
      </c>
      <c r="B2787" s="41">
        <v>10755</v>
      </c>
      <c r="C2787" s="41">
        <v>6030</v>
      </c>
      <c r="D2787" s="41" t="s">
        <v>45</v>
      </c>
      <c r="E2787" s="41" t="s">
        <v>1298</v>
      </c>
      <c r="F2787" s="41" t="s">
        <v>7734</v>
      </c>
      <c r="G2787" s="41" t="s">
        <v>8587</v>
      </c>
      <c r="H2787" s="41" t="s">
        <v>8588</v>
      </c>
      <c r="I2787" s="43">
        <v>12</v>
      </c>
      <c r="J2787" s="44" t="str">
        <f>VLOOKUP(G2787,[1]硬件清单!$F:$F,1,0)</f>
        <v>06ACNW9</v>
      </c>
      <c r="K2787" s="43"/>
      <c r="L2787" s="44"/>
      <c r="M2787" s="45" t="s">
        <v>8589</v>
      </c>
    </row>
    <row r="2788" s="26" customFormat="1" ht="30" customHeight="1" spans="1:13">
      <c r="A2788" s="41">
        <f>IF(C2788="","",SUBTOTAL(103,$C$2:C2788))</f>
        <v>2779</v>
      </c>
      <c r="B2788" s="41">
        <v>10756</v>
      </c>
      <c r="C2788" s="41">
        <v>6031</v>
      </c>
      <c r="D2788" s="41" t="s">
        <v>45</v>
      </c>
      <c r="E2788" s="41" t="s">
        <v>1298</v>
      </c>
      <c r="F2788" s="41" t="s">
        <v>7734</v>
      </c>
      <c r="G2788" s="41" t="s">
        <v>8590</v>
      </c>
      <c r="H2788" s="41" t="s">
        <v>8591</v>
      </c>
      <c r="I2788" s="43">
        <v>12</v>
      </c>
      <c r="J2788" s="44" t="str">
        <f>VLOOKUP(G2788,[1]硬件清单!$F:$F,1,0)</f>
        <v>06ACPM2</v>
      </c>
      <c r="K2788" s="43"/>
      <c r="L2788" s="44"/>
      <c r="M2788" s="45" t="s">
        <v>8592</v>
      </c>
    </row>
    <row r="2789" s="26" customFormat="1" ht="30" customHeight="1" spans="1:13">
      <c r="A2789" s="41">
        <f>IF(C2789="","",SUBTOTAL(103,$C$2:C2789))</f>
        <v>2780</v>
      </c>
      <c r="B2789" s="41">
        <v>10757</v>
      </c>
      <c r="C2789" s="41">
        <v>6037</v>
      </c>
      <c r="D2789" s="41" t="s">
        <v>45</v>
      </c>
      <c r="E2789" s="41" t="s">
        <v>1298</v>
      </c>
      <c r="F2789" s="41" t="s">
        <v>7734</v>
      </c>
      <c r="G2789" s="41" t="s">
        <v>8593</v>
      </c>
      <c r="H2789" s="41" t="s">
        <v>8594</v>
      </c>
      <c r="I2789" s="43">
        <v>12</v>
      </c>
      <c r="J2789" s="44" t="str">
        <f>VLOOKUP(G2789,[1]硬件清单!$F:$F,1,0)</f>
        <v>06ACPF7</v>
      </c>
      <c r="K2789" s="43"/>
      <c r="L2789" s="44"/>
      <c r="M2789" s="45" t="s">
        <v>8595</v>
      </c>
    </row>
    <row r="2790" s="26" customFormat="1" ht="30" customHeight="1" spans="1:13">
      <c r="A2790" s="41">
        <f>IF(C2790="","",SUBTOTAL(103,$C$2:C2790))</f>
        <v>2781</v>
      </c>
      <c r="B2790" s="41">
        <v>10758</v>
      </c>
      <c r="C2790" s="41">
        <v>6046</v>
      </c>
      <c r="D2790" s="41" t="s">
        <v>45</v>
      </c>
      <c r="E2790" s="41" t="s">
        <v>1298</v>
      </c>
      <c r="F2790" s="41" t="s">
        <v>7734</v>
      </c>
      <c r="G2790" s="41" t="s">
        <v>8596</v>
      </c>
      <c r="H2790" s="41" t="s">
        <v>8597</v>
      </c>
      <c r="I2790" s="43">
        <v>12</v>
      </c>
      <c r="J2790" s="44" t="str">
        <f>VLOOKUP(G2790,[1]硬件清单!$F:$F,1,0)</f>
        <v>06ACPV0</v>
      </c>
      <c r="K2790" s="43"/>
      <c r="L2790" s="44"/>
      <c r="M2790" s="45" t="s">
        <v>8598</v>
      </c>
    </row>
    <row r="2791" s="26" customFormat="1" ht="30" customHeight="1" spans="1:13">
      <c r="A2791" s="41">
        <f>IF(C2791="","",SUBTOTAL(103,$C$2:C2791))</f>
        <v>2782</v>
      </c>
      <c r="B2791" s="41">
        <v>10759</v>
      </c>
      <c r="C2791" s="41">
        <v>6047</v>
      </c>
      <c r="D2791" s="41" t="s">
        <v>45</v>
      </c>
      <c r="E2791" s="41" t="s">
        <v>1298</v>
      </c>
      <c r="F2791" s="41" t="s">
        <v>7734</v>
      </c>
      <c r="G2791" s="41" t="s">
        <v>8599</v>
      </c>
      <c r="H2791" s="41" t="s">
        <v>8600</v>
      </c>
      <c r="I2791" s="43">
        <v>12</v>
      </c>
      <c r="J2791" s="44" t="str">
        <f>VLOOKUP(G2791,[1]硬件清单!$F:$F,1,0)</f>
        <v>06ACPT2</v>
      </c>
      <c r="K2791" s="43"/>
      <c r="L2791" s="44"/>
      <c r="M2791" s="45" t="s">
        <v>8601</v>
      </c>
    </row>
    <row r="2792" s="26" customFormat="1" ht="30" customHeight="1" spans="1:13">
      <c r="A2792" s="41">
        <f>IF(C2792="","",SUBTOTAL(103,$C$2:C2792))</f>
        <v>2783</v>
      </c>
      <c r="B2792" s="41">
        <v>10760</v>
      </c>
      <c r="C2792" s="41">
        <v>6048</v>
      </c>
      <c r="D2792" s="41" t="s">
        <v>45</v>
      </c>
      <c r="E2792" s="41" t="s">
        <v>1298</v>
      </c>
      <c r="F2792" s="41" t="s">
        <v>7734</v>
      </c>
      <c r="G2792" s="41" t="s">
        <v>8602</v>
      </c>
      <c r="H2792" s="41" t="s">
        <v>8603</v>
      </c>
      <c r="I2792" s="43">
        <v>12</v>
      </c>
      <c r="J2792" s="44" t="str">
        <f>VLOOKUP(G2792,[1]硬件清单!$F:$F,1,0)</f>
        <v>06ACNT2</v>
      </c>
      <c r="K2792" s="43"/>
      <c r="L2792" s="44"/>
      <c r="M2792" s="45" t="s">
        <v>8604</v>
      </c>
    </row>
    <row r="2793" s="26" customFormat="1" ht="30" customHeight="1" spans="1:13">
      <c r="A2793" s="41">
        <f>IF(C2793="","",SUBTOTAL(103,$C$2:C2793))</f>
        <v>2784</v>
      </c>
      <c r="B2793" s="41">
        <v>10761</v>
      </c>
      <c r="C2793" s="41">
        <v>6049</v>
      </c>
      <c r="D2793" s="41" t="s">
        <v>45</v>
      </c>
      <c r="E2793" s="41" t="s">
        <v>1298</v>
      </c>
      <c r="F2793" s="41" t="s">
        <v>7734</v>
      </c>
      <c r="G2793" s="41" t="s">
        <v>8605</v>
      </c>
      <c r="H2793" s="41" t="s">
        <v>8606</v>
      </c>
      <c r="I2793" s="43">
        <v>12</v>
      </c>
      <c r="J2793" s="44" t="str">
        <f>VLOOKUP(G2793,[1]硬件清单!$F:$F,1,0)</f>
        <v>06ACNX7</v>
      </c>
      <c r="K2793" s="43"/>
      <c r="L2793" s="44"/>
      <c r="M2793" s="45" t="s">
        <v>8607</v>
      </c>
    </row>
    <row r="2794" s="26" customFormat="1" ht="30" customHeight="1" spans="1:13">
      <c r="A2794" s="41">
        <f>IF(C2794="","",SUBTOTAL(103,$C$2:C2794))</f>
        <v>2785</v>
      </c>
      <c r="B2794" s="41">
        <v>10762</v>
      </c>
      <c r="C2794" s="41">
        <v>6050</v>
      </c>
      <c r="D2794" s="41" t="s">
        <v>45</v>
      </c>
      <c r="E2794" s="41" t="s">
        <v>1298</v>
      </c>
      <c r="F2794" s="41" t="s">
        <v>7734</v>
      </c>
      <c r="G2794" s="41" t="s">
        <v>8608</v>
      </c>
      <c r="H2794" s="41" t="s">
        <v>8609</v>
      </c>
      <c r="I2794" s="43">
        <v>12</v>
      </c>
      <c r="J2794" s="44" t="str">
        <f>VLOOKUP(G2794,[1]硬件清单!$F:$F,1,0)</f>
        <v>06ACPK0</v>
      </c>
      <c r="K2794" s="43"/>
      <c r="L2794" s="44"/>
      <c r="M2794" s="45" t="s">
        <v>8610</v>
      </c>
    </row>
    <row r="2795" s="26" customFormat="1" ht="30" customHeight="1" spans="1:13">
      <c r="A2795" s="41">
        <f>IF(C2795="","",SUBTOTAL(103,$C$2:C2795))</f>
        <v>2786</v>
      </c>
      <c r="B2795" s="41">
        <v>10763</v>
      </c>
      <c r="C2795" s="41">
        <v>6038</v>
      </c>
      <c r="D2795" s="41" t="s">
        <v>45</v>
      </c>
      <c r="E2795" s="41" t="s">
        <v>1298</v>
      </c>
      <c r="F2795" s="41" t="s">
        <v>7734</v>
      </c>
      <c r="G2795" s="41" t="s">
        <v>8611</v>
      </c>
      <c r="H2795" s="41" t="s">
        <v>8612</v>
      </c>
      <c r="I2795" s="43">
        <v>12</v>
      </c>
      <c r="J2795" s="44" t="str">
        <f>VLOOKUP(G2795,[1]硬件清单!$F:$F,1,0)</f>
        <v>06ACNZ5</v>
      </c>
      <c r="K2795" s="43"/>
      <c r="L2795" s="44"/>
      <c r="M2795" s="45" t="s">
        <v>8613</v>
      </c>
    </row>
    <row r="2796" s="26" customFormat="1" ht="30" customHeight="1" spans="1:13">
      <c r="A2796" s="41">
        <f>IF(C2796="","",SUBTOTAL(103,$C$2:C2796))</f>
        <v>2787</v>
      </c>
      <c r="B2796" s="41">
        <v>10764</v>
      </c>
      <c r="C2796" s="41">
        <v>6039</v>
      </c>
      <c r="D2796" s="41" t="s">
        <v>45</v>
      </c>
      <c r="E2796" s="41" t="s">
        <v>1298</v>
      </c>
      <c r="F2796" s="41" t="s">
        <v>7734</v>
      </c>
      <c r="G2796" s="41" t="s">
        <v>8614</v>
      </c>
      <c r="H2796" s="41" t="s">
        <v>8615</v>
      </c>
      <c r="I2796" s="43">
        <v>12</v>
      </c>
      <c r="J2796" s="44" t="str">
        <f>VLOOKUP(G2796,[1]硬件清单!$F:$F,1,0)</f>
        <v>06ACPW1</v>
      </c>
      <c r="K2796" s="43"/>
      <c r="L2796" s="44"/>
      <c r="M2796" s="45" t="s">
        <v>8616</v>
      </c>
    </row>
    <row r="2797" s="26" customFormat="1" ht="30" customHeight="1" spans="1:13">
      <c r="A2797" s="41">
        <f>IF(C2797="","",SUBTOTAL(103,$C$2:C2797))</f>
        <v>2788</v>
      </c>
      <c r="B2797" s="41">
        <v>10765</v>
      </c>
      <c r="C2797" s="41">
        <v>6040</v>
      </c>
      <c r="D2797" s="41" t="s">
        <v>45</v>
      </c>
      <c r="E2797" s="41" t="s">
        <v>1298</v>
      </c>
      <c r="F2797" s="41" t="s">
        <v>7734</v>
      </c>
      <c r="G2797" s="41" t="s">
        <v>8617</v>
      </c>
      <c r="H2797" s="41" t="s">
        <v>8618</v>
      </c>
      <c r="I2797" s="43">
        <v>12</v>
      </c>
      <c r="J2797" s="44" t="str">
        <f>VLOOKUP(G2797,[1]硬件清单!$F:$F,1,0)</f>
        <v>06ACPY9</v>
      </c>
      <c r="K2797" s="43"/>
      <c r="L2797" s="44"/>
      <c r="M2797" s="45" t="s">
        <v>8619</v>
      </c>
    </row>
    <row r="2798" s="26" customFormat="1" ht="30" customHeight="1" spans="1:13">
      <c r="A2798" s="41">
        <f>IF(C2798="","",SUBTOTAL(103,$C$2:C2798))</f>
        <v>2789</v>
      </c>
      <c r="B2798" s="41">
        <v>10766</v>
      </c>
      <c r="C2798" s="41">
        <v>6041</v>
      </c>
      <c r="D2798" s="41" t="s">
        <v>45</v>
      </c>
      <c r="E2798" s="41" t="s">
        <v>1298</v>
      </c>
      <c r="F2798" s="41" t="s">
        <v>7734</v>
      </c>
      <c r="G2798" s="41" t="s">
        <v>8620</v>
      </c>
      <c r="H2798" s="41" t="s">
        <v>8621</v>
      </c>
      <c r="I2798" s="43">
        <v>12</v>
      </c>
      <c r="J2798" s="44" t="str">
        <f>VLOOKUP(G2798,[1]硬件清单!$F:$F,1,0)</f>
        <v>06ACPL3</v>
      </c>
      <c r="K2798" s="43"/>
      <c r="L2798" s="44"/>
      <c r="M2798" s="45" t="s">
        <v>8622</v>
      </c>
    </row>
    <row r="2799" s="26" customFormat="1" ht="30" customHeight="1" spans="1:13">
      <c r="A2799" s="41">
        <f>IF(C2799="","",SUBTOTAL(103,$C$2:C2799))</f>
        <v>2790</v>
      </c>
      <c r="B2799" s="41">
        <v>10767</v>
      </c>
      <c r="C2799" s="41">
        <v>6042</v>
      </c>
      <c r="D2799" s="41" t="s">
        <v>45</v>
      </c>
      <c r="E2799" s="41" t="s">
        <v>1298</v>
      </c>
      <c r="F2799" s="41" t="s">
        <v>7734</v>
      </c>
      <c r="G2799" s="41" t="s">
        <v>8623</v>
      </c>
      <c r="H2799" s="41" t="s">
        <v>8624</v>
      </c>
      <c r="I2799" s="43">
        <v>12</v>
      </c>
      <c r="J2799" s="44" t="str">
        <f>VLOOKUP(G2799,[1]硬件清单!$F:$F,1,0)</f>
        <v>06ACNX8</v>
      </c>
      <c r="K2799" s="43"/>
      <c r="L2799" s="44"/>
      <c r="M2799" s="45" t="s">
        <v>8625</v>
      </c>
    </row>
    <row r="2800" s="26" customFormat="1" ht="30" customHeight="1" spans="1:13">
      <c r="A2800" s="41">
        <f>IF(C2800="","",SUBTOTAL(103,$C$2:C2800))</f>
        <v>2791</v>
      </c>
      <c r="B2800" s="41">
        <v>10768</v>
      </c>
      <c r="C2800" s="41">
        <v>6043</v>
      </c>
      <c r="D2800" s="41" t="s">
        <v>45</v>
      </c>
      <c r="E2800" s="41" t="s">
        <v>1298</v>
      </c>
      <c r="F2800" s="41" t="s">
        <v>7734</v>
      </c>
      <c r="G2800" s="41" t="s">
        <v>8626</v>
      </c>
      <c r="H2800" s="41" t="s">
        <v>8627</v>
      </c>
      <c r="I2800" s="43">
        <v>12</v>
      </c>
      <c r="J2800" s="44" t="str">
        <f>VLOOKUP(G2800,[1]硬件清单!$F:$F,1,0)</f>
        <v>06ACPD3</v>
      </c>
      <c r="K2800" s="43"/>
      <c r="L2800" s="44"/>
      <c r="M2800" s="45" t="s">
        <v>8628</v>
      </c>
    </row>
    <row r="2801" s="26" customFormat="1" ht="30" customHeight="1" spans="1:13">
      <c r="A2801" s="41">
        <f>IF(C2801="","",SUBTOTAL(103,$C$2:C2801))</f>
        <v>2792</v>
      </c>
      <c r="B2801" s="41">
        <v>10769</v>
      </c>
      <c r="C2801" s="41">
        <v>6044</v>
      </c>
      <c r="D2801" s="41" t="s">
        <v>45</v>
      </c>
      <c r="E2801" s="41" t="s">
        <v>1298</v>
      </c>
      <c r="F2801" s="41" t="s">
        <v>7734</v>
      </c>
      <c r="G2801" s="41" t="s">
        <v>8629</v>
      </c>
      <c r="H2801" s="41" t="s">
        <v>8630</v>
      </c>
      <c r="I2801" s="43">
        <v>12</v>
      </c>
      <c r="J2801" s="44" t="str">
        <f>VLOOKUP(G2801,[1]硬件清单!$F:$F,1,0)</f>
        <v>06ACPE7</v>
      </c>
      <c r="K2801" s="43"/>
      <c r="L2801" s="44"/>
      <c r="M2801" s="45" t="s">
        <v>8631</v>
      </c>
    </row>
    <row r="2802" s="26" customFormat="1" ht="30" customHeight="1" spans="1:13">
      <c r="A2802" s="41">
        <f>IF(C2802="","",SUBTOTAL(103,$C$2:C2802))</f>
        <v>2793</v>
      </c>
      <c r="B2802" s="41">
        <v>10770</v>
      </c>
      <c r="C2802" s="41">
        <v>6045</v>
      </c>
      <c r="D2802" s="41" t="s">
        <v>45</v>
      </c>
      <c r="E2802" s="41" t="s">
        <v>1298</v>
      </c>
      <c r="F2802" s="41" t="s">
        <v>7734</v>
      </c>
      <c r="G2802" s="41" t="s">
        <v>8632</v>
      </c>
      <c r="H2802" s="41" t="s">
        <v>8633</v>
      </c>
      <c r="I2802" s="43">
        <v>12</v>
      </c>
      <c r="J2802" s="44" t="str">
        <f>VLOOKUP(G2802,[1]硬件清单!$F:$F,1,0)</f>
        <v>06ACPV1</v>
      </c>
      <c r="K2802" s="43"/>
      <c r="L2802" s="44"/>
      <c r="M2802" s="45" t="s">
        <v>8634</v>
      </c>
    </row>
    <row r="2803" s="26" customFormat="1" ht="30" customHeight="1" spans="1:13">
      <c r="A2803" s="41">
        <f>IF(C2803="","",SUBTOTAL(103,$C$2:C2803))</f>
        <v>2794</v>
      </c>
      <c r="B2803" s="41">
        <v>10771</v>
      </c>
      <c r="C2803" s="41">
        <v>6051</v>
      </c>
      <c r="D2803" s="41" t="s">
        <v>45</v>
      </c>
      <c r="E2803" s="41" t="s">
        <v>1298</v>
      </c>
      <c r="F2803" s="41" t="s">
        <v>7734</v>
      </c>
      <c r="G2803" s="41" t="s">
        <v>8635</v>
      </c>
      <c r="H2803" s="41" t="s">
        <v>8636</v>
      </c>
      <c r="I2803" s="43">
        <v>12</v>
      </c>
      <c r="J2803" s="44" t="str">
        <f>VLOOKUP(G2803,[1]硬件清单!$F:$F,1,0)</f>
        <v>06ACNY4</v>
      </c>
      <c r="K2803" s="43"/>
      <c r="L2803" s="44"/>
      <c r="M2803" s="45" t="s">
        <v>8637</v>
      </c>
    </row>
    <row r="2804" s="26" customFormat="1" ht="30" customHeight="1" spans="1:13">
      <c r="A2804" s="41">
        <f>IF(C2804="","",SUBTOTAL(103,$C$2:C2804))</f>
        <v>2795</v>
      </c>
      <c r="B2804" s="41">
        <v>10772</v>
      </c>
      <c r="C2804" s="41">
        <v>6060</v>
      </c>
      <c r="D2804" s="41" t="s">
        <v>45</v>
      </c>
      <c r="E2804" s="41" t="s">
        <v>1298</v>
      </c>
      <c r="F2804" s="41" t="s">
        <v>7734</v>
      </c>
      <c r="G2804" s="41" t="s">
        <v>8638</v>
      </c>
      <c r="H2804" s="41" t="s">
        <v>8639</v>
      </c>
      <c r="I2804" s="43">
        <v>12</v>
      </c>
      <c r="J2804" s="44" t="str">
        <f>VLOOKUP(G2804,[1]硬件清单!$F:$F,1,0)</f>
        <v>06ACPV2</v>
      </c>
      <c r="K2804" s="43"/>
      <c r="L2804" s="44"/>
      <c r="M2804" s="45" t="s">
        <v>8640</v>
      </c>
    </row>
    <row r="2805" s="26" customFormat="1" ht="30" customHeight="1" spans="1:13">
      <c r="A2805" s="41">
        <f>IF(C2805="","",SUBTOTAL(103,$C$2:C2805))</f>
        <v>2796</v>
      </c>
      <c r="B2805" s="41">
        <v>10773</v>
      </c>
      <c r="C2805" s="41">
        <v>6061</v>
      </c>
      <c r="D2805" s="41" t="s">
        <v>45</v>
      </c>
      <c r="E2805" s="41" t="s">
        <v>1298</v>
      </c>
      <c r="F2805" s="41" t="s">
        <v>7734</v>
      </c>
      <c r="G2805" s="41" t="s">
        <v>8641</v>
      </c>
      <c r="H2805" s="41" t="s">
        <v>8642</v>
      </c>
      <c r="I2805" s="43">
        <v>12</v>
      </c>
      <c r="J2805" s="44" t="str">
        <f>VLOOKUP(G2805,[1]硬件清单!$F:$F,1,0)</f>
        <v>06ACPA1</v>
      </c>
      <c r="K2805" s="43"/>
      <c r="L2805" s="44"/>
      <c r="M2805" s="45" t="s">
        <v>8643</v>
      </c>
    </row>
    <row r="2806" s="26" customFormat="1" ht="30" customHeight="1" spans="1:13">
      <c r="A2806" s="41">
        <f>IF(C2806="","",SUBTOTAL(103,$C$2:C2806))</f>
        <v>2797</v>
      </c>
      <c r="B2806" s="41">
        <v>10774</v>
      </c>
      <c r="C2806" s="41">
        <v>6062</v>
      </c>
      <c r="D2806" s="41" t="s">
        <v>45</v>
      </c>
      <c r="E2806" s="41" t="s">
        <v>1298</v>
      </c>
      <c r="F2806" s="41" t="s">
        <v>7734</v>
      </c>
      <c r="G2806" s="41" t="s">
        <v>8644</v>
      </c>
      <c r="H2806" s="41" t="s">
        <v>8645</v>
      </c>
      <c r="I2806" s="43">
        <v>12</v>
      </c>
      <c r="J2806" s="44" t="str">
        <f>VLOOKUP(G2806,[1]硬件清单!$F:$F,1,0)</f>
        <v>06ACNV0</v>
      </c>
      <c r="K2806" s="43"/>
      <c r="L2806" s="44"/>
      <c r="M2806" s="45" t="s">
        <v>8646</v>
      </c>
    </row>
    <row r="2807" s="26" customFormat="1" ht="30" customHeight="1" spans="1:13">
      <c r="A2807" s="41">
        <f>IF(C2807="","",SUBTOTAL(103,$C$2:C2807))</f>
        <v>2798</v>
      </c>
      <c r="B2807" s="41">
        <v>10775</v>
      </c>
      <c r="C2807" s="41">
        <v>6063</v>
      </c>
      <c r="D2807" s="41" t="s">
        <v>45</v>
      </c>
      <c r="E2807" s="41" t="s">
        <v>1298</v>
      </c>
      <c r="F2807" s="41" t="s">
        <v>7734</v>
      </c>
      <c r="G2807" s="41" t="s">
        <v>8647</v>
      </c>
      <c r="H2807" s="41" t="s">
        <v>8648</v>
      </c>
      <c r="I2807" s="43">
        <v>12</v>
      </c>
      <c r="J2807" s="44" t="str">
        <f>VLOOKUP(G2807,[1]硬件清单!$F:$F,1,0)</f>
        <v>06ACNW3</v>
      </c>
      <c r="K2807" s="43"/>
      <c r="L2807" s="44"/>
      <c r="M2807" s="45" t="s">
        <v>8649</v>
      </c>
    </row>
    <row r="2808" s="26" customFormat="1" ht="30" customHeight="1" spans="1:13">
      <c r="A2808" s="41">
        <f>IF(C2808="","",SUBTOTAL(103,$C$2:C2808))</f>
        <v>2799</v>
      </c>
      <c r="B2808" s="41">
        <v>10776</v>
      </c>
      <c r="C2808" s="41">
        <v>6064</v>
      </c>
      <c r="D2808" s="41" t="s">
        <v>45</v>
      </c>
      <c r="E2808" s="41" t="s">
        <v>1298</v>
      </c>
      <c r="F2808" s="41" t="s">
        <v>7734</v>
      </c>
      <c r="G2808" s="41" t="s">
        <v>8650</v>
      </c>
      <c r="H2808" s="41" t="s">
        <v>8651</v>
      </c>
      <c r="I2808" s="43">
        <v>12</v>
      </c>
      <c r="J2808" s="44" t="str">
        <f>VLOOKUP(G2808,[1]硬件清单!$F:$F,1,0)</f>
        <v>06ACNR0</v>
      </c>
      <c r="K2808" s="43"/>
      <c r="L2808" s="44"/>
      <c r="M2808" s="45" t="s">
        <v>8652</v>
      </c>
    </row>
    <row r="2809" s="26" customFormat="1" ht="30" customHeight="1" spans="1:13">
      <c r="A2809" s="41">
        <f>IF(C2809="","",SUBTOTAL(103,$C$2:C2809))</f>
        <v>2800</v>
      </c>
      <c r="B2809" s="41">
        <v>10777</v>
      </c>
      <c r="C2809" s="41">
        <v>6052</v>
      </c>
      <c r="D2809" s="41" t="s">
        <v>45</v>
      </c>
      <c r="E2809" s="41" t="s">
        <v>1298</v>
      </c>
      <c r="F2809" s="41" t="s">
        <v>7734</v>
      </c>
      <c r="G2809" s="41" t="s">
        <v>8653</v>
      </c>
      <c r="H2809" s="41" t="s">
        <v>8654</v>
      </c>
      <c r="I2809" s="43">
        <v>12</v>
      </c>
      <c r="J2809" s="44" t="str">
        <f>VLOOKUP(G2809,[1]硬件清单!$F:$F,1,0)</f>
        <v>06ACNT1</v>
      </c>
      <c r="K2809" s="43"/>
      <c r="L2809" s="44"/>
      <c r="M2809" s="45" t="s">
        <v>8655</v>
      </c>
    </row>
    <row r="2810" s="26" customFormat="1" ht="30" customHeight="1" spans="1:13">
      <c r="A2810" s="41">
        <f>IF(C2810="","",SUBTOTAL(103,$C$2:C2810))</f>
        <v>2801</v>
      </c>
      <c r="B2810" s="41">
        <v>10778</v>
      </c>
      <c r="C2810" s="41">
        <v>6053</v>
      </c>
      <c r="D2810" s="41" t="s">
        <v>45</v>
      </c>
      <c r="E2810" s="41" t="s">
        <v>1298</v>
      </c>
      <c r="F2810" s="41" t="s">
        <v>7734</v>
      </c>
      <c r="G2810" s="41" t="s">
        <v>8656</v>
      </c>
      <c r="H2810" s="41" t="s">
        <v>8657</v>
      </c>
      <c r="I2810" s="43">
        <v>12</v>
      </c>
      <c r="J2810" s="44" t="str">
        <f>VLOOKUP(G2810,[1]硬件清单!$F:$F,1,0)</f>
        <v>06ACPB5</v>
      </c>
      <c r="K2810" s="43"/>
      <c r="L2810" s="44"/>
      <c r="M2810" s="45" t="s">
        <v>8658</v>
      </c>
    </row>
    <row r="2811" s="26" customFormat="1" ht="30" customHeight="1" spans="1:13">
      <c r="A2811" s="41">
        <f>IF(C2811="","",SUBTOTAL(103,$C$2:C2811))</f>
        <v>2802</v>
      </c>
      <c r="B2811" s="41">
        <v>10779</v>
      </c>
      <c r="C2811" s="41">
        <v>6054</v>
      </c>
      <c r="D2811" s="41" t="s">
        <v>45</v>
      </c>
      <c r="E2811" s="41" t="s">
        <v>1298</v>
      </c>
      <c r="F2811" s="41" t="s">
        <v>7734</v>
      </c>
      <c r="G2811" s="41" t="s">
        <v>8659</v>
      </c>
      <c r="H2811" s="41" t="s">
        <v>8660</v>
      </c>
      <c r="I2811" s="43">
        <v>12</v>
      </c>
      <c r="J2811" s="44" t="str">
        <f>VLOOKUP(G2811,[1]硬件清单!$F:$F,1,0)</f>
        <v>06ACPG9</v>
      </c>
      <c r="K2811" s="43"/>
      <c r="L2811" s="44"/>
      <c r="M2811" s="45" t="s">
        <v>8661</v>
      </c>
    </row>
    <row r="2812" s="26" customFormat="1" ht="30" customHeight="1" spans="1:13">
      <c r="A2812" s="41">
        <f>IF(C2812="","",SUBTOTAL(103,$C$2:C2812))</f>
        <v>2803</v>
      </c>
      <c r="B2812" s="41">
        <v>10780</v>
      </c>
      <c r="C2812" s="41">
        <v>6055</v>
      </c>
      <c r="D2812" s="41" t="s">
        <v>45</v>
      </c>
      <c r="E2812" s="41" t="s">
        <v>1298</v>
      </c>
      <c r="F2812" s="41" t="s">
        <v>7734</v>
      </c>
      <c r="G2812" s="41" t="s">
        <v>8662</v>
      </c>
      <c r="H2812" s="41" t="s">
        <v>8663</v>
      </c>
      <c r="I2812" s="43">
        <v>12</v>
      </c>
      <c r="J2812" s="44" t="str">
        <f>VLOOKUP(G2812,[1]硬件清单!$F:$F,1,0)</f>
        <v>06ACNT0</v>
      </c>
      <c r="K2812" s="43"/>
      <c r="L2812" s="44"/>
      <c r="M2812" s="45" t="s">
        <v>8664</v>
      </c>
    </row>
    <row r="2813" s="26" customFormat="1" ht="30" customHeight="1" spans="1:13">
      <c r="A2813" s="41">
        <f>IF(C2813="","",SUBTOTAL(103,$C$2:C2813))</f>
        <v>2804</v>
      </c>
      <c r="B2813" s="41">
        <v>10781</v>
      </c>
      <c r="C2813" s="41">
        <v>6056</v>
      </c>
      <c r="D2813" s="41" t="s">
        <v>45</v>
      </c>
      <c r="E2813" s="41" t="s">
        <v>1298</v>
      </c>
      <c r="F2813" s="41" t="s">
        <v>7734</v>
      </c>
      <c r="G2813" s="41" t="s">
        <v>8665</v>
      </c>
      <c r="H2813" s="41" t="s">
        <v>8666</v>
      </c>
      <c r="I2813" s="43">
        <v>12</v>
      </c>
      <c r="J2813" s="44" t="str">
        <f>VLOOKUP(G2813,[1]硬件清单!$F:$F,1,0)</f>
        <v>06ACPC1</v>
      </c>
      <c r="K2813" s="43"/>
      <c r="L2813" s="44"/>
      <c r="M2813" s="45" t="s">
        <v>8667</v>
      </c>
    </row>
    <row r="2814" s="26" customFormat="1" ht="30" customHeight="1" spans="1:13">
      <c r="A2814" s="41">
        <f>IF(C2814="","",SUBTOTAL(103,$C$2:C2814))</f>
        <v>2805</v>
      </c>
      <c r="B2814" s="41">
        <v>10782</v>
      </c>
      <c r="C2814" s="41">
        <v>6057</v>
      </c>
      <c r="D2814" s="41" t="s">
        <v>45</v>
      </c>
      <c r="E2814" s="41" t="s">
        <v>1298</v>
      </c>
      <c r="F2814" s="41" t="s">
        <v>7734</v>
      </c>
      <c r="G2814" s="41" t="s">
        <v>8668</v>
      </c>
      <c r="H2814" s="41" t="s">
        <v>8669</v>
      </c>
      <c r="I2814" s="43">
        <v>12</v>
      </c>
      <c r="J2814" s="44" t="str">
        <f>VLOOKUP(G2814,[1]硬件清单!$F:$F,1,0)</f>
        <v>06ACNR4</v>
      </c>
      <c r="K2814" s="43"/>
      <c r="L2814" s="44"/>
      <c r="M2814" s="45" t="s">
        <v>8670</v>
      </c>
    </row>
    <row r="2815" s="26" customFormat="1" ht="30" customHeight="1" spans="1:13">
      <c r="A2815" s="41">
        <f>IF(C2815="","",SUBTOTAL(103,$C$2:C2815))</f>
        <v>2806</v>
      </c>
      <c r="B2815" s="41">
        <v>10783</v>
      </c>
      <c r="C2815" s="41">
        <v>6058</v>
      </c>
      <c r="D2815" s="41" t="s">
        <v>45</v>
      </c>
      <c r="E2815" s="41" t="s">
        <v>1298</v>
      </c>
      <c r="F2815" s="41" t="s">
        <v>7734</v>
      </c>
      <c r="G2815" s="41" t="s">
        <v>8671</v>
      </c>
      <c r="H2815" s="41" t="s">
        <v>8672</v>
      </c>
      <c r="I2815" s="43">
        <v>12</v>
      </c>
      <c r="J2815" s="44" t="str">
        <f>VLOOKUP(G2815,[1]硬件清单!$F:$F,1,0)</f>
        <v>06ACNP9</v>
      </c>
      <c r="K2815" s="43"/>
      <c r="L2815" s="44"/>
      <c r="M2815" s="45" t="s">
        <v>8673</v>
      </c>
    </row>
    <row r="2816" s="26" customFormat="1" ht="30" customHeight="1" spans="1:13">
      <c r="A2816" s="41">
        <f>IF(C2816="","",SUBTOTAL(103,$C$2:C2816))</f>
        <v>2807</v>
      </c>
      <c r="B2816" s="41">
        <v>10784</v>
      </c>
      <c r="C2816" s="41">
        <v>6059</v>
      </c>
      <c r="D2816" s="41" t="s">
        <v>45</v>
      </c>
      <c r="E2816" s="41" t="s">
        <v>1298</v>
      </c>
      <c r="F2816" s="41" t="s">
        <v>7734</v>
      </c>
      <c r="G2816" s="41" t="s">
        <v>8674</v>
      </c>
      <c r="H2816" s="41" t="s">
        <v>8675</v>
      </c>
      <c r="I2816" s="43">
        <v>12</v>
      </c>
      <c r="J2816" s="44" t="str">
        <f>VLOOKUP(G2816,[1]硬件清单!$F:$F,1,0)</f>
        <v>06ACPP6</v>
      </c>
      <c r="K2816" s="43"/>
      <c r="L2816" s="44"/>
      <c r="M2816" s="45" t="s">
        <v>8676</v>
      </c>
    </row>
    <row r="2817" s="26" customFormat="1" ht="30" customHeight="1" spans="1:13">
      <c r="A2817" s="41">
        <f>IF(C2817="","",SUBTOTAL(103,$C$2:C2817))</f>
        <v>2808</v>
      </c>
      <c r="B2817" s="41">
        <v>10785</v>
      </c>
      <c r="C2817" s="41">
        <v>6065</v>
      </c>
      <c r="D2817" s="41" t="s">
        <v>45</v>
      </c>
      <c r="E2817" s="41" t="s">
        <v>1298</v>
      </c>
      <c r="F2817" s="41" t="s">
        <v>7734</v>
      </c>
      <c r="G2817" s="41" t="s">
        <v>8677</v>
      </c>
      <c r="H2817" s="41" t="s">
        <v>8678</v>
      </c>
      <c r="I2817" s="43">
        <v>12</v>
      </c>
      <c r="J2817" s="44" t="str">
        <f>VLOOKUP(G2817,[1]硬件清单!$F:$F,1,0)</f>
        <v>06ACPX8</v>
      </c>
      <c r="K2817" s="43"/>
      <c r="L2817" s="44"/>
      <c r="M2817" s="45" t="s">
        <v>8679</v>
      </c>
    </row>
    <row r="2818" s="26" customFormat="1" ht="30" customHeight="1" spans="1:13">
      <c r="A2818" s="41">
        <f>IF(C2818="","",SUBTOTAL(103,$C$2:C2818))</f>
        <v>2809</v>
      </c>
      <c r="B2818" s="41">
        <v>10786</v>
      </c>
      <c r="C2818" s="41">
        <v>6074</v>
      </c>
      <c r="D2818" s="41" t="s">
        <v>45</v>
      </c>
      <c r="E2818" s="41" t="s">
        <v>1298</v>
      </c>
      <c r="F2818" s="41" t="s">
        <v>7734</v>
      </c>
      <c r="G2818" s="41" t="s">
        <v>8680</v>
      </c>
      <c r="H2818" s="41" t="s">
        <v>8681</v>
      </c>
      <c r="I2818" s="43">
        <v>12</v>
      </c>
      <c r="J2818" s="44" t="str">
        <f>VLOOKUP(G2818,[1]硬件清单!$F:$F,1,0)</f>
        <v>06ACPP4</v>
      </c>
      <c r="K2818" s="43"/>
      <c r="L2818" s="44"/>
      <c r="M2818" s="45" t="s">
        <v>8682</v>
      </c>
    </row>
    <row r="2819" s="26" customFormat="1" ht="30" customHeight="1" spans="1:13">
      <c r="A2819" s="41">
        <f>IF(C2819="","",SUBTOTAL(103,$C$2:C2819))</f>
        <v>2810</v>
      </c>
      <c r="B2819" s="41">
        <v>10787</v>
      </c>
      <c r="C2819" s="41">
        <v>6075</v>
      </c>
      <c r="D2819" s="41" t="s">
        <v>45</v>
      </c>
      <c r="E2819" s="41" t="s">
        <v>1298</v>
      </c>
      <c r="F2819" s="41" t="s">
        <v>7734</v>
      </c>
      <c r="G2819" s="41" t="s">
        <v>8683</v>
      </c>
      <c r="H2819" s="41" t="s">
        <v>8684</v>
      </c>
      <c r="I2819" s="43">
        <v>12</v>
      </c>
      <c r="J2819" s="44" t="str">
        <f>VLOOKUP(G2819,[1]硬件清单!$F:$F,1,0)</f>
        <v>06ACNM2</v>
      </c>
      <c r="K2819" s="43"/>
      <c r="L2819" s="44"/>
      <c r="M2819" s="45" t="s">
        <v>8685</v>
      </c>
    </row>
    <row r="2820" s="26" customFormat="1" ht="30" customHeight="1" spans="1:13">
      <c r="A2820" s="41">
        <f>IF(C2820="","",SUBTOTAL(103,$C$2:C2820))</f>
        <v>2811</v>
      </c>
      <c r="B2820" s="41">
        <v>10788</v>
      </c>
      <c r="C2820" s="41">
        <v>6076</v>
      </c>
      <c r="D2820" s="41" t="s">
        <v>45</v>
      </c>
      <c r="E2820" s="41" t="s">
        <v>1298</v>
      </c>
      <c r="F2820" s="41" t="s">
        <v>7734</v>
      </c>
      <c r="G2820" s="41" t="s">
        <v>8686</v>
      </c>
      <c r="H2820" s="41" t="s">
        <v>8687</v>
      </c>
      <c r="I2820" s="43">
        <v>12</v>
      </c>
      <c r="J2820" s="44" t="str">
        <f>VLOOKUP(G2820,[1]硬件清单!$F:$F,1,0)</f>
        <v>06ACNY5</v>
      </c>
      <c r="K2820" s="43"/>
      <c r="L2820" s="44"/>
      <c r="M2820" s="45" t="s">
        <v>8688</v>
      </c>
    </row>
    <row r="2821" s="26" customFormat="1" ht="30" customHeight="1" spans="1:13">
      <c r="A2821" s="41">
        <f>IF(C2821="","",SUBTOTAL(103,$C$2:C2821))</f>
        <v>2812</v>
      </c>
      <c r="B2821" s="41">
        <v>10789</v>
      </c>
      <c r="C2821" s="41">
        <v>6077</v>
      </c>
      <c r="D2821" s="41" t="s">
        <v>45</v>
      </c>
      <c r="E2821" s="41" t="s">
        <v>1298</v>
      </c>
      <c r="F2821" s="41" t="s">
        <v>7734</v>
      </c>
      <c r="G2821" s="41" t="s">
        <v>8689</v>
      </c>
      <c r="H2821" s="41" t="s">
        <v>8690</v>
      </c>
      <c r="I2821" s="43">
        <v>12</v>
      </c>
      <c r="J2821" s="44" t="str">
        <f>VLOOKUP(G2821,[1]硬件清单!$F:$F,1,0)</f>
        <v>06ACNM9</v>
      </c>
      <c r="K2821" s="43"/>
      <c r="L2821" s="44"/>
      <c r="M2821" s="45" t="s">
        <v>8691</v>
      </c>
    </row>
    <row r="2822" s="26" customFormat="1" ht="30" customHeight="1" spans="1:13">
      <c r="A2822" s="41">
        <f>IF(C2822="","",SUBTOTAL(103,$C$2:C2822))</f>
        <v>2813</v>
      </c>
      <c r="B2822" s="41">
        <v>10790</v>
      </c>
      <c r="C2822" s="41">
        <v>6078</v>
      </c>
      <c r="D2822" s="41" t="s">
        <v>45</v>
      </c>
      <c r="E2822" s="41" t="s">
        <v>1298</v>
      </c>
      <c r="F2822" s="41" t="s">
        <v>7734</v>
      </c>
      <c r="G2822" s="41" t="s">
        <v>8692</v>
      </c>
      <c r="H2822" s="41" t="s">
        <v>8693</v>
      </c>
      <c r="I2822" s="43">
        <v>12</v>
      </c>
      <c r="J2822" s="44" t="str">
        <f>VLOOKUP(G2822,[1]硬件清单!$F:$F,1,0)</f>
        <v>06ACPL8</v>
      </c>
      <c r="K2822" s="43"/>
      <c r="L2822" s="44"/>
      <c r="M2822" s="45" t="s">
        <v>8694</v>
      </c>
    </row>
    <row r="2823" s="26" customFormat="1" ht="30" customHeight="1" spans="1:13">
      <c r="A2823" s="41">
        <f>IF(C2823="","",SUBTOTAL(103,$C$2:C2823))</f>
        <v>2814</v>
      </c>
      <c r="B2823" s="41">
        <v>10791</v>
      </c>
      <c r="C2823" s="41">
        <v>6066</v>
      </c>
      <c r="D2823" s="41" t="s">
        <v>45</v>
      </c>
      <c r="E2823" s="41" t="s">
        <v>1298</v>
      </c>
      <c r="F2823" s="41" t="s">
        <v>7734</v>
      </c>
      <c r="G2823" s="41" t="s">
        <v>8695</v>
      </c>
      <c r="H2823" s="41" t="s">
        <v>8696</v>
      </c>
      <c r="I2823" s="43">
        <v>12</v>
      </c>
      <c r="J2823" s="44" t="str">
        <f>VLOOKUP(G2823,[1]硬件清单!$F:$F,1,0)</f>
        <v>06ACPL5</v>
      </c>
      <c r="K2823" s="43"/>
      <c r="L2823" s="44"/>
      <c r="M2823" s="45" t="s">
        <v>8697</v>
      </c>
    </row>
    <row r="2824" s="26" customFormat="1" ht="30" customHeight="1" spans="1:13">
      <c r="A2824" s="41">
        <f>IF(C2824="","",SUBTOTAL(103,$C$2:C2824))</f>
        <v>2815</v>
      </c>
      <c r="B2824" s="41">
        <v>10792</v>
      </c>
      <c r="C2824" s="41">
        <v>6067</v>
      </c>
      <c r="D2824" s="41" t="s">
        <v>45</v>
      </c>
      <c r="E2824" s="41" t="s">
        <v>1298</v>
      </c>
      <c r="F2824" s="41" t="s">
        <v>7734</v>
      </c>
      <c r="G2824" s="41" t="s">
        <v>8698</v>
      </c>
      <c r="H2824" s="41" t="s">
        <v>8699</v>
      </c>
      <c r="I2824" s="43">
        <v>12</v>
      </c>
      <c r="J2824" s="44" t="str">
        <f>VLOOKUP(G2824,[1]硬件清单!$F:$F,1,0)</f>
        <v>06ACPP5</v>
      </c>
      <c r="K2824" s="43"/>
      <c r="L2824" s="44"/>
      <c r="M2824" s="45" t="s">
        <v>8700</v>
      </c>
    </row>
    <row r="2825" s="26" customFormat="1" ht="30" customHeight="1" spans="1:13">
      <c r="A2825" s="41">
        <f>IF(C2825="","",SUBTOTAL(103,$C$2:C2825))</f>
        <v>2816</v>
      </c>
      <c r="B2825" s="41">
        <v>10793</v>
      </c>
      <c r="C2825" s="41">
        <v>6068</v>
      </c>
      <c r="D2825" s="41" t="s">
        <v>45</v>
      </c>
      <c r="E2825" s="41" t="s">
        <v>1298</v>
      </c>
      <c r="F2825" s="41" t="s">
        <v>7734</v>
      </c>
      <c r="G2825" s="41" t="s">
        <v>8701</v>
      </c>
      <c r="H2825" s="41" t="s">
        <v>8702</v>
      </c>
      <c r="I2825" s="43">
        <v>12</v>
      </c>
      <c r="J2825" s="44" t="str">
        <f>VLOOKUP(G2825,[1]硬件清单!$F:$F,1,0)</f>
        <v>06ACPP9</v>
      </c>
      <c r="K2825" s="43"/>
      <c r="L2825" s="44"/>
      <c r="M2825" s="45" t="s">
        <v>8703</v>
      </c>
    </row>
    <row r="2826" s="26" customFormat="1" ht="30" customHeight="1" spans="1:13">
      <c r="A2826" s="41">
        <f>IF(C2826="","",SUBTOTAL(103,$C$2:C2826))</f>
        <v>2817</v>
      </c>
      <c r="B2826" s="41">
        <v>10794</v>
      </c>
      <c r="C2826" s="41">
        <v>6069</v>
      </c>
      <c r="D2826" s="41" t="s">
        <v>45</v>
      </c>
      <c r="E2826" s="41" t="s">
        <v>1298</v>
      </c>
      <c r="F2826" s="41" t="s">
        <v>7734</v>
      </c>
      <c r="G2826" s="41" t="s">
        <v>8704</v>
      </c>
      <c r="H2826" s="41" t="s">
        <v>8705</v>
      </c>
      <c r="I2826" s="43">
        <v>12</v>
      </c>
      <c r="J2826" s="44" t="str">
        <f>VLOOKUP(G2826,[1]硬件清单!$F:$F,1,0)</f>
        <v>06ACPV8</v>
      </c>
      <c r="K2826" s="43"/>
      <c r="L2826" s="44"/>
      <c r="M2826" s="45" t="s">
        <v>8706</v>
      </c>
    </row>
    <row r="2827" s="26" customFormat="1" ht="30" customHeight="1" spans="1:13">
      <c r="A2827" s="41">
        <f>IF(C2827="","",SUBTOTAL(103,$C$2:C2827))</f>
        <v>2818</v>
      </c>
      <c r="B2827" s="41">
        <v>10795</v>
      </c>
      <c r="C2827" s="41">
        <v>6070</v>
      </c>
      <c r="D2827" s="41" t="s">
        <v>45</v>
      </c>
      <c r="E2827" s="41" t="s">
        <v>1298</v>
      </c>
      <c r="F2827" s="41" t="s">
        <v>7734</v>
      </c>
      <c r="G2827" s="41" t="s">
        <v>8707</v>
      </c>
      <c r="H2827" s="41" t="s">
        <v>8708</v>
      </c>
      <c r="I2827" s="43">
        <v>12</v>
      </c>
      <c r="J2827" s="44" t="str">
        <f>VLOOKUP(G2827,[1]硬件清单!$F:$F,1,0)</f>
        <v>06ACPR7</v>
      </c>
      <c r="K2827" s="43"/>
      <c r="L2827" s="44"/>
      <c r="M2827" s="45" t="s">
        <v>8709</v>
      </c>
    </row>
    <row r="2828" s="26" customFormat="1" ht="30" customHeight="1" spans="1:13">
      <c r="A2828" s="41">
        <f>IF(C2828="","",SUBTOTAL(103,$C$2:C2828))</f>
        <v>2819</v>
      </c>
      <c r="B2828" s="41">
        <v>10796</v>
      </c>
      <c r="C2828" s="41">
        <v>6071</v>
      </c>
      <c r="D2828" s="41" t="s">
        <v>45</v>
      </c>
      <c r="E2828" s="41" t="s">
        <v>1298</v>
      </c>
      <c r="F2828" s="41" t="s">
        <v>7734</v>
      </c>
      <c r="G2828" s="41" t="s">
        <v>8710</v>
      </c>
      <c r="H2828" s="41" t="s">
        <v>8711</v>
      </c>
      <c r="I2828" s="43">
        <v>12</v>
      </c>
      <c r="J2828" s="44" t="str">
        <f>VLOOKUP(G2828,[1]硬件清单!$F:$F,1,0)</f>
        <v>06ACPC4</v>
      </c>
      <c r="K2828" s="43"/>
      <c r="L2828" s="44"/>
      <c r="M2828" s="45" t="s">
        <v>8712</v>
      </c>
    </row>
    <row r="2829" s="26" customFormat="1" ht="30" customHeight="1" spans="1:13">
      <c r="A2829" s="41">
        <f>IF(C2829="","",SUBTOTAL(103,$C$2:C2829))</f>
        <v>2820</v>
      </c>
      <c r="B2829" s="41">
        <v>10797</v>
      </c>
      <c r="C2829" s="41">
        <v>6072</v>
      </c>
      <c r="D2829" s="41" t="s">
        <v>45</v>
      </c>
      <c r="E2829" s="41" t="s">
        <v>1298</v>
      </c>
      <c r="F2829" s="41" t="s">
        <v>7734</v>
      </c>
      <c r="G2829" s="41" t="s">
        <v>8713</v>
      </c>
      <c r="H2829" s="41" t="s">
        <v>8714</v>
      </c>
      <c r="I2829" s="43">
        <v>12</v>
      </c>
      <c r="J2829" s="44" t="str">
        <f>VLOOKUP(G2829,[1]硬件清单!$F:$F,1,0)</f>
        <v>06ACPZ2</v>
      </c>
      <c r="K2829" s="43"/>
      <c r="L2829" s="44"/>
      <c r="M2829" s="45" t="s">
        <v>8715</v>
      </c>
    </row>
    <row r="2830" s="26" customFormat="1" ht="30" customHeight="1" spans="1:13">
      <c r="A2830" s="41">
        <f>IF(C2830="","",SUBTOTAL(103,$C$2:C2830))</f>
        <v>2821</v>
      </c>
      <c r="B2830" s="41">
        <v>10798</v>
      </c>
      <c r="C2830" s="41">
        <v>6073</v>
      </c>
      <c r="D2830" s="41" t="s">
        <v>45</v>
      </c>
      <c r="E2830" s="41" t="s">
        <v>1298</v>
      </c>
      <c r="F2830" s="41" t="s">
        <v>7734</v>
      </c>
      <c r="G2830" s="41" t="s">
        <v>8716</v>
      </c>
      <c r="H2830" s="41" t="s">
        <v>8717</v>
      </c>
      <c r="I2830" s="43">
        <v>12</v>
      </c>
      <c r="J2830" s="44" t="str">
        <f>VLOOKUP(G2830,[1]硬件清单!$F:$F,1,0)</f>
        <v>06ACPR4</v>
      </c>
      <c r="K2830" s="43"/>
      <c r="L2830" s="44"/>
      <c r="M2830" s="45" t="s">
        <v>8718</v>
      </c>
    </row>
    <row r="2831" s="26" customFormat="1" ht="30" customHeight="1" spans="1:13">
      <c r="A2831" s="41">
        <f>IF(C2831="","",SUBTOTAL(103,$C$2:C2831))</f>
        <v>2822</v>
      </c>
      <c r="B2831" s="41">
        <v>10799</v>
      </c>
      <c r="C2831" s="41">
        <v>6778</v>
      </c>
      <c r="D2831" s="41" t="s">
        <v>45</v>
      </c>
      <c r="E2831" s="41" t="s">
        <v>1298</v>
      </c>
      <c r="F2831" s="41" t="s">
        <v>8426</v>
      </c>
      <c r="G2831" s="41" t="s">
        <v>8719</v>
      </c>
      <c r="H2831" s="41" t="s">
        <v>8720</v>
      </c>
      <c r="I2831" s="43">
        <v>12</v>
      </c>
      <c r="J2831" s="44" t="str">
        <f>VLOOKUP(G2831,[1]硬件清单!$F:$F,1,0)</f>
        <v>06XNAK6</v>
      </c>
      <c r="K2831" s="43"/>
      <c r="L2831" s="44"/>
      <c r="M2831" s="45" t="s">
        <v>8721</v>
      </c>
    </row>
    <row r="2832" s="26" customFormat="1" ht="30" customHeight="1" spans="1:13">
      <c r="A2832" s="41">
        <f>IF(C2832="","",SUBTOTAL(103,$C$2:C2832))</f>
        <v>2823</v>
      </c>
      <c r="B2832" s="41">
        <v>10800</v>
      </c>
      <c r="C2832" s="41">
        <v>6780</v>
      </c>
      <c r="D2832" s="41" t="s">
        <v>45</v>
      </c>
      <c r="E2832" s="41" t="s">
        <v>1298</v>
      </c>
      <c r="F2832" s="41" t="s">
        <v>8426</v>
      </c>
      <c r="G2832" s="41" t="s">
        <v>8722</v>
      </c>
      <c r="H2832" s="41" t="s">
        <v>8723</v>
      </c>
      <c r="I2832" s="43">
        <v>12</v>
      </c>
      <c r="J2832" s="44" t="str">
        <f>VLOOKUP(G2832,[1]硬件清单!$F:$F,1,0)</f>
        <v>06XNAL8</v>
      </c>
      <c r="K2832" s="43"/>
      <c r="L2832" s="44"/>
      <c r="M2832" s="45" t="s">
        <v>8724</v>
      </c>
    </row>
    <row r="2833" s="26" customFormat="1" ht="30" customHeight="1" spans="1:13">
      <c r="A2833" s="41">
        <f>IF(C2833="","",SUBTOTAL(103,$C$2:C2833))</f>
        <v>2824</v>
      </c>
      <c r="B2833" s="41">
        <v>10801</v>
      </c>
      <c r="C2833" s="41">
        <v>6773</v>
      </c>
      <c r="D2833" s="41" t="s">
        <v>45</v>
      </c>
      <c r="E2833" s="41" t="s">
        <v>1298</v>
      </c>
      <c r="F2833" s="41" t="s">
        <v>8426</v>
      </c>
      <c r="G2833" s="41" t="s">
        <v>8725</v>
      </c>
      <c r="H2833" s="41" t="s">
        <v>8726</v>
      </c>
      <c r="I2833" s="43">
        <v>12</v>
      </c>
      <c r="J2833" s="44" t="str">
        <f>VLOOKUP(G2833,[1]硬件清单!$F:$F,1,0)</f>
        <v>06XNAH9</v>
      </c>
      <c r="K2833" s="43"/>
      <c r="L2833" s="44"/>
      <c r="M2833" s="45" t="s">
        <v>8727</v>
      </c>
    </row>
    <row r="2834" s="26" customFormat="1" ht="30" customHeight="1" spans="1:13">
      <c r="A2834" s="41">
        <f>IF(C2834="","",SUBTOTAL(103,$C$2:C2834))</f>
        <v>2825</v>
      </c>
      <c r="B2834" s="41">
        <v>10802</v>
      </c>
      <c r="C2834" s="41">
        <v>6779</v>
      </c>
      <c r="D2834" s="41" t="s">
        <v>45</v>
      </c>
      <c r="E2834" s="41" t="s">
        <v>1298</v>
      </c>
      <c r="F2834" s="41" t="s">
        <v>8426</v>
      </c>
      <c r="G2834" s="41" t="s">
        <v>8728</v>
      </c>
      <c r="H2834" s="41" t="s">
        <v>8729</v>
      </c>
      <c r="I2834" s="43">
        <v>12</v>
      </c>
      <c r="J2834" s="44" t="str">
        <f>VLOOKUP(G2834,[1]硬件清单!$F:$F,1,0)</f>
        <v>06XNAH6</v>
      </c>
      <c r="K2834" s="43"/>
      <c r="L2834" s="44"/>
      <c r="M2834" s="45" t="s">
        <v>8730</v>
      </c>
    </row>
    <row r="2835" s="26" customFormat="1" ht="30" customHeight="1" spans="1:13">
      <c r="A2835" s="41">
        <f>IF(C2835="","",SUBTOTAL(103,$C$2:C2835))</f>
        <v>2826</v>
      </c>
      <c r="B2835" s="41">
        <v>10803</v>
      </c>
      <c r="C2835" s="41">
        <v>6784</v>
      </c>
      <c r="D2835" s="41" t="s">
        <v>45</v>
      </c>
      <c r="E2835" s="41" t="s">
        <v>1298</v>
      </c>
      <c r="F2835" s="41" t="s">
        <v>8426</v>
      </c>
      <c r="G2835" s="41" t="s">
        <v>8731</v>
      </c>
      <c r="H2835" s="41" t="s">
        <v>8732</v>
      </c>
      <c r="I2835" s="43">
        <v>12</v>
      </c>
      <c r="J2835" s="44" t="str">
        <f>VLOOKUP(G2835,[1]硬件清单!$F:$F,1,0)</f>
        <v>06XNAL7</v>
      </c>
      <c r="K2835" s="43"/>
      <c r="L2835" s="44"/>
      <c r="M2835" s="45" t="s">
        <v>8733</v>
      </c>
    </row>
    <row r="2836" s="26" customFormat="1" ht="30" customHeight="1" spans="1:13">
      <c r="A2836" s="41">
        <f>IF(C2836="","",SUBTOTAL(103,$C$2:C2836))</f>
        <v>2827</v>
      </c>
      <c r="B2836" s="41">
        <v>10804</v>
      </c>
      <c r="C2836" s="41">
        <v>6777</v>
      </c>
      <c r="D2836" s="41" t="s">
        <v>45</v>
      </c>
      <c r="E2836" s="41" t="s">
        <v>1298</v>
      </c>
      <c r="F2836" s="41" t="s">
        <v>8426</v>
      </c>
      <c r="G2836" s="41" t="s">
        <v>8734</v>
      </c>
      <c r="H2836" s="41" t="s">
        <v>8735</v>
      </c>
      <c r="I2836" s="43">
        <v>12</v>
      </c>
      <c r="J2836" s="44" t="str">
        <f>VLOOKUP(G2836,[1]硬件清单!$F:$F,1,0)</f>
        <v>06XNAK5</v>
      </c>
      <c r="K2836" s="43"/>
      <c r="L2836" s="44"/>
      <c r="M2836" s="45" t="s">
        <v>8736</v>
      </c>
    </row>
    <row r="2837" s="26" customFormat="1" ht="30" customHeight="1" spans="1:13">
      <c r="A2837" s="41">
        <f>IF(C2837="","",SUBTOTAL(103,$C$2:C2837))</f>
        <v>2828</v>
      </c>
      <c r="B2837" s="41">
        <v>10805</v>
      </c>
      <c r="C2837" s="41">
        <v>6783</v>
      </c>
      <c r="D2837" s="41" t="s">
        <v>45</v>
      </c>
      <c r="E2837" s="41" t="s">
        <v>1298</v>
      </c>
      <c r="F2837" s="41" t="s">
        <v>8426</v>
      </c>
      <c r="G2837" s="41" t="s">
        <v>8737</v>
      </c>
      <c r="H2837" s="41" t="s">
        <v>8738</v>
      </c>
      <c r="I2837" s="43">
        <v>12</v>
      </c>
      <c r="J2837" s="44" t="str">
        <f>VLOOKUP(G2837,[1]硬件清单!$F:$F,1,0)</f>
        <v>06XNAL6</v>
      </c>
      <c r="K2837" s="43"/>
      <c r="L2837" s="44"/>
      <c r="M2837" s="45" t="s">
        <v>8739</v>
      </c>
    </row>
    <row r="2838" s="26" customFormat="1" ht="30" customHeight="1" spans="1:13">
      <c r="A2838" s="41">
        <f>IF(C2838="","",SUBTOTAL(103,$C$2:C2838))</f>
        <v>2829</v>
      </c>
      <c r="B2838" s="41">
        <v>10806</v>
      </c>
      <c r="C2838" s="41">
        <v>6776</v>
      </c>
      <c r="D2838" s="41" t="s">
        <v>45</v>
      </c>
      <c r="E2838" s="41" t="s">
        <v>1298</v>
      </c>
      <c r="F2838" s="41" t="s">
        <v>8426</v>
      </c>
      <c r="G2838" s="41" t="s">
        <v>8740</v>
      </c>
      <c r="H2838" s="41" t="s">
        <v>8741</v>
      </c>
      <c r="I2838" s="43">
        <v>12</v>
      </c>
      <c r="J2838" s="44" t="str">
        <f>VLOOKUP(G2838,[1]硬件清单!$F:$F,1,0)</f>
        <v>06XNAL0</v>
      </c>
      <c r="K2838" s="43"/>
      <c r="L2838" s="44"/>
      <c r="M2838" s="45" t="s">
        <v>8742</v>
      </c>
    </row>
    <row r="2839" s="26" customFormat="1" ht="30" customHeight="1" spans="1:13">
      <c r="A2839" s="41">
        <f>IF(C2839="","",SUBTOTAL(103,$C$2:C2839))</f>
        <v>2830</v>
      </c>
      <c r="B2839" s="41">
        <v>10807</v>
      </c>
      <c r="C2839" s="41">
        <v>6782</v>
      </c>
      <c r="D2839" s="41" t="s">
        <v>45</v>
      </c>
      <c r="E2839" s="41" t="s">
        <v>1298</v>
      </c>
      <c r="F2839" s="41" t="s">
        <v>8426</v>
      </c>
      <c r="G2839" s="41" t="s">
        <v>8743</v>
      </c>
      <c r="H2839" s="41" t="s">
        <v>8744</v>
      </c>
      <c r="I2839" s="43">
        <v>12</v>
      </c>
      <c r="J2839" s="44" t="str">
        <f>VLOOKUP(G2839,[1]硬件清单!$F:$F,1,0)</f>
        <v>06XNAK3</v>
      </c>
      <c r="K2839" s="43"/>
      <c r="L2839" s="44"/>
      <c r="M2839" s="45" t="s">
        <v>8745</v>
      </c>
    </row>
    <row r="2840" s="26" customFormat="1" ht="30" customHeight="1" spans="1:13">
      <c r="A2840" s="41">
        <f>IF(C2840="","",SUBTOTAL(103,$C$2:C2840))</f>
        <v>2831</v>
      </c>
      <c r="B2840" s="41">
        <v>10808</v>
      </c>
      <c r="C2840" s="41">
        <v>6775</v>
      </c>
      <c r="D2840" s="41" t="s">
        <v>45</v>
      </c>
      <c r="E2840" s="41" t="s">
        <v>1298</v>
      </c>
      <c r="F2840" s="41" t="s">
        <v>8426</v>
      </c>
      <c r="G2840" s="41" t="s">
        <v>8746</v>
      </c>
      <c r="H2840" s="41" t="s">
        <v>8747</v>
      </c>
      <c r="I2840" s="43">
        <v>12</v>
      </c>
      <c r="J2840" s="44" t="str">
        <f>VLOOKUP(G2840,[1]硬件清单!$F:$F,1,0)</f>
        <v>06XNAL3</v>
      </c>
      <c r="K2840" s="43"/>
      <c r="L2840" s="44"/>
      <c r="M2840" s="45" t="s">
        <v>8748</v>
      </c>
    </row>
    <row r="2841" s="26" customFormat="1" ht="30" customHeight="1" spans="1:13">
      <c r="A2841" s="41">
        <f>IF(C2841="","",SUBTOTAL(103,$C$2:C2841))</f>
        <v>2832</v>
      </c>
      <c r="B2841" s="41">
        <v>10809</v>
      </c>
      <c r="C2841" s="41">
        <v>6781</v>
      </c>
      <c r="D2841" s="41" t="s">
        <v>45</v>
      </c>
      <c r="E2841" s="41" t="s">
        <v>1298</v>
      </c>
      <c r="F2841" s="41" t="s">
        <v>8426</v>
      </c>
      <c r="G2841" s="41" t="s">
        <v>8749</v>
      </c>
      <c r="H2841" s="41" t="s">
        <v>8750</v>
      </c>
      <c r="I2841" s="43">
        <v>12</v>
      </c>
      <c r="J2841" s="44" t="str">
        <f>VLOOKUP(G2841,[1]硬件清单!$F:$F,1,0)</f>
        <v>06XNAK0</v>
      </c>
      <c r="K2841" s="43"/>
      <c r="L2841" s="44"/>
      <c r="M2841" s="45" t="s">
        <v>8751</v>
      </c>
    </row>
    <row r="2842" s="26" customFormat="1" ht="30" customHeight="1" spans="1:13">
      <c r="A2842" s="41">
        <f>IF(C2842="","",SUBTOTAL(103,$C$2:C2842))</f>
        <v>2833</v>
      </c>
      <c r="B2842" s="41">
        <v>10810</v>
      </c>
      <c r="C2842" s="41">
        <v>6774</v>
      </c>
      <c r="D2842" s="41" t="s">
        <v>45</v>
      </c>
      <c r="E2842" s="41" t="s">
        <v>1298</v>
      </c>
      <c r="F2842" s="41" t="s">
        <v>8426</v>
      </c>
      <c r="G2842" s="41" t="s">
        <v>8752</v>
      </c>
      <c r="H2842" s="41" t="s">
        <v>8753</v>
      </c>
      <c r="I2842" s="43">
        <v>12</v>
      </c>
      <c r="J2842" s="44" t="str">
        <f>VLOOKUP(G2842,[1]硬件清单!$F:$F,1,0)</f>
        <v>06XNAK9</v>
      </c>
      <c r="K2842" s="43"/>
      <c r="L2842" s="44"/>
      <c r="M2842" s="45" t="s">
        <v>8754</v>
      </c>
    </row>
    <row r="2843" s="26" customFormat="1" ht="30" customHeight="1" spans="1:13">
      <c r="A2843" s="41">
        <f>IF(C2843="","",SUBTOTAL(103,$C$2:C2843))</f>
        <v>2834</v>
      </c>
      <c r="B2843" s="41">
        <v>10811</v>
      </c>
      <c r="C2843" s="41">
        <v>6079</v>
      </c>
      <c r="D2843" s="41" t="s">
        <v>45</v>
      </c>
      <c r="E2843" s="41" t="s">
        <v>1298</v>
      </c>
      <c r="F2843" s="41" t="s">
        <v>7734</v>
      </c>
      <c r="G2843" s="41" t="s">
        <v>8755</v>
      </c>
      <c r="H2843" s="41" t="s">
        <v>8756</v>
      </c>
      <c r="I2843" s="43">
        <v>12</v>
      </c>
      <c r="J2843" s="44" t="str">
        <f>VLOOKUP(G2843,[1]硬件清单!$F:$F,1,0)</f>
        <v>06ACNY1</v>
      </c>
      <c r="K2843" s="43"/>
      <c r="L2843" s="44"/>
      <c r="M2843" s="45" t="s">
        <v>8757</v>
      </c>
    </row>
    <row r="2844" s="26" customFormat="1" ht="30" customHeight="1" spans="1:13">
      <c r="A2844" s="41">
        <f>IF(C2844="","",SUBTOTAL(103,$C$2:C2844))</f>
        <v>2835</v>
      </c>
      <c r="B2844" s="41">
        <v>10812</v>
      </c>
      <c r="C2844" s="41">
        <v>6088</v>
      </c>
      <c r="D2844" s="41" t="s">
        <v>45</v>
      </c>
      <c r="E2844" s="41" t="s">
        <v>1298</v>
      </c>
      <c r="F2844" s="41" t="s">
        <v>7734</v>
      </c>
      <c r="G2844" s="41" t="s">
        <v>8758</v>
      </c>
      <c r="H2844" s="41" t="s">
        <v>8759</v>
      </c>
      <c r="I2844" s="43">
        <v>12</v>
      </c>
      <c r="J2844" s="44" t="str">
        <f>VLOOKUP(G2844,[1]硬件清单!$F:$F,1,0)</f>
        <v>06ACPG6</v>
      </c>
      <c r="K2844" s="43"/>
      <c r="L2844" s="44"/>
      <c r="M2844" s="45" t="s">
        <v>8760</v>
      </c>
    </row>
    <row r="2845" s="26" customFormat="1" ht="30" customHeight="1" spans="1:13">
      <c r="A2845" s="41">
        <f>IF(C2845="","",SUBTOTAL(103,$C$2:C2845))</f>
        <v>2836</v>
      </c>
      <c r="B2845" s="41">
        <v>10813</v>
      </c>
      <c r="C2845" s="41">
        <v>6089</v>
      </c>
      <c r="D2845" s="41" t="s">
        <v>45</v>
      </c>
      <c r="E2845" s="41" t="s">
        <v>1298</v>
      </c>
      <c r="F2845" s="41" t="s">
        <v>7734</v>
      </c>
      <c r="G2845" s="41" t="s">
        <v>8761</v>
      </c>
      <c r="H2845" s="41" t="s">
        <v>8762</v>
      </c>
      <c r="I2845" s="43">
        <v>12</v>
      </c>
      <c r="J2845" s="44" t="str">
        <f>VLOOKUP(G2845,[1]硬件清单!$F:$F,1,0)</f>
        <v>06ACNN9</v>
      </c>
      <c r="K2845" s="43"/>
      <c r="L2845" s="44"/>
      <c r="M2845" s="45" t="s">
        <v>8763</v>
      </c>
    </row>
    <row r="2846" s="26" customFormat="1" ht="30" customHeight="1" spans="1:13">
      <c r="A2846" s="41">
        <f>IF(C2846="","",SUBTOTAL(103,$C$2:C2846))</f>
        <v>2837</v>
      </c>
      <c r="B2846" s="41">
        <v>10814</v>
      </c>
      <c r="C2846" s="41">
        <v>6090</v>
      </c>
      <c r="D2846" s="41" t="s">
        <v>45</v>
      </c>
      <c r="E2846" s="41" t="s">
        <v>1298</v>
      </c>
      <c r="F2846" s="41" t="s">
        <v>7734</v>
      </c>
      <c r="G2846" s="41" t="s">
        <v>8764</v>
      </c>
      <c r="H2846" s="41" t="s">
        <v>8765</v>
      </c>
      <c r="I2846" s="43">
        <v>12</v>
      </c>
      <c r="J2846" s="44" t="str">
        <f>VLOOKUP(G2846,[1]硬件清单!$F:$F,1,0)</f>
        <v>06ACPE0</v>
      </c>
      <c r="K2846" s="43"/>
      <c r="L2846" s="44"/>
      <c r="M2846" s="45" t="s">
        <v>8766</v>
      </c>
    </row>
    <row r="2847" s="26" customFormat="1" ht="30" customHeight="1" spans="1:13">
      <c r="A2847" s="41">
        <f>IF(C2847="","",SUBTOTAL(103,$C$2:C2847))</f>
        <v>2838</v>
      </c>
      <c r="B2847" s="41">
        <v>10815</v>
      </c>
      <c r="C2847" s="41">
        <v>6091</v>
      </c>
      <c r="D2847" s="41" t="s">
        <v>45</v>
      </c>
      <c r="E2847" s="41" t="s">
        <v>1298</v>
      </c>
      <c r="F2847" s="41" t="s">
        <v>7734</v>
      </c>
      <c r="G2847" s="41" t="s">
        <v>8767</v>
      </c>
      <c r="H2847" s="41" t="s">
        <v>8768</v>
      </c>
      <c r="I2847" s="43">
        <v>12</v>
      </c>
      <c r="J2847" s="44" t="str">
        <f>VLOOKUP(G2847,[1]硬件清单!$F:$F,1,0)</f>
        <v>06ACPG3</v>
      </c>
      <c r="K2847" s="43"/>
      <c r="L2847" s="44"/>
      <c r="M2847" s="45" t="s">
        <v>8769</v>
      </c>
    </row>
    <row r="2848" s="26" customFormat="1" ht="30" customHeight="1" spans="1:13">
      <c r="A2848" s="41">
        <f>IF(C2848="","",SUBTOTAL(103,$C$2:C2848))</f>
        <v>2839</v>
      </c>
      <c r="B2848" s="41">
        <v>10816</v>
      </c>
      <c r="C2848" s="41">
        <v>6092</v>
      </c>
      <c r="D2848" s="41" t="s">
        <v>45</v>
      </c>
      <c r="E2848" s="41" t="s">
        <v>1298</v>
      </c>
      <c r="F2848" s="41" t="s">
        <v>7734</v>
      </c>
      <c r="G2848" s="41" t="s">
        <v>8770</v>
      </c>
      <c r="H2848" s="41" t="s">
        <v>8771</v>
      </c>
      <c r="I2848" s="43">
        <v>12</v>
      </c>
      <c r="J2848" s="44" t="str">
        <f>VLOOKUP(G2848,[1]硬件清单!$F:$F,1,0)</f>
        <v>06ACNN8</v>
      </c>
      <c r="K2848" s="43"/>
      <c r="L2848" s="44"/>
      <c r="M2848" s="45" t="s">
        <v>8772</v>
      </c>
    </row>
    <row r="2849" s="26" customFormat="1" ht="30" customHeight="1" spans="1:13">
      <c r="A2849" s="41">
        <f>IF(C2849="","",SUBTOTAL(103,$C$2:C2849))</f>
        <v>2840</v>
      </c>
      <c r="B2849" s="41">
        <v>10817</v>
      </c>
      <c r="C2849" s="41">
        <v>6080</v>
      </c>
      <c r="D2849" s="41" t="s">
        <v>45</v>
      </c>
      <c r="E2849" s="41" t="s">
        <v>1298</v>
      </c>
      <c r="F2849" s="41" t="s">
        <v>7734</v>
      </c>
      <c r="G2849" s="41" t="s">
        <v>8773</v>
      </c>
      <c r="H2849" s="41" t="s">
        <v>8774</v>
      </c>
      <c r="I2849" s="43">
        <v>12</v>
      </c>
      <c r="J2849" s="44" t="str">
        <f>VLOOKUP(G2849,[1]硬件清单!$F:$F,1,0)</f>
        <v>06ACNY0</v>
      </c>
      <c r="K2849" s="43"/>
      <c r="L2849" s="44"/>
      <c r="M2849" s="45" t="s">
        <v>8775</v>
      </c>
    </row>
    <row r="2850" s="26" customFormat="1" ht="30" customHeight="1" spans="1:13">
      <c r="A2850" s="41">
        <f>IF(C2850="","",SUBTOTAL(103,$C$2:C2850))</f>
        <v>2841</v>
      </c>
      <c r="B2850" s="41">
        <v>10818</v>
      </c>
      <c r="C2850" s="41">
        <v>6081</v>
      </c>
      <c r="D2850" s="41" t="s">
        <v>45</v>
      </c>
      <c r="E2850" s="41" t="s">
        <v>1298</v>
      </c>
      <c r="F2850" s="41" t="s">
        <v>7734</v>
      </c>
      <c r="G2850" s="41" t="s">
        <v>8776</v>
      </c>
      <c r="H2850" s="41" t="s">
        <v>8777</v>
      </c>
      <c r="I2850" s="43">
        <v>12</v>
      </c>
      <c r="J2850" s="44" t="str">
        <f>VLOOKUP(G2850,[1]硬件清单!$F:$F,1,0)</f>
        <v>06ACPP0</v>
      </c>
      <c r="K2850" s="43"/>
      <c r="L2850" s="44"/>
      <c r="M2850" s="45" t="s">
        <v>8778</v>
      </c>
    </row>
    <row r="2851" s="26" customFormat="1" ht="30" customHeight="1" spans="1:13">
      <c r="A2851" s="41">
        <f>IF(C2851="","",SUBTOTAL(103,$C$2:C2851))</f>
        <v>2842</v>
      </c>
      <c r="B2851" s="41">
        <v>10819</v>
      </c>
      <c r="C2851" s="41">
        <v>6082</v>
      </c>
      <c r="D2851" s="41" t="s">
        <v>45</v>
      </c>
      <c r="E2851" s="41" t="s">
        <v>1298</v>
      </c>
      <c r="F2851" s="41" t="s">
        <v>7734</v>
      </c>
      <c r="G2851" s="41" t="s">
        <v>8779</v>
      </c>
      <c r="H2851" s="41" t="s">
        <v>8780</v>
      </c>
      <c r="I2851" s="43">
        <v>12</v>
      </c>
      <c r="J2851" s="44" t="str">
        <f>VLOOKUP(G2851,[1]硬件清单!$F:$F,1,0)</f>
        <v>06ACPY0</v>
      </c>
      <c r="K2851" s="43"/>
      <c r="L2851" s="44"/>
      <c r="M2851" s="45" t="s">
        <v>8781</v>
      </c>
    </row>
    <row r="2852" s="26" customFormat="1" ht="30" customHeight="1" spans="1:13">
      <c r="A2852" s="41">
        <f>IF(C2852="","",SUBTOTAL(103,$C$2:C2852))</f>
        <v>2843</v>
      </c>
      <c r="B2852" s="41">
        <v>10820</v>
      </c>
      <c r="C2852" s="41">
        <v>6083</v>
      </c>
      <c r="D2852" s="41" t="s">
        <v>45</v>
      </c>
      <c r="E2852" s="41" t="s">
        <v>1298</v>
      </c>
      <c r="F2852" s="41" t="s">
        <v>7734</v>
      </c>
      <c r="G2852" s="41" t="s">
        <v>8782</v>
      </c>
      <c r="H2852" s="41" t="s">
        <v>8783</v>
      </c>
      <c r="I2852" s="43">
        <v>12</v>
      </c>
      <c r="J2852" s="44" t="str">
        <f>VLOOKUP(G2852,[1]硬件清单!$F:$F,1,0)</f>
        <v>06ACNP6</v>
      </c>
      <c r="K2852" s="43"/>
      <c r="L2852" s="44"/>
      <c r="M2852" s="45" t="s">
        <v>8784</v>
      </c>
    </row>
    <row r="2853" s="26" customFormat="1" ht="30" customHeight="1" spans="1:13">
      <c r="A2853" s="41">
        <f>IF(C2853="","",SUBTOTAL(103,$C$2:C2853))</f>
        <v>2844</v>
      </c>
      <c r="B2853" s="41">
        <v>10821</v>
      </c>
      <c r="C2853" s="41">
        <v>6084</v>
      </c>
      <c r="D2853" s="41" t="s">
        <v>45</v>
      </c>
      <c r="E2853" s="41" t="s">
        <v>1298</v>
      </c>
      <c r="F2853" s="41" t="s">
        <v>7734</v>
      </c>
      <c r="G2853" s="41" t="s">
        <v>8785</v>
      </c>
      <c r="H2853" s="41" t="s">
        <v>8786</v>
      </c>
      <c r="I2853" s="43">
        <v>12</v>
      </c>
      <c r="J2853" s="44" t="str">
        <f>VLOOKUP(G2853,[1]硬件清单!$F:$F,1,0)</f>
        <v>06ACPW5</v>
      </c>
      <c r="K2853" s="43"/>
      <c r="L2853" s="44"/>
      <c r="M2853" s="45" t="s">
        <v>8787</v>
      </c>
    </row>
    <row r="2854" s="26" customFormat="1" ht="30" customHeight="1" spans="1:13">
      <c r="A2854" s="41">
        <f>IF(C2854="","",SUBTOTAL(103,$C$2:C2854))</f>
        <v>2845</v>
      </c>
      <c r="B2854" s="41">
        <v>10822</v>
      </c>
      <c r="C2854" s="41">
        <v>6085</v>
      </c>
      <c r="D2854" s="41" t="s">
        <v>45</v>
      </c>
      <c r="E2854" s="41" t="s">
        <v>1298</v>
      </c>
      <c r="F2854" s="41" t="s">
        <v>7734</v>
      </c>
      <c r="G2854" s="41" t="s">
        <v>8788</v>
      </c>
      <c r="H2854" s="41" t="s">
        <v>8789</v>
      </c>
      <c r="I2854" s="43">
        <v>12</v>
      </c>
      <c r="J2854" s="44" t="str">
        <f>VLOOKUP(G2854,[1]硬件清单!$F:$F,1,0)</f>
        <v>06ACNN0</v>
      </c>
      <c r="K2854" s="43"/>
      <c r="L2854" s="44"/>
      <c r="M2854" s="45" t="s">
        <v>8790</v>
      </c>
    </row>
    <row r="2855" s="26" customFormat="1" ht="30" customHeight="1" spans="1:13">
      <c r="A2855" s="41">
        <f>IF(C2855="","",SUBTOTAL(103,$C$2:C2855))</f>
        <v>2846</v>
      </c>
      <c r="B2855" s="41">
        <v>10823</v>
      </c>
      <c r="C2855" s="41">
        <v>6086</v>
      </c>
      <c r="D2855" s="41" t="s">
        <v>45</v>
      </c>
      <c r="E2855" s="41" t="s">
        <v>1298</v>
      </c>
      <c r="F2855" s="41" t="s">
        <v>7734</v>
      </c>
      <c r="G2855" s="41" t="s">
        <v>8791</v>
      </c>
      <c r="H2855" s="41" t="s">
        <v>8792</v>
      </c>
      <c r="I2855" s="43">
        <v>12</v>
      </c>
      <c r="J2855" s="44" t="str">
        <f>VLOOKUP(G2855,[1]硬件清单!$F:$F,1,0)</f>
        <v>06ACPT9</v>
      </c>
      <c r="K2855" s="43"/>
      <c r="L2855" s="44"/>
      <c r="M2855" s="45" t="s">
        <v>8793</v>
      </c>
    </row>
    <row r="2856" s="26" customFormat="1" ht="30" customHeight="1" spans="1:13">
      <c r="A2856" s="41">
        <f>IF(C2856="","",SUBTOTAL(103,$C$2:C2856))</f>
        <v>2847</v>
      </c>
      <c r="B2856" s="41">
        <v>10824</v>
      </c>
      <c r="C2856" s="41">
        <v>6087</v>
      </c>
      <c r="D2856" s="41" t="s">
        <v>45</v>
      </c>
      <c r="E2856" s="41" t="s">
        <v>1298</v>
      </c>
      <c r="F2856" s="41" t="s">
        <v>7734</v>
      </c>
      <c r="G2856" s="41" t="s">
        <v>8794</v>
      </c>
      <c r="H2856" s="41" t="s">
        <v>8795</v>
      </c>
      <c r="I2856" s="43">
        <v>12</v>
      </c>
      <c r="J2856" s="44" t="str">
        <f>VLOOKUP(G2856,[1]硬件清单!$F:$F,1,0)</f>
        <v>06ACPN7</v>
      </c>
      <c r="K2856" s="43"/>
      <c r="L2856" s="44"/>
      <c r="M2856" s="45" t="s">
        <v>8796</v>
      </c>
    </row>
    <row r="2857" s="26" customFormat="1" ht="30" customHeight="1" spans="1:13">
      <c r="A2857" s="41">
        <f>IF(C2857="","",SUBTOTAL(103,$C$2:C2857))</f>
        <v>2848</v>
      </c>
      <c r="B2857" s="41">
        <v>10826</v>
      </c>
      <c r="C2857" s="41">
        <v>6093</v>
      </c>
      <c r="D2857" s="41" t="s">
        <v>45</v>
      </c>
      <c r="E2857" s="41" t="s">
        <v>1298</v>
      </c>
      <c r="F2857" s="41" t="s">
        <v>7734</v>
      </c>
      <c r="G2857" s="41" t="s">
        <v>8797</v>
      </c>
      <c r="H2857" s="41" t="s">
        <v>8798</v>
      </c>
      <c r="I2857" s="43">
        <v>12</v>
      </c>
      <c r="J2857" s="44" t="str">
        <f>VLOOKUP(G2857,[1]硬件清单!$F:$F,1,0)</f>
        <v>06ACNM3</v>
      </c>
      <c r="K2857" s="43"/>
      <c r="L2857" s="44"/>
      <c r="M2857" s="45" t="s">
        <v>8799</v>
      </c>
    </row>
    <row r="2858" s="26" customFormat="1" ht="30" customHeight="1" spans="1:13">
      <c r="A2858" s="41">
        <f>IF(C2858="","",SUBTOTAL(103,$C$2:C2858))</f>
        <v>2849</v>
      </c>
      <c r="B2858" s="41">
        <v>10827</v>
      </c>
      <c r="C2858" s="41">
        <v>6102</v>
      </c>
      <c r="D2858" s="41" t="s">
        <v>45</v>
      </c>
      <c r="E2858" s="41" t="s">
        <v>1298</v>
      </c>
      <c r="F2858" s="41" t="s">
        <v>7734</v>
      </c>
      <c r="G2858" s="41" t="s">
        <v>8800</v>
      </c>
      <c r="H2858" s="41" t="s">
        <v>8801</v>
      </c>
      <c r="I2858" s="43">
        <v>12</v>
      </c>
      <c r="J2858" s="44" t="str">
        <f>VLOOKUP(G2858,[1]硬件清单!$F:$F,1,0)</f>
        <v>06ACPH4</v>
      </c>
      <c r="K2858" s="43"/>
      <c r="L2858" s="44"/>
      <c r="M2858" s="45" t="s">
        <v>8802</v>
      </c>
    </row>
    <row r="2859" s="26" customFormat="1" ht="30" customHeight="1" spans="1:13">
      <c r="A2859" s="41">
        <f>IF(C2859="","",SUBTOTAL(103,$C$2:C2859))</f>
        <v>2850</v>
      </c>
      <c r="B2859" s="41">
        <v>10828</v>
      </c>
      <c r="C2859" s="41">
        <v>6103</v>
      </c>
      <c r="D2859" s="41" t="s">
        <v>45</v>
      </c>
      <c r="E2859" s="41" t="s">
        <v>1298</v>
      </c>
      <c r="F2859" s="41" t="s">
        <v>7734</v>
      </c>
      <c r="G2859" s="41" t="s">
        <v>8803</v>
      </c>
      <c r="H2859" s="41" t="s">
        <v>8804</v>
      </c>
      <c r="I2859" s="43">
        <v>12</v>
      </c>
      <c r="J2859" s="44" t="str">
        <f>VLOOKUP(G2859,[1]硬件清单!$F:$F,1,0)</f>
        <v>06ACPM6</v>
      </c>
      <c r="K2859" s="43"/>
      <c r="L2859" s="44"/>
      <c r="M2859" s="45" t="s">
        <v>8805</v>
      </c>
    </row>
    <row r="2860" s="26" customFormat="1" ht="30" customHeight="1" spans="1:13">
      <c r="A2860" s="41">
        <f>IF(C2860="","",SUBTOTAL(103,$C$2:C2860))</f>
        <v>2851</v>
      </c>
      <c r="B2860" s="41">
        <v>10829</v>
      </c>
      <c r="C2860" s="41">
        <v>6104</v>
      </c>
      <c r="D2860" s="41" t="s">
        <v>45</v>
      </c>
      <c r="E2860" s="41" t="s">
        <v>1298</v>
      </c>
      <c r="F2860" s="41" t="s">
        <v>7734</v>
      </c>
      <c r="G2860" s="41" t="s">
        <v>8806</v>
      </c>
      <c r="H2860" s="41" t="s">
        <v>8807</v>
      </c>
      <c r="I2860" s="43">
        <v>12</v>
      </c>
      <c r="J2860" s="44" t="str">
        <f>VLOOKUP(G2860,[1]硬件清单!$F:$F,1,0)</f>
        <v>06ACNR6</v>
      </c>
      <c r="K2860" s="43"/>
      <c r="L2860" s="44"/>
      <c r="M2860" s="45" t="s">
        <v>8808</v>
      </c>
    </row>
    <row r="2861" s="26" customFormat="1" ht="30" customHeight="1" spans="1:13">
      <c r="A2861" s="41">
        <f>IF(C2861="","",SUBTOTAL(103,$C$2:C2861))</f>
        <v>2852</v>
      </c>
      <c r="B2861" s="41">
        <v>10830</v>
      </c>
      <c r="C2861" s="41">
        <v>6105</v>
      </c>
      <c r="D2861" s="41" t="s">
        <v>45</v>
      </c>
      <c r="E2861" s="41" t="s">
        <v>1298</v>
      </c>
      <c r="F2861" s="41" t="s">
        <v>7734</v>
      </c>
      <c r="G2861" s="41" t="s">
        <v>8809</v>
      </c>
      <c r="H2861" s="41" t="s">
        <v>8810</v>
      </c>
      <c r="I2861" s="43">
        <v>12</v>
      </c>
      <c r="J2861" s="44" t="str">
        <f>VLOOKUP(G2861,[1]硬件清单!$F:$F,1,0)</f>
        <v>06ACPM4</v>
      </c>
      <c r="K2861" s="43"/>
      <c r="L2861" s="44"/>
      <c r="M2861" s="45" t="s">
        <v>8811</v>
      </c>
    </row>
    <row r="2862" s="26" customFormat="1" ht="30" customHeight="1" spans="1:13">
      <c r="A2862" s="41">
        <f>IF(C2862="","",SUBTOTAL(103,$C$2:C2862))</f>
        <v>2853</v>
      </c>
      <c r="B2862" s="41">
        <v>10831</v>
      </c>
      <c r="C2862" s="41">
        <v>6106</v>
      </c>
      <c r="D2862" s="41" t="s">
        <v>45</v>
      </c>
      <c r="E2862" s="41" t="s">
        <v>1298</v>
      </c>
      <c r="F2862" s="41" t="s">
        <v>7734</v>
      </c>
      <c r="G2862" s="41" t="s">
        <v>8812</v>
      </c>
      <c r="H2862" s="41" t="s">
        <v>8813</v>
      </c>
      <c r="I2862" s="43">
        <v>12</v>
      </c>
      <c r="J2862" s="44" t="str">
        <f>VLOOKUP(G2862,[1]硬件清单!$F:$F,1,0)</f>
        <v>06ACNN3</v>
      </c>
      <c r="K2862" s="43"/>
      <c r="L2862" s="44"/>
      <c r="M2862" s="45" t="s">
        <v>8814</v>
      </c>
    </row>
    <row r="2863" s="26" customFormat="1" ht="30" customHeight="1" spans="1:13">
      <c r="A2863" s="41">
        <f>IF(C2863="","",SUBTOTAL(103,$C$2:C2863))</f>
        <v>2854</v>
      </c>
      <c r="B2863" s="41">
        <v>10832</v>
      </c>
      <c r="C2863" s="41">
        <v>6094</v>
      </c>
      <c r="D2863" s="41" t="s">
        <v>45</v>
      </c>
      <c r="E2863" s="41" t="s">
        <v>1298</v>
      </c>
      <c r="F2863" s="41" t="s">
        <v>7734</v>
      </c>
      <c r="G2863" s="41" t="s">
        <v>8815</v>
      </c>
      <c r="H2863" s="41" t="s">
        <v>8816</v>
      </c>
      <c r="I2863" s="43">
        <v>12</v>
      </c>
      <c r="J2863" s="44" t="str">
        <f>VLOOKUP(G2863,[1]硬件清单!$F:$F,1,0)</f>
        <v>06ACPM7</v>
      </c>
      <c r="K2863" s="43"/>
      <c r="L2863" s="44"/>
      <c r="M2863" s="45" t="s">
        <v>8817</v>
      </c>
    </row>
    <row r="2864" s="26" customFormat="1" ht="30" customHeight="1" spans="1:13">
      <c r="A2864" s="41">
        <f>IF(C2864="","",SUBTOTAL(103,$C$2:C2864))</f>
        <v>2855</v>
      </c>
      <c r="B2864" s="41">
        <v>10833</v>
      </c>
      <c r="C2864" s="41">
        <v>6095</v>
      </c>
      <c r="D2864" s="41" t="s">
        <v>45</v>
      </c>
      <c r="E2864" s="41" t="s">
        <v>1298</v>
      </c>
      <c r="F2864" s="41" t="s">
        <v>7734</v>
      </c>
      <c r="G2864" s="41" t="s">
        <v>8818</v>
      </c>
      <c r="H2864" s="41" t="s">
        <v>8819</v>
      </c>
      <c r="I2864" s="43">
        <v>12</v>
      </c>
      <c r="J2864" s="44" t="str">
        <f>VLOOKUP(G2864,[1]硬件清单!$F:$F,1,0)</f>
        <v>06ACNR5</v>
      </c>
      <c r="K2864" s="43"/>
      <c r="L2864" s="44"/>
      <c r="M2864" s="45" t="s">
        <v>8820</v>
      </c>
    </row>
    <row r="2865" s="26" customFormat="1" ht="30" customHeight="1" spans="1:13">
      <c r="A2865" s="41">
        <f>IF(C2865="","",SUBTOTAL(103,$C$2:C2865))</f>
        <v>2856</v>
      </c>
      <c r="B2865" s="41">
        <v>10834</v>
      </c>
      <c r="C2865" s="41">
        <v>6096</v>
      </c>
      <c r="D2865" s="41" t="s">
        <v>45</v>
      </c>
      <c r="E2865" s="41" t="s">
        <v>1298</v>
      </c>
      <c r="F2865" s="41" t="s">
        <v>7734</v>
      </c>
      <c r="G2865" s="41" t="s">
        <v>8821</v>
      </c>
      <c r="H2865" s="41" t="s">
        <v>8822</v>
      </c>
      <c r="I2865" s="43">
        <v>12</v>
      </c>
      <c r="J2865" s="44" t="str">
        <f>VLOOKUP(G2865,[1]硬件清单!$F:$F,1,0)</f>
        <v>06ACPM5</v>
      </c>
      <c r="K2865" s="43"/>
      <c r="L2865" s="44"/>
      <c r="M2865" s="45" t="s">
        <v>8823</v>
      </c>
    </row>
    <row r="2866" s="26" customFormat="1" ht="30" customHeight="1" spans="1:13">
      <c r="A2866" s="41">
        <f>IF(C2866="","",SUBTOTAL(103,$C$2:C2866))</f>
        <v>2857</v>
      </c>
      <c r="B2866" s="41">
        <v>10835</v>
      </c>
      <c r="C2866" s="41">
        <v>6097</v>
      </c>
      <c r="D2866" s="41" t="s">
        <v>45</v>
      </c>
      <c r="E2866" s="41" t="s">
        <v>1298</v>
      </c>
      <c r="F2866" s="41" t="s">
        <v>7734</v>
      </c>
      <c r="G2866" s="41" t="s">
        <v>8824</v>
      </c>
      <c r="H2866" s="41" t="s">
        <v>8825</v>
      </c>
      <c r="I2866" s="43">
        <v>12</v>
      </c>
      <c r="J2866" s="44" t="str">
        <f>VLOOKUP(G2866,[1]硬件清单!$F:$F,1,0)</f>
        <v>06ACPG7</v>
      </c>
      <c r="K2866" s="43"/>
      <c r="L2866" s="44"/>
      <c r="M2866" s="45" t="s">
        <v>8826</v>
      </c>
    </row>
    <row r="2867" s="26" customFormat="1" ht="30" customHeight="1" spans="1:13">
      <c r="A2867" s="41">
        <f>IF(C2867="","",SUBTOTAL(103,$C$2:C2867))</f>
        <v>2858</v>
      </c>
      <c r="B2867" s="41">
        <v>10836</v>
      </c>
      <c r="C2867" s="41">
        <v>6098</v>
      </c>
      <c r="D2867" s="41" t="s">
        <v>45</v>
      </c>
      <c r="E2867" s="41" t="s">
        <v>1298</v>
      </c>
      <c r="F2867" s="41" t="s">
        <v>7734</v>
      </c>
      <c r="G2867" s="41" t="s">
        <v>8827</v>
      </c>
      <c r="H2867" s="41" t="s">
        <v>8828</v>
      </c>
      <c r="I2867" s="43">
        <v>12</v>
      </c>
      <c r="J2867" s="44" t="str">
        <f>VLOOKUP(G2867,[1]硬件清单!$F:$F,1,0)</f>
        <v>06ACPF4</v>
      </c>
      <c r="K2867" s="43"/>
      <c r="L2867" s="44"/>
      <c r="M2867" s="45" t="s">
        <v>8829</v>
      </c>
    </row>
    <row r="2868" s="26" customFormat="1" ht="30" customHeight="1" spans="1:13">
      <c r="A2868" s="41">
        <f>IF(C2868="","",SUBTOTAL(103,$C$2:C2868))</f>
        <v>2859</v>
      </c>
      <c r="B2868" s="41">
        <v>10837</v>
      </c>
      <c r="C2868" s="41">
        <v>6099</v>
      </c>
      <c r="D2868" s="41" t="s">
        <v>45</v>
      </c>
      <c r="E2868" s="41" t="s">
        <v>1298</v>
      </c>
      <c r="F2868" s="41" t="s">
        <v>7734</v>
      </c>
      <c r="G2868" s="41" t="s">
        <v>8830</v>
      </c>
      <c r="H2868" s="41" t="s">
        <v>8831</v>
      </c>
      <c r="I2868" s="43">
        <v>12</v>
      </c>
      <c r="J2868" s="44" t="str">
        <f>VLOOKUP(G2868,[1]硬件清单!$F:$F,1,0)</f>
        <v>06ACNR2</v>
      </c>
      <c r="K2868" s="43"/>
      <c r="L2868" s="44"/>
      <c r="M2868" s="45" t="s">
        <v>8832</v>
      </c>
    </row>
    <row r="2869" s="26" customFormat="1" ht="30" customHeight="1" spans="1:13">
      <c r="A2869" s="41">
        <f>IF(C2869="","",SUBTOTAL(103,$C$2:C2869))</f>
        <v>2860</v>
      </c>
      <c r="B2869" s="41">
        <v>10838</v>
      </c>
      <c r="C2869" s="41">
        <v>6100</v>
      </c>
      <c r="D2869" s="41" t="s">
        <v>45</v>
      </c>
      <c r="E2869" s="41" t="s">
        <v>1298</v>
      </c>
      <c r="F2869" s="41" t="s">
        <v>7734</v>
      </c>
      <c r="G2869" s="41" t="s">
        <v>8833</v>
      </c>
      <c r="H2869" s="41" t="s">
        <v>8834</v>
      </c>
      <c r="I2869" s="43">
        <v>12</v>
      </c>
      <c r="J2869" s="44" t="str">
        <f>VLOOKUP(G2869,[1]硬件清单!$F:$F,1,0)</f>
        <v>06ACNV2</v>
      </c>
      <c r="K2869" s="43"/>
      <c r="L2869" s="44"/>
      <c r="M2869" s="45" t="s">
        <v>8835</v>
      </c>
    </row>
    <row r="2870" s="26" customFormat="1" ht="30" customHeight="1" spans="1:13">
      <c r="A2870" s="41">
        <f>IF(C2870="","",SUBTOTAL(103,$C$2:C2870))</f>
        <v>2861</v>
      </c>
      <c r="B2870" s="41">
        <v>10839</v>
      </c>
      <c r="C2870" s="41">
        <v>6101</v>
      </c>
      <c r="D2870" s="41" t="s">
        <v>45</v>
      </c>
      <c r="E2870" s="41" t="s">
        <v>1298</v>
      </c>
      <c r="F2870" s="41" t="s">
        <v>7734</v>
      </c>
      <c r="G2870" s="41" t="s">
        <v>8836</v>
      </c>
      <c r="H2870" s="41" t="s">
        <v>8837</v>
      </c>
      <c r="I2870" s="43">
        <v>12</v>
      </c>
      <c r="J2870" s="44" t="str">
        <f>VLOOKUP(G2870,[1]硬件清单!$F:$F,1,0)</f>
        <v>06ACNT8</v>
      </c>
      <c r="K2870" s="43"/>
      <c r="L2870" s="44"/>
      <c r="M2870" s="45" t="s">
        <v>8838</v>
      </c>
    </row>
    <row r="2871" s="26" customFormat="1" ht="30" customHeight="1" spans="1:13">
      <c r="A2871" s="41">
        <f>IF(C2871="","",SUBTOTAL(103,$C$2:C2871))</f>
        <v>2862</v>
      </c>
      <c r="B2871" s="41">
        <v>10840</v>
      </c>
      <c r="C2871" s="41">
        <v>6304</v>
      </c>
      <c r="D2871" s="41" t="s">
        <v>45</v>
      </c>
      <c r="E2871" s="41" t="s">
        <v>1298</v>
      </c>
      <c r="F2871" s="41" t="s">
        <v>7734</v>
      </c>
      <c r="G2871" s="41" t="s">
        <v>8839</v>
      </c>
      <c r="H2871" s="41" t="s">
        <v>8840</v>
      </c>
      <c r="I2871" s="43">
        <v>12</v>
      </c>
      <c r="J2871" s="44" t="str">
        <f>VLOOKUP(G2871,[1]硬件清单!$F:$F,1,0)</f>
        <v>06ACNX6</v>
      </c>
      <c r="K2871" s="43"/>
      <c r="L2871" s="44"/>
      <c r="M2871" s="45" t="s">
        <v>8841</v>
      </c>
    </row>
    <row r="2872" s="26" customFormat="1" ht="30" customHeight="1" spans="1:13">
      <c r="A2872" s="41">
        <f>IF(C2872="","",SUBTOTAL(103,$C$2:C2872))</f>
        <v>2863</v>
      </c>
      <c r="B2872" s="41">
        <v>10841</v>
      </c>
      <c r="C2872" s="41">
        <v>6313</v>
      </c>
      <c r="D2872" s="41" t="s">
        <v>45</v>
      </c>
      <c r="E2872" s="41" t="s">
        <v>1298</v>
      </c>
      <c r="F2872" s="41" t="s">
        <v>7734</v>
      </c>
      <c r="G2872" s="41" t="s">
        <v>8842</v>
      </c>
      <c r="H2872" s="41" t="s">
        <v>8843</v>
      </c>
      <c r="I2872" s="43">
        <v>12</v>
      </c>
      <c r="J2872" s="44" t="str">
        <f>VLOOKUP(G2872,[1]硬件清单!$F:$F,1,0)</f>
        <v>06ACNZ1</v>
      </c>
      <c r="K2872" s="43"/>
      <c r="L2872" s="44"/>
      <c r="M2872" s="45" t="s">
        <v>8844</v>
      </c>
    </row>
    <row r="2873" s="26" customFormat="1" ht="30" customHeight="1" spans="1:13">
      <c r="A2873" s="41">
        <f>IF(C2873="","",SUBTOTAL(103,$C$2:C2873))</f>
        <v>2864</v>
      </c>
      <c r="B2873" s="41">
        <v>10842</v>
      </c>
      <c r="C2873" s="41">
        <v>6314</v>
      </c>
      <c r="D2873" s="41" t="s">
        <v>45</v>
      </c>
      <c r="E2873" s="41" t="s">
        <v>1298</v>
      </c>
      <c r="F2873" s="41" t="s">
        <v>7734</v>
      </c>
      <c r="G2873" s="41" t="s">
        <v>8845</v>
      </c>
      <c r="H2873" s="41" t="s">
        <v>8846</v>
      </c>
      <c r="I2873" s="43">
        <v>12</v>
      </c>
      <c r="J2873" s="44" t="str">
        <f>VLOOKUP(G2873,[1]硬件清单!$F:$F,1,0)</f>
        <v>06ACNZ0</v>
      </c>
      <c r="K2873" s="43"/>
      <c r="L2873" s="44"/>
      <c r="M2873" s="45" t="s">
        <v>8847</v>
      </c>
    </row>
    <row r="2874" s="26" customFormat="1" ht="30" customHeight="1" spans="1:13">
      <c r="A2874" s="41">
        <f>IF(C2874="","",SUBTOTAL(103,$C$2:C2874))</f>
        <v>2865</v>
      </c>
      <c r="B2874" s="41">
        <v>10843</v>
      </c>
      <c r="C2874" s="41">
        <v>6315</v>
      </c>
      <c r="D2874" s="41" t="s">
        <v>45</v>
      </c>
      <c r="E2874" s="41" t="s">
        <v>1298</v>
      </c>
      <c r="F2874" s="41" t="s">
        <v>7734</v>
      </c>
      <c r="G2874" s="41" t="s">
        <v>8848</v>
      </c>
      <c r="H2874" s="41" t="s">
        <v>8849</v>
      </c>
      <c r="I2874" s="43">
        <v>12</v>
      </c>
      <c r="J2874" s="44" t="str">
        <f>VLOOKUP(G2874,[1]硬件清单!$F:$F,1,0)</f>
        <v>06ACPN3</v>
      </c>
      <c r="K2874" s="43"/>
      <c r="L2874" s="44"/>
      <c r="M2874" s="45" t="s">
        <v>8850</v>
      </c>
    </row>
    <row r="2875" s="26" customFormat="1" ht="30" customHeight="1" spans="1:13">
      <c r="A2875" s="41">
        <f>IF(C2875="","",SUBTOTAL(103,$C$2:C2875))</f>
        <v>2866</v>
      </c>
      <c r="B2875" s="41">
        <v>10844</v>
      </c>
      <c r="C2875" s="41">
        <v>6316</v>
      </c>
      <c r="D2875" s="41" t="s">
        <v>45</v>
      </c>
      <c r="E2875" s="41" t="s">
        <v>1298</v>
      </c>
      <c r="F2875" s="41" t="s">
        <v>7734</v>
      </c>
      <c r="G2875" s="41" t="s">
        <v>8851</v>
      </c>
      <c r="H2875" s="41" t="s">
        <v>8852</v>
      </c>
      <c r="I2875" s="43">
        <v>12</v>
      </c>
      <c r="J2875" s="44" t="str">
        <f>VLOOKUP(G2875,[1]硬件清单!$F:$F,1,0)</f>
        <v>06ACPH7</v>
      </c>
      <c r="K2875" s="43"/>
      <c r="L2875" s="44"/>
      <c r="M2875" s="45" t="s">
        <v>8853</v>
      </c>
    </row>
    <row r="2876" s="26" customFormat="1" ht="30" customHeight="1" spans="1:13">
      <c r="A2876" s="41">
        <f>IF(C2876="","",SUBTOTAL(103,$C$2:C2876))</f>
        <v>2867</v>
      </c>
      <c r="B2876" s="41">
        <v>10845</v>
      </c>
      <c r="C2876" s="41">
        <v>6317</v>
      </c>
      <c r="D2876" s="41" t="s">
        <v>45</v>
      </c>
      <c r="E2876" s="41" t="s">
        <v>1298</v>
      </c>
      <c r="F2876" s="41" t="s">
        <v>7734</v>
      </c>
      <c r="G2876" s="41" t="s">
        <v>8854</v>
      </c>
      <c r="H2876" s="41" t="s">
        <v>8855</v>
      </c>
      <c r="I2876" s="43">
        <v>12</v>
      </c>
      <c r="J2876" s="44" t="str">
        <f>VLOOKUP(G2876,[1]硬件清单!$F:$F,1,0)</f>
        <v>06ACPP8</v>
      </c>
      <c r="K2876" s="43"/>
      <c r="L2876" s="44"/>
      <c r="M2876" s="45" t="s">
        <v>8856</v>
      </c>
    </row>
    <row r="2877" s="26" customFormat="1" ht="30" customHeight="1" spans="1:13">
      <c r="A2877" s="41">
        <f>IF(C2877="","",SUBTOTAL(103,$C$2:C2877))</f>
        <v>2868</v>
      </c>
      <c r="B2877" s="41">
        <v>10846</v>
      </c>
      <c r="C2877" s="41">
        <v>6305</v>
      </c>
      <c r="D2877" s="41" t="s">
        <v>45</v>
      </c>
      <c r="E2877" s="41" t="s">
        <v>1298</v>
      </c>
      <c r="F2877" s="41" t="s">
        <v>7734</v>
      </c>
      <c r="G2877" s="41" t="s">
        <v>8857</v>
      </c>
      <c r="H2877" s="41" t="s">
        <v>8858</v>
      </c>
      <c r="I2877" s="43">
        <v>12</v>
      </c>
      <c r="J2877" s="44" t="str">
        <f>VLOOKUP(G2877,[1]硬件清单!$F:$F,1,0)</f>
        <v>06ACPK7</v>
      </c>
      <c r="K2877" s="43"/>
      <c r="L2877" s="44"/>
      <c r="M2877" s="45" t="s">
        <v>8859</v>
      </c>
    </row>
    <row r="2878" s="26" customFormat="1" ht="30" customHeight="1" spans="1:13">
      <c r="A2878" s="41">
        <f>IF(C2878="","",SUBTOTAL(103,$C$2:C2878))</f>
        <v>2869</v>
      </c>
      <c r="B2878" s="41">
        <v>10847</v>
      </c>
      <c r="C2878" s="41">
        <v>6306</v>
      </c>
      <c r="D2878" s="41" t="s">
        <v>45</v>
      </c>
      <c r="E2878" s="41" t="s">
        <v>1298</v>
      </c>
      <c r="F2878" s="41" t="s">
        <v>7734</v>
      </c>
      <c r="G2878" s="41" t="s">
        <v>8860</v>
      </c>
      <c r="H2878" s="41" t="s">
        <v>8861</v>
      </c>
      <c r="I2878" s="43">
        <v>12</v>
      </c>
      <c r="J2878" s="44" t="str">
        <f>VLOOKUP(G2878,[1]硬件清单!$F:$F,1,0)</f>
        <v>06ACNT3</v>
      </c>
      <c r="K2878" s="43"/>
      <c r="L2878" s="44"/>
      <c r="M2878" s="45" t="s">
        <v>8862</v>
      </c>
    </row>
    <row r="2879" s="26" customFormat="1" ht="30" customHeight="1" spans="1:13">
      <c r="A2879" s="41">
        <f>IF(C2879="","",SUBTOTAL(103,$C$2:C2879))</f>
        <v>2870</v>
      </c>
      <c r="B2879" s="41">
        <v>10848</v>
      </c>
      <c r="C2879" s="41">
        <v>6307</v>
      </c>
      <c r="D2879" s="41" t="s">
        <v>45</v>
      </c>
      <c r="E2879" s="41" t="s">
        <v>1298</v>
      </c>
      <c r="F2879" s="41" t="s">
        <v>7734</v>
      </c>
      <c r="G2879" s="41" t="s">
        <v>8863</v>
      </c>
      <c r="H2879" s="41" t="s">
        <v>8864</v>
      </c>
      <c r="I2879" s="43">
        <v>12</v>
      </c>
      <c r="J2879" s="44" t="str">
        <f>VLOOKUP(G2879,[1]硬件清单!$F:$F,1,0)</f>
        <v>06ACPK6</v>
      </c>
      <c r="K2879" s="43"/>
      <c r="L2879" s="44"/>
      <c r="M2879" s="45" t="s">
        <v>8865</v>
      </c>
    </row>
    <row r="2880" s="26" customFormat="1" ht="30" customHeight="1" spans="1:13">
      <c r="A2880" s="41">
        <f>IF(C2880="","",SUBTOTAL(103,$C$2:C2880))</f>
        <v>2871</v>
      </c>
      <c r="B2880" s="41">
        <v>10849</v>
      </c>
      <c r="C2880" s="41">
        <v>6308</v>
      </c>
      <c r="D2880" s="41" t="s">
        <v>45</v>
      </c>
      <c r="E2880" s="41" t="s">
        <v>1298</v>
      </c>
      <c r="F2880" s="41" t="s">
        <v>7734</v>
      </c>
      <c r="G2880" s="41" t="s">
        <v>8866</v>
      </c>
      <c r="H2880" s="41" t="s">
        <v>8867</v>
      </c>
      <c r="I2880" s="43">
        <v>12</v>
      </c>
      <c r="J2880" s="44" t="str">
        <f>VLOOKUP(G2880,[1]硬件清单!$F:$F,1,0)</f>
        <v>06ACPL6</v>
      </c>
      <c r="K2880" s="43"/>
      <c r="L2880" s="44"/>
      <c r="M2880" s="45" t="s">
        <v>8868</v>
      </c>
    </row>
    <row r="2881" s="26" customFormat="1" ht="30" customHeight="1" spans="1:13">
      <c r="A2881" s="41">
        <f>IF(C2881="","",SUBTOTAL(103,$C$2:C2881))</f>
        <v>2872</v>
      </c>
      <c r="B2881" s="41">
        <v>10850</v>
      </c>
      <c r="C2881" s="41">
        <v>6309</v>
      </c>
      <c r="D2881" s="41" t="s">
        <v>45</v>
      </c>
      <c r="E2881" s="41" t="s">
        <v>1298</v>
      </c>
      <c r="F2881" s="41" t="s">
        <v>7734</v>
      </c>
      <c r="G2881" s="41" t="s">
        <v>8869</v>
      </c>
      <c r="H2881" s="41" t="s">
        <v>8870</v>
      </c>
      <c r="I2881" s="43">
        <v>12</v>
      </c>
      <c r="J2881" s="44" t="str">
        <f>VLOOKUP(G2881,[1]硬件清单!$F:$F,1,0)</f>
        <v>06ACPT5</v>
      </c>
      <c r="K2881" s="43"/>
      <c r="L2881" s="44"/>
      <c r="M2881" s="45" t="s">
        <v>8871</v>
      </c>
    </row>
    <row r="2882" s="26" customFormat="1" ht="30" customHeight="1" spans="1:13">
      <c r="A2882" s="41">
        <f>IF(C2882="","",SUBTOTAL(103,$C$2:C2882))</f>
        <v>2873</v>
      </c>
      <c r="B2882" s="41">
        <v>10851</v>
      </c>
      <c r="C2882" s="41">
        <v>6310</v>
      </c>
      <c r="D2882" s="41" t="s">
        <v>45</v>
      </c>
      <c r="E2882" s="41" t="s">
        <v>1298</v>
      </c>
      <c r="F2882" s="41" t="s">
        <v>7734</v>
      </c>
      <c r="G2882" s="41" t="s">
        <v>8872</v>
      </c>
      <c r="H2882" s="41" t="s">
        <v>8873</v>
      </c>
      <c r="I2882" s="43">
        <v>12</v>
      </c>
      <c r="J2882" s="44" t="str">
        <f>VLOOKUP(G2882,[1]硬件清单!$F:$F,1,0)</f>
        <v>06ACPA7</v>
      </c>
      <c r="K2882" s="43"/>
      <c r="L2882" s="44"/>
      <c r="M2882" s="45" t="s">
        <v>8874</v>
      </c>
    </row>
    <row r="2883" s="26" customFormat="1" ht="30" customHeight="1" spans="1:13">
      <c r="A2883" s="41">
        <f>IF(C2883="","",SUBTOTAL(103,$C$2:C2883))</f>
        <v>2874</v>
      </c>
      <c r="B2883" s="41">
        <v>10852</v>
      </c>
      <c r="C2883" s="41">
        <v>6311</v>
      </c>
      <c r="D2883" s="41" t="s">
        <v>45</v>
      </c>
      <c r="E2883" s="41" t="s">
        <v>1298</v>
      </c>
      <c r="F2883" s="41" t="s">
        <v>7734</v>
      </c>
      <c r="G2883" s="41" t="s">
        <v>8875</v>
      </c>
      <c r="H2883" s="41" t="s">
        <v>8876</v>
      </c>
      <c r="I2883" s="43">
        <v>12</v>
      </c>
      <c r="J2883" s="44" t="str">
        <f>VLOOKUP(G2883,[1]硬件清单!$F:$F,1,0)</f>
        <v>06ACPA4</v>
      </c>
      <c r="K2883" s="43"/>
      <c r="L2883" s="44"/>
      <c r="M2883" s="45" t="s">
        <v>8877</v>
      </c>
    </row>
    <row r="2884" s="26" customFormat="1" ht="30" customHeight="1" spans="1:13">
      <c r="A2884" s="41">
        <f>IF(C2884="","",SUBTOTAL(103,$C$2:C2884))</f>
        <v>2875</v>
      </c>
      <c r="B2884" s="41">
        <v>10853</v>
      </c>
      <c r="C2884" s="41">
        <v>6312</v>
      </c>
      <c r="D2884" s="41" t="s">
        <v>45</v>
      </c>
      <c r="E2884" s="41" t="s">
        <v>1298</v>
      </c>
      <c r="F2884" s="41" t="s">
        <v>7734</v>
      </c>
      <c r="G2884" s="41" t="s">
        <v>8878</v>
      </c>
      <c r="H2884" s="41" t="s">
        <v>8879</v>
      </c>
      <c r="I2884" s="43">
        <v>12</v>
      </c>
      <c r="J2884" s="44" t="str">
        <f>VLOOKUP(G2884,[1]硬件清单!$F:$F,1,0)</f>
        <v>06ACPH0</v>
      </c>
      <c r="K2884" s="43"/>
      <c r="L2884" s="44"/>
      <c r="M2884" s="45" t="s">
        <v>8880</v>
      </c>
    </row>
    <row r="2885" s="26" customFormat="1" ht="30" customHeight="1" spans="1:13">
      <c r="A2885" s="41">
        <f>IF(C2885="","",SUBTOTAL(103,$C$2:C2885))</f>
        <v>2876</v>
      </c>
      <c r="B2885" s="41">
        <v>10854</v>
      </c>
      <c r="C2885" s="41">
        <v>6008</v>
      </c>
      <c r="D2885" s="41" t="s">
        <v>45</v>
      </c>
      <c r="E2885" s="41" t="s">
        <v>1298</v>
      </c>
      <c r="F2885" s="41" t="s">
        <v>7734</v>
      </c>
      <c r="G2885" s="41" t="s">
        <v>8881</v>
      </c>
      <c r="H2885" s="41" t="s">
        <v>8882</v>
      </c>
      <c r="I2885" s="43">
        <v>12</v>
      </c>
      <c r="J2885" s="44" t="str">
        <f>VLOOKUP(G2885,[1]硬件清单!$F:$F,1,0)</f>
        <v>06ACNY6</v>
      </c>
      <c r="K2885" s="43"/>
      <c r="L2885" s="44"/>
      <c r="M2885" s="45" t="s">
        <v>8883</v>
      </c>
    </row>
    <row r="2886" s="26" customFormat="1" ht="30" customHeight="1" spans="1:13">
      <c r="A2886" s="41">
        <f>IF(C2886="","",SUBTOTAL(103,$C$2:C2886))</f>
        <v>2877</v>
      </c>
      <c r="B2886" s="41">
        <v>10855</v>
      </c>
      <c r="C2886" s="41">
        <v>15846</v>
      </c>
      <c r="D2886" s="41" t="s">
        <v>45</v>
      </c>
      <c r="E2886" s="41" t="s">
        <v>1298</v>
      </c>
      <c r="F2886" s="41" t="s">
        <v>6961</v>
      </c>
      <c r="G2886" s="41" t="s">
        <v>8884</v>
      </c>
      <c r="H2886" s="41" t="s">
        <v>8885</v>
      </c>
      <c r="I2886" s="43">
        <v>12</v>
      </c>
      <c r="J2886" s="44" t="str">
        <f>VLOOKUP(G2886,[1]硬件清单!$F:$F,1,0)</f>
        <v>99R7052</v>
      </c>
      <c r="K2886" s="43"/>
      <c r="L2886" s="44"/>
      <c r="M2886" s="45" t="s">
        <v>8886</v>
      </c>
    </row>
    <row r="2887" s="26" customFormat="1" ht="30" customHeight="1" spans="1:13">
      <c r="A2887" s="41">
        <f>IF(C2887="","",SUBTOTAL(103,$C$2:C2887))</f>
        <v>2878</v>
      </c>
      <c r="B2887" s="41">
        <v>10856</v>
      </c>
      <c r="C2887" s="41">
        <v>15847</v>
      </c>
      <c r="D2887" s="41" t="s">
        <v>45</v>
      </c>
      <c r="E2887" s="41" t="s">
        <v>1298</v>
      </c>
      <c r="F2887" s="41" t="s">
        <v>6961</v>
      </c>
      <c r="G2887" s="41" t="s">
        <v>8887</v>
      </c>
      <c r="H2887" s="41" t="s">
        <v>8888</v>
      </c>
      <c r="I2887" s="43">
        <v>12</v>
      </c>
      <c r="J2887" s="44" t="str">
        <f>VLOOKUP(G2887,[1]硬件清单!$F:$F,1,0)</f>
        <v>99R7064</v>
      </c>
      <c r="K2887" s="43"/>
      <c r="L2887" s="44"/>
      <c r="M2887" s="45" t="s">
        <v>8889</v>
      </c>
    </row>
    <row r="2888" s="26" customFormat="1" ht="30" customHeight="1" spans="1:13">
      <c r="A2888" s="41">
        <f>IF(C2888="","",SUBTOTAL(103,$C$2:C2888))</f>
        <v>2879</v>
      </c>
      <c r="B2888" s="41">
        <v>10857</v>
      </c>
      <c r="C2888" s="41">
        <v>7429</v>
      </c>
      <c r="D2888" s="41" t="s">
        <v>19</v>
      </c>
      <c r="E2888" s="41" t="s">
        <v>20</v>
      </c>
      <c r="F2888" s="41" t="s">
        <v>7727</v>
      </c>
      <c r="G2888" s="41" t="s">
        <v>8890</v>
      </c>
      <c r="H2888" s="41" t="s">
        <v>8891</v>
      </c>
      <c r="I2888" s="43">
        <v>12</v>
      </c>
      <c r="J2888" s="44" t="str">
        <f>VLOOKUP(G2888,[1]硬件清单!$F:$F,1,0)</f>
        <v>210235A1DWH149000110</v>
      </c>
      <c r="K2888" s="43"/>
      <c r="L2888" s="44"/>
      <c r="M2888" s="45" t="s">
        <v>8892</v>
      </c>
    </row>
    <row r="2889" s="26" customFormat="1" ht="30" customHeight="1" spans="1:13">
      <c r="A2889" s="41">
        <f>IF(C2889="","",SUBTOTAL(103,$C$2:C2889))</f>
        <v>2880</v>
      </c>
      <c r="B2889" s="41">
        <v>10858</v>
      </c>
      <c r="C2889" s="41">
        <v>7422</v>
      </c>
      <c r="D2889" s="41" t="s">
        <v>19</v>
      </c>
      <c r="E2889" s="41" t="s">
        <v>20</v>
      </c>
      <c r="F2889" s="41" t="s">
        <v>8893</v>
      </c>
      <c r="G2889" s="41" t="s">
        <v>8894</v>
      </c>
      <c r="H2889" s="41" t="s">
        <v>8895</v>
      </c>
      <c r="I2889" s="43">
        <v>12</v>
      </c>
      <c r="J2889" s="44" t="str">
        <f>VLOOKUP(G2889,[1]硬件清单!$F:$F,1,0)</f>
        <v>210235A0HAH139000180</v>
      </c>
      <c r="K2889" s="43"/>
      <c r="L2889" s="44"/>
      <c r="M2889" s="45" t="s">
        <v>8896</v>
      </c>
    </row>
    <row r="2890" s="26" customFormat="1" ht="30" customHeight="1" spans="1:13">
      <c r="A2890" s="41">
        <f>IF(C2890="","",SUBTOTAL(103,$C$2:C2890))</f>
        <v>2881</v>
      </c>
      <c r="B2890" s="41">
        <v>10859</v>
      </c>
      <c r="C2890" s="41">
        <v>3435</v>
      </c>
      <c r="D2890" s="41" t="s">
        <v>19</v>
      </c>
      <c r="E2890" s="41" t="s">
        <v>20</v>
      </c>
      <c r="F2890" s="41" t="s">
        <v>3525</v>
      </c>
      <c r="G2890" s="41" t="s">
        <v>8897</v>
      </c>
      <c r="H2890" s="41" t="s">
        <v>8898</v>
      </c>
      <c r="I2890" s="43">
        <v>12</v>
      </c>
      <c r="J2890" s="44" t="str">
        <f>VLOOKUP(G2890,[1]硬件清单!$F:$F,1,0)</f>
        <v>2102350DLVDMH9001489</v>
      </c>
      <c r="K2890" s="43"/>
      <c r="L2890" s="44"/>
      <c r="M2890" s="45" t="s">
        <v>8899</v>
      </c>
    </row>
    <row r="2891" s="26" customFormat="1" ht="30" customHeight="1" spans="1:13">
      <c r="A2891" s="41">
        <f>IF(C2891="","",SUBTOTAL(103,$C$2:C2891))</f>
        <v>2882</v>
      </c>
      <c r="B2891" s="41">
        <v>10860</v>
      </c>
      <c r="C2891" s="41">
        <v>7428</v>
      </c>
      <c r="D2891" s="41" t="s">
        <v>19</v>
      </c>
      <c r="E2891" s="41" t="s">
        <v>20</v>
      </c>
      <c r="F2891" s="41" t="s">
        <v>7727</v>
      </c>
      <c r="G2891" s="41" t="s">
        <v>8900</v>
      </c>
      <c r="H2891" s="41" t="s">
        <v>8901</v>
      </c>
      <c r="I2891" s="43">
        <v>12</v>
      </c>
      <c r="J2891" s="44" t="str">
        <f>VLOOKUP(G2891,[1]硬件清单!$F:$F,1,0)</f>
        <v>210235A1DWH149000080</v>
      </c>
      <c r="K2891" s="43"/>
      <c r="L2891" s="44"/>
      <c r="M2891" s="45" t="s">
        <v>8902</v>
      </c>
    </row>
    <row r="2892" s="26" customFormat="1" ht="30" customHeight="1" spans="1:13">
      <c r="A2892" s="41">
        <f>IF(C2892="","",SUBTOTAL(103,$C$2:C2892))</f>
        <v>2883</v>
      </c>
      <c r="B2892" s="41">
        <v>10861</v>
      </c>
      <c r="C2892" s="41">
        <v>7423</v>
      </c>
      <c r="D2892" s="41" t="s">
        <v>19</v>
      </c>
      <c r="E2892" s="41" t="s">
        <v>20</v>
      </c>
      <c r="F2892" s="41" t="s">
        <v>8893</v>
      </c>
      <c r="G2892" s="41" t="s">
        <v>8903</v>
      </c>
      <c r="H2892" s="41" t="s">
        <v>8904</v>
      </c>
      <c r="I2892" s="43">
        <v>12</v>
      </c>
      <c r="J2892" s="44" t="str">
        <f>VLOOKUP(G2892,[1]硬件清单!$F:$F,1,0)</f>
        <v>210235A0HAH13A000011</v>
      </c>
      <c r="K2892" s="43"/>
      <c r="L2892" s="44"/>
      <c r="M2892" s="45" t="s">
        <v>8905</v>
      </c>
    </row>
    <row r="2893" s="26" customFormat="1" ht="30" customHeight="1" spans="1:13">
      <c r="A2893" s="41">
        <f>IF(C2893="","",SUBTOTAL(103,$C$2:C2893))</f>
        <v>2884</v>
      </c>
      <c r="B2893" s="41">
        <v>10893</v>
      </c>
      <c r="C2893" s="46">
        <v>15427</v>
      </c>
      <c r="D2893" s="46" t="s">
        <v>45</v>
      </c>
      <c r="E2893" s="46" t="s">
        <v>246</v>
      </c>
      <c r="F2893" s="46" t="s">
        <v>1430</v>
      </c>
      <c r="G2893" s="41" t="s">
        <v>8906</v>
      </c>
      <c r="H2893" s="41" t="s">
        <v>8907</v>
      </c>
      <c r="I2893" s="43">
        <v>12</v>
      </c>
      <c r="J2893" s="44" t="str">
        <f>VLOOKUP(G2893,[1]硬件清单!$F:$F,1,0)</f>
        <v>SGH204YBJV</v>
      </c>
      <c r="K2893" s="43"/>
      <c r="L2893" s="44"/>
      <c r="M2893" s="45" t="s">
        <v>8908</v>
      </c>
    </row>
    <row r="2894" s="26" customFormat="1" ht="30" customHeight="1" spans="1:13">
      <c r="A2894" s="41">
        <f>IF(C2894="","",SUBTOTAL(103,$C$2:C2894))</f>
        <v>2885</v>
      </c>
      <c r="B2894" s="41">
        <v>10900</v>
      </c>
      <c r="C2894" s="41">
        <v>15547</v>
      </c>
      <c r="D2894" s="41" t="s">
        <v>45</v>
      </c>
      <c r="E2894" s="41" t="s">
        <v>246</v>
      </c>
      <c r="F2894" s="41" t="s">
        <v>6588</v>
      </c>
      <c r="G2894" s="41" t="s">
        <v>8909</v>
      </c>
      <c r="H2894" s="41" t="s">
        <v>8910</v>
      </c>
      <c r="I2894" s="43">
        <v>12</v>
      </c>
      <c r="J2894" s="44" t="str">
        <f>VLOOKUP(G2894,[1]硬件清单!$F:$F,1,0)</f>
        <v>SGH117XBS0</v>
      </c>
      <c r="K2894" s="43"/>
      <c r="L2894" s="44"/>
      <c r="M2894" s="45" t="s">
        <v>8911</v>
      </c>
    </row>
    <row r="2895" s="26" customFormat="1" ht="30" customHeight="1" spans="1:13">
      <c r="A2895" s="41">
        <f>IF(C2895="","",SUBTOTAL(103,$C$2:C2895))</f>
        <v>2886</v>
      </c>
      <c r="B2895" s="41">
        <v>10901</v>
      </c>
      <c r="C2895" s="46">
        <v>15428</v>
      </c>
      <c r="D2895" s="46" t="s">
        <v>45</v>
      </c>
      <c r="E2895" s="46" t="s">
        <v>246</v>
      </c>
      <c r="F2895" s="46" t="s">
        <v>1430</v>
      </c>
      <c r="G2895" s="41" t="s">
        <v>8912</v>
      </c>
      <c r="H2895" s="41" t="s">
        <v>8913</v>
      </c>
      <c r="I2895" s="43">
        <v>12</v>
      </c>
      <c r="J2895" s="44" t="str">
        <f>VLOOKUP(G2895,[1]硬件清单!$F:$F,1,0)</f>
        <v>SGH204YBZN</v>
      </c>
      <c r="K2895" s="43"/>
      <c r="L2895" s="44"/>
      <c r="M2895" s="45" t="s">
        <v>8914</v>
      </c>
    </row>
    <row r="2896" s="26" customFormat="1" ht="30" customHeight="1" spans="1:13">
      <c r="A2896" s="41">
        <f>IF(C2896="","",SUBTOTAL(103,$C$2:C2896))</f>
        <v>2887</v>
      </c>
      <c r="B2896" s="41">
        <v>10908</v>
      </c>
      <c r="C2896" s="41">
        <v>15545</v>
      </c>
      <c r="D2896" s="41" t="s">
        <v>45</v>
      </c>
      <c r="E2896" s="41" t="s">
        <v>246</v>
      </c>
      <c r="F2896" s="41" t="s">
        <v>6588</v>
      </c>
      <c r="G2896" s="41" t="s">
        <v>8915</v>
      </c>
      <c r="H2896" s="41" t="s">
        <v>8916</v>
      </c>
      <c r="I2896" s="43">
        <v>12</v>
      </c>
      <c r="J2896" s="44" t="str">
        <f>VLOOKUP(G2896,[1]硬件清单!$F:$F,1,0)</f>
        <v>SGH117XBR6</v>
      </c>
      <c r="K2896" s="43"/>
      <c r="L2896" s="44"/>
      <c r="M2896" s="45" t="s">
        <v>8917</v>
      </c>
    </row>
    <row r="2897" s="26" customFormat="1" ht="30" customHeight="1" spans="1:13">
      <c r="A2897" s="41">
        <f>IF(C2897="","",SUBTOTAL(103,$C$2:C2897))</f>
        <v>2888</v>
      </c>
      <c r="B2897" s="41">
        <v>10909</v>
      </c>
      <c r="C2897" s="41">
        <v>15546</v>
      </c>
      <c r="D2897" s="41" t="s">
        <v>45</v>
      </c>
      <c r="E2897" s="41" t="s">
        <v>246</v>
      </c>
      <c r="F2897" s="41" t="s">
        <v>6588</v>
      </c>
      <c r="G2897" s="41" t="s">
        <v>8918</v>
      </c>
      <c r="H2897" s="41" t="s">
        <v>8919</v>
      </c>
      <c r="I2897" s="43">
        <v>12</v>
      </c>
      <c r="J2897" s="44" t="str">
        <f>VLOOKUP(G2897,[1]硬件清单!$F:$F,1,0)</f>
        <v>SGH117XBSR</v>
      </c>
      <c r="K2897" s="43"/>
      <c r="L2897" s="44"/>
      <c r="M2897" s="45" t="s">
        <v>8920</v>
      </c>
    </row>
    <row r="2898" s="26" customFormat="1" ht="30" customHeight="1" spans="1:13">
      <c r="A2898" s="41">
        <f>IF(C2898="","",SUBTOTAL(103,$C$2:C2898))</f>
        <v>2889</v>
      </c>
      <c r="B2898" s="41">
        <v>11006</v>
      </c>
      <c r="C2898" s="46">
        <v>15980</v>
      </c>
      <c r="D2898" s="46" t="s">
        <v>45</v>
      </c>
      <c r="E2898" s="46" t="s">
        <v>1298</v>
      </c>
      <c r="F2898" s="46" t="s">
        <v>8426</v>
      </c>
      <c r="G2898" s="41" t="s">
        <v>8921</v>
      </c>
      <c r="H2898" s="41" t="s">
        <v>8922</v>
      </c>
      <c r="I2898" s="43">
        <v>12</v>
      </c>
      <c r="J2898" s="44" t="str">
        <f>VLOOKUP(G2898,[1]硬件清单!$F:$F,1,0)</f>
        <v>06MZMW1</v>
      </c>
      <c r="K2898" s="43"/>
      <c r="L2898" s="44"/>
      <c r="M2898" s="45" t="s">
        <v>8923</v>
      </c>
    </row>
    <row r="2899" s="26" customFormat="1" ht="30" customHeight="1" spans="1:13">
      <c r="A2899" s="41">
        <f>IF(C2899="","",SUBTOTAL(103,$C$2:C2899))</f>
        <v>2890</v>
      </c>
      <c r="B2899" s="41">
        <v>11007</v>
      </c>
      <c r="C2899" s="41">
        <v>6534</v>
      </c>
      <c r="D2899" s="41" t="s">
        <v>45</v>
      </c>
      <c r="E2899" s="41" t="s">
        <v>1298</v>
      </c>
      <c r="F2899" s="41" t="s">
        <v>7734</v>
      </c>
      <c r="G2899" s="41" t="s">
        <v>8924</v>
      </c>
      <c r="H2899" s="41" t="s">
        <v>8925</v>
      </c>
      <c r="I2899" s="43">
        <v>12</v>
      </c>
      <c r="J2899" s="44" t="str">
        <f>VLOOKUP(G2899,[1]硬件清单!$F:$F,1,0)</f>
        <v>06ACNL3</v>
      </c>
      <c r="K2899" s="43"/>
      <c r="L2899" s="44"/>
      <c r="M2899" s="45" t="s">
        <v>8926</v>
      </c>
    </row>
    <row r="2900" s="26" customFormat="1" ht="30" customHeight="1" spans="1:13">
      <c r="A2900" s="41">
        <f>IF(C2900="","",SUBTOTAL(103,$C$2:C2900))</f>
        <v>2891</v>
      </c>
      <c r="B2900" s="41">
        <v>11008</v>
      </c>
      <c r="C2900" s="41">
        <v>6531</v>
      </c>
      <c r="D2900" s="41" t="s">
        <v>45</v>
      </c>
      <c r="E2900" s="41" t="s">
        <v>1298</v>
      </c>
      <c r="F2900" s="41" t="s">
        <v>7734</v>
      </c>
      <c r="G2900" s="41" t="s">
        <v>8927</v>
      </c>
      <c r="H2900" s="41" t="s">
        <v>8928</v>
      </c>
      <c r="I2900" s="43">
        <v>12</v>
      </c>
      <c r="J2900" s="44" t="str">
        <f>VLOOKUP(G2900,[1]硬件清单!$F:$F,1,0)</f>
        <v>06ACPM1</v>
      </c>
      <c r="K2900" s="43"/>
      <c r="L2900" s="44"/>
      <c r="M2900" s="45" t="s">
        <v>8929</v>
      </c>
    </row>
    <row r="2901" s="26" customFormat="1" ht="30" customHeight="1" spans="1:13">
      <c r="A2901" s="41">
        <f>IF(C2901="","",SUBTOTAL(103,$C$2:C2901))</f>
        <v>2892</v>
      </c>
      <c r="B2901" s="41">
        <v>11009</v>
      </c>
      <c r="C2901" s="41">
        <v>6529</v>
      </c>
      <c r="D2901" s="41" t="s">
        <v>45</v>
      </c>
      <c r="E2901" s="41" t="s">
        <v>1298</v>
      </c>
      <c r="F2901" s="41" t="s">
        <v>7734</v>
      </c>
      <c r="G2901" s="41" t="s">
        <v>8930</v>
      </c>
      <c r="H2901" s="41" t="s">
        <v>8931</v>
      </c>
      <c r="I2901" s="43">
        <v>12</v>
      </c>
      <c r="J2901" s="44" t="str">
        <f>VLOOKUP(G2901,[1]硬件清单!$F:$F,1,0)</f>
        <v>06ACNL0</v>
      </c>
      <c r="K2901" s="43"/>
      <c r="L2901" s="44"/>
      <c r="M2901" s="45" t="s">
        <v>8932</v>
      </c>
    </row>
    <row r="2902" s="26" customFormat="1" ht="30" customHeight="1" spans="1:13">
      <c r="A2902" s="41">
        <f>IF(C2902="","",SUBTOTAL(103,$C$2:C2902))</f>
        <v>2893</v>
      </c>
      <c r="B2902" s="41">
        <v>11010</v>
      </c>
      <c r="C2902" s="41">
        <v>6538</v>
      </c>
      <c r="D2902" s="41" t="s">
        <v>45</v>
      </c>
      <c r="E2902" s="41" t="s">
        <v>1298</v>
      </c>
      <c r="F2902" s="41" t="s">
        <v>7734</v>
      </c>
      <c r="G2902" s="41" t="s">
        <v>8933</v>
      </c>
      <c r="H2902" s="41" t="s">
        <v>8934</v>
      </c>
      <c r="I2902" s="43">
        <v>12</v>
      </c>
      <c r="J2902" s="44" t="str">
        <f>VLOOKUP(G2902,[1]硬件清单!$F:$F,1,0)</f>
        <v>06ACNR1</v>
      </c>
      <c r="K2902" s="43"/>
      <c r="L2902" s="44"/>
      <c r="M2902" s="45" t="s">
        <v>8935</v>
      </c>
    </row>
    <row r="2903" s="26" customFormat="1" ht="30" customHeight="1" spans="1:13">
      <c r="A2903" s="41">
        <f>IF(C2903="","",SUBTOTAL(103,$C$2:C2903))</f>
        <v>2894</v>
      </c>
      <c r="B2903" s="41">
        <v>11011</v>
      </c>
      <c r="C2903" s="46">
        <v>15982</v>
      </c>
      <c r="D2903" s="46" t="s">
        <v>45</v>
      </c>
      <c r="E2903" s="46" t="s">
        <v>1298</v>
      </c>
      <c r="F2903" s="46" t="s">
        <v>8426</v>
      </c>
      <c r="G2903" s="41" t="s">
        <v>8936</v>
      </c>
      <c r="H2903" s="41" t="s">
        <v>8937</v>
      </c>
      <c r="I2903" s="43">
        <v>12</v>
      </c>
      <c r="J2903" s="44" t="str">
        <f>VLOOKUP(G2903,[1]硬件清单!$F:$F,1,0)</f>
        <v>06MZMW3</v>
      </c>
      <c r="K2903" s="43"/>
      <c r="L2903" s="44"/>
      <c r="M2903" s="45" t="s">
        <v>8938</v>
      </c>
    </row>
    <row r="2904" s="26" customFormat="1" ht="30" customHeight="1" spans="1:13">
      <c r="A2904" s="41">
        <f>IF(C2904="","",SUBTOTAL(103,$C$2:C2904))</f>
        <v>2895</v>
      </c>
      <c r="B2904" s="41">
        <v>11012</v>
      </c>
      <c r="C2904" s="46">
        <v>15983</v>
      </c>
      <c r="D2904" s="46" t="s">
        <v>45</v>
      </c>
      <c r="E2904" s="46" t="s">
        <v>1298</v>
      </c>
      <c r="F2904" s="46" t="s">
        <v>8426</v>
      </c>
      <c r="G2904" s="41" t="s">
        <v>8939</v>
      </c>
      <c r="H2904" s="41" t="s">
        <v>8940</v>
      </c>
      <c r="I2904" s="43">
        <v>12</v>
      </c>
      <c r="J2904" s="44" t="str">
        <f>VLOOKUP(G2904,[1]硬件清单!$F:$F,1,0)</f>
        <v>06MZMW4</v>
      </c>
      <c r="K2904" s="43"/>
      <c r="L2904" s="44"/>
      <c r="M2904" s="45" t="s">
        <v>8941</v>
      </c>
    </row>
    <row r="2905" s="26" customFormat="1" ht="30" customHeight="1" spans="1:13">
      <c r="A2905" s="41">
        <f>IF(C2905="","",SUBTOTAL(103,$C$2:C2905))</f>
        <v>2896</v>
      </c>
      <c r="B2905" s="41">
        <v>11013</v>
      </c>
      <c r="C2905" s="46">
        <v>15985</v>
      </c>
      <c r="D2905" s="46" t="s">
        <v>45</v>
      </c>
      <c r="E2905" s="46" t="s">
        <v>1298</v>
      </c>
      <c r="F2905" s="46" t="s">
        <v>8426</v>
      </c>
      <c r="G2905" s="41" t="s">
        <v>8942</v>
      </c>
      <c r="H2905" s="41" t="s">
        <v>8943</v>
      </c>
      <c r="I2905" s="43">
        <v>12</v>
      </c>
      <c r="J2905" s="44" t="str">
        <f>VLOOKUP(G2905,[1]硬件清单!$F:$F,1,0)</f>
        <v>06MZMW9</v>
      </c>
      <c r="K2905" s="43"/>
      <c r="L2905" s="44"/>
      <c r="M2905" s="45" t="s">
        <v>8944</v>
      </c>
    </row>
    <row r="2906" s="26" customFormat="1" ht="30" customHeight="1" spans="1:13">
      <c r="A2906" s="41">
        <f>IF(C2906="","",SUBTOTAL(103,$C$2:C2906))</f>
        <v>2897</v>
      </c>
      <c r="B2906" s="41">
        <v>11014</v>
      </c>
      <c r="C2906" s="41">
        <v>15984</v>
      </c>
      <c r="D2906" s="41" t="s">
        <v>45</v>
      </c>
      <c r="E2906" s="41" t="s">
        <v>1298</v>
      </c>
      <c r="F2906" s="41" t="s">
        <v>8426</v>
      </c>
      <c r="G2906" s="41" t="s">
        <v>8945</v>
      </c>
      <c r="H2906" s="41" t="s">
        <v>8946</v>
      </c>
      <c r="I2906" s="43">
        <v>12</v>
      </c>
      <c r="J2906" s="44" t="str">
        <f>VLOOKUP(G2906,[1]硬件清单!$F:$F,1,0)</f>
        <v>06ACNK9</v>
      </c>
      <c r="K2906" s="43"/>
      <c r="L2906" s="44"/>
      <c r="M2906" s="45" t="s">
        <v>8947</v>
      </c>
    </row>
    <row r="2907" s="26" customFormat="1" ht="30" customHeight="1" spans="1:13">
      <c r="A2907" s="41">
        <f>IF(C2907="","",SUBTOTAL(103,$C$2:C2907))</f>
        <v>2898</v>
      </c>
      <c r="B2907" s="41">
        <v>11015</v>
      </c>
      <c r="C2907" s="46">
        <v>15981</v>
      </c>
      <c r="D2907" s="46" t="s">
        <v>45</v>
      </c>
      <c r="E2907" s="46" t="s">
        <v>1298</v>
      </c>
      <c r="F2907" s="46" t="s">
        <v>8426</v>
      </c>
      <c r="G2907" s="41" t="s">
        <v>8948</v>
      </c>
      <c r="H2907" s="41" t="s">
        <v>8949</v>
      </c>
      <c r="I2907" s="43">
        <v>12</v>
      </c>
      <c r="J2907" s="44" t="str">
        <f>VLOOKUP(G2907,[1]硬件清单!$F:$F,1,0)</f>
        <v>06MZMW2</v>
      </c>
      <c r="K2907" s="43"/>
      <c r="L2907" s="44"/>
      <c r="M2907" s="45" t="s">
        <v>8950</v>
      </c>
    </row>
    <row r="2908" s="26" customFormat="1" ht="30" customHeight="1" spans="1:13">
      <c r="A2908" s="41">
        <f>IF(C2908="","",SUBTOTAL(103,$C$2:C2908))</f>
        <v>2899</v>
      </c>
      <c r="B2908" s="41">
        <v>11016</v>
      </c>
      <c r="C2908" s="46">
        <v>15979</v>
      </c>
      <c r="D2908" s="46" t="s">
        <v>45</v>
      </c>
      <c r="E2908" s="46" t="s">
        <v>1298</v>
      </c>
      <c r="F2908" s="46" t="s">
        <v>8426</v>
      </c>
      <c r="G2908" s="41" t="s">
        <v>8951</v>
      </c>
      <c r="H2908" s="41" t="s">
        <v>8952</v>
      </c>
      <c r="I2908" s="43">
        <v>12</v>
      </c>
      <c r="J2908" s="44" t="str">
        <f>VLOOKUP(G2908,[1]硬件清单!$F:$F,1,0)</f>
        <v>06MZMW0</v>
      </c>
      <c r="K2908" s="43"/>
      <c r="L2908" s="44"/>
      <c r="M2908" s="45" t="s">
        <v>8953</v>
      </c>
    </row>
    <row r="2909" s="26" customFormat="1" ht="30" customHeight="1" spans="1:13">
      <c r="A2909" s="41">
        <f>IF(C2909="","",SUBTOTAL(103,$C$2:C2909))</f>
        <v>2900</v>
      </c>
      <c r="B2909" s="41">
        <v>11017</v>
      </c>
      <c r="C2909" s="46">
        <v>16006</v>
      </c>
      <c r="D2909" s="46" t="s">
        <v>45</v>
      </c>
      <c r="E2909" s="46" t="s">
        <v>1298</v>
      </c>
      <c r="F2909" s="46" t="s">
        <v>8426</v>
      </c>
      <c r="G2909" s="41" t="s">
        <v>8954</v>
      </c>
      <c r="H2909" s="41" t="s">
        <v>8955</v>
      </c>
      <c r="I2909" s="43">
        <v>12</v>
      </c>
      <c r="J2909" s="44" t="str">
        <f>VLOOKUP(G2909,[1]硬件清单!$F:$F,1,0)</f>
        <v>06MZMV1</v>
      </c>
      <c r="K2909" s="43"/>
      <c r="L2909" s="44"/>
      <c r="M2909" s="45" t="s">
        <v>8956</v>
      </c>
    </row>
    <row r="2910" s="26" customFormat="1" ht="30" customHeight="1" spans="1:13">
      <c r="A2910" s="41">
        <f>IF(C2910="","",SUBTOTAL(103,$C$2:C2910))</f>
        <v>2901</v>
      </c>
      <c r="B2910" s="41">
        <v>11018</v>
      </c>
      <c r="C2910" s="46">
        <v>16007</v>
      </c>
      <c r="D2910" s="46" t="s">
        <v>45</v>
      </c>
      <c r="E2910" s="46" t="s">
        <v>1298</v>
      </c>
      <c r="F2910" s="46" t="s">
        <v>8426</v>
      </c>
      <c r="G2910" s="41" t="s">
        <v>8957</v>
      </c>
      <c r="H2910" s="41" t="s">
        <v>8958</v>
      </c>
      <c r="I2910" s="43">
        <v>12</v>
      </c>
      <c r="J2910" s="44" t="str">
        <f>VLOOKUP(G2910,[1]硬件清单!$F:$F,1,0)</f>
        <v>06MZMV7</v>
      </c>
      <c r="K2910" s="43"/>
      <c r="L2910" s="44"/>
      <c r="M2910" s="45" t="s">
        <v>8959</v>
      </c>
    </row>
    <row r="2911" s="26" customFormat="1" ht="30" customHeight="1" spans="1:13">
      <c r="A2911" s="41">
        <f>IF(C2911="","",SUBTOTAL(103,$C$2:C2911))</f>
        <v>2902</v>
      </c>
      <c r="B2911" s="41">
        <v>11019</v>
      </c>
      <c r="C2911" s="46">
        <v>16008</v>
      </c>
      <c r="D2911" s="46" t="s">
        <v>45</v>
      </c>
      <c r="E2911" s="46" t="s">
        <v>1298</v>
      </c>
      <c r="F2911" s="46" t="s">
        <v>8426</v>
      </c>
      <c r="G2911" s="41" t="s">
        <v>8960</v>
      </c>
      <c r="H2911" s="41" t="s">
        <v>8961</v>
      </c>
      <c r="I2911" s="43">
        <v>12</v>
      </c>
      <c r="J2911" s="44" t="str">
        <f>VLOOKUP(G2911,[1]硬件清单!$F:$F,1,0)</f>
        <v>06MZMV4</v>
      </c>
      <c r="K2911" s="43"/>
      <c r="L2911" s="44"/>
      <c r="M2911" s="45" t="s">
        <v>8962</v>
      </c>
    </row>
    <row r="2912" s="26" customFormat="1" ht="30" customHeight="1" spans="1:13">
      <c r="A2912" s="41">
        <f>IF(C2912="","",SUBTOTAL(103,$C$2:C2912))</f>
        <v>2903</v>
      </c>
      <c r="B2912" s="41">
        <v>11020</v>
      </c>
      <c r="C2912" s="46">
        <v>16009</v>
      </c>
      <c r="D2912" s="46" t="s">
        <v>45</v>
      </c>
      <c r="E2912" s="46" t="s">
        <v>1298</v>
      </c>
      <c r="F2912" s="46" t="s">
        <v>8426</v>
      </c>
      <c r="G2912" s="41" t="s">
        <v>8963</v>
      </c>
      <c r="H2912" s="41" t="s">
        <v>8964</v>
      </c>
      <c r="I2912" s="43">
        <v>12</v>
      </c>
      <c r="J2912" s="44" t="str">
        <f>VLOOKUP(G2912,[1]硬件清单!$F:$F,1,0)</f>
        <v>06MZMV3</v>
      </c>
      <c r="K2912" s="43"/>
      <c r="L2912" s="44"/>
      <c r="M2912" s="45" t="s">
        <v>8965</v>
      </c>
    </row>
    <row r="2913" s="26" customFormat="1" ht="30" customHeight="1" spans="1:13">
      <c r="A2913" s="41">
        <f>IF(C2913="","",SUBTOTAL(103,$C$2:C2913))</f>
        <v>2904</v>
      </c>
      <c r="B2913" s="41">
        <v>11021</v>
      </c>
      <c r="C2913" s="46">
        <v>16010</v>
      </c>
      <c r="D2913" s="46" t="s">
        <v>45</v>
      </c>
      <c r="E2913" s="46" t="s">
        <v>1298</v>
      </c>
      <c r="F2913" s="46" t="s">
        <v>8426</v>
      </c>
      <c r="G2913" s="41" t="s">
        <v>8966</v>
      </c>
      <c r="H2913" s="41" t="s">
        <v>8967</v>
      </c>
      <c r="I2913" s="43">
        <v>12</v>
      </c>
      <c r="J2913" s="44" t="str">
        <f>VLOOKUP(G2913,[1]硬件清单!$F:$F,1,0)</f>
        <v>06MZMV2</v>
      </c>
      <c r="K2913" s="43"/>
      <c r="L2913" s="44"/>
      <c r="M2913" s="45" t="s">
        <v>8968</v>
      </c>
    </row>
    <row r="2914" s="26" customFormat="1" ht="30" customHeight="1" spans="1:13">
      <c r="A2914" s="41">
        <f>IF(C2914="","",SUBTOTAL(103,$C$2:C2914))</f>
        <v>2905</v>
      </c>
      <c r="B2914" s="41">
        <v>11022</v>
      </c>
      <c r="C2914" s="46">
        <v>16011</v>
      </c>
      <c r="D2914" s="46" t="s">
        <v>45</v>
      </c>
      <c r="E2914" s="46" t="s">
        <v>1298</v>
      </c>
      <c r="F2914" s="46" t="s">
        <v>8426</v>
      </c>
      <c r="G2914" s="41" t="s">
        <v>8969</v>
      </c>
      <c r="H2914" s="41" t="s">
        <v>8970</v>
      </c>
      <c r="I2914" s="43">
        <v>12</v>
      </c>
      <c r="J2914" s="44" t="str">
        <f>VLOOKUP(G2914,[1]硬件清单!$F:$F,1,0)</f>
        <v>06MZMV6</v>
      </c>
      <c r="K2914" s="43"/>
      <c r="L2914" s="44"/>
      <c r="M2914" s="45" t="s">
        <v>8971</v>
      </c>
    </row>
    <row r="2915" s="26" customFormat="1" ht="30" customHeight="1" spans="1:13">
      <c r="A2915" s="41">
        <f>IF(C2915="","",SUBTOTAL(103,$C$2:C2915))</f>
        <v>2906</v>
      </c>
      <c r="B2915" s="41">
        <v>11023</v>
      </c>
      <c r="C2915" s="46">
        <v>16012</v>
      </c>
      <c r="D2915" s="46" t="s">
        <v>45</v>
      </c>
      <c r="E2915" s="46" t="s">
        <v>1298</v>
      </c>
      <c r="F2915" s="46" t="s">
        <v>8426</v>
      </c>
      <c r="G2915" s="41" t="s">
        <v>8972</v>
      </c>
      <c r="H2915" s="41" t="s">
        <v>8973</v>
      </c>
      <c r="I2915" s="43">
        <v>12</v>
      </c>
      <c r="J2915" s="44" t="str">
        <f>VLOOKUP(G2915,[1]硬件清单!$F:$F,1,0)</f>
        <v>06MZMV5</v>
      </c>
      <c r="K2915" s="43"/>
      <c r="L2915" s="44"/>
      <c r="M2915" s="45" t="s">
        <v>8974</v>
      </c>
    </row>
    <row r="2916" s="26" customFormat="1" ht="30" customHeight="1" spans="1:13">
      <c r="A2916" s="41">
        <f>IF(C2916="","",SUBTOTAL(103,$C$2:C2916))</f>
        <v>2907</v>
      </c>
      <c r="B2916" s="41">
        <v>11024</v>
      </c>
      <c r="C2916" s="41">
        <v>6536</v>
      </c>
      <c r="D2916" s="41" t="s">
        <v>45</v>
      </c>
      <c r="E2916" s="41" t="s">
        <v>1298</v>
      </c>
      <c r="F2916" s="41" t="s">
        <v>7734</v>
      </c>
      <c r="G2916" s="41" t="s">
        <v>8975</v>
      </c>
      <c r="H2916" s="41" t="s">
        <v>8976</v>
      </c>
      <c r="I2916" s="43">
        <v>12</v>
      </c>
      <c r="J2916" s="44" t="str">
        <f>VLOOKUP(G2916,[1]硬件清单!$F:$F,1,0)</f>
        <v>06ACNK8</v>
      </c>
      <c r="K2916" s="43"/>
      <c r="L2916" s="44"/>
      <c r="M2916" s="45" t="s">
        <v>8977</v>
      </c>
    </row>
    <row r="2917" s="26" customFormat="1" ht="30" customHeight="1" spans="1:13">
      <c r="A2917" s="41">
        <f>IF(C2917="","",SUBTOTAL(103,$C$2:C2917))</f>
        <v>2908</v>
      </c>
      <c r="B2917" s="41">
        <v>11025</v>
      </c>
      <c r="C2917" s="41">
        <v>6533</v>
      </c>
      <c r="D2917" s="41" t="s">
        <v>45</v>
      </c>
      <c r="E2917" s="41" t="s">
        <v>1298</v>
      </c>
      <c r="F2917" s="41" t="s">
        <v>7734</v>
      </c>
      <c r="G2917" s="41" t="s">
        <v>8978</v>
      </c>
      <c r="H2917" s="41" t="s">
        <v>8979</v>
      </c>
      <c r="I2917" s="43">
        <v>12</v>
      </c>
      <c r="J2917" s="44" t="str">
        <f>VLOOKUP(G2917,[1]硬件清单!$F:$F,1,0)</f>
        <v>06ACNL1</v>
      </c>
      <c r="K2917" s="43"/>
      <c r="L2917" s="44"/>
      <c r="M2917" s="45" t="s">
        <v>8980</v>
      </c>
    </row>
    <row r="2918" s="26" customFormat="1" ht="30" customHeight="1" spans="1:13">
      <c r="A2918" s="41">
        <f>IF(C2918="","",SUBTOTAL(103,$C$2:C2918))</f>
        <v>2909</v>
      </c>
      <c r="B2918" s="41">
        <v>11026</v>
      </c>
      <c r="C2918" s="41">
        <v>6530</v>
      </c>
      <c r="D2918" s="41" t="s">
        <v>45</v>
      </c>
      <c r="E2918" s="41" t="s">
        <v>1298</v>
      </c>
      <c r="F2918" s="41" t="s">
        <v>7734</v>
      </c>
      <c r="G2918" s="41" t="s">
        <v>8981</v>
      </c>
      <c r="H2918" s="41" t="s">
        <v>8982</v>
      </c>
      <c r="I2918" s="43">
        <v>12</v>
      </c>
      <c r="J2918" s="44" t="str">
        <f>VLOOKUP(G2918,[1]硬件清单!$F:$F,1,0)</f>
        <v>06ACPM3</v>
      </c>
      <c r="K2918" s="43"/>
      <c r="L2918" s="44"/>
      <c r="M2918" s="45" t="s">
        <v>8983</v>
      </c>
    </row>
    <row r="2919" s="26" customFormat="1" ht="30" customHeight="1" spans="1:13">
      <c r="A2919" s="41">
        <f>IF(C2919="","",SUBTOTAL(103,$C$2:C2919))</f>
        <v>2910</v>
      </c>
      <c r="B2919" s="41">
        <v>11027</v>
      </c>
      <c r="C2919" s="41">
        <v>6537</v>
      </c>
      <c r="D2919" s="41" t="s">
        <v>45</v>
      </c>
      <c r="E2919" s="41" t="s">
        <v>1298</v>
      </c>
      <c r="F2919" s="41" t="s">
        <v>7734</v>
      </c>
      <c r="G2919" s="41" t="s">
        <v>8984</v>
      </c>
      <c r="H2919" s="41" t="s">
        <v>8985</v>
      </c>
      <c r="I2919" s="43">
        <v>12</v>
      </c>
      <c r="J2919" s="44" t="str">
        <f>VLOOKUP(G2919,[1]硬件清单!$F:$F,1,0)</f>
        <v>06ACNL2</v>
      </c>
      <c r="K2919" s="43"/>
      <c r="L2919" s="44"/>
      <c r="M2919" s="45" t="s">
        <v>8986</v>
      </c>
    </row>
    <row r="2920" s="26" customFormat="1" ht="30" customHeight="1" spans="1:13">
      <c r="A2920" s="41">
        <f>IF(C2920="","",SUBTOTAL(103,$C$2:C2920))</f>
        <v>2911</v>
      </c>
      <c r="B2920" s="41">
        <v>11028</v>
      </c>
      <c r="C2920" s="41">
        <v>6539</v>
      </c>
      <c r="D2920" s="41" t="s">
        <v>45</v>
      </c>
      <c r="E2920" s="41" t="s">
        <v>1298</v>
      </c>
      <c r="F2920" s="41" t="s">
        <v>7734</v>
      </c>
      <c r="G2920" s="41" t="s">
        <v>8987</v>
      </c>
      <c r="H2920" s="41" t="s">
        <v>8988</v>
      </c>
      <c r="I2920" s="43">
        <v>12</v>
      </c>
      <c r="J2920" s="44" t="str">
        <f>VLOOKUP(G2920,[1]硬件清单!$F:$F,1,0)</f>
        <v>06ACNL4</v>
      </c>
      <c r="K2920" s="43"/>
      <c r="L2920" s="44"/>
      <c r="M2920" s="45" t="s">
        <v>8989</v>
      </c>
    </row>
    <row r="2921" s="26" customFormat="1" ht="30" customHeight="1" spans="1:13">
      <c r="A2921" s="41">
        <f>IF(C2921="","",SUBTOTAL(103,$C$2:C2921))</f>
        <v>2912</v>
      </c>
      <c r="B2921" s="41">
        <v>11115</v>
      </c>
      <c r="C2921" s="41">
        <v>3600</v>
      </c>
      <c r="D2921" s="41" t="s">
        <v>45</v>
      </c>
      <c r="E2921" s="41" t="s">
        <v>1298</v>
      </c>
      <c r="F2921" s="41" t="s">
        <v>4535</v>
      </c>
      <c r="G2921" s="41" t="s">
        <v>8990</v>
      </c>
      <c r="H2921" s="41" t="s">
        <v>8991</v>
      </c>
      <c r="I2921" s="43">
        <v>12</v>
      </c>
      <c r="J2921" s="44" t="str">
        <f>VLOOKUP(G2921,[1]硬件清单!$F:$F,1,0)</f>
        <v>J33GRZ7</v>
      </c>
      <c r="K2921" s="43"/>
      <c r="L2921" s="44"/>
      <c r="M2921" s="45" t="s">
        <v>8992</v>
      </c>
    </row>
    <row r="2922" s="26" customFormat="1" ht="30" customHeight="1" spans="1:13">
      <c r="A2922" s="41">
        <f>IF(C2922="","",SUBTOTAL(103,$C$2:C2922))</f>
        <v>2913</v>
      </c>
      <c r="B2922" s="41">
        <v>11116</v>
      </c>
      <c r="C2922" s="41">
        <v>3599</v>
      </c>
      <c r="D2922" s="41" t="s">
        <v>45</v>
      </c>
      <c r="E2922" s="41" t="s">
        <v>1298</v>
      </c>
      <c r="F2922" s="41" t="s">
        <v>4535</v>
      </c>
      <c r="G2922" s="41" t="s">
        <v>8993</v>
      </c>
      <c r="H2922" s="41" t="s">
        <v>8994</v>
      </c>
      <c r="I2922" s="43">
        <v>12</v>
      </c>
      <c r="J2922" s="44" t="str">
        <f>VLOOKUP(G2922,[1]硬件清单!$F:$F,1,0)</f>
        <v>J33GRZ5</v>
      </c>
      <c r="K2922" s="43"/>
      <c r="L2922" s="44"/>
      <c r="M2922" s="45" t="s">
        <v>8995</v>
      </c>
    </row>
    <row r="2923" s="26" customFormat="1" ht="30" customHeight="1" spans="1:13">
      <c r="A2923" s="41">
        <f>IF(C2923="","",SUBTOTAL(103,$C$2:C2923))</f>
        <v>2914</v>
      </c>
      <c r="B2923" s="41">
        <v>11117</v>
      </c>
      <c r="C2923" s="46">
        <v>14184</v>
      </c>
      <c r="D2923" s="46" t="s">
        <v>45</v>
      </c>
      <c r="E2923" s="46" t="s">
        <v>1298</v>
      </c>
      <c r="F2923" s="46" t="s">
        <v>8996</v>
      </c>
      <c r="G2923" s="41" t="s">
        <v>8997</v>
      </c>
      <c r="H2923" s="41" t="s">
        <v>8998</v>
      </c>
      <c r="I2923" s="43">
        <v>12</v>
      </c>
      <c r="J2923" s="44" t="str">
        <f>VLOOKUP(G2923,[1]硬件清单!$F:$F,1,0)</f>
        <v>J320EAB</v>
      </c>
      <c r="K2923" s="43"/>
      <c r="L2923" s="44"/>
      <c r="M2923" s="45" t="s">
        <v>8999</v>
      </c>
    </row>
    <row r="2924" s="26" customFormat="1" ht="30" customHeight="1" spans="1:13">
      <c r="A2924" s="41">
        <f>IF(C2924="","",SUBTOTAL(103,$C$2:C2924))</f>
        <v>2915</v>
      </c>
      <c r="B2924" s="41">
        <v>11118</v>
      </c>
      <c r="C2924" s="46">
        <v>14183</v>
      </c>
      <c r="D2924" s="46" t="s">
        <v>45</v>
      </c>
      <c r="E2924" s="46" t="s">
        <v>1298</v>
      </c>
      <c r="F2924" s="46" t="s">
        <v>8996</v>
      </c>
      <c r="G2924" s="41" t="s">
        <v>9000</v>
      </c>
      <c r="H2924" s="41" t="s">
        <v>9001</v>
      </c>
      <c r="I2924" s="43">
        <v>12</v>
      </c>
      <c r="J2924" s="44" t="str">
        <f>VLOOKUP(G2924,[1]硬件清单!$F:$F,1,0)</f>
        <v>J320EAC</v>
      </c>
      <c r="K2924" s="43"/>
      <c r="L2924" s="44"/>
      <c r="M2924" s="45" t="s">
        <v>9002</v>
      </c>
    </row>
    <row r="2925" s="26" customFormat="1" ht="30" customHeight="1" spans="1:13">
      <c r="A2925" s="41">
        <f>IF(C2925="","",SUBTOTAL(103,$C$2:C2925))</f>
        <v>2916</v>
      </c>
      <c r="B2925" s="41">
        <v>11207</v>
      </c>
      <c r="C2925" s="41">
        <v>3597</v>
      </c>
      <c r="D2925" s="41" t="s">
        <v>45</v>
      </c>
      <c r="E2925" s="41" t="s">
        <v>1298</v>
      </c>
      <c r="F2925" s="41" t="s">
        <v>4535</v>
      </c>
      <c r="G2925" s="41" t="s">
        <v>9003</v>
      </c>
      <c r="H2925" s="41" t="s">
        <v>9004</v>
      </c>
      <c r="I2925" s="43">
        <v>12</v>
      </c>
      <c r="J2925" s="44" t="str">
        <f>VLOOKUP(G2925,[1]硬件清单!$F:$F,1,0)</f>
        <v>J33GRZ6</v>
      </c>
      <c r="K2925" s="43"/>
      <c r="L2925" s="44"/>
      <c r="M2925" s="45" t="s">
        <v>9005</v>
      </c>
    </row>
    <row r="2926" s="26" customFormat="1" ht="30" customHeight="1" spans="1:13">
      <c r="A2926" s="41">
        <f>IF(C2926="","",SUBTOTAL(103,$C$2:C2926))</f>
        <v>2917</v>
      </c>
      <c r="B2926" s="41">
        <v>11208</v>
      </c>
      <c r="C2926" s="41">
        <v>3598</v>
      </c>
      <c r="D2926" s="41" t="s">
        <v>45</v>
      </c>
      <c r="E2926" s="41" t="s">
        <v>1298</v>
      </c>
      <c r="F2926" s="41" t="s">
        <v>4535</v>
      </c>
      <c r="G2926" s="41" t="s">
        <v>9006</v>
      </c>
      <c r="H2926" s="41" t="s">
        <v>9007</v>
      </c>
      <c r="I2926" s="43">
        <v>12</v>
      </c>
      <c r="J2926" s="44" t="str">
        <f>VLOOKUP(G2926,[1]硬件清单!$F:$F,1,0)</f>
        <v>J33GRZ8</v>
      </c>
      <c r="K2926" s="43"/>
      <c r="L2926" s="44"/>
      <c r="M2926" s="45" t="s">
        <v>9008</v>
      </c>
    </row>
    <row r="2927" s="26" customFormat="1" ht="30" customHeight="1" spans="1:13">
      <c r="A2927" s="41">
        <f>IF(C2927="","",SUBTOTAL(103,$C$2:C2927))</f>
        <v>2918</v>
      </c>
      <c r="B2927" s="41">
        <v>11302</v>
      </c>
      <c r="C2927" s="46">
        <v>2969</v>
      </c>
      <c r="D2927" s="46" t="s">
        <v>19</v>
      </c>
      <c r="E2927" s="46" t="s">
        <v>20</v>
      </c>
      <c r="F2927" s="46" t="s">
        <v>9009</v>
      </c>
      <c r="G2927" s="41" t="s">
        <v>9010</v>
      </c>
      <c r="H2927" s="41" t="s">
        <v>9011</v>
      </c>
      <c r="I2927" s="43">
        <v>12</v>
      </c>
      <c r="J2927" s="44" t="str">
        <f>VLOOKUP(G2927,[1]硬件清单!$F:$F,1,0)</f>
        <v>2102359504DMKB000186</v>
      </c>
      <c r="K2927" s="43"/>
      <c r="L2927" s="44"/>
      <c r="M2927" s="45" t="s">
        <v>9012</v>
      </c>
    </row>
    <row r="2928" s="26" customFormat="1" ht="30" customHeight="1" spans="1:13">
      <c r="A2928" s="41">
        <f>IF(C2928="","",SUBTOTAL(103,$C$2:C2928))</f>
        <v>2919</v>
      </c>
      <c r="B2928" s="41">
        <v>11303</v>
      </c>
      <c r="C2928" s="46">
        <v>2968</v>
      </c>
      <c r="D2928" s="46" t="s">
        <v>19</v>
      </c>
      <c r="E2928" s="46" t="s">
        <v>20</v>
      </c>
      <c r="F2928" s="46" t="s">
        <v>9009</v>
      </c>
      <c r="G2928" s="41" t="s">
        <v>9013</v>
      </c>
      <c r="H2928" s="41" t="s">
        <v>9014</v>
      </c>
      <c r="I2928" s="43">
        <v>12</v>
      </c>
      <c r="J2928" s="44" t="str">
        <f>VLOOKUP(G2928,[1]硬件清单!$F:$F,1,0)</f>
        <v>2102359504DMKB000005</v>
      </c>
      <c r="K2928" s="43"/>
      <c r="L2928" s="44"/>
      <c r="M2928" s="45" t="s">
        <v>9015</v>
      </c>
    </row>
    <row r="2929" s="26" customFormat="1" ht="30" customHeight="1" spans="1:13">
      <c r="A2929" s="41">
        <f>IF(C2929="","",SUBTOTAL(103,$C$2:C2929))</f>
        <v>2920</v>
      </c>
      <c r="B2929" s="41">
        <v>11306</v>
      </c>
      <c r="C2929" s="46">
        <v>2965</v>
      </c>
      <c r="D2929" s="46" t="s">
        <v>19</v>
      </c>
      <c r="E2929" s="46" t="s">
        <v>20</v>
      </c>
      <c r="F2929" s="46" t="s">
        <v>9009</v>
      </c>
      <c r="G2929" s="41" t="s">
        <v>9016</v>
      </c>
      <c r="H2929" s="41" t="s">
        <v>9017</v>
      </c>
      <c r="I2929" s="43">
        <v>12</v>
      </c>
      <c r="J2929" s="44" t="str">
        <f>VLOOKUP(G2929,[1]硬件清单!$F:$F,1,0)</f>
        <v>2102359504DMKB000243</v>
      </c>
      <c r="K2929" s="43"/>
      <c r="L2929" s="44"/>
      <c r="M2929" s="45" t="s">
        <v>9018</v>
      </c>
    </row>
    <row r="2930" s="26" customFormat="1" ht="30" customHeight="1" spans="1:13">
      <c r="A2930" s="41">
        <f>IF(C2930="","",SUBTOTAL(103,$C$2:C2930))</f>
        <v>2921</v>
      </c>
      <c r="B2930" s="41">
        <v>11386</v>
      </c>
      <c r="C2930" s="41">
        <v>10319</v>
      </c>
      <c r="D2930" s="41" t="s">
        <v>45</v>
      </c>
      <c r="E2930" s="41" t="s">
        <v>1298</v>
      </c>
      <c r="F2930" s="41" t="s">
        <v>6319</v>
      </c>
      <c r="G2930" s="41" t="s">
        <v>9019</v>
      </c>
      <c r="H2930" s="41" t="s">
        <v>9020</v>
      </c>
      <c r="I2930" s="43">
        <v>12</v>
      </c>
      <c r="J2930" s="44" t="str">
        <f>VLOOKUP(G2930,[1]硬件清单!$F:$F,1,0)</f>
        <v>2LQQ1T2</v>
      </c>
      <c r="K2930" s="43"/>
      <c r="L2930" s="44"/>
      <c r="M2930" s="45" t="s">
        <v>9021</v>
      </c>
    </row>
    <row r="2931" s="26" customFormat="1" ht="30" customHeight="1" spans="1:13">
      <c r="A2931" s="41">
        <f>IF(C2931="","",SUBTOTAL(103,$C$2:C2931))</f>
        <v>2922</v>
      </c>
      <c r="B2931" s="41">
        <v>11387</v>
      </c>
      <c r="C2931" s="41">
        <v>10320</v>
      </c>
      <c r="D2931" s="41" t="s">
        <v>45</v>
      </c>
      <c r="E2931" s="41" t="s">
        <v>1298</v>
      </c>
      <c r="F2931" s="41" t="s">
        <v>6319</v>
      </c>
      <c r="G2931" s="41" t="s">
        <v>9022</v>
      </c>
      <c r="H2931" s="41" t="s">
        <v>9023</v>
      </c>
      <c r="I2931" s="43">
        <v>12</v>
      </c>
      <c r="J2931" s="44" t="str">
        <f>VLOOKUP(G2931,[1]硬件清单!$F:$F,1,0)</f>
        <v>2GSK1T2</v>
      </c>
      <c r="K2931" s="43"/>
      <c r="L2931" s="44"/>
      <c r="M2931" s="45" t="s">
        <v>9024</v>
      </c>
    </row>
    <row r="2932" s="26" customFormat="1" ht="30" customHeight="1" spans="1:13">
      <c r="A2932" s="41">
        <f>IF(C2932="","",SUBTOTAL(103,$C$2:C2932))</f>
        <v>2923</v>
      </c>
      <c r="B2932" s="41">
        <v>980</v>
      </c>
      <c r="C2932" s="41">
        <v>4821</v>
      </c>
      <c r="D2932" s="41" t="s">
        <v>65</v>
      </c>
      <c r="E2932" s="41" t="s">
        <v>901</v>
      </c>
      <c r="F2932" s="41" t="s">
        <v>9025</v>
      </c>
      <c r="G2932" s="41" t="s">
        <v>9026</v>
      </c>
      <c r="H2932" s="41" t="s">
        <v>9027</v>
      </c>
      <c r="I2932" s="43">
        <v>12</v>
      </c>
      <c r="J2932" s="44" t="str">
        <f>VLOOKUP(G2932,[1]硬件清单!$F:$F,1,0)</f>
        <v>ZM173S021312</v>
      </c>
      <c r="K2932" s="44"/>
      <c r="L2932" s="44"/>
      <c r="M2932" s="45" t="s">
        <v>9028</v>
      </c>
    </row>
    <row r="2933" s="26" customFormat="1" ht="30" customHeight="1" spans="1:13">
      <c r="A2933" s="41">
        <f>IF(C2933="","",SUBTOTAL(103,$C$2:C2933))</f>
        <v>2924</v>
      </c>
      <c r="B2933" s="41">
        <v>981</v>
      </c>
      <c r="C2933" s="41">
        <v>4822</v>
      </c>
      <c r="D2933" s="41" t="s">
        <v>65</v>
      </c>
      <c r="E2933" s="41" t="s">
        <v>901</v>
      </c>
      <c r="F2933" s="41" t="s">
        <v>9025</v>
      </c>
      <c r="G2933" s="41" t="s">
        <v>9029</v>
      </c>
      <c r="H2933" s="41" t="s">
        <v>9030</v>
      </c>
      <c r="I2933" s="43">
        <v>12</v>
      </c>
      <c r="J2933" s="44" t="str">
        <f>VLOOKUP(G2933,[1]硬件清单!$F:$F,1,0)</f>
        <v>ZM172S034073</v>
      </c>
      <c r="K2933" s="44"/>
      <c r="L2933" s="44"/>
      <c r="M2933" s="45" t="s">
        <v>9031</v>
      </c>
    </row>
    <row r="2934" s="26" customFormat="1" ht="30" customHeight="1" spans="1:13">
      <c r="A2934" s="41">
        <f>IF(C2934="","",SUBTOTAL(103,$C$2:C2934))</f>
        <v>2925</v>
      </c>
      <c r="B2934" s="41">
        <v>982</v>
      </c>
      <c r="C2934" s="41">
        <v>4823</v>
      </c>
      <c r="D2934" s="41" t="s">
        <v>65</v>
      </c>
      <c r="E2934" s="41" t="s">
        <v>901</v>
      </c>
      <c r="F2934" s="41" t="s">
        <v>9025</v>
      </c>
      <c r="G2934" s="41" t="s">
        <v>9032</v>
      </c>
      <c r="H2934" s="41" t="s">
        <v>9033</v>
      </c>
      <c r="I2934" s="43">
        <v>12</v>
      </c>
      <c r="J2934" s="44" t="str">
        <f>VLOOKUP(G2934,[1]硬件清单!$F:$F,1,0)</f>
        <v>ZM172S034327</v>
      </c>
      <c r="K2934" s="44"/>
      <c r="L2934" s="44"/>
      <c r="M2934" s="45" t="s">
        <v>9034</v>
      </c>
    </row>
    <row r="2935" s="26" customFormat="1" ht="30" customHeight="1" spans="1:13">
      <c r="A2935" s="41">
        <f>IF(C2935="","",SUBTOTAL(103,$C$2:C2935))</f>
        <v>2926</v>
      </c>
      <c r="B2935" s="41">
        <v>983</v>
      </c>
      <c r="C2935" s="41">
        <v>4819</v>
      </c>
      <c r="D2935" s="41" t="s">
        <v>65</v>
      </c>
      <c r="E2935" s="41" t="s">
        <v>901</v>
      </c>
      <c r="F2935" s="41" t="s">
        <v>9025</v>
      </c>
      <c r="G2935" s="41" t="s">
        <v>9035</v>
      </c>
      <c r="H2935" s="41" t="s">
        <v>9036</v>
      </c>
      <c r="I2935" s="43">
        <v>12</v>
      </c>
      <c r="J2935" s="44" t="str">
        <f>VLOOKUP(G2935,[1]硬件清单!$F:$F,1,0)</f>
        <v>ZM172S034309</v>
      </c>
      <c r="K2935" s="44"/>
      <c r="L2935" s="44"/>
      <c r="M2935" s="45" t="s">
        <v>9037</v>
      </c>
    </row>
    <row r="2936" s="26" customFormat="1" ht="30" customHeight="1" spans="1:13">
      <c r="A2936" s="41">
        <f>IF(C2936="","",SUBTOTAL(103,$C$2:C2936))</f>
        <v>2927</v>
      </c>
      <c r="B2936" s="41">
        <v>984</v>
      </c>
      <c r="C2936" s="41">
        <v>4824</v>
      </c>
      <c r="D2936" s="41" t="s">
        <v>65</v>
      </c>
      <c r="E2936" s="41" t="s">
        <v>901</v>
      </c>
      <c r="F2936" s="41" t="s">
        <v>9025</v>
      </c>
      <c r="G2936" s="41" t="s">
        <v>9038</v>
      </c>
      <c r="H2936" s="41" t="s">
        <v>9039</v>
      </c>
      <c r="I2936" s="43">
        <v>12</v>
      </c>
      <c r="J2936" s="44" t="str">
        <f>VLOOKUP(G2936,[1]硬件清单!$F:$F,1,0)</f>
        <v>ZM172S036004</v>
      </c>
      <c r="K2936" s="44"/>
      <c r="L2936" s="44"/>
      <c r="M2936" s="45" t="s">
        <v>9040</v>
      </c>
    </row>
    <row r="2937" s="26" customFormat="1" ht="30" customHeight="1" spans="1:13">
      <c r="A2937" s="41">
        <f>IF(C2937="","",SUBTOTAL(103,$C$2:C2937))</f>
        <v>2928</v>
      </c>
      <c r="B2937" s="41">
        <v>985</v>
      </c>
      <c r="C2937" s="41">
        <v>4825</v>
      </c>
      <c r="D2937" s="41" t="s">
        <v>65</v>
      </c>
      <c r="E2937" s="41" t="s">
        <v>901</v>
      </c>
      <c r="F2937" s="41" t="s">
        <v>9025</v>
      </c>
      <c r="G2937" s="41" t="s">
        <v>9041</v>
      </c>
      <c r="H2937" s="41" t="s">
        <v>9042</v>
      </c>
      <c r="I2937" s="43">
        <v>12</v>
      </c>
      <c r="J2937" s="44" t="str">
        <f>VLOOKUP(G2937,[1]硬件清单!$F:$F,1,0)</f>
        <v>ZM172S036336</v>
      </c>
      <c r="K2937" s="44"/>
      <c r="L2937" s="44"/>
      <c r="M2937" s="45" t="s">
        <v>9043</v>
      </c>
    </row>
    <row r="2938" s="26" customFormat="1" ht="30" customHeight="1" spans="1:13">
      <c r="A2938" s="41">
        <f>IF(C2938="","",SUBTOTAL(103,$C$2:C2938))</f>
        <v>2929</v>
      </c>
      <c r="B2938" s="41">
        <v>986</v>
      </c>
      <c r="C2938" s="41">
        <v>4826</v>
      </c>
      <c r="D2938" s="41" t="s">
        <v>65</v>
      </c>
      <c r="E2938" s="41" t="s">
        <v>901</v>
      </c>
      <c r="F2938" s="41" t="s">
        <v>9025</v>
      </c>
      <c r="G2938" s="41" t="s">
        <v>9044</v>
      </c>
      <c r="H2938" s="41" t="s">
        <v>9045</v>
      </c>
      <c r="I2938" s="43">
        <v>12</v>
      </c>
      <c r="J2938" s="44" t="str">
        <f>VLOOKUP(G2938,[1]硬件清单!$F:$F,1,0)</f>
        <v>ZM172S036348</v>
      </c>
      <c r="K2938" s="44"/>
      <c r="L2938" s="44"/>
      <c r="M2938" s="45" t="s">
        <v>9046</v>
      </c>
    </row>
    <row r="2939" s="26" customFormat="1" ht="30" customHeight="1" spans="1:13">
      <c r="A2939" s="41">
        <f>IF(C2939="","",SUBTOTAL(103,$C$2:C2939))</f>
        <v>2930</v>
      </c>
      <c r="B2939" s="41">
        <v>987</v>
      </c>
      <c r="C2939" s="41">
        <v>4820</v>
      </c>
      <c r="D2939" s="41" t="s">
        <v>65</v>
      </c>
      <c r="E2939" s="41" t="s">
        <v>901</v>
      </c>
      <c r="F2939" s="41" t="s">
        <v>9025</v>
      </c>
      <c r="G2939" s="41" t="s">
        <v>9047</v>
      </c>
      <c r="H2939" s="41" t="s">
        <v>9048</v>
      </c>
      <c r="I2939" s="43">
        <v>12</v>
      </c>
      <c r="J2939" s="44" t="str">
        <f>VLOOKUP(G2939,[1]硬件清单!$F:$F,1,0)</f>
        <v>ZM172S036391</v>
      </c>
      <c r="K2939" s="44"/>
      <c r="L2939" s="44"/>
      <c r="M2939" s="45" t="s">
        <v>9049</v>
      </c>
    </row>
    <row r="2940" s="26" customFormat="1" ht="30" customHeight="1" spans="1:13">
      <c r="A2940" s="41">
        <f>IF(C2940="","",SUBTOTAL(103,$C$2:C2940))</f>
        <v>2931</v>
      </c>
      <c r="B2940" s="41">
        <v>988</v>
      </c>
      <c r="C2940" s="41">
        <v>4833</v>
      </c>
      <c r="D2940" s="41" t="s">
        <v>65</v>
      </c>
      <c r="E2940" s="41" t="s">
        <v>901</v>
      </c>
      <c r="F2940" s="41" t="s">
        <v>9025</v>
      </c>
      <c r="G2940" s="41" t="s">
        <v>9050</v>
      </c>
      <c r="H2940" s="41" t="s">
        <v>9051</v>
      </c>
      <c r="I2940" s="43">
        <v>12</v>
      </c>
      <c r="J2940" s="44" t="str">
        <f>VLOOKUP(G2940,[1]硬件清单!$F:$F,1,0)</f>
        <v>ZM172S035644</v>
      </c>
      <c r="K2940" s="44"/>
      <c r="L2940" s="44"/>
      <c r="M2940" s="45" t="s">
        <v>9052</v>
      </c>
    </row>
    <row r="2941" s="26" customFormat="1" ht="30" customHeight="1" spans="1:13">
      <c r="A2941" s="41">
        <f>IF(C2941="","",SUBTOTAL(103,$C$2:C2941))</f>
        <v>2932</v>
      </c>
      <c r="B2941" s="41">
        <v>989</v>
      </c>
      <c r="C2941" s="41">
        <v>4834</v>
      </c>
      <c r="D2941" s="41" t="s">
        <v>65</v>
      </c>
      <c r="E2941" s="41" t="s">
        <v>901</v>
      </c>
      <c r="F2941" s="41" t="s">
        <v>9025</v>
      </c>
      <c r="G2941" s="41" t="s">
        <v>9053</v>
      </c>
      <c r="H2941" s="41" t="s">
        <v>9054</v>
      </c>
      <c r="I2941" s="43">
        <v>12</v>
      </c>
      <c r="J2941" s="44" t="str">
        <f>VLOOKUP(G2941,[1]硬件清单!$F:$F,1,0)</f>
        <v>ZM16CS040861</v>
      </c>
      <c r="K2941" s="44"/>
      <c r="L2941" s="44"/>
      <c r="M2941" s="45" t="s">
        <v>9055</v>
      </c>
    </row>
    <row r="2942" s="26" customFormat="1" ht="30" customHeight="1" spans="1:13">
      <c r="A2942" s="41">
        <f>IF(C2942="","",SUBTOTAL(103,$C$2:C2942))</f>
        <v>2933</v>
      </c>
      <c r="B2942" s="41">
        <v>990</v>
      </c>
      <c r="C2942" s="41">
        <v>4835</v>
      </c>
      <c r="D2942" s="41" t="s">
        <v>65</v>
      </c>
      <c r="E2942" s="41" t="s">
        <v>901</v>
      </c>
      <c r="F2942" s="41" t="s">
        <v>9025</v>
      </c>
      <c r="G2942" s="41" t="s">
        <v>9056</v>
      </c>
      <c r="H2942" s="41" t="s">
        <v>9057</v>
      </c>
      <c r="I2942" s="43">
        <v>12</v>
      </c>
      <c r="J2942" s="44" t="str">
        <f>VLOOKUP(G2942,[1]硬件清单!$F:$F,1,0)</f>
        <v>ZM172S033875</v>
      </c>
      <c r="K2942" s="44"/>
      <c r="L2942" s="44"/>
      <c r="M2942" s="45" t="s">
        <v>9058</v>
      </c>
    </row>
    <row r="2943" s="26" customFormat="1" ht="30" customHeight="1" spans="1:13">
      <c r="A2943" s="41">
        <f>IF(C2943="","",SUBTOTAL(103,$C$2:C2943))</f>
        <v>2934</v>
      </c>
      <c r="B2943" s="41">
        <v>991</v>
      </c>
      <c r="C2943" s="41">
        <v>4827</v>
      </c>
      <c r="D2943" s="41" t="s">
        <v>65</v>
      </c>
      <c r="E2943" s="41" t="s">
        <v>901</v>
      </c>
      <c r="F2943" s="41" t="s">
        <v>9025</v>
      </c>
      <c r="G2943" s="41" t="s">
        <v>9059</v>
      </c>
      <c r="H2943" s="41" t="s">
        <v>9060</v>
      </c>
      <c r="I2943" s="43">
        <v>12</v>
      </c>
      <c r="J2943" s="44" t="str">
        <f>VLOOKUP(G2943,[1]硬件清单!$F:$F,1,0)</f>
        <v>ZM172S034319</v>
      </c>
      <c r="K2943" s="44"/>
      <c r="L2943" s="44"/>
      <c r="M2943" s="45" t="s">
        <v>9061</v>
      </c>
    </row>
    <row r="2944" s="26" customFormat="1" ht="30" customHeight="1" spans="1:13">
      <c r="A2944" s="41">
        <f>IF(C2944="","",SUBTOTAL(103,$C$2:C2944))</f>
        <v>2935</v>
      </c>
      <c r="B2944" s="41">
        <v>992</v>
      </c>
      <c r="C2944" s="41">
        <v>4836</v>
      </c>
      <c r="D2944" s="41" t="s">
        <v>65</v>
      </c>
      <c r="E2944" s="41" t="s">
        <v>901</v>
      </c>
      <c r="F2944" s="41" t="s">
        <v>9025</v>
      </c>
      <c r="G2944" s="41" t="s">
        <v>9062</v>
      </c>
      <c r="H2944" s="41" t="s">
        <v>9063</v>
      </c>
      <c r="I2944" s="43">
        <v>12</v>
      </c>
      <c r="J2944" s="44" t="str">
        <f>VLOOKUP(G2944,[1]硬件清单!$F:$F,1,0)</f>
        <v>ZM172S034290</v>
      </c>
      <c r="K2944" s="44"/>
      <c r="L2944" s="44"/>
      <c r="M2944" s="45" t="s">
        <v>9064</v>
      </c>
    </row>
    <row r="2945" s="26" customFormat="1" ht="30" customHeight="1" spans="1:13">
      <c r="A2945" s="41">
        <f>IF(C2945="","",SUBTOTAL(103,$C$2:C2945))</f>
        <v>2936</v>
      </c>
      <c r="B2945" s="41">
        <v>993</v>
      </c>
      <c r="C2945" s="41">
        <v>4837</v>
      </c>
      <c r="D2945" s="41" t="s">
        <v>65</v>
      </c>
      <c r="E2945" s="41" t="s">
        <v>901</v>
      </c>
      <c r="F2945" s="41" t="s">
        <v>9025</v>
      </c>
      <c r="G2945" s="41" t="s">
        <v>9065</v>
      </c>
      <c r="H2945" s="41" t="s">
        <v>9066</v>
      </c>
      <c r="I2945" s="43">
        <v>12</v>
      </c>
      <c r="J2945" s="44" t="str">
        <f>VLOOKUP(G2945,[1]硬件清单!$F:$F,1,0)</f>
        <v>ZM172S036295</v>
      </c>
      <c r="K2945" s="44"/>
      <c r="L2945" s="44"/>
      <c r="M2945" s="45" t="s">
        <v>9067</v>
      </c>
    </row>
    <row r="2946" s="26" customFormat="1" ht="30" customHeight="1" spans="1:13">
      <c r="A2946" s="41">
        <f>IF(C2946="","",SUBTOTAL(103,$C$2:C2946))</f>
        <v>2937</v>
      </c>
      <c r="B2946" s="41">
        <v>994</v>
      </c>
      <c r="C2946" s="41">
        <v>4838</v>
      </c>
      <c r="D2946" s="41" t="s">
        <v>65</v>
      </c>
      <c r="E2946" s="41" t="s">
        <v>901</v>
      </c>
      <c r="F2946" s="41" t="s">
        <v>9025</v>
      </c>
      <c r="G2946" s="41" t="s">
        <v>9068</v>
      </c>
      <c r="H2946" s="41" t="s">
        <v>9069</v>
      </c>
      <c r="I2946" s="43">
        <v>12</v>
      </c>
      <c r="J2946" s="44" t="str">
        <f>VLOOKUP(G2946,[1]硬件清单!$F:$F,1,0)</f>
        <v>ZM172S036357</v>
      </c>
      <c r="K2946" s="44"/>
      <c r="L2946" s="44"/>
      <c r="M2946" s="45" t="s">
        <v>9070</v>
      </c>
    </row>
    <row r="2947" s="26" customFormat="1" ht="30" customHeight="1" spans="1:13">
      <c r="A2947" s="41">
        <f>IF(C2947="","",SUBTOTAL(103,$C$2:C2947))</f>
        <v>2938</v>
      </c>
      <c r="B2947" s="41">
        <v>995</v>
      </c>
      <c r="C2947" s="41">
        <v>4828</v>
      </c>
      <c r="D2947" s="41" t="s">
        <v>65</v>
      </c>
      <c r="E2947" s="41" t="s">
        <v>901</v>
      </c>
      <c r="F2947" s="41" t="s">
        <v>9025</v>
      </c>
      <c r="G2947" s="41" t="s">
        <v>9071</v>
      </c>
      <c r="H2947" s="41" t="s">
        <v>9072</v>
      </c>
      <c r="I2947" s="43">
        <v>12</v>
      </c>
      <c r="J2947" s="44" t="str">
        <f>VLOOKUP(G2947,[1]硬件清单!$F:$F,1,0)</f>
        <v>ZM172S036396</v>
      </c>
      <c r="K2947" s="44"/>
      <c r="L2947" s="44"/>
      <c r="M2947" s="45" t="s">
        <v>9073</v>
      </c>
    </row>
    <row r="2948" s="26" customFormat="1" ht="30" customHeight="1" spans="1:13">
      <c r="A2948" s="41">
        <f>IF(C2948="","",SUBTOTAL(103,$C$2:C2948))</f>
        <v>2939</v>
      </c>
      <c r="B2948" s="41">
        <v>996</v>
      </c>
      <c r="C2948" s="41">
        <v>4840</v>
      </c>
      <c r="D2948" s="41" t="s">
        <v>65</v>
      </c>
      <c r="E2948" s="41" t="s">
        <v>901</v>
      </c>
      <c r="F2948" s="41" t="s">
        <v>9025</v>
      </c>
      <c r="G2948" s="41" t="s">
        <v>9074</v>
      </c>
      <c r="H2948" s="41" t="s">
        <v>9075</v>
      </c>
      <c r="I2948" s="43">
        <v>12</v>
      </c>
      <c r="J2948" s="44" t="str">
        <f>VLOOKUP(G2948,[1]硬件清单!$F:$F,1,0)</f>
        <v>ZM172S036387</v>
      </c>
      <c r="K2948" s="44"/>
      <c r="L2948" s="44"/>
      <c r="M2948" s="45" t="s">
        <v>9076</v>
      </c>
    </row>
    <row r="2949" s="26" customFormat="1" ht="30" customHeight="1" spans="1:13">
      <c r="A2949" s="41">
        <f>IF(C2949="","",SUBTOTAL(103,$C$2:C2949))</f>
        <v>2940</v>
      </c>
      <c r="B2949" s="41">
        <v>997</v>
      </c>
      <c r="C2949" s="41">
        <v>4841</v>
      </c>
      <c r="D2949" s="41" t="s">
        <v>65</v>
      </c>
      <c r="E2949" s="41" t="s">
        <v>901</v>
      </c>
      <c r="F2949" s="41" t="s">
        <v>9025</v>
      </c>
      <c r="G2949" s="41" t="s">
        <v>9077</v>
      </c>
      <c r="H2949" s="41" t="s">
        <v>9078</v>
      </c>
      <c r="I2949" s="43">
        <v>12</v>
      </c>
      <c r="J2949" s="44" t="str">
        <f>VLOOKUP(G2949,[1]硬件清单!$F:$F,1,0)</f>
        <v>ZM173S021149</v>
      </c>
      <c r="K2949" s="44"/>
      <c r="L2949" s="44"/>
      <c r="M2949" s="45" t="s">
        <v>9079</v>
      </c>
    </row>
    <row r="2950" s="26" customFormat="1" ht="30" customHeight="1" spans="1:13">
      <c r="A2950" s="41">
        <f>IF(C2950="","",SUBTOTAL(103,$C$2:C2950))</f>
        <v>2941</v>
      </c>
      <c r="B2950" s="41">
        <v>998</v>
      </c>
      <c r="C2950" s="41">
        <v>4842</v>
      </c>
      <c r="D2950" s="41" t="s">
        <v>65</v>
      </c>
      <c r="E2950" s="41" t="s">
        <v>901</v>
      </c>
      <c r="F2950" s="41" t="s">
        <v>9025</v>
      </c>
      <c r="G2950" s="41" t="s">
        <v>9080</v>
      </c>
      <c r="H2950" s="41" t="s">
        <v>9081</v>
      </c>
      <c r="I2950" s="43">
        <v>12</v>
      </c>
      <c r="J2950" s="44" t="str">
        <f>VLOOKUP(G2950,[1]硬件清单!$F:$F,1,0)</f>
        <v>ZM172S035620</v>
      </c>
      <c r="K2950" s="44"/>
      <c r="L2950" s="44"/>
      <c r="M2950" s="45" t="s">
        <v>9082</v>
      </c>
    </row>
    <row r="2951" s="26" customFormat="1" ht="30" customHeight="1" spans="1:13">
      <c r="A2951" s="41">
        <f>IF(C2951="","",SUBTOTAL(103,$C$2:C2951))</f>
        <v>2942</v>
      </c>
      <c r="B2951" s="41">
        <v>999</v>
      </c>
      <c r="C2951" s="41">
        <v>5109</v>
      </c>
      <c r="D2951" s="41" t="s">
        <v>65</v>
      </c>
      <c r="E2951" s="41" t="s">
        <v>901</v>
      </c>
      <c r="F2951" s="41" t="s">
        <v>9025</v>
      </c>
      <c r="G2951" s="41" t="s">
        <v>9083</v>
      </c>
      <c r="H2951" s="41" t="s">
        <v>9084</v>
      </c>
      <c r="I2951" s="43">
        <v>12</v>
      </c>
      <c r="J2951" s="44" t="str">
        <f>VLOOKUP(G2951,[1]硬件清单!$F:$F,1,0)</f>
        <v>ZM172S035604</v>
      </c>
      <c r="K2951" s="44"/>
      <c r="L2951" s="44"/>
      <c r="M2951" s="45" t="s">
        <v>9085</v>
      </c>
    </row>
    <row r="2952" s="26" customFormat="1" ht="30" customHeight="1" spans="1:13">
      <c r="A2952" s="41">
        <f>IF(C2952="","",SUBTOTAL(103,$C$2:C2952))</f>
        <v>2943</v>
      </c>
      <c r="B2952" s="41">
        <v>1000</v>
      </c>
      <c r="C2952" s="41">
        <v>5106</v>
      </c>
      <c r="D2952" s="41" t="s">
        <v>65</v>
      </c>
      <c r="E2952" s="41" t="s">
        <v>901</v>
      </c>
      <c r="F2952" s="41" t="s">
        <v>9025</v>
      </c>
      <c r="G2952" s="41" t="s">
        <v>9086</v>
      </c>
      <c r="H2952" s="41" t="s">
        <v>9087</v>
      </c>
      <c r="I2952" s="43">
        <v>12</v>
      </c>
      <c r="J2952" s="44" t="str">
        <f>VLOOKUP(G2952,[1]硬件清单!$F:$F,1,0)</f>
        <v>ZM172S036217</v>
      </c>
      <c r="K2952" s="44"/>
      <c r="L2952" s="44"/>
      <c r="M2952" s="45" t="s">
        <v>9088</v>
      </c>
    </row>
    <row r="2953" s="26" customFormat="1" ht="30" customHeight="1" spans="1:13">
      <c r="A2953" s="41">
        <f>IF(C2953="","",SUBTOTAL(103,$C$2:C2953))</f>
        <v>2944</v>
      </c>
      <c r="B2953" s="41">
        <v>1001</v>
      </c>
      <c r="C2953" s="41">
        <v>5107</v>
      </c>
      <c r="D2953" s="41" t="s">
        <v>65</v>
      </c>
      <c r="E2953" s="41" t="s">
        <v>901</v>
      </c>
      <c r="F2953" s="41" t="s">
        <v>9025</v>
      </c>
      <c r="G2953" s="41" t="s">
        <v>9089</v>
      </c>
      <c r="H2953" s="41" t="s">
        <v>9090</v>
      </c>
      <c r="I2953" s="43">
        <v>12</v>
      </c>
      <c r="J2953" s="44" t="str">
        <f>VLOOKUP(G2953,[1]硬件清单!$F:$F,1,0)</f>
        <v>ZM172S035623</v>
      </c>
      <c r="K2953" s="44"/>
      <c r="L2953" s="44"/>
      <c r="M2953" s="45" t="s">
        <v>9091</v>
      </c>
    </row>
    <row r="2954" s="26" customFormat="1" ht="30" customHeight="1" spans="1:13">
      <c r="A2954" s="41">
        <f>IF(C2954="","",SUBTOTAL(103,$C$2:C2954))</f>
        <v>2945</v>
      </c>
      <c r="B2954" s="41">
        <v>1002</v>
      </c>
      <c r="C2954" s="41">
        <v>5108</v>
      </c>
      <c r="D2954" s="41" t="s">
        <v>65</v>
      </c>
      <c r="E2954" s="41" t="s">
        <v>901</v>
      </c>
      <c r="F2954" s="41" t="s">
        <v>9025</v>
      </c>
      <c r="G2954" s="41" t="s">
        <v>9092</v>
      </c>
      <c r="H2954" s="41" t="s">
        <v>9093</v>
      </c>
      <c r="I2954" s="43">
        <v>12</v>
      </c>
      <c r="J2954" s="44" t="str">
        <f>VLOOKUP(G2954,[1]硬件清单!$F:$F,1,0)</f>
        <v>ZM172S034312</v>
      </c>
      <c r="K2954" s="44"/>
      <c r="L2954" s="44"/>
      <c r="M2954" s="45" t="s">
        <v>9094</v>
      </c>
    </row>
    <row r="2955" s="26" customFormat="1" ht="30" customHeight="1" spans="1:13">
      <c r="A2955" s="41">
        <f>IF(C2955="","",SUBTOTAL(103,$C$2:C2955))</f>
        <v>2946</v>
      </c>
      <c r="B2955" s="41">
        <v>1003</v>
      </c>
      <c r="C2955" s="41">
        <v>4839</v>
      </c>
      <c r="D2955" s="41" t="s">
        <v>65</v>
      </c>
      <c r="E2955" s="41" t="s">
        <v>901</v>
      </c>
      <c r="F2955" s="41" t="s">
        <v>9025</v>
      </c>
      <c r="G2955" s="41" t="s">
        <v>9095</v>
      </c>
      <c r="H2955" s="41" t="s">
        <v>9096</v>
      </c>
      <c r="I2955" s="43">
        <v>12</v>
      </c>
      <c r="J2955" s="44" t="str">
        <f>VLOOKUP(G2955,[1]硬件清单!$F:$F,1,0)</f>
        <v>ZM172S036353</v>
      </c>
      <c r="K2955" s="44"/>
      <c r="L2955" s="44"/>
      <c r="M2955" s="45" t="s">
        <v>9097</v>
      </c>
    </row>
    <row r="2956" s="26" customFormat="1" ht="30" customHeight="1" spans="1:13">
      <c r="A2956" s="41">
        <f>IF(C2956="","",SUBTOTAL(103,$C$2:C2956))</f>
        <v>2947</v>
      </c>
      <c r="B2956" s="41">
        <v>1004</v>
      </c>
      <c r="C2956" s="41">
        <v>5112</v>
      </c>
      <c r="D2956" s="41" t="s">
        <v>65</v>
      </c>
      <c r="E2956" s="41" t="s">
        <v>901</v>
      </c>
      <c r="F2956" s="41" t="s">
        <v>9025</v>
      </c>
      <c r="G2956" s="41" t="s">
        <v>9098</v>
      </c>
      <c r="H2956" s="41" t="s">
        <v>9099</v>
      </c>
      <c r="I2956" s="43">
        <v>12</v>
      </c>
      <c r="J2956" s="44" t="str">
        <f>VLOOKUP(G2956,[1]硬件清单!$F:$F,1,0)</f>
        <v>ZM172S036345</v>
      </c>
      <c r="K2956" s="44"/>
      <c r="L2956" s="44"/>
      <c r="M2956" s="45" t="s">
        <v>9100</v>
      </c>
    </row>
    <row r="2957" s="26" customFormat="1" ht="30" customHeight="1" spans="1:13">
      <c r="A2957" s="41">
        <f>IF(C2957="","",SUBTOTAL(103,$C$2:C2957))</f>
        <v>2948</v>
      </c>
      <c r="B2957" s="41">
        <v>1005</v>
      </c>
      <c r="C2957" s="41">
        <v>5113</v>
      </c>
      <c r="D2957" s="41" t="s">
        <v>65</v>
      </c>
      <c r="E2957" s="41" t="s">
        <v>901</v>
      </c>
      <c r="F2957" s="41" t="s">
        <v>9025</v>
      </c>
      <c r="G2957" s="41" t="s">
        <v>9101</v>
      </c>
      <c r="H2957" s="41" t="s">
        <v>9102</v>
      </c>
      <c r="I2957" s="43">
        <v>12</v>
      </c>
      <c r="J2957" s="44" t="str">
        <f>VLOOKUP(G2957,[1]硬件清单!$F:$F,1,0)</f>
        <v>ZM172S036339</v>
      </c>
      <c r="K2957" s="44"/>
      <c r="L2957" s="44"/>
      <c r="M2957" s="45" t="s">
        <v>9103</v>
      </c>
    </row>
    <row r="2958" s="26" customFormat="1" ht="30" customHeight="1" spans="1:13">
      <c r="A2958" s="41">
        <f>IF(C2958="","",SUBTOTAL(103,$C$2:C2958))</f>
        <v>2949</v>
      </c>
      <c r="B2958" s="41">
        <v>1006</v>
      </c>
      <c r="C2958" s="41">
        <v>5110</v>
      </c>
      <c r="D2958" s="41" t="s">
        <v>65</v>
      </c>
      <c r="E2958" s="41" t="s">
        <v>901</v>
      </c>
      <c r="F2958" s="41" t="s">
        <v>9025</v>
      </c>
      <c r="G2958" s="41" t="s">
        <v>9104</v>
      </c>
      <c r="H2958" s="41" t="s">
        <v>9105</v>
      </c>
      <c r="I2958" s="43">
        <v>12</v>
      </c>
      <c r="J2958" s="44" t="str">
        <f>VLOOKUP(G2958,[1]硬件清单!$F:$F,1,0)</f>
        <v>ZM172S034322</v>
      </c>
      <c r="K2958" s="44"/>
      <c r="L2958" s="44"/>
      <c r="M2958" s="45" t="s">
        <v>9106</v>
      </c>
    </row>
    <row r="2959" s="26" customFormat="1" ht="30" customHeight="1" spans="1:13">
      <c r="A2959" s="41">
        <f>IF(C2959="","",SUBTOTAL(103,$C$2:C2959))</f>
        <v>2950</v>
      </c>
      <c r="B2959" s="41">
        <v>1007</v>
      </c>
      <c r="C2959" s="41">
        <v>5111</v>
      </c>
      <c r="D2959" s="41" t="s">
        <v>65</v>
      </c>
      <c r="E2959" s="41" t="s">
        <v>901</v>
      </c>
      <c r="F2959" s="41" t="s">
        <v>9025</v>
      </c>
      <c r="G2959" s="41" t="s">
        <v>9107</v>
      </c>
      <c r="H2959" s="41" t="s">
        <v>9108</v>
      </c>
      <c r="I2959" s="43">
        <v>12</v>
      </c>
      <c r="J2959" s="44" t="str">
        <f>VLOOKUP(G2959,[1]硬件清单!$F:$F,1,0)</f>
        <v>ZM172S036341</v>
      </c>
      <c r="K2959" s="44"/>
      <c r="L2959" s="44"/>
      <c r="M2959" s="45" t="s">
        <v>9109</v>
      </c>
    </row>
    <row r="2960" s="26" customFormat="1" ht="30" customHeight="1" spans="1:13">
      <c r="A2960" s="41">
        <f>IF(C2960="","",SUBTOTAL(103,$C$2:C2960))</f>
        <v>2951</v>
      </c>
      <c r="B2960" s="41">
        <v>6306</v>
      </c>
      <c r="C2960" s="41">
        <v>5665</v>
      </c>
      <c r="D2960" s="41" t="s">
        <v>65</v>
      </c>
      <c r="E2960" s="41" t="s">
        <v>901</v>
      </c>
      <c r="F2960" s="41" t="s">
        <v>9110</v>
      </c>
      <c r="G2960" s="41" t="s">
        <v>9111</v>
      </c>
      <c r="H2960" s="41" t="s">
        <v>9112</v>
      </c>
      <c r="I2960" s="43">
        <v>12</v>
      </c>
      <c r="J2960" s="44" t="str">
        <f>VLOOKUP(G2960,[1]硬件清单!$F:$F,1,0)</f>
        <v>SRIE2017RAFHV10122</v>
      </c>
      <c r="K2960" s="44"/>
      <c r="L2960" s="44"/>
      <c r="M2960" s="45" t="s">
        <v>9113</v>
      </c>
    </row>
    <row r="2961" s="26" customFormat="1" ht="30" customHeight="1" spans="1:13">
      <c r="A2961" s="41">
        <f>IF(C2961="","",SUBTOTAL(103,$C$2:C2961))</f>
        <v>2952</v>
      </c>
      <c r="B2961" s="41">
        <v>6307</v>
      </c>
      <c r="C2961" s="41">
        <v>7660</v>
      </c>
      <c r="D2961" s="41" t="s">
        <v>65</v>
      </c>
      <c r="E2961" s="41" t="s">
        <v>304</v>
      </c>
      <c r="F2961" s="41" t="s">
        <v>9114</v>
      </c>
      <c r="G2961" s="41" t="s">
        <v>9115</v>
      </c>
      <c r="H2961" s="41" t="s">
        <v>9116</v>
      </c>
      <c r="I2961" s="43">
        <v>12</v>
      </c>
      <c r="J2961" s="44" t="str">
        <f>VLOOKUP(G2961,[1]硬件清单!$F:$F,1,0)</f>
        <v>SRAD11410240037</v>
      </c>
      <c r="K2961" s="43"/>
      <c r="L2961" s="44"/>
      <c r="M2961" s="45" t="s">
        <v>9117</v>
      </c>
    </row>
    <row r="2962" s="26" customFormat="1" ht="30" customHeight="1" spans="1:13">
      <c r="A2962" s="41">
        <f>IF(C2962="","",SUBTOTAL(103,$C$2:C2962))</f>
        <v>2953</v>
      </c>
      <c r="B2962" s="41">
        <v>6308</v>
      </c>
      <c r="C2962" s="41">
        <v>7661</v>
      </c>
      <c r="D2962" s="41" t="s">
        <v>65</v>
      </c>
      <c r="E2962" s="41" t="s">
        <v>304</v>
      </c>
      <c r="F2962" s="41" t="s">
        <v>9114</v>
      </c>
      <c r="G2962" s="41" t="s">
        <v>9118</v>
      </c>
      <c r="H2962" s="41" t="s">
        <v>9119</v>
      </c>
      <c r="I2962" s="43">
        <v>12</v>
      </c>
      <c r="J2962" s="44" t="str">
        <f>VLOOKUP(G2962,[1]硬件清单!$F:$F,1,0)</f>
        <v>SRAD11410240038</v>
      </c>
      <c r="K2962" s="43"/>
      <c r="L2962" s="44"/>
      <c r="M2962" s="45" t="s">
        <v>9120</v>
      </c>
    </row>
    <row r="2963" s="26" customFormat="1" ht="30" customHeight="1" spans="1:13">
      <c r="A2963" s="41">
        <f>IF(C2963="","",SUBTOTAL(103,$C$2:C2963))</f>
        <v>2954</v>
      </c>
      <c r="B2963" s="41">
        <v>6309</v>
      </c>
      <c r="C2963" s="41">
        <v>7662</v>
      </c>
      <c r="D2963" s="41" t="s">
        <v>65</v>
      </c>
      <c r="E2963" s="41" t="s">
        <v>304</v>
      </c>
      <c r="F2963" s="41" t="s">
        <v>9114</v>
      </c>
      <c r="G2963" s="41" t="s">
        <v>9121</v>
      </c>
      <c r="H2963" s="41" t="s">
        <v>9122</v>
      </c>
      <c r="I2963" s="43">
        <v>12</v>
      </c>
      <c r="J2963" s="44" t="str">
        <f>VLOOKUP(G2963,[1]硬件清单!$F:$F,1,0)</f>
        <v>SRAD11410240039</v>
      </c>
      <c r="K2963" s="43"/>
      <c r="L2963" s="44"/>
      <c r="M2963" s="45" t="s">
        <v>9123</v>
      </c>
    </row>
    <row r="2964" s="26" customFormat="1" ht="30" customHeight="1" spans="1:13">
      <c r="A2964" s="41">
        <f>IF(C2964="","",SUBTOTAL(103,$C$2:C2964))</f>
        <v>2955</v>
      </c>
      <c r="B2964" s="41">
        <v>6310</v>
      </c>
      <c r="C2964" s="41">
        <v>7658</v>
      </c>
      <c r="D2964" s="41" t="s">
        <v>65</v>
      </c>
      <c r="E2964" s="41" t="s">
        <v>304</v>
      </c>
      <c r="F2964" s="41" t="s">
        <v>9114</v>
      </c>
      <c r="G2964" s="41" t="s">
        <v>9124</v>
      </c>
      <c r="H2964" s="41" t="s">
        <v>9125</v>
      </c>
      <c r="I2964" s="43">
        <v>12</v>
      </c>
      <c r="J2964" s="44" t="str">
        <f>VLOOKUP(G2964,[1]硬件清单!$F:$F,1,0)</f>
        <v>SRAD11410240035</v>
      </c>
      <c r="K2964" s="43"/>
      <c r="L2964" s="44"/>
      <c r="M2964" s="45" t="s">
        <v>9126</v>
      </c>
    </row>
    <row r="2965" s="26" customFormat="1" ht="30" customHeight="1" spans="1:13">
      <c r="A2965" s="41">
        <f>IF(C2965="","",SUBTOTAL(103,$C$2:C2965))</f>
        <v>2956</v>
      </c>
      <c r="B2965" s="41">
        <v>6311</v>
      </c>
      <c r="C2965" s="41">
        <v>7663</v>
      </c>
      <c r="D2965" s="41" t="s">
        <v>65</v>
      </c>
      <c r="E2965" s="41" t="s">
        <v>304</v>
      </c>
      <c r="F2965" s="41" t="s">
        <v>9114</v>
      </c>
      <c r="G2965" s="41" t="s">
        <v>9127</v>
      </c>
      <c r="H2965" s="41" t="s">
        <v>9128</v>
      </c>
      <c r="I2965" s="43">
        <v>12</v>
      </c>
      <c r="J2965" s="44" t="str">
        <f>VLOOKUP(G2965,[1]硬件清单!$F:$F,1,0)</f>
        <v>SRAD11410240040</v>
      </c>
      <c r="K2965" s="43"/>
      <c r="L2965" s="44"/>
      <c r="M2965" s="45" t="s">
        <v>9129</v>
      </c>
    </row>
    <row r="2966" s="26" customFormat="1" ht="30" customHeight="1" spans="1:13">
      <c r="A2966" s="41">
        <f>IF(C2966="","",SUBTOTAL(103,$C$2:C2966))</f>
        <v>2957</v>
      </c>
      <c r="B2966" s="41">
        <v>6312</v>
      </c>
      <c r="C2966" s="41">
        <v>7664</v>
      </c>
      <c r="D2966" s="41" t="s">
        <v>65</v>
      </c>
      <c r="E2966" s="41" t="s">
        <v>304</v>
      </c>
      <c r="F2966" s="41" t="s">
        <v>9114</v>
      </c>
      <c r="G2966" s="41" t="s">
        <v>9130</v>
      </c>
      <c r="H2966" s="41" t="s">
        <v>9131</v>
      </c>
      <c r="I2966" s="43">
        <v>12</v>
      </c>
      <c r="J2966" s="44" t="str">
        <f>VLOOKUP(G2966,[1]硬件清单!$F:$F,1,0)</f>
        <v>SRAD11410240041</v>
      </c>
      <c r="K2966" s="43"/>
      <c r="L2966" s="44"/>
      <c r="M2966" s="45" t="s">
        <v>9132</v>
      </c>
    </row>
    <row r="2967" s="26" customFormat="1" ht="30" customHeight="1" spans="1:13">
      <c r="A2967" s="41">
        <f>IF(C2967="","",SUBTOTAL(103,$C$2:C2967))</f>
        <v>2958</v>
      </c>
      <c r="B2967" s="41">
        <v>6313</v>
      </c>
      <c r="C2967" s="41">
        <v>7665</v>
      </c>
      <c r="D2967" s="41" t="s">
        <v>65</v>
      </c>
      <c r="E2967" s="41" t="s">
        <v>304</v>
      </c>
      <c r="F2967" s="41" t="s">
        <v>9114</v>
      </c>
      <c r="G2967" s="41" t="s">
        <v>9133</v>
      </c>
      <c r="H2967" s="41" t="s">
        <v>9134</v>
      </c>
      <c r="I2967" s="43">
        <v>12</v>
      </c>
      <c r="J2967" s="44" t="str">
        <f>VLOOKUP(G2967,[1]硬件清单!$F:$F,1,0)</f>
        <v>SRAD11410240042</v>
      </c>
      <c r="K2967" s="43"/>
      <c r="L2967" s="44"/>
      <c r="M2967" s="45" t="s">
        <v>9135</v>
      </c>
    </row>
    <row r="2968" s="26" customFormat="1" ht="30" customHeight="1" spans="1:13">
      <c r="A2968" s="41">
        <f>IF(C2968="","",SUBTOTAL(103,$C$2:C2968))</f>
        <v>2959</v>
      </c>
      <c r="B2968" s="41">
        <v>6314</v>
      </c>
      <c r="C2968" s="41">
        <v>7659</v>
      </c>
      <c r="D2968" s="41" t="s">
        <v>65</v>
      </c>
      <c r="E2968" s="41" t="s">
        <v>304</v>
      </c>
      <c r="F2968" s="41" t="s">
        <v>9114</v>
      </c>
      <c r="G2968" s="41" t="s">
        <v>9136</v>
      </c>
      <c r="H2968" s="41" t="s">
        <v>9137</v>
      </c>
      <c r="I2968" s="43">
        <v>12</v>
      </c>
      <c r="J2968" s="44" t="str">
        <f>VLOOKUP(G2968,[1]硬件清单!$F:$F,1,0)</f>
        <v>SRAD11410240036</v>
      </c>
      <c r="K2968" s="43"/>
      <c r="L2968" s="44"/>
      <c r="M2968" s="45" t="s">
        <v>9138</v>
      </c>
    </row>
    <row r="2969" s="26" customFormat="1" ht="30" customHeight="1" spans="1:13">
      <c r="A2969" s="41">
        <f>IF(C2969="","",SUBTOTAL(103,$C$2:C2969))</f>
        <v>2960</v>
      </c>
      <c r="B2969" s="41">
        <v>6315</v>
      </c>
      <c r="C2969" s="41">
        <v>7668</v>
      </c>
      <c r="D2969" s="41" t="s">
        <v>65</v>
      </c>
      <c r="E2969" s="41" t="s">
        <v>304</v>
      </c>
      <c r="F2969" s="41" t="s">
        <v>9114</v>
      </c>
      <c r="G2969" s="41" t="s">
        <v>9139</v>
      </c>
      <c r="H2969" s="41" t="s">
        <v>9140</v>
      </c>
      <c r="I2969" s="43">
        <v>12</v>
      </c>
      <c r="J2969" s="44" t="str">
        <f>VLOOKUP(G2969,[1]硬件清单!$F:$F,1,0)</f>
        <v>SRAD11410240045</v>
      </c>
      <c r="K2969" s="43"/>
      <c r="L2969" s="44"/>
      <c r="M2969" s="45" t="s">
        <v>9141</v>
      </c>
    </row>
    <row r="2970" s="26" customFormat="1" ht="30" customHeight="1" spans="1:13">
      <c r="A2970" s="41">
        <f>IF(C2970="","",SUBTOTAL(103,$C$2:C2970))</f>
        <v>2961</v>
      </c>
      <c r="B2970" s="41">
        <v>6316</v>
      </c>
      <c r="C2970" s="41">
        <v>7669</v>
      </c>
      <c r="D2970" s="41" t="s">
        <v>65</v>
      </c>
      <c r="E2970" s="41" t="s">
        <v>304</v>
      </c>
      <c r="F2970" s="41" t="s">
        <v>9114</v>
      </c>
      <c r="G2970" s="41" t="s">
        <v>9142</v>
      </c>
      <c r="H2970" s="41" t="s">
        <v>9143</v>
      </c>
      <c r="I2970" s="43">
        <v>12</v>
      </c>
      <c r="J2970" s="44" t="str">
        <f>VLOOKUP(G2970,[1]硬件清单!$F:$F,1,0)</f>
        <v>SRAD11410240046</v>
      </c>
      <c r="K2970" s="43"/>
      <c r="L2970" s="44"/>
      <c r="M2970" s="45" t="s">
        <v>9144</v>
      </c>
    </row>
    <row r="2971" s="26" customFormat="1" ht="30" customHeight="1" spans="1:13">
      <c r="A2971" s="41">
        <f>IF(C2971="","",SUBTOTAL(103,$C$2:C2971))</f>
        <v>2962</v>
      </c>
      <c r="B2971" s="41">
        <v>6317</v>
      </c>
      <c r="C2971" s="41">
        <v>7670</v>
      </c>
      <c r="D2971" s="41" t="s">
        <v>65</v>
      </c>
      <c r="E2971" s="41" t="s">
        <v>304</v>
      </c>
      <c r="F2971" s="41" t="s">
        <v>9114</v>
      </c>
      <c r="G2971" s="41" t="s">
        <v>9145</v>
      </c>
      <c r="H2971" s="41" t="s">
        <v>9146</v>
      </c>
      <c r="I2971" s="43">
        <v>12</v>
      </c>
      <c r="J2971" s="44" t="str">
        <f>VLOOKUP(G2971,[1]硬件清单!$F:$F,1,0)</f>
        <v>SRAD11410240047</v>
      </c>
      <c r="K2971" s="43"/>
      <c r="L2971" s="44"/>
      <c r="M2971" s="45" t="s">
        <v>9147</v>
      </c>
    </row>
    <row r="2972" s="26" customFormat="1" ht="30" customHeight="1" spans="1:13">
      <c r="A2972" s="41">
        <f>IF(C2972="","",SUBTOTAL(103,$C$2:C2972))</f>
        <v>2963</v>
      </c>
      <c r="B2972" s="41">
        <v>6318</v>
      </c>
      <c r="C2972" s="41">
        <v>7666</v>
      </c>
      <c r="D2972" s="41" t="s">
        <v>65</v>
      </c>
      <c r="E2972" s="41" t="s">
        <v>304</v>
      </c>
      <c r="F2972" s="41" t="s">
        <v>9114</v>
      </c>
      <c r="G2972" s="41" t="s">
        <v>9148</v>
      </c>
      <c r="H2972" s="41" t="s">
        <v>9149</v>
      </c>
      <c r="I2972" s="43">
        <v>12</v>
      </c>
      <c r="J2972" s="44" t="str">
        <f>VLOOKUP(G2972,[1]硬件清单!$F:$F,1,0)</f>
        <v>SRAD11410240043</v>
      </c>
      <c r="K2972" s="43"/>
      <c r="L2972" s="44"/>
      <c r="M2972" s="45" t="s">
        <v>9150</v>
      </c>
    </row>
    <row r="2973" s="26" customFormat="1" ht="30" customHeight="1" spans="1:13">
      <c r="A2973" s="41">
        <f>IF(C2973="","",SUBTOTAL(103,$C$2:C2973))</f>
        <v>2964</v>
      </c>
      <c r="B2973" s="41">
        <v>6319</v>
      </c>
      <c r="C2973" s="41">
        <v>7671</v>
      </c>
      <c r="D2973" s="41" t="s">
        <v>65</v>
      </c>
      <c r="E2973" s="41" t="s">
        <v>304</v>
      </c>
      <c r="F2973" s="41" t="s">
        <v>9114</v>
      </c>
      <c r="G2973" s="41" t="s">
        <v>9151</v>
      </c>
      <c r="H2973" s="41" t="s">
        <v>9152</v>
      </c>
      <c r="I2973" s="43">
        <v>12</v>
      </c>
      <c r="J2973" s="44" t="str">
        <f>VLOOKUP(G2973,[1]硬件清单!$F:$F,1,0)</f>
        <v>SRAD11410240048</v>
      </c>
      <c r="K2973" s="43"/>
      <c r="L2973" s="44"/>
      <c r="M2973" s="45" t="s">
        <v>9153</v>
      </c>
    </row>
    <row r="2974" s="26" customFormat="1" ht="30" customHeight="1" spans="1:13">
      <c r="A2974" s="41">
        <f>IF(C2974="","",SUBTOTAL(103,$C$2:C2974))</f>
        <v>2965</v>
      </c>
      <c r="B2974" s="41">
        <v>6320</v>
      </c>
      <c r="C2974" s="41">
        <v>7672</v>
      </c>
      <c r="D2974" s="41" t="s">
        <v>65</v>
      </c>
      <c r="E2974" s="41" t="s">
        <v>304</v>
      </c>
      <c r="F2974" s="41" t="s">
        <v>9114</v>
      </c>
      <c r="G2974" s="41" t="s">
        <v>9154</v>
      </c>
      <c r="H2974" s="41" t="s">
        <v>9155</v>
      </c>
      <c r="I2974" s="43">
        <v>12</v>
      </c>
      <c r="J2974" s="44" t="str">
        <f>VLOOKUP(G2974,[1]硬件清单!$F:$F,1,0)</f>
        <v>SRAD11410240049</v>
      </c>
      <c r="K2974" s="43"/>
      <c r="L2974" s="44"/>
      <c r="M2974" s="45" t="s">
        <v>9156</v>
      </c>
    </row>
    <row r="2975" s="26" customFormat="1" ht="30" customHeight="1" spans="1:13">
      <c r="A2975" s="41">
        <f>IF(C2975="","",SUBTOTAL(103,$C$2:C2975))</f>
        <v>2966</v>
      </c>
      <c r="B2975" s="41">
        <v>6321</v>
      </c>
      <c r="C2975" s="41">
        <v>7673</v>
      </c>
      <c r="D2975" s="41" t="s">
        <v>65</v>
      </c>
      <c r="E2975" s="41" t="s">
        <v>304</v>
      </c>
      <c r="F2975" s="41" t="s">
        <v>9114</v>
      </c>
      <c r="G2975" s="41" t="s">
        <v>9157</v>
      </c>
      <c r="H2975" s="41" t="s">
        <v>9158</v>
      </c>
      <c r="I2975" s="43">
        <v>12</v>
      </c>
      <c r="J2975" s="44" t="str">
        <f>VLOOKUP(G2975,[1]硬件清单!$F:$F,1,0)</f>
        <v>SRAD11410240050</v>
      </c>
      <c r="K2975" s="43"/>
      <c r="L2975" s="44"/>
      <c r="M2975" s="45" t="s">
        <v>9159</v>
      </c>
    </row>
    <row r="2976" s="26" customFormat="1" ht="30" customHeight="1" spans="1:13">
      <c r="A2976" s="41">
        <f>IF(C2976="","",SUBTOTAL(103,$C$2:C2976))</f>
        <v>2967</v>
      </c>
      <c r="B2976" s="41">
        <v>6322</v>
      </c>
      <c r="C2976" s="41">
        <v>7667</v>
      </c>
      <c r="D2976" s="41" t="s">
        <v>65</v>
      </c>
      <c r="E2976" s="41" t="s">
        <v>304</v>
      </c>
      <c r="F2976" s="41" t="s">
        <v>9114</v>
      </c>
      <c r="G2976" s="41" t="s">
        <v>9160</v>
      </c>
      <c r="H2976" s="41" t="s">
        <v>9161</v>
      </c>
      <c r="I2976" s="43">
        <v>12</v>
      </c>
      <c r="J2976" s="44" t="str">
        <f>VLOOKUP(G2976,[1]硬件清单!$F:$F,1,0)</f>
        <v>SRAD11410240044</v>
      </c>
      <c r="K2976" s="43"/>
      <c r="L2976" s="44"/>
      <c r="M2976" s="45" t="s">
        <v>9162</v>
      </c>
    </row>
    <row r="2977" s="26" customFormat="1" ht="30" customHeight="1" spans="1:13">
      <c r="A2977" s="41">
        <f>IF(C2977="","",SUBTOTAL(103,$C$2:C2977))</f>
        <v>2968</v>
      </c>
      <c r="B2977" s="41">
        <v>6323</v>
      </c>
      <c r="C2977" s="41">
        <v>7676</v>
      </c>
      <c r="D2977" s="41" t="s">
        <v>65</v>
      </c>
      <c r="E2977" s="41" t="s">
        <v>304</v>
      </c>
      <c r="F2977" s="41" t="s">
        <v>9114</v>
      </c>
      <c r="G2977" s="41" t="s">
        <v>9163</v>
      </c>
      <c r="H2977" s="41" t="s">
        <v>9164</v>
      </c>
      <c r="I2977" s="43">
        <v>12</v>
      </c>
      <c r="J2977" s="44" t="str">
        <f>VLOOKUP(G2977,[1]硬件清单!$F:$F,1,0)</f>
        <v>SRAD11410240053</v>
      </c>
      <c r="K2977" s="43"/>
      <c r="L2977" s="44"/>
      <c r="M2977" s="45" t="s">
        <v>9165</v>
      </c>
    </row>
    <row r="2978" s="26" customFormat="1" ht="30" customHeight="1" spans="1:13">
      <c r="A2978" s="41">
        <f>IF(C2978="","",SUBTOTAL(103,$C$2:C2978))</f>
        <v>2969</v>
      </c>
      <c r="B2978" s="41">
        <v>6324</v>
      </c>
      <c r="C2978" s="41">
        <v>7677</v>
      </c>
      <c r="D2978" s="41" t="s">
        <v>65</v>
      </c>
      <c r="E2978" s="41" t="s">
        <v>304</v>
      </c>
      <c r="F2978" s="41" t="s">
        <v>9114</v>
      </c>
      <c r="G2978" s="41" t="s">
        <v>9166</v>
      </c>
      <c r="H2978" s="41" t="s">
        <v>9167</v>
      </c>
      <c r="I2978" s="43">
        <v>12</v>
      </c>
      <c r="J2978" s="44" t="str">
        <f>VLOOKUP(G2978,[1]硬件清单!$F:$F,1,0)</f>
        <v>SRAD11410240054</v>
      </c>
      <c r="K2978" s="43"/>
      <c r="L2978" s="44"/>
      <c r="M2978" s="45" t="s">
        <v>9168</v>
      </c>
    </row>
    <row r="2979" s="26" customFormat="1" ht="30" customHeight="1" spans="1:13">
      <c r="A2979" s="41">
        <f>IF(C2979="","",SUBTOTAL(103,$C$2:C2979))</f>
        <v>2970</v>
      </c>
      <c r="B2979" s="41">
        <v>6325</v>
      </c>
      <c r="C2979" s="41">
        <v>7678</v>
      </c>
      <c r="D2979" s="41" t="s">
        <v>65</v>
      </c>
      <c r="E2979" s="41" t="s">
        <v>304</v>
      </c>
      <c r="F2979" s="41" t="s">
        <v>9114</v>
      </c>
      <c r="G2979" s="41" t="s">
        <v>9169</v>
      </c>
      <c r="H2979" s="41" t="s">
        <v>9170</v>
      </c>
      <c r="I2979" s="43">
        <v>12</v>
      </c>
      <c r="J2979" s="44" t="str">
        <f>VLOOKUP(G2979,[1]硬件清单!$F:$F,1,0)</f>
        <v>SRAD11410240055</v>
      </c>
      <c r="K2979" s="43"/>
      <c r="L2979" s="44"/>
      <c r="M2979" s="45" t="s">
        <v>9171</v>
      </c>
    </row>
    <row r="2980" s="26" customFormat="1" ht="30" customHeight="1" spans="1:13">
      <c r="A2980" s="41">
        <f>IF(C2980="","",SUBTOTAL(103,$C$2:C2980))</f>
        <v>2971</v>
      </c>
      <c r="B2980" s="41">
        <v>6326</v>
      </c>
      <c r="C2980" s="41">
        <v>7674</v>
      </c>
      <c r="D2980" s="41" t="s">
        <v>65</v>
      </c>
      <c r="E2980" s="41" t="s">
        <v>304</v>
      </c>
      <c r="F2980" s="41" t="s">
        <v>9114</v>
      </c>
      <c r="G2980" s="41" t="s">
        <v>9172</v>
      </c>
      <c r="H2980" s="41" t="s">
        <v>9173</v>
      </c>
      <c r="I2980" s="43">
        <v>12</v>
      </c>
      <c r="J2980" s="44" t="str">
        <f>VLOOKUP(G2980,[1]硬件清单!$F:$F,1,0)</f>
        <v>SRAD11410240051</v>
      </c>
      <c r="K2980" s="43"/>
      <c r="L2980" s="44"/>
      <c r="M2980" s="45" t="s">
        <v>9174</v>
      </c>
    </row>
    <row r="2981" s="26" customFormat="1" ht="30" customHeight="1" spans="1:13">
      <c r="A2981" s="41">
        <f>IF(C2981="","",SUBTOTAL(103,$C$2:C2981))</f>
        <v>2972</v>
      </c>
      <c r="B2981" s="41">
        <v>6327</v>
      </c>
      <c r="C2981" s="41">
        <v>7679</v>
      </c>
      <c r="D2981" s="41" t="s">
        <v>65</v>
      </c>
      <c r="E2981" s="41" t="s">
        <v>304</v>
      </c>
      <c r="F2981" s="41" t="s">
        <v>9114</v>
      </c>
      <c r="G2981" s="41" t="s">
        <v>9175</v>
      </c>
      <c r="H2981" s="41" t="s">
        <v>9176</v>
      </c>
      <c r="I2981" s="43">
        <v>12</v>
      </c>
      <c r="J2981" s="44" t="str">
        <f>VLOOKUP(G2981,[1]硬件清单!$F:$F,1,0)</f>
        <v>SRAD11410240056</v>
      </c>
      <c r="K2981" s="43"/>
      <c r="L2981" s="44"/>
      <c r="M2981" s="45" t="s">
        <v>9177</v>
      </c>
    </row>
    <row r="2982" s="26" customFormat="1" ht="30" customHeight="1" spans="1:13">
      <c r="A2982" s="41">
        <f>IF(C2982="","",SUBTOTAL(103,$C$2:C2982))</f>
        <v>2973</v>
      </c>
      <c r="B2982" s="41">
        <v>6328</v>
      </c>
      <c r="C2982" s="41">
        <v>7675</v>
      </c>
      <c r="D2982" s="41" t="s">
        <v>65</v>
      </c>
      <c r="E2982" s="41" t="s">
        <v>304</v>
      </c>
      <c r="F2982" s="41" t="s">
        <v>9114</v>
      </c>
      <c r="G2982" s="41" t="s">
        <v>9178</v>
      </c>
      <c r="H2982" s="41" t="s">
        <v>9179</v>
      </c>
      <c r="I2982" s="43">
        <v>12</v>
      </c>
      <c r="J2982" s="44" t="str">
        <f>VLOOKUP(G2982,[1]硬件清单!$F:$F,1,0)</f>
        <v>SRAD11410240052</v>
      </c>
      <c r="K2982" s="43"/>
      <c r="L2982" s="44"/>
      <c r="M2982" s="45" t="s">
        <v>9180</v>
      </c>
    </row>
    <row r="2983" s="26" customFormat="1" ht="30" customHeight="1" spans="1:13">
      <c r="A2983" s="41">
        <f>IF(C2983="","",SUBTOTAL(103,$C$2:C2983))</f>
        <v>2974</v>
      </c>
      <c r="B2983" s="41">
        <v>6329</v>
      </c>
      <c r="C2983" s="41">
        <v>7683</v>
      </c>
      <c r="D2983" s="41" t="s">
        <v>65</v>
      </c>
      <c r="E2983" s="41" t="s">
        <v>304</v>
      </c>
      <c r="F2983" s="41" t="s">
        <v>9114</v>
      </c>
      <c r="G2983" s="41" t="s">
        <v>9181</v>
      </c>
      <c r="H2983" s="41" t="s">
        <v>9182</v>
      </c>
      <c r="I2983" s="43">
        <v>12</v>
      </c>
      <c r="J2983" s="44" t="str">
        <f>VLOOKUP(G2983,[1]硬件清单!$F:$F,1,0)</f>
        <v>SRAD11410240060</v>
      </c>
      <c r="K2983" s="43"/>
      <c r="L2983" s="44"/>
      <c r="M2983" s="45" t="s">
        <v>9183</v>
      </c>
    </row>
    <row r="2984" s="26" customFormat="1" ht="30" customHeight="1" spans="1:13">
      <c r="A2984" s="41">
        <f>IF(C2984="","",SUBTOTAL(103,$C$2:C2984))</f>
        <v>2975</v>
      </c>
      <c r="B2984" s="41">
        <v>6330</v>
      </c>
      <c r="C2984" s="41">
        <v>7684</v>
      </c>
      <c r="D2984" s="41" t="s">
        <v>65</v>
      </c>
      <c r="E2984" s="41" t="s">
        <v>304</v>
      </c>
      <c r="F2984" s="41" t="s">
        <v>9114</v>
      </c>
      <c r="G2984" s="41" t="s">
        <v>9184</v>
      </c>
      <c r="H2984" s="41" t="s">
        <v>9185</v>
      </c>
      <c r="I2984" s="43">
        <v>12</v>
      </c>
      <c r="J2984" s="44" t="str">
        <f>VLOOKUP(G2984,[1]硬件清单!$F:$F,1,0)</f>
        <v>SRAD11410240061</v>
      </c>
      <c r="K2984" s="43"/>
      <c r="L2984" s="44"/>
      <c r="M2984" s="45" t="s">
        <v>9186</v>
      </c>
    </row>
    <row r="2985" s="26" customFormat="1" ht="30" customHeight="1" spans="1:13">
      <c r="A2985" s="41">
        <f>IF(C2985="","",SUBTOTAL(103,$C$2:C2985))</f>
        <v>2976</v>
      </c>
      <c r="B2985" s="41">
        <v>6331</v>
      </c>
      <c r="C2985" s="41">
        <v>7680</v>
      </c>
      <c r="D2985" s="41" t="s">
        <v>65</v>
      </c>
      <c r="E2985" s="41" t="s">
        <v>304</v>
      </c>
      <c r="F2985" s="41" t="s">
        <v>9114</v>
      </c>
      <c r="G2985" s="41" t="s">
        <v>9187</v>
      </c>
      <c r="H2985" s="41" t="s">
        <v>9188</v>
      </c>
      <c r="I2985" s="43">
        <v>12</v>
      </c>
      <c r="J2985" s="44" t="str">
        <f>VLOOKUP(G2985,[1]硬件清单!$F:$F,1,0)</f>
        <v>SRAD11410240063</v>
      </c>
      <c r="K2985" s="43"/>
      <c r="L2985" s="44"/>
      <c r="M2985" s="45" t="s">
        <v>9189</v>
      </c>
    </row>
    <row r="2986" s="26" customFormat="1" ht="30" customHeight="1" spans="1:13">
      <c r="A2986" s="41">
        <f>IF(C2986="","",SUBTOTAL(103,$C$2:C2986))</f>
        <v>2977</v>
      </c>
      <c r="B2986" s="41">
        <v>6332</v>
      </c>
      <c r="C2986" s="41">
        <v>7685</v>
      </c>
      <c r="D2986" s="41" t="s">
        <v>65</v>
      </c>
      <c r="E2986" s="41" t="s">
        <v>304</v>
      </c>
      <c r="F2986" s="41" t="s">
        <v>9114</v>
      </c>
      <c r="G2986" s="41" t="s">
        <v>9190</v>
      </c>
      <c r="H2986" s="41" t="s">
        <v>9191</v>
      </c>
      <c r="I2986" s="43">
        <v>12</v>
      </c>
      <c r="J2986" s="44" t="str">
        <f>VLOOKUP(G2986,[1]硬件清单!$F:$F,1,0)</f>
        <v>SRAD11410240062</v>
      </c>
      <c r="K2986" s="43"/>
      <c r="L2986" s="44"/>
      <c r="M2986" s="45" t="s">
        <v>9192</v>
      </c>
    </row>
    <row r="2987" s="26" customFormat="1" ht="30" customHeight="1" spans="1:13">
      <c r="A2987" s="41">
        <f>IF(C2987="","",SUBTOTAL(103,$C$2:C2987))</f>
        <v>2978</v>
      </c>
      <c r="B2987" s="41">
        <v>6333</v>
      </c>
      <c r="C2987" s="41">
        <v>7682</v>
      </c>
      <c r="D2987" s="41" t="s">
        <v>65</v>
      </c>
      <c r="E2987" s="41" t="s">
        <v>304</v>
      </c>
      <c r="F2987" s="41" t="s">
        <v>9114</v>
      </c>
      <c r="G2987" s="41" t="s">
        <v>9193</v>
      </c>
      <c r="H2987" s="41" t="s">
        <v>9194</v>
      </c>
      <c r="I2987" s="43">
        <v>12</v>
      </c>
      <c r="J2987" s="44" t="str">
        <f>VLOOKUP(G2987,[1]硬件清单!$F:$F,1,0)</f>
        <v>SRAD11410240076</v>
      </c>
      <c r="K2987" s="43"/>
      <c r="L2987" s="44"/>
      <c r="M2987" s="45" t="s">
        <v>9195</v>
      </c>
    </row>
    <row r="2988" s="26" customFormat="1" ht="30" customHeight="1" spans="1:13">
      <c r="A2988" s="41">
        <f>IF(C2988="","",SUBTOTAL(103,$C$2:C2988))</f>
        <v>2979</v>
      </c>
      <c r="B2988" s="41">
        <v>6334</v>
      </c>
      <c r="C2988" s="41">
        <v>7681</v>
      </c>
      <c r="D2988" s="41" t="s">
        <v>65</v>
      </c>
      <c r="E2988" s="41" t="s">
        <v>304</v>
      </c>
      <c r="F2988" s="41" t="s">
        <v>9114</v>
      </c>
      <c r="G2988" s="41" t="s">
        <v>9196</v>
      </c>
      <c r="H2988" s="41" t="s">
        <v>9197</v>
      </c>
      <c r="I2988" s="43">
        <v>12</v>
      </c>
      <c r="J2988" s="44" t="str">
        <f>VLOOKUP(G2988,[1]硬件清单!$F:$F,1,0)</f>
        <v>SRAD11410240058</v>
      </c>
      <c r="K2988" s="43"/>
      <c r="L2988" s="44"/>
      <c r="M2988" s="45" t="s">
        <v>9198</v>
      </c>
    </row>
    <row r="2989" s="26" customFormat="1" ht="30" customHeight="1" spans="1:13">
      <c r="A2989" s="41">
        <f>IF(C2989="","",SUBTOTAL(103,$C$2:C2989))</f>
        <v>2980</v>
      </c>
      <c r="B2989" s="41">
        <v>6335</v>
      </c>
      <c r="C2989" s="41">
        <v>5664</v>
      </c>
      <c r="D2989" s="41" t="s">
        <v>65</v>
      </c>
      <c r="E2989" s="41" t="s">
        <v>901</v>
      </c>
      <c r="F2989" s="41" t="s">
        <v>9110</v>
      </c>
      <c r="G2989" s="41" t="s">
        <v>9199</v>
      </c>
      <c r="H2989" s="41" t="s">
        <v>9200</v>
      </c>
      <c r="I2989" s="43">
        <v>12</v>
      </c>
      <c r="J2989" s="44" t="str">
        <f>VLOOKUP(G2989,[1]硬件清单!$F:$F,1,0)</f>
        <v>SRIE2017RAFHV10121</v>
      </c>
      <c r="K2989" s="43"/>
      <c r="L2989" s="44"/>
      <c r="M2989" s="45" t="s">
        <v>9201</v>
      </c>
    </row>
    <row r="2990" s="26" customFormat="1" ht="30" customHeight="1" spans="1:13">
      <c r="A2990" s="41">
        <f>IF(C2990="","",SUBTOTAL(103,$C$2:C2990))</f>
        <v>2981</v>
      </c>
      <c r="B2990" s="41">
        <v>6336</v>
      </c>
      <c r="C2990" s="41">
        <v>5662</v>
      </c>
      <c r="D2990" s="41" t="s">
        <v>65</v>
      </c>
      <c r="E2990" s="41" t="s">
        <v>901</v>
      </c>
      <c r="F2990" s="41" t="s">
        <v>9202</v>
      </c>
      <c r="G2990" s="41" t="s">
        <v>9203</v>
      </c>
      <c r="H2990" s="41" t="s">
        <v>9204</v>
      </c>
      <c r="I2990" s="43">
        <v>12</v>
      </c>
      <c r="J2990" s="44" t="str">
        <f>VLOOKUP(G2990,[1]硬件清单!$F:$F,1,0)</f>
        <v>SRIE2017CJTZV10121C
SRIE2017CJTZV10121A
SRIE2017CJTZV10121D</v>
      </c>
      <c r="K2990" s="43"/>
      <c r="L2990" s="44"/>
      <c r="M2990" s="45" t="s">
        <v>9205</v>
      </c>
    </row>
    <row r="2991" s="26" customFormat="1" ht="30" customHeight="1" spans="1:13">
      <c r="A2991" s="41">
        <f>IF(C2991="","",SUBTOTAL(103,$C$2:C2991))</f>
        <v>2982</v>
      </c>
      <c r="B2991" s="41">
        <v>6337</v>
      </c>
      <c r="C2991" s="41">
        <v>5658</v>
      </c>
      <c r="D2991" s="41" t="s">
        <v>65</v>
      </c>
      <c r="E2991" s="41" t="s">
        <v>901</v>
      </c>
      <c r="F2991" s="41" t="s">
        <v>9025</v>
      </c>
      <c r="G2991" s="41" t="s">
        <v>9206</v>
      </c>
      <c r="H2991" s="41" t="s">
        <v>9207</v>
      </c>
      <c r="I2991" s="43">
        <v>12</v>
      </c>
      <c r="J2991" s="44" t="str">
        <f>VLOOKUP(G2991,[1]硬件清单!$F:$F,1,0)</f>
        <v>SRAD11710060131</v>
      </c>
      <c r="K2991" s="43"/>
      <c r="L2991" s="44"/>
      <c r="M2991" s="45" t="s">
        <v>9208</v>
      </c>
    </row>
    <row r="2992" s="26" customFormat="1" ht="30" customHeight="1" spans="1:13">
      <c r="A2992" s="41">
        <f>IF(C2992="","",SUBTOTAL(103,$C$2:C2992))</f>
        <v>2983</v>
      </c>
      <c r="B2992" s="41">
        <v>6338</v>
      </c>
      <c r="C2992" s="41">
        <v>5659</v>
      </c>
      <c r="D2992" s="41" t="s">
        <v>65</v>
      </c>
      <c r="E2992" s="41" t="s">
        <v>901</v>
      </c>
      <c r="F2992" s="41" t="s">
        <v>9025</v>
      </c>
      <c r="G2992" s="41" t="s">
        <v>9209</v>
      </c>
      <c r="H2992" s="41" t="s">
        <v>9210</v>
      </c>
      <c r="I2992" s="43">
        <v>12</v>
      </c>
      <c r="J2992" s="44" t="str">
        <f>VLOOKUP(G2992,[1]硬件清单!$F:$F,1,0)</f>
        <v>SRAD11710060141</v>
      </c>
      <c r="K2992" s="43"/>
      <c r="L2992" s="44"/>
      <c r="M2992" s="45" t="s">
        <v>9211</v>
      </c>
    </row>
    <row r="2993" s="26" customFormat="1" ht="30" customHeight="1" spans="1:13">
      <c r="A2993" s="41">
        <f>IF(C2993="","",SUBTOTAL(103,$C$2:C2993))</f>
        <v>2984</v>
      </c>
      <c r="B2993" s="41">
        <v>6339</v>
      </c>
      <c r="C2993" s="41">
        <v>5656</v>
      </c>
      <c r="D2993" s="41" t="s">
        <v>65</v>
      </c>
      <c r="E2993" s="41" t="s">
        <v>901</v>
      </c>
      <c r="F2993" s="41" t="s">
        <v>9025</v>
      </c>
      <c r="G2993" s="41" t="s">
        <v>9212</v>
      </c>
      <c r="H2993" s="41" t="s">
        <v>9213</v>
      </c>
      <c r="I2993" s="43">
        <v>12</v>
      </c>
      <c r="J2993" s="44" t="str">
        <f>VLOOKUP(G2993,[1]硬件清单!$F:$F,1,0)</f>
        <v>SRAD11710060130</v>
      </c>
      <c r="K2993" s="43"/>
      <c r="L2993" s="44"/>
      <c r="M2993" s="45" t="s">
        <v>9214</v>
      </c>
    </row>
    <row r="2994" s="26" customFormat="1" ht="30" customHeight="1" spans="1:13">
      <c r="A2994" s="41">
        <f>IF(C2994="","",SUBTOTAL(103,$C$2:C2994))</f>
        <v>2985</v>
      </c>
      <c r="B2994" s="41">
        <v>6340</v>
      </c>
      <c r="C2994" s="41">
        <v>5652</v>
      </c>
      <c r="D2994" s="41" t="s">
        <v>65</v>
      </c>
      <c r="E2994" s="41" t="s">
        <v>901</v>
      </c>
      <c r="F2994" s="41" t="s">
        <v>9025</v>
      </c>
      <c r="G2994" s="41" t="s">
        <v>9215</v>
      </c>
      <c r="H2994" s="41" t="s">
        <v>9216</v>
      </c>
      <c r="I2994" s="43">
        <v>12</v>
      </c>
      <c r="J2994" s="44" t="str">
        <f>VLOOKUP(G2994,[1]硬件清单!$F:$F,1,0)</f>
        <v>SRAD11710060129</v>
      </c>
      <c r="K2994" s="43"/>
      <c r="L2994" s="44"/>
      <c r="M2994" s="45" t="s">
        <v>9217</v>
      </c>
    </row>
    <row r="2995" s="26" customFormat="1" ht="30" customHeight="1" spans="1:13">
      <c r="A2995" s="41">
        <f>IF(C2995="","",SUBTOTAL(103,$C$2:C2995))</f>
        <v>2986</v>
      </c>
      <c r="B2995" s="41">
        <v>6341</v>
      </c>
      <c r="C2995" s="41">
        <v>5654</v>
      </c>
      <c r="D2995" s="41" t="s">
        <v>65</v>
      </c>
      <c r="E2995" s="41" t="s">
        <v>901</v>
      </c>
      <c r="F2995" s="41" t="s">
        <v>9025</v>
      </c>
      <c r="G2995" s="41" t="s">
        <v>9218</v>
      </c>
      <c r="H2995" s="41" t="s">
        <v>9219</v>
      </c>
      <c r="I2995" s="43">
        <v>12</v>
      </c>
      <c r="J2995" s="44" t="str">
        <f>VLOOKUP(G2995,[1]硬件清单!$F:$F,1,0)</f>
        <v>SRAD11710060150</v>
      </c>
      <c r="K2995" s="43"/>
      <c r="L2995" s="44"/>
      <c r="M2995" s="45" t="s">
        <v>9220</v>
      </c>
    </row>
    <row r="2996" s="26" customFormat="1" ht="30" customHeight="1" spans="1:13">
      <c r="A2996" s="41">
        <f>IF(C2996="","",SUBTOTAL(103,$C$2:C2996))</f>
        <v>2987</v>
      </c>
      <c r="B2996" s="41">
        <v>6342</v>
      </c>
      <c r="C2996" s="41">
        <v>5648</v>
      </c>
      <c r="D2996" s="41" t="s">
        <v>65</v>
      </c>
      <c r="E2996" s="41" t="s">
        <v>901</v>
      </c>
      <c r="F2996" s="41" t="s">
        <v>9025</v>
      </c>
      <c r="G2996" s="41" t="s">
        <v>9221</v>
      </c>
      <c r="H2996" s="41" t="s">
        <v>9222</v>
      </c>
      <c r="I2996" s="43">
        <v>12</v>
      </c>
      <c r="J2996" s="44" t="str">
        <f>VLOOKUP(G2996,[1]硬件清单!$F:$F,1,0)</f>
        <v>SRAD11710060144</v>
      </c>
      <c r="K2996" s="43"/>
      <c r="L2996" s="44"/>
      <c r="M2996" s="45" t="s">
        <v>9223</v>
      </c>
    </row>
    <row r="2997" s="26" customFormat="1" ht="30" customHeight="1" spans="1:13">
      <c r="A2997" s="41">
        <f>IF(C2997="","",SUBTOTAL(103,$C$2:C2997))</f>
        <v>2988</v>
      </c>
      <c r="B2997" s="41">
        <v>6343</v>
      </c>
      <c r="C2997" s="41">
        <v>5650</v>
      </c>
      <c r="D2997" s="41" t="s">
        <v>65</v>
      </c>
      <c r="E2997" s="41" t="s">
        <v>901</v>
      </c>
      <c r="F2997" s="41" t="s">
        <v>9025</v>
      </c>
      <c r="G2997" s="41" t="s">
        <v>9224</v>
      </c>
      <c r="H2997" s="41" t="s">
        <v>9225</v>
      </c>
      <c r="I2997" s="43">
        <v>12</v>
      </c>
      <c r="J2997" s="44" t="str">
        <f>VLOOKUP(G2997,[1]硬件清单!$F:$F,1,0)</f>
        <v>SRAD11710060138</v>
      </c>
      <c r="K2997" s="43"/>
      <c r="L2997" s="44"/>
      <c r="M2997" s="45" t="s">
        <v>9226</v>
      </c>
    </row>
    <row r="2998" s="26" customFormat="1" ht="30" customHeight="1" spans="1:13">
      <c r="A2998" s="41">
        <f>IF(C2998="","",SUBTOTAL(103,$C$2:C2998))</f>
        <v>2989</v>
      </c>
      <c r="B2998" s="41">
        <v>6344</v>
      </c>
      <c r="C2998" s="41">
        <v>5653</v>
      </c>
      <c r="D2998" s="41" t="s">
        <v>65</v>
      </c>
      <c r="E2998" s="41" t="s">
        <v>901</v>
      </c>
      <c r="F2998" s="41" t="s">
        <v>9025</v>
      </c>
      <c r="G2998" s="41" t="s">
        <v>9227</v>
      </c>
      <c r="H2998" s="41" t="s">
        <v>9228</v>
      </c>
      <c r="I2998" s="43">
        <v>12</v>
      </c>
      <c r="J2998" s="44" t="str">
        <f>VLOOKUP(G2998,[1]硬件清单!$F:$F,1,0)</f>
        <v>SRAD11710060142</v>
      </c>
      <c r="K2998" s="43"/>
      <c r="L2998" s="44"/>
      <c r="M2998" s="45" t="s">
        <v>9229</v>
      </c>
    </row>
    <row r="2999" s="26" customFormat="1" ht="30" customHeight="1" spans="1:13">
      <c r="A2999" s="41">
        <f>IF(C2999="","",SUBTOTAL(103,$C$2:C2999))</f>
        <v>2990</v>
      </c>
      <c r="B2999" s="41">
        <v>6345</v>
      </c>
      <c r="C2999" s="41">
        <v>5655</v>
      </c>
      <c r="D2999" s="41" t="s">
        <v>65</v>
      </c>
      <c r="E2999" s="41" t="s">
        <v>901</v>
      </c>
      <c r="F2999" s="41" t="s">
        <v>9025</v>
      </c>
      <c r="G2999" s="41" t="s">
        <v>9230</v>
      </c>
      <c r="H2999" s="41" t="s">
        <v>9231</v>
      </c>
      <c r="I2999" s="43">
        <v>12</v>
      </c>
      <c r="J2999" s="44" t="str">
        <f>VLOOKUP(G2999,[1]硬件清单!$F:$F,1,0)</f>
        <v>SRAD11710060137</v>
      </c>
      <c r="K2999" s="43"/>
      <c r="L2999" s="44"/>
      <c r="M2999" s="45" t="s">
        <v>9232</v>
      </c>
    </row>
    <row r="3000" s="26" customFormat="1" ht="30" customHeight="1" spans="1:13">
      <c r="A3000" s="41">
        <f>IF(C3000="","",SUBTOTAL(103,$C$2:C3000))</f>
        <v>2991</v>
      </c>
      <c r="B3000" s="41">
        <v>6346</v>
      </c>
      <c r="C3000" s="41">
        <v>5649</v>
      </c>
      <c r="D3000" s="41" t="s">
        <v>65</v>
      </c>
      <c r="E3000" s="41" t="s">
        <v>901</v>
      </c>
      <c r="F3000" s="41" t="s">
        <v>9025</v>
      </c>
      <c r="G3000" s="41" t="s">
        <v>9233</v>
      </c>
      <c r="H3000" s="41" t="s">
        <v>9234</v>
      </c>
      <c r="I3000" s="43">
        <v>12</v>
      </c>
      <c r="J3000" s="44" t="str">
        <f>VLOOKUP(G3000,[1]硬件清单!$F:$F,1,0)</f>
        <v>SRAD11710060135</v>
      </c>
      <c r="K3000" s="43"/>
      <c r="L3000" s="44"/>
      <c r="M3000" s="45" t="s">
        <v>9235</v>
      </c>
    </row>
    <row r="3001" s="26" customFormat="1" ht="30" customHeight="1" spans="1:13">
      <c r="A3001" s="41">
        <f>IF(C3001="","",SUBTOTAL(103,$C$2:C3001))</f>
        <v>2992</v>
      </c>
      <c r="B3001" s="41">
        <v>6347</v>
      </c>
      <c r="C3001" s="41">
        <v>5651</v>
      </c>
      <c r="D3001" s="41" t="s">
        <v>65</v>
      </c>
      <c r="E3001" s="41" t="s">
        <v>901</v>
      </c>
      <c r="F3001" s="41" t="s">
        <v>9025</v>
      </c>
      <c r="G3001" s="41" t="s">
        <v>9236</v>
      </c>
      <c r="H3001" s="41" t="s">
        <v>9237</v>
      </c>
      <c r="I3001" s="43">
        <v>12</v>
      </c>
      <c r="J3001" s="44" t="str">
        <f>VLOOKUP(G3001,[1]硬件清单!$F:$F,1,0)</f>
        <v>SRAD11710060133</v>
      </c>
      <c r="K3001" s="43"/>
      <c r="L3001" s="44"/>
      <c r="M3001" s="45" t="s">
        <v>9238</v>
      </c>
    </row>
    <row r="3002" s="26" customFormat="1" ht="30" customHeight="1" spans="1:13">
      <c r="A3002" s="41">
        <f>IF(C3002="","",SUBTOTAL(103,$C$2:C3002))</f>
        <v>2993</v>
      </c>
      <c r="B3002" s="41">
        <v>6348</v>
      </c>
      <c r="C3002" s="41">
        <v>5663</v>
      </c>
      <c r="D3002" s="41" t="s">
        <v>65</v>
      </c>
      <c r="E3002" s="41" t="s">
        <v>901</v>
      </c>
      <c r="F3002" s="41" t="s">
        <v>9202</v>
      </c>
      <c r="G3002" s="41" t="s">
        <v>9239</v>
      </c>
      <c r="H3002" s="41" t="s">
        <v>9240</v>
      </c>
      <c r="I3002" s="43">
        <v>12</v>
      </c>
      <c r="J3002" s="44" t="str">
        <f>VLOOKUP(G3002,[1]硬件清单!$F:$F,1,0)</f>
        <v>SRIE2017CJTZV10122C
SRIE2017CJTZV10122A
SRIE2017CJTZV10122D</v>
      </c>
      <c r="K3002" s="43"/>
      <c r="L3002" s="44"/>
      <c r="M3002" s="45" t="s">
        <v>9241</v>
      </c>
    </row>
    <row r="3003" s="26" customFormat="1" ht="30" customHeight="1" spans="1:13">
      <c r="A3003" s="41">
        <f>IF(C3003="","",SUBTOTAL(103,$C$2:C3003))</f>
        <v>2994</v>
      </c>
      <c r="B3003" s="41">
        <v>6349</v>
      </c>
      <c r="C3003" s="41">
        <v>5661</v>
      </c>
      <c r="D3003" s="41" t="s">
        <v>65</v>
      </c>
      <c r="E3003" s="41" t="s">
        <v>901</v>
      </c>
      <c r="F3003" s="41" t="s">
        <v>9025</v>
      </c>
      <c r="G3003" s="41" t="s">
        <v>9242</v>
      </c>
      <c r="H3003" s="41" t="s">
        <v>9243</v>
      </c>
      <c r="I3003" s="43">
        <v>12</v>
      </c>
      <c r="J3003" s="44" t="str">
        <f>VLOOKUP(G3003,[1]硬件清单!$F:$F,1,0)</f>
        <v>SRAD11710060140</v>
      </c>
      <c r="K3003" s="43"/>
      <c r="L3003" s="44"/>
      <c r="M3003" s="45" t="s">
        <v>9244</v>
      </c>
    </row>
    <row r="3004" s="26" customFormat="1" ht="30" customHeight="1" spans="1:13">
      <c r="A3004" s="41">
        <f>IF(C3004="","",SUBTOTAL(103,$C$2:C3004))</f>
        <v>2995</v>
      </c>
      <c r="B3004" s="41">
        <v>6350</v>
      </c>
      <c r="C3004" s="41">
        <v>5644</v>
      </c>
      <c r="D3004" s="41" t="s">
        <v>65</v>
      </c>
      <c r="E3004" s="41" t="s">
        <v>901</v>
      </c>
      <c r="F3004" s="41" t="s">
        <v>9025</v>
      </c>
      <c r="G3004" s="41" t="s">
        <v>9245</v>
      </c>
      <c r="H3004" s="41" t="s">
        <v>9246</v>
      </c>
      <c r="I3004" s="43">
        <v>12</v>
      </c>
      <c r="J3004" s="44" t="str">
        <f>VLOOKUP(G3004,[1]硬件清单!$F:$F,1,0)</f>
        <v>SRAD11710060134</v>
      </c>
      <c r="K3004" s="43"/>
      <c r="L3004" s="44"/>
      <c r="M3004" s="45" t="s">
        <v>9247</v>
      </c>
    </row>
    <row r="3005" s="26" customFormat="1" ht="30" customHeight="1" spans="1:13">
      <c r="A3005" s="41">
        <f>IF(C3005="","",SUBTOTAL(103,$C$2:C3005))</f>
        <v>2996</v>
      </c>
      <c r="B3005" s="41">
        <v>6351</v>
      </c>
      <c r="C3005" s="41">
        <v>5660</v>
      </c>
      <c r="D3005" s="41" t="s">
        <v>65</v>
      </c>
      <c r="E3005" s="41" t="s">
        <v>901</v>
      </c>
      <c r="F3005" s="41" t="s">
        <v>9025</v>
      </c>
      <c r="G3005" s="41" t="s">
        <v>9248</v>
      </c>
      <c r="H3005" s="41" t="s">
        <v>9249</v>
      </c>
      <c r="I3005" s="43">
        <v>12</v>
      </c>
      <c r="J3005" s="44" t="str">
        <f>VLOOKUP(G3005,[1]硬件清单!$F:$F,1,0)</f>
        <v>SRAD11710060139</v>
      </c>
      <c r="K3005" s="43"/>
      <c r="L3005" s="44"/>
      <c r="M3005" s="45" t="s">
        <v>9250</v>
      </c>
    </row>
    <row r="3006" s="26" customFormat="1" ht="30" customHeight="1" spans="1:13">
      <c r="A3006" s="41">
        <f>IF(C3006="","",SUBTOTAL(103,$C$2:C3006))</f>
        <v>2997</v>
      </c>
      <c r="B3006" s="41">
        <v>6352</v>
      </c>
      <c r="C3006" s="41">
        <v>5646</v>
      </c>
      <c r="D3006" s="41" t="s">
        <v>65</v>
      </c>
      <c r="E3006" s="41" t="s">
        <v>901</v>
      </c>
      <c r="F3006" s="41" t="s">
        <v>9025</v>
      </c>
      <c r="G3006" s="41" t="s">
        <v>9251</v>
      </c>
      <c r="H3006" s="41" t="s">
        <v>9252</v>
      </c>
      <c r="I3006" s="43">
        <v>12</v>
      </c>
      <c r="J3006" s="44" t="str">
        <f>VLOOKUP(G3006,[1]硬件清单!$F:$F,1,0)</f>
        <v>SRAD11710060132</v>
      </c>
      <c r="K3006" s="43"/>
      <c r="L3006" s="44"/>
      <c r="M3006" s="45" t="s">
        <v>9253</v>
      </c>
    </row>
    <row r="3007" s="26" customFormat="1" ht="30" customHeight="1" spans="1:13">
      <c r="A3007" s="41">
        <f>IF(C3007="","",SUBTOTAL(103,$C$2:C3007))</f>
        <v>2998</v>
      </c>
      <c r="B3007" s="41">
        <v>6353</v>
      </c>
      <c r="C3007" s="41">
        <v>5657</v>
      </c>
      <c r="D3007" s="41" t="s">
        <v>65</v>
      </c>
      <c r="E3007" s="41" t="s">
        <v>901</v>
      </c>
      <c r="F3007" s="41" t="s">
        <v>9025</v>
      </c>
      <c r="G3007" s="41" t="s">
        <v>9254</v>
      </c>
      <c r="H3007" s="41" t="s">
        <v>9255</v>
      </c>
      <c r="I3007" s="43">
        <v>12</v>
      </c>
      <c r="J3007" s="44" t="str">
        <f>VLOOKUP(G3007,[1]硬件清单!$F:$F,1,0)</f>
        <v>SRAD11710060143</v>
      </c>
      <c r="K3007" s="43"/>
      <c r="L3007" s="44"/>
      <c r="M3007" s="45" t="s">
        <v>9256</v>
      </c>
    </row>
    <row r="3008" s="26" customFormat="1" ht="30" customHeight="1" spans="1:13">
      <c r="A3008" s="41">
        <f>IF(C3008="","",SUBTOTAL(103,$C$2:C3008))</f>
        <v>2999</v>
      </c>
      <c r="B3008" s="41">
        <v>6354</v>
      </c>
      <c r="C3008" s="41">
        <v>5647</v>
      </c>
      <c r="D3008" s="41" t="s">
        <v>65</v>
      </c>
      <c r="E3008" s="41" t="s">
        <v>901</v>
      </c>
      <c r="F3008" s="41" t="s">
        <v>9025</v>
      </c>
      <c r="G3008" s="41" t="s">
        <v>9257</v>
      </c>
      <c r="H3008" s="41" t="s">
        <v>9258</v>
      </c>
      <c r="I3008" s="43">
        <v>12</v>
      </c>
      <c r="J3008" s="44" t="str">
        <f>VLOOKUP(G3008,[1]硬件清单!$F:$F,1,0)</f>
        <v>SRAD11710060145</v>
      </c>
      <c r="K3008" s="43"/>
      <c r="L3008" s="44"/>
      <c r="M3008" s="45" t="s">
        <v>9259</v>
      </c>
    </row>
    <row r="3009" s="26" customFormat="1" ht="30" customHeight="1" spans="1:13">
      <c r="A3009" s="41">
        <f>IF(C3009="","",SUBTOTAL(103,$C$2:C3009))</f>
        <v>3000</v>
      </c>
      <c r="B3009" s="41">
        <v>6355</v>
      </c>
      <c r="C3009" s="41">
        <v>5642</v>
      </c>
      <c r="D3009" s="41" t="s">
        <v>65</v>
      </c>
      <c r="E3009" s="41" t="s">
        <v>901</v>
      </c>
      <c r="F3009" s="41" t="s">
        <v>9025</v>
      </c>
      <c r="G3009" s="41" t="s">
        <v>9260</v>
      </c>
      <c r="H3009" s="41" t="s">
        <v>9261</v>
      </c>
      <c r="I3009" s="43">
        <v>12</v>
      </c>
      <c r="J3009" s="44" t="str">
        <f>VLOOKUP(G3009,[1]硬件清单!$F:$F,1,0)</f>
        <v>SRAD11710060146</v>
      </c>
      <c r="K3009" s="43"/>
      <c r="L3009" s="44"/>
      <c r="M3009" s="45" t="s">
        <v>9262</v>
      </c>
    </row>
    <row r="3010" s="26" customFormat="1" ht="30" customHeight="1" spans="1:13">
      <c r="A3010" s="41">
        <f>IF(C3010="","",SUBTOTAL(103,$C$2:C3010))</f>
        <v>3001</v>
      </c>
      <c r="B3010" s="41">
        <v>6356</v>
      </c>
      <c r="C3010" s="41">
        <v>5643</v>
      </c>
      <c r="D3010" s="41" t="s">
        <v>65</v>
      </c>
      <c r="E3010" s="41" t="s">
        <v>901</v>
      </c>
      <c r="F3010" s="41" t="s">
        <v>9025</v>
      </c>
      <c r="G3010" s="41" t="s">
        <v>9263</v>
      </c>
      <c r="H3010" s="41" t="s">
        <v>9264</v>
      </c>
      <c r="I3010" s="43">
        <v>12</v>
      </c>
      <c r="J3010" s="44" t="str">
        <f>VLOOKUP(G3010,[1]硬件清单!$F:$F,1,0)</f>
        <v>SRAD11710060148</v>
      </c>
      <c r="K3010" s="43"/>
      <c r="L3010" s="44"/>
      <c r="M3010" s="45" t="s">
        <v>9265</v>
      </c>
    </row>
    <row r="3011" s="26" customFormat="1" ht="30" customHeight="1" spans="1:13">
      <c r="A3011" s="41">
        <f>IF(C3011="","",SUBTOTAL(103,$C$2:C3011))</f>
        <v>3002</v>
      </c>
      <c r="B3011" s="41">
        <v>6357</v>
      </c>
      <c r="C3011" s="41">
        <v>5645</v>
      </c>
      <c r="D3011" s="41" t="s">
        <v>65</v>
      </c>
      <c r="E3011" s="41" t="s">
        <v>901</v>
      </c>
      <c r="F3011" s="41" t="s">
        <v>9025</v>
      </c>
      <c r="G3011" s="41" t="s">
        <v>9266</v>
      </c>
      <c r="H3011" s="41" t="s">
        <v>9267</v>
      </c>
      <c r="I3011" s="43">
        <v>12</v>
      </c>
      <c r="J3011" s="44" t="str">
        <f>VLOOKUP(G3011,[1]硬件清单!$F:$F,1,0)</f>
        <v>SRAD11710060149</v>
      </c>
      <c r="K3011" s="43"/>
      <c r="L3011" s="44"/>
      <c r="M3011" s="45" t="s">
        <v>9268</v>
      </c>
    </row>
    <row r="3012" s="26" customFormat="1" ht="30" customHeight="1" spans="1:13">
      <c r="A3012" s="41">
        <f>IF(C3012="","",SUBTOTAL(103,$C$2:C3012))</f>
        <v>3003</v>
      </c>
      <c r="B3012" s="41">
        <v>6358</v>
      </c>
      <c r="C3012" s="41">
        <v>7780</v>
      </c>
      <c r="D3012" s="41" t="s">
        <v>65</v>
      </c>
      <c r="E3012" s="41" t="s">
        <v>901</v>
      </c>
      <c r="F3012" s="41" t="s">
        <v>9269</v>
      </c>
      <c r="G3012" s="41" t="s">
        <v>9270</v>
      </c>
      <c r="H3012" s="41" t="s">
        <v>9271</v>
      </c>
      <c r="I3012" s="43">
        <v>12</v>
      </c>
      <c r="J3012" s="44" t="str">
        <f>VLOOKUP(G3012,[1]硬件清单!$F:$F,1,0)</f>
        <v>SRAD11410240092</v>
      </c>
      <c r="K3012" s="43"/>
      <c r="L3012" s="44"/>
      <c r="M3012" s="45" t="s">
        <v>9272</v>
      </c>
    </row>
    <row r="3013" s="26" customFormat="1" ht="30" customHeight="1" spans="1:13">
      <c r="A3013" s="41">
        <f>IF(C3013="","",SUBTOTAL(103,$C$2:C3013))</f>
        <v>3004</v>
      </c>
      <c r="B3013" s="41">
        <v>6359</v>
      </c>
      <c r="C3013" s="41">
        <v>7781</v>
      </c>
      <c r="D3013" s="41" t="s">
        <v>65</v>
      </c>
      <c r="E3013" s="41" t="s">
        <v>901</v>
      </c>
      <c r="F3013" s="41" t="s">
        <v>9269</v>
      </c>
      <c r="G3013" s="41" t="s">
        <v>9273</v>
      </c>
      <c r="H3013" s="41" t="s">
        <v>9274</v>
      </c>
      <c r="I3013" s="43">
        <v>12</v>
      </c>
      <c r="J3013" s="44" t="str">
        <f>VLOOKUP(G3013,[1]硬件清单!$F:$F,1,0)</f>
        <v>SRAD11410240074</v>
      </c>
      <c r="K3013" s="43"/>
      <c r="L3013" s="44"/>
      <c r="M3013" s="45" t="s">
        <v>9275</v>
      </c>
    </row>
    <row r="3014" s="26" customFormat="1" ht="30" customHeight="1" spans="1:13">
      <c r="A3014" s="41">
        <f>IF(C3014="","",SUBTOTAL(103,$C$2:C3014))</f>
        <v>3005</v>
      </c>
      <c r="B3014" s="41">
        <v>6360</v>
      </c>
      <c r="C3014" s="41">
        <v>7782</v>
      </c>
      <c r="D3014" s="41" t="s">
        <v>65</v>
      </c>
      <c r="E3014" s="41" t="s">
        <v>901</v>
      </c>
      <c r="F3014" s="41" t="s">
        <v>9269</v>
      </c>
      <c r="G3014" s="41" t="s">
        <v>9276</v>
      </c>
      <c r="H3014" s="41" t="s">
        <v>9277</v>
      </c>
      <c r="I3014" s="43">
        <v>12</v>
      </c>
      <c r="J3014" s="44" t="str">
        <f>VLOOKUP(G3014,[1]硬件清单!$F:$F,1,0)</f>
        <v>SRAD11410240075</v>
      </c>
      <c r="K3014" s="43"/>
      <c r="L3014" s="44"/>
      <c r="M3014" s="45" t="s">
        <v>9278</v>
      </c>
    </row>
    <row r="3015" s="26" customFormat="1" ht="30" customHeight="1" spans="1:13">
      <c r="A3015" s="41">
        <f>IF(C3015="","",SUBTOTAL(103,$C$2:C3015))</f>
        <v>3006</v>
      </c>
      <c r="B3015" s="41">
        <v>6361</v>
      </c>
      <c r="C3015" s="41">
        <v>7783</v>
      </c>
      <c r="D3015" s="41" t="s">
        <v>65</v>
      </c>
      <c r="E3015" s="41" t="s">
        <v>901</v>
      </c>
      <c r="F3015" s="41" t="s">
        <v>9269</v>
      </c>
      <c r="G3015" s="41" t="s">
        <v>9279</v>
      </c>
      <c r="H3015" s="41" t="s">
        <v>9280</v>
      </c>
      <c r="I3015" s="43">
        <v>12</v>
      </c>
      <c r="J3015" s="44" t="str">
        <f>VLOOKUP(G3015,[1]硬件清单!$F:$F,1,0)</f>
        <v>SRAD11410240059</v>
      </c>
      <c r="K3015" s="43"/>
      <c r="L3015" s="44"/>
      <c r="M3015" s="45" t="s">
        <v>9281</v>
      </c>
    </row>
    <row r="3016" s="26" customFormat="1" ht="30" customHeight="1" spans="1:13">
      <c r="A3016" s="41">
        <f>IF(C3016="","",SUBTOTAL(103,$C$2:C3016))</f>
        <v>3007</v>
      </c>
      <c r="B3016" s="41">
        <v>6362</v>
      </c>
      <c r="C3016" s="41">
        <v>7768</v>
      </c>
      <c r="D3016" s="41" t="s">
        <v>65</v>
      </c>
      <c r="E3016" s="41" t="s">
        <v>901</v>
      </c>
      <c r="F3016" s="41" t="s">
        <v>9269</v>
      </c>
      <c r="G3016" s="41" t="s">
        <v>9282</v>
      </c>
      <c r="H3016" s="41" t="s">
        <v>9283</v>
      </c>
      <c r="I3016" s="43">
        <v>12</v>
      </c>
      <c r="J3016" s="44" t="str">
        <f>VLOOKUP(G3016,[1]硬件清单!$F:$F,1,0)</f>
        <v>SRAD11410240077</v>
      </c>
      <c r="K3016" s="43"/>
      <c r="L3016" s="44"/>
      <c r="M3016" s="45" t="s">
        <v>9284</v>
      </c>
    </row>
    <row r="3017" s="26" customFormat="1" ht="30" customHeight="1" spans="1:13">
      <c r="A3017" s="41">
        <f>IF(C3017="","",SUBTOTAL(103,$C$2:C3017))</f>
        <v>3008</v>
      </c>
      <c r="B3017" s="41">
        <v>6363</v>
      </c>
      <c r="C3017" s="41">
        <v>7769</v>
      </c>
      <c r="D3017" s="41" t="s">
        <v>65</v>
      </c>
      <c r="E3017" s="41" t="s">
        <v>901</v>
      </c>
      <c r="F3017" s="41" t="s">
        <v>9269</v>
      </c>
      <c r="G3017" s="41" t="s">
        <v>9285</v>
      </c>
      <c r="H3017" s="41" t="s">
        <v>9286</v>
      </c>
      <c r="I3017" s="43">
        <v>12</v>
      </c>
      <c r="J3017" s="44" t="str">
        <f>VLOOKUP(G3017,[1]硬件清单!$F:$F,1,0)</f>
        <v>SRAD11410240078</v>
      </c>
      <c r="K3017" s="43"/>
      <c r="L3017" s="44"/>
      <c r="M3017" s="45" t="s">
        <v>9287</v>
      </c>
    </row>
    <row r="3018" s="26" customFormat="1" ht="30" customHeight="1" spans="1:13">
      <c r="A3018" s="41">
        <f>IF(C3018="","",SUBTOTAL(103,$C$2:C3018))</f>
        <v>3009</v>
      </c>
      <c r="B3018" s="41">
        <v>6364</v>
      </c>
      <c r="C3018" s="41">
        <v>7770</v>
      </c>
      <c r="D3018" s="41" t="s">
        <v>65</v>
      </c>
      <c r="E3018" s="41" t="s">
        <v>901</v>
      </c>
      <c r="F3018" s="41" t="s">
        <v>9269</v>
      </c>
      <c r="G3018" s="41" t="s">
        <v>9288</v>
      </c>
      <c r="H3018" s="41" t="s">
        <v>9289</v>
      </c>
      <c r="I3018" s="43">
        <v>12</v>
      </c>
      <c r="J3018" s="44" t="str">
        <f>VLOOKUP(G3018,[1]硬件清单!$F:$F,1,0)</f>
        <v>SRAD11410240079</v>
      </c>
      <c r="K3018" s="43"/>
      <c r="L3018" s="44"/>
      <c r="M3018" s="45" t="s">
        <v>9290</v>
      </c>
    </row>
    <row r="3019" s="26" customFormat="1" ht="30" customHeight="1" spans="1:13">
      <c r="A3019" s="41">
        <f>IF(C3019="","",SUBTOTAL(103,$C$2:C3019))</f>
        <v>3010</v>
      </c>
      <c r="B3019" s="41">
        <v>6365</v>
      </c>
      <c r="C3019" s="41">
        <v>7771</v>
      </c>
      <c r="D3019" s="41" t="s">
        <v>65</v>
      </c>
      <c r="E3019" s="41" t="s">
        <v>901</v>
      </c>
      <c r="F3019" s="41" t="s">
        <v>9269</v>
      </c>
      <c r="G3019" s="41" t="s">
        <v>9291</v>
      </c>
      <c r="H3019" s="41" t="s">
        <v>9292</v>
      </c>
      <c r="I3019" s="43">
        <v>12</v>
      </c>
      <c r="J3019" s="44" t="str">
        <f>VLOOKUP(G3019,[1]硬件清单!$F:$F,1,0)</f>
        <v>SRAD11410240080</v>
      </c>
      <c r="K3019" s="43"/>
      <c r="L3019" s="44"/>
      <c r="M3019" s="45" t="s">
        <v>9293</v>
      </c>
    </row>
    <row r="3020" s="26" customFormat="1" ht="30" customHeight="1" spans="1:13">
      <c r="A3020" s="41">
        <f>IF(C3020="","",SUBTOTAL(103,$C$2:C3020))</f>
        <v>3011</v>
      </c>
      <c r="B3020" s="41">
        <v>6366</v>
      </c>
      <c r="C3020" s="41">
        <v>7772</v>
      </c>
      <c r="D3020" s="41" t="s">
        <v>65</v>
      </c>
      <c r="E3020" s="41" t="s">
        <v>901</v>
      </c>
      <c r="F3020" s="41" t="s">
        <v>9269</v>
      </c>
      <c r="G3020" s="41" t="s">
        <v>9294</v>
      </c>
      <c r="H3020" s="41" t="s">
        <v>9295</v>
      </c>
      <c r="I3020" s="43">
        <v>12</v>
      </c>
      <c r="J3020" s="44" t="str">
        <f>VLOOKUP(G3020,[1]硬件清单!$F:$F,1,0)</f>
        <v>SRAD11410240081</v>
      </c>
      <c r="K3020" s="43"/>
      <c r="L3020" s="44"/>
      <c r="M3020" s="45" t="s">
        <v>9296</v>
      </c>
    </row>
    <row r="3021" s="26" customFormat="1" ht="30" customHeight="1" spans="1:13">
      <c r="A3021" s="41">
        <f>IF(C3021="","",SUBTOTAL(103,$C$2:C3021))</f>
        <v>3012</v>
      </c>
      <c r="B3021" s="41">
        <v>6367</v>
      </c>
      <c r="C3021" s="41">
        <v>7773</v>
      </c>
      <c r="D3021" s="41" t="s">
        <v>65</v>
      </c>
      <c r="E3021" s="41" t="s">
        <v>901</v>
      </c>
      <c r="F3021" s="41" t="s">
        <v>9269</v>
      </c>
      <c r="G3021" s="41" t="s">
        <v>9297</v>
      </c>
      <c r="H3021" s="41" t="s">
        <v>9298</v>
      </c>
      <c r="I3021" s="43">
        <v>12</v>
      </c>
      <c r="J3021" s="44" t="str">
        <f>VLOOKUP(G3021,[1]硬件清单!$F:$F,1,0)</f>
        <v>SRAD11410240082</v>
      </c>
      <c r="K3021" s="43"/>
      <c r="L3021" s="44"/>
      <c r="M3021" s="45" t="s">
        <v>9299</v>
      </c>
    </row>
    <row r="3022" s="26" customFormat="1" ht="30" customHeight="1" spans="1:13">
      <c r="A3022" s="41">
        <f>IF(C3022="","",SUBTOTAL(103,$C$2:C3022))</f>
        <v>3013</v>
      </c>
      <c r="B3022" s="41">
        <v>6368</v>
      </c>
      <c r="C3022" s="41">
        <v>7774</v>
      </c>
      <c r="D3022" s="41" t="s">
        <v>65</v>
      </c>
      <c r="E3022" s="41" t="s">
        <v>901</v>
      </c>
      <c r="F3022" s="41" t="s">
        <v>9269</v>
      </c>
      <c r="G3022" s="41" t="s">
        <v>9300</v>
      </c>
      <c r="H3022" s="41" t="s">
        <v>9301</v>
      </c>
      <c r="I3022" s="43">
        <v>12</v>
      </c>
      <c r="J3022" s="44" t="str">
        <f>VLOOKUP(G3022,[1]硬件清单!$F:$F,1,0)</f>
        <v>SRAD11410240083</v>
      </c>
      <c r="K3022" s="43"/>
      <c r="L3022" s="44"/>
      <c r="M3022" s="45" t="s">
        <v>9302</v>
      </c>
    </row>
    <row r="3023" s="26" customFormat="1" ht="30" customHeight="1" spans="1:13">
      <c r="A3023" s="41">
        <f>IF(C3023="","",SUBTOTAL(103,$C$2:C3023))</f>
        <v>3014</v>
      </c>
      <c r="B3023" s="41">
        <v>6369</v>
      </c>
      <c r="C3023" s="41">
        <v>7775</v>
      </c>
      <c r="D3023" s="41" t="s">
        <v>65</v>
      </c>
      <c r="E3023" s="41" t="s">
        <v>901</v>
      </c>
      <c r="F3023" s="41" t="s">
        <v>9269</v>
      </c>
      <c r="G3023" s="41" t="s">
        <v>9303</v>
      </c>
      <c r="H3023" s="41" t="s">
        <v>9304</v>
      </c>
      <c r="I3023" s="43">
        <v>12</v>
      </c>
      <c r="J3023" s="44" t="str">
        <f>VLOOKUP(G3023,[1]硬件清单!$F:$F,1,0)</f>
        <v>SRAD11410240084</v>
      </c>
      <c r="K3023" s="43"/>
      <c r="L3023" s="44"/>
      <c r="M3023" s="45" t="s">
        <v>9305</v>
      </c>
    </row>
    <row r="3024" s="26" customFormat="1" ht="30" customHeight="1" spans="1:13">
      <c r="A3024" s="41">
        <f>IF(C3024="","",SUBTOTAL(103,$C$2:C3024))</f>
        <v>3015</v>
      </c>
      <c r="B3024" s="41">
        <v>6370</v>
      </c>
      <c r="C3024" s="41">
        <v>7776</v>
      </c>
      <c r="D3024" s="41" t="s">
        <v>65</v>
      </c>
      <c r="E3024" s="41" t="s">
        <v>901</v>
      </c>
      <c r="F3024" s="41" t="s">
        <v>9269</v>
      </c>
      <c r="G3024" s="41" t="s">
        <v>9306</v>
      </c>
      <c r="H3024" s="41" t="s">
        <v>9307</v>
      </c>
      <c r="I3024" s="43">
        <v>12</v>
      </c>
      <c r="J3024" s="44" t="str">
        <f>VLOOKUP(G3024,[1]硬件清单!$F:$F,1,0)</f>
        <v>SRAD11410240085</v>
      </c>
      <c r="K3024" s="43"/>
      <c r="L3024" s="44"/>
      <c r="M3024" s="45" t="s">
        <v>9308</v>
      </c>
    </row>
    <row r="3025" s="26" customFormat="1" ht="30" customHeight="1" spans="1:13">
      <c r="A3025" s="41">
        <f>IF(C3025="","",SUBTOTAL(103,$C$2:C3025))</f>
        <v>3016</v>
      </c>
      <c r="B3025" s="41">
        <v>6371</v>
      </c>
      <c r="C3025" s="41">
        <v>7777</v>
      </c>
      <c r="D3025" s="41" t="s">
        <v>65</v>
      </c>
      <c r="E3025" s="41" t="s">
        <v>901</v>
      </c>
      <c r="F3025" s="41" t="s">
        <v>9269</v>
      </c>
      <c r="G3025" s="41" t="s">
        <v>9309</v>
      </c>
      <c r="H3025" s="41" t="s">
        <v>9310</v>
      </c>
      <c r="I3025" s="43">
        <v>12</v>
      </c>
      <c r="J3025" s="44" t="str">
        <f>VLOOKUP(G3025,[1]硬件清单!$F:$F,1,0)</f>
        <v>SRAD11410240086</v>
      </c>
      <c r="K3025" s="43"/>
      <c r="L3025" s="44"/>
      <c r="M3025" s="45" t="s">
        <v>9311</v>
      </c>
    </row>
    <row r="3026" s="26" customFormat="1" ht="30" customHeight="1" spans="1:13">
      <c r="A3026" s="41">
        <f>IF(C3026="","",SUBTOTAL(103,$C$2:C3026))</f>
        <v>3017</v>
      </c>
      <c r="B3026" s="41">
        <v>6372</v>
      </c>
      <c r="C3026" s="41">
        <v>7778</v>
      </c>
      <c r="D3026" s="41" t="s">
        <v>65</v>
      </c>
      <c r="E3026" s="41" t="s">
        <v>901</v>
      </c>
      <c r="F3026" s="41" t="s">
        <v>9269</v>
      </c>
      <c r="G3026" s="41" t="s">
        <v>9312</v>
      </c>
      <c r="H3026" s="41" t="s">
        <v>9313</v>
      </c>
      <c r="I3026" s="43">
        <v>12</v>
      </c>
      <c r="J3026" s="44" t="str">
        <f>VLOOKUP(G3026,[1]硬件清单!$F:$F,1,0)</f>
        <v>SRAD11410240091</v>
      </c>
      <c r="K3026" s="43"/>
      <c r="L3026" s="44"/>
      <c r="M3026" s="45" t="s">
        <v>9314</v>
      </c>
    </row>
    <row r="3027" s="26" customFormat="1" ht="30" customHeight="1" spans="1:13">
      <c r="A3027" s="41">
        <f>IF(C3027="","",SUBTOTAL(103,$C$2:C3027))</f>
        <v>3018</v>
      </c>
      <c r="B3027" s="41">
        <v>6373</v>
      </c>
      <c r="C3027" s="41">
        <v>7779</v>
      </c>
      <c r="D3027" s="41" t="s">
        <v>65</v>
      </c>
      <c r="E3027" s="41" t="s">
        <v>901</v>
      </c>
      <c r="F3027" s="41" t="s">
        <v>9269</v>
      </c>
      <c r="G3027" s="41" t="s">
        <v>9315</v>
      </c>
      <c r="H3027" s="41" t="s">
        <v>9316</v>
      </c>
      <c r="I3027" s="43">
        <v>12</v>
      </c>
      <c r="J3027" s="44" t="str">
        <f>VLOOKUP(G3027,[1]硬件清单!$F:$F,1,0)</f>
        <v>SRAD11410240088</v>
      </c>
      <c r="K3027" s="43"/>
      <c r="L3027" s="44"/>
      <c r="M3027" s="45" t="s">
        <v>9317</v>
      </c>
    </row>
    <row r="3028" s="26" customFormat="1" ht="30" customHeight="1" spans="1:13">
      <c r="A3028" s="41">
        <f>IF(C3028="","",SUBTOTAL(103,$C$2:C3028))</f>
        <v>3019</v>
      </c>
      <c r="B3028" s="41">
        <v>6374</v>
      </c>
      <c r="C3028" s="41">
        <v>671</v>
      </c>
      <c r="D3028" s="41" t="s">
        <v>65</v>
      </c>
      <c r="E3028" s="41" t="s">
        <v>901</v>
      </c>
      <c r="F3028" s="41" t="s">
        <v>9025</v>
      </c>
      <c r="G3028" s="41" t="s">
        <v>9318</v>
      </c>
      <c r="H3028" s="41" t="s">
        <v>9319</v>
      </c>
      <c r="I3028" s="43">
        <v>12</v>
      </c>
      <c r="J3028" s="44" t="str">
        <f>VLOOKUP(G3028,[1]硬件清单!$F:$F,1,0)</f>
        <v>SRAD11711150002</v>
      </c>
      <c r="K3028" s="43"/>
      <c r="L3028" s="44"/>
      <c r="M3028" s="45" t="s">
        <v>9320</v>
      </c>
    </row>
    <row r="3029" s="26" customFormat="1" ht="30" customHeight="1" spans="1:13">
      <c r="A3029" s="41">
        <f>IF(C3029="","",SUBTOTAL(103,$C$2:C3029))</f>
        <v>3020</v>
      </c>
      <c r="B3029" s="41">
        <v>6375</v>
      </c>
      <c r="C3029" s="41">
        <v>672</v>
      </c>
      <c r="D3029" s="41" t="s">
        <v>65</v>
      </c>
      <c r="E3029" s="41" t="s">
        <v>901</v>
      </c>
      <c r="F3029" s="41" t="s">
        <v>9025</v>
      </c>
      <c r="G3029" s="41" t="s">
        <v>9321</v>
      </c>
      <c r="H3029" s="41" t="s">
        <v>9322</v>
      </c>
      <c r="I3029" s="43">
        <v>12</v>
      </c>
      <c r="J3029" s="44" t="str">
        <f>VLOOKUP(G3029,[1]硬件清单!$F:$F,1,0)</f>
        <v>SRAD11711150009</v>
      </c>
      <c r="K3029" s="43"/>
      <c r="L3029" s="44"/>
      <c r="M3029" s="45" t="s">
        <v>9323</v>
      </c>
    </row>
    <row r="3030" s="26" customFormat="1" ht="30" customHeight="1" spans="1:13">
      <c r="A3030" s="41">
        <f>IF(C3030="","",SUBTOTAL(103,$C$2:C3030))</f>
        <v>3021</v>
      </c>
      <c r="B3030" s="41">
        <v>6376</v>
      </c>
      <c r="C3030" s="41">
        <v>673</v>
      </c>
      <c r="D3030" s="41" t="s">
        <v>65</v>
      </c>
      <c r="E3030" s="41" t="s">
        <v>901</v>
      </c>
      <c r="F3030" s="41" t="s">
        <v>9025</v>
      </c>
      <c r="G3030" s="41" t="s">
        <v>9324</v>
      </c>
      <c r="H3030" s="41" t="s">
        <v>9325</v>
      </c>
      <c r="I3030" s="43">
        <v>12</v>
      </c>
      <c r="J3030" s="44" t="str">
        <f>VLOOKUP(G3030,[1]硬件清单!$F:$F,1,0)</f>
        <v>SRAD11711150004</v>
      </c>
      <c r="K3030" s="43"/>
      <c r="L3030" s="44"/>
      <c r="M3030" s="45" t="s">
        <v>9326</v>
      </c>
    </row>
    <row r="3031" s="26" customFormat="1" ht="30" customHeight="1" spans="1:13">
      <c r="A3031" s="41">
        <f>IF(C3031="","",SUBTOTAL(103,$C$2:C3031))</f>
        <v>3022</v>
      </c>
      <c r="B3031" s="41">
        <v>6377</v>
      </c>
      <c r="C3031" s="41">
        <v>674</v>
      </c>
      <c r="D3031" s="41" t="s">
        <v>65</v>
      </c>
      <c r="E3031" s="41" t="s">
        <v>901</v>
      </c>
      <c r="F3031" s="41" t="s">
        <v>9025</v>
      </c>
      <c r="G3031" s="41" t="s">
        <v>9327</v>
      </c>
      <c r="H3031" s="41" t="s">
        <v>9328</v>
      </c>
      <c r="I3031" s="43">
        <v>12</v>
      </c>
      <c r="J3031" s="44" t="str">
        <f>VLOOKUP(G3031,[1]硬件清单!$F:$F,1,0)</f>
        <v>SRAD11711150010</v>
      </c>
      <c r="K3031" s="43"/>
      <c r="L3031" s="44"/>
      <c r="M3031" s="45" t="s">
        <v>9329</v>
      </c>
    </row>
    <row r="3032" s="26" customFormat="1" ht="30" customHeight="1" spans="1:13">
      <c r="A3032" s="41">
        <f>IF(C3032="","",SUBTOTAL(103,$C$2:C3032))</f>
        <v>3023</v>
      </c>
      <c r="B3032" s="41">
        <v>6378</v>
      </c>
      <c r="C3032" s="41">
        <v>675</v>
      </c>
      <c r="D3032" s="41" t="s">
        <v>65</v>
      </c>
      <c r="E3032" s="41" t="s">
        <v>901</v>
      </c>
      <c r="F3032" s="41" t="s">
        <v>9025</v>
      </c>
      <c r="G3032" s="41" t="s">
        <v>9330</v>
      </c>
      <c r="H3032" s="41" t="s">
        <v>9331</v>
      </c>
      <c r="I3032" s="43">
        <v>12</v>
      </c>
      <c r="J3032" s="44" t="str">
        <f>VLOOKUP(G3032,[1]硬件清单!$F:$F,1,0)</f>
        <v>SRAD11711150006</v>
      </c>
      <c r="K3032" s="43"/>
      <c r="L3032" s="44"/>
      <c r="M3032" s="45" t="s">
        <v>9332</v>
      </c>
    </row>
    <row r="3033" s="26" customFormat="1" ht="30" customHeight="1" spans="1:13">
      <c r="A3033" s="41">
        <f>IF(C3033="","",SUBTOTAL(103,$C$2:C3033))</f>
        <v>3024</v>
      </c>
      <c r="B3033" s="41">
        <v>6379</v>
      </c>
      <c r="C3033" s="41">
        <v>676</v>
      </c>
      <c r="D3033" s="41" t="s">
        <v>65</v>
      </c>
      <c r="E3033" s="41" t="s">
        <v>901</v>
      </c>
      <c r="F3033" s="41" t="s">
        <v>9025</v>
      </c>
      <c r="G3033" s="41" t="s">
        <v>9333</v>
      </c>
      <c r="H3033" s="41" t="s">
        <v>9334</v>
      </c>
      <c r="I3033" s="43">
        <v>12</v>
      </c>
      <c r="J3033" s="44" t="str">
        <f>VLOOKUP(G3033,[1]硬件清单!$F:$F,1,0)</f>
        <v>SRAD11711150007</v>
      </c>
      <c r="K3033" s="43"/>
      <c r="L3033" s="44"/>
      <c r="M3033" s="45" t="s">
        <v>9335</v>
      </c>
    </row>
    <row r="3034" s="26" customFormat="1" ht="30" customHeight="1" spans="1:13">
      <c r="A3034" s="41">
        <f>IF(C3034="","",SUBTOTAL(103,$C$2:C3034))</f>
        <v>3025</v>
      </c>
      <c r="B3034" s="41">
        <v>6380</v>
      </c>
      <c r="C3034" s="41">
        <v>677</v>
      </c>
      <c r="D3034" s="41" t="s">
        <v>65</v>
      </c>
      <c r="E3034" s="41" t="s">
        <v>901</v>
      </c>
      <c r="F3034" s="41" t="s">
        <v>9025</v>
      </c>
      <c r="G3034" s="41" t="s">
        <v>9336</v>
      </c>
      <c r="H3034" s="41" t="s">
        <v>9337</v>
      </c>
      <c r="I3034" s="43">
        <v>12</v>
      </c>
      <c r="J3034" s="44" t="str">
        <f>VLOOKUP(G3034,[1]硬件清单!$F:$F,1,0)</f>
        <v>SRAD11711150003</v>
      </c>
      <c r="K3034" s="43"/>
      <c r="L3034" s="44"/>
      <c r="M3034" s="45" t="s">
        <v>9338</v>
      </c>
    </row>
    <row r="3035" s="26" customFormat="1" ht="30" customHeight="1" spans="1:13">
      <c r="A3035" s="41">
        <f>IF(C3035="","",SUBTOTAL(103,$C$2:C3035))</f>
        <v>3026</v>
      </c>
      <c r="B3035" s="41">
        <v>6381</v>
      </c>
      <c r="C3035" s="41">
        <v>678</v>
      </c>
      <c r="D3035" s="41" t="s">
        <v>65</v>
      </c>
      <c r="E3035" s="41" t="s">
        <v>901</v>
      </c>
      <c r="F3035" s="41" t="s">
        <v>9025</v>
      </c>
      <c r="G3035" s="41" t="s">
        <v>9339</v>
      </c>
      <c r="H3035" s="41" t="s">
        <v>9340</v>
      </c>
      <c r="I3035" s="43">
        <v>12</v>
      </c>
      <c r="J3035" s="44" t="str">
        <f>VLOOKUP(G3035,[1]硬件清单!$F:$F,1,0)</f>
        <v>SRAD11711150001</v>
      </c>
      <c r="K3035" s="43"/>
      <c r="L3035" s="44"/>
      <c r="M3035" s="45" t="s">
        <v>9341</v>
      </c>
    </row>
    <row r="3036" s="26" customFormat="1" ht="30" customHeight="1" spans="1:13">
      <c r="A3036" s="41">
        <f>IF(C3036="","",SUBTOTAL(103,$C$2:C3036))</f>
        <v>3027</v>
      </c>
      <c r="B3036" s="41">
        <v>6386</v>
      </c>
      <c r="C3036" s="41">
        <v>679</v>
      </c>
      <c r="D3036" s="41" t="s">
        <v>65</v>
      </c>
      <c r="E3036" s="41" t="s">
        <v>901</v>
      </c>
      <c r="F3036" s="41" t="s">
        <v>9025</v>
      </c>
      <c r="G3036" s="41" t="s">
        <v>9342</v>
      </c>
      <c r="H3036" s="41" t="s">
        <v>9343</v>
      </c>
      <c r="I3036" s="43">
        <v>12</v>
      </c>
      <c r="J3036" s="44" t="str">
        <f>VLOOKUP(G3036,[1]硬件清单!$F:$F,1,0)</f>
        <v>SRAD11711150017</v>
      </c>
      <c r="K3036" s="43"/>
      <c r="L3036" s="44"/>
      <c r="M3036" s="45" t="s">
        <v>9344</v>
      </c>
    </row>
    <row r="3037" s="26" customFormat="1" ht="30" customHeight="1" spans="1:13">
      <c r="A3037" s="41">
        <f>IF(C3037="","",SUBTOTAL(103,$C$2:C3037))</f>
        <v>3028</v>
      </c>
      <c r="B3037" s="41">
        <v>6387</v>
      </c>
      <c r="C3037" s="41">
        <v>680</v>
      </c>
      <c r="D3037" s="41" t="s">
        <v>65</v>
      </c>
      <c r="E3037" s="41" t="s">
        <v>901</v>
      </c>
      <c r="F3037" s="41" t="s">
        <v>9025</v>
      </c>
      <c r="G3037" s="41" t="s">
        <v>9345</v>
      </c>
      <c r="H3037" s="41" t="s">
        <v>9346</v>
      </c>
      <c r="I3037" s="43">
        <v>12</v>
      </c>
      <c r="J3037" s="44" t="str">
        <f>VLOOKUP(G3037,[1]硬件清单!$F:$F,1,0)</f>
        <v>SRAD11711150016</v>
      </c>
      <c r="K3037" s="43"/>
      <c r="L3037" s="44"/>
      <c r="M3037" s="45" t="s">
        <v>9347</v>
      </c>
    </row>
    <row r="3038" s="26" customFormat="1" ht="30" customHeight="1" spans="1:13">
      <c r="A3038" s="41">
        <f>IF(C3038="","",SUBTOTAL(103,$C$2:C3038))</f>
        <v>3029</v>
      </c>
      <c r="B3038" s="41">
        <v>6388</v>
      </c>
      <c r="C3038" s="41">
        <v>681</v>
      </c>
      <c r="D3038" s="41" t="s">
        <v>65</v>
      </c>
      <c r="E3038" s="41" t="s">
        <v>901</v>
      </c>
      <c r="F3038" s="41" t="s">
        <v>9025</v>
      </c>
      <c r="G3038" s="41" t="s">
        <v>9348</v>
      </c>
      <c r="H3038" s="41" t="s">
        <v>9349</v>
      </c>
      <c r="I3038" s="43">
        <v>12</v>
      </c>
      <c r="J3038" s="44" t="str">
        <f>VLOOKUP(G3038,[1]硬件清单!$F:$F,1,0)</f>
        <v>SRAD11711150034</v>
      </c>
      <c r="K3038" s="43"/>
      <c r="L3038" s="44"/>
      <c r="M3038" s="45" t="s">
        <v>9350</v>
      </c>
    </row>
    <row r="3039" s="26" customFormat="1" ht="30" customHeight="1" spans="1:13">
      <c r="A3039" s="41">
        <f>IF(C3039="","",SUBTOTAL(103,$C$2:C3039))</f>
        <v>3030</v>
      </c>
      <c r="B3039" s="41">
        <v>6389</v>
      </c>
      <c r="C3039" s="41">
        <v>682</v>
      </c>
      <c r="D3039" s="41" t="s">
        <v>65</v>
      </c>
      <c r="E3039" s="41" t="s">
        <v>901</v>
      </c>
      <c r="F3039" s="41" t="s">
        <v>9025</v>
      </c>
      <c r="G3039" s="41" t="s">
        <v>9351</v>
      </c>
      <c r="H3039" s="41" t="s">
        <v>9352</v>
      </c>
      <c r="I3039" s="43">
        <v>12</v>
      </c>
      <c r="J3039" s="44" t="str">
        <f>VLOOKUP(G3039,[1]硬件清单!$F:$F,1,0)</f>
        <v>SRAD11711150024</v>
      </c>
      <c r="K3039" s="43"/>
      <c r="L3039" s="44"/>
      <c r="M3039" s="45" t="s">
        <v>9353</v>
      </c>
    </row>
    <row r="3040" s="26" customFormat="1" ht="30" customHeight="1" spans="1:13">
      <c r="A3040" s="41">
        <f>IF(C3040="","",SUBTOTAL(103,$C$2:C3040))</f>
        <v>3031</v>
      </c>
      <c r="B3040" s="41">
        <v>6390</v>
      </c>
      <c r="C3040" s="41">
        <v>683</v>
      </c>
      <c r="D3040" s="41" t="s">
        <v>65</v>
      </c>
      <c r="E3040" s="41" t="s">
        <v>901</v>
      </c>
      <c r="F3040" s="41" t="s">
        <v>9025</v>
      </c>
      <c r="G3040" s="41" t="s">
        <v>9354</v>
      </c>
      <c r="H3040" s="41" t="s">
        <v>9355</v>
      </c>
      <c r="I3040" s="43">
        <v>12</v>
      </c>
      <c r="J3040" s="44" t="str">
        <f>VLOOKUP(G3040,[1]硬件清单!$F:$F,1,0)</f>
        <v>SRAD11711150033</v>
      </c>
      <c r="K3040" s="43"/>
      <c r="L3040" s="44"/>
      <c r="M3040" s="45" t="s">
        <v>9356</v>
      </c>
    </row>
    <row r="3041" s="26" customFormat="1" ht="30" customHeight="1" spans="1:13">
      <c r="A3041" s="41">
        <f>IF(C3041="","",SUBTOTAL(103,$C$2:C3041))</f>
        <v>3032</v>
      </c>
      <c r="B3041" s="41">
        <v>6391</v>
      </c>
      <c r="C3041" s="41">
        <v>684</v>
      </c>
      <c r="D3041" s="41" t="s">
        <v>65</v>
      </c>
      <c r="E3041" s="41" t="s">
        <v>901</v>
      </c>
      <c r="F3041" s="41" t="s">
        <v>9025</v>
      </c>
      <c r="G3041" s="41" t="s">
        <v>9357</v>
      </c>
      <c r="H3041" s="41" t="s">
        <v>9358</v>
      </c>
      <c r="I3041" s="43">
        <v>12</v>
      </c>
      <c r="J3041" s="44" t="str">
        <f>VLOOKUP(G3041,[1]硬件清单!$F:$F,1,0)</f>
        <v>SRAD11711150013</v>
      </c>
      <c r="K3041" s="43"/>
      <c r="L3041" s="44"/>
      <c r="M3041" s="45" t="s">
        <v>9359</v>
      </c>
    </row>
    <row r="3042" s="26" customFormat="1" ht="30" customHeight="1" spans="1:13">
      <c r="A3042" s="41">
        <f>IF(C3042="","",SUBTOTAL(103,$C$2:C3042))</f>
        <v>3033</v>
      </c>
      <c r="B3042" s="41">
        <v>6392</v>
      </c>
      <c r="C3042" s="41">
        <v>685</v>
      </c>
      <c r="D3042" s="41" t="s">
        <v>65</v>
      </c>
      <c r="E3042" s="41" t="s">
        <v>901</v>
      </c>
      <c r="F3042" s="41" t="s">
        <v>9025</v>
      </c>
      <c r="G3042" s="41" t="s">
        <v>9360</v>
      </c>
      <c r="H3042" s="41" t="s">
        <v>9361</v>
      </c>
      <c r="I3042" s="43">
        <v>12</v>
      </c>
      <c r="J3042" s="44" t="str">
        <f>VLOOKUP(G3042,[1]硬件清单!$F:$F,1,0)</f>
        <v>SRAD11711150027</v>
      </c>
      <c r="K3042" s="43"/>
      <c r="L3042" s="44"/>
      <c r="M3042" s="45" t="s">
        <v>9362</v>
      </c>
    </row>
    <row r="3043" s="26" customFormat="1" ht="30" customHeight="1" spans="1:13">
      <c r="A3043" s="41">
        <f>IF(C3043="","",SUBTOTAL(103,$C$2:C3043))</f>
        <v>3034</v>
      </c>
      <c r="B3043" s="41">
        <v>6393</v>
      </c>
      <c r="C3043" s="41">
        <v>686</v>
      </c>
      <c r="D3043" s="41" t="s">
        <v>65</v>
      </c>
      <c r="E3043" s="41" t="s">
        <v>901</v>
      </c>
      <c r="F3043" s="41" t="s">
        <v>9025</v>
      </c>
      <c r="G3043" s="41" t="s">
        <v>9363</v>
      </c>
      <c r="H3043" s="41" t="s">
        <v>9364</v>
      </c>
      <c r="I3043" s="43">
        <v>12</v>
      </c>
      <c r="J3043" s="44" t="str">
        <f>VLOOKUP(G3043,[1]硬件清单!$F:$F,1,0)</f>
        <v>SRAD11711150026</v>
      </c>
      <c r="K3043" s="43"/>
      <c r="L3043" s="44"/>
      <c r="M3043" s="45" t="s">
        <v>9365</v>
      </c>
    </row>
    <row r="3044" s="26" customFormat="1" ht="30" customHeight="1" spans="1:13">
      <c r="A3044" s="41">
        <f>IF(C3044="","",SUBTOTAL(103,$C$2:C3044))</f>
        <v>3035</v>
      </c>
      <c r="B3044" s="41">
        <v>6394</v>
      </c>
      <c r="C3044" s="41">
        <v>687</v>
      </c>
      <c r="D3044" s="41" t="s">
        <v>65</v>
      </c>
      <c r="E3044" s="41" t="s">
        <v>901</v>
      </c>
      <c r="F3044" s="41" t="s">
        <v>9025</v>
      </c>
      <c r="G3044" s="41" t="s">
        <v>9366</v>
      </c>
      <c r="H3044" s="41" t="s">
        <v>9367</v>
      </c>
      <c r="I3044" s="43">
        <v>12</v>
      </c>
      <c r="J3044" s="44" t="str">
        <f>VLOOKUP(G3044,[1]硬件清单!$F:$F,1,0)</f>
        <v>SRAD11711150036</v>
      </c>
      <c r="K3044" s="43"/>
      <c r="L3044" s="44"/>
      <c r="M3044" s="45" t="s">
        <v>9368</v>
      </c>
    </row>
    <row r="3045" s="26" customFormat="1" ht="30" customHeight="1" spans="1:13">
      <c r="A3045" s="41">
        <f>IF(C3045="","",SUBTOTAL(103,$C$2:C3045))</f>
        <v>3036</v>
      </c>
      <c r="B3045" s="41">
        <v>6395</v>
      </c>
      <c r="C3045" s="41">
        <v>688</v>
      </c>
      <c r="D3045" s="41" t="s">
        <v>65</v>
      </c>
      <c r="E3045" s="41" t="s">
        <v>901</v>
      </c>
      <c r="F3045" s="41" t="s">
        <v>9025</v>
      </c>
      <c r="G3045" s="41" t="s">
        <v>9369</v>
      </c>
      <c r="H3045" s="41" t="s">
        <v>9370</v>
      </c>
      <c r="I3045" s="43">
        <v>12</v>
      </c>
      <c r="J3045" s="44" t="str">
        <f>VLOOKUP(G3045,[1]硬件清单!$F:$F,1,0)</f>
        <v>SRAD11711150012</v>
      </c>
      <c r="K3045" s="43"/>
      <c r="L3045" s="44"/>
      <c r="M3045" s="45" t="s">
        <v>9371</v>
      </c>
    </row>
    <row r="3046" s="26" customFormat="1" ht="30" customHeight="1" spans="1:13">
      <c r="A3046" s="41">
        <f>IF(C3046="","",SUBTOTAL(103,$C$2:C3046))</f>
        <v>3037</v>
      </c>
      <c r="B3046" s="41">
        <v>6396</v>
      </c>
      <c r="C3046" s="41">
        <v>689</v>
      </c>
      <c r="D3046" s="41" t="s">
        <v>65</v>
      </c>
      <c r="E3046" s="41" t="s">
        <v>901</v>
      </c>
      <c r="F3046" s="41" t="s">
        <v>9025</v>
      </c>
      <c r="G3046" s="41" t="s">
        <v>9372</v>
      </c>
      <c r="H3046" s="41" t="s">
        <v>9373</v>
      </c>
      <c r="I3046" s="43">
        <v>12</v>
      </c>
      <c r="J3046" s="44" t="str">
        <f>VLOOKUP(G3046,[1]硬件清单!$F:$F,1,0)</f>
        <v>SRAD11711150037</v>
      </c>
      <c r="K3046" s="43"/>
      <c r="L3046" s="44"/>
      <c r="M3046" s="45" t="s">
        <v>9374</v>
      </c>
    </row>
    <row r="3047" s="26" customFormat="1" ht="30" customHeight="1" spans="1:13">
      <c r="A3047" s="41">
        <f>IF(C3047="","",SUBTOTAL(103,$C$2:C3047))</f>
        <v>3038</v>
      </c>
      <c r="B3047" s="41">
        <v>6397</v>
      </c>
      <c r="C3047" s="41">
        <v>690</v>
      </c>
      <c r="D3047" s="41" t="s">
        <v>65</v>
      </c>
      <c r="E3047" s="41" t="s">
        <v>901</v>
      </c>
      <c r="F3047" s="41" t="s">
        <v>9025</v>
      </c>
      <c r="G3047" s="41" t="s">
        <v>9375</v>
      </c>
      <c r="H3047" s="41" t="s">
        <v>9376</v>
      </c>
      <c r="I3047" s="43">
        <v>12</v>
      </c>
      <c r="J3047" s="44" t="str">
        <f>VLOOKUP(G3047,[1]硬件清单!$F:$F,1,0)</f>
        <v>SRAD11711150031</v>
      </c>
      <c r="K3047" s="43"/>
      <c r="L3047" s="44"/>
      <c r="M3047" s="45" t="s">
        <v>9377</v>
      </c>
    </row>
    <row r="3048" s="26" customFormat="1" ht="30" customHeight="1" spans="1:13">
      <c r="A3048" s="41">
        <f>IF(C3048="","",SUBTOTAL(103,$C$2:C3048))</f>
        <v>3039</v>
      </c>
      <c r="B3048" s="41">
        <v>6398</v>
      </c>
      <c r="C3048" s="41">
        <v>1015</v>
      </c>
      <c r="D3048" s="41" t="s">
        <v>65</v>
      </c>
      <c r="E3048" s="41" t="s">
        <v>901</v>
      </c>
      <c r="F3048" s="41" t="s">
        <v>9025</v>
      </c>
      <c r="G3048" s="41" t="s">
        <v>9378</v>
      </c>
      <c r="H3048" s="41" t="s">
        <v>9379</v>
      </c>
      <c r="I3048" s="43">
        <v>12</v>
      </c>
      <c r="J3048" s="44" t="str">
        <f>VLOOKUP(G3048,[1]硬件清单!$F:$F,1,0)</f>
        <v>SRAD11711150038</v>
      </c>
      <c r="K3048" s="43"/>
      <c r="L3048" s="44"/>
      <c r="M3048" s="45" t="s">
        <v>9380</v>
      </c>
    </row>
    <row r="3049" s="26" customFormat="1" ht="30" customHeight="1" spans="1:13">
      <c r="A3049" s="41">
        <f>IF(C3049="","",SUBTOTAL(103,$C$2:C3049))</f>
        <v>3040</v>
      </c>
      <c r="B3049" s="41">
        <v>6399</v>
      </c>
      <c r="C3049" s="41">
        <v>1016</v>
      </c>
      <c r="D3049" s="41" t="s">
        <v>65</v>
      </c>
      <c r="E3049" s="41" t="s">
        <v>901</v>
      </c>
      <c r="F3049" s="41" t="s">
        <v>9025</v>
      </c>
      <c r="G3049" s="41" t="s">
        <v>9381</v>
      </c>
      <c r="H3049" s="41" t="s">
        <v>9382</v>
      </c>
      <c r="I3049" s="43">
        <v>12</v>
      </c>
      <c r="J3049" s="44" t="str">
        <f>VLOOKUP(G3049,[1]硬件清单!$F:$F,1,0)</f>
        <v>SRAD11711150030</v>
      </c>
      <c r="K3049" s="43"/>
      <c r="L3049" s="44"/>
      <c r="M3049" s="45" t="s">
        <v>9383</v>
      </c>
    </row>
    <row r="3050" s="26" customFormat="1" ht="30" customHeight="1" spans="1:13">
      <c r="A3050" s="41">
        <f>IF(C3050="","",SUBTOTAL(103,$C$2:C3050))</f>
        <v>3041</v>
      </c>
      <c r="B3050" s="41">
        <v>6400</v>
      </c>
      <c r="C3050" s="41">
        <v>1017</v>
      </c>
      <c r="D3050" s="41" t="s">
        <v>65</v>
      </c>
      <c r="E3050" s="41" t="s">
        <v>901</v>
      </c>
      <c r="F3050" s="41" t="s">
        <v>9025</v>
      </c>
      <c r="G3050" s="41" t="s">
        <v>9384</v>
      </c>
      <c r="H3050" s="41" t="s">
        <v>9385</v>
      </c>
      <c r="I3050" s="43">
        <v>12</v>
      </c>
      <c r="J3050" s="44" t="str">
        <f>VLOOKUP(G3050,[1]硬件清单!$F:$F,1,0)</f>
        <v>SRAD11711150035</v>
      </c>
      <c r="K3050" s="43"/>
      <c r="L3050" s="44"/>
      <c r="M3050" s="45" t="s">
        <v>9386</v>
      </c>
    </row>
    <row r="3051" s="26" customFormat="1" ht="30" customHeight="1" spans="1:13">
      <c r="A3051" s="41">
        <f>IF(C3051="","",SUBTOTAL(103,$C$2:C3051))</f>
        <v>3042</v>
      </c>
      <c r="B3051" s="41">
        <v>6401</v>
      </c>
      <c r="C3051" s="41">
        <v>1018</v>
      </c>
      <c r="D3051" s="41" t="s">
        <v>65</v>
      </c>
      <c r="E3051" s="41" t="s">
        <v>901</v>
      </c>
      <c r="F3051" s="41" t="s">
        <v>9025</v>
      </c>
      <c r="G3051" s="41" t="s">
        <v>9387</v>
      </c>
      <c r="H3051" s="41" t="s">
        <v>9388</v>
      </c>
      <c r="I3051" s="43">
        <v>12</v>
      </c>
      <c r="J3051" s="44" t="str">
        <f>VLOOKUP(G3051,[1]硬件清单!$F:$F,1,0)</f>
        <v>SRAD11711150020</v>
      </c>
      <c r="K3051" s="43"/>
      <c r="L3051" s="44"/>
      <c r="M3051" s="45" t="s">
        <v>9389</v>
      </c>
    </row>
    <row r="3052" s="26" customFormat="1" ht="30" customHeight="1" spans="1:13">
      <c r="A3052" s="41">
        <f>IF(C3052="","",SUBTOTAL(103,$C$2:C3052))</f>
        <v>3043</v>
      </c>
      <c r="B3052" s="41">
        <v>6402</v>
      </c>
      <c r="C3052" s="41">
        <v>1019</v>
      </c>
      <c r="D3052" s="41" t="s">
        <v>65</v>
      </c>
      <c r="E3052" s="41" t="s">
        <v>901</v>
      </c>
      <c r="F3052" s="41" t="s">
        <v>9025</v>
      </c>
      <c r="G3052" s="41" t="s">
        <v>9390</v>
      </c>
      <c r="H3052" s="41" t="s">
        <v>9391</v>
      </c>
      <c r="I3052" s="43">
        <v>12</v>
      </c>
      <c r="J3052" s="44" t="str">
        <f>VLOOKUP(G3052,[1]硬件清单!$F:$F,1,0)</f>
        <v>SRAD11711150028</v>
      </c>
      <c r="K3052" s="43"/>
      <c r="L3052" s="44"/>
      <c r="M3052" s="45" t="s">
        <v>9392</v>
      </c>
    </row>
    <row r="3053" s="26" customFormat="1" ht="30" customHeight="1" spans="1:13">
      <c r="A3053" s="41">
        <f>IF(C3053="","",SUBTOTAL(103,$C$2:C3053))</f>
        <v>3044</v>
      </c>
      <c r="B3053" s="41">
        <v>6403</v>
      </c>
      <c r="C3053" s="41">
        <v>1020</v>
      </c>
      <c r="D3053" s="41" t="s">
        <v>65</v>
      </c>
      <c r="E3053" s="41" t="s">
        <v>901</v>
      </c>
      <c r="F3053" s="41" t="s">
        <v>9025</v>
      </c>
      <c r="G3053" s="41" t="s">
        <v>9393</v>
      </c>
      <c r="H3053" s="41" t="s">
        <v>9394</v>
      </c>
      <c r="I3053" s="43">
        <v>12</v>
      </c>
      <c r="J3053" s="44" t="str">
        <f>VLOOKUP(G3053,[1]硬件清单!$F:$F,1,0)</f>
        <v>SRAD11711150014</v>
      </c>
      <c r="K3053" s="43"/>
      <c r="L3053" s="44"/>
      <c r="M3053" s="45" t="s">
        <v>9395</v>
      </c>
    </row>
    <row r="3054" s="26" customFormat="1" ht="30" customHeight="1" spans="1:13">
      <c r="A3054" s="41">
        <f>IF(C3054="","",SUBTOTAL(103,$C$2:C3054))</f>
        <v>3045</v>
      </c>
      <c r="B3054" s="41">
        <v>6404</v>
      </c>
      <c r="C3054" s="41">
        <v>1021</v>
      </c>
      <c r="D3054" s="41" t="s">
        <v>65</v>
      </c>
      <c r="E3054" s="41" t="s">
        <v>901</v>
      </c>
      <c r="F3054" s="41" t="s">
        <v>9025</v>
      </c>
      <c r="G3054" s="41" t="s">
        <v>9396</v>
      </c>
      <c r="H3054" s="41" t="s">
        <v>9397</v>
      </c>
      <c r="I3054" s="43">
        <v>12</v>
      </c>
      <c r="J3054" s="44" t="str">
        <f>VLOOKUP(G3054,[1]硬件清单!$F:$F,1,0)</f>
        <v>SRAD11711150011</v>
      </c>
      <c r="K3054" s="43"/>
      <c r="L3054" s="44"/>
      <c r="M3054" s="45" t="s">
        <v>9398</v>
      </c>
    </row>
    <row r="3055" s="26" customFormat="1" ht="30" customHeight="1" spans="1:13">
      <c r="A3055" s="41">
        <f>IF(C3055="","",SUBTOTAL(103,$C$2:C3055))</f>
        <v>3046</v>
      </c>
      <c r="B3055" s="41">
        <v>6405</v>
      </c>
      <c r="C3055" s="41">
        <v>1022</v>
      </c>
      <c r="D3055" s="41" t="s">
        <v>65</v>
      </c>
      <c r="E3055" s="41" t="s">
        <v>901</v>
      </c>
      <c r="F3055" s="41" t="s">
        <v>9025</v>
      </c>
      <c r="G3055" s="41" t="s">
        <v>9399</v>
      </c>
      <c r="H3055" s="41" t="s">
        <v>9400</v>
      </c>
      <c r="I3055" s="43">
        <v>12</v>
      </c>
      <c r="J3055" s="44" t="str">
        <f>VLOOKUP(G3055,[1]硬件清单!$F:$F,1,0)</f>
        <v>SRAD11711150022</v>
      </c>
      <c r="K3055" s="43"/>
      <c r="L3055" s="44"/>
      <c r="M3055" s="45" t="s">
        <v>9401</v>
      </c>
    </row>
    <row r="3056" s="26" customFormat="1" ht="30" customHeight="1" spans="1:13">
      <c r="A3056" s="41">
        <f>IF(C3056="","",SUBTOTAL(103,$C$2:C3056))</f>
        <v>3047</v>
      </c>
      <c r="B3056" s="41">
        <v>6406</v>
      </c>
      <c r="C3056" s="41">
        <v>1023</v>
      </c>
      <c r="D3056" s="41" t="s">
        <v>65</v>
      </c>
      <c r="E3056" s="41" t="s">
        <v>901</v>
      </c>
      <c r="F3056" s="41" t="s">
        <v>9025</v>
      </c>
      <c r="G3056" s="41" t="s">
        <v>9402</v>
      </c>
      <c r="H3056" s="41" t="s">
        <v>9403</v>
      </c>
      <c r="I3056" s="43">
        <v>12</v>
      </c>
      <c r="J3056" s="44" t="str">
        <f>VLOOKUP(G3056,[1]硬件清单!$F:$F,1,0)</f>
        <v>SRAD11711150039</v>
      </c>
      <c r="K3056" s="43"/>
      <c r="L3056" s="44"/>
      <c r="M3056" s="45" t="s">
        <v>9404</v>
      </c>
    </row>
    <row r="3057" s="26" customFormat="1" ht="30" customHeight="1" spans="1:13">
      <c r="A3057" s="41">
        <f>IF(C3057="","",SUBTOTAL(103,$C$2:C3057))</f>
        <v>3048</v>
      </c>
      <c r="B3057" s="41">
        <v>6407</v>
      </c>
      <c r="C3057" s="41">
        <v>1024</v>
      </c>
      <c r="D3057" s="41" t="s">
        <v>65</v>
      </c>
      <c r="E3057" s="41" t="s">
        <v>901</v>
      </c>
      <c r="F3057" s="41" t="s">
        <v>9025</v>
      </c>
      <c r="G3057" s="41" t="s">
        <v>9405</v>
      </c>
      <c r="H3057" s="41" t="s">
        <v>9406</v>
      </c>
      <c r="I3057" s="43">
        <v>12</v>
      </c>
      <c r="J3057" s="44" t="str">
        <f>VLOOKUP(G3057,[1]硬件清单!$F:$F,1,0)</f>
        <v>SRAD11711150029</v>
      </c>
      <c r="K3057" s="43"/>
      <c r="L3057" s="44"/>
      <c r="M3057" s="45" t="s">
        <v>9407</v>
      </c>
    </row>
    <row r="3058" s="26" customFormat="1" ht="30" customHeight="1" spans="1:13">
      <c r="A3058" s="41">
        <f>IF(C3058="","",SUBTOTAL(103,$C$2:C3058))</f>
        <v>3049</v>
      </c>
      <c r="B3058" s="41">
        <v>6408</v>
      </c>
      <c r="C3058" s="41">
        <v>7786</v>
      </c>
      <c r="D3058" s="41" t="s">
        <v>65</v>
      </c>
      <c r="E3058" s="41" t="s">
        <v>901</v>
      </c>
      <c r="F3058" s="41" t="s">
        <v>9114</v>
      </c>
      <c r="G3058" s="41" t="s">
        <v>9408</v>
      </c>
      <c r="H3058" s="41" t="s">
        <v>9409</v>
      </c>
      <c r="I3058" s="43">
        <v>12</v>
      </c>
      <c r="J3058" s="44" t="str">
        <f>VLOOKUP(G3058,[1]硬件清单!$F:$F,1,0)</f>
        <v>SRAD11410240067</v>
      </c>
      <c r="K3058" s="43"/>
      <c r="L3058" s="44"/>
      <c r="M3058" s="45" t="s">
        <v>9410</v>
      </c>
    </row>
    <row r="3059" s="26" customFormat="1" ht="30" customHeight="1" spans="1:13">
      <c r="A3059" s="41">
        <f>IF(C3059="","",SUBTOTAL(103,$C$2:C3059))</f>
        <v>3050</v>
      </c>
      <c r="B3059" s="41">
        <v>6409</v>
      </c>
      <c r="C3059" s="41">
        <v>7787</v>
      </c>
      <c r="D3059" s="41" t="s">
        <v>65</v>
      </c>
      <c r="E3059" s="41" t="s">
        <v>901</v>
      </c>
      <c r="F3059" s="41" t="s">
        <v>9114</v>
      </c>
      <c r="G3059" s="41" t="s">
        <v>9411</v>
      </c>
      <c r="H3059" s="41" t="s">
        <v>9412</v>
      </c>
      <c r="I3059" s="43">
        <v>12</v>
      </c>
      <c r="J3059" s="44" t="str">
        <f>VLOOKUP(G3059,[1]硬件清单!$F:$F,1,0)</f>
        <v>SRAD11410240068</v>
      </c>
      <c r="K3059" s="43"/>
      <c r="L3059" s="44"/>
      <c r="M3059" s="45" t="s">
        <v>9413</v>
      </c>
    </row>
    <row r="3060" s="26" customFormat="1" ht="30" customHeight="1" spans="1:13">
      <c r="A3060" s="41">
        <f>IF(C3060="","",SUBTOTAL(103,$C$2:C3060))</f>
        <v>3051</v>
      </c>
      <c r="B3060" s="41">
        <v>6410</v>
      </c>
      <c r="C3060" s="41">
        <v>1025</v>
      </c>
      <c r="D3060" s="41" t="s">
        <v>65</v>
      </c>
      <c r="E3060" s="41" t="s">
        <v>901</v>
      </c>
      <c r="F3060" s="41" t="s">
        <v>9025</v>
      </c>
      <c r="G3060" s="41" t="s">
        <v>9414</v>
      </c>
      <c r="H3060" s="41" t="s">
        <v>9415</v>
      </c>
      <c r="I3060" s="43">
        <v>12</v>
      </c>
      <c r="J3060" s="44" t="str">
        <f>VLOOKUP(G3060,[1]硬件清单!$F:$F,1,0)</f>
        <v>SRAD11711150015</v>
      </c>
      <c r="K3060" s="43"/>
      <c r="L3060" s="44"/>
      <c r="M3060" s="45" t="s">
        <v>9416</v>
      </c>
    </row>
    <row r="3061" s="26" customFormat="1" ht="30" customHeight="1" spans="1:13">
      <c r="A3061" s="41">
        <f>IF(C3061="","",SUBTOTAL(103,$C$2:C3061))</f>
        <v>3052</v>
      </c>
      <c r="B3061" s="41">
        <v>6411</v>
      </c>
      <c r="C3061" s="41">
        <v>7784</v>
      </c>
      <c r="D3061" s="41" t="s">
        <v>65</v>
      </c>
      <c r="E3061" s="41" t="s">
        <v>901</v>
      </c>
      <c r="F3061" s="41" t="s">
        <v>9114</v>
      </c>
      <c r="G3061" s="41" t="s">
        <v>9417</v>
      </c>
      <c r="H3061" s="41" t="s">
        <v>9418</v>
      </c>
      <c r="I3061" s="43">
        <v>12</v>
      </c>
      <c r="J3061" s="44" t="str">
        <f>VLOOKUP(G3061,[1]硬件清单!$F:$F,1,0)</f>
        <v>SRAD11410240065</v>
      </c>
      <c r="K3061" s="43"/>
      <c r="L3061" s="44"/>
      <c r="M3061" s="45" t="s">
        <v>9419</v>
      </c>
    </row>
    <row r="3062" s="26" customFormat="1" ht="30" customHeight="1" spans="1:13">
      <c r="A3062" s="41">
        <f>IF(C3062="","",SUBTOTAL(103,$C$2:C3062))</f>
        <v>3053</v>
      </c>
      <c r="B3062" s="41">
        <v>6412</v>
      </c>
      <c r="C3062" s="41">
        <v>1026</v>
      </c>
      <c r="D3062" s="41" t="s">
        <v>65</v>
      </c>
      <c r="E3062" s="41" t="s">
        <v>901</v>
      </c>
      <c r="F3062" s="41" t="s">
        <v>9025</v>
      </c>
      <c r="G3062" s="41" t="s">
        <v>9420</v>
      </c>
      <c r="H3062" s="41" t="s">
        <v>9421</v>
      </c>
      <c r="I3062" s="43">
        <v>12</v>
      </c>
      <c r="J3062" s="44" t="str">
        <f>VLOOKUP(G3062,[1]硬件清单!$F:$F,1,0)</f>
        <v>SRAD11711150005</v>
      </c>
      <c r="K3062" s="43"/>
      <c r="L3062" s="44"/>
      <c r="M3062" s="45" t="s">
        <v>9422</v>
      </c>
    </row>
    <row r="3063" s="26" customFormat="1" ht="30" customHeight="1" spans="1:13">
      <c r="A3063" s="41">
        <f>IF(C3063="","",SUBTOTAL(103,$C$2:C3063))</f>
        <v>3054</v>
      </c>
      <c r="B3063" s="41">
        <v>6413</v>
      </c>
      <c r="C3063" s="41">
        <v>1027</v>
      </c>
      <c r="D3063" s="41" t="s">
        <v>65</v>
      </c>
      <c r="E3063" s="41" t="s">
        <v>901</v>
      </c>
      <c r="F3063" s="41" t="s">
        <v>9025</v>
      </c>
      <c r="G3063" s="41" t="s">
        <v>9423</v>
      </c>
      <c r="H3063" s="41" t="s">
        <v>9424</v>
      </c>
      <c r="I3063" s="43">
        <v>12</v>
      </c>
      <c r="J3063" s="44" t="str">
        <f>VLOOKUP(G3063,[1]硬件清单!$F:$F,1,0)</f>
        <v>SRAD11711150018</v>
      </c>
      <c r="K3063" s="43"/>
      <c r="L3063" s="44"/>
      <c r="M3063" s="45" t="s">
        <v>9425</v>
      </c>
    </row>
    <row r="3064" s="26" customFormat="1" ht="30" customHeight="1" spans="1:13">
      <c r="A3064" s="41">
        <f>IF(C3064="","",SUBTOTAL(103,$C$2:C3064))</f>
        <v>3055</v>
      </c>
      <c r="B3064" s="41">
        <v>6414</v>
      </c>
      <c r="C3064" s="41">
        <v>1028</v>
      </c>
      <c r="D3064" s="41" t="s">
        <v>65</v>
      </c>
      <c r="E3064" s="41" t="s">
        <v>901</v>
      </c>
      <c r="F3064" s="41" t="s">
        <v>9025</v>
      </c>
      <c r="G3064" s="41" t="s">
        <v>9426</v>
      </c>
      <c r="H3064" s="41" t="s">
        <v>9427</v>
      </c>
      <c r="I3064" s="43">
        <v>12</v>
      </c>
      <c r="J3064" s="44" t="str">
        <f>VLOOKUP(G3064,[1]硬件清单!$F:$F,1,0)</f>
        <v>SRAD11711150025</v>
      </c>
      <c r="K3064" s="43"/>
      <c r="L3064" s="44"/>
      <c r="M3064" s="45" t="s">
        <v>9428</v>
      </c>
    </row>
    <row r="3065" s="26" customFormat="1" ht="30" customHeight="1" spans="1:13">
      <c r="A3065" s="41">
        <f>IF(C3065="","",SUBTOTAL(103,$C$2:C3065))</f>
        <v>3056</v>
      </c>
      <c r="B3065" s="41">
        <v>6415</v>
      </c>
      <c r="C3065" s="41">
        <v>7785</v>
      </c>
      <c r="D3065" s="41" t="s">
        <v>65</v>
      </c>
      <c r="E3065" s="41" t="s">
        <v>901</v>
      </c>
      <c r="F3065" s="41" t="s">
        <v>9114</v>
      </c>
      <c r="G3065" s="41" t="s">
        <v>9429</v>
      </c>
      <c r="H3065" s="41" t="s">
        <v>9430</v>
      </c>
      <c r="I3065" s="43">
        <v>12</v>
      </c>
      <c r="J3065" s="44" t="str">
        <f>VLOOKUP(G3065,[1]硬件清单!$F:$F,1,0)</f>
        <v>SRAD11410240066</v>
      </c>
      <c r="K3065" s="43"/>
      <c r="L3065" s="44"/>
      <c r="M3065" s="45" t="s">
        <v>9431</v>
      </c>
    </row>
    <row r="3066" s="26" customFormat="1" ht="30" customHeight="1" spans="1:13">
      <c r="A3066" s="41">
        <f>IF(C3066="","",SUBTOTAL(103,$C$2:C3066))</f>
        <v>3057</v>
      </c>
      <c r="B3066" s="41">
        <v>6416</v>
      </c>
      <c r="C3066" s="41">
        <v>7790</v>
      </c>
      <c r="D3066" s="41" t="s">
        <v>65</v>
      </c>
      <c r="E3066" s="41" t="s">
        <v>901</v>
      </c>
      <c r="F3066" s="41" t="s">
        <v>9114</v>
      </c>
      <c r="G3066" s="41" t="s">
        <v>9432</v>
      </c>
      <c r="H3066" s="41" t="s">
        <v>9433</v>
      </c>
      <c r="I3066" s="43">
        <v>12</v>
      </c>
      <c r="J3066" s="44" t="str">
        <f>VLOOKUP(G3066,[1]硬件清单!$F:$F,1,0)</f>
        <v>SRAD11410240071</v>
      </c>
      <c r="K3066" s="43"/>
      <c r="L3066" s="44"/>
      <c r="M3066" s="45" t="s">
        <v>9434</v>
      </c>
    </row>
    <row r="3067" s="26" customFormat="1" ht="30" customHeight="1" spans="1:13">
      <c r="A3067" s="41">
        <f>IF(C3067="","",SUBTOTAL(103,$C$2:C3067))</f>
        <v>3058</v>
      </c>
      <c r="B3067" s="41">
        <v>6417</v>
      </c>
      <c r="C3067" s="41">
        <v>7791</v>
      </c>
      <c r="D3067" s="41" t="s">
        <v>65</v>
      </c>
      <c r="E3067" s="41" t="s">
        <v>901</v>
      </c>
      <c r="F3067" s="41" t="s">
        <v>9114</v>
      </c>
      <c r="G3067" s="41" t="s">
        <v>9435</v>
      </c>
      <c r="H3067" s="41" t="s">
        <v>9436</v>
      </c>
      <c r="I3067" s="43">
        <v>12</v>
      </c>
      <c r="J3067" s="44" t="str">
        <f>VLOOKUP(G3067,[1]硬件清单!$F:$F,1,0)</f>
        <v>SRAD11410240072</v>
      </c>
      <c r="K3067" s="43"/>
      <c r="L3067" s="44"/>
      <c r="M3067" s="45" t="s">
        <v>9437</v>
      </c>
    </row>
    <row r="3068" s="26" customFormat="1" ht="30" customHeight="1" spans="1:13">
      <c r="A3068" s="41">
        <f>IF(C3068="","",SUBTOTAL(103,$C$2:C3068))</f>
        <v>3059</v>
      </c>
      <c r="B3068" s="41">
        <v>6418</v>
      </c>
      <c r="C3068" s="41">
        <v>7788</v>
      </c>
      <c r="D3068" s="41" t="s">
        <v>65</v>
      </c>
      <c r="E3068" s="41" t="s">
        <v>901</v>
      </c>
      <c r="F3068" s="41" t="s">
        <v>9114</v>
      </c>
      <c r="G3068" s="41" t="s">
        <v>9438</v>
      </c>
      <c r="H3068" s="41" t="s">
        <v>9439</v>
      </c>
      <c r="I3068" s="43">
        <v>12</v>
      </c>
      <c r="J3068" s="44" t="str">
        <f>VLOOKUP(G3068,[1]硬件清单!$F:$F,1,0)</f>
        <v>SRAD11410240087</v>
      </c>
      <c r="K3068" s="43"/>
      <c r="L3068" s="44"/>
      <c r="M3068" s="45" t="s">
        <v>9440</v>
      </c>
    </row>
    <row r="3069" s="26" customFormat="1" ht="30" customHeight="1" spans="1:13">
      <c r="A3069" s="41">
        <f>IF(C3069="","",SUBTOTAL(103,$C$2:C3069))</f>
        <v>3060</v>
      </c>
      <c r="B3069" s="41">
        <v>6419</v>
      </c>
      <c r="C3069" s="41">
        <v>1029</v>
      </c>
      <c r="D3069" s="41" t="s">
        <v>65</v>
      </c>
      <c r="E3069" s="41" t="s">
        <v>901</v>
      </c>
      <c r="F3069" s="41" t="s">
        <v>9025</v>
      </c>
      <c r="G3069" s="41" t="s">
        <v>9441</v>
      </c>
      <c r="H3069" s="41" t="s">
        <v>9442</v>
      </c>
      <c r="I3069" s="43">
        <v>12</v>
      </c>
      <c r="J3069" s="44" t="str">
        <f>VLOOKUP(G3069,[1]硬件清单!$F:$F,1,0)</f>
        <v>SRAD11711150019</v>
      </c>
      <c r="K3069" s="43"/>
      <c r="L3069" s="44"/>
      <c r="M3069" s="45" t="s">
        <v>9443</v>
      </c>
    </row>
    <row r="3070" s="26" customFormat="1" ht="30" customHeight="1" spans="1:13">
      <c r="A3070" s="41">
        <f>IF(C3070="","",SUBTOTAL(103,$C$2:C3070))</f>
        <v>3061</v>
      </c>
      <c r="B3070" s="41">
        <v>6420</v>
      </c>
      <c r="C3070" s="41">
        <v>1030</v>
      </c>
      <c r="D3070" s="41" t="s">
        <v>65</v>
      </c>
      <c r="E3070" s="41" t="s">
        <v>901</v>
      </c>
      <c r="F3070" s="41" t="s">
        <v>9025</v>
      </c>
      <c r="G3070" s="41" t="s">
        <v>9444</v>
      </c>
      <c r="H3070" s="41" t="s">
        <v>9445</v>
      </c>
      <c r="I3070" s="43">
        <v>12</v>
      </c>
      <c r="J3070" s="44" t="str">
        <f>VLOOKUP(G3070,[1]硬件清单!$F:$F,1,0)</f>
        <v>SRAD11711150008</v>
      </c>
      <c r="K3070" s="43"/>
      <c r="L3070" s="44"/>
      <c r="M3070" s="45" t="s">
        <v>9446</v>
      </c>
    </row>
    <row r="3071" s="26" customFormat="1" ht="30" customHeight="1" spans="1:13">
      <c r="A3071" s="41">
        <f>IF(C3071="","",SUBTOTAL(103,$C$2:C3071))</f>
        <v>3062</v>
      </c>
      <c r="B3071" s="41">
        <v>6421</v>
      </c>
      <c r="C3071" s="41">
        <v>7789</v>
      </c>
      <c r="D3071" s="41" t="s">
        <v>65</v>
      </c>
      <c r="E3071" s="41" t="s">
        <v>901</v>
      </c>
      <c r="F3071" s="41" t="s">
        <v>9114</v>
      </c>
      <c r="G3071" s="41" t="s">
        <v>9447</v>
      </c>
      <c r="H3071" s="41" t="s">
        <v>9448</v>
      </c>
      <c r="I3071" s="43">
        <v>12</v>
      </c>
      <c r="J3071" s="44" t="str">
        <f>VLOOKUP(G3071,[1]硬件清单!$F:$F,1,0)</f>
        <v>SRAD11410240070</v>
      </c>
      <c r="K3071" s="43"/>
      <c r="L3071" s="44"/>
      <c r="M3071" s="45" t="s">
        <v>9449</v>
      </c>
    </row>
    <row r="3072" s="26" customFormat="1" ht="30" customHeight="1" spans="1:13">
      <c r="A3072" s="41">
        <f>IF(C3072="","",SUBTOTAL(103,$C$2:C3072))</f>
        <v>3063</v>
      </c>
      <c r="B3072" s="41">
        <v>6422</v>
      </c>
      <c r="C3072" s="46">
        <v>13002</v>
      </c>
      <c r="D3072" s="46" t="s">
        <v>65</v>
      </c>
      <c r="E3072" s="46" t="s">
        <v>220</v>
      </c>
      <c r="F3072" s="46" t="s">
        <v>9450</v>
      </c>
      <c r="G3072" s="41" t="s">
        <v>9451</v>
      </c>
      <c r="H3072" s="41" t="s">
        <v>9452</v>
      </c>
      <c r="I3072" s="43">
        <v>12</v>
      </c>
      <c r="J3072" s="44" t="str">
        <f>VLOOKUP(G3072,[1]硬件清单!$F:$F,1,0)</f>
        <v>SRIE2017CJTZV10119B
SRIE2017CJTZV10119B
SRIE2017CJTZV10119B
SRIE2017CJTZV10119B</v>
      </c>
      <c r="K3072" s="43"/>
      <c r="L3072" s="44"/>
      <c r="M3072" s="45" t="s">
        <v>9453</v>
      </c>
    </row>
    <row r="3073" s="26" customFormat="1" ht="30" customHeight="1" spans="1:13">
      <c r="A3073" s="41">
        <f>IF(C3073="","",SUBTOTAL(103,$C$2:C3073))</f>
        <v>3064</v>
      </c>
      <c r="B3073" s="41">
        <v>6423</v>
      </c>
      <c r="C3073" s="46">
        <v>13003</v>
      </c>
      <c r="D3073" s="46" t="s">
        <v>65</v>
      </c>
      <c r="E3073" s="46" t="s">
        <v>220</v>
      </c>
      <c r="F3073" s="46" t="s">
        <v>9450</v>
      </c>
      <c r="G3073" s="41" t="s">
        <v>9454</v>
      </c>
      <c r="H3073" s="41" t="s">
        <v>9455</v>
      </c>
      <c r="I3073" s="43">
        <v>12</v>
      </c>
      <c r="J3073" s="44" t="str">
        <f>VLOOKUP(G3073,[1]硬件清单!$F:$F,1,0)</f>
        <v>SRIE2017CJTZV10120B
SRIE2017CJTZV10120B
SRIE2017CJTZV10120B
SRIE2017CJTZV10120B</v>
      </c>
      <c r="K3073" s="43"/>
      <c r="L3073" s="44"/>
      <c r="M3073" s="45" t="s">
        <v>9456</v>
      </c>
    </row>
    <row r="3074" s="26" customFormat="1" ht="30" customHeight="1" spans="1:13">
      <c r="A3074" s="41">
        <f>IF(C3074="","",SUBTOTAL(103,$C$2:C3074))</f>
        <v>3065</v>
      </c>
      <c r="B3074" s="41">
        <v>6424</v>
      </c>
      <c r="C3074" s="46">
        <v>8696</v>
      </c>
      <c r="D3074" s="46" t="s">
        <v>65</v>
      </c>
      <c r="E3074" s="46" t="s">
        <v>96</v>
      </c>
      <c r="F3074" s="46" t="s">
        <v>9457</v>
      </c>
      <c r="G3074" s="41" t="s">
        <v>9458</v>
      </c>
      <c r="H3074" s="41" t="s">
        <v>9459</v>
      </c>
      <c r="I3074" s="43">
        <v>12</v>
      </c>
      <c r="J3074" s="44" t="str">
        <f>VLOOKUP(G3074,[1]硬件清单!$F:$F,1,0)</f>
        <v>SRIE2015RAQZV14005</v>
      </c>
      <c r="K3074" s="43"/>
      <c r="L3074" s="44"/>
      <c r="M3074" s="45" t="s">
        <v>9460</v>
      </c>
    </row>
    <row r="3075" s="26" customFormat="1" ht="30" customHeight="1" spans="1:13">
      <c r="A3075" s="41">
        <f>IF(C3075="","",SUBTOTAL(103,$C$2:C3075))</f>
        <v>3066</v>
      </c>
      <c r="B3075" s="41">
        <v>6425</v>
      </c>
      <c r="C3075" s="46">
        <v>8697</v>
      </c>
      <c r="D3075" s="46" t="s">
        <v>65</v>
      </c>
      <c r="E3075" s="46" t="s">
        <v>96</v>
      </c>
      <c r="F3075" s="46" t="s">
        <v>9457</v>
      </c>
      <c r="G3075" s="41" t="s">
        <v>9461</v>
      </c>
      <c r="H3075" s="41" t="s">
        <v>9462</v>
      </c>
      <c r="I3075" s="43">
        <v>12</v>
      </c>
      <c r="J3075" s="44" t="str">
        <f>VLOOKUP(G3075,[1]硬件清单!$F:$F,1,0)</f>
        <v>SRIE2015RAQZV14002</v>
      </c>
      <c r="K3075" s="43"/>
      <c r="L3075" s="44"/>
      <c r="M3075" s="45" t="s">
        <v>9463</v>
      </c>
    </row>
    <row r="3076" s="26" customFormat="1" ht="30" customHeight="1" spans="1:13">
      <c r="A3076" s="41">
        <f>IF(C3076="","",SUBTOTAL(103,$C$2:C3076))</f>
        <v>3067</v>
      </c>
      <c r="B3076" s="41">
        <v>6428</v>
      </c>
      <c r="C3076" s="41">
        <v>12758</v>
      </c>
      <c r="D3076" s="41" t="s">
        <v>65</v>
      </c>
      <c r="E3076" s="41" t="s">
        <v>304</v>
      </c>
      <c r="F3076" s="41" t="s">
        <v>9025</v>
      </c>
      <c r="G3076" s="41" t="s">
        <v>9464</v>
      </c>
      <c r="H3076" s="41" t="s">
        <v>9465</v>
      </c>
      <c r="I3076" s="43">
        <v>12</v>
      </c>
      <c r="J3076" s="44" t="str">
        <f>VLOOKUP(G3076,[1]硬件清单!$F:$F,1,0)</f>
        <v>SRAD11911250001</v>
      </c>
      <c r="K3076" s="43"/>
      <c r="L3076" s="44"/>
      <c r="M3076" s="45" t="s">
        <v>9466</v>
      </c>
    </row>
    <row r="3077" s="26" customFormat="1" ht="30" customHeight="1" spans="1:13">
      <c r="A3077" s="41">
        <f>IF(C3077="","",SUBTOTAL(103,$C$2:C3077))</f>
        <v>3068</v>
      </c>
      <c r="B3077" s="41">
        <v>6429</v>
      </c>
      <c r="C3077" s="41">
        <v>12757</v>
      </c>
      <c r="D3077" s="41" t="s">
        <v>65</v>
      </c>
      <c r="E3077" s="41" t="s">
        <v>304</v>
      </c>
      <c r="F3077" s="41" t="s">
        <v>9025</v>
      </c>
      <c r="G3077" s="41" t="s">
        <v>9467</v>
      </c>
      <c r="H3077" s="41" t="s">
        <v>9468</v>
      </c>
      <c r="I3077" s="43">
        <v>12</v>
      </c>
      <c r="J3077" s="44" t="str">
        <f>VLOOKUP(G3077,[1]硬件清单!$F:$F,1,0)</f>
        <v>SRAD11911250003</v>
      </c>
      <c r="K3077" s="43"/>
      <c r="L3077" s="44"/>
      <c r="M3077" s="45" t="s">
        <v>9469</v>
      </c>
    </row>
    <row r="3078" s="26" customFormat="1" ht="30" customHeight="1" spans="1:13">
      <c r="A3078" s="41">
        <f>IF(C3078="","",SUBTOTAL(103,$C$2:C3078))</f>
        <v>3069</v>
      </c>
      <c r="B3078" s="41">
        <v>6430</v>
      </c>
      <c r="C3078" s="41">
        <v>12756</v>
      </c>
      <c r="D3078" s="41" t="s">
        <v>65</v>
      </c>
      <c r="E3078" s="41" t="s">
        <v>304</v>
      </c>
      <c r="F3078" s="41" t="s">
        <v>9025</v>
      </c>
      <c r="G3078" s="41" t="s">
        <v>9470</v>
      </c>
      <c r="H3078" s="41" t="s">
        <v>9471</v>
      </c>
      <c r="I3078" s="43">
        <v>12</v>
      </c>
      <c r="J3078" s="44" t="str">
        <f>VLOOKUP(G3078,[1]硬件清单!$F:$F,1,0)</f>
        <v>SRAD11911250005</v>
      </c>
      <c r="K3078" s="43"/>
      <c r="L3078" s="44"/>
      <c r="M3078" s="45" t="s">
        <v>9472</v>
      </c>
    </row>
    <row r="3079" s="26" customFormat="1" ht="30" customHeight="1" spans="1:13">
      <c r="A3079" s="41">
        <f>IF(C3079="","",SUBTOTAL(103,$C$2:C3079))</f>
        <v>3070</v>
      </c>
      <c r="B3079" s="41">
        <v>6431</v>
      </c>
      <c r="C3079" s="41">
        <v>12755</v>
      </c>
      <c r="D3079" s="41" t="s">
        <v>65</v>
      </c>
      <c r="E3079" s="41" t="s">
        <v>304</v>
      </c>
      <c r="F3079" s="41" t="s">
        <v>9025</v>
      </c>
      <c r="G3079" s="41" t="s">
        <v>9473</v>
      </c>
      <c r="H3079" s="41" t="s">
        <v>9474</v>
      </c>
      <c r="I3079" s="43">
        <v>12</v>
      </c>
      <c r="J3079" s="44" t="str">
        <f>VLOOKUP(G3079,[1]硬件清单!$F:$F,1,0)</f>
        <v>SRAD11911250008</v>
      </c>
      <c r="K3079" s="43"/>
      <c r="L3079" s="44"/>
      <c r="M3079" s="45" t="s">
        <v>9475</v>
      </c>
    </row>
    <row r="3080" s="26" customFormat="1" ht="30" customHeight="1" spans="1:13">
      <c r="A3080" s="41">
        <f>IF(C3080="","",SUBTOTAL(103,$C$2:C3080))</f>
        <v>3071</v>
      </c>
      <c r="B3080" s="41">
        <v>6432</v>
      </c>
      <c r="C3080" s="41">
        <v>12751</v>
      </c>
      <c r="D3080" s="41" t="s">
        <v>65</v>
      </c>
      <c r="E3080" s="41" t="s">
        <v>304</v>
      </c>
      <c r="F3080" s="41" t="s">
        <v>9025</v>
      </c>
      <c r="G3080" s="41" t="s">
        <v>9476</v>
      </c>
      <c r="H3080" s="41" t="s">
        <v>9477</v>
      </c>
      <c r="I3080" s="43">
        <v>12</v>
      </c>
      <c r="J3080" s="44" t="str">
        <f>VLOOKUP(G3080,[1]硬件清单!$F:$F,1,0)</f>
        <v>SRAD11911250002</v>
      </c>
      <c r="K3080" s="43"/>
      <c r="L3080" s="44"/>
      <c r="M3080" s="45" t="s">
        <v>9478</v>
      </c>
    </row>
    <row r="3081" s="26" customFormat="1" ht="30" customHeight="1" spans="1:13">
      <c r="A3081" s="41">
        <f>IF(C3081="","",SUBTOTAL(103,$C$2:C3081))</f>
        <v>3072</v>
      </c>
      <c r="B3081" s="41">
        <v>6433</v>
      </c>
      <c r="C3081" s="41">
        <v>12750</v>
      </c>
      <c r="D3081" s="41" t="s">
        <v>65</v>
      </c>
      <c r="E3081" s="41" t="s">
        <v>304</v>
      </c>
      <c r="F3081" s="41" t="s">
        <v>9025</v>
      </c>
      <c r="G3081" s="41" t="s">
        <v>9479</v>
      </c>
      <c r="H3081" s="41" t="s">
        <v>9480</v>
      </c>
      <c r="I3081" s="43">
        <v>12</v>
      </c>
      <c r="J3081" s="44" t="str">
        <f>VLOOKUP(G3081,[1]硬件清单!$F:$F,1,0)</f>
        <v>SRAD11911250004</v>
      </c>
      <c r="K3081" s="43"/>
      <c r="L3081" s="44"/>
      <c r="M3081" s="45" t="s">
        <v>9481</v>
      </c>
    </row>
    <row r="3082" s="26" customFormat="1" ht="30" customHeight="1" spans="1:13">
      <c r="A3082" s="41">
        <f>IF(C3082="","",SUBTOTAL(103,$C$2:C3082))</f>
        <v>3073</v>
      </c>
      <c r="B3082" s="41">
        <v>6434</v>
      </c>
      <c r="C3082" s="41">
        <v>12749</v>
      </c>
      <c r="D3082" s="41" t="s">
        <v>65</v>
      </c>
      <c r="E3082" s="41" t="s">
        <v>304</v>
      </c>
      <c r="F3082" s="41" t="s">
        <v>9025</v>
      </c>
      <c r="G3082" s="41" t="s">
        <v>9482</v>
      </c>
      <c r="H3082" s="41" t="s">
        <v>9483</v>
      </c>
      <c r="I3082" s="43">
        <v>12</v>
      </c>
      <c r="J3082" s="44" t="str">
        <f>VLOOKUP(G3082,[1]硬件清单!$F:$F,1,0)</f>
        <v>SRAD11911250006</v>
      </c>
      <c r="K3082" s="43"/>
      <c r="L3082" s="44"/>
      <c r="M3082" s="45" t="s">
        <v>9484</v>
      </c>
    </row>
    <row r="3083" s="26" customFormat="1" ht="30" customHeight="1" spans="1:13">
      <c r="A3083" s="41">
        <f>IF(C3083="","",SUBTOTAL(103,$C$2:C3083))</f>
        <v>3074</v>
      </c>
      <c r="B3083" s="41">
        <v>6435</v>
      </c>
      <c r="C3083" s="41">
        <v>12748</v>
      </c>
      <c r="D3083" s="41" t="s">
        <v>65</v>
      </c>
      <c r="E3083" s="41" t="s">
        <v>304</v>
      </c>
      <c r="F3083" s="41" t="s">
        <v>9025</v>
      </c>
      <c r="G3083" s="41" t="s">
        <v>9485</v>
      </c>
      <c r="H3083" s="41" t="s">
        <v>9486</v>
      </c>
      <c r="I3083" s="43">
        <v>12</v>
      </c>
      <c r="J3083" s="44" t="str">
        <f>VLOOKUP(G3083,[1]硬件清单!$F:$F,1,0)</f>
        <v>SRAD11911250007</v>
      </c>
      <c r="K3083" s="43"/>
      <c r="L3083" s="44"/>
      <c r="M3083" s="45" t="s">
        <v>9487</v>
      </c>
    </row>
    <row r="3084" s="26" customFormat="1" ht="30" customHeight="1" spans="1:13">
      <c r="A3084" s="41">
        <f>IF(C3084="","",SUBTOTAL(103,$C$2:C3084))</f>
        <v>3075</v>
      </c>
      <c r="B3084" s="41">
        <v>3918</v>
      </c>
      <c r="C3084" s="41">
        <v>7262</v>
      </c>
      <c r="D3084" s="41" t="s">
        <v>161</v>
      </c>
      <c r="E3084" s="41" t="s">
        <v>162</v>
      </c>
      <c r="F3084" s="41" t="s">
        <v>9488</v>
      </c>
      <c r="G3084" s="90" t="s">
        <v>9489</v>
      </c>
      <c r="H3084" s="41" t="s">
        <v>9490</v>
      </c>
      <c r="I3084" s="43">
        <v>12</v>
      </c>
      <c r="J3084" s="91" t="str">
        <f>VLOOKUP(G3084,[1]硬件清单!$F:$F,1,0)</f>
        <v>451440000134/451440000135</v>
      </c>
      <c r="K3084" s="43"/>
      <c r="L3084" s="44"/>
      <c r="M3084" s="45" t="s">
        <v>9491</v>
      </c>
    </row>
    <row r="3085" s="26" customFormat="1" ht="30" customHeight="1" spans="1:13">
      <c r="A3085" s="41">
        <f>IF(C3085="","",SUBTOTAL(103,$C$2:C3085))</f>
        <v>3076</v>
      </c>
      <c r="B3085" s="41">
        <v>3919</v>
      </c>
      <c r="C3085" s="41">
        <v>7263</v>
      </c>
      <c r="D3085" s="41" t="s">
        <v>161</v>
      </c>
      <c r="E3085" s="41" t="s">
        <v>162</v>
      </c>
      <c r="F3085" s="41" t="s">
        <v>9488</v>
      </c>
      <c r="G3085" s="90" t="s">
        <v>9492</v>
      </c>
      <c r="H3085" s="41" t="s">
        <v>9493</v>
      </c>
      <c r="I3085" s="43">
        <v>12</v>
      </c>
      <c r="J3085" s="91" t="str">
        <f>VLOOKUP(G3085,[1]硬件清单!$F:$F,1,0)</f>
        <v>451440000136/451440000137</v>
      </c>
      <c r="K3085" s="43"/>
      <c r="L3085" s="44"/>
      <c r="M3085" s="45" t="s">
        <v>9494</v>
      </c>
    </row>
    <row r="3086" s="26" customFormat="1" ht="30" customHeight="1" spans="1:13">
      <c r="A3086" s="41">
        <f>IF(C3086="","",SUBTOTAL(103,$C$2:C3086))</f>
        <v>3077</v>
      </c>
      <c r="B3086" s="41">
        <v>453</v>
      </c>
      <c r="C3086" s="41">
        <v>11485</v>
      </c>
      <c r="D3086" s="41" t="s">
        <v>12</v>
      </c>
      <c r="E3086" s="41" t="s">
        <v>779</v>
      </c>
      <c r="F3086" s="41" t="s">
        <v>9495</v>
      </c>
      <c r="G3086" s="41" t="s">
        <v>776</v>
      </c>
      <c r="H3086" s="41" t="s">
        <v>9496</v>
      </c>
      <c r="I3086" s="43">
        <v>12</v>
      </c>
      <c r="J3086" s="44" t="str">
        <f>VLOOKUP(G3086,[1]硬件清单!$F:$F,1,0)</f>
        <v>无</v>
      </c>
      <c r="K3086" s="43"/>
      <c r="L3086" s="44"/>
      <c r="M3086" s="45" t="s">
        <v>9497</v>
      </c>
    </row>
    <row r="3087" s="26" customFormat="1" ht="30" customHeight="1" spans="1:13">
      <c r="A3087" s="41">
        <f>IF(C3087="","",SUBTOTAL(103,$C$2:C3087))</f>
        <v>3078</v>
      </c>
      <c r="B3087" s="41">
        <v>6815</v>
      </c>
      <c r="C3087" s="41">
        <v>5889</v>
      </c>
      <c r="D3087" s="41" t="s">
        <v>3602</v>
      </c>
      <c r="E3087" s="41" t="s">
        <v>3603</v>
      </c>
      <c r="F3087" s="42" t="s">
        <v>9498</v>
      </c>
      <c r="G3087" s="41" t="s">
        <v>9499</v>
      </c>
      <c r="H3087" s="41" t="s">
        <v>9500</v>
      </c>
      <c r="I3087" s="43">
        <v>12</v>
      </c>
      <c r="J3087" s="44" t="str">
        <f>VLOOKUP(G3087,[1]硬件清单!$F:$F,1,0)</f>
        <v>171003201036</v>
      </c>
      <c r="K3087" s="43"/>
      <c r="L3087" s="44"/>
      <c r="M3087" s="45" t="s">
        <v>9501</v>
      </c>
    </row>
    <row r="3088" s="26" customFormat="1" ht="30" customHeight="1" spans="1:13">
      <c r="A3088" s="41">
        <f>IF(C3088="","",SUBTOTAL(103,$C$2:C3088))</f>
        <v>3079</v>
      </c>
      <c r="B3088" s="41">
        <v>6836</v>
      </c>
      <c r="C3088" s="41">
        <v>5892</v>
      </c>
      <c r="D3088" s="41" t="s">
        <v>3602</v>
      </c>
      <c r="E3088" s="41" t="s">
        <v>3603</v>
      </c>
      <c r="F3088" s="42" t="s">
        <v>9498</v>
      </c>
      <c r="G3088" s="41" t="s">
        <v>9502</v>
      </c>
      <c r="H3088" s="41" t="s">
        <v>9503</v>
      </c>
      <c r="I3088" s="43">
        <v>12</v>
      </c>
      <c r="J3088" s="44" t="str">
        <f>VLOOKUP(G3088,[1]硬件清单!$F:$F,1,0)</f>
        <v>171003201029</v>
      </c>
      <c r="K3088" s="43"/>
      <c r="L3088" s="44"/>
      <c r="M3088" s="45" t="s">
        <v>9504</v>
      </c>
    </row>
    <row r="3089" s="26" customFormat="1" ht="30" customHeight="1" spans="1:13">
      <c r="A3089" s="41">
        <f>IF(C3089="","",SUBTOTAL(103,$C$2:C3089))</f>
        <v>3080</v>
      </c>
      <c r="B3089" s="41">
        <v>6853</v>
      </c>
      <c r="C3089" s="46">
        <v>2608</v>
      </c>
      <c r="D3089" s="46" t="s">
        <v>3602</v>
      </c>
      <c r="E3089" s="46" t="s">
        <v>3603</v>
      </c>
      <c r="F3089" s="46" t="s">
        <v>3604</v>
      </c>
      <c r="G3089" s="41" t="s">
        <v>9505</v>
      </c>
      <c r="H3089" s="41" t="s">
        <v>9506</v>
      </c>
      <c r="I3089" s="43">
        <v>12</v>
      </c>
      <c r="J3089" s="44" t="str">
        <f>VLOOKUP(G3089,[1]硬件清单!$F:$F,1,0)</f>
        <v>0180103201341</v>
      </c>
      <c r="K3089" s="43"/>
      <c r="L3089" s="44"/>
      <c r="M3089" s="45" t="s">
        <v>9507</v>
      </c>
    </row>
    <row r="3090" s="26" customFormat="1" ht="30" customHeight="1" spans="1:13">
      <c r="A3090" s="41">
        <f>IF(C3090="","",SUBTOTAL(103,$C$2:C3090))</f>
        <v>3081</v>
      </c>
      <c r="B3090" s="41">
        <v>6872</v>
      </c>
      <c r="C3090" s="46">
        <v>2609</v>
      </c>
      <c r="D3090" s="46" t="s">
        <v>3602</v>
      </c>
      <c r="E3090" s="46" t="s">
        <v>3603</v>
      </c>
      <c r="F3090" s="46" t="s">
        <v>3604</v>
      </c>
      <c r="G3090" s="41" t="s">
        <v>9508</v>
      </c>
      <c r="H3090" s="41" t="s">
        <v>9509</v>
      </c>
      <c r="I3090" s="43">
        <v>12</v>
      </c>
      <c r="J3090" s="44" t="str">
        <f>VLOOKUP(G3090,[1]硬件清单!$F:$F,1,0)</f>
        <v>0180103201372</v>
      </c>
      <c r="K3090" s="43"/>
      <c r="L3090" s="44"/>
      <c r="M3090" s="45" t="s">
        <v>9510</v>
      </c>
    </row>
    <row r="3091" s="26" customFormat="1" ht="30" customHeight="1" spans="1:13">
      <c r="A3091" s="41">
        <f>IF(C3091="","",SUBTOTAL(103,$C$2:C3091))</f>
        <v>3082</v>
      </c>
      <c r="B3091" s="41">
        <v>6889</v>
      </c>
      <c r="C3091" s="46">
        <v>2607</v>
      </c>
      <c r="D3091" s="46" t="s">
        <v>3602</v>
      </c>
      <c r="E3091" s="46" t="s">
        <v>3603</v>
      </c>
      <c r="F3091" s="46" t="s">
        <v>3604</v>
      </c>
      <c r="G3091" s="41" t="s">
        <v>9511</v>
      </c>
      <c r="H3091" s="41" t="s">
        <v>9512</v>
      </c>
      <c r="I3091" s="43">
        <v>12</v>
      </c>
      <c r="J3091" s="44" t="str">
        <f>VLOOKUP(G3091,[1]硬件清单!$F:$F,1,0)</f>
        <v>0180103201334</v>
      </c>
      <c r="K3091" s="43"/>
      <c r="L3091" s="44"/>
      <c r="M3091" s="45" t="s">
        <v>9513</v>
      </c>
    </row>
    <row r="3092" s="26" customFormat="1" ht="30" customHeight="1" spans="1:13">
      <c r="A3092" s="41">
        <f>IF(C3092="","",SUBTOTAL(103,$C$2:C3092))</f>
        <v>3083</v>
      </c>
      <c r="B3092" s="41">
        <v>6970</v>
      </c>
      <c r="C3092" s="46">
        <v>3423</v>
      </c>
      <c r="D3092" s="46" t="s">
        <v>3602</v>
      </c>
      <c r="E3092" s="46" t="s">
        <v>3603</v>
      </c>
      <c r="F3092" s="46" t="s">
        <v>3604</v>
      </c>
      <c r="G3092" s="41" t="s">
        <v>9514</v>
      </c>
      <c r="H3092" s="41" t="s">
        <v>9515</v>
      </c>
      <c r="I3092" s="43">
        <v>12</v>
      </c>
      <c r="J3092" s="44" t="str">
        <f>VLOOKUP(G3092,[1]硬件清单!$F:$F,1,0)</f>
        <v>180103201280</v>
      </c>
      <c r="K3092" s="43"/>
      <c r="L3092" s="44"/>
      <c r="M3092" s="45" t="s">
        <v>9516</v>
      </c>
    </row>
    <row r="3093" s="26" customFormat="1" ht="30" customHeight="1" spans="1:13">
      <c r="A3093" s="41">
        <f>IF(C3093="","",SUBTOTAL(103,$C$2:C3093))</f>
        <v>3084</v>
      </c>
      <c r="B3093" s="41">
        <v>7012</v>
      </c>
      <c r="C3093" s="46">
        <v>3422</v>
      </c>
      <c r="D3093" s="46" t="s">
        <v>3602</v>
      </c>
      <c r="E3093" s="46" t="s">
        <v>3603</v>
      </c>
      <c r="F3093" s="46" t="s">
        <v>3604</v>
      </c>
      <c r="G3093" s="41" t="s">
        <v>9517</v>
      </c>
      <c r="H3093" s="41" t="s">
        <v>9518</v>
      </c>
      <c r="I3093" s="43">
        <v>12</v>
      </c>
      <c r="J3093" s="44" t="str">
        <f>VLOOKUP(G3093,[1]硬件清单!$F:$F,1,0)</f>
        <v>180103201143</v>
      </c>
      <c r="K3093" s="43"/>
      <c r="L3093" s="44"/>
      <c r="M3093" s="45" t="s">
        <v>9519</v>
      </c>
    </row>
    <row r="3094" s="26" customFormat="1" ht="30" customHeight="1" spans="1:13">
      <c r="A3094" s="41">
        <f>IF(C3094="","",SUBTOTAL(103,$C$2:C3094))</f>
        <v>3085</v>
      </c>
      <c r="B3094" s="41">
        <v>7097</v>
      </c>
      <c r="C3094" s="46">
        <v>2597</v>
      </c>
      <c r="D3094" s="46" t="s">
        <v>887</v>
      </c>
      <c r="E3094" s="46" t="s">
        <v>888</v>
      </c>
      <c r="F3094" s="46" t="s">
        <v>9520</v>
      </c>
      <c r="G3094" s="41" t="s">
        <v>9521</v>
      </c>
      <c r="H3094" s="41" t="s">
        <v>9522</v>
      </c>
      <c r="I3094" s="43">
        <v>12</v>
      </c>
      <c r="J3094" s="44" t="str">
        <f>VLOOKUP(G3094,[1]硬件清单!$F:$F,1,0)</f>
        <v>161103200480</v>
      </c>
      <c r="K3094" s="43"/>
      <c r="L3094" s="44"/>
      <c r="M3094" s="45" t="s">
        <v>9523</v>
      </c>
    </row>
    <row r="3095" s="26" customFormat="1" ht="30" customHeight="1" spans="1:13">
      <c r="A3095" s="41">
        <f>IF(C3095="","",SUBTOTAL(103,$C$2:C3095))</f>
        <v>3086</v>
      </c>
      <c r="B3095" s="41">
        <v>7142</v>
      </c>
      <c r="C3095" s="46">
        <v>2590</v>
      </c>
      <c r="D3095" s="46" t="s">
        <v>887</v>
      </c>
      <c r="E3095" s="46" t="s">
        <v>888</v>
      </c>
      <c r="F3095" s="46" t="s">
        <v>9520</v>
      </c>
      <c r="G3095" s="41" t="s">
        <v>9524</v>
      </c>
      <c r="H3095" s="41" t="s">
        <v>9525</v>
      </c>
      <c r="I3095" s="43">
        <v>12</v>
      </c>
      <c r="J3095" s="44" t="str">
        <f>VLOOKUP(G3095,[1]硬件清单!$F:$F,1,0)</f>
        <v>161103200756</v>
      </c>
      <c r="K3095" s="43"/>
      <c r="L3095" s="44"/>
      <c r="M3095" s="45" t="s">
        <v>9526</v>
      </c>
    </row>
    <row r="3096" s="26" customFormat="1" ht="30" customHeight="1" spans="1:13">
      <c r="A3096" s="41">
        <f>IF(C3096="","",SUBTOTAL(103,$C$2:C3096))</f>
        <v>3087</v>
      </c>
      <c r="B3096" s="41">
        <v>7188</v>
      </c>
      <c r="C3096" s="46">
        <v>2598</v>
      </c>
      <c r="D3096" s="46" t="s">
        <v>887</v>
      </c>
      <c r="E3096" s="46" t="s">
        <v>888</v>
      </c>
      <c r="F3096" s="46" t="s">
        <v>9520</v>
      </c>
      <c r="G3096" s="41" t="s">
        <v>9527</v>
      </c>
      <c r="H3096" s="41" t="s">
        <v>9528</v>
      </c>
      <c r="I3096" s="43">
        <v>12</v>
      </c>
      <c r="J3096" s="44" t="str">
        <f>VLOOKUP(G3096,[1]硬件清单!$F:$F,1,0)</f>
        <v>161103200770</v>
      </c>
      <c r="K3096" s="43"/>
      <c r="L3096" s="44"/>
      <c r="M3096" s="45" t="s">
        <v>9529</v>
      </c>
    </row>
    <row r="3097" s="26" customFormat="1" ht="30" customHeight="1" spans="1:13">
      <c r="A3097" s="41">
        <f>IF(C3097="","",SUBTOTAL(103,$C$2:C3097))</f>
        <v>3088</v>
      </c>
      <c r="B3097" s="41">
        <v>7233</v>
      </c>
      <c r="C3097" s="46">
        <v>2589</v>
      </c>
      <c r="D3097" s="46" t="s">
        <v>887</v>
      </c>
      <c r="E3097" s="46" t="s">
        <v>888</v>
      </c>
      <c r="F3097" s="46" t="s">
        <v>9520</v>
      </c>
      <c r="G3097" s="41" t="s">
        <v>9530</v>
      </c>
      <c r="H3097" s="41" t="s">
        <v>9531</v>
      </c>
      <c r="I3097" s="43">
        <v>12</v>
      </c>
      <c r="J3097" s="44" t="str">
        <f>VLOOKUP(G3097,[1]硬件清单!$F:$F,1,0)</f>
        <v>161103200817</v>
      </c>
      <c r="K3097" s="43"/>
      <c r="L3097" s="44"/>
      <c r="M3097" s="45" t="s">
        <v>9532</v>
      </c>
    </row>
    <row r="3098" s="26" customFormat="1" ht="30" customHeight="1" spans="1:13">
      <c r="A3098" s="41">
        <f>IF(C3098="","",SUBTOTAL(103,$C$2:C3098))</f>
        <v>3089</v>
      </c>
      <c r="B3098" s="41">
        <v>7323</v>
      </c>
      <c r="C3098" s="46">
        <v>2563</v>
      </c>
      <c r="D3098" s="46" t="s">
        <v>887</v>
      </c>
      <c r="E3098" s="46" t="s">
        <v>888</v>
      </c>
      <c r="F3098" s="46" t="s">
        <v>9520</v>
      </c>
      <c r="G3098" s="41" t="s">
        <v>9533</v>
      </c>
      <c r="H3098" s="41" t="s">
        <v>9534</v>
      </c>
      <c r="I3098" s="43">
        <v>12</v>
      </c>
      <c r="J3098" s="44" t="str">
        <f>VLOOKUP(G3098,[1]硬件清单!$F:$F,1,0)</f>
        <v>161103200633</v>
      </c>
      <c r="K3098" s="43"/>
      <c r="L3098" s="44"/>
      <c r="M3098" s="45" t="s">
        <v>9535</v>
      </c>
    </row>
    <row r="3099" s="26" customFormat="1" ht="30" customHeight="1" spans="1:13">
      <c r="A3099" s="41">
        <f>IF(C3099="","",SUBTOTAL(103,$C$2:C3099))</f>
        <v>3090</v>
      </c>
      <c r="B3099" s="41">
        <v>7349</v>
      </c>
      <c r="C3099" s="46">
        <v>3420</v>
      </c>
      <c r="D3099" s="46" t="s">
        <v>3602</v>
      </c>
      <c r="E3099" s="46" t="s">
        <v>3603</v>
      </c>
      <c r="F3099" s="46" t="s">
        <v>3604</v>
      </c>
      <c r="G3099" s="41" t="s">
        <v>9536</v>
      </c>
      <c r="H3099" s="41" t="s">
        <v>9537</v>
      </c>
      <c r="I3099" s="43">
        <v>12</v>
      </c>
      <c r="J3099" s="44" t="str">
        <f>VLOOKUP(G3099,[1]硬件清单!$F:$F,1,0)</f>
        <v>180103201273</v>
      </c>
      <c r="K3099" s="43"/>
      <c r="L3099" s="44"/>
      <c r="M3099" s="45" t="s">
        <v>9538</v>
      </c>
    </row>
    <row r="3100" s="26" customFormat="1" ht="30" customHeight="1" spans="1:13">
      <c r="A3100" s="41">
        <f>IF(C3100="","",SUBTOTAL(103,$C$2:C3100))</f>
        <v>3091</v>
      </c>
      <c r="B3100" s="41">
        <v>7383</v>
      </c>
      <c r="C3100" s="46">
        <v>3416</v>
      </c>
      <c r="D3100" s="46" t="s">
        <v>3602</v>
      </c>
      <c r="E3100" s="46" t="s">
        <v>3603</v>
      </c>
      <c r="F3100" s="46" t="s">
        <v>3604</v>
      </c>
      <c r="G3100" s="41" t="s">
        <v>9539</v>
      </c>
      <c r="H3100" s="41" t="s">
        <v>9540</v>
      </c>
      <c r="I3100" s="43">
        <v>12</v>
      </c>
      <c r="J3100" s="44" t="str">
        <f>VLOOKUP(G3100,[1]硬件清单!$F:$F,1,0)</f>
        <v>180103201150</v>
      </c>
      <c r="K3100" s="43"/>
      <c r="L3100" s="44"/>
      <c r="M3100" s="45" t="s">
        <v>9541</v>
      </c>
    </row>
    <row r="3101" s="26" customFormat="1" ht="30" customHeight="1" spans="1:13">
      <c r="A3101" s="41">
        <f>IF(C3101="","",SUBTOTAL(103,$C$2:C3101))</f>
        <v>3092</v>
      </c>
      <c r="B3101" s="41">
        <v>7400</v>
      </c>
      <c r="C3101" s="46">
        <v>2583</v>
      </c>
      <c r="D3101" s="46" t="s">
        <v>887</v>
      </c>
      <c r="E3101" s="46" t="s">
        <v>888</v>
      </c>
      <c r="F3101" s="46" t="s">
        <v>9520</v>
      </c>
      <c r="G3101" s="41" t="s">
        <v>9542</v>
      </c>
      <c r="H3101" s="41" t="s">
        <v>9543</v>
      </c>
      <c r="I3101" s="43">
        <v>12</v>
      </c>
      <c r="J3101" s="44" t="str">
        <f>VLOOKUP(G3101,[1]硬件清单!$F:$F,1,0)</f>
        <v>161103200510</v>
      </c>
      <c r="K3101" s="43"/>
      <c r="L3101" s="44"/>
      <c r="M3101" s="45" t="s">
        <v>9544</v>
      </c>
    </row>
    <row r="3102" s="26" customFormat="1" ht="30" customHeight="1" spans="1:13">
      <c r="A3102" s="41">
        <f>IF(C3102="","",SUBTOTAL(103,$C$2:C3102))</f>
        <v>3093</v>
      </c>
      <c r="B3102" s="41">
        <v>7435</v>
      </c>
      <c r="C3102" s="46">
        <v>2586</v>
      </c>
      <c r="D3102" s="46" t="s">
        <v>887</v>
      </c>
      <c r="E3102" s="46" t="s">
        <v>888</v>
      </c>
      <c r="F3102" s="46" t="s">
        <v>9520</v>
      </c>
      <c r="G3102" s="41" t="s">
        <v>9545</v>
      </c>
      <c r="H3102" s="41" t="s">
        <v>9546</v>
      </c>
      <c r="I3102" s="43">
        <v>12</v>
      </c>
      <c r="J3102" s="44" t="str">
        <f>VLOOKUP(G3102,[1]硬件清单!$F:$F,1,0)</f>
        <v>161103200640</v>
      </c>
      <c r="K3102" s="43"/>
      <c r="L3102" s="44"/>
      <c r="M3102" s="45" t="s">
        <v>9547</v>
      </c>
    </row>
    <row r="3103" s="26" customFormat="1" ht="30" customHeight="1" spans="1:13">
      <c r="A3103" s="41">
        <f>IF(C3103="","",SUBTOTAL(103,$C$2:C3103))</f>
        <v>3094</v>
      </c>
      <c r="B3103" s="41">
        <v>7453</v>
      </c>
      <c r="C3103" s="46">
        <v>3411</v>
      </c>
      <c r="D3103" s="46" t="s">
        <v>3602</v>
      </c>
      <c r="E3103" s="46" t="s">
        <v>3603</v>
      </c>
      <c r="F3103" s="46" t="s">
        <v>3604</v>
      </c>
      <c r="G3103" s="41" t="s">
        <v>9548</v>
      </c>
      <c r="H3103" s="41" t="s">
        <v>9549</v>
      </c>
      <c r="I3103" s="43">
        <v>12</v>
      </c>
      <c r="J3103" s="44" t="str">
        <f>VLOOKUP(G3103,[1]硬件清单!$F:$F,1,0)</f>
        <v>180103201204</v>
      </c>
      <c r="K3103" s="43"/>
      <c r="L3103" s="44"/>
      <c r="M3103" s="45" t="s">
        <v>9550</v>
      </c>
    </row>
    <row r="3104" s="26" customFormat="1" ht="30" customHeight="1" spans="1:13">
      <c r="A3104" s="41">
        <f>IF(C3104="","",SUBTOTAL(103,$C$2:C3104))</f>
        <v>3095</v>
      </c>
      <c r="B3104" s="41">
        <v>7681</v>
      </c>
      <c r="C3104" s="41">
        <v>5891</v>
      </c>
      <c r="D3104" s="41" t="s">
        <v>3602</v>
      </c>
      <c r="E3104" s="41" t="s">
        <v>3603</v>
      </c>
      <c r="F3104" s="42" t="s">
        <v>9498</v>
      </c>
      <c r="G3104" s="41" t="s">
        <v>9551</v>
      </c>
      <c r="H3104" s="41" t="s">
        <v>9552</v>
      </c>
      <c r="I3104" s="43">
        <v>12</v>
      </c>
      <c r="J3104" s="44" t="str">
        <f>VLOOKUP(G3104,[1]硬件清单!$F:$F,1,0)</f>
        <v>171003201043</v>
      </c>
      <c r="K3104" s="43"/>
      <c r="L3104" s="44"/>
      <c r="M3104" s="45" t="s">
        <v>9553</v>
      </c>
    </row>
    <row r="3105" s="26" customFormat="1" ht="30" customHeight="1" spans="1:13">
      <c r="A3105" s="41">
        <f>IF(C3105="","",SUBTOTAL(103,$C$2:C3105))</f>
        <v>3096</v>
      </c>
      <c r="B3105" s="41">
        <v>7796</v>
      </c>
      <c r="C3105" s="41">
        <v>5888</v>
      </c>
      <c r="D3105" s="41" t="s">
        <v>3602</v>
      </c>
      <c r="E3105" s="41" t="s">
        <v>3603</v>
      </c>
      <c r="F3105" s="42" t="s">
        <v>9498</v>
      </c>
      <c r="G3105" s="41" t="s">
        <v>9554</v>
      </c>
      <c r="H3105" s="41" t="s">
        <v>9555</v>
      </c>
      <c r="I3105" s="43">
        <v>12</v>
      </c>
      <c r="J3105" s="44" t="str">
        <f>VLOOKUP(G3105,[1]硬件清单!$F:$F,1,0)</f>
        <v>170902201956</v>
      </c>
      <c r="K3105" s="43"/>
      <c r="L3105" s="44"/>
      <c r="M3105" s="45" t="s">
        <v>9556</v>
      </c>
    </row>
    <row r="3106" s="26" customFormat="1" ht="30" customHeight="1" spans="1:13">
      <c r="A3106" s="41">
        <f>IF(C3106="","",SUBTOTAL(103,$C$2:C3106))</f>
        <v>3097</v>
      </c>
      <c r="B3106" s="41">
        <v>7817</v>
      </c>
      <c r="C3106" s="41">
        <v>5632</v>
      </c>
      <c r="D3106" s="41" t="s">
        <v>3602</v>
      </c>
      <c r="E3106" s="41" t="s">
        <v>3603</v>
      </c>
      <c r="F3106" s="42" t="s">
        <v>9498</v>
      </c>
      <c r="G3106" s="41" t="s">
        <v>9557</v>
      </c>
      <c r="H3106" s="41" t="s">
        <v>9558</v>
      </c>
      <c r="I3106" s="43">
        <v>12</v>
      </c>
      <c r="J3106" s="44" t="str">
        <f>VLOOKUP(G3106,[1]硬件清单!$F:$F,1,0)</f>
        <v>170902201611</v>
      </c>
      <c r="K3106" s="43"/>
      <c r="L3106" s="44"/>
      <c r="M3106" s="45" t="s">
        <v>9559</v>
      </c>
    </row>
    <row r="3107" s="26" customFormat="1" ht="30" customHeight="1" spans="1:13">
      <c r="A3107" s="41">
        <f>IF(C3107="","",SUBTOTAL(103,$C$2:C3107))</f>
        <v>3098</v>
      </c>
      <c r="B3107" s="41">
        <v>7828</v>
      </c>
      <c r="C3107" s="41">
        <v>5631</v>
      </c>
      <c r="D3107" s="41" t="s">
        <v>3602</v>
      </c>
      <c r="E3107" s="41" t="s">
        <v>3603</v>
      </c>
      <c r="F3107" s="42" t="s">
        <v>9498</v>
      </c>
      <c r="G3107" s="41" t="s">
        <v>9560</v>
      </c>
      <c r="H3107" s="41" t="s">
        <v>9561</v>
      </c>
      <c r="I3107" s="43">
        <v>12</v>
      </c>
      <c r="J3107" s="44" t="str">
        <f>VLOOKUP(G3107,[1]硬件清单!$F:$F,1,0)</f>
        <v>170902201697</v>
      </c>
      <c r="K3107" s="43"/>
      <c r="L3107" s="44"/>
      <c r="M3107" s="45" t="s">
        <v>9562</v>
      </c>
    </row>
    <row r="3108" s="26" customFormat="1" ht="30" customHeight="1" spans="1:13">
      <c r="A3108" s="41">
        <f>IF(C3108="","",SUBTOTAL(103,$C$2:C3108))</f>
        <v>3099</v>
      </c>
      <c r="B3108" s="41">
        <v>7878</v>
      </c>
      <c r="C3108" s="41">
        <v>5635</v>
      </c>
      <c r="D3108" s="41" t="s">
        <v>3602</v>
      </c>
      <c r="E3108" s="41" t="s">
        <v>3603</v>
      </c>
      <c r="F3108" s="42" t="s">
        <v>9498</v>
      </c>
      <c r="G3108" s="41" t="s">
        <v>9563</v>
      </c>
      <c r="H3108" s="41" t="s">
        <v>9564</v>
      </c>
      <c r="I3108" s="43">
        <v>12</v>
      </c>
      <c r="J3108" s="44" t="str">
        <f>VLOOKUP(G3108,[1]硬件清单!$F:$F,1,0)</f>
        <v>170902202199</v>
      </c>
      <c r="K3108" s="43"/>
      <c r="L3108" s="44"/>
      <c r="M3108" s="45" t="s">
        <v>9565</v>
      </c>
    </row>
    <row r="3109" s="26" customFormat="1" ht="30" customHeight="1" spans="1:13">
      <c r="A3109" s="41">
        <f>IF(C3109="","",SUBTOTAL(103,$C$2:C3109))</f>
        <v>3100</v>
      </c>
      <c r="B3109" s="41">
        <v>7915</v>
      </c>
      <c r="C3109" s="41">
        <v>5624</v>
      </c>
      <c r="D3109" s="41" t="s">
        <v>3602</v>
      </c>
      <c r="E3109" s="41" t="s">
        <v>3603</v>
      </c>
      <c r="F3109" s="42" t="s">
        <v>9498</v>
      </c>
      <c r="G3109" s="41" t="s">
        <v>9566</v>
      </c>
      <c r="H3109" s="41" t="s">
        <v>9567</v>
      </c>
      <c r="I3109" s="43">
        <v>12</v>
      </c>
      <c r="J3109" s="44" t="str">
        <f>VLOOKUP(G3109,[1]硬件清单!$F:$F,1,0)</f>
        <v>170902201628</v>
      </c>
      <c r="K3109" s="43"/>
      <c r="L3109" s="44"/>
      <c r="M3109" s="45" t="s">
        <v>9568</v>
      </c>
    </row>
    <row r="3110" s="26" customFormat="1" ht="30" customHeight="1" spans="1:13">
      <c r="A3110" s="41">
        <f>IF(C3110="","",SUBTOTAL(103,$C$2:C3110))</f>
        <v>3101</v>
      </c>
      <c r="B3110" s="41">
        <v>7963</v>
      </c>
      <c r="C3110" s="41">
        <v>5628</v>
      </c>
      <c r="D3110" s="41" t="s">
        <v>3602</v>
      </c>
      <c r="E3110" s="41" t="s">
        <v>3603</v>
      </c>
      <c r="F3110" s="42" t="s">
        <v>9498</v>
      </c>
      <c r="G3110" s="41" t="s">
        <v>9569</v>
      </c>
      <c r="H3110" s="41" t="s">
        <v>9570</v>
      </c>
      <c r="I3110" s="43">
        <v>12</v>
      </c>
      <c r="J3110" s="44" t="str">
        <f>VLOOKUP(G3110,[1]硬件清单!$F:$F,1,0)</f>
        <v>170902201703</v>
      </c>
      <c r="K3110" s="43"/>
      <c r="L3110" s="44"/>
      <c r="M3110" s="45" t="s">
        <v>9571</v>
      </c>
    </row>
    <row r="3111" s="26" customFormat="1" ht="30" customHeight="1" spans="1:13">
      <c r="A3111" s="41">
        <f>IF(C3111="","",SUBTOTAL(103,$C$2:C3111))</f>
        <v>3102</v>
      </c>
      <c r="B3111" s="41">
        <v>8022</v>
      </c>
      <c r="C3111" s="41">
        <v>5633</v>
      </c>
      <c r="D3111" s="41" t="s">
        <v>3602</v>
      </c>
      <c r="E3111" s="41" t="s">
        <v>3603</v>
      </c>
      <c r="F3111" s="42" t="s">
        <v>9498</v>
      </c>
      <c r="G3111" s="41" t="s">
        <v>9572</v>
      </c>
      <c r="H3111" s="41" t="s">
        <v>9573</v>
      </c>
      <c r="I3111" s="43">
        <v>12</v>
      </c>
      <c r="J3111" s="44" t="str">
        <f>VLOOKUP(G3111,[1]硬件清单!$F:$F,1,0)</f>
        <v>170902201307</v>
      </c>
      <c r="K3111" s="43"/>
      <c r="L3111" s="44"/>
      <c r="M3111" s="45" t="s">
        <v>9574</v>
      </c>
    </row>
    <row r="3112" s="26" customFormat="1" ht="30" customHeight="1" spans="1:13">
      <c r="A3112" s="41">
        <f>IF(C3112="","",SUBTOTAL(103,$C$2:C3112))</f>
        <v>3103</v>
      </c>
      <c r="B3112" s="41">
        <v>8123</v>
      </c>
      <c r="C3112" s="41">
        <v>5621</v>
      </c>
      <c r="D3112" s="41" t="s">
        <v>3602</v>
      </c>
      <c r="E3112" s="41" t="s">
        <v>3603</v>
      </c>
      <c r="F3112" s="42" t="s">
        <v>9498</v>
      </c>
      <c r="G3112" s="41" t="s">
        <v>9575</v>
      </c>
      <c r="H3112" s="41" t="s">
        <v>9576</v>
      </c>
      <c r="I3112" s="43">
        <v>12</v>
      </c>
      <c r="J3112" s="44" t="str">
        <f>VLOOKUP(G3112,[1]硬件清单!$F:$F,1,0)</f>
        <v>170902201390</v>
      </c>
      <c r="K3112" s="43"/>
      <c r="L3112" s="44"/>
      <c r="M3112" s="45" t="s">
        <v>9577</v>
      </c>
    </row>
    <row r="3113" s="26" customFormat="1" ht="30" customHeight="1" spans="1:13">
      <c r="A3113" s="41">
        <f>IF(C3113="","",SUBTOTAL(103,$C$2:C3113))</f>
        <v>3104</v>
      </c>
      <c r="B3113" s="41">
        <v>8385</v>
      </c>
      <c r="C3113" s="41">
        <v>5636</v>
      </c>
      <c r="D3113" s="41" t="s">
        <v>3602</v>
      </c>
      <c r="E3113" s="41" t="s">
        <v>3603</v>
      </c>
      <c r="F3113" s="42" t="s">
        <v>9498</v>
      </c>
      <c r="G3113" s="41" t="s">
        <v>9578</v>
      </c>
      <c r="H3113" s="41" t="s">
        <v>9579</v>
      </c>
      <c r="I3113" s="43">
        <v>12</v>
      </c>
      <c r="J3113" s="44" t="str">
        <f>VLOOKUP(G3113,[1]硬件清单!$F:$F,1,0)</f>
        <v>170902201901</v>
      </c>
      <c r="K3113" s="43"/>
      <c r="L3113" s="44"/>
      <c r="M3113" s="45" t="s">
        <v>9580</v>
      </c>
    </row>
    <row r="3114" s="26" customFormat="1" ht="30" customHeight="1" spans="1:13">
      <c r="A3114" s="41">
        <f>IF(C3114="","",SUBTOTAL(103,$C$2:C3114))</f>
        <v>3105</v>
      </c>
      <c r="B3114" s="41">
        <v>8403</v>
      </c>
      <c r="C3114" s="41">
        <v>5637</v>
      </c>
      <c r="D3114" s="41" t="s">
        <v>3602</v>
      </c>
      <c r="E3114" s="41" t="s">
        <v>3603</v>
      </c>
      <c r="F3114" s="42" t="s">
        <v>9498</v>
      </c>
      <c r="G3114" s="41" t="s">
        <v>9581</v>
      </c>
      <c r="H3114" s="41" t="s">
        <v>9582</v>
      </c>
      <c r="I3114" s="43">
        <v>12</v>
      </c>
      <c r="J3114" s="44" t="str">
        <f>VLOOKUP(G3114,[1]硬件清单!$F:$F,1,0)</f>
        <v>170902201550</v>
      </c>
      <c r="K3114" s="43"/>
      <c r="L3114" s="44"/>
      <c r="M3114" s="45" t="s">
        <v>9583</v>
      </c>
    </row>
    <row r="3115" s="26" customFormat="1" ht="30" customHeight="1" spans="1:13">
      <c r="A3115" s="41">
        <f>IF(C3115="","",SUBTOTAL(103,$C$2:C3115))</f>
        <v>3106</v>
      </c>
      <c r="B3115" s="41">
        <v>8420</v>
      </c>
      <c r="C3115" s="41">
        <v>5638</v>
      </c>
      <c r="D3115" s="41" t="s">
        <v>3602</v>
      </c>
      <c r="E3115" s="41" t="s">
        <v>3603</v>
      </c>
      <c r="F3115" s="42" t="s">
        <v>9498</v>
      </c>
      <c r="G3115" s="41" t="s">
        <v>9584</v>
      </c>
      <c r="H3115" s="41" t="s">
        <v>9585</v>
      </c>
      <c r="I3115" s="43">
        <v>12</v>
      </c>
      <c r="J3115" s="44" t="str">
        <f>VLOOKUP(G3115,[1]硬件清单!$F:$F,1,0)</f>
        <v>170902201505</v>
      </c>
      <c r="K3115" s="43"/>
      <c r="L3115" s="44"/>
      <c r="M3115" s="45" t="s">
        <v>9586</v>
      </c>
    </row>
    <row r="3116" s="26" customFormat="1" ht="30" customHeight="1" spans="1:13">
      <c r="A3116" s="41">
        <f>IF(C3116="","",SUBTOTAL(103,$C$2:C3116))</f>
        <v>3107</v>
      </c>
      <c r="B3116" s="41">
        <v>8438</v>
      </c>
      <c r="C3116" s="41">
        <v>5639</v>
      </c>
      <c r="D3116" s="41" t="s">
        <v>3602</v>
      </c>
      <c r="E3116" s="41" t="s">
        <v>3603</v>
      </c>
      <c r="F3116" s="42" t="s">
        <v>9498</v>
      </c>
      <c r="G3116" s="41" t="s">
        <v>9587</v>
      </c>
      <c r="H3116" s="41" t="s">
        <v>9588</v>
      </c>
      <c r="I3116" s="43">
        <v>12</v>
      </c>
      <c r="J3116" s="44" t="str">
        <f>VLOOKUP(G3116,[1]硬件清单!$F:$F,1,0)</f>
        <v>170902201741</v>
      </c>
      <c r="K3116" s="43"/>
      <c r="L3116" s="44"/>
      <c r="M3116" s="45" t="s">
        <v>9589</v>
      </c>
    </row>
    <row r="3117" s="26" customFormat="1" ht="30" customHeight="1" spans="1:13">
      <c r="A3117" s="41">
        <f>IF(C3117="","",SUBTOTAL(103,$C$2:C3117))</f>
        <v>3108</v>
      </c>
      <c r="B3117" s="41">
        <v>8455</v>
      </c>
      <c r="C3117" s="41">
        <v>5640</v>
      </c>
      <c r="D3117" s="41" t="s">
        <v>3602</v>
      </c>
      <c r="E3117" s="41" t="s">
        <v>3603</v>
      </c>
      <c r="F3117" s="42" t="s">
        <v>9498</v>
      </c>
      <c r="G3117" s="41" t="s">
        <v>9590</v>
      </c>
      <c r="H3117" s="41" t="s">
        <v>9591</v>
      </c>
      <c r="I3117" s="43">
        <v>12</v>
      </c>
      <c r="J3117" s="44" t="str">
        <f>VLOOKUP(G3117,[1]硬件清单!$F:$F,1,0)</f>
        <v>170902201383</v>
      </c>
      <c r="K3117" s="43"/>
      <c r="L3117" s="44"/>
      <c r="M3117" s="45" t="s">
        <v>9592</v>
      </c>
    </row>
    <row r="3118" s="26" customFormat="1" ht="30" customHeight="1" spans="1:13">
      <c r="A3118" s="41">
        <f>IF(C3118="","",SUBTOTAL(103,$C$2:C3118))</f>
        <v>3109</v>
      </c>
      <c r="B3118" s="41">
        <v>8487</v>
      </c>
      <c r="C3118" s="41">
        <v>5622</v>
      </c>
      <c r="D3118" s="41" t="s">
        <v>3602</v>
      </c>
      <c r="E3118" s="41" t="s">
        <v>3603</v>
      </c>
      <c r="F3118" s="42" t="s">
        <v>9498</v>
      </c>
      <c r="G3118" s="41" t="s">
        <v>9593</v>
      </c>
      <c r="H3118" s="41" t="s">
        <v>9594</v>
      </c>
      <c r="I3118" s="43">
        <v>12</v>
      </c>
      <c r="J3118" s="44" t="str">
        <f>VLOOKUP(G3118,[1]硬件清单!$F:$F,1,0)</f>
        <v>170902201345</v>
      </c>
      <c r="K3118" s="43"/>
      <c r="L3118" s="44"/>
      <c r="M3118" s="45" t="s">
        <v>9595</v>
      </c>
    </row>
    <row r="3119" s="26" customFormat="1" ht="30" customHeight="1" spans="1:13">
      <c r="A3119" s="41">
        <f>IF(C3119="","",SUBTOTAL(103,$C$2:C3119))</f>
        <v>3110</v>
      </c>
      <c r="B3119" s="41">
        <v>8803</v>
      </c>
      <c r="C3119" s="41">
        <v>5634</v>
      </c>
      <c r="D3119" s="41" t="s">
        <v>3602</v>
      </c>
      <c r="E3119" s="41" t="s">
        <v>3603</v>
      </c>
      <c r="F3119" s="42" t="s">
        <v>9498</v>
      </c>
      <c r="G3119" s="41" t="s">
        <v>9596</v>
      </c>
      <c r="H3119" s="41" t="s">
        <v>9597</v>
      </c>
      <c r="I3119" s="43">
        <v>12</v>
      </c>
      <c r="J3119" s="44" t="str">
        <f>VLOOKUP(G3119,[1]硬件清单!$F:$F,1,0)</f>
        <v>170902202014</v>
      </c>
      <c r="K3119" s="43"/>
      <c r="L3119" s="44"/>
      <c r="M3119" s="45" t="s">
        <v>9598</v>
      </c>
    </row>
    <row r="3120" s="26" customFormat="1" ht="30" customHeight="1" spans="1:13">
      <c r="A3120" s="41">
        <f>IF(C3120="","",SUBTOTAL(103,$C$2:C3120))</f>
        <v>3111</v>
      </c>
      <c r="B3120" s="41">
        <v>8845</v>
      </c>
      <c r="C3120" s="41">
        <v>5887</v>
      </c>
      <c r="D3120" s="41" t="s">
        <v>3602</v>
      </c>
      <c r="E3120" s="41" t="s">
        <v>3603</v>
      </c>
      <c r="F3120" s="42" t="s">
        <v>9498</v>
      </c>
      <c r="G3120" s="41" t="s">
        <v>9599</v>
      </c>
      <c r="H3120" s="41" t="s">
        <v>9600</v>
      </c>
      <c r="I3120" s="43">
        <v>12</v>
      </c>
      <c r="J3120" s="44" t="str">
        <f>VLOOKUP(G3120,[1]硬件清单!$F:$F,1,0)</f>
        <v>170902201222</v>
      </c>
      <c r="K3120" s="43"/>
      <c r="L3120" s="44"/>
      <c r="M3120" s="45" t="s">
        <v>9601</v>
      </c>
    </row>
    <row r="3121" s="26" customFormat="1" ht="30" customHeight="1" spans="1:13">
      <c r="A3121" s="41">
        <f>IF(C3121="","",SUBTOTAL(103,$C$2:C3121))</f>
        <v>3112</v>
      </c>
      <c r="B3121" s="41">
        <v>8861</v>
      </c>
      <c r="C3121" s="41">
        <v>5886</v>
      </c>
      <c r="D3121" s="41" t="s">
        <v>3602</v>
      </c>
      <c r="E3121" s="41" t="s">
        <v>3603</v>
      </c>
      <c r="F3121" s="42" t="s">
        <v>9498</v>
      </c>
      <c r="G3121" s="41" t="s">
        <v>9602</v>
      </c>
      <c r="H3121" s="41" t="s">
        <v>9603</v>
      </c>
      <c r="I3121" s="43">
        <v>12</v>
      </c>
      <c r="J3121" s="44" t="str">
        <f>VLOOKUP(G3121,[1]硬件清单!$F:$F,1,0)</f>
        <v>170902201321</v>
      </c>
      <c r="K3121" s="43"/>
      <c r="L3121" s="44"/>
      <c r="M3121" s="45" t="s">
        <v>9604</v>
      </c>
    </row>
    <row r="3122" s="26" customFormat="1" ht="30" customHeight="1" spans="1:13">
      <c r="A3122" s="41">
        <f>IF(C3122="","",SUBTOTAL(103,$C$2:C3122))</f>
        <v>3113</v>
      </c>
      <c r="B3122" s="41">
        <v>8947</v>
      </c>
      <c r="C3122" s="41">
        <v>5629</v>
      </c>
      <c r="D3122" s="41" t="s">
        <v>3602</v>
      </c>
      <c r="E3122" s="41" t="s">
        <v>3603</v>
      </c>
      <c r="F3122" s="42" t="s">
        <v>9498</v>
      </c>
      <c r="G3122" s="41" t="s">
        <v>9605</v>
      </c>
      <c r="H3122" s="41" t="s">
        <v>9606</v>
      </c>
      <c r="I3122" s="43">
        <v>12</v>
      </c>
      <c r="J3122" s="44" t="str">
        <f>VLOOKUP(G3122,[1]硬件清单!$F:$F,1,0)</f>
        <v>170902201475</v>
      </c>
      <c r="K3122" s="43"/>
      <c r="L3122" s="44"/>
      <c r="M3122" s="45" t="s">
        <v>9607</v>
      </c>
    </row>
    <row r="3123" s="26" customFormat="1" ht="30" customHeight="1" spans="1:13">
      <c r="A3123" s="41">
        <f>IF(C3123="","",SUBTOTAL(103,$C$2:C3123))</f>
        <v>3114</v>
      </c>
      <c r="B3123" s="41">
        <v>8948</v>
      </c>
      <c r="C3123" s="41">
        <v>5630</v>
      </c>
      <c r="D3123" s="41" t="s">
        <v>3602</v>
      </c>
      <c r="E3123" s="41" t="s">
        <v>3603</v>
      </c>
      <c r="F3123" s="42" t="s">
        <v>9498</v>
      </c>
      <c r="G3123" s="41" t="s">
        <v>9608</v>
      </c>
      <c r="H3123" s="41" t="s">
        <v>9609</v>
      </c>
      <c r="I3123" s="43">
        <v>12</v>
      </c>
      <c r="J3123" s="44" t="str">
        <f>VLOOKUP(G3123,[1]硬件清单!$F:$F,1,0)</f>
        <v>170902201680</v>
      </c>
      <c r="K3123" s="43"/>
      <c r="L3123" s="44"/>
      <c r="M3123" s="45" t="s">
        <v>9610</v>
      </c>
    </row>
    <row r="3124" s="26" customFormat="1" ht="30" customHeight="1" spans="1:13">
      <c r="A3124" s="41">
        <f>IF(C3124="","",SUBTOTAL(103,$C$2:C3124))</f>
        <v>3115</v>
      </c>
      <c r="B3124" s="41">
        <v>9056</v>
      </c>
      <c r="C3124" s="41">
        <v>5623</v>
      </c>
      <c r="D3124" s="41" t="s">
        <v>3602</v>
      </c>
      <c r="E3124" s="41" t="s">
        <v>3603</v>
      </c>
      <c r="F3124" s="42" t="s">
        <v>9498</v>
      </c>
      <c r="G3124" s="41" t="s">
        <v>9611</v>
      </c>
      <c r="H3124" s="41" t="s">
        <v>9612</v>
      </c>
      <c r="I3124" s="43">
        <v>12</v>
      </c>
      <c r="J3124" s="44" t="str">
        <f>VLOOKUP(G3124,[1]硬件清单!$F:$F,1,0)</f>
        <v>170902202120</v>
      </c>
      <c r="K3124" s="43"/>
      <c r="L3124" s="44"/>
      <c r="M3124" s="45" t="s">
        <v>9613</v>
      </c>
    </row>
    <row r="3125" s="26" customFormat="1" ht="30" customHeight="1" spans="1:13">
      <c r="A3125" s="41">
        <f>IF(C3125="","",SUBTOTAL(103,$C$2:C3125))</f>
        <v>3116</v>
      </c>
      <c r="B3125" s="41">
        <v>9065</v>
      </c>
      <c r="C3125" s="41">
        <v>5625</v>
      </c>
      <c r="D3125" s="41" t="s">
        <v>3602</v>
      </c>
      <c r="E3125" s="41" t="s">
        <v>3603</v>
      </c>
      <c r="F3125" s="42" t="s">
        <v>9498</v>
      </c>
      <c r="G3125" s="41" t="s">
        <v>9614</v>
      </c>
      <c r="H3125" s="41" t="s">
        <v>9615</v>
      </c>
      <c r="I3125" s="43">
        <v>12</v>
      </c>
      <c r="J3125" s="44" t="str">
        <f>VLOOKUP(G3125,[1]硬件清单!$F:$F,1,0)</f>
        <v>170902201857</v>
      </c>
      <c r="K3125" s="43"/>
      <c r="L3125" s="44"/>
      <c r="M3125" s="45" t="s">
        <v>9616</v>
      </c>
    </row>
    <row r="3126" s="26" customFormat="1" ht="30" customHeight="1" spans="1:13">
      <c r="A3126" s="41">
        <f>IF(C3126="","",SUBTOTAL(103,$C$2:C3126))</f>
        <v>3117</v>
      </c>
      <c r="B3126" s="41">
        <v>9084</v>
      </c>
      <c r="C3126" s="41">
        <v>12865</v>
      </c>
      <c r="D3126" s="41" t="s">
        <v>3602</v>
      </c>
      <c r="E3126" s="41" t="s">
        <v>3603</v>
      </c>
      <c r="F3126" s="41" t="s">
        <v>3604</v>
      </c>
      <c r="G3126" s="41" t="s">
        <v>9617</v>
      </c>
      <c r="H3126" s="41" t="s">
        <v>9618</v>
      </c>
      <c r="I3126" s="43">
        <v>12</v>
      </c>
      <c r="J3126" s="44" t="str">
        <f>VLOOKUP(G3126,[1]硬件清单!$F:$F,1,0)</f>
        <v>191103201743</v>
      </c>
      <c r="K3126" s="43"/>
      <c r="L3126" s="44"/>
      <c r="M3126" s="45" t="s">
        <v>9619</v>
      </c>
    </row>
    <row r="3127" s="26" customFormat="1" ht="30" customHeight="1" spans="1:13">
      <c r="A3127" s="41">
        <f>IF(C3127="","",SUBTOTAL(103,$C$2:C3127))</f>
        <v>3118</v>
      </c>
      <c r="B3127" s="41">
        <v>9104</v>
      </c>
      <c r="C3127" s="41">
        <v>12864</v>
      </c>
      <c r="D3127" s="41" t="s">
        <v>3602</v>
      </c>
      <c r="E3127" s="41" t="s">
        <v>3603</v>
      </c>
      <c r="F3127" s="41" t="s">
        <v>3604</v>
      </c>
      <c r="G3127" s="41" t="s">
        <v>9620</v>
      </c>
      <c r="H3127" s="41" t="s">
        <v>9621</v>
      </c>
      <c r="I3127" s="43">
        <v>12</v>
      </c>
      <c r="J3127" s="44" t="str">
        <f>VLOOKUP(G3127,[1]硬件清单!$F:$F,1,0)</f>
        <v>191103201767</v>
      </c>
      <c r="K3127" s="43"/>
      <c r="L3127" s="44"/>
      <c r="M3127" s="45" t="s">
        <v>9622</v>
      </c>
    </row>
    <row r="3128" s="26" customFormat="1" ht="30" customHeight="1" spans="1:13">
      <c r="A3128" s="41">
        <f>IF(C3128="","",SUBTOTAL(103,$C$2:C3128))</f>
        <v>3119</v>
      </c>
      <c r="B3128" s="41">
        <v>9412</v>
      </c>
      <c r="C3128" s="41">
        <v>5627</v>
      </c>
      <c r="D3128" s="41" t="s">
        <v>3602</v>
      </c>
      <c r="E3128" s="41" t="s">
        <v>3603</v>
      </c>
      <c r="F3128" s="42" t="s">
        <v>9498</v>
      </c>
      <c r="G3128" s="41" t="s">
        <v>9623</v>
      </c>
      <c r="H3128" s="41" t="s">
        <v>9624</v>
      </c>
      <c r="I3128" s="43">
        <v>12</v>
      </c>
      <c r="J3128" s="44" t="str">
        <f>VLOOKUP(G3128,[1]硬件清单!$F:$F,1,0)</f>
        <v>170902201482</v>
      </c>
      <c r="K3128" s="43"/>
      <c r="L3128" s="44"/>
      <c r="M3128" s="45" t="s">
        <v>9625</v>
      </c>
    </row>
    <row r="3129" s="26" customFormat="1" ht="30" customHeight="1" spans="1:13">
      <c r="A3129" s="41">
        <f>IF(C3129="","",SUBTOTAL(103,$C$2:C3129))</f>
        <v>3120</v>
      </c>
      <c r="B3129" s="41">
        <v>9413</v>
      </c>
      <c r="C3129" s="41">
        <v>5626</v>
      </c>
      <c r="D3129" s="41" t="s">
        <v>3602</v>
      </c>
      <c r="E3129" s="41" t="s">
        <v>3603</v>
      </c>
      <c r="F3129" s="42" t="s">
        <v>9498</v>
      </c>
      <c r="G3129" s="41" t="s">
        <v>9626</v>
      </c>
      <c r="H3129" s="41" t="s">
        <v>9627</v>
      </c>
      <c r="I3129" s="43">
        <v>12</v>
      </c>
      <c r="J3129" s="44" t="str">
        <f>VLOOKUP(G3129,[1]硬件清单!$F:$F,1,0)</f>
        <v>170902201338</v>
      </c>
      <c r="K3129" s="43"/>
      <c r="L3129" s="44"/>
      <c r="M3129" s="45" t="s">
        <v>9628</v>
      </c>
    </row>
    <row r="3130" s="26" customFormat="1" ht="30" customHeight="1" spans="1:13">
      <c r="A3130" s="41">
        <f>IF(C3130="","",SUBTOTAL(103,$C$2:C3130))</f>
        <v>3121</v>
      </c>
      <c r="B3130" s="41">
        <v>10427</v>
      </c>
      <c r="C3130" s="41">
        <v>8149</v>
      </c>
      <c r="D3130" s="41" t="s">
        <v>887</v>
      </c>
      <c r="E3130" s="41" t="s">
        <v>888</v>
      </c>
      <c r="F3130" s="41" t="s">
        <v>9629</v>
      </c>
      <c r="G3130" s="41" t="s">
        <v>9630</v>
      </c>
      <c r="H3130" s="41" t="s">
        <v>9631</v>
      </c>
      <c r="I3130" s="43">
        <v>12</v>
      </c>
      <c r="J3130" s="44" t="str">
        <f>VLOOKUP(G3130,[1]硬件清单!$F:$F,1,0)</f>
        <v>2C42144YE2</v>
      </c>
      <c r="K3130" s="43"/>
      <c r="L3130" s="44"/>
      <c r="M3130" s="45" t="s">
        <v>9632</v>
      </c>
    </row>
    <row r="3131" s="26" customFormat="1" ht="30" customHeight="1" spans="1:13">
      <c r="A3131" s="41">
        <f>IF(C3131="","",SUBTOTAL(103,$C$2:C3131))</f>
        <v>3122</v>
      </c>
      <c r="B3131" s="41">
        <v>10483</v>
      </c>
      <c r="C3131" s="41">
        <v>8140</v>
      </c>
      <c r="D3131" s="41" t="s">
        <v>887</v>
      </c>
      <c r="E3131" s="41" t="s">
        <v>888</v>
      </c>
      <c r="F3131" s="41" t="s">
        <v>9633</v>
      </c>
      <c r="G3131" s="41" t="s">
        <v>9634</v>
      </c>
      <c r="H3131" s="41" t="s">
        <v>9635</v>
      </c>
      <c r="I3131" s="43">
        <v>12</v>
      </c>
      <c r="J3131" s="44" t="str">
        <f>VLOOKUP(G3131,[1]硬件清单!$F:$F,1,0)</f>
        <v>MM11290</v>
      </c>
      <c r="K3131" s="43"/>
      <c r="L3131" s="44"/>
      <c r="M3131" s="45" t="s">
        <v>9636</v>
      </c>
    </row>
    <row r="3132" s="26" customFormat="1" ht="30" customHeight="1" spans="1:13">
      <c r="A3132" s="41">
        <f>IF(C3132="","",SUBTOTAL(103,$C$2:C3132))</f>
        <v>3123</v>
      </c>
      <c r="B3132" s="41">
        <v>10520</v>
      </c>
      <c r="C3132" s="41">
        <v>8144</v>
      </c>
      <c r="D3132" s="41" t="s">
        <v>887</v>
      </c>
      <c r="E3132" s="41" t="s">
        <v>888</v>
      </c>
      <c r="F3132" s="41" t="s">
        <v>9637</v>
      </c>
      <c r="G3132" s="41" t="s">
        <v>9638</v>
      </c>
      <c r="H3132" s="41" t="s">
        <v>9639</v>
      </c>
      <c r="I3132" s="43">
        <v>12</v>
      </c>
      <c r="J3132" s="44" t="str">
        <f>VLOOKUP(G3132,[1]硬件清单!$F:$F,1,0)</f>
        <v>Z8C4W021E080038</v>
      </c>
      <c r="K3132" s="43"/>
      <c r="L3132" s="44"/>
      <c r="M3132" s="45" t="s">
        <v>9640</v>
      </c>
    </row>
    <row r="3133" s="26" customFormat="1" ht="30" customHeight="1" spans="1:13">
      <c r="A3133" s="41">
        <f>IF(C3133="","",SUBTOTAL(103,$C$2:C3133))</f>
        <v>3124</v>
      </c>
      <c r="B3133" s="41">
        <v>10652</v>
      </c>
      <c r="C3133" s="41">
        <v>8147</v>
      </c>
      <c r="D3133" s="41" t="s">
        <v>887</v>
      </c>
      <c r="E3133" s="41" t="s">
        <v>888</v>
      </c>
      <c r="F3133" s="41" t="s">
        <v>9641</v>
      </c>
      <c r="G3133" s="41" t="s">
        <v>9642</v>
      </c>
      <c r="H3133" s="41" t="s">
        <v>9643</v>
      </c>
      <c r="I3133" s="43">
        <v>12</v>
      </c>
      <c r="J3133" s="44" t="str">
        <f>VLOOKUP(G3133,[1]硬件清单!$F:$F,1,0)</f>
        <v>6VR2TS1</v>
      </c>
      <c r="K3133" s="43"/>
      <c r="L3133" s="44"/>
      <c r="M3133" s="45" t="s">
        <v>9644</v>
      </c>
    </row>
    <row r="3134" s="26" customFormat="1" ht="30" customHeight="1" spans="1:13">
      <c r="A3134" s="41">
        <f>IF(C3134="","",SUBTOTAL(103,$C$2:C3134))</f>
        <v>3125</v>
      </c>
      <c r="B3134" s="41">
        <v>10689</v>
      </c>
      <c r="C3134" s="41">
        <v>8148</v>
      </c>
      <c r="D3134" s="41" t="s">
        <v>887</v>
      </c>
      <c r="E3134" s="41" t="s">
        <v>888</v>
      </c>
      <c r="F3134" s="41" t="s">
        <v>9641</v>
      </c>
      <c r="G3134" s="41" t="s">
        <v>9645</v>
      </c>
      <c r="H3134" s="41" t="s">
        <v>9646</v>
      </c>
      <c r="I3134" s="43">
        <v>12</v>
      </c>
      <c r="J3134" s="44" t="str">
        <f>VLOOKUP(G3134,[1]硬件清单!$F:$F,1,0)</f>
        <v>7833TS1</v>
      </c>
      <c r="K3134" s="43"/>
      <c r="L3134" s="44"/>
      <c r="M3134" s="45" t="s">
        <v>9647</v>
      </c>
    </row>
    <row r="3135" s="26" customFormat="1" ht="30" customHeight="1" spans="1:13">
      <c r="A3135" s="41">
        <f>IF(C3135="","",SUBTOTAL(103,$C$2:C3135))</f>
        <v>3126</v>
      </c>
      <c r="B3135" s="41">
        <v>10712</v>
      </c>
      <c r="C3135" s="41">
        <v>8141</v>
      </c>
      <c r="D3135" s="41" t="s">
        <v>887</v>
      </c>
      <c r="E3135" s="41" t="s">
        <v>888</v>
      </c>
      <c r="F3135" s="41" t="s">
        <v>9633</v>
      </c>
      <c r="G3135" s="41" t="s">
        <v>9648</v>
      </c>
      <c r="H3135" s="41" t="s">
        <v>9649</v>
      </c>
      <c r="I3135" s="43">
        <v>12</v>
      </c>
      <c r="J3135" s="44" t="str">
        <f>VLOOKUP(G3135,[1]硬件清单!$F:$F,1,0)</f>
        <v>MM11291</v>
      </c>
      <c r="K3135" s="43"/>
      <c r="L3135" s="44"/>
      <c r="M3135" s="45" t="s">
        <v>9650</v>
      </c>
    </row>
    <row r="3136" s="26" customFormat="1" ht="30" customHeight="1" spans="1:13">
      <c r="A3136" s="41">
        <f>IF(C3136="","",SUBTOTAL(103,$C$2:C3136))</f>
        <v>3127</v>
      </c>
      <c r="B3136" s="41">
        <v>10742</v>
      </c>
      <c r="C3136" s="41">
        <v>8142</v>
      </c>
      <c r="D3136" s="41" t="s">
        <v>887</v>
      </c>
      <c r="E3136" s="41" t="s">
        <v>888</v>
      </c>
      <c r="F3136" s="41" t="s">
        <v>9633</v>
      </c>
      <c r="G3136" s="41" t="s">
        <v>9651</v>
      </c>
      <c r="H3136" s="41" t="s">
        <v>9652</v>
      </c>
      <c r="I3136" s="43">
        <v>12</v>
      </c>
      <c r="J3136" s="44" t="str">
        <f>VLOOKUP(G3136,[1]硬件清单!$F:$F,1,0)</f>
        <v>MM11334</v>
      </c>
      <c r="K3136" s="43"/>
      <c r="L3136" s="44"/>
      <c r="M3136" s="45" t="s">
        <v>9653</v>
      </c>
    </row>
    <row r="3137" s="26" customFormat="1" ht="30" customHeight="1" spans="1:13">
      <c r="A3137" s="41">
        <f>IF(C3137="","",SUBTOTAL(103,$C$2:C3137))</f>
        <v>3128</v>
      </c>
      <c r="B3137" s="41">
        <v>10825</v>
      </c>
      <c r="C3137" s="41">
        <v>8143</v>
      </c>
      <c r="D3137" s="41" t="s">
        <v>887</v>
      </c>
      <c r="E3137" s="41" t="s">
        <v>888</v>
      </c>
      <c r="F3137" s="41" t="s">
        <v>9633</v>
      </c>
      <c r="G3137" s="41" t="s">
        <v>9654</v>
      </c>
      <c r="H3137" s="41" t="s">
        <v>9655</v>
      </c>
      <c r="I3137" s="43">
        <v>12</v>
      </c>
      <c r="J3137" s="44" t="str">
        <f>VLOOKUP(G3137,[1]硬件清单!$F:$F,1,0)</f>
        <v>MM11295</v>
      </c>
      <c r="K3137" s="43"/>
      <c r="L3137" s="44"/>
      <c r="M3137" s="45" t="s">
        <v>9656</v>
      </c>
    </row>
    <row r="3138" s="26" customFormat="1" ht="30" customHeight="1" spans="1:13">
      <c r="A3138" s="41">
        <f>IF(C3138="","",SUBTOTAL(103,$C$2:C3138))</f>
        <v>3129</v>
      </c>
      <c r="B3138" s="41">
        <v>10931</v>
      </c>
      <c r="C3138" s="46">
        <v>11783</v>
      </c>
      <c r="D3138" s="46" t="s">
        <v>45</v>
      </c>
      <c r="E3138" s="46" t="s">
        <v>246</v>
      </c>
      <c r="F3138" s="46" t="s">
        <v>9657</v>
      </c>
      <c r="G3138" s="41" t="s">
        <v>9658</v>
      </c>
      <c r="H3138" s="41" t="s">
        <v>9659</v>
      </c>
      <c r="I3138" s="43">
        <v>12</v>
      </c>
      <c r="J3138" s="44" t="str">
        <f>VLOOKUP(G3138,[1]硬件清单!$F:$F,1,0)</f>
        <v>MDAA030H294-H1020-LGXXZ-0AEG</v>
      </c>
      <c r="K3138" s="43"/>
      <c r="L3138" s="44"/>
      <c r="M3138" s="45" t="s">
        <v>9660</v>
      </c>
    </row>
    <row r="3139" s="26" customFormat="1" ht="30" customHeight="1" spans="1:13">
      <c r="A3139" s="41">
        <f>IF(C3139="","",SUBTOTAL(103,$C$2:C3139))</f>
        <v>3130</v>
      </c>
      <c r="B3139" s="41">
        <v>10932</v>
      </c>
      <c r="C3139" s="46">
        <v>11782</v>
      </c>
      <c r="D3139" s="46" t="s">
        <v>45</v>
      </c>
      <c r="E3139" s="46" t="s">
        <v>246</v>
      </c>
      <c r="F3139" s="46" t="s">
        <v>9657</v>
      </c>
      <c r="G3139" s="41" t="s">
        <v>9661</v>
      </c>
      <c r="H3139" s="41" t="s">
        <v>9662</v>
      </c>
      <c r="I3139" s="43">
        <v>12</v>
      </c>
      <c r="J3139" s="44" t="str">
        <f>VLOOKUP(G3139,[1]硬件清单!$F:$F,1,0)</f>
        <v>MDAA030H294-H1020-LGXXZ-0AEF</v>
      </c>
      <c r="K3139" s="43"/>
      <c r="L3139" s="44"/>
      <c r="M3139" s="45" t="s">
        <v>9663</v>
      </c>
    </row>
    <row r="3140" s="26" customFormat="1" ht="30" customHeight="1" spans="1:13">
      <c r="A3140" s="41">
        <f>IF(C3140="","",SUBTOTAL(103,$C$2:C3140))</f>
        <v>3131</v>
      </c>
      <c r="B3140" s="41">
        <v>10933</v>
      </c>
      <c r="C3140" s="46">
        <v>11807</v>
      </c>
      <c r="D3140" s="46" t="s">
        <v>45</v>
      </c>
      <c r="E3140" s="46" t="s">
        <v>246</v>
      </c>
      <c r="F3140" s="46" t="s">
        <v>9664</v>
      </c>
      <c r="G3140" s="41" t="s">
        <v>9665</v>
      </c>
      <c r="H3140" s="41" t="s">
        <v>9666</v>
      </c>
      <c r="I3140" s="43">
        <v>12</v>
      </c>
      <c r="J3140" s="44" t="str">
        <f>VLOOKUP(G3140,[1]硬件清单!$F:$F,1,0)</f>
        <v>MDG 030H294-H1020-LGXXZ-0AEI</v>
      </c>
      <c r="K3140" s="43"/>
      <c r="L3140" s="44"/>
      <c r="M3140" s="45" t="s">
        <v>9667</v>
      </c>
    </row>
    <row r="3141" s="26" customFormat="1" ht="30" customHeight="1" spans="1:13">
      <c r="A3141" s="41">
        <f>IF(C3141="","",SUBTOTAL(103,$C$2:C3141))</f>
        <v>3132</v>
      </c>
      <c r="B3141" s="41">
        <v>10934</v>
      </c>
      <c r="C3141" s="46">
        <v>11806</v>
      </c>
      <c r="D3141" s="46" t="s">
        <v>45</v>
      </c>
      <c r="E3141" s="46" t="s">
        <v>246</v>
      </c>
      <c r="F3141" s="46" t="s">
        <v>9664</v>
      </c>
      <c r="G3141" s="41" t="s">
        <v>9668</v>
      </c>
      <c r="H3141" s="41" t="s">
        <v>9669</v>
      </c>
      <c r="I3141" s="43">
        <v>12</v>
      </c>
      <c r="J3141" s="44" t="str">
        <f>VLOOKUP(G3141,[1]硬件清单!$F:$F,1,0)</f>
        <v>MDG 030H294-H1020-LGXXZ-0AEH</v>
      </c>
      <c r="K3141" s="43"/>
      <c r="L3141" s="44"/>
      <c r="M3141" s="45" t="s">
        <v>9670</v>
      </c>
    </row>
    <row r="3142" s="26" customFormat="1" ht="30" customHeight="1" spans="1:13">
      <c r="A3142" s="41">
        <f>IF(C3142="","",SUBTOTAL(103,$C$2:C3142))</f>
        <v>3133</v>
      </c>
      <c r="B3142" s="41">
        <v>11763</v>
      </c>
      <c r="C3142" s="41">
        <v>931</v>
      </c>
      <c r="D3142" s="41" t="s">
        <v>3602</v>
      </c>
      <c r="E3142" s="41" t="s">
        <v>3603</v>
      </c>
      <c r="F3142" s="41" t="s">
        <v>3604</v>
      </c>
      <c r="G3142" s="41" t="s">
        <v>9671</v>
      </c>
      <c r="H3142" s="41" t="s">
        <v>9672</v>
      </c>
      <c r="I3142" s="43">
        <v>12</v>
      </c>
      <c r="J3142" s="44" t="str">
        <f>VLOOKUP(G3142,[1]硬件清单!$F:$F,1,0)</f>
        <v>191103201736</v>
      </c>
      <c r="K3142" s="43"/>
      <c r="L3142" s="44"/>
      <c r="M3142" s="45" t="s">
        <v>9673</v>
      </c>
    </row>
    <row r="3143" s="26" customFormat="1" ht="30" customHeight="1" spans="1:13">
      <c r="A3143" s="41">
        <f>IF(C3143="","",SUBTOTAL(103,$C$2:C3143))</f>
        <v>3134</v>
      </c>
      <c r="B3143" s="41">
        <v>11764</v>
      </c>
      <c r="C3143" s="41">
        <v>932</v>
      </c>
      <c r="D3143" s="41" t="s">
        <v>3602</v>
      </c>
      <c r="E3143" s="41" t="s">
        <v>3603</v>
      </c>
      <c r="F3143" s="41" t="s">
        <v>3604</v>
      </c>
      <c r="G3143" s="41" t="s">
        <v>9674</v>
      </c>
      <c r="H3143" s="41" t="s">
        <v>9675</v>
      </c>
      <c r="I3143" s="43">
        <v>12</v>
      </c>
      <c r="J3143" s="44" t="str">
        <f>VLOOKUP(G3143,[1]硬件清单!$F:$F,1,0)</f>
        <v>191103201729</v>
      </c>
      <c r="K3143" s="43"/>
      <c r="L3143" s="44"/>
      <c r="M3143" s="45" t="s">
        <v>9676</v>
      </c>
    </row>
    <row r="3144" s="26" customFormat="1" ht="30" customHeight="1" spans="1:13">
      <c r="A3144" s="41">
        <f>IF(C3144="","",SUBTOTAL(103,$C$2:C3144))</f>
        <v>3135</v>
      </c>
      <c r="B3144" s="41">
        <v>11765</v>
      </c>
      <c r="C3144" s="41">
        <v>933</v>
      </c>
      <c r="D3144" s="41" t="s">
        <v>3602</v>
      </c>
      <c r="E3144" s="41" t="s">
        <v>3603</v>
      </c>
      <c r="F3144" s="41" t="s">
        <v>3604</v>
      </c>
      <c r="G3144" s="41" t="s">
        <v>9677</v>
      </c>
      <c r="H3144" s="41" t="s">
        <v>9678</v>
      </c>
      <c r="I3144" s="43">
        <v>12</v>
      </c>
      <c r="J3144" s="44" t="str">
        <f>VLOOKUP(G3144,[1]硬件清单!$F:$F,1,0)</f>
        <v>191103201774</v>
      </c>
      <c r="K3144" s="43"/>
      <c r="L3144" s="44"/>
      <c r="M3144" s="45" t="s">
        <v>9679</v>
      </c>
    </row>
    <row r="3145" s="26" customFormat="1" ht="30" customHeight="1" spans="1:13">
      <c r="A3145" s="41">
        <f>IF(C3145="","",SUBTOTAL(103,$C$2:C3145))</f>
        <v>3136</v>
      </c>
      <c r="B3145" s="41">
        <v>5449</v>
      </c>
      <c r="C3145" s="41">
        <v>7261</v>
      </c>
      <c r="D3145" s="41" t="s">
        <v>161</v>
      </c>
      <c r="E3145" s="41" t="s">
        <v>162</v>
      </c>
      <c r="F3145" s="41" t="s">
        <v>9680</v>
      </c>
      <c r="G3145" s="41" t="s">
        <v>9681</v>
      </c>
      <c r="H3145" s="41" t="s">
        <v>9682</v>
      </c>
      <c r="I3145" s="43">
        <v>12</v>
      </c>
      <c r="J3145" s="44" t="str">
        <f>VLOOKUP(G3145,[1]硬件清单!$F:$F,1,0)</f>
        <v>HK198701409</v>
      </c>
      <c r="K3145" s="44" t="s">
        <v>250</v>
      </c>
      <c r="L3145" s="44" t="s">
        <v>17</v>
      </c>
      <c r="M3145" s="45" t="s">
        <v>9683</v>
      </c>
    </row>
    <row r="3146" s="26" customFormat="1" ht="30" customHeight="1" spans="1:13">
      <c r="A3146" s="41">
        <f>IF(C3146="","",SUBTOTAL(103,$C$2:C3146))</f>
        <v>3137</v>
      </c>
      <c r="B3146" s="41">
        <v>5450</v>
      </c>
      <c r="C3146" s="41">
        <v>7260</v>
      </c>
      <c r="D3146" s="41" t="s">
        <v>161</v>
      </c>
      <c r="E3146" s="41" t="s">
        <v>162</v>
      </c>
      <c r="F3146" s="41" t="s">
        <v>9680</v>
      </c>
      <c r="G3146" s="41" t="s">
        <v>9684</v>
      </c>
      <c r="H3146" s="41" t="s">
        <v>9685</v>
      </c>
      <c r="I3146" s="43">
        <v>12</v>
      </c>
      <c r="J3146" s="44" t="str">
        <f>VLOOKUP(G3146,[1]硬件清单!$F:$F,1,0)</f>
        <v>HK198701416</v>
      </c>
      <c r="K3146" s="44" t="s">
        <v>250</v>
      </c>
      <c r="L3146" s="44" t="s">
        <v>17</v>
      </c>
      <c r="M3146" s="45" t="s">
        <v>9686</v>
      </c>
    </row>
    <row r="3147" s="26" customFormat="1" ht="30" customHeight="1" spans="1:13">
      <c r="A3147" s="41">
        <f>IF(C3147="","",SUBTOTAL(103,$C$2:C3147))</f>
        <v>3138</v>
      </c>
      <c r="B3147" s="41">
        <v>5518</v>
      </c>
      <c r="C3147" s="41">
        <v>15471</v>
      </c>
      <c r="D3147" s="41" t="s">
        <v>45</v>
      </c>
      <c r="E3147" s="41" t="s">
        <v>246</v>
      </c>
      <c r="F3147" s="41" t="s">
        <v>947</v>
      </c>
      <c r="G3147" s="41" t="s">
        <v>9687</v>
      </c>
      <c r="H3147" s="41" t="s">
        <v>9688</v>
      </c>
      <c r="I3147" s="43">
        <v>12</v>
      </c>
      <c r="J3147" s="44" t="str">
        <f>VLOOKUP(G3147,[1]硬件清单!$F:$F,1,0)</f>
        <v>SGH51190PW</v>
      </c>
      <c r="K3147" s="44" t="s">
        <v>250</v>
      </c>
      <c r="L3147" s="44" t="s">
        <v>17</v>
      </c>
      <c r="M3147" s="45" t="s">
        <v>9689</v>
      </c>
    </row>
    <row r="3148" s="26" customFormat="1" ht="30" customHeight="1" spans="1:13">
      <c r="A3148" s="41">
        <f>IF(C3148="","",SUBTOTAL(103,$C$2:C3148))</f>
        <v>3139</v>
      </c>
      <c r="B3148" s="41">
        <v>5519</v>
      </c>
      <c r="C3148" s="41">
        <v>15472</v>
      </c>
      <c r="D3148" s="41" t="s">
        <v>45</v>
      </c>
      <c r="E3148" s="41" t="s">
        <v>246</v>
      </c>
      <c r="F3148" s="41" t="s">
        <v>947</v>
      </c>
      <c r="G3148" s="41" t="s">
        <v>9690</v>
      </c>
      <c r="H3148" s="41" t="s">
        <v>9691</v>
      </c>
      <c r="I3148" s="43">
        <v>12</v>
      </c>
      <c r="J3148" s="44" t="str">
        <f>VLOOKUP(G3148,[1]硬件清单!$F:$F,1,0)</f>
        <v>SGH51190S1</v>
      </c>
      <c r="K3148" s="44" t="s">
        <v>250</v>
      </c>
      <c r="L3148" s="44" t="s">
        <v>17</v>
      </c>
      <c r="M3148" s="45" t="s">
        <v>9692</v>
      </c>
    </row>
    <row r="3149" s="26" customFormat="1" ht="30" customHeight="1" spans="1:13">
      <c r="A3149" s="41">
        <f>IF(C3149="","",SUBTOTAL(103,$C$2:C3149))</f>
        <v>3140</v>
      </c>
      <c r="B3149" s="41">
        <v>5520</v>
      </c>
      <c r="C3149" s="41">
        <v>8611</v>
      </c>
      <c r="D3149" s="41" t="s">
        <v>161</v>
      </c>
      <c r="E3149" s="41" t="s">
        <v>162</v>
      </c>
      <c r="F3149" s="41" t="s">
        <v>9693</v>
      </c>
      <c r="G3149" s="41" t="s">
        <v>9694</v>
      </c>
      <c r="H3149" s="41" t="s">
        <v>9695</v>
      </c>
      <c r="I3149" s="43">
        <v>12</v>
      </c>
      <c r="J3149" s="44" t="str">
        <f>VLOOKUP(G3149,[1]硬件清单!$F:$F,1,0)</f>
        <v>1001020049316100087</v>
      </c>
      <c r="K3149" s="44" t="s">
        <v>250</v>
      </c>
      <c r="L3149" s="44" t="s">
        <v>17</v>
      </c>
      <c r="M3149" s="45" t="s">
        <v>9696</v>
      </c>
    </row>
    <row r="3150" s="26" customFormat="1" ht="30" customHeight="1" spans="1:13">
      <c r="A3150" s="41">
        <f>IF(C3150="","",SUBTOTAL(103,$C$2:C3150))</f>
        <v>3141</v>
      </c>
      <c r="B3150" s="41">
        <v>5521</v>
      </c>
      <c r="C3150" s="41">
        <v>8612</v>
      </c>
      <c r="D3150" s="41" t="s">
        <v>161</v>
      </c>
      <c r="E3150" s="41" t="s">
        <v>162</v>
      </c>
      <c r="F3150" s="41" t="s">
        <v>9693</v>
      </c>
      <c r="G3150" s="41" t="s">
        <v>9697</v>
      </c>
      <c r="H3150" s="41" t="s">
        <v>9698</v>
      </c>
      <c r="I3150" s="43">
        <v>12</v>
      </c>
      <c r="J3150" s="44" t="str">
        <f>VLOOKUP(G3150,[1]硬件清单!$F:$F,1,0)</f>
        <v>1001020049316100097</v>
      </c>
      <c r="K3150" s="44" t="s">
        <v>250</v>
      </c>
      <c r="L3150" s="44" t="s">
        <v>17</v>
      </c>
      <c r="M3150" s="45" t="s">
        <v>9699</v>
      </c>
    </row>
    <row r="3151" s="26" customFormat="1" ht="30" customHeight="1" spans="1:13">
      <c r="A3151" s="41">
        <f>IF(C3151="","",SUBTOTAL(103,$C$2:C3151))</f>
        <v>3142</v>
      </c>
      <c r="B3151" s="41">
        <v>5530</v>
      </c>
      <c r="C3151" s="41">
        <v>7251</v>
      </c>
      <c r="D3151" s="41" t="s">
        <v>161</v>
      </c>
      <c r="E3151" s="41" t="s">
        <v>162</v>
      </c>
      <c r="F3151" s="41" t="s">
        <v>9700</v>
      </c>
      <c r="G3151" s="41" t="s">
        <v>9701</v>
      </c>
      <c r="H3151" s="41" t="s">
        <v>9702</v>
      </c>
      <c r="I3151" s="43">
        <v>12</v>
      </c>
      <c r="J3151" s="44" t="str">
        <f>VLOOKUP(G3151,[1]硬件清单!$F:$F,1,0)</f>
        <v>CN492600292</v>
      </c>
      <c r="K3151" s="44" t="s">
        <v>250</v>
      </c>
      <c r="L3151" s="44" t="s">
        <v>17</v>
      </c>
      <c r="M3151" s="45" t="s">
        <v>9703</v>
      </c>
    </row>
    <row r="3152" s="26" customFormat="1" ht="30" customHeight="1" spans="1:13">
      <c r="A3152" s="41">
        <f>IF(C3152="","",SUBTOTAL(103,$C$2:C3152))</f>
        <v>3143</v>
      </c>
      <c r="B3152" s="41">
        <v>5531</v>
      </c>
      <c r="C3152" s="41">
        <v>7250</v>
      </c>
      <c r="D3152" s="41" t="s">
        <v>161</v>
      </c>
      <c r="E3152" s="41" t="s">
        <v>162</v>
      </c>
      <c r="F3152" s="41" t="s">
        <v>9700</v>
      </c>
      <c r="G3152" s="41" t="s">
        <v>9704</v>
      </c>
      <c r="H3152" s="41" t="s">
        <v>9705</v>
      </c>
      <c r="I3152" s="43">
        <v>12</v>
      </c>
      <c r="J3152" s="44" t="str">
        <f>VLOOKUP(G3152,[1]硬件清单!$F:$F,1,0)</f>
        <v>CN492600291</v>
      </c>
      <c r="K3152" s="44" t="s">
        <v>250</v>
      </c>
      <c r="L3152" s="44" t="s">
        <v>17</v>
      </c>
      <c r="M3152" s="45" t="s">
        <v>9706</v>
      </c>
    </row>
    <row r="3153" s="26" customFormat="1" ht="30" customHeight="1" spans="1:13">
      <c r="A3153" s="41">
        <f>IF(C3153="","",SUBTOTAL(103,$C$2:C3153))</f>
        <v>3144</v>
      </c>
      <c r="B3153" s="41">
        <v>5548</v>
      </c>
      <c r="C3153" s="46">
        <v>8304</v>
      </c>
      <c r="D3153" s="46" t="s">
        <v>65</v>
      </c>
      <c r="E3153" s="46" t="s">
        <v>66</v>
      </c>
      <c r="F3153" s="46" t="s">
        <v>9707</v>
      </c>
      <c r="G3153" s="41" t="s">
        <v>9708</v>
      </c>
      <c r="H3153" s="41" t="s">
        <v>9709</v>
      </c>
      <c r="I3153" s="43">
        <v>12</v>
      </c>
      <c r="J3153" s="44" t="str">
        <f>VLOOKUP(G3153,[1]硬件清单!$F:$F,1,0)</f>
        <v>210235947910F7000003</v>
      </c>
      <c r="K3153" s="44"/>
      <c r="L3153" s="44" t="s">
        <v>17</v>
      </c>
      <c r="M3153" s="45" t="s">
        <v>9710</v>
      </c>
    </row>
    <row r="3154" s="26" customFormat="1" ht="30" customHeight="1" spans="1:13">
      <c r="A3154" s="41">
        <f>IF(C3154="","",SUBTOTAL(103,$C$2:C3154))</f>
        <v>3145</v>
      </c>
      <c r="B3154" s="41">
        <v>5549</v>
      </c>
      <c r="C3154" s="41">
        <v>7649</v>
      </c>
      <c r="D3154" s="41" t="s">
        <v>65</v>
      </c>
      <c r="E3154" s="41" t="s">
        <v>66</v>
      </c>
      <c r="F3154" s="42" t="s">
        <v>9711</v>
      </c>
      <c r="G3154" s="41" t="s">
        <v>9712</v>
      </c>
      <c r="H3154" s="41" t="s">
        <v>9713</v>
      </c>
      <c r="I3154" s="43">
        <v>12</v>
      </c>
      <c r="J3154" s="44" t="str">
        <f>VLOOKUP(G3154,[1]硬件清单!$F:$F,1,0)</f>
        <v>210235G7G610E8000001</v>
      </c>
      <c r="K3154" s="44"/>
      <c r="L3154" s="44"/>
      <c r="M3154" s="45" t="s">
        <v>9714</v>
      </c>
    </row>
    <row r="3155" s="26" customFormat="1" ht="30" customHeight="1" spans="1:13">
      <c r="A3155" s="41">
        <f>IF(C3155="","",SUBTOTAL(103,$C$2:C3155))</f>
        <v>3146</v>
      </c>
      <c r="B3155" s="41">
        <v>5550</v>
      </c>
      <c r="C3155" s="46">
        <v>8305</v>
      </c>
      <c r="D3155" s="46" t="s">
        <v>65</v>
      </c>
      <c r="E3155" s="46" t="s">
        <v>66</v>
      </c>
      <c r="F3155" s="46" t="s">
        <v>9707</v>
      </c>
      <c r="G3155" s="41" t="s">
        <v>9715</v>
      </c>
      <c r="H3155" s="41" t="s">
        <v>9716</v>
      </c>
      <c r="I3155" s="43">
        <v>12</v>
      </c>
      <c r="J3155" s="44" t="str">
        <f>VLOOKUP(G3155,[1]硬件清单!$F:$F,1,0)</f>
        <v>210235947910F7000004</v>
      </c>
      <c r="K3155" s="44"/>
      <c r="L3155" s="44" t="s">
        <v>17</v>
      </c>
      <c r="M3155" s="45" t="s">
        <v>9717</v>
      </c>
    </row>
    <row r="3156" s="26" customFormat="1" ht="30" customHeight="1" spans="1:13">
      <c r="A3156" s="41">
        <f>IF(C3156="","",SUBTOTAL(103,$C$2:C3156))</f>
        <v>3147</v>
      </c>
      <c r="B3156" s="41">
        <v>5551</v>
      </c>
      <c r="C3156" s="41">
        <v>7650</v>
      </c>
      <c r="D3156" s="41" t="s">
        <v>65</v>
      </c>
      <c r="E3156" s="41" t="s">
        <v>66</v>
      </c>
      <c r="F3156" s="41" t="s">
        <v>9718</v>
      </c>
      <c r="G3156" s="41" t="s">
        <v>9719</v>
      </c>
      <c r="H3156" s="41" t="s">
        <v>9720</v>
      </c>
      <c r="I3156" s="43">
        <v>12</v>
      </c>
      <c r="J3156" s="44" t="str">
        <f>VLOOKUP(G3156,[1]硬件清单!$F:$F,1,0)</f>
        <v>210235G7G610E8000002</v>
      </c>
      <c r="K3156" s="44"/>
      <c r="L3156" s="44"/>
      <c r="M3156" s="45" t="s">
        <v>9721</v>
      </c>
    </row>
    <row r="3157" s="26" customFormat="1" ht="30" customHeight="1" spans="1:13">
      <c r="A3157" s="41">
        <f>IF(C3157="","",SUBTOTAL(103,$C$2:C3157))</f>
        <v>3148</v>
      </c>
      <c r="B3157" s="41">
        <v>5560</v>
      </c>
      <c r="C3157" s="46">
        <v>3278</v>
      </c>
      <c r="D3157" s="46" t="s">
        <v>45</v>
      </c>
      <c r="E3157" s="46" t="s">
        <v>246</v>
      </c>
      <c r="F3157" s="46" t="s">
        <v>9722</v>
      </c>
      <c r="G3157" s="41" t="s">
        <v>9723</v>
      </c>
      <c r="H3157" s="41" t="s">
        <v>9724</v>
      </c>
      <c r="I3157" s="43">
        <v>12</v>
      </c>
      <c r="J3157" s="44" t="str">
        <f>VLOOKUP(G3157,[1]硬件清单!$F:$F,1,0)</f>
        <v>P785E110</v>
      </c>
      <c r="K3157" s="44" t="s">
        <v>250</v>
      </c>
      <c r="L3157" s="44" t="s">
        <v>17</v>
      </c>
      <c r="M3157" s="45" t="s">
        <v>9725</v>
      </c>
    </row>
    <row r="3158" s="26" customFormat="1" ht="30" customHeight="1" spans="1:13">
      <c r="A3158" s="41">
        <f>IF(C3158="","",SUBTOTAL(103,$C$2:C3158))</f>
        <v>3149</v>
      </c>
      <c r="B3158" s="41">
        <v>5561</v>
      </c>
      <c r="C3158" s="46">
        <v>3279</v>
      </c>
      <c r="D3158" s="46" t="s">
        <v>45</v>
      </c>
      <c r="E3158" s="46" t="s">
        <v>246</v>
      </c>
      <c r="F3158" s="46" t="s">
        <v>9722</v>
      </c>
      <c r="G3158" s="41" t="s">
        <v>9726</v>
      </c>
      <c r="H3158" s="41" t="s">
        <v>9727</v>
      </c>
      <c r="I3158" s="43">
        <v>12</v>
      </c>
      <c r="J3158" s="44" t="str">
        <f>VLOOKUP(G3158,[1]硬件清单!$F:$F,1,0)</f>
        <v>P785DFA0</v>
      </c>
      <c r="K3158" s="44" t="s">
        <v>250</v>
      </c>
      <c r="L3158" s="44" t="s">
        <v>17</v>
      </c>
      <c r="M3158" s="45" t="s">
        <v>9728</v>
      </c>
    </row>
    <row r="3159" s="26" customFormat="1" ht="30" customHeight="1" spans="1:13">
      <c r="A3159" s="41">
        <f>IF(C3159="","",SUBTOTAL(103,$C$2:C3159))</f>
        <v>3150</v>
      </c>
      <c r="B3159" s="41">
        <v>5570</v>
      </c>
      <c r="C3159" s="46">
        <v>2193</v>
      </c>
      <c r="D3159" s="46" t="s">
        <v>65</v>
      </c>
      <c r="E3159" s="46" t="s">
        <v>66</v>
      </c>
      <c r="F3159" s="46" t="s">
        <v>2053</v>
      </c>
      <c r="G3159" s="41" t="s">
        <v>9729</v>
      </c>
      <c r="H3159" s="41" t="s">
        <v>9730</v>
      </c>
      <c r="I3159" s="43">
        <v>12</v>
      </c>
      <c r="J3159" s="44" t="str">
        <f>VLOOKUP(G3159,[1]硬件清单!$F:$F,1,0)</f>
        <v>102010065079</v>
      </c>
      <c r="K3159" s="44"/>
      <c r="L3159" s="44" t="s">
        <v>17</v>
      </c>
      <c r="M3159" s="45" t="s">
        <v>9731</v>
      </c>
    </row>
    <row r="3160" s="26" customFormat="1" ht="30" customHeight="1" spans="1:13">
      <c r="A3160" s="41">
        <f>IF(C3160="","",SUBTOTAL(103,$C$2:C3160))</f>
        <v>3151</v>
      </c>
      <c r="B3160" s="41">
        <v>6441</v>
      </c>
      <c r="C3160" s="41">
        <v>13014</v>
      </c>
      <c r="D3160" s="41" t="s">
        <v>887</v>
      </c>
      <c r="E3160" s="41" t="s">
        <v>1429</v>
      </c>
      <c r="F3160" s="41" t="s">
        <v>2209</v>
      </c>
      <c r="G3160" s="41" t="s">
        <v>9732</v>
      </c>
      <c r="H3160" s="41" t="s">
        <v>9733</v>
      </c>
      <c r="I3160" s="43">
        <v>12</v>
      </c>
      <c r="J3160" s="44" t="str">
        <f>VLOOKUP(G3160,[1]硬件清单!$F:$F,1,0)</f>
        <v>210235A3SVH19A000024</v>
      </c>
      <c r="K3160" s="43"/>
      <c r="L3160" s="44"/>
      <c r="M3160" s="45" t="s">
        <v>9734</v>
      </c>
    </row>
    <row r="3161" s="26" customFormat="1" ht="30" customHeight="1" spans="1:13">
      <c r="A3161" s="41">
        <f>IF(C3161="","",SUBTOTAL(103,$C$2:C3161))</f>
        <v>3152</v>
      </c>
      <c r="B3161" s="41">
        <v>6448</v>
      </c>
      <c r="C3161" s="41">
        <v>13021</v>
      </c>
      <c r="D3161" s="41" t="s">
        <v>887</v>
      </c>
      <c r="E3161" s="41" t="s">
        <v>1429</v>
      </c>
      <c r="F3161" s="41" t="s">
        <v>2209</v>
      </c>
      <c r="G3161" s="41" t="s">
        <v>9735</v>
      </c>
      <c r="H3161" s="41" t="s">
        <v>9736</v>
      </c>
      <c r="I3161" s="43">
        <v>12</v>
      </c>
      <c r="J3161" s="44" t="str">
        <f>VLOOKUP(G3161,[1]硬件清单!$F:$F,1,0)</f>
        <v>210235A3SVH19A000022</v>
      </c>
      <c r="K3161" s="43"/>
      <c r="L3161" s="44"/>
      <c r="M3161" s="45" t="s">
        <v>9737</v>
      </c>
    </row>
    <row r="3162" s="26" customFormat="1" ht="30" customHeight="1" spans="1:13">
      <c r="A3162" s="41">
        <f>IF(C3162="","",SUBTOTAL(103,$C$2:C3162))</f>
        <v>3153</v>
      </c>
      <c r="B3162" s="41">
        <v>9215</v>
      </c>
      <c r="C3162" s="41">
        <v>11596</v>
      </c>
      <c r="D3162" s="41" t="s">
        <v>45</v>
      </c>
      <c r="E3162" s="41" t="s">
        <v>1298</v>
      </c>
      <c r="F3162" s="41" t="s">
        <v>2255</v>
      </c>
      <c r="G3162" s="41" t="s">
        <v>9738</v>
      </c>
      <c r="H3162" s="41" t="s">
        <v>9739</v>
      </c>
      <c r="I3162" s="43">
        <v>12</v>
      </c>
      <c r="J3162" s="44" t="str">
        <f>VLOOKUP(G3162,[1]硬件清单!$F:$F,1,0)</f>
        <v>210235A3SUH19A000090</v>
      </c>
      <c r="K3162" s="43"/>
      <c r="L3162" s="44"/>
      <c r="M3162" s="45" t="s">
        <v>9740</v>
      </c>
    </row>
    <row r="3163" s="26" customFormat="1" ht="30" customHeight="1" spans="1:13">
      <c r="A3163" s="41">
        <f>IF(C3163="","",SUBTOTAL(103,$C$2:C3163))</f>
        <v>3154</v>
      </c>
      <c r="B3163" s="41">
        <v>9216</v>
      </c>
      <c r="C3163" s="41">
        <v>11922</v>
      </c>
      <c r="D3163" s="41" t="s">
        <v>45</v>
      </c>
      <c r="E3163" s="41" t="s">
        <v>1298</v>
      </c>
      <c r="F3163" s="41" t="s">
        <v>2255</v>
      </c>
      <c r="G3163" s="41" t="s">
        <v>9741</v>
      </c>
      <c r="H3163" s="41" t="s">
        <v>9742</v>
      </c>
      <c r="I3163" s="43">
        <v>12</v>
      </c>
      <c r="J3163" s="44" t="str">
        <f>VLOOKUP(G3163,[1]硬件清单!$F:$F,1,0)</f>
        <v>210235A3SUH19A000204</v>
      </c>
      <c r="K3163" s="43"/>
      <c r="L3163" s="44"/>
      <c r="M3163" s="45" t="s">
        <v>9743</v>
      </c>
    </row>
    <row r="3164" s="26" customFormat="1" ht="30" customHeight="1" spans="1:13">
      <c r="A3164" s="41">
        <f>IF(C3164="","",SUBTOTAL(103,$C$2:C3164))</f>
        <v>3155</v>
      </c>
      <c r="B3164" s="41">
        <v>9217</v>
      </c>
      <c r="C3164" s="41">
        <v>11973</v>
      </c>
      <c r="D3164" s="41" t="s">
        <v>45</v>
      </c>
      <c r="E3164" s="41" t="s">
        <v>1298</v>
      </c>
      <c r="F3164" s="41" t="s">
        <v>2255</v>
      </c>
      <c r="G3164" s="41" t="s">
        <v>9744</v>
      </c>
      <c r="H3164" s="41" t="s">
        <v>9745</v>
      </c>
      <c r="I3164" s="43">
        <v>12</v>
      </c>
      <c r="J3164" s="44" t="str">
        <f>VLOOKUP(G3164,[1]硬件清单!$F:$F,1,0)</f>
        <v>210235A3SUH19A000153</v>
      </c>
      <c r="K3164" s="43"/>
      <c r="L3164" s="44"/>
      <c r="M3164" s="45" t="s">
        <v>9746</v>
      </c>
    </row>
    <row r="3165" s="26" customFormat="1" ht="30" customHeight="1" spans="1:13">
      <c r="A3165" s="41">
        <f>IF(C3165="","",SUBTOTAL(103,$C$2:C3165))</f>
        <v>3156</v>
      </c>
      <c r="B3165" s="41">
        <v>9218</v>
      </c>
      <c r="C3165" s="41">
        <v>11974</v>
      </c>
      <c r="D3165" s="41" t="s">
        <v>45</v>
      </c>
      <c r="E3165" s="41" t="s">
        <v>1298</v>
      </c>
      <c r="F3165" s="41" t="s">
        <v>2255</v>
      </c>
      <c r="G3165" s="41" t="s">
        <v>9747</v>
      </c>
      <c r="H3165" s="41" t="s">
        <v>9748</v>
      </c>
      <c r="I3165" s="43">
        <v>12</v>
      </c>
      <c r="J3165" s="44" t="str">
        <f>VLOOKUP(G3165,[1]硬件清单!$F:$F,1,0)</f>
        <v>210235A3SUH19A000364</v>
      </c>
      <c r="K3165" s="43"/>
      <c r="L3165" s="44"/>
      <c r="M3165" s="45" t="s">
        <v>9749</v>
      </c>
    </row>
    <row r="3166" s="26" customFormat="1" ht="30" customHeight="1" spans="1:13">
      <c r="A3166" s="41">
        <f>IF(C3166="","",SUBTOTAL(103,$C$2:C3166))</f>
        <v>3157</v>
      </c>
      <c r="B3166" s="41">
        <v>9219</v>
      </c>
      <c r="C3166" s="41">
        <v>11975</v>
      </c>
      <c r="D3166" s="41" t="s">
        <v>45</v>
      </c>
      <c r="E3166" s="41" t="s">
        <v>1298</v>
      </c>
      <c r="F3166" s="41" t="s">
        <v>2255</v>
      </c>
      <c r="G3166" s="41" t="s">
        <v>9750</v>
      </c>
      <c r="H3166" s="41" t="s">
        <v>9751</v>
      </c>
      <c r="I3166" s="43">
        <v>12</v>
      </c>
      <c r="J3166" s="44" t="str">
        <f>VLOOKUP(G3166,[1]硬件清单!$F:$F,1,0)</f>
        <v>210235A3SUH19A000116</v>
      </c>
      <c r="K3166" s="43"/>
      <c r="L3166" s="44"/>
      <c r="M3166" s="45" t="s">
        <v>9752</v>
      </c>
    </row>
    <row r="3167" s="26" customFormat="1" ht="30" customHeight="1" spans="1:13">
      <c r="A3167" s="41">
        <f>IF(C3167="","",SUBTOTAL(103,$C$2:C3167))</f>
        <v>3158</v>
      </c>
      <c r="B3167" s="41">
        <v>9220</v>
      </c>
      <c r="C3167" s="41">
        <v>11976</v>
      </c>
      <c r="D3167" s="41" t="s">
        <v>45</v>
      </c>
      <c r="E3167" s="41" t="s">
        <v>1298</v>
      </c>
      <c r="F3167" s="41" t="s">
        <v>2255</v>
      </c>
      <c r="G3167" s="41" t="s">
        <v>9753</v>
      </c>
      <c r="H3167" s="41" t="s">
        <v>9754</v>
      </c>
      <c r="I3167" s="43">
        <v>12</v>
      </c>
      <c r="J3167" s="44" t="str">
        <f>VLOOKUP(G3167,[1]硬件清单!$F:$F,1,0)</f>
        <v>210235A3SUH19A000119</v>
      </c>
      <c r="K3167" s="43"/>
      <c r="L3167" s="44"/>
      <c r="M3167" s="45" t="s">
        <v>9755</v>
      </c>
    </row>
    <row r="3168" s="26" customFormat="1" ht="30" customHeight="1" spans="1:13">
      <c r="A3168" s="41">
        <f>IF(C3168="","",SUBTOTAL(103,$C$2:C3168))</f>
        <v>3159</v>
      </c>
      <c r="B3168" s="41">
        <v>9221</v>
      </c>
      <c r="C3168" s="41">
        <v>11977</v>
      </c>
      <c r="D3168" s="41" t="s">
        <v>45</v>
      </c>
      <c r="E3168" s="41" t="s">
        <v>1298</v>
      </c>
      <c r="F3168" s="41" t="s">
        <v>2255</v>
      </c>
      <c r="G3168" s="41" t="s">
        <v>9756</v>
      </c>
      <c r="H3168" s="41" t="s">
        <v>9757</v>
      </c>
      <c r="I3168" s="43">
        <v>12</v>
      </c>
      <c r="J3168" s="44" t="str">
        <f>VLOOKUP(G3168,[1]硬件清单!$F:$F,1,0)</f>
        <v>210235A3SUH19A000295</v>
      </c>
      <c r="K3168" s="43"/>
      <c r="L3168" s="44"/>
      <c r="M3168" s="45" t="s">
        <v>9758</v>
      </c>
    </row>
    <row r="3169" s="26" customFormat="1" ht="30" customHeight="1" spans="1:13">
      <c r="A3169" s="41">
        <f>IF(C3169="","",SUBTOTAL(103,$C$2:C3169))</f>
        <v>3160</v>
      </c>
      <c r="B3169" s="41">
        <v>9222</v>
      </c>
      <c r="C3169" s="41">
        <v>11978</v>
      </c>
      <c r="D3169" s="41" t="s">
        <v>45</v>
      </c>
      <c r="E3169" s="41" t="s">
        <v>1298</v>
      </c>
      <c r="F3169" s="41" t="s">
        <v>2255</v>
      </c>
      <c r="G3169" s="41" t="s">
        <v>9759</v>
      </c>
      <c r="H3169" s="41" t="s">
        <v>9760</v>
      </c>
      <c r="I3169" s="43">
        <v>12</v>
      </c>
      <c r="J3169" s="44" t="str">
        <f>VLOOKUP(G3169,[1]硬件清单!$F:$F,1,0)</f>
        <v>210235A3SUH19A000139</v>
      </c>
      <c r="K3169" s="43"/>
      <c r="L3169" s="44"/>
      <c r="M3169" s="45" t="s">
        <v>9761</v>
      </c>
    </row>
    <row r="3170" s="26" customFormat="1" ht="30" customHeight="1" spans="1:13">
      <c r="A3170" s="41">
        <f>IF(C3170="","",SUBTOTAL(103,$C$2:C3170))</f>
        <v>3161</v>
      </c>
      <c r="B3170" s="41">
        <v>9223</v>
      </c>
      <c r="C3170" s="41">
        <v>11597</v>
      </c>
      <c r="D3170" s="41" t="s">
        <v>45</v>
      </c>
      <c r="E3170" s="41" t="s">
        <v>1298</v>
      </c>
      <c r="F3170" s="41" t="s">
        <v>2255</v>
      </c>
      <c r="G3170" s="41" t="s">
        <v>9762</v>
      </c>
      <c r="H3170" s="41" t="s">
        <v>9763</v>
      </c>
      <c r="I3170" s="43">
        <v>12</v>
      </c>
      <c r="J3170" s="44" t="str">
        <f>VLOOKUP(G3170,[1]硬件清单!$F:$F,1,0)</f>
        <v>210235A3SUH19A000112</v>
      </c>
      <c r="K3170" s="43"/>
      <c r="L3170" s="44"/>
      <c r="M3170" s="45" t="s">
        <v>9764</v>
      </c>
    </row>
    <row r="3171" s="26" customFormat="1" ht="30" customHeight="1" spans="1:13">
      <c r="A3171" s="41">
        <f>IF(C3171="","",SUBTOTAL(103,$C$2:C3171))</f>
        <v>3162</v>
      </c>
      <c r="B3171" s="41">
        <v>9224</v>
      </c>
      <c r="C3171" s="41">
        <v>11598</v>
      </c>
      <c r="D3171" s="41" t="s">
        <v>45</v>
      </c>
      <c r="E3171" s="41" t="s">
        <v>1298</v>
      </c>
      <c r="F3171" s="41" t="s">
        <v>2255</v>
      </c>
      <c r="G3171" s="41" t="s">
        <v>9765</v>
      </c>
      <c r="H3171" s="41" t="s">
        <v>9766</v>
      </c>
      <c r="I3171" s="43">
        <v>12</v>
      </c>
      <c r="J3171" s="44" t="str">
        <f>VLOOKUP(G3171,[1]硬件清单!$F:$F,1,0)</f>
        <v>210235A3SUH19A000150</v>
      </c>
      <c r="K3171" s="43"/>
      <c r="L3171" s="44"/>
      <c r="M3171" s="45" t="s">
        <v>9767</v>
      </c>
    </row>
    <row r="3172" s="26" customFormat="1" ht="30" customHeight="1" spans="1:13">
      <c r="A3172" s="41">
        <f>IF(C3172="","",SUBTOTAL(103,$C$2:C3172))</f>
        <v>3163</v>
      </c>
      <c r="B3172" s="41">
        <v>9225</v>
      </c>
      <c r="C3172" s="41">
        <v>11599</v>
      </c>
      <c r="D3172" s="41" t="s">
        <v>45</v>
      </c>
      <c r="E3172" s="41" t="s">
        <v>1298</v>
      </c>
      <c r="F3172" s="41" t="s">
        <v>2255</v>
      </c>
      <c r="G3172" s="41" t="s">
        <v>9768</v>
      </c>
      <c r="H3172" s="41" t="s">
        <v>9769</v>
      </c>
      <c r="I3172" s="43">
        <v>12</v>
      </c>
      <c r="J3172" s="44" t="str">
        <f>VLOOKUP(G3172,[1]硬件清单!$F:$F,1,0)</f>
        <v>210235A3SUH19A000286</v>
      </c>
      <c r="K3172" s="43"/>
      <c r="L3172" s="44"/>
      <c r="M3172" s="45" t="s">
        <v>9770</v>
      </c>
    </row>
    <row r="3173" s="26" customFormat="1" ht="30" customHeight="1" spans="1:13">
      <c r="A3173" s="41">
        <f>IF(C3173="","",SUBTOTAL(103,$C$2:C3173))</f>
        <v>3164</v>
      </c>
      <c r="B3173" s="41">
        <v>9226</v>
      </c>
      <c r="C3173" s="41">
        <v>11600</v>
      </c>
      <c r="D3173" s="41" t="s">
        <v>45</v>
      </c>
      <c r="E3173" s="41" t="s">
        <v>1298</v>
      </c>
      <c r="F3173" s="41" t="s">
        <v>2255</v>
      </c>
      <c r="G3173" s="41" t="s">
        <v>9771</v>
      </c>
      <c r="H3173" s="41" t="s">
        <v>9772</v>
      </c>
      <c r="I3173" s="43">
        <v>12</v>
      </c>
      <c r="J3173" s="44" t="str">
        <f>VLOOKUP(G3173,[1]硬件清单!$F:$F,1,0)</f>
        <v>210235A3SUH19A000378</v>
      </c>
      <c r="K3173" s="43"/>
      <c r="L3173" s="44"/>
      <c r="M3173" s="45" t="s">
        <v>9773</v>
      </c>
    </row>
    <row r="3174" s="26" customFormat="1" ht="30" customHeight="1" spans="1:13">
      <c r="A3174" s="41">
        <f>IF(C3174="","",SUBTOTAL(103,$C$2:C3174))</f>
        <v>3165</v>
      </c>
      <c r="B3174" s="41">
        <v>9227</v>
      </c>
      <c r="C3174" s="41">
        <v>11601</v>
      </c>
      <c r="D3174" s="41" t="s">
        <v>45</v>
      </c>
      <c r="E3174" s="41" t="s">
        <v>1298</v>
      </c>
      <c r="F3174" s="41" t="s">
        <v>2255</v>
      </c>
      <c r="G3174" s="41" t="s">
        <v>9774</v>
      </c>
      <c r="H3174" s="41" t="s">
        <v>9775</v>
      </c>
      <c r="I3174" s="43">
        <v>12</v>
      </c>
      <c r="J3174" s="44" t="str">
        <f>VLOOKUP(G3174,[1]硬件清单!$F:$F,1,0)</f>
        <v>210235A3SUH19A000379</v>
      </c>
      <c r="K3174" s="43"/>
      <c r="L3174" s="44"/>
      <c r="M3174" s="45" t="s">
        <v>9776</v>
      </c>
    </row>
    <row r="3175" s="26" customFormat="1" ht="30" customHeight="1" spans="1:13">
      <c r="A3175" s="41">
        <f>IF(C3175="","",SUBTOTAL(103,$C$2:C3175))</f>
        <v>3166</v>
      </c>
      <c r="B3175" s="41">
        <v>9228</v>
      </c>
      <c r="C3175" s="41">
        <v>11919</v>
      </c>
      <c r="D3175" s="41" t="s">
        <v>45</v>
      </c>
      <c r="E3175" s="41" t="s">
        <v>1298</v>
      </c>
      <c r="F3175" s="41" t="s">
        <v>2255</v>
      </c>
      <c r="G3175" s="41" t="s">
        <v>9777</v>
      </c>
      <c r="H3175" s="41" t="s">
        <v>9778</v>
      </c>
      <c r="I3175" s="43">
        <v>12</v>
      </c>
      <c r="J3175" s="44" t="str">
        <f>VLOOKUP(G3175,[1]硬件清单!$F:$F,1,0)</f>
        <v>210235A3SUH19A000385</v>
      </c>
      <c r="K3175" s="43"/>
      <c r="L3175" s="44"/>
      <c r="M3175" s="45" t="s">
        <v>9779</v>
      </c>
    </row>
    <row r="3176" s="26" customFormat="1" ht="30" customHeight="1" spans="1:13">
      <c r="A3176" s="41">
        <f>IF(C3176="","",SUBTOTAL(103,$C$2:C3176))</f>
        <v>3167</v>
      </c>
      <c r="B3176" s="41">
        <v>9229</v>
      </c>
      <c r="C3176" s="41">
        <v>11920</v>
      </c>
      <c r="D3176" s="41" t="s">
        <v>45</v>
      </c>
      <c r="E3176" s="41" t="s">
        <v>1298</v>
      </c>
      <c r="F3176" s="41" t="s">
        <v>2255</v>
      </c>
      <c r="G3176" s="41" t="s">
        <v>9780</v>
      </c>
      <c r="H3176" s="41" t="s">
        <v>9781</v>
      </c>
      <c r="I3176" s="43">
        <v>12</v>
      </c>
      <c r="J3176" s="44" t="str">
        <f>VLOOKUP(G3176,[1]硬件清单!$F:$F,1,0)</f>
        <v>210235A3SUH19A000115</v>
      </c>
      <c r="K3176" s="43"/>
      <c r="L3176" s="44"/>
      <c r="M3176" s="45" t="s">
        <v>9782</v>
      </c>
    </row>
    <row r="3177" s="26" customFormat="1" ht="30" customHeight="1" spans="1:13">
      <c r="A3177" s="41">
        <f>IF(C3177="","",SUBTOTAL(103,$C$2:C3177))</f>
        <v>3168</v>
      </c>
      <c r="B3177" s="41">
        <v>9230</v>
      </c>
      <c r="C3177" s="41">
        <v>11921</v>
      </c>
      <c r="D3177" s="41" t="s">
        <v>45</v>
      </c>
      <c r="E3177" s="41" t="s">
        <v>1298</v>
      </c>
      <c r="F3177" s="41" t="s">
        <v>2255</v>
      </c>
      <c r="G3177" s="41" t="s">
        <v>9783</v>
      </c>
      <c r="H3177" s="41" t="s">
        <v>9784</v>
      </c>
      <c r="I3177" s="43">
        <v>12</v>
      </c>
      <c r="J3177" s="44" t="str">
        <f>VLOOKUP(G3177,[1]硬件清单!$F:$F,1,0)</f>
        <v>210235A3SUH19A000142</v>
      </c>
      <c r="K3177" s="43"/>
      <c r="L3177" s="44"/>
      <c r="M3177" s="45" t="s">
        <v>9785</v>
      </c>
    </row>
    <row r="3178" s="26" customFormat="1" ht="30" customHeight="1" spans="1:13">
      <c r="A3178" s="41">
        <f>IF(C3178="","",SUBTOTAL(103,$C$2:C3178))</f>
        <v>3169</v>
      </c>
      <c r="B3178" s="41">
        <v>9333</v>
      </c>
      <c r="C3178" s="41">
        <v>12001</v>
      </c>
      <c r="D3178" s="41" t="s">
        <v>45</v>
      </c>
      <c r="E3178" s="41" t="s">
        <v>1298</v>
      </c>
      <c r="F3178" s="41" t="s">
        <v>2255</v>
      </c>
      <c r="G3178" s="41" t="s">
        <v>9786</v>
      </c>
      <c r="H3178" s="41" t="s">
        <v>9787</v>
      </c>
      <c r="I3178" s="43">
        <v>12</v>
      </c>
      <c r="J3178" s="44" t="str">
        <f>VLOOKUP(G3178,[1]硬件清单!$F:$F,1,0)</f>
        <v>210235A3SUH19B000132</v>
      </c>
      <c r="K3178" s="43"/>
      <c r="L3178" s="44"/>
      <c r="M3178" s="45" t="s">
        <v>9788</v>
      </c>
    </row>
    <row r="3179" s="26" customFormat="1" ht="30" customHeight="1" spans="1:13">
      <c r="A3179" s="41">
        <f>IF(C3179="","",SUBTOTAL(103,$C$2:C3179))</f>
        <v>3170</v>
      </c>
      <c r="B3179" s="41">
        <v>9334</v>
      </c>
      <c r="C3179" s="41">
        <v>12416</v>
      </c>
      <c r="D3179" s="41" t="s">
        <v>45</v>
      </c>
      <c r="E3179" s="41" t="s">
        <v>1298</v>
      </c>
      <c r="F3179" s="41" t="s">
        <v>2255</v>
      </c>
      <c r="G3179" s="41" t="s">
        <v>9789</v>
      </c>
      <c r="H3179" s="41" t="s">
        <v>9790</v>
      </c>
      <c r="I3179" s="43">
        <v>12</v>
      </c>
      <c r="J3179" s="44" t="str">
        <f>VLOOKUP(G3179,[1]硬件清单!$F:$F,1,0)</f>
        <v>210235A3SUH19A000368</v>
      </c>
      <c r="K3179" s="43"/>
      <c r="L3179" s="44"/>
      <c r="M3179" s="45" t="s">
        <v>9791</v>
      </c>
    </row>
    <row r="3180" s="26" customFormat="1" ht="30" customHeight="1" spans="1:13">
      <c r="A3180" s="41">
        <f>IF(C3180="","",SUBTOTAL(103,$C$2:C3180))</f>
        <v>3171</v>
      </c>
      <c r="B3180" s="41">
        <v>9335</v>
      </c>
      <c r="C3180" s="41">
        <v>12417</v>
      </c>
      <c r="D3180" s="41" t="s">
        <v>45</v>
      </c>
      <c r="E3180" s="41" t="s">
        <v>1298</v>
      </c>
      <c r="F3180" s="41" t="s">
        <v>2255</v>
      </c>
      <c r="G3180" s="41" t="s">
        <v>9792</v>
      </c>
      <c r="H3180" s="41" t="s">
        <v>9793</v>
      </c>
      <c r="I3180" s="43">
        <v>12</v>
      </c>
      <c r="J3180" s="44" t="str">
        <f>VLOOKUP(G3180,[1]硬件清单!$F:$F,1,0)</f>
        <v>210235A3SUH19A000207</v>
      </c>
      <c r="K3180" s="43"/>
      <c r="L3180" s="44"/>
      <c r="M3180" s="45" t="s">
        <v>9794</v>
      </c>
    </row>
    <row r="3181" s="26" customFormat="1" ht="30" customHeight="1" spans="1:13">
      <c r="A3181" s="41">
        <f>IF(C3181="","",SUBTOTAL(103,$C$2:C3181))</f>
        <v>3172</v>
      </c>
      <c r="B3181" s="41">
        <v>9336</v>
      </c>
      <c r="C3181" s="41">
        <v>12418</v>
      </c>
      <c r="D3181" s="41" t="s">
        <v>45</v>
      </c>
      <c r="E3181" s="41" t="s">
        <v>1298</v>
      </c>
      <c r="F3181" s="41" t="s">
        <v>2255</v>
      </c>
      <c r="G3181" s="41" t="s">
        <v>9795</v>
      </c>
      <c r="H3181" s="41" t="s">
        <v>9796</v>
      </c>
      <c r="I3181" s="43">
        <v>12</v>
      </c>
      <c r="J3181" s="44" t="str">
        <f>VLOOKUP(G3181,[1]硬件清单!$F:$F,1,0)</f>
        <v>210235A3SUH19A000118</v>
      </c>
      <c r="K3181" s="43"/>
      <c r="L3181" s="44"/>
      <c r="M3181" s="45" t="s">
        <v>9797</v>
      </c>
    </row>
    <row r="3182" s="26" customFormat="1" ht="30" customHeight="1" spans="1:13">
      <c r="A3182" s="41">
        <f>IF(C3182="","",SUBTOTAL(103,$C$2:C3182))</f>
        <v>3173</v>
      </c>
      <c r="B3182" s="41">
        <v>9337</v>
      </c>
      <c r="C3182" s="41">
        <v>12002</v>
      </c>
      <c r="D3182" s="41" t="s">
        <v>45</v>
      </c>
      <c r="E3182" s="41" t="s">
        <v>1298</v>
      </c>
      <c r="F3182" s="41" t="s">
        <v>2255</v>
      </c>
      <c r="G3182" s="41" t="s">
        <v>9798</v>
      </c>
      <c r="H3182" s="41" t="s">
        <v>9799</v>
      </c>
      <c r="I3182" s="43">
        <v>12</v>
      </c>
      <c r="J3182" s="44" t="str">
        <f>VLOOKUP(G3182,[1]硬件清单!$F:$F,1,0)</f>
        <v>210235A3SUH19B000144</v>
      </c>
      <c r="K3182" s="43"/>
      <c r="L3182" s="44"/>
      <c r="M3182" s="45" t="s">
        <v>9800</v>
      </c>
    </row>
    <row r="3183" s="26" customFormat="1" ht="30" customHeight="1" spans="1:13">
      <c r="A3183" s="41">
        <f>IF(C3183="","",SUBTOTAL(103,$C$2:C3183))</f>
        <v>3174</v>
      </c>
      <c r="B3183" s="41">
        <v>9338</v>
      </c>
      <c r="C3183" s="41">
        <v>12409</v>
      </c>
      <c r="D3183" s="41" t="s">
        <v>45</v>
      </c>
      <c r="E3183" s="41" t="s">
        <v>1298</v>
      </c>
      <c r="F3183" s="41" t="s">
        <v>2255</v>
      </c>
      <c r="G3183" s="41" t="s">
        <v>9801</v>
      </c>
      <c r="H3183" s="41" t="s">
        <v>9802</v>
      </c>
      <c r="I3183" s="43">
        <v>12</v>
      </c>
      <c r="J3183" s="44" t="str">
        <f>VLOOKUP(G3183,[1]硬件清单!$F:$F,1,0)</f>
        <v>210235A3SUH19A000294</v>
      </c>
      <c r="K3183" s="43"/>
      <c r="L3183" s="44"/>
      <c r="M3183" s="45" t="s">
        <v>9803</v>
      </c>
    </row>
    <row r="3184" s="26" customFormat="1" ht="30" customHeight="1" spans="1:13">
      <c r="A3184" s="41">
        <f>IF(C3184="","",SUBTOTAL(103,$C$2:C3184))</f>
        <v>3175</v>
      </c>
      <c r="B3184" s="41">
        <v>9339</v>
      </c>
      <c r="C3184" s="41">
        <v>12410</v>
      </c>
      <c r="D3184" s="41" t="s">
        <v>45</v>
      </c>
      <c r="E3184" s="41" t="s">
        <v>1298</v>
      </c>
      <c r="F3184" s="41" t="s">
        <v>2255</v>
      </c>
      <c r="G3184" s="41" t="s">
        <v>9804</v>
      </c>
      <c r="H3184" s="41" t="s">
        <v>9805</v>
      </c>
      <c r="I3184" s="43">
        <v>12</v>
      </c>
      <c r="J3184" s="44" t="str">
        <f>VLOOKUP(G3184,[1]硬件清单!$F:$F,1,0)</f>
        <v>210235A3SUH19A000370</v>
      </c>
      <c r="K3184" s="43"/>
      <c r="L3184" s="44"/>
      <c r="M3184" s="45" t="s">
        <v>9806</v>
      </c>
    </row>
    <row r="3185" s="26" customFormat="1" ht="30" customHeight="1" spans="1:13">
      <c r="A3185" s="41">
        <f>IF(C3185="","",SUBTOTAL(103,$C$2:C3185))</f>
        <v>3176</v>
      </c>
      <c r="B3185" s="41">
        <v>9340</v>
      </c>
      <c r="C3185" s="41">
        <v>12411</v>
      </c>
      <c r="D3185" s="41" t="s">
        <v>45</v>
      </c>
      <c r="E3185" s="41" t="s">
        <v>1298</v>
      </c>
      <c r="F3185" s="41" t="s">
        <v>2255</v>
      </c>
      <c r="G3185" s="41" t="s">
        <v>9807</v>
      </c>
      <c r="H3185" s="41" t="s">
        <v>9808</v>
      </c>
      <c r="I3185" s="43">
        <v>12</v>
      </c>
      <c r="J3185" s="44" t="str">
        <f>VLOOKUP(G3185,[1]硬件清单!$F:$F,1,0)</f>
        <v>210235A3SUH19A000296</v>
      </c>
      <c r="K3185" s="43"/>
      <c r="L3185" s="44"/>
      <c r="M3185" s="45" t="s">
        <v>9809</v>
      </c>
    </row>
    <row r="3186" s="26" customFormat="1" ht="30" customHeight="1" spans="1:13">
      <c r="A3186" s="41">
        <f>IF(C3186="","",SUBTOTAL(103,$C$2:C3186))</f>
        <v>3177</v>
      </c>
      <c r="B3186" s="41">
        <v>9341</v>
      </c>
      <c r="C3186" s="41">
        <v>12412</v>
      </c>
      <c r="D3186" s="41" t="s">
        <v>45</v>
      </c>
      <c r="E3186" s="41" t="s">
        <v>1298</v>
      </c>
      <c r="F3186" s="41" t="s">
        <v>2255</v>
      </c>
      <c r="G3186" s="41" t="s">
        <v>9810</v>
      </c>
      <c r="H3186" s="41" t="s">
        <v>9811</v>
      </c>
      <c r="I3186" s="43">
        <v>12</v>
      </c>
      <c r="J3186" s="44" t="str">
        <f>VLOOKUP(G3186,[1]硬件清单!$F:$F,1,0)</f>
        <v>210235A3SUH197000110</v>
      </c>
      <c r="K3186" s="43"/>
      <c r="L3186" s="44"/>
      <c r="M3186" s="45" t="s">
        <v>9812</v>
      </c>
    </row>
    <row r="3187" s="26" customFormat="1" ht="30" customHeight="1" spans="1:13">
      <c r="A3187" s="41">
        <f>IF(C3187="","",SUBTOTAL(103,$C$2:C3187))</f>
        <v>3178</v>
      </c>
      <c r="B3187" s="41">
        <v>9342</v>
      </c>
      <c r="C3187" s="41">
        <v>12413</v>
      </c>
      <c r="D3187" s="41" t="s">
        <v>45</v>
      </c>
      <c r="E3187" s="41" t="s">
        <v>1298</v>
      </c>
      <c r="F3187" s="41" t="s">
        <v>2255</v>
      </c>
      <c r="G3187" s="41" t="s">
        <v>9813</v>
      </c>
      <c r="H3187" s="41" t="s">
        <v>9814</v>
      </c>
      <c r="I3187" s="43">
        <v>12</v>
      </c>
      <c r="J3187" s="44" t="str">
        <f>VLOOKUP(G3187,[1]硬件清单!$F:$F,1,0)</f>
        <v>210235A3SUH19A000320</v>
      </c>
      <c r="K3187" s="43"/>
      <c r="L3187" s="44"/>
      <c r="M3187" s="45" t="s">
        <v>9815</v>
      </c>
    </row>
    <row r="3188" s="26" customFormat="1" ht="30" customHeight="1" spans="1:13">
      <c r="A3188" s="41">
        <f>IF(C3188="","",SUBTOTAL(103,$C$2:C3188))</f>
        <v>3179</v>
      </c>
      <c r="B3188" s="41">
        <v>9343</v>
      </c>
      <c r="C3188" s="41">
        <v>12414</v>
      </c>
      <c r="D3188" s="41" t="s">
        <v>45</v>
      </c>
      <c r="E3188" s="41" t="s">
        <v>1298</v>
      </c>
      <c r="F3188" s="41" t="s">
        <v>2255</v>
      </c>
      <c r="G3188" s="41" t="s">
        <v>9816</v>
      </c>
      <c r="H3188" s="41" t="s">
        <v>9817</v>
      </c>
      <c r="I3188" s="43">
        <v>12</v>
      </c>
      <c r="J3188" s="44" t="str">
        <f>VLOOKUP(G3188,[1]硬件清单!$F:$F,1,0)</f>
        <v>210235A3SUH19A000292</v>
      </c>
      <c r="K3188" s="43"/>
      <c r="L3188" s="44"/>
      <c r="M3188" s="45" t="s">
        <v>9818</v>
      </c>
    </row>
    <row r="3189" s="26" customFormat="1" ht="30" customHeight="1" spans="1:13">
      <c r="A3189" s="41">
        <f>IF(C3189="","",SUBTOTAL(103,$C$2:C3189))</f>
        <v>3180</v>
      </c>
      <c r="B3189" s="41">
        <v>9344</v>
      </c>
      <c r="C3189" s="41">
        <v>12415</v>
      </c>
      <c r="D3189" s="41" t="s">
        <v>45</v>
      </c>
      <c r="E3189" s="41" t="s">
        <v>1298</v>
      </c>
      <c r="F3189" s="41" t="s">
        <v>2255</v>
      </c>
      <c r="G3189" s="41" t="s">
        <v>9819</v>
      </c>
      <c r="H3189" s="41" t="s">
        <v>9820</v>
      </c>
      <c r="I3189" s="43">
        <v>12</v>
      </c>
      <c r="J3189" s="44" t="str">
        <f>VLOOKUP(G3189,[1]硬件清单!$F:$F,1,0)</f>
        <v>210235A3SUH19A000079</v>
      </c>
      <c r="K3189" s="43"/>
      <c r="L3189" s="44"/>
      <c r="M3189" s="45" t="s">
        <v>9821</v>
      </c>
    </row>
    <row r="3190" s="26" customFormat="1" ht="30" customHeight="1" spans="1:13">
      <c r="A3190" s="41">
        <f>IF(C3190="","",SUBTOTAL(103,$C$2:C3190))</f>
        <v>3181</v>
      </c>
      <c r="B3190" s="41">
        <v>9345</v>
      </c>
      <c r="C3190" s="41">
        <v>12445</v>
      </c>
      <c r="D3190" s="41" t="s">
        <v>45</v>
      </c>
      <c r="E3190" s="41" t="s">
        <v>1298</v>
      </c>
      <c r="F3190" s="41" t="s">
        <v>2255</v>
      </c>
      <c r="G3190" s="41" t="s">
        <v>9822</v>
      </c>
      <c r="H3190" s="41" t="s">
        <v>9823</v>
      </c>
      <c r="I3190" s="43">
        <v>12</v>
      </c>
      <c r="J3190" s="44" t="str">
        <f>VLOOKUP(G3190,[1]硬件清单!$F:$F,1,0)</f>
        <v>210235A3SUH19B000149</v>
      </c>
      <c r="K3190" s="43"/>
      <c r="L3190" s="44"/>
      <c r="M3190" s="45" t="s">
        <v>9824</v>
      </c>
    </row>
    <row r="3191" s="26" customFormat="1" ht="30" customHeight="1" spans="1:13">
      <c r="A3191" s="41">
        <f>IF(C3191="","",SUBTOTAL(103,$C$2:C3191))</f>
        <v>3182</v>
      </c>
      <c r="B3191" s="41">
        <v>9346</v>
      </c>
      <c r="C3191" s="41">
        <v>12446</v>
      </c>
      <c r="D3191" s="41" t="s">
        <v>45</v>
      </c>
      <c r="E3191" s="41" t="s">
        <v>1298</v>
      </c>
      <c r="F3191" s="41" t="s">
        <v>2255</v>
      </c>
      <c r="G3191" s="41" t="s">
        <v>9825</v>
      </c>
      <c r="H3191" s="41" t="s">
        <v>9826</v>
      </c>
      <c r="I3191" s="43">
        <v>12</v>
      </c>
      <c r="J3191" s="44" t="str">
        <f>VLOOKUP(G3191,[1]硬件清单!$F:$F,1,0)</f>
        <v>210235A3SUH19B000053</v>
      </c>
      <c r="K3191" s="43"/>
      <c r="L3191" s="44"/>
      <c r="M3191" s="45" t="s">
        <v>9827</v>
      </c>
    </row>
    <row r="3192" s="26" customFormat="1" ht="30" customHeight="1" spans="1:13">
      <c r="A3192" s="41">
        <f>IF(C3192="","",SUBTOTAL(103,$C$2:C3192))</f>
        <v>3183</v>
      </c>
      <c r="B3192" s="41">
        <v>9347</v>
      </c>
      <c r="C3192" s="41">
        <v>12447</v>
      </c>
      <c r="D3192" s="41" t="s">
        <v>45</v>
      </c>
      <c r="E3192" s="41" t="s">
        <v>1298</v>
      </c>
      <c r="F3192" s="41" t="s">
        <v>2255</v>
      </c>
      <c r="G3192" s="41" t="s">
        <v>9828</v>
      </c>
      <c r="H3192" s="41" t="s">
        <v>9829</v>
      </c>
      <c r="I3192" s="43">
        <v>12</v>
      </c>
      <c r="J3192" s="44" t="str">
        <f>VLOOKUP(G3192,[1]硬件清单!$F:$F,1,0)</f>
        <v>210235A3SUH19B000164</v>
      </c>
      <c r="K3192" s="43"/>
      <c r="L3192" s="44"/>
      <c r="M3192" s="45" t="s">
        <v>9830</v>
      </c>
    </row>
    <row r="3193" s="26" customFormat="1" ht="30" customHeight="1" spans="1:13">
      <c r="A3193" s="41">
        <f>IF(C3193="","",SUBTOTAL(103,$C$2:C3193))</f>
        <v>3184</v>
      </c>
      <c r="B3193" s="41">
        <v>9348</v>
      </c>
      <c r="C3193" s="41">
        <v>12448</v>
      </c>
      <c r="D3193" s="41" t="s">
        <v>45</v>
      </c>
      <c r="E3193" s="41" t="s">
        <v>1298</v>
      </c>
      <c r="F3193" s="41" t="s">
        <v>2255</v>
      </c>
      <c r="G3193" s="41" t="s">
        <v>9831</v>
      </c>
      <c r="H3193" s="41" t="s">
        <v>9832</v>
      </c>
      <c r="I3193" s="43">
        <v>12</v>
      </c>
      <c r="J3193" s="44" t="str">
        <f>VLOOKUP(G3193,[1]硬件清单!$F:$F,1,0)</f>
        <v>210235A3SUH19B000095</v>
      </c>
      <c r="K3193" s="43"/>
      <c r="L3193" s="44"/>
      <c r="M3193" s="45" t="s">
        <v>9833</v>
      </c>
    </row>
    <row r="3194" ht="30" customHeight="1" spans="1:13">
      <c r="A3194" s="41">
        <f>IF(C3194="","",SUBTOTAL(103,$C$2:C3194))</f>
        <v>3185</v>
      </c>
      <c r="B3194" s="41">
        <v>11546</v>
      </c>
      <c r="C3194" s="41">
        <v>482</v>
      </c>
      <c r="D3194" s="41" t="s">
        <v>19</v>
      </c>
      <c r="E3194" s="41" t="s">
        <v>20</v>
      </c>
      <c r="F3194" s="41" t="s">
        <v>2198</v>
      </c>
      <c r="G3194" s="41" t="s">
        <v>9834</v>
      </c>
      <c r="H3194" s="41" t="s">
        <v>9835</v>
      </c>
      <c r="I3194" s="43">
        <v>12</v>
      </c>
      <c r="J3194" s="44" t="str">
        <f>VLOOKUP(G3194,[1]硬件清单!$F:$F,1,0)</f>
        <v>210235A1GFX19C000020</v>
      </c>
      <c r="K3194" s="43"/>
      <c r="L3194" s="44" t="s">
        <v>17</v>
      </c>
      <c r="M3194" s="45" t="s">
        <v>9836</v>
      </c>
    </row>
    <row r="3195" s="26" customFormat="1" ht="30" customHeight="1" spans="1:13">
      <c r="A3195" s="41">
        <f>IF(C3195="","",SUBTOTAL(103,$C$2:C3195))</f>
        <v>3186</v>
      </c>
      <c r="B3195" s="41">
        <v>11550</v>
      </c>
      <c r="C3195" s="41">
        <v>490</v>
      </c>
      <c r="D3195" s="41" t="s">
        <v>19</v>
      </c>
      <c r="E3195" s="41" t="s">
        <v>20</v>
      </c>
      <c r="F3195" s="41" t="s">
        <v>2198</v>
      </c>
      <c r="G3195" s="41" t="s">
        <v>9837</v>
      </c>
      <c r="H3195" s="41" t="s">
        <v>9838</v>
      </c>
      <c r="I3195" s="43">
        <v>12</v>
      </c>
      <c r="J3195" s="44" t="str">
        <f>VLOOKUP(G3195,[1]硬件清单!$F:$F,1,0)</f>
        <v>210235A1GFX19C00001Y</v>
      </c>
      <c r="K3195" s="43"/>
      <c r="L3195" s="44" t="s">
        <v>17</v>
      </c>
      <c r="M3195" s="45" t="s">
        <v>9839</v>
      </c>
    </row>
    <row r="3196" s="26" customFormat="1" ht="30" customHeight="1" spans="1:13">
      <c r="A3196" s="41">
        <f>IF(C3196="","",SUBTOTAL(103,$C$2:C3196))</f>
        <v>3187</v>
      </c>
      <c r="B3196" s="41">
        <v>11605</v>
      </c>
      <c r="C3196" s="41">
        <v>552</v>
      </c>
      <c r="D3196" s="41" t="s">
        <v>19</v>
      </c>
      <c r="E3196" s="41" t="s">
        <v>60</v>
      </c>
      <c r="F3196" s="41" t="s">
        <v>9840</v>
      </c>
      <c r="G3196" s="41" t="s">
        <v>9841</v>
      </c>
      <c r="H3196" s="41" t="s">
        <v>9842</v>
      </c>
      <c r="I3196" s="43">
        <v>12</v>
      </c>
      <c r="J3196" s="44" t="str">
        <f>VLOOKUP(G3196,[1]硬件清单!$F:$F,1,0)</f>
        <v>yk-0000-0329</v>
      </c>
      <c r="K3196" s="43"/>
      <c r="L3196" s="44" t="s">
        <v>17</v>
      </c>
      <c r="M3196" s="45" t="s">
        <v>9843</v>
      </c>
    </row>
    <row r="3197" s="26" customFormat="1" ht="30" customHeight="1" spans="1:13">
      <c r="A3197" s="41">
        <f>IF(C3197="","",SUBTOTAL(103,$C$2:C3197))</f>
        <v>3188</v>
      </c>
      <c r="B3197" s="41">
        <v>11606</v>
      </c>
      <c r="C3197" s="41">
        <v>553</v>
      </c>
      <c r="D3197" s="41" t="s">
        <v>19</v>
      </c>
      <c r="E3197" s="41" t="s">
        <v>60</v>
      </c>
      <c r="F3197" s="41" t="s">
        <v>9840</v>
      </c>
      <c r="G3197" s="41" t="s">
        <v>9844</v>
      </c>
      <c r="H3197" s="41" t="s">
        <v>9845</v>
      </c>
      <c r="I3197" s="43">
        <v>12</v>
      </c>
      <c r="J3197" s="44" t="str">
        <f>VLOOKUP(G3197,[1]硬件清单!$F:$F,1,0)</f>
        <v>yk-0000-0330</v>
      </c>
      <c r="K3197" s="43"/>
      <c r="L3197" s="44" t="s">
        <v>17</v>
      </c>
      <c r="M3197" s="45" t="s">
        <v>9846</v>
      </c>
    </row>
    <row r="3198" s="26" customFormat="1" ht="30" customHeight="1" spans="1:13">
      <c r="A3198" s="41">
        <f>IF(C3198="","",SUBTOTAL(103,$C$2:C3198))</f>
        <v>3189</v>
      </c>
      <c r="B3198" s="41">
        <v>11609</v>
      </c>
      <c r="C3198" s="41">
        <v>556</v>
      </c>
      <c r="D3198" s="41" t="s">
        <v>65</v>
      </c>
      <c r="E3198" s="41" t="s">
        <v>66</v>
      </c>
      <c r="F3198" s="41" t="s">
        <v>2205</v>
      </c>
      <c r="G3198" s="41" t="s">
        <v>9847</v>
      </c>
      <c r="H3198" s="41" t="s">
        <v>9848</v>
      </c>
      <c r="I3198" s="43">
        <v>12</v>
      </c>
      <c r="J3198" s="44" t="str">
        <f>VLOOKUP(G3198,[1]硬件清单!$F:$F,1,0)</f>
        <v>102020031564</v>
      </c>
      <c r="K3198" s="44"/>
      <c r="L3198" s="44" t="s">
        <v>17</v>
      </c>
      <c r="M3198" s="45" t="s">
        <v>9849</v>
      </c>
    </row>
    <row r="3199" s="26" customFormat="1" ht="30" customHeight="1" spans="1:13">
      <c r="A3199" s="41">
        <f>IF(C3199="","",SUBTOTAL(103,$C$2:C3199))</f>
        <v>3190</v>
      </c>
      <c r="B3199" s="41">
        <v>1008</v>
      </c>
      <c r="C3199" s="41">
        <v>14336</v>
      </c>
      <c r="D3199" s="41" t="s">
        <v>887</v>
      </c>
      <c r="E3199" s="41" t="s">
        <v>1429</v>
      </c>
      <c r="F3199" s="41" t="s">
        <v>9850</v>
      </c>
      <c r="G3199" s="41" t="s">
        <v>9851</v>
      </c>
      <c r="H3199" s="41" t="s">
        <v>9852</v>
      </c>
      <c r="I3199" s="43">
        <v>12</v>
      </c>
      <c r="J3199" s="44" t="str">
        <f>VLOOKUP(G3199,[1]硬件清单!$F:$F,1,0)</f>
        <v>98E9U304038-001</v>
      </c>
      <c r="K3199" s="43"/>
      <c r="L3199" s="44"/>
      <c r="M3199" s="45" t="s">
        <v>9853</v>
      </c>
    </row>
    <row r="3200" s="27" customFormat="1" ht="30" customHeight="1" spans="1:13">
      <c r="A3200" s="41">
        <f>IF(C3200="","",SUBTOTAL(103,$C$2:C3200))</f>
        <v>3191</v>
      </c>
      <c r="B3200" s="41">
        <v>1009</v>
      </c>
      <c r="C3200" s="41">
        <v>10288</v>
      </c>
      <c r="D3200" s="41" t="s">
        <v>887</v>
      </c>
      <c r="E3200" s="41" t="s">
        <v>1429</v>
      </c>
      <c r="F3200" s="41" t="s">
        <v>9854</v>
      </c>
      <c r="G3200" s="41" t="s">
        <v>9855</v>
      </c>
      <c r="H3200" s="41" t="s">
        <v>9856</v>
      </c>
      <c r="I3200" s="43">
        <v>12</v>
      </c>
      <c r="J3200" s="44" t="str">
        <f>VLOOKUP(G3200,[1]硬件清单!$F:$F,1,0)</f>
        <v>06D7189</v>
      </c>
      <c r="K3200" s="43"/>
      <c r="L3200" s="44"/>
      <c r="M3200" s="45" t="s">
        <v>9857</v>
      </c>
    </row>
    <row r="3201" s="26" customFormat="1" ht="30" customHeight="1" spans="1:13">
      <c r="A3201" s="41">
        <f>IF(C3201="","",SUBTOTAL(103,$C$2:C3201))</f>
        <v>3192</v>
      </c>
      <c r="B3201" s="41">
        <v>1010</v>
      </c>
      <c r="C3201" s="41">
        <v>10287</v>
      </c>
      <c r="D3201" s="41" t="s">
        <v>887</v>
      </c>
      <c r="E3201" s="41" t="s">
        <v>1429</v>
      </c>
      <c r="F3201" s="41" t="s">
        <v>9854</v>
      </c>
      <c r="G3201" s="41" t="s">
        <v>9858</v>
      </c>
      <c r="H3201" s="41" t="s">
        <v>9859</v>
      </c>
      <c r="I3201" s="43">
        <v>12</v>
      </c>
      <c r="J3201" s="44" t="str">
        <f>VLOOKUP(G3201,[1]硬件清单!$F:$F,1,0)</f>
        <v>06D7187</v>
      </c>
      <c r="K3201" s="43"/>
      <c r="L3201" s="44"/>
      <c r="M3201" s="45" t="s">
        <v>9860</v>
      </c>
    </row>
    <row r="3202" s="26" customFormat="1" ht="30" customHeight="1" spans="1:13">
      <c r="A3202" s="41">
        <f>IF(C3202="","",SUBTOTAL(103,$C$2:C3202))</f>
        <v>3193</v>
      </c>
      <c r="B3202" s="41">
        <v>1011</v>
      </c>
      <c r="C3202" s="41">
        <v>10293</v>
      </c>
      <c r="D3202" s="41" t="s">
        <v>887</v>
      </c>
      <c r="E3202" s="41" t="s">
        <v>1429</v>
      </c>
      <c r="F3202" s="41" t="s">
        <v>6611</v>
      </c>
      <c r="G3202" s="41" t="s">
        <v>9861</v>
      </c>
      <c r="H3202" s="41" t="s">
        <v>9862</v>
      </c>
      <c r="I3202" s="43">
        <v>12</v>
      </c>
      <c r="J3202" s="44" t="str">
        <f>VLOOKUP(G3202,[1]硬件清单!$F:$F,1,0)</f>
        <v>FOX1619GMJP</v>
      </c>
      <c r="K3202" s="43"/>
      <c r="L3202" s="44"/>
      <c r="M3202" s="45" t="s">
        <v>9863</v>
      </c>
    </row>
    <row r="3203" s="26" customFormat="1" ht="30" customHeight="1" spans="1:13">
      <c r="A3203" s="41">
        <f>IF(C3203="","",SUBTOTAL(103,$C$2:C3203))</f>
        <v>3194</v>
      </c>
      <c r="B3203" s="41">
        <v>1012</v>
      </c>
      <c r="C3203" s="41">
        <v>13636</v>
      </c>
      <c r="D3203" s="41" t="s">
        <v>887</v>
      </c>
      <c r="E3203" s="41" t="s">
        <v>1429</v>
      </c>
      <c r="F3203" s="42" t="s">
        <v>9864</v>
      </c>
      <c r="G3203" s="41" t="s">
        <v>9865</v>
      </c>
      <c r="H3203" s="41" t="s">
        <v>9866</v>
      </c>
      <c r="I3203" s="43">
        <v>12</v>
      </c>
      <c r="J3203" s="44" t="str">
        <f>VLOOKUP(G3203,[1]硬件清单!$F:$F,1,0)</f>
        <v>219555993</v>
      </c>
      <c r="K3203" s="43"/>
      <c r="L3203" s="44"/>
      <c r="M3203" s="45" t="s">
        <v>9867</v>
      </c>
    </row>
    <row r="3204" s="26" customFormat="1" ht="30" customHeight="1" spans="1:13">
      <c r="A3204" s="41">
        <f>IF(C3204="","",SUBTOTAL(103,$C$2:C3204))</f>
        <v>3195</v>
      </c>
      <c r="B3204" s="41">
        <v>1013</v>
      </c>
      <c r="C3204" s="41">
        <v>13635</v>
      </c>
      <c r="D3204" s="41" t="s">
        <v>887</v>
      </c>
      <c r="E3204" s="41" t="s">
        <v>1429</v>
      </c>
      <c r="F3204" s="41" t="s">
        <v>9868</v>
      </c>
      <c r="G3204" s="41" t="s">
        <v>9869</v>
      </c>
      <c r="H3204" s="41" t="s">
        <v>9870</v>
      </c>
      <c r="I3204" s="43">
        <v>12</v>
      </c>
      <c r="J3204" s="44" t="str">
        <f>VLOOKUP(G3204,[1]硬件清单!$F:$F,1,0)</f>
        <v>219548291</v>
      </c>
      <c r="K3204" s="43"/>
      <c r="L3204" s="44"/>
      <c r="M3204" s="45" t="s">
        <v>9871</v>
      </c>
    </row>
    <row r="3205" s="26" customFormat="1" ht="30" customHeight="1" spans="1:13">
      <c r="A3205" s="41">
        <f>IF(C3205="","",SUBTOTAL(103,$C$2:C3205))</f>
        <v>3196</v>
      </c>
      <c r="B3205" s="41">
        <v>1014</v>
      </c>
      <c r="C3205" s="41">
        <v>13638</v>
      </c>
      <c r="D3205" s="41" t="s">
        <v>887</v>
      </c>
      <c r="E3205" s="41" t="s">
        <v>1429</v>
      </c>
      <c r="F3205" s="41" t="s">
        <v>9868</v>
      </c>
      <c r="G3205" s="41" t="s">
        <v>9872</v>
      </c>
      <c r="H3205" s="41" t="s">
        <v>9873</v>
      </c>
      <c r="I3205" s="43">
        <v>12</v>
      </c>
      <c r="J3205" s="44" t="str">
        <f>VLOOKUP(G3205,[1]硬件清单!$F:$F,1,0)</f>
        <v>219556101</v>
      </c>
      <c r="K3205" s="43"/>
      <c r="L3205" s="44"/>
      <c r="M3205" s="45" t="s">
        <v>9874</v>
      </c>
    </row>
    <row r="3206" s="26" customFormat="1" ht="30" customHeight="1" spans="1:13">
      <c r="A3206" s="41">
        <f>IF(C3206="","",SUBTOTAL(103,$C$2:C3206))</f>
        <v>3197</v>
      </c>
      <c r="B3206" s="41">
        <v>1015</v>
      </c>
      <c r="C3206" s="41">
        <v>13637</v>
      </c>
      <c r="D3206" s="41" t="s">
        <v>887</v>
      </c>
      <c r="E3206" s="41" t="s">
        <v>1429</v>
      </c>
      <c r="F3206" s="41" t="s">
        <v>9868</v>
      </c>
      <c r="G3206" s="41" t="s">
        <v>9875</v>
      </c>
      <c r="H3206" s="41" t="s">
        <v>9876</v>
      </c>
      <c r="I3206" s="43">
        <v>12</v>
      </c>
      <c r="J3206" s="44" t="str">
        <f>VLOOKUP(G3206,[1]硬件清单!$F:$F,1,0)</f>
        <v>219556097</v>
      </c>
      <c r="K3206" s="43"/>
      <c r="L3206" s="44"/>
      <c r="M3206" s="45" t="s">
        <v>9877</v>
      </c>
    </row>
    <row r="3207" s="26" customFormat="1" ht="30" customHeight="1" spans="1:13">
      <c r="A3207" s="41">
        <f>IF(C3207="","",SUBTOTAL(103,$C$2:C3207))</f>
        <v>3198</v>
      </c>
      <c r="B3207" s="41">
        <v>1016</v>
      </c>
      <c r="C3207" s="41">
        <v>13639</v>
      </c>
      <c r="D3207" s="41" t="s">
        <v>887</v>
      </c>
      <c r="E3207" s="41" t="s">
        <v>1429</v>
      </c>
      <c r="F3207" s="41" t="s">
        <v>9868</v>
      </c>
      <c r="G3207" s="41" t="s">
        <v>9878</v>
      </c>
      <c r="H3207" s="41" t="s">
        <v>9879</v>
      </c>
      <c r="I3207" s="43">
        <v>12</v>
      </c>
      <c r="J3207" s="44" t="str">
        <f>VLOOKUP(G3207,[1]硬件清单!$F:$F,1,0)</f>
        <v>219556099</v>
      </c>
      <c r="K3207" s="43"/>
      <c r="L3207" s="44"/>
      <c r="M3207" s="45" t="s">
        <v>9880</v>
      </c>
    </row>
    <row r="3208" s="26" customFormat="1" ht="30" customHeight="1" spans="1:13">
      <c r="A3208" s="41">
        <f>IF(C3208="","",SUBTOTAL(103,$C$2:C3208))</f>
        <v>3199</v>
      </c>
      <c r="B3208" s="41">
        <v>1017</v>
      </c>
      <c r="C3208" s="41">
        <v>13641</v>
      </c>
      <c r="D3208" s="41" t="s">
        <v>887</v>
      </c>
      <c r="E3208" s="41" t="s">
        <v>1429</v>
      </c>
      <c r="F3208" s="41" t="s">
        <v>9868</v>
      </c>
      <c r="G3208" s="41" t="s">
        <v>9881</v>
      </c>
      <c r="H3208" s="41" t="s">
        <v>9882</v>
      </c>
      <c r="I3208" s="43">
        <v>12</v>
      </c>
      <c r="J3208" s="44" t="str">
        <f>VLOOKUP(G3208,[1]硬件清单!$F:$F,1,0)</f>
        <v>219555975</v>
      </c>
      <c r="K3208" s="43"/>
      <c r="L3208" s="44"/>
      <c r="M3208" s="45" t="s">
        <v>9883</v>
      </c>
    </row>
    <row r="3209" s="26" customFormat="1" ht="30" customHeight="1" spans="1:13">
      <c r="A3209" s="41">
        <f>IF(C3209="","",SUBTOTAL(103,$C$2:C3209))</f>
        <v>3200</v>
      </c>
      <c r="B3209" s="41">
        <v>1018</v>
      </c>
      <c r="C3209" s="41">
        <v>13640</v>
      </c>
      <c r="D3209" s="41" t="s">
        <v>887</v>
      </c>
      <c r="E3209" s="41" t="s">
        <v>1429</v>
      </c>
      <c r="F3209" s="41" t="s">
        <v>9868</v>
      </c>
      <c r="G3209" s="41" t="s">
        <v>9884</v>
      </c>
      <c r="H3209" s="41" t="s">
        <v>9885</v>
      </c>
      <c r="I3209" s="43">
        <v>12</v>
      </c>
      <c r="J3209" s="44" t="str">
        <f>VLOOKUP(G3209,[1]硬件清单!$F:$F,1,0)</f>
        <v>219555983</v>
      </c>
      <c r="K3209" s="43"/>
      <c r="L3209" s="44"/>
      <c r="M3209" s="45" t="s">
        <v>9886</v>
      </c>
    </row>
    <row r="3210" s="26" customFormat="1" ht="30" customHeight="1" spans="1:13">
      <c r="A3210" s="41">
        <f>IF(C3210="","",SUBTOTAL(103,$C$2:C3210))</f>
        <v>3201</v>
      </c>
      <c r="B3210" s="41">
        <v>1019</v>
      </c>
      <c r="C3210" s="41">
        <v>13643</v>
      </c>
      <c r="D3210" s="41" t="s">
        <v>887</v>
      </c>
      <c r="E3210" s="41" t="s">
        <v>1429</v>
      </c>
      <c r="F3210" s="41" t="s">
        <v>9868</v>
      </c>
      <c r="G3210" s="41" t="s">
        <v>9887</v>
      </c>
      <c r="H3210" s="41" t="s">
        <v>9888</v>
      </c>
      <c r="I3210" s="43">
        <v>12</v>
      </c>
      <c r="J3210" s="44" t="str">
        <f>VLOOKUP(G3210,[1]硬件清单!$F:$F,1,0)</f>
        <v>219555981</v>
      </c>
      <c r="K3210" s="43"/>
      <c r="L3210" s="44"/>
      <c r="M3210" s="45" t="s">
        <v>9889</v>
      </c>
    </row>
    <row r="3211" s="26" customFormat="1" ht="30" customHeight="1" spans="1:13">
      <c r="A3211" s="41">
        <f>IF(C3211="","",SUBTOTAL(103,$C$2:C3211))</f>
        <v>3202</v>
      </c>
      <c r="B3211" s="41">
        <v>1020</v>
      </c>
      <c r="C3211" s="41">
        <v>13642</v>
      </c>
      <c r="D3211" s="41" t="s">
        <v>887</v>
      </c>
      <c r="E3211" s="41" t="s">
        <v>1429</v>
      </c>
      <c r="F3211" s="41" t="s">
        <v>9868</v>
      </c>
      <c r="G3211" s="41" t="s">
        <v>9890</v>
      </c>
      <c r="H3211" s="41" t="s">
        <v>9891</v>
      </c>
      <c r="I3211" s="43">
        <v>12</v>
      </c>
      <c r="J3211" s="44" t="str">
        <f>VLOOKUP(G3211,[1]硬件清单!$F:$F,1,0)</f>
        <v>219555974</v>
      </c>
      <c r="K3211" s="43"/>
      <c r="L3211" s="44"/>
      <c r="M3211" s="45" t="s">
        <v>9892</v>
      </c>
    </row>
    <row r="3212" s="26" customFormat="1" ht="30" customHeight="1" spans="1:13">
      <c r="A3212" s="41">
        <f>IF(C3212="","",SUBTOTAL(103,$C$2:C3212))</f>
        <v>3203</v>
      </c>
      <c r="B3212" s="41">
        <v>1021</v>
      </c>
      <c r="C3212" s="41">
        <v>13645</v>
      </c>
      <c r="D3212" s="41" t="s">
        <v>887</v>
      </c>
      <c r="E3212" s="41" t="s">
        <v>1429</v>
      </c>
      <c r="F3212" s="41" t="s">
        <v>9868</v>
      </c>
      <c r="G3212" s="41" t="s">
        <v>9893</v>
      </c>
      <c r="H3212" s="41" t="s">
        <v>9894</v>
      </c>
      <c r="I3212" s="43">
        <v>12</v>
      </c>
      <c r="J3212" s="44" t="str">
        <f>VLOOKUP(G3212,[1]硬件清单!$F:$F,1,0)</f>
        <v>219555979</v>
      </c>
      <c r="K3212" s="43"/>
      <c r="L3212" s="44"/>
      <c r="M3212" s="45" t="s">
        <v>9895</v>
      </c>
    </row>
    <row r="3213" s="26" customFormat="1" ht="30" customHeight="1" spans="1:13">
      <c r="A3213" s="41">
        <f>IF(C3213="","",SUBTOTAL(103,$C$2:C3213))</f>
        <v>3204</v>
      </c>
      <c r="B3213" s="41">
        <v>1022</v>
      </c>
      <c r="C3213" s="41">
        <v>13644</v>
      </c>
      <c r="D3213" s="41" t="s">
        <v>887</v>
      </c>
      <c r="E3213" s="41" t="s">
        <v>1429</v>
      </c>
      <c r="F3213" s="41" t="s">
        <v>9868</v>
      </c>
      <c r="G3213" s="41" t="s">
        <v>9896</v>
      </c>
      <c r="H3213" s="41" t="s">
        <v>9897</v>
      </c>
      <c r="I3213" s="43">
        <v>12</v>
      </c>
      <c r="J3213" s="44" t="str">
        <f>VLOOKUP(G3213,[1]硬件清单!$F:$F,1,0)</f>
        <v>219555980</v>
      </c>
      <c r="K3213" s="43"/>
      <c r="L3213" s="44"/>
      <c r="M3213" s="45" t="s">
        <v>9898</v>
      </c>
    </row>
    <row r="3214" s="26" customFormat="1" ht="30" customHeight="1" spans="1:13">
      <c r="A3214" s="41">
        <f>IF(C3214="","",SUBTOTAL(103,$C$2:C3214))</f>
        <v>3205</v>
      </c>
      <c r="B3214" s="41">
        <v>1023</v>
      </c>
      <c r="C3214" s="41">
        <v>13647</v>
      </c>
      <c r="D3214" s="41" t="s">
        <v>887</v>
      </c>
      <c r="E3214" s="41" t="s">
        <v>1429</v>
      </c>
      <c r="F3214" s="41" t="s">
        <v>9868</v>
      </c>
      <c r="G3214" s="41" t="s">
        <v>9899</v>
      </c>
      <c r="H3214" s="41" t="s">
        <v>9900</v>
      </c>
      <c r="I3214" s="43">
        <v>12</v>
      </c>
      <c r="J3214" s="44" t="str">
        <f>VLOOKUP(G3214,[1]硬件清单!$F:$F,1,0)</f>
        <v>219555976</v>
      </c>
      <c r="K3214" s="43"/>
      <c r="L3214" s="44"/>
      <c r="M3214" s="45" t="s">
        <v>9901</v>
      </c>
    </row>
    <row r="3215" s="26" customFormat="1" ht="30" customHeight="1" spans="1:13">
      <c r="A3215" s="41">
        <f>IF(C3215="","",SUBTOTAL(103,$C$2:C3215))</f>
        <v>3206</v>
      </c>
      <c r="B3215" s="41">
        <v>1024</v>
      </c>
      <c r="C3215" s="41">
        <v>13646</v>
      </c>
      <c r="D3215" s="41" t="s">
        <v>887</v>
      </c>
      <c r="E3215" s="41" t="s">
        <v>1429</v>
      </c>
      <c r="F3215" s="41" t="s">
        <v>9868</v>
      </c>
      <c r="G3215" s="41" t="s">
        <v>9902</v>
      </c>
      <c r="H3215" s="41" t="s">
        <v>9903</v>
      </c>
      <c r="I3215" s="43">
        <v>12</v>
      </c>
      <c r="J3215" s="44" t="str">
        <f>VLOOKUP(G3215,[1]硬件清单!$F:$F,1,0)</f>
        <v>219555984</v>
      </c>
      <c r="K3215" s="43"/>
      <c r="L3215" s="44"/>
      <c r="M3215" s="45" t="s">
        <v>9904</v>
      </c>
    </row>
    <row r="3216" s="26" customFormat="1" ht="30" customHeight="1" spans="1:13">
      <c r="A3216" s="41">
        <f>IF(C3216="","",SUBTOTAL(103,$C$2:C3216))</f>
        <v>3207</v>
      </c>
      <c r="B3216" s="41">
        <v>1025</v>
      </c>
      <c r="C3216" s="41">
        <v>13649</v>
      </c>
      <c r="D3216" s="41" t="s">
        <v>887</v>
      </c>
      <c r="E3216" s="41" t="s">
        <v>1429</v>
      </c>
      <c r="F3216" s="41" t="s">
        <v>9868</v>
      </c>
      <c r="G3216" s="41" t="s">
        <v>9905</v>
      </c>
      <c r="H3216" s="41" t="s">
        <v>9906</v>
      </c>
      <c r="I3216" s="43">
        <v>12</v>
      </c>
      <c r="J3216" s="44" t="str">
        <f>VLOOKUP(G3216,[1]硬件清单!$F:$F,1,0)</f>
        <v>219555978</v>
      </c>
      <c r="K3216" s="43"/>
      <c r="L3216" s="44"/>
      <c r="M3216" s="45" t="s">
        <v>9907</v>
      </c>
    </row>
    <row r="3217" s="26" customFormat="1" ht="30" customHeight="1" spans="1:13">
      <c r="A3217" s="41">
        <f>IF(C3217="","",SUBTOTAL(103,$C$2:C3217))</f>
        <v>3208</v>
      </c>
      <c r="B3217" s="41">
        <v>1026</v>
      </c>
      <c r="C3217" s="41">
        <v>13648</v>
      </c>
      <c r="D3217" s="41" t="s">
        <v>887</v>
      </c>
      <c r="E3217" s="41" t="s">
        <v>1429</v>
      </c>
      <c r="F3217" s="41" t="s">
        <v>9868</v>
      </c>
      <c r="G3217" s="41" t="s">
        <v>9908</v>
      </c>
      <c r="H3217" s="41" t="s">
        <v>9909</v>
      </c>
      <c r="I3217" s="43">
        <v>12</v>
      </c>
      <c r="J3217" s="44" t="str">
        <f>VLOOKUP(G3217,[1]硬件清单!$F:$F,1,0)</f>
        <v>219555985</v>
      </c>
      <c r="K3217" s="43"/>
      <c r="L3217" s="44"/>
      <c r="M3217" s="45" t="s">
        <v>9910</v>
      </c>
    </row>
    <row r="3218" s="26" customFormat="1" ht="30" customHeight="1" spans="1:13">
      <c r="A3218" s="41">
        <f>IF(C3218="","",SUBTOTAL(103,$C$2:C3218))</f>
        <v>3209</v>
      </c>
      <c r="B3218" s="41">
        <v>1027</v>
      </c>
      <c r="C3218" s="41">
        <v>13651</v>
      </c>
      <c r="D3218" s="41" t="s">
        <v>887</v>
      </c>
      <c r="E3218" s="41" t="s">
        <v>1429</v>
      </c>
      <c r="F3218" s="41" t="s">
        <v>9868</v>
      </c>
      <c r="G3218" s="41" t="s">
        <v>9911</v>
      </c>
      <c r="H3218" s="41" t="s">
        <v>9912</v>
      </c>
      <c r="I3218" s="43">
        <v>12</v>
      </c>
      <c r="J3218" s="44" t="str">
        <f>VLOOKUP(G3218,[1]硬件清单!$F:$F,1,0)</f>
        <v>219555982</v>
      </c>
      <c r="K3218" s="43"/>
      <c r="L3218" s="44"/>
      <c r="M3218" s="45" t="s">
        <v>9913</v>
      </c>
    </row>
    <row r="3219" s="26" customFormat="1" ht="30" customHeight="1" spans="1:13">
      <c r="A3219" s="41">
        <f>IF(C3219="","",SUBTOTAL(103,$C$2:C3219))</f>
        <v>3210</v>
      </c>
      <c r="B3219" s="41">
        <v>1028</v>
      </c>
      <c r="C3219" s="41">
        <v>13650</v>
      </c>
      <c r="D3219" s="41" t="s">
        <v>887</v>
      </c>
      <c r="E3219" s="41" t="s">
        <v>1429</v>
      </c>
      <c r="F3219" s="41" t="s">
        <v>9868</v>
      </c>
      <c r="G3219" s="41" t="s">
        <v>9914</v>
      </c>
      <c r="H3219" s="41" t="s">
        <v>9915</v>
      </c>
      <c r="I3219" s="43">
        <v>12</v>
      </c>
      <c r="J3219" s="44" t="str">
        <f>VLOOKUP(G3219,[1]硬件清单!$F:$F,1,0)</f>
        <v>219555977</v>
      </c>
      <c r="K3219" s="43"/>
      <c r="L3219" s="44"/>
      <c r="M3219" s="45" t="s">
        <v>9916</v>
      </c>
    </row>
    <row r="3220" s="26" customFormat="1" ht="30" customHeight="1" spans="1:13">
      <c r="A3220" s="41">
        <f>IF(C3220="","",SUBTOTAL(103,$C$2:C3220))</f>
        <v>3211</v>
      </c>
      <c r="B3220" s="41">
        <v>1029</v>
      </c>
      <c r="C3220" s="41">
        <v>13653</v>
      </c>
      <c r="D3220" s="41" t="s">
        <v>887</v>
      </c>
      <c r="E3220" s="41" t="s">
        <v>1429</v>
      </c>
      <c r="F3220" s="41" t="s">
        <v>9868</v>
      </c>
      <c r="G3220" s="41" t="s">
        <v>9917</v>
      </c>
      <c r="H3220" s="41" t="s">
        <v>9918</v>
      </c>
      <c r="I3220" s="43">
        <v>12</v>
      </c>
      <c r="J3220" s="44" t="str">
        <f>VLOOKUP(G3220,[1]硬件清单!$F:$F,1,0)</f>
        <v>219556089</v>
      </c>
      <c r="K3220" s="43"/>
      <c r="L3220" s="44"/>
      <c r="M3220" s="45" t="s">
        <v>9919</v>
      </c>
    </row>
    <row r="3221" s="26" customFormat="1" ht="30" customHeight="1" spans="1:13">
      <c r="A3221" s="41">
        <f>IF(C3221="","",SUBTOTAL(103,$C$2:C3221))</f>
        <v>3212</v>
      </c>
      <c r="B3221" s="41">
        <v>1030</v>
      </c>
      <c r="C3221" s="41">
        <v>13652</v>
      </c>
      <c r="D3221" s="41" t="s">
        <v>887</v>
      </c>
      <c r="E3221" s="41" t="s">
        <v>1429</v>
      </c>
      <c r="F3221" s="41" t="s">
        <v>9868</v>
      </c>
      <c r="G3221" s="41" t="s">
        <v>9920</v>
      </c>
      <c r="H3221" s="41" t="s">
        <v>9921</v>
      </c>
      <c r="I3221" s="43">
        <v>12</v>
      </c>
      <c r="J3221" s="44" t="str">
        <f>VLOOKUP(G3221,[1]硬件清单!$F:$F,1,0)</f>
        <v>219556093</v>
      </c>
      <c r="K3221" s="43"/>
      <c r="L3221" s="44"/>
      <c r="M3221" s="45" t="s">
        <v>9922</v>
      </c>
    </row>
    <row r="3222" s="26" customFormat="1" ht="30" customHeight="1" spans="1:13">
      <c r="A3222" s="41">
        <f>IF(C3222="","",SUBTOTAL(103,$C$2:C3222))</f>
        <v>3213</v>
      </c>
      <c r="B3222" s="41">
        <v>1031</v>
      </c>
      <c r="C3222" s="41">
        <v>13655</v>
      </c>
      <c r="D3222" s="41" t="s">
        <v>887</v>
      </c>
      <c r="E3222" s="41" t="s">
        <v>1429</v>
      </c>
      <c r="F3222" s="41" t="s">
        <v>9868</v>
      </c>
      <c r="G3222" s="41" t="s">
        <v>9923</v>
      </c>
      <c r="H3222" s="41" t="s">
        <v>9924</v>
      </c>
      <c r="I3222" s="43">
        <v>12</v>
      </c>
      <c r="J3222" s="44" t="str">
        <f>VLOOKUP(G3222,[1]硬件清单!$F:$F,1,0)</f>
        <v>219556087</v>
      </c>
      <c r="K3222" s="43"/>
      <c r="L3222" s="44"/>
      <c r="M3222" s="45" t="s">
        <v>9925</v>
      </c>
    </row>
    <row r="3223" s="26" customFormat="1" ht="30" customHeight="1" spans="1:13">
      <c r="A3223" s="41">
        <f>IF(C3223="","",SUBTOTAL(103,$C$2:C3223))</f>
        <v>3214</v>
      </c>
      <c r="B3223" s="41">
        <v>1032</v>
      </c>
      <c r="C3223" s="41">
        <v>13654</v>
      </c>
      <c r="D3223" s="41" t="s">
        <v>887</v>
      </c>
      <c r="E3223" s="41" t="s">
        <v>1429</v>
      </c>
      <c r="F3223" s="41" t="s">
        <v>9868</v>
      </c>
      <c r="G3223" s="41" t="s">
        <v>9926</v>
      </c>
      <c r="H3223" s="41" t="s">
        <v>9927</v>
      </c>
      <c r="I3223" s="43">
        <v>12</v>
      </c>
      <c r="J3223" s="44" t="str">
        <f>VLOOKUP(G3223,[1]硬件清单!$F:$F,1,0)</f>
        <v>219556088</v>
      </c>
      <c r="K3223" s="43"/>
      <c r="L3223" s="44"/>
      <c r="M3223" s="45" t="s">
        <v>9928</v>
      </c>
    </row>
    <row r="3224" s="26" customFormat="1" ht="30" customHeight="1" spans="1:13">
      <c r="A3224" s="41">
        <f>IF(C3224="","",SUBTOTAL(103,$C$2:C3224))</f>
        <v>3215</v>
      </c>
      <c r="B3224" s="41">
        <v>1033</v>
      </c>
      <c r="C3224" s="41">
        <v>13657</v>
      </c>
      <c r="D3224" s="41" t="s">
        <v>887</v>
      </c>
      <c r="E3224" s="41" t="s">
        <v>1429</v>
      </c>
      <c r="F3224" s="41" t="s">
        <v>9868</v>
      </c>
      <c r="G3224" s="41" t="s">
        <v>9929</v>
      </c>
      <c r="H3224" s="41" t="s">
        <v>9930</v>
      </c>
      <c r="I3224" s="43">
        <v>12</v>
      </c>
      <c r="J3224" s="44" t="str">
        <f>VLOOKUP(G3224,[1]硬件清单!$F:$F,1,0)</f>
        <v>219556085</v>
      </c>
      <c r="K3224" s="43"/>
      <c r="L3224" s="44"/>
      <c r="M3224" s="45" t="s">
        <v>9931</v>
      </c>
    </row>
    <row r="3225" s="26" customFormat="1" ht="30" customHeight="1" spans="1:13">
      <c r="A3225" s="41">
        <f>IF(C3225="","",SUBTOTAL(103,$C$2:C3225))</f>
        <v>3216</v>
      </c>
      <c r="B3225" s="41">
        <v>1034</v>
      </c>
      <c r="C3225" s="41">
        <v>13656</v>
      </c>
      <c r="D3225" s="41" t="s">
        <v>887</v>
      </c>
      <c r="E3225" s="41" t="s">
        <v>1429</v>
      </c>
      <c r="F3225" s="41" t="s">
        <v>9868</v>
      </c>
      <c r="G3225" s="41" t="s">
        <v>9932</v>
      </c>
      <c r="H3225" s="41" t="s">
        <v>9933</v>
      </c>
      <c r="I3225" s="43">
        <v>12</v>
      </c>
      <c r="J3225" s="44" t="str">
        <f>VLOOKUP(G3225,[1]硬件清单!$F:$F,1,0)</f>
        <v>219556092</v>
      </c>
      <c r="K3225" s="43"/>
      <c r="L3225" s="44"/>
      <c r="M3225" s="45" t="s">
        <v>9934</v>
      </c>
    </row>
    <row r="3226" s="26" customFormat="1" ht="30" customHeight="1" spans="1:13">
      <c r="A3226" s="41">
        <f>IF(C3226="","",SUBTOTAL(103,$C$2:C3226))</f>
        <v>3217</v>
      </c>
      <c r="B3226" s="41">
        <v>1035</v>
      </c>
      <c r="C3226" s="41">
        <v>13659</v>
      </c>
      <c r="D3226" s="41" t="s">
        <v>887</v>
      </c>
      <c r="E3226" s="41" t="s">
        <v>1429</v>
      </c>
      <c r="F3226" s="41" t="s">
        <v>9868</v>
      </c>
      <c r="G3226" s="41" t="s">
        <v>9935</v>
      </c>
      <c r="H3226" s="41" t="s">
        <v>9936</v>
      </c>
      <c r="I3226" s="43">
        <v>12</v>
      </c>
      <c r="J3226" s="44" t="str">
        <f>VLOOKUP(G3226,[1]硬件清单!$F:$F,1,0)</f>
        <v>219556090</v>
      </c>
      <c r="K3226" s="43"/>
      <c r="L3226" s="44"/>
      <c r="M3226" s="45" t="s">
        <v>9937</v>
      </c>
    </row>
    <row r="3227" s="26" customFormat="1" ht="30" customHeight="1" spans="1:13">
      <c r="A3227" s="41">
        <f>IF(C3227="","",SUBTOTAL(103,$C$2:C3227))</f>
        <v>3218</v>
      </c>
      <c r="B3227" s="41">
        <v>1036</v>
      </c>
      <c r="C3227" s="41">
        <v>13658</v>
      </c>
      <c r="D3227" s="41" t="s">
        <v>887</v>
      </c>
      <c r="E3227" s="41" t="s">
        <v>1429</v>
      </c>
      <c r="F3227" s="41" t="s">
        <v>9868</v>
      </c>
      <c r="G3227" s="41" t="s">
        <v>9938</v>
      </c>
      <c r="H3227" s="41" t="s">
        <v>9939</v>
      </c>
      <c r="I3227" s="43">
        <v>12</v>
      </c>
      <c r="J3227" s="44" t="str">
        <f>VLOOKUP(G3227,[1]硬件清单!$F:$F,1,0)</f>
        <v>219556084</v>
      </c>
      <c r="K3227" s="43"/>
      <c r="L3227" s="44"/>
      <c r="M3227" s="45" t="s">
        <v>9940</v>
      </c>
    </row>
    <row r="3228" s="26" customFormat="1" ht="30" customHeight="1" spans="1:13">
      <c r="A3228" s="41">
        <f>IF(C3228="","",SUBTOTAL(103,$C$2:C3228))</f>
        <v>3219</v>
      </c>
      <c r="B3228" s="41">
        <v>1037</v>
      </c>
      <c r="C3228" s="41">
        <v>13661</v>
      </c>
      <c r="D3228" s="41" t="s">
        <v>887</v>
      </c>
      <c r="E3228" s="41" t="s">
        <v>1429</v>
      </c>
      <c r="F3228" s="41" t="s">
        <v>9868</v>
      </c>
      <c r="G3228" s="41" t="s">
        <v>9941</v>
      </c>
      <c r="H3228" s="41" t="s">
        <v>9942</v>
      </c>
      <c r="I3228" s="43">
        <v>12</v>
      </c>
      <c r="J3228" s="44" t="str">
        <f>VLOOKUP(G3228,[1]硬件清单!$F:$F,1,0)</f>
        <v>219556091</v>
      </c>
      <c r="K3228" s="43"/>
      <c r="L3228" s="44"/>
      <c r="M3228" s="45" t="s">
        <v>9943</v>
      </c>
    </row>
    <row r="3229" s="26" customFormat="1" ht="30" customHeight="1" spans="1:13">
      <c r="A3229" s="41">
        <f>IF(C3229="","",SUBTOTAL(103,$C$2:C3229))</f>
        <v>3220</v>
      </c>
      <c r="B3229" s="41">
        <v>1038</v>
      </c>
      <c r="C3229" s="41">
        <v>13660</v>
      </c>
      <c r="D3229" s="41" t="s">
        <v>887</v>
      </c>
      <c r="E3229" s="41" t="s">
        <v>1429</v>
      </c>
      <c r="F3229" s="41" t="s">
        <v>9868</v>
      </c>
      <c r="G3229" s="41" t="s">
        <v>9944</v>
      </c>
      <c r="H3229" s="41" t="s">
        <v>9945</v>
      </c>
      <c r="I3229" s="43">
        <v>12</v>
      </c>
      <c r="J3229" s="44" t="str">
        <f>VLOOKUP(G3229,[1]硬件清单!$F:$F,1,0)</f>
        <v>219556083</v>
      </c>
      <c r="K3229" s="43"/>
      <c r="L3229" s="44"/>
      <c r="M3229" s="45" t="s">
        <v>9946</v>
      </c>
    </row>
    <row r="3230" s="26" customFormat="1" ht="30" customHeight="1" spans="1:13">
      <c r="A3230" s="41">
        <f>IF(C3230="","",SUBTOTAL(103,$C$2:C3230))</f>
        <v>3221</v>
      </c>
      <c r="B3230" s="41">
        <v>1039</v>
      </c>
      <c r="C3230" s="41">
        <v>13663</v>
      </c>
      <c r="D3230" s="41" t="s">
        <v>887</v>
      </c>
      <c r="E3230" s="41" t="s">
        <v>1429</v>
      </c>
      <c r="F3230" s="41" t="s">
        <v>9868</v>
      </c>
      <c r="G3230" s="41" t="s">
        <v>9947</v>
      </c>
      <c r="H3230" s="41" t="s">
        <v>9948</v>
      </c>
      <c r="I3230" s="43">
        <v>12</v>
      </c>
      <c r="J3230" s="44" t="str">
        <f>VLOOKUP(G3230,[1]硬件清单!$F:$F,1,0)</f>
        <v>219556094</v>
      </c>
      <c r="K3230" s="43"/>
      <c r="L3230" s="44"/>
      <c r="M3230" s="45" t="s">
        <v>9949</v>
      </c>
    </row>
    <row r="3231" s="26" customFormat="1" ht="30" customHeight="1" spans="1:13">
      <c r="A3231" s="41">
        <f>IF(C3231="","",SUBTOTAL(103,$C$2:C3231))</f>
        <v>3222</v>
      </c>
      <c r="B3231" s="41">
        <v>1040</v>
      </c>
      <c r="C3231" s="41">
        <v>13662</v>
      </c>
      <c r="D3231" s="41" t="s">
        <v>887</v>
      </c>
      <c r="E3231" s="41" t="s">
        <v>1429</v>
      </c>
      <c r="F3231" s="41" t="s">
        <v>9868</v>
      </c>
      <c r="G3231" s="41" t="s">
        <v>9950</v>
      </c>
      <c r="H3231" s="41" t="s">
        <v>9951</v>
      </c>
      <c r="I3231" s="43">
        <v>12</v>
      </c>
      <c r="J3231" s="44" t="str">
        <f>VLOOKUP(G3231,[1]硬件清单!$F:$F,1,0)</f>
        <v>219556086</v>
      </c>
      <c r="K3231" s="43"/>
      <c r="L3231" s="44"/>
      <c r="M3231" s="45" t="s">
        <v>9952</v>
      </c>
    </row>
    <row r="3232" s="26" customFormat="1" ht="30" customHeight="1" spans="1:13">
      <c r="A3232" s="41">
        <f>IF(C3232="","",SUBTOTAL(103,$C$2:C3232))</f>
        <v>3223</v>
      </c>
      <c r="B3232" s="41">
        <v>1047</v>
      </c>
      <c r="C3232" s="41">
        <v>13632</v>
      </c>
      <c r="D3232" s="41" t="s">
        <v>887</v>
      </c>
      <c r="E3232" s="41" t="s">
        <v>1429</v>
      </c>
      <c r="F3232" s="41" t="s">
        <v>9868</v>
      </c>
      <c r="G3232" s="41" t="s">
        <v>9953</v>
      </c>
      <c r="H3232" s="41" t="s">
        <v>9954</v>
      </c>
      <c r="I3232" s="43">
        <v>12</v>
      </c>
      <c r="J3232" s="44" t="str">
        <f>VLOOKUP(G3232,[1]硬件清单!$F:$F,1,0)</f>
        <v>219556100</v>
      </c>
      <c r="K3232" s="43"/>
      <c r="L3232" s="44"/>
      <c r="M3232" s="45" t="s">
        <v>9955</v>
      </c>
    </row>
    <row r="3233" s="26" customFormat="1" ht="30" customHeight="1" spans="1:13">
      <c r="A3233" s="41">
        <f>IF(C3233="","",SUBTOTAL(103,$C$2:C3233))</f>
        <v>3224</v>
      </c>
      <c r="B3233" s="41">
        <v>1048</v>
      </c>
      <c r="C3233" s="41">
        <v>13631</v>
      </c>
      <c r="D3233" s="41" t="s">
        <v>887</v>
      </c>
      <c r="E3233" s="41" t="s">
        <v>1429</v>
      </c>
      <c r="F3233" s="41" t="s">
        <v>9868</v>
      </c>
      <c r="G3233" s="41" t="s">
        <v>9956</v>
      </c>
      <c r="H3233" s="41" t="s">
        <v>9957</v>
      </c>
      <c r="I3233" s="43">
        <v>12</v>
      </c>
      <c r="J3233" s="44" t="str">
        <f>VLOOKUP(G3233,[1]硬件清单!$F:$F,1,0)</f>
        <v>219556096</v>
      </c>
      <c r="K3233" s="43"/>
      <c r="L3233" s="44"/>
      <c r="M3233" s="45" t="s">
        <v>9958</v>
      </c>
    </row>
    <row r="3234" s="26" customFormat="1" ht="30" customHeight="1" spans="1:13">
      <c r="A3234" s="41">
        <f>IF(C3234="","",SUBTOTAL(103,$C$2:C3234))</f>
        <v>3225</v>
      </c>
      <c r="B3234" s="41">
        <v>1049</v>
      </c>
      <c r="C3234" s="41">
        <v>13634</v>
      </c>
      <c r="D3234" s="41" t="s">
        <v>887</v>
      </c>
      <c r="E3234" s="41" t="s">
        <v>1429</v>
      </c>
      <c r="F3234" s="41" t="s">
        <v>9868</v>
      </c>
      <c r="G3234" s="41" t="s">
        <v>9959</v>
      </c>
      <c r="H3234" s="41" t="s">
        <v>9960</v>
      </c>
      <c r="I3234" s="43">
        <v>12</v>
      </c>
      <c r="J3234" s="44" t="str">
        <f>VLOOKUP(G3234,[1]硬件清单!$F:$F,1,0)</f>
        <v>219562799</v>
      </c>
      <c r="K3234" s="43"/>
      <c r="L3234" s="44"/>
      <c r="M3234" s="45" t="s">
        <v>9961</v>
      </c>
    </row>
    <row r="3235" s="26" customFormat="1" ht="30" customHeight="1" spans="1:13">
      <c r="A3235" s="41">
        <f>IF(C3235="","",SUBTOTAL(103,$C$2:C3235))</f>
        <v>3226</v>
      </c>
      <c r="B3235" s="41">
        <v>1050</v>
      </c>
      <c r="C3235" s="41">
        <v>13633</v>
      </c>
      <c r="D3235" s="41" t="s">
        <v>887</v>
      </c>
      <c r="E3235" s="41" t="s">
        <v>1429</v>
      </c>
      <c r="F3235" s="41" t="s">
        <v>9868</v>
      </c>
      <c r="G3235" s="41" t="s">
        <v>9962</v>
      </c>
      <c r="H3235" s="41" t="s">
        <v>9963</v>
      </c>
      <c r="I3235" s="43">
        <v>12</v>
      </c>
      <c r="J3235" s="44" t="str">
        <f>VLOOKUP(G3235,[1]硬件清单!$F:$F,1,0)</f>
        <v>219562798</v>
      </c>
      <c r="K3235" s="43"/>
      <c r="L3235" s="44"/>
      <c r="M3235" s="45" t="s">
        <v>9964</v>
      </c>
    </row>
    <row r="3236" s="26" customFormat="1" ht="30" customHeight="1" spans="1:13">
      <c r="A3236" s="41">
        <f>IF(C3236="","",SUBTOTAL(103,$C$2:C3236))</f>
        <v>3227</v>
      </c>
      <c r="B3236" s="41">
        <v>1053</v>
      </c>
      <c r="C3236" s="41">
        <v>13616</v>
      </c>
      <c r="D3236" s="41" t="s">
        <v>887</v>
      </c>
      <c r="E3236" s="41" t="s">
        <v>1429</v>
      </c>
      <c r="F3236" s="41" t="s">
        <v>9868</v>
      </c>
      <c r="G3236" s="41" t="s">
        <v>9965</v>
      </c>
      <c r="H3236" s="41" t="s">
        <v>9966</v>
      </c>
      <c r="I3236" s="43">
        <v>12</v>
      </c>
      <c r="J3236" s="44" t="str">
        <f>VLOOKUP(G3236,[1]硬件清单!$F:$F,1,0)</f>
        <v>219556095</v>
      </c>
      <c r="K3236" s="43"/>
      <c r="L3236" s="44"/>
      <c r="M3236" s="45" t="s">
        <v>9967</v>
      </c>
    </row>
    <row r="3237" s="26" customFormat="1" ht="30" customHeight="1" spans="1:13">
      <c r="A3237" s="41">
        <f>IF(C3237="","",SUBTOTAL(103,$C$2:C3237))</f>
        <v>3228</v>
      </c>
      <c r="B3237" s="41">
        <v>1054</v>
      </c>
      <c r="C3237" s="41">
        <v>13615</v>
      </c>
      <c r="D3237" s="41" t="s">
        <v>887</v>
      </c>
      <c r="E3237" s="41" t="s">
        <v>1429</v>
      </c>
      <c r="F3237" s="41" t="s">
        <v>9868</v>
      </c>
      <c r="G3237" s="41" t="s">
        <v>9968</v>
      </c>
      <c r="H3237" s="41" t="s">
        <v>9969</v>
      </c>
      <c r="I3237" s="43">
        <v>12</v>
      </c>
      <c r="J3237" s="44" t="str">
        <f>VLOOKUP(G3237,[1]硬件清单!$F:$F,1,0)</f>
        <v>219556098</v>
      </c>
      <c r="K3237" s="43"/>
      <c r="L3237" s="44"/>
      <c r="M3237" s="45" t="s">
        <v>9970</v>
      </c>
    </row>
    <row r="3238" s="26" customFormat="1" ht="30" customHeight="1" spans="1:13">
      <c r="A3238" s="41">
        <f>IF(C3238="","",SUBTOTAL(103,$C$2:C3238))</f>
        <v>3229</v>
      </c>
      <c r="B3238" s="41">
        <v>1055</v>
      </c>
      <c r="C3238" s="41">
        <v>13618</v>
      </c>
      <c r="D3238" s="41" t="s">
        <v>887</v>
      </c>
      <c r="E3238" s="41" t="s">
        <v>1429</v>
      </c>
      <c r="F3238" s="41" t="s">
        <v>9868</v>
      </c>
      <c r="G3238" s="41" t="s">
        <v>9971</v>
      </c>
      <c r="H3238" s="41" t="s">
        <v>9972</v>
      </c>
      <c r="I3238" s="43">
        <v>12</v>
      </c>
      <c r="J3238" s="44" t="str">
        <f>VLOOKUP(G3238,[1]硬件清单!$F:$F,1,0)</f>
        <v>219555994</v>
      </c>
      <c r="K3238" s="43"/>
      <c r="L3238" s="44"/>
      <c r="M3238" s="45" t="s">
        <v>9973</v>
      </c>
    </row>
    <row r="3239" s="26" customFormat="1" ht="30" customHeight="1" spans="1:13">
      <c r="A3239" s="41">
        <f>IF(C3239="","",SUBTOTAL(103,$C$2:C3239))</f>
        <v>3230</v>
      </c>
      <c r="B3239" s="41">
        <v>1056</v>
      </c>
      <c r="C3239" s="41">
        <v>13617</v>
      </c>
      <c r="D3239" s="41" t="s">
        <v>887</v>
      </c>
      <c r="E3239" s="41" t="s">
        <v>1429</v>
      </c>
      <c r="F3239" s="41" t="s">
        <v>9868</v>
      </c>
      <c r="G3239" s="41" t="s">
        <v>9974</v>
      </c>
      <c r="H3239" s="41" t="s">
        <v>9975</v>
      </c>
      <c r="I3239" s="43">
        <v>12</v>
      </c>
      <c r="J3239" s="44" t="str">
        <f>VLOOKUP(G3239,[1]硬件清单!$F:$F,1,0)</f>
        <v>219555992</v>
      </c>
      <c r="K3239" s="43"/>
      <c r="L3239" s="44"/>
      <c r="M3239" s="45" t="s">
        <v>9976</v>
      </c>
    </row>
    <row r="3240" s="26" customFormat="1" ht="30" customHeight="1" spans="1:13">
      <c r="A3240" s="41">
        <f>IF(C3240="","",SUBTOTAL(103,$C$2:C3240))</f>
        <v>3231</v>
      </c>
      <c r="B3240" s="41">
        <v>1057</v>
      </c>
      <c r="C3240" s="41">
        <v>13620</v>
      </c>
      <c r="D3240" s="41" t="s">
        <v>887</v>
      </c>
      <c r="E3240" s="41" t="s">
        <v>1429</v>
      </c>
      <c r="F3240" s="41" t="s">
        <v>9868</v>
      </c>
      <c r="G3240" s="41" t="s">
        <v>9977</v>
      </c>
      <c r="H3240" s="41" t="s">
        <v>9978</v>
      </c>
      <c r="I3240" s="43">
        <v>12</v>
      </c>
      <c r="J3240" s="44" t="str">
        <f>VLOOKUP(G3240,[1]硬件清单!$F:$F,1,0)</f>
        <v>219555988</v>
      </c>
      <c r="K3240" s="43"/>
      <c r="L3240" s="44"/>
      <c r="M3240" s="45" t="s">
        <v>9979</v>
      </c>
    </row>
    <row r="3241" s="26" customFormat="1" ht="30" customHeight="1" spans="1:13">
      <c r="A3241" s="41">
        <f>IF(C3241="","",SUBTOTAL(103,$C$2:C3241))</f>
        <v>3232</v>
      </c>
      <c r="B3241" s="41">
        <v>1058</v>
      </c>
      <c r="C3241" s="41">
        <v>13619</v>
      </c>
      <c r="D3241" s="41" t="s">
        <v>887</v>
      </c>
      <c r="E3241" s="41" t="s">
        <v>1429</v>
      </c>
      <c r="F3241" s="41" t="s">
        <v>9868</v>
      </c>
      <c r="G3241" s="41" t="s">
        <v>9980</v>
      </c>
      <c r="H3241" s="41" t="s">
        <v>9981</v>
      </c>
      <c r="I3241" s="43">
        <v>12</v>
      </c>
      <c r="J3241" s="44" t="str">
        <f>VLOOKUP(G3241,[1]硬件清单!$F:$F,1,0)</f>
        <v>219555991</v>
      </c>
      <c r="K3241" s="43"/>
      <c r="L3241" s="44"/>
      <c r="M3241" s="45" t="s">
        <v>9982</v>
      </c>
    </row>
    <row r="3242" s="26" customFormat="1" ht="30" customHeight="1" spans="1:13">
      <c r="A3242" s="41">
        <f>IF(C3242="","",SUBTOTAL(103,$C$2:C3242))</f>
        <v>3233</v>
      </c>
      <c r="B3242" s="41">
        <v>1059</v>
      </c>
      <c r="C3242" s="41">
        <v>13622</v>
      </c>
      <c r="D3242" s="41" t="s">
        <v>887</v>
      </c>
      <c r="E3242" s="41" t="s">
        <v>1429</v>
      </c>
      <c r="F3242" s="41" t="s">
        <v>9868</v>
      </c>
      <c r="G3242" s="41" t="s">
        <v>9983</v>
      </c>
      <c r="H3242" s="41" t="s">
        <v>9984</v>
      </c>
      <c r="I3242" s="43">
        <v>12</v>
      </c>
      <c r="J3242" s="44" t="str">
        <f>VLOOKUP(G3242,[1]硬件清单!$F:$F,1,0)</f>
        <v>219555990</v>
      </c>
      <c r="K3242" s="43"/>
      <c r="L3242" s="44"/>
      <c r="M3242" s="45" t="s">
        <v>9985</v>
      </c>
    </row>
    <row r="3243" s="26" customFormat="1" ht="30" customHeight="1" spans="1:13">
      <c r="A3243" s="41">
        <f>IF(C3243="","",SUBTOTAL(103,$C$2:C3243))</f>
        <v>3234</v>
      </c>
      <c r="B3243" s="41">
        <v>1060</v>
      </c>
      <c r="C3243" s="41">
        <v>13621</v>
      </c>
      <c r="D3243" s="41" t="s">
        <v>887</v>
      </c>
      <c r="E3243" s="41" t="s">
        <v>1429</v>
      </c>
      <c r="F3243" s="41" t="s">
        <v>9868</v>
      </c>
      <c r="G3243" s="41" t="s">
        <v>9986</v>
      </c>
      <c r="H3243" s="41" t="s">
        <v>9987</v>
      </c>
      <c r="I3243" s="43">
        <v>12</v>
      </c>
      <c r="J3243" s="44" t="str">
        <f>VLOOKUP(G3243,[1]硬件清单!$F:$F,1,0)</f>
        <v>219555995</v>
      </c>
      <c r="K3243" s="43"/>
      <c r="L3243" s="44"/>
      <c r="M3243" s="45" t="s">
        <v>9988</v>
      </c>
    </row>
    <row r="3244" s="26" customFormat="1" ht="30" customHeight="1" spans="1:13">
      <c r="A3244" s="41">
        <f>IF(C3244="","",SUBTOTAL(103,$C$2:C3244))</f>
        <v>3235</v>
      </c>
      <c r="B3244" s="41">
        <v>1061</v>
      </c>
      <c r="C3244" s="41">
        <v>13624</v>
      </c>
      <c r="D3244" s="41" t="s">
        <v>887</v>
      </c>
      <c r="E3244" s="41" t="s">
        <v>1429</v>
      </c>
      <c r="F3244" s="41" t="s">
        <v>9868</v>
      </c>
      <c r="G3244" s="41" t="s">
        <v>9989</v>
      </c>
      <c r="H3244" s="41" t="s">
        <v>9990</v>
      </c>
      <c r="I3244" s="43">
        <v>12</v>
      </c>
      <c r="J3244" s="44" t="str">
        <f>VLOOKUP(G3244,[1]硬件清单!$F:$F,1,0)</f>
        <v>219555987</v>
      </c>
      <c r="K3244" s="43"/>
      <c r="L3244" s="44"/>
      <c r="M3244" s="45" t="s">
        <v>9991</v>
      </c>
    </row>
    <row r="3245" s="26" customFormat="1" ht="30" customHeight="1" spans="1:13">
      <c r="A3245" s="41">
        <f>IF(C3245="","",SUBTOTAL(103,$C$2:C3245))</f>
        <v>3236</v>
      </c>
      <c r="B3245" s="41">
        <v>1062</v>
      </c>
      <c r="C3245" s="41">
        <v>13623</v>
      </c>
      <c r="D3245" s="41" t="s">
        <v>887</v>
      </c>
      <c r="E3245" s="41" t="s">
        <v>1429</v>
      </c>
      <c r="F3245" s="41" t="s">
        <v>9868</v>
      </c>
      <c r="G3245" s="41" t="s">
        <v>9992</v>
      </c>
      <c r="H3245" s="41" t="s">
        <v>9993</v>
      </c>
      <c r="I3245" s="43">
        <v>12</v>
      </c>
      <c r="J3245" s="44" t="str">
        <f>VLOOKUP(G3245,[1]硬件清单!$F:$F,1,0)</f>
        <v>219555989</v>
      </c>
      <c r="K3245" s="43"/>
      <c r="L3245" s="44"/>
      <c r="M3245" s="45" t="s">
        <v>9994</v>
      </c>
    </row>
    <row r="3246" s="26" customFormat="1" ht="30" customHeight="1" spans="1:13">
      <c r="A3246" s="41">
        <f>IF(C3246="","",SUBTOTAL(103,$C$2:C3246))</f>
        <v>3237</v>
      </c>
      <c r="B3246" s="41">
        <v>1063</v>
      </c>
      <c r="C3246" s="41">
        <v>13626</v>
      </c>
      <c r="D3246" s="41" t="s">
        <v>887</v>
      </c>
      <c r="E3246" s="41" t="s">
        <v>1429</v>
      </c>
      <c r="F3246" s="41" t="s">
        <v>9868</v>
      </c>
      <c r="G3246" s="41" t="s">
        <v>9995</v>
      </c>
      <c r="H3246" s="41" t="s">
        <v>9996</v>
      </c>
      <c r="I3246" s="43">
        <v>12</v>
      </c>
      <c r="J3246" s="44" t="str">
        <f>VLOOKUP(G3246,[1]硬件清单!$F:$F,1,0)</f>
        <v>219562779</v>
      </c>
      <c r="K3246" s="43"/>
      <c r="L3246" s="44"/>
      <c r="M3246" s="45" t="s">
        <v>9997</v>
      </c>
    </row>
    <row r="3247" s="26" customFormat="1" ht="30" customHeight="1" spans="1:13">
      <c r="A3247" s="41">
        <f>IF(C3247="","",SUBTOTAL(103,$C$2:C3247))</f>
        <v>3238</v>
      </c>
      <c r="B3247" s="41">
        <v>1064</v>
      </c>
      <c r="C3247" s="41">
        <v>13625</v>
      </c>
      <c r="D3247" s="41" t="s">
        <v>887</v>
      </c>
      <c r="E3247" s="41" t="s">
        <v>1429</v>
      </c>
      <c r="F3247" s="41" t="s">
        <v>9868</v>
      </c>
      <c r="G3247" s="41" t="s">
        <v>9998</v>
      </c>
      <c r="H3247" s="41" t="s">
        <v>9999</v>
      </c>
      <c r="I3247" s="43">
        <v>12</v>
      </c>
      <c r="J3247" s="44" t="str">
        <f>VLOOKUP(G3247,[1]硬件清单!$F:$F,1,0)</f>
        <v>219562778</v>
      </c>
      <c r="K3247" s="43"/>
      <c r="L3247" s="44"/>
      <c r="M3247" s="45" t="s">
        <v>10000</v>
      </c>
    </row>
    <row r="3248" s="26" customFormat="1" ht="30" customHeight="1" spans="1:13">
      <c r="A3248" s="41">
        <f>IF(C3248="","",SUBTOTAL(103,$C$2:C3248))</f>
        <v>3239</v>
      </c>
      <c r="B3248" s="41">
        <v>1065</v>
      </c>
      <c r="C3248" s="41">
        <v>13628</v>
      </c>
      <c r="D3248" s="41" t="s">
        <v>887</v>
      </c>
      <c r="E3248" s="41" t="s">
        <v>1429</v>
      </c>
      <c r="F3248" s="41" t="s">
        <v>9868</v>
      </c>
      <c r="G3248" s="41" t="s">
        <v>10001</v>
      </c>
      <c r="H3248" s="41" t="s">
        <v>10002</v>
      </c>
      <c r="I3248" s="43">
        <v>12</v>
      </c>
      <c r="J3248" s="44" t="str">
        <f>VLOOKUP(G3248,[1]硬件清单!$F:$F,1,0)</f>
        <v>219562781</v>
      </c>
      <c r="K3248" s="43"/>
      <c r="L3248" s="44"/>
      <c r="M3248" s="45" t="s">
        <v>10003</v>
      </c>
    </row>
    <row r="3249" s="26" customFormat="1" ht="30" customHeight="1" spans="1:13">
      <c r="A3249" s="41">
        <f>IF(C3249="","",SUBTOTAL(103,$C$2:C3249))</f>
        <v>3240</v>
      </c>
      <c r="B3249" s="41">
        <v>1066</v>
      </c>
      <c r="C3249" s="41">
        <v>13627</v>
      </c>
      <c r="D3249" s="41" t="s">
        <v>887</v>
      </c>
      <c r="E3249" s="41" t="s">
        <v>1429</v>
      </c>
      <c r="F3249" s="41" t="s">
        <v>9868</v>
      </c>
      <c r="G3249" s="41" t="s">
        <v>10004</v>
      </c>
      <c r="H3249" s="41" t="s">
        <v>10005</v>
      </c>
      <c r="I3249" s="43">
        <v>12</v>
      </c>
      <c r="J3249" s="44" t="str">
        <f>VLOOKUP(G3249,[1]硬件清单!$F:$F,1,0)</f>
        <v>219562780</v>
      </c>
      <c r="K3249" s="43"/>
      <c r="L3249" s="44"/>
      <c r="M3249" s="45" t="s">
        <v>10006</v>
      </c>
    </row>
    <row r="3250" s="26" customFormat="1" ht="30" customHeight="1" spans="1:13">
      <c r="A3250" s="41">
        <f>IF(C3250="","",SUBTOTAL(103,$C$2:C3250))</f>
        <v>3241</v>
      </c>
      <c r="B3250" s="41">
        <v>1067</v>
      </c>
      <c r="C3250" s="41">
        <v>13630</v>
      </c>
      <c r="D3250" s="41" t="s">
        <v>887</v>
      </c>
      <c r="E3250" s="41" t="s">
        <v>1429</v>
      </c>
      <c r="F3250" s="41" t="s">
        <v>9868</v>
      </c>
      <c r="G3250" s="41" t="s">
        <v>10007</v>
      </c>
      <c r="H3250" s="41" t="s">
        <v>10008</v>
      </c>
      <c r="I3250" s="43">
        <v>12</v>
      </c>
      <c r="J3250" s="44" t="str">
        <f>VLOOKUP(G3250,[1]硬件清单!$F:$F,1,0)</f>
        <v>219555986</v>
      </c>
      <c r="K3250" s="43"/>
      <c r="L3250" s="44"/>
      <c r="M3250" s="45" t="s">
        <v>10009</v>
      </c>
    </row>
    <row r="3251" s="26" customFormat="1" ht="30" customHeight="1" spans="1:13">
      <c r="A3251" s="41">
        <f>IF(C3251="","",SUBTOTAL(103,$C$2:C3251))</f>
        <v>3242</v>
      </c>
      <c r="B3251" s="41">
        <v>1068</v>
      </c>
      <c r="C3251" s="41">
        <v>13629</v>
      </c>
      <c r="D3251" s="41" t="s">
        <v>887</v>
      </c>
      <c r="E3251" s="41" t="s">
        <v>1429</v>
      </c>
      <c r="F3251" s="41" t="s">
        <v>9868</v>
      </c>
      <c r="G3251" s="41" t="s">
        <v>10010</v>
      </c>
      <c r="H3251" s="41" t="s">
        <v>10011</v>
      </c>
      <c r="I3251" s="43">
        <v>12</v>
      </c>
      <c r="J3251" s="44" t="str">
        <f>VLOOKUP(G3251,[1]硬件清单!$F:$F,1,0)</f>
        <v>219556082</v>
      </c>
      <c r="K3251" s="43"/>
      <c r="L3251" s="44"/>
      <c r="M3251" s="45" t="s">
        <v>10012</v>
      </c>
    </row>
    <row r="3252" s="26" customFormat="1" ht="30" customHeight="1" spans="1:13">
      <c r="A3252" s="41">
        <f>IF(C3252="","",SUBTOTAL(103,$C$2:C3252))</f>
        <v>3243</v>
      </c>
      <c r="B3252" s="41">
        <v>1071</v>
      </c>
      <c r="C3252" s="41">
        <v>8074</v>
      </c>
      <c r="D3252" s="41" t="s">
        <v>887</v>
      </c>
      <c r="E3252" s="41" t="s">
        <v>1429</v>
      </c>
      <c r="F3252" s="41" t="s">
        <v>1513</v>
      </c>
      <c r="G3252" s="41" t="s">
        <v>10013</v>
      </c>
      <c r="H3252" s="41" t="s">
        <v>10014</v>
      </c>
      <c r="I3252" s="43">
        <v>12</v>
      </c>
      <c r="J3252" s="44" t="str">
        <f>VLOOKUP(G3252,[1]硬件清单!$F:$F,1,0)</f>
        <v>FNPDF3X</v>
      </c>
      <c r="K3252" s="43"/>
      <c r="L3252" s="44"/>
      <c r="M3252" s="45" t="s">
        <v>10015</v>
      </c>
    </row>
    <row r="3253" s="26" customFormat="1" ht="30" customHeight="1" spans="1:13">
      <c r="A3253" s="41">
        <f>IF(C3253="","",SUBTOTAL(103,$C$2:C3253))</f>
        <v>3244</v>
      </c>
      <c r="B3253" s="41">
        <v>1072</v>
      </c>
      <c r="C3253" s="46">
        <v>10752</v>
      </c>
      <c r="D3253" s="46" t="s">
        <v>19</v>
      </c>
      <c r="E3253" s="46" t="s">
        <v>20</v>
      </c>
      <c r="F3253" s="46" t="s">
        <v>10016</v>
      </c>
      <c r="G3253" s="41" t="s">
        <v>10017</v>
      </c>
      <c r="H3253" s="41" t="s">
        <v>10018</v>
      </c>
      <c r="I3253" s="43">
        <v>12</v>
      </c>
      <c r="J3253" s="44" t="str">
        <f>VLOOKUP(G3253,[1]硬件清单!$F:$F,1,0)</f>
        <v>2102350DLUDMGB000499</v>
      </c>
      <c r="K3253" s="43"/>
      <c r="L3253" s="44"/>
      <c r="M3253" s="45" t="s">
        <v>10019</v>
      </c>
    </row>
    <row r="3254" s="26" customFormat="1" ht="30" customHeight="1" spans="1:13">
      <c r="A3254" s="41">
        <f>IF(C3254="","",SUBTOTAL(103,$C$2:C3254))</f>
        <v>3245</v>
      </c>
      <c r="B3254" s="41">
        <v>1073</v>
      </c>
      <c r="C3254" s="41">
        <v>8931</v>
      </c>
      <c r="D3254" s="41" t="s">
        <v>45</v>
      </c>
      <c r="E3254" s="41" t="s">
        <v>1298</v>
      </c>
      <c r="F3254" s="41" t="s">
        <v>8426</v>
      </c>
      <c r="G3254" s="41" t="s">
        <v>10020</v>
      </c>
      <c r="H3254" s="41" t="s">
        <v>10021</v>
      </c>
      <c r="I3254" s="43">
        <v>12</v>
      </c>
      <c r="J3254" s="44" t="str">
        <f>VLOOKUP(G3254,[1]硬件清单!$F:$F,1,0)</f>
        <v>06ACPF0</v>
      </c>
      <c r="K3254" s="43"/>
      <c r="L3254" s="44"/>
      <c r="M3254" s="45" t="s">
        <v>10022</v>
      </c>
    </row>
    <row r="3255" s="26" customFormat="1" ht="30" customHeight="1" spans="1:13">
      <c r="A3255" s="41">
        <f>IF(C3255="","",SUBTOTAL(103,$C$2:C3255))</f>
        <v>3246</v>
      </c>
      <c r="B3255" s="41">
        <v>1074</v>
      </c>
      <c r="C3255" s="41">
        <v>11103</v>
      </c>
      <c r="D3255" s="41" t="s">
        <v>19</v>
      </c>
      <c r="E3255" s="41" t="s">
        <v>20</v>
      </c>
      <c r="F3255" s="41" t="s">
        <v>10023</v>
      </c>
      <c r="G3255" s="41" t="s">
        <v>10024</v>
      </c>
      <c r="H3255" s="41" t="s">
        <v>10025</v>
      </c>
      <c r="I3255" s="43">
        <v>12</v>
      </c>
      <c r="J3255" s="44" t="str">
        <f>VLOOKUP(G3255,[1]硬件清单!$F:$F,1,0)</f>
        <v>210235A1DWH149000107</v>
      </c>
      <c r="K3255" s="43"/>
      <c r="L3255" s="44"/>
      <c r="M3255" s="45" t="s">
        <v>10026</v>
      </c>
    </row>
    <row r="3256" s="26" customFormat="1" ht="30" customHeight="1" spans="1:13">
      <c r="A3256" s="41">
        <f>IF(C3256="","",SUBTOTAL(103,$C$2:C3256))</f>
        <v>3247</v>
      </c>
      <c r="B3256" s="41">
        <v>1075</v>
      </c>
      <c r="C3256" s="41">
        <v>11102</v>
      </c>
      <c r="D3256" s="41" t="s">
        <v>19</v>
      </c>
      <c r="E3256" s="41" t="s">
        <v>20</v>
      </c>
      <c r="F3256" s="41" t="s">
        <v>10023</v>
      </c>
      <c r="G3256" s="41" t="s">
        <v>10027</v>
      </c>
      <c r="H3256" s="41" t="s">
        <v>10028</v>
      </c>
      <c r="I3256" s="43">
        <v>12</v>
      </c>
      <c r="J3256" s="44" t="str">
        <f>VLOOKUP(G3256,[1]硬件清单!$F:$F,1,0)</f>
        <v>210235A1DWH149000111</v>
      </c>
      <c r="K3256" s="43"/>
      <c r="L3256" s="44"/>
      <c r="M3256" s="45" t="s">
        <v>10029</v>
      </c>
    </row>
    <row r="3257" s="26" customFormat="1" ht="30" customHeight="1" spans="1:13">
      <c r="A3257" s="41">
        <f>IF(C3257="","",SUBTOTAL(103,$C$2:C3257))</f>
        <v>3248</v>
      </c>
      <c r="B3257" s="41">
        <v>1076</v>
      </c>
      <c r="C3257" s="41">
        <v>11091</v>
      </c>
      <c r="D3257" s="41" t="s">
        <v>19</v>
      </c>
      <c r="E3257" s="41" t="s">
        <v>113</v>
      </c>
      <c r="F3257" s="41" t="s">
        <v>135</v>
      </c>
      <c r="G3257" s="41" t="s">
        <v>10030</v>
      </c>
      <c r="H3257" s="41" t="s">
        <v>10031</v>
      </c>
      <c r="I3257" s="43">
        <v>12</v>
      </c>
      <c r="J3257" s="44" t="str">
        <f>VLOOKUP(G3257,[1]硬件清单!$F:$F,1,0)</f>
        <v>2102113373P0E9000496</v>
      </c>
      <c r="K3257" s="43"/>
      <c r="L3257" s="44"/>
      <c r="M3257" s="45" t="s">
        <v>10032</v>
      </c>
    </row>
    <row r="3258" s="26" customFormat="1" ht="30" customHeight="1" spans="1:13">
      <c r="A3258" s="41">
        <f>IF(C3258="","",SUBTOTAL(103,$C$2:C3258))</f>
        <v>3249</v>
      </c>
      <c r="B3258" s="41">
        <v>1077</v>
      </c>
      <c r="C3258" s="41">
        <v>11109</v>
      </c>
      <c r="D3258" s="41" t="s">
        <v>19</v>
      </c>
      <c r="E3258" s="41" t="s">
        <v>20</v>
      </c>
      <c r="F3258" s="41" t="s">
        <v>10033</v>
      </c>
      <c r="G3258" s="41" t="s">
        <v>10034</v>
      </c>
      <c r="H3258" s="41" t="s">
        <v>10035</v>
      </c>
      <c r="I3258" s="43">
        <v>12</v>
      </c>
      <c r="J3258" s="44" t="str">
        <f>VLOOKUP(G3258,[1]硬件清单!$F:$F,1,0)</f>
        <v>210235AOHAH14A000366</v>
      </c>
      <c r="K3258" s="43"/>
      <c r="L3258" s="44"/>
      <c r="M3258" s="45" t="s">
        <v>10036</v>
      </c>
    </row>
    <row r="3259" s="26" customFormat="1" ht="30" customHeight="1" spans="1:13">
      <c r="A3259" s="41">
        <f>IF(C3259="","",SUBTOTAL(103,$C$2:C3259))</f>
        <v>3250</v>
      </c>
      <c r="B3259" s="41">
        <v>1078</v>
      </c>
      <c r="C3259" s="41">
        <v>11108</v>
      </c>
      <c r="D3259" s="41" t="s">
        <v>19</v>
      </c>
      <c r="E3259" s="41" t="s">
        <v>20</v>
      </c>
      <c r="F3259" s="41" t="s">
        <v>10033</v>
      </c>
      <c r="G3259" s="41" t="s">
        <v>10037</v>
      </c>
      <c r="H3259" s="41" t="s">
        <v>10038</v>
      </c>
      <c r="I3259" s="43">
        <v>12</v>
      </c>
      <c r="J3259" s="44" t="str">
        <f>VLOOKUP(G3259,[1]硬件清单!$F:$F,1,0)</f>
        <v>210235AOHAH14A000076</v>
      </c>
      <c r="K3259" s="43"/>
      <c r="L3259" s="44"/>
      <c r="M3259" s="45" t="s">
        <v>10039</v>
      </c>
    </row>
    <row r="3260" s="26" customFormat="1" ht="30" customHeight="1" spans="1:13">
      <c r="A3260" s="41">
        <f>IF(C3260="","",SUBTOTAL(103,$C$2:C3260))</f>
        <v>3251</v>
      </c>
      <c r="B3260" s="41">
        <v>1079</v>
      </c>
      <c r="C3260" s="41">
        <v>11168</v>
      </c>
      <c r="D3260" s="41" t="s">
        <v>19</v>
      </c>
      <c r="E3260" s="41" t="s">
        <v>20</v>
      </c>
      <c r="F3260" s="41" t="s">
        <v>10033</v>
      </c>
      <c r="G3260" s="41" t="s">
        <v>10040</v>
      </c>
      <c r="H3260" s="41" t="s">
        <v>10041</v>
      </c>
      <c r="I3260" s="43">
        <v>12</v>
      </c>
      <c r="J3260" s="44" t="str">
        <f>VLOOKUP(G3260,[1]硬件清单!$F:$F,1,0)</f>
        <v>210235AOHAH14A000397</v>
      </c>
      <c r="K3260" s="43"/>
      <c r="L3260" s="44"/>
      <c r="M3260" s="45" t="s">
        <v>10042</v>
      </c>
    </row>
    <row r="3261" s="26" customFormat="1" ht="30" customHeight="1" spans="1:13">
      <c r="A3261" s="41">
        <f>IF(C3261="","",SUBTOTAL(103,$C$2:C3261))</f>
        <v>3252</v>
      </c>
      <c r="B3261" s="41">
        <v>1080</v>
      </c>
      <c r="C3261" s="41">
        <v>11113</v>
      </c>
      <c r="D3261" s="41" t="s">
        <v>19</v>
      </c>
      <c r="E3261" s="41" t="s">
        <v>20</v>
      </c>
      <c r="F3261" s="41" t="s">
        <v>10033</v>
      </c>
      <c r="G3261" s="41" t="s">
        <v>10043</v>
      </c>
      <c r="H3261" s="41" t="s">
        <v>10044</v>
      </c>
      <c r="I3261" s="43">
        <v>12</v>
      </c>
      <c r="J3261" s="44" t="str">
        <f>VLOOKUP(G3261,[1]硬件清单!$F:$F,1,0)</f>
        <v>210235AOHAH14A000246</v>
      </c>
      <c r="K3261" s="43"/>
      <c r="L3261" s="44"/>
      <c r="M3261" s="45" t="s">
        <v>10045</v>
      </c>
    </row>
    <row r="3262" s="26" customFormat="1" ht="30" customHeight="1" spans="1:13">
      <c r="A3262" s="41">
        <f>IF(C3262="","",SUBTOTAL(103,$C$2:C3262))</f>
        <v>3253</v>
      </c>
      <c r="B3262" s="41">
        <v>1081</v>
      </c>
      <c r="C3262" s="41">
        <v>4814</v>
      </c>
      <c r="D3262" s="41" t="s">
        <v>19</v>
      </c>
      <c r="E3262" s="41" t="s">
        <v>20</v>
      </c>
      <c r="F3262" s="42" t="s">
        <v>10046</v>
      </c>
      <c r="G3262" s="41" t="s">
        <v>10047</v>
      </c>
      <c r="H3262" s="41" t="s">
        <v>10048</v>
      </c>
      <c r="I3262" s="43">
        <v>12</v>
      </c>
      <c r="J3262" s="44" t="str">
        <f>VLOOKUP(G3262,[1]硬件清单!$F:$F,1,0)</f>
        <v>210235A1G9H178000018</v>
      </c>
      <c r="K3262" s="43"/>
      <c r="L3262" s="44"/>
      <c r="M3262" s="45" t="s">
        <v>10049</v>
      </c>
    </row>
    <row r="3263" s="26" customFormat="1" ht="30" customHeight="1" spans="1:13">
      <c r="A3263" s="41">
        <f>IF(C3263="","",SUBTOTAL(103,$C$2:C3263))</f>
        <v>3254</v>
      </c>
      <c r="B3263" s="41">
        <v>1082</v>
      </c>
      <c r="C3263" s="41">
        <v>4813</v>
      </c>
      <c r="D3263" s="41" t="s">
        <v>19</v>
      </c>
      <c r="E3263" s="41" t="s">
        <v>20</v>
      </c>
      <c r="F3263" s="41" t="s">
        <v>10050</v>
      </c>
      <c r="G3263" s="41" t="s">
        <v>10051</v>
      </c>
      <c r="H3263" s="41" t="s">
        <v>10052</v>
      </c>
      <c r="I3263" s="43">
        <v>12</v>
      </c>
      <c r="J3263" s="44" t="str">
        <f>VLOOKUP(G3263,[1]硬件清单!$F:$F,1,0)</f>
        <v>210235A1G9H178000016</v>
      </c>
      <c r="K3263" s="43"/>
      <c r="L3263" s="44"/>
      <c r="M3263" s="45" t="s">
        <v>10053</v>
      </c>
    </row>
    <row r="3264" s="26" customFormat="1" ht="30" customHeight="1" spans="1:13">
      <c r="A3264" s="41">
        <f>IF(C3264="","",SUBTOTAL(103,$C$2:C3264))</f>
        <v>3255</v>
      </c>
      <c r="B3264" s="41">
        <v>1083</v>
      </c>
      <c r="C3264" s="41">
        <v>11098</v>
      </c>
      <c r="D3264" s="41" t="s">
        <v>19</v>
      </c>
      <c r="E3264" s="41" t="s">
        <v>20</v>
      </c>
      <c r="F3264" s="41" t="s">
        <v>10054</v>
      </c>
      <c r="G3264" s="41" t="s">
        <v>10055</v>
      </c>
      <c r="H3264" s="41" t="s">
        <v>10056</v>
      </c>
      <c r="I3264" s="43">
        <v>12</v>
      </c>
      <c r="J3264" s="44" t="str">
        <f>VLOOKUP(G3264,[1]硬件清单!$F:$F,1,0)</f>
        <v>210235A36XH149000035</v>
      </c>
      <c r="K3264" s="43"/>
      <c r="L3264" s="44"/>
      <c r="M3264" s="45" t="s">
        <v>10057</v>
      </c>
    </row>
    <row r="3265" s="26" customFormat="1" ht="30" customHeight="1" spans="1:13">
      <c r="A3265" s="41">
        <f>IF(C3265="","",SUBTOTAL(103,$C$2:C3265))</f>
        <v>3256</v>
      </c>
      <c r="B3265" s="41">
        <v>1084</v>
      </c>
      <c r="C3265" s="41">
        <v>11099</v>
      </c>
      <c r="D3265" s="41" t="s">
        <v>19</v>
      </c>
      <c r="E3265" s="41" t="s">
        <v>20</v>
      </c>
      <c r="F3265" s="41" t="s">
        <v>10054</v>
      </c>
      <c r="G3265" s="41" t="s">
        <v>10058</v>
      </c>
      <c r="H3265" s="41" t="s">
        <v>10059</v>
      </c>
      <c r="I3265" s="43">
        <v>12</v>
      </c>
      <c r="J3265" s="44" t="str">
        <f>VLOOKUP(G3265,[1]硬件清单!$F:$F,1,0)</f>
        <v>210235A36XH149000087</v>
      </c>
      <c r="K3265" s="43"/>
      <c r="L3265" s="44"/>
      <c r="M3265" s="45" t="s">
        <v>10060</v>
      </c>
    </row>
    <row r="3266" s="26" customFormat="1" ht="30" customHeight="1" spans="1:13">
      <c r="A3266" s="41">
        <f>IF(C3266="","",SUBTOTAL(103,$C$2:C3266))</f>
        <v>3257</v>
      </c>
      <c r="B3266" s="41">
        <v>1085</v>
      </c>
      <c r="C3266" s="41">
        <v>5382</v>
      </c>
      <c r="D3266" s="41" t="s">
        <v>12</v>
      </c>
      <c r="E3266" s="41" t="s">
        <v>127</v>
      </c>
      <c r="F3266" s="52" t="s">
        <v>10061</v>
      </c>
      <c r="G3266" s="41" t="s">
        <v>10062</v>
      </c>
      <c r="H3266" s="41" t="s">
        <v>10063</v>
      </c>
      <c r="I3266" s="43">
        <v>12</v>
      </c>
      <c r="J3266" s="44" t="str">
        <f>VLOOKUP(G3266,[1]硬件清单!$F:$F,1,0)</f>
        <v>21013031272161020009（107）;  21013031272161020006（107）; 2101302474217A020009（103）; 2101302474217A020006（103）; 2101302474217A020008（103）;  2101302474217A02000A（103）;</v>
      </c>
      <c r="K3266" s="44"/>
      <c r="L3266" s="44"/>
      <c r="M3266" s="45" t="s">
        <v>10064</v>
      </c>
    </row>
    <row r="3267" s="26" customFormat="1" ht="30" customHeight="1" spans="1:13">
      <c r="A3267" s="41">
        <f>IF(C3267="","",SUBTOTAL(103,$C$2:C3267))</f>
        <v>3258</v>
      </c>
      <c r="B3267" s="41">
        <v>1086</v>
      </c>
      <c r="C3267" s="41">
        <v>4816</v>
      </c>
      <c r="D3267" s="41" t="s">
        <v>19</v>
      </c>
      <c r="E3267" s="41" t="s">
        <v>20</v>
      </c>
      <c r="F3267" s="41" t="s">
        <v>10050</v>
      </c>
      <c r="G3267" s="41" t="s">
        <v>10065</v>
      </c>
      <c r="H3267" s="41" t="s">
        <v>10066</v>
      </c>
      <c r="I3267" s="43">
        <v>12</v>
      </c>
      <c r="J3267" s="44" t="str">
        <f>VLOOKUP(G3267,[1]硬件清单!$F:$F,1,0)</f>
        <v>210235A1G9H178000028</v>
      </c>
      <c r="K3267" s="43"/>
      <c r="L3267" s="44"/>
      <c r="M3267" s="45" t="s">
        <v>10067</v>
      </c>
    </row>
    <row r="3268" s="26" customFormat="1" ht="30" customHeight="1" spans="1:13">
      <c r="A3268" s="41">
        <f>IF(C3268="","",SUBTOTAL(103,$C$2:C3268))</f>
        <v>3259</v>
      </c>
      <c r="B3268" s="41">
        <v>1087</v>
      </c>
      <c r="C3268" s="41">
        <v>4815</v>
      </c>
      <c r="D3268" s="41" t="s">
        <v>19</v>
      </c>
      <c r="E3268" s="41" t="s">
        <v>20</v>
      </c>
      <c r="F3268" s="41" t="s">
        <v>10050</v>
      </c>
      <c r="G3268" s="41" t="s">
        <v>10068</v>
      </c>
      <c r="H3268" s="41" t="s">
        <v>10069</v>
      </c>
      <c r="I3268" s="43">
        <v>12</v>
      </c>
      <c r="J3268" s="44" t="str">
        <f>VLOOKUP(G3268,[1]硬件清单!$F:$F,1,0)</f>
        <v>210235A1G9H179000017</v>
      </c>
      <c r="K3268" s="43"/>
      <c r="L3268" s="44"/>
      <c r="M3268" s="45" t="s">
        <v>10070</v>
      </c>
    </row>
    <row r="3269" s="26" customFormat="1" ht="30" customHeight="1" spans="1:13">
      <c r="A3269" s="41">
        <f>IF(C3269="","",SUBTOTAL(103,$C$2:C3269))</f>
        <v>3260</v>
      </c>
      <c r="B3269" s="41">
        <v>1088</v>
      </c>
      <c r="C3269" s="41">
        <v>4810</v>
      </c>
      <c r="D3269" s="41" t="s">
        <v>19</v>
      </c>
      <c r="E3269" s="41" t="s">
        <v>20</v>
      </c>
      <c r="F3269" s="41" t="s">
        <v>10050</v>
      </c>
      <c r="G3269" s="41" t="s">
        <v>10071</v>
      </c>
      <c r="H3269" s="41" t="s">
        <v>10072</v>
      </c>
      <c r="I3269" s="43">
        <v>12</v>
      </c>
      <c r="J3269" s="44" t="str">
        <f>VLOOKUP(G3269,[1]硬件清单!$F:$F,1,0)</f>
        <v>210235A1G9H178000055</v>
      </c>
      <c r="K3269" s="43"/>
      <c r="L3269" s="44"/>
      <c r="M3269" s="45" t="s">
        <v>10073</v>
      </c>
    </row>
    <row r="3270" s="26" customFormat="1" ht="30" customHeight="1" spans="1:13">
      <c r="A3270" s="41">
        <f>IF(C3270="","",SUBTOTAL(103,$C$2:C3270))</f>
        <v>3261</v>
      </c>
      <c r="B3270" s="41">
        <v>1089</v>
      </c>
      <c r="C3270" s="41">
        <v>4809</v>
      </c>
      <c r="D3270" s="41" t="s">
        <v>19</v>
      </c>
      <c r="E3270" s="41" t="s">
        <v>20</v>
      </c>
      <c r="F3270" s="41" t="s">
        <v>10050</v>
      </c>
      <c r="G3270" s="41" t="s">
        <v>10074</v>
      </c>
      <c r="H3270" s="41" t="s">
        <v>10075</v>
      </c>
      <c r="I3270" s="43">
        <v>12</v>
      </c>
      <c r="J3270" s="44" t="str">
        <f>VLOOKUP(G3270,[1]硬件清单!$F:$F,1,0)</f>
        <v>210235A1G9H178000036</v>
      </c>
      <c r="K3270" s="43"/>
      <c r="L3270" s="44"/>
      <c r="M3270" s="45" t="s">
        <v>10076</v>
      </c>
    </row>
    <row r="3271" s="26" customFormat="1" ht="30" customHeight="1" spans="1:13">
      <c r="A3271" s="41">
        <f>IF(C3271="","",SUBTOTAL(103,$C$2:C3271))</f>
        <v>3262</v>
      </c>
      <c r="B3271" s="41">
        <v>1090</v>
      </c>
      <c r="C3271" s="41">
        <v>4808</v>
      </c>
      <c r="D3271" s="41" t="s">
        <v>19</v>
      </c>
      <c r="E3271" s="41" t="s">
        <v>20</v>
      </c>
      <c r="F3271" s="41" t="s">
        <v>10077</v>
      </c>
      <c r="G3271" s="41" t="s">
        <v>10078</v>
      </c>
      <c r="H3271" s="41" t="s">
        <v>10079</v>
      </c>
      <c r="I3271" s="43">
        <v>12</v>
      </c>
      <c r="J3271" s="44" t="str">
        <f>VLOOKUP(G3271,[1]硬件清单!$F:$F,1,0)</f>
        <v>210235A1TXH179000255</v>
      </c>
      <c r="K3271" s="43"/>
      <c r="L3271" s="44"/>
      <c r="M3271" s="45" t="s">
        <v>10080</v>
      </c>
    </row>
    <row r="3272" s="26" customFormat="1" ht="30" customHeight="1" spans="1:13">
      <c r="A3272" s="41">
        <f>IF(C3272="","",SUBTOTAL(103,$C$2:C3272))</f>
        <v>3263</v>
      </c>
      <c r="B3272" s="41">
        <v>1091</v>
      </c>
      <c r="C3272" s="41">
        <v>4807</v>
      </c>
      <c r="D3272" s="41" t="s">
        <v>19</v>
      </c>
      <c r="E3272" s="41" t="s">
        <v>20</v>
      </c>
      <c r="F3272" s="41" t="s">
        <v>10077</v>
      </c>
      <c r="G3272" s="41" t="s">
        <v>10081</v>
      </c>
      <c r="H3272" s="41" t="s">
        <v>10082</v>
      </c>
      <c r="I3272" s="43">
        <v>12</v>
      </c>
      <c r="J3272" s="44" t="str">
        <f>VLOOKUP(G3272,[1]硬件清单!$F:$F,1,0)</f>
        <v>210235A1TXH179000243</v>
      </c>
      <c r="K3272" s="43"/>
      <c r="L3272" s="44"/>
      <c r="M3272" s="45" t="s">
        <v>10083</v>
      </c>
    </row>
    <row r="3273" s="26" customFormat="1" ht="30" customHeight="1" spans="1:13">
      <c r="A3273" s="41">
        <f>IF(C3273="","",SUBTOTAL(103,$C$2:C3273))</f>
        <v>3264</v>
      </c>
      <c r="B3273" s="41">
        <v>1092</v>
      </c>
      <c r="C3273" s="41">
        <v>4491</v>
      </c>
      <c r="D3273" s="41" t="s">
        <v>45</v>
      </c>
      <c r="E3273" s="41" t="s">
        <v>1298</v>
      </c>
      <c r="F3273" s="41" t="s">
        <v>4535</v>
      </c>
      <c r="G3273" s="41" t="s">
        <v>10084</v>
      </c>
      <c r="H3273" s="41" t="s">
        <v>10085</v>
      </c>
      <c r="I3273" s="43">
        <v>12</v>
      </c>
      <c r="J3273" s="44" t="str">
        <f>VLOOKUP(G3273,[1]硬件清单!$F:$F,1,0)</f>
        <v>J33GRYV</v>
      </c>
      <c r="K3273" s="43"/>
      <c r="L3273" s="44"/>
      <c r="M3273" s="45" t="s">
        <v>10086</v>
      </c>
    </row>
    <row r="3274" s="26" customFormat="1" ht="30" customHeight="1" spans="1:13">
      <c r="A3274" s="41">
        <f>IF(C3274="","",SUBTOTAL(103,$C$2:C3274))</f>
        <v>3265</v>
      </c>
      <c r="B3274" s="41">
        <v>1093</v>
      </c>
      <c r="C3274" s="41">
        <v>4492</v>
      </c>
      <c r="D3274" s="41" t="s">
        <v>45</v>
      </c>
      <c r="E3274" s="41" t="s">
        <v>1298</v>
      </c>
      <c r="F3274" s="41" t="s">
        <v>4535</v>
      </c>
      <c r="G3274" s="41" t="s">
        <v>10087</v>
      </c>
      <c r="H3274" s="41" t="s">
        <v>10088</v>
      </c>
      <c r="I3274" s="43">
        <v>12</v>
      </c>
      <c r="J3274" s="44" t="str">
        <f>VLOOKUP(G3274,[1]硬件清单!$F:$F,1,0)</f>
        <v>J33GRYT</v>
      </c>
      <c r="K3274" s="43"/>
      <c r="L3274" s="44"/>
      <c r="M3274" s="45" t="s">
        <v>10089</v>
      </c>
    </row>
    <row r="3275" s="26" customFormat="1" ht="30" customHeight="1" spans="1:13">
      <c r="A3275" s="41">
        <f>IF(C3275="","",SUBTOTAL(103,$C$2:C3275))</f>
        <v>3266</v>
      </c>
      <c r="B3275" s="41">
        <v>1094</v>
      </c>
      <c r="C3275" s="41">
        <v>4817</v>
      </c>
      <c r="D3275" s="41" t="s">
        <v>19</v>
      </c>
      <c r="E3275" s="41" t="s">
        <v>20</v>
      </c>
      <c r="F3275" s="41" t="s">
        <v>10050</v>
      </c>
      <c r="G3275" s="41" t="s">
        <v>10090</v>
      </c>
      <c r="H3275" s="41" t="s">
        <v>10091</v>
      </c>
      <c r="I3275" s="43">
        <v>12</v>
      </c>
      <c r="J3275" s="44" t="str">
        <f>VLOOKUP(G3275,[1]硬件清单!$F:$F,1,0)</f>
        <v>210235A1G9H178000046</v>
      </c>
      <c r="K3275" s="43"/>
      <c r="L3275" s="44"/>
      <c r="M3275" s="45" t="s">
        <v>10092</v>
      </c>
    </row>
    <row r="3276" s="26" customFormat="1" ht="30" customHeight="1" spans="1:13">
      <c r="A3276" s="41">
        <f>IF(C3276="","",SUBTOTAL(103,$C$2:C3276))</f>
        <v>3267</v>
      </c>
      <c r="B3276" s="41">
        <v>1095</v>
      </c>
      <c r="C3276" s="41">
        <v>4468</v>
      </c>
      <c r="D3276" s="41" t="s">
        <v>45</v>
      </c>
      <c r="E3276" s="41" t="s">
        <v>1298</v>
      </c>
      <c r="F3276" s="41" t="s">
        <v>10093</v>
      </c>
      <c r="G3276" s="41" t="s">
        <v>10094</v>
      </c>
      <c r="H3276" s="41" t="s">
        <v>10095</v>
      </c>
      <c r="I3276" s="43">
        <v>12</v>
      </c>
      <c r="J3276" s="44" t="str">
        <f>VLOOKUP(G3276,[1]硬件清单!$F:$F,1,0)</f>
        <v>217399866-10A</v>
      </c>
      <c r="K3276" s="43"/>
      <c r="L3276" s="44"/>
      <c r="M3276" s="45" t="s">
        <v>10096</v>
      </c>
    </row>
    <row r="3277" s="26" customFormat="1" ht="30" customHeight="1" spans="1:13">
      <c r="A3277" s="41">
        <f>IF(C3277="","",SUBTOTAL(103,$C$2:C3277))</f>
        <v>3268</v>
      </c>
      <c r="B3277" s="41">
        <v>1096</v>
      </c>
      <c r="C3277" s="41">
        <v>4467</v>
      </c>
      <c r="D3277" s="41" t="s">
        <v>45</v>
      </c>
      <c r="E3277" s="41" t="s">
        <v>1298</v>
      </c>
      <c r="F3277" s="41" t="s">
        <v>10093</v>
      </c>
      <c r="G3277" s="41" t="s">
        <v>10097</v>
      </c>
      <c r="H3277" s="41" t="s">
        <v>10098</v>
      </c>
      <c r="I3277" s="43">
        <v>12</v>
      </c>
      <c r="J3277" s="44" t="str">
        <f>VLOOKUP(G3277,[1]硬件清单!$F:$F,1,0)</f>
        <v>217399866-11A</v>
      </c>
      <c r="K3277" s="43"/>
      <c r="L3277" s="44"/>
      <c r="M3277" s="45" t="s">
        <v>10099</v>
      </c>
    </row>
    <row r="3278" s="26" customFormat="1" ht="30" customHeight="1" spans="1:13">
      <c r="A3278" s="41">
        <f>IF(C3278="","",SUBTOTAL(103,$C$2:C3278))</f>
        <v>3269</v>
      </c>
      <c r="B3278" s="41">
        <v>1097</v>
      </c>
      <c r="C3278" s="41">
        <v>4466</v>
      </c>
      <c r="D3278" s="41" t="s">
        <v>45</v>
      </c>
      <c r="E3278" s="41" t="s">
        <v>1298</v>
      </c>
      <c r="F3278" s="41" t="s">
        <v>10093</v>
      </c>
      <c r="G3278" s="41" t="s">
        <v>10100</v>
      </c>
      <c r="H3278" s="41" t="s">
        <v>10101</v>
      </c>
      <c r="I3278" s="43">
        <v>12</v>
      </c>
      <c r="J3278" s="44" t="str">
        <f>VLOOKUP(G3278,[1]硬件清单!$F:$F,1,0)</f>
        <v>217399866-12A</v>
      </c>
      <c r="K3278" s="43"/>
      <c r="L3278" s="44"/>
      <c r="M3278" s="45" t="s">
        <v>10102</v>
      </c>
    </row>
    <row r="3279" s="26" customFormat="1" ht="30" customHeight="1" spans="1:13">
      <c r="A3279" s="41">
        <f>IF(C3279="","",SUBTOTAL(103,$C$2:C3279))</f>
        <v>3270</v>
      </c>
      <c r="B3279" s="41">
        <v>1098</v>
      </c>
      <c r="C3279" s="41">
        <v>4465</v>
      </c>
      <c r="D3279" s="41" t="s">
        <v>45</v>
      </c>
      <c r="E3279" s="41" t="s">
        <v>1298</v>
      </c>
      <c r="F3279" s="41" t="s">
        <v>10093</v>
      </c>
      <c r="G3279" s="41" t="s">
        <v>10103</v>
      </c>
      <c r="H3279" s="41" t="s">
        <v>10104</v>
      </c>
      <c r="I3279" s="43">
        <v>12</v>
      </c>
      <c r="J3279" s="44" t="str">
        <f>VLOOKUP(G3279,[1]硬件清单!$F:$F,1,0)</f>
        <v>217399866-13A</v>
      </c>
      <c r="K3279" s="43"/>
      <c r="L3279" s="44"/>
      <c r="M3279" s="45" t="s">
        <v>10105</v>
      </c>
    </row>
    <row r="3280" s="26" customFormat="1" ht="30" customHeight="1" spans="1:13">
      <c r="A3280" s="41">
        <f>IF(C3280="","",SUBTOTAL(103,$C$2:C3280))</f>
        <v>3271</v>
      </c>
      <c r="B3280" s="41">
        <v>1099</v>
      </c>
      <c r="C3280" s="41">
        <v>4464</v>
      </c>
      <c r="D3280" s="41" t="s">
        <v>45</v>
      </c>
      <c r="E3280" s="41" t="s">
        <v>1298</v>
      </c>
      <c r="F3280" s="41" t="s">
        <v>10093</v>
      </c>
      <c r="G3280" s="41" t="s">
        <v>10106</v>
      </c>
      <c r="H3280" s="41" t="s">
        <v>10107</v>
      </c>
      <c r="I3280" s="43">
        <v>12</v>
      </c>
      <c r="J3280" s="44" t="str">
        <f>VLOOKUP(G3280,[1]硬件清单!$F:$F,1,0)</f>
        <v>217399866-14A</v>
      </c>
      <c r="K3280" s="43"/>
      <c r="L3280" s="44"/>
      <c r="M3280" s="45" t="s">
        <v>10108</v>
      </c>
    </row>
    <row r="3281" s="26" customFormat="1" ht="30" customHeight="1" spans="1:13">
      <c r="A3281" s="41">
        <f>IF(C3281="","",SUBTOTAL(103,$C$2:C3281))</f>
        <v>3272</v>
      </c>
      <c r="B3281" s="41">
        <v>1100</v>
      </c>
      <c r="C3281" s="41">
        <v>4463</v>
      </c>
      <c r="D3281" s="41" t="s">
        <v>45</v>
      </c>
      <c r="E3281" s="41" t="s">
        <v>1298</v>
      </c>
      <c r="F3281" s="41" t="s">
        <v>10093</v>
      </c>
      <c r="G3281" s="41" t="s">
        <v>10109</v>
      </c>
      <c r="H3281" s="41" t="s">
        <v>10110</v>
      </c>
      <c r="I3281" s="43">
        <v>12</v>
      </c>
      <c r="J3281" s="44" t="str">
        <f>VLOOKUP(G3281,[1]硬件清单!$F:$F,1,0)</f>
        <v>217399866-15A</v>
      </c>
      <c r="K3281" s="43"/>
      <c r="L3281" s="44"/>
      <c r="M3281" s="45" t="s">
        <v>10111</v>
      </c>
    </row>
    <row r="3282" s="26" customFormat="1" ht="30" customHeight="1" spans="1:13">
      <c r="A3282" s="41">
        <f>IF(C3282="","",SUBTOTAL(103,$C$2:C3282))</f>
        <v>3273</v>
      </c>
      <c r="B3282" s="41">
        <v>1101</v>
      </c>
      <c r="C3282" s="41">
        <v>4462</v>
      </c>
      <c r="D3282" s="41" t="s">
        <v>45</v>
      </c>
      <c r="E3282" s="41" t="s">
        <v>1298</v>
      </c>
      <c r="F3282" s="41" t="s">
        <v>10093</v>
      </c>
      <c r="G3282" s="41" t="s">
        <v>10112</v>
      </c>
      <c r="H3282" s="41" t="s">
        <v>10113</v>
      </c>
      <c r="I3282" s="43">
        <v>12</v>
      </c>
      <c r="J3282" s="44" t="str">
        <f>VLOOKUP(G3282,[1]硬件清单!$F:$F,1,0)</f>
        <v>217399866-16A</v>
      </c>
      <c r="K3282" s="43"/>
      <c r="L3282" s="44"/>
      <c r="M3282" s="45" t="s">
        <v>10114</v>
      </c>
    </row>
    <row r="3283" s="26" customFormat="1" ht="30" customHeight="1" spans="1:13">
      <c r="A3283" s="41">
        <f>IF(C3283="","",SUBTOTAL(103,$C$2:C3283))</f>
        <v>3274</v>
      </c>
      <c r="B3283" s="41">
        <v>1102</v>
      </c>
      <c r="C3283" s="41">
        <v>4539</v>
      </c>
      <c r="D3283" s="41" t="s">
        <v>45</v>
      </c>
      <c r="E3283" s="41" t="s">
        <v>1298</v>
      </c>
      <c r="F3283" s="41" t="s">
        <v>10093</v>
      </c>
      <c r="G3283" s="41" t="s">
        <v>10115</v>
      </c>
      <c r="H3283" s="41" t="s">
        <v>10116</v>
      </c>
      <c r="I3283" s="43">
        <v>12</v>
      </c>
      <c r="J3283" s="44" t="str">
        <f>VLOOKUP(G3283,[1]硬件清单!$F:$F,1,0)</f>
        <v>217399866-17A</v>
      </c>
      <c r="K3283" s="43"/>
      <c r="L3283" s="44"/>
      <c r="M3283" s="45" t="s">
        <v>10117</v>
      </c>
    </row>
    <row r="3284" s="26" customFormat="1" ht="30" customHeight="1" spans="1:13">
      <c r="A3284" s="41">
        <f>IF(C3284="","",SUBTOTAL(103,$C$2:C3284))</f>
        <v>3275</v>
      </c>
      <c r="B3284" s="41">
        <v>1103</v>
      </c>
      <c r="C3284" s="41">
        <v>4538</v>
      </c>
      <c r="D3284" s="41" t="s">
        <v>45</v>
      </c>
      <c r="E3284" s="41" t="s">
        <v>1298</v>
      </c>
      <c r="F3284" s="41" t="s">
        <v>10093</v>
      </c>
      <c r="G3284" s="41" t="s">
        <v>10118</v>
      </c>
      <c r="H3284" s="41" t="s">
        <v>10119</v>
      </c>
      <c r="I3284" s="43">
        <v>12</v>
      </c>
      <c r="J3284" s="44" t="str">
        <f>VLOOKUP(G3284,[1]硬件清单!$F:$F,1,0)</f>
        <v>217399866-18A</v>
      </c>
      <c r="K3284" s="43"/>
      <c r="L3284" s="44"/>
      <c r="M3284" s="45" t="s">
        <v>10120</v>
      </c>
    </row>
    <row r="3285" s="26" customFormat="1" ht="30" customHeight="1" spans="1:13">
      <c r="A3285" s="41">
        <f>IF(C3285="","",SUBTOTAL(103,$C$2:C3285))</f>
        <v>3276</v>
      </c>
      <c r="B3285" s="41">
        <v>1104</v>
      </c>
      <c r="C3285" s="41">
        <v>4537</v>
      </c>
      <c r="D3285" s="41" t="s">
        <v>45</v>
      </c>
      <c r="E3285" s="41" t="s">
        <v>1298</v>
      </c>
      <c r="F3285" s="41" t="s">
        <v>10093</v>
      </c>
      <c r="G3285" s="41" t="s">
        <v>10121</v>
      </c>
      <c r="H3285" s="41" t="s">
        <v>10122</v>
      </c>
      <c r="I3285" s="43">
        <v>12</v>
      </c>
      <c r="J3285" s="44" t="str">
        <f>VLOOKUP(G3285,[1]硬件清单!$F:$F,1,0)</f>
        <v>217399866-19A</v>
      </c>
      <c r="K3285" s="43"/>
      <c r="L3285" s="44"/>
      <c r="M3285" s="45" t="s">
        <v>10123</v>
      </c>
    </row>
    <row r="3286" s="26" customFormat="1" ht="30" customHeight="1" spans="1:13">
      <c r="A3286" s="41">
        <f>IF(C3286="","",SUBTOTAL(103,$C$2:C3286))</f>
        <v>3277</v>
      </c>
      <c r="B3286" s="41">
        <v>1105</v>
      </c>
      <c r="C3286" s="41">
        <v>4710</v>
      </c>
      <c r="D3286" s="41" t="s">
        <v>45</v>
      </c>
      <c r="E3286" s="41" t="s">
        <v>1298</v>
      </c>
      <c r="F3286" s="41" t="s">
        <v>10093</v>
      </c>
      <c r="G3286" s="41" t="s">
        <v>10124</v>
      </c>
      <c r="H3286" s="41" t="s">
        <v>10125</v>
      </c>
      <c r="I3286" s="43">
        <v>12</v>
      </c>
      <c r="J3286" s="44" t="str">
        <f>VLOOKUP(G3286,[1]硬件清单!$F:$F,1,0)</f>
        <v>217399866-30A</v>
      </c>
      <c r="K3286" s="43"/>
      <c r="L3286" s="44"/>
      <c r="M3286" s="45" t="s">
        <v>10126</v>
      </c>
    </row>
    <row r="3287" s="26" customFormat="1" ht="30" customHeight="1" spans="1:13">
      <c r="A3287" s="41">
        <f>IF(C3287="","",SUBTOTAL(103,$C$2:C3287))</f>
        <v>3278</v>
      </c>
      <c r="B3287" s="41">
        <v>1106</v>
      </c>
      <c r="C3287" s="41">
        <v>4536</v>
      </c>
      <c r="D3287" s="41" t="s">
        <v>45</v>
      </c>
      <c r="E3287" s="41" t="s">
        <v>1298</v>
      </c>
      <c r="F3287" s="41" t="s">
        <v>10093</v>
      </c>
      <c r="G3287" s="41" t="s">
        <v>10127</v>
      </c>
      <c r="H3287" s="41" t="s">
        <v>10128</v>
      </c>
      <c r="I3287" s="43">
        <v>12</v>
      </c>
      <c r="J3287" s="44" t="str">
        <f>VLOOKUP(G3287,[1]硬件清单!$F:$F,1,0)</f>
        <v>217399866-20A</v>
      </c>
      <c r="K3287" s="43"/>
      <c r="L3287" s="44"/>
      <c r="M3287" s="45" t="s">
        <v>10129</v>
      </c>
    </row>
    <row r="3288" s="26" customFormat="1" ht="30" customHeight="1" spans="1:13">
      <c r="A3288" s="41">
        <f>IF(C3288="","",SUBTOTAL(103,$C$2:C3288))</f>
        <v>3279</v>
      </c>
      <c r="B3288" s="41">
        <v>1107</v>
      </c>
      <c r="C3288" s="41">
        <v>4542</v>
      </c>
      <c r="D3288" s="41" t="s">
        <v>45</v>
      </c>
      <c r="E3288" s="41" t="s">
        <v>1298</v>
      </c>
      <c r="F3288" s="41" t="s">
        <v>10093</v>
      </c>
      <c r="G3288" s="41" t="s">
        <v>10130</v>
      </c>
      <c r="H3288" s="41" t="s">
        <v>10131</v>
      </c>
      <c r="I3288" s="43">
        <v>12</v>
      </c>
      <c r="J3288" s="44" t="str">
        <f>VLOOKUP(G3288,[1]硬件清单!$F:$F,1,0)</f>
        <v>217399866-21A</v>
      </c>
      <c r="K3288" s="43"/>
      <c r="L3288" s="44"/>
      <c r="M3288" s="45" t="s">
        <v>10132</v>
      </c>
    </row>
    <row r="3289" s="26" customFormat="1" ht="30" customHeight="1" spans="1:13">
      <c r="A3289" s="41">
        <f>IF(C3289="","",SUBTOTAL(103,$C$2:C3289))</f>
        <v>3280</v>
      </c>
      <c r="B3289" s="41">
        <v>1108</v>
      </c>
      <c r="C3289" s="41">
        <v>4541</v>
      </c>
      <c r="D3289" s="41" t="s">
        <v>45</v>
      </c>
      <c r="E3289" s="41" t="s">
        <v>1298</v>
      </c>
      <c r="F3289" s="41" t="s">
        <v>10093</v>
      </c>
      <c r="G3289" s="41" t="s">
        <v>10133</v>
      </c>
      <c r="H3289" s="41" t="s">
        <v>10134</v>
      </c>
      <c r="I3289" s="43">
        <v>12</v>
      </c>
      <c r="J3289" s="44" t="str">
        <f>VLOOKUP(G3289,[1]硬件清单!$F:$F,1,0)</f>
        <v>217399866-22A</v>
      </c>
      <c r="K3289" s="43"/>
      <c r="L3289" s="44"/>
      <c r="M3289" s="45" t="s">
        <v>10135</v>
      </c>
    </row>
    <row r="3290" s="26" customFormat="1" ht="30" customHeight="1" spans="1:13">
      <c r="A3290" s="41">
        <f>IF(C3290="","",SUBTOTAL(103,$C$2:C3290))</f>
        <v>3281</v>
      </c>
      <c r="B3290" s="41">
        <v>1109</v>
      </c>
      <c r="C3290" s="41">
        <v>4556</v>
      </c>
      <c r="D3290" s="41" t="s">
        <v>45</v>
      </c>
      <c r="E3290" s="41" t="s">
        <v>1298</v>
      </c>
      <c r="F3290" s="41" t="s">
        <v>10093</v>
      </c>
      <c r="G3290" s="41" t="s">
        <v>10136</v>
      </c>
      <c r="H3290" s="41" t="s">
        <v>10137</v>
      </c>
      <c r="I3290" s="43">
        <v>12</v>
      </c>
      <c r="J3290" s="44" t="str">
        <f>VLOOKUP(G3290,[1]硬件清单!$F:$F,1,0)</f>
        <v>217399866-23A</v>
      </c>
      <c r="K3290" s="43"/>
      <c r="L3290" s="44"/>
      <c r="M3290" s="45" t="s">
        <v>10138</v>
      </c>
    </row>
    <row r="3291" s="26" customFormat="1" ht="30" customHeight="1" spans="1:13">
      <c r="A3291" s="41">
        <f>IF(C3291="","",SUBTOTAL(103,$C$2:C3291))</f>
        <v>3282</v>
      </c>
      <c r="B3291" s="41">
        <v>1110</v>
      </c>
      <c r="C3291" s="41">
        <v>4555</v>
      </c>
      <c r="D3291" s="41" t="s">
        <v>45</v>
      </c>
      <c r="E3291" s="41" t="s">
        <v>1298</v>
      </c>
      <c r="F3291" s="41" t="s">
        <v>10093</v>
      </c>
      <c r="G3291" s="41" t="s">
        <v>10139</v>
      </c>
      <c r="H3291" s="41" t="s">
        <v>10140</v>
      </c>
      <c r="I3291" s="43">
        <v>12</v>
      </c>
      <c r="J3291" s="44" t="str">
        <f>VLOOKUP(G3291,[1]硬件清单!$F:$F,1,0)</f>
        <v>217399866-24A</v>
      </c>
      <c r="K3291" s="43"/>
      <c r="L3291" s="44"/>
      <c r="M3291" s="45" t="s">
        <v>10141</v>
      </c>
    </row>
    <row r="3292" s="26" customFormat="1" ht="30" customHeight="1" spans="1:13">
      <c r="A3292" s="41">
        <f>IF(C3292="","",SUBTOTAL(103,$C$2:C3292))</f>
        <v>3283</v>
      </c>
      <c r="B3292" s="41">
        <v>1111</v>
      </c>
      <c r="C3292" s="41">
        <v>4709</v>
      </c>
      <c r="D3292" s="41" t="s">
        <v>45</v>
      </c>
      <c r="E3292" s="41" t="s">
        <v>1298</v>
      </c>
      <c r="F3292" s="41" t="s">
        <v>10093</v>
      </c>
      <c r="G3292" s="41" t="s">
        <v>10142</v>
      </c>
      <c r="H3292" s="41" t="s">
        <v>10143</v>
      </c>
      <c r="I3292" s="43">
        <v>12</v>
      </c>
      <c r="J3292" s="44" t="str">
        <f>VLOOKUP(G3292,[1]硬件清单!$F:$F,1,0)</f>
        <v>217399866-31A</v>
      </c>
      <c r="K3292" s="43"/>
      <c r="L3292" s="44"/>
      <c r="M3292" s="45" t="s">
        <v>10144</v>
      </c>
    </row>
    <row r="3293" s="26" customFormat="1" ht="30" customHeight="1" spans="1:13">
      <c r="A3293" s="41">
        <f>IF(C3293="","",SUBTOTAL(103,$C$2:C3293))</f>
        <v>3284</v>
      </c>
      <c r="B3293" s="41">
        <v>1112</v>
      </c>
      <c r="C3293" s="41">
        <v>4554</v>
      </c>
      <c r="D3293" s="41" t="s">
        <v>45</v>
      </c>
      <c r="E3293" s="41" t="s">
        <v>1298</v>
      </c>
      <c r="F3293" s="41" t="s">
        <v>10093</v>
      </c>
      <c r="G3293" s="41" t="s">
        <v>10145</v>
      </c>
      <c r="H3293" s="41" t="s">
        <v>10146</v>
      </c>
      <c r="I3293" s="43">
        <v>12</v>
      </c>
      <c r="J3293" s="44" t="str">
        <f>VLOOKUP(G3293,[1]硬件清单!$F:$F,1,0)</f>
        <v>217399866-25A</v>
      </c>
      <c r="K3293" s="43"/>
      <c r="L3293" s="44"/>
      <c r="M3293" s="45" t="s">
        <v>10147</v>
      </c>
    </row>
    <row r="3294" s="26" customFormat="1" ht="30" customHeight="1" spans="1:13">
      <c r="A3294" s="41">
        <f>IF(C3294="","",SUBTOTAL(103,$C$2:C3294))</f>
        <v>3285</v>
      </c>
      <c r="B3294" s="41">
        <v>1113</v>
      </c>
      <c r="C3294" s="41">
        <v>4553</v>
      </c>
      <c r="D3294" s="41" t="s">
        <v>45</v>
      </c>
      <c r="E3294" s="41" t="s">
        <v>1298</v>
      </c>
      <c r="F3294" s="41" t="s">
        <v>10093</v>
      </c>
      <c r="G3294" s="41" t="s">
        <v>10148</v>
      </c>
      <c r="H3294" s="41" t="s">
        <v>10149</v>
      </c>
      <c r="I3294" s="43">
        <v>12</v>
      </c>
      <c r="J3294" s="44" t="str">
        <f>VLOOKUP(G3294,[1]硬件清单!$F:$F,1,0)</f>
        <v>217399866-26A</v>
      </c>
      <c r="K3294" s="43"/>
      <c r="L3294" s="44"/>
      <c r="M3294" s="45" t="s">
        <v>10150</v>
      </c>
    </row>
    <row r="3295" s="26" customFormat="1" ht="30" customHeight="1" spans="1:13">
      <c r="A3295" s="41">
        <f>IF(C3295="","",SUBTOTAL(103,$C$2:C3295))</f>
        <v>3286</v>
      </c>
      <c r="B3295" s="41">
        <v>1114</v>
      </c>
      <c r="C3295" s="41">
        <v>4552</v>
      </c>
      <c r="D3295" s="41" t="s">
        <v>45</v>
      </c>
      <c r="E3295" s="41" t="s">
        <v>1298</v>
      </c>
      <c r="F3295" s="41" t="s">
        <v>10093</v>
      </c>
      <c r="G3295" s="41" t="s">
        <v>10151</v>
      </c>
      <c r="H3295" s="41" t="s">
        <v>10152</v>
      </c>
      <c r="I3295" s="43">
        <v>12</v>
      </c>
      <c r="J3295" s="44" t="str">
        <f>VLOOKUP(G3295,[1]硬件清单!$F:$F,1,0)</f>
        <v>217399866-27A</v>
      </c>
      <c r="K3295" s="43"/>
      <c r="L3295" s="44"/>
      <c r="M3295" s="45" t="s">
        <v>10153</v>
      </c>
    </row>
    <row r="3296" s="26" customFormat="1" ht="30" customHeight="1" spans="1:13">
      <c r="A3296" s="41">
        <f>IF(C3296="","",SUBTOTAL(103,$C$2:C3296))</f>
        <v>3287</v>
      </c>
      <c r="B3296" s="41">
        <v>1115</v>
      </c>
      <c r="C3296" s="41">
        <v>4551</v>
      </c>
      <c r="D3296" s="41" t="s">
        <v>45</v>
      </c>
      <c r="E3296" s="41" t="s">
        <v>1298</v>
      </c>
      <c r="F3296" s="41" t="s">
        <v>10093</v>
      </c>
      <c r="G3296" s="41" t="s">
        <v>10154</v>
      </c>
      <c r="H3296" s="41" t="s">
        <v>10155</v>
      </c>
      <c r="I3296" s="43">
        <v>12</v>
      </c>
      <c r="J3296" s="44" t="str">
        <f>VLOOKUP(G3296,[1]硬件清单!$F:$F,1,0)</f>
        <v>217399866-28A</v>
      </c>
      <c r="K3296" s="43"/>
      <c r="L3296" s="44"/>
      <c r="M3296" s="45" t="s">
        <v>10156</v>
      </c>
    </row>
    <row r="3297" s="26" customFormat="1" ht="30" customHeight="1" spans="1:13">
      <c r="A3297" s="41">
        <f>IF(C3297="","",SUBTOTAL(103,$C$2:C3297))</f>
        <v>3288</v>
      </c>
      <c r="B3297" s="41">
        <v>1116</v>
      </c>
      <c r="C3297" s="41">
        <v>4550</v>
      </c>
      <c r="D3297" s="41" t="s">
        <v>45</v>
      </c>
      <c r="E3297" s="41" t="s">
        <v>1298</v>
      </c>
      <c r="F3297" s="41" t="s">
        <v>10093</v>
      </c>
      <c r="G3297" s="41" t="s">
        <v>10157</v>
      </c>
      <c r="H3297" s="41" t="s">
        <v>10158</v>
      </c>
      <c r="I3297" s="43">
        <v>12</v>
      </c>
      <c r="J3297" s="44" t="str">
        <f>VLOOKUP(G3297,[1]硬件清单!$F:$F,1,0)</f>
        <v>217399866-29A</v>
      </c>
      <c r="K3297" s="43"/>
      <c r="L3297" s="44"/>
      <c r="M3297" s="45" t="s">
        <v>10159</v>
      </c>
    </row>
    <row r="3298" s="26" customFormat="1" ht="30" customHeight="1" spans="1:13">
      <c r="A3298" s="41">
        <f>IF(C3298="","",SUBTOTAL(103,$C$2:C3298))</f>
        <v>3289</v>
      </c>
      <c r="B3298" s="41">
        <v>1117</v>
      </c>
      <c r="C3298" s="41">
        <v>4549</v>
      </c>
      <c r="D3298" s="41" t="s">
        <v>45</v>
      </c>
      <c r="E3298" s="41" t="s">
        <v>1298</v>
      </c>
      <c r="F3298" s="41" t="s">
        <v>10093</v>
      </c>
      <c r="G3298" s="41" t="s">
        <v>10160</v>
      </c>
      <c r="H3298" s="41" t="s">
        <v>10161</v>
      </c>
      <c r="I3298" s="43">
        <v>12</v>
      </c>
      <c r="J3298" s="44" t="str">
        <f>VLOOKUP(G3298,[1]硬件清单!$F:$F,1,0)</f>
        <v>217399866-01A</v>
      </c>
      <c r="K3298" s="43"/>
      <c r="L3298" s="44"/>
      <c r="M3298" s="45" t="s">
        <v>10162</v>
      </c>
    </row>
    <row r="3299" s="26" customFormat="1" ht="30" customHeight="1" spans="1:13">
      <c r="A3299" s="41">
        <f>IF(C3299="","",SUBTOTAL(103,$C$2:C3299))</f>
        <v>3290</v>
      </c>
      <c r="B3299" s="41">
        <v>1118</v>
      </c>
      <c r="C3299" s="41">
        <v>4548</v>
      </c>
      <c r="D3299" s="41" t="s">
        <v>45</v>
      </c>
      <c r="E3299" s="41" t="s">
        <v>1298</v>
      </c>
      <c r="F3299" s="41" t="s">
        <v>10093</v>
      </c>
      <c r="G3299" s="41" t="s">
        <v>10163</v>
      </c>
      <c r="H3299" s="41" t="s">
        <v>10164</v>
      </c>
      <c r="I3299" s="43">
        <v>12</v>
      </c>
      <c r="J3299" s="44" t="str">
        <f>VLOOKUP(G3299,[1]硬件清单!$F:$F,1,0)</f>
        <v>217399866-02A</v>
      </c>
      <c r="K3299" s="43"/>
      <c r="L3299" s="44"/>
      <c r="M3299" s="45" t="s">
        <v>10165</v>
      </c>
    </row>
    <row r="3300" s="26" customFormat="1" ht="30" customHeight="1" spans="1:13">
      <c r="A3300" s="41">
        <f>IF(C3300="","",SUBTOTAL(103,$C$2:C3300))</f>
        <v>3291</v>
      </c>
      <c r="B3300" s="41">
        <v>1119</v>
      </c>
      <c r="C3300" s="41">
        <v>4547</v>
      </c>
      <c r="D3300" s="41" t="s">
        <v>45</v>
      </c>
      <c r="E3300" s="41" t="s">
        <v>1298</v>
      </c>
      <c r="F3300" s="41" t="s">
        <v>10093</v>
      </c>
      <c r="G3300" s="41" t="s">
        <v>10166</v>
      </c>
      <c r="H3300" s="41" t="s">
        <v>10167</v>
      </c>
      <c r="I3300" s="43">
        <v>12</v>
      </c>
      <c r="J3300" s="44" t="str">
        <f>VLOOKUP(G3300,[1]硬件清单!$F:$F,1,0)</f>
        <v>217399866-32A</v>
      </c>
      <c r="K3300" s="43"/>
      <c r="L3300" s="44"/>
      <c r="M3300" s="45" t="s">
        <v>10168</v>
      </c>
    </row>
    <row r="3301" s="26" customFormat="1" ht="30" customHeight="1" spans="1:13">
      <c r="A3301" s="41">
        <f>IF(C3301="","",SUBTOTAL(103,$C$2:C3301))</f>
        <v>3292</v>
      </c>
      <c r="B3301" s="41">
        <v>1120</v>
      </c>
      <c r="C3301" s="41">
        <v>4546</v>
      </c>
      <c r="D3301" s="41" t="s">
        <v>45</v>
      </c>
      <c r="E3301" s="41" t="s">
        <v>1298</v>
      </c>
      <c r="F3301" s="41" t="s">
        <v>10093</v>
      </c>
      <c r="G3301" s="41" t="s">
        <v>10169</v>
      </c>
      <c r="H3301" s="41" t="s">
        <v>10170</v>
      </c>
      <c r="I3301" s="43">
        <v>12</v>
      </c>
      <c r="J3301" s="44" t="str">
        <f>VLOOKUP(G3301,[1]硬件清单!$F:$F,1,0)</f>
        <v>217399866-03A</v>
      </c>
      <c r="K3301" s="43"/>
      <c r="L3301" s="44"/>
      <c r="M3301" s="45" t="s">
        <v>10171</v>
      </c>
    </row>
    <row r="3302" s="26" customFormat="1" ht="30" customHeight="1" spans="1:13">
      <c r="A3302" s="41">
        <f>IF(C3302="","",SUBTOTAL(103,$C$2:C3302))</f>
        <v>3293</v>
      </c>
      <c r="B3302" s="41">
        <v>1121</v>
      </c>
      <c r="C3302" s="41">
        <v>4545</v>
      </c>
      <c r="D3302" s="41" t="s">
        <v>45</v>
      </c>
      <c r="E3302" s="41" t="s">
        <v>1298</v>
      </c>
      <c r="F3302" s="41" t="s">
        <v>10093</v>
      </c>
      <c r="G3302" s="41" t="s">
        <v>10172</v>
      </c>
      <c r="H3302" s="41" t="s">
        <v>10173</v>
      </c>
      <c r="I3302" s="43">
        <v>12</v>
      </c>
      <c r="J3302" s="44" t="str">
        <f>VLOOKUP(G3302,[1]硬件清单!$F:$F,1,0)</f>
        <v>217399866-04A</v>
      </c>
      <c r="K3302" s="43"/>
      <c r="L3302" s="44"/>
      <c r="M3302" s="45" t="s">
        <v>10174</v>
      </c>
    </row>
    <row r="3303" s="26" customFormat="1" ht="30" customHeight="1" spans="1:13">
      <c r="A3303" s="41">
        <f>IF(C3303="","",SUBTOTAL(103,$C$2:C3303))</f>
        <v>3294</v>
      </c>
      <c r="B3303" s="41">
        <v>1122</v>
      </c>
      <c r="C3303" s="41">
        <v>4544</v>
      </c>
      <c r="D3303" s="41" t="s">
        <v>45</v>
      </c>
      <c r="E3303" s="41" t="s">
        <v>1298</v>
      </c>
      <c r="F3303" s="41" t="s">
        <v>10093</v>
      </c>
      <c r="G3303" s="41" t="s">
        <v>10175</v>
      </c>
      <c r="H3303" s="41" t="s">
        <v>10176</v>
      </c>
      <c r="I3303" s="43">
        <v>12</v>
      </c>
      <c r="J3303" s="44" t="str">
        <f>VLOOKUP(G3303,[1]硬件清单!$F:$F,1,0)</f>
        <v>217399866-05A</v>
      </c>
      <c r="K3303" s="43"/>
      <c r="L3303" s="44"/>
      <c r="M3303" s="45" t="s">
        <v>10177</v>
      </c>
    </row>
    <row r="3304" s="26" customFormat="1" ht="30" customHeight="1" spans="1:13">
      <c r="A3304" s="41">
        <f>IF(C3304="","",SUBTOTAL(103,$C$2:C3304))</f>
        <v>3295</v>
      </c>
      <c r="B3304" s="41">
        <v>1123</v>
      </c>
      <c r="C3304" s="41">
        <v>4543</v>
      </c>
      <c r="D3304" s="41" t="s">
        <v>45</v>
      </c>
      <c r="E3304" s="41" t="s">
        <v>1298</v>
      </c>
      <c r="F3304" s="41" t="s">
        <v>10093</v>
      </c>
      <c r="G3304" s="41" t="s">
        <v>10178</v>
      </c>
      <c r="H3304" s="41" t="s">
        <v>10179</v>
      </c>
      <c r="I3304" s="43">
        <v>12</v>
      </c>
      <c r="J3304" s="44" t="str">
        <f>VLOOKUP(G3304,[1]硬件清单!$F:$F,1,0)</f>
        <v>217399866-06A</v>
      </c>
      <c r="K3304" s="43"/>
      <c r="L3304" s="44"/>
      <c r="M3304" s="45" t="s">
        <v>10180</v>
      </c>
    </row>
    <row r="3305" s="26" customFormat="1" ht="30" customHeight="1" spans="1:13">
      <c r="A3305" s="41">
        <f>IF(C3305="","",SUBTOTAL(103,$C$2:C3305))</f>
        <v>3296</v>
      </c>
      <c r="B3305" s="41">
        <v>1124</v>
      </c>
      <c r="C3305" s="41">
        <v>4471</v>
      </c>
      <c r="D3305" s="41" t="s">
        <v>45</v>
      </c>
      <c r="E3305" s="41" t="s">
        <v>1298</v>
      </c>
      <c r="F3305" s="41" t="s">
        <v>10093</v>
      </c>
      <c r="G3305" s="41" t="s">
        <v>10181</v>
      </c>
      <c r="H3305" s="41" t="s">
        <v>10182</v>
      </c>
      <c r="I3305" s="43">
        <v>12</v>
      </c>
      <c r="J3305" s="44" t="str">
        <f>VLOOKUP(G3305,[1]硬件清单!$F:$F,1,0)</f>
        <v>217399866-07A</v>
      </c>
      <c r="K3305" s="43"/>
      <c r="L3305" s="44"/>
      <c r="M3305" s="45" t="s">
        <v>10183</v>
      </c>
    </row>
    <row r="3306" s="26" customFormat="1" ht="30" customHeight="1" spans="1:13">
      <c r="A3306" s="41">
        <f>IF(C3306="","",SUBTOTAL(103,$C$2:C3306))</f>
        <v>3297</v>
      </c>
      <c r="B3306" s="41">
        <v>1125</v>
      </c>
      <c r="C3306" s="41">
        <v>4470</v>
      </c>
      <c r="D3306" s="41" t="s">
        <v>45</v>
      </c>
      <c r="E3306" s="41" t="s">
        <v>1298</v>
      </c>
      <c r="F3306" s="41" t="s">
        <v>10093</v>
      </c>
      <c r="G3306" s="41" t="s">
        <v>10184</v>
      </c>
      <c r="H3306" s="41" t="s">
        <v>10185</v>
      </c>
      <c r="I3306" s="43">
        <v>12</v>
      </c>
      <c r="J3306" s="44" t="str">
        <f>VLOOKUP(G3306,[1]硬件清单!$F:$F,1,0)</f>
        <v>217399866-08A</v>
      </c>
      <c r="K3306" s="43"/>
      <c r="L3306" s="44"/>
      <c r="M3306" s="45" t="s">
        <v>10186</v>
      </c>
    </row>
    <row r="3307" s="26" customFormat="1" ht="30" customHeight="1" spans="1:13">
      <c r="A3307" s="41">
        <f>IF(C3307="","",SUBTOTAL(103,$C$2:C3307))</f>
        <v>3298</v>
      </c>
      <c r="B3307" s="41">
        <v>1126</v>
      </c>
      <c r="C3307" s="41">
        <v>4469</v>
      </c>
      <c r="D3307" s="41" t="s">
        <v>45</v>
      </c>
      <c r="E3307" s="41" t="s">
        <v>1298</v>
      </c>
      <c r="F3307" s="41" t="s">
        <v>10093</v>
      </c>
      <c r="G3307" s="41" t="s">
        <v>10187</v>
      </c>
      <c r="H3307" s="41" t="s">
        <v>10188</v>
      </c>
      <c r="I3307" s="43">
        <v>12</v>
      </c>
      <c r="J3307" s="44" t="str">
        <f>VLOOKUP(G3307,[1]硬件清单!$F:$F,1,0)</f>
        <v>217399866-09A</v>
      </c>
      <c r="K3307" s="43"/>
      <c r="L3307" s="44"/>
      <c r="M3307" s="45" t="s">
        <v>10189</v>
      </c>
    </row>
    <row r="3308" s="26" customFormat="1" ht="30" customHeight="1" spans="1:13">
      <c r="A3308" s="41">
        <f>IF(C3308="","",SUBTOTAL(103,$C$2:C3308))</f>
        <v>3299</v>
      </c>
      <c r="B3308" s="41">
        <v>1127</v>
      </c>
      <c r="C3308" s="41">
        <v>4586</v>
      </c>
      <c r="D3308" s="41" t="s">
        <v>45</v>
      </c>
      <c r="E3308" s="41" t="s">
        <v>1298</v>
      </c>
      <c r="F3308" s="41" t="s">
        <v>10093</v>
      </c>
      <c r="G3308" s="41" t="s">
        <v>10190</v>
      </c>
      <c r="H3308" s="41" t="s">
        <v>10191</v>
      </c>
      <c r="I3308" s="43">
        <v>12</v>
      </c>
      <c r="J3308" s="44" t="str">
        <f>VLOOKUP(G3308,[1]硬件清单!$F:$F,1,0)</f>
        <v>217399899-10A</v>
      </c>
      <c r="K3308" s="43"/>
      <c r="L3308" s="44"/>
      <c r="M3308" s="45" t="s">
        <v>10192</v>
      </c>
    </row>
    <row r="3309" s="26" customFormat="1" ht="30" customHeight="1" spans="1:13">
      <c r="A3309" s="41">
        <f>IF(C3309="","",SUBTOTAL(103,$C$2:C3309))</f>
        <v>3300</v>
      </c>
      <c r="B3309" s="41">
        <v>1128</v>
      </c>
      <c r="C3309" s="41">
        <v>4585</v>
      </c>
      <c r="D3309" s="41" t="s">
        <v>45</v>
      </c>
      <c r="E3309" s="41" t="s">
        <v>1298</v>
      </c>
      <c r="F3309" s="41" t="s">
        <v>10093</v>
      </c>
      <c r="G3309" s="41" t="s">
        <v>10193</v>
      </c>
      <c r="H3309" s="41" t="s">
        <v>10194</v>
      </c>
      <c r="I3309" s="43">
        <v>12</v>
      </c>
      <c r="J3309" s="44" t="str">
        <f>VLOOKUP(G3309,[1]硬件清单!$F:$F,1,0)</f>
        <v>217399899-11A</v>
      </c>
      <c r="K3309" s="43"/>
      <c r="L3309" s="44"/>
      <c r="M3309" s="45" t="s">
        <v>10195</v>
      </c>
    </row>
    <row r="3310" s="26" customFormat="1" ht="30" customHeight="1" spans="1:13">
      <c r="A3310" s="41">
        <f>IF(C3310="","",SUBTOTAL(103,$C$2:C3310))</f>
        <v>3301</v>
      </c>
      <c r="B3310" s="41">
        <v>1129</v>
      </c>
      <c r="C3310" s="41">
        <v>4584</v>
      </c>
      <c r="D3310" s="41" t="s">
        <v>45</v>
      </c>
      <c r="E3310" s="41" t="s">
        <v>1298</v>
      </c>
      <c r="F3310" s="41" t="s">
        <v>10093</v>
      </c>
      <c r="G3310" s="41" t="s">
        <v>10196</v>
      </c>
      <c r="H3310" s="41" t="s">
        <v>10197</v>
      </c>
      <c r="I3310" s="43">
        <v>12</v>
      </c>
      <c r="J3310" s="44" t="str">
        <f>VLOOKUP(G3310,[1]硬件清单!$F:$F,1,0)</f>
        <v>217399899-12A</v>
      </c>
      <c r="K3310" s="43"/>
      <c r="L3310" s="44"/>
      <c r="M3310" s="45" t="s">
        <v>10198</v>
      </c>
    </row>
    <row r="3311" s="26" customFormat="1" ht="30" customHeight="1" spans="1:13">
      <c r="A3311" s="41">
        <f>IF(C3311="","",SUBTOTAL(103,$C$2:C3311))</f>
        <v>3302</v>
      </c>
      <c r="B3311" s="41">
        <v>1130</v>
      </c>
      <c r="C3311" s="41">
        <v>4583</v>
      </c>
      <c r="D3311" s="41" t="s">
        <v>45</v>
      </c>
      <c r="E3311" s="41" t="s">
        <v>1298</v>
      </c>
      <c r="F3311" s="41" t="s">
        <v>10093</v>
      </c>
      <c r="G3311" s="41" t="s">
        <v>10199</v>
      </c>
      <c r="H3311" s="41" t="s">
        <v>10200</v>
      </c>
      <c r="I3311" s="43">
        <v>12</v>
      </c>
      <c r="J3311" s="44" t="str">
        <f>VLOOKUP(G3311,[1]硬件清单!$F:$F,1,0)</f>
        <v>217399899-13A</v>
      </c>
      <c r="K3311" s="43"/>
      <c r="L3311" s="44"/>
      <c r="M3311" s="45" t="s">
        <v>10201</v>
      </c>
    </row>
    <row r="3312" s="26" customFormat="1" ht="30" customHeight="1" spans="1:13">
      <c r="A3312" s="41">
        <f>IF(C3312="","",SUBTOTAL(103,$C$2:C3312))</f>
        <v>3303</v>
      </c>
      <c r="B3312" s="41">
        <v>1131</v>
      </c>
      <c r="C3312" s="41">
        <v>4582</v>
      </c>
      <c r="D3312" s="41" t="s">
        <v>45</v>
      </c>
      <c r="E3312" s="41" t="s">
        <v>1298</v>
      </c>
      <c r="F3312" s="41" t="s">
        <v>10093</v>
      </c>
      <c r="G3312" s="41" t="s">
        <v>10202</v>
      </c>
      <c r="H3312" s="41" t="s">
        <v>10203</v>
      </c>
      <c r="I3312" s="43">
        <v>12</v>
      </c>
      <c r="J3312" s="44" t="str">
        <f>VLOOKUP(G3312,[1]硬件清单!$F:$F,1,0)</f>
        <v>217399899-14A</v>
      </c>
      <c r="K3312" s="43"/>
      <c r="L3312" s="44"/>
      <c r="M3312" s="45" t="s">
        <v>10204</v>
      </c>
    </row>
    <row r="3313" s="26" customFormat="1" ht="30" customHeight="1" spans="1:13">
      <c r="A3313" s="41">
        <f>IF(C3313="","",SUBTOTAL(103,$C$2:C3313))</f>
        <v>3304</v>
      </c>
      <c r="B3313" s="41">
        <v>1132</v>
      </c>
      <c r="C3313" s="41">
        <v>4577</v>
      </c>
      <c r="D3313" s="41" t="s">
        <v>45</v>
      </c>
      <c r="E3313" s="41" t="s">
        <v>1298</v>
      </c>
      <c r="F3313" s="41" t="s">
        <v>10093</v>
      </c>
      <c r="G3313" s="41" t="s">
        <v>10205</v>
      </c>
      <c r="H3313" s="41" t="s">
        <v>10206</v>
      </c>
      <c r="I3313" s="43">
        <v>12</v>
      </c>
      <c r="J3313" s="44" t="str">
        <f>VLOOKUP(G3313,[1]硬件清单!$F:$F,1,0)</f>
        <v>217399899-15A</v>
      </c>
      <c r="K3313" s="43"/>
      <c r="L3313" s="44"/>
      <c r="M3313" s="45" t="s">
        <v>10207</v>
      </c>
    </row>
    <row r="3314" s="26" customFormat="1" ht="30" customHeight="1" spans="1:13">
      <c r="A3314" s="41">
        <f>IF(C3314="","",SUBTOTAL(103,$C$2:C3314))</f>
        <v>3305</v>
      </c>
      <c r="B3314" s="41">
        <v>1133</v>
      </c>
      <c r="C3314" s="41">
        <v>4576</v>
      </c>
      <c r="D3314" s="41" t="s">
        <v>45</v>
      </c>
      <c r="E3314" s="41" t="s">
        <v>1298</v>
      </c>
      <c r="F3314" s="41" t="s">
        <v>10093</v>
      </c>
      <c r="G3314" s="41" t="s">
        <v>10208</v>
      </c>
      <c r="H3314" s="41" t="s">
        <v>10209</v>
      </c>
      <c r="I3314" s="43">
        <v>12</v>
      </c>
      <c r="J3314" s="44" t="str">
        <f>VLOOKUP(G3314,[1]硬件清单!$F:$F,1,0)</f>
        <v>217399899-16A</v>
      </c>
      <c r="K3314" s="43"/>
      <c r="L3314" s="44"/>
      <c r="M3314" s="45" t="s">
        <v>10210</v>
      </c>
    </row>
    <row r="3315" s="26" customFormat="1" ht="30" customHeight="1" spans="1:13">
      <c r="A3315" s="41">
        <f>IF(C3315="","",SUBTOTAL(103,$C$2:C3315))</f>
        <v>3306</v>
      </c>
      <c r="B3315" s="41">
        <v>1134</v>
      </c>
      <c r="C3315" s="41">
        <v>4575</v>
      </c>
      <c r="D3315" s="41" t="s">
        <v>45</v>
      </c>
      <c r="E3315" s="41" t="s">
        <v>1298</v>
      </c>
      <c r="F3315" s="41" t="s">
        <v>10093</v>
      </c>
      <c r="G3315" s="41" t="s">
        <v>10211</v>
      </c>
      <c r="H3315" s="41" t="s">
        <v>10212</v>
      </c>
      <c r="I3315" s="43">
        <v>12</v>
      </c>
      <c r="J3315" s="44" t="str">
        <f>VLOOKUP(G3315,[1]硬件清单!$F:$F,1,0)</f>
        <v>217399899-17A</v>
      </c>
      <c r="K3315" s="43"/>
      <c r="L3315" s="44"/>
      <c r="M3315" s="45" t="s">
        <v>10213</v>
      </c>
    </row>
    <row r="3316" s="26" customFormat="1" ht="30" customHeight="1" spans="1:13">
      <c r="A3316" s="41">
        <f>IF(C3316="","",SUBTOTAL(103,$C$2:C3316))</f>
        <v>3307</v>
      </c>
      <c r="B3316" s="41">
        <v>1135</v>
      </c>
      <c r="C3316" s="41">
        <v>4574</v>
      </c>
      <c r="D3316" s="41" t="s">
        <v>45</v>
      </c>
      <c r="E3316" s="41" t="s">
        <v>1298</v>
      </c>
      <c r="F3316" s="41" t="s">
        <v>10093</v>
      </c>
      <c r="G3316" s="41" t="s">
        <v>10214</v>
      </c>
      <c r="H3316" s="41" t="s">
        <v>10215</v>
      </c>
      <c r="I3316" s="43">
        <v>12</v>
      </c>
      <c r="J3316" s="44" t="str">
        <f>VLOOKUP(G3316,[1]硬件清单!$F:$F,1,0)</f>
        <v>217399899-18A</v>
      </c>
      <c r="K3316" s="43"/>
      <c r="L3316" s="44"/>
      <c r="M3316" s="45" t="s">
        <v>10216</v>
      </c>
    </row>
    <row r="3317" s="26" customFormat="1" ht="30" customHeight="1" spans="1:13">
      <c r="A3317" s="41">
        <f>IF(C3317="","",SUBTOTAL(103,$C$2:C3317))</f>
        <v>3308</v>
      </c>
      <c r="B3317" s="41">
        <v>1136</v>
      </c>
      <c r="C3317" s="41">
        <v>4573</v>
      </c>
      <c r="D3317" s="41" t="s">
        <v>45</v>
      </c>
      <c r="E3317" s="41" t="s">
        <v>1298</v>
      </c>
      <c r="F3317" s="41" t="s">
        <v>10093</v>
      </c>
      <c r="G3317" s="41" t="s">
        <v>10217</v>
      </c>
      <c r="H3317" s="41" t="s">
        <v>10218</v>
      </c>
      <c r="I3317" s="43">
        <v>12</v>
      </c>
      <c r="J3317" s="44" t="str">
        <f>VLOOKUP(G3317,[1]硬件清单!$F:$F,1,0)</f>
        <v>217399899-19A</v>
      </c>
      <c r="K3317" s="43"/>
      <c r="L3317" s="44"/>
      <c r="M3317" s="45" t="s">
        <v>10219</v>
      </c>
    </row>
    <row r="3318" s="26" customFormat="1" ht="30" customHeight="1" spans="1:13">
      <c r="A3318" s="41">
        <f>IF(C3318="","",SUBTOTAL(103,$C$2:C3318))</f>
        <v>3309</v>
      </c>
      <c r="B3318" s="41">
        <v>1137</v>
      </c>
      <c r="C3318" s="41">
        <v>4571</v>
      </c>
      <c r="D3318" s="41" t="s">
        <v>45</v>
      </c>
      <c r="E3318" s="41" t="s">
        <v>1298</v>
      </c>
      <c r="F3318" s="41" t="s">
        <v>10093</v>
      </c>
      <c r="G3318" s="41" t="s">
        <v>10220</v>
      </c>
      <c r="H3318" s="41" t="s">
        <v>10221</v>
      </c>
      <c r="I3318" s="43">
        <v>12</v>
      </c>
      <c r="J3318" s="44" t="str">
        <f>VLOOKUP(G3318,[1]硬件清单!$F:$F,1,0)</f>
        <v>217399899-01A</v>
      </c>
      <c r="K3318" s="43"/>
      <c r="L3318" s="44"/>
      <c r="M3318" s="45" t="s">
        <v>10222</v>
      </c>
    </row>
    <row r="3319" s="26" customFormat="1" ht="30" customHeight="1" spans="1:13">
      <c r="A3319" s="41">
        <f>IF(C3319="","",SUBTOTAL(103,$C$2:C3319))</f>
        <v>3310</v>
      </c>
      <c r="B3319" s="41">
        <v>1138</v>
      </c>
      <c r="C3319" s="41">
        <v>4572</v>
      </c>
      <c r="D3319" s="41" t="s">
        <v>45</v>
      </c>
      <c r="E3319" s="41" t="s">
        <v>1298</v>
      </c>
      <c r="F3319" s="41" t="s">
        <v>10093</v>
      </c>
      <c r="G3319" s="41" t="s">
        <v>10223</v>
      </c>
      <c r="H3319" s="41" t="s">
        <v>10224</v>
      </c>
      <c r="I3319" s="43">
        <v>12</v>
      </c>
      <c r="J3319" s="44" t="str">
        <f>VLOOKUP(G3319,[1]硬件清单!$F:$F,1,0)</f>
        <v>217399899-20A</v>
      </c>
      <c r="K3319" s="43"/>
      <c r="L3319" s="44"/>
      <c r="M3319" s="45" t="s">
        <v>10225</v>
      </c>
    </row>
    <row r="3320" s="26" customFormat="1" ht="30" customHeight="1" spans="1:13">
      <c r="A3320" s="41">
        <f>IF(C3320="","",SUBTOTAL(103,$C$2:C3320))</f>
        <v>3311</v>
      </c>
      <c r="B3320" s="41">
        <v>1139</v>
      </c>
      <c r="C3320" s="41">
        <v>4735</v>
      </c>
      <c r="D3320" s="41" t="s">
        <v>45</v>
      </c>
      <c r="E3320" s="41" t="s">
        <v>1298</v>
      </c>
      <c r="F3320" s="41" t="s">
        <v>10093</v>
      </c>
      <c r="G3320" s="41" t="s">
        <v>10226</v>
      </c>
      <c r="H3320" s="41" t="s">
        <v>10227</v>
      </c>
      <c r="I3320" s="43">
        <v>12</v>
      </c>
      <c r="J3320" s="44" t="str">
        <f>VLOOKUP(G3320,[1]硬件清单!$F:$F,1,0)</f>
        <v>217399899-21A</v>
      </c>
      <c r="K3320" s="43"/>
      <c r="L3320" s="44"/>
      <c r="M3320" s="45" t="s">
        <v>10228</v>
      </c>
    </row>
    <row r="3321" s="26" customFormat="1" ht="30" customHeight="1" spans="1:13">
      <c r="A3321" s="41">
        <f>IF(C3321="","",SUBTOTAL(103,$C$2:C3321))</f>
        <v>3312</v>
      </c>
      <c r="B3321" s="41">
        <v>1140</v>
      </c>
      <c r="C3321" s="41">
        <v>4734</v>
      </c>
      <c r="D3321" s="41" t="s">
        <v>45</v>
      </c>
      <c r="E3321" s="41" t="s">
        <v>1298</v>
      </c>
      <c r="F3321" s="41" t="s">
        <v>10093</v>
      </c>
      <c r="G3321" s="41" t="s">
        <v>10229</v>
      </c>
      <c r="H3321" s="41" t="s">
        <v>10230</v>
      </c>
      <c r="I3321" s="43">
        <v>12</v>
      </c>
      <c r="J3321" s="44" t="str">
        <f>VLOOKUP(G3321,[1]硬件清单!$F:$F,1,0)</f>
        <v>217399899-22A</v>
      </c>
      <c r="K3321" s="43"/>
      <c r="L3321" s="44"/>
      <c r="M3321" s="45" t="s">
        <v>10231</v>
      </c>
    </row>
    <row r="3322" s="26" customFormat="1" ht="30" customHeight="1" spans="1:13">
      <c r="A3322" s="41">
        <f>IF(C3322="","",SUBTOTAL(103,$C$2:C3322))</f>
        <v>3313</v>
      </c>
      <c r="B3322" s="41">
        <v>1141</v>
      </c>
      <c r="C3322" s="41">
        <v>4733</v>
      </c>
      <c r="D3322" s="41" t="s">
        <v>45</v>
      </c>
      <c r="E3322" s="41" t="s">
        <v>1298</v>
      </c>
      <c r="F3322" s="41" t="s">
        <v>10093</v>
      </c>
      <c r="G3322" s="41" t="s">
        <v>10232</v>
      </c>
      <c r="H3322" s="41" t="s">
        <v>10233</v>
      </c>
      <c r="I3322" s="43">
        <v>12</v>
      </c>
      <c r="J3322" s="44" t="str">
        <f>VLOOKUP(G3322,[1]硬件清单!$F:$F,1,0)</f>
        <v>217399899-23A</v>
      </c>
      <c r="K3322" s="43"/>
      <c r="L3322" s="44"/>
      <c r="M3322" s="45" t="s">
        <v>10234</v>
      </c>
    </row>
    <row r="3323" s="26" customFormat="1" ht="30" customHeight="1" spans="1:13">
      <c r="A3323" s="41">
        <f>IF(C3323="","",SUBTOTAL(103,$C$2:C3323))</f>
        <v>3314</v>
      </c>
      <c r="B3323" s="41">
        <v>1142</v>
      </c>
      <c r="C3323" s="41">
        <v>4732</v>
      </c>
      <c r="D3323" s="41" t="s">
        <v>45</v>
      </c>
      <c r="E3323" s="41" t="s">
        <v>1298</v>
      </c>
      <c r="F3323" s="41" t="s">
        <v>10093</v>
      </c>
      <c r="G3323" s="41" t="s">
        <v>10235</v>
      </c>
      <c r="H3323" s="41" t="s">
        <v>10236</v>
      </c>
      <c r="I3323" s="43">
        <v>12</v>
      </c>
      <c r="J3323" s="44" t="str">
        <f>VLOOKUP(G3323,[1]硬件清单!$F:$F,1,0)</f>
        <v>217399899-24A</v>
      </c>
      <c r="K3323" s="43"/>
      <c r="L3323" s="44"/>
      <c r="M3323" s="45" t="s">
        <v>10237</v>
      </c>
    </row>
    <row r="3324" s="26" customFormat="1" ht="30" customHeight="1" spans="1:13">
      <c r="A3324" s="41">
        <f>IF(C3324="","",SUBTOTAL(103,$C$2:C3324))</f>
        <v>3315</v>
      </c>
      <c r="B3324" s="41">
        <v>1143</v>
      </c>
      <c r="C3324" s="41">
        <v>4570</v>
      </c>
      <c r="D3324" s="41" t="s">
        <v>45</v>
      </c>
      <c r="E3324" s="41" t="s">
        <v>1298</v>
      </c>
      <c r="F3324" s="41" t="s">
        <v>10093</v>
      </c>
      <c r="G3324" s="41" t="s">
        <v>10238</v>
      </c>
      <c r="H3324" s="41" t="s">
        <v>10239</v>
      </c>
      <c r="I3324" s="43">
        <v>12</v>
      </c>
      <c r="J3324" s="44" t="str">
        <f>VLOOKUP(G3324,[1]硬件清单!$F:$F,1,0)</f>
        <v>217399899-02A</v>
      </c>
      <c r="K3324" s="43"/>
      <c r="L3324" s="44"/>
      <c r="M3324" s="45" t="s">
        <v>10240</v>
      </c>
    </row>
    <row r="3325" s="26" customFormat="1" ht="30" customHeight="1" spans="1:13">
      <c r="A3325" s="41">
        <f>IF(C3325="","",SUBTOTAL(103,$C$2:C3325))</f>
        <v>3316</v>
      </c>
      <c r="B3325" s="41">
        <v>1144</v>
      </c>
      <c r="C3325" s="41">
        <v>4565</v>
      </c>
      <c r="D3325" s="41" t="s">
        <v>45</v>
      </c>
      <c r="E3325" s="41" t="s">
        <v>1298</v>
      </c>
      <c r="F3325" s="41" t="s">
        <v>10093</v>
      </c>
      <c r="G3325" s="41" t="s">
        <v>10241</v>
      </c>
      <c r="H3325" s="41" t="s">
        <v>10242</v>
      </c>
      <c r="I3325" s="43">
        <v>12</v>
      </c>
      <c r="J3325" s="44" t="str">
        <f>VLOOKUP(G3325,[1]硬件清单!$F:$F,1,0)</f>
        <v>217399899-25A</v>
      </c>
      <c r="K3325" s="43"/>
      <c r="L3325" s="44"/>
      <c r="M3325" s="45" t="s">
        <v>10243</v>
      </c>
    </row>
    <row r="3326" s="26" customFormat="1" ht="30" customHeight="1" spans="1:13">
      <c r="A3326" s="41">
        <f>IF(C3326="","",SUBTOTAL(103,$C$2:C3326))</f>
        <v>3317</v>
      </c>
      <c r="B3326" s="41">
        <v>1145</v>
      </c>
      <c r="C3326" s="41">
        <v>4564</v>
      </c>
      <c r="D3326" s="41" t="s">
        <v>45</v>
      </c>
      <c r="E3326" s="41" t="s">
        <v>1298</v>
      </c>
      <c r="F3326" s="41" t="s">
        <v>10093</v>
      </c>
      <c r="G3326" s="41" t="s">
        <v>10244</v>
      </c>
      <c r="H3326" s="41" t="s">
        <v>10245</v>
      </c>
      <c r="I3326" s="43">
        <v>12</v>
      </c>
      <c r="J3326" s="44" t="str">
        <f>VLOOKUP(G3326,[1]硬件清单!$F:$F,1,0)</f>
        <v>217399899-26A</v>
      </c>
      <c r="K3326" s="43"/>
      <c r="L3326" s="44"/>
      <c r="M3326" s="45" t="s">
        <v>10246</v>
      </c>
    </row>
    <row r="3327" s="26" customFormat="1" ht="30" customHeight="1" spans="1:13">
      <c r="A3327" s="41">
        <f>IF(C3327="","",SUBTOTAL(103,$C$2:C3327))</f>
        <v>3318</v>
      </c>
      <c r="B3327" s="41">
        <v>1146</v>
      </c>
      <c r="C3327" s="41">
        <v>4563</v>
      </c>
      <c r="D3327" s="41" t="s">
        <v>45</v>
      </c>
      <c r="E3327" s="41" t="s">
        <v>1298</v>
      </c>
      <c r="F3327" s="41" t="s">
        <v>10093</v>
      </c>
      <c r="G3327" s="41" t="s">
        <v>10247</v>
      </c>
      <c r="H3327" s="41" t="s">
        <v>10248</v>
      </c>
      <c r="I3327" s="43">
        <v>12</v>
      </c>
      <c r="J3327" s="44" t="str">
        <f>VLOOKUP(G3327,[1]硬件清单!$F:$F,1,0)</f>
        <v>217399899-27A</v>
      </c>
      <c r="K3327" s="43"/>
      <c r="L3327" s="44"/>
      <c r="M3327" s="45" t="s">
        <v>10249</v>
      </c>
    </row>
    <row r="3328" s="26" customFormat="1" ht="30" customHeight="1" spans="1:13">
      <c r="A3328" s="41">
        <f>IF(C3328="","",SUBTOTAL(103,$C$2:C3328))</f>
        <v>3319</v>
      </c>
      <c r="B3328" s="41">
        <v>1147</v>
      </c>
      <c r="C3328" s="41">
        <v>4562</v>
      </c>
      <c r="D3328" s="41" t="s">
        <v>45</v>
      </c>
      <c r="E3328" s="41" t="s">
        <v>1298</v>
      </c>
      <c r="F3328" s="41" t="s">
        <v>10093</v>
      </c>
      <c r="G3328" s="41" t="s">
        <v>10250</v>
      </c>
      <c r="H3328" s="41" t="s">
        <v>10251</v>
      </c>
      <c r="I3328" s="43">
        <v>12</v>
      </c>
      <c r="J3328" s="44" t="str">
        <f>VLOOKUP(G3328,[1]硬件清单!$F:$F,1,0)</f>
        <v>217399899-28A</v>
      </c>
      <c r="K3328" s="43"/>
      <c r="L3328" s="44"/>
      <c r="M3328" s="45" t="s">
        <v>10252</v>
      </c>
    </row>
    <row r="3329" s="26" customFormat="1" ht="30" customHeight="1" spans="1:13">
      <c r="A3329" s="41">
        <f>IF(C3329="","",SUBTOTAL(103,$C$2:C3329))</f>
        <v>3320</v>
      </c>
      <c r="B3329" s="41">
        <v>1148</v>
      </c>
      <c r="C3329" s="41">
        <v>4561</v>
      </c>
      <c r="D3329" s="41" t="s">
        <v>45</v>
      </c>
      <c r="E3329" s="41" t="s">
        <v>1298</v>
      </c>
      <c r="F3329" s="41" t="s">
        <v>10093</v>
      </c>
      <c r="G3329" s="41" t="s">
        <v>10253</v>
      </c>
      <c r="H3329" s="41" t="s">
        <v>10254</v>
      </c>
      <c r="I3329" s="43">
        <v>12</v>
      </c>
      <c r="J3329" s="44" t="str">
        <f>VLOOKUP(G3329,[1]硬件清单!$F:$F,1,0)</f>
        <v>217399899-29A</v>
      </c>
      <c r="K3329" s="43"/>
      <c r="L3329" s="44"/>
      <c r="M3329" s="45" t="s">
        <v>10255</v>
      </c>
    </row>
    <row r="3330" s="26" customFormat="1" ht="30" customHeight="1" spans="1:13">
      <c r="A3330" s="41">
        <f>IF(C3330="","",SUBTOTAL(103,$C$2:C3330))</f>
        <v>3321</v>
      </c>
      <c r="B3330" s="41">
        <v>1149</v>
      </c>
      <c r="C3330" s="41">
        <v>4560</v>
      </c>
      <c r="D3330" s="41" t="s">
        <v>45</v>
      </c>
      <c r="E3330" s="41" t="s">
        <v>1298</v>
      </c>
      <c r="F3330" s="41" t="s">
        <v>10093</v>
      </c>
      <c r="G3330" s="41" t="s">
        <v>10256</v>
      </c>
      <c r="H3330" s="41" t="s">
        <v>10257</v>
      </c>
      <c r="I3330" s="43">
        <v>12</v>
      </c>
      <c r="J3330" s="44" t="str">
        <f>VLOOKUP(G3330,[1]硬件清单!$F:$F,1,0)</f>
        <v>217399899-30A</v>
      </c>
      <c r="K3330" s="43"/>
      <c r="L3330" s="44"/>
      <c r="M3330" s="45" t="s">
        <v>10258</v>
      </c>
    </row>
    <row r="3331" s="26" customFormat="1" ht="30" customHeight="1" spans="1:13">
      <c r="A3331" s="41">
        <f>IF(C3331="","",SUBTOTAL(103,$C$2:C3331))</f>
        <v>3322</v>
      </c>
      <c r="B3331" s="41">
        <v>1150</v>
      </c>
      <c r="C3331" s="41">
        <v>4559</v>
      </c>
      <c r="D3331" s="41" t="s">
        <v>45</v>
      </c>
      <c r="E3331" s="41" t="s">
        <v>1298</v>
      </c>
      <c r="F3331" s="41" t="s">
        <v>10093</v>
      </c>
      <c r="G3331" s="41" t="s">
        <v>10259</v>
      </c>
      <c r="H3331" s="41" t="s">
        <v>10260</v>
      </c>
      <c r="I3331" s="43">
        <v>12</v>
      </c>
      <c r="J3331" s="44" t="str">
        <f>VLOOKUP(G3331,[1]硬件清单!$F:$F,1,0)</f>
        <v>217399899-31A</v>
      </c>
      <c r="K3331" s="43"/>
      <c r="L3331" s="44"/>
      <c r="M3331" s="45" t="s">
        <v>10261</v>
      </c>
    </row>
    <row r="3332" s="26" customFormat="1" ht="30" customHeight="1" spans="1:13">
      <c r="A3332" s="41">
        <f>IF(C3332="","",SUBTOTAL(103,$C$2:C3332))</f>
        <v>3323</v>
      </c>
      <c r="B3332" s="41">
        <v>1151</v>
      </c>
      <c r="C3332" s="41">
        <v>4558</v>
      </c>
      <c r="D3332" s="41" t="s">
        <v>45</v>
      </c>
      <c r="E3332" s="41" t="s">
        <v>1298</v>
      </c>
      <c r="F3332" s="41" t="s">
        <v>10093</v>
      </c>
      <c r="G3332" s="41" t="s">
        <v>10262</v>
      </c>
      <c r="H3332" s="41" t="s">
        <v>10263</v>
      </c>
      <c r="I3332" s="43">
        <v>12</v>
      </c>
      <c r="J3332" s="44" t="str">
        <f>VLOOKUP(G3332,[1]硬件清单!$F:$F,1,0)</f>
        <v>217399899-32A</v>
      </c>
      <c r="K3332" s="43"/>
      <c r="L3332" s="44"/>
      <c r="M3332" s="45" t="s">
        <v>10264</v>
      </c>
    </row>
    <row r="3333" s="26" customFormat="1" ht="30" customHeight="1" spans="1:13">
      <c r="A3333" s="41">
        <f>IF(C3333="","",SUBTOTAL(103,$C$2:C3333))</f>
        <v>3324</v>
      </c>
      <c r="B3333" s="41">
        <v>1152</v>
      </c>
      <c r="C3333" s="41">
        <v>4569</v>
      </c>
      <c r="D3333" s="41" t="s">
        <v>45</v>
      </c>
      <c r="E3333" s="41" t="s">
        <v>1298</v>
      </c>
      <c r="F3333" s="41" t="s">
        <v>10093</v>
      </c>
      <c r="G3333" s="41" t="s">
        <v>10265</v>
      </c>
      <c r="H3333" s="41" t="s">
        <v>10266</v>
      </c>
      <c r="I3333" s="43">
        <v>12</v>
      </c>
      <c r="J3333" s="44" t="str">
        <f>VLOOKUP(G3333,[1]硬件清单!$F:$F,1,0)</f>
        <v>217399899-03A</v>
      </c>
      <c r="K3333" s="43"/>
      <c r="L3333" s="44"/>
      <c r="M3333" s="45" t="s">
        <v>10267</v>
      </c>
    </row>
    <row r="3334" s="26" customFormat="1" ht="30" customHeight="1" spans="1:13">
      <c r="A3334" s="41">
        <f>IF(C3334="","",SUBTOTAL(103,$C$2:C3334))</f>
        <v>3325</v>
      </c>
      <c r="B3334" s="41">
        <v>1153</v>
      </c>
      <c r="C3334" s="41">
        <v>4568</v>
      </c>
      <c r="D3334" s="41" t="s">
        <v>45</v>
      </c>
      <c r="E3334" s="41" t="s">
        <v>1298</v>
      </c>
      <c r="F3334" s="41" t="s">
        <v>10093</v>
      </c>
      <c r="G3334" s="41" t="s">
        <v>10268</v>
      </c>
      <c r="H3334" s="41" t="s">
        <v>10269</v>
      </c>
      <c r="I3334" s="43">
        <v>12</v>
      </c>
      <c r="J3334" s="44" t="str">
        <f>VLOOKUP(G3334,[1]硬件清单!$F:$F,1,0)</f>
        <v>217399899-04A</v>
      </c>
      <c r="K3334" s="43"/>
      <c r="L3334" s="44"/>
      <c r="M3334" s="45" t="s">
        <v>10270</v>
      </c>
    </row>
    <row r="3335" s="26" customFormat="1" ht="30" customHeight="1" spans="1:13">
      <c r="A3335" s="41">
        <f>IF(C3335="","",SUBTOTAL(103,$C$2:C3335))</f>
        <v>3326</v>
      </c>
      <c r="B3335" s="41">
        <v>1154</v>
      </c>
      <c r="C3335" s="41">
        <v>4567</v>
      </c>
      <c r="D3335" s="41" t="s">
        <v>45</v>
      </c>
      <c r="E3335" s="41" t="s">
        <v>1298</v>
      </c>
      <c r="F3335" s="41" t="s">
        <v>10093</v>
      </c>
      <c r="G3335" s="41" t="s">
        <v>10271</v>
      </c>
      <c r="H3335" s="41" t="s">
        <v>10272</v>
      </c>
      <c r="I3335" s="43">
        <v>12</v>
      </c>
      <c r="J3335" s="44" t="str">
        <f>VLOOKUP(G3335,[1]硬件清单!$F:$F,1,0)</f>
        <v>217399899-05A</v>
      </c>
      <c r="K3335" s="43"/>
      <c r="L3335" s="44"/>
      <c r="M3335" s="45" t="s">
        <v>10273</v>
      </c>
    </row>
    <row r="3336" s="26" customFormat="1" ht="30" customHeight="1" spans="1:13">
      <c r="A3336" s="41">
        <f>IF(C3336="","",SUBTOTAL(103,$C$2:C3336))</f>
        <v>3327</v>
      </c>
      <c r="B3336" s="41">
        <v>1155</v>
      </c>
      <c r="C3336" s="41">
        <v>4566</v>
      </c>
      <c r="D3336" s="41" t="s">
        <v>45</v>
      </c>
      <c r="E3336" s="41" t="s">
        <v>1298</v>
      </c>
      <c r="F3336" s="41" t="s">
        <v>10093</v>
      </c>
      <c r="G3336" s="41" t="s">
        <v>10274</v>
      </c>
      <c r="H3336" s="41" t="s">
        <v>10275</v>
      </c>
      <c r="I3336" s="43">
        <v>12</v>
      </c>
      <c r="J3336" s="44" t="str">
        <f>VLOOKUP(G3336,[1]硬件清单!$F:$F,1,0)</f>
        <v>217399899-06A</v>
      </c>
      <c r="K3336" s="43"/>
      <c r="L3336" s="44"/>
      <c r="M3336" s="45" t="s">
        <v>10276</v>
      </c>
    </row>
    <row r="3337" s="26" customFormat="1" ht="30" customHeight="1" spans="1:13">
      <c r="A3337" s="41">
        <f>IF(C3337="","",SUBTOTAL(103,$C$2:C3337))</f>
        <v>3328</v>
      </c>
      <c r="B3337" s="41">
        <v>1156</v>
      </c>
      <c r="C3337" s="41">
        <v>4589</v>
      </c>
      <c r="D3337" s="41" t="s">
        <v>45</v>
      </c>
      <c r="E3337" s="41" t="s">
        <v>1298</v>
      </c>
      <c r="F3337" s="41" t="s">
        <v>10093</v>
      </c>
      <c r="G3337" s="41" t="s">
        <v>10277</v>
      </c>
      <c r="H3337" s="41" t="s">
        <v>10278</v>
      </c>
      <c r="I3337" s="43">
        <v>12</v>
      </c>
      <c r="J3337" s="44" t="str">
        <f>VLOOKUP(G3337,[1]硬件清单!$F:$F,1,0)</f>
        <v>217399899-07A</v>
      </c>
      <c r="K3337" s="43"/>
      <c r="L3337" s="44"/>
      <c r="M3337" s="45" t="s">
        <v>10279</v>
      </c>
    </row>
    <row r="3338" s="26" customFormat="1" ht="30" customHeight="1" spans="1:13">
      <c r="A3338" s="41">
        <f>IF(C3338="","",SUBTOTAL(103,$C$2:C3338))</f>
        <v>3329</v>
      </c>
      <c r="B3338" s="41">
        <v>1157</v>
      </c>
      <c r="C3338" s="41">
        <v>4588</v>
      </c>
      <c r="D3338" s="41" t="s">
        <v>45</v>
      </c>
      <c r="E3338" s="41" t="s">
        <v>1298</v>
      </c>
      <c r="F3338" s="41" t="s">
        <v>10093</v>
      </c>
      <c r="G3338" s="41" t="s">
        <v>10280</v>
      </c>
      <c r="H3338" s="41" t="s">
        <v>10281</v>
      </c>
      <c r="I3338" s="43">
        <v>12</v>
      </c>
      <c r="J3338" s="44" t="str">
        <f>VLOOKUP(G3338,[1]硬件清单!$F:$F,1,0)</f>
        <v>217399899-08A</v>
      </c>
      <c r="K3338" s="43"/>
      <c r="L3338" s="44"/>
      <c r="M3338" s="45" t="s">
        <v>10282</v>
      </c>
    </row>
    <row r="3339" s="26" customFormat="1" ht="30" customHeight="1" spans="1:13">
      <c r="A3339" s="41">
        <f>IF(C3339="","",SUBTOTAL(103,$C$2:C3339))</f>
        <v>3330</v>
      </c>
      <c r="B3339" s="41">
        <v>1158</v>
      </c>
      <c r="C3339" s="41">
        <v>4587</v>
      </c>
      <c r="D3339" s="41" t="s">
        <v>45</v>
      </c>
      <c r="E3339" s="41" t="s">
        <v>1298</v>
      </c>
      <c r="F3339" s="41" t="s">
        <v>10093</v>
      </c>
      <c r="G3339" s="41" t="s">
        <v>10283</v>
      </c>
      <c r="H3339" s="41" t="s">
        <v>10284</v>
      </c>
      <c r="I3339" s="43">
        <v>12</v>
      </c>
      <c r="J3339" s="44" t="str">
        <f>VLOOKUP(G3339,[1]硬件清单!$F:$F,1,0)</f>
        <v>217399899-09A</v>
      </c>
      <c r="K3339" s="43"/>
      <c r="L3339" s="44"/>
      <c r="M3339" s="45" t="s">
        <v>10285</v>
      </c>
    </row>
    <row r="3340" s="26" customFormat="1" ht="30" customHeight="1" spans="1:13">
      <c r="A3340" s="41">
        <f>IF(C3340="","",SUBTOTAL(103,$C$2:C3340))</f>
        <v>3331</v>
      </c>
      <c r="B3340" s="41">
        <v>1159</v>
      </c>
      <c r="C3340" s="41">
        <v>4540</v>
      </c>
      <c r="D3340" s="41" t="s">
        <v>45</v>
      </c>
      <c r="E3340" s="41" t="s">
        <v>1298</v>
      </c>
      <c r="F3340" s="42" t="s">
        <v>10286</v>
      </c>
      <c r="G3340" s="41" t="s">
        <v>776</v>
      </c>
      <c r="H3340" s="41" t="s">
        <v>10287</v>
      </c>
      <c r="I3340" s="43">
        <v>12</v>
      </c>
      <c r="J3340" s="44" t="str">
        <f>VLOOKUP(G3340,[1]硬件清单!$F:$F,1,0)</f>
        <v>无</v>
      </c>
      <c r="K3340" s="43"/>
      <c r="L3340" s="44"/>
      <c r="M3340" s="45" t="s">
        <v>10288</v>
      </c>
    </row>
    <row r="3341" s="26" customFormat="1" ht="30" customHeight="1" spans="1:13">
      <c r="A3341" s="41">
        <f>IF(C3341="","",SUBTOTAL(103,$C$2:C3341))</f>
        <v>3332</v>
      </c>
      <c r="B3341" s="41">
        <v>1160</v>
      </c>
      <c r="C3341" s="41">
        <v>4598</v>
      </c>
      <c r="D3341" s="41" t="s">
        <v>45</v>
      </c>
      <c r="E3341" s="41" t="s">
        <v>1298</v>
      </c>
      <c r="F3341" s="41" t="s">
        <v>10093</v>
      </c>
      <c r="G3341" s="41" t="s">
        <v>10289</v>
      </c>
      <c r="H3341" s="41" t="s">
        <v>10290</v>
      </c>
      <c r="I3341" s="43">
        <v>12</v>
      </c>
      <c r="J3341" s="44" t="str">
        <f>VLOOKUP(G3341,[1]硬件清单!$F:$F,1,0)</f>
        <v>217399932-10A</v>
      </c>
      <c r="K3341" s="43"/>
      <c r="L3341" s="44"/>
      <c r="M3341" s="45" t="s">
        <v>10291</v>
      </c>
    </row>
    <row r="3342" s="26" customFormat="1" ht="30" customHeight="1" spans="1:13">
      <c r="A3342" s="41">
        <f>IF(C3342="","",SUBTOTAL(103,$C$2:C3342))</f>
        <v>3333</v>
      </c>
      <c r="B3342" s="41">
        <v>1161</v>
      </c>
      <c r="C3342" s="41">
        <v>4737</v>
      </c>
      <c r="D3342" s="41" t="s">
        <v>45</v>
      </c>
      <c r="E3342" s="41" t="s">
        <v>1298</v>
      </c>
      <c r="F3342" s="41" t="s">
        <v>10093</v>
      </c>
      <c r="G3342" s="41" t="s">
        <v>10292</v>
      </c>
      <c r="H3342" s="41" t="s">
        <v>10293</v>
      </c>
      <c r="I3342" s="43">
        <v>12</v>
      </c>
      <c r="J3342" s="44" t="str">
        <f>VLOOKUP(G3342,[1]硬件清单!$F:$F,1,0)</f>
        <v>217399932-30A</v>
      </c>
      <c r="K3342" s="43"/>
      <c r="L3342" s="44"/>
      <c r="M3342" s="45" t="s">
        <v>10294</v>
      </c>
    </row>
    <row r="3343" s="26" customFormat="1" ht="30" customHeight="1" spans="1:13">
      <c r="A3343" s="41">
        <f>IF(C3343="","",SUBTOTAL(103,$C$2:C3343))</f>
        <v>3334</v>
      </c>
      <c r="B3343" s="41">
        <v>1162</v>
      </c>
      <c r="C3343" s="41">
        <v>4736</v>
      </c>
      <c r="D3343" s="41" t="s">
        <v>45</v>
      </c>
      <c r="E3343" s="41" t="s">
        <v>1298</v>
      </c>
      <c r="F3343" s="41" t="s">
        <v>10093</v>
      </c>
      <c r="G3343" s="41" t="s">
        <v>10295</v>
      </c>
      <c r="H3343" s="41" t="s">
        <v>10296</v>
      </c>
      <c r="I3343" s="43">
        <v>12</v>
      </c>
      <c r="J3343" s="44" t="str">
        <f>VLOOKUP(G3343,[1]硬件清单!$F:$F,1,0)</f>
        <v>217399932-31A</v>
      </c>
      <c r="K3343" s="43"/>
      <c r="L3343" s="44"/>
      <c r="M3343" s="45" t="s">
        <v>10297</v>
      </c>
    </row>
    <row r="3344" s="26" customFormat="1" ht="30" customHeight="1" spans="1:13">
      <c r="A3344" s="41">
        <f>IF(C3344="","",SUBTOTAL(103,$C$2:C3344))</f>
        <v>3335</v>
      </c>
      <c r="B3344" s="41">
        <v>1163</v>
      </c>
      <c r="C3344" s="41">
        <v>4613</v>
      </c>
      <c r="D3344" s="41" t="s">
        <v>45</v>
      </c>
      <c r="E3344" s="41" t="s">
        <v>1298</v>
      </c>
      <c r="F3344" s="41" t="s">
        <v>10093</v>
      </c>
      <c r="G3344" s="41" t="s">
        <v>10298</v>
      </c>
      <c r="H3344" s="41" t="s">
        <v>10299</v>
      </c>
      <c r="I3344" s="43">
        <v>12</v>
      </c>
      <c r="J3344" s="44" t="str">
        <f>VLOOKUP(G3344,[1]硬件清单!$F:$F,1,0)</f>
        <v>217399932-25A</v>
      </c>
      <c r="K3344" s="43"/>
      <c r="L3344" s="44"/>
      <c r="M3344" s="45" t="s">
        <v>10300</v>
      </c>
    </row>
    <row r="3345" s="26" customFormat="1" ht="30" customHeight="1" spans="1:13">
      <c r="A3345" s="41">
        <f>IF(C3345="","",SUBTOTAL(103,$C$2:C3345))</f>
        <v>3336</v>
      </c>
      <c r="B3345" s="41">
        <v>1164</v>
      </c>
      <c r="C3345" s="41">
        <v>4612</v>
      </c>
      <c r="D3345" s="41" t="s">
        <v>45</v>
      </c>
      <c r="E3345" s="41" t="s">
        <v>1298</v>
      </c>
      <c r="F3345" s="41" t="s">
        <v>10093</v>
      </c>
      <c r="G3345" s="41" t="s">
        <v>10301</v>
      </c>
      <c r="H3345" s="41" t="s">
        <v>10302</v>
      </c>
      <c r="I3345" s="43">
        <v>12</v>
      </c>
      <c r="J3345" s="44" t="str">
        <f>VLOOKUP(G3345,[1]硬件清单!$F:$F,1,0)</f>
        <v>217399932-26A</v>
      </c>
      <c r="K3345" s="43"/>
      <c r="L3345" s="44"/>
      <c r="M3345" s="45" t="s">
        <v>10303</v>
      </c>
    </row>
    <row r="3346" s="26" customFormat="1" ht="30" customHeight="1" spans="1:13">
      <c r="A3346" s="41">
        <f>IF(C3346="","",SUBTOTAL(103,$C$2:C3346))</f>
        <v>3337</v>
      </c>
      <c r="B3346" s="41">
        <v>1165</v>
      </c>
      <c r="C3346" s="41">
        <v>4611</v>
      </c>
      <c r="D3346" s="41" t="s">
        <v>45</v>
      </c>
      <c r="E3346" s="41" t="s">
        <v>1298</v>
      </c>
      <c r="F3346" s="41" t="s">
        <v>10093</v>
      </c>
      <c r="G3346" s="41" t="s">
        <v>10304</v>
      </c>
      <c r="H3346" s="41" t="s">
        <v>10305</v>
      </c>
      <c r="I3346" s="43">
        <v>12</v>
      </c>
      <c r="J3346" s="44" t="str">
        <f>VLOOKUP(G3346,[1]硬件清单!$F:$F,1,0)</f>
        <v>217399932-27A</v>
      </c>
      <c r="K3346" s="43"/>
      <c r="L3346" s="44"/>
      <c r="M3346" s="45" t="s">
        <v>10306</v>
      </c>
    </row>
    <row r="3347" s="26" customFormat="1" ht="30" customHeight="1" spans="1:13">
      <c r="A3347" s="41">
        <f>IF(C3347="","",SUBTOTAL(103,$C$2:C3347))</f>
        <v>3338</v>
      </c>
      <c r="B3347" s="41">
        <v>1166</v>
      </c>
      <c r="C3347" s="41">
        <v>4610</v>
      </c>
      <c r="D3347" s="41" t="s">
        <v>45</v>
      </c>
      <c r="E3347" s="41" t="s">
        <v>1298</v>
      </c>
      <c r="F3347" s="41" t="s">
        <v>10093</v>
      </c>
      <c r="G3347" s="41" t="s">
        <v>10307</v>
      </c>
      <c r="H3347" s="41" t="s">
        <v>10308</v>
      </c>
      <c r="I3347" s="43">
        <v>12</v>
      </c>
      <c r="J3347" s="44" t="str">
        <f>VLOOKUP(G3347,[1]硬件清单!$F:$F,1,0)</f>
        <v>217399932-28A</v>
      </c>
      <c r="K3347" s="43"/>
      <c r="L3347" s="44"/>
      <c r="M3347" s="45" t="s">
        <v>10309</v>
      </c>
    </row>
    <row r="3348" s="26" customFormat="1" ht="30" customHeight="1" spans="1:13">
      <c r="A3348" s="41">
        <f>IF(C3348="","",SUBTOTAL(103,$C$2:C3348))</f>
        <v>3339</v>
      </c>
      <c r="B3348" s="41">
        <v>1167</v>
      </c>
      <c r="C3348" s="41">
        <v>4609</v>
      </c>
      <c r="D3348" s="41" t="s">
        <v>45</v>
      </c>
      <c r="E3348" s="41" t="s">
        <v>1298</v>
      </c>
      <c r="F3348" s="41" t="s">
        <v>10093</v>
      </c>
      <c r="G3348" s="41" t="s">
        <v>10310</v>
      </c>
      <c r="H3348" s="41" t="s">
        <v>10311</v>
      </c>
      <c r="I3348" s="43">
        <v>12</v>
      </c>
      <c r="J3348" s="44" t="str">
        <f>VLOOKUP(G3348,[1]硬件清单!$F:$F,1,0)</f>
        <v>217399932-29A</v>
      </c>
      <c r="K3348" s="43"/>
      <c r="L3348" s="44"/>
      <c r="M3348" s="45" t="s">
        <v>10312</v>
      </c>
    </row>
    <row r="3349" s="26" customFormat="1" ht="30" customHeight="1" spans="1:13">
      <c r="A3349" s="41">
        <f>IF(C3349="","",SUBTOTAL(103,$C$2:C3349))</f>
        <v>3340</v>
      </c>
      <c r="B3349" s="41">
        <v>1168</v>
      </c>
      <c r="C3349" s="41">
        <v>4608</v>
      </c>
      <c r="D3349" s="41" t="s">
        <v>45</v>
      </c>
      <c r="E3349" s="41" t="s">
        <v>1298</v>
      </c>
      <c r="F3349" s="41" t="s">
        <v>10093</v>
      </c>
      <c r="G3349" s="41" t="s">
        <v>10313</v>
      </c>
      <c r="H3349" s="41" t="s">
        <v>10314</v>
      </c>
      <c r="I3349" s="43">
        <v>12</v>
      </c>
      <c r="J3349" s="44" t="str">
        <f>VLOOKUP(G3349,[1]硬件清单!$F:$F,1,0)</f>
        <v>217399932-18A</v>
      </c>
      <c r="K3349" s="43"/>
      <c r="L3349" s="44"/>
      <c r="M3349" s="45" t="s">
        <v>10315</v>
      </c>
    </row>
    <row r="3350" s="26" customFormat="1" ht="30" customHeight="1" spans="1:13">
      <c r="A3350" s="41">
        <f>IF(C3350="","",SUBTOTAL(103,$C$2:C3350))</f>
        <v>3341</v>
      </c>
      <c r="B3350" s="41">
        <v>1169</v>
      </c>
      <c r="C3350" s="41">
        <v>4607</v>
      </c>
      <c r="D3350" s="41" t="s">
        <v>45</v>
      </c>
      <c r="E3350" s="41" t="s">
        <v>1298</v>
      </c>
      <c r="F3350" s="41" t="s">
        <v>10093</v>
      </c>
      <c r="G3350" s="41" t="s">
        <v>10316</v>
      </c>
      <c r="H3350" s="41" t="s">
        <v>10317</v>
      </c>
      <c r="I3350" s="43">
        <v>12</v>
      </c>
      <c r="J3350" s="44" t="str">
        <f>VLOOKUP(G3350,[1]硬件清单!$F:$F,1,0)</f>
        <v>217399932-19A</v>
      </c>
      <c r="K3350" s="43"/>
      <c r="L3350" s="44"/>
      <c r="M3350" s="45" t="s">
        <v>10318</v>
      </c>
    </row>
    <row r="3351" s="26" customFormat="1" ht="30" customHeight="1" spans="1:13">
      <c r="A3351" s="41">
        <f>IF(C3351="","",SUBTOTAL(103,$C$2:C3351))</f>
        <v>3342</v>
      </c>
      <c r="B3351" s="41">
        <v>1170</v>
      </c>
      <c r="C3351" s="41">
        <v>4744</v>
      </c>
      <c r="D3351" s="41" t="s">
        <v>45</v>
      </c>
      <c r="E3351" s="41" t="s">
        <v>1298</v>
      </c>
      <c r="F3351" s="41" t="s">
        <v>10093</v>
      </c>
      <c r="G3351" s="41" t="s">
        <v>10319</v>
      </c>
      <c r="H3351" s="41" t="s">
        <v>10320</v>
      </c>
      <c r="I3351" s="43">
        <v>12</v>
      </c>
      <c r="J3351" s="44" t="str">
        <f>VLOOKUP(G3351,[1]硬件清单!$F:$F,1,0)</f>
        <v>217399932-01A</v>
      </c>
      <c r="K3351" s="43"/>
      <c r="L3351" s="44"/>
      <c r="M3351" s="45" t="s">
        <v>10321</v>
      </c>
    </row>
    <row r="3352" s="26" customFormat="1" ht="30" customHeight="1" spans="1:13">
      <c r="A3352" s="41">
        <f>IF(C3352="","",SUBTOTAL(103,$C$2:C3352))</f>
        <v>3343</v>
      </c>
      <c r="B3352" s="41">
        <v>1171</v>
      </c>
      <c r="C3352" s="41">
        <v>4606</v>
      </c>
      <c r="D3352" s="41" t="s">
        <v>45</v>
      </c>
      <c r="E3352" s="41" t="s">
        <v>1298</v>
      </c>
      <c r="F3352" s="41" t="s">
        <v>10093</v>
      </c>
      <c r="G3352" s="41" t="s">
        <v>10322</v>
      </c>
      <c r="H3352" s="41" t="s">
        <v>10323</v>
      </c>
      <c r="I3352" s="43">
        <v>12</v>
      </c>
      <c r="J3352" s="44" t="str">
        <f>VLOOKUP(G3352,[1]硬件清单!$F:$F,1,0)</f>
        <v>217399932-20A</v>
      </c>
      <c r="K3352" s="43"/>
      <c r="L3352" s="44"/>
      <c r="M3352" s="45" t="s">
        <v>10324</v>
      </c>
    </row>
    <row r="3353" s="26" customFormat="1" ht="30" customHeight="1" spans="1:13">
      <c r="A3353" s="41">
        <f>IF(C3353="","",SUBTOTAL(103,$C$2:C3353))</f>
        <v>3344</v>
      </c>
      <c r="B3353" s="41">
        <v>1172</v>
      </c>
      <c r="C3353" s="41">
        <v>4741</v>
      </c>
      <c r="D3353" s="41" t="s">
        <v>45</v>
      </c>
      <c r="E3353" s="41" t="s">
        <v>1298</v>
      </c>
      <c r="F3353" s="41" t="s">
        <v>10093</v>
      </c>
      <c r="G3353" s="41" t="s">
        <v>10325</v>
      </c>
      <c r="H3353" s="41" t="s">
        <v>10326</v>
      </c>
      <c r="I3353" s="43">
        <v>12</v>
      </c>
      <c r="J3353" s="44" t="str">
        <f>VLOOKUP(G3353,[1]硬件清单!$F:$F,1,0)</f>
        <v>217399932-21A</v>
      </c>
      <c r="K3353" s="43"/>
      <c r="L3353" s="44"/>
      <c r="M3353" s="45" t="s">
        <v>10327</v>
      </c>
    </row>
    <row r="3354" s="26" customFormat="1" ht="30" customHeight="1" spans="1:13">
      <c r="A3354" s="41">
        <f>IF(C3354="","",SUBTOTAL(103,$C$2:C3354))</f>
        <v>3345</v>
      </c>
      <c r="B3354" s="41">
        <v>1173</v>
      </c>
      <c r="C3354" s="41">
        <v>4740</v>
      </c>
      <c r="D3354" s="41" t="s">
        <v>45</v>
      </c>
      <c r="E3354" s="41" t="s">
        <v>1298</v>
      </c>
      <c r="F3354" s="41" t="s">
        <v>10093</v>
      </c>
      <c r="G3354" s="41" t="s">
        <v>10328</v>
      </c>
      <c r="H3354" s="41" t="s">
        <v>10329</v>
      </c>
      <c r="I3354" s="43">
        <v>12</v>
      </c>
      <c r="J3354" s="44" t="str">
        <f>VLOOKUP(G3354,[1]硬件清单!$F:$F,1,0)</f>
        <v>217399932-22A</v>
      </c>
      <c r="K3354" s="43"/>
      <c r="L3354" s="44"/>
      <c r="M3354" s="45" t="s">
        <v>10330</v>
      </c>
    </row>
    <row r="3355" s="26" customFormat="1" ht="30" customHeight="1" spans="1:13">
      <c r="A3355" s="41">
        <f>IF(C3355="","",SUBTOTAL(103,$C$2:C3355))</f>
        <v>3346</v>
      </c>
      <c r="B3355" s="41">
        <v>1174</v>
      </c>
      <c r="C3355" s="41">
        <v>4739</v>
      </c>
      <c r="D3355" s="41" t="s">
        <v>45</v>
      </c>
      <c r="E3355" s="41" t="s">
        <v>1298</v>
      </c>
      <c r="F3355" s="41" t="s">
        <v>10093</v>
      </c>
      <c r="G3355" s="41" t="s">
        <v>10331</v>
      </c>
      <c r="H3355" s="41" t="s">
        <v>10332</v>
      </c>
      <c r="I3355" s="43">
        <v>12</v>
      </c>
      <c r="J3355" s="44" t="str">
        <f>VLOOKUP(G3355,[1]硬件清单!$F:$F,1,0)</f>
        <v>217399932-23A</v>
      </c>
      <c r="K3355" s="43"/>
      <c r="L3355" s="44"/>
      <c r="M3355" s="45" t="s">
        <v>10333</v>
      </c>
    </row>
    <row r="3356" s="26" customFormat="1" ht="30" customHeight="1" spans="1:13">
      <c r="A3356" s="41">
        <f>IF(C3356="","",SUBTOTAL(103,$C$2:C3356))</f>
        <v>3347</v>
      </c>
      <c r="B3356" s="41">
        <v>1175</v>
      </c>
      <c r="C3356" s="41">
        <v>4738</v>
      </c>
      <c r="D3356" s="41" t="s">
        <v>45</v>
      </c>
      <c r="E3356" s="41" t="s">
        <v>1298</v>
      </c>
      <c r="F3356" s="41" t="s">
        <v>10093</v>
      </c>
      <c r="G3356" s="41" t="s">
        <v>10334</v>
      </c>
      <c r="H3356" s="41" t="s">
        <v>10335</v>
      </c>
      <c r="I3356" s="43">
        <v>12</v>
      </c>
      <c r="J3356" s="44" t="str">
        <f>VLOOKUP(G3356,[1]硬件清单!$F:$F,1,0)</f>
        <v>217399932-24A</v>
      </c>
      <c r="K3356" s="43"/>
      <c r="L3356" s="44"/>
      <c r="M3356" s="45" t="s">
        <v>10336</v>
      </c>
    </row>
    <row r="3357" s="26" customFormat="1" ht="30" customHeight="1" spans="1:13">
      <c r="A3357" s="41">
        <f>IF(C3357="","",SUBTOTAL(103,$C$2:C3357))</f>
        <v>3348</v>
      </c>
      <c r="B3357" s="41">
        <v>1176</v>
      </c>
      <c r="C3357" s="41">
        <v>4743</v>
      </c>
      <c r="D3357" s="41" t="s">
        <v>45</v>
      </c>
      <c r="E3357" s="41" t="s">
        <v>1298</v>
      </c>
      <c r="F3357" s="41" t="s">
        <v>10093</v>
      </c>
      <c r="G3357" s="41" t="s">
        <v>10337</v>
      </c>
      <c r="H3357" s="41" t="s">
        <v>10338</v>
      </c>
      <c r="I3357" s="43">
        <v>12</v>
      </c>
      <c r="J3357" s="44" t="str">
        <f>VLOOKUP(G3357,[1]硬件清单!$F:$F,1,0)</f>
        <v>217399932-02A</v>
      </c>
      <c r="K3357" s="43"/>
      <c r="L3357" s="44"/>
      <c r="M3357" s="45" t="s">
        <v>10339</v>
      </c>
    </row>
    <row r="3358" s="26" customFormat="1" ht="30" customHeight="1" spans="1:13">
      <c r="A3358" s="41">
        <f>IF(C3358="","",SUBTOTAL(103,$C$2:C3358))</f>
        <v>3349</v>
      </c>
      <c r="B3358" s="41">
        <v>1177</v>
      </c>
      <c r="C3358" s="41">
        <v>4597</v>
      </c>
      <c r="D3358" s="41" t="s">
        <v>45</v>
      </c>
      <c r="E3358" s="41" t="s">
        <v>1298</v>
      </c>
      <c r="F3358" s="41" t="s">
        <v>10093</v>
      </c>
      <c r="G3358" s="41" t="s">
        <v>10340</v>
      </c>
      <c r="H3358" s="41" t="s">
        <v>10341</v>
      </c>
      <c r="I3358" s="43">
        <v>12</v>
      </c>
      <c r="J3358" s="44" t="str">
        <f>VLOOKUP(G3358,[1]硬件清单!$F:$F,1,0)</f>
        <v>217399932-13A</v>
      </c>
      <c r="K3358" s="43"/>
      <c r="L3358" s="44"/>
      <c r="M3358" s="45" t="s">
        <v>10342</v>
      </c>
    </row>
    <row r="3359" s="26" customFormat="1" ht="30" customHeight="1" spans="1:13">
      <c r="A3359" s="41">
        <f>IF(C3359="","",SUBTOTAL(103,$C$2:C3359))</f>
        <v>3350</v>
      </c>
      <c r="B3359" s="41">
        <v>1178</v>
      </c>
      <c r="C3359" s="41">
        <v>4596</v>
      </c>
      <c r="D3359" s="41" t="s">
        <v>45</v>
      </c>
      <c r="E3359" s="41" t="s">
        <v>1298</v>
      </c>
      <c r="F3359" s="41" t="s">
        <v>10093</v>
      </c>
      <c r="G3359" s="41" t="s">
        <v>10343</v>
      </c>
      <c r="H3359" s="41" t="s">
        <v>10344</v>
      </c>
      <c r="I3359" s="43">
        <v>12</v>
      </c>
      <c r="J3359" s="44" t="str">
        <f>VLOOKUP(G3359,[1]硬件清单!$F:$F,1,0)</f>
        <v>217399932-14A</v>
      </c>
      <c r="K3359" s="43"/>
      <c r="L3359" s="44"/>
      <c r="M3359" s="45" t="s">
        <v>10345</v>
      </c>
    </row>
    <row r="3360" s="26" customFormat="1" ht="30" customHeight="1" spans="1:13">
      <c r="A3360" s="41">
        <f>IF(C3360="","",SUBTOTAL(103,$C$2:C3360))</f>
        <v>3351</v>
      </c>
      <c r="B3360" s="41">
        <v>1179</v>
      </c>
      <c r="C3360" s="41">
        <v>4595</v>
      </c>
      <c r="D3360" s="41" t="s">
        <v>45</v>
      </c>
      <c r="E3360" s="41" t="s">
        <v>1298</v>
      </c>
      <c r="F3360" s="41" t="s">
        <v>10093</v>
      </c>
      <c r="G3360" s="41" t="s">
        <v>10346</v>
      </c>
      <c r="H3360" s="41" t="s">
        <v>10347</v>
      </c>
      <c r="I3360" s="43">
        <v>12</v>
      </c>
      <c r="J3360" s="44" t="str">
        <f>VLOOKUP(G3360,[1]硬件清单!$F:$F,1,0)</f>
        <v>217399932-15A</v>
      </c>
      <c r="K3360" s="43"/>
      <c r="L3360" s="44"/>
      <c r="M3360" s="45" t="s">
        <v>10348</v>
      </c>
    </row>
    <row r="3361" s="26" customFormat="1" ht="30" customHeight="1" spans="1:13">
      <c r="A3361" s="41">
        <f>IF(C3361="","",SUBTOTAL(103,$C$2:C3361))</f>
        <v>3352</v>
      </c>
      <c r="B3361" s="41">
        <v>1180</v>
      </c>
      <c r="C3361" s="41">
        <v>4594</v>
      </c>
      <c r="D3361" s="41" t="s">
        <v>45</v>
      </c>
      <c r="E3361" s="41" t="s">
        <v>1298</v>
      </c>
      <c r="F3361" s="41" t="s">
        <v>10093</v>
      </c>
      <c r="G3361" s="41" t="s">
        <v>10349</v>
      </c>
      <c r="H3361" s="41" t="s">
        <v>10350</v>
      </c>
      <c r="I3361" s="43">
        <v>12</v>
      </c>
      <c r="J3361" s="44" t="str">
        <f>VLOOKUP(G3361,[1]硬件清单!$F:$F,1,0)</f>
        <v>217399932-16A</v>
      </c>
      <c r="K3361" s="43"/>
      <c r="L3361" s="44"/>
      <c r="M3361" s="45" t="s">
        <v>10351</v>
      </c>
    </row>
    <row r="3362" s="26" customFormat="1" ht="30" customHeight="1" spans="1:13">
      <c r="A3362" s="41">
        <f>IF(C3362="","",SUBTOTAL(103,$C$2:C3362))</f>
        <v>3353</v>
      </c>
      <c r="B3362" s="41">
        <v>1181</v>
      </c>
      <c r="C3362" s="41">
        <v>4593</v>
      </c>
      <c r="D3362" s="41" t="s">
        <v>45</v>
      </c>
      <c r="E3362" s="41" t="s">
        <v>1298</v>
      </c>
      <c r="F3362" s="41" t="s">
        <v>10093</v>
      </c>
      <c r="G3362" s="41" t="s">
        <v>10352</v>
      </c>
      <c r="H3362" s="41" t="s">
        <v>10353</v>
      </c>
      <c r="I3362" s="43">
        <v>12</v>
      </c>
      <c r="J3362" s="44" t="str">
        <f>VLOOKUP(G3362,[1]硬件清单!$F:$F,1,0)</f>
        <v>217399932-17A</v>
      </c>
      <c r="K3362" s="43"/>
      <c r="L3362" s="44"/>
      <c r="M3362" s="45" t="s">
        <v>10354</v>
      </c>
    </row>
    <row r="3363" s="26" customFormat="1" ht="30" customHeight="1" spans="1:13">
      <c r="A3363" s="41">
        <f>IF(C3363="","",SUBTOTAL(103,$C$2:C3363))</f>
        <v>3354</v>
      </c>
      <c r="B3363" s="41">
        <v>1182</v>
      </c>
      <c r="C3363" s="41">
        <v>4592</v>
      </c>
      <c r="D3363" s="41" t="s">
        <v>45</v>
      </c>
      <c r="E3363" s="41" t="s">
        <v>1298</v>
      </c>
      <c r="F3363" s="41" t="s">
        <v>10093</v>
      </c>
      <c r="G3363" s="41" t="s">
        <v>10355</v>
      </c>
      <c r="H3363" s="41" t="s">
        <v>10356</v>
      </c>
      <c r="I3363" s="43">
        <v>12</v>
      </c>
      <c r="J3363" s="44" t="str">
        <f>VLOOKUP(G3363,[1]硬件清单!$F:$F,1,0)</f>
        <v>217399932-11A</v>
      </c>
      <c r="K3363" s="43"/>
      <c r="L3363" s="44"/>
      <c r="M3363" s="45" t="s">
        <v>10357</v>
      </c>
    </row>
    <row r="3364" s="26" customFormat="1" ht="30" customHeight="1" spans="1:13">
      <c r="A3364" s="41">
        <f>IF(C3364="","",SUBTOTAL(103,$C$2:C3364))</f>
        <v>3355</v>
      </c>
      <c r="B3364" s="41">
        <v>1183</v>
      </c>
      <c r="C3364" s="41">
        <v>4591</v>
      </c>
      <c r="D3364" s="41" t="s">
        <v>45</v>
      </c>
      <c r="E3364" s="41" t="s">
        <v>1298</v>
      </c>
      <c r="F3364" s="41" t="s">
        <v>10093</v>
      </c>
      <c r="G3364" s="41" t="s">
        <v>10358</v>
      </c>
      <c r="H3364" s="41" t="s">
        <v>10359</v>
      </c>
      <c r="I3364" s="43">
        <v>12</v>
      </c>
      <c r="J3364" s="44" t="str">
        <f>VLOOKUP(G3364,[1]硬件清单!$F:$F,1,0)</f>
        <v>217399932-12A</v>
      </c>
      <c r="K3364" s="43"/>
      <c r="L3364" s="44"/>
      <c r="M3364" s="45" t="s">
        <v>10360</v>
      </c>
    </row>
    <row r="3365" s="26" customFormat="1" ht="30" customHeight="1" spans="1:13">
      <c r="A3365" s="41">
        <f>IF(C3365="","",SUBTOTAL(103,$C$2:C3365))</f>
        <v>3356</v>
      </c>
      <c r="B3365" s="41">
        <v>1184</v>
      </c>
      <c r="C3365" s="41">
        <v>4590</v>
      </c>
      <c r="D3365" s="41" t="s">
        <v>45</v>
      </c>
      <c r="E3365" s="41" t="s">
        <v>1298</v>
      </c>
      <c r="F3365" s="41" t="s">
        <v>10093</v>
      </c>
      <c r="G3365" s="41" t="s">
        <v>10361</v>
      </c>
      <c r="H3365" s="41" t="s">
        <v>10362</v>
      </c>
      <c r="I3365" s="43">
        <v>12</v>
      </c>
      <c r="J3365" s="44" t="str">
        <f>VLOOKUP(G3365,[1]硬件清单!$F:$F,1,0)</f>
        <v>217399932-32A</v>
      </c>
      <c r="K3365" s="43"/>
      <c r="L3365" s="44"/>
      <c r="M3365" s="45" t="s">
        <v>10363</v>
      </c>
    </row>
    <row r="3366" s="26" customFormat="1" ht="30" customHeight="1" spans="1:13">
      <c r="A3366" s="41">
        <f>IF(C3366="","",SUBTOTAL(103,$C$2:C3366))</f>
        <v>3357</v>
      </c>
      <c r="B3366" s="41">
        <v>1185</v>
      </c>
      <c r="C3366" s="41">
        <v>4605</v>
      </c>
      <c r="D3366" s="41" t="s">
        <v>45</v>
      </c>
      <c r="E3366" s="41" t="s">
        <v>1298</v>
      </c>
      <c r="F3366" s="41" t="s">
        <v>10093</v>
      </c>
      <c r="G3366" s="41" t="s">
        <v>10364</v>
      </c>
      <c r="H3366" s="41" t="s">
        <v>10365</v>
      </c>
      <c r="I3366" s="43">
        <v>12</v>
      </c>
      <c r="J3366" s="44" t="str">
        <f>VLOOKUP(G3366,[1]硬件清单!$F:$F,1,0)</f>
        <v>217399932-03A</v>
      </c>
      <c r="K3366" s="43"/>
      <c r="L3366" s="44"/>
      <c r="M3366" s="45" t="s">
        <v>10366</v>
      </c>
    </row>
    <row r="3367" s="26" customFormat="1" ht="30" customHeight="1" spans="1:13">
      <c r="A3367" s="41">
        <f>IF(C3367="","",SUBTOTAL(103,$C$2:C3367))</f>
        <v>3358</v>
      </c>
      <c r="B3367" s="41">
        <v>1186</v>
      </c>
      <c r="C3367" s="41">
        <v>4604</v>
      </c>
      <c r="D3367" s="41" t="s">
        <v>45</v>
      </c>
      <c r="E3367" s="41" t="s">
        <v>1298</v>
      </c>
      <c r="F3367" s="41" t="s">
        <v>10093</v>
      </c>
      <c r="G3367" s="41" t="s">
        <v>10367</v>
      </c>
      <c r="H3367" s="41" t="s">
        <v>10368</v>
      </c>
      <c r="I3367" s="43">
        <v>12</v>
      </c>
      <c r="J3367" s="44" t="str">
        <f>VLOOKUP(G3367,[1]硬件清单!$F:$F,1,0)</f>
        <v>217399932-04A</v>
      </c>
      <c r="K3367" s="43"/>
      <c r="L3367" s="44"/>
      <c r="M3367" s="45" t="s">
        <v>10369</v>
      </c>
    </row>
    <row r="3368" s="26" customFormat="1" ht="30" customHeight="1" spans="1:13">
      <c r="A3368" s="41">
        <f>IF(C3368="","",SUBTOTAL(103,$C$2:C3368))</f>
        <v>3359</v>
      </c>
      <c r="B3368" s="41">
        <v>1187</v>
      </c>
      <c r="C3368" s="41">
        <v>4603</v>
      </c>
      <c r="D3368" s="41" t="s">
        <v>45</v>
      </c>
      <c r="E3368" s="41" t="s">
        <v>1298</v>
      </c>
      <c r="F3368" s="41" t="s">
        <v>10093</v>
      </c>
      <c r="G3368" s="41" t="s">
        <v>10370</v>
      </c>
      <c r="H3368" s="41" t="s">
        <v>10371</v>
      </c>
      <c r="I3368" s="43">
        <v>12</v>
      </c>
      <c r="J3368" s="44" t="str">
        <f>VLOOKUP(G3368,[1]硬件清单!$F:$F,1,0)</f>
        <v>217399932-05A</v>
      </c>
      <c r="K3368" s="43"/>
      <c r="L3368" s="44"/>
      <c r="M3368" s="45" t="s">
        <v>10372</v>
      </c>
    </row>
    <row r="3369" s="26" customFormat="1" ht="30" customHeight="1" spans="1:13">
      <c r="A3369" s="41">
        <f>IF(C3369="","",SUBTOTAL(103,$C$2:C3369))</f>
        <v>3360</v>
      </c>
      <c r="B3369" s="41">
        <v>1188</v>
      </c>
      <c r="C3369" s="41">
        <v>4602</v>
      </c>
      <c r="D3369" s="41" t="s">
        <v>45</v>
      </c>
      <c r="E3369" s="41" t="s">
        <v>1298</v>
      </c>
      <c r="F3369" s="41" t="s">
        <v>10093</v>
      </c>
      <c r="G3369" s="41" t="s">
        <v>10373</v>
      </c>
      <c r="H3369" s="41" t="s">
        <v>10374</v>
      </c>
      <c r="I3369" s="43">
        <v>12</v>
      </c>
      <c r="J3369" s="44" t="str">
        <f>VLOOKUP(G3369,[1]硬件清单!$F:$F,1,0)</f>
        <v>217399932-06A</v>
      </c>
      <c r="K3369" s="43"/>
      <c r="L3369" s="44"/>
      <c r="M3369" s="45" t="s">
        <v>10375</v>
      </c>
    </row>
    <row r="3370" s="26" customFormat="1" ht="30" customHeight="1" spans="1:13">
      <c r="A3370" s="41">
        <f>IF(C3370="","",SUBTOTAL(103,$C$2:C3370))</f>
        <v>3361</v>
      </c>
      <c r="B3370" s="41">
        <v>1189</v>
      </c>
      <c r="C3370" s="41">
        <v>4601</v>
      </c>
      <c r="D3370" s="41" t="s">
        <v>45</v>
      </c>
      <c r="E3370" s="41" t="s">
        <v>1298</v>
      </c>
      <c r="F3370" s="41" t="s">
        <v>10093</v>
      </c>
      <c r="G3370" s="41" t="s">
        <v>10376</v>
      </c>
      <c r="H3370" s="41" t="s">
        <v>10377</v>
      </c>
      <c r="I3370" s="43">
        <v>12</v>
      </c>
      <c r="J3370" s="44" t="str">
        <f>VLOOKUP(G3370,[1]硬件清单!$F:$F,1,0)</f>
        <v>217399932-07A</v>
      </c>
      <c r="K3370" s="43"/>
      <c r="L3370" s="44"/>
      <c r="M3370" s="45" t="s">
        <v>10378</v>
      </c>
    </row>
    <row r="3371" s="26" customFormat="1" ht="30" customHeight="1" spans="1:13">
      <c r="A3371" s="41">
        <f>IF(C3371="","",SUBTOTAL(103,$C$2:C3371))</f>
        <v>3362</v>
      </c>
      <c r="B3371" s="41">
        <v>1190</v>
      </c>
      <c r="C3371" s="41">
        <v>4600</v>
      </c>
      <c r="D3371" s="41" t="s">
        <v>45</v>
      </c>
      <c r="E3371" s="41" t="s">
        <v>1298</v>
      </c>
      <c r="F3371" s="41" t="s">
        <v>10093</v>
      </c>
      <c r="G3371" s="41" t="s">
        <v>10379</v>
      </c>
      <c r="H3371" s="41" t="s">
        <v>10380</v>
      </c>
      <c r="I3371" s="43">
        <v>12</v>
      </c>
      <c r="J3371" s="44" t="str">
        <f>VLOOKUP(G3371,[1]硬件清单!$F:$F,1,0)</f>
        <v>217399932-08A</v>
      </c>
      <c r="K3371" s="43"/>
      <c r="L3371" s="44"/>
      <c r="M3371" s="45" t="s">
        <v>10381</v>
      </c>
    </row>
    <row r="3372" s="26" customFormat="1" ht="30" customHeight="1" spans="1:13">
      <c r="A3372" s="41">
        <f>IF(C3372="","",SUBTOTAL(103,$C$2:C3372))</f>
        <v>3363</v>
      </c>
      <c r="B3372" s="41">
        <v>1191</v>
      </c>
      <c r="C3372" s="41">
        <v>4599</v>
      </c>
      <c r="D3372" s="41" t="s">
        <v>45</v>
      </c>
      <c r="E3372" s="41" t="s">
        <v>1298</v>
      </c>
      <c r="F3372" s="41" t="s">
        <v>10093</v>
      </c>
      <c r="G3372" s="41" t="s">
        <v>10382</v>
      </c>
      <c r="H3372" s="41" t="s">
        <v>10383</v>
      </c>
      <c r="I3372" s="43">
        <v>12</v>
      </c>
      <c r="J3372" s="44" t="str">
        <f>VLOOKUP(G3372,[1]硬件清单!$F:$F,1,0)</f>
        <v>217399932-09A</v>
      </c>
      <c r="K3372" s="43"/>
      <c r="L3372" s="44"/>
      <c r="M3372" s="45" t="s">
        <v>10384</v>
      </c>
    </row>
    <row r="3373" s="26" customFormat="1" ht="30" customHeight="1" spans="1:13">
      <c r="A3373" s="41">
        <f>IF(C3373="","",SUBTOTAL(103,$C$2:C3373))</f>
        <v>3364</v>
      </c>
      <c r="B3373" s="41">
        <v>1192</v>
      </c>
      <c r="C3373" s="41">
        <v>4620</v>
      </c>
      <c r="D3373" s="41" t="s">
        <v>45</v>
      </c>
      <c r="E3373" s="41" t="s">
        <v>1298</v>
      </c>
      <c r="F3373" s="41" t="s">
        <v>10093</v>
      </c>
      <c r="G3373" s="41" t="s">
        <v>10385</v>
      </c>
      <c r="H3373" s="41" t="s">
        <v>10386</v>
      </c>
      <c r="I3373" s="43">
        <v>12</v>
      </c>
      <c r="J3373" s="44" t="str">
        <f>VLOOKUP(G3373,[1]硬件清单!$F:$F,1,0)</f>
        <v>217399800-10A</v>
      </c>
      <c r="K3373" s="43"/>
      <c r="L3373" s="44"/>
      <c r="M3373" s="45" t="s">
        <v>10387</v>
      </c>
    </row>
    <row r="3374" s="26" customFormat="1" ht="30" customHeight="1" spans="1:13">
      <c r="A3374" s="41">
        <f>IF(C3374="","",SUBTOTAL(103,$C$2:C3374))</f>
        <v>3365</v>
      </c>
      <c r="B3374" s="41">
        <v>1193</v>
      </c>
      <c r="C3374" s="41">
        <v>4619</v>
      </c>
      <c r="D3374" s="41" t="s">
        <v>45</v>
      </c>
      <c r="E3374" s="41" t="s">
        <v>1298</v>
      </c>
      <c r="F3374" s="41" t="s">
        <v>10093</v>
      </c>
      <c r="G3374" s="41" t="s">
        <v>10388</v>
      </c>
      <c r="H3374" s="41" t="s">
        <v>10389</v>
      </c>
      <c r="I3374" s="43">
        <v>12</v>
      </c>
      <c r="J3374" s="44" t="str">
        <f>VLOOKUP(G3374,[1]硬件清单!$F:$F,1,0)</f>
        <v>217399800-17A</v>
      </c>
      <c r="K3374" s="43"/>
      <c r="L3374" s="44"/>
      <c r="M3374" s="45" t="s">
        <v>10390</v>
      </c>
    </row>
    <row r="3375" s="26" customFormat="1" ht="30" customHeight="1" spans="1:13">
      <c r="A3375" s="41">
        <f>IF(C3375="","",SUBTOTAL(103,$C$2:C3375))</f>
        <v>3366</v>
      </c>
      <c r="B3375" s="41">
        <v>1194</v>
      </c>
      <c r="C3375" s="41">
        <v>4618</v>
      </c>
      <c r="D3375" s="41" t="s">
        <v>45</v>
      </c>
      <c r="E3375" s="41" t="s">
        <v>1298</v>
      </c>
      <c r="F3375" s="41" t="s">
        <v>10093</v>
      </c>
      <c r="G3375" s="41" t="s">
        <v>10391</v>
      </c>
      <c r="H3375" s="41" t="s">
        <v>10392</v>
      </c>
      <c r="I3375" s="43">
        <v>12</v>
      </c>
      <c r="J3375" s="44" t="str">
        <f>VLOOKUP(G3375,[1]硬件清单!$F:$F,1,0)</f>
        <v>217399800-18A</v>
      </c>
      <c r="K3375" s="43"/>
      <c r="L3375" s="44"/>
      <c r="M3375" s="45" t="s">
        <v>10393</v>
      </c>
    </row>
    <row r="3376" s="26" customFormat="1" ht="30" customHeight="1" spans="1:13">
      <c r="A3376" s="41">
        <f>IF(C3376="","",SUBTOTAL(103,$C$2:C3376))</f>
        <v>3367</v>
      </c>
      <c r="B3376" s="41">
        <v>1195</v>
      </c>
      <c r="C3376" s="41">
        <v>4617</v>
      </c>
      <c r="D3376" s="41" t="s">
        <v>45</v>
      </c>
      <c r="E3376" s="41" t="s">
        <v>1298</v>
      </c>
      <c r="F3376" s="41" t="s">
        <v>10093</v>
      </c>
      <c r="G3376" s="41" t="s">
        <v>10394</v>
      </c>
      <c r="H3376" s="41" t="s">
        <v>10395</v>
      </c>
      <c r="I3376" s="43">
        <v>12</v>
      </c>
      <c r="J3376" s="44" t="str">
        <f>VLOOKUP(G3376,[1]硬件清单!$F:$F,1,0)</f>
        <v>217399800-19A</v>
      </c>
      <c r="K3376" s="43"/>
      <c r="L3376" s="44"/>
      <c r="M3376" s="45" t="s">
        <v>10396</v>
      </c>
    </row>
    <row r="3377" s="26" customFormat="1" ht="30" customHeight="1" spans="1:13">
      <c r="A3377" s="41">
        <f>IF(C3377="","",SUBTOTAL(103,$C$2:C3377))</f>
        <v>3368</v>
      </c>
      <c r="B3377" s="41">
        <v>1196</v>
      </c>
      <c r="C3377" s="41">
        <v>4616</v>
      </c>
      <c r="D3377" s="41" t="s">
        <v>45</v>
      </c>
      <c r="E3377" s="41" t="s">
        <v>1298</v>
      </c>
      <c r="F3377" s="41" t="s">
        <v>10093</v>
      </c>
      <c r="G3377" s="41" t="s">
        <v>10397</v>
      </c>
      <c r="H3377" s="41" t="s">
        <v>10398</v>
      </c>
      <c r="I3377" s="43">
        <v>12</v>
      </c>
      <c r="J3377" s="44" t="str">
        <f>VLOOKUP(G3377,[1]硬件清单!$F:$F,1,0)</f>
        <v>217399800-20A</v>
      </c>
      <c r="K3377" s="43"/>
      <c r="L3377" s="44"/>
      <c r="M3377" s="45" t="s">
        <v>10399</v>
      </c>
    </row>
    <row r="3378" s="26" customFormat="1" ht="30" customHeight="1" spans="1:13">
      <c r="A3378" s="41">
        <f>IF(C3378="","",SUBTOTAL(103,$C$2:C3378))</f>
        <v>3369</v>
      </c>
      <c r="B3378" s="41">
        <v>1197</v>
      </c>
      <c r="C3378" s="41">
        <v>4615</v>
      </c>
      <c r="D3378" s="41" t="s">
        <v>45</v>
      </c>
      <c r="E3378" s="41" t="s">
        <v>1298</v>
      </c>
      <c r="F3378" s="41" t="s">
        <v>10093</v>
      </c>
      <c r="G3378" s="41" t="s">
        <v>10400</v>
      </c>
      <c r="H3378" s="41" t="s">
        <v>10401</v>
      </c>
      <c r="I3378" s="43">
        <v>12</v>
      </c>
      <c r="J3378" s="44" t="str">
        <f>VLOOKUP(G3378,[1]硬件清单!$F:$F,1,0)</f>
        <v>217399800-21A</v>
      </c>
      <c r="K3378" s="43"/>
      <c r="L3378" s="44"/>
      <c r="M3378" s="45" t="s">
        <v>10402</v>
      </c>
    </row>
    <row r="3379" s="26" customFormat="1" ht="30" customHeight="1" spans="1:13">
      <c r="A3379" s="41">
        <f>IF(C3379="","",SUBTOTAL(103,$C$2:C3379))</f>
        <v>3370</v>
      </c>
      <c r="B3379" s="41">
        <v>1198</v>
      </c>
      <c r="C3379" s="41">
        <v>4614</v>
      </c>
      <c r="D3379" s="41" t="s">
        <v>45</v>
      </c>
      <c r="E3379" s="41" t="s">
        <v>1298</v>
      </c>
      <c r="F3379" s="41" t="s">
        <v>10093</v>
      </c>
      <c r="G3379" s="41" t="s">
        <v>10403</v>
      </c>
      <c r="H3379" s="41" t="s">
        <v>10404</v>
      </c>
      <c r="I3379" s="43">
        <v>12</v>
      </c>
      <c r="J3379" s="44" t="str">
        <f>VLOOKUP(G3379,[1]硬件清单!$F:$F,1,0)</f>
        <v>217399800-22A</v>
      </c>
      <c r="K3379" s="43"/>
      <c r="L3379" s="44"/>
      <c r="M3379" s="45" t="s">
        <v>10405</v>
      </c>
    </row>
    <row r="3380" s="26" customFormat="1" ht="30" customHeight="1" spans="1:13">
      <c r="A3380" s="41">
        <f>IF(C3380="","",SUBTOTAL(103,$C$2:C3380))</f>
        <v>3371</v>
      </c>
      <c r="B3380" s="41">
        <v>1199</v>
      </c>
      <c r="C3380" s="41">
        <v>4633</v>
      </c>
      <c r="D3380" s="41" t="s">
        <v>45</v>
      </c>
      <c r="E3380" s="41" t="s">
        <v>1298</v>
      </c>
      <c r="F3380" s="41" t="s">
        <v>10093</v>
      </c>
      <c r="G3380" s="41" t="s">
        <v>10406</v>
      </c>
      <c r="H3380" s="41" t="s">
        <v>10407</v>
      </c>
      <c r="I3380" s="43">
        <v>12</v>
      </c>
      <c r="J3380" s="44" t="str">
        <f>VLOOKUP(G3380,[1]硬件清单!$F:$F,1,0)</f>
        <v>217399800-11A</v>
      </c>
      <c r="K3380" s="43"/>
      <c r="L3380" s="44"/>
      <c r="M3380" s="45" t="s">
        <v>10408</v>
      </c>
    </row>
    <row r="3381" s="26" customFormat="1" ht="30" customHeight="1" spans="1:13">
      <c r="A3381" s="41">
        <f>IF(C3381="","",SUBTOTAL(103,$C$2:C3381))</f>
        <v>3372</v>
      </c>
      <c r="B3381" s="41">
        <v>1200</v>
      </c>
      <c r="C3381" s="41">
        <v>4632</v>
      </c>
      <c r="D3381" s="41" t="s">
        <v>45</v>
      </c>
      <c r="E3381" s="41" t="s">
        <v>1298</v>
      </c>
      <c r="F3381" s="41" t="s">
        <v>10093</v>
      </c>
      <c r="G3381" s="41" t="s">
        <v>10409</v>
      </c>
      <c r="H3381" s="41" t="s">
        <v>10410</v>
      </c>
      <c r="I3381" s="43">
        <v>12</v>
      </c>
      <c r="J3381" s="44" t="str">
        <f>VLOOKUP(G3381,[1]硬件清单!$F:$F,1,0)</f>
        <v>217399800-12A</v>
      </c>
      <c r="K3381" s="43"/>
      <c r="L3381" s="44"/>
      <c r="M3381" s="45" t="s">
        <v>10411</v>
      </c>
    </row>
    <row r="3382" s="26" customFormat="1" ht="30" customHeight="1" spans="1:13">
      <c r="A3382" s="41">
        <f>IF(C3382="","",SUBTOTAL(103,$C$2:C3382))</f>
        <v>3373</v>
      </c>
      <c r="B3382" s="41">
        <v>1201</v>
      </c>
      <c r="C3382" s="41">
        <v>4631</v>
      </c>
      <c r="D3382" s="41" t="s">
        <v>45</v>
      </c>
      <c r="E3382" s="41" t="s">
        <v>1298</v>
      </c>
      <c r="F3382" s="41" t="s">
        <v>10093</v>
      </c>
      <c r="G3382" s="41" t="s">
        <v>10412</v>
      </c>
      <c r="H3382" s="41" t="s">
        <v>10413</v>
      </c>
      <c r="I3382" s="43">
        <v>12</v>
      </c>
      <c r="J3382" s="44" t="str">
        <f>VLOOKUP(G3382,[1]硬件清单!$F:$F,1,0)</f>
        <v>217399800-13A</v>
      </c>
      <c r="K3382" s="43"/>
      <c r="L3382" s="44"/>
      <c r="M3382" s="45" t="s">
        <v>10414</v>
      </c>
    </row>
    <row r="3383" s="26" customFormat="1" ht="30" customHeight="1" spans="1:13">
      <c r="A3383" s="41">
        <f>IF(C3383="","",SUBTOTAL(103,$C$2:C3383))</f>
        <v>3374</v>
      </c>
      <c r="B3383" s="41">
        <v>1202</v>
      </c>
      <c r="C3383" s="41">
        <v>4629</v>
      </c>
      <c r="D3383" s="41" t="s">
        <v>45</v>
      </c>
      <c r="E3383" s="41" t="s">
        <v>1298</v>
      </c>
      <c r="F3383" s="41" t="s">
        <v>10093</v>
      </c>
      <c r="G3383" s="41" t="s">
        <v>10415</v>
      </c>
      <c r="H3383" s="41" t="s">
        <v>10416</v>
      </c>
      <c r="I3383" s="43">
        <v>12</v>
      </c>
      <c r="J3383" s="44" t="str">
        <f>VLOOKUP(G3383,[1]硬件清单!$F:$F,1,0)</f>
        <v>217399800-01A</v>
      </c>
      <c r="K3383" s="43"/>
      <c r="L3383" s="44"/>
      <c r="M3383" s="45" t="s">
        <v>10417</v>
      </c>
    </row>
    <row r="3384" s="26" customFormat="1" ht="30" customHeight="1" spans="1:13">
      <c r="A3384" s="41">
        <f>IF(C3384="","",SUBTOTAL(103,$C$2:C3384))</f>
        <v>3375</v>
      </c>
      <c r="B3384" s="41">
        <v>1203</v>
      </c>
      <c r="C3384" s="41">
        <v>4630</v>
      </c>
      <c r="D3384" s="41" t="s">
        <v>45</v>
      </c>
      <c r="E3384" s="41" t="s">
        <v>1298</v>
      </c>
      <c r="F3384" s="41" t="s">
        <v>10093</v>
      </c>
      <c r="G3384" s="41" t="s">
        <v>10418</v>
      </c>
      <c r="H3384" s="41" t="s">
        <v>10419</v>
      </c>
      <c r="I3384" s="43">
        <v>12</v>
      </c>
      <c r="J3384" s="44" t="str">
        <f>VLOOKUP(G3384,[1]硬件清单!$F:$F,1,0)</f>
        <v>217399800-14A</v>
      </c>
      <c r="K3384" s="43"/>
      <c r="L3384" s="44"/>
      <c r="M3384" s="45" t="s">
        <v>10420</v>
      </c>
    </row>
    <row r="3385" s="26" customFormat="1" ht="30" customHeight="1" spans="1:13">
      <c r="A3385" s="41">
        <f>IF(C3385="","",SUBTOTAL(103,$C$2:C3385))</f>
        <v>3376</v>
      </c>
      <c r="B3385" s="41">
        <v>1204</v>
      </c>
      <c r="C3385" s="41">
        <v>4708</v>
      </c>
      <c r="D3385" s="41" t="s">
        <v>45</v>
      </c>
      <c r="E3385" s="41" t="s">
        <v>1298</v>
      </c>
      <c r="F3385" s="41" t="s">
        <v>10093</v>
      </c>
      <c r="G3385" s="41" t="s">
        <v>10421</v>
      </c>
      <c r="H3385" s="41" t="s">
        <v>10422</v>
      </c>
      <c r="I3385" s="43">
        <v>12</v>
      </c>
      <c r="J3385" s="44" t="str">
        <f>VLOOKUP(G3385,[1]硬件清单!$F:$F,1,0)</f>
        <v>217399800-15A</v>
      </c>
      <c r="K3385" s="43"/>
      <c r="L3385" s="44"/>
      <c r="M3385" s="45" t="s">
        <v>10423</v>
      </c>
    </row>
    <row r="3386" s="26" customFormat="1" ht="30" customHeight="1" spans="1:13">
      <c r="A3386" s="41">
        <f>IF(C3386="","",SUBTOTAL(103,$C$2:C3386))</f>
        <v>3377</v>
      </c>
      <c r="B3386" s="41">
        <v>1205</v>
      </c>
      <c r="C3386" s="41">
        <v>4707</v>
      </c>
      <c r="D3386" s="41" t="s">
        <v>45</v>
      </c>
      <c r="E3386" s="41" t="s">
        <v>1298</v>
      </c>
      <c r="F3386" s="41" t="s">
        <v>10093</v>
      </c>
      <c r="G3386" s="41" t="s">
        <v>10424</v>
      </c>
      <c r="H3386" s="41" t="s">
        <v>10425</v>
      </c>
      <c r="I3386" s="43">
        <v>12</v>
      </c>
      <c r="J3386" s="44" t="str">
        <f>VLOOKUP(G3386,[1]硬件清单!$F:$F,1,0)</f>
        <v>217399800-16A</v>
      </c>
      <c r="K3386" s="43"/>
      <c r="L3386" s="44"/>
      <c r="M3386" s="45" t="s">
        <v>10426</v>
      </c>
    </row>
    <row r="3387" s="26" customFormat="1" ht="30" customHeight="1" spans="1:13">
      <c r="A3387" s="41">
        <f>IF(C3387="","",SUBTOTAL(103,$C$2:C3387))</f>
        <v>3378</v>
      </c>
      <c r="B3387" s="41">
        <v>1206</v>
      </c>
      <c r="C3387" s="41">
        <v>4706</v>
      </c>
      <c r="D3387" s="41" t="s">
        <v>45</v>
      </c>
      <c r="E3387" s="41" t="s">
        <v>1298</v>
      </c>
      <c r="F3387" s="41" t="s">
        <v>10093</v>
      </c>
      <c r="G3387" s="41" t="s">
        <v>10427</v>
      </c>
      <c r="H3387" s="41" t="s">
        <v>10428</v>
      </c>
      <c r="I3387" s="43">
        <v>12</v>
      </c>
      <c r="J3387" s="44" t="str">
        <f>VLOOKUP(G3387,[1]硬件清单!$F:$F,1,0)</f>
        <v>217399800-23A</v>
      </c>
      <c r="K3387" s="43"/>
      <c r="L3387" s="44"/>
      <c r="M3387" s="45" t="s">
        <v>10429</v>
      </c>
    </row>
    <row r="3388" s="26" customFormat="1" ht="30" customHeight="1" spans="1:13">
      <c r="A3388" s="41">
        <f>IF(C3388="","",SUBTOTAL(103,$C$2:C3388))</f>
        <v>3379</v>
      </c>
      <c r="B3388" s="41">
        <v>1207</v>
      </c>
      <c r="C3388" s="41">
        <v>4705</v>
      </c>
      <c r="D3388" s="41" t="s">
        <v>45</v>
      </c>
      <c r="E3388" s="41" t="s">
        <v>1298</v>
      </c>
      <c r="F3388" s="41" t="s">
        <v>10093</v>
      </c>
      <c r="G3388" s="41" t="s">
        <v>10430</v>
      </c>
      <c r="H3388" s="41" t="s">
        <v>10431</v>
      </c>
      <c r="I3388" s="43">
        <v>12</v>
      </c>
      <c r="J3388" s="44" t="str">
        <f>VLOOKUP(G3388,[1]硬件清单!$F:$F,1,0)</f>
        <v>217399800-24A</v>
      </c>
      <c r="K3388" s="43"/>
      <c r="L3388" s="44"/>
      <c r="M3388" s="45" t="s">
        <v>10432</v>
      </c>
    </row>
    <row r="3389" s="26" customFormat="1" ht="30" customHeight="1" spans="1:13">
      <c r="A3389" s="41">
        <f>IF(C3389="","",SUBTOTAL(103,$C$2:C3389))</f>
        <v>3380</v>
      </c>
      <c r="B3389" s="41">
        <v>1208</v>
      </c>
      <c r="C3389" s="41">
        <v>4628</v>
      </c>
      <c r="D3389" s="41" t="s">
        <v>45</v>
      </c>
      <c r="E3389" s="41" t="s">
        <v>1298</v>
      </c>
      <c r="F3389" s="41" t="s">
        <v>10093</v>
      </c>
      <c r="G3389" s="41" t="s">
        <v>10433</v>
      </c>
      <c r="H3389" s="41" t="s">
        <v>10434</v>
      </c>
      <c r="I3389" s="43">
        <v>12</v>
      </c>
      <c r="J3389" s="44" t="str">
        <f>VLOOKUP(G3389,[1]硬件清单!$F:$F,1,0)</f>
        <v>217399800-02A</v>
      </c>
      <c r="K3389" s="43"/>
      <c r="L3389" s="44"/>
      <c r="M3389" s="45" t="s">
        <v>10435</v>
      </c>
    </row>
    <row r="3390" s="26" customFormat="1" ht="30" customHeight="1" spans="1:13">
      <c r="A3390" s="41">
        <f>IF(C3390="","",SUBTOTAL(103,$C$2:C3390))</f>
        <v>3381</v>
      </c>
      <c r="B3390" s="41">
        <v>1209</v>
      </c>
      <c r="C3390" s="41">
        <v>4750</v>
      </c>
      <c r="D3390" s="41" t="s">
        <v>45</v>
      </c>
      <c r="E3390" s="41" t="s">
        <v>1298</v>
      </c>
      <c r="F3390" s="41" t="s">
        <v>10093</v>
      </c>
      <c r="G3390" s="41" t="s">
        <v>10436</v>
      </c>
      <c r="H3390" s="41" t="s">
        <v>10437</v>
      </c>
      <c r="I3390" s="43">
        <v>12</v>
      </c>
      <c r="J3390" s="44" t="str">
        <f>VLOOKUP(G3390,[1]硬件清单!$F:$F,1,0)</f>
        <v>217399800-25A</v>
      </c>
      <c r="K3390" s="43"/>
      <c r="L3390" s="44"/>
      <c r="M3390" s="45" t="s">
        <v>10438</v>
      </c>
    </row>
    <row r="3391" s="26" customFormat="1" ht="30" customHeight="1" spans="1:13">
      <c r="A3391" s="41">
        <f>IF(C3391="","",SUBTOTAL(103,$C$2:C3391))</f>
        <v>3382</v>
      </c>
      <c r="B3391" s="41">
        <v>1210</v>
      </c>
      <c r="C3391" s="41">
        <v>4749</v>
      </c>
      <c r="D3391" s="41" t="s">
        <v>45</v>
      </c>
      <c r="E3391" s="41" t="s">
        <v>1298</v>
      </c>
      <c r="F3391" s="41" t="s">
        <v>10093</v>
      </c>
      <c r="G3391" s="41" t="s">
        <v>10439</v>
      </c>
      <c r="H3391" s="41" t="s">
        <v>10440</v>
      </c>
      <c r="I3391" s="43">
        <v>12</v>
      </c>
      <c r="J3391" s="44" t="str">
        <f>VLOOKUP(G3391,[1]硬件清单!$F:$F,1,0)</f>
        <v>217399800-26A</v>
      </c>
      <c r="K3391" s="43"/>
      <c r="L3391" s="44"/>
      <c r="M3391" s="45" t="s">
        <v>10441</v>
      </c>
    </row>
    <row r="3392" s="26" customFormat="1" ht="30" customHeight="1" spans="1:13">
      <c r="A3392" s="41">
        <f>IF(C3392="","",SUBTOTAL(103,$C$2:C3392))</f>
        <v>3383</v>
      </c>
      <c r="B3392" s="41">
        <v>1211</v>
      </c>
      <c r="C3392" s="41">
        <v>5024</v>
      </c>
      <c r="D3392" s="41" t="s">
        <v>45</v>
      </c>
      <c r="E3392" s="41" t="s">
        <v>1298</v>
      </c>
      <c r="F3392" s="41" t="s">
        <v>10093</v>
      </c>
      <c r="G3392" s="41" t="s">
        <v>10442</v>
      </c>
      <c r="H3392" s="41" t="s">
        <v>10443</v>
      </c>
      <c r="I3392" s="43">
        <v>12</v>
      </c>
      <c r="J3392" s="44" t="str">
        <f>VLOOKUP(G3392,[1]硬件清单!$F:$F,1,0)</f>
        <v>217399800-27A</v>
      </c>
      <c r="K3392" s="43"/>
      <c r="L3392" s="44"/>
      <c r="M3392" s="45" t="s">
        <v>10444</v>
      </c>
    </row>
    <row r="3393" s="26" customFormat="1" ht="30" customHeight="1" spans="1:13">
      <c r="A3393" s="41">
        <f>IF(C3393="","",SUBTOTAL(103,$C$2:C3393))</f>
        <v>3384</v>
      </c>
      <c r="B3393" s="41">
        <v>1212</v>
      </c>
      <c r="C3393" s="41">
        <v>5023</v>
      </c>
      <c r="D3393" s="41" t="s">
        <v>45</v>
      </c>
      <c r="E3393" s="41" t="s">
        <v>1298</v>
      </c>
      <c r="F3393" s="41" t="s">
        <v>10093</v>
      </c>
      <c r="G3393" s="41" t="s">
        <v>10445</v>
      </c>
      <c r="H3393" s="41" t="s">
        <v>10446</v>
      </c>
      <c r="I3393" s="43">
        <v>12</v>
      </c>
      <c r="J3393" s="44" t="str">
        <f>VLOOKUP(G3393,[1]硬件清单!$F:$F,1,0)</f>
        <v>217399800-28A</v>
      </c>
      <c r="K3393" s="43"/>
      <c r="L3393" s="44"/>
      <c r="M3393" s="45" t="s">
        <v>10447</v>
      </c>
    </row>
    <row r="3394" s="26" customFormat="1" ht="30" customHeight="1" spans="1:13">
      <c r="A3394" s="41">
        <f>IF(C3394="","",SUBTOTAL(103,$C$2:C3394))</f>
        <v>3385</v>
      </c>
      <c r="B3394" s="41">
        <v>1213</v>
      </c>
      <c r="C3394" s="41">
        <v>5022</v>
      </c>
      <c r="D3394" s="41" t="s">
        <v>45</v>
      </c>
      <c r="E3394" s="41" t="s">
        <v>1298</v>
      </c>
      <c r="F3394" s="41" t="s">
        <v>10093</v>
      </c>
      <c r="G3394" s="41" t="s">
        <v>10448</v>
      </c>
      <c r="H3394" s="41" t="s">
        <v>10449</v>
      </c>
      <c r="I3394" s="43">
        <v>12</v>
      </c>
      <c r="J3394" s="44" t="str">
        <f>VLOOKUP(G3394,[1]硬件清单!$F:$F,1,0)</f>
        <v>217399800-29A</v>
      </c>
      <c r="K3394" s="43"/>
      <c r="L3394" s="44"/>
      <c r="M3394" s="45" t="s">
        <v>10450</v>
      </c>
    </row>
    <row r="3395" s="26" customFormat="1" ht="30" customHeight="1" spans="1:13">
      <c r="A3395" s="41">
        <f>IF(C3395="","",SUBTOTAL(103,$C$2:C3395))</f>
        <v>3386</v>
      </c>
      <c r="B3395" s="41">
        <v>1214</v>
      </c>
      <c r="C3395" s="41">
        <v>5021</v>
      </c>
      <c r="D3395" s="41" t="s">
        <v>45</v>
      </c>
      <c r="E3395" s="41" t="s">
        <v>1298</v>
      </c>
      <c r="F3395" s="41" t="s">
        <v>10093</v>
      </c>
      <c r="G3395" s="41" t="s">
        <v>10451</v>
      </c>
      <c r="H3395" s="41" t="s">
        <v>10452</v>
      </c>
      <c r="I3395" s="43">
        <v>12</v>
      </c>
      <c r="J3395" s="44" t="str">
        <f>VLOOKUP(G3395,[1]硬件清单!$F:$F,1,0)</f>
        <v>217399800-30A</v>
      </c>
      <c r="K3395" s="43"/>
      <c r="L3395" s="44"/>
      <c r="M3395" s="45" t="s">
        <v>10453</v>
      </c>
    </row>
    <row r="3396" s="26" customFormat="1" ht="30" customHeight="1" spans="1:13">
      <c r="A3396" s="41">
        <f>IF(C3396="","",SUBTOTAL(103,$C$2:C3396))</f>
        <v>3387</v>
      </c>
      <c r="B3396" s="41">
        <v>1215</v>
      </c>
      <c r="C3396" s="41">
        <v>5020</v>
      </c>
      <c r="D3396" s="41" t="s">
        <v>45</v>
      </c>
      <c r="E3396" s="41" t="s">
        <v>1298</v>
      </c>
      <c r="F3396" s="41" t="s">
        <v>10093</v>
      </c>
      <c r="G3396" s="41" t="s">
        <v>10454</v>
      </c>
      <c r="H3396" s="41" t="s">
        <v>10455</v>
      </c>
      <c r="I3396" s="43">
        <v>12</v>
      </c>
      <c r="J3396" s="44" t="str">
        <f>VLOOKUP(G3396,[1]硬件清单!$F:$F,1,0)</f>
        <v>217399800-31A</v>
      </c>
      <c r="K3396" s="43"/>
      <c r="L3396" s="44"/>
      <c r="M3396" s="45" t="s">
        <v>10456</v>
      </c>
    </row>
    <row r="3397" s="26" customFormat="1" ht="30" customHeight="1" spans="1:13">
      <c r="A3397" s="41">
        <f>IF(C3397="","",SUBTOTAL(103,$C$2:C3397))</f>
        <v>3388</v>
      </c>
      <c r="B3397" s="41">
        <v>1216</v>
      </c>
      <c r="C3397" s="41">
        <v>5019</v>
      </c>
      <c r="D3397" s="41" t="s">
        <v>45</v>
      </c>
      <c r="E3397" s="41" t="s">
        <v>1298</v>
      </c>
      <c r="F3397" s="41" t="s">
        <v>10093</v>
      </c>
      <c r="G3397" s="41" t="s">
        <v>10457</v>
      </c>
      <c r="H3397" s="41" t="s">
        <v>10458</v>
      </c>
      <c r="I3397" s="43">
        <v>12</v>
      </c>
      <c r="J3397" s="44" t="str">
        <f>VLOOKUP(G3397,[1]硬件清单!$F:$F,1,0)</f>
        <v>217399800-32A</v>
      </c>
      <c r="K3397" s="43"/>
      <c r="L3397" s="44"/>
      <c r="M3397" s="45" t="s">
        <v>10459</v>
      </c>
    </row>
    <row r="3398" s="26" customFormat="1" ht="30" customHeight="1" spans="1:13">
      <c r="A3398" s="41">
        <f>IF(C3398="","",SUBTOTAL(103,$C$2:C3398))</f>
        <v>3389</v>
      </c>
      <c r="B3398" s="41">
        <v>1217</v>
      </c>
      <c r="C3398" s="41">
        <v>4627</v>
      </c>
      <c r="D3398" s="41" t="s">
        <v>45</v>
      </c>
      <c r="E3398" s="41" t="s">
        <v>1298</v>
      </c>
      <c r="F3398" s="41" t="s">
        <v>10093</v>
      </c>
      <c r="G3398" s="41" t="s">
        <v>10460</v>
      </c>
      <c r="H3398" s="41" t="s">
        <v>10461</v>
      </c>
      <c r="I3398" s="43">
        <v>12</v>
      </c>
      <c r="J3398" s="44" t="str">
        <f>VLOOKUP(G3398,[1]硬件清单!$F:$F,1,0)</f>
        <v>217399800-03A</v>
      </c>
      <c r="K3398" s="43"/>
      <c r="L3398" s="44"/>
      <c r="M3398" s="45" t="s">
        <v>10462</v>
      </c>
    </row>
    <row r="3399" s="26" customFormat="1" ht="30" customHeight="1" spans="1:13">
      <c r="A3399" s="41">
        <f>IF(C3399="","",SUBTOTAL(103,$C$2:C3399))</f>
        <v>3390</v>
      </c>
      <c r="B3399" s="41">
        <v>1218</v>
      </c>
      <c r="C3399" s="41">
        <v>4626</v>
      </c>
      <c r="D3399" s="41" t="s">
        <v>45</v>
      </c>
      <c r="E3399" s="41" t="s">
        <v>1298</v>
      </c>
      <c r="F3399" s="41" t="s">
        <v>10093</v>
      </c>
      <c r="G3399" s="41" t="s">
        <v>10463</v>
      </c>
      <c r="H3399" s="41" t="s">
        <v>10464</v>
      </c>
      <c r="I3399" s="43">
        <v>12</v>
      </c>
      <c r="J3399" s="44" t="str">
        <f>VLOOKUP(G3399,[1]硬件清单!$F:$F,1,0)</f>
        <v>217399800-04A</v>
      </c>
      <c r="K3399" s="43"/>
      <c r="L3399" s="44"/>
      <c r="M3399" s="45" t="s">
        <v>10465</v>
      </c>
    </row>
    <row r="3400" s="26" customFormat="1" ht="30" customHeight="1" spans="1:13">
      <c r="A3400" s="41">
        <f>IF(C3400="","",SUBTOTAL(103,$C$2:C3400))</f>
        <v>3391</v>
      </c>
      <c r="B3400" s="41">
        <v>1219</v>
      </c>
      <c r="C3400" s="41">
        <v>4625</v>
      </c>
      <c r="D3400" s="41" t="s">
        <v>45</v>
      </c>
      <c r="E3400" s="41" t="s">
        <v>1298</v>
      </c>
      <c r="F3400" s="41" t="s">
        <v>10093</v>
      </c>
      <c r="G3400" s="41" t="s">
        <v>10466</v>
      </c>
      <c r="H3400" s="41" t="s">
        <v>10467</v>
      </c>
      <c r="I3400" s="43">
        <v>12</v>
      </c>
      <c r="J3400" s="44" t="str">
        <f>VLOOKUP(G3400,[1]硬件清单!$F:$F,1,0)</f>
        <v>217399800-05A</v>
      </c>
      <c r="K3400" s="43"/>
      <c r="L3400" s="44"/>
      <c r="M3400" s="45" t="s">
        <v>10468</v>
      </c>
    </row>
    <row r="3401" s="26" customFormat="1" ht="30" customHeight="1" spans="1:13">
      <c r="A3401" s="41">
        <f>IF(C3401="","",SUBTOTAL(103,$C$2:C3401))</f>
        <v>3392</v>
      </c>
      <c r="B3401" s="41">
        <v>1220</v>
      </c>
      <c r="C3401" s="41">
        <v>4624</v>
      </c>
      <c r="D3401" s="41" t="s">
        <v>45</v>
      </c>
      <c r="E3401" s="41" t="s">
        <v>1298</v>
      </c>
      <c r="F3401" s="41" t="s">
        <v>10093</v>
      </c>
      <c r="G3401" s="41" t="s">
        <v>10469</v>
      </c>
      <c r="H3401" s="41" t="s">
        <v>10470</v>
      </c>
      <c r="I3401" s="43">
        <v>12</v>
      </c>
      <c r="J3401" s="44" t="str">
        <f>VLOOKUP(G3401,[1]硬件清单!$F:$F,1,0)</f>
        <v>217399800-06A</v>
      </c>
      <c r="K3401" s="43"/>
      <c r="L3401" s="44"/>
      <c r="M3401" s="45" t="s">
        <v>10471</v>
      </c>
    </row>
    <row r="3402" s="26" customFormat="1" ht="30" customHeight="1" spans="1:13">
      <c r="A3402" s="41">
        <f>IF(C3402="","",SUBTOTAL(103,$C$2:C3402))</f>
        <v>3393</v>
      </c>
      <c r="B3402" s="41">
        <v>1221</v>
      </c>
      <c r="C3402" s="41">
        <v>4623</v>
      </c>
      <c r="D3402" s="41" t="s">
        <v>45</v>
      </c>
      <c r="E3402" s="41" t="s">
        <v>1298</v>
      </c>
      <c r="F3402" s="41" t="s">
        <v>10093</v>
      </c>
      <c r="G3402" s="41" t="s">
        <v>10472</v>
      </c>
      <c r="H3402" s="41" t="s">
        <v>10473</v>
      </c>
      <c r="I3402" s="43">
        <v>12</v>
      </c>
      <c r="J3402" s="44" t="str">
        <f>VLOOKUP(G3402,[1]硬件清单!$F:$F,1,0)</f>
        <v>217399800-07A</v>
      </c>
      <c r="K3402" s="43"/>
      <c r="L3402" s="44"/>
      <c r="M3402" s="45" t="s">
        <v>10474</v>
      </c>
    </row>
    <row r="3403" s="26" customFormat="1" ht="30" customHeight="1" spans="1:13">
      <c r="A3403" s="41">
        <f>IF(C3403="","",SUBTOTAL(103,$C$2:C3403))</f>
        <v>3394</v>
      </c>
      <c r="B3403" s="41">
        <v>1222</v>
      </c>
      <c r="C3403" s="41">
        <v>4622</v>
      </c>
      <c r="D3403" s="41" t="s">
        <v>45</v>
      </c>
      <c r="E3403" s="41" t="s">
        <v>1298</v>
      </c>
      <c r="F3403" s="41" t="s">
        <v>10093</v>
      </c>
      <c r="G3403" s="41" t="s">
        <v>10475</v>
      </c>
      <c r="H3403" s="41" t="s">
        <v>10476</v>
      </c>
      <c r="I3403" s="43">
        <v>12</v>
      </c>
      <c r="J3403" s="44" t="str">
        <f>VLOOKUP(G3403,[1]硬件清单!$F:$F,1,0)</f>
        <v>217399800-08A</v>
      </c>
      <c r="K3403" s="43"/>
      <c r="L3403" s="44"/>
      <c r="M3403" s="45" t="s">
        <v>10477</v>
      </c>
    </row>
    <row r="3404" s="26" customFormat="1" ht="30" customHeight="1" spans="1:13">
      <c r="A3404" s="41">
        <f>IF(C3404="","",SUBTOTAL(103,$C$2:C3404))</f>
        <v>3395</v>
      </c>
      <c r="B3404" s="41">
        <v>1223</v>
      </c>
      <c r="C3404" s="41">
        <v>4621</v>
      </c>
      <c r="D3404" s="41" t="s">
        <v>45</v>
      </c>
      <c r="E3404" s="41" t="s">
        <v>1298</v>
      </c>
      <c r="F3404" s="41" t="s">
        <v>10093</v>
      </c>
      <c r="G3404" s="41" t="s">
        <v>10478</v>
      </c>
      <c r="H3404" s="41" t="s">
        <v>10479</v>
      </c>
      <c r="I3404" s="43">
        <v>12</v>
      </c>
      <c r="J3404" s="44" t="str">
        <f>VLOOKUP(G3404,[1]硬件清单!$F:$F,1,0)</f>
        <v>217399800-09A</v>
      </c>
      <c r="K3404" s="43"/>
      <c r="L3404" s="44"/>
      <c r="M3404" s="45" t="s">
        <v>10480</v>
      </c>
    </row>
    <row r="3405" s="26" customFormat="1" ht="30" customHeight="1" spans="1:13">
      <c r="A3405" s="41">
        <f>IF(C3405="","",SUBTOTAL(103,$C$2:C3405))</f>
        <v>3396</v>
      </c>
      <c r="B3405" s="41">
        <v>1224</v>
      </c>
      <c r="C3405" s="41">
        <v>5031</v>
      </c>
      <c r="D3405" s="41" t="s">
        <v>45</v>
      </c>
      <c r="E3405" s="41" t="s">
        <v>1298</v>
      </c>
      <c r="F3405" s="41" t="s">
        <v>10093</v>
      </c>
      <c r="G3405" s="41" t="s">
        <v>10481</v>
      </c>
      <c r="H3405" s="41" t="s">
        <v>10482</v>
      </c>
      <c r="I3405" s="43">
        <v>12</v>
      </c>
      <c r="J3405" s="44" t="str">
        <f>VLOOKUP(G3405,[1]硬件清单!$F:$F,1,0)</f>
        <v>217399833-10A</v>
      </c>
      <c r="K3405" s="43"/>
      <c r="L3405" s="44"/>
      <c r="M3405" s="45" t="s">
        <v>10483</v>
      </c>
    </row>
    <row r="3406" s="26" customFormat="1" ht="30" customHeight="1" spans="1:13">
      <c r="A3406" s="41">
        <f>IF(C3406="","",SUBTOTAL(103,$C$2:C3406))</f>
        <v>3397</v>
      </c>
      <c r="B3406" s="41">
        <v>1225</v>
      </c>
      <c r="C3406" s="41">
        <v>5030</v>
      </c>
      <c r="D3406" s="41" t="s">
        <v>45</v>
      </c>
      <c r="E3406" s="41" t="s">
        <v>1298</v>
      </c>
      <c r="F3406" s="41" t="s">
        <v>10093</v>
      </c>
      <c r="G3406" s="41" t="s">
        <v>10484</v>
      </c>
      <c r="H3406" s="41" t="s">
        <v>10485</v>
      </c>
      <c r="I3406" s="43">
        <v>12</v>
      </c>
      <c r="J3406" s="44" t="str">
        <f>VLOOKUP(G3406,[1]硬件清单!$F:$F,1,0)</f>
        <v>217399833-11A</v>
      </c>
      <c r="K3406" s="43"/>
      <c r="L3406" s="44"/>
      <c r="M3406" s="45" t="s">
        <v>10486</v>
      </c>
    </row>
    <row r="3407" s="26" customFormat="1" ht="30" customHeight="1" spans="1:13">
      <c r="A3407" s="41">
        <f>IF(C3407="","",SUBTOTAL(103,$C$2:C3407))</f>
        <v>3398</v>
      </c>
      <c r="B3407" s="41">
        <v>1226</v>
      </c>
      <c r="C3407" s="41">
        <v>5029</v>
      </c>
      <c r="D3407" s="41" t="s">
        <v>45</v>
      </c>
      <c r="E3407" s="41" t="s">
        <v>1298</v>
      </c>
      <c r="F3407" s="41" t="s">
        <v>10093</v>
      </c>
      <c r="G3407" s="41" t="s">
        <v>10487</v>
      </c>
      <c r="H3407" s="41" t="s">
        <v>10488</v>
      </c>
      <c r="I3407" s="43">
        <v>12</v>
      </c>
      <c r="J3407" s="44" t="str">
        <f>VLOOKUP(G3407,[1]硬件清单!$F:$F,1,0)</f>
        <v>217399833-12A</v>
      </c>
      <c r="K3407" s="43"/>
      <c r="L3407" s="44"/>
      <c r="M3407" s="45" t="s">
        <v>10489</v>
      </c>
    </row>
    <row r="3408" s="26" customFormat="1" ht="30" customHeight="1" spans="1:13">
      <c r="A3408" s="41">
        <f>IF(C3408="","",SUBTOTAL(103,$C$2:C3408))</f>
        <v>3399</v>
      </c>
      <c r="B3408" s="41">
        <v>1227</v>
      </c>
      <c r="C3408" s="41">
        <v>5028</v>
      </c>
      <c r="D3408" s="41" t="s">
        <v>45</v>
      </c>
      <c r="E3408" s="41" t="s">
        <v>1298</v>
      </c>
      <c r="F3408" s="41" t="s">
        <v>10093</v>
      </c>
      <c r="G3408" s="41" t="s">
        <v>10490</v>
      </c>
      <c r="H3408" s="41" t="s">
        <v>10491</v>
      </c>
      <c r="I3408" s="43">
        <v>12</v>
      </c>
      <c r="J3408" s="44" t="str">
        <f>VLOOKUP(G3408,[1]硬件清单!$F:$F,1,0)</f>
        <v>217399833-13A</v>
      </c>
      <c r="K3408" s="43"/>
      <c r="L3408" s="44"/>
      <c r="M3408" s="45" t="s">
        <v>10492</v>
      </c>
    </row>
    <row r="3409" s="26" customFormat="1" ht="30" customHeight="1" spans="1:13">
      <c r="A3409" s="41">
        <f>IF(C3409="","",SUBTOTAL(103,$C$2:C3409))</f>
        <v>3400</v>
      </c>
      <c r="B3409" s="41">
        <v>1228</v>
      </c>
      <c r="C3409" s="41">
        <v>5027</v>
      </c>
      <c r="D3409" s="41" t="s">
        <v>45</v>
      </c>
      <c r="E3409" s="41" t="s">
        <v>1298</v>
      </c>
      <c r="F3409" s="41" t="s">
        <v>10093</v>
      </c>
      <c r="G3409" s="41" t="s">
        <v>10493</v>
      </c>
      <c r="H3409" s="41" t="s">
        <v>10494</v>
      </c>
      <c r="I3409" s="43">
        <v>12</v>
      </c>
      <c r="J3409" s="44" t="str">
        <f>VLOOKUP(G3409,[1]硬件清单!$F:$F,1,0)</f>
        <v>217399833-14A</v>
      </c>
      <c r="K3409" s="43"/>
      <c r="L3409" s="44"/>
      <c r="M3409" s="45" t="s">
        <v>10495</v>
      </c>
    </row>
    <row r="3410" s="26" customFormat="1" ht="30" customHeight="1" spans="1:13">
      <c r="A3410" s="41">
        <f>IF(C3410="","",SUBTOTAL(103,$C$2:C3410))</f>
        <v>3401</v>
      </c>
      <c r="B3410" s="41">
        <v>1229</v>
      </c>
      <c r="C3410" s="41">
        <v>5026</v>
      </c>
      <c r="D3410" s="41" t="s">
        <v>45</v>
      </c>
      <c r="E3410" s="41" t="s">
        <v>1298</v>
      </c>
      <c r="F3410" s="41" t="s">
        <v>10093</v>
      </c>
      <c r="G3410" s="41" t="s">
        <v>10496</v>
      </c>
      <c r="H3410" s="41" t="s">
        <v>10497</v>
      </c>
      <c r="I3410" s="43">
        <v>12</v>
      </c>
      <c r="J3410" s="44" t="str">
        <f>VLOOKUP(G3410,[1]硬件清单!$F:$F,1,0)</f>
        <v>217399833-15A</v>
      </c>
      <c r="K3410" s="43"/>
      <c r="L3410" s="44"/>
      <c r="M3410" s="45" t="s">
        <v>10498</v>
      </c>
    </row>
    <row r="3411" s="26" customFormat="1" ht="30" customHeight="1" spans="1:13">
      <c r="A3411" s="41">
        <f>IF(C3411="","",SUBTOTAL(103,$C$2:C3411))</f>
        <v>3402</v>
      </c>
      <c r="B3411" s="41">
        <v>1230</v>
      </c>
      <c r="C3411" s="41">
        <v>5025</v>
      </c>
      <c r="D3411" s="41" t="s">
        <v>45</v>
      </c>
      <c r="E3411" s="41" t="s">
        <v>1298</v>
      </c>
      <c r="F3411" s="41" t="s">
        <v>10093</v>
      </c>
      <c r="G3411" s="41" t="s">
        <v>10499</v>
      </c>
      <c r="H3411" s="41" t="s">
        <v>10500</v>
      </c>
      <c r="I3411" s="43">
        <v>12</v>
      </c>
      <c r="J3411" s="44" t="str">
        <f>VLOOKUP(G3411,[1]硬件清单!$F:$F,1,0)</f>
        <v>217399833-16A</v>
      </c>
      <c r="K3411" s="43"/>
      <c r="L3411" s="44"/>
      <c r="M3411" s="45" t="s">
        <v>10501</v>
      </c>
    </row>
    <row r="3412" s="26" customFormat="1" ht="30" customHeight="1" spans="1:13">
      <c r="A3412" s="41">
        <f>IF(C3412="","",SUBTOTAL(103,$C$2:C3412))</f>
        <v>3403</v>
      </c>
      <c r="B3412" s="41">
        <v>1231</v>
      </c>
      <c r="C3412" s="41">
        <v>5048</v>
      </c>
      <c r="D3412" s="41" t="s">
        <v>45</v>
      </c>
      <c r="E3412" s="41" t="s">
        <v>1298</v>
      </c>
      <c r="F3412" s="41" t="s">
        <v>10093</v>
      </c>
      <c r="G3412" s="41" t="s">
        <v>10502</v>
      </c>
      <c r="H3412" s="41" t="s">
        <v>10503</v>
      </c>
      <c r="I3412" s="43">
        <v>12</v>
      </c>
      <c r="J3412" s="44" t="str">
        <f>VLOOKUP(G3412,[1]硬件清单!$F:$F,1,0)</f>
        <v>217399833-17A</v>
      </c>
      <c r="K3412" s="43"/>
      <c r="L3412" s="44"/>
      <c r="M3412" s="45" t="s">
        <v>10504</v>
      </c>
    </row>
    <row r="3413" s="26" customFormat="1" ht="30" customHeight="1" spans="1:13">
      <c r="A3413" s="41">
        <f>IF(C3413="","",SUBTOTAL(103,$C$2:C3413))</f>
        <v>3404</v>
      </c>
      <c r="B3413" s="41">
        <v>1232</v>
      </c>
      <c r="C3413" s="41">
        <v>5047</v>
      </c>
      <c r="D3413" s="41" t="s">
        <v>45</v>
      </c>
      <c r="E3413" s="41" t="s">
        <v>1298</v>
      </c>
      <c r="F3413" s="41" t="s">
        <v>10093</v>
      </c>
      <c r="G3413" s="41" t="s">
        <v>10505</v>
      </c>
      <c r="H3413" s="41" t="s">
        <v>10506</v>
      </c>
      <c r="I3413" s="43">
        <v>12</v>
      </c>
      <c r="J3413" s="44" t="str">
        <f>VLOOKUP(G3413,[1]硬件清单!$F:$F,1,0)</f>
        <v>217399833-18A</v>
      </c>
      <c r="K3413" s="43"/>
      <c r="L3413" s="44"/>
      <c r="M3413" s="45" t="s">
        <v>10507</v>
      </c>
    </row>
    <row r="3414" s="26" customFormat="1" ht="30" customHeight="1" spans="1:13">
      <c r="A3414" s="41">
        <f>IF(C3414="","",SUBTOTAL(103,$C$2:C3414))</f>
        <v>3405</v>
      </c>
      <c r="B3414" s="41">
        <v>1233</v>
      </c>
      <c r="C3414" s="41">
        <v>5046</v>
      </c>
      <c r="D3414" s="41" t="s">
        <v>45</v>
      </c>
      <c r="E3414" s="41" t="s">
        <v>1298</v>
      </c>
      <c r="F3414" s="41" t="s">
        <v>10093</v>
      </c>
      <c r="G3414" s="41" t="s">
        <v>10508</v>
      </c>
      <c r="H3414" s="41" t="s">
        <v>10509</v>
      </c>
      <c r="I3414" s="43">
        <v>12</v>
      </c>
      <c r="J3414" s="44" t="str">
        <f>VLOOKUP(G3414,[1]硬件清单!$F:$F,1,0)</f>
        <v>217399833-19A</v>
      </c>
      <c r="K3414" s="43"/>
      <c r="L3414" s="44"/>
      <c r="M3414" s="45" t="s">
        <v>10510</v>
      </c>
    </row>
    <row r="3415" s="26" customFormat="1" ht="30" customHeight="1" spans="1:13">
      <c r="A3415" s="41">
        <f>IF(C3415="","",SUBTOTAL(103,$C$2:C3415))</f>
        <v>3406</v>
      </c>
      <c r="B3415" s="41">
        <v>1234</v>
      </c>
      <c r="C3415" s="41">
        <v>5040</v>
      </c>
      <c r="D3415" s="41" t="s">
        <v>45</v>
      </c>
      <c r="E3415" s="41" t="s">
        <v>1298</v>
      </c>
      <c r="F3415" s="41" t="s">
        <v>10093</v>
      </c>
      <c r="G3415" s="41" t="s">
        <v>10511</v>
      </c>
      <c r="H3415" s="41" t="s">
        <v>10512</v>
      </c>
      <c r="I3415" s="43">
        <v>12</v>
      </c>
      <c r="J3415" s="44" t="str">
        <f>VLOOKUP(G3415,[1]硬件清单!$F:$F,1,0)</f>
        <v>217399833-01A</v>
      </c>
      <c r="K3415" s="43"/>
      <c r="L3415" s="44"/>
      <c r="M3415" s="45" t="s">
        <v>10513</v>
      </c>
    </row>
    <row r="3416" s="26" customFormat="1" ht="30" customHeight="1" spans="1:13">
      <c r="A3416" s="41">
        <f>IF(C3416="","",SUBTOTAL(103,$C$2:C3416))</f>
        <v>3407</v>
      </c>
      <c r="B3416" s="41">
        <v>1235</v>
      </c>
      <c r="C3416" s="41">
        <v>5045</v>
      </c>
      <c r="D3416" s="41" t="s">
        <v>45</v>
      </c>
      <c r="E3416" s="41" t="s">
        <v>1298</v>
      </c>
      <c r="F3416" s="41" t="s">
        <v>10093</v>
      </c>
      <c r="G3416" s="41" t="s">
        <v>10514</v>
      </c>
      <c r="H3416" s="41" t="s">
        <v>10515</v>
      </c>
      <c r="I3416" s="43">
        <v>12</v>
      </c>
      <c r="J3416" s="44" t="str">
        <f>VLOOKUP(G3416,[1]硬件清单!$F:$F,1,0)</f>
        <v>217399833-20A</v>
      </c>
      <c r="K3416" s="43"/>
      <c r="L3416" s="44"/>
      <c r="M3416" s="45" t="s">
        <v>10516</v>
      </c>
    </row>
    <row r="3417" s="26" customFormat="1" ht="30" customHeight="1" spans="1:13">
      <c r="A3417" s="41">
        <f>IF(C3417="","",SUBTOTAL(103,$C$2:C3417))</f>
        <v>3408</v>
      </c>
      <c r="B3417" s="41">
        <v>1236</v>
      </c>
      <c r="C3417" s="41">
        <v>5044</v>
      </c>
      <c r="D3417" s="41" t="s">
        <v>45</v>
      </c>
      <c r="E3417" s="41" t="s">
        <v>1298</v>
      </c>
      <c r="F3417" s="41" t="s">
        <v>10093</v>
      </c>
      <c r="G3417" s="41" t="s">
        <v>10517</v>
      </c>
      <c r="H3417" s="41" t="s">
        <v>10518</v>
      </c>
      <c r="I3417" s="43">
        <v>12</v>
      </c>
      <c r="J3417" s="44" t="str">
        <f>VLOOKUP(G3417,[1]硬件清单!$F:$F,1,0)</f>
        <v>217399833-21A</v>
      </c>
      <c r="K3417" s="43"/>
      <c r="L3417" s="44"/>
      <c r="M3417" s="45" t="s">
        <v>10519</v>
      </c>
    </row>
    <row r="3418" s="26" customFormat="1" ht="30" customHeight="1" spans="1:13">
      <c r="A3418" s="41">
        <f>IF(C3418="","",SUBTOTAL(103,$C$2:C3418))</f>
        <v>3409</v>
      </c>
      <c r="B3418" s="41">
        <v>1237</v>
      </c>
      <c r="C3418" s="41">
        <v>5043</v>
      </c>
      <c r="D3418" s="41" t="s">
        <v>45</v>
      </c>
      <c r="E3418" s="41" t="s">
        <v>1298</v>
      </c>
      <c r="F3418" s="41" t="s">
        <v>10093</v>
      </c>
      <c r="G3418" s="41" t="s">
        <v>10520</v>
      </c>
      <c r="H3418" s="41" t="s">
        <v>10521</v>
      </c>
      <c r="I3418" s="43">
        <v>12</v>
      </c>
      <c r="J3418" s="44" t="str">
        <f>VLOOKUP(G3418,[1]硬件清单!$F:$F,1,0)</f>
        <v>217399833-22A</v>
      </c>
      <c r="K3418" s="43"/>
      <c r="L3418" s="44"/>
      <c r="M3418" s="45" t="s">
        <v>10522</v>
      </c>
    </row>
    <row r="3419" s="26" customFormat="1" ht="30" customHeight="1" spans="1:13">
      <c r="A3419" s="41">
        <f>IF(C3419="","",SUBTOTAL(103,$C$2:C3419))</f>
        <v>3410</v>
      </c>
      <c r="B3419" s="41">
        <v>1238</v>
      </c>
      <c r="C3419" s="41">
        <v>5042</v>
      </c>
      <c r="D3419" s="41" t="s">
        <v>45</v>
      </c>
      <c r="E3419" s="41" t="s">
        <v>1298</v>
      </c>
      <c r="F3419" s="41" t="s">
        <v>10093</v>
      </c>
      <c r="G3419" s="41" t="s">
        <v>10523</v>
      </c>
      <c r="H3419" s="41" t="s">
        <v>10524</v>
      </c>
      <c r="I3419" s="43">
        <v>12</v>
      </c>
      <c r="J3419" s="44" t="str">
        <f>VLOOKUP(G3419,[1]硬件清单!$F:$F,1,0)</f>
        <v>217399833-23A</v>
      </c>
      <c r="K3419" s="43"/>
      <c r="L3419" s="44"/>
      <c r="M3419" s="45" t="s">
        <v>10525</v>
      </c>
    </row>
    <row r="3420" s="26" customFormat="1" ht="30" customHeight="1" spans="1:13">
      <c r="A3420" s="41">
        <f>IF(C3420="","",SUBTOTAL(103,$C$2:C3420))</f>
        <v>3411</v>
      </c>
      <c r="B3420" s="41">
        <v>1239</v>
      </c>
      <c r="C3420" s="41">
        <v>5041</v>
      </c>
      <c r="D3420" s="41" t="s">
        <v>45</v>
      </c>
      <c r="E3420" s="41" t="s">
        <v>1298</v>
      </c>
      <c r="F3420" s="41" t="s">
        <v>10093</v>
      </c>
      <c r="G3420" s="41" t="s">
        <v>10526</v>
      </c>
      <c r="H3420" s="41" t="s">
        <v>10527</v>
      </c>
      <c r="I3420" s="43">
        <v>12</v>
      </c>
      <c r="J3420" s="44" t="str">
        <f>VLOOKUP(G3420,[1]硬件清单!$F:$F,1,0)</f>
        <v>217399833-24A</v>
      </c>
      <c r="K3420" s="43"/>
      <c r="L3420" s="44"/>
      <c r="M3420" s="45" t="s">
        <v>10528</v>
      </c>
    </row>
    <row r="3421" s="26" customFormat="1" ht="30" customHeight="1" spans="1:13">
      <c r="A3421" s="41">
        <f>IF(C3421="","",SUBTOTAL(103,$C$2:C3421))</f>
        <v>3412</v>
      </c>
      <c r="B3421" s="41">
        <v>1240</v>
      </c>
      <c r="C3421" s="41">
        <v>5039</v>
      </c>
      <c r="D3421" s="41" t="s">
        <v>45</v>
      </c>
      <c r="E3421" s="41" t="s">
        <v>1298</v>
      </c>
      <c r="F3421" s="41" t="s">
        <v>10093</v>
      </c>
      <c r="G3421" s="41" t="s">
        <v>10529</v>
      </c>
      <c r="H3421" s="41" t="s">
        <v>10530</v>
      </c>
      <c r="I3421" s="43">
        <v>12</v>
      </c>
      <c r="J3421" s="44" t="str">
        <f>VLOOKUP(G3421,[1]硬件清单!$F:$F,1,0)</f>
        <v>217399833-02A</v>
      </c>
      <c r="K3421" s="43"/>
      <c r="L3421" s="44"/>
      <c r="M3421" s="45" t="s">
        <v>10531</v>
      </c>
    </row>
    <row r="3422" s="26" customFormat="1" ht="30" customHeight="1" spans="1:13">
      <c r="A3422" s="41">
        <f>IF(C3422="","",SUBTOTAL(103,$C$2:C3422))</f>
        <v>3413</v>
      </c>
      <c r="B3422" s="41">
        <v>1241</v>
      </c>
      <c r="C3422" s="41">
        <v>4752</v>
      </c>
      <c r="D3422" s="41" t="s">
        <v>45</v>
      </c>
      <c r="E3422" s="41" t="s">
        <v>1298</v>
      </c>
      <c r="F3422" s="41" t="s">
        <v>10093</v>
      </c>
      <c r="G3422" s="41" t="s">
        <v>10532</v>
      </c>
      <c r="H3422" s="41" t="s">
        <v>10533</v>
      </c>
      <c r="I3422" s="43">
        <v>12</v>
      </c>
      <c r="J3422" s="44" t="str">
        <f>VLOOKUP(G3422,[1]硬件清单!$F:$F,1,0)</f>
        <v>217399833-25A</v>
      </c>
      <c r="K3422" s="43"/>
      <c r="L3422" s="44"/>
      <c r="M3422" s="45" t="s">
        <v>10534</v>
      </c>
    </row>
    <row r="3423" s="26" customFormat="1" ht="30" customHeight="1" spans="1:13">
      <c r="A3423" s="41">
        <f>IF(C3423="","",SUBTOTAL(103,$C$2:C3423))</f>
        <v>3414</v>
      </c>
      <c r="B3423" s="41">
        <v>1242</v>
      </c>
      <c r="C3423" s="41">
        <v>4751</v>
      </c>
      <c r="D3423" s="41" t="s">
        <v>45</v>
      </c>
      <c r="E3423" s="41" t="s">
        <v>1298</v>
      </c>
      <c r="F3423" s="41" t="s">
        <v>10093</v>
      </c>
      <c r="G3423" s="41" t="s">
        <v>10535</v>
      </c>
      <c r="H3423" s="41" t="s">
        <v>10536</v>
      </c>
      <c r="I3423" s="43">
        <v>12</v>
      </c>
      <c r="J3423" s="44" t="str">
        <f>VLOOKUP(G3423,[1]硬件清单!$F:$F,1,0)</f>
        <v>217399833-26A</v>
      </c>
      <c r="K3423" s="43"/>
      <c r="L3423" s="44"/>
      <c r="M3423" s="45" t="s">
        <v>10537</v>
      </c>
    </row>
    <row r="3424" s="26" customFormat="1" ht="30" customHeight="1" spans="1:13">
      <c r="A3424" s="41">
        <f>IF(C3424="","",SUBTOTAL(103,$C$2:C3424))</f>
        <v>3415</v>
      </c>
      <c r="B3424" s="41">
        <v>1243</v>
      </c>
      <c r="C3424" s="41">
        <v>5086</v>
      </c>
      <c r="D3424" s="41" t="s">
        <v>45</v>
      </c>
      <c r="E3424" s="41" t="s">
        <v>1298</v>
      </c>
      <c r="F3424" s="41" t="s">
        <v>10093</v>
      </c>
      <c r="G3424" s="41" t="s">
        <v>10538</v>
      </c>
      <c r="H3424" s="41" t="s">
        <v>10539</v>
      </c>
      <c r="I3424" s="43">
        <v>12</v>
      </c>
      <c r="J3424" s="44" t="str">
        <f>VLOOKUP(G3424,[1]硬件清单!$F:$F,1,0)</f>
        <v>217399833-27A</v>
      </c>
      <c r="K3424" s="43"/>
      <c r="L3424" s="44"/>
      <c r="M3424" s="45" t="s">
        <v>10540</v>
      </c>
    </row>
    <row r="3425" s="26" customFormat="1" ht="30" customHeight="1" spans="1:13">
      <c r="A3425" s="41">
        <f>IF(C3425="","",SUBTOTAL(103,$C$2:C3425))</f>
        <v>3416</v>
      </c>
      <c r="B3425" s="41">
        <v>1244</v>
      </c>
      <c r="C3425" s="41">
        <v>5085</v>
      </c>
      <c r="D3425" s="41" t="s">
        <v>45</v>
      </c>
      <c r="E3425" s="41" t="s">
        <v>1298</v>
      </c>
      <c r="F3425" s="41" t="s">
        <v>10093</v>
      </c>
      <c r="G3425" s="41" t="s">
        <v>10541</v>
      </c>
      <c r="H3425" s="41" t="s">
        <v>10542</v>
      </c>
      <c r="I3425" s="43">
        <v>12</v>
      </c>
      <c r="J3425" s="44" t="str">
        <f>VLOOKUP(G3425,[1]硬件清单!$F:$F,1,0)</f>
        <v>217399833-28A</v>
      </c>
      <c r="K3425" s="43"/>
      <c r="L3425" s="44"/>
      <c r="M3425" s="45" t="s">
        <v>10543</v>
      </c>
    </row>
    <row r="3426" s="26" customFormat="1" ht="30" customHeight="1" spans="1:13">
      <c r="A3426" s="41">
        <f>IF(C3426="","",SUBTOTAL(103,$C$2:C3426))</f>
        <v>3417</v>
      </c>
      <c r="B3426" s="41">
        <v>1245</v>
      </c>
      <c r="C3426" s="41">
        <v>5084</v>
      </c>
      <c r="D3426" s="41" t="s">
        <v>45</v>
      </c>
      <c r="E3426" s="41" t="s">
        <v>1298</v>
      </c>
      <c r="F3426" s="41" t="s">
        <v>10093</v>
      </c>
      <c r="G3426" s="41" t="s">
        <v>10544</v>
      </c>
      <c r="H3426" s="41" t="s">
        <v>10545</v>
      </c>
      <c r="I3426" s="43">
        <v>12</v>
      </c>
      <c r="J3426" s="44" t="str">
        <f>VLOOKUP(G3426,[1]硬件清单!$F:$F,1,0)</f>
        <v>217399833-29A</v>
      </c>
      <c r="K3426" s="43"/>
      <c r="L3426" s="44"/>
      <c r="M3426" s="45" t="s">
        <v>10546</v>
      </c>
    </row>
    <row r="3427" s="26" customFormat="1" ht="30" customHeight="1" spans="1:13">
      <c r="A3427" s="41">
        <f>IF(C3427="","",SUBTOTAL(103,$C$2:C3427))</f>
        <v>3418</v>
      </c>
      <c r="B3427" s="41">
        <v>1246</v>
      </c>
      <c r="C3427" s="41">
        <v>5083</v>
      </c>
      <c r="D3427" s="41" t="s">
        <v>45</v>
      </c>
      <c r="E3427" s="41" t="s">
        <v>1298</v>
      </c>
      <c r="F3427" s="41" t="s">
        <v>10093</v>
      </c>
      <c r="G3427" s="41" t="s">
        <v>10547</v>
      </c>
      <c r="H3427" s="41" t="s">
        <v>10548</v>
      </c>
      <c r="I3427" s="43">
        <v>12</v>
      </c>
      <c r="J3427" s="44" t="str">
        <f>VLOOKUP(G3427,[1]硬件清单!$F:$F,1,0)</f>
        <v>217399833-30A</v>
      </c>
      <c r="K3427" s="43"/>
      <c r="L3427" s="44"/>
      <c r="M3427" s="45" t="s">
        <v>10549</v>
      </c>
    </row>
    <row r="3428" s="26" customFormat="1" ht="30" customHeight="1" spans="1:13">
      <c r="A3428" s="41">
        <f>IF(C3428="","",SUBTOTAL(103,$C$2:C3428))</f>
        <v>3419</v>
      </c>
      <c r="B3428" s="41">
        <v>1247</v>
      </c>
      <c r="C3428" s="41">
        <v>5082</v>
      </c>
      <c r="D3428" s="41" t="s">
        <v>45</v>
      </c>
      <c r="E3428" s="41" t="s">
        <v>1298</v>
      </c>
      <c r="F3428" s="41" t="s">
        <v>10093</v>
      </c>
      <c r="G3428" s="41" t="s">
        <v>10550</v>
      </c>
      <c r="H3428" s="41" t="s">
        <v>10551</v>
      </c>
      <c r="I3428" s="43">
        <v>12</v>
      </c>
      <c r="J3428" s="44" t="str">
        <f>VLOOKUP(G3428,[1]硬件清单!$F:$F,1,0)</f>
        <v>217399833-31A</v>
      </c>
      <c r="K3428" s="43"/>
      <c r="L3428" s="44"/>
      <c r="M3428" s="45" t="s">
        <v>10552</v>
      </c>
    </row>
    <row r="3429" s="26" customFormat="1" ht="30" customHeight="1" spans="1:13">
      <c r="A3429" s="41">
        <f>IF(C3429="","",SUBTOTAL(103,$C$2:C3429))</f>
        <v>3420</v>
      </c>
      <c r="B3429" s="41">
        <v>1248</v>
      </c>
      <c r="C3429" s="41">
        <v>5081</v>
      </c>
      <c r="D3429" s="41" t="s">
        <v>45</v>
      </c>
      <c r="E3429" s="41" t="s">
        <v>1298</v>
      </c>
      <c r="F3429" s="41" t="s">
        <v>10093</v>
      </c>
      <c r="G3429" s="41" t="s">
        <v>10553</v>
      </c>
      <c r="H3429" s="41" t="s">
        <v>10554</v>
      </c>
      <c r="I3429" s="43">
        <v>12</v>
      </c>
      <c r="J3429" s="44" t="str">
        <f>VLOOKUP(G3429,[1]硬件清单!$F:$F,1,0)</f>
        <v>217399833-32A</v>
      </c>
      <c r="K3429" s="43"/>
      <c r="L3429" s="44"/>
      <c r="M3429" s="45" t="s">
        <v>10555</v>
      </c>
    </row>
    <row r="3430" s="26" customFormat="1" ht="30" customHeight="1" spans="1:13">
      <c r="A3430" s="41">
        <f>IF(C3430="","",SUBTOTAL(103,$C$2:C3430))</f>
        <v>3421</v>
      </c>
      <c r="B3430" s="41">
        <v>1249</v>
      </c>
      <c r="C3430" s="41">
        <v>5038</v>
      </c>
      <c r="D3430" s="41" t="s">
        <v>45</v>
      </c>
      <c r="E3430" s="41" t="s">
        <v>1298</v>
      </c>
      <c r="F3430" s="41" t="s">
        <v>10093</v>
      </c>
      <c r="G3430" s="41" t="s">
        <v>10556</v>
      </c>
      <c r="H3430" s="41" t="s">
        <v>10557</v>
      </c>
      <c r="I3430" s="43">
        <v>12</v>
      </c>
      <c r="J3430" s="44" t="str">
        <f>VLOOKUP(G3430,[1]硬件清单!$F:$F,1,0)</f>
        <v>217399833-03A</v>
      </c>
      <c r="K3430" s="43"/>
      <c r="L3430" s="44"/>
      <c r="M3430" s="45" t="s">
        <v>10558</v>
      </c>
    </row>
    <row r="3431" s="26" customFormat="1" ht="30" customHeight="1" spans="1:13">
      <c r="A3431" s="41">
        <f>IF(C3431="","",SUBTOTAL(103,$C$2:C3431))</f>
        <v>3422</v>
      </c>
      <c r="B3431" s="41">
        <v>1250</v>
      </c>
      <c r="C3431" s="41">
        <v>5037</v>
      </c>
      <c r="D3431" s="41" t="s">
        <v>45</v>
      </c>
      <c r="E3431" s="41" t="s">
        <v>1298</v>
      </c>
      <c r="F3431" s="41" t="s">
        <v>10093</v>
      </c>
      <c r="G3431" s="41" t="s">
        <v>10559</v>
      </c>
      <c r="H3431" s="41" t="s">
        <v>10560</v>
      </c>
      <c r="I3431" s="43">
        <v>12</v>
      </c>
      <c r="J3431" s="44" t="str">
        <f>VLOOKUP(G3431,[1]硬件清单!$F:$F,1,0)</f>
        <v>217399833-04A</v>
      </c>
      <c r="K3431" s="43"/>
      <c r="L3431" s="44"/>
      <c r="M3431" s="45" t="s">
        <v>10561</v>
      </c>
    </row>
    <row r="3432" s="26" customFormat="1" ht="30" customHeight="1" spans="1:13">
      <c r="A3432" s="41">
        <f>IF(C3432="","",SUBTOTAL(103,$C$2:C3432))</f>
        <v>3423</v>
      </c>
      <c r="B3432" s="41">
        <v>1251</v>
      </c>
      <c r="C3432" s="41">
        <v>5036</v>
      </c>
      <c r="D3432" s="41" t="s">
        <v>45</v>
      </c>
      <c r="E3432" s="41" t="s">
        <v>1298</v>
      </c>
      <c r="F3432" s="41" t="s">
        <v>10093</v>
      </c>
      <c r="G3432" s="41" t="s">
        <v>10562</v>
      </c>
      <c r="H3432" s="41" t="s">
        <v>10563</v>
      </c>
      <c r="I3432" s="43">
        <v>12</v>
      </c>
      <c r="J3432" s="44" t="str">
        <f>VLOOKUP(G3432,[1]硬件清单!$F:$F,1,0)</f>
        <v>217399833-05A</v>
      </c>
      <c r="K3432" s="43"/>
      <c r="L3432" s="44"/>
      <c r="M3432" s="45" t="s">
        <v>10564</v>
      </c>
    </row>
    <row r="3433" s="26" customFormat="1" ht="30" customHeight="1" spans="1:13">
      <c r="A3433" s="41">
        <f>IF(C3433="","",SUBTOTAL(103,$C$2:C3433))</f>
        <v>3424</v>
      </c>
      <c r="B3433" s="41">
        <v>1252</v>
      </c>
      <c r="C3433" s="41">
        <v>5035</v>
      </c>
      <c r="D3433" s="41" t="s">
        <v>45</v>
      </c>
      <c r="E3433" s="41" t="s">
        <v>1298</v>
      </c>
      <c r="F3433" s="41" t="s">
        <v>10093</v>
      </c>
      <c r="G3433" s="41" t="s">
        <v>10565</v>
      </c>
      <c r="H3433" s="41" t="s">
        <v>10566</v>
      </c>
      <c r="I3433" s="43">
        <v>12</v>
      </c>
      <c r="J3433" s="44" t="str">
        <f>VLOOKUP(G3433,[1]硬件清单!$F:$F,1,0)</f>
        <v>217399833-06A</v>
      </c>
      <c r="K3433" s="43"/>
      <c r="L3433" s="44"/>
      <c r="M3433" s="45" t="s">
        <v>10567</v>
      </c>
    </row>
    <row r="3434" s="26" customFormat="1" ht="30" customHeight="1" spans="1:13">
      <c r="A3434" s="41">
        <f>IF(C3434="","",SUBTOTAL(103,$C$2:C3434))</f>
        <v>3425</v>
      </c>
      <c r="B3434" s="41">
        <v>1253</v>
      </c>
      <c r="C3434" s="41">
        <v>5034</v>
      </c>
      <c r="D3434" s="41" t="s">
        <v>45</v>
      </c>
      <c r="E3434" s="41" t="s">
        <v>1298</v>
      </c>
      <c r="F3434" s="41" t="s">
        <v>10093</v>
      </c>
      <c r="G3434" s="41" t="s">
        <v>10568</v>
      </c>
      <c r="H3434" s="41" t="s">
        <v>10569</v>
      </c>
      <c r="I3434" s="43">
        <v>12</v>
      </c>
      <c r="J3434" s="44" t="str">
        <f>VLOOKUP(G3434,[1]硬件清单!$F:$F,1,0)</f>
        <v>217399833-07A</v>
      </c>
      <c r="K3434" s="43"/>
      <c r="L3434" s="44"/>
      <c r="M3434" s="45" t="s">
        <v>10570</v>
      </c>
    </row>
    <row r="3435" s="26" customFormat="1" ht="30" customHeight="1" spans="1:13">
      <c r="A3435" s="41">
        <f>IF(C3435="","",SUBTOTAL(103,$C$2:C3435))</f>
        <v>3426</v>
      </c>
      <c r="B3435" s="41">
        <v>1254</v>
      </c>
      <c r="C3435" s="41">
        <v>5033</v>
      </c>
      <c r="D3435" s="41" t="s">
        <v>45</v>
      </c>
      <c r="E3435" s="41" t="s">
        <v>1298</v>
      </c>
      <c r="F3435" s="41" t="s">
        <v>10093</v>
      </c>
      <c r="G3435" s="41" t="s">
        <v>10571</v>
      </c>
      <c r="H3435" s="41" t="s">
        <v>10572</v>
      </c>
      <c r="I3435" s="43">
        <v>12</v>
      </c>
      <c r="J3435" s="44" t="str">
        <f>VLOOKUP(G3435,[1]硬件清单!$F:$F,1,0)</f>
        <v>217399833-08A</v>
      </c>
      <c r="K3435" s="43"/>
      <c r="L3435" s="44"/>
      <c r="M3435" s="45" t="s">
        <v>10573</v>
      </c>
    </row>
    <row r="3436" s="26" customFormat="1" ht="30" customHeight="1" spans="1:13">
      <c r="A3436" s="41">
        <f>IF(C3436="","",SUBTOTAL(103,$C$2:C3436))</f>
        <v>3427</v>
      </c>
      <c r="B3436" s="41">
        <v>1255</v>
      </c>
      <c r="C3436" s="41">
        <v>5032</v>
      </c>
      <c r="D3436" s="41" t="s">
        <v>45</v>
      </c>
      <c r="E3436" s="41" t="s">
        <v>1298</v>
      </c>
      <c r="F3436" s="41" t="s">
        <v>10093</v>
      </c>
      <c r="G3436" s="41" t="s">
        <v>10574</v>
      </c>
      <c r="H3436" s="41" t="s">
        <v>10575</v>
      </c>
      <c r="I3436" s="43">
        <v>12</v>
      </c>
      <c r="J3436" s="44" t="str">
        <f>VLOOKUP(G3436,[1]硬件清单!$F:$F,1,0)</f>
        <v>217399833-09A</v>
      </c>
      <c r="K3436" s="43"/>
      <c r="L3436" s="44"/>
      <c r="M3436" s="45" t="s">
        <v>10576</v>
      </c>
    </row>
    <row r="3437" s="26" customFormat="1" ht="30" customHeight="1" spans="1:13">
      <c r="A3437" s="41">
        <f>IF(C3437="","",SUBTOTAL(103,$C$2:C3437))</f>
        <v>3428</v>
      </c>
      <c r="B3437" s="41">
        <v>1256</v>
      </c>
      <c r="C3437" s="41">
        <v>4507</v>
      </c>
      <c r="D3437" s="41" t="s">
        <v>45</v>
      </c>
      <c r="E3437" s="41" t="s">
        <v>1298</v>
      </c>
      <c r="F3437" s="41" t="s">
        <v>10093</v>
      </c>
      <c r="G3437" s="41" t="s">
        <v>10577</v>
      </c>
      <c r="H3437" s="41" t="s">
        <v>10578</v>
      </c>
      <c r="I3437" s="43">
        <v>12</v>
      </c>
      <c r="J3437" s="44" t="str">
        <f>VLOOKUP(G3437,[1]硬件清单!$F:$F,1,0)</f>
        <v>217399769-10A</v>
      </c>
      <c r="K3437" s="43"/>
      <c r="L3437" s="44"/>
      <c r="M3437" s="45" t="s">
        <v>10579</v>
      </c>
    </row>
    <row r="3438" s="26" customFormat="1" ht="30" customHeight="1" spans="1:13">
      <c r="A3438" s="41">
        <f>IF(C3438="","",SUBTOTAL(103,$C$2:C3438))</f>
        <v>3429</v>
      </c>
      <c r="B3438" s="41">
        <v>1257</v>
      </c>
      <c r="C3438" s="41">
        <v>4506</v>
      </c>
      <c r="D3438" s="41" t="s">
        <v>45</v>
      </c>
      <c r="E3438" s="41" t="s">
        <v>1298</v>
      </c>
      <c r="F3438" s="41" t="s">
        <v>10093</v>
      </c>
      <c r="G3438" s="41" t="s">
        <v>10580</v>
      </c>
      <c r="H3438" s="41" t="s">
        <v>10581</v>
      </c>
      <c r="I3438" s="43">
        <v>12</v>
      </c>
      <c r="J3438" s="44" t="str">
        <f>VLOOKUP(G3438,[1]硬件清单!$F:$F,1,0)</f>
        <v>217399769-11A</v>
      </c>
      <c r="K3438" s="43"/>
      <c r="L3438" s="44"/>
      <c r="M3438" s="45" t="s">
        <v>10582</v>
      </c>
    </row>
    <row r="3439" s="26" customFormat="1" ht="30" customHeight="1" spans="1:13">
      <c r="A3439" s="41">
        <f>IF(C3439="","",SUBTOTAL(103,$C$2:C3439))</f>
        <v>3430</v>
      </c>
      <c r="B3439" s="41">
        <v>1258</v>
      </c>
      <c r="C3439" s="41">
        <v>4505</v>
      </c>
      <c r="D3439" s="41" t="s">
        <v>45</v>
      </c>
      <c r="E3439" s="41" t="s">
        <v>1298</v>
      </c>
      <c r="F3439" s="41" t="s">
        <v>10093</v>
      </c>
      <c r="G3439" s="41" t="s">
        <v>10583</v>
      </c>
      <c r="H3439" s="41" t="s">
        <v>10584</v>
      </c>
      <c r="I3439" s="43">
        <v>12</v>
      </c>
      <c r="J3439" s="44" t="str">
        <f>VLOOKUP(G3439,[1]硬件清单!$F:$F,1,0)</f>
        <v>217399769-12A</v>
      </c>
      <c r="K3439" s="43"/>
      <c r="L3439" s="44"/>
      <c r="M3439" s="45" t="s">
        <v>10585</v>
      </c>
    </row>
    <row r="3440" s="26" customFormat="1" ht="30" customHeight="1" spans="1:13">
      <c r="A3440" s="41">
        <f>IF(C3440="","",SUBTOTAL(103,$C$2:C3440))</f>
        <v>3431</v>
      </c>
      <c r="B3440" s="41">
        <v>1259</v>
      </c>
      <c r="C3440" s="41">
        <v>4504</v>
      </c>
      <c r="D3440" s="41" t="s">
        <v>45</v>
      </c>
      <c r="E3440" s="41" t="s">
        <v>1298</v>
      </c>
      <c r="F3440" s="41" t="s">
        <v>10093</v>
      </c>
      <c r="G3440" s="41" t="s">
        <v>10586</v>
      </c>
      <c r="H3440" s="41" t="s">
        <v>10587</v>
      </c>
      <c r="I3440" s="43">
        <v>12</v>
      </c>
      <c r="J3440" s="44" t="str">
        <f>VLOOKUP(G3440,[1]硬件清单!$F:$F,1,0)</f>
        <v>217399769-13A</v>
      </c>
      <c r="K3440" s="43"/>
      <c r="L3440" s="44"/>
      <c r="M3440" s="45" t="s">
        <v>10588</v>
      </c>
    </row>
    <row r="3441" s="26" customFormat="1" ht="30" customHeight="1" spans="1:13">
      <c r="A3441" s="41">
        <f>IF(C3441="","",SUBTOTAL(103,$C$2:C3441))</f>
        <v>3432</v>
      </c>
      <c r="B3441" s="41">
        <v>1260</v>
      </c>
      <c r="C3441" s="41">
        <v>4503</v>
      </c>
      <c r="D3441" s="41" t="s">
        <v>45</v>
      </c>
      <c r="E3441" s="41" t="s">
        <v>1298</v>
      </c>
      <c r="F3441" s="41" t="s">
        <v>10093</v>
      </c>
      <c r="G3441" s="41" t="s">
        <v>10589</v>
      </c>
      <c r="H3441" s="41" t="s">
        <v>10590</v>
      </c>
      <c r="I3441" s="43">
        <v>12</v>
      </c>
      <c r="J3441" s="44" t="str">
        <f>VLOOKUP(G3441,[1]硬件清单!$F:$F,1,0)</f>
        <v>217399769-14A</v>
      </c>
      <c r="K3441" s="43"/>
      <c r="L3441" s="44"/>
      <c r="M3441" s="45" t="s">
        <v>10591</v>
      </c>
    </row>
    <row r="3442" s="26" customFormat="1" ht="30" customHeight="1" spans="1:13">
      <c r="A3442" s="41">
        <f>IF(C3442="","",SUBTOTAL(103,$C$2:C3442))</f>
        <v>3433</v>
      </c>
      <c r="B3442" s="41">
        <v>1261</v>
      </c>
      <c r="C3442" s="41">
        <v>4502</v>
      </c>
      <c r="D3442" s="41" t="s">
        <v>45</v>
      </c>
      <c r="E3442" s="41" t="s">
        <v>1298</v>
      </c>
      <c r="F3442" s="41" t="s">
        <v>10093</v>
      </c>
      <c r="G3442" s="41" t="s">
        <v>10592</v>
      </c>
      <c r="H3442" s="41" t="s">
        <v>10593</v>
      </c>
      <c r="I3442" s="43">
        <v>12</v>
      </c>
      <c r="J3442" s="44" t="str">
        <f>VLOOKUP(G3442,[1]硬件清单!$F:$F,1,0)</f>
        <v>217399769-15A</v>
      </c>
      <c r="K3442" s="43"/>
      <c r="L3442" s="44"/>
      <c r="M3442" s="45" t="s">
        <v>10594</v>
      </c>
    </row>
    <row r="3443" s="26" customFormat="1" ht="30" customHeight="1" spans="1:13">
      <c r="A3443" s="41">
        <f>IF(C3443="","",SUBTOTAL(103,$C$2:C3443))</f>
        <v>3434</v>
      </c>
      <c r="B3443" s="41">
        <v>1262</v>
      </c>
      <c r="C3443" s="41">
        <v>4501</v>
      </c>
      <c r="D3443" s="41" t="s">
        <v>45</v>
      </c>
      <c r="E3443" s="41" t="s">
        <v>1298</v>
      </c>
      <c r="F3443" s="41" t="s">
        <v>10093</v>
      </c>
      <c r="G3443" s="41" t="s">
        <v>10595</v>
      </c>
      <c r="H3443" s="41" t="s">
        <v>10596</v>
      </c>
      <c r="I3443" s="43">
        <v>12</v>
      </c>
      <c r="J3443" s="44" t="str">
        <f>VLOOKUP(G3443,[1]硬件清单!$F:$F,1,0)</f>
        <v>217399769-16A</v>
      </c>
      <c r="K3443" s="43"/>
      <c r="L3443" s="44"/>
      <c r="M3443" s="45" t="s">
        <v>10597</v>
      </c>
    </row>
    <row r="3444" s="26" customFormat="1" ht="30" customHeight="1" spans="1:13">
      <c r="A3444" s="41">
        <f>IF(C3444="","",SUBTOTAL(103,$C$2:C3444))</f>
        <v>3435</v>
      </c>
      <c r="B3444" s="41">
        <v>1263</v>
      </c>
      <c r="C3444" s="41">
        <v>4500</v>
      </c>
      <c r="D3444" s="41" t="s">
        <v>45</v>
      </c>
      <c r="E3444" s="41" t="s">
        <v>1298</v>
      </c>
      <c r="F3444" s="41" t="s">
        <v>10093</v>
      </c>
      <c r="G3444" s="41" t="s">
        <v>10598</v>
      </c>
      <c r="H3444" s="41" t="s">
        <v>10599</v>
      </c>
      <c r="I3444" s="43">
        <v>12</v>
      </c>
      <c r="J3444" s="44" t="str">
        <f>VLOOKUP(G3444,[1]硬件清单!$F:$F,1,0)</f>
        <v>217399769-17A</v>
      </c>
      <c r="K3444" s="43"/>
      <c r="L3444" s="44"/>
      <c r="M3444" s="45" t="s">
        <v>10600</v>
      </c>
    </row>
    <row r="3445" s="26" customFormat="1" ht="30" customHeight="1" spans="1:13">
      <c r="A3445" s="41">
        <f>IF(C3445="","",SUBTOTAL(103,$C$2:C3445))</f>
        <v>3436</v>
      </c>
      <c r="B3445" s="41">
        <v>1264</v>
      </c>
      <c r="C3445" s="41">
        <v>4499</v>
      </c>
      <c r="D3445" s="41" t="s">
        <v>45</v>
      </c>
      <c r="E3445" s="41" t="s">
        <v>1298</v>
      </c>
      <c r="F3445" s="41" t="s">
        <v>10093</v>
      </c>
      <c r="G3445" s="41" t="s">
        <v>10601</v>
      </c>
      <c r="H3445" s="41" t="s">
        <v>10602</v>
      </c>
      <c r="I3445" s="43">
        <v>12</v>
      </c>
      <c r="J3445" s="44" t="str">
        <f>VLOOKUP(G3445,[1]硬件清单!$F:$F,1,0)</f>
        <v>217399769-18A</v>
      </c>
      <c r="K3445" s="43"/>
      <c r="L3445" s="44"/>
      <c r="M3445" s="45" t="s">
        <v>10603</v>
      </c>
    </row>
    <row r="3446" s="26" customFormat="1" ht="30" customHeight="1" spans="1:13">
      <c r="A3446" s="41">
        <f>IF(C3446="","",SUBTOTAL(103,$C$2:C3446))</f>
        <v>3437</v>
      </c>
      <c r="B3446" s="41">
        <v>1265</v>
      </c>
      <c r="C3446" s="41">
        <v>4498</v>
      </c>
      <c r="D3446" s="41" t="s">
        <v>45</v>
      </c>
      <c r="E3446" s="41" t="s">
        <v>1298</v>
      </c>
      <c r="F3446" s="41" t="s">
        <v>10093</v>
      </c>
      <c r="G3446" s="41" t="s">
        <v>10604</v>
      </c>
      <c r="H3446" s="41" t="s">
        <v>10605</v>
      </c>
      <c r="I3446" s="43">
        <v>12</v>
      </c>
      <c r="J3446" s="44" t="str">
        <f>VLOOKUP(G3446,[1]硬件清单!$F:$F,1,0)</f>
        <v>217399769-19A</v>
      </c>
      <c r="K3446" s="43"/>
      <c r="L3446" s="44"/>
      <c r="M3446" s="45" t="s">
        <v>10606</v>
      </c>
    </row>
    <row r="3447" s="26" customFormat="1" ht="30" customHeight="1" spans="1:13">
      <c r="A3447" s="41">
        <f>IF(C3447="","",SUBTOTAL(103,$C$2:C3447))</f>
        <v>3438</v>
      </c>
      <c r="B3447" s="41">
        <v>1266</v>
      </c>
      <c r="C3447" s="41">
        <v>4516</v>
      </c>
      <c r="D3447" s="41" t="s">
        <v>45</v>
      </c>
      <c r="E3447" s="41" t="s">
        <v>1298</v>
      </c>
      <c r="F3447" s="41" t="s">
        <v>10093</v>
      </c>
      <c r="G3447" s="41" t="s">
        <v>10607</v>
      </c>
      <c r="H3447" s="41" t="s">
        <v>10608</v>
      </c>
      <c r="I3447" s="43">
        <v>12</v>
      </c>
      <c r="J3447" s="44" t="str">
        <f>VLOOKUP(G3447,[1]硬件清单!$F:$F,1,0)</f>
        <v>217399769-01A</v>
      </c>
      <c r="K3447" s="43"/>
      <c r="L3447" s="44"/>
      <c r="M3447" s="45" t="s">
        <v>10609</v>
      </c>
    </row>
    <row r="3448" s="26" customFormat="1" ht="30" customHeight="1" spans="1:13">
      <c r="A3448" s="41">
        <f>IF(C3448="","",SUBTOTAL(103,$C$2:C3448))</f>
        <v>3439</v>
      </c>
      <c r="B3448" s="41">
        <v>1267</v>
      </c>
      <c r="C3448" s="41">
        <v>4497</v>
      </c>
      <c r="D3448" s="41" t="s">
        <v>45</v>
      </c>
      <c r="E3448" s="41" t="s">
        <v>1298</v>
      </c>
      <c r="F3448" s="41" t="s">
        <v>10093</v>
      </c>
      <c r="G3448" s="41" t="s">
        <v>10610</v>
      </c>
      <c r="H3448" s="41" t="s">
        <v>10611</v>
      </c>
      <c r="I3448" s="43">
        <v>12</v>
      </c>
      <c r="J3448" s="44" t="str">
        <f>VLOOKUP(G3448,[1]硬件清单!$F:$F,1,0)</f>
        <v>217399769-20A</v>
      </c>
      <c r="K3448" s="43"/>
      <c r="L3448" s="44"/>
      <c r="M3448" s="45" t="s">
        <v>10612</v>
      </c>
    </row>
    <row r="3449" s="26" customFormat="1" ht="30" customHeight="1" spans="1:13">
      <c r="A3449" s="41">
        <f>IF(C3449="","",SUBTOTAL(103,$C$2:C3449))</f>
        <v>3440</v>
      </c>
      <c r="B3449" s="41">
        <v>1268</v>
      </c>
      <c r="C3449" s="41">
        <v>4481</v>
      </c>
      <c r="D3449" s="41" t="s">
        <v>45</v>
      </c>
      <c r="E3449" s="41" t="s">
        <v>1298</v>
      </c>
      <c r="F3449" s="41" t="s">
        <v>10093</v>
      </c>
      <c r="G3449" s="41" t="s">
        <v>10613</v>
      </c>
      <c r="H3449" s="41" t="s">
        <v>10614</v>
      </c>
      <c r="I3449" s="43">
        <v>12</v>
      </c>
      <c r="J3449" s="44" t="str">
        <f>VLOOKUP(G3449,[1]硬件清单!$F:$F,1,0)</f>
        <v>217399769-21A</v>
      </c>
      <c r="K3449" s="43"/>
      <c r="L3449" s="44"/>
      <c r="M3449" s="45" t="s">
        <v>10615</v>
      </c>
    </row>
    <row r="3450" s="26" customFormat="1" ht="30" customHeight="1" spans="1:13">
      <c r="A3450" s="41">
        <f>IF(C3450="","",SUBTOTAL(103,$C$2:C3450))</f>
        <v>3441</v>
      </c>
      <c r="B3450" s="41">
        <v>1269</v>
      </c>
      <c r="C3450" s="41">
        <v>4480</v>
      </c>
      <c r="D3450" s="41" t="s">
        <v>45</v>
      </c>
      <c r="E3450" s="41" t="s">
        <v>1298</v>
      </c>
      <c r="F3450" s="41" t="s">
        <v>10093</v>
      </c>
      <c r="G3450" s="41" t="s">
        <v>10616</v>
      </c>
      <c r="H3450" s="41" t="s">
        <v>10617</v>
      </c>
      <c r="I3450" s="43">
        <v>12</v>
      </c>
      <c r="J3450" s="44" t="str">
        <f>VLOOKUP(G3450,[1]硬件清单!$F:$F,1,0)</f>
        <v>217399769-22A</v>
      </c>
      <c r="K3450" s="43"/>
      <c r="L3450" s="44"/>
      <c r="M3450" s="45" t="s">
        <v>10618</v>
      </c>
    </row>
    <row r="3451" s="26" customFormat="1" ht="30" customHeight="1" spans="1:13">
      <c r="A3451" s="41">
        <f>IF(C3451="","",SUBTOTAL(103,$C$2:C3451))</f>
        <v>3442</v>
      </c>
      <c r="B3451" s="41">
        <v>1270</v>
      </c>
      <c r="C3451" s="41">
        <v>4479</v>
      </c>
      <c r="D3451" s="41" t="s">
        <v>45</v>
      </c>
      <c r="E3451" s="41" t="s">
        <v>1298</v>
      </c>
      <c r="F3451" s="41" t="s">
        <v>10093</v>
      </c>
      <c r="G3451" s="41" t="s">
        <v>10619</v>
      </c>
      <c r="H3451" s="41" t="s">
        <v>10620</v>
      </c>
      <c r="I3451" s="43">
        <v>12</v>
      </c>
      <c r="J3451" s="44" t="str">
        <f>VLOOKUP(G3451,[1]硬件清单!$F:$F,1,0)</f>
        <v>217399769-23A</v>
      </c>
      <c r="K3451" s="43"/>
      <c r="L3451" s="44"/>
      <c r="M3451" s="45" t="s">
        <v>10621</v>
      </c>
    </row>
    <row r="3452" s="26" customFormat="1" ht="30" customHeight="1" spans="1:13">
      <c r="A3452" s="41">
        <f>IF(C3452="","",SUBTOTAL(103,$C$2:C3452))</f>
        <v>3443</v>
      </c>
      <c r="B3452" s="41">
        <v>1271</v>
      </c>
      <c r="C3452" s="41">
        <v>4478</v>
      </c>
      <c r="D3452" s="41" t="s">
        <v>45</v>
      </c>
      <c r="E3452" s="41" t="s">
        <v>1298</v>
      </c>
      <c r="F3452" s="41" t="s">
        <v>10093</v>
      </c>
      <c r="G3452" s="41" t="s">
        <v>10622</v>
      </c>
      <c r="H3452" s="41" t="s">
        <v>10623</v>
      </c>
      <c r="I3452" s="43">
        <v>12</v>
      </c>
      <c r="J3452" s="44" t="str">
        <f>VLOOKUP(G3452,[1]硬件清单!$F:$F,1,0)</f>
        <v>217399769-24A</v>
      </c>
      <c r="K3452" s="43"/>
      <c r="L3452" s="44"/>
      <c r="M3452" s="45" t="s">
        <v>10624</v>
      </c>
    </row>
    <row r="3453" s="26" customFormat="1" ht="30" customHeight="1" spans="1:13">
      <c r="A3453" s="41">
        <f>IF(C3453="","",SUBTOTAL(103,$C$2:C3453))</f>
        <v>3444</v>
      </c>
      <c r="B3453" s="41">
        <v>1272</v>
      </c>
      <c r="C3453" s="41">
        <v>4515</v>
      </c>
      <c r="D3453" s="41" t="s">
        <v>45</v>
      </c>
      <c r="E3453" s="41" t="s">
        <v>1298</v>
      </c>
      <c r="F3453" s="41" t="s">
        <v>10093</v>
      </c>
      <c r="G3453" s="41" t="s">
        <v>10625</v>
      </c>
      <c r="H3453" s="41" t="s">
        <v>10626</v>
      </c>
      <c r="I3453" s="43">
        <v>12</v>
      </c>
      <c r="J3453" s="44" t="str">
        <f>VLOOKUP(G3453,[1]硬件清单!$F:$F,1,0)</f>
        <v>217399769-02A</v>
      </c>
      <c r="K3453" s="43"/>
      <c r="L3453" s="44"/>
      <c r="M3453" s="45" t="s">
        <v>10627</v>
      </c>
    </row>
    <row r="3454" s="26" customFormat="1" ht="30" customHeight="1" spans="1:13">
      <c r="A3454" s="41">
        <f>IF(C3454="","",SUBTOTAL(103,$C$2:C3454))</f>
        <v>3445</v>
      </c>
      <c r="B3454" s="41">
        <v>1273</v>
      </c>
      <c r="C3454" s="41">
        <v>4477</v>
      </c>
      <c r="D3454" s="41" t="s">
        <v>45</v>
      </c>
      <c r="E3454" s="41" t="s">
        <v>1298</v>
      </c>
      <c r="F3454" s="41" t="s">
        <v>10093</v>
      </c>
      <c r="G3454" s="41" t="s">
        <v>10628</v>
      </c>
      <c r="H3454" s="41" t="s">
        <v>10629</v>
      </c>
      <c r="I3454" s="43">
        <v>12</v>
      </c>
      <c r="J3454" s="44" t="str">
        <f>VLOOKUP(G3454,[1]硬件清单!$F:$F,1,0)</f>
        <v>217399769-25A</v>
      </c>
      <c r="K3454" s="43"/>
      <c r="L3454" s="44"/>
      <c r="M3454" s="45" t="s">
        <v>10630</v>
      </c>
    </row>
    <row r="3455" s="26" customFormat="1" ht="30" customHeight="1" spans="1:13">
      <c r="A3455" s="41">
        <f>IF(C3455="","",SUBTOTAL(103,$C$2:C3455))</f>
        <v>3446</v>
      </c>
      <c r="B3455" s="41">
        <v>1274</v>
      </c>
      <c r="C3455" s="41">
        <v>4476</v>
      </c>
      <c r="D3455" s="41" t="s">
        <v>45</v>
      </c>
      <c r="E3455" s="41" t="s">
        <v>1298</v>
      </c>
      <c r="F3455" s="41" t="s">
        <v>10093</v>
      </c>
      <c r="G3455" s="41" t="s">
        <v>10631</v>
      </c>
      <c r="H3455" s="41" t="s">
        <v>10632</v>
      </c>
      <c r="I3455" s="43">
        <v>12</v>
      </c>
      <c r="J3455" s="44" t="str">
        <f>VLOOKUP(G3455,[1]硬件清单!$F:$F,1,0)</f>
        <v>217399769-26A</v>
      </c>
      <c r="K3455" s="43"/>
      <c r="L3455" s="44"/>
      <c r="M3455" s="45" t="s">
        <v>10633</v>
      </c>
    </row>
    <row r="3456" s="26" customFormat="1" ht="30" customHeight="1" spans="1:13">
      <c r="A3456" s="41">
        <f>IF(C3456="","",SUBTOTAL(103,$C$2:C3456))</f>
        <v>3447</v>
      </c>
      <c r="B3456" s="41">
        <v>1275</v>
      </c>
      <c r="C3456" s="41">
        <v>4475</v>
      </c>
      <c r="D3456" s="41" t="s">
        <v>45</v>
      </c>
      <c r="E3456" s="41" t="s">
        <v>1298</v>
      </c>
      <c r="F3456" s="41" t="s">
        <v>10093</v>
      </c>
      <c r="G3456" s="41" t="s">
        <v>10634</v>
      </c>
      <c r="H3456" s="41" t="s">
        <v>10635</v>
      </c>
      <c r="I3456" s="43">
        <v>12</v>
      </c>
      <c r="J3456" s="44" t="str">
        <f>VLOOKUP(G3456,[1]硬件清单!$F:$F,1,0)</f>
        <v>217399769-27A</v>
      </c>
      <c r="K3456" s="43"/>
      <c r="L3456" s="44"/>
      <c r="M3456" s="45" t="s">
        <v>10636</v>
      </c>
    </row>
    <row r="3457" s="26" customFormat="1" ht="30" customHeight="1" spans="1:13">
      <c r="A3457" s="41">
        <f>IF(C3457="","",SUBTOTAL(103,$C$2:C3457))</f>
        <v>3448</v>
      </c>
      <c r="B3457" s="41">
        <v>1276</v>
      </c>
      <c r="C3457" s="41">
        <v>4474</v>
      </c>
      <c r="D3457" s="41" t="s">
        <v>45</v>
      </c>
      <c r="E3457" s="41" t="s">
        <v>1298</v>
      </c>
      <c r="F3457" s="41" t="s">
        <v>10093</v>
      </c>
      <c r="G3457" s="41" t="s">
        <v>10637</v>
      </c>
      <c r="H3457" s="41" t="s">
        <v>10638</v>
      </c>
      <c r="I3457" s="43">
        <v>12</v>
      </c>
      <c r="J3457" s="44" t="str">
        <f>VLOOKUP(G3457,[1]硬件清单!$F:$F,1,0)</f>
        <v>217399769-28A</v>
      </c>
      <c r="K3457" s="43"/>
      <c r="L3457" s="44"/>
      <c r="M3457" s="45" t="s">
        <v>10639</v>
      </c>
    </row>
    <row r="3458" s="26" customFormat="1" ht="30" customHeight="1" spans="1:13">
      <c r="A3458" s="41">
        <f>IF(C3458="","",SUBTOTAL(103,$C$2:C3458))</f>
        <v>3449</v>
      </c>
      <c r="B3458" s="41">
        <v>1277</v>
      </c>
      <c r="C3458" s="41">
        <v>4473</v>
      </c>
      <c r="D3458" s="41" t="s">
        <v>45</v>
      </c>
      <c r="E3458" s="41" t="s">
        <v>1298</v>
      </c>
      <c r="F3458" s="41" t="s">
        <v>10093</v>
      </c>
      <c r="G3458" s="41" t="s">
        <v>10640</v>
      </c>
      <c r="H3458" s="41" t="s">
        <v>10641</v>
      </c>
      <c r="I3458" s="43">
        <v>12</v>
      </c>
      <c r="J3458" s="44" t="str">
        <f>VLOOKUP(G3458,[1]硬件清单!$F:$F,1,0)</f>
        <v>217399769-03A</v>
      </c>
      <c r="K3458" s="43"/>
      <c r="L3458" s="44"/>
      <c r="M3458" s="45" t="s">
        <v>10642</v>
      </c>
    </row>
    <row r="3459" s="26" customFormat="1" ht="30" customHeight="1" spans="1:13">
      <c r="A3459" s="41">
        <f>IF(C3459="","",SUBTOTAL(103,$C$2:C3459))</f>
        <v>3450</v>
      </c>
      <c r="B3459" s="41">
        <v>1278</v>
      </c>
      <c r="C3459" s="41">
        <v>4472</v>
      </c>
      <c r="D3459" s="41" t="s">
        <v>45</v>
      </c>
      <c r="E3459" s="41" t="s">
        <v>1298</v>
      </c>
      <c r="F3459" s="41" t="s">
        <v>10093</v>
      </c>
      <c r="G3459" s="41" t="s">
        <v>10643</v>
      </c>
      <c r="H3459" s="41" t="s">
        <v>10644</v>
      </c>
      <c r="I3459" s="43">
        <v>12</v>
      </c>
      <c r="J3459" s="44" t="str">
        <f>VLOOKUP(G3459,[1]硬件清单!$F:$F,1,0)</f>
        <v>217399769-04A</v>
      </c>
      <c r="K3459" s="43"/>
      <c r="L3459" s="44"/>
      <c r="M3459" s="45" t="s">
        <v>10645</v>
      </c>
    </row>
    <row r="3460" s="26" customFormat="1" ht="30" customHeight="1" spans="1:13">
      <c r="A3460" s="41">
        <f>IF(C3460="","",SUBTOTAL(103,$C$2:C3460))</f>
        <v>3451</v>
      </c>
      <c r="B3460" s="41">
        <v>1279</v>
      </c>
      <c r="C3460" s="41">
        <v>4514</v>
      </c>
      <c r="D3460" s="41" t="s">
        <v>45</v>
      </c>
      <c r="E3460" s="41" t="s">
        <v>1298</v>
      </c>
      <c r="F3460" s="41" t="s">
        <v>10093</v>
      </c>
      <c r="G3460" s="41" t="s">
        <v>10646</v>
      </c>
      <c r="H3460" s="41" t="s">
        <v>10647</v>
      </c>
      <c r="I3460" s="43">
        <v>12</v>
      </c>
      <c r="J3460" s="44" t="str">
        <f>VLOOKUP(G3460,[1]硬件清单!$F:$F,1,0)</f>
        <v>217399769-29A</v>
      </c>
      <c r="K3460" s="43"/>
      <c r="L3460" s="44"/>
      <c r="M3460" s="45" t="s">
        <v>10648</v>
      </c>
    </row>
    <row r="3461" s="26" customFormat="1" ht="30" customHeight="1" spans="1:13">
      <c r="A3461" s="41">
        <f>IF(C3461="","",SUBTOTAL(103,$C$2:C3461))</f>
        <v>3452</v>
      </c>
      <c r="B3461" s="41">
        <v>1280</v>
      </c>
      <c r="C3461" s="41">
        <v>4513</v>
      </c>
      <c r="D3461" s="41" t="s">
        <v>45</v>
      </c>
      <c r="E3461" s="41" t="s">
        <v>1298</v>
      </c>
      <c r="F3461" s="41" t="s">
        <v>10093</v>
      </c>
      <c r="G3461" s="41" t="s">
        <v>10649</v>
      </c>
      <c r="H3461" s="41" t="s">
        <v>10650</v>
      </c>
      <c r="I3461" s="43">
        <v>12</v>
      </c>
      <c r="J3461" s="44" t="str">
        <f>VLOOKUP(G3461,[1]硬件清单!$F:$F,1,0)</f>
        <v>217399769-30A</v>
      </c>
      <c r="K3461" s="43"/>
      <c r="L3461" s="44"/>
      <c r="M3461" s="45" t="s">
        <v>10651</v>
      </c>
    </row>
    <row r="3462" s="26" customFormat="1" ht="30" customHeight="1" spans="1:13">
      <c r="A3462" s="41">
        <f>IF(C3462="","",SUBTOTAL(103,$C$2:C3462))</f>
        <v>3453</v>
      </c>
      <c r="B3462" s="41">
        <v>1281</v>
      </c>
      <c r="C3462" s="41">
        <v>4512</v>
      </c>
      <c r="D3462" s="41" t="s">
        <v>45</v>
      </c>
      <c r="E3462" s="41" t="s">
        <v>1298</v>
      </c>
      <c r="F3462" s="41" t="s">
        <v>10093</v>
      </c>
      <c r="G3462" s="41" t="s">
        <v>10652</v>
      </c>
      <c r="H3462" s="41" t="s">
        <v>10653</v>
      </c>
      <c r="I3462" s="43">
        <v>12</v>
      </c>
      <c r="J3462" s="44" t="str">
        <f>VLOOKUP(G3462,[1]硬件清单!$F:$F,1,0)</f>
        <v>217399769-05A</v>
      </c>
      <c r="K3462" s="43"/>
      <c r="L3462" s="44"/>
      <c r="M3462" s="45" t="s">
        <v>10654</v>
      </c>
    </row>
    <row r="3463" s="26" customFormat="1" ht="30" customHeight="1" spans="1:13">
      <c r="A3463" s="41">
        <f>IF(C3463="","",SUBTOTAL(103,$C$2:C3463))</f>
        <v>3454</v>
      </c>
      <c r="B3463" s="41">
        <v>1282</v>
      </c>
      <c r="C3463" s="41">
        <v>4511</v>
      </c>
      <c r="D3463" s="41" t="s">
        <v>45</v>
      </c>
      <c r="E3463" s="41" t="s">
        <v>1298</v>
      </c>
      <c r="F3463" s="41" t="s">
        <v>10093</v>
      </c>
      <c r="G3463" s="41" t="s">
        <v>10655</v>
      </c>
      <c r="H3463" s="41" t="s">
        <v>10656</v>
      </c>
      <c r="I3463" s="43">
        <v>12</v>
      </c>
      <c r="J3463" s="44" t="str">
        <f>VLOOKUP(G3463,[1]硬件清单!$F:$F,1,0)</f>
        <v>217399769-06A</v>
      </c>
      <c r="K3463" s="43"/>
      <c r="L3463" s="44"/>
      <c r="M3463" s="45" t="s">
        <v>10657</v>
      </c>
    </row>
    <row r="3464" s="26" customFormat="1" ht="30" customHeight="1" spans="1:13">
      <c r="A3464" s="41">
        <f>IF(C3464="","",SUBTOTAL(103,$C$2:C3464))</f>
        <v>3455</v>
      </c>
      <c r="B3464" s="41">
        <v>1283</v>
      </c>
      <c r="C3464" s="41">
        <v>4510</v>
      </c>
      <c r="D3464" s="41" t="s">
        <v>45</v>
      </c>
      <c r="E3464" s="41" t="s">
        <v>1298</v>
      </c>
      <c r="F3464" s="41" t="s">
        <v>10093</v>
      </c>
      <c r="G3464" s="41" t="s">
        <v>10658</v>
      </c>
      <c r="H3464" s="41" t="s">
        <v>10659</v>
      </c>
      <c r="I3464" s="43">
        <v>12</v>
      </c>
      <c r="J3464" s="44" t="str">
        <f>VLOOKUP(G3464,[1]硬件清单!$F:$F,1,0)</f>
        <v>217399769-07A</v>
      </c>
      <c r="K3464" s="43"/>
      <c r="L3464" s="44"/>
      <c r="M3464" s="45" t="s">
        <v>10660</v>
      </c>
    </row>
    <row r="3465" s="26" customFormat="1" ht="30" customHeight="1" spans="1:13">
      <c r="A3465" s="41">
        <f>IF(C3465="","",SUBTOTAL(103,$C$2:C3465))</f>
        <v>3456</v>
      </c>
      <c r="B3465" s="41">
        <v>1284</v>
      </c>
      <c r="C3465" s="41">
        <v>4509</v>
      </c>
      <c r="D3465" s="41" t="s">
        <v>45</v>
      </c>
      <c r="E3465" s="41" t="s">
        <v>1298</v>
      </c>
      <c r="F3465" s="41" t="s">
        <v>10093</v>
      </c>
      <c r="G3465" s="41" t="s">
        <v>10661</v>
      </c>
      <c r="H3465" s="41" t="s">
        <v>10662</v>
      </c>
      <c r="I3465" s="43">
        <v>12</v>
      </c>
      <c r="J3465" s="44" t="str">
        <f>VLOOKUP(G3465,[1]硬件清单!$F:$F,1,0)</f>
        <v>217399769-08A</v>
      </c>
      <c r="K3465" s="43"/>
      <c r="L3465" s="44"/>
      <c r="M3465" s="45" t="s">
        <v>10663</v>
      </c>
    </row>
    <row r="3466" s="26" customFormat="1" ht="30" customHeight="1" spans="1:13">
      <c r="A3466" s="41">
        <f>IF(C3466="","",SUBTOTAL(103,$C$2:C3466))</f>
        <v>3457</v>
      </c>
      <c r="B3466" s="41">
        <v>1285</v>
      </c>
      <c r="C3466" s="41">
        <v>4508</v>
      </c>
      <c r="D3466" s="41" t="s">
        <v>45</v>
      </c>
      <c r="E3466" s="41" t="s">
        <v>1298</v>
      </c>
      <c r="F3466" s="41" t="s">
        <v>10093</v>
      </c>
      <c r="G3466" s="41" t="s">
        <v>10664</v>
      </c>
      <c r="H3466" s="41" t="s">
        <v>10665</v>
      </c>
      <c r="I3466" s="43">
        <v>12</v>
      </c>
      <c r="J3466" s="44" t="str">
        <f>VLOOKUP(G3466,[1]硬件清单!$F:$F,1,0)</f>
        <v>217399769-09A</v>
      </c>
      <c r="K3466" s="43"/>
      <c r="L3466" s="44"/>
      <c r="M3466" s="45" t="s">
        <v>10666</v>
      </c>
    </row>
    <row r="3467" s="26" customFormat="1" ht="30" customHeight="1" spans="1:13">
      <c r="A3467" s="41">
        <f>IF(C3467="","",SUBTOTAL(103,$C$2:C3467))</f>
        <v>3458</v>
      </c>
      <c r="B3467" s="41">
        <v>1286</v>
      </c>
      <c r="C3467" s="41">
        <v>4645</v>
      </c>
      <c r="D3467" s="41" t="s">
        <v>45</v>
      </c>
      <c r="E3467" s="41" t="s">
        <v>1298</v>
      </c>
      <c r="F3467" s="41" t="s">
        <v>4535</v>
      </c>
      <c r="G3467" s="41" t="s">
        <v>10667</v>
      </c>
      <c r="H3467" s="41" t="s">
        <v>10668</v>
      </c>
      <c r="I3467" s="43">
        <v>12</v>
      </c>
      <c r="J3467" s="44" t="str">
        <f>VLOOKUP(G3467,[1]硬件清单!$F:$F,1,0)</f>
        <v>J33GRX9</v>
      </c>
      <c r="K3467" s="43"/>
      <c r="L3467" s="44"/>
      <c r="M3467" s="45" t="s">
        <v>10669</v>
      </c>
    </row>
    <row r="3468" s="26" customFormat="1" ht="30" customHeight="1" spans="1:13">
      <c r="A3468" s="41">
        <f>IF(C3468="","",SUBTOTAL(103,$C$2:C3468))</f>
        <v>3459</v>
      </c>
      <c r="B3468" s="41">
        <v>1287</v>
      </c>
      <c r="C3468" s="41">
        <v>4644</v>
      </c>
      <c r="D3468" s="41" t="s">
        <v>45</v>
      </c>
      <c r="E3468" s="41" t="s">
        <v>1298</v>
      </c>
      <c r="F3468" s="41" t="s">
        <v>4535</v>
      </c>
      <c r="G3468" s="41" t="s">
        <v>10670</v>
      </c>
      <c r="H3468" s="41" t="s">
        <v>10671</v>
      </c>
      <c r="I3468" s="43">
        <v>12</v>
      </c>
      <c r="J3468" s="44" t="str">
        <f>VLOOKUP(G3468,[1]硬件清单!$F:$F,1,0)</f>
        <v>J33GRXD</v>
      </c>
      <c r="K3468" s="43"/>
      <c r="L3468" s="44"/>
      <c r="M3468" s="45" t="s">
        <v>10672</v>
      </c>
    </row>
    <row r="3469" s="26" customFormat="1" ht="30" customHeight="1" spans="1:13">
      <c r="A3469" s="41">
        <f>IF(C3469="","",SUBTOTAL(103,$C$2:C3469))</f>
        <v>3460</v>
      </c>
      <c r="B3469" s="41">
        <v>1288</v>
      </c>
      <c r="C3469" s="41">
        <v>4643</v>
      </c>
      <c r="D3469" s="41" t="s">
        <v>45</v>
      </c>
      <c r="E3469" s="41" t="s">
        <v>1298</v>
      </c>
      <c r="F3469" s="41" t="s">
        <v>4535</v>
      </c>
      <c r="G3469" s="41" t="s">
        <v>10673</v>
      </c>
      <c r="H3469" s="41" t="s">
        <v>10674</v>
      </c>
      <c r="I3469" s="43">
        <v>12</v>
      </c>
      <c r="J3469" s="44" t="str">
        <f>VLOOKUP(G3469,[1]硬件清单!$F:$F,1,0)</f>
        <v>J33GRXG</v>
      </c>
      <c r="K3469" s="43"/>
      <c r="L3469" s="44"/>
      <c r="M3469" s="45" t="s">
        <v>10675</v>
      </c>
    </row>
    <row r="3470" s="26" customFormat="1" ht="30" customHeight="1" spans="1:13">
      <c r="A3470" s="41">
        <f>IF(C3470="","",SUBTOTAL(103,$C$2:C3470))</f>
        <v>3461</v>
      </c>
      <c r="B3470" s="41">
        <v>1289</v>
      </c>
      <c r="C3470" s="41">
        <v>4642</v>
      </c>
      <c r="D3470" s="41" t="s">
        <v>45</v>
      </c>
      <c r="E3470" s="41" t="s">
        <v>1298</v>
      </c>
      <c r="F3470" s="41" t="s">
        <v>4535</v>
      </c>
      <c r="G3470" s="41" t="s">
        <v>10676</v>
      </c>
      <c r="H3470" s="41" t="s">
        <v>10677</v>
      </c>
      <c r="I3470" s="43">
        <v>12</v>
      </c>
      <c r="J3470" s="44" t="str">
        <f>VLOOKUP(G3470,[1]硬件清单!$F:$F,1,0)</f>
        <v>J33GRY5</v>
      </c>
      <c r="K3470" s="43"/>
      <c r="L3470" s="44"/>
      <c r="M3470" s="45" t="s">
        <v>10678</v>
      </c>
    </row>
    <row r="3471" s="26" customFormat="1" ht="30" customHeight="1" spans="1:13">
      <c r="A3471" s="41">
        <f>IF(C3471="","",SUBTOTAL(103,$C$2:C3471))</f>
        <v>3462</v>
      </c>
      <c r="B3471" s="41">
        <v>1290</v>
      </c>
      <c r="C3471" s="41">
        <v>4641</v>
      </c>
      <c r="D3471" s="41" t="s">
        <v>45</v>
      </c>
      <c r="E3471" s="41" t="s">
        <v>1298</v>
      </c>
      <c r="F3471" s="41" t="s">
        <v>4535</v>
      </c>
      <c r="G3471" s="41" t="s">
        <v>10679</v>
      </c>
      <c r="H3471" s="41" t="s">
        <v>10680</v>
      </c>
      <c r="I3471" s="43">
        <v>12</v>
      </c>
      <c r="J3471" s="44" t="str">
        <f>VLOOKUP(G3471,[1]硬件清单!$F:$F,1,0)</f>
        <v>J33GRXP</v>
      </c>
      <c r="K3471" s="43"/>
      <c r="L3471" s="44"/>
      <c r="M3471" s="45" t="s">
        <v>10681</v>
      </c>
    </row>
    <row r="3472" s="26" customFormat="1" ht="30" customHeight="1" spans="1:13">
      <c r="A3472" s="41">
        <f>IF(C3472="","",SUBTOTAL(103,$C$2:C3472))</f>
        <v>3463</v>
      </c>
      <c r="B3472" s="41">
        <v>1291</v>
      </c>
      <c r="C3472" s="41">
        <v>4640</v>
      </c>
      <c r="D3472" s="41" t="s">
        <v>45</v>
      </c>
      <c r="E3472" s="41" t="s">
        <v>1298</v>
      </c>
      <c r="F3472" s="41" t="s">
        <v>4535</v>
      </c>
      <c r="G3472" s="41" t="s">
        <v>10682</v>
      </c>
      <c r="H3472" s="41" t="s">
        <v>10683</v>
      </c>
      <c r="I3472" s="43">
        <v>12</v>
      </c>
      <c r="J3472" s="44" t="str">
        <f>VLOOKUP(G3472,[1]硬件清单!$F:$F,1,0)</f>
        <v>J33GRXB</v>
      </c>
      <c r="K3472" s="43"/>
      <c r="L3472" s="44"/>
      <c r="M3472" s="45" t="s">
        <v>10684</v>
      </c>
    </row>
    <row r="3473" s="26" customFormat="1" ht="30" customHeight="1" spans="1:13">
      <c r="A3473" s="41">
        <f>IF(C3473="","",SUBTOTAL(103,$C$2:C3473))</f>
        <v>3464</v>
      </c>
      <c r="B3473" s="41">
        <v>1292</v>
      </c>
      <c r="C3473" s="41">
        <v>4649</v>
      </c>
      <c r="D3473" s="41" t="s">
        <v>45</v>
      </c>
      <c r="E3473" s="41" t="s">
        <v>1298</v>
      </c>
      <c r="F3473" s="41" t="s">
        <v>4535</v>
      </c>
      <c r="G3473" s="41" t="s">
        <v>10685</v>
      </c>
      <c r="H3473" s="41" t="s">
        <v>10686</v>
      </c>
      <c r="I3473" s="43">
        <v>12</v>
      </c>
      <c r="J3473" s="44" t="str">
        <f>VLOOKUP(G3473,[1]硬件清单!$F:$F,1,0)</f>
        <v>J33GRXY</v>
      </c>
      <c r="K3473" s="43"/>
      <c r="L3473" s="44"/>
      <c r="M3473" s="45" t="s">
        <v>10687</v>
      </c>
    </row>
    <row r="3474" s="26" customFormat="1" ht="30" customHeight="1" spans="1:13">
      <c r="A3474" s="41">
        <f>IF(C3474="","",SUBTOTAL(103,$C$2:C3474))</f>
        <v>3465</v>
      </c>
      <c r="B3474" s="41">
        <v>1293</v>
      </c>
      <c r="C3474" s="41">
        <v>4639</v>
      </c>
      <c r="D3474" s="41" t="s">
        <v>45</v>
      </c>
      <c r="E3474" s="41" t="s">
        <v>1298</v>
      </c>
      <c r="F3474" s="41" t="s">
        <v>4535</v>
      </c>
      <c r="G3474" s="41" t="s">
        <v>10688</v>
      </c>
      <c r="H3474" s="41" t="s">
        <v>10689</v>
      </c>
      <c r="I3474" s="43">
        <v>12</v>
      </c>
      <c r="J3474" s="44" t="str">
        <f>VLOOKUP(G3474,[1]硬件清单!$F:$F,1,0)</f>
        <v>J33GRY4</v>
      </c>
      <c r="K3474" s="43"/>
      <c r="L3474" s="44"/>
      <c r="M3474" s="45" t="s">
        <v>10690</v>
      </c>
    </row>
    <row r="3475" s="26" customFormat="1" ht="30" customHeight="1" spans="1:13">
      <c r="A3475" s="41">
        <f>IF(C3475="","",SUBTOTAL(103,$C$2:C3475))</f>
        <v>3466</v>
      </c>
      <c r="B3475" s="41">
        <v>1294</v>
      </c>
      <c r="C3475" s="41">
        <v>4638</v>
      </c>
      <c r="D3475" s="41" t="s">
        <v>45</v>
      </c>
      <c r="E3475" s="41" t="s">
        <v>1298</v>
      </c>
      <c r="F3475" s="41" t="s">
        <v>4535</v>
      </c>
      <c r="G3475" s="41" t="s">
        <v>10691</v>
      </c>
      <c r="H3475" s="41" t="s">
        <v>10692</v>
      </c>
      <c r="I3475" s="43">
        <v>12</v>
      </c>
      <c r="J3475" s="44" t="str">
        <f>VLOOKUP(G3475,[1]硬件清单!$F:$F,1,0)</f>
        <v>J33GRX8</v>
      </c>
      <c r="K3475" s="43"/>
      <c r="L3475" s="44"/>
      <c r="M3475" s="45" t="s">
        <v>10693</v>
      </c>
    </row>
    <row r="3476" s="26" customFormat="1" ht="30" customHeight="1" spans="1:13">
      <c r="A3476" s="41">
        <f>IF(C3476="","",SUBTOTAL(103,$C$2:C3476))</f>
        <v>3467</v>
      </c>
      <c r="B3476" s="41">
        <v>1295</v>
      </c>
      <c r="C3476" s="41">
        <v>4637</v>
      </c>
      <c r="D3476" s="41" t="s">
        <v>45</v>
      </c>
      <c r="E3476" s="41" t="s">
        <v>1298</v>
      </c>
      <c r="F3476" s="41" t="s">
        <v>4535</v>
      </c>
      <c r="G3476" s="41" t="s">
        <v>10694</v>
      </c>
      <c r="H3476" s="41" t="s">
        <v>10695</v>
      </c>
      <c r="I3476" s="43">
        <v>12</v>
      </c>
      <c r="J3476" s="44" t="str">
        <f>VLOOKUP(G3476,[1]硬件清单!$F:$F,1,0)</f>
        <v>J33GRXX</v>
      </c>
      <c r="K3476" s="43"/>
      <c r="L3476" s="44"/>
      <c r="M3476" s="45" t="s">
        <v>10696</v>
      </c>
    </row>
    <row r="3477" s="26" customFormat="1" ht="30" customHeight="1" spans="1:13">
      <c r="A3477" s="41">
        <f>IF(C3477="","",SUBTOTAL(103,$C$2:C3477))</f>
        <v>3468</v>
      </c>
      <c r="B3477" s="41">
        <v>1296</v>
      </c>
      <c r="C3477" s="41">
        <v>4636</v>
      </c>
      <c r="D3477" s="41" t="s">
        <v>45</v>
      </c>
      <c r="E3477" s="41" t="s">
        <v>1298</v>
      </c>
      <c r="F3477" s="41" t="s">
        <v>4535</v>
      </c>
      <c r="G3477" s="41" t="s">
        <v>10697</v>
      </c>
      <c r="H3477" s="41" t="s">
        <v>10698</v>
      </c>
      <c r="I3477" s="43">
        <v>12</v>
      </c>
      <c r="J3477" s="44" t="str">
        <f>VLOOKUP(G3477,[1]硬件清单!$F:$F,1,0)</f>
        <v>J33GRXE</v>
      </c>
      <c r="K3477" s="43"/>
      <c r="L3477" s="44"/>
      <c r="M3477" s="45" t="s">
        <v>10699</v>
      </c>
    </row>
    <row r="3478" s="26" customFormat="1" ht="30" customHeight="1" spans="1:13">
      <c r="A3478" s="41">
        <f>IF(C3478="","",SUBTOTAL(103,$C$2:C3478))</f>
        <v>3469</v>
      </c>
      <c r="B3478" s="41">
        <v>1297</v>
      </c>
      <c r="C3478" s="41">
        <v>4635</v>
      </c>
      <c r="D3478" s="41" t="s">
        <v>45</v>
      </c>
      <c r="E3478" s="41" t="s">
        <v>1298</v>
      </c>
      <c r="F3478" s="41" t="s">
        <v>4535</v>
      </c>
      <c r="G3478" s="41" t="s">
        <v>10700</v>
      </c>
      <c r="H3478" s="41" t="s">
        <v>10701</v>
      </c>
      <c r="I3478" s="43">
        <v>12</v>
      </c>
      <c r="J3478" s="44" t="str">
        <f>VLOOKUP(G3478,[1]硬件清单!$F:$F,1,0)</f>
        <v>J33GRXZ</v>
      </c>
      <c r="K3478" s="43"/>
      <c r="L3478" s="44"/>
      <c r="M3478" s="45" t="s">
        <v>10702</v>
      </c>
    </row>
    <row r="3479" s="26" customFormat="1" ht="30" customHeight="1" spans="1:13">
      <c r="A3479" s="41">
        <f>IF(C3479="","",SUBTOTAL(103,$C$2:C3479))</f>
        <v>3470</v>
      </c>
      <c r="B3479" s="41">
        <v>1298</v>
      </c>
      <c r="C3479" s="41">
        <v>4634</v>
      </c>
      <c r="D3479" s="41" t="s">
        <v>45</v>
      </c>
      <c r="E3479" s="41" t="s">
        <v>1298</v>
      </c>
      <c r="F3479" s="41" t="s">
        <v>4535</v>
      </c>
      <c r="G3479" s="41" t="s">
        <v>10703</v>
      </c>
      <c r="H3479" s="41" t="s">
        <v>10704</v>
      </c>
      <c r="I3479" s="43">
        <v>12</v>
      </c>
      <c r="J3479" s="44" t="str">
        <f>VLOOKUP(G3479,[1]硬件清单!$F:$F,1,0)</f>
        <v>J33GRXA</v>
      </c>
      <c r="K3479" s="43"/>
      <c r="L3479" s="44"/>
      <c r="M3479" s="45" t="s">
        <v>10705</v>
      </c>
    </row>
    <row r="3480" s="26" customFormat="1" ht="30" customHeight="1" spans="1:13">
      <c r="A3480" s="41">
        <f>IF(C3480="","",SUBTOTAL(103,$C$2:C3480))</f>
        <v>3471</v>
      </c>
      <c r="B3480" s="41">
        <v>1299</v>
      </c>
      <c r="C3480" s="41">
        <v>4818</v>
      </c>
      <c r="D3480" s="41" t="s">
        <v>19</v>
      </c>
      <c r="E3480" s="41" t="s">
        <v>20</v>
      </c>
      <c r="F3480" s="41" t="s">
        <v>10050</v>
      </c>
      <c r="G3480" s="41" t="s">
        <v>10706</v>
      </c>
      <c r="H3480" s="41" t="s">
        <v>10707</v>
      </c>
      <c r="I3480" s="43">
        <v>12</v>
      </c>
      <c r="J3480" s="44" t="str">
        <f>VLOOKUP(G3480,[1]硬件清单!$F:$F,1,0)</f>
        <v>210235A1G9H178000044</v>
      </c>
      <c r="K3480" s="43"/>
      <c r="L3480" s="44"/>
      <c r="M3480" s="45" t="s">
        <v>10708</v>
      </c>
    </row>
    <row r="3481" s="26" customFormat="1" ht="30" customHeight="1" spans="1:13">
      <c r="A3481" s="41">
        <f>IF(C3481="","",SUBTOTAL(103,$C$2:C3481))</f>
        <v>3472</v>
      </c>
      <c r="B3481" s="41">
        <v>1300</v>
      </c>
      <c r="C3481" s="41">
        <v>4806</v>
      </c>
      <c r="D3481" s="41" t="s">
        <v>19</v>
      </c>
      <c r="E3481" s="41" t="s">
        <v>20</v>
      </c>
      <c r="F3481" s="41" t="s">
        <v>10077</v>
      </c>
      <c r="G3481" s="41" t="s">
        <v>10709</v>
      </c>
      <c r="H3481" s="41" t="s">
        <v>10710</v>
      </c>
      <c r="I3481" s="43">
        <v>12</v>
      </c>
      <c r="J3481" s="44" t="str">
        <f>VLOOKUP(G3481,[1]硬件清单!$F:$F,1,0)</f>
        <v>210235A1TXH179000287</v>
      </c>
      <c r="K3481" s="43"/>
      <c r="L3481" s="44"/>
      <c r="M3481" s="45" t="s">
        <v>10711</v>
      </c>
    </row>
    <row r="3482" s="26" customFormat="1" ht="30" customHeight="1" spans="1:13">
      <c r="A3482" s="41">
        <f>IF(C3482="","",SUBTOTAL(103,$C$2:C3482))</f>
        <v>3473</v>
      </c>
      <c r="B3482" s="41">
        <v>1301</v>
      </c>
      <c r="C3482" s="41">
        <v>4805</v>
      </c>
      <c r="D3482" s="41" t="s">
        <v>19</v>
      </c>
      <c r="E3482" s="41" t="s">
        <v>20</v>
      </c>
      <c r="F3482" s="41" t="s">
        <v>10077</v>
      </c>
      <c r="G3482" s="41" t="s">
        <v>10712</v>
      </c>
      <c r="H3482" s="41" t="s">
        <v>10713</v>
      </c>
      <c r="I3482" s="43">
        <v>12</v>
      </c>
      <c r="J3482" s="44" t="str">
        <f>VLOOKUP(G3482,[1]硬件清单!$F:$F,1,0)</f>
        <v>210235A1TXH179000280</v>
      </c>
      <c r="K3482" s="43"/>
      <c r="L3482" s="44"/>
      <c r="M3482" s="45" t="s">
        <v>10714</v>
      </c>
    </row>
    <row r="3483" s="26" customFormat="1" ht="30" customHeight="1" spans="1:13">
      <c r="A3483" s="41">
        <f>IF(C3483="","",SUBTOTAL(103,$C$2:C3483))</f>
        <v>3474</v>
      </c>
      <c r="B3483" s="41">
        <v>1302</v>
      </c>
      <c r="C3483" s="41">
        <v>4648</v>
      </c>
      <c r="D3483" s="41" t="s">
        <v>45</v>
      </c>
      <c r="E3483" s="41" t="s">
        <v>1298</v>
      </c>
      <c r="F3483" s="41" t="s">
        <v>4535</v>
      </c>
      <c r="G3483" s="41" t="s">
        <v>10715</v>
      </c>
      <c r="H3483" s="41" t="s">
        <v>10716</v>
      </c>
      <c r="I3483" s="43">
        <v>12</v>
      </c>
      <c r="J3483" s="44" t="str">
        <f>VLOOKUP(G3483,[1]硬件清单!$F:$F,1,0)</f>
        <v>J33GRXT</v>
      </c>
      <c r="K3483" s="43"/>
      <c r="L3483" s="44"/>
      <c r="M3483" s="45" t="s">
        <v>10717</v>
      </c>
    </row>
    <row r="3484" s="26" customFormat="1" ht="30" customHeight="1" spans="1:13">
      <c r="A3484" s="41">
        <f>IF(C3484="","",SUBTOTAL(103,$C$2:C3484))</f>
        <v>3475</v>
      </c>
      <c r="B3484" s="41">
        <v>1303</v>
      </c>
      <c r="C3484" s="41">
        <v>4647</v>
      </c>
      <c r="D3484" s="41" t="s">
        <v>45</v>
      </c>
      <c r="E3484" s="41" t="s">
        <v>1298</v>
      </c>
      <c r="F3484" s="41" t="s">
        <v>4535</v>
      </c>
      <c r="G3484" s="41" t="s">
        <v>10718</v>
      </c>
      <c r="H3484" s="41" t="s">
        <v>10719</v>
      </c>
      <c r="I3484" s="43">
        <v>12</v>
      </c>
      <c r="J3484" s="44" t="str">
        <f>VLOOKUP(G3484,[1]硬件清单!$F:$F,1,0)</f>
        <v>J33GRXC</v>
      </c>
      <c r="K3484" s="43"/>
      <c r="L3484" s="44"/>
      <c r="M3484" s="45" t="s">
        <v>10720</v>
      </c>
    </row>
    <row r="3485" s="26" customFormat="1" ht="30" customHeight="1" spans="1:13">
      <c r="A3485" s="41">
        <f>IF(C3485="","",SUBTOTAL(103,$C$2:C3485))</f>
        <v>3476</v>
      </c>
      <c r="B3485" s="41">
        <v>1304</v>
      </c>
      <c r="C3485" s="41">
        <v>4646</v>
      </c>
      <c r="D3485" s="41" t="s">
        <v>45</v>
      </c>
      <c r="E3485" s="41" t="s">
        <v>1298</v>
      </c>
      <c r="F3485" s="41" t="s">
        <v>4535</v>
      </c>
      <c r="G3485" s="41" t="s">
        <v>10721</v>
      </c>
      <c r="H3485" s="41" t="s">
        <v>10722</v>
      </c>
      <c r="I3485" s="43">
        <v>12</v>
      </c>
      <c r="J3485" s="44" t="str">
        <f>VLOOKUP(G3485,[1]硬件清单!$F:$F,1,0)</f>
        <v>J33GRXM</v>
      </c>
      <c r="K3485" s="43"/>
      <c r="L3485" s="44"/>
      <c r="M3485" s="45" t="s">
        <v>10723</v>
      </c>
    </row>
    <row r="3486" s="26" customFormat="1" ht="30" customHeight="1" spans="1:13">
      <c r="A3486" s="41">
        <f>IF(C3486="","",SUBTOTAL(103,$C$2:C3486))</f>
        <v>3477</v>
      </c>
      <c r="B3486" s="41">
        <v>1305</v>
      </c>
      <c r="C3486" s="41">
        <v>4661</v>
      </c>
      <c r="D3486" s="41" t="s">
        <v>45</v>
      </c>
      <c r="E3486" s="41" t="s">
        <v>1298</v>
      </c>
      <c r="F3486" s="41" t="s">
        <v>4535</v>
      </c>
      <c r="G3486" s="41" t="s">
        <v>10724</v>
      </c>
      <c r="H3486" s="41" t="s">
        <v>10725</v>
      </c>
      <c r="I3486" s="43">
        <v>12</v>
      </c>
      <c r="J3486" s="44" t="str">
        <f>VLOOKUP(G3486,[1]硬件清单!$F:$F,1,0)</f>
        <v>J33GRXH</v>
      </c>
      <c r="K3486" s="43"/>
      <c r="L3486" s="44"/>
      <c r="M3486" s="45" t="s">
        <v>10726</v>
      </c>
    </row>
    <row r="3487" s="26" customFormat="1" ht="30" customHeight="1" spans="1:13">
      <c r="A3487" s="41">
        <f>IF(C3487="","",SUBTOTAL(103,$C$2:C3487))</f>
        <v>3478</v>
      </c>
      <c r="B3487" s="41">
        <v>1306</v>
      </c>
      <c r="C3487" s="41">
        <v>4660</v>
      </c>
      <c r="D3487" s="41" t="s">
        <v>45</v>
      </c>
      <c r="E3487" s="41" t="s">
        <v>1298</v>
      </c>
      <c r="F3487" s="41" t="s">
        <v>4535</v>
      </c>
      <c r="G3487" s="41" t="s">
        <v>10727</v>
      </c>
      <c r="H3487" s="41" t="s">
        <v>10728</v>
      </c>
      <c r="I3487" s="43">
        <v>12</v>
      </c>
      <c r="J3487" s="44" t="str">
        <f>VLOOKUP(G3487,[1]硬件清单!$F:$F,1,0)</f>
        <v>J33GRXL</v>
      </c>
      <c r="K3487" s="43"/>
      <c r="L3487" s="44"/>
      <c r="M3487" s="45" t="s">
        <v>10729</v>
      </c>
    </row>
    <row r="3488" s="26" customFormat="1" ht="30" customHeight="1" spans="1:13">
      <c r="A3488" s="41">
        <f>IF(C3488="","",SUBTOTAL(103,$C$2:C3488))</f>
        <v>3479</v>
      </c>
      <c r="B3488" s="41">
        <v>1307</v>
      </c>
      <c r="C3488" s="41">
        <v>4659</v>
      </c>
      <c r="D3488" s="41" t="s">
        <v>45</v>
      </c>
      <c r="E3488" s="41" t="s">
        <v>1298</v>
      </c>
      <c r="F3488" s="41" t="s">
        <v>4535</v>
      </c>
      <c r="G3488" s="41" t="s">
        <v>10730</v>
      </c>
      <c r="H3488" s="41" t="s">
        <v>10731</v>
      </c>
      <c r="I3488" s="43">
        <v>12</v>
      </c>
      <c r="J3488" s="44" t="str">
        <f>VLOOKUP(G3488,[1]硬件清单!$F:$F,1,0)</f>
        <v>J33GRY6</v>
      </c>
      <c r="K3488" s="43"/>
      <c r="L3488" s="44"/>
      <c r="M3488" s="45" t="s">
        <v>10732</v>
      </c>
    </row>
    <row r="3489" s="26" customFormat="1" ht="30" customHeight="1" spans="1:13">
      <c r="A3489" s="41">
        <f>IF(C3489="","",SUBTOTAL(103,$C$2:C3489))</f>
        <v>3480</v>
      </c>
      <c r="B3489" s="41">
        <v>1308</v>
      </c>
      <c r="C3489" s="41">
        <v>4658</v>
      </c>
      <c r="D3489" s="41" t="s">
        <v>45</v>
      </c>
      <c r="E3489" s="41" t="s">
        <v>1298</v>
      </c>
      <c r="F3489" s="41" t="s">
        <v>4535</v>
      </c>
      <c r="G3489" s="41" t="s">
        <v>10733</v>
      </c>
      <c r="H3489" s="41" t="s">
        <v>10734</v>
      </c>
      <c r="I3489" s="43">
        <v>12</v>
      </c>
      <c r="J3489" s="44" t="str">
        <f>VLOOKUP(G3489,[1]硬件清单!$F:$F,1,0)</f>
        <v>J33GRXN</v>
      </c>
      <c r="K3489" s="43"/>
      <c r="L3489" s="44"/>
      <c r="M3489" s="45" t="s">
        <v>10735</v>
      </c>
    </row>
    <row r="3490" s="26" customFormat="1" ht="30" customHeight="1" spans="1:13">
      <c r="A3490" s="41">
        <f>IF(C3490="","",SUBTOTAL(103,$C$2:C3490))</f>
        <v>3481</v>
      </c>
      <c r="B3490" s="41">
        <v>1309</v>
      </c>
      <c r="C3490" s="41">
        <v>4657</v>
      </c>
      <c r="D3490" s="41" t="s">
        <v>45</v>
      </c>
      <c r="E3490" s="41" t="s">
        <v>1298</v>
      </c>
      <c r="F3490" s="41" t="s">
        <v>4535</v>
      </c>
      <c r="G3490" s="41" t="s">
        <v>10736</v>
      </c>
      <c r="H3490" s="41" t="s">
        <v>10737</v>
      </c>
      <c r="I3490" s="43">
        <v>12</v>
      </c>
      <c r="J3490" s="44" t="str">
        <f>VLOOKUP(G3490,[1]硬件清单!$F:$F,1,0)</f>
        <v>J33GRX6</v>
      </c>
      <c r="K3490" s="43"/>
      <c r="L3490" s="44"/>
      <c r="M3490" s="45" t="s">
        <v>10738</v>
      </c>
    </row>
    <row r="3491" s="26" customFormat="1" ht="30" customHeight="1" spans="1:13">
      <c r="A3491" s="41">
        <f>IF(C3491="","",SUBTOTAL(103,$C$2:C3491))</f>
        <v>3482</v>
      </c>
      <c r="B3491" s="41">
        <v>1310</v>
      </c>
      <c r="C3491" s="41">
        <v>4656</v>
      </c>
      <c r="D3491" s="41" t="s">
        <v>45</v>
      </c>
      <c r="E3491" s="41" t="s">
        <v>1298</v>
      </c>
      <c r="F3491" s="41" t="s">
        <v>4535</v>
      </c>
      <c r="G3491" s="41" t="s">
        <v>10739</v>
      </c>
      <c r="H3491" s="41" t="s">
        <v>10740</v>
      </c>
      <c r="I3491" s="43">
        <v>12</v>
      </c>
      <c r="J3491" s="44" t="str">
        <f>VLOOKUP(G3491,[1]硬件清单!$F:$F,1,0)</f>
        <v>J33GRXW</v>
      </c>
      <c r="K3491" s="43"/>
      <c r="L3491" s="44"/>
      <c r="M3491" s="45" t="s">
        <v>10741</v>
      </c>
    </row>
    <row r="3492" s="26" customFormat="1" ht="30" customHeight="1" spans="1:13">
      <c r="A3492" s="41">
        <f>IF(C3492="","",SUBTOTAL(103,$C$2:C3492))</f>
        <v>3483</v>
      </c>
      <c r="B3492" s="41">
        <v>1311</v>
      </c>
      <c r="C3492" s="41">
        <v>4665</v>
      </c>
      <c r="D3492" s="41" t="s">
        <v>45</v>
      </c>
      <c r="E3492" s="41" t="s">
        <v>1298</v>
      </c>
      <c r="F3492" s="41" t="s">
        <v>4535</v>
      </c>
      <c r="G3492" s="41" t="s">
        <v>10742</v>
      </c>
      <c r="H3492" s="41" t="s">
        <v>10743</v>
      </c>
      <c r="I3492" s="43">
        <v>12</v>
      </c>
      <c r="J3492" s="44" t="str">
        <f>VLOOKUP(G3492,[1]硬件清单!$F:$F,1,0)</f>
        <v>J33GRXV</v>
      </c>
      <c r="K3492" s="43"/>
      <c r="L3492" s="44"/>
      <c r="M3492" s="45" t="s">
        <v>10744</v>
      </c>
    </row>
    <row r="3493" s="26" customFormat="1" ht="30" customHeight="1" spans="1:13">
      <c r="A3493" s="41">
        <f>IF(C3493="","",SUBTOTAL(103,$C$2:C3493))</f>
        <v>3484</v>
      </c>
      <c r="B3493" s="41">
        <v>1312</v>
      </c>
      <c r="C3493" s="41">
        <v>4655</v>
      </c>
      <c r="D3493" s="41" t="s">
        <v>45</v>
      </c>
      <c r="E3493" s="41" t="s">
        <v>1298</v>
      </c>
      <c r="F3493" s="41" t="s">
        <v>4535</v>
      </c>
      <c r="G3493" s="41" t="s">
        <v>10745</v>
      </c>
      <c r="H3493" s="41" t="s">
        <v>10746</v>
      </c>
      <c r="I3493" s="43">
        <v>12</v>
      </c>
      <c r="J3493" s="44" t="str">
        <f>VLOOKUP(G3493,[1]硬件清单!$F:$F,1,0)</f>
        <v>J33GRXR</v>
      </c>
      <c r="K3493" s="43"/>
      <c r="L3493" s="44"/>
      <c r="M3493" s="45" t="s">
        <v>10747</v>
      </c>
    </row>
    <row r="3494" s="26" customFormat="1" ht="30" customHeight="1" spans="1:13">
      <c r="A3494" s="41">
        <f>IF(C3494="","",SUBTOTAL(103,$C$2:C3494))</f>
        <v>3485</v>
      </c>
      <c r="B3494" s="41">
        <v>1313</v>
      </c>
      <c r="C3494" s="41">
        <v>4654</v>
      </c>
      <c r="D3494" s="41" t="s">
        <v>45</v>
      </c>
      <c r="E3494" s="41" t="s">
        <v>1298</v>
      </c>
      <c r="F3494" s="41" t="s">
        <v>4535</v>
      </c>
      <c r="G3494" s="41" t="s">
        <v>10748</v>
      </c>
      <c r="H3494" s="41" t="s">
        <v>10749</v>
      </c>
      <c r="I3494" s="43">
        <v>12</v>
      </c>
      <c r="J3494" s="44" t="str">
        <f>VLOOKUP(G3494,[1]硬件清单!$F:$F,1,0)</f>
        <v>J33GRX5</v>
      </c>
      <c r="K3494" s="43"/>
      <c r="L3494" s="44"/>
      <c r="M3494" s="45" t="s">
        <v>10750</v>
      </c>
    </row>
    <row r="3495" s="26" customFormat="1" ht="30" customHeight="1" spans="1:13">
      <c r="A3495" s="41">
        <f>IF(C3495="","",SUBTOTAL(103,$C$2:C3495))</f>
        <v>3486</v>
      </c>
      <c r="B3495" s="41">
        <v>1314</v>
      </c>
      <c r="C3495" s="41">
        <v>4653</v>
      </c>
      <c r="D3495" s="41" t="s">
        <v>45</v>
      </c>
      <c r="E3495" s="41" t="s">
        <v>1298</v>
      </c>
      <c r="F3495" s="41" t="s">
        <v>4535</v>
      </c>
      <c r="G3495" s="41" t="s">
        <v>10751</v>
      </c>
      <c r="H3495" s="41" t="s">
        <v>10752</v>
      </c>
      <c r="I3495" s="43">
        <v>12</v>
      </c>
      <c r="J3495" s="44" t="str">
        <f>VLOOKUP(G3495,[1]硬件清单!$F:$F,1,0)</f>
        <v>J33GRXK</v>
      </c>
      <c r="K3495" s="43"/>
      <c r="L3495" s="44"/>
      <c r="M3495" s="45" t="s">
        <v>10753</v>
      </c>
    </row>
    <row r="3496" s="26" customFormat="1" ht="30" customHeight="1" spans="1:13">
      <c r="A3496" s="41">
        <f>IF(C3496="","",SUBTOTAL(103,$C$2:C3496))</f>
        <v>3487</v>
      </c>
      <c r="B3496" s="41">
        <v>1315</v>
      </c>
      <c r="C3496" s="41">
        <v>4652</v>
      </c>
      <c r="D3496" s="41" t="s">
        <v>45</v>
      </c>
      <c r="E3496" s="41" t="s">
        <v>1298</v>
      </c>
      <c r="F3496" s="41" t="s">
        <v>4535</v>
      </c>
      <c r="G3496" s="41" t="s">
        <v>10754</v>
      </c>
      <c r="H3496" s="41" t="s">
        <v>10755</v>
      </c>
      <c r="I3496" s="43">
        <v>12</v>
      </c>
      <c r="J3496" s="44" t="str">
        <f>VLOOKUP(G3496,[1]硬件清单!$F:$F,1,0)</f>
        <v>J33GRY3</v>
      </c>
      <c r="K3496" s="43"/>
      <c r="L3496" s="44"/>
      <c r="M3496" s="45" t="s">
        <v>10756</v>
      </c>
    </row>
    <row r="3497" s="26" customFormat="1" ht="30" customHeight="1" spans="1:13">
      <c r="A3497" s="41">
        <f>IF(C3497="","",SUBTOTAL(103,$C$2:C3497))</f>
        <v>3488</v>
      </c>
      <c r="B3497" s="41">
        <v>1316</v>
      </c>
      <c r="C3497" s="41">
        <v>4651</v>
      </c>
      <c r="D3497" s="41" t="s">
        <v>45</v>
      </c>
      <c r="E3497" s="41" t="s">
        <v>1298</v>
      </c>
      <c r="F3497" s="41" t="s">
        <v>4535</v>
      </c>
      <c r="G3497" s="41" t="s">
        <v>10757</v>
      </c>
      <c r="H3497" s="41" t="s">
        <v>10758</v>
      </c>
      <c r="I3497" s="43">
        <v>12</v>
      </c>
      <c r="J3497" s="44" t="str">
        <f>VLOOKUP(G3497,[1]硬件清单!$F:$F,1,0)</f>
        <v>J33GRXF</v>
      </c>
      <c r="K3497" s="43"/>
      <c r="L3497" s="44"/>
      <c r="M3497" s="45" t="s">
        <v>10759</v>
      </c>
    </row>
    <row r="3498" s="26" customFormat="1" ht="30" customHeight="1" spans="1:13">
      <c r="A3498" s="41">
        <f>IF(C3498="","",SUBTOTAL(103,$C$2:C3498))</f>
        <v>3489</v>
      </c>
      <c r="B3498" s="41">
        <v>1317</v>
      </c>
      <c r="C3498" s="41">
        <v>4650</v>
      </c>
      <c r="D3498" s="41" t="s">
        <v>45</v>
      </c>
      <c r="E3498" s="41" t="s">
        <v>1298</v>
      </c>
      <c r="F3498" s="41" t="s">
        <v>4535</v>
      </c>
      <c r="G3498" s="41" t="s">
        <v>10760</v>
      </c>
      <c r="H3498" s="41" t="s">
        <v>10761</v>
      </c>
      <c r="I3498" s="43">
        <v>12</v>
      </c>
      <c r="J3498" s="44" t="str">
        <f>VLOOKUP(G3498,[1]硬件清单!$F:$F,1,0)</f>
        <v>J33GRY2</v>
      </c>
      <c r="K3498" s="43"/>
      <c r="L3498" s="44"/>
      <c r="M3498" s="45" t="s">
        <v>10762</v>
      </c>
    </row>
    <row r="3499" s="26" customFormat="1" ht="30" customHeight="1" spans="1:13">
      <c r="A3499" s="41">
        <f>IF(C3499="","",SUBTOTAL(103,$C$2:C3499))</f>
        <v>3490</v>
      </c>
      <c r="B3499" s="41">
        <v>1318</v>
      </c>
      <c r="C3499" s="41">
        <v>4664</v>
      </c>
      <c r="D3499" s="41" t="s">
        <v>45</v>
      </c>
      <c r="E3499" s="41" t="s">
        <v>1298</v>
      </c>
      <c r="F3499" s="41" t="s">
        <v>4535</v>
      </c>
      <c r="G3499" s="41" t="s">
        <v>10763</v>
      </c>
      <c r="H3499" s="41" t="s">
        <v>10764</v>
      </c>
      <c r="I3499" s="43">
        <v>12</v>
      </c>
      <c r="J3499" s="44" t="str">
        <f>VLOOKUP(G3499,[1]硬件清单!$F:$F,1,0)</f>
        <v>J33GRY0</v>
      </c>
      <c r="K3499" s="43"/>
      <c r="L3499" s="44"/>
      <c r="M3499" s="45" t="s">
        <v>10765</v>
      </c>
    </row>
    <row r="3500" s="26" customFormat="1" ht="30" customHeight="1" spans="1:13">
      <c r="A3500" s="41">
        <f>IF(C3500="","",SUBTOTAL(103,$C$2:C3500))</f>
        <v>3491</v>
      </c>
      <c r="B3500" s="41">
        <v>1319</v>
      </c>
      <c r="C3500" s="41">
        <v>4663</v>
      </c>
      <c r="D3500" s="41" t="s">
        <v>45</v>
      </c>
      <c r="E3500" s="41" t="s">
        <v>1298</v>
      </c>
      <c r="F3500" s="41" t="s">
        <v>4535</v>
      </c>
      <c r="G3500" s="41" t="s">
        <v>10766</v>
      </c>
      <c r="H3500" s="41" t="s">
        <v>10767</v>
      </c>
      <c r="I3500" s="43">
        <v>12</v>
      </c>
      <c r="J3500" s="44" t="str">
        <f>VLOOKUP(G3500,[1]硬件清单!$F:$F,1,0)</f>
        <v>J33GRX7</v>
      </c>
      <c r="K3500" s="43"/>
      <c r="L3500" s="44"/>
      <c r="M3500" s="45" t="s">
        <v>10768</v>
      </c>
    </row>
    <row r="3501" s="26" customFormat="1" ht="30" customHeight="1" spans="1:13">
      <c r="A3501" s="41">
        <f>IF(C3501="","",SUBTOTAL(103,$C$2:C3501))</f>
        <v>3492</v>
      </c>
      <c r="B3501" s="41">
        <v>1320</v>
      </c>
      <c r="C3501" s="41">
        <v>4662</v>
      </c>
      <c r="D3501" s="41" t="s">
        <v>45</v>
      </c>
      <c r="E3501" s="41" t="s">
        <v>1298</v>
      </c>
      <c r="F3501" s="41" t="s">
        <v>4535</v>
      </c>
      <c r="G3501" s="41" t="s">
        <v>10769</v>
      </c>
      <c r="H3501" s="41" t="s">
        <v>10770</v>
      </c>
      <c r="I3501" s="43">
        <v>12</v>
      </c>
      <c r="J3501" s="44" t="str">
        <f>VLOOKUP(G3501,[1]硬件清单!$F:$F,1,0)</f>
        <v>J33GRY1</v>
      </c>
      <c r="K3501" s="43"/>
      <c r="L3501" s="44"/>
      <c r="M3501" s="45" t="s">
        <v>10771</v>
      </c>
    </row>
    <row r="3502" s="26" customFormat="1" ht="30" customHeight="1" spans="1:13">
      <c r="A3502" s="41">
        <f>IF(C3502="","",SUBTOTAL(103,$C$2:C3502))</f>
        <v>3493</v>
      </c>
      <c r="B3502" s="41">
        <v>1321</v>
      </c>
      <c r="C3502" s="41">
        <v>11178</v>
      </c>
      <c r="D3502" s="41" t="s">
        <v>19</v>
      </c>
      <c r="E3502" s="41" t="s">
        <v>20</v>
      </c>
      <c r="F3502" s="41" t="s">
        <v>10772</v>
      </c>
      <c r="G3502" s="41" t="s">
        <v>10773</v>
      </c>
      <c r="H3502" s="41" t="s">
        <v>10774</v>
      </c>
      <c r="I3502" s="43">
        <v>12</v>
      </c>
      <c r="J3502" s="44" t="str">
        <f>VLOOKUP(G3502,[1]硬件清单!$F:$F,1,0)</f>
        <v>FDO1833E1PV</v>
      </c>
      <c r="K3502" s="43"/>
      <c r="L3502" s="44"/>
      <c r="M3502" s="45" t="s">
        <v>10775</v>
      </c>
    </row>
    <row r="3503" s="26" customFormat="1" ht="30" customHeight="1" spans="1:13">
      <c r="A3503" s="41">
        <f>IF(C3503="","",SUBTOTAL(103,$C$2:C3503))</f>
        <v>3494</v>
      </c>
      <c r="B3503" s="41">
        <v>1322</v>
      </c>
      <c r="C3503" s="41">
        <v>11124</v>
      </c>
      <c r="D3503" s="41" t="s">
        <v>19</v>
      </c>
      <c r="E3503" s="41" t="s">
        <v>20</v>
      </c>
      <c r="F3503" s="41" t="s">
        <v>10772</v>
      </c>
      <c r="G3503" s="41" t="s">
        <v>10776</v>
      </c>
      <c r="H3503" s="41" t="s">
        <v>10777</v>
      </c>
      <c r="I3503" s="43">
        <v>12</v>
      </c>
      <c r="J3503" s="44" t="str">
        <f>VLOOKUP(G3503,[1]硬件清单!$F:$F,1,0)</f>
        <v>FDO1837E288</v>
      </c>
      <c r="K3503" s="43"/>
      <c r="L3503" s="44"/>
      <c r="M3503" s="45" t="s">
        <v>10778</v>
      </c>
    </row>
    <row r="3504" s="26" customFormat="1" ht="30" customHeight="1" spans="1:13">
      <c r="A3504" s="41">
        <f>IF(C3504="","",SUBTOTAL(103,$C$2:C3504))</f>
        <v>3495</v>
      </c>
      <c r="B3504" s="41">
        <v>1323</v>
      </c>
      <c r="C3504" s="41">
        <v>11177</v>
      </c>
      <c r="D3504" s="41" t="s">
        <v>19</v>
      </c>
      <c r="E3504" s="41" t="s">
        <v>20</v>
      </c>
      <c r="F3504" s="41" t="s">
        <v>10772</v>
      </c>
      <c r="G3504" s="41" t="s">
        <v>10779</v>
      </c>
      <c r="H3504" s="41" t="s">
        <v>10780</v>
      </c>
      <c r="I3504" s="43">
        <v>12</v>
      </c>
      <c r="J3504" s="44" t="str">
        <f>VLOOKUP(G3504,[1]硬件清单!$F:$F,1,0)</f>
        <v>FDO1832E2CB</v>
      </c>
      <c r="K3504" s="43"/>
      <c r="L3504" s="44"/>
      <c r="M3504" s="45" t="s">
        <v>10781</v>
      </c>
    </row>
    <row r="3505" s="26" customFormat="1" ht="30" customHeight="1" spans="1:13">
      <c r="A3505" s="41">
        <f>IF(C3505="","",SUBTOTAL(103,$C$2:C3505))</f>
        <v>3496</v>
      </c>
      <c r="B3505" s="41">
        <v>1324</v>
      </c>
      <c r="C3505" s="41">
        <v>14314</v>
      </c>
      <c r="D3505" s="41" t="s">
        <v>19</v>
      </c>
      <c r="E3505" s="41" t="s">
        <v>20</v>
      </c>
      <c r="F3505" s="41" t="s">
        <v>10782</v>
      </c>
      <c r="G3505" s="41" t="s">
        <v>10783</v>
      </c>
      <c r="H3505" s="41" t="s">
        <v>10784</v>
      </c>
      <c r="I3505" s="43">
        <v>12</v>
      </c>
      <c r="J3505" s="44" t="str">
        <f>VLOOKUP(G3505,[1]硬件清单!$F:$F,1,0)</f>
        <v>FOC2036R2Y2</v>
      </c>
      <c r="K3505" s="43"/>
      <c r="L3505" s="44"/>
      <c r="M3505" s="45" t="s">
        <v>10785</v>
      </c>
    </row>
    <row r="3506" s="26" customFormat="1" ht="30" customHeight="1" spans="1:13">
      <c r="A3506" s="41">
        <f>IF(C3506="","",SUBTOTAL(103,$C$2:C3506))</f>
        <v>3497</v>
      </c>
      <c r="B3506" s="41">
        <v>1325</v>
      </c>
      <c r="C3506" s="41">
        <v>14313</v>
      </c>
      <c r="D3506" s="41" t="s">
        <v>19</v>
      </c>
      <c r="E3506" s="41" t="s">
        <v>20</v>
      </c>
      <c r="F3506" s="41" t="s">
        <v>10782</v>
      </c>
      <c r="G3506" s="41" t="s">
        <v>10786</v>
      </c>
      <c r="H3506" s="41" t="s">
        <v>10787</v>
      </c>
      <c r="I3506" s="43">
        <v>12</v>
      </c>
      <c r="J3506" s="44" t="str">
        <f>VLOOKUP(G3506,[1]硬件清单!$F:$F,1,0)</f>
        <v>FOC2036R2DK</v>
      </c>
      <c r="K3506" s="43"/>
      <c r="L3506" s="44"/>
      <c r="M3506" s="45" t="s">
        <v>10788</v>
      </c>
    </row>
    <row r="3507" s="26" customFormat="1" ht="30" customHeight="1" spans="1:13">
      <c r="A3507" s="41">
        <f>IF(C3507="","",SUBTOTAL(103,$C$2:C3507))</f>
        <v>3498</v>
      </c>
      <c r="B3507" s="41">
        <v>1326</v>
      </c>
      <c r="C3507" s="41">
        <v>11175</v>
      </c>
      <c r="D3507" s="41" t="s">
        <v>19</v>
      </c>
      <c r="E3507" s="41" t="s">
        <v>20</v>
      </c>
      <c r="F3507" s="41" t="s">
        <v>10789</v>
      </c>
      <c r="G3507" s="41" t="s">
        <v>10790</v>
      </c>
      <c r="H3507" s="41" t="s">
        <v>10791</v>
      </c>
      <c r="I3507" s="43">
        <v>12</v>
      </c>
      <c r="J3507" s="44" t="str">
        <f>VLOOKUP(G3507,[1]硬件清单!$F:$F,1,0)</f>
        <v>FOC1838R2SM</v>
      </c>
      <c r="K3507" s="43"/>
      <c r="L3507" s="44"/>
      <c r="M3507" s="45" t="s">
        <v>10792</v>
      </c>
    </row>
    <row r="3508" s="26" customFormat="1" ht="30" customHeight="1" spans="1:13">
      <c r="A3508" s="41">
        <f>IF(C3508="","",SUBTOTAL(103,$C$2:C3508))</f>
        <v>3499</v>
      </c>
      <c r="B3508" s="41">
        <v>1327</v>
      </c>
      <c r="C3508" s="41">
        <v>11176</v>
      </c>
      <c r="D3508" s="41" t="s">
        <v>19</v>
      </c>
      <c r="E3508" s="41" t="s">
        <v>20</v>
      </c>
      <c r="F3508" s="41" t="s">
        <v>10789</v>
      </c>
      <c r="G3508" s="41" t="s">
        <v>10793</v>
      </c>
      <c r="H3508" s="41" t="s">
        <v>10794</v>
      </c>
      <c r="I3508" s="43">
        <v>12</v>
      </c>
      <c r="J3508" s="44" t="str">
        <f>VLOOKUP(G3508,[1]硬件清单!$F:$F,1,0)</f>
        <v>FOC1838R16X</v>
      </c>
      <c r="K3508" s="43"/>
      <c r="L3508" s="44"/>
      <c r="M3508" s="45" t="s">
        <v>10795</v>
      </c>
    </row>
    <row r="3509" s="26" customFormat="1" ht="30" customHeight="1" spans="1:13">
      <c r="A3509" s="41">
        <f>IF(C3509="","",SUBTOTAL(103,$C$2:C3509))</f>
        <v>3500</v>
      </c>
      <c r="B3509" s="41">
        <v>1328</v>
      </c>
      <c r="C3509" s="41">
        <v>14342</v>
      </c>
      <c r="D3509" s="41" t="s">
        <v>45</v>
      </c>
      <c r="E3509" s="41" t="s">
        <v>1298</v>
      </c>
      <c r="F3509" s="41" t="s">
        <v>10796</v>
      </c>
      <c r="G3509" s="41" t="s">
        <v>10797</v>
      </c>
      <c r="H3509" s="41" t="s">
        <v>10798</v>
      </c>
      <c r="I3509" s="43">
        <v>12</v>
      </c>
      <c r="J3509" s="44" t="str">
        <f>VLOOKUP(G3509,[1]硬件清单!$F:$F,1,0)</f>
        <v>J320C2F</v>
      </c>
      <c r="K3509" s="43"/>
      <c r="L3509" s="44"/>
      <c r="M3509" s="45" t="s">
        <v>10799</v>
      </c>
    </row>
    <row r="3510" s="26" customFormat="1" ht="30" customHeight="1" spans="1:13">
      <c r="A3510" s="41">
        <f>IF(C3510="","",SUBTOTAL(103,$C$2:C3510))</f>
        <v>3501</v>
      </c>
      <c r="B3510" s="41">
        <v>1329</v>
      </c>
      <c r="C3510" s="41">
        <v>14341</v>
      </c>
      <c r="D3510" s="41" t="s">
        <v>45</v>
      </c>
      <c r="E3510" s="41" t="s">
        <v>1298</v>
      </c>
      <c r="F3510" s="41" t="s">
        <v>10796</v>
      </c>
      <c r="G3510" s="41" t="s">
        <v>10800</v>
      </c>
      <c r="H3510" s="41" t="s">
        <v>10801</v>
      </c>
      <c r="I3510" s="43">
        <v>12</v>
      </c>
      <c r="J3510" s="44" t="str">
        <f>VLOOKUP(G3510,[1]硬件清单!$F:$F,1,0)</f>
        <v>J320C2B</v>
      </c>
      <c r="K3510" s="43"/>
      <c r="L3510" s="44"/>
      <c r="M3510" s="45" t="s">
        <v>10802</v>
      </c>
    </row>
    <row r="3511" s="26" customFormat="1" ht="30" customHeight="1" spans="1:13">
      <c r="A3511" s="41">
        <f>IF(C3511="","",SUBTOTAL(103,$C$2:C3511))</f>
        <v>3502</v>
      </c>
      <c r="B3511" s="41">
        <v>1330</v>
      </c>
      <c r="C3511" s="41">
        <v>14335</v>
      </c>
      <c r="D3511" s="41" t="s">
        <v>45</v>
      </c>
      <c r="E3511" s="41" t="s">
        <v>1298</v>
      </c>
      <c r="F3511" s="41" t="s">
        <v>10796</v>
      </c>
      <c r="G3511" s="41" t="s">
        <v>10803</v>
      </c>
      <c r="H3511" s="41" t="s">
        <v>10804</v>
      </c>
      <c r="I3511" s="43">
        <v>12</v>
      </c>
      <c r="J3511" s="44" t="str">
        <f>VLOOKUP(G3511,[1]硬件清单!$F:$F,1,0)</f>
        <v>J320C26</v>
      </c>
      <c r="K3511" s="43"/>
      <c r="L3511" s="44"/>
      <c r="M3511" s="45" t="s">
        <v>10805</v>
      </c>
    </row>
    <row r="3512" s="26" customFormat="1" ht="30" customHeight="1" spans="1:13">
      <c r="A3512" s="41">
        <f>IF(C3512="","",SUBTOTAL(103,$C$2:C3512))</f>
        <v>3503</v>
      </c>
      <c r="B3512" s="41">
        <v>1331</v>
      </c>
      <c r="C3512" s="41">
        <v>14334</v>
      </c>
      <c r="D3512" s="41" t="s">
        <v>45</v>
      </c>
      <c r="E3512" s="41" t="s">
        <v>1298</v>
      </c>
      <c r="F3512" s="41" t="s">
        <v>10796</v>
      </c>
      <c r="G3512" s="41" t="s">
        <v>10806</v>
      </c>
      <c r="H3512" s="41" t="s">
        <v>10807</v>
      </c>
      <c r="I3512" s="43">
        <v>12</v>
      </c>
      <c r="J3512" s="44" t="str">
        <f>VLOOKUP(G3512,[1]硬件清单!$F:$F,1,0)</f>
        <v>J320C2C</v>
      </c>
      <c r="K3512" s="43"/>
      <c r="L3512" s="44"/>
      <c r="M3512" s="45" t="s">
        <v>10808</v>
      </c>
    </row>
    <row r="3513" s="26" customFormat="1" ht="30" customHeight="1" spans="1:13">
      <c r="A3513" s="41">
        <f>IF(C3513="","",SUBTOTAL(103,$C$2:C3513))</f>
        <v>3504</v>
      </c>
      <c r="B3513" s="41">
        <v>1332</v>
      </c>
      <c r="C3513" s="41">
        <v>14333</v>
      </c>
      <c r="D3513" s="41" t="s">
        <v>45</v>
      </c>
      <c r="E3513" s="41" t="s">
        <v>1298</v>
      </c>
      <c r="F3513" s="41" t="s">
        <v>10796</v>
      </c>
      <c r="G3513" s="41" t="s">
        <v>10809</v>
      </c>
      <c r="H3513" s="41" t="s">
        <v>10810</v>
      </c>
      <c r="I3513" s="43">
        <v>12</v>
      </c>
      <c r="J3513" s="44" t="str">
        <f>VLOOKUP(G3513,[1]硬件清单!$F:$F,1,0)</f>
        <v>J320C2E</v>
      </c>
      <c r="K3513" s="43"/>
      <c r="L3513" s="44"/>
      <c r="M3513" s="45" t="s">
        <v>10811</v>
      </c>
    </row>
    <row r="3514" s="26" customFormat="1" ht="30" customHeight="1" spans="1:13">
      <c r="A3514" s="41">
        <f>IF(C3514="","",SUBTOTAL(103,$C$2:C3514))</f>
        <v>3505</v>
      </c>
      <c r="B3514" s="41">
        <v>1333</v>
      </c>
      <c r="C3514" s="41">
        <v>14332</v>
      </c>
      <c r="D3514" s="41" t="s">
        <v>45</v>
      </c>
      <c r="E3514" s="41" t="s">
        <v>1298</v>
      </c>
      <c r="F3514" s="41" t="s">
        <v>10796</v>
      </c>
      <c r="G3514" s="41" t="s">
        <v>10812</v>
      </c>
      <c r="H3514" s="41" t="s">
        <v>10813</v>
      </c>
      <c r="I3514" s="43">
        <v>12</v>
      </c>
      <c r="J3514" s="44" t="str">
        <f>VLOOKUP(G3514,[1]硬件清单!$F:$F,1,0)</f>
        <v>J320C28</v>
      </c>
      <c r="K3514" s="43"/>
      <c r="L3514" s="44"/>
      <c r="M3514" s="45" t="s">
        <v>10814</v>
      </c>
    </row>
    <row r="3515" s="26" customFormat="1" ht="30" customHeight="1" spans="1:13">
      <c r="A3515" s="41">
        <f>IF(C3515="","",SUBTOTAL(103,$C$2:C3515))</f>
        <v>3506</v>
      </c>
      <c r="B3515" s="41">
        <v>1334</v>
      </c>
      <c r="C3515" s="41">
        <v>14322</v>
      </c>
      <c r="D3515" s="41" t="s">
        <v>45</v>
      </c>
      <c r="E3515" s="41" t="s">
        <v>1298</v>
      </c>
      <c r="F3515" s="41" t="s">
        <v>6065</v>
      </c>
      <c r="G3515" s="41" t="s">
        <v>10815</v>
      </c>
      <c r="H3515" s="41" t="s">
        <v>10816</v>
      </c>
      <c r="I3515" s="43">
        <v>12</v>
      </c>
      <c r="J3515" s="44" t="str">
        <f>VLOOKUP(G3515,[1]硬件清单!$F:$F,1,0)</f>
        <v>210305613210GA001979</v>
      </c>
      <c r="K3515" s="43"/>
      <c r="L3515" s="44"/>
      <c r="M3515" s="45" t="s">
        <v>10817</v>
      </c>
    </row>
    <row r="3516" s="26" customFormat="1" ht="30" customHeight="1" spans="1:13">
      <c r="A3516" s="41">
        <f>IF(C3516="","",SUBTOTAL(103,$C$2:C3516))</f>
        <v>3507</v>
      </c>
      <c r="B3516" s="41">
        <v>1335</v>
      </c>
      <c r="C3516" s="41">
        <v>14329</v>
      </c>
      <c r="D3516" s="41" t="s">
        <v>45</v>
      </c>
      <c r="E3516" s="41" t="s">
        <v>1298</v>
      </c>
      <c r="F3516" s="41" t="s">
        <v>6065</v>
      </c>
      <c r="G3516" s="41" t="s">
        <v>10818</v>
      </c>
      <c r="H3516" s="41" t="s">
        <v>10819</v>
      </c>
      <c r="I3516" s="43">
        <v>12</v>
      </c>
      <c r="J3516" s="44" t="str">
        <f>VLOOKUP(G3516,[1]硬件清单!$F:$F,1,0)</f>
        <v>210305613210GA001929</v>
      </c>
      <c r="K3516" s="43"/>
      <c r="L3516" s="44"/>
      <c r="M3516" s="45" t="s">
        <v>10820</v>
      </c>
    </row>
    <row r="3517" s="26" customFormat="1" ht="30" customHeight="1" spans="1:13">
      <c r="A3517" s="41">
        <f>IF(C3517="","",SUBTOTAL(103,$C$2:C3517))</f>
        <v>3508</v>
      </c>
      <c r="B3517" s="41">
        <v>1336</v>
      </c>
      <c r="C3517" s="41">
        <v>14337</v>
      </c>
      <c r="D3517" s="41" t="s">
        <v>45</v>
      </c>
      <c r="E3517" s="41" t="s">
        <v>1298</v>
      </c>
      <c r="F3517" s="41" t="s">
        <v>6065</v>
      </c>
      <c r="G3517" s="41" t="s">
        <v>10821</v>
      </c>
      <c r="H3517" s="41" t="s">
        <v>10822</v>
      </c>
      <c r="I3517" s="43">
        <v>12</v>
      </c>
      <c r="J3517" s="44" t="str">
        <f>VLOOKUP(G3517,[1]硬件清单!$F:$F,1,0)</f>
        <v>210305613210GA001978</v>
      </c>
      <c r="K3517" s="43"/>
      <c r="L3517" s="44"/>
      <c r="M3517" s="45" t="s">
        <v>10823</v>
      </c>
    </row>
    <row r="3518" s="26" customFormat="1" ht="30" customHeight="1" spans="1:13">
      <c r="A3518" s="41">
        <f>IF(C3518="","",SUBTOTAL(103,$C$2:C3518))</f>
        <v>3509</v>
      </c>
      <c r="B3518" s="41">
        <v>1337</v>
      </c>
      <c r="C3518" s="41">
        <v>14338</v>
      </c>
      <c r="D3518" s="41" t="s">
        <v>45</v>
      </c>
      <c r="E3518" s="41" t="s">
        <v>1298</v>
      </c>
      <c r="F3518" s="41" t="s">
        <v>6065</v>
      </c>
      <c r="G3518" s="41" t="s">
        <v>10824</v>
      </c>
      <c r="H3518" s="41" t="s">
        <v>10825</v>
      </c>
      <c r="I3518" s="43">
        <v>12</v>
      </c>
      <c r="J3518" s="44" t="str">
        <f>VLOOKUP(G3518,[1]硬件清单!$F:$F,1,0)</f>
        <v>210305613210GA001927</v>
      </c>
      <c r="K3518" s="43"/>
      <c r="L3518" s="44"/>
      <c r="M3518" s="45" t="s">
        <v>10826</v>
      </c>
    </row>
    <row r="3519" s="26" customFormat="1" ht="30" customHeight="1" spans="1:13">
      <c r="A3519" s="41">
        <f>IF(C3519="","",SUBTOTAL(103,$C$2:C3519))</f>
        <v>3510</v>
      </c>
      <c r="B3519" s="41">
        <v>1338</v>
      </c>
      <c r="C3519" s="41">
        <v>14339</v>
      </c>
      <c r="D3519" s="41" t="s">
        <v>45</v>
      </c>
      <c r="E3519" s="41" t="s">
        <v>1298</v>
      </c>
      <c r="F3519" s="41" t="s">
        <v>6065</v>
      </c>
      <c r="G3519" s="41" t="s">
        <v>10827</v>
      </c>
      <c r="H3519" s="41" t="s">
        <v>10828</v>
      </c>
      <c r="I3519" s="43">
        <v>12</v>
      </c>
      <c r="J3519" s="44" t="str">
        <f>VLOOKUP(G3519,[1]硬件清单!$F:$F,1,0)</f>
        <v>210305613210GA001925</v>
      </c>
      <c r="K3519" s="43"/>
      <c r="L3519" s="44"/>
      <c r="M3519" s="45" t="s">
        <v>10829</v>
      </c>
    </row>
    <row r="3520" s="26" customFormat="1" ht="30" customHeight="1" spans="1:13">
      <c r="A3520" s="41">
        <f>IF(C3520="","",SUBTOTAL(103,$C$2:C3520))</f>
        <v>3511</v>
      </c>
      <c r="B3520" s="41">
        <v>1339</v>
      </c>
      <c r="C3520" s="41">
        <v>14340</v>
      </c>
      <c r="D3520" s="41" t="s">
        <v>45</v>
      </c>
      <c r="E3520" s="41" t="s">
        <v>1298</v>
      </c>
      <c r="F3520" s="41" t="s">
        <v>6065</v>
      </c>
      <c r="G3520" s="41" t="s">
        <v>10830</v>
      </c>
      <c r="H3520" s="41" t="s">
        <v>10831</v>
      </c>
      <c r="I3520" s="43">
        <v>12</v>
      </c>
      <c r="J3520" s="44" t="str">
        <f>VLOOKUP(G3520,[1]硬件清单!$F:$F,1,0)</f>
        <v>210305613210GA001926</v>
      </c>
      <c r="K3520" s="43"/>
      <c r="L3520" s="44"/>
      <c r="M3520" s="45" t="s">
        <v>10832</v>
      </c>
    </row>
    <row r="3521" s="26" customFormat="1" ht="30" customHeight="1" spans="1:13">
      <c r="A3521" s="41">
        <f>IF(C3521="","",SUBTOTAL(103,$C$2:C3521))</f>
        <v>3512</v>
      </c>
      <c r="B3521" s="41">
        <v>1340</v>
      </c>
      <c r="C3521" s="41">
        <v>14323</v>
      </c>
      <c r="D3521" s="41" t="s">
        <v>45</v>
      </c>
      <c r="E3521" s="41" t="s">
        <v>1298</v>
      </c>
      <c r="F3521" s="41" t="s">
        <v>6065</v>
      </c>
      <c r="G3521" s="41" t="s">
        <v>10833</v>
      </c>
      <c r="H3521" s="41" t="s">
        <v>10834</v>
      </c>
      <c r="I3521" s="43">
        <v>12</v>
      </c>
      <c r="J3521" s="44" t="str">
        <f>VLOOKUP(G3521,[1]硬件清单!$F:$F,1,0)</f>
        <v>210305613210GA001923</v>
      </c>
      <c r="K3521" s="43"/>
      <c r="L3521" s="44"/>
      <c r="M3521" s="45" t="s">
        <v>10835</v>
      </c>
    </row>
    <row r="3522" s="26" customFormat="1" ht="30" customHeight="1" spans="1:13">
      <c r="A3522" s="41">
        <f>IF(C3522="","",SUBTOTAL(103,$C$2:C3522))</f>
        <v>3513</v>
      </c>
      <c r="B3522" s="41">
        <v>1341</v>
      </c>
      <c r="C3522" s="41">
        <v>14324</v>
      </c>
      <c r="D3522" s="41" t="s">
        <v>45</v>
      </c>
      <c r="E3522" s="41" t="s">
        <v>1298</v>
      </c>
      <c r="F3522" s="41" t="s">
        <v>6065</v>
      </c>
      <c r="G3522" s="41" t="s">
        <v>10836</v>
      </c>
      <c r="H3522" s="41" t="s">
        <v>10837</v>
      </c>
      <c r="I3522" s="43">
        <v>12</v>
      </c>
      <c r="J3522" s="44" t="str">
        <f>VLOOKUP(G3522,[1]硬件清单!$F:$F,1,0)</f>
        <v>210305613210GA001924</v>
      </c>
      <c r="K3522" s="43"/>
      <c r="L3522" s="44"/>
      <c r="M3522" s="45" t="s">
        <v>10838</v>
      </c>
    </row>
    <row r="3523" s="26" customFormat="1" ht="30" customHeight="1" spans="1:13">
      <c r="A3523" s="41">
        <f>IF(C3523="","",SUBTOTAL(103,$C$2:C3523))</f>
        <v>3514</v>
      </c>
      <c r="B3523" s="41">
        <v>1342</v>
      </c>
      <c r="C3523" s="41">
        <v>14325</v>
      </c>
      <c r="D3523" s="41" t="s">
        <v>45</v>
      </c>
      <c r="E3523" s="41" t="s">
        <v>1298</v>
      </c>
      <c r="F3523" s="41" t="s">
        <v>6065</v>
      </c>
      <c r="G3523" s="41" t="s">
        <v>10839</v>
      </c>
      <c r="H3523" s="41" t="s">
        <v>10840</v>
      </c>
      <c r="I3523" s="43">
        <v>12</v>
      </c>
      <c r="J3523" s="44" t="str">
        <f>VLOOKUP(G3523,[1]硬件清单!$F:$F,1,0)</f>
        <v>210305613210GA001928</v>
      </c>
      <c r="K3523" s="43"/>
      <c r="L3523" s="44"/>
      <c r="M3523" s="45" t="s">
        <v>10841</v>
      </c>
    </row>
    <row r="3524" s="26" customFormat="1" ht="30" customHeight="1" spans="1:13">
      <c r="A3524" s="41">
        <f>IF(C3524="","",SUBTOTAL(103,$C$2:C3524))</f>
        <v>3515</v>
      </c>
      <c r="B3524" s="41">
        <v>1343</v>
      </c>
      <c r="C3524" s="41">
        <v>14326</v>
      </c>
      <c r="D3524" s="41" t="s">
        <v>45</v>
      </c>
      <c r="E3524" s="41" t="s">
        <v>1298</v>
      </c>
      <c r="F3524" s="41" t="s">
        <v>6065</v>
      </c>
      <c r="G3524" s="41" t="s">
        <v>10842</v>
      </c>
      <c r="H3524" s="41" t="s">
        <v>10843</v>
      </c>
      <c r="I3524" s="43">
        <v>12</v>
      </c>
      <c r="J3524" s="44" t="str">
        <f>VLOOKUP(G3524,[1]硬件清单!$F:$F,1,0)</f>
        <v>210305613210GA001980</v>
      </c>
      <c r="K3524" s="43"/>
      <c r="L3524" s="44"/>
      <c r="M3524" s="45" t="s">
        <v>10844</v>
      </c>
    </row>
    <row r="3525" s="26" customFormat="1" ht="30" customHeight="1" spans="1:13">
      <c r="A3525" s="41">
        <f>IF(C3525="","",SUBTOTAL(103,$C$2:C3525))</f>
        <v>3516</v>
      </c>
      <c r="B3525" s="41">
        <v>1344</v>
      </c>
      <c r="C3525" s="41">
        <v>14327</v>
      </c>
      <c r="D3525" s="41" t="s">
        <v>45</v>
      </c>
      <c r="E3525" s="41" t="s">
        <v>1298</v>
      </c>
      <c r="F3525" s="41" t="s">
        <v>6065</v>
      </c>
      <c r="G3525" s="41" t="s">
        <v>10845</v>
      </c>
      <c r="H3525" s="41" t="s">
        <v>10846</v>
      </c>
      <c r="I3525" s="43">
        <v>12</v>
      </c>
      <c r="J3525" s="44" t="str">
        <f>VLOOKUP(G3525,[1]硬件清单!$F:$F,1,0)</f>
        <v>210305613210GA001930</v>
      </c>
      <c r="K3525" s="43"/>
      <c r="L3525" s="44"/>
      <c r="M3525" s="45" t="s">
        <v>10847</v>
      </c>
    </row>
    <row r="3526" s="26" customFormat="1" ht="30" customHeight="1" spans="1:13">
      <c r="A3526" s="41">
        <f>IF(C3526="","",SUBTOTAL(103,$C$2:C3526))</f>
        <v>3517</v>
      </c>
      <c r="B3526" s="41">
        <v>1345</v>
      </c>
      <c r="C3526" s="41">
        <v>14328</v>
      </c>
      <c r="D3526" s="41" t="s">
        <v>45</v>
      </c>
      <c r="E3526" s="41" t="s">
        <v>1298</v>
      </c>
      <c r="F3526" s="41" t="s">
        <v>6065</v>
      </c>
      <c r="G3526" s="41" t="s">
        <v>10848</v>
      </c>
      <c r="H3526" s="41" t="s">
        <v>10849</v>
      </c>
      <c r="I3526" s="43">
        <v>12</v>
      </c>
      <c r="J3526" s="44" t="str">
        <f>VLOOKUP(G3526,[1]硬件清单!$F:$F,1,0)</f>
        <v>210305613210GA001981</v>
      </c>
      <c r="K3526" s="43"/>
      <c r="L3526" s="44"/>
      <c r="M3526" s="45" t="s">
        <v>10850</v>
      </c>
    </row>
    <row r="3527" s="26" customFormat="1" ht="30" customHeight="1" spans="1:13">
      <c r="A3527" s="41">
        <f>IF(C3527="","",SUBTOTAL(103,$C$2:C3527))</f>
        <v>3518</v>
      </c>
      <c r="B3527" s="41">
        <v>1346</v>
      </c>
      <c r="C3527" s="41">
        <v>14331</v>
      </c>
      <c r="D3527" s="41" t="s">
        <v>45</v>
      </c>
      <c r="E3527" s="41" t="s">
        <v>1298</v>
      </c>
      <c r="F3527" s="41" t="s">
        <v>10796</v>
      </c>
      <c r="G3527" s="41" t="s">
        <v>10851</v>
      </c>
      <c r="H3527" s="41" t="s">
        <v>10852</v>
      </c>
      <c r="I3527" s="43">
        <v>12</v>
      </c>
      <c r="J3527" s="44" t="str">
        <f>VLOOKUP(G3527,[1]硬件清单!$F:$F,1,0)</f>
        <v>J320C2A</v>
      </c>
      <c r="K3527" s="43"/>
      <c r="L3527" s="44"/>
      <c r="M3527" s="45" t="s">
        <v>10853</v>
      </c>
    </row>
    <row r="3528" s="26" customFormat="1" ht="30" customHeight="1" spans="1:13">
      <c r="A3528" s="41">
        <f>IF(C3528="","",SUBTOTAL(103,$C$2:C3528))</f>
        <v>3519</v>
      </c>
      <c r="B3528" s="41">
        <v>1347</v>
      </c>
      <c r="C3528" s="41">
        <v>11014</v>
      </c>
      <c r="D3528" s="41" t="s">
        <v>45</v>
      </c>
      <c r="E3528" s="41" t="s">
        <v>1298</v>
      </c>
      <c r="F3528" s="41" t="s">
        <v>1455</v>
      </c>
      <c r="G3528" s="41" t="s">
        <v>10854</v>
      </c>
      <c r="H3528" s="41" t="s">
        <v>10855</v>
      </c>
      <c r="I3528" s="43">
        <v>12</v>
      </c>
      <c r="J3528" s="44" t="str">
        <f>VLOOKUP(G3528,[1]硬件清单!$F:$F,1,0)</f>
        <v>2102300742N0EA000086</v>
      </c>
      <c r="K3528" s="43"/>
      <c r="L3528" s="44"/>
      <c r="M3528" s="45" t="s">
        <v>10856</v>
      </c>
    </row>
    <row r="3529" s="26" customFormat="1" ht="30" customHeight="1" spans="1:13">
      <c r="A3529" s="41">
        <f>IF(C3529="","",SUBTOTAL(103,$C$2:C3529))</f>
        <v>3520</v>
      </c>
      <c r="B3529" s="41">
        <v>1348</v>
      </c>
      <c r="C3529" s="41">
        <v>10998</v>
      </c>
      <c r="D3529" s="41" t="s">
        <v>45</v>
      </c>
      <c r="E3529" s="41" t="s">
        <v>1298</v>
      </c>
      <c r="F3529" s="41" t="s">
        <v>8153</v>
      </c>
      <c r="G3529" s="41" t="s">
        <v>10857</v>
      </c>
      <c r="H3529" s="41" t="s">
        <v>10858</v>
      </c>
      <c r="I3529" s="43">
        <v>12</v>
      </c>
      <c r="J3529" s="44" t="str">
        <f>VLOOKUP(G3529,[1]硬件清单!$F:$F,1,0)</f>
        <v>210305485510EA000451</v>
      </c>
      <c r="K3529" s="43"/>
      <c r="L3529" s="44"/>
      <c r="M3529" s="45" t="s">
        <v>10859</v>
      </c>
    </row>
    <row r="3530" s="26" customFormat="1" ht="30" customHeight="1" spans="1:13">
      <c r="A3530" s="41">
        <f>IF(C3530="","",SUBTOTAL(103,$C$2:C3530))</f>
        <v>3521</v>
      </c>
      <c r="B3530" s="41">
        <v>1349</v>
      </c>
      <c r="C3530" s="41">
        <v>10999</v>
      </c>
      <c r="D3530" s="41" t="s">
        <v>45</v>
      </c>
      <c r="E3530" s="41" t="s">
        <v>1298</v>
      </c>
      <c r="F3530" s="41" t="s">
        <v>8153</v>
      </c>
      <c r="G3530" s="41" t="s">
        <v>10860</v>
      </c>
      <c r="H3530" s="41" t="s">
        <v>10861</v>
      </c>
      <c r="I3530" s="43">
        <v>12</v>
      </c>
      <c r="J3530" s="44" t="str">
        <f>VLOOKUP(G3530,[1]硬件清单!$F:$F,1,0)</f>
        <v>210305485510EA000312</v>
      </c>
      <c r="K3530" s="43"/>
      <c r="L3530" s="44"/>
      <c r="M3530" s="45" t="s">
        <v>10862</v>
      </c>
    </row>
    <row r="3531" s="26" customFormat="1" ht="30" customHeight="1" spans="1:13">
      <c r="A3531" s="41">
        <f>IF(C3531="","",SUBTOTAL(103,$C$2:C3531))</f>
        <v>3522</v>
      </c>
      <c r="B3531" s="41">
        <v>1350</v>
      </c>
      <c r="C3531" s="41">
        <v>11000</v>
      </c>
      <c r="D3531" s="41" t="s">
        <v>45</v>
      </c>
      <c r="E3531" s="41" t="s">
        <v>1298</v>
      </c>
      <c r="F3531" s="41" t="s">
        <v>8153</v>
      </c>
      <c r="G3531" s="41" t="s">
        <v>10863</v>
      </c>
      <c r="H3531" s="41" t="s">
        <v>10864</v>
      </c>
      <c r="I3531" s="43">
        <v>12</v>
      </c>
      <c r="J3531" s="44" t="str">
        <f>VLOOKUP(G3531,[1]硬件清单!$F:$F,1,0)</f>
        <v>210305485510EA000390</v>
      </c>
      <c r="K3531" s="43"/>
      <c r="L3531" s="44"/>
      <c r="M3531" s="45" t="s">
        <v>10865</v>
      </c>
    </row>
    <row r="3532" s="26" customFormat="1" ht="30" customHeight="1" spans="1:13">
      <c r="A3532" s="41">
        <f>IF(C3532="","",SUBTOTAL(103,$C$2:C3532))</f>
        <v>3523</v>
      </c>
      <c r="B3532" s="41">
        <v>1351</v>
      </c>
      <c r="C3532" s="41">
        <v>11001</v>
      </c>
      <c r="D3532" s="41" t="s">
        <v>45</v>
      </c>
      <c r="E3532" s="41" t="s">
        <v>1298</v>
      </c>
      <c r="F3532" s="41" t="s">
        <v>8153</v>
      </c>
      <c r="G3532" s="41" t="s">
        <v>10866</v>
      </c>
      <c r="H3532" s="41" t="s">
        <v>10867</v>
      </c>
      <c r="I3532" s="43">
        <v>12</v>
      </c>
      <c r="J3532" s="44" t="str">
        <f>VLOOKUP(G3532,[1]硬件清单!$F:$F,1,0)</f>
        <v>210305485510EA000410</v>
      </c>
      <c r="K3532" s="43"/>
      <c r="L3532" s="44"/>
      <c r="M3532" s="45" t="s">
        <v>10868</v>
      </c>
    </row>
    <row r="3533" s="26" customFormat="1" ht="30" customHeight="1" spans="1:13">
      <c r="A3533" s="41">
        <f>IF(C3533="","",SUBTOTAL(103,$C$2:C3533))</f>
        <v>3524</v>
      </c>
      <c r="B3533" s="41">
        <v>1352</v>
      </c>
      <c r="C3533" s="41">
        <v>11002</v>
      </c>
      <c r="D3533" s="41" t="s">
        <v>45</v>
      </c>
      <c r="E3533" s="41" t="s">
        <v>1298</v>
      </c>
      <c r="F3533" s="41" t="s">
        <v>8153</v>
      </c>
      <c r="G3533" s="41" t="s">
        <v>10869</v>
      </c>
      <c r="H3533" s="41" t="s">
        <v>10870</v>
      </c>
      <c r="I3533" s="43">
        <v>12</v>
      </c>
      <c r="J3533" s="44" t="str">
        <f>VLOOKUP(G3533,[1]硬件清单!$F:$F,1,0)</f>
        <v>210305485510EA000322</v>
      </c>
      <c r="K3533" s="43"/>
      <c r="L3533" s="44"/>
      <c r="M3533" s="45" t="s">
        <v>10871</v>
      </c>
    </row>
    <row r="3534" s="26" customFormat="1" ht="30" customHeight="1" spans="1:13">
      <c r="A3534" s="41">
        <f>IF(C3534="","",SUBTOTAL(103,$C$2:C3534))</f>
        <v>3525</v>
      </c>
      <c r="B3534" s="41">
        <v>1353</v>
      </c>
      <c r="C3534" s="41">
        <v>11003</v>
      </c>
      <c r="D3534" s="41" t="s">
        <v>45</v>
      </c>
      <c r="E3534" s="41" t="s">
        <v>1298</v>
      </c>
      <c r="F3534" s="41" t="s">
        <v>8153</v>
      </c>
      <c r="G3534" s="41" t="s">
        <v>10872</v>
      </c>
      <c r="H3534" s="41" t="s">
        <v>10873</v>
      </c>
      <c r="I3534" s="43">
        <v>12</v>
      </c>
      <c r="J3534" s="44" t="str">
        <f>VLOOKUP(G3534,[1]硬件清单!$F:$F,1,0)</f>
        <v>210305485510EA000341</v>
      </c>
      <c r="K3534" s="43"/>
      <c r="L3534" s="44"/>
      <c r="M3534" s="45" t="s">
        <v>10874</v>
      </c>
    </row>
    <row r="3535" s="26" customFormat="1" ht="30" customHeight="1" spans="1:13">
      <c r="A3535" s="41">
        <f>IF(C3535="","",SUBTOTAL(103,$C$2:C3535))</f>
        <v>3526</v>
      </c>
      <c r="B3535" s="41">
        <v>1354</v>
      </c>
      <c r="C3535" s="41">
        <v>11004</v>
      </c>
      <c r="D3535" s="41" t="s">
        <v>45</v>
      </c>
      <c r="E3535" s="41" t="s">
        <v>1298</v>
      </c>
      <c r="F3535" s="41" t="s">
        <v>8153</v>
      </c>
      <c r="G3535" s="41" t="s">
        <v>10875</v>
      </c>
      <c r="H3535" s="41" t="s">
        <v>10876</v>
      </c>
      <c r="I3535" s="43">
        <v>12</v>
      </c>
      <c r="J3535" s="44" t="str">
        <f>VLOOKUP(G3535,[1]硬件清单!$F:$F,1,0)</f>
        <v>210305485510EA000610</v>
      </c>
      <c r="K3535" s="43"/>
      <c r="L3535" s="44"/>
      <c r="M3535" s="45" t="s">
        <v>10877</v>
      </c>
    </row>
    <row r="3536" s="26" customFormat="1" ht="30" customHeight="1" spans="1:13">
      <c r="A3536" s="41">
        <f>IF(C3536="","",SUBTOTAL(103,$C$2:C3536))</f>
        <v>3527</v>
      </c>
      <c r="B3536" s="41">
        <v>1355</v>
      </c>
      <c r="C3536" s="41">
        <v>11005</v>
      </c>
      <c r="D3536" s="41" t="s">
        <v>45</v>
      </c>
      <c r="E3536" s="41" t="s">
        <v>1298</v>
      </c>
      <c r="F3536" s="41" t="s">
        <v>8153</v>
      </c>
      <c r="G3536" s="41" t="s">
        <v>10878</v>
      </c>
      <c r="H3536" s="41" t="s">
        <v>10879</v>
      </c>
      <c r="I3536" s="43">
        <v>12</v>
      </c>
      <c r="J3536" s="44" t="str">
        <f>VLOOKUP(G3536,[1]硬件清单!$F:$F,1,0)</f>
        <v>210305485510EA000531</v>
      </c>
      <c r="K3536" s="43"/>
      <c r="L3536" s="44"/>
      <c r="M3536" s="45" t="s">
        <v>10880</v>
      </c>
    </row>
    <row r="3537" s="26" customFormat="1" ht="30" customHeight="1" spans="1:13">
      <c r="A3537" s="41">
        <f>IF(C3537="","",SUBTOTAL(103,$C$2:C3537))</f>
        <v>3528</v>
      </c>
      <c r="B3537" s="41">
        <v>1356</v>
      </c>
      <c r="C3537" s="41">
        <v>11006</v>
      </c>
      <c r="D3537" s="41" t="s">
        <v>45</v>
      </c>
      <c r="E3537" s="41" t="s">
        <v>1298</v>
      </c>
      <c r="F3537" s="41" t="s">
        <v>8153</v>
      </c>
      <c r="G3537" s="41" t="s">
        <v>10881</v>
      </c>
      <c r="H3537" s="41" t="s">
        <v>10882</v>
      </c>
      <c r="I3537" s="43">
        <v>12</v>
      </c>
      <c r="J3537" s="44" t="str">
        <f>VLOOKUP(G3537,[1]硬件清单!$F:$F,1,0)</f>
        <v>210305485510EA000570</v>
      </c>
      <c r="K3537" s="43"/>
      <c r="L3537" s="44"/>
      <c r="M3537" s="45" t="s">
        <v>10883</v>
      </c>
    </row>
    <row r="3538" s="26" customFormat="1" ht="30" customHeight="1" spans="1:13">
      <c r="A3538" s="41">
        <f>IF(C3538="","",SUBTOTAL(103,$C$2:C3538))</f>
        <v>3529</v>
      </c>
      <c r="B3538" s="41">
        <v>1357</v>
      </c>
      <c r="C3538" s="41">
        <v>11007</v>
      </c>
      <c r="D3538" s="41" t="s">
        <v>45</v>
      </c>
      <c r="E3538" s="41" t="s">
        <v>1298</v>
      </c>
      <c r="F3538" s="41" t="s">
        <v>8153</v>
      </c>
      <c r="G3538" s="41" t="s">
        <v>10884</v>
      </c>
      <c r="H3538" s="41" t="s">
        <v>10885</v>
      </c>
      <c r="I3538" s="43">
        <v>12</v>
      </c>
      <c r="J3538" s="44" t="str">
        <f>VLOOKUP(G3538,[1]硬件清单!$F:$F,1,0)</f>
        <v>210305485510EA000426</v>
      </c>
      <c r="K3538" s="43"/>
      <c r="L3538" s="44"/>
      <c r="M3538" s="45" t="s">
        <v>10886</v>
      </c>
    </row>
    <row r="3539" s="26" customFormat="1" ht="30" customHeight="1" spans="1:13">
      <c r="A3539" s="41">
        <f>IF(C3539="","",SUBTOTAL(103,$C$2:C3539))</f>
        <v>3530</v>
      </c>
      <c r="B3539" s="41">
        <v>1358</v>
      </c>
      <c r="C3539" s="41">
        <v>11008</v>
      </c>
      <c r="D3539" s="41" t="s">
        <v>45</v>
      </c>
      <c r="E3539" s="41" t="s">
        <v>1298</v>
      </c>
      <c r="F3539" s="41" t="s">
        <v>8153</v>
      </c>
      <c r="G3539" s="41" t="s">
        <v>10887</v>
      </c>
      <c r="H3539" s="41" t="s">
        <v>10888</v>
      </c>
      <c r="I3539" s="43">
        <v>12</v>
      </c>
      <c r="J3539" s="44" t="str">
        <f>VLOOKUP(G3539,[1]硬件清单!$F:$F,1,0)</f>
        <v>210305485510EA000440</v>
      </c>
      <c r="K3539" s="43"/>
      <c r="L3539" s="44"/>
      <c r="M3539" s="45" t="s">
        <v>10889</v>
      </c>
    </row>
    <row r="3540" s="26" customFormat="1" ht="30" customHeight="1" spans="1:13">
      <c r="A3540" s="41">
        <f>IF(C3540="","",SUBTOTAL(103,$C$2:C3540))</f>
        <v>3531</v>
      </c>
      <c r="B3540" s="41">
        <v>1359</v>
      </c>
      <c r="C3540" s="41">
        <v>11009</v>
      </c>
      <c r="D3540" s="41" t="s">
        <v>45</v>
      </c>
      <c r="E3540" s="41" t="s">
        <v>1298</v>
      </c>
      <c r="F3540" s="41" t="s">
        <v>8153</v>
      </c>
      <c r="G3540" s="41" t="s">
        <v>10890</v>
      </c>
      <c r="H3540" s="41" t="s">
        <v>10891</v>
      </c>
      <c r="I3540" s="43">
        <v>12</v>
      </c>
      <c r="J3540" s="44" t="str">
        <f>VLOOKUP(G3540,[1]硬件清单!$F:$F,1,0)</f>
        <v>210305485510EA000478</v>
      </c>
      <c r="K3540" s="43"/>
      <c r="L3540" s="44"/>
      <c r="M3540" s="45" t="s">
        <v>10892</v>
      </c>
    </row>
    <row r="3541" s="26" customFormat="1" ht="30" customHeight="1" spans="1:13">
      <c r="A3541" s="41">
        <f>IF(C3541="","",SUBTOTAL(103,$C$2:C3541))</f>
        <v>3532</v>
      </c>
      <c r="B3541" s="41">
        <v>1360</v>
      </c>
      <c r="C3541" s="41">
        <v>11010</v>
      </c>
      <c r="D3541" s="41" t="s">
        <v>45</v>
      </c>
      <c r="E3541" s="41" t="s">
        <v>1298</v>
      </c>
      <c r="F3541" s="41" t="s">
        <v>8153</v>
      </c>
      <c r="G3541" s="41" t="s">
        <v>10893</v>
      </c>
      <c r="H3541" s="41" t="s">
        <v>10894</v>
      </c>
      <c r="I3541" s="43">
        <v>12</v>
      </c>
      <c r="J3541" s="44" t="str">
        <f>VLOOKUP(G3541,[1]硬件清单!$F:$F,1,0)</f>
        <v>210305485510EA000470</v>
      </c>
      <c r="K3541" s="43"/>
      <c r="L3541" s="44"/>
      <c r="M3541" s="45" t="s">
        <v>10895</v>
      </c>
    </row>
    <row r="3542" s="26" customFormat="1" ht="30" customHeight="1" spans="1:13">
      <c r="A3542" s="41">
        <f>IF(C3542="","",SUBTOTAL(103,$C$2:C3542))</f>
        <v>3533</v>
      </c>
      <c r="B3542" s="41">
        <v>1361</v>
      </c>
      <c r="C3542" s="41">
        <v>11011</v>
      </c>
      <c r="D3542" s="41" t="s">
        <v>45</v>
      </c>
      <c r="E3542" s="41" t="s">
        <v>1298</v>
      </c>
      <c r="F3542" s="41" t="s">
        <v>8153</v>
      </c>
      <c r="G3542" s="41" t="s">
        <v>10896</v>
      </c>
      <c r="H3542" s="41" t="s">
        <v>10897</v>
      </c>
      <c r="I3542" s="43">
        <v>12</v>
      </c>
      <c r="J3542" s="44" t="str">
        <f>VLOOKUP(G3542,[1]硬件清单!$F:$F,1,0)</f>
        <v>210305485510EA000533</v>
      </c>
      <c r="K3542" s="43"/>
      <c r="L3542" s="44"/>
      <c r="M3542" s="45" t="s">
        <v>10898</v>
      </c>
    </row>
    <row r="3543" s="26" customFormat="1" ht="30" customHeight="1" spans="1:13">
      <c r="A3543" s="41">
        <f>IF(C3543="","",SUBTOTAL(103,$C$2:C3543))</f>
        <v>3534</v>
      </c>
      <c r="B3543" s="41">
        <v>1362</v>
      </c>
      <c r="C3543" s="41">
        <v>11012</v>
      </c>
      <c r="D3543" s="41" t="s">
        <v>45</v>
      </c>
      <c r="E3543" s="41" t="s">
        <v>1298</v>
      </c>
      <c r="F3543" s="41" t="s">
        <v>8153</v>
      </c>
      <c r="G3543" s="41" t="s">
        <v>10899</v>
      </c>
      <c r="H3543" s="41" t="s">
        <v>10900</v>
      </c>
      <c r="I3543" s="43">
        <v>12</v>
      </c>
      <c r="J3543" s="44" t="str">
        <f>VLOOKUP(G3543,[1]硬件清单!$F:$F,1,0)</f>
        <v>210305485510EA000300</v>
      </c>
      <c r="K3543" s="43"/>
      <c r="L3543" s="44"/>
      <c r="M3543" s="45" t="s">
        <v>10901</v>
      </c>
    </row>
    <row r="3544" s="26" customFormat="1" ht="30" customHeight="1" spans="1:13">
      <c r="A3544" s="41">
        <f>IF(C3544="","",SUBTOTAL(103,$C$2:C3544))</f>
        <v>3535</v>
      </c>
      <c r="B3544" s="41">
        <v>1363</v>
      </c>
      <c r="C3544" s="41">
        <v>11013</v>
      </c>
      <c r="D3544" s="41" t="s">
        <v>45</v>
      </c>
      <c r="E3544" s="41" t="s">
        <v>1298</v>
      </c>
      <c r="F3544" s="41" t="s">
        <v>8153</v>
      </c>
      <c r="G3544" s="41" t="s">
        <v>10902</v>
      </c>
      <c r="H3544" s="41" t="s">
        <v>10903</v>
      </c>
      <c r="I3544" s="43">
        <v>12</v>
      </c>
      <c r="J3544" s="44" t="str">
        <f>VLOOKUP(G3544,[1]硬件清单!$F:$F,1,0)</f>
        <v>210305485510EA000536</v>
      </c>
      <c r="K3544" s="43"/>
      <c r="L3544" s="44"/>
      <c r="M3544" s="45" t="s">
        <v>10904</v>
      </c>
    </row>
    <row r="3545" s="26" customFormat="1" ht="30" customHeight="1" spans="1:13">
      <c r="A3545" s="41">
        <f>IF(C3545="","",SUBTOTAL(103,$C$2:C3545))</f>
        <v>3536</v>
      </c>
      <c r="B3545" s="41">
        <v>1364</v>
      </c>
      <c r="C3545" s="41">
        <v>10944</v>
      </c>
      <c r="D3545" s="41" t="s">
        <v>45</v>
      </c>
      <c r="E3545" s="41" t="s">
        <v>1298</v>
      </c>
      <c r="F3545" s="41" t="s">
        <v>10905</v>
      </c>
      <c r="G3545" s="41" t="s">
        <v>10906</v>
      </c>
      <c r="H3545" s="41" t="s">
        <v>10907</v>
      </c>
      <c r="I3545" s="43">
        <v>12</v>
      </c>
      <c r="J3545" s="44" t="str">
        <f>VLOOKUP(G3545,[1]硬件清单!$F:$F,1,0)</f>
        <v>214637694</v>
      </c>
      <c r="K3545" s="43"/>
      <c r="L3545" s="44"/>
      <c r="M3545" s="45" t="s">
        <v>10908</v>
      </c>
    </row>
    <row r="3546" s="26" customFormat="1" ht="30" customHeight="1" spans="1:13">
      <c r="A3546" s="41">
        <f>IF(C3546="","",SUBTOTAL(103,$C$2:C3546))</f>
        <v>3537</v>
      </c>
      <c r="B3546" s="41">
        <v>1365</v>
      </c>
      <c r="C3546" s="41">
        <v>10939</v>
      </c>
      <c r="D3546" s="41" t="s">
        <v>45</v>
      </c>
      <c r="E3546" s="41" t="s">
        <v>1298</v>
      </c>
      <c r="F3546" s="41" t="s">
        <v>10905</v>
      </c>
      <c r="G3546" s="41" t="s">
        <v>10909</v>
      </c>
      <c r="H3546" s="41" t="s">
        <v>10910</v>
      </c>
      <c r="I3546" s="43">
        <v>12</v>
      </c>
      <c r="J3546" s="44" t="str">
        <f>VLOOKUP(G3546,[1]硬件清单!$F:$F,1,0)</f>
        <v>214637683</v>
      </c>
      <c r="K3546" s="43"/>
      <c r="L3546" s="44"/>
      <c r="M3546" s="45" t="s">
        <v>10911</v>
      </c>
    </row>
    <row r="3547" s="26" customFormat="1" ht="30" customHeight="1" spans="1:13">
      <c r="A3547" s="41">
        <f>IF(C3547="","",SUBTOTAL(103,$C$2:C3547))</f>
        <v>3538</v>
      </c>
      <c r="B3547" s="41">
        <v>1366</v>
      </c>
      <c r="C3547" s="41">
        <v>10938</v>
      </c>
      <c r="D3547" s="41" t="s">
        <v>45</v>
      </c>
      <c r="E3547" s="41" t="s">
        <v>1298</v>
      </c>
      <c r="F3547" s="41" t="s">
        <v>10905</v>
      </c>
      <c r="G3547" s="41" t="s">
        <v>10912</v>
      </c>
      <c r="H3547" s="41" t="s">
        <v>10913</v>
      </c>
      <c r="I3547" s="43">
        <v>12</v>
      </c>
      <c r="J3547" s="44" t="str">
        <f>VLOOKUP(G3547,[1]硬件清单!$F:$F,1,0)</f>
        <v>214637690</v>
      </c>
      <c r="K3547" s="43"/>
      <c r="L3547" s="44"/>
      <c r="M3547" s="45" t="s">
        <v>10914</v>
      </c>
    </row>
    <row r="3548" s="26" customFormat="1" ht="30" customHeight="1" spans="1:13">
      <c r="A3548" s="41">
        <f>IF(C3548="","",SUBTOTAL(103,$C$2:C3548))</f>
        <v>3539</v>
      </c>
      <c r="B3548" s="41">
        <v>1367</v>
      </c>
      <c r="C3548" s="41">
        <v>10937</v>
      </c>
      <c r="D3548" s="41" t="s">
        <v>45</v>
      </c>
      <c r="E3548" s="41" t="s">
        <v>1298</v>
      </c>
      <c r="F3548" s="41" t="s">
        <v>10905</v>
      </c>
      <c r="G3548" s="41" t="s">
        <v>10915</v>
      </c>
      <c r="H3548" s="41" t="s">
        <v>10916</v>
      </c>
      <c r="I3548" s="43">
        <v>12</v>
      </c>
      <c r="J3548" s="44" t="str">
        <f>VLOOKUP(G3548,[1]硬件清单!$F:$F,1,0)</f>
        <v>214637678</v>
      </c>
      <c r="K3548" s="43"/>
      <c r="L3548" s="44"/>
      <c r="M3548" s="45" t="s">
        <v>10917</v>
      </c>
    </row>
    <row r="3549" s="26" customFormat="1" ht="30" customHeight="1" spans="1:13">
      <c r="A3549" s="41">
        <f>IF(C3549="","",SUBTOTAL(103,$C$2:C3549))</f>
        <v>3540</v>
      </c>
      <c r="B3549" s="41">
        <v>1368</v>
      </c>
      <c r="C3549" s="41">
        <v>14330</v>
      </c>
      <c r="D3549" s="41" t="s">
        <v>45</v>
      </c>
      <c r="E3549" s="41" t="s">
        <v>1298</v>
      </c>
      <c r="F3549" s="41" t="s">
        <v>10796</v>
      </c>
      <c r="G3549" s="41" t="s">
        <v>10918</v>
      </c>
      <c r="H3549" s="41" t="s">
        <v>10919</v>
      </c>
      <c r="I3549" s="43">
        <v>12</v>
      </c>
      <c r="J3549" s="44" t="str">
        <f>VLOOKUP(G3549,[1]硬件清单!$F:$F,1,0)</f>
        <v>J320C27</v>
      </c>
      <c r="K3549" s="43"/>
      <c r="L3549" s="44"/>
      <c r="M3549" s="45" t="s">
        <v>10920</v>
      </c>
    </row>
    <row r="3550" s="26" customFormat="1" ht="30" customHeight="1" spans="1:13">
      <c r="A3550" s="41">
        <f>IF(C3550="","",SUBTOTAL(103,$C$2:C3550))</f>
        <v>3541</v>
      </c>
      <c r="B3550" s="41">
        <v>1369</v>
      </c>
      <c r="C3550" s="41">
        <v>10945</v>
      </c>
      <c r="D3550" s="41" t="s">
        <v>45</v>
      </c>
      <c r="E3550" s="41" t="s">
        <v>1298</v>
      </c>
      <c r="F3550" s="41" t="s">
        <v>10905</v>
      </c>
      <c r="G3550" s="41" t="s">
        <v>10921</v>
      </c>
      <c r="H3550" s="41" t="s">
        <v>10922</v>
      </c>
      <c r="I3550" s="43">
        <v>12</v>
      </c>
      <c r="J3550" s="44" t="str">
        <f>VLOOKUP(G3550,[1]硬件清单!$F:$F,1,0)</f>
        <v>214637697</v>
      </c>
      <c r="K3550" s="43"/>
      <c r="L3550" s="44"/>
      <c r="M3550" s="45" t="s">
        <v>10923</v>
      </c>
    </row>
    <row r="3551" s="26" customFormat="1" ht="30" customHeight="1" spans="1:13">
      <c r="A3551" s="41">
        <f>IF(C3551="","",SUBTOTAL(103,$C$2:C3551))</f>
        <v>3542</v>
      </c>
      <c r="B3551" s="41">
        <v>1370</v>
      </c>
      <c r="C3551" s="41">
        <v>10981</v>
      </c>
      <c r="D3551" s="41" t="s">
        <v>45</v>
      </c>
      <c r="E3551" s="41" t="s">
        <v>1298</v>
      </c>
      <c r="F3551" s="41" t="s">
        <v>1455</v>
      </c>
      <c r="G3551" s="41" t="s">
        <v>10924</v>
      </c>
      <c r="H3551" s="41" t="s">
        <v>10925</v>
      </c>
      <c r="I3551" s="43">
        <v>12</v>
      </c>
      <c r="J3551" s="44" t="str">
        <f>VLOOKUP(G3551,[1]硬件清单!$F:$F,1,0)</f>
        <v>2102300742N0EA000082</v>
      </c>
      <c r="K3551" s="43"/>
      <c r="L3551" s="44"/>
      <c r="M3551" s="45" t="s">
        <v>10926</v>
      </c>
    </row>
    <row r="3552" s="26" customFormat="1" ht="30" customHeight="1" spans="1:13">
      <c r="A3552" s="41">
        <f>IF(C3552="","",SUBTOTAL(103,$C$2:C3552))</f>
        <v>3543</v>
      </c>
      <c r="B3552" s="41">
        <v>1371</v>
      </c>
      <c r="C3552" s="41">
        <v>10968</v>
      </c>
      <c r="D3552" s="41" t="s">
        <v>45</v>
      </c>
      <c r="E3552" s="41" t="s">
        <v>1298</v>
      </c>
      <c r="F3552" s="41" t="s">
        <v>8153</v>
      </c>
      <c r="G3552" s="41" t="s">
        <v>10927</v>
      </c>
      <c r="H3552" s="41" t="s">
        <v>10928</v>
      </c>
      <c r="I3552" s="43">
        <v>12</v>
      </c>
      <c r="J3552" s="44" t="str">
        <f>VLOOKUP(G3552,[1]硬件清单!$F:$F,1,0)</f>
        <v>210305485510EA000446</v>
      </c>
      <c r="K3552" s="43"/>
      <c r="L3552" s="44"/>
      <c r="M3552" s="45" t="s">
        <v>10929</v>
      </c>
    </row>
    <row r="3553" s="26" customFormat="1" ht="30" customHeight="1" spans="1:13">
      <c r="A3553" s="41">
        <f>IF(C3553="","",SUBTOTAL(103,$C$2:C3553))</f>
        <v>3544</v>
      </c>
      <c r="B3553" s="41">
        <v>1372</v>
      </c>
      <c r="C3553" s="41">
        <v>10977</v>
      </c>
      <c r="D3553" s="41" t="s">
        <v>45</v>
      </c>
      <c r="E3553" s="41" t="s">
        <v>1298</v>
      </c>
      <c r="F3553" s="41" t="s">
        <v>8153</v>
      </c>
      <c r="G3553" s="41" t="s">
        <v>10930</v>
      </c>
      <c r="H3553" s="41" t="s">
        <v>10931</v>
      </c>
      <c r="I3553" s="43">
        <v>12</v>
      </c>
      <c r="J3553" s="44" t="str">
        <f>VLOOKUP(G3553,[1]硬件清单!$F:$F,1,0)</f>
        <v>210305485510EA000477</v>
      </c>
      <c r="K3553" s="43"/>
      <c r="L3553" s="44"/>
      <c r="M3553" s="45" t="s">
        <v>10932</v>
      </c>
    </row>
    <row r="3554" s="26" customFormat="1" ht="30" customHeight="1" spans="1:13">
      <c r="A3554" s="41">
        <f>IF(C3554="","",SUBTOTAL(103,$C$2:C3554))</f>
        <v>3545</v>
      </c>
      <c r="B3554" s="41">
        <v>1373</v>
      </c>
      <c r="C3554" s="41">
        <v>10978</v>
      </c>
      <c r="D3554" s="41" t="s">
        <v>45</v>
      </c>
      <c r="E3554" s="41" t="s">
        <v>1298</v>
      </c>
      <c r="F3554" s="41" t="s">
        <v>8153</v>
      </c>
      <c r="G3554" s="41" t="s">
        <v>10933</v>
      </c>
      <c r="H3554" s="41" t="s">
        <v>10934</v>
      </c>
      <c r="I3554" s="43">
        <v>12</v>
      </c>
      <c r="J3554" s="44" t="str">
        <f>VLOOKUP(G3554,[1]硬件清单!$F:$F,1,0)</f>
        <v>210305485510EA000445</v>
      </c>
      <c r="K3554" s="43"/>
      <c r="L3554" s="44"/>
      <c r="M3554" s="45" t="s">
        <v>10935</v>
      </c>
    </row>
    <row r="3555" s="26" customFormat="1" ht="30" customHeight="1" spans="1:13">
      <c r="A3555" s="41">
        <f>IF(C3555="","",SUBTOTAL(103,$C$2:C3555))</f>
        <v>3546</v>
      </c>
      <c r="B3555" s="41">
        <v>1374</v>
      </c>
      <c r="C3555" s="41">
        <v>10979</v>
      </c>
      <c r="D3555" s="41" t="s">
        <v>45</v>
      </c>
      <c r="E3555" s="41" t="s">
        <v>1298</v>
      </c>
      <c r="F3555" s="41" t="s">
        <v>8153</v>
      </c>
      <c r="G3555" s="41" t="s">
        <v>10936</v>
      </c>
      <c r="H3555" s="41" t="s">
        <v>10937</v>
      </c>
      <c r="I3555" s="43">
        <v>12</v>
      </c>
      <c r="J3555" s="44" t="str">
        <f>VLOOKUP(G3555,[1]硬件清单!$F:$F,1,0)</f>
        <v>210305485510EA000571</v>
      </c>
      <c r="K3555" s="43"/>
      <c r="L3555" s="44"/>
      <c r="M3555" s="45" t="s">
        <v>10938</v>
      </c>
    </row>
    <row r="3556" s="26" customFormat="1" ht="30" customHeight="1" spans="1:13">
      <c r="A3556" s="41">
        <f>IF(C3556="","",SUBTOTAL(103,$C$2:C3556))</f>
        <v>3547</v>
      </c>
      <c r="B3556" s="41">
        <v>1375</v>
      </c>
      <c r="C3556" s="41">
        <v>10969</v>
      </c>
      <c r="D3556" s="41" t="s">
        <v>45</v>
      </c>
      <c r="E3556" s="41" t="s">
        <v>1298</v>
      </c>
      <c r="F3556" s="41" t="s">
        <v>8153</v>
      </c>
      <c r="G3556" s="41" t="s">
        <v>10939</v>
      </c>
      <c r="H3556" s="41" t="s">
        <v>10940</v>
      </c>
      <c r="I3556" s="43">
        <v>12</v>
      </c>
      <c r="J3556" s="44" t="str">
        <f>VLOOKUP(G3556,[1]硬件清单!$F:$F,1,0)</f>
        <v>210305485510EA000462</v>
      </c>
      <c r="K3556" s="43"/>
      <c r="L3556" s="44"/>
      <c r="M3556" s="45" t="s">
        <v>10941</v>
      </c>
    </row>
    <row r="3557" s="26" customFormat="1" ht="30" customHeight="1" spans="1:13">
      <c r="A3557" s="41">
        <f>IF(C3557="","",SUBTOTAL(103,$C$2:C3557))</f>
        <v>3548</v>
      </c>
      <c r="B3557" s="41">
        <v>1376</v>
      </c>
      <c r="C3557" s="41">
        <v>10970</v>
      </c>
      <c r="D3557" s="41" t="s">
        <v>45</v>
      </c>
      <c r="E3557" s="41" t="s">
        <v>1298</v>
      </c>
      <c r="F3557" s="41" t="s">
        <v>8153</v>
      </c>
      <c r="G3557" s="41" t="s">
        <v>10942</v>
      </c>
      <c r="H3557" s="41" t="s">
        <v>10943</v>
      </c>
      <c r="I3557" s="43">
        <v>12</v>
      </c>
      <c r="J3557" s="44" t="str">
        <f>VLOOKUP(G3557,[1]硬件清单!$F:$F,1,0)</f>
        <v>210305485510EA000608</v>
      </c>
      <c r="K3557" s="43"/>
      <c r="L3557" s="44"/>
      <c r="M3557" s="45" t="s">
        <v>10944</v>
      </c>
    </row>
    <row r="3558" s="26" customFormat="1" ht="30" customHeight="1" spans="1:13">
      <c r="A3558" s="41">
        <f>IF(C3558="","",SUBTOTAL(103,$C$2:C3558))</f>
        <v>3549</v>
      </c>
      <c r="B3558" s="41">
        <v>1377</v>
      </c>
      <c r="C3558" s="41">
        <v>10971</v>
      </c>
      <c r="D3558" s="41" t="s">
        <v>45</v>
      </c>
      <c r="E3558" s="41" t="s">
        <v>1298</v>
      </c>
      <c r="F3558" s="41" t="s">
        <v>8153</v>
      </c>
      <c r="G3558" s="41" t="s">
        <v>10945</v>
      </c>
      <c r="H3558" s="41" t="s">
        <v>10946</v>
      </c>
      <c r="I3558" s="43">
        <v>12</v>
      </c>
      <c r="J3558" s="44" t="str">
        <f>VLOOKUP(G3558,[1]硬件清单!$F:$F,1,0)</f>
        <v>210305485510EA000305</v>
      </c>
      <c r="K3558" s="43"/>
      <c r="L3558" s="44"/>
      <c r="M3558" s="45" t="s">
        <v>10947</v>
      </c>
    </row>
    <row r="3559" s="26" customFormat="1" ht="30" customHeight="1" spans="1:13">
      <c r="A3559" s="41">
        <f>IF(C3559="","",SUBTOTAL(103,$C$2:C3559))</f>
        <v>3550</v>
      </c>
      <c r="B3559" s="41">
        <v>1378</v>
      </c>
      <c r="C3559" s="41">
        <v>10972</v>
      </c>
      <c r="D3559" s="41" t="s">
        <v>45</v>
      </c>
      <c r="E3559" s="41" t="s">
        <v>1298</v>
      </c>
      <c r="F3559" s="41" t="s">
        <v>8153</v>
      </c>
      <c r="G3559" s="41" t="s">
        <v>10948</v>
      </c>
      <c r="H3559" s="41" t="s">
        <v>10949</v>
      </c>
      <c r="I3559" s="43">
        <v>12</v>
      </c>
      <c r="J3559" s="44" t="str">
        <f>VLOOKUP(G3559,[1]硬件清单!$F:$F,1,0)</f>
        <v>210305485510EA000587</v>
      </c>
      <c r="K3559" s="43"/>
      <c r="L3559" s="44"/>
      <c r="M3559" s="45" t="s">
        <v>10950</v>
      </c>
    </row>
    <row r="3560" s="26" customFormat="1" ht="30" customHeight="1" spans="1:13">
      <c r="A3560" s="41">
        <f>IF(C3560="","",SUBTOTAL(103,$C$2:C3560))</f>
        <v>3551</v>
      </c>
      <c r="B3560" s="41">
        <v>1379</v>
      </c>
      <c r="C3560" s="41">
        <v>10973</v>
      </c>
      <c r="D3560" s="41" t="s">
        <v>45</v>
      </c>
      <c r="E3560" s="41" t="s">
        <v>1298</v>
      </c>
      <c r="F3560" s="41" t="s">
        <v>8153</v>
      </c>
      <c r="G3560" s="41" t="s">
        <v>10951</v>
      </c>
      <c r="H3560" s="41" t="s">
        <v>10952</v>
      </c>
      <c r="I3560" s="43">
        <v>12</v>
      </c>
      <c r="J3560" s="44" t="str">
        <f>VLOOKUP(G3560,[1]硬件清单!$F:$F,1,0)</f>
        <v>210305485510EA000438</v>
      </c>
      <c r="K3560" s="43"/>
      <c r="L3560" s="44"/>
      <c r="M3560" s="45" t="s">
        <v>10953</v>
      </c>
    </row>
    <row r="3561" s="26" customFormat="1" ht="30" customHeight="1" spans="1:13">
      <c r="A3561" s="41">
        <f>IF(C3561="","",SUBTOTAL(103,$C$2:C3561))</f>
        <v>3552</v>
      </c>
      <c r="B3561" s="41">
        <v>1382</v>
      </c>
      <c r="C3561" s="41">
        <v>10976</v>
      </c>
      <c r="D3561" s="41" t="s">
        <v>45</v>
      </c>
      <c r="E3561" s="41" t="s">
        <v>1298</v>
      </c>
      <c r="F3561" s="41" t="s">
        <v>8153</v>
      </c>
      <c r="G3561" s="41" t="s">
        <v>10954</v>
      </c>
      <c r="H3561" s="41" t="s">
        <v>10955</v>
      </c>
      <c r="I3561" s="43">
        <v>12</v>
      </c>
      <c r="J3561" s="44" t="str">
        <f>VLOOKUP(G3561,[1]硬件清单!$F:$F,1,0)</f>
        <v>210305485510EA000576</v>
      </c>
      <c r="K3561" s="43"/>
      <c r="L3561" s="44"/>
      <c r="M3561" s="45" t="s">
        <v>10956</v>
      </c>
    </row>
    <row r="3562" s="26" customFormat="1" ht="30" customHeight="1" spans="1:13">
      <c r="A3562" s="41">
        <f>IF(C3562="","",SUBTOTAL(103,$C$2:C3562))</f>
        <v>3553</v>
      </c>
      <c r="B3562" s="41">
        <v>1398</v>
      </c>
      <c r="C3562" s="41">
        <v>10958</v>
      </c>
      <c r="D3562" s="41" t="s">
        <v>45</v>
      </c>
      <c r="E3562" s="41" t="s">
        <v>1298</v>
      </c>
      <c r="F3562" s="41" t="s">
        <v>8153</v>
      </c>
      <c r="G3562" s="41" t="s">
        <v>10957</v>
      </c>
      <c r="H3562" s="41" t="s">
        <v>10958</v>
      </c>
      <c r="I3562" s="43">
        <v>12</v>
      </c>
      <c r="J3562" s="44" t="str">
        <f>VLOOKUP(G3562,[1]硬件清单!$F:$F,1,0)</f>
        <v>210305485510EA000391</v>
      </c>
      <c r="K3562" s="43"/>
      <c r="L3562" s="44"/>
      <c r="M3562" s="45" t="s">
        <v>10959</v>
      </c>
    </row>
    <row r="3563" s="26" customFormat="1" ht="30" customHeight="1" spans="1:13">
      <c r="A3563" s="41">
        <f>IF(C3563="","",SUBTOTAL(103,$C$2:C3563))</f>
        <v>3554</v>
      </c>
      <c r="B3563" s="41">
        <v>1399</v>
      </c>
      <c r="C3563" s="41">
        <v>10959</v>
      </c>
      <c r="D3563" s="41" t="s">
        <v>45</v>
      </c>
      <c r="E3563" s="41" t="s">
        <v>1298</v>
      </c>
      <c r="F3563" s="41" t="s">
        <v>8153</v>
      </c>
      <c r="G3563" s="41" t="s">
        <v>10960</v>
      </c>
      <c r="H3563" s="41" t="s">
        <v>10961</v>
      </c>
      <c r="I3563" s="43">
        <v>12</v>
      </c>
      <c r="J3563" s="44" t="str">
        <f>VLOOKUP(G3563,[1]硬件清单!$F:$F,1,0)</f>
        <v>210305485510EA000454</v>
      </c>
      <c r="K3563" s="43"/>
      <c r="L3563" s="44"/>
      <c r="M3563" s="45" t="s">
        <v>10962</v>
      </c>
    </row>
    <row r="3564" s="26" customFormat="1" ht="30" customHeight="1" spans="1:13">
      <c r="A3564" s="41">
        <f>IF(C3564="","",SUBTOTAL(103,$C$2:C3564))</f>
        <v>3555</v>
      </c>
      <c r="B3564" s="41">
        <v>1400</v>
      </c>
      <c r="C3564" s="41">
        <v>10987</v>
      </c>
      <c r="D3564" s="41" t="s">
        <v>45</v>
      </c>
      <c r="E3564" s="41" t="s">
        <v>1298</v>
      </c>
      <c r="F3564" s="41" t="s">
        <v>6965</v>
      </c>
      <c r="G3564" s="41" t="s">
        <v>10963</v>
      </c>
      <c r="H3564" s="41" t="s">
        <v>10964</v>
      </c>
      <c r="I3564" s="43">
        <v>12</v>
      </c>
      <c r="J3564" s="44" t="str">
        <f>VLOOKUP(G3564,[1]硬件清单!$F:$F,1,0)</f>
        <v>06CT277</v>
      </c>
      <c r="K3564" s="43"/>
      <c r="L3564" s="44"/>
      <c r="M3564" s="45" t="s">
        <v>10965</v>
      </c>
    </row>
    <row r="3565" s="26" customFormat="1" ht="30" customHeight="1" spans="1:13">
      <c r="A3565" s="41">
        <f>IF(C3565="","",SUBTOTAL(103,$C$2:C3565))</f>
        <v>3556</v>
      </c>
      <c r="B3565" s="41">
        <v>1401</v>
      </c>
      <c r="C3565" s="41">
        <v>10986</v>
      </c>
      <c r="D3565" s="41" t="s">
        <v>45</v>
      </c>
      <c r="E3565" s="41" t="s">
        <v>1298</v>
      </c>
      <c r="F3565" s="41" t="s">
        <v>6965</v>
      </c>
      <c r="G3565" s="41" t="s">
        <v>10966</v>
      </c>
      <c r="H3565" s="41" t="s">
        <v>10967</v>
      </c>
      <c r="I3565" s="43">
        <v>12</v>
      </c>
      <c r="J3565" s="44" t="str">
        <f>VLOOKUP(G3565,[1]硬件清单!$F:$F,1,0)</f>
        <v>06CT314</v>
      </c>
      <c r="K3565" s="43"/>
      <c r="L3565" s="44"/>
      <c r="M3565" s="45" t="s">
        <v>10968</v>
      </c>
    </row>
    <row r="3566" s="26" customFormat="1" ht="30" customHeight="1" spans="1:13">
      <c r="A3566" s="41">
        <f>IF(C3566="","",SUBTOTAL(103,$C$2:C3566))</f>
        <v>3557</v>
      </c>
      <c r="B3566" s="41">
        <v>1402</v>
      </c>
      <c r="C3566" s="41">
        <v>10985</v>
      </c>
      <c r="D3566" s="41" t="s">
        <v>45</v>
      </c>
      <c r="E3566" s="41" t="s">
        <v>1298</v>
      </c>
      <c r="F3566" s="41" t="s">
        <v>6965</v>
      </c>
      <c r="G3566" s="41" t="s">
        <v>10969</v>
      </c>
      <c r="H3566" s="41" t="s">
        <v>10970</v>
      </c>
      <c r="I3566" s="43">
        <v>12</v>
      </c>
      <c r="J3566" s="44" t="str">
        <f>VLOOKUP(G3566,[1]硬件清单!$F:$F,1,0)</f>
        <v>06CT292</v>
      </c>
      <c r="K3566" s="43"/>
      <c r="L3566" s="44"/>
      <c r="M3566" s="45" t="s">
        <v>10971</v>
      </c>
    </row>
    <row r="3567" s="26" customFormat="1" ht="30" customHeight="1" spans="1:13">
      <c r="A3567" s="41">
        <f>IF(C3567="","",SUBTOTAL(103,$C$2:C3567))</f>
        <v>3558</v>
      </c>
      <c r="B3567" s="41">
        <v>1403</v>
      </c>
      <c r="C3567" s="41">
        <v>10984</v>
      </c>
      <c r="D3567" s="41" t="s">
        <v>45</v>
      </c>
      <c r="E3567" s="41" t="s">
        <v>1298</v>
      </c>
      <c r="F3567" s="41" t="s">
        <v>6965</v>
      </c>
      <c r="G3567" s="41" t="s">
        <v>10972</v>
      </c>
      <c r="H3567" s="41" t="s">
        <v>10973</v>
      </c>
      <c r="I3567" s="43">
        <v>12</v>
      </c>
      <c r="J3567" s="44" t="str">
        <f>VLOOKUP(G3567,[1]硬件清单!$F:$F,1,0)</f>
        <v>06CT343</v>
      </c>
      <c r="K3567" s="43"/>
      <c r="L3567" s="44"/>
      <c r="M3567" s="45" t="s">
        <v>10974</v>
      </c>
    </row>
    <row r="3568" s="26" customFormat="1" ht="30" customHeight="1" spans="1:13">
      <c r="A3568" s="41">
        <f>IF(C3568="","",SUBTOTAL(103,$C$2:C3568))</f>
        <v>3559</v>
      </c>
      <c r="B3568" s="41">
        <v>1404</v>
      </c>
      <c r="C3568" s="41">
        <v>10983</v>
      </c>
      <c r="D3568" s="41" t="s">
        <v>45</v>
      </c>
      <c r="E3568" s="41" t="s">
        <v>1298</v>
      </c>
      <c r="F3568" s="41" t="s">
        <v>6965</v>
      </c>
      <c r="G3568" s="41" t="s">
        <v>10975</v>
      </c>
      <c r="H3568" s="41" t="s">
        <v>10976</v>
      </c>
      <c r="I3568" s="43">
        <v>12</v>
      </c>
      <c r="J3568" s="44" t="str">
        <f>VLOOKUP(G3568,[1]硬件清单!$F:$F,1,0)</f>
        <v>06CT281</v>
      </c>
      <c r="K3568" s="43"/>
      <c r="L3568" s="44"/>
      <c r="M3568" s="45" t="s">
        <v>10977</v>
      </c>
    </row>
    <row r="3569" s="26" customFormat="1" ht="30" customHeight="1" spans="1:13">
      <c r="A3569" s="41">
        <f>IF(C3569="","",SUBTOTAL(103,$C$2:C3569))</f>
        <v>3560</v>
      </c>
      <c r="B3569" s="41">
        <v>1405</v>
      </c>
      <c r="C3569" s="41">
        <v>10982</v>
      </c>
      <c r="D3569" s="41" t="s">
        <v>45</v>
      </c>
      <c r="E3569" s="41" t="s">
        <v>1298</v>
      </c>
      <c r="F3569" s="41" t="s">
        <v>6965</v>
      </c>
      <c r="G3569" s="41" t="s">
        <v>10978</v>
      </c>
      <c r="H3569" s="41" t="s">
        <v>10979</v>
      </c>
      <c r="I3569" s="43">
        <v>12</v>
      </c>
      <c r="J3569" s="44" t="str">
        <f>VLOOKUP(G3569,[1]硬件清单!$F:$F,1,0)</f>
        <v>06CT300</v>
      </c>
      <c r="K3569" s="43"/>
      <c r="L3569" s="44"/>
      <c r="M3569" s="45" t="s">
        <v>10980</v>
      </c>
    </row>
    <row r="3570" s="26" customFormat="1" ht="30" customHeight="1" spans="1:13">
      <c r="A3570" s="41">
        <f>IF(C3570="","",SUBTOTAL(103,$C$2:C3570))</f>
        <v>3561</v>
      </c>
      <c r="B3570" s="41">
        <v>1406</v>
      </c>
      <c r="C3570" s="41">
        <v>10997</v>
      </c>
      <c r="D3570" s="41" t="s">
        <v>45</v>
      </c>
      <c r="E3570" s="41" t="s">
        <v>1298</v>
      </c>
      <c r="F3570" s="41" t="s">
        <v>6784</v>
      </c>
      <c r="G3570" s="41" t="s">
        <v>10981</v>
      </c>
      <c r="H3570" s="41" t="s">
        <v>10982</v>
      </c>
      <c r="I3570" s="43">
        <v>12</v>
      </c>
      <c r="J3570" s="44" t="str">
        <f>VLOOKUP(G3570,[1]硬件清单!$F:$F,1,0)</f>
        <v>6CU4421WC6</v>
      </c>
      <c r="K3570" s="43"/>
      <c r="L3570" s="44"/>
      <c r="M3570" s="45" t="s">
        <v>10983</v>
      </c>
    </row>
    <row r="3571" s="26" customFormat="1" ht="30" customHeight="1" spans="1:13">
      <c r="A3571" s="41">
        <f>IF(C3571="","",SUBTOTAL(103,$C$2:C3571))</f>
        <v>3562</v>
      </c>
      <c r="B3571" s="41">
        <v>1407</v>
      </c>
      <c r="C3571" s="41">
        <v>10996</v>
      </c>
      <c r="D3571" s="41" t="s">
        <v>45</v>
      </c>
      <c r="E3571" s="41" t="s">
        <v>1298</v>
      </c>
      <c r="F3571" s="41" t="s">
        <v>6784</v>
      </c>
      <c r="G3571" s="41" t="s">
        <v>10984</v>
      </c>
      <c r="H3571" s="41" t="s">
        <v>10985</v>
      </c>
      <c r="I3571" s="43">
        <v>12</v>
      </c>
      <c r="J3571" s="44" t="str">
        <f>VLOOKUP(G3571,[1]硬件清单!$F:$F,1,0)</f>
        <v>6CU4421WCC</v>
      </c>
      <c r="K3571" s="43"/>
      <c r="L3571" s="44"/>
      <c r="M3571" s="45" t="s">
        <v>10986</v>
      </c>
    </row>
    <row r="3572" s="26" customFormat="1" ht="30" customHeight="1" spans="1:13">
      <c r="A3572" s="41">
        <f>IF(C3572="","",SUBTOTAL(103,$C$2:C3572))</f>
        <v>3563</v>
      </c>
      <c r="B3572" s="41">
        <v>1408</v>
      </c>
      <c r="C3572" s="41">
        <v>10991</v>
      </c>
      <c r="D3572" s="41" t="s">
        <v>45</v>
      </c>
      <c r="E3572" s="41" t="s">
        <v>1298</v>
      </c>
      <c r="F3572" s="41" t="s">
        <v>6965</v>
      </c>
      <c r="G3572" s="41" t="s">
        <v>10987</v>
      </c>
      <c r="H3572" s="41" t="s">
        <v>10988</v>
      </c>
      <c r="I3572" s="43">
        <v>12</v>
      </c>
      <c r="J3572" s="44" t="str">
        <f>VLOOKUP(G3572,[1]硬件清单!$F:$F,1,0)</f>
        <v>06CP869</v>
      </c>
      <c r="K3572" s="43"/>
      <c r="L3572" s="44"/>
      <c r="M3572" s="45" t="s">
        <v>10989</v>
      </c>
    </row>
    <row r="3573" s="26" customFormat="1" ht="30" customHeight="1" spans="1:13">
      <c r="A3573" s="41">
        <f>IF(C3573="","",SUBTOTAL(103,$C$2:C3573))</f>
        <v>3564</v>
      </c>
      <c r="B3573" s="41">
        <v>1409</v>
      </c>
      <c r="C3573" s="41">
        <v>10990</v>
      </c>
      <c r="D3573" s="41" t="s">
        <v>45</v>
      </c>
      <c r="E3573" s="41" t="s">
        <v>1298</v>
      </c>
      <c r="F3573" s="41" t="s">
        <v>6965</v>
      </c>
      <c r="G3573" s="41" t="s">
        <v>10990</v>
      </c>
      <c r="H3573" s="41" t="s">
        <v>10991</v>
      </c>
      <c r="I3573" s="43">
        <v>12</v>
      </c>
      <c r="J3573" s="44" t="str">
        <f>VLOOKUP(G3573,[1]硬件清单!$F:$F,1,0)</f>
        <v>06CP867</v>
      </c>
      <c r="K3573" s="43"/>
      <c r="L3573" s="44"/>
      <c r="M3573" s="45" t="s">
        <v>10992</v>
      </c>
    </row>
    <row r="3574" s="26" customFormat="1" ht="30" customHeight="1" spans="1:13">
      <c r="A3574" s="41">
        <f>IF(C3574="","",SUBTOTAL(103,$C$2:C3574))</f>
        <v>3565</v>
      </c>
      <c r="B3574" s="41">
        <v>1410</v>
      </c>
      <c r="C3574" s="41">
        <v>10989</v>
      </c>
      <c r="D3574" s="41" t="s">
        <v>45</v>
      </c>
      <c r="E3574" s="41" t="s">
        <v>1298</v>
      </c>
      <c r="F3574" s="41" t="s">
        <v>6965</v>
      </c>
      <c r="G3574" s="41" t="s">
        <v>10993</v>
      </c>
      <c r="H3574" s="41" t="s">
        <v>10994</v>
      </c>
      <c r="I3574" s="43">
        <v>12</v>
      </c>
      <c r="J3574" s="44" t="str">
        <f>VLOOKUP(G3574,[1]硬件清单!$F:$F,1,0)</f>
        <v>06CT282</v>
      </c>
      <c r="K3574" s="43"/>
      <c r="L3574" s="44"/>
      <c r="M3574" s="45" t="s">
        <v>10995</v>
      </c>
    </row>
    <row r="3575" s="26" customFormat="1" ht="30" customHeight="1" spans="1:13">
      <c r="A3575" s="41">
        <f>IF(C3575="","",SUBTOTAL(103,$C$2:C3575))</f>
        <v>3566</v>
      </c>
      <c r="B3575" s="41">
        <v>1411</v>
      </c>
      <c r="C3575" s="41">
        <v>10988</v>
      </c>
      <c r="D3575" s="41" t="s">
        <v>45</v>
      </c>
      <c r="E3575" s="41" t="s">
        <v>1298</v>
      </c>
      <c r="F3575" s="41" t="s">
        <v>6965</v>
      </c>
      <c r="G3575" s="41" t="s">
        <v>10996</v>
      </c>
      <c r="H3575" s="41" t="s">
        <v>10997</v>
      </c>
      <c r="I3575" s="43">
        <v>12</v>
      </c>
      <c r="J3575" s="44" t="str">
        <f>VLOOKUP(G3575,[1]硬件清单!$F:$F,1,0)</f>
        <v>06CT320</v>
      </c>
      <c r="K3575" s="43"/>
      <c r="L3575" s="44"/>
      <c r="M3575" s="45" t="s">
        <v>10998</v>
      </c>
    </row>
    <row r="3576" s="26" customFormat="1" ht="30" customHeight="1" spans="1:13">
      <c r="A3576" s="41">
        <f>IF(C3576="","",SUBTOTAL(103,$C$2:C3576))</f>
        <v>3567</v>
      </c>
      <c r="B3576" s="41">
        <v>1412</v>
      </c>
      <c r="C3576" s="41">
        <v>10995</v>
      </c>
      <c r="D3576" s="41" t="s">
        <v>45</v>
      </c>
      <c r="E3576" s="41" t="s">
        <v>1298</v>
      </c>
      <c r="F3576" s="41" t="s">
        <v>6965</v>
      </c>
      <c r="G3576" s="41" t="s">
        <v>10999</v>
      </c>
      <c r="H3576" s="41" t="s">
        <v>11000</v>
      </c>
      <c r="I3576" s="43">
        <v>12</v>
      </c>
      <c r="J3576" s="44" t="str">
        <f>VLOOKUP(G3576,[1]硬件清单!$F:$F,1,0)</f>
        <v>06CT310</v>
      </c>
      <c r="K3576" s="43"/>
      <c r="L3576" s="44"/>
      <c r="M3576" s="45" t="s">
        <v>11001</v>
      </c>
    </row>
    <row r="3577" s="26" customFormat="1" ht="30" customHeight="1" spans="1:13">
      <c r="A3577" s="41">
        <f>IF(C3577="","",SUBTOTAL(103,$C$2:C3577))</f>
        <v>3568</v>
      </c>
      <c r="B3577" s="41">
        <v>1413</v>
      </c>
      <c r="C3577" s="41">
        <v>10994</v>
      </c>
      <c r="D3577" s="41" t="s">
        <v>45</v>
      </c>
      <c r="E3577" s="41" t="s">
        <v>1298</v>
      </c>
      <c r="F3577" s="41" t="s">
        <v>6965</v>
      </c>
      <c r="G3577" s="41" t="s">
        <v>11002</v>
      </c>
      <c r="H3577" s="41" t="s">
        <v>11003</v>
      </c>
      <c r="I3577" s="43">
        <v>12</v>
      </c>
      <c r="J3577" s="44" t="str">
        <f>VLOOKUP(G3577,[1]硬件清单!$F:$F,1,0)</f>
        <v>06CP870</v>
      </c>
      <c r="K3577" s="43"/>
      <c r="L3577" s="44"/>
      <c r="M3577" s="45" t="s">
        <v>11004</v>
      </c>
    </row>
    <row r="3578" s="26" customFormat="1" ht="30" customHeight="1" spans="1:13">
      <c r="A3578" s="41">
        <f>IF(C3578="","",SUBTOTAL(103,$C$2:C3578))</f>
        <v>3569</v>
      </c>
      <c r="B3578" s="41">
        <v>1414</v>
      </c>
      <c r="C3578" s="41">
        <v>10993</v>
      </c>
      <c r="D3578" s="41" t="s">
        <v>45</v>
      </c>
      <c r="E3578" s="41" t="s">
        <v>1298</v>
      </c>
      <c r="F3578" s="41" t="s">
        <v>6965</v>
      </c>
      <c r="G3578" s="41" t="s">
        <v>11005</v>
      </c>
      <c r="H3578" s="41" t="s">
        <v>11006</v>
      </c>
      <c r="I3578" s="43">
        <v>12</v>
      </c>
      <c r="J3578" s="44" t="str">
        <f>VLOOKUP(G3578,[1]硬件清单!$F:$F,1,0)</f>
        <v>06CT334</v>
      </c>
      <c r="K3578" s="43"/>
      <c r="L3578" s="44"/>
      <c r="M3578" s="45" t="s">
        <v>11007</v>
      </c>
    </row>
    <row r="3579" s="26" customFormat="1" ht="30" customHeight="1" spans="1:13">
      <c r="A3579" s="41">
        <f>IF(C3579="","",SUBTOTAL(103,$C$2:C3579))</f>
        <v>3570</v>
      </c>
      <c r="B3579" s="41">
        <v>1415</v>
      </c>
      <c r="C3579" s="41">
        <v>10992</v>
      </c>
      <c r="D3579" s="41" t="s">
        <v>45</v>
      </c>
      <c r="E3579" s="41" t="s">
        <v>1298</v>
      </c>
      <c r="F3579" s="41" t="s">
        <v>6965</v>
      </c>
      <c r="G3579" s="41" t="s">
        <v>11008</v>
      </c>
      <c r="H3579" s="41" t="s">
        <v>11009</v>
      </c>
      <c r="I3579" s="43">
        <v>12</v>
      </c>
      <c r="J3579" s="44" t="str">
        <f>VLOOKUP(G3579,[1]硬件清单!$F:$F,1,0)</f>
        <v>06CT276</v>
      </c>
      <c r="K3579" s="43"/>
      <c r="L3579" s="44"/>
      <c r="M3579" s="45" t="s">
        <v>11010</v>
      </c>
    </row>
    <row r="3580" s="26" customFormat="1" ht="30" customHeight="1" spans="1:13">
      <c r="A3580" s="41">
        <f>IF(C3580="","",SUBTOTAL(103,$C$2:C3580))</f>
        <v>3571</v>
      </c>
      <c r="B3580" s="41">
        <v>1416</v>
      </c>
      <c r="C3580" s="41">
        <v>14344</v>
      </c>
      <c r="D3580" s="41" t="s">
        <v>45</v>
      </c>
      <c r="E3580" s="41" t="s">
        <v>1298</v>
      </c>
      <c r="F3580" s="41" t="s">
        <v>10796</v>
      </c>
      <c r="G3580" s="41" t="s">
        <v>11011</v>
      </c>
      <c r="H3580" s="41" t="s">
        <v>11012</v>
      </c>
      <c r="I3580" s="43">
        <v>12</v>
      </c>
      <c r="J3580" s="44" t="str">
        <f>VLOOKUP(G3580,[1]硬件清单!$F:$F,1,0)</f>
        <v>J320C2D</v>
      </c>
      <c r="K3580" s="43"/>
      <c r="L3580" s="44"/>
      <c r="M3580" s="45" t="s">
        <v>11013</v>
      </c>
    </row>
    <row r="3581" s="26" customFormat="1" ht="30" customHeight="1" spans="1:13">
      <c r="A3581" s="41">
        <f>IF(C3581="","",SUBTOTAL(103,$C$2:C3581))</f>
        <v>3572</v>
      </c>
      <c r="B3581" s="41">
        <v>1417</v>
      </c>
      <c r="C3581" s="41">
        <v>14343</v>
      </c>
      <c r="D3581" s="41" t="s">
        <v>45</v>
      </c>
      <c r="E3581" s="41" t="s">
        <v>1298</v>
      </c>
      <c r="F3581" s="41" t="s">
        <v>10796</v>
      </c>
      <c r="G3581" s="41" t="s">
        <v>11014</v>
      </c>
      <c r="H3581" s="41" t="s">
        <v>11015</v>
      </c>
      <c r="I3581" s="43">
        <v>12</v>
      </c>
      <c r="J3581" s="44" t="str">
        <f>VLOOKUP(G3581,[1]硬件清单!$F:$F,1,0)</f>
        <v>J320C29</v>
      </c>
      <c r="K3581" s="43"/>
      <c r="L3581" s="44"/>
      <c r="M3581" s="45" t="s">
        <v>11016</v>
      </c>
    </row>
    <row r="3582" s="26" customFormat="1" ht="30" customHeight="1" spans="1:13">
      <c r="A3582" s="41">
        <f>IF(C3582="","",SUBTOTAL(103,$C$2:C3582))</f>
        <v>3573</v>
      </c>
      <c r="B3582" s="41">
        <v>1418</v>
      </c>
      <c r="C3582" s="41">
        <v>11128</v>
      </c>
      <c r="D3582" s="41" t="s">
        <v>19</v>
      </c>
      <c r="E3582" s="41" t="s">
        <v>20</v>
      </c>
      <c r="F3582" s="41" t="s">
        <v>11017</v>
      </c>
      <c r="G3582" s="41" t="s">
        <v>11018</v>
      </c>
      <c r="H3582" s="41" t="s">
        <v>11019</v>
      </c>
      <c r="I3582" s="43">
        <v>12</v>
      </c>
      <c r="J3582" s="44" t="str">
        <f>VLOOKUP(G3582,[1]硬件清单!$F:$F,1,0)</f>
        <v>210231AOQBH148000001</v>
      </c>
      <c r="K3582" s="43"/>
      <c r="L3582" s="44"/>
      <c r="M3582" s="45" t="s">
        <v>11020</v>
      </c>
    </row>
    <row r="3583" s="26" customFormat="1" ht="30" customHeight="1" spans="1:13">
      <c r="A3583" s="41">
        <f>IF(C3583="","",SUBTOTAL(103,$C$2:C3583))</f>
        <v>3574</v>
      </c>
      <c r="B3583" s="41">
        <v>1419</v>
      </c>
      <c r="C3583" s="41">
        <v>13604</v>
      </c>
      <c r="D3583" s="41" t="s">
        <v>19</v>
      </c>
      <c r="E3583" s="41" t="s">
        <v>20</v>
      </c>
      <c r="F3583" s="41" t="s">
        <v>3765</v>
      </c>
      <c r="G3583" s="41" t="s">
        <v>11021</v>
      </c>
      <c r="H3583" s="41" t="s">
        <v>11022</v>
      </c>
      <c r="I3583" s="43">
        <v>12</v>
      </c>
      <c r="J3583" s="44" t="str">
        <f>VLOOKUP(G3583,[1]硬件清单!$F:$F,1,0)</f>
        <v>210235A3GLH195000042</v>
      </c>
      <c r="K3583" s="43"/>
      <c r="L3583" s="44"/>
      <c r="M3583" s="45" t="s">
        <v>11023</v>
      </c>
    </row>
    <row r="3584" s="26" customFormat="1" ht="30" customHeight="1" spans="1:13">
      <c r="A3584" s="41">
        <f>IF(C3584="","",SUBTOTAL(103,$C$2:C3584))</f>
        <v>3575</v>
      </c>
      <c r="B3584" s="41">
        <v>1420</v>
      </c>
      <c r="C3584" s="41">
        <v>13603</v>
      </c>
      <c r="D3584" s="41" t="s">
        <v>19</v>
      </c>
      <c r="E3584" s="41" t="s">
        <v>20</v>
      </c>
      <c r="F3584" s="41" t="s">
        <v>3765</v>
      </c>
      <c r="G3584" s="41" t="s">
        <v>11024</v>
      </c>
      <c r="H3584" s="41" t="s">
        <v>11025</v>
      </c>
      <c r="I3584" s="43">
        <v>12</v>
      </c>
      <c r="J3584" s="44" t="str">
        <f>VLOOKUP(G3584,[1]硬件清单!$F:$F,1,0)</f>
        <v>210235A3GLH195000030</v>
      </c>
      <c r="K3584" s="43"/>
      <c r="L3584" s="44"/>
      <c r="M3584" s="45" t="s">
        <v>11026</v>
      </c>
    </row>
    <row r="3585" s="26" customFormat="1" ht="30" customHeight="1" spans="1:13">
      <c r="A3585" s="41">
        <f>IF(C3585="","",SUBTOTAL(103,$C$2:C3585))</f>
        <v>3576</v>
      </c>
      <c r="B3585" s="41">
        <v>1421</v>
      </c>
      <c r="C3585" s="41">
        <v>11129</v>
      </c>
      <c r="D3585" s="41" t="s">
        <v>19</v>
      </c>
      <c r="E3585" s="41" t="s">
        <v>20</v>
      </c>
      <c r="F3585" s="41" t="s">
        <v>11017</v>
      </c>
      <c r="G3585" s="41" t="s">
        <v>11027</v>
      </c>
      <c r="H3585" s="41" t="s">
        <v>11028</v>
      </c>
      <c r="I3585" s="43">
        <v>12</v>
      </c>
      <c r="J3585" s="44" t="str">
        <f>VLOOKUP(G3585,[1]硬件清单!$F:$F,1,0)</f>
        <v>210231AOQBH148000028</v>
      </c>
      <c r="K3585" s="43"/>
      <c r="L3585" s="44"/>
      <c r="M3585" s="45" t="s">
        <v>11029</v>
      </c>
    </row>
    <row r="3586" s="26" customFormat="1" ht="30" customHeight="1" spans="1:13">
      <c r="A3586" s="41">
        <f>IF(C3586="","",SUBTOTAL(103,$C$2:C3586))</f>
        <v>3577</v>
      </c>
      <c r="B3586" s="41">
        <v>1422</v>
      </c>
      <c r="C3586" s="41">
        <v>8916</v>
      </c>
      <c r="D3586" s="41" t="s">
        <v>45</v>
      </c>
      <c r="E3586" s="41" t="s">
        <v>1298</v>
      </c>
      <c r="F3586" s="41" t="s">
        <v>8426</v>
      </c>
      <c r="G3586" s="41" t="s">
        <v>11030</v>
      </c>
      <c r="H3586" s="41" t="s">
        <v>11031</v>
      </c>
      <c r="I3586" s="43">
        <v>12</v>
      </c>
      <c r="J3586" s="44" t="str">
        <f>VLOOKUP(G3586,[1]硬件清单!$F:$F,1,0)</f>
        <v>06ACPF2</v>
      </c>
      <c r="K3586" s="43"/>
      <c r="L3586" s="44"/>
      <c r="M3586" s="45" t="s">
        <v>11032</v>
      </c>
    </row>
    <row r="3587" s="26" customFormat="1" ht="30" customHeight="1" spans="1:13">
      <c r="A3587" s="41">
        <f>IF(C3587="","",SUBTOTAL(103,$C$2:C3587))</f>
        <v>3578</v>
      </c>
      <c r="B3587" s="41">
        <v>1423</v>
      </c>
      <c r="C3587" s="41">
        <v>8917</v>
      </c>
      <c r="D3587" s="41" t="s">
        <v>45</v>
      </c>
      <c r="E3587" s="41" t="s">
        <v>1298</v>
      </c>
      <c r="F3587" s="41" t="s">
        <v>8426</v>
      </c>
      <c r="G3587" s="41" t="s">
        <v>11033</v>
      </c>
      <c r="H3587" s="41" t="s">
        <v>11034</v>
      </c>
      <c r="I3587" s="43">
        <v>12</v>
      </c>
      <c r="J3587" s="44" t="str">
        <f>VLOOKUP(G3587,[1]硬件清单!$F:$F,1,0)</f>
        <v>06ACPR1</v>
      </c>
      <c r="K3587" s="43"/>
      <c r="L3587" s="44"/>
      <c r="M3587" s="45" t="s">
        <v>11035</v>
      </c>
    </row>
    <row r="3588" s="26" customFormat="1" ht="30" customHeight="1" spans="1:13">
      <c r="A3588" s="41">
        <f>IF(C3588="","",SUBTOTAL(103,$C$2:C3588))</f>
        <v>3579</v>
      </c>
      <c r="B3588" s="41">
        <v>1424</v>
      </c>
      <c r="C3588" s="41">
        <v>8928</v>
      </c>
      <c r="D3588" s="41" t="s">
        <v>45</v>
      </c>
      <c r="E3588" s="41" t="s">
        <v>1298</v>
      </c>
      <c r="F3588" s="41" t="s">
        <v>8426</v>
      </c>
      <c r="G3588" s="41" t="s">
        <v>11036</v>
      </c>
      <c r="H3588" s="41" t="s">
        <v>11037</v>
      </c>
      <c r="I3588" s="43">
        <v>12</v>
      </c>
      <c r="J3588" s="44" t="str">
        <f>VLOOKUP(G3588,[1]硬件清单!$F:$F,1,0)</f>
        <v>06ACPB7</v>
      </c>
      <c r="K3588" s="43"/>
      <c r="L3588" s="44"/>
      <c r="M3588" s="45" t="s">
        <v>11038</v>
      </c>
    </row>
    <row r="3589" s="26" customFormat="1" ht="30" customHeight="1" spans="1:13">
      <c r="A3589" s="41">
        <f>IF(C3589="","",SUBTOTAL(103,$C$2:C3589))</f>
        <v>3580</v>
      </c>
      <c r="B3589" s="41">
        <v>1425</v>
      </c>
      <c r="C3589" s="41">
        <v>8937</v>
      </c>
      <c r="D3589" s="41" t="s">
        <v>45</v>
      </c>
      <c r="E3589" s="41" t="s">
        <v>1298</v>
      </c>
      <c r="F3589" s="41" t="s">
        <v>8426</v>
      </c>
      <c r="G3589" s="41" t="s">
        <v>11039</v>
      </c>
      <c r="H3589" s="41" t="s">
        <v>11040</v>
      </c>
      <c r="I3589" s="43">
        <v>12</v>
      </c>
      <c r="J3589" s="44" t="str">
        <f>VLOOKUP(G3589,[1]硬件清单!$F:$F,1,0)</f>
        <v>06ACPA5</v>
      </c>
      <c r="K3589" s="43"/>
      <c r="L3589" s="44"/>
      <c r="M3589" s="45" t="s">
        <v>11041</v>
      </c>
    </row>
    <row r="3590" s="26" customFormat="1" ht="30" customHeight="1" spans="1:13">
      <c r="A3590" s="41">
        <f>IF(C3590="","",SUBTOTAL(103,$C$2:C3590))</f>
        <v>3581</v>
      </c>
      <c r="B3590" s="41">
        <v>1426</v>
      </c>
      <c r="C3590" s="41">
        <v>8938</v>
      </c>
      <c r="D3590" s="41" t="s">
        <v>45</v>
      </c>
      <c r="E3590" s="41" t="s">
        <v>1298</v>
      </c>
      <c r="F3590" s="41" t="s">
        <v>8426</v>
      </c>
      <c r="G3590" s="41" t="s">
        <v>11042</v>
      </c>
      <c r="H3590" s="41" t="s">
        <v>11043</v>
      </c>
      <c r="I3590" s="43">
        <v>12</v>
      </c>
      <c r="J3590" s="44" t="str">
        <f>VLOOKUP(G3590,[1]硬件清单!$F:$F,1,0)</f>
        <v>06ACPN1</v>
      </c>
      <c r="K3590" s="43"/>
      <c r="L3590" s="44"/>
      <c r="M3590" s="45" t="s">
        <v>11044</v>
      </c>
    </row>
    <row r="3591" s="26" customFormat="1" ht="30" customHeight="1" spans="1:13">
      <c r="A3591" s="41">
        <f>IF(C3591="","",SUBTOTAL(103,$C$2:C3591))</f>
        <v>3582</v>
      </c>
      <c r="B3591" s="41">
        <v>1427</v>
      </c>
      <c r="C3591" s="41">
        <v>8939</v>
      </c>
      <c r="D3591" s="41" t="s">
        <v>45</v>
      </c>
      <c r="E3591" s="41" t="s">
        <v>1298</v>
      </c>
      <c r="F3591" s="41" t="s">
        <v>8426</v>
      </c>
      <c r="G3591" s="41" t="s">
        <v>11045</v>
      </c>
      <c r="H3591" s="41" t="s">
        <v>11046</v>
      </c>
      <c r="I3591" s="43">
        <v>12</v>
      </c>
      <c r="J3591" s="44" t="str">
        <f>VLOOKUP(G3591,[1]硬件清单!$F:$F,1,0)</f>
        <v>06ACNW0</v>
      </c>
      <c r="K3591" s="43"/>
      <c r="L3591" s="44"/>
      <c r="M3591" s="45" t="s">
        <v>11047</v>
      </c>
    </row>
    <row r="3592" s="26" customFormat="1" ht="30" customHeight="1" spans="1:13">
      <c r="A3592" s="41">
        <f>IF(C3592="","",SUBTOTAL(103,$C$2:C3592))</f>
        <v>3583</v>
      </c>
      <c r="B3592" s="41">
        <v>1428</v>
      </c>
      <c r="C3592" s="41">
        <v>8940</v>
      </c>
      <c r="D3592" s="41" t="s">
        <v>45</v>
      </c>
      <c r="E3592" s="41" t="s">
        <v>1298</v>
      </c>
      <c r="F3592" s="41" t="s">
        <v>8426</v>
      </c>
      <c r="G3592" s="41" t="s">
        <v>11048</v>
      </c>
      <c r="H3592" s="41" t="s">
        <v>11049</v>
      </c>
      <c r="I3592" s="43">
        <v>12</v>
      </c>
      <c r="J3592" s="44" t="str">
        <f>VLOOKUP(G3592,[1]硬件清单!$F:$F,1,0)</f>
        <v>06ACPZ3</v>
      </c>
      <c r="K3592" s="43"/>
      <c r="L3592" s="44"/>
      <c r="M3592" s="45" t="s">
        <v>11050</v>
      </c>
    </row>
    <row r="3593" s="26" customFormat="1" ht="30" customHeight="1" spans="1:13">
      <c r="A3593" s="41">
        <f>IF(C3593="","",SUBTOTAL(103,$C$2:C3593))</f>
        <v>3584</v>
      </c>
      <c r="B3593" s="41">
        <v>1429</v>
      </c>
      <c r="C3593" s="41">
        <v>8941</v>
      </c>
      <c r="D3593" s="41" t="s">
        <v>45</v>
      </c>
      <c r="E3593" s="41" t="s">
        <v>1298</v>
      </c>
      <c r="F3593" s="41" t="s">
        <v>8426</v>
      </c>
      <c r="G3593" s="41" t="s">
        <v>11051</v>
      </c>
      <c r="H3593" s="41" t="s">
        <v>11052</v>
      </c>
      <c r="I3593" s="43">
        <v>12</v>
      </c>
      <c r="J3593" s="44" t="str">
        <f>VLOOKUP(G3593,[1]硬件清单!$F:$F,1,0)</f>
        <v>06ACPZ1</v>
      </c>
      <c r="K3593" s="43"/>
      <c r="L3593" s="44"/>
      <c r="M3593" s="45" t="s">
        <v>11053</v>
      </c>
    </row>
    <row r="3594" s="26" customFormat="1" ht="30" customHeight="1" spans="1:13">
      <c r="A3594" s="41">
        <f>IF(C3594="","",SUBTOTAL(103,$C$2:C3594))</f>
        <v>3585</v>
      </c>
      <c r="B3594" s="41">
        <v>1430</v>
      </c>
      <c r="C3594" s="41">
        <v>8930</v>
      </c>
      <c r="D3594" s="41" t="s">
        <v>45</v>
      </c>
      <c r="E3594" s="41" t="s">
        <v>1298</v>
      </c>
      <c r="F3594" s="41" t="s">
        <v>8426</v>
      </c>
      <c r="G3594" s="41" t="s">
        <v>11054</v>
      </c>
      <c r="H3594" s="41" t="s">
        <v>11055</v>
      </c>
      <c r="I3594" s="43">
        <v>12</v>
      </c>
      <c r="J3594" s="44" t="str">
        <f>VLOOKUP(G3594,[1]硬件清单!$F:$F,1,0)</f>
        <v>06ACPZ0</v>
      </c>
      <c r="K3594" s="43"/>
      <c r="L3594" s="44"/>
      <c r="M3594" s="45" t="s">
        <v>11056</v>
      </c>
    </row>
    <row r="3595" s="26" customFormat="1" ht="30" customHeight="1" spans="1:13">
      <c r="A3595" s="41">
        <f>IF(C3595="","",SUBTOTAL(103,$C$2:C3595))</f>
        <v>3586</v>
      </c>
      <c r="B3595" s="41">
        <v>1431</v>
      </c>
      <c r="C3595" s="41">
        <v>8932</v>
      </c>
      <c r="D3595" s="41" t="s">
        <v>45</v>
      </c>
      <c r="E3595" s="41" t="s">
        <v>1298</v>
      </c>
      <c r="F3595" s="41" t="s">
        <v>8426</v>
      </c>
      <c r="G3595" s="41" t="s">
        <v>11057</v>
      </c>
      <c r="H3595" s="41" t="s">
        <v>11058</v>
      </c>
      <c r="I3595" s="43">
        <v>12</v>
      </c>
      <c r="J3595" s="44" t="str">
        <f>VLOOKUP(G3595,[1]硬件清单!$F:$F,1,0)</f>
        <v>06ACPR9</v>
      </c>
      <c r="K3595" s="43"/>
      <c r="L3595" s="44"/>
      <c r="M3595" s="45" t="s">
        <v>11059</v>
      </c>
    </row>
    <row r="3596" s="26" customFormat="1" ht="30" customHeight="1" spans="1:13">
      <c r="A3596" s="41">
        <f>IF(C3596="","",SUBTOTAL(103,$C$2:C3596))</f>
        <v>3587</v>
      </c>
      <c r="B3596" s="41">
        <v>1432</v>
      </c>
      <c r="C3596" s="41">
        <v>8933</v>
      </c>
      <c r="D3596" s="41" t="s">
        <v>45</v>
      </c>
      <c r="E3596" s="41" t="s">
        <v>1298</v>
      </c>
      <c r="F3596" s="41" t="s">
        <v>8426</v>
      </c>
      <c r="G3596" s="41" t="s">
        <v>11060</v>
      </c>
      <c r="H3596" s="41" t="s">
        <v>11061</v>
      </c>
      <c r="I3596" s="43">
        <v>12</v>
      </c>
      <c r="J3596" s="44" t="str">
        <f>VLOOKUP(G3596,[1]硬件清单!$F:$F,1,0)</f>
        <v>06ACPW2</v>
      </c>
      <c r="K3596" s="43"/>
      <c r="L3596" s="44"/>
      <c r="M3596" s="45" t="s">
        <v>11062</v>
      </c>
    </row>
    <row r="3597" s="26" customFormat="1" ht="30" customHeight="1" spans="1:13">
      <c r="A3597" s="41">
        <f>IF(C3597="","",SUBTOTAL(103,$C$2:C3597))</f>
        <v>3588</v>
      </c>
      <c r="B3597" s="41">
        <v>1433</v>
      </c>
      <c r="C3597" s="41">
        <v>8934</v>
      </c>
      <c r="D3597" s="41" t="s">
        <v>45</v>
      </c>
      <c r="E3597" s="41" t="s">
        <v>1298</v>
      </c>
      <c r="F3597" s="41" t="s">
        <v>8426</v>
      </c>
      <c r="G3597" s="41" t="s">
        <v>11063</v>
      </c>
      <c r="H3597" s="41" t="s">
        <v>11064</v>
      </c>
      <c r="I3597" s="43">
        <v>12</v>
      </c>
      <c r="J3597" s="44" t="str">
        <f>VLOOKUP(G3597,[1]硬件清单!$F:$F,1,0)</f>
        <v>06ACNT9</v>
      </c>
      <c r="K3597" s="43"/>
      <c r="L3597" s="44"/>
      <c r="M3597" s="45" t="s">
        <v>11065</v>
      </c>
    </row>
    <row r="3598" s="26" customFormat="1" ht="30" customHeight="1" spans="1:13">
      <c r="A3598" s="41">
        <f>IF(C3598="","",SUBTOTAL(103,$C$2:C3598))</f>
        <v>3589</v>
      </c>
      <c r="B3598" s="41">
        <v>1434</v>
      </c>
      <c r="C3598" s="41">
        <v>8935</v>
      </c>
      <c r="D3598" s="41" t="s">
        <v>45</v>
      </c>
      <c r="E3598" s="41" t="s">
        <v>1298</v>
      </c>
      <c r="F3598" s="41" t="s">
        <v>8426</v>
      </c>
      <c r="G3598" s="41" t="s">
        <v>11066</v>
      </c>
      <c r="H3598" s="41" t="s">
        <v>11067</v>
      </c>
      <c r="I3598" s="43">
        <v>12</v>
      </c>
      <c r="J3598" s="44" t="str">
        <f>VLOOKUP(G3598,[1]硬件清单!$F:$F,1,0)</f>
        <v>06ACPA0</v>
      </c>
      <c r="K3598" s="43"/>
      <c r="L3598" s="44"/>
      <c r="M3598" s="45" t="s">
        <v>11068</v>
      </c>
    </row>
    <row r="3599" s="26" customFormat="1" ht="30" customHeight="1" spans="1:13">
      <c r="A3599" s="41">
        <f>IF(C3599="","",SUBTOTAL(103,$C$2:C3599))</f>
        <v>3590</v>
      </c>
      <c r="B3599" s="41">
        <v>1435</v>
      </c>
      <c r="C3599" s="41">
        <v>8936</v>
      </c>
      <c r="D3599" s="41" t="s">
        <v>45</v>
      </c>
      <c r="E3599" s="41" t="s">
        <v>1298</v>
      </c>
      <c r="F3599" s="41" t="s">
        <v>8426</v>
      </c>
      <c r="G3599" s="41" t="s">
        <v>11069</v>
      </c>
      <c r="H3599" s="41" t="s">
        <v>11070</v>
      </c>
      <c r="I3599" s="43">
        <v>12</v>
      </c>
      <c r="J3599" s="44" t="str">
        <f>VLOOKUP(G3599,[1]硬件清单!$F:$F,1,0)</f>
        <v>06ACP83</v>
      </c>
      <c r="K3599" s="43"/>
      <c r="L3599" s="44"/>
      <c r="M3599" s="45" t="s">
        <v>11071</v>
      </c>
    </row>
    <row r="3600" s="26" customFormat="1" ht="30" customHeight="1" spans="1:13">
      <c r="A3600" s="41">
        <f>IF(C3600="","",SUBTOTAL(103,$C$2:C3600))</f>
        <v>3591</v>
      </c>
      <c r="B3600" s="41">
        <v>1436</v>
      </c>
      <c r="C3600" s="41">
        <v>8925</v>
      </c>
      <c r="D3600" s="41" t="s">
        <v>45</v>
      </c>
      <c r="E3600" s="41" t="s">
        <v>1298</v>
      </c>
      <c r="F3600" s="41" t="s">
        <v>8426</v>
      </c>
      <c r="G3600" s="41" t="s">
        <v>11072</v>
      </c>
      <c r="H3600" s="41" t="s">
        <v>11073</v>
      </c>
      <c r="I3600" s="43">
        <v>12</v>
      </c>
      <c r="J3600" s="44" t="str">
        <f>VLOOKUP(G3600,[1]硬件清单!$F:$F,1,0)</f>
        <v>06ACPB2</v>
      </c>
      <c r="K3600" s="43"/>
      <c r="L3600" s="44"/>
      <c r="M3600" s="45" t="s">
        <v>11074</v>
      </c>
    </row>
    <row r="3601" s="26" customFormat="1" ht="30" customHeight="1" spans="1:13">
      <c r="A3601" s="41">
        <f>IF(C3601="","",SUBTOTAL(103,$C$2:C3601))</f>
        <v>3592</v>
      </c>
      <c r="B3601" s="41">
        <v>1437</v>
      </c>
      <c r="C3601" s="41">
        <v>8926</v>
      </c>
      <c r="D3601" s="41" t="s">
        <v>45</v>
      </c>
      <c r="E3601" s="41" t="s">
        <v>1298</v>
      </c>
      <c r="F3601" s="41" t="s">
        <v>8426</v>
      </c>
      <c r="G3601" s="41" t="s">
        <v>11075</v>
      </c>
      <c r="H3601" s="41" t="s">
        <v>11076</v>
      </c>
      <c r="I3601" s="43">
        <v>12</v>
      </c>
      <c r="J3601" s="44" t="str">
        <f>VLOOKUP(G3601,[1]硬件清单!$F:$F,1,0)</f>
        <v>06ACNX0</v>
      </c>
      <c r="K3601" s="43"/>
      <c r="L3601" s="44"/>
      <c r="M3601" s="45" t="s">
        <v>11077</v>
      </c>
    </row>
    <row r="3602" s="26" customFormat="1" ht="30" customHeight="1" spans="1:13">
      <c r="A3602" s="41">
        <f>IF(C3602="","",SUBTOTAL(103,$C$2:C3602))</f>
        <v>3593</v>
      </c>
      <c r="B3602" s="41">
        <v>1438</v>
      </c>
      <c r="C3602" s="41">
        <v>8927</v>
      </c>
      <c r="D3602" s="41" t="s">
        <v>45</v>
      </c>
      <c r="E3602" s="41" t="s">
        <v>1298</v>
      </c>
      <c r="F3602" s="41" t="s">
        <v>8426</v>
      </c>
      <c r="G3602" s="41" t="s">
        <v>11078</v>
      </c>
      <c r="H3602" s="41" t="s">
        <v>11079</v>
      </c>
      <c r="I3602" s="43">
        <v>12</v>
      </c>
      <c r="J3602" s="44" t="str">
        <f>VLOOKUP(G3602,[1]硬件清单!$F:$F,1,0)</f>
        <v>06ACNM5</v>
      </c>
      <c r="K3602" s="43"/>
      <c r="L3602" s="44"/>
      <c r="M3602" s="45" t="s">
        <v>11080</v>
      </c>
    </row>
    <row r="3603" s="26" customFormat="1" ht="30" customHeight="1" spans="1:13">
      <c r="A3603" s="41">
        <f>IF(C3603="","",SUBTOTAL(103,$C$2:C3603))</f>
        <v>3594</v>
      </c>
      <c r="B3603" s="41">
        <v>1439</v>
      </c>
      <c r="C3603" s="41">
        <v>8942</v>
      </c>
      <c r="D3603" s="41" t="s">
        <v>45</v>
      </c>
      <c r="E3603" s="41" t="s">
        <v>1298</v>
      </c>
      <c r="F3603" s="41" t="s">
        <v>8426</v>
      </c>
      <c r="G3603" s="41" t="s">
        <v>11081</v>
      </c>
      <c r="H3603" s="41" t="s">
        <v>11082</v>
      </c>
      <c r="I3603" s="43">
        <v>12</v>
      </c>
      <c r="J3603" s="44" t="str">
        <f>VLOOKUP(G3603,[1]硬件清单!$F:$F,1,0)</f>
        <v>06ACPD2</v>
      </c>
      <c r="K3603" s="43"/>
      <c r="L3603" s="44"/>
      <c r="M3603" s="45" t="s">
        <v>11083</v>
      </c>
    </row>
    <row r="3604" s="26" customFormat="1" ht="30" customHeight="1" spans="1:13">
      <c r="A3604" s="41">
        <f>IF(C3604="","",SUBTOTAL(103,$C$2:C3604))</f>
        <v>3595</v>
      </c>
      <c r="B3604" s="41">
        <v>1440</v>
      </c>
      <c r="C3604" s="41">
        <v>8943</v>
      </c>
      <c r="D3604" s="41" t="s">
        <v>45</v>
      </c>
      <c r="E3604" s="41" t="s">
        <v>1298</v>
      </c>
      <c r="F3604" s="41" t="s">
        <v>8426</v>
      </c>
      <c r="G3604" s="41" t="s">
        <v>11084</v>
      </c>
      <c r="H3604" s="41" t="s">
        <v>11085</v>
      </c>
      <c r="I3604" s="43">
        <v>12</v>
      </c>
      <c r="J3604" s="44" t="str">
        <f>VLOOKUP(G3604,[1]硬件清单!$F:$F,1,0)</f>
        <v>06ACNY7</v>
      </c>
      <c r="K3604" s="43"/>
      <c r="L3604" s="44"/>
      <c r="M3604" s="45" t="s">
        <v>11086</v>
      </c>
    </row>
    <row r="3605" s="26" customFormat="1" ht="30" customHeight="1" spans="1:13">
      <c r="A3605" s="41">
        <f>IF(C3605="","",SUBTOTAL(103,$C$2:C3605))</f>
        <v>3596</v>
      </c>
      <c r="B3605" s="41">
        <v>1441</v>
      </c>
      <c r="C3605" s="41">
        <v>8918</v>
      </c>
      <c r="D3605" s="41" t="s">
        <v>45</v>
      </c>
      <c r="E3605" s="41" t="s">
        <v>1298</v>
      </c>
      <c r="F3605" s="41" t="s">
        <v>8426</v>
      </c>
      <c r="G3605" s="41" t="s">
        <v>11087</v>
      </c>
      <c r="H3605" s="41" t="s">
        <v>11088</v>
      </c>
      <c r="I3605" s="43">
        <v>12</v>
      </c>
      <c r="J3605" s="44" t="str">
        <f>VLOOKUP(G3605,[1]硬件清单!$F:$F,1,0)</f>
        <v>06ACPW6</v>
      </c>
      <c r="K3605" s="43"/>
      <c r="L3605" s="44"/>
      <c r="M3605" s="45" t="s">
        <v>11089</v>
      </c>
    </row>
    <row r="3606" s="26" customFormat="1" ht="30" customHeight="1" spans="1:13">
      <c r="A3606" s="41">
        <f>IF(C3606="","",SUBTOTAL(103,$C$2:C3606))</f>
        <v>3597</v>
      </c>
      <c r="B3606" s="41">
        <v>1442</v>
      </c>
      <c r="C3606" s="41">
        <v>8919</v>
      </c>
      <c r="D3606" s="41" t="s">
        <v>45</v>
      </c>
      <c r="E3606" s="41" t="s">
        <v>1298</v>
      </c>
      <c r="F3606" s="41" t="s">
        <v>8426</v>
      </c>
      <c r="G3606" s="41" t="s">
        <v>11090</v>
      </c>
      <c r="H3606" s="41" t="s">
        <v>11091</v>
      </c>
      <c r="I3606" s="43">
        <v>12</v>
      </c>
      <c r="J3606" s="44" t="str">
        <f>VLOOKUP(G3606,[1]硬件清单!$F:$F,1,0)</f>
        <v>06ACPV4</v>
      </c>
      <c r="K3606" s="43"/>
      <c r="L3606" s="44"/>
      <c r="M3606" s="45" t="s">
        <v>11092</v>
      </c>
    </row>
    <row r="3607" s="26" customFormat="1" ht="30" customHeight="1" spans="1:13">
      <c r="A3607" s="41">
        <f>IF(C3607="","",SUBTOTAL(103,$C$2:C3607))</f>
        <v>3598</v>
      </c>
      <c r="B3607" s="41">
        <v>1443</v>
      </c>
      <c r="C3607" s="41">
        <v>8920</v>
      </c>
      <c r="D3607" s="41" t="s">
        <v>45</v>
      </c>
      <c r="E3607" s="41" t="s">
        <v>1298</v>
      </c>
      <c r="F3607" s="41" t="s">
        <v>8426</v>
      </c>
      <c r="G3607" s="41" t="s">
        <v>11093</v>
      </c>
      <c r="H3607" s="41" t="s">
        <v>11094</v>
      </c>
      <c r="I3607" s="43">
        <v>12</v>
      </c>
      <c r="J3607" s="44" t="str">
        <f>VLOOKUP(G3607,[1]硬件清单!$F:$F,1,0)</f>
        <v>06ACPC7</v>
      </c>
      <c r="K3607" s="43"/>
      <c r="L3607" s="44"/>
      <c r="M3607" s="45" t="s">
        <v>11095</v>
      </c>
    </row>
    <row r="3608" s="26" customFormat="1" ht="30" customHeight="1" spans="1:13">
      <c r="A3608" s="41">
        <f>IF(C3608="","",SUBTOTAL(103,$C$2:C3608))</f>
        <v>3599</v>
      </c>
      <c r="B3608" s="41">
        <v>1444</v>
      </c>
      <c r="C3608" s="41">
        <v>8921</v>
      </c>
      <c r="D3608" s="41" t="s">
        <v>45</v>
      </c>
      <c r="E3608" s="41" t="s">
        <v>1298</v>
      </c>
      <c r="F3608" s="41" t="s">
        <v>8426</v>
      </c>
      <c r="G3608" s="41" t="s">
        <v>11096</v>
      </c>
      <c r="H3608" s="41" t="s">
        <v>11097</v>
      </c>
      <c r="I3608" s="43">
        <v>12</v>
      </c>
      <c r="J3608" s="44" t="str">
        <f>VLOOKUP(G3608,[1]硬件清单!$F:$F,1,0)</f>
        <v>06ACPB8</v>
      </c>
      <c r="K3608" s="43"/>
      <c r="L3608" s="44"/>
      <c r="M3608" s="45" t="s">
        <v>11098</v>
      </c>
    </row>
    <row r="3609" s="26" customFormat="1" ht="30" customHeight="1" spans="1:13">
      <c r="A3609" s="41">
        <f>IF(C3609="","",SUBTOTAL(103,$C$2:C3609))</f>
        <v>3600</v>
      </c>
      <c r="B3609" s="41">
        <v>1445</v>
      </c>
      <c r="C3609" s="41">
        <v>8922</v>
      </c>
      <c r="D3609" s="41" t="s">
        <v>45</v>
      </c>
      <c r="E3609" s="41" t="s">
        <v>1298</v>
      </c>
      <c r="F3609" s="41" t="s">
        <v>8426</v>
      </c>
      <c r="G3609" s="41" t="s">
        <v>11099</v>
      </c>
      <c r="H3609" s="41" t="s">
        <v>11100</v>
      </c>
      <c r="I3609" s="43">
        <v>12</v>
      </c>
      <c r="J3609" s="44" t="str">
        <f>VLOOKUP(G3609,[1]硬件清单!$F:$F,1,0)</f>
        <v>06ACPR2</v>
      </c>
      <c r="K3609" s="43"/>
      <c r="L3609" s="44"/>
      <c r="M3609" s="45" t="s">
        <v>11101</v>
      </c>
    </row>
    <row r="3610" s="26" customFormat="1" ht="30" customHeight="1" spans="1:13">
      <c r="A3610" s="41">
        <f>IF(C3610="","",SUBTOTAL(103,$C$2:C3610))</f>
        <v>3601</v>
      </c>
      <c r="B3610" s="41">
        <v>1446</v>
      </c>
      <c r="C3610" s="41">
        <v>8923</v>
      </c>
      <c r="D3610" s="41" t="s">
        <v>45</v>
      </c>
      <c r="E3610" s="41" t="s">
        <v>1298</v>
      </c>
      <c r="F3610" s="41" t="s">
        <v>8426</v>
      </c>
      <c r="G3610" s="41" t="s">
        <v>11102</v>
      </c>
      <c r="H3610" s="41" t="s">
        <v>11103</v>
      </c>
      <c r="I3610" s="43">
        <v>12</v>
      </c>
      <c r="J3610" s="44" t="str">
        <f>VLOOKUP(G3610,[1]硬件清单!$F:$F,1,0)</f>
        <v>06ACNN2</v>
      </c>
      <c r="K3610" s="43"/>
      <c r="L3610" s="44"/>
      <c r="M3610" s="45" t="s">
        <v>11104</v>
      </c>
    </row>
    <row r="3611" s="26" customFormat="1" ht="30" customHeight="1" spans="1:13">
      <c r="A3611" s="41">
        <f>IF(C3611="","",SUBTOTAL(103,$C$2:C3611))</f>
        <v>3602</v>
      </c>
      <c r="B3611" s="41">
        <v>1447</v>
      </c>
      <c r="C3611" s="41">
        <v>8924</v>
      </c>
      <c r="D3611" s="41" t="s">
        <v>45</v>
      </c>
      <c r="E3611" s="41" t="s">
        <v>1298</v>
      </c>
      <c r="F3611" s="41" t="s">
        <v>8426</v>
      </c>
      <c r="G3611" s="41" t="s">
        <v>11105</v>
      </c>
      <c r="H3611" s="41" t="s">
        <v>11106</v>
      </c>
      <c r="I3611" s="43">
        <v>12</v>
      </c>
      <c r="J3611" s="44" t="str">
        <f>VLOOKUP(G3611,[1]硬件清单!$F:$F,1,0)</f>
        <v>06ACPW9</v>
      </c>
      <c r="K3611" s="43"/>
      <c r="L3611" s="44"/>
      <c r="M3611" s="45" t="s">
        <v>11107</v>
      </c>
    </row>
    <row r="3612" s="26" customFormat="1" ht="30" customHeight="1" spans="1:13">
      <c r="A3612" s="41">
        <f>IF(C3612="","",SUBTOTAL(103,$C$2:C3612))</f>
        <v>3603</v>
      </c>
      <c r="B3612" s="41">
        <v>1448</v>
      </c>
      <c r="C3612" s="41">
        <v>9264</v>
      </c>
      <c r="D3612" s="41" t="s">
        <v>45</v>
      </c>
      <c r="E3612" s="41" t="s">
        <v>1298</v>
      </c>
      <c r="F3612" s="41" t="s">
        <v>8426</v>
      </c>
      <c r="G3612" s="41" t="s">
        <v>11108</v>
      </c>
      <c r="H3612" s="41" t="s">
        <v>11109</v>
      </c>
      <c r="I3612" s="43">
        <v>12</v>
      </c>
      <c r="J3612" s="44" t="str">
        <f>VLOOKUP(G3612,[1]硬件清单!$F:$F,1,0)</f>
        <v>06AAFCX</v>
      </c>
      <c r="K3612" s="43"/>
      <c r="L3612" s="44"/>
      <c r="M3612" s="45" t="s">
        <v>11110</v>
      </c>
    </row>
    <row r="3613" s="26" customFormat="1" ht="30" customHeight="1" spans="1:13">
      <c r="A3613" s="41">
        <f>IF(C3613="","",SUBTOTAL(103,$C$2:C3613))</f>
        <v>3604</v>
      </c>
      <c r="B3613" s="41">
        <v>1449</v>
      </c>
      <c r="C3613" s="41">
        <v>9266</v>
      </c>
      <c r="D3613" s="41" t="s">
        <v>45</v>
      </c>
      <c r="E3613" s="41" t="s">
        <v>1298</v>
      </c>
      <c r="F3613" s="41" t="s">
        <v>8426</v>
      </c>
      <c r="G3613" s="41" t="s">
        <v>11111</v>
      </c>
      <c r="H3613" s="41" t="s">
        <v>11112</v>
      </c>
      <c r="I3613" s="43">
        <v>12</v>
      </c>
      <c r="J3613" s="44" t="str">
        <f>VLOOKUP(G3613,[1]硬件清单!$F:$F,1,0)</f>
        <v>06AAFCG</v>
      </c>
      <c r="K3613" s="43"/>
      <c r="L3613" s="44"/>
      <c r="M3613" s="45" t="s">
        <v>11113</v>
      </c>
    </row>
    <row r="3614" s="26" customFormat="1" ht="30" customHeight="1" spans="1:13">
      <c r="A3614" s="41">
        <f>IF(C3614="","",SUBTOTAL(103,$C$2:C3614))</f>
        <v>3605</v>
      </c>
      <c r="B3614" s="41">
        <v>1450</v>
      </c>
      <c r="C3614" s="41">
        <v>8991</v>
      </c>
      <c r="D3614" s="41" t="s">
        <v>45</v>
      </c>
      <c r="E3614" s="41" t="s">
        <v>1298</v>
      </c>
      <c r="F3614" s="41" t="s">
        <v>11114</v>
      </c>
      <c r="G3614" s="41" t="s">
        <v>11115</v>
      </c>
      <c r="H3614" s="41" t="s">
        <v>11116</v>
      </c>
      <c r="I3614" s="43">
        <v>12</v>
      </c>
      <c r="J3614" s="44" t="str">
        <f>VLOOKUP(G3614,[1]硬件清单!$F:$F,1,0)</f>
        <v>CNG230S9S6</v>
      </c>
      <c r="K3614" s="43"/>
      <c r="L3614" s="44"/>
      <c r="M3614" s="45" t="s">
        <v>11117</v>
      </c>
    </row>
    <row r="3615" s="26" customFormat="1" ht="30" customHeight="1" spans="1:13">
      <c r="A3615" s="41">
        <f>IF(C3615="","",SUBTOTAL(103,$C$2:C3615))</f>
        <v>3606</v>
      </c>
      <c r="B3615" s="41">
        <v>1451</v>
      </c>
      <c r="C3615" s="41">
        <v>8996</v>
      </c>
      <c r="D3615" s="41" t="s">
        <v>45</v>
      </c>
      <c r="E3615" s="41" t="s">
        <v>1298</v>
      </c>
      <c r="F3615" s="41" t="s">
        <v>11114</v>
      </c>
      <c r="G3615" s="41" t="s">
        <v>11118</v>
      </c>
      <c r="H3615" s="41" t="s">
        <v>11119</v>
      </c>
      <c r="I3615" s="43">
        <v>12</v>
      </c>
      <c r="J3615" s="44" t="str">
        <f>VLOOKUP(G3615,[1]硬件清单!$F:$F,1,0)</f>
        <v>CNG230S9SG</v>
      </c>
      <c r="K3615" s="43"/>
      <c r="L3615" s="44"/>
      <c r="M3615" s="45" t="s">
        <v>11120</v>
      </c>
    </row>
    <row r="3616" s="26" customFormat="1" ht="30" customHeight="1" spans="1:13">
      <c r="A3616" s="41">
        <f>IF(C3616="","",SUBTOTAL(103,$C$2:C3616))</f>
        <v>3607</v>
      </c>
      <c r="B3616" s="41">
        <v>1452</v>
      </c>
      <c r="C3616" s="41">
        <v>9564</v>
      </c>
      <c r="D3616" s="41" t="s">
        <v>45</v>
      </c>
      <c r="E3616" s="41" t="s">
        <v>1298</v>
      </c>
      <c r="F3616" s="41" t="s">
        <v>11121</v>
      </c>
      <c r="G3616" s="41" t="s">
        <v>11122</v>
      </c>
      <c r="H3616" s="41" t="s">
        <v>11123</v>
      </c>
      <c r="I3616" s="43">
        <v>12</v>
      </c>
      <c r="J3616" s="44" t="str">
        <f>VLOOKUP(G3616,[1]硬件清单!$F:$F,1,0)</f>
        <v>06ZPHT6</v>
      </c>
      <c r="K3616" s="43"/>
      <c r="L3616" s="44"/>
      <c r="M3616" s="45" t="s">
        <v>11124</v>
      </c>
    </row>
    <row r="3617" s="26" customFormat="1" ht="30" customHeight="1" spans="1:13">
      <c r="A3617" s="41">
        <f>IF(C3617="","",SUBTOTAL(103,$C$2:C3617))</f>
        <v>3608</v>
      </c>
      <c r="B3617" s="41">
        <v>1453</v>
      </c>
      <c r="C3617" s="41">
        <v>10075</v>
      </c>
      <c r="D3617" s="41" t="s">
        <v>45</v>
      </c>
      <c r="E3617" s="41" t="s">
        <v>1298</v>
      </c>
      <c r="F3617" s="41" t="s">
        <v>8426</v>
      </c>
      <c r="G3617" s="41" t="s">
        <v>11125</v>
      </c>
      <c r="H3617" s="41" t="s">
        <v>11126</v>
      </c>
      <c r="I3617" s="43">
        <v>12</v>
      </c>
      <c r="J3617" s="44" t="str">
        <f>VLOOKUP(G3617,[1]硬件清单!$F:$F,1,0)</f>
        <v>06AAFCN</v>
      </c>
      <c r="K3617" s="43"/>
      <c r="L3617" s="44"/>
      <c r="M3617" s="45" t="s">
        <v>11124</v>
      </c>
    </row>
    <row r="3618" s="26" customFormat="1" ht="30" customHeight="1" spans="1:13">
      <c r="A3618" s="41">
        <f>IF(C3618="","",SUBTOTAL(103,$C$2:C3618))</f>
        <v>3609</v>
      </c>
      <c r="B3618" s="41">
        <v>1454</v>
      </c>
      <c r="C3618" s="41">
        <v>10074</v>
      </c>
      <c r="D3618" s="41" t="s">
        <v>45</v>
      </c>
      <c r="E3618" s="41" t="s">
        <v>1298</v>
      </c>
      <c r="F3618" s="41" t="s">
        <v>8426</v>
      </c>
      <c r="G3618" s="41" t="s">
        <v>11127</v>
      </c>
      <c r="H3618" s="41" t="s">
        <v>11128</v>
      </c>
      <c r="I3618" s="43">
        <v>12</v>
      </c>
      <c r="J3618" s="44" t="str">
        <f>VLOOKUP(G3618,[1]硬件清单!$F:$F,1,0)</f>
        <v>06AAFCW</v>
      </c>
      <c r="K3618" s="43"/>
      <c r="L3618" s="44"/>
      <c r="M3618" s="45" t="s">
        <v>11124</v>
      </c>
    </row>
    <row r="3619" s="26" customFormat="1" ht="30" customHeight="1" spans="1:13">
      <c r="A3619" s="41">
        <f>IF(C3619="","",SUBTOTAL(103,$C$2:C3619))</f>
        <v>3610</v>
      </c>
      <c r="B3619" s="41">
        <v>1455</v>
      </c>
      <c r="C3619" s="41">
        <v>10076</v>
      </c>
      <c r="D3619" s="41" t="s">
        <v>45</v>
      </c>
      <c r="E3619" s="41" t="s">
        <v>1298</v>
      </c>
      <c r="F3619" s="41" t="s">
        <v>8426</v>
      </c>
      <c r="G3619" s="41" t="s">
        <v>11129</v>
      </c>
      <c r="H3619" s="41" t="s">
        <v>11130</v>
      </c>
      <c r="I3619" s="43">
        <v>12</v>
      </c>
      <c r="J3619" s="44" t="str">
        <f>VLOOKUP(G3619,[1]硬件清单!$F:$F,1,0)</f>
        <v>06AAFCH</v>
      </c>
      <c r="K3619" s="43"/>
      <c r="L3619" s="44"/>
      <c r="M3619" s="45" t="s">
        <v>11124</v>
      </c>
    </row>
    <row r="3620" s="26" customFormat="1" ht="30" customHeight="1" spans="1:13">
      <c r="A3620" s="41">
        <f>IF(C3620="","",SUBTOTAL(103,$C$2:C3620))</f>
        <v>3611</v>
      </c>
      <c r="B3620" s="41">
        <v>1456</v>
      </c>
      <c r="C3620" s="41">
        <v>10077</v>
      </c>
      <c r="D3620" s="41" t="s">
        <v>45</v>
      </c>
      <c r="E3620" s="41" t="s">
        <v>1298</v>
      </c>
      <c r="F3620" s="41" t="s">
        <v>8426</v>
      </c>
      <c r="G3620" s="41" t="s">
        <v>11131</v>
      </c>
      <c r="H3620" s="41" t="s">
        <v>11132</v>
      </c>
      <c r="I3620" s="43">
        <v>12</v>
      </c>
      <c r="J3620" s="44" t="str">
        <f>VLOOKUP(G3620,[1]硬件清单!$F:$F,1,0)</f>
        <v>06AAFCF</v>
      </c>
      <c r="K3620" s="43"/>
      <c r="L3620" s="44"/>
      <c r="M3620" s="45" t="s">
        <v>11124</v>
      </c>
    </row>
    <row r="3621" s="26" customFormat="1" ht="30" customHeight="1" spans="1:13">
      <c r="A3621" s="41">
        <f>IF(C3621="","",SUBTOTAL(103,$C$2:C3621))</f>
        <v>3612</v>
      </c>
      <c r="B3621" s="41">
        <v>1457</v>
      </c>
      <c r="C3621" s="41">
        <v>10078</v>
      </c>
      <c r="D3621" s="41" t="s">
        <v>45</v>
      </c>
      <c r="E3621" s="41" t="s">
        <v>1298</v>
      </c>
      <c r="F3621" s="41" t="s">
        <v>8426</v>
      </c>
      <c r="G3621" s="41" t="s">
        <v>11133</v>
      </c>
      <c r="H3621" s="41" t="s">
        <v>11134</v>
      </c>
      <c r="I3621" s="43">
        <v>12</v>
      </c>
      <c r="J3621" s="44" t="str">
        <f>VLOOKUP(G3621,[1]硬件清单!$F:$F,1,0)</f>
        <v>06AAFCM</v>
      </c>
      <c r="K3621" s="43"/>
      <c r="L3621" s="44"/>
      <c r="M3621" s="45" t="s">
        <v>11124</v>
      </c>
    </row>
    <row r="3622" s="26" customFormat="1" ht="30" customHeight="1" spans="1:13">
      <c r="A3622" s="41">
        <f>IF(C3622="","",SUBTOTAL(103,$C$2:C3622))</f>
        <v>3613</v>
      </c>
      <c r="B3622" s="41">
        <v>1458</v>
      </c>
      <c r="C3622" s="41">
        <v>10079</v>
      </c>
      <c r="D3622" s="41" t="s">
        <v>45</v>
      </c>
      <c r="E3622" s="41" t="s">
        <v>1298</v>
      </c>
      <c r="F3622" s="41" t="s">
        <v>8426</v>
      </c>
      <c r="G3622" s="41" t="s">
        <v>11135</v>
      </c>
      <c r="H3622" s="41" t="s">
        <v>11136</v>
      </c>
      <c r="I3622" s="43">
        <v>12</v>
      </c>
      <c r="J3622" s="44" t="str">
        <f>VLOOKUP(G3622,[1]硬件清单!$F:$F,1,0)</f>
        <v>06AAFCK</v>
      </c>
      <c r="K3622" s="43"/>
      <c r="L3622" s="44"/>
      <c r="M3622" s="45" t="s">
        <v>11124</v>
      </c>
    </row>
    <row r="3623" s="26" customFormat="1" ht="30" customHeight="1" spans="1:13">
      <c r="A3623" s="41">
        <f>IF(C3623="","",SUBTOTAL(103,$C$2:C3623))</f>
        <v>3614</v>
      </c>
      <c r="B3623" s="41">
        <v>1459</v>
      </c>
      <c r="C3623" s="41">
        <v>9265</v>
      </c>
      <c r="D3623" s="41" t="s">
        <v>45</v>
      </c>
      <c r="E3623" s="41" t="s">
        <v>1298</v>
      </c>
      <c r="F3623" s="41" t="s">
        <v>8426</v>
      </c>
      <c r="G3623" s="41" t="s">
        <v>11137</v>
      </c>
      <c r="H3623" s="41" t="s">
        <v>11138</v>
      </c>
      <c r="I3623" s="43">
        <v>12</v>
      </c>
      <c r="J3623" s="44" t="str">
        <f>VLOOKUP(G3623,[1]硬件清单!$F:$F,1,0)</f>
        <v>06AAFCY</v>
      </c>
      <c r="K3623" s="43"/>
      <c r="L3623" s="44"/>
      <c r="M3623" s="45" t="s">
        <v>11124</v>
      </c>
    </row>
    <row r="3624" s="26" customFormat="1" ht="30" customHeight="1" spans="1:13">
      <c r="A3624" s="41">
        <f>IF(C3624="","",SUBTOTAL(103,$C$2:C3624))</f>
        <v>3615</v>
      </c>
      <c r="B3624" s="41">
        <v>1460</v>
      </c>
      <c r="C3624" s="41">
        <v>9267</v>
      </c>
      <c r="D3624" s="41" t="s">
        <v>45</v>
      </c>
      <c r="E3624" s="41" t="s">
        <v>1298</v>
      </c>
      <c r="F3624" s="41" t="s">
        <v>8426</v>
      </c>
      <c r="G3624" s="41" t="s">
        <v>11139</v>
      </c>
      <c r="H3624" s="41" t="s">
        <v>11140</v>
      </c>
      <c r="I3624" s="43">
        <v>12</v>
      </c>
      <c r="J3624" s="44" t="str">
        <f>VLOOKUP(G3624,[1]硬件清单!$F:$F,1,0)</f>
        <v>06AAFCZ</v>
      </c>
      <c r="K3624" s="43"/>
      <c r="L3624" s="44"/>
      <c r="M3624" s="45" t="s">
        <v>11124</v>
      </c>
    </row>
    <row r="3625" s="26" customFormat="1" ht="30" customHeight="1" spans="1:13">
      <c r="A3625" s="41">
        <f>IF(C3625="","",SUBTOTAL(103,$C$2:C3625))</f>
        <v>3616</v>
      </c>
      <c r="B3625" s="41">
        <v>1461</v>
      </c>
      <c r="C3625" s="41">
        <v>11179</v>
      </c>
      <c r="D3625" s="41" t="s">
        <v>19</v>
      </c>
      <c r="E3625" s="41" t="s">
        <v>20</v>
      </c>
      <c r="F3625" s="41" t="s">
        <v>10033</v>
      </c>
      <c r="G3625" s="41" t="s">
        <v>11141</v>
      </c>
      <c r="H3625" s="41" t="s">
        <v>11142</v>
      </c>
      <c r="I3625" s="43">
        <v>12</v>
      </c>
      <c r="J3625" s="44" t="str">
        <f>VLOOKUP(G3625,[1]硬件清单!$F:$F,1,0)</f>
        <v>210235AOHAH14A000027</v>
      </c>
      <c r="K3625" s="43"/>
      <c r="L3625" s="44"/>
      <c r="M3625" s="45" t="s">
        <v>11143</v>
      </c>
    </row>
    <row r="3626" s="26" customFormat="1" ht="30" customHeight="1" spans="1:13">
      <c r="A3626" s="41">
        <f>IF(C3626="","",SUBTOTAL(103,$C$2:C3626))</f>
        <v>3617</v>
      </c>
      <c r="B3626" s="41">
        <v>1462</v>
      </c>
      <c r="C3626" s="41">
        <v>11180</v>
      </c>
      <c r="D3626" s="41" t="s">
        <v>19</v>
      </c>
      <c r="E3626" s="41" t="s">
        <v>20</v>
      </c>
      <c r="F3626" s="41" t="s">
        <v>10033</v>
      </c>
      <c r="G3626" s="41" t="s">
        <v>11144</v>
      </c>
      <c r="H3626" s="41" t="s">
        <v>11145</v>
      </c>
      <c r="I3626" s="43">
        <v>12</v>
      </c>
      <c r="J3626" s="44" t="str">
        <f>VLOOKUP(G3626,[1]硬件清单!$F:$F,1,0)</f>
        <v>210235AOHAH14A000330</v>
      </c>
      <c r="K3626" s="43"/>
      <c r="L3626" s="44"/>
      <c r="M3626" s="45" t="s">
        <v>11146</v>
      </c>
    </row>
    <row r="3627" s="26" customFormat="1" ht="30" customHeight="1" spans="1:13">
      <c r="A3627" s="41">
        <f>IF(C3627="","",SUBTOTAL(103,$C$2:C3627))</f>
        <v>3618</v>
      </c>
      <c r="B3627" s="41">
        <v>1463</v>
      </c>
      <c r="C3627" s="41">
        <v>13143</v>
      </c>
      <c r="D3627" s="41" t="s">
        <v>19</v>
      </c>
      <c r="E3627" s="41" t="s">
        <v>20</v>
      </c>
      <c r="F3627" s="41" t="s">
        <v>3778</v>
      </c>
      <c r="G3627" s="41" t="s">
        <v>11147</v>
      </c>
      <c r="H3627" s="41" t="s">
        <v>11148</v>
      </c>
      <c r="I3627" s="43">
        <v>12</v>
      </c>
      <c r="J3627" s="44" t="str">
        <f>VLOOKUP(G3627,[1]硬件清单!$F:$F,1,0)</f>
        <v>2102350DLVDMK8001542</v>
      </c>
      <c r="K3627" s="43"/>
      <c r="L3627" s="44"/>
      <c r="M3627" s="45" t="s">
        <v>11149</v>
      </c>
    </row>
    <row r="3628" s="26" customFormat="1" ht="30" customHeight="1" spans="1:13">
      <c r="A3628" s="41">
        <f>IF(C3628="","",SUBTOTAL(103,$C$2:C3628))</f>
        <v>3619</v>
      </c>
      <c r="B3628" s="41">
        <v>1464</v>
      </c>
      <c r="C3628" s="41">
        <v>13124</v>
      </c>
      <c r="D3628" s="41" t="s">
        <v>19</v>
      </c>
      <c r="E3628" s="41" t="s">
        <v>20</v>
      </c>
      <c r="F3628" s="41" t="s">
        <v>3778</v>
      </c>
      <c r="G3628" s="41" t="s">
        <v>11150</v>
      </c>
      <c r="H3628" s="41" t="s">
        <v>11151</v>
      </c>
      <c r="I3628" s="43">
        <v>12</v>
      </c>
      <c r="J3628" s="44" t="str">
        <f>VLOOKUP(G3628,[1]硬件清单!$F:$F,1,0)</f>
        <v>2102350DLVDMK8001515</v>
      </c>
      <c r="K3628" s="43"/>
      <c r="L3628" s="44"/>
      <c r="M3628" s="45" t="s">
        <v>11152</v>
      </c>
    </row>
    <row r="3629" s="26" customFormat="1" ht="30" customHeight="1" spans="1:13">
      <c r="A3629" s="41">
        <f>IF(C3629="","",SUBTOTAL(103,$C$2:C3629))</f>
        <v>3620</v>
      </c>
      <c r="B3629" s="41">
        <v>1465</v>
      </c>
      <c r="C3629" s="41">
        <v>13131</v>
      </c>
      <c r="D3629" s="41" t="s">
        <v>19</v>
      </c>
      <c r="E3629" s="41" t="s">
        <v>20</v>
      </c>
      <c r="F3629" s="41" t="s">
        <v>11153</v>
      </c>
      <c r="G3629" s="41" t="s">
        <v>11154</v>
      </c>
      <c r="H3629" s="41" t="s">
        <v>11155</v>
      </c>
      <c r="I3629" s="43">
        <v>12</v>
      </c>
      <c r="J3629" s="44" t="str">
        <f>VLOOKUP(G3629,[1]硬件清单!$F:$F,1,0)</f>
        <v>JAE23070N5F</v>
      </c>
      <c r="K3629" s="43"/>
      <c r="L3629" s="44"/>
      <c r="M3629" s="45" t="s">
        <v>11156</v>
      </c>
    </row>
    <row r="3630" s="26" customFormat="1" ht="30" customHeight="1" spans="1:13">
      <c r="A3630" s="41">
        <f>IF(C3630="","",SUBTOTAL(103,$C$2:C3630))</f>
        <v>3621</v>
      </c>
      <c r="B3630" s="41">
        <v>1579</v>
      </c>
      <c r="C3630" s="41">
        <v>9802</v>
      </c>
      <c r="D3630" s="41" t="s">
        <v>45</v>
      </c>
      <c r="E3630" s="41" t="s">
        <v>1298</v>
      </c>
      <c r="F3630" s="41" t="s">
        <v>11157</v>
      </c>
      <c r="G3630" s="41" t="s">
        <v>11158</v>
      </c>
      <c r="H3630" s="41" t="s">
        <v>11159</v>
      </c>
      <c r="I3630" s="43">
        <v>12</v>
      </c>
      <c r="J3630" s="44" t="str">
        <f>VLOOKUP(G3630,[1]硬件清单!$F:$F,1,0)</f>
        <v>214635986</v>
      </c>
      <c r="K3630" s="43"/>
      <c r="L3630" s="44"/>
      <c r="M3630" s="45" t="s">
        <v>11160</v>
      </c>
    </row>
    <row r="3631" s="26" customFormat="1" ht="30" customHeight="1" spans="1:13">
      <c r="A3631" s="41">
        <f>IF(C3631="","",SUBTOTAL(103,$C$2:C3631))</f>
        <v>3622</v>
      </c>
      <c r="B3631" s="41">
        <v>1580</v>
      </c>
      <c r="C3631" s="41">
        <v>9498</v>
      </c>
      <c r="D3631" s="41" t="s">
        <v>45</v>
      </c>
      <c r="E3631" s="41" t="s">
        <v>1298</v>
      </c>
      <c r="F3631" s="41" t="s">
        <v>11161</v>
      </c>
      <c r="G3631" s="41" t="s">
        <v>11162</v>
      </c>
      <c r="H3631" s="41" t="s">
        <v>11163</v>
      </c>
      <c r="I3631" s="43">
        <v>12</v>
      </c>
      <c r="J3631" s="44" t="str">
        <f>VLOOKUP(G3631,[1]硬件清单!$F:$F,1,0)</f>
        <v>214635986-01A</v>
      </c>
      <c r="K3631" s="43"/>
      <c r="L3631" s="44"/>
      <c r="M3631" s="45" t="s">
        <v>11164</v>
      </c>
    </row>
    <row r="3632" s="26" customFormat="1" ht="30" customHeight="1" spans="1:13">
      <c r="A3632" s="41">
        <f>IF(C3632="","",SUBTOTAL(103,$C$2:C3632))</f>
        <v>3623</v>
      </c>
      <c r="B3632" s="41">
        <v>1581</v>
      </c>
      <c r="C3632" s="41">
        <v>9499</v>
      </c>
      <c r="D3632" s="41" t="s">
        <v>45</v>
      </c>
      <c r="E3632" s="41" t="s">
        <v>1298</v>
      </c>
      <c r="F3632" s="41" t="s">
        <v>11161</v>
      </c>
      <c r="G3632" s="41" t="s">
        <v>11165</v>
      </c>
      <c r="H3632" s="41" t="s">
        <v>11166</v>
      </c>
      <c r="I3632" s="43">
        <v>12</v>
      </c>
      <c r="J3632" s="44" t="str">
        <f>VLOOKUP(G3632,[1]硬件清单!$F:$F,1,0)</f>
        <v>214635986-02A</v>
      </c>
      <c r="K3632" s="43"/>
      <c r="L3632" s="44"/>
      <c r="M3632" s="45" t="s">
        <v>11167</v>
      </c>
    </row>
    <row r="3633" s="26" customFormat="1" ht="30" customHeight="1" spans="1:13">
      <c r="A3633" s="41">
        <f>IF(C3633="","",SUBTOTAL(103,$C$2:C3633))</f>
        <v>3624</v>
      </c>
      <c r="B3633" s="41">
        <v>1582</v>
      </c>
      <c r="C3633" s="41">
        <v>9500</v>
      </c>
      <c r="D3633" s="41" t="s">
        <v>45</v>
      </c>
      <c r="E3633" s="41" t="s">
        <v>1298</v>
      </c>
      <c r="F3633" s="41" t="s">
        <v>11161</v>
      </c>
      <c r="G3633" s="41" t="s">
        <v>11168</v>
      </c>
      <c r="H3633" s="41" t="s">
        <v>11169</v>
      </c>
      <c r="I3633" s="43">
        <v>12</v>
      </c>
      <c r="J3633" s="44" t="str">
        <f>VLOOKUP(G3633,[1]硬件清单!$F:$F,1,0)</f>
        <v>214635986-03A</v>
      </c>
      <c r="K3633" s="43"/>
      <c r="L3633" s="44"/>
      <c r="M3633" s="45" t="s">
        <v>11170</v>
      </c>
    </row>
    <row r="3634" s="26" customFormat="1" ht="30" customHeight="1" spans="1:13">
      <c r="A3634" s="41">
        <f>IF(C3634="","",SUBTOTAL(103,$C$2:C3634))</f>
        <v>3625</v>
      </c>
      <c r="B3634" s="41">
        <v>1583</v>
      </c>
      <c r="C3634" s="41">
        <v>9501</v>
      </c>
      <c r="D3634" s="41" t="s">
        <v>45</v>
      </c>
      <c r="E3634" s="41" t="s">
        <v>1298</v>
      </c>
      <c r="F3634" s="41" t="s">
        <v>11161</v>
      </c>
      <c r="G3634" s="41" t="s">
        <v>11171</v>
      </c>
      <c r="H3634" s="41" t="s">
        <v>11172</v>
      </c>
      <c r="I3634" s="43">
        <v>12</v>
      </c>
      <c r="J3634" s="44" t="str">
        <f>VLOOKUP(G3634,[1]硬件清单!$F:$F,1,0)</f>
        <v>214635986-04A</v>
      </c>
      <c r="K3634" s="43"/>
      <c r="L3634" s="44"/>
      <c r="M3634" s="45" t="s">
        <v>11173</v>
      </c>
    </row>
    <row r="3635" s="26" customFormat="1" ht="30" customHeight="1" spans="1:13">
      <c r="A3635" s="41">
        <f>IF(C3635="","",SUBTOTAL(103,$C$2:C3635))</f>
        <v>3626</v>
      </c>
      <c r="B3635" s="41">
        <v>1584</v>
      </c>
      <c r="C3635" s="41">
        <v>9502</v>
      </c>
      <c r="D3635" s="41" t="s">
        <v>45</v>
      </c>
      <c r="E3635" s="41" t="s">
        <v>1298</v>
      </c>
      <c r="F3635" s="41" t="s">
        <v>11161</v>
      </c>
      <c r="G3635" s="41" t="s">
        <v>11174</v>
      </c>
      <c r="H3635" s="41" t="s">
        <v>11175</v>
      </c>
      <c r="I3635" s="43">
        <v>12</v>
      </c>
      <c r="J3635" s="44" t="str">
        <f>VLOOKUP(G3635,[1]硬件清单!$F:$F,1,0)</f>
        <v>214635986-05A</v>
      </c>
      <c r="K3635" s="43"/>
      <c r="L3635" s="44"/>
      <c r="M3635" s="45" t="s">
        <v>11176</v>
      </c>
    </row>
    <row r="3636" s="26" customFormat="1" ht="30" customHeight="1" spans="1:13">
      <c r="A3636" s="41">
        <f>IF(C3636="","",SUBTOTAL(103,$C$2:C3636))</f>
        <v>3627</v>
      </c>
      <c r="B3636" s="41">
        <v>1585</v>
      </c>
      <c r="C3636" s="41">
        <v>9503</v>
      </c>
      <c r="D3636" s="41" t="s">
        <v>45</v>
      </c>
      <c r="E3636" s="41" t="s">
        <v>1298</v>
      </c>
      <c r="F3636" s="41" t="s">
        <v>11161</v>
      </c>
      <c r="G3636" s="41" t="s">
        <v>11177</v>
      </c>
      <c r="H3636" s="41" t="s">
        <v>11178</v>
      </c>
      <c r="I3636" s="43">
        <v>12</v>
      </c>
      <c r="J3636" s="44" t="str">
        <f>VLOOKUP(G3636,[1]硬件清单!$F:$F,1,0)</f>
        <v>214635986-06A</v>
      </c>
      <c r="K3636" s="43"/>
      <c r="L3636" s="44"/>
      <c r="M3636" s="45" t="s">
        <v>11179</v>
      </c>
    </row>
    <row r="3637" s="26" customFormat="1" ht="30" customHeight="1" spans="1:13">
      <c r="A3637" s="41">
        <f>IF(C3637="","",SUBTOTAL(103,$C$2:C3637))</f>
        <v>3628</v>
      </c>
      <c r="B3637" s="41">
        <v>1586</v>
      </c>
      <c r="C3637" s="41">
        <v>9504</v>
      </c>
      <c r="D3637" s="41" t="s">
        <v>45</v>
      </c>
      <c r="E3637" s="41" t="s">
        <v>1298</v>
      </c>
      <c r="F3637" s="41" t="s">
        <v>11161</v>
      </c>
      <c r="G3637" s="41" t="s">
        <v>11180</v>
      </c>
      <c r="H3637" s="41" t="s">
        <v>11181</v>
      </c>
      <c r="I3637" s="43">
        <v>12</v>
      </c>
      <c r="J3637" s="44" t="str">
        <f>VLOOKUP(G3637,[1]硬件清单!$F:$F,1,0)</f>
        <v>214635986-07A</v>
      </c>
      <c r="K3637" s="43"/>
      <c r="L3637" s="44"/>
      <c r="M3637" s="45" t="s">
        <v>11182</v>
      </c>
    </row>
    <row r="3638" s="26" customFormat="1" ht="30" customHeight="1" spans="1:13">
      <c r="A3638" s="41">
        <f>IF(C3638="","",SUBTOTAL(103,$C$2:C3638))</f>
        <v>3629</v>
      </c>
      <c r="B3638" s="41">
        <v>1587</v>
      </c>
      <c r="C3638" s="41">
        <v>9505</v>
      </c>
      <c r="D3638" s="41" t="s">
        <v>45</v>
      </c>
      <c r="E3638" s="41" t="s">
        <v>1298</v>
      </c>
      <c r="F3638" s="41" t="s">
        <v>11161</v>
      </c>
      <c r="G3638" s="41" t="s">
        <v>11183</v>
      </c>
      <c r="H3638" s="41" t="s">
        <v>11184</v>
      </c>
      <c r="I3638" s="43">
        <v>12</v>
      </c>
      <c r="J3638" s="44" t="str">
        <f>VLOOKUP(G3638,[1]硬件清单!$F:$F,1,0)</f>
        <v>214635986-08A</v>
      </c>
      <c r="K3638" s="43"/>
      <c r="L3638" s="44"/>
      <c r="M3638" s="45" t="s">
        <v>11185</v>
      </c>
    </row>
    <row r="3639" s="26" customFormat="1" ht="30" customHeight="1" spans="1:13">
      <c r="A3639" s="41">
        <f>IF(C3639="","",SUBTOTAL(103,$C$2:C3639))</f>
        <v>3630</v>
      </c>
      <c r="B3639" s="41">
        <v>1588</v>
      </c>
      <c r="C3639" s="41">
        <v>9506</v>
      </c>
      <c r="D3639" s="41" t="s">
        <v>45</v>
      </c>
      <c r="E3639" s="41" t="s">
        <v>1298</v>
      </c>
      <c r="F3639" s="41" t="s">
        <v>11161</v>
      </c>
      <c r="G3639" s="41" t="s">
        <v>11186</v>
      </c>
      <c r="H3639" s="41" t="s">
        <v>11187</v>
      </c>
      <c r="I3639" s="43">
        <v>12</v>
      </c>
      <c r="J3639" s="44" t="str">
        <f>VLOOKUP(G3639,[1]硬件清单!$F:$F,1,0)</f>
        <v>214635986-09A</v>
      </c>
      <c r="K3639" s="43"/>
      <c r="L3639" s="44"/>
      <c r="M3639" s="45" t="s">
        <v>11188</v>
      </c>
    </row>
    <row r="3640" s="26" customFormat="1" ht="30" customHeight="1" spans="1:13">
      <c r="A3640" s="41">
        <f>IF(C3640="","",SUBTOTAL(103,$C$2:C3640))</f>
        <v>3631</v>
      </c>
      <c r="B3640" s="41">
        <v>1589</v>
      </c>
      <c r="C3640" s="41">
        <v>9507</v>
      </c>
      <c r="D3640" s="41" t="s">
        <v>45</v>
      </c>
      <c r="E3640" s="41" t="s">
        <v>1298</v>
      </c>
      <c r="F3640" s="41" t="s">
        <v>11161</v>
      </c>
      <c r="G3640" s="41" t="s">
        <v>11189</v>
      </c>
      <c r="H3640" s="41" t="s">
        <v>11190</v>
      </c>
      <c r="I3640" s="43">
        <v>12</v>
      </c>
      <c r="J3640" s="44" t="str">
        <f>VLOOKUP(G3640,[1]硬件清单!$F:$F,1,0)</f>
        <v>214635986-10A</v>
      </c>
      <c r="K3640" s="43"/>
      <c r="L3640" s="44"/>
      <c r="M3640" s="45" t="s">
        <v>11191</v>
      </c>
    </row>
    <row r="3641" s="26" customFormat="1" ht="30" customHeight="1" spans="1:13">
      <c r="A3641" s="41">
        <f>IF(C3641="","",SUBTOTAL(103,$C$2:C3641))</f>
        <v>3632</v>
      </c>
      <c r="B3641" s="41">
        <v>1590</v>
      </c>
      <c r="C3641" s="41">
        <v>9508</v>
      </c>
      <c r="D3641" s="41" t="s">
        <v>45</v>
      </c>
      <c r="E3641" s="41" t="s">
        <v>1298</v>
      </c>
      <c r="F3641" s="41" t="s">
        <v>11161</v>
      </c>
      <c r="G3641" s="41" t="s">
        <v>11192</v>
      </c>
      <c r="H3641" s="41" t="s">
        <v>11193</v>
      </c>
      <c r="I3641" s="43">
        <v>12</v>
      </c>
      <c r="J3641" s="44" t="str">
        <f>VLOOKUP(G3641,[1]硬件清单!$F:$F,1,0)</f>
        <v>214635986-11A</v>
      </c>
      <c r="K3641" s="43"/>
      <c r="L3641" s="44"/>
      <c r="M3641" s="45" t="s">
        <v>11194</v>
      </c>
    </row>
    <row r="3642" s="26" customFormat="1" ht="30" customHeight="1" spans="1:13">
      <c r="A3642" s="41">
        <f>IF(C3642="","",SUBTOTAL(103,$C$2:C3642))</f>
        <v>3633</v>
      </c>
      <c r="B3642" s="41">
        <v>1591</v>
      </c>
      <c r="C3642" s="41">
        <v>9509</v>
      </c>
      <c r="D3642" s="41" t="s">
        <v>45</v>
      </c>
      <c r="E3642" s="41" t="s">
        <v>1298</v>
      </c>
      <c r="F3642" s="41" t="s">
        <v>11161</v>
      </c>
      <c r="G3642" s="41" t="s">
        <v>11195</v>
      </c>
      <c r="H3642" s="41" t="s">
        <v>11196</v>
      </c>
      <c r="I3642" s="43">
        <v>12</v>
      </c>
      <c r="J3642" s="44" t="str">
        <f>VLOOKUP(G3642,[1]硬件清单!$F:$F,1,0)</f>
        <v>214635986-12A</v>
      </c>
      <c r="K3642" s="43"/>
      <c r="L3642" s="44"/>
      <c r="M3642" s="45" t="s">
        <v>11197</v>
      </c>
    </row>
    <row r="3643" s="26" customFormat="1" ht="30" customHeight="1" spans="1:13">
      <c r="A3643" s="41">
        <f>IF(C3643="","",SUBTOTAL(103,$C$2:C3643))</f>
        <v>3634</v>
      </c>
      <c r="B3643" s="41">
        <v>1592</v>
      </c>
      <c r="C3643" s="41">
        <v>9510</v>
      </c>
      <c r="D3643" s="41" t="s">
        <v>45</v>
      </c>
      <c r="E3643" s="41" t="s">
        <v>1298</v>
      </c>
      <c r="F3643" s="41" t="s">
        <v>11161</v>
      </c>
      <c r="G3643" s="41" t="s">
        <v>11198</v>
      </c>
      <c r="H3643" s="41" t="s">
        <v>11199</v>
      </c>
      <c r="I3643" s="43">
        <v>12</v>
      </c>
      <c r="J3643" s="44" t="str">
        <f>VLOOKUP(G3643,[1]硬件清单!$F:$F,1,0)</f>
        <v>214635986-13A</v>
      </c>
      <c r="K3643" s="43"/>
      <c r="L3643" s="44"/>
      <c r="M3643" s="45" t="s">
        <v>11200</v>
      </c>
    </row>
    <row r="3644" s="26" customFormat="1" ht="30" customHeight="1" spans="1:13">
      <c r="A3644" s="41">
        <f>IF(C3644="","",SUBTOTAL(103,$C$2:C3644))</f>
        <v>3635</v>
      </c>
      <c r="B3644" s="41">
        <v>1593</v>
      </c>
      <c r="C3644" s="41">
        <v>9511</v>
      </c>
      <c r="D3644" s="41" t="s">
        <v>45</v>
      </c>
      <c r="E3644" s="41" t="s">
        <v>1298</v>
      </c>
      <c r="F3644" s="41" t="s">
        <v>11161</v>
      </c>
      <c r="G3644" s="41" t="s">
        <v>11201</v>
      </c>
      <c r="H3644" s="41" t="s">
        <v>11202</v>
      </c>
      <c r="I3644" s="43">
        <v>12</v>
      </c>
      <c r="J3644" s="44" t="str">
        <f>VLOOKUP(G3644,[1]硬件清单!$F:$F,1,0)</f>
        <v>214635986-14A</v>
      </c>
      <c r="K3644" s="43"/>
      <c r="L3644" s="44"/>
      <c r="M3644" s="45" t="s">
        <v>11203</v>
      </c>
    </row>
    <row r="3645" s="26" customFormat="1" ht="30" customHeight="1" spans="1:13">
      <c r="A3645" s="41">
        <f>IF(C3645="","",SUBTOTAL(103,$C$2:C3645))</f>
        <v>3636</v>
      </c>
      <c r="B3645" s="41">
        <v>1594</v>
      </c>
      <c r="C3645" s="41">
        <v>9512</v>
      </c>
      <c r="D3645" s="41" t="s">
        <v>45</v>
      </c>
      <c r="E3645" s="41" t="s">
        <v>1298</v>
      </c>
      <c r="F3645" s="41" t="s">
        <v>11161</v>
      </c>
      <c r="G3645" s="41" t="s">
        <v>11204</v>
      </c>
      <c r="H3645" s="41" t="s">
        <v>11205</v>
      </c>
      <c r="I3645" s="43">
        <v>12</v>
      </c>
      <c r="J3645" s="44" t="str">
        <f>VLOOKUP(G3645,[1]硬件清单!$F:$F,1,0)</f>
        <v>214635986-15A</v>
      </c>
      <c r="K3645" s="43"/>
      <c r="L3645" s="44"/>
      <c r="M3645" s="45" t="s">
        <v>11206</v>
      </c>
    </row>
    <row r="3646" s="26" customFormat="1" ht="30" customHeight="1" spans="1:13">
      <c r="A3646" s="41">
        <f>IF(C3646="","",SUBTOTAL(103,$C$2:C3646))</f>
        <v>3637</v>
      </c>
      <c r="B3646" s="41">
        <v>1595</v>
      </c>
      <c r="C3646" s="41">
        <v>9513</v>
      </c>
      <c r="D3646" s="41" t="s">
        <v>45</v>
      </c>
      <c r="E3646" s="41" t="s">
        <v>1298</v>
      </c>
      <c r="F3646" s="41" t="s">
        <v>11161</v>
      </c>
      <c r="G3646" s="41" t="s">
        <v>11207</v>
      </c>
      <c r="H3646" s="41" t="s">
        <v>11208</v>
      </c>
      <c r="I3646" s="43">
        <v>12</v>
      </c>
      <c r="J3646" s="44" t="str">
        <f>VLOOKUP(G3646,[1]硬件清单!$F:$F,1,0)</f>
        <v>214635986-16A</v>
      </c>
      <c r="K3646" s="43"/>
      <c r="L3646" s="44"/>
      <c r="M3646" s="45" t="s">
        <v>11209</v>
      </c>
    </row>
    <row r="3647" s="26" customFormat="1" ht="30" customHeight="1" spans="1:13">
      <c r="A3647" s="41">
        <f>IF(C3647="","",SUBTOTAL(103,$C$2:C3647))</f>
        <v>3638</v>
      </c>
      <c r="B3647" s="41">
        <v>1596</v>
      </c>
      <c r="C3647" s="41">
        <v>9514</v>
      </c>
      <c r="D3647" s="41" t="s">
        <v>45</v>
      </c>
      <c r="E3647" s="41" t="s">
        <v>1298</v>
      </c>
      <c r="F3647" s="41" t="s">
        <v>11161</v>
      </c>
      <c r="G3647" s="41" t="s">
        <v>11210</v>
      </c>
      <c r="H3647" s="41" t="s">
        <v>11211</v>
      </c>
      <c r="I3647" s="43">
        <v>12</v>
      </c>
      <c r="J3647" s="44" t="str">
        <f>VLOOKUP(G3647,[1]硬件清单!$F:$F,1,0)</f>
        <v>214635986-17A</v>
      </c>
      <c r="K3647" s="43"/>
      <c r="L3647" s="44"/>
      <c r="M3647" s="45" t="s">
        <v>11212</v>
      </c>
    </row>
    <row r="3648" s="26" customFormat="1" ht="30" customHeight="1" spans="1:13">
      <c r="A3648" s="41">
        <f>IF(C3648="","",SUBTOTAL(103,$C$2:C3648))</f>
        <v>3639</v>
      </c>
      <c r="B3648" s="41">
        <v>1597</v>
      </c>
      <c r="C3648" s="41">
        <v>9515</v>
      </c>
      <c r="D3648" s="41" t="s">
        <v>45</v>
      </c>
      <c r="E3648" s="41" t="s">
        <v>1298</v>
      </c>
      <c r="F3648" s="41" t="s">
        <v>11161</v>
      </c>
      <c r="G3648" s="41" t="s">
        <v>11213</v>
      </c>
      <c r="H3648" s="41" t="s">
        <v>11214</v>
      </c>
      <c r="I3648" s="43">
        <v>12</v>
      </c>
      <c r="J3648" s="44" t="str">
        <f>VLOOKUP(G3648,[1]硬件清单!$F:$F,1,0)</f>
        <v>214635986-18A</v>
      </c>
      <c r="K3648" s="43"/>
      <c r="L3648" s="44"/>
      <c r="M3648" s="45" t="s">
        <v>11215</v>
      </c>
    </row>
    <row r="3649" s="26" customFormat="1" ht="30" customHeight="1" spans="1:13">
      <c r="A3649" s="41">
        <f>IF(C3649="","",SUBTOTAL(103,$C$2:C3649))</f>
        <v>3640</v>
      </c>
      <c r="B3649" s="41">
        <v>1598</v>
      </c>
      <c r="C3649" s="41">
        <v>9516</v>
      </c>
      <c r="D3649" s="41" t="s">
        <v>45</v>
      </c>
      <c r="E3649" s="41" t="s">
        <v>1298</v>
      </c>
      <c r="F3649" s="41" t="s">
        <v>11161</v>
      </c>
      <c r="G3649" s="41" t="s">
        <v>11216</v>
      </c>
      <c r="H3649" s="41" t="s">
        <v>11217</v>
      </c>
      <c r="I3649" s="43">
        <v>12</v>
      </c>
      <c r="J3649" s="44" t="str">
        <f>VLOOKUP(G3649,[1]硬件清单!$F:$F,1,0)</f>
        <v>214635986-19A</v>
      </c>
      <c r="K3649" s="43"/>
      <c r="L3649" s="44"/>
      <c r="M3649" s="45" t="s">
        <v>11218</v>
      </c>
    </row>
    <row r="3650" s="26" customFormat="1" ht="30" customHeight="1" spans="1:13">
      <c r="A3650" s="41">
        <f>IF(C3650="","",SUBTOTAL(103,$C$2:C3650))</f>
        <v>3641</v>
      </c>
      <c r="B3650" s="41">
        <v>1599</v>
      </c>
      <c r="C3650" s="41">
        <v>9517</v>
      </c>
      <c r="D3650" s="41" t="s">
        <v>45</v>
      </c>
      <c r="E3650" s="41" t="s">
        <v>1298</v>
      </c>
      <c r="F3650" s="41" t="s">
        <v>11161</v>
      </c>
      <c r="G3650" s="41" t="s">
        <v>11219</v>
      </c>
      <c r="H3650" s="41" t="s">
        <v>11220</v>
      </c>
      <c r="I3650" s="43">
        <v>12</v>
      </c>
      <c r="J3650" s="44" t="str">
        <f>VLOOKUP(G3650,[1]硬件清单!$F:$F,1,0)</f>
        <v>214635986-20A</v>
      </c>
      <c r="K3650" s="43"/>
      <c r="L3650" s="44"/>
      <c r="M3650" s="45" t="s">
        <v>11221</v>
      </c>
    </row>
    <row r="3651" s="26" customFormat="1" ht="30" customHeight="1" spans="1:13">
      <c r="A3651" s="41">
        <f>IF(C3651="","",SUBTOTAL(103,$C$2:C3651))</f>
        <v>3642</v>
      </c>
      <c r="B3651" s="41">
        <v>1600</v>
      </c>
      <c r="C3651" s="41">
        <v>9518</v>
      </c>
      <c r="D3651" s="41" t="s">
        <v>45</v>
      </c>
      <c r="E3651" s="41" t="s">
        <v>1298</v>
      </c>
      <c r="F3651" s="41" t="s">
        <v>11161</v>
      </c>
      <c r="G3651" s="41" t="s">
        <v>11222</v>
      </c>
      <c r="H3651" s="41" t="s">
        <v>11223</v>
      </c>
      <c r="I3651" s="43">
        <v>12</v>
      </c>
      <c r="J3651" s="44" t="str">
        <f>VLOOKUP(G3651,[1]硬件清单!$F:$F,1,0)</f>
        <v>214635986-26A</v>
      </c>
      <c r="K3651" s="43"/>
      <c r="L3651" s="44"/>
      <c r="M3651" s="45" t="s">
        <v>11224</v>
      </c>
    </row>
    <row r="3652" s="26" customFormat="1" ht="30" customHeight="1" spans="1:13">
      <c r="A3652" s="41">
        <f>IF(C3652="","",SUBTOTAL(103,$C$2:C3652))</f>
        <v>3643</v>
      </c>
      <c r="B3652" s="41">
        <v>1601</v>
      </c>
      <c r="C3652" s="41">
        <v>9519</v>
      </c>
      <c r="D3652" s="41" t="s">
        <v>45</v>
      </c>
      <c r="E3652" s="41" t="s">
        <v>1298</v>
      </c>
      <c r="F3652" s="41" t="s">
        <v>11161</v>
      </c>
      <c r="G3652" s="41" t="s">
        <v>11225</v>
      </c>
      <c r="H3652" s="41" t="s">
        <v>11226</v>
      </c>
      <c r="I3652" s="43">
        <v>12</v>
      </c>
      <c r="J3652" s="44" t="str">
        <f>VLOOKUP(G3652,[1]硬件清单!$F:$F,1,0)</f>
        <v>214635986-27A</v>
      </c>
      <c r="K3652" s="43"/>
      <c r="L3652" s="44"/>
      <c r="M3652" s="45" t="s">
        <v>11227</v>
      </c>
    </row>
    <row r="3653" s="26" customFormat="1" ht="30" customHeight="1" spans="1:13">
      <c r="A3653" s="41">
        <f>IF(C3653="","",SUBTOTAL(103,$C$2:C3653))</f>
        <v>3644</v>
      </c>
      <c r="B3653" s="41">
        <v>1602</v>
      </c>
      <c r="C3653" s="41">
        <v>9520</v>
      </c>
      <c r="D3653" s="41" t="s">
        <v>45</v>
      </c>
      <c r="E3653" s="41" t="s">
        <v>1298</v>
      </c>
      <c r="F3653" s="41" t="s">
        <v>11161</v>
      </c>
      <c r="G3653" s="41" t="s">
        <v>11228</v>
      </c>
      <c r="H3653" s="41" t="s">
        <v>11229</v>
      </c>
      <c r="I3653" s="43">
        <v>12</v>
      </c>
      <c r="J3653" s="44" t="str">
        <f>VLOOKUP(G3653,[1]硬件清单!$F:$F,1,0)</f>
        <v>214635986-28A</v>
      </c>
      <c r="K3653" s="43"/>
      <c r="L3653" s="44"/>
      <c r="M3653" s="45" t="s">
        <v>11230</v>
      </c>
    </row>
    <row r="3654" s="26" customFormat="1" ht="30" customHeight="1" spans="1:13">
      <c r="A3654" s="41">
        <f>IF(C3654="","",SUBTOTAL(103,$C$2:C3654))</f>
        <v>3645</v>
      </c>
      <c r="B3654" s="41">
        <v>1603</v>
      </c>
      <c r="C3654" s="41">
        <v>9521</v>
      </c>
      <c r="D3654" s="41" t="s">
        <v>45</v>
      </c>
      <c r="E3654" s="41" t="s">
        <v>1298</v>
      </c>
      <c r="F3654" s="41" t="s">
        <v>11161</v>
      </c>
      <c r="G3654" s="41" t="s">
        <v>11231</v>
      </c>
      <c r="H3654" s="41" t="s">
        <v>11232</v>
      </c>
      <c r="I3654" s="43">
        <v>12</v>
      </c>
      <c r="J3654" s="44" t="str">
        <f>VLOOKUP(G3654,[1]硬件清单!$F:$F,1,0)</f>
        <v>214635986-29A</v>
      </c>
      <c r="K3654" s="43"/>
      <c r="L3654" s="44"/>
      <c r="M3654" s="45" t="s">
        <v>11233</v>
      </c>
    </row>
    <row r="3655" s="26" customFormat="1" ht="30" customHeight="1" spans="1:13">
      <c r="A3655" s="41">
        <f>IF(C3655="","",SUBTOTAL(103,$C$2:C3655))</f>
        <v>3646</v>
      </c>
      <c r="B3655" s="41">
        <v>1604</v>
      </c>
      <c r="C3655" s="41">
        <v>9522</v>
      </c>
      <c r="D3655" s="41" t="s">
        <v>45</v>
      </c>
      <c r="E3655" s="41" t="s">
        <v>1298</v>
      </c>
      <c r="F3655" s="41" t="s">
        <v>11161</v>
      </c>
      <c r="G3655" s="41" t="s">
        <v>11234</v>
      </c>
      <c r="H3655" s="41" t="s">
        <v>11235</v>
      </c>
      <c r="I3655" s="43">
        <v>12</v>
      </c>
      <c r="J3655" s="44" t="str">
        <f>VLOOKUP(G3655,[1]硬件清单!$F:$F,1,0)</f>
        <v>214635986-30A</v>
      </c>
      <c r="K3655" s="43"/>
      <c r="L3655" s="44"/>
      <c r="M3655" s="45" t="s">
        <v>11236</v>
      </c>
    </row>
    <row r="3656" s="26" customFormat="1" ht="30" customHeight="1" spans="1:13">
      <c r="A3656" s="41">
        <f>IF(C3656="","",SUBTOTAL(103,$C$2:C3656))</f>
        <v>3647</v>
      </c>
      <c r="B3656" s="41">
        <v>1605</v>
      </c>
      <c r="C3656" s="41">
        <v>9523</v>
      </c>
      <c r="D3656" s="41" t="s">
        <v>45</v>
      </c>
      <c r="E3656" s="41" t="s">
        <v>1298</v>
      </c>
      <c r="F3656" s="41" t="s">
        <v>11161</v>
      </c>
      <c r="G3656" s="41" t="s">
        <v>11237</v>
      </c>
      <c r="H3656" s="41" t="s">
        <v>11238</v>
      </c>
      <c r="I3656" s="43">
        <v>12</v>
      </c>
      <c r="J3656" s="44" t="str">
        <f>VLOOKUP(G3656,[1]硬件清单!$F:$F,1,0)</f>
        <v>214635986-31A</v>
      </c>
      <c r="K3656" s="43"/>
      <c r="L3656" s="44"/>
      <c r="M3656" s="45" t="s">
        <v>11239</v>
      </c>
    </row>
    <row r="3657" s="26" customFormat="1" ht="30" customHeight="1" spans="1:13">
      <c r="A3657" s="41">
        <f>IF(C3657="","",SUBTOTAL(103,$C$2:C3657))</f>
        <v>3648</v>
      </c>
      <c r="B3657" s="41">
        <v>1606</v>
      </c>
      <c r="C3657" s="41">
        <v>9524</v>
      </c>
      <c r="D3657" s="41" t="s">
        <v>45</v>
      </c>
      <c r="E3657" s="41" t="s">
        <v>1298</v>
      </c>
      <c r="F3657" s="41" t="s">
        <v>11161</v>
      </c>
      <c r="G3657" s="41" t="s">
        <v>11240</v>
      </c>
      <c r="H3657" s="41" t="s">
        <v>11241</v>
      </c>
      <c r="I3657" s="43">
        <v>12</v>
      </c>
      <c r="J3657" s="44" t="str">
        <f>VLOOKUP(G3657,[1]硬件清单!$F:$F,1,0)</f>
        <v>214635986-32A</v>
      </c>
      <c r="K3657" s="43"/>
      <c r="L3657" s="44"/>
      <c r="M3657" s="45" t="s">
        <v>11242</v>
      </c>
    </row>
    <row r="3658" s="26" customFormat="1" ht="30" customHeight="1" spans="1:13">
      <c r="A3658" s="41">
        <f>IF(C3658="","",SUBTOTAL(103,$C$2:C3658))</f>
        <v>3649</v>
      </c>
      <c r="B3658" s="41">
        <v>1607</v>
      </c>
      <c r="C3658" s="41">
        <v>9525</v>
      </c>
      <c r="D3658" s="41" t="s">
        <v>45</v>
      </c>
      <c r="E3658" s="41" t="s">
        <v>1298</v>
      </c>
      <c r="F3658" s="41" t="s">
        <v>11161</v>
      </c>
      <c r="G3658" s="41" t="s">
        <v>11243</v>
      </c>
      <c r="H3658" s="41" t="s">
        <v>11244</v>
      </c>
      <c r="I3658" s="43">
        <v>12</v>
      </c>
      <c r="J3658" s="44" t="str">
        <f>VLOOKUP(G3658,[1]硬件清单!$F:$F,1,0)</f>
        <v>214635986-33A</v>
      </c>
      <c r="K3658" s="43"/>
      <c r="L3658" s="44"/>
      <c r="M3658" s="45" t="s">
        <v>11245</v>
      </c>
    </row>
    <row r="3659" s="26" customFormat="1" ht="30" customHeight="1" spans="1:13">
      <c r="A3659" s="41">
        <f>IF(C3659="","",SUBTOTAL(103,$C$2:C3659))</f>
        <v>3650</v>
      </c>
      <c r="B3659" s="41">
        <v>1608</v>
      </c>
      <c r="C3659" s="41">
        <v>9526</v>
      </c>
      <c r="D3659" s="41" t="s">
        <v>45</v>
      </c>
      <c r="E3659" s="41" t="s">
        <v>1298</v>
      </c>
      <c r="F3659" s="41" t="s">
        <v>11161</v>
      </c>
      <c r="G3659" s="41" t="s">
        <v>11246</v>
      </c>
      <c r="H3659" s="41" t="s">
        <v>11247</v>
      </c>
      <c r="I3659" s="43">
        <v>12</v>
      </c>
      <c r="J3659" s="44" t="str">
        <f>VLOOKUP(G3659,[1]硬件清单!$F:$F,1,0)</f>
        <v>214635986-34A</v>
      </c>
      <c r="K3659" s="43"/>
      <c r="L3659" s="44"/>
      <c r="M3659" s="45" t="s">
        <v>11248</v>
      </c>
    </row>
    <row r="3660" s="26" customFormat="1" ht="30" customHeight="1" spans="1:13">
      <c r="A3660" s="41">
        <f>IF(C3660="","",SUBTOTAL(103,$C$2:C3660))</f>
        <v>3651</v>
      </c>
      <c r="B3660" s="41">
        <v>1609</v>
      </c>
      <c r="C3660" s="41">
        <v>9527</v>
      </c>
      <c r="D3660" s="41" t="s">
        <v>45</v>
      </c>
      <c r="E3660" s="41" t="s">
        <v>1298</v>
      </c>
      <c r="F3660" s="41" t="s">
        <v>11161</v>
      </c>
      <c r="G3660" s="41" t="s">
        <v>11249</v>
      </c>
      <c r="H3660" s="41" t="s">
        <v>11250</v>
      </c>
      <c r="I3660" s="43">
        <v>12</v>
      </c>
      <c r="J3660" s="44" t="str">
        <f>VLOOKUP(G3660,[1]硬件清单!$F:$F,1,0)</f>
        <v>214635986-35A</v>
      </c>
      <c r="K3660" s="43"/>
      <c r="L3660" s="44"/>
      <c r="M3660" s="45" t="s">
        <v>11251</v>
      </c>
    </row>
    <row r="3661" s="26" customFormat="1" ht="30" customHeight="1" spans="1:13">
      <c r="A3661" s="41">
        <f>IF(C3661="","",SUBTOTAL(103,$C$2:C3661))</f>
        <v>3652</v>
      </c>
      <c r="B3661" s="41">
        <v>1610</v>
      </c>
      <c r="C3661" s="41">
        <v>9528</v>
      </c>
      <c r="D3661" s="41" t="s">
        <v>45</v>
      </c>
      <c r="E3661" s="41" t="s">
        <v>1298</v>
      </c>
      <c r="F3661" s="41" t="s">
        <v>11161</v>
      </c>
      <c r="G3661" s="41" t="s">
        <v>11252</v>
      </c>
      <c r="H3661" s="41" t="s">
        <v>11253</v>
      </c>
      <c r="I3661" s="43">
        <v>12</v>
      </c>
      <c r="J3661" s="44" t="str">
        <f>VLOOKUP(G3661,[1]硬件清单!$F:$F,1,0)</f>
        <v>214635986-36A</v>
      </c>
      <c r="K3661" s="43"/>
      <c r="L3661" s="44"/>
      <c r="M3661" s="45" t="s">
        <v>11254</v>
      </c>
    </row>
    <row r="3662" s="26" customFormat="1" ht="30" customHeight="1" spans="1:13">
      <c r="A3662" s="41">
        <f>IF(C3662="","",SUBTOTAL(103,$C$2:C3662))</f>
        <v>3653</v>
      </c>
      <c r="B3662" s="41">
        <v>1611</v>
      </c>
      <c r="C3662" s="41">
        <v>9529</v>
      </c>
      <c r="D3662" s="41" t="s">
        <v>45</v>
      </c>
      <c r="E3662" s="41" t="s">
        <v>1298</v>
      </c>
      <c r="F3662" s="41" t="s">
        <v>11161</v>
      </c>
      <c r="G3662" s="41" t="s">
        <v>11255</v>
      </c>
      <c r="H3662" s="41" t="s">
        <v>11256</v>
      </c>
      <c r="I3662" s="43">
        <v>12</v>
      </c>
      <c r="J3662" s="44" t="str">
        <f>VLOOKUP(G3662,[1]硬件清单!$F:$F,1,0)</f>
        <v>214635986-37A</v>
      </c>
      <c r="K3662" s="43"/>
      <c r="L3662" s="44"/>
      <c r="M3662" s="45" t="s">
        <v>11257</v>
      </c>
    </row>
    <row r="3663" s="26" customFormat="1" ht="30" customHeight="1" spans="1:13">
      <c r="A3663" s="41">
        <f>IF(C3663="","",SUBTOTAL(103,$C$2:C3663))</f>
        <v>3654</v>
      </c>
      <c r="B3663" s="41">
        <v>1612</v>
      </c>
      <c r="C3663" s="41">
        <v>9997</v>
      </c>
      <c r="D3663" s="41" t="s">
        <v>45</v>
      </c>
      <c r="E3663" s="41" t="s">
        <v>1298</v>
      </c>
      <c r="F3663" s="41" t="s">
        <v>11258</v>
      </c>
      <c r="G3663" s="41" t="s">
        <v>11259</v>
      </c>
      <c r="H3663" s="41" t="s">
        <v>11260</v>
      </c>
      <c r="I3663" s="43">
        <v>12</v>
      </c>
      <c r="J3663" s="44" t="str">
        <f>VLOOKUP(G3663,[1]硬件清单!$F:$F,1,0)</f>
        <v>1TB1132</v>
      </c>
      <c r="K3663" s="43"/>
      <c r="L3663" s="44"/>
      <c r="M3663" s="45" t="s">
        <v>11261</v>
      </c>
    </row>
    <row r="3664" s="26" customFormat="1" ht="30" customHeight="1" spans="1:13">
      <c r="A3664" s="41">
        <f>IF(C3664="","",SUBTOTAL(103,$C$2:C3664))</f>
        <v>3655</v>
      </c>
      <c r="B3664" s="41">
        <v>1613</v>
      </c>
      <c r="C3664" s="41">
        <v>9474</v>
      </c>
      <c r="D3664" s="41" t="s">
        <v>45</v>
      </c>
      <c r="E3664" s="41" t="s">
        <v>1298</v>
      </c>
      <c r="F3664" s="41" t="s">
        <v>7517</v>
      </c>
      <c r="G3664" s="41" t="s">
        <v>11262</v>
      </c>
      <c r="H3664" s="41" t="s">
        <v>11263</v>
      </c>
      <c r="I3664" s="43">
        <v>12</v>
      </c>
      <c r="J3664" s="44" t="str">
        <f>VLOOKUP(G3664,[1]硬件清单!$F:$F,1,0)</f>
        <v>66MZ032</v>
      </c>
      <c r="K3664" s="43"/>
      <c r="L3664" s="44"/>
      <c r="M3664" s="45" t="s">
        <v>11264</v>
      </c>
    </row>
    <row r="3665" s="26" customFormat="1" ht="30" customHeight="1" spans="1:13">
      <c r="A3665" s="41">
        <f>IF(C3665="","",SUBTOTAL(103,$C$2:C3665))</f>
        <v>3656</v>
      </c>
      <c r="B3665" s="41">
        <v>1614</v>
      </c>
      <c r="C3665" s="41">
        <v>9475</v>
      </c>
      <c r="D3665" s="41" t="s">
        <v>45</v>
      </c>
      <c r="E3665" s="41" t="s">
        <v>1298</v>
      </c>
      <c r="F3665" s="41" t="s">
        <v>7517</v>
      </c>
      <c r="G3665" s="41" t="s">
        <v>11265</v>
      </c>
      <c r="H3665" s="41" t="s">
        <v>11266</v>
      </c>
      <c r="I3665" s="43">
        <v>12</v>
      </c>
      <c r="J3665" s="44" t="str">
        <f>VLOOKUP(G3665,[1]硬件清单!$F:$F,1,0)</f>
        <v>JDLZ032</v>
      </c>
      <c r="K3665" s="43"/>
      <c r="L3665" s="44"/>
      <c r="M3665" s="45" t="s">
        <v>11267</v>
      </c>
    </row>
    <row r="3666" s="26" customFormat="1" ht="30" customHeight="1" spans="1:13">
      <c r="A3666" s="41">
        <f>IF(C3666="","",SUBTOTAL(103,$C$2:C3666))</f>
        <v>3657</v>
      </c>
      <c r="B3666" s="41">
        <v>1615</v>
      </c>
      <c r="C3666" s="41">
        <v>9476</v>
      </c>
      <c r="D3666" s="41" t="s">
        <v>45</v>
      </c>
      <c r="E3666" s="41" t="s">
        <v>1298</v>
      </c>
      <c r="F3666" s="41" t="s">
        <v>7517</v>
      </c>
      <c r="G3666" s="41" t="s">
        <v>11268</v>
      </c>
      <c r="H3666" s="41" t="s">
        <v>11269</v>
      </c>
      <c r="I3666" s="43">
        <v>12</v>
      </c>
      <c r="J3666" s="44" t="str">
        <f>VLOOKUP(G3666,[1]硬件清单!$F:$F,1,0)</f>
        <v>BDLZ032</v>
      </c>
      <c r="K3666" s="43"/>
      <c r="L3666" s="44"/>
      <c r="M3666" s="45" t="s">
        <v>11270</v>
      </c>
    </row>
    <row r="3667" s="26" customFormat="1" ht="30" customHeight="1" spans="1:13">
      <c r="A3667" s="41">
        <f>IF(C3667="","",SUBTOTAL(103,$C$2:C3667))</f>
        <v>3658</v>
      </c>
      <c r="B3667" s="41">
        <v>1616</v>
      </c>
      <c r="C3667" s="41">
        <v>9477</v>
      </c>
      <c r="D3667" s="41" t="s">
        <v>45</v>
      </c>
      <c r="E3667" s="41" t="s">
        <v>1298</v>
      </c>
      <c r="F3667" s="41" t="s">
        <v>7517</v>
      </c>
      <c r="G3667" s="41" t="s">
        <v>11271</v>
      </c>
      <c r="H3667" s="41" t="s">
        <v>11272</v>
      </c>
      <c r="I3667" s="43">
        <v>12</v>
      </c>
      <c r="J3667" s="44" t="str">
        <f>VLOOKUP(G3667,[1]硬件清单!$F:$F,1,0)</f>
        <v>3MD6132</v>
      </c>
      <c r="K3667" s="43"/>
      <c r="L3667" s="44"/>
      <c r="M3667" s="45" t="s">
        <v>11273</v>
      </c>
    </row>
    <row r="3668" s="26" customFormat="1" ht="30" customHeight="1" spans="1:13">
      <c r="A3668" s="41">
        <f>IF(C3668="","",SUBTOTAL(103,$C$2:C3668))</f>
        <v>3659</v>
      </c>
      <c r="B3668" s="41">
        <v>1617</v>
      </c>
      <c r="C3668" s="41">
        <v>9478</v>
      </c>
      <c r="D3668" s="41" t="s">
        <v>45</v>
      </c>
      <c r="E3668" s="41" t="s">
        <v>1298</v>
      </c>
      <c r="F3668" s="41" t="s">
        <v>7517</v>
      </c>
      <c r="G3668" s="41" t="s">
        <v>11274</v>
      </c>
      <c r="H3668" s="41" t="s">
        <v>11275</v>
      </c>
      <c r="I3668" s="43">
        <v>12</v>
      </c>
      <c r="J3668" s="44" t="str">
        <f>VLOOKUP(G3668,[1]硬件清单!$F:$F,1,0)</f>
        <v>FLD6132</v>
      </c>
      <c r="K3668" s="43"/>
      <c r="L3668" s="44"/>
      <c r="M3668" s="45" t="s">
        <v>11276</v>
      </c>
    </row>
    <row r="3669" s="26" customFormat="1" ht="30" customHeight="1" spans="1:13">
      <c r="A3669" s="41">
        <f>IF(C3669="","",SUBTOTAL(103,$C$2:C3669))</f>
        <v>3660</v>
      </c>
      <c r="B3669" s="41">
        <v>1618</v>
      </c>
      <c r="C3669" s="41">
        <v>9479</v>
      </c>
      <c r="D3669" s="41" t="s">
        <v>45</v>
      </c>
      <c r="E3669" s="41" t="s">
        <v>1298</v>
      </c>
      <c r="F3669" s="41" t="s">
        <v>7517</v>
      </c>
      <c r="G3669" s="41" t="s">
        <v>11277</v>
      </c>
      <c r="H3669" s="41" t="s">
        <v>11278</v>
      </c>
      <c r="I3669" s="43">
        <v>12</v>
      </c>
      <c r="J3669" s="44" t="str">
        <f>VLOOKUP(G3669,[1]硬件清单!$F:$F,1,0)</f>
        <v>96MZ032</v>
      </c>
      <c r="K3669" s="43"/>
      <c r="L3669" s="44"/>
      <c r="M3669" s="45" t="s">
        <v>11279</v>
      </c>
    </row>
    <row r="3670" s="26" customFormat="1" ht="30" customHeight="1" spans="1:13">
      <c r="A3670" s="41">
        <f>IF(C3670="","",SUBTOTAL(103,$C$2:C3670))</f>
        <v>3661</v>
      </c>
      <c r="B3670" s="41">
        <v>1619</v>
      </c>
      <c r="C3670" s="41">
        <v>9480</v>
      </c>
      <c r="D3670" s="41" t="s">
        <v>45</v>
      </c>
      <c r="E3670" s="41" t="s">
        <v>1298</v>
      </c>
      <c r="F3670" s="41" t="s">
        <v>7517</v>
      </c>
      <c r="G3670" s="41" t="s">
        <v>11280</v>
      </c>
      <c r="H3670" s="41" t="s">
        <v>11281</v>
      </c>
      <c r="I3670" s="43">
        <v>12</v>
      </c>
      <c r="J3670" s="44" t="str">
        <f>VLOOKUP(G3670,[1]硬件清单!$F:$F,1,0)</f>
        <v>JFLZ032</v>
      </c>
      <c r="K3670" s="43"/>
      <c r="L3670" s="44"/>
      <c r="M3670" s="45" t="s">
        <v>11282</v>
      </c>
    </row>
    <row r="3671" s="26" customFormat="1" ht="30" customHeight="1" spans="1:13">
      <c r="A3671" s="41">
        <f>IF(C3671="","",SUBTOTAL(103,$C$2:C3671))</f>
        <v>3662</v>
      </c>
      <c r="B3671" s="41">
        <v>1620</v>
      </c>
      <c r="C3671" s="41">
        <v>9481</v>
      </c>
      <c r="D3671" s="41" t="s">
        <v>45</v>
      </c>
      <c r="E3671" s="41" t="s">
        <v>1298</v>
      </c>
      <c r="F3671" s="41" t="s">
        <v>7517</v>
      </c>
      <c r="G3671" s="41" t="s">
        <v>11283</v>
      </c>
      <c r="H3671" s="41" t="s">
        <v>11284</v>
      </c>
      <c r="I3671" s="43">
        <v>12</v>
      </c>
      <c r="J3671" s="44" t="str">
        <f>VLOOKUP(G3671,[1]硬件清单!$F:$F,1,0)</f>
        <v>5J00132</v>
      </c>
      <c r="K3671" s="43"/>
      <c r="L3671" s="44"/>
      <c r="M3671" s="45" t="s">
        <v>11285</v>
      </c>
    </row>
    <row r="3672" s="26" customFormat="1" ht="30" customHeight="1" spans="1:13">
      <c r="A3672" s="41">
        <f>IF(C3672="","",SUBTOTAL(103,$C$2:C3672))</f>
        <v>3663</v>
      </c>
      <c r="B3672" s="41">
        <v>1621</v>
      </c>
      <c r="C3672" s="41">
        <v>9482</v>
      </c>
      <c r="D3672" s="41" t="s">
        <v>45</v>
      </c>
      <c r="E3672" s="41" t="s">
        <v>1298</v>
      </c>
      <c r="F3672" s="41" t="s">
        <v>7517</v>
      </c>
      <c r="G3672" s="41" t="s">
        <v>11286</v>
      </c>
      <c r="H3672" s="41" t="s">
        <v>11287</v>
      </c>
      <c r="I3672" s="43">
        <v>12</v>
      </c>
      <c r="J3672" s="44" t="str">
        <f>VLOOKUP(G3672,[1]硬件清单!$F:$F,1,0)</f>
        <v>9H00132</v>
      </c>
      <c r="K3672" s="43"/>
      <c r="L3672" s="44"/>
      <c r="M3672" s="45" t="s">
        <v>11288</v>
      </c>
    </row>
    <row r="3673" s="26" customFormat="1" ht="30" customHeight="1" spans="1:13">
      <c r="A3673" s="41">
        <f>IF(C3673="","",SUBTOTAL(103,$C$2:C3673))</f>
        <v>3664</v>
      </c>
      <c r="B3673" s="41">
        <v>1622</v>
      </c>
      <c r="C3673" s="41">
        <v>9483</v>
      </c>
      <c r="D3673" s="41" t="s">
        <v>45</v>
      </c>
      <c r="E3673" s="41" t="s">
        <v>1298</v>
      </c>
      <c r="F3673" s="41" t="s">
        <v>7517</v>
      </c>
      <c r="G3673" s="41" t="s">
        <v>11289</v>
      </c>
      <c r="H3673" s="41" t="s">
        <v>11290</v>
      </c>
      <c r="I3673" s="43">
        <v>12</v>
      </c>
      <c r="J3673" s="44" t="str">
        <f>VLOOKUP(G3673,[1]硬件清单!$F:$F,1,0)</f>
        <v>6WLZ032</v>
      </c>
      <c r="K3673" s="43"/>
      <c r="L3673" s="44"/>
      <c r="M3673" s="45" t="s">
        <v>11291</v>
      </c>
    </row>
    <row r="3674" s="26" customFormat="1" ht="30" customHeight="1" spans="1:13">
      <c r="A3674" s="41">
        <f>IF(C3674="","",SUBTOTAL(103,$C$2:C3674))</f>
        <v>3665</v>
      </c>
      <c r="B3674" s="41">
        <v>1623</v>
      </c>
      <c r="C3674" s="41">
        <v>9484</v>
      </c>
      <c r="D3674" s="41" t="s">
        <v>45</v>
      </c>
      <c r="E3674" s="41" t="s">
        <v>1298</v>
      </c>
      <c r="F3674" s="41" t="s">
        <v>7517</v>
      </c>
      <c r="G3674" s="41" t="s">
        <v>11292</v>
      </c>
      <c r="H3674" s="41" t="s">
        <v>11293</v>
      </c>
      <c r="I3674" s="43">
        <v>12</v>
      </c>
      <c r="J3674" s="44" t="str">
        <f>VLOOKUP(G3674,[1]硬件清单!$F:$F,1,0)</f>
        <v>6210132</v>
      </c>
      <c r="K3674" s="43"/>
      <c r="L3674" s="44"/>
      <c r="M3674" s="45" t="s">
        <v>11294</v>
      </c>
    </row>
    <row r="3675" s="26" customFormat="1" ht="30" customHeight="1" spans="1:13">
      <c r="A3675" s="41">
        <f>IF(C3675="","",SUBTOTAL(103,$C$2:C3675))</f>
        <v>3666</v>
      </c>
      <c r="B3675" s="41">
        <v>1624</v>
      </c>
      <c r="C3675" s="41">
        <v>9485</v>
      </c>
      <c r="D3675" s="41" t="s">
        <v>45</v>
      </c>
      <c r="E3675" s="41" t="s">
        <v>1298</v>
      </c>
      <c r="F3675" s="41" t="s">
        <v>7517</v>
      </c>
      <c r="G3675" s="41" t="s">
        <v>11295</v>
      </c>
      <c r="H3675" s="41" t="s">
        <v>11296</v>
      </c>
      <c r="I3675" s="43">
        <v>12</v>
      </c>
      <c r="J3675" s="44" t="str">
        <f>VLOOKUP(G3675,[1]硬件清单!$F:$F,1,0)</f>
        <v>B310132</v>
      </c>
      <c r="K3675" s="43"/>
      <c r="L3675" s="44"/>
      <c r="M3675" s="45" t="s">
        <v>11297</v>
      </c>
    </row>
    <row r="3676" s="26" customFormat="1" ht="30" customHeight="1" spans="1:13">
      <c r="A3676" s="41">
        <f>IF(C3676="","",SUBTOTAL(103,$C$2:C3676))</f>
        <v>3667</v>
      </c>
      <c r="B3676" s="41">
        <v>1625</v>
      </c>
      <c r="C3676" s="41">
        <v>9486</v>
      </c>
      <c r="D3676" s="41" t="s">
        <v>45</v>
      </c>
      <c r="E3676" s="41" t="s">
        <v>1298</v>
      </c>
      <c r="F3676" s="41" t="s">
        <v>7517</v>
      </c>
      <c r="G3676" s="41" t="s">
        <v>11298</v>
      </c>
      <c r="H3676" s="41" t="s">
        <v>11299</v>
      </c>
      <c r="I3676" s="43">
        <v>12</v>
      </c>
      <c r="J3676" s="44" t="str">
        <f>VLOOKUP(G3676,[1]硬件清单!$F:$F,1,0)</f>
        <v>HCLZ032</v>
      </c>
      <c r="K3676" s="43"/>
      <c r="L3676" s="44"/>
      <c r="M3676" s="45" t="s">
        <v>11300</v>
      </c>
    </row>
    <row r="3677" s="26" customFormat="1" ht="30" customHeight="1" spans="1:13">
      <c r="A3677" s="41">
        <f>IF(C3677="","",SUBTOTAL(103,$C$2:C3677))</f>
        <v>3668</v>
      </c>
      <c r="B3677" s="41">
        <v>1626</v>
      </c>
      <c r="C3677" s="41">
        <v>9487</v>
      </c>
      <c r="D3677" s="41" t="s">
        <v>45</v>
      </c>
      <c r="E3677" s="41" t="s">
        <v>1298</v>
      </c>
      <c r="F3677" s="41" t="s">
        <v>7517</v>
      </c>
      <c r="G3677" s="41" t="s">
        <v>11301</v>
      </c>
      <c r="H3677" s="41" t="s">
        <v>11302</v>
      </c>
      <c r="I3677" s="43">
        <v>12</v>
      </c>
      <c r="J3677" s="44" t="str">
        <f>VLOOKUP(G3677,[1]硬件清单!$F:$F,1,0)</f>
        <v>BVZZ032</v>
      </c>
      <c r="K3677" s="43"/>
      <c r="L3677" s="44"/>
      <c r="M3677" s="45" t="s">
        <v>11303</v>
      </c>
    </row>
    <row r="3678" s="26" customFormat="1" ht="30" customHeight="1" spans="1:13">
      <c r="A3678" s="41">
        <f>IF(C3678="","",SUBTOTAL(103,$C$2:C3678))</f>
        <v>3669</v>
      </c>
      <c r="B3678" s="41">
        <v>1627</v>
      </c>
      <c r="C3678" s="41">
        <v>9488</v>
      </c>
      <c r="D3678" s="41" t="s">
        <v>45</v>
      </c>
      <c r="E3678" s="41" t="s">
        <v>1298</v>
      </c>
      <c r="F3678" s="41" t="s">
        <v>7517</v>
      </c>
      <c r="G3678" s="41" t="s">
        <v>11304</v>
      </c>
      <c r="H3678" s="41" t="s">
        <v>11305</v>
      </c>
      <c r="I3678" s="43">
        <v>12</v>
      </c>
      <c r="J3678" s="44" t="str">
        <f>VLOOKUP(G3678,[1]硬件清单!$F:$F,1,0)</f>
        <v>36MZ032</v>
      </c>
      <c r="K3678" s="43"/>
      <c r="L3678" s="44"/>
      <c r="M3678" s="45" t="s">
        <v>11306</v>
      </c>
    </row>
    <row r="3679" s="26" customFormat="1" ht="30" customHeight="1" spans="1:13">
      <c r="A3679" s="41">
        <f>IF(C3679="","",SUBTOTAL(103,$C$2:C3679))</f>
        <v>3670</v>
      </c>
      <c r="B3679" s="41">
        <v>1628</v>
      </c>
      <c r="C3679" s="41">
        <v>9489</v>
      </c>
      <c r="D3679" s="41" t="s">
        <v>45</v>
      </c>
      <c r="E3679" s="41" t="s">
        <v>1298</v>
      </c>
      <c r="F3679" s="41" t="s">
        <v>7517</v>
      </c>
      <c r="G3679" s="41" t="s">
        <v>11307</v>
      </c>
      <c r="H3679" s="41" t="s">
        <v>11308</v>
      </c>
      <c r="I3679" s="43">
        <v>12</v>
      </c>
      <c r="J3679" s="44" t="str">
        <f>VLOOKUP(G3679,[1]硬件清单!$F:$F,1,0)</f>
        <v>1J00132</v>
      </c>
      <c r="K3679" s="43"/>
      <c r="L3679" s="44"/>
      <c r="M3679" s="45" t="s">
        <v>11309</v>
      </c>
    </row>
    <row r="3680" s="26" customFormat="1" ht="30" customHeight="1" spans="1:13">
      <c r="A3680" s="41">
        <f>IF(C3680="","",SUBTOTAL(103,$C$2:C3680))</f>
        <v>3671</v>
      </c>
      <c r="B3680" s="41">
        <v>1629</v>
      </c>
      <c r="C3680" s="41">
        <v>10943</v>
      </c>
      <c r="D3680" s="41" t="s">
        <v>45</v>
      </c>
      <c r="E3680" s="41" t="s">
        <v>1298</v>
      </c>
      <c r="F3680" s="41" t="s">
        <v>10905</v>
      </c>
      <c r="G3680" s="41" t="s">
        <v>11310</v>
      </c>
      <c r="H3680" s="41" t="s">
        <v>11311</v>
      </c>
      <c r="I3680" s="43">
        <v>12</v>
      </c>
      <c r="J3680" s="44" t="str">
        <f>VLOOKUP(G3680,[1]硬件清单!$F:$F,1,0)</f>
        <v>214637692</v>
      </c>
      <c r="K3680" s="43"/>
      <c r="L3680" s="44"/>
      <c r="M3680" s="45" t="s">
        <v>11312</v>
      </c>
    </row>
    <row r="3681" s="26" customFormat="1" ht="30" customHeight="1" spans="1:13">
      <c r="A3681" s="41">
        <f>IF(C3681="","",SUBTOTAL(103,$C$2:C3681))</f>
        <v>3672</v>
      </c>
      <c r="B3681" s="41">
        <v>1630</v>
      </c>
      <c r="C3681" s="41">
        <v>10942</v>
      </c>
      <c r="D3681" s="41" t="s">
        <v>45</v>
      </c>
      <c r="E3681" s="41" t="s">
        <v>1298</v>
      </c>
      <c r="F3681" s="41" t="s">
        <v>10905</v>
      </c>
      <c r="G3681" s="41" t="s">
        <v>11313</v>
      </c>
      <c r="H3681" s="41" t="s">
        <v>11314</v>
      </c>
      <c r="I3681" s="43">
        <v>12</v>
      </c>
      <c r="J3681" s="44" t="str">
        <f>VLOOKUP(G3681,[1]硬件清单!$F:$F,1,0)</f>
        <v>214637691</v>
      </c>
      <c r="K3681" s="43"/>
      <c r="L3681" s="44"/>
      <c r="M3681" s="45" t="s">
        <v>11315</v>
      </c>
    </row>
    <row r="3682" s="26" customFormat="1" ht="30" customHeight="1" spans="1:13">
      <c r="A3682" s="41">
        <f>IF(C3682="","",SUBTOTAL(103,$C$2:C3682))</f>
        <v>3673</v>
      </c>
      <c r="B3682" s="41">
        <v>1631</v>
      </c>
      <c r="C3682" s="41">
        <v>9996</v>
      </c>
      <c r="D3682" s="41" t="s">
        <v>45</v>
      </c>
      <c r="E3682" s="41" t="s">
        <v>1298</v>
      </c>
      <c r="F3682" s="41" t="s">
        <v>11258</v>
      </c>
      <c r="G3682" s="41" t="s">
        <v>11316</v>
      </c>
      <c r="H3682" s="41" t="s">
        <v>11317</v>
      </c>
      <c r="I3682" s="43">
        <v>12</v>
      </c>
      <c r="J3682" s="44" t="str">
        <f>VLOOKUP(G3682,[1]硬件清单!$F:$F,1,0)</f>
        <v>9TB1132</v>
      </c>
      <c r="K3682" s="43"/>
      <c r="L3682" s="44"/>
      <c r="M3682" s="45" t="s">
        <v>11318</v>
      </c>
    </row>
    <row r="3683" s="26" customFormat="1" ht="30" customHeight="1" spans="1:13">
      <c r="A3683" s="41">
        <f>IF(C3683="","",SUBTOTAL(103,$C$2:C3683))</f>
        <v>3674</v>
      </c>
      <c r="B3683" s="41">
        <v>1632</v>
      </c>
      <c r="C3683" s="41">
        <v>9454</v>
      </c>
      <c r="D3683" s="41" t="s">
        <v>45</v>
      </c>
      <c r="E3683" s="41" t="s">
        <v>1298</v>
      </c>
      <c r="F3683" s="41" t="s">
        <v>7517</v>
      </c>
      <c r="G3683" s="41" t="s">
        <v>11319</v>
      </c>
      <c r="H3683" s="41" t="s">
        <v>11320</v>
      </c>
      <c r="I3683" s="43">
        <v>12</v>
      </c>
      <c r="J3683" s="44" t="str">
        <f>VLOOKUP(G3683,[1]硬件清单!$F:$F,1,0)</f>
        <v>D5MZ032</v>
      </c>
      <c r="K3683" s="43"/>
      <c r="L3683" s="44"/>
      <c r="M3683" s="45" t="s">
        <v>11321</v>
      </c>
    </row>
    <row r="3684" s="26" customFormat="1" ht="30" customHeight="1" spans="1:13">
      <c r="A3684" s="41">
        <f>IF(C3684="","",SUBTOTAL(103,$C$2:C3684))</f>
        <v>3675</v>
      </c>
      <c r="B3684" s="41">
        <v>1633</v>
      </c>
      <c r="C3684" s="41">
        <v>9455</v>
      </c>
      <c r="D3684" s="41" t="s">
        <v>45</v>
      </c>
      <c r="E3684" s="41" t="s">
        <v>1298</v>
      </c>
      <c r="F3684" s="41" t="s">
        <v>7517</v>
      </c>
      <c r="G3684" s="41" t="s">
        <v>11322</v>
      </c>
      <c r="H3684" s="41" t="s">
        <v>11323</v>
      </c>
      <c r="I3684" s="43">
        <v>12</v>
      </c>
      <c r="J3684" s="44" t="str">
        <f>VLOOKUP(G3684,[1]硬件清单!$F:$F,1,0)</f>
        <v>H5MZ032</v>
      </c>
      <c r="K3684" s="43"/>
      <c r="L3684" s="44"/>
      <c r="M3684" s="45" t="s">
        <v>11324</v>
      </c>
    </row>
    <row r="3685" s="26" customFormat="1" ht="30" customHeight="1" spans="1:13">
      <c r="A3685" s="41">
        <f>IF(C3685="","",SUBTOTAL(103,$C$2:C3685))</f>
        <v>3676</v>
      </c>
      <c r="B3685" s="41">
        <v>1634</v>
      </c>
      <c r="C3685" s="41">
        <v>9456</v>
      </c>
      <c r="D3685" s="41" t="s">
        <v>45</v>
      </c>
      <c r="E3685" s="41" t="s">
        <v>1298</v>
      </c>
      <c r="F3685" s="41" t="s">
        <v>7517</v>
      </c>
      <c r="G3685" s="41" t="s">
        <v>11325</v>
      </c>
      <c r="H3685" s="41" t="s">
        <v>11326</v>
      </c>
      <c r="I3685" s="43">
        <v>12</v>
      </c>
      <c r="J3685" s="44" t="str">
        <f>VLOOKUP(G3685,[1]硬件清单!$F:$F,1,0)</f>
        <v>95MZ032</v>
      </c>
      <c r="K3685" s="43"/>
      <c r="L3685" s="44"/>
      <c r="M3685" s="45" t="s">
        <v>11327</v>
      </c>
    </row>
    <row r="3686" s="26" customFormat="1" ht="30" customHeight="1" spans="1:13">
      <c r="A3686" s="41">
        <f>IF(C3686="","",SUBTOTAL(103,$C$2:C3686))</f>
        <v>3677</v>
      </c>
      <c r="B3686" s="41">
        <v>1635</v>
      </c>
      <c r="C3686" s="41">
        <v>9457</v>
      </c>
      <c r="D3686" s="41" t="s">
        <v>45</v>
      </c>
      <c r="E3686" s="41" t="s">
        <v>1298</v>
      </c>
      <c r="F3686" s="41" t="s">
        <v>7517</v>
      </c>
      <c r="G3686" s="41" t="s">
        <v>11328</v>
      </c>
      <c r="H3686" s="41" t="s">
        <v>11329</v>
      </c>
      <c r="I3686" s="43">
        <v>12</v>
      </c>
      <c r="J3686" s="44" t="str">
        <f>VLOOKUP(G3686,[1]硬件清单!$F:$F,1,0)</f>
        <v>46MZ032</v>
      </c>
      <c r="K3686" s="43"/>
      <c r="L3686" s="44"/>
      <c r="M3686" s="45" t="s">
        <v>11330</v>
      </c>
    </row>
    <row r="3687" s="26" customFormat="1" ht="30" customHeight="1" spans="1:13">
      <c r="A3687" s="41">
        <f>IF(C3687="","",SUBTOTAL(103,$C$2:C3687))</f>
        <v>3678</v>
      </c>
      <c r="B3687" s="41">
        <v>1636</v>
      </c>
      <c r="C3687" s="41">
        <v>9490</v>
      </c>
      <c r="D3687" s="41" t="s">
        <v>45</v>
      </c>
      <c r="E3687" s="41" t="s">
        <v>1298</v>
      </c>
      <c r="F3687" s="41" t="s">
        <v>7517</v>
      </c>
      <c r="G3687" s="41" t="s">
        <v>11331</v>
      </c>
      <c r="H3687" s="41" t="s">
        <v>11332</v>
      </c>
      <c r="I3687" s="43">
        <v>12</v>
      </c>
      <c r="J3687" s="44" t="str">
        <f>VLOOKUP(G3687,[1]硬件清单!$F:$F,1,0)</f>
        <v>9FLZ032</v>
      </c>
      <c r="K3687" s="43"/>
      <c r="L3687" s="44"/>
      <c r="M3687" s="45" t="s">
        <v>11333</v>
      </c>
    </row>
    <row r="3688" s="26" customFormat="1" ht="30" customHeight="1" spans="1:13">
      <c r="A3688" s="41">
        <f>IF(C3688="","",SUBTOTAL(103,$C$2:C3688))</f>
        <v>3679</v>
      </c>
      <c r="B3688" s="41">
        <v>1637</v>
      </c>
      <c r="C3688" s="41">
        <v>9491</v>
      </c>
      <c r="D3688" s="41" t="s">
        <v>45</v>
      </c>
      <c r="E3688" s="41" t="s">
        <v>1298</v>
      </c>
      <c r="F3688" s="41" t="s">
        <v>7517</v>
      </c>
      <c r="G3688" s="41" t="s">
        <v>11334</v>
      </c>
      <c r="H3688" s="41" t="s">
        <v>11335</v>
      </c>
      <c r="I3688" s="43">
        <v>12</v>
      </c>
      <c r="J3688" s="44" t="str">
        <f>VLOOKUP(G3688,[1]硬件清单!$F:$F,1,0)</f>
        <v>JG00132</v>
      </c>
      <c r="K3688" s="43"/>
      <c r="L3688" s="44"/>
      <c r="M3688" s="45" t="s">
        <v>11336</v>
      </c>
    </row>
    <row r="3689" s="26" customFormat="1" ht="30" customHeight="1" spans="1:13">
      <c r="A3689" s="41">
        <f>IF(C3689="","",SUBTOTAL(103,$C$2:C3689))</f>
        <v>3680</v>
      </c>
      <c r="B3689" s="41">
        <v>1638</v>
      </c>
      <c r="C3689" s="41">
        <v>9492</v>
      </c>
      <c r="D3689" s="41" t="s">
        <v>45</v>
      </c>
      <c r="E3689" s="41" t="s">
        <v>1298</v>
      </c>
      <c r="F3689" s="41" t="s">
        <v>7517</v>
      </c>
      <c r="G3689" s="41" t="s">
        <v>11337</v>
      </c>
      <c r="H3689" s="41" t="s">
        <v>11338</v>
      </c>
      <c r="I3689" s="43">
        <v>12</v>
      </c>
      <c r="J3689" s="44" t="str">
        <f>VLOOKUP(G3689,[1]硬件清单!$F:$F,1,0)</f>
        <v>6410132</v>
      </c>
      <c r="K3689" s="43"/>
      <c r="L3689" s="44"/>
      <c r="M3689" s="45" t="s">
        <v>11339</v>
      </c>
    </row>
    <row r="3690" s="26" customFormat="1" ht="30" customHeight="1" spans="1:13">
      <c r="A3690" s="41">
        <f>IF(C3690="","",SUBTOTAL(103,$C$2:C3690))</f>
        <v>3681</v>
      </c>
      <c r="B3690" s="41">
        <v>1639</v>
      </c>
      <c r="C3690" s="41">
        <v>9493</v>
      </c>
      <c r="D3690" s="41" t="s">
        <v>45</v>
      </c>
      <c r="E3690" s="41" t="s">
        <v>1298</v>
      </c>
      <c r="F3690" s="41" t="s">
        <v>7517</v>
      </c>
      <c r="G3690" s="41" t="s">
        <v>11340</v>
      </c>
      <c r="H3690" s="41" t="s">
        <v>11341</v>
      </c>
      <c r="I3690" s="43">
        <v>12</v>
      </c>
      <c r="J3690" s="44" t="str">
        <f>VLOOKUP(G3690,[1]硬件清单!$F:$F,1,0)</f>
        <v>1XLZ032</v>
      </c>
      <c r="K3690" s="43"/>
      <c r="L3690" s="44"/>
      <c r="M3690" s="45" t="s">
        <v>11342</v>
      </c>
    </row>
    <row r="3691" s="26" customFormat="1" ht="30" customHeight="1" spans="1:13">
      <c r="A3691" s="41">
        <f>IF(C3691="","",SUBTOTAL(103,$C$2:C3691))</f>
        <v>3682</v>
      </c>
      <c r="B3691" s="41">
        <v>1640</v>
      </c>
      <c r="C3691" s="41">
        <v>9494</v>
      </c>
      <c r="D3691" s="41" t="s">
        <v>45</v>
      </c>
      <c r="E3691" s="41" t="s">
        <v>1298</v>
      </c>
      <c r="F3691" s="41" t="s">
        <v>7517</v>
      </c>
      <c r="G3691" s="41" t="s">
        <v>11343</v>
      </c>
      <c r="H3691" s="41" t="s">
        <v>11344</v>
      </c>
      <c r="I3691" s="43">
        <v>12</v>
      </c>
      <c r="J3691" s="44" t="str">
        <f>VLOOKUP(G3691,[1]硬件清单!$F:$F,1,0)</f>
        <v>1WZZ032</v>
      </c>
      <c r="K3691" s="43"/>
      <c r="L3691" s="44"/>
      <c r="M3691" s="45" t="s">
        <v>11345</v>
      </c>
    </row>
    <row r="3692" s="26" customFormat="1" ht="30" customHeight="1" spans="1:13">
      <c r="A3692" s="41">
        <f>IF(C3692="","",SUBTOTAL(103,$C$2:C3692))</f>
        <v>3683</v>
      </c>
      <c r="B3692" s="41">
        <v>1641</v>
      </c>
      <c r="C3692" s="41">
        <v>9495</v>
      </c>
      <c r="D3692" s="41" t="s">
        <v>45</v>
      </c>
      <c r="E3692" s="41" t="s">
        <v>1298</v>
      </c>
      <c r="F3692" s="41" t="s">
        <v>7517</v>
      </c>
      <c r="G3692" s="41" t="s">
        <v>11346</v>
      </c>
      <c r="H3692" s="41" t="s">
        <v>11347</v>
      </c>
      <c r="I3692" s="43">
        <v>12</v>
      </c>
      <c r="J3692" s="44" t="str">
        <f>VLOOKUP(G3692,[1]硬件清单!$F:$F,1,0)</f>
        <v>C600132</v>
      </c>
      <c r="K3692" s="43"/>
      <c r="L3692" s="44"/>
      <c r="M3692" s="45" t="s">
        <v>11348</v>
      </c>
    </row>
    <row r="3693" s="26" customFormat="1" ht="30" customHeight="1" spans="1:13">
      <c r="A3693" s="41">
        <f>IF(C3693="","",SUBTOTAL(103,$C$2:C3693))</f>
        <v>3684</v>
      </c>
      <c r="B3693" s="41">
        <v>1642</v>
      </c>
      <c r="C3693" s="41">
        <v>9496</v>
      </c>
      <c r="D3693" s="41" t="s">
        <v>45</v>
      </c>
      <c r="E3693" s="41" t="s">
        <v>1298</v>
      </c>
      <c r="F3693" s="41" t="s">
        <v>7517</v>
      </c>
      <c r="G3693" s="41" t="s">
        <v>11349</v>
      </c>
      <c r="H3693" s="41" t="s">
        <v>11350</v>
      </c>
      <c r="I3693" s="43">
        <v>12</v>
      </c>
      <c r="J3693" s="44" t="str">
        <f>VLOOKUP(G3693,[1]硬件清单!$F:$F,1,0)</f>
        <v>6JD6132</v>
      </c>
      <c r="K3693" s="43"/>
      <c r="L3693" s="44"/>
      <c r="M3693" s="45" t="s">
        <v>11351</v>
      </c>
    </row>
    <row r="3694" s="26" customFormat="1" ht="30" customHeight="1" spans="1:13">
      <c r="A3694" s="41">
        <f>IF(C3694="","",SUBTOTAL(103,$C$2:C3694))</f>
        <v>3685</v>
      </c>
      <c r="B3694" s="41">
        <v>1643</v>
      </c>
      <c r="C3694" s="41">
        <v>9497</v>
      </c>
      <c r="D3694" s="41" t="s">
        <v>45</v>
      </c>
      <c r="E3694" s="41" t="s">
        <v>1298</v>
      </c>
      <c r="F3694" s="41" t="s">
        <v>7517</v>
      </c>
      <c r="G3694" s="41" t="s">
        <v>11352</v>
      </c>
      <c r="H3694" s="41" t="s">
        <v>11353</v>
      </c>
      <c r="I3694" s="43">
        <v>12</v>
      </c>
      <c r="J3694" s="44" t="str">
        <f>VLOOKUP(G3694,[1]硬件清单!$F:$F,1,0)</f>
        <v>CTZZ032</v>
      </c>
      <c r="K3694" s="43"/>
      <c r="L3694" s="44"/>
      <c r="M3694" s="45" t="s">
        <v>11354</v>
      </c>
    </row>
    <row r="3695" s="26" customFormat="1" ht="30" customHeight="1" spans="1:13">
      <c r="A3695" s="41">
        <f>IF(C3695="","",SUBTOTAL(103,$C$2:C3695))</f>
        <v>3686</v>
      </c>
      <c r="B3695" s="41">
        <v>1644</v>
      </c>
      <c r="C3695" s="41">
        <v>9554</v>
      </c>
      <c r="D3695" s="41" t="s">
        <v>45</v>
      </c>
      <c r="E3695" s="41" t="s">
        <v>1298</v>
      </c>
      <c r="F3695" s="41" t="s">
        <v>7517</v>
      </c>
      <c r="G3695" s="41" t="s">
        <v>11355</v>
      </c>
      <c r="H3695" s="41" t="s">
        <v>11356</v>
      </c>
      <c r="I3695" s="43">
        <v>12</v>
      </c>
      <c r="J3695" s="44" t="str">
        <f>VLOOKUP(G3695,[1]硬件清单!$F:$F,1,0)</f>
        <v>2VZZ032</v>
      </c>
      <c r="K3695" s="43"/>
      <c r="L3695" s="44"/>
      <c r="M3695" s="45" t="s">
        <v>11357</v>
      </c>
    </row>
    <row r="3696" s="26" customFormat="1" ht="30" customHeight="1" spans="1:13">
      <c r="A3696" s="41">
        <f>IF(C3696="","",SUBTOTAL(103,$C$2:C3696))</f>
        <v>3687</v>
      </c>
      <c r="B3696" s="41">
        <v>1645</v>
      </c>
      <c r="C3696" s="41">
        <v>9555</v>
      </c>
      <c r="D3696" s="41" t="s">
        <v>45</v>
      </c>
      <c r="E3696" s="41" t="s">
        <v>1298</v>
      </c>
      <c r="F3696" s="41" t="s">
        <v>7517</v>
      </c>
      <c r="G3696" s="41" t="s">
        <v>11358</v>
      </c>
      <c r="H3696" s="41" t="s">
        <v>11359</v>
      </c>
      <c r="I3696" s="43">
        <v>12</v>
      </c>
      <c r="J3696" s="44" t="str">
        <f>VLOOKUP(G3696,[1]硬件清单!$F:$F,1,0)</f>
        <v>CJ00132</v>
      </c>
      <c r="K3696" s="43"/>
      <c r="L3696" s="44"/>
      <c r="M3696" s="45" t="s">
        <v>11360</v>
      </c>
    </row>
    <row r="3697" s="26" customFormat="1" ht="30" customHeight="1" spans="1:13">
      <c r="A3697" s="41">
        <f>IF(C3697="","",SUBTOTAL(103,$C$2:C3697))</f>
        <v>3688</v>
      </c>
      <c r="B3697" s="41">
        <v>1646</v>
      </c>
      <c r="C3697" s="41">
        <v>10941</v>
      </c>
      <c r="D3697" s="41" t="s">
        <v>45</v>
      </c>
      <c r="E3697" s="41" t="s">
        <v>1298</v>
      </c>
      <c r="F3697" s="41" t="s">
        <v>10905</v>
      </c>
      <c r="G3697" s="41" t="s">
        <v>11361</v>
      </c>
      <c r="H3697" s="41" t="s">
        <v>11362</v>
      </c>
      <c r="I3697" s="43">
        <v>12</v>
      </c>
      <c r="J3697" s="44" t="str">
        <f>VLOOKUP(G3697,[1]硬件清单!$F:$F,1,0)</f>
        <v>214637693</v>
      </c>
      <c r="K3697" s="43"/>
      <c r="L3697" s="44"/>
      <c r="M3697" s="45" t="s">
        <v>11363</v>
      </c>
    </row>
    <row r="3698" s="26" customFormat="1" ht="30" customHeight="1" spans="1:13">
      <c r="A3698" s="41">
        <f>IF(C3698="","",SUBTOTAL(103,$C$2:C3698))</f>
        <v>3689</v>
      </c>
      <c r="B3698" s="41">
        <v>1647</v>
      </c>
      <c r="C3698" s="41">
        <v>10940</v>
      </c>
      <c r="D3698" s="41" t="s">
        <v>45</v>
      </c>
      <c r="E3698" s="41" t="s">
        <v>1298</v>
      </c>
      <c r="F3698" s="41" t="s">
        <v>10905</v>
      </c>
      <c r="G3698" s="41" t="s">
        <v>11364</v>
      </c>
      <c r="H3698" s="41" t="s">
        <v>11365</v>
      </c>
      <c r="I3698" s="43">
        <v>12</v>
      </c>
      <c r="J3698" s="44" t="str">
        <f>VLOOKUP(G3698,[1]硬件清单!$F:$F,1,0)</f>
        <v>214637680</v>
      </c>
      <c r="K3698" s="43"/>
      <c r="L3698" s="44"/>
      <c r="M3698" s="45" t="s">
        <v>11366</v>
      </c>
    </row>
    <row r="3699" s="26" customFormat="1" ht="30" customHeight="1" spans="1:13">
      <c r="A3699" s="41">
        <f>IF(C3699="","",SUBTOTAL(103,$C$2:C3699))</f>
        <v>3690</v>
      </c>
      <c r="B3699" s="41">
        <v>1788</v>
      </c>
      <c r="C3699" s="41">
        <v>9169</v>
      </c>
      <c r="D3699" s="41" t="s">
        <v>45</v>
      </c>
      <c r="E3699" s="41" t="s">
        <v>1298</v>
      </c>
      <c r="F3699" s="41" t="s">
        <v>11161</v>
      </c>
      <c r="G3699" s="41" t="s">
        <v>11367</v>
      </c>
      <c r="H3699" s="41" t="s">
        <v>11368</v>
      </c>
      <c r="I3699" s="43">
        <v>12</v>
      </c>
      <c r="J3699" s="44" t="str">
        <f>VLOOKUP(G3699,[1]硬件清单!$F:$F,1,0)</f>
        <v>214635817-05A</v>
      </c>
      <c r="K3699" s="43"/>
      <c r="L3699" s="44"/>
      <c r="M3699" s="45" t="s">
        <v>11369</v>
      </c>
    </row>
    <row r="3700" s="26" customFormat="1" ht="30" customHeight="1" spans="1:13">
      <c r="A3700" s="41">
        <f>IF(C3700="","",SUBTOTAL(103,$C$2:C3700))</f>
        <v>3691</v>
      </c>
      <c r="B3700" s="41">
        <v>1817</v>
      </c>
      <c r="C3700" s="41">
        <v>11127</v>
      </c>
      <c r="D3700" s="41" t="s">
        <v>19</v>
      </c>
      <c r="E3700" s="41" t="s">
        <v>20</v>
      </c>
      <c r="F3700" s="41" t="s">
        <v>11370</v>
      </c>
      <c r="G3700" s="41" t="s">
        <v>11371</v>
      </c>
      <c r="H3700" s="41" t="s">
        <v>11372</v>
      </c>
      <c r="I3700" s="43">
        <v>12</v>
      </c>
      <c r="J3700" s="44" t="str">
        <f>VLOOKUP(G3700,[1]硬件清单!$F:$F,1,0)</f>
        <v>FDO1841H09M</v>
      </c>
      <c r="K3700" s="43"/>
      <c r="L3700" s="44"/>
      <c r="M3700" s="45" t="s">
        <v>11373</v>
      </c>
    </row>
    <row r="3701" s="26" customFormat="1" ht="30" customHeight="1" spans="1:13">
      <c r="A3701" s="41">
        <f>IF(C3701="","",SUBTOTAL(103,$C$2:C3701))</f>
        <v>3692</v>
      </c>
      <c r="B3701" s="41">
        <v>1818</v>
      </c>
      <c r="C3701" s="41">
        <v>11126</v>
      </c>
      <c r="D3701" s="41" t="s">
        <v>19</v>
      </c>
      <c r="E3701" s="41" t="s">
        <v>20</v>
      </c>
      <c r="F3701" s="41" t="s">
        <v>11370</v>
      </c>
      <c r="G3701" s="41" t="s">
        <v>11374</v>
      </c>
      <c r="H3701" s="41" t="s">
        <v>11375</v>
      </c>
      <c r="I3701" s="43">
        <v>12</v>
      </c>
      <c r="J3701" s="44" t="str">
        <f>VLOOKUP(G3701,[1]硬件清单!$F:$F,1,0)</f>
        <v>FDO1841P0BM</v>
      </c>
      <c r="K3701" s="43"/>
      <c r="L3701" s="44"/>
      <c r="M3701" s="45" t="s">
        <v>11376</v>
      </c>
    </row>
    <row r="3702" s="26" customFormat="1" ht="30" customHeight="1" spans="1:13">
      <c r="A3702" s="41">
        <f>IF(C3702="","",SUBTOTAL(103,$C$2:C3702))</f>
        <v>3693</v>
      </c>
      <c r="B3702" s="41">
        <v>1819</v>
      </c>
      <c r="C3702" s="41">
        <v>11105</v>
      </c>
      <c r="D3702" s="41" t="s">
        <v>19</v>
      </c>
      <c r="E3702" s="41" t="s">
        <v>20</v>
      </c>
      <c r="F3702" s="41" t="s">
        <v>10023</v>
      </c>
      <c r="G3702" s="41" t="s">
        <v>11377</v>
      </c>
      <c r="H3702" s="41" t="s">
        <v>11378</v>
      </c>
      <c r="I3702" s="43">
        <v>12</v>
      </c>
      <c r="J3702" s="44" t="str">
        <f>VLOOKUP(G3702,[1]硬件清单!$F:$F,1,0)</f>
        <v>210235a1dwh151000008</v>
      </c>
      <c r="K3702" s="43"/>
      <c r="L3702" s="44"/>
      <c r="M3702" s="45" t="s">
        <v>11379</v>
      </c>
    </row>
    <row r="3703" s="26" customFormat="1" ht="30" customHeight="1" spans="1:13">
      <c r="A3703" s="41">
        <f>IF(C3703="","",SUBTOTAL(103,$C$2:C3703))</f>
        <v>3694</v>
      </c>
      <c r="B3703" s="41">
        <v>1825</v>
      </c>
      <c r="C3703" s="41">
        <v>9818</v>
      </c>
      <c r="D3703" s="41" t="s">
        <v>45</v>
      </c>
      <c r="E3703" s="41" t="s">
        <v>1298</v>
      </c>
      <c r="F3703" s="41" t="s">
        <v>11380</v>
      </c>
      <c r="G3703" s="41" t="s">
        <v>11381</v>
      </c>
      <c r="H3703" s="41" t="s">
        <v>11382</v>
      </c>
      <c r="I3703" s="43">
        <v>12</v>
      </c>
      <c r="J3703" s="44" t="str">
        <f>VLOOKUP(G3703,[1]硬件清单!$F:$F,1,0)</f>
        <v>06CP596</v>
      </c>
      <c r="K3703" s="43"/>
      <c r="L3703" s="44"/>
      <c r="M3703" s="45" t="s">
        <v>11383</v>
      </c>
    </row>
    <row r="3704" s="26" customFormat="1" ht="30" customHeight="1" spans="1:13">
      <c r="A3704" s="41">
        <f>IF(C3704="","",SUBTOTAL(103,$C$2:C3704))</f>
        <v>3695</v>
      </c>
      <c r="B3704" s="41">
        <v>1826</v>
      </c>
      <c r="C3704" s="41">
        <v>9819</v>
      </c>
      <c r="D3704" s="41" t="s">
        <v>45</v>
      </c>
      <c r="E3704" s="41" t="s">
        <v>1298</v>
      </c>
      <c r="F3704" s="41" t="s">
        <v>11380</v>
      </c>
      <c r="G3704" s="41" t="s">
        <v>11384</v>
      </c>
      <c r="H3704" s="41" t="s">
        <v>11385</v>
      </c>
      <c r="I3704" s="43">
        <v>12</v>
      </c>
      <c r="J3704" s="44" t="str">
        <f>VLOOKUP(G3704,[1]硬件清单!$F:$F,1,0)</f>
        <v>06CP600</v>
      </c>
      <c r="K3704" s="43"/>
      <c r="L3704" s="44"/>
      <c r="M3704" s="45" t="s">
        <v>11386</v>
      </c>
    </row>
    <row r="3705" s="26" customFormat="1" ht="30" customHeight="1" spans="1:13">
      <c r="A3705" s="41">
        <f>IF(C3705="","",SUBTOTAL(103,$C$2:C3705))</f>
        <v>3696</v>
      </c>
      <c r="B3705" s="41">
        <v>1827</v>
      </c>
      <c r="C3705" s="41">
        <v>9816</v>
      </c>
      <c r="D3705" s="41" t="s">
        <v>45</v>
      </c>
      <c r="E3705" s="41" t="s">
        <v>1298</v>
      </c>
      <c r="F3705" s="41" t="s">
        <v>11380</v>
      </c>
      <c r="G3705" s="41" t="s">
        <v>11387</v>
      </c>
      <c r="H3705" s="41" t="s">
        <v>11388</v>
      </c>
      <c r="I3705" s="43">
        <v>12</v>
      </c>
      <c r="J3705" s="44" t="str">
        <f>VLOOKUP(G3705,[1]硬件清单!$F:$F,1,0)</f>
        <v>06CP590</v>
      </c>
      <c r="K3705" s="43"/>
      <c r="L3705" s="44"/>
      <c r="M3705" s="45" t="s">
        <v>11389</v>
      </c>
    </row>
    <row r="3706" s="26" customFormat="1" ht="30" customHeight="1" spans="1:13">
      <c r="A3706" s="41">
        <f>IF(C3706="","",SUBTOTAL(103,$C$2:C3706))</f>
        <v>3697</v>
      </c>
      <c r="B3706" s="41">
        <v>1828</v>
      </c>
      <c r="C3706" s="41">
        <v>9817</v>
      </c>
      <c r="D3706" s="41" t="s">
        <v>45</v>
      </c>
      <c r="E3706" s="41" t="s">
        <v>1298</v>
      </c>
      <c r="F3706" s="41" t="s">
        <v>11380</v>
      </c>
      <c r="G3706" s="41" t="s">
        <v>11390</v>
      </c>
      <c r="H3706" s="41" t="s">
        <v>11391</v>
      </c>
      <c r="I3706" s="43">
        <v>12</v>
      </c>
      <c r="J3706" s="44" t="str">
        <f>VLOOKUP(G3706,[1]硬件清单!$F:$F,1,0)</f>
        <v>06CP579</v>
      </c>
      <c r="K3706" s="43"/>
      <c r="L3706" s="44"/>
      <c r="M3706" s="45" t="s">
        <v>11392</v>
      </c>
    </row>
    <row r="3707" s="26" customFormat="1" ht="30" customHeight="1" spans="1:13">
      <c r="A3707" s="41">
        <f>IF(C3707="","",SUBTOTAL(103,$C$2:C3707))</f>
        <v>3698</v>
      </c>
      <c r="B3707" s="41">
        <v>1830</v>
      </c>
      <c r="C3707" s="41">
        <v>8896</v>
      </c>
      <c r="D3707" s="41" t="s">
        <v>45</v>
      </c>
      <c r="E3707" s="41" t="s">
        <v>1298</v>
      </c>
      <c r="F3707" s="41" t="s">
        <v>11393</v>
      </c>
      <c r="G3707" s="41" t="s">
        <v>11394</v>
      </c>
      <c r="H3707" s="41" t="s">
        <v>11395</v>
      </c>
      <c r="I3707" s="43">
        <v>12</v>
      </c>
      <c r="J3707" s="44" t="str">
        <f>VLOOKUP(G3707,[1]硬件清单!$F:$F,1,0)</f>
        <v>2700232</v>
      </c>
      <c r="K3707" s="43"/>
      <c r="L3707" s="44"/>
      <c r="M3707" s="45" t="s">
        <v>11396</v>
      </c>
    </row>
    <row r="3708" s="26" customFormat="1" ht="30" customHeight="1" spans="1:13">
      <c r="A3708" s="41">
        <f>IF(C3708="","",SUBTOTAL(103,$C$2:C3708))</f>
        <v>3699</v>
      </c>
      <c r="B3708" s="41">
        <v>1831</v>
      </c>
      <c r="C3708" s="41">
        <v>8894</v>
      </c>
      <c r="D3708" s="41" t="s">
        <v>45</v>
      </c>
      <c r="E3708" s="41" t="s">
        <v>1298</v>
      </c>
      <c r="F3708" s="41" t="s">
        <v>11114</v>
      </c>
      <c r="G3708" s="41" t="s">
        <v>11397</v>
      </c>
      <c r="H3708" s="41" t="s">
        <v>11398</v>
      </c>
      <c r="I3708" s="43">
        <v>12</v>
      </c>
      <c r="J3708" s="44" t="str">
        <f>VLOOKUP(G3708,[1]硬件清单!$F:$F,1,0)</f>
        <v>CNG227TLSX</v>
      </c>
      <c r="K3708" s="43"/>
      <c r="L3708" s="44"/>
      <c r="M3708" s="45" t="s">
        <v>11399</v>
      </c>
    </row>
    <row r="3709" s="26" customFormat="1" ht="30" customHeight="1" spans="1:13">
      <c r="A3709" s="41">
        <f>IF(C3709="","",SUBTOTAL(103,$C$2:C3709))</f>
        <v>3700</v>
      </c>
      <c r="B3709" s="41">
        <v>1833</v>
      </c>
      <c r="C3709" s="41">
        <v>9814</v>
      </c>
      <c r="D3709" s="41" t="s">
        <v>45</v>
      </c>
      <c r="E3709" s="41" t="s">
        <v>1298</v>
      </c>
      <c r="F3709" s="41" t="s">
        <v>6784</v>
      </c>
      <c r="G3709" s="41" t="s">
        <v>11400</v>
      </c>
      <c r="H3709" s="41" t="s">
        <v>11401</v>
      </c>
      <c r="I3709" s="43">
        <v>12</v>
      </c>
      <c r="J3709" s="44" t="str">
        <f>VLOOKUP(G3709,[1]硬件清单!$F:$F,1,0)</f>
        <v>6CU4421WCS</v>
      </c>
      <c r="K3709" s="43"/>
      <c r="L3709" s="44"/>
      <c r="M3709" s="45" t="s">
        <v>11402</v>
      </c>
    </row>
    <row r="3710" s="26" customFormat="1" ht="30" customHeight="1" spans="1:13">
      <c r="A3710" s="41">
        <f>IF(C3710="","",SUBTOTAL(103,$C$2:C3710))</f>
        <v>3701</v>
      </c>
      <c r="B3710" s="41">
        <v>1834</v>
      </c>
      <c r="C3710" s="46">
        <v>8915</v>
      </c>
      <c r="D3710" s="46" t="s">
        <v>45</v>
      </c>
      <c r="E3710" s="46" t="s">
        <v>1298</v>
      </c>
      <c r="F3710" s="46" t="s">
        <v>6965</v>
      </c>
      <c r="G3710" s="41" t="s">
        <v>11403</v>
      </c>
      <c r="H3710" s="41" t="s">
        <v>11404</v>
      </c>
      <c r="I3710" s="43">
        <v>12</v>
      </c>
      <c r="J3710" s="44" t="str">
        <f>VLOOKUP(G3710,[1]硬件清单!$F:$F,1,0)</f>
        <v>06L1639</v>
      </c>
      <c r="K3710" s="43"/>
      <c r="L3710" s="44"/>
      <c r="M3710" s="47" t="s">
        <v>11405</v>
      </c>
    </row>
    <row r="3711" s="26" customFormat="1" ht="30" customHeight="1" spans="1:13">
      <c r="A3711" s="41">
        <f>IF(C3711="","",SUBTOTAL(103,$C$2:C3711))</f>
        <v>3702</v>
      </c>
      <c r="B3711" s="41">
        <v>1835</v>
      </c>
      <c r="C3711" s="46">
        <v>10947</v>
      </c>
      <c r="D3711" s="46" t="s">
        <v>45</v>
      </c>
      <c r="E3711" s="46" t="s">
        <v>1298</v>
      </c>
      <c r="F3711" s="46" t="s">
        <v>10905</v>
      </c>
      <c r="G3711" s="41" t="s">
        <v>11406</v>
      </c>
      <c r="H3711" s="41" t="s">
        <v>11407</v>
      </c>
      <c r="I3711" s="43">
        <v>12</v>
      </c>
      <c r="J3711" s="44" t="str">
        <f>VLOOKUP(G3711,[1]硬件清单!$F:$F,1,0)</f>
        <v>214637696</v>
      </c>
      <c r="K3711" s="43"/>
      <c r="L3711" s="44"/>
      <c r="M3711" s="45" t="s">
        <v>11408</v>
      </c>
    </row>
    <row r="3712" s="26" customFormat="1" ht="30" customHeight="1" spans="1:13">
      <c r="A3712" s="41">
        <f>IF(C3712="","",SUBTOTAL(103,$C$2:C3712))</f>
        <v>3703</v>
      </c>
      <c r="B3712" s="41">
        <v>1836</v>
      </c>
      <c r="C3712" s="46">
        <v>10946</v>
      </c>
      <c r="D3712" s="46" t="s">
        <v>45</v>
      </c>
      <c r="E3712" s="46" t="s">
        <v>1298</v>
      </c>
      <c r="F3712" s="46" t="s">
        <v>10905</v>
      </c>
      <c r="G3712" s="41" t="s">
        <v>11409</v>
      </c>
      <c r="H3712" s="41" t="s">
        <v>11410</v>
      </c>
      <c r="I3712" s="43">
        <v>12</v>
      </c>
      <c r="J3712" s="44" t="str">
        <f>VLOOKUP(G3712,[1]硬件清单!$F:$F,1,0)</f>
        <v>214637695</v>
      </c>
      <c r="K3712" s="43"/>
      <c r="L3712" s="44"/>
      <c r="M3712" s="45" t="s">
        <v>11411</v>
      </c>
    </row>
    <row r="3713" s="26" customFormat="1" ht="30" customHeight="1" spans="1:13">
      <c r="A3713" s="41">
        <f>IF(C3713="","",SUBTOTAL(103,$C$2:C3713))</f>
        <v>3704</v>
      </c>
      <c r="B3713" s="41">
        <v>1837</v>
      </c>
      <c r="C3713" s="41">
        <v>13592</v>
      </c>
      <c r="D3713" s="41" t="s">
        <v>45</v>
      </c>
      <c r="E3713" s="41" t="s">
        <v>1298</v>
      </c>
      <c r="F3713" s="41" t="s">
        <v>2308</v>
      </c>
      <c r="G3713" s="41" t="s">
        <v>11412</v>
      </c>
      <c r="H3713" s="41" t="s">
        <v>11413</v>
      </c>
      <c r="I3713" s="43">
        <v>12</v>
      </c>
      <c r="J3713" s="44" t="str">
        <f>VLOOKUP(G3713,[1]硬件清单!$F:$F,1,0)</f>
        <v>J301D83Z</v>
      </c>
      <c r="K3713" s="43"/>
      <c r="L3713" s="44"/>
      <c r="M3713" s="45" t="s">
        <v>11414</v>
      </c>
    </row>
    <row r="3714" s="26" customFormat="1" ht="30" customHeight="1" spans="1:13">
      <c r="A3714" s="41">
        <f>IF(C3714="","",SUBTOTAL(103,$C$2:C3714))</f>
        <v>3705</v>
      </c>
      <c r="B3714" s="41">
        <v>1838</v>
      </c>
      <c r="C3714" s="41">
        <v>13591</v>
      </c>
      <c r="D3714" s="41" t="s">
        <v>45</v>
      </c>
      <c r="E3714" s="41" t="s">
        <v>1298</v>
      </c>
      <c r="F3714" s="41" t="s">
        <v>2308</v>
      </c>
      <c r="G3714" s="41" t="s">
        <v>11415</v>
      </c>
      <c r="H3714" s="41" t="s">
        <v>11416</v>
      </c>
      <c r="I3714" s="43">
        <v>12</v>
      </c>
      <c r="J3714" s="44" t="str">
        <f>VLOOKUP(G3714,[1]硬件清单!$F:$F,1,0)</f>
        <v>J301D83Y</v>
      </c>
      <c r="K3714" s="43"/>
      <c r="L3714" s="44"/>
      <c r="M3714" s="45" t="s">
        <v>11417</v>
      </c>
    </row>
    <row r="3715" s="26" customFormat="1" ht="30" customHeight="1" spans="1:13">
      <c r="A3715" s="41">
        <f>IF(C3715="","",SUBTOTAL(103,$C$2:C3715))</f>
        <v>3706</v>
      </c>
      <c r="B3715" s="41">
        <v>1839</v>
      </c>
      <c r="C3715" s="41">
        <v>8913</v>
      </c>
      <c r="D3715" s="41" t="s">
        <v>45</v>
      </c>
      <c r="E3715" s="41" t="s">
        <v>1298</v>
      </c>
      <c r="F3715" s="41" t="s">
        <v>11418</v>
      </c>
      <c r="G3715" s="41" t="s">
        <v>11419</v>
      </c>
      <c r="H3715" s="41" t="s">
        <v>11420</v>
      </c>
      <c r="I3715" s="43">
        <v>12</v>
      </c>
      <c r="J3715" s="44" t="str">
        <f>VLOOKUP(G3715,[1]硬件清单!$F:$F,1,0)</f>
        <v>06H8420</v>
      </c>
      <c r="K3715" s="43"/>
      <c r="L3715" s="44"/>
      <c r="M3715" s="45" t="s">
        <v>11421</v>
      </c>
    </row>
    <row r="3716" s="26" customFormat="1" ht="30" customHeight="1" spans="1:13">
      <c r="A3716" s="41">
        <f>IF(C3716="","",SUBTOTAL(103,$C$2:C3716))</f>
        <v>3707</v>
      </c>
      <c r="B3716" s="41">
        <v>1840</v>
      </c>
      <c r="C3716" s="46">
        <v>10105</v>
      </c>
      <c r="D3716" s="46" t="s">
        <v>19</v>
      </c>
      <c r="E3716" s="46" t="s">
        <v>20</v>
      </c>
      <c r="F3716" s="46" t="s">
        <v>11422</v>
      </c>
      <c r="G3716" s="41" t="s">
        <v>11423</v>
      </c>
      <c r="H3716" s="41" t="s">
        <v>11424</v>
      </c>
      <c r="I3716" s="43">
        <v>12</v>
      </c>
      <c r="J3716" s="44" t="str">
        <f>VLOOKUP(G3716,[1]硬件清单!$F:$F,1,0)</f>
        <v>210235A0HAH14A000305</v>
      </c>
      <c r="K3716" s="43"/>
      <c r="L3716" s="44"/>
      <c r="M3716" s="45" t="s">
        <v>11425</v>
      </c>
    </row>
    <row r="3717" s="26" customFormat="1" ht="30" customHeight="1" spans="1:13">
      <c r="A3717" s="41">
        <f>IF(C3717="","",SUBTOTAL(103,$C$2:C3717))</f>
        <v>3708</v>
      </c>
      <c r="B3717" s="41">
        <v>1841</v>
      </c>
      <c r="C3717" s="46">
        <v>7134</v>
      </c>
      <c r="D3717" s="46" t="s">
        <v>45</v>
      </c>
      <c r="E3717" s="46" t="s">
        <v>1298</v>
      </c>
      <c r="F3717" s="46" t="s">
        <v>6784</v>
      </c>
      <c r="G3717" s="41" t="s">
        <v>11426</v>
      </c>
      <c r="H3717" s="41" t="s">
        <v>11427</v>
      </c>
      <c r="I3717" s="43">
        <v>12</v>
      </c>
      <c r="J3717" s="44" t="str">
        <f>VLOOKUP(G3717,[1]硬件清单!$F:$F,1,0)</f>
        <v>6CU44945F1</v>
      </c>
      <c r="K3717" s="43"/>
      <c r="L3717" s="44"/>
      <c r="M3717" s="45" t="s">
        <v>11428</v>
      </c>
    </row>
    <row r="3718" s="26" customFormat="1" ht="30" customHeight="1" spans="1:13">
      <c r="A3718" s="41">
        <f>IF(C3718="","",SUBTOTAL(103,$C$2:C3718))</f>
        <v>3709</v>
      </c>
      <c r="B3718" s="41">
        <v>1842</v>
      </c>
      <c r="C3718" s="41">
        <v>11104</v>
      </c>
      <c r="D3718" s="41" t="s">
        <v>19</v>
      </c>
      <c r="E3718" s="41" t="s">
        <v>20</v>
      </c>
      <c r="F3718" s="41" t="s">
        <v>10023</v>
      </c>
      <c r="G3718" s="41" t="s">
        <v>11429</v>
      </c>
      <c r="H3718" s="41" t="s">
        <v>11430</v>
      </c>
      <c r="I3718" s="43">
        <v>12</v>
      </c>
      <c r="J3718" s="44" t="str">
        <f>VLOOKUP(G3718,[1]硬件清单!$F:$F,1,0)</f>
        <v>210235A1DWH149000109</v>
      </c>
      <c r="K3718" s="43"/>
      <c r="L3718" s="44"/>
      <c r="M3718" s="45" t="s">
        <v>11431</v>
      </c>
    </row>
    <row r="3719" ht="30" customHeight="1" spans="1:13">
      <c r="A3719" s="41">
        <f>IF(C3719="","",SUBTOTAL(103,$C$2:C3719))</f>
        <v>3710</v>
      </c>
      <c r="B3719" s="41">
        <v>1879</v>
      </c>
      <c r="C3719" s="41">
        <v>9988</v>
      </c>
      <c r="D3719" s="41" t="s">
        <v>45</v>
      </c>
      <c r="E3719" s="41" t="s">
        <v>1298</v>
      </c>
      <c r="F3719" s="41" t="s">
        <v>11258</v>
      </c>
      <c r="G3719" s="41" t="s">
        <v>11432</v>
      </c>
      <c r="H3719" s="41" t="s">
        <v>11433</v>
      </c>
      <c r="I3719" s="43">
        <v>12</v>
      </c>
      <c r="J3719" s="44" t="str">
        <f>VLOOKUP(G3719,[1]硬件清单!$F:$F,1,0)</f>
        <v>GW3JZZ1</v>
      </c>
      <c r="K3719" s="43"/>
      <c r="L3719" s="44"/>
      <c r="M3719" s="45" t="s">
        <v>11434</v>
      </c>
    </row>
    <row r="3720" ht="30" customHeight="1" spans="1:13">
      <c r="A3720" s="41">
        <f>IF(C3720="","",SUBTOTAL(103,$C$2:C3720))</f>
        <v>3711</v>
      </c>
      <c r="B3720" s="41">
        <v>1880</v>
      </c>
      <c r="C3720" s="41">
        <v>9820</v>
      </c>
      <c r="D3720" s="41" t="s">
        <v>45</v>
      </c>
      <c r="E3720" s="41" t="s">
        <v>1298</v>
      </c>
      <c r="F3720" s="41" t="s">
        <v>7517</v>
      </c>
      <c r="G3720" s="41" t="s">
        <v>11435</v>
      </c>
      <c r="H3720" s="41" t="s">
        <v>11436</v>
      </c>
      <c r="I3720" s="43">
        <v>12</v>
      </c>
      <c r="J3720" s="44" t="str">
        <f>VLOOKUP(G3720,[1]硬件清单!$F:$F,1,0)</f>
        <v>2Y3JZZ1</v>
      </c>
      <c r="K3720" s="43"/>
      <c r="L3720" s="44"/>
      <c r="M3720" s="45" t="s">
        <v>11437</v>
      </c>
    </row>
    <row r="3721" ht="30" customHeight="1" spans="1:13">
      <c r="A3721" s="41">
        <f>IF(C3721="","",SUBTOTAL(103,$C$2:C3721))</f>
        <v>3712</v>
      </c>
      <c r="B3721" s="41">
        <v>1881</v>
      </c>
      <c r="C3721" s="41">
        <v>9821</v>
      </c>
      <c r="D3721" s="41" t="s">
        <v>45</v>
      </c>
      <c r="E3721" s="41" t="s">
        <v>1298</v>
      </c>
      <c r="F3721" s="41" t="s">
        <v>7517</v>
      </c>
      <c r="G3721" s="41" t="s">
        <v>11438</v>
      </c>
      <c r="H3721" s="41" t="s">
        <v>11439</v>
      </c>
      <c r="I3721" s="43">
        <v>12</v>
      </c>
      <c r="J3721" s="44" t="str">
        <f>VLOOKUP(G3721,[1]硬件清单!$F:$F,1,0)</f>
        <v>2X3JZZ1</v>
      </c>
      <c r="K3721" s="43"/>
      <c r="L3721" s="44"/>
      <c r="M3721" s="45" t="s">
        <v>11440</v>
      </c>
    </row>
    <row r="3722" ht="30" customHeight="1" spans="1:13">
      <c r="A3722" s="41">
        <f>IF(C3722="","",SUBTOTAL(103,$C$2:C3722))</f>
        <v>3713</v>
      </c>
      <c r="B3722" s="41">
        <v>1882</v>
      </c>
      <c r="C3722" s="41">
        <v>9822</v>
      </c>
      <c r="D3722" s="41" t="s">
        <v>45</v>
      </c>
      <c r="E3722" s="41" t="s">
        <v>1298</v>
      </c>
      <c r="F3722" s="41" t="s">
        <v>7517</v>
      </c>
      <c r="G3722" s="41" t="s">
        <v>11441</v>
      </c>
      <c r="H3722" s="41" t="s">
        <v>11442</v>
      </c>
      <c r="I3722" s="43">
        <v>12</v>
      </c>
      <c r="J3722" s="44" t="str">
        <f>VLOOKUP(G3722,[1]硬件清单!$F:$F,1,0)</f>
        <v>HX3JZZ1</v>
      </c>
      <c r="K3722" s="43"/>
      <c r="L3722" s="44"/>
      <c r="M3722" s="45" t="s">
        <v>11443</v>
      </c>
    </row>
    <row r="3723" ht="30" customHeight="1" spans="1:13">
      <c r="A3723" s="41">
        <f>IF(C3723="","",SUBTOTAL(103,$C$2:C3723))</f>
        <v>3714</v>
      </c>
      <c r="B3723" s="41">
        <v>1883</v>
      </c>
      <c r="C3723" s="41">
        <v>9823</v>
      </c>
      <c r="D3723" s="41" t="s">
        <v>45</v>
      </c>
      <c r="E3723" s="41" t="s">
        <v>1298</v>
      </c>
      <c r="F3723" s="41" t="s">
        <v>7517</v>
      </c>
      <c r="G3723" s="41" t="s">
        <v>11444</v>
      </c>
      <c r="H3723" s="41" t="s">
        <v>11445</v>
      </c>
      <c r="I3723" s="43">
        <v>12</v>
      </c>
      <c r="J3723" s="44" t="str">
        <f>VLOOKUP(G3723,[1]硬件清单!$F:$F,1,0)</f>
        <v>FX3JZZ1</v>
      </c>
      <c r="K3723" s="43"/>
      <c r="L3723" s="44"/>
      <c r="M3723" s="45" t="s">
        <v>11446</v>
      </c>
    </row>
    <row r="3724" ht="30" customHeight="1" spans="1:13">
      <c r="A3724" s="41">
        <f>IF(C3724="","",SUBTOTAL(103,$C$2:C3724))</f>
        <v>3715</v>
      </c>
      <c r="B3724" s="41">
        <v>1884</v>
      </c>
      <c r="C3724" s="41">
        <v>9824</v>
      </c>
      <c r="D3724" s="41" t="s">
        <v>45</v>
      </c>
      <c r="E3724" s="41" t="s">
        <v>1298</v>
      </c>
      <c r="F3724" s="41" t="s">
        <v>7517</v>
      </c>
      <c r="G3724" s="41" t="s">
        <v>11447</v>
      </c>
      <c r="H3724" s="41" t="s">
        <v>11448</v>
      </c>
      <c r="I3724" s="43">
        <v>12</v>
      </c>
      <c r="J3724" s="44" t="str">
        <f>VLOOKUP(G3724,[1]硬件清单!$F:$F,1,0)</f>
        <v>DX3JZZ1</v>
      </c>
      <c r="K3724" s="43"/>
      <c r="L3724" s="44"/>
      <c r="M3724" s="45" t="s">
        <v>11449</v>
      </c>
    </row>
    <row r="3725" ht="30" customHeight="1" spans="1:13">
      <c r="A3725" s="41">
        <f>IF(C3725="","",SUBTOTAL(103,$C$2:C3725))</f>
        <v>3716</v>
      </c>
      <c r="B3725" s="41">
        <v>1885</v>
      </c>
      <c r="C3725" s="41">
        <v>9825</v>
      </c>
      <c r="D3725" s="41" t="s">
        <v>45</v>
      </c>
      <c r="E3725" s="41" t="s">
        <v>1298</v>
      </c>
      <c r="F3725" s="41" t="s">
        <v>7517</v>
      </c>
      <c r="G3725" s="41" t="s">
        <v>11450</v>
      </c>
      <c r="H3725" s="41" t="s">
        <v>11451</v>
      </c>
      <c r="I3725" s="43">
        <v>12</v>
      </c>
      <c r="J3725" s="44" t="str">
        <f>VLOOKUP(G3725,[1]硬件清单!$F:$F,1,0)</f>
        <v>FY3JZZ1</v>
      </c>
      <c r="K3725" s="43"/>
      <c r="L3725" s="44"/>
      <c r="M3725" s="45" t="s">
        <v>11452</v>
      </c>
    </row>
    <row r="3726" ht="30" customHeight="1" spans="1:13">
      <c r="A3726" s="41">
        <f>IF(C3726="","",SUBTOTAL(103,$C$2:C3726))</f>
        <v>3717</v>
      </c>
      <c r="B3726" s="41">
        <v>1886</v>
      </c>
      <c r="C3726" s="41">
        <v>9826</v>
      </c>
      <c r="D3726" s="41" t="s">
        <v>45</v>
      </c>
      <c r="E3726" s="41" t="s">
        <v>1298</v>
      </c>
      <c r="F3726" s="41" t="s">
        <v>7517</v>
      </c>
      <c r="G3726" s="41" t="s">
        <v>11453</v>
      </c>
      <c r="H3726" s="41" t="s">
        <v>11454</v>
      </c>
      <c r="I3726" s="43">
        <v>12</v>
      </c>
      <c r="J3726" s="44" t="str">
        <f>VLOOKUP(G3726,[1]硬件清单!$F:$F,1,0)</f>
        <v>4X3JZZ1</v>
      </c>
      <c r="K3726" s="43"/>
      <c r="L3726" s="44"/>
      <c r="M3726" s="45" t="s">
        <v>11455</v>
      </c>
    </row>
    <row r="3727" ht="30" customHeight="1" spans="1:13">
      <c r="A3727" s="41">
        <f>IF(C3727="","",SUBTOTAL(103,$C$2:C3727))</f>
        <v>3718</v>
      </c>
      <c r="B3727" s="41">
        <v>1887</v>
      </c>
      <c r="C3727" s="41">
        <v>9827</v>
      </c>
      <c r="D3727" s="41" t="s">
        <v>45</v>
      </c>
      <c r="E3727" s="41" t="s">
        <v>1298</v>
      </c>
      <c r="F3727" s="41" t="s">
        <v>7517</v>
      </c>
      <c r="G3727" s="41" t="s">
        <v>11456</v>
      </c>
      <c r="H3727" s="41" t="s">
        <v>11457</v>
      </c>
      <c r="I3727" s="43">
        <v>12</v>
      </c>
      <c r="J3727" s="44" t="str">
        <f>VLOOKUP(G3727,[1]硬件清单!$F:$F,1,0)</f>
        <v>HY3JZZ1</v>
      </c>
      <c r="K3727" s="43"/>
      <c r="L3727" s="44"/>
      <c r="M3727" s="45" t="s">
        <v>11458</v>
      </c>
    </row>
    <row r="3728" ht="30" customHeight="1" spans="1:13">
      <c r="A3728" s="41">
        <f>IF(C3728="","",SUBTOTAL(103,$C$2:C3728))</f>
        <v>3719</v>
      </c>
      <c r="B3728" s="41">
        <v>1888</v>
      </c>
      <c r="C3728" s="41">
        <v>9828</v>
      </c>
      <c r="D3728" s="41" t="s">
        <v>45</v>
      </c>
      <c r="E3728" s="41" t="s">
        <v>1298</v>
      </c>
      <c r="F3728" s="41" t="s">
        <v>7517</v>
      </c>
      <c r="G3728" s="41" t="s">
        <v>11459</v>
      </c>
      <c r="H3728" s="41" t="s">
        <v>11460</v>
      </c>
      <c r="I3728" s="43">
        <v>12</v>
      </c>
      <c r="J3728" s="44" t="str">
        <f>VLOOKUP(G3728,[1]硬件清单!$F:$F,1,0)</f>
        <v>JY3JZZ1</v>
      </c>
      <c r="K3728" s="43"/>
      <c r="L3728" s="44"/>
      <c r="M3728" s="45" t="s">
        <v>11461</v>
      </c>
    </row>
    <row r="3729" ht="30" customHeight="1" spans="1:13">
      <c r="A3729" s="41">
        <f>IF(C3729="","",SUBTOTAL(103,$C$2:C3729))</f>
        <v>3720</v>
      </c>
      <c r="B3729" s="41">
        <v>1889</v>
      </c>
      <c r="C3729" s="41">
        <v>9829</v>
      </c>
      <c r="D3729" s="41" t="s">
        <v>45</v>
      </c>
      <c r="E3729" s="41" t="s">
        <v>1298</v>
      </c>
      <c r="F3729" s="41" t="s">
        <v>7517</v>
      </c>
      <c r="G3729" s="41" t="s">
        <v>11462</v>
      </c>
      <c r="H3729" s="41" t="s">
        <v>11463</v>
      </c>
      <c r="I3729" s="43">
        <v>12</v>
      </c>
      <c r="J3729" s="44" t="str">
        <f>VLOOKUP(G3729,[1]硬件清单!$F:$F,1,0)</f>
        <v>5Y3JZZ1</v>
      </c>
      <c r="K3729" s="43"/>
      <c r="L3729" s="44"/>
      <c r="M3729" s="45" t="s">
        <v>11464</v>
      </c>
    </row>
    <row r="3730" ht="30" customHeight="1" spans="1:13">
      <c r="A3730" s="41">
        <f>IF(C3730="","",SUBTOTAL(103,$C$2:C3730))</f>
        <v>3721</v>
      </c>
      <c r="B3730" s="41">
        <v>1892</v>
      </c>
      <c r="C3730" s="41">
        <v>9832</v>
      </c>
      <c r="D3730" s="41" t="s">
        <v>45</v>
      </c>
      <c r="E3730" s="41" t="s">
        <v>1298</v>
      </c>
      <c r="F3730" s="41" t="s">
        <v>7517</v>
      </c>
      <c r="G3730" s="41" t="s">
        <v>11465</v>
      </c>
      <c r="H3730" s="41" t="s">
        <v>11466</v>
      </c>
      <c r="I3730" s="43">
        <v>12</v>
      </c>
      <c r="J3730" s="44" t="str">
        <f>VLOOKUP(G3730,[1]硬件清单!$F:$F,1,0)</f>
        <v>5X3JZZ1</v>
      </c>
      <c r="K3730" s="43"/>
      <c r="L3730" s="44"/>
      <c r="M3730" s="45" t="s">
        <v>11467</v>
      </c>
    </row>
    <row r="3731" ht="30" customHeight="1" spans="1:13">
      <c r="A3731" s="41">
        <f>IF(C3731="","",SUBTOTAL(103,$C$2:C3731))</f>
        <v>3722</v>
      </c>
      <c r="B3731" s="41">
        <v>1893</v>
      </c>
      <c r="C3731" s="41">
        <v>9833</v>
      </c>
      <c r="D3731" s="41" t="s">
        <v>45</v>
      </c>
      <c r="E3731" s="41" t="s">
        <v>1298</v>
      </c>
      <c r="F3731" s="41" t="s">
        <v>7517</v>
      </c>
      <c r="G3731" s="41" t="s">
        <v>11468</v>
      </c>
      <c r="H3731" s="41" t="s">
        <v>11469</v>
      </c>
      <c r="I3731" s="43">
        <v>12</v>
      </c>
      <c r="J3731" s="44" t="str">
        <f>VLOOKUP(G3731,[1]硬件清单!$F:$F,1,0)</f>
        <v>6X3JZZ1</v>
      </c>
      <c r="K3731" s="43"/>
      <c r="L3731" s="44"/>
      <c r="M3731" s="45" t="s">
        <v>11470</v>
      </c>
    </row>
    <row r="3732" ht="30" customHeight="1" spans="1:13">
      <c r="A3732" s="41">
        <f>IF(C3732="","",SUBTOTAL(103,$C$2:C3732))</f>
        <v>3723</v>
      </c>
      <c r="B3732" s="41">
        <v>1894</v>
      </c>
      <c r="C3732" s="41">
        <v>9834</v>
      </c>
      <c r="D3732" s="41" t="s">
        <v>45</v>
      </c>
      <c r="E3732" s="41" t="s">
        <v>1298</v>
      </c>
      <c r="F3732" s="41" t="s">
        <v>7517</v>
      </c>
      <c r="G3732" s="41" t="s">
        <v>11471</v>
      </c>
      <c r="H3732" s="41" t="s">
        <v>11472</v>
      </c>
      <c r="I3732" s="43">
        <v>12</v>
      </c>
      <c r="J3732" s="44" t="str">
        <f>VLOOKUP(G3732,[1]硬件清单!$F:$F,1,0)</f>
        <v>3X3JZZ1</v>
      </c>
      <c r="K3732" s="43"/>
      <c r="L3732" s="44"/>
      <c r="M3732" s="45" t="s">
        <v>11473</v>
      </c>
    </row>
    <row r="3733" ht="30" customHeight="1" spans="1:13">
      <c r="A3733" s="41">
        <f>IF(C3733="","",SUBTOTAL(103,$C$2:C3733))</f>
        <v>3724</v>
      </c>
      <c r="B3733" s="41">
        <v>1896</v>
      </c>
      <c r="C3733" s="41">
        <v>11155</v>
      </c>
      <c r="D3733" s="41" t="s">
        <v>19</v>
      </c>
      <c r="E3733" s="41" t="s">
        <v>20</v>
      </c>
      <c r="F3733" s="41" t="s">
        <v>10033</v>
      </c>
      <c r="G3733" s="41" t="s">
        <v>11474</v>
      </c>
      <c r="H3733" s="41" t="s">
        <v>11475</v>
      </c>
      <c r="I3733" s="43">
        <v>12</v>
      </c>
      <c r="J3733" s="44" t="str">
        <f>VLOOKUP(G3733,[1]硬件清单!$F:$F,1,0)</f>
        <v>210235A0HAH139000149</v>
      </c>
      <c r="K3733" s="43"/>
      <c r="L3733" s="44"/>
      <c r="M3733" s="45" t="s">
        <v>11476</v>
      </c>
    </row>
    <row r="3734" ht="30" customHeight="1" spans="1:13">
      <c r="A3734" s="41">
        <f>IF(C3734="","",SUBTOTAL(103,$C$2:C3734))</f>
        <v>3725</v>
      </c>
      <c r="B3734" s="41">
        <v>1897</v>
      </c>
      <c r="C3734" s="41">
        <v>11154</v>
      </c>
      <c r="D3734" s="41" t="s">
        <v>19</v>
      </c>
      <c r="E3734" s="41" t="s">
        <v>20</v>
      </c>
      <c r="F3734" s="41" t="s">
        <v>10033</v>
      </c>
      <c r="G3734" s="41" t="s">
        <v>11477</v>
      </c>
      <c r="H3734" s="41" t="s">
        <v>11478</v>
      </c>
      <c r="I3734" s="43">
        <v>12</v>
      </c>
      <c r="J3734" s="44" t="str">
        <f>VLOOKUP(G3734,[1]硬件清单!$F:$F,1,0)</f>
        <v>210235A0HAH139000100</v>
      </c>
      <c r="K3734" s="43"/>
      <c r="L3734" s="44"/>
      <c r="M3734" s="45" t="s">
        <v>11479</v>
      </c>
    </row>
    <row r="3735" ht="30" customHeight="1" spans="1:13">
      <c r="A3735" s="41">
        <f>IF(C3735="","",SUBTOTAL(103,$C$2:C3735))</f>
        <v>3726</v>
      </c>
      <c r="B3735" s="41">
        <v>1898</v>
      </c>
      <c r="C3735" s="41">
        <v>9989</v>
      </c>
      <c r="D3735" s="41" t="s">
        <v>45</v>
      </c>
      <c r="E3735" s="41" t="s">
        <v>1298</v>
      </c>
      <c r="F3735" s="41" t="s">
        <v>11258</v>
      </c>
      <c r="G3735" s="41" t="s">
        <v>11480</v>
      </c>
      <c r="H3735" s="41" t="s">
        <v>11481</v>
      </c>
      <c r="I3735" s="43">
        <v>12</v>
      </c>
      <c r="J3735" s="44" t="str">
        <f>VLOOKUP(G3735,[1]硬件清单!$F:$F,1,0)</f>
        <v>H0WHZZ1</v>
      </c>
      <c r="K3735" s="43"/>
      <c r="L3735" s="44"/>
      <c r="M3735" s="45" t="s">
        <v>11482</v>
      </c>
    </row>
    <row r="3736" ht="30" customHeight="1" spans="1:13">
      <c r="A3736" s="41">
        <f>IF(C3736="","",SUBTOTAL(103,$C$2:C3736))</f>
        <v>3727</v>
      </c>
      <c r="B3736" s="41">
        <v>1899</v>
      </c>
      <c r="C3736" s="41">
        <v>9836</v>
      </c>
      <c r="D3736" s="41" t="s">
        <v>45</v>
      </c>
      <c r="E3736" s="41" t="s">
        <v>1298</v>
      </c>
      <c r="F3736" s="41" t="s">
        <v>7517</v>
      </c>
      <c r="G3736" s="41" t="s">
        <v>11483</v>
      </c>
      <c r="H3736" s="41" t="s">
        <v>11484</v>
      </c>
      <c r="I3736" s="43">
        <v>12</v>
      </c>
      <c r="J3736" s="44" t="str">
        <f>VLOOKUP(G3736,[1]硬件清单!$F:$F,1,0)</f>
        <v>36WHZZ1</v>
      </c>
      <c r="K3736" s="43"/>
      <c r="L3736" s="44"/>
      <c r="M3736" s="45" t="s">
        <v>11485</v>
      </c>
    </row>
    <row r="3737" ht="30" customHeight="1" spans="1:13">
      <c r="A3737" s="41">
        <f>IF(C3737="","",SUBTOTAL(103,$C$2:C3737))</f>
        <v>3728</v>
      </c>
      <c r="B3737" s="41">
        <v>1900</v>
      </c>
      <c r="C3737" s="41">
        <v>9837</v>
      </c>
      <c r="D3737" s="41" t="s">
        <v>45</v>
      </c>
      <c r="E3737" s="41" t="s">
        <v>1298</v>
      </c>
      <c r="F3737" s="41" t="s">
        <v>7517</v>
      </c>
      <c r="G3737" s="41" t="s">
        <v>11486</v>
      </c>
      <c r="H3737" s="41" t="s">
        <v>11487</v>
      </c>
      <c r="I3737" s="43">
        <v>12</v>
      </c>
      <c r="J3737" s="44" t="str">
        <f>VLOOKUP(G3737,[1]硬件清单!$F:$F,1,0)</f>
        <v>C9WHZZ1</v>
      </c>
      <c r="K3737" s="43"/>
      <c r="L3737" s="44"/>
      <c r="M3737" s="45" t="s">
        <v>11488</v>
      </c>
    </row>
    <row r="3738" ht="30" customHeight="1" spans="1:13">
      <c r="A3738" s="41">
        <f>IF(C3738="","",SUBTOTAL(103,$C$2:C3738))</f>
        <v>3729</v>
      </c>
      <c r="B3738" s="41">
        <v>1901</v>
      </c>
      <c r="C3738" s="41">
        <v>9838</v>
      </c>
      <c r="D3738" s="41" t="s">
        <v>45</v>
      </c>
      <c r="E3738" s="41" t="s">
        <v>1298</v>
      </c>
      <c r="F3738" s="41" t="s">
        <v>7517</v>
      </c>
      <c r="G3738" s="41" t="s">
        <v>11489</v>
      </c>
      <c r="H3738" s="41" t="s">
        <v>11490</v>
      </c>
      <c r="I3738" s="43">
        <v>12</v>
      </c>
      <c r="J3738" s="44" t="str">
        <f>VLOOKUP(G3738,[1]硬件清单!$F:$F,1,0)</f>
        <v>H7WHZZ1</v>
      </c>
      <c r="K3738" s="43"/>
      <c r="L3738" s="44"/>
      <c r="M3738" s="45" t="s">
        <v>11491</v>
      </c>
    </row>
    <row r="3739" ht="30" customHeight="1" spans="1:13">
      <c r="A3739" s="41">
        <f>IF(C3739="","",SUBTOTAL(103,$C$2:C3739))</f>
        <v>3730</v>
      </c>
      <c r="B3739" s="41">
        <v>1902</v>
      </c>
      <c r="C3739" s="41">
        <v>9839</v>
      </c>
      <c r="D3739" s="41" t="s">
        <v>45</v>
      </c>
      <c r="E3739" s="41" t="s">
        <v>1298</v>
      </c>
      <c r="F3739" s="41" t="s">
        <v>7517</v>
      </c>
      <c r="G3739" s="41" t="s">
        <v>11492</v>
      </c>
      <c r="H3739" s="41" t="s">
        <v>11493</v>
      </c>
      <c r="I3739" s="43">
        <v>12</v>
      </c>
      <c r="J3739" s="44" t="str">
        <f>VLOOKUP(G3739,[1]硬件清单!$F:$F,1,0)</f>
        <v>CBWHZZ1</v>
      </c>
      <c r="K3739" s="43"/>
      <c r="L3739" s="44"/>
      <c r="M3739" s="45" t="s">
        <v>11494</v>
      </c>
    </row>
    <row r="3740" s="26" customFormat="1" ht="30" customHeight="1" spans="1:13">
      <c r="A3740" s="41">
        <f>IF(C3740="","",SUBTOTAL(103,$C$2:C3740))</f>
        <v>3731</v>
      </c>
      <c r="B3740" s="41">
        <v>1903</v>
      </c>
      <c r="C3740" s="41">
        <v>9840</v>
      </c>
      <c r="D3740" s="41" t="s">
        <v>45</v>
      </c>
      <c r="E3740" s="41" t="s">
        <v>1298</v>
      </c>
      <c r="F3740" s="41" t="s">
        <v>7517</v>
      </c>
      <c r="G3740" s="41" t="s">
        <v>11495</v>
      </c>
      <c r="H3740" s="41" t="s">
        <v>11496</v>
      </c>
      <c r="I3740" s="43">
        <v>12</v>
      </c>
      <c r="J3740" s="44" t="str">
        <f>VLOOKUP(G3740,[1]硬件清单!$F:$F,1,0)</f>
        <v>C8WHZZ1</v>
      </c>
      <c r="K3740" s="43"/>
      <c r="L3740" s="44"/>
      <c r="M3740" s="45" t="s">
        <v>11497</v>
      </c>
    </row>
    <row r="3741" s="26" customFormat="1" ht="30" customHeight="1" spans="1:13">
      <c r="A3741" s="41">
        <f>IF(C3741="","",SUBTOTAL(103,$C$2:C3741))</f>
        <v>3732</v>
      </c>
      <c r="B3741" s="41">
        <v>1904</v>
      </c>
      <c r="C3741" s="41">
        <v>9841</v>
      </c>
      <c r="D3741" s="41" t="s">
        <v>45</v>
      </c>
      <c r="E3741" s="41" t="s">
        <v>1298</v>
      </c>
      <c r="F3741" s="41" t="s">
        <v>7517</v>
      </c>
      <c r="G3741" s="41" t="s">
        <v>11498</v>
      </c>
      <c r="H3741" s="41" t="s">
        <v>11499</v>
      </c>
      <c r="I3741" s="43">
        <v>12</v>
      </c>
      <c r="J3741" s="44" t="str">
        <f>VLOOKUP(G3741,[1]硬件清单!$F:$F,1,0)</f>
        <v>49WHZZ1</v>
      </c>
      <c r="K3741" s="43"/>
      <c r="L3741" s="44"/>
      <c r="M3741" s="45" t="s">
        <v>11500</v>
      </c>
    </row>
    <row r="3742" s="26" customFormat="1" ht="30" customHeight="1" spans="1:13">
      <c r="A3742" s="41">
        <f>IF(C3742="","",SUBTOTAL(103,$C$2:C3742))</f>
        <v>3733</v>
      </c>
      <c r="B3742" s="41">
        <v>1905</v>
      </c>
      <c r="C3742" s="41">
        <v>9842</v>
      </c>
      <c r="D3742" s="41" t="s">
        <v>45</v>
      </c>
      <c r="E3742" s="41" t="s">
        <v>1298</v>
      </c>
      <c r="F3742" s="41" t="s">
        <v>7517</v>
      </c>
      <c r="G3742" s="41" t="s">
        <v>11501</v>
      </c>
      <c r="H3742" s="41" t="s">
        <v>11502</v>
      </c>
      <c r="I3742" s="43">
        <v>12</v>
      </c>
      <c r="J3742" s="44" t="str">
        <f>VLOOKUP(G3742,[1]硬件清单!$F:$F,1,0)</f>
        <v>1CWHZZ1</v>
      </c>
      <c r="K3742" s="43"/>
      <c r="L3742" s="44"/>
      <c r="M3742" s="45" t="s">
        <v>11503</v>
      </c>
    </row>
    <row r="3743" s="26" customFormat="1" ht="30" customHeight="1" spans="1:13">
      <c r="A3743" s="41">
        <f>IF(C3743="","",SUBTOTAL(103,$C$2:C3743))</f>
        <v>3734</v>
      </c>
      <c r="B3743" s="41">
        <v>1906</v>
      </c>
      <c r="C3743" s="41">
        <v>9843</v>
      </c>
      <c r="D3743" s="41" t="s">
        <v>45</v>
      </c>
      <c r="E3743" s="41" t="s">
        <v>1298</v>
      </c>
      <c r="F3743" s="41" t="s">
        <v>7517</v>
      </c>
      <c r="G3743" s="41" t="s">
        <v>11504</v>
      </c>
      <c r="H3743" s="41" t="s">
        <v>11505</v>
      </c>
      <c r="I3743" s="43">
        <v>12</v>
      </c>
      <c r="J3743" s="44" t="str">
        <f>VLOOKUP(G3743,[1]硬件清单!$F:$F,1,0)</f>
        <v>FCWHZZ1</v>
      </c>
      <c r="K3743" s="43"/>
      <c r="L3743" s="44"/>
      <c r="M3743" s="45" t="s">
        <v>11506</v>
      </c>
    </row>
    <row r="3744" s="26" customFormat="1" ht="30" customHeight="1" spans="1:13">
      <c r="A3744" s="41">
        <f>IF(C3744="","",SUBTOTAL(103,$C$2:C3744))</f>
        <v>3735</v>
      </c>
      <c r="B3744" s="41">
        <v>1907</v>
      </c>
      <c r="C3744" s="41">
        <v>9844</v>
      </c>
      <c r="D3744" s="41" t="s">
        <v>45</v>
      </c>
      <c r="E3744" s="41" t="s">
        <v>1298</v>
      </c>
      <c r="F3744" s="41" t="s">
        <v>7517</v>
      </c>
      <c r="G3744" s="41" t="s">
        <v>11507</v>
      </c>
      <c r="H3744" s="41" t="s">
        <v>11508</v>
      </c>
      <c r="I3744" s="43">
        <v>12</v>
      </c>
      <c r="J3744" s="44" t="str">
        <f>VLOOKUP(G3744,[1]硬件清单!$F:$F,1,0)</f>
        <v>H9WHZZ1</v>
      </c>
      <c r="K3744" s="43"/>
      <c r="L3744" s="44"/>
      <c r="M3744" s="45" t="s">
        <v>11509</v>
      </c>
    </row>
    <row r="3745" ht="30" customHeight="1" spans="1:13">
      <c r="A3745" s="41">
        <f>IF(C3745="","",SUBTOTAL(103,$C$2:C3745))</f>
        <v>3736</v>
      </c>
      <c r="B3745" s="41">
        <v>1908</v>
      </c>
      <c r="C3745" s="41">
        <v>9845</v>
      </c>
      <c r="D3745" s="41" t="s">
        <v>45</v>
      </c>
      <c r="E3745" s="41" t="s">
        <v>1298</v>
      </c>
      <c r="F3745" s="41" t="s">
        <v>7517</v>
      </c>
      <c r="G3745" s="41" t="s">
        <v>11510</v>
      </c>
      <c r="H3745" s="41" t="s">
        <v>11511</v>
      </c>
      <c r="I3745" s="43">
        <v>12</v>
      </c>
      <c r="J3745" s="44" t="str">
        <f>VLOOKUP(G3745,[1]硬件清单!$F:$F,1,0)</f>
        <v>D5WHZZ1</v>
      </c>
      <c r="K3745" s="43"/>
      <c r="L3745" s="44"/>
      <c r="M3745" s="45" t="s">
        <v>11512</v>
      </c>
    </row>
    <row r="3746" ht="30" customHeight="1" spans="1:13">
      <c r="A3746" s="41">
        <f>IF(C3746="","",SUBTOTAL(103,$C$2:C3746))</f>
        <v>3737</v>
      </c>
      <c r="B3746" s="41">
        <v>1909</v>
      </c>
      <c r="C3746" s="41">
        <v>9846</v>
      </c>
      <c r="D3746" s="41" t="s">
        <v>45</v>
      </c>
      <c r="E3746" s="41" t="s">
        <v>1298</v>
      </c>
      <c r="F3746" s="41" t="s">
        <v>7517</v>
      </c>
      <c r="G3746" s="41" t="s">
        <v>11513</v>
      </c>
      <c r="H3746" s="41" t="s">
        <v>11514</v>
      </c>
      <c r="I3746" s="43">
        <v>12</v>
      </c>
      <c r="J3746" s="44" t="str">
        <f>VLOOKUP(G3746,[1]硬件清单!$F:$F,1,0)</f>
        <v>B6WHZZ1</v>
      </c>
      <c r="K3746" s="43"/>
      <c r="L3746" s="44"/>
      <c r="M3746" s="45" t="s">
        <v>11515</v>
      </c>
    </row>
    <row r="3747" ht="30" customHeight="1" spans="1:13">
      <c r="A3747" s="41">
        <f>IF(C3747="","",SUBTOTAL(103,$C$2:C3747))</f>
        <v>3738</v>
      </c>
      <c r="B3747" s="41">
        <v>1910</v>
      </c>
      <c r="C3747" s="41">
        <v>9847</v>
      </c>
      <c r="D3747" s="41" t="s">
        <v>45</v>
      </c>
      <c r="E3747" s="41" t="s">
        <v>1298</v>
      </c>
      <c r="F3747" s="41" t="s">
        <v>7517</v>
      </c>
      <c r="G3747" s="41" t="s">
        <v>11516</v>
      </c>
      <c r="H3747" s="41" t="s">
        <v>11517</v>
      </c>
      <c r="I3747" s="43">
        <v>12</v>
      </c>
      <c r="J3747" s="44" t="str">
        <f>VLOOKUP(G3747,[1]硬件清单!$F:$F,1,0)</f>
        <v>87WHZZ1</v>
      </c>
      <c r="K3747" s="43"/>
      <c r="L3747" s="44"/>
      <c r="M3747" s="45" t="s">
        <v>11518</v>
      </c>
    </row>
    <row r="3748" ht="30" customHeight="1" spans="1:13">
      <c r="A3748" s="41">
        <f>IF(C3748="","",SUBTOTAL(103,$C$2:C3748))</f>
        <v>3739</v>
      </c>
      <c r="B3748" s="41">
        <v>1911</v>
      </c>
      <c r="C3748" s="41">
        <v>9848</v>
      </c>
      <c r="D3748" s="41" t="s">
        <v>45</v>
      </c>
      <c r="E3748" s="41" t="s">
        <v>1298</v>
      </c>
      <c r="F3748" s="41" t="s">
        <v>7517</v>
      </c>
      <c r="G3748" s="41" t="s">
        <v>11519</v>
      </c>
      <c r="H3748" s="41" t="s">
        <v>11520</v>
      </c>
      <c r="I3748" s="43">
        <v>12</v>
      </c>
      <c r="J3748" s="44" t="str">
        <f>VLOOKUP(G3748,[1]硬件清单!$F:$F,1,0)</f>
        <v>48WHZZ1</v>
      </c>
      <c r="K3748" s="43"/>
      <c r="L3748" s="44"/>
      <c r="M3748" s="45" t="s">
        <v>11521</v>
      </c>
    </row>
    <row r="3749" ht="30" customHeight="1" spans="1:13">
      <c r="A3749" s="41">
        <f>IF(C3749="","",SUBTOTAL(103,$C$2:C3749))</f>
        <v>3740</v>
      </c>
      <c r="B3749" s="41">
        <v>1912</v>
      </c>
      <c r="C3749" s="41">
        <v>9849</v>
      </c>
      <c r="D3749" s="41" t="s">
        <v>45</v>
      </c>
      <c r="E3749" s="41" t="s">
        <v>1298</v>
      </c>
      <c r="F3749" s="41" t="s">
        <v>7517</v>
      </c>
      <c r="G3749" s="41" t="s">
        <v>11522</v>
      </c>
      <c r="H3749" s="41" t="s">
        <v>11523</v>
      </c>
      <c r="I3749" s="43">
        <v>12</v>
      </c>
      <c r="J3749" s="44" t="str">
        <f>VLOOKUP(G3749,[1]硬件清单!$F:$F,1,0)</f>
        <v>8CWHZZ1</v>
      </c>
      <c r="K3749" s="43"/>
      <c r="L3749" s="44"/>
      <c r="M3749" s="45" t="s">
        <v>11524</v>
      </c>
    </row>
    <row r="3750" ht="30" customHeight="1" spans="1:13">
      <c r="A3750" s="41">
        <f>IF(C3750="","",SUBTOTAL(103,$C$2:C3750))</f>
        <v>3741</v>
      </c>
      <c r="B3750" s="41">
        <v>1913</v>
      </c>
      <c r="C3750" s="41">
        <v>9850</v>
      </c>
      <c r="D3750" s="41" t="s">
        <v>45</v>
      </c>
      <c r="E3750" s="41" t="s">
        <v>1298</v>
      </c>
      <c r="F3750" s="41" t="s">
        <v>7517</v>
      </c>
      <c r="G3750" s="41" t="s">
        <v>11525</v>
      </c>
      <c r="H3750" s="41" t="s">
        <v>11526</v>
      </c>
      <c r="I3750" s="43">
        <v>12</v>
      </c>
      <c r="J3750" s="44" t="str">
        <f>VLOOKUP(G3750,[1]硬件清单!$F:$F,1,0)</f>
        <v>6BWHZZ1</v>
      </c>
      <c r="K3750" s="43"/>
      <c r="L3750" s="44"/>
      <c r="M3750" s="45" t="s">
        <v>11527</v>
      </c>
    </row>
    <row r="3751" ht="30" customHeight="1" spans="1:13">
      <c r="A3751" s="41">
        <f>IF(C3751="","",SUBTOTAL(103,$C$2:C3751))</f>
        <v>3742</v>
      </c>
      <c r="B3751" s="41">
        <v>1914</v>
      </c>
      <c r="C3751" s="41">
        <v>9851</v>
      </c>
      <c r="D3751" s="41" t="s">
        <v>45</v>
      </c>
      <c r="E3751" s="41" t="s">
        <v>1298</v>
      </c>
      <c r="F3751" s="41" t="s">
        <v>7517</v>
      </c>
      <c r="G3751" s="41" t="s">
        <v>11528</v>
      </c>
      <c r="H3751" s="41" t="s">
        <v>11529</v>
      </c>
      <c r="I3751" s="43">
        <v>12</v>
      </c>
      <c r="J3751" s="44" t="str">
        <f>VLOOKUP(G3751,[1]硬件清单!$F:$F,1,0)</f>
        <v>2DWHZZ1</v>
      </c>
      <c r="K3751" s="43"/>
      <c r="L3751" s="44"/>
      <c r="M3751" s="45" t="s">
        <v>11530</v>
      </c>
    </row>
    <row r="3752" ht="30" customHeight="1" spans="1:13">
      <c r="A3752" s="41">
        <f>IF(C3752="","",SUBTOTAL(103,$C$2:C3752))</f>
        <v>3743</v>
      </c>
      <c r="B3752" s="41">
        <v>1915</v>
      </c>
      <c r="C3752" s="41">
        <v>9958</v>
      </c>
      <c r="D3752" s="41" t="s">
        <v>45</v>
      </c>
      <c r="E3752" s="41" t="s">
        <v>1298</v>
      </c>
      <c r="F3752" s="41" t="s">
        <v>7517</v>
      </c>
      <c r="G3752" s="41" t="s">
        <v>11531</v>
      </c>
      <c r="H3752" s="41" t="s">
        <v>11532</v>
      </c>
      <c r="I3752" s="43">
        <v>12</v>
      </c>
      <c r="J3752" s="44" t="str">
        <f>VLOOKUP(G3752,[1]硬件清单!$F:$F,1,0)</f>
        <v>1000132</v>
      </c>
      <c r="K3752" s="43"/>
      <c r="L3752" s="44"/>
      <c r="M3752" s="45" t="s">
        <v>11533</v>
      </c>
    </row>
    <row r="3753" ht="30" customHeight="1" spans="1:13">
      <c r="A3753" s="41">
        <f>IF(C3753="","",SUBTOTAL(103,$C$2:C3753))</f>
        <v>3744</v>
      </c>
      <c r="B3753" s="41">
        <v>1916</v>
      </c>
      <c r="C3753" s="41">
        <v>9960</v>
      </c>
      <c r="D3753" s="41" t="s">
        <v>45</v>
      </c>
      <c r="E3753" s="41" t="s">
        <v>1298</v>
      </c>
      <c r="F3753" s="41" t="s">
        <v>7517</v>
      </c>
      <c r="G3753" s="41" t="s">
        <v>11534</v>
      </c>
      <c r="H3753" s="41" t="s">
        <v>11535</v>
      </c>
      <c r="I3753" s="43">
        <v>12</v>
      </c>
      <c r="J3753" s="44" t="str">
        <f>VLOOKUP(G3753,[1]硬件清单!$F:$F,1,0)</f>
        <v>1VZZ032</v>
      </c>
      <c r="K3753" s="43"/>
      <c r="L3753" s="44"/>
      <c r="M3753" s="45" t="s">
        <v>11533</v>
      </c>
    </row>
    <row r="3754" ht="30" customHeight="1" spans="1:13">
      <c r="A3754" s="41">
        <f>IF(C3754="","",SUBTOTAL(103,$C$2:C3754))</f>
        <v>3745</v>
      </c>
      <c r="B3754" s="41">
        <v>1917</v>
      </c>
      <c r="C3754" s="41">
        <v>9971</v>
      </c>
      <c r="D3754" s="41" t="s">
        <v>45</v>
      </c>
      <c r="E3754" s="41" t="s">
        <v>1298</v>
      </c>
      <c r="F3754" s="41" t="s">
        <v>7517</v>
      </c>
      <c r="G3754" s="41" t="s">
        <v>11536</v>
      </c>
      <c r="H3754" s="41" t="s">
        <v>11537</v>
      </c>
      <c r="I3754" s="43">
        <v>12</v>
      </c>
      <c r="J3754" s="44" t="str">
        <f>VLOOKUP(G3754,[1]硬件清单!$F:$F,1,0)</f>
        <v>1ZZZ032</v>
      </c>
      <c r="K3754" s="43"/>
      <c r="L3754" s="44"/>
      <c r="M3754" s="45" t="s">
        <v>11533</v>
      </c>
    </row>
    <row r="3755" ht="30" customHeight="1" spans="1:13">
      <c r="A3755" s="41">
        <f>IF(C3755="","",SUBTOTAL(103,$C$2:C3755))</f>
        <v>3746</v>
      </c>
      <c r="B3755" s="41">
        <v>1918</v>
      </c>
      <c r="C3755" s="41">
        <v>9956</v>
      </c>
      <c r="D3755" s="41" t="s">
        <v>45</v>
      </c>
      <c r="E3755" s="41" t="s">
        <v>1298</v>
      </c>
      <c r="F3755" s="41" t="s">
        <v>7517</v>
      </c>
      <c r="G3755" s="41" t="s">
        <v>11538</v>
      </c>
      <c r="H3755" s="41" t="s">
        <v>11539</v>
      </c>
      <c r="I3755" s="43">
        <v>12</v>
      </c>
      <c r="J3755" s="44" t="str">
        <f>VLOOKUP(G3755,[1]硬件清单!$F:$F,1,0)</f>
        <v>4700132</v>
      </c>
      <c r="K3755" s="43"/>
      <c r="L3755" s="44"/>
      <c r="M3755" s="45" t="s">
        <v>11533</v>
      </c>
    </row>
    <row r="3756" ht="30" customHeight="1" spans="1:13">
      <c r="A3756" s="41">
        <f>IF(C3756="","",SUBTOTAL(103,$C$2:C3756))</f>
        <v>3747</v>
      </c>
      <c r="B3756" s="41">
        <v>1919</v>
      </c>
      <c r="C3756" s="41">
        <v>9965</v>
      </c>
      <c r="D3756" s="41" t="s">
        <v>45</v>
      </c>
      <c r="E3756" s="41" t="s">
        <v>1298</v>
      </c>
      <c r="F3756" s="41" t="s">
        <v>7517</v>
      </c>
      <c r="G3756" s="41" t="s">
        <v>11540</v>
      </c>
      <c r="H3756" s="41" t="s">
        <v>11541</v>
      </c>
      <c r="I3756" s="43">
        <v>12</v>
      </c>
      <c r="J3756" s="44" t="str">
        <f>VLOOKUP(G3756,[1]硬件清单!$F:$F,1,0)</f>
        <v>4800132</v>
      </c>
      <c r="K3756" s="43"/>
      <c r="L3756" s="44"/>
      <c r="M3756" s="45" t="s">
        <v>11533</v>
      </c>
    </row>
    <row r="3757" ht="30" customHeight="1" spans="1:13">
      <c r="A3757" s="41">
        <f>IF(C3757="","",SUBTOTAL(103,$C$2:C3757))</f>
        <v>3748</v>
      </c>
      <c r="B3757" s="41">
        <v>1920</v>
      </c>
      <c r="C3757" s="41">
        <v>9966</v>
      </c>
      <c r="D3757" s="41" t="s">
        <v>45</v>
      </c>
      <c r="E3757" s="41" t="s">
        <v>1298</v>
      </c>
      <c r="F3757" s="41" t="s">
        <v>7517</v>
      </c>
      <c r="G3757" s="41" t="s">
        <v>11542</v>
      </c>
      <c r="H3757" s="41" t="s">
        <v>11543</v>
      </c>
      <c r="I3757" s="43">
        <v>12</v>
      </c>
      <c r="J3757" s="44" t="str">
        <f>VLOOKUP(G3757,[1]硬件清单!$F:$F,1,0)</f>
        <v>4HLZ032</v>
      </c>
      <c r="K3757" s="43"/>
      <c r="L3757" s="44"/>
      <c r="M3757" s="45" t="s">
        <v>11533</v>
      </c>
    </row>
    <row r="3758" ht="30" customHeight="1" spans="1:13">
      <c r="A3758" s="41">
        <f>IF(C3758="","",SUBTOTAL(103,$C$2:C3758))</f>
        <v>3749</v>
      </c>
      <c r="B3758" s="41">
        <v>1921</v>
      </c>
      <c r="C3758" s="41">
        <v>9962</v>
      </c>
      <c r="D3758" s="41" t="s">
        <v>45</v>
      </c>
      <c r="E3758" s="41" t="s">
        <v>1298</v>
      </c>
      <c r="F3758" s="41" t="s">
        <v>7517</v>
      </c>
      <c r="G3758" s="41" t="s">
        <v>11544</v>
      </c>
      <c r="H3758" s="41" t="s">
        <v>11545</v>
      </c>
      <c r="I3758" s="43">
        <v>12</v>
      </c>
      <c r="J3758" s="44" t="str">
        <f>VLOOKUP(G3758,[1]硬件清单!$F:$F,1,0)</f>
        <v>5610132</v>
      </c>
      <c r="K3758" s="43"/>
      <c r="L3758" s="44"/>
      <c r="M3758" s="45" t="s">
        <v>11533</v>
      </c>
    </row>
    <row r="3759" ht="30" customHeight="1" spans="1:13">
      <c r="A3759" s="41">
        <f>IF(C3759="","",SUBTOTAL(103,$C$2:C3759))</f>
        <v>3750</v>
      </c>
      <c r="B3759" s="41">
        <v>1922</v>
      </c>
      <c r="C3759" s="41">
        <v>9970</v>
      </c>
      <c r="D3759" s="41" t="s">
        <v>45</v>
      </c>
      <c r="E3759" s="41" t="s">
        <v>1298</v>
      </c>
      <c r="F3759" s="41" t="s">
        <v>7517</v>
      </c>
      <c r="G3759" s="41" t="s">
        <v>11546</v>
      </c>
      <c r="H3759" s="41" t="s">
        <v>11547</v>
      </c>
      <c r="I3759" s="43">
        <v>12</v>
      </c>
      <c r="J3759" s="44" t="str">
        <f>VLOOKUP(G3759,[1]硬件清单!$F:$F,1,0)</f>
        <v>6TZZ032</v>
      </c>
      <c r="K3759" s="43"/>
      <c r="L3759" s="44"/>
      <c r="M3759" s="45" t="s">
        <v>11533</v>
      </c>
    </row>
    <row r="3760" ht="30" customHeight="1" spans="1:13">
      <c r="A3760" s="41">
        <f>IF(C3760="","",SUBTOTAL(103,$C$2:C3760))</f>
        <v>3751</v>
      </c>
      <c r="B3760" s="41">
        <v>1923</v>
      </c>
      <c r="C3760" s="41">
        <v>9969</v>
      </c>
      <c r="D3760" s="41" t="s">
        <v>45</v>
      </c>
      <c r="E3760" s="41" t="s">
        <v>1298</v>
      </c>
      <c r="F3760" s="41" t="s">
        <v>7517</v>
      </c>
      <c r="G3760" s="41" t="s">
        <v>11548</v>
      </c>
      <c r="H3760" s="41" t="s">
        <v>11549</v>
      </c>
      <c r="I3760" s="43">
        <v>12</v>
      </c>
      <c r="J3760" s="44" t="str">
        <f>VLOOKUP(G3760,[1]硬件清单!$F:$F,1,0)</f>
        <v>7XLZ032</v>
      </c>
      <c r="K3760" s="43"/>
      <c r="L3760" s="44"/>
      <c r="M3760" s="45" t="s">
        <v>11533</v>
      </c>
    </row>
    <row r="3761" ht="30" customHeight="1" spans="1:13">
      <c r="A3761" s="41">
        <f>IF(C3761="","",SUBTOTAL(103,$C$2:C3761))</f>
        <v>3752</v>
      </c>
      <c r="B3761" s="41">
        <v>1924</v>
      </c>
      <c r="C3761" s="41">
        <v>9961</v>
      </c>
      <c r="D3761" s="41" t="s">
        <v>45</v>
      </c>
      <c r="E3761" s="41" t="s">
        <v>1298</v>
      </c>
      <c r="F3761" s="41" t="s">
        <v>7517</v>
      </c>
      <c r="G3761" s="41" t="s">
        <v>11550</v>
      </c>
      <c r="H3761" s="41" t="s">
        <v>11551</v>
      </c>
      <c r="I3761" s="43">
        <v>12</v>
      </c>
      <c r="J3761" s="44" t="str">
        <f>VLOOKUP(G3761,[1]硬件清单!$F:$F,1,0)</f>
        <v>86MZ032</v>
      </c>
      <c r="K3761" s="43"/>
      <c r="L3761" s="44"/>
      <c r="M3761" s="45" t="s">
        <v>11533</v>
      </c>
    </row>
    <row r="3762" ht="30" customHeight="1" spans="1:13">
      <c r="A3762" s="41">
        <f>IF(C3762="","",SUBTOTAL(103,$C$2:C3762))</f>
        <v>3753</v>
      </c>
      <c r="B3762" s="41">
        <v>1925</v>
      </c>
      <c r="C3762" s="41">
        <v>9582</v>
      </c>
      <c r="D3762" s="41" t="s">
        <v>45</v>
      </c>
      <c r="E3762" s="41" t="s">
        <v>1298</v>
      </c>
      <c r="F3762" s="41" t="s">
        <v>11258</v>
      </c>
      <c r="G3762" s="41" t="s">
        <v>11552</v>
      </c>
      <c r="H3762" s="41" t="s">
        <v>11553</v>
      </c>
      <c r="I3762" s="43">
        <v>12</v>
      </c>
      <c r="J3762" s="44" t="str">
        <f>VLOOKUP(G3762,[1]硬件清单!$F:$F,1,0)</f>
        <v>CSB1132</v>
      </c>
      <c r="K3762" s="43"/>
      <c r="L3762" s="44"/>
      <c r="M3762" s="45" t="s">
        <v>11533</v>
      </c>
    </row>
    <row r="3763" ht="30" customHeight="1" spans="1:13">
      <c r="A3763" s="41">
        <f>IF(C3763="","",SUBTOTAL(103,$C$2:C3763))</f>
        <v>3754</v>
      </c>
      <c r="B3763" s="41">
        <v>1926</v>
      </c>
      <c r="C3763" s="41">
        <v>9967</v>
      </c>
      <c r="D3763" s="41" t="s">
        <v>45</v>
      </c>
      <c r="E3763" s="41" t="s">
        <v>1298</v>
      </c>
      <c r="F3763" s="41" t="s">
        <v>7517</v>
      </c>
      <c r="G3763" s="41" t="s">
        <v>11554</v>
      </c>
      <c r="H3763" s="41" t="s">
        <v>11555</v>
      </c>
      <c r="I3763" s="43">
        <v>12</v>
      </c>
      <c r="J3763" s="44" t="str">
        <f>VLOOKUP(G3763,[1]硬件清单!$F:$F,1,0)</f>
        <v>D700132</v>
      </c>
      <c r="K3763" s="43"/>
      <c r="L3763" s="44"/>
      <c r="M3763" s="45" t="s">
        <v>11533</v>
      </c>
    </row>
    <row r="3764" ht="30" customHeight="1" spans="1:13">
      <c r="A3764" s="41">
        <f>IF(C3764="","",SUBTOTAL(103,$C$2:C3764))</f>
        <v>3755</v>
      </c>
      <c r="B3764" s="41">
        <v>1927</v>
      </c>
      <c r="C3764" s="41">
        <v>9959</v>
      </c>
      <c r="D3764" s="41" t="s">
        <v>45</v>
      </c>
      <c r="E3764" s="41" t="s">
        <v>1298</v>
      </c>
      <c r="F3764" s="41" t="s">
        <v>7517</v>
      </c>
      <c r="G3764" s="41" t="s">
        <v>11556</v>
      </c>
      <c r="H3764" s="41" t="s">
        <v>11557</v>
      </c>
      <c r="I3764" s="43">
        <v>12</v>
      </c>
      <c r="J3764" s="44" t="str">
        <f>VLOOKUP(G3764,[1]硬件清单!$F:$F,1,0)</f>
        <v>DJD6132</v>
      </c>
      <c r="K3764" s="43"/>
      <c r="L3764" s="44"/>
      <c r="M3764" s="45" t="s">
        <v>11533</v>
      </c>
    </row>
    <row r="3765" ht="30" customHeight="1" spans="1:13">
      <c r="A3765" s="41">
        <f>IF(C3765="","",SUBTOTAL(103,$C$2:C3765))</f>
        <v>3756</v>
      </c>
      <c r="B3765" s="41">
        <v>1928</v>
      </c>
      <c r="C3765" s="41">
        <v>9964</v>
      </c>
      <c r="D3765" s="41" t="s">
        <v>45</v>
      </c>
      <c r="E3765" s="41" t="s">
        <v>1298</v>
      </c>
      <c r="F3765" s="41" t="s">
        <v>7517</v>
      </c>
      <c r="G3765" s="41" t="s">
        <v>11558</v>
      </c>
      <c r="H3765" s="41" t="s">
        <v>11559</v>
      </c>
      <c r="I3765" s="43">
        <v>12</v>
      </c>
      <c r="J3765" s="44" t="str">
        <f>VLOOKUP(G3765,[1]硬件清单!$F:$F,1,0)</f>
        <v>DVZZ032</v>
      </c>
      <c r="K3765" s="43"/>
      <c r="L3765" s="44"/>
      <c r="M3765" s="45" t="s">
        <v>11533</v>
      </c>
    </row>
    <row r="3766" ht="30" customHeight="1" spans="1:13">
      <c r="A3766" s="41">
        <f>IF(C3766="","",SUBTOTAL(103,$C$2:C3766))</f>
        <v>3757</v>
      </c>
      <c r="B3766" s="41">
        <v>1929</v>
      </c>
      <c r="C3766" s="41">
        <v>9963</v>
      </c>
      <c r="D3766" s="41" t="s">
        <v>45</v>
      </c>
      <c r="E3766" s="41" t="s">
        <v>1298</v>
      </c>
      <c r="F3766" s="41" t="s">
        <v>7517</v>
      </c>
      <c r="G3766" s="41" t="s">
        <v>11560</v>
      </c>
      <c r="H3766" s="41" t="s">
        <v>11561</v>
      </c>
      <c r="I3766" s="43">
        <v>12</v>
      </c>
      <c r="J3766" s="44" t="str">
        <f>VLOOKUP(G3766,[1]硬件清单!$F:$F,1,0)</f>
        <v>FTZZ032</v>
      </c>
      <c r="K3766" s="43"/>
      <c r="L3766" s="44"/>
      <c r="M3766" s="45" t="s">
        <v>11533</v>
      </c>
    </row>
    <row r="3767" ht="30" customHeight="1" spans="1:13">
      <c r="A3767" s="41">
        <f>IF(C3767="","",SUBTOTAL(103,$C$2:C3767))</f>
        <v>3758</v>
      </c>
      <c r="B3767" s="41">
        <v>1930</v>
      </c>
      <c r="C3767" s="41">
        <v>9968</v>
      </c>
      <c r="D3767" s="41" t="s">
        <v>45</v>
      </c>
      <c r="E3767" s="41" t="s">
        <v>1298</v>
      </c>
      <c r="F3767" s="41" t="s">
        <v>7517</v>
      </c>
      <c r="G3767" s="41" t="s">
        <v>11562</v>
      </c>
      <c r="H3767" s="41" t="s">
        <v>11563</v>
      </c>
      <c r="I3767" s="43">
        <v>12</v>
      </c>
      <c r="J3767" s="44" t="str">
        <f>VLOOKUP(G3767,[1]硬件清单!$F:$F,1,0)</f>
        <v>G000132</v>
      </c>
      <c r="K3767" s="43"/>
      <c r="L3767" s="44"/>
      <c r="M3767" s="45" t="s">
        <v>11533</v>
      </c>
    </row>
    <row r="3768" ht="30" customHeight="1" spans="1:13">
      <c r="A3768" s="41">
        <f>IF(C3768="","",SUBTOTAL(103,$C$2:C3768))</f>
        <v>3759</v>
      </c>
      <c r="B3768" s="41">
        <v>1931</v>
      </c>
      <c r="C3768" s="41">
        <v>9957</v>
      </c>
      <c r="D3768" s="41" t="s">
        <v>45</v>
      </c>
      <c r="E3768" s="41" t="s">
        <v>1298</v>
      </c>
      <c r="F3768" s="41" t="s">
        <v>7517</v>
      </c>
      <c r="G3768" s="41" t="s">
        <v>11564</v>
      </c>
      <c r="H3768" s="41" t="s">
        <v>11565</v>
      </c>
      <c r="I3768" s="43">
        <v>12</v>
      </c>
      <c r="J3768" s="44" t="str">
        <f>VLOOKUP(G3768,[1]硬件清单!$F:$F,1,0)</f>
        <v>JHLZ032</v>
      </c>
      <c r="K3768" s="43"/>
      <c r="L3768" s="44"/>
      <c r="M3768" s="45" t="s">
        <v>11533</v>
      </c>
    </row>
    <row r="3769" ht="30" customHeight="1" spans="1:13">
      <c r="A3769" s="41">
        <f>IF(C3769="","",SUBTOTAL(103,$C$2:C3769))</f>
        <v>3760</v>
      </c>
      <c r="B3769" s="41">
        <v>1932</v>
      </c>
      <c r="C3769" s="41">
        <v>8954</v>
      </c>
      <c r="D3769" s="41" t="s">
        <v>45</v>
      </c>
      <c r="E3769" s="41" t="s">
        <v>1298</v>
      </c>
      <c r="F3769" s="41" t="s">
        <v>11566</v>
      </c>
      <c r="G3769" s="41" t="s">
        <v>11567</v>
      </c>
      <c r="H3769" s="41" t="s">
        <v>11568</v>
      </c>
      <c r="I3769" s="43">
        <v>12</v>
      </c>
      <c r="J3769" s="44" t="str">
        <f>VLOOKUP(G3769,[1]硬件清单!$F:$F,1,0)</f>
        <v>FCH16287KP5</v>
      </c>
      <c r="K3769" s="43"/>
      <c r="L3769" s="44"/>
      <c r="M3769" s="45" t="s">
        <v>11569</v>
      </c>
    </row>
    <row r="3770" ht="30" customHeight="1" spans="1:13">
      <c r="A3770" s="41">
        <f>IF(C3770="","",SUBTOTAL(103,$C$2:C3770))</f>
        <v>3761</v>
      </c>
      <c r="B3770" s="41">
        <v>1933</v>
      </c>
      <c r="C3770" s="41">
        <v>8956</v>
      </c>
      <c r="D3770" s="41" t="s">
        <v>45</v>
      </c>
      <c r="E3770" s="41" t="s">
        <v>1298</v>
      </c>
      <c r="F3770" s="41" t="s">
        <v>11566</v>
      </c>
      <c r="G3770" s="41" t="s">
        <v>11570</v>
      </c>
      <c r="H3770" s="41" t="s">
        <v>11571</v>
      </c>
      <c r="I3770" s="43">
        <v>12</v>
      </c>
      <c r="J3770" s="44" t="str">
        <f>VLOOKUP(G3770,[1]硬件清单!$F:$F,1,0)</f>
        <v>FCH16297D6Y</v>
      </c>
      <c r="K3770" s="43"/>
      <c r="L3770" s="44"/>
      <c r="M3770" s="45" t="s">
        <v>11572</v>
      </c>
    </row>
    <row r="3771" ht="30" customHeight="1" spans="1:13">
      <c r="A3771" s="41">
        <f>IF(C3771="","",SUBTOTAL(103,$C$2:C3771))</f>
        <v>3762</v>
      </c>
      <c r="B3771" s="41">
        <v>1934</v>
      </c>
      <c r="C3771" s="41">
        <v>8957</v>
      </c>
      <c r="D3771" s="41" t="s">
        <v>45</v>
      </c>
      <c r="E3771" s="41" t="s">
        <v>1298</v>
      </c>
      <c r="F3771" s="41" t="s">
        <v>11566</v>
      </c>
      <c r="G3771" s="41" t="s">
        <v>11573</v>
      </c>
      <c r="H3771" s="41" t="s">
        <v>11574</v>
      </c>
      <c r="I3771" s="43">
        <v>12</v>
      </c>
      <c r="J3771" s="44" t="str">
        <f>VLOOKUP(G3771,[1]硬件清单!$F:$F,1,0)</f>
        <v>FCH162772TP</v>
      </c>
      <c r="K3771" s="43"/>
      <c r="L3771" s="44"/>
      <c r="M3771" s="45" t="s">
        <v>11575</v>
      </c>
    </row>
    <row r="3772" ht="30" customHeight="1" spans="1:13">
      <c r="A3772" s="41">
        <f>IF(C3772="","",SUBTOTAL(103,$C$2:C3772))</f>
        <v>3763</v>
      </c>
      <c r="B3772" s="41">
        <v>1935</v>
      </c>
      <c r="C3772" s="41">
        <v>8955</v>
      </c>
      <c r="D3772" s="41" t="s">
        <v>45</v>
      </c>
      <c r="E3772" s="41" t="s">
        <v>1298</v>
      </c>
      <c r="F3772" s="41" t="s">
        <v>11566</v>
      </c>
      <c r="G3772" s="41" t="s">
        <v>11576</v>
      </c>
      <c r="H3772" s="41" t="s">
        <v>11577</v>
      </c>
      <c r="I3772" s="43">
        <v>12</v>
      </c>
      <c r="J3772" s="44" t="str">
        <f>VLOOKUP(G3772,[1]硬件清单!$F:$F,1,0)</f>
        <v>FCH16287KCL</v>
      </c>
      <c r="K3772" s="43"/>
      <c r="L3772" s="44"/>
      <c r="M3772" s="45" t="s">
        <v>11578</v>
      </c>
    </row>
    <row r="3773" ht="30" customHeight="1" spans="1:13">
      <c r="A3773" s="41">
        <f>IF(C3773="","",SUBTOTAL(103,$C$2:C3773))</f>
        <v>3764</v>
      </c>
      <c r="B3773" s="41">
        <v>1936</v>
      </c>
      <c r="C3773" s="41">
        <v>8952</v>
      </c>
      <c r="D3773" s="41" t="s">
        <v>45</v>
      </c>
      <c r="E3773" s="41" t="s">
        <v>1298</v>
      </c>
      <c r="F3773" s="41" t="s">
        <v>11566</v>
      </c>
      <c r="G3773" s="41" t="s">
        <v>11579</v>
      </c>
      <c r="H3773" s="41" t="s">
        <v>11580</v>
      </c>
      <c r="I3773" s="43">
        <v>12</v>
      </c>
      <c r="J3773" s="44" t="str">
        <f>VLOOKUP(G3773,[1]硬件清单!$F:$F,1,0)</f>
        <v>FCH16277YM3</v>
      </c>
      <c r="K3773" s="43"/>
      <c r="L3773" s="44"/>
      <c r="M3773" s="45" t="s">
        <v>11581</v>
      </c>
    </row>
    <row r="3774" ht="30" customHeight="1" spans="1:13">
      <c r="A3774" s="41">
        <f>IF(C3774="","",SUBTOTAL(103,$C$2:C3774))</f>
        <v>3765</v>
      </c>
      <c r="B3774" s="41">
        <v>1937</v>
      </c>
      <c r="C3774" s="41">
        <v>8953</v>
      </c>
      <c r="D3774" s="41" t="s">
        <v>45</v>
      </c>
      <c r="E3774" s="41" t="s">
        <v>1298</v>
      </c>
      <c r="F3774" s="41" t="s">
        <v>11566</v>
      </c>
      <c r="G3774" s="41" t="s">
        <v>11582</v>
      </c>
      <c r="H3774" s="41" t="s">
        <v>11583</v>
      </c>
      <c r="I3774" s="43">
        <v>12</v>
      </c>
      <c r="J3774" s="44" t="str">
        <f>VLOOKUP(G3774,[1]硬件清单!$F:$F,1,0)</f>
        <v>FCH16287KN0</v>
      </c>
      <c r="K3774" s="43"/>
      <c r="L3774" s="44"/>
      <c r="M3774" s="45" t="s">
        <v>11581</v>
      </c>
    </row>
    <row r="3775" ht="30" customHeight="1" spans="1:13">
      <c r="A3775" s="41">
        <f>IF(C3775="","",SUBTOTAL(103,$C$2:C3775))</f>
        <v>3766</v>
      </c>
      <c r="B3775" s="41">
        <v>1938</v>
      </c>
      <c r="C3775" s="41">
        <v>8951</v>
      </c>
      <c r="D3775" s="41" t="s">
        <v>45</v>
      </c>
      <c r="E3775" s="41" t="s">
        <v>1298</v>
      </c>
      <c r="F3775" s="41" t="s">
        <v>11566</v>
      </c>
      <c r="G3775" s="41" t="s">
        <v>11584</v>
      </c>
      <c r="H3775" s="41" t="s">
        <v>11585</v>
      </c>
      <c r="I3775" s="43">
        <v>12</v>
      </c>
      <c r="J3775" s="44" t="str">
        <f>VLOOKUP(G3775,[1]硬件清单!$F:$F,1,0)</f>
        <v>FCH16287JV5</v>
      </c>
      <c r="K3775" s="43"/>
      <c r="L3775" s="44"/>
      <c r="M3775" s="45" t="s">
        <v>11586</v>
      </c>
    </row>
    <row r="3776" ht="30" customHeight="1" spans="1:13">
      <c r="A3776" s="41">
        <f>IF(C3776="","",SUBTOTAL(103,$C$2:C3776))</f>
        <v>3767</v>
      </c>
      <c r="B3776" s="41">
        <v>1939</v>
      </c>
      <c r="C3776" s="41">
        <v>8950</v>
      </c>
      <c r="D3776" s="41" t="s">
        <v>45</v>
      </c>
      <c r="E3776" s="41" t="s">
        <v>1298</v>
      </c>
      <c r="F3776" s="41" t="s">
        <v>11566</v>
      </c>
      <c r="G3776" s="41" t="s">
        <v>11587</v>
      </c>
      <c r="H3776" s="41" t="s">
        <v>11588</v>
      </c>
      <c r="I3776" s="43">
        <v>12</v>
      </c>
      <c r="J3776" s="44" t="str">
        <f>VLOOKUP(G3776,[1]硬件清单!$F:$F,1,0)</f>
        <v>FCH16287KOE</v>
      </c>
      <c r="K3776" s="43"/>
      <c r="L3776" s="44"/>
      <c r="M3776" s="45" t="s">
        <v>11586</v>
      </c>
    </row>
    <row r="3777" ht="30" customHeight="1" spans="1:13">
      <c r="A3777" s="41">
        <f>IF(C3777="","",SUBTOTAL(103,$C$2:C3777))</f>
        <v>3768</v>
      </c>
      <c r="B3777" s="41">
        <v>1940</v>
      </c>
      <c r="C3777" s="41">
        <v>9995</v>
      </c>
      <c r="D3777" s="41" t="s">
        <v>45</v>
      </c>
      <c r="E3777" s="41" t="s">
        <v>1298</v>
      </c>
      <c r="F3777" s="41" t="s">
        <v>11258</v>
      </c>
      <c r="G3777" s="41" t="s">
        <v>11589</v>
      </c>
      <c r="H3777" s="41" t="s">
        <v>11590</v>
      </c>
      <c r="I3777" s="43">
        <v>12</v>
      </c>
      <c r="J3777" s="44" t="str">
        <f>VLOOKUP(G3777,[1]硬件清单!$F:$F,1,0)</f>
        <v>4YB1132</v>
      </c>
      <c r="K3777" s="43"/>
      <c r="L3777" s="44"/>
      <c r="M3777" s="45" t="s">
        <v>11591</v>
      </c>
    </row>
    <row r="3778" ht="30" customHeight="1" spans="1:13">
      <c r="A3778" s="41">
        <f>IF(C3778="","",SUBTOTAL(103,$C$2:C3778))</f>
        <v>3769</v>
      </c>
      <c r="B3778" s="41">
        <v>1941</v>
      </c>
      <c r="C3778" s="41">
        <v>9948</v>
      </c>
      <c r="D3778" s="41" t="s">
        <v>45</v>
      </c>
      <c r="E3778" s="41" t="s">
        <v>1298</v>
      </c>
      <c r="F3778" s="41" t="s">
        <v>7517</v>
      </c>
      <c r="G3778" s="41" t="s">
        <v>11592</v>
      </c>
      <c r="H3778" s="41" t="s">
        <v>11593</v>
      </c>
      <c r="I3778" s="43">
        <v>12</v>
      </c>
      <c r="J3778" s="44" t="str">
        <f>VLOOKUP(G3778,[1]硬件清单!$F:$F,1,0)</f>
        <v>7000132</v>
      </c>
      <c r="K3778" s="43"/>
      <c r="L3778" s="44"/>
      <c r="M3778" s="45" t="s">
        <v>11594</v>
      </c>
    </row>
    <row r="3779" ht="30" customHeight="1" spans="1:13">
      <c r="A3779" s="41">
        <f>IF(C3779="","",SUBTOTAL(103,$C$2:C3779))</f>
        <v>3770</v>
      </c>
      <c r="B3779" s="41">
        <v>1942</v>
      </c>
      <c r="C3779" s="41">
        <v>9949</v>
      </c>
      <c r="D3779" s="41" t="s">
        <v>45</v>
      </c>
      <c r="E3779" s="41" t="s">
        <v>1298</v>
      </c>
      <c r="F3779" s="41" t="s">
        <v>7517</v>
      </c>
      <c r="G3779" s="41" t="s">
        <v>11595</v>
      </c>
      <c r="H3779" s="41" t="s">
        <v>11596</v>
      </c>
      <c r="I3779" s="43">
        <v>12</v>
      </c>
      <c r="J3779" s="44" t="str">
        <f>VLOOKUP(G3779,[1]硬件清单!$F:$F,1,0)</f>
        <v>G510132</v>
      </c>
      <c r="K3779" s="43"/>
      <c r="L3779" s="44"/>
      <c r="M3779" s="45" t="s">
        <v>11597</v>
      </c>
    </row>
    <row r="3780" s="26" customFormat="1" ht="30" customHeight="1" spans="1:13">
      <c r="A3780" s="41">
        <f>IF(C3780="","",SUBTOTAL(103,$C$2:C3780))</f>
        <v>3771</v>
      </c>
      <c r="B3780" s="41">
        <v>1943</v>
      </c>
      <c r="C3780" s="41">
        <v>9950</v>
      </c>
      <c r="D3780" s="41" t="s">
        <v>45</v>
      </c>
      <c r="E3780" s="41" t="s">
        <v>1298</v>
      </c>
      <c r="F3780" s="41" t="s">
        <v>7517</v>
      </c>
      <c r="G3780" s="41" t="s">
        <v>11598</v>
      </c>
      <c r="H3780" s="41" t="s">
        <v>11599</v>
      </c>
      <c r="I3780" s="43">
        <v>12</v>
      </c>
      <c r="J3780" s="44" t="str">
        <f>VLOOKUP(G3780,[1]硬件清单!$F:$F,1,0)</f>
        <v>8HD6132</v>
      </c>
      <c r="K3780" s="43"/>
      <c r="L3780" s="44"/>
      <c r="M3780" s="45" t="s">
        <v>11600</v>
      </c>
    </row>
    <row r="3781" ht="30" customHeight="1" spans="1:13">
      <c r="A3781" s="41">
        <f>IF(C3781="","",SUBTOTAL(103,$C$2:C3781))</f>
        <v>3772</v>
      </c>
      <c r="B3781" s="41">
        <v>1944</v>
      </c>
      <c r="C3781" s="41">
        <v>9951</v>
      </c>
      <c r="D3781" s="41" t="s">
        <v>45</v>
      </c>
      <c r="E3781" s="41" t="s">
        <v>1298</v>
      </c>
      <c r="F3781" s="41" t="s">
        <v>7517</v>
      </c>
      <c r="G3781" s="41" t="s">
        <v>11601</v>
      </c>
      <c r="H3781" s="41" t="s">
        <v>11602</v>
      </c>
      <c r="I3781" s="43">
        <v>12</v>
      </c>
      <c r="J3781" s="44" t="str">
        <f>VLOOKUP(G3781,[1]硬件清单!$F:$F,1,0)</f>
        <v>HJLZ032</v>
      </c>
      <c r="K3781" s="43"/>
      <c r="L3781" s="44"/>
      <c r="M3781" s="45" t="s">
        <v>11603</v>
      </c>
    </row>
    <row r="3782" ht="30" customHeight="1" spans="1:13">
      <c r="A3782" s="41">
        <f>IF(C3782="","",SUBTOTAL(103,$C$2:C3782))</f>
        <v>3773</v>
      </c>
      <c r="B3782" s="41">
        <v>1945</v>
      </c>
      <c r="C3782" s="41">
        <v>9952</v>
      </c>
      <c r="D3782" s="41" t="s">
        <v>45</v>
      </c>
      <c r="E3782" s="41" t="s">
        <v>1298</v>
      </c>
      <c r="F3782" s="41" t="s">
        <v>7517</v>
      </c>
      <c r="G3782" s="41" t="s">
        <v>11604</v>
      </c>
      <c r="H3782" s="41" t="s">
        <v>11605</v>
      </c>
      <c r="I3782" s="43">
        <v>12</v>
      </c>
      <c r="J3782" s="44" t="str">
        <f>VLOOKUP(G3782,[1]硬件清单!$F:$F,1,0)</f>
        <v>7TZZ032</v>
      </c>
      <c r="K3782" s="43"/>
      <c r="L3782" s="44"/>
      <c r="M3782" s="45" t="s">
        <v>11606</v>
      </c>
    </row>
    <row r="3783" ht="30" customHeight="1" spans="1:13">
      <c r="A3783" s="41">
        <f>IF(C3783="","",SUBTOTAL(103,$C$2:C3783))</f>
        <v>3774</v>
      </c>
      <c r="B3783" s="41">
        <v>1946</v>
      </c>
      <c r="C3783" s="41">
        <v>9953</v>
      </c>
      <c r="D3783" s="41" t="s">
        <v>45</v>
      </c>
      <c r="E3783" s="41" t="s">
        <v>1298</v>
      </c>
      <c r="F3783" s="41" t="s">
        <v>7517</v>
      </c>
      <c r="G3783" s="41" t="s">
        <v>11607</v>
      </c>
      <c r="H3783" s="41" t="s">
        <v>11608</v>
      </c>
      <c r="I3783" s="43">
        <v>12</v>
      </c>
      <c r="J3783" s="44" t="str">
        <f>VLOOKUP(G3783,[1]硬件清单!$F:$F,1,0)</f>
        <v>D710132</v>
      </c>
      <c r="K3783" s="43"/>
      <c r="L3783" s="44"/>
      <c r="M3783" s="45" t="s">
        <v>11609</v>
      </c>
    </row>
    <row r="3784" ht="30" customHeight="1" spans="1:13">
      <c r="A3784" s="41">
        <f>IF(C3784="","",SUBTOTAL(103,$C$2:C3784))</f>
        <v>3775</v>
      </c>
      <c r="B3784" s="41">
        <v>1947</v>
      </c>
      <c r="C3784" s="41">
        <v>9954</v>
      </c>
      <c r="D3784" s="41" t="s">
        <v>45</v>
      </c>
      <c r="E3784" s="41" t="s">
        <v>1298</v>
      </c>
      <c r="F3784" s="41" t="s">
        <v>7517</v>
      </c>
      <c r="G3784" s="41" t="s">
        <v>11610</v>
      </c>
      <c r="H3784" s="41" t="s">
        <v>11611</v>
      </c>
      <c r="I3784" s="43">
        <v>12</v>
      </c>
      <c r="J3784" s="44" t="str">
        <f>VLOOKUP(G3784,[1]硬件清单!$F:$F,1,0)</f>
        <v>5810132</v>
      </c>
      <c r="K3784" s="43"/>
      <c r="L3784" s="44"/>
      <c r="M3784" s="45" t="s">
        <v>11612</v>
      </c>
    </row>
    <row r="3785" ht="30" customHeight="1" spans="1:13">
      <c r="A3785" s="41">
        <f>IF(C3785="","",SUBTOTAL(103,$C$2:C3785))</f>
        <v>3776</v>
      </c>
      <c r="B3785" s="41">
        <v>1948</v>
      </c>
      <c r="C3785" s="41">
        <v>9955</v>
      </c>
      <c r="D3785" s="41" t="s">
        <v>45</v>
      </c>
      <c r="E3785" s="41" t="s">
        <v>1298</v>
      </c>
      <c r="F3785" s="41" t="s">
        <v>7517</v>
      </c>
      <c r="G3785" s="41" t="s">
        <v>11613</v>
      </c>
      <c r="H3785" s="41" t="s">
        <v>11614</v>
      </c>
      <c r="I3785" s="43">
        <v>12</v>
      </c>
      <c r="J3785" s="44" t="str">
        <f>VLOOKUP(G3785,[1]硬件清单!$F:$F,1,0)</f>
        <v>76MZ032</v>
      </c>
      <c r="K3785" s="43"/>
      <c r="L3785" s="44"/>
      <c r="M3785" s="45" t="s">
        <v>11615</v>
      </c>
    </row>
    <row r="3786" ht="30" customHeight="1" spans="1:13">
      <c r="A3786" s="41">
        <f>IF(C3786="","",SUBTOTAL(103,$C$2:C3786))</f>
        <v>3777</v>
      </c>
      <c r="B3786" s="41">
        <v>1949</v>
      </c>
      <c r="C3786" s="41">
        <v>9984</v>
      </c>
      <c r="D3786" s="41" t="s">
        <v>45</v>
      </c>
      <c r="E3786" s="41" t="s">
        <v>1298</v>
      </c>
      <c r="F3786" s="41" t="s">
        <v>7517</v>
      </c>
      <c r="G3786" s="41" t="s">
        <v>11616</v>
      </c>
      <c r="H3786" s="41" t="s">
        <v>11617</v>
      </c>
      <c r="I3786" s="43">
        <v>12</v>
      </c>
      <c r="J3786" s="44" t="str">
        <f>VLOOKUP(G3786,[1]硬件清单!$F:$F,1,0)</f>
        <v>G5MZ032</v>
      </c>
      <c r="K3786" s="43"/>
      <c r="L3786" s="44"/>
      <c r="M3786" s="45" t="s">
        <v>11618</v>
      </c>
    </row>
    <row r="3787" ht="30" customHeight="1" spans="1:13">
      <c r="A3787" s="41">
        <f>IF(C3787="","",SUBTOTAL(103,$C$2:C3787))</f>
        <v>3778</v>
      </c>
      <c r="B3787" s="41">
        <v>1950</v>
      </c>
      <c r="C3787" s="41">
        <v>9985</v>
      </c>
      <c r="D3787" s="41" t="s">
        <v>45</v>
      </c>
      <c r="E3787" s="41" t="s">
        <v>1298</v>
      </c>
      <c r="F3787" s="41" t="s">
        <v>7517</v>
      </c>
      <c r="G3787" s="41" t="s">
        <v>11619</v>
      </c>
      <c r="H3787" s="41" t="s">
        <v>11620</v>
      </c>
      <c r="I3787" s="43">
        <v>12</v>
      </c>
      <c r="J3787" s="44" t="str">
        <f>VLOOKUP(G3787,[1]硬件清单!$F:$F,1,0)</f>
        <v>B6MZ032</v>
      </c>
      <c r="K3787" s="43"/>
      <c r="L3787" s="44"/>
      <c r="M3787" s="45" t="s">
        <v>11621</v>
      </c>
    </row>
    <row r="3788" ht="30" customHeight="1" spans="1:13">
      <c r="A3788" s="41">
        <f>IF(C3788="","",SUBTOTAL(103,$C$2:C3788))</f>
        <v>3779</v>
      </c>
      <c r="B3788" s="41">
        <v>1951</v>
      </c>
      <c r="C3788" s="41">
        <v>9986</v>
      </c>
      <c r="D3788" s="41" t="s">
        <v>45</v>
      </c>
      <c r="E3788" s="41" t="s">
        <v>1298</v>
      </c>
      <c r="F3788" s="41" t="s">
        <v>7517</v>
      </c>
      <c r="G3788" s="41" t="s">
        <v>11622</v>
      </c>
      <c r="H3788" s="41" t="s">
        <v>11623</v>
      </c>
      <c r="I3788" s="43">
        <v>12</v>
      </c>
      <c r="J3788" s="44" t="str">
        <f>VLOOKUP(G3788,[1]硬件清单!$F:$F,1,0)</f>
        <v>D6MZ032</v>
      </c>
      <c r="K3788" s="43"/>
      <c r="L3788" s="44"/>
      <c r="M3788" s="45" t="s">
        <v>11624</v>
      </c>
    </row>
    <row r="3789" ht="30" customHeight="1" spans="1:13">
      <c r="A3789" s="41">
        <f>IF(C3789="","",SUBTOTAL(103,$C$2:C3789))</f>
        <v>3780</v>
      </c>
      <c r="B3789" s="41">
        <v>1952</v>
      </c>
      <c r="C3789" s="41">
        <v>9987</v>
      </c>
      <c r="D3789" s="41" t="s">
        <v>45</v>
      </c>
      <c r="E3789" s="41" t="s">
        <v>1298</v>
      </c>
      <c r="F3789" s="41" t="s">
        <v>7517</v>
      </c>
      <c r="G3789" s="41" t="s">
        <v>11625</v>
      </c>
      <c r="H3789" s="41" t="s">
        <v>11626</v>
      </c>
      <c r="I3789" s="43">
        <v>12</v>
      </c>
      <c r="J3789" s="44" t="str">
        <f>VLOOKUP(G3789,[1]硬件清单!$F:$F,1,0)</f>
        <v>1TZZ032</v>
      </c>
      <c r="K3789" s="43"/>
      <c r="L3789" s="44"/>
      <c r="M3789" s="45" t="s">
        <v>11627</v>
      </c>
    </row>
    <row r="3790" ht="30" customHeight="1" spans="1:13">
      <c r="A3790" s="41">
        <f>IF(C3790="","",SUBTOTAL(103,$C$2:C3790))</f>
        <v>3781</v>
      </c>
      <c r="B3790" s="41">
        <v>1955</v>
      </c>
      <c r="C3790" s="41">
        <v>9853</v>
      </c>
      <c r="D3790" s="41" t="s">
        <v>45</v>
      </c>
      <c r="E3790" s="41" t="s">
        <v>1298</v>
      </c>
      <c r="F3790" s="41" t="s">
        <v>7517</v>
      </c>
      <c r="G3790" s="41" t="s">
        <v>11628</v>
      </c>
      <c r="H3790" s="41" t="s">
        <v>11629</v>
      </c>
      <c r="I3790" s="43">
        <v>12</v>
      </c>
      <c r="J3790" s="44" t="str">
        <f>VLOOKUP(G3790,[1]硬件清单!$F:$F,1,0)</f>
        <v>DZ3JZZ1</v>
      </c>
      <c r="K3790" s="43"/>
      <c r="L3790" s="44"/>
      <c r="M3790" s="45" t="s">
        <v>11630</v>
      </c>
    </row>
    <row r="3791" ht="30" customHeight="1" spans="1:13">
      <c r="A3791" s="41">
        <f>IF(C3791="","",SUBTOTAL(103,$C$2:C3791))</f>
        <v>3782</v>
      </c>
      <c r="B3791" s="41">
        <v>1956</v>
      </c>
      <c r="C3791" s="41">
        <v>9854</v>
      </c>
      <c r="D3791" s="41" t="s">
        <v>45</v>
      </c>
      <c r="E3791" s="41" t="s">
        <v>1298</v>
      </c>
      <c r="F3791" s="41" t="s">
        <v>7517</v>
      </c>
      <c r="G3791" s="41" t="s">
        <v>11631</v>
      </c>
      <c r="H3791" s="41" t="s">
        <v>11632</v>
      </c>
      <c r="I3791" s="43">
        <v>12</v>
      </c>
      <c r="J3791" s="44" t="str">
        <f>VLOOKUP(G3791,[1]硬件清单!$F:$F,1,0)</f>
        <v>204JZZ1</v>
      </c>
      <c r="K3791" s="43"/>
      <c r="L3791" s="44"/>
      <c r="M3791" s="45" t="s">
        <v>11633</v>
      </c>
    </row>
    <row r="3792" ht="30" customHeight="1" spans="1:13">
      <c r="A3792" s="41">
        <f>IF(C3792="","",SUBTOTAL(103,$C$2:C3792))</f>
        <v>3783</v>
      </c>
      <c r="B3792" s="41">
        <v>1967</v>
      </c>
      <c r="C3792" s="41">
        <v>9930</v>
      </c>
      <c r="D3792" s="41" t="s">
        <v>45</v>
      </c>
      <c r="E3792" s="41" t="s">
        <v>1298</v>
      </c>
      <c r="F3792" s="41" t="s">
        <v>7517</v>
      </c>
      <c r="G3792" s="41" t="s">
        <v>11634</v>
      </c>
      <c r="H3792" s="41" t="s">
        <v>11635</v>
      </c>
      <c r="I3792" s="43">
        <v>12</v>
      </c>
      <c r="J3792" s="44" t="str">
        <f>VLOOKUP(G3792,[1]硬件清单!$F:$F,1,0)</f>
        <v>GZ3JZZ1</v>
      </c>
      <c r="K3792" s="43"/>
      <c r="L3792" s="44"/>
      <c r="M3792" s="45" t="s">
        <v>11636</v>
      </c>
    </row>
    <row r="3793" ht="30" customHeight="1" spans="1:13">
      <c r="A3793" s="41">
        <f>IF(C3793="","",SUBTOTAL(103,$C$2:C3793))</f>
        <v>3784</v>
      </c>
      <c r="B3793" s="41">
        <v>1969</v>
      </c>
      <c r="C3793" s="41">
        <v>11156</v>
      </c>
      <c r="D3793" s="41" t="s">
        <v>19</v>
      </c>
      <c r="E3793" s="41" t="s">
        <v>20</v>
      </c>
      <c r="F3793" s="41" t="s">
        <v>10033</v>
      </c>
      <c r="G3793" s="41" t="s">
        <v>11637</v>
      </c>
      <c r="H3793" s="41" t="s">
        <v>11638</v>
      </c>
      <c r="I3793" s="43">
        <v>12</v>
      </c>
      <c r="J3793" s="44" t="str">
        <f>VLOOKUP(G3793,[1]硬件清单!$F:$F,1,0)</f>
        <v>210235A0HAH139000118</v>
      </c>
      <c r="K3793" s="43"/>
      <c r="L3793" s="44"/>
      <c r="M3793" s="45" t="s">
        <v>11639</v>
      </c>
    </row>
    <row r="3794" ht="30" customHeight="1" spans="1:13">
      <c r="A3794" s="41">
        <f>IF(C3794="","",SUBTOTAL(103,$C$2:C3794))</f>
        <v>3785</v>
      </c>
      <c r="B3794" s="41">
        <v>1970</v>
      </c>
      <c r="C3794" s="41">
        <v>11157</v>
      </c>
      <c r="D3794" s="41" t="s">
        <v>19</v>
      </c>
      <c r="E3794" s="41" t="s">
        <v>20</v>
      </c>
      <c r="F3794" s="41" t="s">
        <v>10033</v>
      </c>
      <c r="G3794" s="41" t="s">
        <v>11640</v>
      </c>
      <c r="H3794" s="41" t="s">
        <v>11641</v>
      </c>
      <c r="I3794" s="43">
        <v>12</v>
      </c>
      <c r="J3794" s="44" t="str">
        <f>VLOOKUP(G3794,[1]硬件清单!$F:$F,1,0)</f>
        <v>210235A0HAH139000176</v>
      </c>
      <c r="K3794" s="43"/>
      <c r="L3794" s="44"/>
      <c r="M3794" s="45" t="s">
        <v>11642</v>
      </c>
    </row>
    <row r="3795" ht="30" customHeight="1" spans="1:13">
      <c r="A3795" s="41">
        <f>IF(C3795="","",SUBTOTAL(103,$C$2:C3795))</f>
        <v>3786</v>
      </c>
      <c r="B3795" s="41">
        <v>2015</v>
      </c>
      <c r="C3795" s="41">
        <v>11159</v>
      </c>
      <c r="D3795" s="41" t="s">
        <v>19</v>
      </c>
      <c r="E3795" s="41" t="s">
        <v>20</v>
      </c>
      <c r="F3795" s="41" t="s">
        <v>10033</v>
      </c>
      <c r="G3795" s="41" t="s">
        <v>11643</v>
      </c>
      <c r="H3795" s="41" t="s">
        <v>11644</v>
      </c>
      <c r="I3795" s="43">
        <v>12</v>
      </c>
      <c r="J3795" s="44" t="str">
        <f>VLOOKUP(G3795,[1]硬件清单!$F:$F,1,0)</f>
        <v>210235A0HAH139000182</v>
      </c>
      <c r="K3795" s="43"/>
      <c r="L3795" s="44"/>
      <c r="M3795" s="45" t="s">
        <v>11645</v>
      </c>
    </row>
    <row r="3796" ht="30" customHeight="1" spans="1:13">
      <c r="A3796" s="41">
        <f>IF(C3796="","",SUBTOTAL(103,$C$2:C3796))</f>
        <v>3787</v>
      </c>
      <c r="B3796" s="41">
        <v>2016</v>
      </c>
      <c r="C3796" s="41">
        <v>11158</v>
      </c>
      <c r="D3796" s="41" t="s">
        <v>19</v>
      </c>
      <c r="E3796" s="41" t="s">
        <v>20</v>
      </c>
      <c r="F3796" s="41" t="s">
        <v>10033</v>
      </c>
      <c r="G3796" s="41" t="s">
        <v>11646</v>
      </c>
      <c r="H3796" s="41" t="s">
        <v>11647</v>
      </c>
      <c r="I3796" s="43">
        <v>12</v>
      </c>
      <c r="J3796" s="44" t="str">
        <f>VLOOKUP(G3796,[1]硬件清单!$F:$F,1,0)</f>
        <v>210235A0HAH139000133</v>
      </c>
      <c r="K3796" s="43"/>
      <c r="L3796" s="44"/>
      <c r="M3796" s="45" t="s">
        <v>11648</v>
      </c>
    </row>
    <row r="3797" ht="30" customHeight="1" spans="1:13">
      <c r="A3797" s="41">
        <f>IF(C3797="","",SUBTOTAL(103,$C$2:C3797))</f>
        <v>3788</v>
      </c>
      <c r="B3797" s="41">
        <v>2035</v>
      </c>
      <c r="C3797" s="41">
        <v>11161</v>
      </c>
      <c r="D3797" s="41" t="s">
        <v>19</v>
      </c>
      <c r="E3797" s="41" t="s">
        <v>20</v>
      </c>
      <c r="F3797" s="41" t="s">
        <v>10033</v>
      </c>
      <c r="G3797" s="41" t="s">
        <v>11649</v>
      </c>
      <c r="H3797" s="41" t="s">
        <v>11650</v>
      </c>
      <c r="I3797" s="43">
        <v>12</v>
      </c>
      <c r="J3797" s="44" t="str">
        <f>VLOOKUP(G3797,[1]硬件清单!$F:$F,1,0)</f>
        <v>210235A0HAH139000120</v>
      </c>
      <c r="K3797" s="43"/>
      <c r="L3797" s="44"/>
      <c r="M3797" s="45" t="s">
        <v>11651</v>
      </c>
    </row>
    <row r="3798" ht="30" customHeight="1" spans="1:13">
      <c r="A3798" s="41">
        <f>IF(C3798="","",SUBTOTAL(103,$C$2:C3798))</f>
        <v>3789</v>
      </c>
      <c r="B3798" s="41">
        <v>2036</v>
      </c>
      <c r="C3798" s="41">
        <v>11160</v>
      </c>
      <c r="D3798" s="41" t="s">
        <v>19</v>
      </c>
      <c r="E3798" s="41" t="s">
        <v>20</v>
      </c>
      <c r="F3798" s="41" t="s">
        <v>10033</v>
      </c>
      <c r="G3798" s="41" t="s">
        <v>11652</v>
      </c>
      <c r="H3798" s="41" t="s">
        <v>11653</v>
      </c>
      <c r="I3798" s="43">
        <v>12</v>
      </c>
      <c r="J3798" s="44" t="str">
        <f>VLOOKUP(G3798,[1]硬件清单!$F:$F,1,0)</f>
        <v>210235A0HAH139000253</v>
      </c>
      <c r="K3798" s="43"/>
      <c r="L3798" s="44"/>
      <c r="M3798" s="45" t="s">
        <v>11654</v>
      </c>
    </row>
    <row r="3799" ht="30" customHeight="1" spans="1:13">
      <c r="A3799" s="41">
        <f>IF(C3799="","",SUBTOTAL(103,$C$2:C3799))</f>
        <v>3790</v>
      </c>
      <c r="B3799" s="41">
        <v>2067</v>
      </c>
      <c r="C3799" s="41">
        <v>11163</v>
      </c>
      <c r="D3799" s="41" t="s">
        <v>19</v>
      </c>
      <c r="E3799" s="41" t="s">
        <v>20</v>
      </c>
      <c r="F3799" s="41" t="s">
        <v>10033</v>
      </c>
      <c r="G3799" s="41" t="s">
        <v>11655</v>
      </c>
      <c r="H3799" s="41" t="s">
        <v>11656</v>
      </c>
      <c r="I3799" s="43">
        <v>12</v>
      </c>
      <c r="J3799" s="44" t="str">
        <f>VLOOKUP(G3799,[1]硬件清单!$F:$F,1,0)</f>
        <v>210235A0HAH139000134</v>
      </c>
      <c r="K3799" s="43"/>
      <c r="L3799" s="44"/>
      <c r="M3799" s="45" t="s">
        <v>11657</v>
      </c>
    </row>
    <row r="3800" ht="30" customHeight="1" spans="1:13">
      <c r="A3800" s="41">
        <f>IF(C3800="","",SUBTOTAL(103,$C$2:C3800))</f>
        <v>3791</v>
      </c>
      <c r="B3800" s="41">
        <v>2068</v>
      </c>
      <c r="C3800" s="41">
        <v>11162</v>
      </c>
      <c r="D3800" s="41" t="s">
        <v>19</v>
      </c>
      <c r="E3800" s="41" t="s">
        <v>20</v>
      </c>
      <c r="F3800" s="41" t="s">
        <v>10033</v>
      </c>
      <c r="G3800" s="41" t="s">
        <v>11658</v>
      </c>
      <c r="H3800" s="41" t="s">
        <v>11659</v>
      </c>
      <c r="I3800" s="43">
        <v>12</v>
      </c>
      <c r="J3800" s="44" t="str">
        <f>VLOOKUP(G3800,[1]硬件清单!$F:$F,1,0)</f>
        <v>210235A0HAH139000157</v>
      </c>
      <c r="K3800" s="43"/>
      <c r="L3800" s="44"/>
      <c r="M3800" s="45" t="s">
        <v>11660</v>
      </c>
    </row>
    <row r="3801" ht="30" customHeight="1" spans="1:13">
      <c r="A3801" s="41">
        <f>IF(C3801="","",SUBTOTAL(103,$C$2:C3801))</f>
        <v>3792</v>
      </c>
      <c r="B3801" s="41">
        <v>2072</v>
      </c>
      <c r="C3801" s="41">
        <v>9974</v>
      </c>
      <c r="D3801" s="41" t="s">
        <v>45</v>
      </c>
      <c r="E3801" s="41" t="s">
        <v>1298</v>
      </c>
      <c r="F3801" s="41" t="s">
        <v>7517</v>
      </c>
      <c r="G3801" s="41" t="s">
        <v>11661</v>
      </c>
      <c r="H3801" s="41" t="s">
        <v>11662</v>
      </c>
      <c r="I3801" s="43">
        <v>12</v>
      </c>
      <c r="J3801" s="44" t="str">
        <f>VLOOKUP(G3801,[1]硬件清单!$F:$F,1,0)</f>
        <v>J5MZ032</v>
      </c>
      <c r="K3801" s="43"/>
      <c r="L3801" s="44"/>
      <c r="M3801" s="45" t="s">
        <v>11663</v>
      </c>
    </row>
    <row r="3802" ht="30" customHeight="1" spans="1:13">
      <c r="A3802" s="41">
        <f>IF(C3802="","",SUBTOTAL(103,$C$2:C3802))</f>
        <v>3793</v>
      </c>
      <c r="B3802" s="41">
        <v>2073</v>
      </c>
      <c r="C3802" s="41">
        <v>9975</v>
      </c>
      <c r="D3802" s="41" t="s">
        <v>45</v>
      </c>
      <c r="E3802" s="41" t="s">
        <v>1298</v>
      </c>
      <c r="F3802" s="41" t="s">
        <v>7517</v>
      </c>
      <c r="G3802" s="41" t="s">
        <v>11664</v>
      </c>
      <c r="H3802" s="41" t="s">
        <v>11665</v>
      </c>
      <c r="I3802" s="43">
        <v>12</v>
      </c>
      <c r="J3802" s="44" t="str">
        <f>VLOOKUP(G3802,[1]硬件清单!$F:$F,1,0)</f>
        <v>G810132</v>
      </c>
      <c r="K3802" s="43"/>
      <c r="L3802" s="44"/>
      <c r="M3802" s="45" t="s">
        <v>11666</v>
      </c>
    </row>
    <row r="3803" ht="30" customHeight="1" spans="1:13">
      <c r="A3803" s="41">
        <f>IF(C3803="","",SUBTOTAL(103,$C$2:C3803))</f>
        <v>3794</v>
      </c>
      <c r="B3803" s="41">
        <v>2074</v>
      </c>
      <c r="C3803" s="41">
        <v>9976</v>
      </c>
      <c r="D3803" s="41" t="s">
        <v>45</v>
      </c>
      <c r="E3803" s="41" t="s">
        <v>1298</v>
      </c>
      <c r="F3803" s="41" t="s">
        <v>7517</v>
      </c>
      <c r="G3803" s="41" t="s">
        <v>11667</v>
      </c>
      <c r="H3803" s="41" t="s">
        <v>11668</v>
      </c>
      <c r="I3803" s="43">
        <v>12</v>
      </c>
      <c r="J3803" s="44" t="str">
        <f>VLOOKUP(G3803,[1]硬件清单!$F:$F,1,0)</f>
        <v>H210132</v>
      </c>
      <c r="K3803" s="43"/>
      <c r="L3803" s="44"/>
      <c r="M3803" s="45" t="s">
        <v>11669</v>
      </c>
    </row>
    <row r="3804" ht="30" customHeight="1" spans="1:13">
      <c r="A3804" s="41">
        <f>IF(C3804="","",SUBTOTAL(103,$C$2:C3804))</f>
        <v>3795</v>
      </c>
      <c r="B3804" s="41">
        <v>2082</v>
      </c>
      <c r="C3804" s="41">
        <v>10036</v>
      </c>
      <c r="D3804" s="41" t="s">
        <v>45</v>
      </c>
      <c r="E3804" s="41" t="s">
        <v>1298</v>
      </c>
      <c r="F3804" s="41" t="s">
        <v>11114</v>
      </c>
      <c r="G3804" s="41" t="s">
        <v>11670</v>
      </c>
      <c r="H3804" s="41" t="s">
        <v>11671</v>
      </c>
      <c r="I3804" s="43">
        <v>12</v>
      </c>
      <c r="J3804" s="44" t="str">
        <f>VLOOKUP(G3804,[1]硬件清单!$F:$F,1,0)</f>
        <v>6CU4421WBP</v>
      </c>
      <c r="K3804" s="43"/>
      <c r="L3804" s="44"/>
      <c r="M3804" s="45" t="s">
        <v>11672</v>
      </c>
    </row>
    <row r="3805" ht="30" customHeight="1" spans="1:13">
      <c r="A3805" s="41">
        <f>IF(C3805="","",SUBTOTAL(103,$C$2:C3805))</f>
        <v>3796</v>
      </c>
      <c r="B3805" s="41">
        <v>2083</v>
      </c>
      <c r="C3805" s="41">
        <v>11150</v>
      </c>
      <c r="D3805" s="41" t="s">
        <v>19</v>
      </c>
      <c r="E3805" s="41" t="s">
        <v>20</v>
      </c>
      <c r="F3805" s="41" t="s">
        <v>10033</v>
      </c>
      <c r="G3805" s="41" t="s">
        <v>11673</v>
      </c>
      <c r="H3805" s="41" t="s">
        <v>11674</v>
      </c>
      <c r="I3805" s="43">
        <v>12</v>
      </c>
      <c r="J3805" s="44" t="str">
        <f>VLOOKUP(G3805,[1]硬件清单!$F:$F,1,0)</f>
        <v>210235A0HAH139000223</v>
      </c>
      <c r="K3805" s="43"/>
      <c r="L3805" s="44"/>
      <c r="M3805" s="45" t="s">
        <v>11675</v>
      </c>
    </row>
    <row r="3806" ht="30" customHeight="1" spans="1:13">
      <c r="A3806" s="41">
        <f>IF(C3806="","",SUBTOTAL(103,$C$2:C3806))</f>
        <v>3797</v>
      </c>
      <c r="B3806" s="41">
        <v>2084</v>
      </c>
      <c r="C3806" s="41">
        <v>4485</v>
      </c>
      <c r="D3806" s="41" t="s">
        <v>45</v>
      </c>
      <c r="E3806" s="41" t="s">
        <v>1298</v>
      </c>
      <c r="F3806" s="41" t="s">
        <v>11676</v>
      </c>
      <c r="G3806" s="41" t="s">
        <v>11677</v>
      </c>
      <c r="H3806" s="41" t="s">
        <v>11678</v>
      </c>
      <c r="I3806" s="43">
        <v>12</v>
      </c>
      <c r="J3806" s="44" t="str">
        <f>VLOOKUP(G3806,[1]硬件清单!$F:$F,1,0)</f>
        <v>J33GL84</v>
      </c>
      <c r="K3806" s="43"/>
      <c r="L3806" s="44"/>
      <c r="M3806" s="45" t="s">
        <v>11679</v>
      </c>
    </row>
    <row r="3807" ht="30" customHeight="1" spans="1:13">
      <c r="A3807" s="41">
        <f>IF(C3807="","",SUBTOTAL(103,$C$2:C3807))</f>
        <v>3798</v>
      </c>
      <c r="B3807" s="41">
        <v>2085</v>
      </c>
      <c r="C3807" s="41">
        <v>4484</v>
      </c>
      <c r="D3807" s="41" t="s">
        <v>45</v>
      </c>
      <c r="E3807" s="41" t="s">
        <v>1298</v>
      </c>
      <c r="F3807" s="41" t="s">
        <v>11676</v>
      </c>
      <c r="G3807" s="41" t="s">
        <v>11680</v>
      </c>
      <c r="H3807" s="41" t="s">
        <v>11681</v>
      </c>
      <c r="I3807" s="43">
        <v>12</v>
      </c>
      <c r="J3807" s="44" t="str">
        <f>VLOOKUP(G3807,[1]硬件清单!$F:$F,1,0)</f>
        <v>J33GL86</v>
      </c>
      <c r="K3807" s="43"/>
      <c r="L3807" s="44"/>
      <c r="M3807" s="45" t="s">
        <v>11682</v>
      </c>
    </row>
    <row r="3808" ht="30" customHeight="1" spans="1:13">
      <c r="A3808" s="41">
        <f>IF(C3808="","",SUBTOTAL(103,$C$2:C3808))</f>
        <v>3799</v>
      </c>
      <c r="B3808" s="41">
        <v>2086</v>
      </c>
      <c r="C3808" s="41">
        <v>4483</v>
      </c>
      <c r="D3808" s="41" t="s">
        <v>45</v>
      </c>
      <c r="E3808" s="41" t="s">
        <v>1298</v>
      </c>
      <c r="F3808" s="41" t="s">
        <v>11676</v>
      </c>
      <c r="G3808" s="41" t="s">
        <v>11683</v>
      </c>
      <c r="H3808" s="41" t="s">
        <v>11684</v>
      </c>
      <c r="I3808" s="43">
        <v>12</v>
      </c>
      <c r="J3808" s="44" t="str">
        <f>VLOOKUP(G3808,[1]硬件清单!$F:$F,1,0)</f>
        <v>J33GL85</v>
      </c>
      <c r="K3808" s="43"/>
      <c r="L3808" s="44"/>
      <c r="M3808" s="45" t="s">
        <v>11685</v>
      </c>
    </row>
    <row r="3809" ht="30" customHeight="1" spans="1:13">
      <c r="A3809" s="41">
        <f>IF(C3809="","",SUBTOTAL(103,$C$2:C3809))</f>
        <v>3800</v>
      </c>
      <c r="B3809" s="41">
        <v>2087</v>
      </c>
      <c r="C3809" s="41">
        <v>13142</v>
      </c>
      <c r="D3809" s="41" t="s">
        <v>19</v>
      </c>
      <c r="E3809" s="41" t="s">
        <v>20</v>
      </c>
      <c r="F3809" s="41" t="s">
        <v>3778</v>
      </c>
      <c r="G3809" s="41" t="s">
        <v>11686</v>
      </c>
      <c r="H3809" s="41" t="s">
        <v>11687</v>
      </c>
      <c r="I3809" s="43">
        <v>12</v>
      </c>
      <c r="J3809" s="44" t="str">
        <f>VLOOKUP(G3809,[1]硬件清单!$F:$F,1,0)</f>
        <v>2102350DLVDMK8001540</v>
      </c>
      <c r="K3809" s="43"/>
      <c r="L3809" s="44"/>
      <c r="M3809" s="45" t="s">
        <v>11688</v>
      </c>
    </row>
    <row r="3810" ht="30" customHeight="1" spans="1:13">
      <c r="A3810" s="41">
        <f>IF(C3810="","",SUBTOTAL(103,$C$2:C3810))</f>
        <v>3801</v>
      </c>
      <c r="B3810" s="41">
        <v>2088</v>
      </c>
      <c r="C3810" s="41">
        <v>11148</v>
      </c>
      <c r="D3810" s="41" t="s">
        <v>19</v>
      </c>
      <c r="E3810" s="41" t="s">
        <v>20</v>
      </c>
      <c r="F3810" s="41" t="s">
        <v>10033</v>
      </c>
      <c r="G3810" s="41" t="s">
        <v>11689</v>
      </c>
      <c r="H3810" s="41" t="s">
        <v>11690</v>
      </c>
      <c r="I3810" s="43">
        <v>12</v>
      </c>
      <c r="J3810" s="44" t="str">
        <f>VLOOKUP(G3810,[1]硬件清单!$F:$F,1,0)</f>
        <v>210235AOHAH14A000233</v>
      </c>
      <c r="K3810" s="43"/>
      <c r="L3810" s="44"/>
      <c r="M3810" s="45" t="s">
        <v>11691</v>
      </c>
    </row>
    <row r="3811" ht="30" customHeight="1" spans="1:13">
      <c r="A3811" s="41">
        <f>IF(C3811="","",SUBTOTAL(103,$C$2:C3811))</f>
        <v>3802</v>
      </c>
      <c r="B3811" s="41">
        <v>2089</v>
      </c>
      <c r="C3811" s="41">
        <v>11149</v>
      </c>
      <c r="D3811" s="41" t="s">
        <v>19</v>
      </c>
      <c r="E3811" s="41" t="s">
        <v>20</v>
      </c>
      <c r="F3811" s="41" t="s">
        <v>10033</v>
      </c>
      <c r="G3811" s="41" t="s">
        <v>11692</v>
      </c>
      <c r="H3811" s="41" t="s">
        <v>11693</v>
      </c>
      <c r="I3811" s="43">
        <v>12</v>
      </c>
      <c r="J3811" s="44" t="str">
        <f>VLOOKUP(G3811,[1]硬件清单!$F:$F,1,0)</f>
        <v>210235AOHAH14A000201</v>
      </c>
      <c r="K3811" s="43"/>
      <c r="L3811" s="44"/>
      <c r="M3811" s="45" t="s">
        <v>11694</v>
      </c>
    </row>
    <row r="3812" ht="30" customHeight="1" spans="1:13">
      <c r="A3812" s="41">
        <f>IF(C3812="","",SUBTOTAL(103,$C$2:C3812))</f>
        <v>3803</v>
      </c>
      <c r="B3812" s="41">
        <v>2090</v>
      </c>
      <c r="C3812" s="41">
        <v>11151</v>
      </c>
      <c r="D3812" s="41" t="s">
        <v>19</v>
      </c>
      <c r="E3812" s="41" t="s">
        <v>20</v>
      </c>
      <c r="F3812" s="41" t="s">
        <v>10033</v>
      </c>
      <c r="G3812" s="41" t="s">
        <v>11695</v>
      </c>
      <c r="H3812" s="41" t="s">
        <v>11696</v>
      </c>
      <c r="I3812" s="43">
        <v>12</v>
      </c>
      <c r="J3812" s="44" t="str">
        <f>VLOOKUP(G3812,[1]硬件清单!$F:$F,1,0)</f>
        <v>210235A0HAH139000187</v>
      </c>
      <c r="K3812" s="43"/>
      <c r="L3812" s="44"/>
      <c r="M3812" s="47" t="s">
        <v>11697</v>
      </c>
    </row>
    <row r="3813" ht="30" customHeight="1" spans="1:13">
      <c r="A3813" s="41">
        <f>IF(C3813="","",SUBTOTAL(103,$C$2:C3813))</f>
        <v>3804</v>
      </c>
      <c r="B3813" s="41">
        <v>2091</v>
      </c>
      <c r="C3813" s="41">
        <v>11111</v>
      </c>
      <c r="D3813" s="41" t="s">
        <v>19</v>
      </c>
      <c r="E3813" s="41" t="s">
        <v>20</v>
      </c>
      <c r="F3813" s="41" t="s">
        <v>10033</v>
      </c>
      <c r="G3813" s="41" t="s">
        <v>11692</v>
      </c>
      <c r="H3813" s="41" t="s">
        <v>11698</v>
      </c>
      <c r="I3813" s="43">
        <v>12</v>
      </c>
      <c r="J3813" s="44" t="str">
        <f>VLOOKUP(G3813,[1]硬件清单!$F:$F,1,0)</f>
        <v>210235AOHAH14A000201</v>
      </c>
      <c r="K3813" s="43"/>
      <c r="L3813" s="44"/>
      <c r="M3813" s="45" t="s">
        <v>11694</v>
      </c>
    </row>
    <row r="3814" ht="30" customHeight="1" spans="1:13">
      <c r="A3814" s="41">
        <f>IF(C3814="","",SUBTOTAL(103,$C$2:C3814))</f>
        <v>3805</v>
      </c>
      <c r="B3814" s="41">
        <v>2092</v>
      </c>
      <c r="C3814" s="41">
        <v>11130</v>
      </c>
      <c r="D3814" s="41" t="s">
        <v>19</v>
      </c>
      <c r="E3814" s="41" t="s">
        <v>20</v>
      </c>
      <c r="F3814" s="41" t="s">
        <v>10023</v>
      </c>
      <c r="G3814" s="41" t="s">
        <v>11699</v>
      </c>
      <c r="H3814" s="41" t="s">
        <v>11700</v>
      </c>
      <c r="I3814" s="43">
        <v>12</v>
      </c>
      <c r="J3814" s="44" t="str">
        <f>VLOOKUP(G3814,[1]硬件清单!$F:$F,1,0)</f>
        <v>210235A1DWH149000081</v>
      </c>
      <c r="K3814" s="43"/>
      <c r="L3814" s="44"/>
      <c r="M3814" s="45" t="s">
        <v>11701</v>
      </c>
    </row>
    <row r="3815" ht="30" customHeight="1" spans="1:13">
      <c r="A3815" s="41">
        <f>IF(C3815="","",SUBTOTAL(103,$C$2:C3815))</f>
        <v>3806</v>
      </c>
      <c r="B3815" s="41">
        <v>2093</v>
      </c>
      <c r="C3815" s="41">
        <v>11131</v>
      </c>
      <c r="D3815" s="41" t="s">
        <v>19</v>
      </c>
      <c r="E3815" s="41" t="s">
        <v>20</v>
      </c>
      <c r="F3815" s="41" t="s">
        <v>10023</v>
      </c>
      <c r="G3815" s="41" t="s">
        <v>11702</v>
      </c>
      <c r="H3815" s="41" t="s">
        <v>11703</v>
      </c>
      <c r="I3815" s="43">
        <v>12</v>
      </c>
      <c r="J3815" s="44" t="str">
        <f>VLOOKUP(G3815,[1]硬件清单!$F:$F,1,0)</f>
        <v>210235A1DWH149000092</v>
      </c>
      <c r="K3815" s="43"/>
      <c r="L3815" s="44"/>
      <c r="M3815" s="45" t="s">
        <v>11704</v>
      </c>
    </row>
    <row r="3816" ht="30" customHeight="1" spans="1:13">
      <c r="A3816" s="41">
        <f>IF(C3816="","",SUBTOTAL(103,$C$2:C3816))</f>
        <v>3807</v>
      </c>
      <c r="B3816" s="41">
        <v>2094</v>
      </c>
      <c r="C3816" s="41">
        <v>11132</v>
      </c>
      <c r="D3816" s="41" t="s">
        <v>19</v>
      </c>
      <c r="E3816" s="41" t="s">
        <v>20</v>
      </c>
      <c r="F3816" s="41" t="s">
        <v>10023</v>
      </c>
      <c r="G3816" s="41" t="s">
        <v>11705</v>
      </c>
      <c r="H3816" s="41" t="s">
        <v>11706</v>
      </c>
      <c r="I3816" s="43">
        <v>12</v>
      </c>
      <c r="J3816" s="44" t="str">
        <f>VLOOKUP(G3816,[1]硬件清单!$F:$F,1,0)</f>
        <v>210235A1DWH149000100</v>
      </c>
      <c r="K3816" s="43"/>
      <c r="L3816" s="44"/>
      <c r="M3816" s="45" t="s">
        <v>11707</v>
      </c>
    </row>
    <row r="3817" ht="30" customHeight="1" spans="1:13">
      <c r="A3817" s="41">
        <f>IF(C3817="","",SUBTOTAL(103,$C$2:C3817))</f>
        <v>3808</v>
      </c>
      <c r="B3817" s="41">
        <v>2095</v>
      </c>
      <c r="C3817" s="41">
        <v>11133</v>
      </c>
      <c r="D3817" s="41" t="s">
        <v>19</v>
      </c>
      <c r="E3817" s="41" t="s">
        <v>20</v>
      </c>
      <c r="F3817" s="41" t="s">
        <v>10023</v>
      </c>
      <c r="G3817" s="41" t="s">
        <v>11708</v>
      </c>
      <c r="H3817" s="41" t="s">
        <v>11709</v>
      </c>
      <c r="I3817" s="43">
        <v>12</v>
      </c>
      <c r="J3817" s="44" t="str">
        <f>VLOOKUP(G3817,[1]硬件清单!$F:$F,1,0)</f>
        <v>210235A1DWH149000089</v>
      </c>
      <c r="K3817" s="43"/>
      <c r="L3817" s="44"/>
      <c r="M3817" s="45" t="s">
        <v>11710</v>
      </c>
    </row>
    <row r="3818" ht="30" customHeight="1" spans="1:13">
      <c r="A3818" s="41">
        <f>IF(C3818="","",SUBTOTAL(103,$C$2:C3818))</f>
        <v>3809</v>
      </c>
      <c r="B3818" s="41">
        <v>2096</v>
      </c>
      <c r="C3818" s="41">
        <v>10007</v>
      </c>
      <c r="D3818" s="41" t="s">
        <v>45</v>
      </c>
      <c r="E3818" s="41" t="s">
        <v>1298</v>
      </c>
      <c r="F3818" s="41" t="s">
        <v>11380</v>
      </c>
      <c r="G3818" s="41" t="s">
        <v>11711</v>
      </c>
      <c r="H3818" s="41" t="s">
        <v>11712</v>
      </c>
      <c r="I3818" s="43">
        <v>12</v>
      </c>
      <c r="J3818" s="44" t="str">
        <f>VLOOKUP(G3818,[1]硬件清单!$F:$F,1,0)</f>
        <v>06CT308</v>
      </c>
      <c r="K3818" s="43"/>
      <c r="L3818" s="44"/>
      <c r="M3818" s="45" t="s">
        <v>11713</v>
      </c>
    </row>
    <row r="3819" ht="30" customHeight="1" spans="1:13">
      <c r="A3819" s="41">
        <f>IF(C3819="","",SUBTOTAL(103,$C$2:C3819))</f>
        <v>3810</v>
      </c>
      <c r="B3819" s="41">
        <v>2097</v>
      </c>
      <c r="C3819" s="41">
        <v>10008</v>
      </c>
      <c r="D3819" s="41" t="s">
        <v>45</v>
      </c>
      <c r="E3819" s="41" t="s">
        <v>1298</v>
      </c>
      <c r="F3819" s="41" t="s">
        <v>11380</v>
      </c>
      <c r="G3819" s="41" t="s">
        <v>11714</v>
      </c>
      <c r="H3819" s="41" t="s">
        <v>11715</v>
      </c>
      <c r="I3819" s="43">
        <v>12</v>
      </c>
      <c r="J3819" s="44" t="str">
        <f>VLOOKUP(G3819,[1]硬件清单!$F:$F,1,0)</f>
        <v>06CP864</v>
      </c>
      <c r="K3819" s="43"/>
      <c r="L3819" s="44"/>
      <c r="M3819" s="45" t="s">
        <v>11716</v>
      </c>
    </row>
    <row r="3820" ht="30" customHeight="1" spans="1:13">
      <c r="A3820" s="41">
        <f>IF(C3820="","",SUBTOTAL(103,$C$2:C3820))</f>
        <v>3811</v>
      </c>
      <c r="B3820" s="41">
        <v>2098</v>
      </c>
      <c r="C3820" s="41">
        <v>10009</v>
      </c>
      <c r="D3820" s="41" t="s">
        <v>45</v>
      </c>
      <c r="E3820" s="41" t="s">
        <v>1298</v>
      </c>
      <c r="F3820" s="41" t="s">
        <v>11380</v>
      </c>
      <c r="G3820" s="41" t="s">
        <v>11717</v>
      </c>
      <c r="H3820" s="41" t="s">
        <v>11718</v>
      </c>
      <c r="I3820" s="43">
        <v>12</v>
      </c>
      <c r="J3820" s="44" t="str">
        <f>VLOOKUP(G3820,[1]硬件清单!$F:$F,1,0)</f>
        <v>06CT339</v>
      </c>
      <c r="K3820" s="43"/>
      <c r="L3820" s="44"/>
      <c r="M3820" s="45" t="s">
        <v>11719</v>
      </c>
    </row>
    <row r="3821" ht="30" customHeight="1" spans="1:13">
      <c r="A3821" s="41">
        <f>IF(C3821="","",SUBTOTAL(103,$C$2:C3821))</f>
        <v>3812</v>
      </c>
      <c r="B3821" s="41">
        <v>2099</v>
      </c>
      <c r="C3821" s="41">
        <v>10010</v>
      </c>
      <c r="D3821" s="41" t="s">
        <v>45</v>
      </c>
      <c r="E3821" s="41" t="s">
        <v>1298</v>
      </c>
      <c r="F3821" s="41" t="s">
        <v>11380</v>
      </c>
      <c r="G3821" s="41" t="s">
        <v>11720</v>
      </c>
      <c r="H3821" s="41" t="s">
        <v>11721</v>
      </c>
      <c r="I3821" s="43">
        <v>12</v>
      </c>
      <c r="J3821" s="44" t="str">
        <f>VLOOKUP(G3821,[1]硬件清单!$F:$F,1,0)</f>
        <v>06CP866</v>
      </c>
      <c r="K3821" s="43"/>
      <c r="L3821" s="44"/>
      <c r="M3821" s="45" t="s">
        <v>11722</v>
      </c>
    </row>
    <row r="3822" ht="30" customHeight="1" spans="1:13">
      <c r="A3822" s="41">
        <f>IF(C3822="","",SUBTOTAL(103,$C$2:C3822))</f>
        <v>3813</v>
      </c>
      <c r="B3822" s="41">
        <v>2100</v>
      </c>
      <c r="C3822" s="41">
        <v>10005</v>
      </c>
      <c r="D3822" s="41" t="s">
        <v>45</v>
      </c>
      <c r="E3822" s="41" t="s">
        <v>1298</v>
      </c>
      <c r="F3822" s="41" t="s">
        <v>11380</v>
      </c>
      <c r="G3822" s="41" t="s">
        <v>11723</v>
      </c>
      <c r="H3822" s="41" t="s">
        <v>11724</v>
      </c>
      <c r="I3822" s="43">
        <v>12</v>
      </c>
      <c r="J3822" s="44" t="str">
        <f>VLOOKUP(G3822,[1]硬件清单!$F:$F,1,0)</f>
        <v>06CP859</v>
      </c>
      <c r="K3822" s="43"/>
      <c r="L3822" s="44"/>
      <c r="M3822" s="45" t="s">
        <v>11725</v>
      </c>
    </row>
    <row r="3823" ht="30" customHeight="1" spans="1:13">
      <c r="A3823" s="41">
        <f>IF(C3823="","",SUBTOTAL(103,$C$2:C3823))</f>
        <v>3814</v>
      </c>
      <c r="B3823" s="41">
        <v>2101</v>
      </c>
      <c r="C3823" s="41">
        <v>10006</v>
      </c>
      <c r="D3823" s="41" t="s">
        <v>45</v>
      </c>
      <c r="E3823" s="41" t="s">
        <v>1298</v>
      </c>
      <c r="F3823" s="41" t="s">
        <v>11380</v>
      </c>
      <c r="G3823" s="41" t="s">
        <v>11726</v>
      </c>
      <c r="H3823" s="41" t="s">
        <v>11727</v>
      </c>
      <c r="I3823" s="43">
        <v>12</v>
      </c>
      <c r="J3823" s="44" t="str">
        <f>VLOOKUP(G3823,[1]硬件清单!$F:$F,1,0)</f>
        <v>06CT295</v>
      </c>
      <c r="K3823" s="43"/>
      <c r="L3823" s="44"/>
      <c r="M3823" s="45" t="s">
        <v>11728</v>
      </c>
    </row>
    <row r="3824" ht="30" customHeight="1" spans="1:13">
      <c r="A3824" s="41">
        <f>IF(C3824="","",SUBTOTAL(103,$C$2:C3824))</f>
        <v>3815</v>
      </c>
      <c r="B3824" s="41">
        <v>2102</v>
      </c>
      <c r="C3824" s="41">
        <v>10013</v>
      </c>
      <c r="D3824" s="41" t="s">
        <v>45</v>
      </c>
      <c r="E3824" s="41" t="s">
        <v>1298</v>
      </c>
      <c r="F3824" s="41" t="s">
        <v>11380</v>
      </c>
      <c r="G3824" s="41" t="s">
        <v>11729</v>
      </c>
      <c r="H3824" s="41" t="s">
        <v>11730</v>
      </c>
      <c r="I3824" s="43">
        <v>12</v>
      </c>
      <c r="J3824" s="44" t="str">
        <f>VLOOKUP(G3824,[1]硬件清单!$F:$F,1,0)</f>
        <v>06CP868</v>
      </c>
      <c r="K3824" s="43"/>
      <c r="L3824" s="44"/>
      <c r="M3824" s="45" t="s">
        <v>11731</v>
      </c>
    </row>
    <row r="3825" ht="30" customHeight="1" spans="1:13">
      <c r="A3825" s="41">
        <f>IF(C3825="","",SUBTOTAL(103,$C$2:C3825))</f>
        <v>3816</v>
      </c>
      <c r="B3825" s="41">
        <v>2103</v>
      </c>
      <c r="C3825" s="41">
        <v>10014</v>
      </c>
      <c r="D3825" s="41" t="s">
        <v>45</v>
      </c>
      <c r="E3825" s="41" t="s">
        <v>1298</v>
      </c>
      <c r="F3825" s="41" t="s">
        <v>11380</v>
      </c>
      <c r="G3825" s="41" t="s">
        <v>11732</v>
      </c>
      <c r="H3825" s="41" t="s">
        <v>11733</v>
      </c>
      <c r="I3825" s="43">
        <v>12</v>
      </c>
      <c r="J3825" s="44" t="str">
        <f>VLOOKUP(G3825,[1]硬件清单!$F:$F,1,0)</f>
        <v>06CT327</v>
      </c>
      <c r="K3825" s="43"/>
      <c r="L3825" s="44"/>
      <c r="M3825" s="45" t="s">
        <v>11734</v>
      </c>
    </row>
    <row r="3826" ht="30" customHeight="1" spans="1:13">
      <c r="A3826" s="41">
        <f>IF(C3826="","",SUBTOTAL(103,$C$2:C3826))</f>
        <v>3817</v>
      </c>
      <c r="B3826" s="41">
        <v>2104</v>
      </c>
      <c r="C3826" s="41">
        <v>10015</v>
      </c>
      <c r="D3826" s="41" t="s">
        <v>45</v>
      </c>
      <c r="E3826" s="41" t="s">
        <v>1298</v>
      </c>
      <c r="F3826" s="41" t="s">
        <v>11380</v>
      </c>
      <c r="G3826" s="41" t="s">
        <v>11735</v>
      </c>
      <c r="H3826" s="41" t="s">
        <v>11736</v>
      </c>
      <c r="I3826" s="43">
        <v>12</v>
      </c>
      <c r="J3826" s="44" t="str">
        <f>VLOOKUP(G3826,[1]硬件清单!$F:$F,1,0)</f>
        <v>06CT331</v>
      </c>
      <c r="K3826" s="43"/>
      <c r="L3826" s="44"/>
      <c r="M3826" s="45" t="s">
        <v>11737</v>
      </c>
    </row>
    <row r="3827" ht="30" customHeight="1" spans="1:13">
      <c r="A3827" s="41">
        <f>IF(C3827="","",SUBTOTAL(103,$C$2:C3827))</f>
        <v>3818</v>
      </c>
      <c r="B3827" s="41">
        <v>2105</v>
      </c>
      <c r="C3827" s="41">
        <v>10016</v>
      </c>
      <c r="D3827" s="41" t="s">
        <v>45</v>
      </c>
      <c r="E3827" s="41" t="s">
        <v>1298</v>
      </c>
      <c r="F3827" s="41" t="s">
        <v>11380</v>
      </c>
      <c r="G3827" s="41" t="s">
        <v>11738</v>
      </c>
      <c r="H3827" s="41" t="s">
        <v>11739</v>
      </c>
      <c r="I3827" s="43">
        <v>12</v>
      </c>
      <c r="J3827" s="44" t="str">
        <f>VLOOKUP(G3827,[1]硬件清单!$F:$F,1,0)</f>
        <v>06CP865</v>
      </c>
      <c r="K3827" s="43"/>
      <c r="L3827" s="44"/>
      <c r="M3827" s="45" t="s">
        <v>11740</v>
      </c>
    </row>
    <row r="3828" ht="30" customHeight="1" spans="1:13">
      <c r="A3828" s="41">
        <f>IF(C3828="","",SUBTOTAL(103,$C$2:C3828))</f>
        <v>3819</v>
      </c>
      <c r="B3828" s="41">
        <v>2106</v>
      </c>
      <c r="C3828" s="41">
        <v>11017</v>
      </c>
      <c r="D3828" s="41" t="s">
        <v>45</v>
      </c>
      <c r="E3828" s="41" t="s">
        <v>1298</v>
      </c>
      <c r="F3828" s="41" t="s">
        <v>6965</v>
      </c>
      <c r="G3828" s="41" t="s">
        <v>11741</v>
      </c>
      <c r="H3828" s="41" t="s">
        <v>11742</v>
      </c>
      <c r="I3828" s="43">
        <v>12</v>
      </c>
      <c r="J3828" s="44" t="str">
        <f>VLOOKUP(G3828,[1]硬件清单!$F:$F,1,0)</f>
        <v>06CT346</v>
      </c>
      <c r="K3828" s="43"/>
      <c r="L3828" s="44"/>
      <c r="M3828" s="45" t="s">
        <v>11743</v>
      </c>
    </row>
    <row r="3829" ht="30" customHeight="1" spans="1:13">
      <c r="A3829" s="41">
        <f>IF(C3829="","",SUBTOTAL(103,$C$2:C3829))</f>
        <v>3820</v>
      </c>
      <c r="B3829" s="41">
        <v>2107</v>
      </c>
      <c r="C3829" s="41">
        <v>10011</v>
      </c>
      <c r="D3829" s="41" t="s">
        <v>45</v>
      </c>
      <c r="E3829" s="41" t="s">
        <v>1298</v>
      </c>
      <c r="F3829" s="41" t="s">
        <v>11380</v>
      </c>
      <c r="G3829" s="41" t="s">
        <v>11744</v>
      </c>
      <c r="H3829" s="41" t="s">
        <v>11745</v>
      </c>
      <c r="I3829" s="43">
        <v>12</v>
      </c>
      <c r="J3829" s="44" t="str">
        <f>VLOOKUP(G3829,[1]硬件清单!$F:$F,1,0)</f>
        <v>06CT316</v>
      </c>
      <c r="K3829" s="43"/>
      <c r="L3829" s="44"/>
      <c r="M3829" s="45" t="s">
        <v>11746</v>
      </c>
    </row>
    <row r="3830" ht="30" customHeight="1" spans="1:13">
      <c r="A3830" s="41">
        <f>IF(C3830="","",SUBTOTAL(103,$C$2:C3830))</f>
        <v>3821</v>
      </c>
      <c r="B3830" s="41">
        <v>2108</v>
      </c>
      <c r="C3830" s="41">
        <v>10012</v>
      </c>
      <c r="D3830" s="41" t="s">
        <v>45</v>
      </c>
      <c r="E3830" s="41" t="s">
        <v>1298</v>
      </c>
      <c r="F3830" s="41" t="s">
        <v>11380</v>
      </c>
      <c r="G3830" s="41" t="s">
        <v>11747</v>
      </c>
      <c r="H3830" s="41" t="s">
        <v>11748</v>
      </c>
      <c r="I3830" s="43">
        <v>12</v>
      </c>
      <c r="J3830" s="44" t="str">
        <f>VLOOKUP(G3830,[1]硬件清单!$F:$F,1,0)</f>
        <v>06CT328</v>
      </c>
      <c r="K3830" s="43"/>
      <c r="L3830" s="44"/>
      <c r="M3830" s="45" t="s">
        <v>11749</v>
      </c>
    </row>
    <row r="3831" ht="30" customHeight="1" spans="1:13">
      <c r="A3831" s="41">
        <f>IF(C3831="","",SUBTOTAL(103,$C$2:C3831))</f>
        <v>3822</v>
      </c>
      <c r="B3831" s="41">
        <v>2109</v>
      </c>
      <c r="C3831" s="41">
        <v>11016</v>
      </c>
      <c r="D3831" s="41" t="s">
        <v>45</v>
      </c>
      <c r="E3831" s="41" t="s">
        <v>1298</v>
      </c>
      <c r="F3831" s="41" t="s">
        <v>6965</v>
      </c>
      <c r="G3831" s="41" t="s">
        <v>11750</v>
      </c>
      <c r="H3831" s="41" t="s">
        <v>11751</v>
      </c>
      <c r="I3831" s="43">
        <v>12</v>
      </c>
      <c r="J3831" s="44" t="str">
        <f>VLOOKUP(G3831,[1]硬件清单!$F:$F,1,0)</f>
        <v>06CT329</v>
      </c>
      <c r="K3831" s="43"/>
      <c r="L3831" s="44"/>
      <c r="M3831" s="45" t="s">
        <v>11752</v>
      </c>
    </row>
    <row r="3832" ht="30" customHeight="1" spans="1:13">
      <c r="A3832" s="41">
        <f>IF(C3832="","",SUBTOTAL(103,$C$2:C3832))</f>
        <v>3823</v>
      </c>
      <c r="B3832" s="41">
        <v>2110</v>
      </c>
      <c r="C3832" s="41">
        <v>11015</v>
      </c>
      <c r="D3832" s="41" t="s">
        <v>45</v>
      </c>
      <c r="E3832" s="41" t="s">
        <v>1298</v>
      </c>
      <c r="F3832" s="41" t="s">
        <v>6965</v>
      </c>
      <c r="G3832" s="41" t="s">
        <v>11753</v>
      </c>
      <c r="H3832" s="41" t="s">
        <v>11754</v>
      </c>
      <c r="I3832" s="43">
        <v>12</v>
      </c>
      <c r="J3832" s="44" t="str">
        <f>VLOOKUP(G3832,[1]硬件清单!$F:$F,1,0)</f>
        <v>06CT313</v>
      </c>
      <c r="K3832" s="43"/>
      <c r="L3832" s="44"/>
      <c r="M3832" s="45" t="s">
        <v>11755</v>
      </c>
    </row>
    <row r="3833" ht="30" customHeight="1" spans="1:13">
      <c r="A3833" s="41">
        <f>IF(C3833="","",SUBTOTAL(103,$C$2:C3833))</f>
        <v>3824</v>
      </c>
      <c r="B3833" s="41">
        <v>2111</v>
      </c>
      <c r="C3833" s="41">
        <v>10017</v>
      </c>
      <c r="D3833" s="41" t="s">
        <v>45</v>
      </c>
      <c r="E3833" s="41" t="s">
        <v>1298</v>
      </c>
      <c r="F3833" s="41" t="s">
        <v>11380</v>
      </c>
      <c r="G3833" s="41" t="s">
        <v>11756</v>
      </c>
      <c r="H3833" s="41" t="s">
        <v>11757</v>
      </c>
      <c r="I3833" s="43">
        <v>12</v>
      </c>
      <c r="J3833" s="44" t="str">
        <f>VLOOKUP(G3833,[1]硬件清单!$F:$F,1,0)</f>
        <v>06CP872</v>
      </c>
      <c r="K3833" s="43"/>
      <c r="L3833" s="44"/>
      <c r="M3833" s="45" t="s">
        <v>11758</v>
      </c>
    </row>
    <row r="3834" ht="30" customHeight="1" spans="1:13">
      <c r="A3834" s="41">
        <f>IF(C3834="","",SUBTOTAL(103,$C$2:C3834))</f>
        <v>3825</v>
      </c>
      <c r="B3834" s="41">
        <v>2112</v>
      </c>
      <c r="C3834" s="41">
        <v>11018</v>
      </c>
      <c r="D3834" s="41" t="s">
        <v>45</v>
      </c>
      <c r="E3834" s="41" t="s">
        <v>1298</v>
      </c>
      <c r="F3834" s="41" t="s">
        <v>6965</v>
      </c>
      <c r="G3834" s="41" t="s">
        <v>11759</v>
      </c>
      <c r="H3834" s="41" t="s">
        <v>11760</v>
      </c>
      <c r="I3834" s="43">
        <v>12</v>
      </c>
      <c r="J3834" s="44" t="str">
        <f>VLOOKUP(G3834,[1]硬件清单!$F:$F,1,0)</f>
        <v>06CT432</v>
      </c>
      <c r="K3834" s="43"/>
      <c r="L3834" s="44"/>
      <c r="M3834" s="45" t="s">
        <v>11761</v>
      </c>
    </row>
    <row r="3835" ht="30" customHeight="1" spans="1:13">
      <c r="A3835" s="41">
        <f>IF(C3835="","",SUBTOTAL(103,$C$2:C3835))</f>
        <v>3826</v>
      </c>
      <c r="B3835" s="41">
        <v>2113</v>
      </c>
      <c r="C3835" s="41">
        <v>10018</v>
      </c>
      <c r="D3835" s="41" t="s">
        <v>45</v>
      </c>
      <c r="E3835" s="41" t="s">
        <v>1298</v>
      </c>
      <c r="F3835" s="41" t="s">
        <v>11380</v>
      </c>
      <c r="G3835" s="41" t="s">
        <v>11762</v>
      </c>
      <c r="H3835" s="41" t="s">
        <v>11763</v>
      </c>
      <c r="I3835" s="43">
        <v>12</v>
      </c>
      <c r="J3835" s="44" t="str">
        <f>VLOOKUP(G3835,[1]硬件清单!$F:$F,1,0)</f>
        <v>06CT288</v>
      </c>
      <c r="K3835" s="43"/>
      <c r="L3835" s="44"/>
      <c r="M3835" s="45" t="s">
        <v>11764</v>
      </c>
    </row>
    <row r="3836" ht="30" customHeight="1" spans="1:13">
      <c r="A3836" s="41">
        <f>IF(C3836="","",SUBTOTAL(103,$C$2:C3836))</f>
        <v>3827</v>
      </c>
      <c r="B3836" s="41">
        <v>2114</v>
      </c>
      <c r="C3836" s="41">
        <v>10019</v>
      </c>
      <c r="D3836" s="41" t="s">
        <v>45</v>
      </c>
      <c r="E3836" s="41" t="s">
        <v>1298</v>
      </c>
      <c r="F3836" s="41" t="s">
        <v>11380</v>
      </c>
      <c r="G3836" s="41" t="s">
        <v>11765</v>
      </c>
      <c r="H3836" s="41" t="s">
        <v>11766</v>
      </c>
      <c r="I3836" s="43">
        <v>12</v>
      </c>
      <c r="J3836" s="44" t="str">
        <f>VLOOKUP(G3836,[1]硬件清单!$F:$F,1,0)</f>
        <v>06CT284</v>
      </c>
      <c r="K3836" s="43"/>
      <c r="L3836" s="44"/>
      <c r="M3836" s="45" t="s">
        <v>11767</v>
      </c>
    </row>
    <row r="3837" ht="30" customHeight="1" spans="1:13">
      <c r="A3837" s="41">
        <f>IF(C3837="","",SUBTOTAL(103,$C$2:C3837))</f>
        <v>3828</v>
      </c>
      <c r="B3837" s="41">
        <v>2115</v>
      </c>
      <c r="C3837" s="41">
        <v>10020</v>
      </c>
      <c r="D3837" s="41" t="s">
        <v>45</v>
      </c>
      <c r="E3837" s="41" t="s">
        <v>1298</v>
      </c>
      <c r="F3837" s="41" t="s">
        <v>11380</v>
      </c>
      <c r="G3837" s="41" t="s">
        <v>11768</v>
      </c>
      <c r="H3837" s="41" t="s">
        <v>11769</v>
      </c>
      <c r="I3837" s="43">
        <v>12</v>
      </c>
      <c r="J3837" s="44" t="str">
        <f>VLOOKUP(G3837,[1]硬件清单!$F:$F,1,0)</f>
        <v>06CT324</v>
      </c>
      <c r="K3837" s="43"/>
      <c r="L3837" s="44"/>
      <c r="M3837" s="45" t="s">
        <v>11770</v>
      </c>
    </row>
    <row r="3838" ht="30" customHeight="1" spans="1:13">
      <c r="A3838" s="41">
        <f>IF(C3838="","",SUBTOTAL(103,$C$2:C3838))</f>
        <v>3829</v>
      </c>
      <c r="B3838" s="41">
        <v>2116</v>
      </c>
      <c r="C3838" s="41">
        <v>10022</v>
      </c>
      <c r="D3838" s="41" t="s">
        <v>45</v>
      </c>
      <c r="E3838" s="41" t="s">
        <v>1298</v>
      </c>
      <c r="F3838" s="41" t="s">
        <v>11380</v>
      </c>
      <c r="G3838" s="41" t="s">
        <v>11771</v>
      </c>
      <c r="H3838" s="41" t="s">
        <v>11772</v>
      </c>
      <c r="I3838" s="43">
        <v>12</v>
      </c>
      <c r="J3838" s="44" t="str">
        <f>VLOOKUP(G3838,[1]硬件清单!$F:$F,1,0)</f>
        <v>06Z7420</v>
      </c>
      <c r="K3838" s="43"/>
      <c r="L3838" s="44"/>
      <c r="M3838" s="45" t="s">
        <v>11773</v>
      </c>
    </row>
    <row r="3839" ht="30" customHeight="1" spans="1:13">
      <c r="A3839" s="41">
        <f>IF(C3839="","",SUBTOTAL(103,$C$2:C3839))</f>
        <v>3830</v>
      </c>
      <c r="B3839" s="41">
        <v>2117</v>
      </c>
      <c r="C3839" s="41">
        <v>10021</v>
      </c>
      <c r="D3839" s="41" t="s">
        <v>45</v>
      </c>
      <c r="E3839" s="41" t="s">
        <v>1298</v>
      </c>
      <c r="F3839" s="41" t="s">
        <v>11380</v>
      </c>
      <c r="G3839" s="41" t="s">
        <v>11774</v>
      </c>
      <c r="H3839" s="41" t="s">
        <v>11775</v>
      </c>
      <c r="I3839" s="43">
        <v>12</v>
      </c>
      <c r="J3839" s="44" t="str">
        <f>VLOOKUP(G3839,[1]硬件清单!$F:$F,1,0)</f>
        <v>06Z7425</v>
      </c>
      <c r="K3839" s="43"/>
      <c r="L3839" s="44"/>
      <c r="M3839" s="45" t="s">
        <v>11776</v>
      </c>
    </row>
    <row r="3840" ht="30" customHeight="1" spans="1:13">
      <c r="A3840" s="41">
        <f>IF(C3840="","",SUBTOTAL(103,$C$2:C3840))</f>
        <v>3831</v>
      </c>
      <c r="B3840" s="41">
        <v>2118</v>
      </c>
      <c r="C3840" s="41">
        <v>10024</v>
      </c>
      <c r="D3840" s="41" t="s">
        <v>45</v>
      </c>
      <c r="E3840" s="41" t="s">
        <v>1298</v>
      </c>
      <c r="F3840" s="41" t="s">
        <v>11380</v>
      </c>
      <c r="G3840" s="41" t="s">
        <v>11777</v>
      </c>
      <c r="H3840" s="41" t="s">
        <v>11778</v>
      </c>
      <c r="I3840" s="43">
        <v>12</v>
      </c>
      <c r="J3840" s="44" t="str">
        <f>VLOOKUP(G3840,[1]硬件清单!$F:$F,1,0)</f>
        <v>06Z7417</v>
      </c>
      <c r="K3840" s="43"/>
      <c r="L3840" s="44"/>
      <c r="M3840" s="45" t="s">
        <v>11779</v>
      </c>
    </row>
    <row r="3841" ht="30" customHeight="1" spans="1:13">
      <c r="A3841" s="41">
        <f>IF(C3841="","",SUBTOTAL(103,$C$2:C3841))</f>
        <v>3832</v>
      </c>
      <c r="B3841" s="41">
        <v>2119</v>
      </c>
      <c r="C3841" s="41">
        <v>10023</v>
      </c>
      <c r="D3841" s="41" t="s">
        <v>45</v>
      </c>
      <c r="E3841" s="41" t="s">
        <v>1298</v>
      </c>
      <c r="F3841" s="41" t="s">
        <v>11380</v>
      </c>
      <c r="G3841" s="41" t="s">
        <v>11780</v>
      </c>
      <c r="H3841" s="41" t="s">
        <v>11781</v>
      </c>
      <c r="I3841" s="43">
        <v>12</v>
      </c>
      <c r="J3841" s="44" t="str">
        <f>VLOOKUP(G3841,[1]硬件清单!$F:$F,1,0)</f>
        <v>06Z7419</v>
      </c>
      <c r="K3841" s="43"/>
      <c r="L3841" s="44"/>
      <c r="M3841" s="45" t="s">
        <v>11782</v>
      </c>
    </row>
    <row r="3842" ht="30" customHeight="1" spans="1:13">
      <c r="A3842" s="41">
        <f>IF(C3842="","",SUBTOTAL(103,$C$2:C3842))</f>
        <v>3833</v>
      </c>
      <c r="B3842" s="41">
        <v>2120</v>
      </c>
      <c r="C3842" s="41">
        <v>10027</v>
      </c>
      <c r="D3842" s="41" t="s">
        <v>45</v>
      </c>
      <c r="E3842" s="41" t="s">
        <v>1298</v>
      </c>
      <c r="F3842" s="41" t="s">
        <v>11380</v>
      </c>
      <c r="G3842" s="41" t="s">
        <v>11783</v>
      </c>
      <c r="H3842" s="41" t="s">
        <v>11784</v>
      </c>
      <c r="I3842" s="43">
        <v>12</v>
      </c>
      <c r="J3842" s="44" t="str">
        <f>VLOOKUP(G3842,[1]硬件清单!$F:$F,1,0)</f>
        <v>06Z7418</v>
      </c>
      <c r="K3842" s="43"/>
      <c r="L3842" s="44"/>
      <c r="M3842" s="45" t="s">
        <v>11785</v>
      </c>
    </row>
    <row r="3843" ht="30" customHeight="1" spans="1:13">
      <c r="A3843" s="41">
        <f>IF(C3843="","",SUBTOTAL(103,$C$2:C3843))</f>
        <v>3834</v>
      </c>
      <c r="B3843" s="41">
        <v>2121</v>
      </c>
      <c r="C3843" s="41">
        <v>10026</v>
      </c>
      <c r="D3843" s="41" t="s">
        <v>45</v>
      </c>
      <c r="E3843" s="41" t="s">
        <v>1298</v>
      </c>
      <c r="F3843" s="41" t="s">
        <v>11380</v>
      </c>
      <c r="G3843" s="41" t="s">
        <v>11786</v>
      </c>
      <c r="H3843" s="41" t="s">
        <v>11787</v>
      </c>
      <c r="I3843" s="43">
        <v>12</v>
      </c>
      <c r="J3843" s="44" t="str">
        <f>VLOOKUP(G3843,[1]硬件清单!$F:$F,1,0)</f>
        <v>06Z7422</v>
      </c>
      <c r="K3843" s="43"/>
      <c r="L3843" s="44"/>
      <c r="M3843" s="45" t="s">
        <v>11788</v>
      </c>
    </row>
    <row r="3844" ht="30" customHeight="1" spans="1:13">
      <c r="A3844" s="41">
        <f>IF(C3844="","",SUBTOTAL(103,$C$2:C3844))</f>
        <v>3835</v>
      </c>
      <c r="B3844" s="41">
        <v>2122</v>
      </c>
      <c r="C3844" s="41">
        <v>10025</v>
      </c>
      <c r="D3844" s="41" t="s">
        <v>45</v>
      </c>
      <c r="E3844" s="41" t="s">
        <v>1298</v>
      </c>
      <c r="F3844" s="41" t="s">
        <v>11380</v>
      </c>
      <c r="G3844" s="41" t="s">
        <v>11789</v>
      </c>
      <c r="H3844" s="41" t="s">
        <v>11790</v>
      </c>
      <c r="I3844" s="43">
        <v>12</v>
      </c>
      <c r="J3844" s="44" t="str">
        <f>VLOOKUP(G3844,[1]硬件清单!$F:$F,1,0)</f>
        <v>06Z7413</v>
      </c>
      <c r="K3844" s="43"/>
      <c r="L3844" s="44"/>
      <c r="M3844" s="45" t="s">
        <v>11791</v>
      </c>
    </row>
    <row r="3845" ht="30" customHeight="1" spans="1:13">
      <c r="A3845" s="41">
        <f>IF(C3845="","",SUBTOTAL(103,$C$2:C3845))</f>
        <v>3836</v>
      </c>
      <c r="B3845" s="41">
        <v>2123</v>
      </c>
      <c r="C3845" s="41">
        <v>10029</v>
      </c>
      <c r="D3845" s="41" t="s">
        <v>45</v>
      </c>
      <c r="E3845" s="41" t="s">
        <v>1298</v>
      </c>
      <c r="F3845" s="41" t="s">
        <v>11380</v>
      </c>
      <c r="G3845" s="41" t="s">
        <v>11792</v>
      </c>
      <c r="H3845" s="41" t="s">
        <v>11793</v>
      </c>
      <c r="I3845" s="43">
        <v>12</v>
      </c>
      <c r="J3845" s="44" t="str">
        <f>VLOOKUP(G3845,[1]硬件清单!$F:$F,1,0)</f>
        <v>06Z7421</v>
      </c>
      <c r="K3845" s="43"/>
      <c r="L3845" s="44"/>
      <c r="M3845" s="45" t="s">
        <v>11794</v>
      </c>
    </row>
    <row r="3846" ht="30" customHeight="1" spans="1:13">
      <c r="A3846" s="41">
        <f>IF(C3846="","",SUBTOTAL(103,$C$2:C3846))</f>
        <v>3837</v>
      </c>
      <c r="B3846" s="41">
        <v>2124</v>
      </c>
      <c r="C3846" s="41">
        <v>10028</v>
      </c>
      <c r="D3846" s="41" t="s">
        <v>45</v>
      </c>
      <c r="E3846" s="41" t="s">
        <v>1298</v>
      </c>
      <c r="F3846" s="41" t="s">
        <v>11380</v>
      </c>
      <c r="G3846" s="41" t="s">
        <v>11795</v>
      </c>
      <c r="H3846" s="41" t="s">
        <v>11796</v>
      </c>
      <c r="I3846" s="43">
        <v>12</v>
      </c>
      <c r="J3846" s="44" t="str">
        <f>VLOOKUP(G3846,[1]硬件清单!$F:$F,1,0)</f>
        <v>06Z7415</v>
      </c>
      <c r="K3846" s="43"/>
      <c r="L3846" s="44"/>
      <c r="M3846" s="45" t="s">
        <v>11797</v>
      </c>
    </row>
    <row r="3847" ht="30" customHeight="1" spans="1:13">
      <c r="A3847" s="41">
        <f>IF(C3847="","",SUBTOTAL(103,$C$2:C3847))</f>
        <v>3838</v>
      </c>
      <c r="B3847" s="41">
        <v>2125</v>
      </c>
      <c r="C3847" s="41">
        <v>4488</v>
      </c>
      <c r="D3847" s="41" t="s">
        <v>45</v>
      </c>
      <c r="E3847" s="41" t="s">
        <v>1298</v>
      </c>
      <c r="F3847" s="41" t="s">
        <v>11676</v>
      </c>
      <c r="G3847" s="41" t="s">
        <v>11798</v>
      </c>
      <c r="H3847" s="41" t="s">
        <v>11799</v>
      </c>
      <c r="I3847" s="43">
        <v>12</v>
      </c>
      <c r="J3847" s="44" t="str">
        <f>VLOOKUP(G3847,[1]硬件清单!$F:$F,1,0)</f>
        <v>J33GL83</v>
      </c>
      <c r="K3847" s="43"/>
      <c r="L3847" s="44"/>
      <c r="M3847" s="45" t="s">
        <v>11800</v>
      </c>
    </row>
    <row r="3848" ht="30" customHeight="1" spans="1:13">
      <c r="A3848" s="41">
        <f>IF(C3848="","",SUBTOTAL(103,$C$2:C3848))</f>
        <v>3839</v>
      </c>
      <c r="B3848" s="41">
        <v>2126</v>
      </c>
      <c r="C3848" s="41">
        <v>4487</v>
      </c>
      <c r="D3848" s="41" t="s">
        <v>45</v>
      </c>
      <c r="E3848" s="41" t="s">
        <v>1298</v>
      </c>
      <c r="F3848" s="41" t="s">
        <v>11676</v>
      </c>
      <c r="G3848" s="41" t="s">
        <v>11801</v>
      </c>
      <c r="H3848" s="41" t="s">
        <v>11802</v>
      </c>
      <c r="I3848" s="43">
        <v>12</v>
      </c>
      <c r="J3848" s="44" t="str">
        <f>VLOOKUP(G3848,[1]硬件清单!$F:$F,1,0)</f>
        <v>J33GL89</v>
      </c>
      <c r="K3848" s="43"/>
      <c r="L3848" s="44"/>
      <c r="M3848" s="45" t="s">
        <v>11803</v>
      </c>
    </row>
    <row r="3849" ht="30" customHeight="1" spans="1:13">
      <c r="A3849" s="41">
        <f>IF(C3849="","",SUBTOTAL(103,$C$2:C3849))</f>
        <v>3840</v>
      </c>
      <c r="B3849" s="41">
        <v>2127</v>
      </c>
      <c r="C3849" s="41">
        <v>4486</v>
      </c>
      <c r="D3849" s="41" t="s">
        <v>45</v>
      </c>
      <c r="E3849" s="41" t="s">
        <v>1298</v>
      </c>
      <c r="F3849" s="41" t="s">
        <v>11676</v>
      </c>
      <c r="G3849" s="41" t="s">
        <v>11804</v>
      </c>
      <c r="H3849" s="41" t="s">
        <v>11805</v>
      </c>
      <c r="I3849" s="43">
        <v>12</v>
      </c>
      <c r="J3849" s="44" t="str">
        <f>VLOOKUP(G3849,[1]硬件清单!$F:$F,1,0)</f>
        <v>J33GL87</v>
      </c>
      <c r="K3849" s="43"/>
      <c r="L3849" s="44"/>
      <c r="M3849" s="45" t="s">
        <v>11806</v>
      </c>
    </row>
    <row r="3850" s="26" customFormat="1" ht="30" customHeight="1" spans="1:13">
      <c r="A3850" s="41">
        <f>IF(C3850="","",SUBTOTAL(103,$C$2:C3850))</f>
        <v>3841</v>
      </c>
      <c r="B3850" s="41">
        <v>2128</v>
      </c>
      <c r="C3850" s="41">
        <v>10032</v>
      </c>
      <c r="D3850" s="41" t="s">
        <v>45</v>
      </c>
      <c r="E3850" s="41" t="s">
        <v>1298</v>
      </c>
      <c r="F3850" s="41" t="s">
        <v>11380</v>
      </c>
      <c r="G3850" s="41" t="s">
        <v>11807</v>
      </c>
      <c r="H3850" s="41" t="s">
        <v>11808</v>
      </c>
      <c r="I3850" s="43">
        <v>12</v>
      </c>
      <c r="J3850" s="44" t="str">
        <f>VLOOKUP(G3850,[1]硬件清单!$F:$F,1,0)</f>
        <v>06Z7424</v>
      </c>
      <c r="K3850" s="43"/>
      <c r="L3850" s="44"/>
      <c r="M3850" s="45" t="s">
        <v>11809</v>
      </c>
    </row>
    <row r="3851" ht="30" customHeight="1" spans="1:13">
      <c r="A3851" s="41">
        <f>IF(C3851="","",SUBTOTAL(103,$C$2:C3851))</f>
        <v>3842</v>
      </c>
      <c r="B3851" s="41">
        <v>2129</v>
      </c>
      <c r="C3851" s="41">
        <v>10031</v>
      </c>
      <c r="D3851" s="41" t="s">
        <v>45</v>
      </c>
      <c r="E3851" s="41" t="s">
        <v>1298</v>
      </c>
      <c r="F3851" s="41" t="s">
        <v>11380</v>
      </c>
      <c r="G3851" s="41" t="s">
        <v>11810</v>
      </c>
      <c r="H3851" s="41" t="s">
        <v>11811</v>
      </c>
      <c r="I3851" s="43">
        <v>12</v>
      </c>
      <c r="J3851" s="44" t="str">
        <f>VLOOKUP(G3851,[1]硬件清单!$F:$F,1,0)</f>
        <v>06Z7416</v>
      </c>
      <c r="K3851" s="43"/>
      <c r="L3851" s="44"/>
      <c r="M3851" s="45" t="s">
        <v>11812</v>
      </c>
    </row>
    <row r="3852" ht="30" customHeight="1" spans="1:13">
      <c r="A3852" s="41">
        <f>IF(C3852="","",SUBTOTAL(103,$C$2:C3852))</f>
        <v>3843</v>
      </c>
      <c r="B3852" s="41">
        <v>2130</v>
      </c>
      <c r="C3852" s="41">
        <v>10030</v>
      </c>
      <c r="D3852" s="41" t="s">
        <v>45</v>
      </c>
      <c r="E3852" s="41" t="s">
        <v>1298</v>
      </c>
      <c r="F3852" s="41" t="s">
        <v>11380</v>
      </c>
      <c r="G3852" s="41" t="s">
        <v>11813</v>
      </c>
      <c r="H3852" s="41" t="s">
        <v>11814</v>
      </c>
      <c r="I3852" s="43">
        <v>12</v>
      </c>
      <c r="J3852" s="44" t="str">
        <f>VLOOKUP(G3852,[1]硬件清单!$F:$F,1,0)</f>
        <v>06Z7423</v>
      </c>
      <c r="K3852" s="43"/>
      <c r="L3852" s="44"/>
      <c r="M3852" s="45" t="s">
        <v>11815</v>
      </c>
    </row>
    <row r="3853" ht="30" customHeight="1" spans="1:13">
      <c r="A3853" s="41">
        <f>IF(C3853="","",SUBTOTAL(103,$C$2:C3853))</f>
        <v>3844</v>
      </c>
      <c r="B3853" s="41">
        <v>2131</v>
      </c>
      <c r="C3853" s="41">
        <v>10034</v>
      </c>
      <c r="D3853" s="41" t="s">
        <v>45</v>
      </c>
      <c r="E3853" s="41" t="s">
        <v>1298</v>
      </c>
      <c r="F3853" s="41" t="s">
        <v>11380</v>
      </c>
      <c r="G3853" s="41" t="s">
        <v>11816</v>
      </c>
      <c r="H3853" s="41" t="s">
        <v>11817</v>
      </c>
      <c r="I3853" s="43">
        <v>12</v>
      </c>
      <c r="J3853" s="44" t="str">
        <f>VLOOKUP(G3853,[1]硬件清单!$F:$F,1,0)</f>
        <v>06Z7412</v>
      </c>
      <c r="K3853" s="43"/>
      <c r="L3853" s="44"/>
      <c r="M3853" s="45" t="s">
        <v>11818</v>
      </c>
    </row>
    <row r="3854" ht="30" customHeight="1" spans="1:13">
      <c r="A3854" s="41">
        <f>IF(C3854="","",SUBTOTAL(103,$C$2:C3854))</f>
        <v>3845</v>
      </c>
      <c r="B3854" s="41">
        <v>2132</v>
      </c>
      <c r="C3854" s="41">
        <v>10033</v>
      </c>
      <c r="D3854" s="41" t="s">
        <v>45</v>
      </c>
      <c r="E3854" s="41" t="s">
        <v>1298</v>
      </c>
      <c r="F3854" s="41" t="s">
        <v>11380</v>
      </c>
      <c r="G3854" s="41" t="s">
        <v>11819</v>
      </c>
      <c r="H3854" s="41" t="s">
        <v>11820</v>
      </c>
      <c r="I3854" s="43">
        <v>12</v>
      </c>
      <c r="J3854" s="44" t="str">
        <f>VLOOKUP(G3854,[1]硬件清单!$F:$F,1,0)</f>
        <v>06Z7414</v>
      </c>
      <c r="K3854" s="43"/>
      <c r="L3854" s="44"/>
      <c r="M3854" s="45" t="s">
        <v>11821</v>
      </c>
    </row>
    <row r="3855" ht="30" customHeight="1" spans="1:13">
      <c r="A3855" s="41">
        <f>IF(C3855="","",SUBTOTAL(103,$C$2:C3855))</f>
        <v>3846</v>
      </c>
      <c r="B3855" s="41">
        <v>2133</v>
      </c>
      <c r="C3855" s="41">
        <v>4489</v>
      </c>
      <c r="D3855" s="41" t="s">
        <v>45</v>
      </c>
      <c r="E3855" s="41" t="s">
        <v>1298</v>
      </c>
      <c r="F3855" s="41" t="s">
        <v>11676</v>
      </c>
      <c r="G3855" s="41" t="s">
        <v>11822</v>
      </c>
      <c r="H3855" s="41" t="s">
        <v>11823</v>
      </c>
      <c r="I3855" s="43">
        <v>12</v>
      </c>
      <c r="J3855" s="44" t="str">
        <f>VLOOKUP(G3855,[1]硬件清单!$F:$F,1,0)</f>
        <v>J33GL8A</v>
      </c>
      <c r="K3855" s="43"/>
      <c r="L3855" s="44"/>
      <c r="M3855" s="45" t="s">
        <v>11824</v>
      </c>
    </row>
    <row r="3856" ht="30" customHeight="1" spans="1:13">
      <c r="A3856" s="41">
        <f>IF(C3856="","",SUBTOTAL(103,$C$2:C3856))</f>
        <v>3847</v>
      </c>
      <c r="B3856" s="41">
        <v>2134</v>
      </c>
      <c r="C3856" s="41">
        <v>4490</v>
      </c>
      <c r="D3856" s="41" t="s">
        <v>45</v>
      </c>
      <c r="E3856" s="41" t="s">
        <v>1298</v>
      </c>
      <c r="F3856" s="41" t="s">
        <v>11676</v>
      </c>
      <c r="G3856" s="41" t="s">
        <v>11825</v>
      </c>
      <c r="H3856" s="41" t="s">
        <v>11826</v>
      </c>
      <c r="I3856" s="43">
        <v>12</v>
      </c>
      <c r="J3856" s="44" t="str">
        <f>VLOOKUP(G3856,[1]硬件清单!$F:$F,1,0)</f>
        <v>J33GL88</v>
      </c>
      <c r="K3856" s="43"/>
      <c r="L3856" s="44"/>
      <c r="M3856" s="45" t="s">
        <v>11827</v>
      </c>
    </row>
    <row r="3857" ht="30" customHeight="1" spans="1:13">
      <c r="A3857" s="41">
        <f>IF(C3857="","",SUBTOTAL(103,$C$2:C3857))</f>
        <v>3848</v>
      </c>
      <c r="B3857" s="41">
        <v>2135</v>
      </c>
      <c r="C3857" s="46">
        <v>7138</v>
      </c>
      <c r="D3857" s="46" t="s">
        <v>45</v>
      </c>
      <c r="E3857" s="46" t="s">
        <v>1298</v>
      </c>
      <c r="F3857" s="46" t="s">
        <v>6784</v>
      </c>
      <c r="G3857" s="41" t="s">
        <v>11828</v>
      </c>
      <c r="H3857" s="41" t="s">
        <v>11829</v>
      </c>
      <c r="I3857" s="43">
        <v>12</v>
      </c>
      <c r="J3857" s="44" t="str">
        <f>VLOOKUP(G3857,[1]硬件清单!$F:$F,1,0)</f>
        <v>6CU44945ET</v>
      </c>
      <c r="K3857" s="43"/>
      <c r="L3857" s="44"/>
      <c r="M3857" s="45" t="s">
        <v>11830</v>
      </c>
    </row>
    <row r="3858" ht="30" customHeight="1" spans="1:13">
      <c r="A3858" s="41">
        <f>IF(C3858="","",SUBTOTAL(103,$C$2:C3858))</f>
        <v>3849</v>
      </c>
      <c r="B3858" s="41">
        <v>2136</v>
      </c>
      <c r="C3858" s="41">
        <v>9585</v>
      </c>
      <c r="D3858" s="41" t="s">
        <v>45</v>
      </c>
      <c r="E3858" s="41" t="s">
        <v>1298</v>
      </c>
      <c r="F3858" s="41" t="s">
        <v>6784</v>
      </c>
      <c r="G3858" s="41" t="s">
        <v>11831</v>
      </c>
      <c r="H3858" s="41" t="s">
        <v>11832</v>
      </c>
      <c r="I3858" s="43">
        <v>12</v>
      </c>
      <c r="J3858" s="44" t="str">
        <f>VLOOKUP(G3858,[1]硬件清单!$F:$F,1,0)</f>
        <v>6CU4421WAT</v>
      </c>
      <c r="K3858" s="43"/>
      <c r="L3858" s="44"/>
      <c r="M3858" s="45" t="s">
        <v>11833</v>
      </c>
    </row>
    <row r="3859" ht="30" customHeight="1" spans="1:13">
      <c r="A3859" s="41">
        <f>IF(C3859="","",SUBTOTAL(103,$C$2:C3859))</f>
        <v>3850</v>
      </c>
      <c r="B3859" s="41">
        <v>2137</v>
      </c>
      <c r="C3859" s="41">
        <v>10037</v>
      </c>
      <c r="D3859" s="41" t="s">
        <v>45</v>
      </c>
      <c r="E3859" s="41" t="s">
        <v>1298</v>
      </c>
      <c r="F3859" s="41" t="s">
        <v>6784</v>
      </c>
      <c r="G3859" s="41" t="s">
        <v>11834</v>
      </c>
      <c r="H3859" s="41" t="s">
        <v>11835</v>
      </c>
      <c r="I3859" s="43">
        <v>12</v>
      </c>
      <c r="J3859" s="44" t="str">
        <f>VLOOKUP(G3859,[1]硬件清单!$F:$F,1,0)</f>
        <v>6CU4421WBT</v>
      </c>
      <c r="K3859" s="43"/>
      <c r="L3859" s="44"/>
      <c r="M3859" s="45" t="s">
        <v>11836</v>
      </c>
    </row>
    <row r="3860" ht="30" customHeight="1" spans="1:13">
      <c r="A3860" s="41">
        <f>IF(C3860="","",SUBTOTAL(103,$C$2:C3860))</f>
        <v>3851</v>
      </c>
      <c r="B3860" s="41">
        <v>2138</v>
      </c>
      <c r="C3860" s="41">
        <v>11153</v>
      </c>
      <c r="D3860" s="41" t="s">
        <v>19</v>
      </c>
      <c r="E3860" s="41" t="s">
        <v>20</v>
      </c>
      <c r="F3860" s="41" t="s">
        <v>10033</v>
      </c>
      <c r="G3860" s="41" t="s">
        <v>11837</v>
      </c>
      <c r="H3860" s="41" t="s">
        <v>11838</v>
      </c>
      <c r="I3860" s="43">
        <v>12</v>
      </c>
      <c r="J3860" s="44" t="str">
        <f>VLOOKUP(G3860,[1]硬件清单!$F:$F,1,0)</f>
        <v>210235A0HAH139000098</v>
      </c>
      <c r="K3860" s="43"/>
      <c r="L3860" s="44"/>
      <c r="M3860" s="45" t="s">
        <v>11839</v>
      </c>
    </row>
    <row r="3861" ht="30" customHeight="1" spans="1:13">
      <c r="A3861" s="41">
        <f>IF(C3861="","",SUBTOTAL(103,$C$2:C3861))</f>
        <v>3852</v>
      </c>
      <c r="B3861" s="41">
        <v>2139</v>
      </c>
      <c r="C3861" s="41">
        <v>11152</v>
      </c>
      <c r="D3861" s="41" t="s">
        <v>19</v>
      </c>
      <c r="E3861" s="41" t="s">
        <v>20</v>
      </c>
      <c r="F3861" s="41" t="s">
        <v>10033</v>
      </c>
      <c r="G3861" s="41" t="s">
        <v>11840</v>
      </c>
      <c r="H3861" s="41" t="s">
        <v>11841</v>
      </c>
      <c r="I3861" s="43">
        <v>12</v>
      </c>
      <c r="J3861" s="44" t="str">
        <f>VLOOKUP(G3861,[1]硬件清单!$F:$F,1,0)</f>
        <v>210235A0HAH139000095</v>
      </c>
      <c r="K3861" s="43"/>
      <c r="L3861" s="44"/>
      <c r="M3861" s="45" t="s">
        <v>11842</v>
      </c>
    </row>
    <row r="3862" ht="30" customHeight="1" spans="1:13">
      <c r="A3862" s="41">
        <f>IF(C3862="","",SUBTOTAL(103,$C$2:C3862))</f>
        <v>3853</v>
      </c>
      <c r="B3862" s="41">
        <v>2140</v>
      </c>
      <c r="C3862" s="46">
        <v>7135</v>
      </c>
      <c r="D3862" s="46" t="s">
        <v>45</v>
      </c>
      <c r="E3862" s="46" t="s">
        <v>1298</v>
      </c>
      <c r="F3862" s="46" t="s">
        <v>6784</v>
      </c>
      <c r="G3862" s="41" t="s">
        <v>11843</v>
      </c>
      <c r="H3862" s="41" t="s">
        <v>11844</v>
      </c>
      <c r="I3862" s="43">
        <v>12</v>
      </c>
      <c r="J3862" s="44" t="str">
        <f>VLOOKUP(G3862,[1]硬件清单!$F:$F,1,0)</f>
        <v>6CU44945F3</v>
      </c>
      <c r="K3862" s="43"/>
      <c r="L3862" s="44"/>
      <c r="M3862" s="45" t="s">
        <v>11845</v>
      </c>
    </row>
    <row r="3863" ht="30" customHeight="1" spans="1:13">
      <c r="A3863" s="41">
        <f>IF(C3863="","",SUBTOTAL(103,$C$2:C3863))</f>
        <v>3854</v>
      </c>
      <c r="B3863" s="41">
        <v>2141</v>
      </c>
      <c r="C3863" s="46">
        <v>7136</v>
      </c>
      <c r="D3863" s="46" t="s">
        <v>45</v>
      </c>
      <c r="E3863" s="46" t="s">
        <v>1298</v>
      </c>
      <c r="F3863" s="46" t="s">
        <v>6784</v>
      </c>
      <c r="G3863" s="41" t="s">
        <v>11846</v>
      </c>
      <c r="H3863" s="41" t="s">
        <v>11847</v>
      </c>
      <c r="I3863" s="43">
        <v>12</v>
      </c>
      <c r="J3863" s="44" t="str">
        <f>VLOOKUP(G3863,[1]硬件清单!$F:$F,1,0)</f>
        <v>6CU44945F5</v>
      </c>
      <c r="K3863" s="43"/>
      <c r="L3863" s="44"/>
      <c r="M3863" s="45" t="s">
        <v>11848</v>
      </c>
    </row>
    <row r="3864" ht="30" customHeight="1" spans="1:13">
      <c r="A3864" s="41">
        <f>IF(C3864="","",SUBTOTAL(103,$C$2:C3864))</f>
        <v>3855</v>
      </c>
      <c r="B3864" s="41">
        <v>2142</v>
      </c>
      <c r="C3864" s="46">
        <v>7137</v>
      </c>
      <c r="D3864" s="46" t="s">
        <v>45</v>
      </c>
      <c r="E3864" s="46" t="s">
        <v>1298</v>
      </c>
      <c r="F3864" s="46" t="s">
        <v>6784</v>
      </c>
      <c r="G3864" s="41" t="s">
        <v>11849</v>
      </c>
      <c r="H3864" s="41" t="s">
        <v>11850</v>
      </c>
      <c r="I3864" s="43">
        <v>12</v>
      </c>
      <c r="J3864" s="44" t="str">
        <f>VLOOKUP(G3864,[1]硬件清单!$F:$F,1,0)</f>
        <v>6CU44945EY</v>
      </c>
      <c r="K3864" s="43"/>
      <c r="L3864" s="44"/>
      <c r="M3864" s="45" t="s">
        <v>11851</v>
      </c>
    </row>
    <row r="3865" ht="30" customHeight="1" spans="1:13">
      <c r="A3865" s="41">
        <f>IF(C3865="","",SUBTOTAL(103,$C$2:C3865))</f>
        <v>3856</v>
      </c>
      <c r="B3865" s="41">
        <v>2143</v>
      </c>
      <c r="C3865" s="41">
        <v>11171</v>
      </c>
      <c r="D3865" s="41" t="s">
        <v>19</v>
      </c>
      <c r="E3865" s="41" t="s">
        <v>20</v>
      </c>
      <c r="F3865" s="41" t="s">
        <v>10033</v>
      </c>
      <c r="G3865" s="41" t="s">
        <v>11852</v>
      </c>
      <c r="H3865" s="41" t="s">
        <v>11853</v>
      </c>
      <c r="I3865" s="43">
        <v>12</v>
      </c>
      <c r="J3865" s="44" t="str">
        <f>VLOOKUP(G3865,[1]硬件清单!$F:$F,1,0)</f>
        <v>210235AOHAH14A000277</v>
      </c>
      <c r="K3865" s="43"/>
      <c r="L3865" s="44"/>
      <c r="M3865" s="45" t="s">
        <v>11854</v>
      </c>
    </row>
    <row r="3866" ht="30" customHeight="1" spans="1:13">
      <c r="A3866" s="41">
        <f>IF(C3866="","",SUBTOTAL(103,$C$2:C3866))</f>
        <v>3857</v>
      </c>
      <c r="B3866" s="41">
        <v>2145</v>
      </c>
      <c r="C3866" s="41">
        <v>11164</v>
      </c>
      <c r="D3866" s="41" t="s">
        <v>19</v>
      </c>
      <c r="E3866" s="41" t="s">
        <v>20</v>
      </c>
      <c r="F3866" s="41" t="s">
        <v>10033</v>
      </c>
      <c r="G3866" s="41" t="s">
        <v>11855</v>
      </c>
      <c r="H3866" s="41" t="s">
        <v>11856</v>
      </c>
      <c r="I3866" s="43">
        <v>12</v>
      </c>
      <c r="J3866" s="44" t="str">
        <f>VLOOKUP(G3866,[1]硬件清单!$F:$F,1,0)</f>
        <v>210235aohah163000035</v>
      </c>
      <c r="K3866" s="43"/>
      <c r="L3866" s="44"/>
      <c r="M3866" s="45" t="s">
        <v>11857</v>
      </c>
    </row>
    <row r="3867" ht="30" customHeight="1" spans="1:13">
      <c r="A3867" s="41">
        <f>IF(C3867="","",SUBTOTAL(103,$C$2:C3867))</f>
        <v>3858</v>
      </c>
      <c r="B3867" s="41">
        <v>2146</v>
      </c>
      <c r="C3867" s="41">
        <v>11165</v>
      </c>
      <c r="D3867" s="41" t="s">
        <v>19</v>
      </c>
      <c r="E3867" s="41" t="s">
        <v>20</v>
      </c>
      <c r="F3867" s="41" t="s">
        <v>10033</v>
      </c>
      <c r="G3867" s="41" t="s">
        <v>11858</v>
      </c>
      <c r="H3867" s="41" t="s">
        <v>11859</v>
      </c>
      <c r="I3867" s="43">
        <v>12</v>
      </c>
      <c r="J3867" s="44" t="str">
        <f>VLOOKUP(G3867,[1]硬件清单!$F:$F,1,0)</f>
        <v>210235AOHAH14A000248</v>
      </c>
      <c r="K3867" s="43"/>
      <c r="L3867" s="44"/>
      <c r="M3867" s="45" t="s">
        <v>11860</v>
      </c>
    </row>
    <row r="3868" ht="30" customHeight="1" spans="1:13">
      <c r="A3868" s="41">
        <f>IF(C3868="","",SUBTOTAL(103,$C$2:C3868))</f>
        <v>3859</v>
      </c>
      <c r="B3868" s="41">
        <v>2147</v>
      </c>
      <c r="C3868" s="41">
        <v>8871</v>
      </c>
      <c r="D3868" s="41" t="s">
        <v>45</v>
      </c>
      <c r="E3868" s="41" t="s">
        <v>246</v>
      </c>
      <c r="F3868" s="41" t="s">
        <v>11861</v>
      </c>
      <c r="G3868" s="41" t="s">
        <v>11862</v>
      </c>
      <c r="H3868" s="41" t="s">
        <v>11863</v>
      </c>
      <c r="I3868" s="43">
        <v>12</v>
      </c>
      <c r="J3868" s="44" t="str">
        <f>VLOOKUP(G3868,[1]硬件清单!$F:$F,1,0)</f>
        <v>9179MHB06C5DDR</v>
      </c>
      <c r="K3868" s="43"/>
      <c r="L3868" s="44"/>
      <c r="M3868" s="45" t="s">
        <v>11864</v>
      </c>
    </row>
    <row r="3869" ht="30" customHeight="1" spans="1:13">
      <c r="A3869" s="41">
        <f>IF(C3869="","",SUBTOTAL(103,$C$2:C3869))</f>
        <v>3860</v>
      </c>
      <c r="B3869" s="41">
        <v>2148</v>
      </c>
      <c r="C3869" s="41">
        <v>8872</v>
      </c>
      <c r="D3869" s="41" t="s">
        <v>45</v>
      </c>
      <c r="E3869" s="41" t="s">
        <v>246</v>
      </c>
      <c r="F3869" s="41" t="s">
        <v>11861</v>
      </c>
      <c r="G3869" s="41" t="s">
        <v>11865</v>
      </c>
      <c r="H3869" s="41" t="s">
        <v>11866</v>
      </c>
      <c r="I3869" s="43">
        <v>12</v>
      </c>
      <c r="J3869" s="44" t="str">
        <f>VLOOKUP(G3869,[1]硬件清单!$F:$F,1,0)</f>
        <v>9179MHB06C5DBR</v>
      </c>
      <c r="K3869" s="43"/>
      <c r="L3869" s="44"/>
      <c r="M3869" s="45" t="s">
        <v>11867</v>
      </c>
    </row>
    <row r="3870" ht="30" customHeight="1" spans="1:13">
      <c r="A3870" s="41">
        <f>IF(C3870="","",SUBTOTAL(103,$C$2:C3870))</f>
        <v>3861</v>
      </c>
      <c r="B3870" s="41">
        <v>2150</v>
      </c>
      <c r="C3870" s="41">
        <v>4774</v>
      </c>
      <c r="D3870" s="41" t="s">
        <v>19</v>
      </c>
      <c r="E3870" s="41" t="s">
        <v>20</v>
      </c>
      <c r="F3870" s="41" t="s">
        <v>10077</v>
      </c>
      <c r="G3870" s="41" t="s">
        <v>11868</v>
      </c>
      <c r="H3870" s="41" t="s">
        <v>11869</v>
      </c>
      <c r="I3870" s="43">
        <v>12</v>
      </c>
      <c r="J3870" s="44" t="str">
        <f>VLOOKUP(G3870,[1]硬件清单!$F:$F,1,0)</f>
        <v>210235A1TXH179000212</v>
      </c>
      <c r="K3870" s="43"/>
      <c r="L3870" s="44"/>
      <c r="M3870" s="45" t="s">
        <v>11870</v>
      </c>
    </row>
    <row r="3871" ht="30" customHeight="1" spans="1:13">
      <c r="A3871" s="41">
        <f>IF(C3871="","",SUBTOTAL(103,$C$2:C3871))</f>
        <v>3862</v>
      </c>
      <c r="B3871" s="41">
        <v>2151</v>
      </c>
      <c r="C3871" s="41">
        <v>4773</v>
      </c>
      <c r="D3871" s="41" t="s">
        <v>19</v>
      </c>
      <c r="E3871" s="41" t="s">
        <v>20</v>
      </c>
      <c r="F3871" s="41" t="s">
        <v>10077</v>
      </c>
      <c r="G3871" s="41" t="s">
        <v>11871</v>
      </c>
      <c r="H3871" s="41" t="s">
        <v>11872</v>
      </c>
      <c r="I3871" s="43">
        <v>12</v>
      </c>
      <c r="J3871" s="44" t="str">
        <f>VLOOKUP(G3871,[1]硬件清单!$F:$F,1,0)</f>
        <v>210235A1TXH179000412</v>
      </c>
      <c r="K3871" s="43"/>
      <c r="L3871" s="44"/>
      <c r="M3871" s="45" t="s">
        <v>11873</v>
      </c>
    </row>
    <row r="3872" ht="30" customHeight="1" spans="1:13">
      <c r="A3872" s="41">
        <f>IF(C3872="","",SUBTOTAL(103,$C$2:C3872))</f>
        <v>3863</v>
      </c>
      <c r="B3872" s="41">
        <v>2152</v>
      </c>
      <c r="C3872" s="41">
        <v>4772</v>
      </c>
      <c r="D3872" s="41" t="s">
        <v>19</v>
      </c>
      <c r="E3872" s="41" t="s">
        <v>20</v>
      </c>
      <c r="F3872" s="41" t="s">
        <v>10077</v>
      </c>
      <c r="G3872" s="41" t="s">
        <v>11874</v>
      </c>
      <c r="H3872" s="41" t="s">
        <v>11875</v>
      </c>
      <c r="I3872" s="43">
        <v>12</v>
      </c>
      <c r="J3872" s="44" t="str">
        <f>VLOOKUP(G3872,[1]硬件清单!$F:$F,1,0)</f>
        <v>210235A1TXH179000401</v>
      </c>
      <c r="K3872" s="43"/>
      <c r="L3872" s="44"/>
      <c r="M3872" s="45" t="s">
        <v>11876</v>
      </c>
    </row>
    <row r="3873" ht="30" customHeight="1" spans="1:13">
      <c r="A3873" s="41">
        <f>IF(C3873="","",SUBTOTAL(103,$C$2:C3873))</f>
        <v>3864</v>
      </c>
      <c r="B3873" s="41">
        <v>2153</v>
      </c>
      <c r="C3873" s="41">
        <v>4771</v>
      </c>
      <c r="D3873" s="41" t="s">
        <v>19</v>
      </c>
      <c r="E3873" s="41" t="s">
        <v>20</v>
      </c>
      <c r="F3873" s="41" t="s">
        <v>10077</v>
      </c>
      <c r="G3873" s="41" t="s">
        <v>11877</v>
      </c>
      <c r="H3873" s="41" t="s">
        <v>11878</v>
      </c>
      <c r="I3873" s="43">
        <v>12</v>
      </c>
      <c r="J3873" s="44" t="str">
        <f>VLOOKUP(G3873,[1]硬件清单!$F:$F,1,0)</f>
        <v>210235A1TXH179000314</v>
      </c>
      <c r="K3873" s="43"/>
      <c r="L3873" s="44"/>
      <c r="M3873" s="45" t="s">
        <v>11879</v>
      </c>
    </row>
    <row r="3874" ht="30" customHeight="1" spans="1:13">
      <c r="A3874" s="41">
        <f>IF(C3874="","",SUBTOTAL(103,$C$2:C3874))</f>
        <v>3865</v>
      </c>
      <c r="B3874" s="41">
        <v>2154</v>
      </c>
      <c r="C3874" s="41">
        <v>4784</v>
      </c>
      <c r="D3874" s="41" t="s">
        <v>19</v>
      </c>
      <c r="E3874" s="41" t="s">
        <v>20</v>
      </c>
      <c r="F3874" s="41" t="s">
        <v>10050</v>
      </c>
      <c r="G3874" s="41" t="s">
        <v>11880</v>
      </c>
      <c r="H3874" s="41" t="s">
        <v>11881</v>
      </c>
      <c r="I3874" s="43">
        <v>12</v>
      </c>
      <c r="J3874" s="44" t="str">
        <f>VLOOKUP(G3874,[1]硬件清单!$F:$F,1,0)</f>
        <v>210235A1G9H179000006</v>
      </c>
      <c r="K3874" s="43"/>
      <c r="L3874" s="44"/>
      <c r="M3874" s="45" t="s">
        <v>11882</v>
      </c>
    </row>
    <row r="3875" ht="30" customHeight="1" spans="1:13">
      <c r="A3875" s="41">
        <f>IF(C3875="","",SUBTOTAL(103,$C$2:C3875))</f>
        <v>3866</v>
      </c>
      <c r="B3875" s="41">
        <v>2155</v>
      </c>
      <c r="C3875" s="41">
        <v>4783</v>
      </c>
      <c r="D3875" s="41" t="s">
        <v>19</v>
      </c>
      <c r="E3875" s="41" t="s">
        <v>20</v>
      </c>
      <c r="F3875" s="41" t="s">
        <v>10050</v>
      </c>
      <c r="G3875" s="41" t="s">
        <v>11883</v>
      </c>
      <c r="H3875" s="41" t="s">
        <v>11884</v>
      </c>
      <c r="I3875" s="43">
        <v>12</v>
      </c>
      <c r="J3875" s="44" t="str">
        <f>VLOOKUP(G3875,[1]硬件清单!$F:$F,1,0)</f>
        <v>210235A1G9H178000037</v>
      </c>
      <c r="K3875" s="43"/>
      <c r="L3875" s="44"/>
      <c r="M3875" s="45" t="s">
        <v>11885</v>
      </c>
    </row>
    <row r="3876" ht="30" customHeight="1" spans="1:13">
      <c r="A3876" s="41">
        <f>IF(C3876="","",SUBTOTAL(103,$C$2:C3876))</f>
        <v>3867</v>
      </c>
      <c r="B3876" s="41">
        <v>2156</v>
      </c>
      <c r="C3876" s="41">
        <v>4782</v>
      </c>
      <c r="D3876" s="41" t="s">
        <v>19</v>
      </c>
      <c r="E3876" s="41" t="s">
        <v>20</v>
      </c>
      <c r="F3876" s="41" t="s">
        <v>10050</v>
      </c>
      <c r="G3876" s="41" t="s">
        <v>11886</v>
      </c>
      <c r="H3876" s="41" t="s">
        <v>11887</v>
      </c>
      <c r="I3876" s="43">
        <v>12</v>
      </c>
      <c r="J3876" s="44" t="str">
        <f>VLOOKUP(G3876,[1]硬件清单!$F:$F,1,0)</f>
        <v>210235A1G9H178000025</v>
      </c>
      <c r="K3876" s="43"/>
      <c r="L3876" s="44"/>
      <c r="M3876" s="45" t="s">
        <v>11888</v>
      </c>
    </row>
    <row r="3877" ht="30" customHeight="1" spans="1:13">
      <c r="A3877" s="41">
        <f>IF(C3877="","",SUBTOTAL(103,$C$2:C3877))</f>
        <v>3868</v>
      </c>
      <c r="B3877" s="41">
        <v>2157</v>
      </c>
      <c r="C3877" s="41">
        <v>4213</v>
      </c>
      <c r="D3877" s="41" t="s">
        <v>45</v>
      </c>
      <c r="E3877" s="41" t="s">
        <v>1298</v>
      </c>
      <c r="F3877" s="41" t="s">
        <v>11889</v>
      </c>
      <c r="G3877" s="41" t="s">
        <v>11890</v>
      </c>
      <c r="H3877" s="41" t="s">
        <v>11891</v>
      </c>
      <c r="I3877" s="43">
        <v>12</v>
      </c>
      <c r="J3877" s="44" t="str">
        <f>VLOOKUP(G3877,[1]硬件清单!$F:$F,1,0)</f>
        <v>2102300742N0H9000494/210230102810HA000050</v>
      </c>
      <c r="K3877" s="43"/>
      <c r="L3877" s="44"/>
      <c r="M3877" s="45" t="s">
        <v>11892</v>
      </c>
    </row>
    <row r="3878" ht="30" customHeight="1" spans="1:13">
      <c r="A3878" s="41">
        <f>IF(C3878="","",SUBTOTAL(103,$C$2:C3878))</f>
        <v>3869</v>
      </c>
      <c r="B3878" s="41">
        <v>2158</v>
      </c>
      <c r="C3878" s="41">
        <v>3685</v>
      </c>
      <c r="D3878" s="41" t="s">
        <v>45</v>
      </c>
      <c r="E3878" s="41" t="s">
        <v>1298</v>
      </c>
      <c r="F3878" s="41" t="s">
        <v>11893</v>
      </c>
      <c r="G3878" s="41" t="s">
        <v>11894</v>
      </c>
      <c r="H3878" s="41" t="s">
        <v>11895</v>
      </c>
      <c r="I3878" s="43">
        <v>12</v>
      </c>
      <c r="J3878" s="44" t="str">
        <f>VLOOKUP(G3878,[1]硬件清单!$F:$F,1,0)</f>
        <v>210305756810HA000619</v>
      </c>
      <c r="K3878" s="43"/>
      <c r="L3878" s="44"/>
      <c r="M3878" s="45" t="s">
        <v>11896</v>
      </c>
    </row>
    <row r="3879" ht="30" customHeight="1" spans="1:13">
      <c r="A3879" s="41">
        <f>IF(C3879="","",SUBTOTAL(103,$C$2:C3879))</f>
        <v>3870</v>
      </c>
      <c r="B3879" s="41">
        <v>2159</v>
      </c>
      <c r="C3879" s="41">
        <v>3694</v>
      </c>
      <c r="D3879" s="41" t="s">
        <v>45</v>
      </c>
      <c r="E3879" s="41" t="s">
        <v>1298</v>
      </c>
      <c r="F3879" s="41" t="s">
        <v>11893</v>
      </c>
      <c r="G3879" s="41" t="s">
        <v>11897</v>
      </c>
      <c r="H3879" s="41" t="s">
        <v>11898</v>
      </c>
      <c r="I3879" s="43">
        <v>12</v>
      </c>
      <c r="J3879" s="44" t="str">
        <f>VLOOKUP(G3879,[1]硬件清单!$F:$F,1,0)</f>
        <v>210305756810HA000622</v>
      </c>
      <c r="K3879" s="43"/>
      <c r="L3879" s="44"/>
      <c r="M3879" s="45" t="s">
        <v>11899</v>
      </c>
    </row>
    <row r="3880" ht="30" customHeight="1" spans="1:13">
      <c r="A3880" s="41">
        <f>IF(C3880="","",SUBTOTAL(103,$C$2:C3880))</f>
        <v>3871</v>
      </c>
      <c r="B3880" s="41">
        <v>2160</v>
      </c>
      <c r="C3880" s="41">
        <v>3695</v>
      </c>
      <c r="D3880" s="41" t="s">
        <v>45</v>
      </c>
      <c r="E3880" s="41" t="s">
        <v>1298</v>
      </c>
      <c r="F3880" s="41" t="s">
        <v>11893</v>
      </c>
      <c r="G3880" s="41" t="s">
        <v>11900</v>
      </c>
      <c r="H3880" s="41" t="s">
        <v>11901</v>
      </c>
      <c r="I3880" s="43">
        <v>12</v>
      </c>
      <c r="J3880" s="44" t="str">
        <f>VLOOKUP(G3880,[1]硬件清单!$F:$F,1,0)</f>
        <v>210305756810HA000231</v>
      </c>
      <c r="K3880" s="43"/>
      <c r="L3880" s="44"/>
      <c r="M3880" s="45" t="s">
        <v>11902</v>
      </c>
    </row>
    <row r="3881" ht="30" customHeight="1" spans="1:13">
      <c r="A3881" s="41">
        <f>IF(C3881="","",SUBTOTAL(103,$C$2:C3881))</f>
        <v>3872</v>
      </c>
      <c r="B3881" s="41">
        <v>2161</v>
      </c>
      <c r="C3881" s="41">
        <v>3696</v>
      </c>
      <c r="D3881" s="41" t="s">
        <v>45</v>
      </c>
      <c r="E3881" s="41" t="s">
        <v>1298</v>
      </c>
      <c r="F3881" s="41" t="s">
        <v>11893</v>
      </c>
      <c r="G3881" s="41" t="s">
        <v>11903</v>
      </c>
      <c r="H3881" s="41" t="s">
        <v>11904</v>
      </c>
      <c r="I3881" s="43">
        <v>12</v>
      </c>
      <c r="J3881" s="44" t="str">
        <f>VLOOKUP(G3881,[1]硬件清单!$F:$F,1,0)</f>
        <v>210305756810HA000495</v>
      </c>
      <c r="K3881" s="43"/>
      <c r="L3881" s="44"/>
      <c r="M3881" s="45" t="s">
        <v>11905</v>
      </c>
    </row>
    <row r="3882" ht="30" customHeight="1" spans="1:13">
      <c r="A3882" s="41">
        <f>IF(C3882="","",SUBTOTAL(103,$C$2:C3882))</f>
        <v>3873</v>
      </c>
      <c r="B3882" s="41">
        <v>2162</v>
      </c>
      <c r="C3882" s="41">
        <v>3697</v>
      </c>
      <c r="D3882" s="41" t="s">
        <v>45</v>
      </c>
      <c r="E3882" s="41" t="s">
        <v>1298</v>
      </c>
      <c r="F3882" s="41" t="s">
        <v>11893</v>
      </c>
      <c r="G3882" s="41" t="s">
        <v>11906</v>
      </c>
      <c r="H3882" s="41" t="s">
        <v>11907</v>
      </c>
      <c r="I3882" s="43">
        <v>12</v>
      </c>
      <c r="J3882" s="44" t="str">
        <f>VLOOKUP(G3882,[1]硬件清单!$F:$F,1,0)</f>
        <v>210305756810HA000465</v>
      </c>
      <c r="K3882" s="43"/>
      <c r="L3882" s="44"/>
      <c r="M3882" s="45" t="s">
        <v>11908</v>
      </c>
    </row>
    <row r="3883" ht="30" customHeight="1" spans="1:13">
      <c r="A3883" s="41">
        <f>IF(C3883="","",SUBTOTAL(103,$C$2:C3883))</f>
        <v>3874</v>
      </c>
      <c r="B3883" s="41">
        <v>2163</v>
      </c>
      <c r="C3883" s="41">
        <v>3698</v>
      </c>
      <c r="D3883" s="41" t="s">
        <v>45</v>
      </c>
      <c r="E3883" s="41" t="s">
        <v>1298</v>
      </c>
      <c r="F3883" s="41" t="s">
        <v>11893</v>
      </c>
      <c r="G3883" s="41" t="s">
        <v>11909</v>
      </c>
      <c r="H3883" s="41" t="s">
        <v>11910</v>
      </c>
      <c r="I3883" s="43">
        <v>12</v>
      </c>
      <c r="J3883" s="44" t="str">
        <f>VLOOKUP(G3883,[1]硬件清单!$F:$F,1,0)</f>
        <v>210305756810HA000409</v>
      </c>
      <c r="K3883" s="43"/>
      <c r="L3883" s="44"/>
      <c r="M3883" s="45" t="s">
        <v>11911</v>
      </c>
    </row>
    <row r="3884" ht="30" customHeight="1" spans="1:13">
      <c r="A3884" s="41">
        <f>IF(C3884="","",SUBTOTAL(103,$C$2:C3884))</f>
        <v>3875</v>
      </c>
      <c r="B3884" s="41">
        <v>2164</v>
      </c>
      <c r="C3884" s="41">
        <v>3699</v>
      </c>
      <c r="D3884" s="41" t="s">
        <v>45</v>
      </c>
      <c r="E3884" s="41" t="s">
        <v>1298</v>
      </c>
      <c r="F3884" s="41" t="s">
        <v>11893</v>
      </c>
      <c r="G3884" s="41" t="s">
        <v>11912</v>
      </c>
      <c r="H3884" s="41" t="s">
        <v>11913</v>
      </c>
      <c r="I3884" s="43">
        <v>12</v>
      </c>
      <c r="J3884" s="44" t="str">
        <f>VLOOKUP(G3884,[1]硬件清单!$F:$F,1,0)</f>
        <v>210305756810HA000463</v>
      </c>
      <c r="K3884" s="43"/>
      <c r="L3884" s="44"/>
      <c r="M3884" s="45" t="s">
        <v>11914</v>
      </c>
    </row>
    <row r="3885" ht="30" customHeight="1" spans="1:13">
      <c r="A3885" s="41">
        <f>IF(C3885="","",SUBTOTAL(103,$C$2:C3885))</f>
        <v>3876</v>
      </c>
      <c r="B3885" s="41">
        <v>2165</v>
      </c>
      <c r="C3885" s="41">
        <v>3700</v>
      </c>
      <c r="D3885" s="41" t="s">
        <v>45</v>
      </c>
      <c r="E3885" s="41" t="s">
        <v>1298</v>
      </c>
      <c r="F3885" s="41" t="s">
        <v>11893</v>
      </c>
      <c r="G3885" s="41" t="s">
        <v>11915</v>
      </c>
      <c r="H3885" s="41" t="s">
        <v>11916</v>
      </c>
      <c r="I3885" s="43">
        <v>12</v>
      </c>
      <c r="J3885" s="44" t="str">
        <f>VLOOKUP(G3885,[1]硬件清单!$F:$F,1,0)</f>
        <v>210305756810HA000404</v>
      </c>
      <c r="K3885" s="43"/>
      <c r="L3885" s="44"/>
      <c r="M3885" s="45" t="s">
        <v>11917</v>
      </c>
    </row>
    <row r="3886" ht="30" customHeight="1" spans="1:13">
      <c r="A3886" s="41">
        <f>IF(C3886="","",SUBTOTAL(103,$C$2:C3886))</f>
        <v>3877</v>
      </c>
      <c r="B3886" s="41">
        <v>2166</v>
      </c>
      <c r="C3886" s="41">
        <v>3686</v>
      </c>
      <c r="D3886" s="41" t="s">
        <v>45</v>
      </c>
      <c r="E3886" s="41" t="s">
        <v>1298</v>
      </c>
      <c r="F3886" s="41" t="s">
        <v>11893</v>
      </c>
      <c r="G3886" s="41" t="s">
        <v>11918</v>
      </c>
      <c r="H3886" s="41" t="s">
        <v>11919</v>
      </c>
      <c r="I3886" s="43">
        <v>12</v>
      </c>
      <c r="J3886" s="44" t="str">
        <f>VLOOKUP(G3886,[1]硬件清单!$F:$F,1,0)</f>
        <v>210305756810HA000161</v>
      </c>
      <c r="K3886" s="43"/>
      <c r="L3886" s="44"/>
      <c r="M3886" s="45" t="s">
        <v>11920</v>
      </c>
    </row>
    <row r="3887" ht="30" customHeight="1" spans="1:13">
      <c r="A3887" s="41">
        <f>IF(C3887="","",SUBTOTAL(103,$C$2:C3887))</f>
        <v>3878</v>
      </c>
      <c r="B3887" s="41">
        <v>2167</v>
      </c>
      <c r="C3887" s="41">
        <v>3687</v>
      </c>
      <c r="D3887" s="41" t="s">
        <v>45</v>
      </c>
      <c r="E3887" s="41" t="s">
        <v>1298</v>
      </c>
      <c r="F3887" s="41" t="s">
        <v>11893</v>
      </c>
      <c r="G3887" s="41" t="s">
        <v>11921</v>
      </c>
      <c r="H3887" s="41" t="s">
        <v>11922</v>
      </c>
      <c r="I3887" s="43">
        <v>12</v>
      </c>
      <c r="J3887" s="44" t="str">
        <f>VLOOKUP(G3887,[1]硬件清单!$F:$F,1,0)</f>
        <v>210305756810HA000616</v>
      </c>
      <c r="K3887" s="43"/>
      <c r="L3887" s="44"/>
      <c r="M3887" s="45" t="s">
        <v>11923</v>
      </c>
    </row>
    <row r="3888" ht="30" customHeight="1" spans="1:13">
      <c r="A3888" s="41">
        <f>IF(C3888="","",SUBTOTAL(103,$C$2:C3888))</f>
        <v>3879</v>
      </c>
      <c r="B3888" s="41">
        <v>2168</v>
      </c>
      <c r="C3888" s="41">
        <v>3688</v>
      </c>
      <c r="D3888" s="41" t="s">
        <v>45</v>
      </c>
      <c r="E3888" s="41" t="s">
        <v>1298</v>
      </c>
      <c r="F3888" s="41" t="s">
        <v>11893</v>
      </c>
      <c r="G3888" s="41" t="s">
        <v>11924</v>
      </c>
      <c r="H3888" s="41" t="s">
        <v>11925</v>
      </c>
      <c r="I3888" s="43">
        <v>12</v>
      </c>
      <c r="J3888" s="44" t="str">
        <f>VLOOKUP(G3888,[1]硬件清单!$F:$F,1,0)</f>
        <v>210305756810HA000596</v>
      </c>
      <c r="K3888" s="43"/>
      <c r="L3888" s="44"/>
      <c r="M3888" s="45" t="s">
        <v>11926</v>
      </c>
    </row>
    <row r="3889" ht="30" customHeight="1" spans="1:13">
      <c r="A3889" s="41">
        <f>IF(C3889="","",SUBTOTAL(103,$C$2:C3889))</f>
        <v>3880</v>
      </c>
      <c r="B3889" s="41">
        <v>2169</v>
      </c>
      <c r="C3889" s="41">
        <v>3689</v>
      </c>
      <c r="D3889" s="41" t="s">
        <v>45</v>
      </c>
      <c r="E3889" s="41" t="s">
        <v>1298</v>
      </c>
      <c r="F3889" s="41" t="s">
        <v>11893</v>
      </c>
      <c r="G3889" s="41" t="s">
        <v>11927</v>
      </c>
      <c r="H3889" s="41" t="s">
        <v>11928</v>
      </c>
      <c r="I3889" s="43">
        <v>12</v>
      </c>
      <c r="J3889" s="44" t="str">
        <f>VLOOKUP(G3889,[1]硬件清单!$F:$F,1,0)</f>
        <v>210305756810HA000595</v>
      </c>
      <c r="K3889" s="43"/>
      <c r="L3889" s="44"/>
      <c r="M3889" s="45" t="s">
        <v>11929</v>
      </c>
    </row>
    <row r="3890" ht="30" customHeight="1" spans="1:13">
      <c r="A3890" s="41">
        <f>IF(C3890="","",SUBTOTAL(103,$C$2:C3890))</f>
        <v>3881</v>
      </c>
      <c r="B3890" s="41">
        <v>2170</v>
      </c>
      <c r="C3890" s="41">
        <v>3690</v>
      </c>
      <c r="D3890" s="41" t="s">
        <v>45</v>
      </c>
      <c r="E3890" s="41" t="s">
        <v>1298</v>
      </c>
      <c r="F3890" s="41" t="s">
        <v>11893</v>
      </c>
      <c r="G3890" s="41" t="s">
        <v>11930</v>
      </c>
      <c r="H3890" s="41" t="s">
        <v>11931</v>
      </c>
      <c r="I3890" s="43">
        <v>12</v>
      </c>
      <c r="J3890" s="44" t="str">
        <f>VLOOKUP(G3890,[1]硬件清单!$F:$F,1,0)</f>
        <v>210305756810HA000620</v>
      </c>
      <c r="K3890" s="43"/>
      <c r="L3890" s="44"/>
      <c r="M3890" s="45" t="s">
        <v>11932</v>
      </c>
    </row>
    <row r="3891" ht="30" customHeight="1" spans="1:13">
      <c r="A3891" s="41">
        <f>IF(C3891="","",SUBTOTAL(103,$C$2:C3891))</f>
        <v>3882</v>
      </c>
      <c r="B3891" s="41">
        <v>2171</v>
      </c>
      <c r="C3891" s="41">
        <v>3691</v>
      </c>
      <c r="D3891" s="41" t="s">
        <v>45</v>
      </c>
      <c r="E3891" s="41" t="s">
        <v>1298</v>
      </c>
      <c r="F3891" s="41" t="s">
        <v>11893</v>
      </c>
      <c r="G3891" s="41" t="s">
        <v>11933</v>
      </c>
      <c r="H3891" s="41" t="s">
        <v>11934</v>
      </c>
      <c r="I3891" s="43">
        <v>12</v>
      </c>
      <c r="J3891" s="44" t="str">
        <f>VLOOKUP(G3891,[1]硬件清单!$F:$F,1,0)</f>
        <v>210305756810HA000607</v>
      </c>
      <c r="K3891" s="43"/>
      <c r="L3891" s="44"/>
      <c r="M3891" s="45" t="s">
        <v>11935</v>
      </c>
    </row>
    <row r="3892" ht="30" customHeight="1" spans="1:13">
      <c r="A3892" s="41">
        <f>IF(C3892="","",SUBTOTAL(103,$C$2:C3892))</f>
        <v>3883</v>
      </c>
      <c r="B3892" s="41">
        <v>2172</v>
      </c>
      <c r="C3892" s="41">
        <v>3692</v>
      </c>
      <c r="D3892" s="41" t="s">
        <v>45</v>
      </c>
      <c r="E3892" s="41" t="s">
        <v>1298</v>
      </c>
      <c r="F3892" s="41" t="s">
        <v>11893</v>
      </c>
      <c r="G3892" s="41" t="s">
        <v>11936</v>
      </c>
      <c r="H3892" s="41" t="s">
        <v>11937</v>
      </c>
      <c r="I3892" s="43">
        <v>12</v>
      </c>
      <c r="J3892" s="44" t="str">
        <f>VLOOKUP(G3892,[1]硬件清单!$F:$F,1,0)</f>
        <v>210305756810HA000186</v>
      </c>
      <c r="K3892" s="43"/>
      <c r="L3892" s="44"/>
      <c r="M3892" s="45" t="s">
        <v>11938</v>
      </c>
    </row>
    <row r="3893" ht="30" customHeight="1" spans="1:13">
      <c r="A3893" s="41">
        <f>IF(C3893="","",SUBTOTAL(103,$C$2:C3893))</f>
        <v>3884</v>
      </c>
      <c r="B3893" s="41">
        <v>2173</v>
      </c>
      <c r="C3893" s="41">
        <v>3693</v>
      </c>
      <c r="D3893" s="41" t="s">
        <v>45</v>
      </c>
      <c r="E3893" s="41" t="s">
        <v>1298</v>
      </c>
      <c r="F3893" s="41" t="s">
        <v>11893</v>
      </c>
      <c r="G3893" s="41" t="s">
        <v>11939</v>
      </c>
      <c r="H3893" s="41" t="s">
        <v>11940</v>
      </c>
      <c r="I3893" s="43">
        <v>12</v>
      </c>
      <c r="J3893" s="44" t="str">
        <f>VLOOKUP(G3893,[1]硬件清单!$F:$F,1,0)</f>
        <v>210305756810HA000449</v>
      </c>
      <c r="K3893" s="43"/>
      <c r="L3893" s="44"/>
      <c r="M3893" s="45" t="s">
        <v>11941</v>
      </c>
    </row>
    <row r="3894" ht="30" customHeight="1" spans="1:13">
      <c r="A3894" s="41">
        <f>IF(C3894="","",SUBTOTAL(103,$C$2:C3894))</f>
        <v>3885</v>
      </c>
      <c r="B3894" s="41">
        <v>2174</v>
      </c>
      <c r="C3894" s="41">
        <v>4212</v>
      </c>
      <c r="D3894" s="41" t="s">
        <v>45</v>
      </c>
      <c r="E3894" s="41" t="s">
        <v>1298</v>
      </c>
      <c r="F3894" s="41" t="s">
        <v>11889</v>
      </c>
      <c r="G3894" s="41" t="s">
        <v>11942</v>
      </c>
      <c r="H3894" s="41" t="s">
        <v>11943</v>
      </c>
      <c r="I3894" s="43">
        <v>12</v>
      </c>
      <c r="J3894" s="44" t="str">
        <f>VLOOKUP(G3894,[1]硬件清单!$F:$F,1,0)</f>
        <v>2102300742N0H9000630/210230102810HA000095</v>
      </c>
      <c r="K3894" s="43"/>
      <c r="L3894" s="44"/>
      <c r="M3894" s="47" t="s">
        <v>11944</v>
      </c>
    </row>
    <row r="3895" ht="30" customHeight="1" spans="1:13">
      <c r="A3895" s="41">
        <f>IF(C3895="","",SUBTOTAL(103,$C$2:C3895))</f>
        <v>3886</v>
      </c>
      <c r="B3895" s="41">
        <v>2175</v>
      </c>
      <c r="C3895" s="41">
        <v>3701</v>
      </c>
      <c r="D3895" s="41" t="s">
        <v>45</v>
      </c>
      <c r="E3895" s="41" t="s">
        <v>1298</v>
      </c>
      <c r="F3895" s="41" t="s">
        <v>11893</v>
      </c>
      <c r="G3895" s="41" t="s">
        <v>11945</v>
      </c>
      <c r="H3895" s="41" t="s">
        <v>11946</v>
      </c>
      <c r="I3895" s="43">
        <v>12</v>
      </c>
      <c r="J3895" s="44" t="str">
        <f>VLOOKUP(G3895,[1]硬件清单!$F:$F,1,0)</f>
        <v>210305756810HA000227</v>
      </c>
      <c r="K3895" s="43"/>
      <c r="L3895" s="44"/>
      <c r="M3895" s="45" t="s">
        <v>11947</v>
      </c>
    </row>
    <row r="3896" s="26" customFormat="1" ht="30" customHeight="1" spans="1:13">
      <c r="A3896" s="41">
        <f>IF(C3896="","",SUBTOTAL(103,$C$2:C3896))</f>
        <v>3887</v>
      </c>
      <c r="B3896" s="41">
        <v>2176</v>
      </c>
      <c r="C3896" s="41">
        <v>3710</v>
      </c>
      <c r="D3896" s="41" t="s">
        <v>45</v>
      </c>
      <c r="E3896" s="41" t="s">
        <v>1298</v>
      </c>
      <c r="F3896" s="41" t="s">
        <v>11893</v>
      </c>
      <c r="G3896" s="41" t="s">
        <v>11948</v>
      </c>
      <c r="H3896" s="41" t="s">
        <v>11949</v>
      </c>
      <c r="I3896" s="43">
        <v>12</v>
      </c>
      <c r="J3896" s="44" t="str">
        <f>VLOOKUP(G3896,[1]硬件清单!$F:$F,1,0)</f>
        <v>210305756810HA000164</v>
      </c>
      <c r="K3896" s="43"/>
      <c r="L3896" s="44"/>
      <c r="M3896" s="45" t="s">
        <v>11950</v>
      </c>
    </row>
    <row r="3897" s="26" customFormat="1" ht="30" customHeight="1" spans="1:13">
      <c r="A3897" s="41">
        <f>IF(C3897="","",SUBTOTAL(103,$C$2:C3897))</f>
        <v>3888</v>
      </c>
      <c r="B3897" s="41">
        <v>2177</v>
      </c>
      <c r="C3897" s="41">
        <v>3711</v>
      </c>
      <c r="D3897" s="41" t="s">
        <v>45</v>
      </c>
      <c r="E3897" s="41" t="s">
        <v>1298</v>
      </c>
      <c r="F3897" s="41" t="s">
        <v>11893</v>
      </c>
      <c r="G3897" s="41" t="s">
        <v>11951</v>
      </c>
      <c r="H3897" s="41" t="s">
        <v>11952</v>
      </c>
      <c r="I3897" s="43">
        <v>12</v>
      </c>
      <c r="J3897" s="44" t="str">
        <f>VLOOKUP(G3897,[1]硬件清单!$F:$F,1,0)</f>
        <v>210305756810HA000195</v>
      </c>
      <c r="K3897" s="43"/>
      <c r="L3897" s="44"/>
      <c r="M3897" s="45" t="s">
        <v>11953</v>
      </c>
    </row>
    <row r="3898" s="26" customFormat="1" ht="30" customHeight="1" spans="1:13">
      <c r="A3898" s="41">
        <f>IF(C3898="","",SUBTOTAL(103,$C$2:C3898))</f>
        <v>3889</v>
      </c>
      <c r="B3898" s="41">
        <v>2178</v>
      </c>
      <c r="C3898" s="41">
        <v>3712</v>
      </c>
      <c r="D3898" s="41" t="s">
        <v>45</v>
      </c>
      <c r="E3898" s="41" t="s">
        <v>1298</v>
      </c>
      <c r="F3898" s="41" t="s">
        <v>11893</v>
      </c>
      <c r="G3898" s="41" t="s">
        <v>11954</v>
      </c>
      <c r="H3898" s="41" t="s">
        <v>11955</v>
      </c>
      <c r="I3898" s="43">
        <v>12</v>
      </c>
      <c r="J3898" s="44" t="str">
        <f>VLOOKUP(G3898,[1]硬件清单!$F:$F,1,0)</f>
        <v>210305756810HA000392</v>
      </c>
      <c r="K3898" s="43"/>
      <c r="L3898" s="44"/>
      <c r="M3898" s="45" t="s">
        <v>11956</v>
      </c>
    </row>
    <row r="3899" s="26" customFormat="1" ht="30" customHeight="1" spans="1:13">
      <c r="A3899" s="41">
        <f>IF(C3899="","",SUBTOTAL(103,$C$2:C3899))</f>
        <v>3890</v>
      </c>
      <c r="B3899" s="41">
        <v>2179</v>
      </c>
      <c r="C3899" s="41">
        <v>3713</v>
      </c>
      <c r="D3899" s="41" t="s">
        <v>45</v>
      </c>
      <c r="E3899" s="41" t="s">
        <v>1298</v>
      </c>
      <c r="F3899" s="41" t="s">
        <v>11893</v>
      </c>
      <c r="G3899" s="41" t="s">
        <v>11957</v>
      </c>
      <c r="H3899" s="41" t="s">
        <v>11958</v>
      </c>
      <c r="I3899" s="43">
        <v>12</v>
      </c>
      <c r="J3899" s="44" t="str">
        <f>VLOOKUP(G3899,[1]硬件清单!$F:$F,1,0)</f>
        <v>210305756810HA000393</v>
      </c>
      <c r="K3899" s="43"/>
      <c r="L3899" s="44"/>
      <c r="M3899" s="45" t="s">
        <v>11959</v>
      </c>
    </row>
    <row r="3900" s="26" customFormat="1" ht="30" customHeight="1" spans="1:13">
      <c r="A3900" s="41">
        <f>IF(C3900="","",SUBTOTAL(103,$C$2:C3900))</f>
        <v>3891</v>
      </c>
      <c r="B3900" s="41">
        <v>2180</v>
      </c>
      <c r="C3900" s="41">
        <v>3714</v>
      </c>
      <c r="D3900" s="41" t="s">
        <v>45</v>
      </c>
      <c r="E3900" s="41" t="s">
        <v>1298</v>
      </c>
      <c r="F3900" s="41" t="s">
        <v>11893</v>
      </c>
      <c r="G3900" s="41" t="s">
        <v>11960</v>
      </c>
      <c r="H3900" s="41" t="s">
        <v>11961</v>
      </c>
      <c r="I3900" s="43">
        <v>12</v>
      </c>
      <c r="J3900" s="44" t="str">
        <f>VLOOKUP(G3900,[1]硬件清单!$F:$F,1,0)</f>
        <v>210305756810HA000215</v>
      </c>
      <c r="K3900" s="43"/>
      <c r="L3900" s="44"/>
      <c r="M3900" s="45" t="s">
        <v>11962</v>
      </c>
    </row>
    <row r="3901" ht="30" customHeight="1" spans="1:13">
      <c r="A3901" s="41">
        <f>IF(C3901="","",SUBTOTAL(103,$C$2:C3901))</f>
        <v>3892</v>
      </c>
      <c r="B3901" s="41">
        <v>2181</v>
      </c>
      <c r="C3901" s="41">
        <v>3715</v>
      </c>
      <c r="D3901" s="41" t="s">
        <v>45</v>
      </c>
      <c r="E3901" s="41" t="s">
        <v>1298</v>
      </c>
      <c r="F3901" s="41" t="s">
        <v>11893</v>
      </c>
      <c r="G3901" s="41" t="s">
        <v>11963</v>
      </c>
      <c r="H3901" s="41" t="s">
        <v>11964</v>
      </c>
      <c r="I3901" s="43">
        <v>12</v>
      </c>
      <c r="J3901" s="44" t="str">
        <f>VLOOKUP(G3901,[1]硬件清单!$F:$F,1,0)</f>
        <v>210305756810HA000169</v>
      </c>
      <c r="K3901" s="43"/>
      <c r="L3901" s="44"/>
      <c r="M3901" s="45" t="s">
        <v>11965</v>
      </c>
    </row>
    <row r="3902" ht="30" customHeight="1" spans="1:13">
      <c r="A3902" s="41">
        <f>IF(C3902="","",SUBTOTAL(103,$C$2:C3902))</f>
        <v>3893</v>
      </c>
      <c r="B3902" s="41">
        <v>2182</v>
      </c>
      <c r="C3902" s="41">
        <v>3716</v>
      </c>
      <c r="D3902" s="41" t="s">
        <v>45</v>
      </c>
      <c r="E3902" s="41" t="s">
        <v>1298</v>
      </c>
      <c r="F3902" s="41" t="s">
        <v>11893</v>
      </c>
      <c r="G3902" s="41" t="s">
        <v>11966</v>
      </c>
      <c r="H3902" s="41" t="s">
        <v>11967</v>
      </c>
      <c r="I3902" s="43">
        <v>12</v>
      </c>
      <c r="J3902" s="44" t="str">
        <f>VLOOKUP(G3902,[1]硬件清单!$F:$F,1,0)</f>
        <v>210305756810HA000606</v>
      </c>
      <c r="K3902" s="43"/>
      <c r="L3902" s="44"/>
      <c r="M3902" s="45" t="s">
        <v>11968</v>
      </c>
    </row>
    <row r="3903" ht="30" customHeight="1" spans="1:13">
      <c r="A3903" s="41">
        <f>IF(C3903="","",SUBTOTAL(103,$C$2:C3903))</f>
        <v>3894</v>
      </c>
      <c r="B3903" s="41">
        <v>2183</v>
      </c>
      <c r="C3903" s="41">
        <v>3702</v>
      </c>
      <c r="D3903" s="41" t="s">
        <v>45</v>
      </c>
      <c r="E3903" s="41" t="s">
        <v>1298</v>
      </c>
      <c r="F3903" s="41" t="s">
        <v>11893</v>
      </c>
      <c r="G3903" s="41" t="s">
        <v>11969</v>
      </c>
      <c r="H3903" s="41" t="s">
        <v>11970</v>
      </c>
      <c r="I3903" s="43">
        <v>12</v>
      </c>
      <c r="J3903" s="44" t="str">
        <f>VLOOKUP(G3903,[1]硬件清单!$F:$F,1,0)</f>
        <v>210305756810HA000480</v>
      </c>
      <c r="K3903" s="43"/>
      <c r="L3903" s="44"/>
      <c r="M3903" s="45" t="s">
        <v>11971</v>
      </c>
    </row>
    <row r="3904" ht="30" customHeight="1" spans="1:13">
      <c r="A3904" s="41">
        <f>IF(C3904="","",SUBTOTAL(103,$C$2:C3904))</f>
        <v>3895</v>
      </c>
      <c r="B3904" s="41">
        <v>2184</v>
      </c>
      <c r="C3904" s="41">
        <v>3703</v>
      </c>
      <c r="D3904" s="41" t="s">
        <v>45</v>
      </c>
      <c r="E3904" s="41" t="s">
        <v>1298</v>
      </c>
      <c r="F3904" s="41" t="s">
        <v>11893</v>
      </c>
      <c r="G3904" s="41" t="s">
        <v>11972</v>
      </c>
      <c r="H3904" s="41" t="s">
        <v>11973</v>
      </c>
      <c r="I3904" s="43">
        <v>12</v>
      </c>
      <c r="J3904" s="44" t="str">
        <f>VLOOKUP(G3904,[1]硬件清单!$F:$F,1,0)</f>
        <v>210305756810HA000386</v>
      </c>
      <c r="K3904" s="43"/>
      <c r="L3904" s="44"/>
      <c r="M3904" s="45" t="s">
        <v>11974</v>
      </c>
    </row>
    <row r="3905" ht="30" customHeight="1" spans="1:13">
      <c r="A3905" s="41">
        <f>IF(C3905="","",SUBTOTAL(103,$C$2:C3905))</f>
        <v>3896</v>
      </c>
      <c r="B3905" s="41">
        <v>2185</v>
      </c>
      <c r="C3905" s="41">
        <v>3704</v>
      </c>
      <c r="D3905" s="41" t="s">
        <v>45</v>
      </c>
      <c r="E3905" s="41" t="s">
        <v>1298</v>
      </c>
      <c r="F3905" s="41" t="s">
        <v>11893</v>
      </c>
      <c r="G3905" s="41" t="s">
        <v>11975</v>
      </c>
      <c r="H3905" s="41" t="s">
        <v>11976</v>
      </c>
      <c r="I3905" s="43">
        <v>12</v>
      </c>
      <c r="J3905" s="44" t="str">
        <f>VLOOKUP(G3905,[1]硬件清单!$F:$F,1,0)</f>
        <v>210305756810HA000160</v>
      </c>
      <c r="K3905" s="43"/>
      <c r="L3905" s="44"/>
      <c r="M3905" s="45" t="s">
        <v>11977</v>
      </c>
    </row>
    <row r="3906" ht="30" customHeight="1" spans="1:13">
      <c r="A3906" s="41">
        <f>IF(C3906="","",SUBTOTAL(103,$C$2:C3906))</f>
        <v>3897</v>
      </c>
      <c r="B3906" s="41">
        <v>2186</v>
      </c>
      <c r="C3906" s="41">
        <v>3705</v>
      </c>
      <c r="D3906" s="41" t="s">
        <v>45</v>
      </c>
      <c r="E3906" s="41" t="s">
        <v>1298</v>
      </c>
      <c r="F3906" s="41" t="s">
        <v>11893</v>
      </c>
      <c r="G3906" s="41" t="s">
        <v>11978</v>
      </c>
      <c r="H3906" s="41" t="s">
        <v>11979</v>
      </c>
      <c r="I3906" s="43">
        <v>12</v>
      </c>
      <c r="J3906" s="44" t="str">
        <f>VLOOKUP(G3906,[1]硬件清单!$F:$F,1,0)</f>
        <v>210305756810HA000362</v>
      </c>
      <c r="K3906" s="43"/>
      <c r="L3906" s="44"/>
      <c r="M3906" s="45" t="s">
        <v>11980</v>
      </c>
    </row>
    <row r="3907" ht="30" customHeight="1" spans="1:13">
      <c r="A3907" s="41">
        <f>IF(C3907="","",SUBTOTAL(103,$C$2:C3907))</f>
        <v>3898</v>
      </c>
      <c r="B3907" s="41">
        <v>2187</v>
      </c>
      <c r="C3907" s="41">
        <v>3706</v>
      </c>
      <c r="D3907" s="41" t="s">
        <v>45</v>
      </c>
      <c r="E3907" s="41" t="s">
        <v>1298</v>
      </c>
      <c r="F3907" s="41" t="s">
        <v>11893</v>
      </c>
      <c r="G3907" s="41" t="s">
        <v>11981</v>
      </c>
      <c r="H3907" s="41" t="s">
        <v>11982</v>
      </c>
      <c r="I3907" s="43">
        <v>12</v>
      </c>
      <c r="J3907" s="44" t="str">
        <f>VLOOKUP(G3907,[1]硬件清单!$F:$F,1,0)</f>
        <v>210305756810HA000487</v>
      </c>
      <c r="K3907" s="43"/>
      <c r="L3907" s="44"/>
      <c r="M3907" s="45" t="s">
        <v>11983</v>
      </c>
    </row>
    <row r="3908" ht="30" customHeight="1" spans="1:13">
      <c r="A3908" s="41">
        <f>IF(C3908="","",SUBTOTAL(103,$C$2:C3908))</f>
        <v>3899</v>
      </c>
      <c r="B3908" s="41">
        <v>2188</v>
      </c>
      <c r="C3908" s="41">
        <v>3707</v>
      </c>
      <c r="D3908" s="41" t="s">
        <v>45</v>
      </c>
      <c r="E3908" s="41" t="s">
        <v>1298</v>
      </c>
      <c r="F3908" s="41" t="s">
        <v>11893</v>
      </c>
      <c r="G3908" s="41" t="s">
        <v>11984</v>
      </c>
      <c r="H3908" s="41" t="s">
        <v>11985</v>
      </c>
      <c r="I3908" s="43">
        <v>12</v>
      </c>
      <c r="J3908" s="44" t="str">
        <f>VLOOKUP(G3908,[1]硬件清单!$F:$F,1,0)</f>
        <v>210305756810HA000202</v>
      </c>
      <c r="K3908" s="43"/>
      <c r="L3908" s="44"/>
      <c r="M3908" s="45" t="s">
        <v>11986</v>
      </c>
    </row>
    <row r="3909" ht="30" customHeight="1" spans="1:13">
      <c r="A3909" s="41">
        <f>IF(C3909="","",SUBTOTAL(103,$C$2:C3909))</f>
        <v>3900</v>
      </c>
      <c r="B3909" s="41">
        <v>2189</v>
      </c>
      <c r="C3909" s="41">
        <v>3708</v>
      </c>
      <c r="D3909" s="41" t="s">
        <v>45</v>
      </c>
      <c r="E3909" s="41" t="s">
        <v>1298</v>
      </c>
      <c r="F3909" s="41" t="s">
        <v>11893</v>
      </c>
      <c r="G3909" s="41" t="s">
        <v>11987</v>
      </c>
      <c r="H3909" s="41" t="s">
        <v>11988</v>
      </c>
      <c r="I3909" s="43">
        <v>12</v>
      </c>
      <c r="J3909" s="44" t="str">
        <f>VLOOKUP(G3909,[1]硬件清单!$F:$F,1,0)</f>
        <v>210305756810HA000443</v>
      </c>
      <c r="K3909" s="43"/>
      <c r="L3909" s="44"/>
      <c r="M3909" s="45" t="s">
        <v>11989</v>
      </c>
    </row>
    <row r="3910" ht="30" customHeight="1" spans="1:13">
      <c r="A3910" s="41">
        <f>IF(C3910="","",SUBTOTAL(103,$C$2:C3910))</f>
        <v>3901</v>
      </c>
      <c r="B3910" s="41">
        <v>2190</v>
      </c>
      <c r="C3910" s="41">
        <v>3709</v>
      </c>
      <c r="D3910" s="41" t="s">
        <v>45</v>
      </c>
      <c r="E3910" s="41" t="s">
        <v>1298</v>
      </c>
      <c r="F3910" s="41" t="s">
        <v>11893</v>
      </c>
      <c r="G3910" s="41" t="s">
        <v>11990</v>
      </c>
      <c r="H3910" s="41" t="s">
        <v>11991</v>
      </c>
      <c r="I3910" s="43">
        <v>12</v>
      </c>
      <c r="J3910" s="44" t="str">
        <f>VLOOKUP(G3910,[1]硬件清单!$F:$F,1,0)</f>
        <v>210305756810HA000196</v>
      </c>
      <c r="K3910" s="43"/>
      <c r="L3910" s="44"/>
      <c r="M3910" s="45" t="s">
        <v>11992</v>
      </c>
    </row>
    <row r="3911" ht="30" customHeight="1" spans="1:13">
      <c r="A3911" s="41">
        <f>IF(C3911="","",SUBTOTAL(103,$C$2:C3911))</f>
        <v>3902</v>
      </c>
      <c r="B3911" s="41">
        <v>2191</v>
      </c>
      <c r="C3911" s="41">
        <v>3605</v>
      </c>
      <c r="D3911" s="41" t="s">
        <v>45</v>
      </c>
      <c r="E3911" s="41" t="s">
        <v>1298</v>
      </c>
      <c r="F3911" s="41" t="s">
        <v>11893</v>
      </c>
      <c r="G3911" s="41" t="s">
        <v>11993</v>
      </c>
      <c r="H3911" s="41" t="s">
        <v>11994</v>
      </c>
      <c r="I3911" s="43">
        <v>12</v>
      </c>
      <c r="J3911" s="44" t="str">
        <f>VLOOKUP(G3911,[1]硬件清单!$F:$F,1,0)</f>
        <v>210305756810HA000345</v>
      </c>
      <c r="K3911" s="43"/>
      <c r="L3911" s="44"/>
      <c r="M3911" s="45" t="s">
        <v>11995</v>
      </c>
    </row>
    <row r="3912" ht="30" customHeight="1" spans="1:13">
      <c r="A3912" s="41">
        <f>IF(C3912="","",SUBTOTAL(103,$C$2:C3912))</f>
        <v>3903</v>
      </c>
      <c r="B3912" s="41">
        <v>2192</v>
      </c>
      <c r="C3912" s="41">
        <v>3614</v>
      </c>
      <c r="D3912" s="41" t="s">
        <v>45</v>
      </c>
      <c r="E3912" s="41" t="s">
        <v>1298</v>
      </c>
      <c r="F3912" s="41" t="s">
        <v>11893</v>
      </c>
      <c r="G3912" s="41" t="s">
        <v>11996</v>
      </c>
      <c r="H3912" s="41" t="s">
        <v>11997</v>
      </c>
      <c r="I3912" s="43">
        <v>12</v>
      </c>
      <c r="J3912" s="44" t="str">
        <f>VLOOKUP(G3912,[1]硬件清单!$F:$F,1,0)</f>
        <v>210305756810HA000314</v>
      </c>
      <c r="K3912" s="43"/>
      <c r="L3912" s="44"/>
      <c r="M3912" s="45" t="s">
        <v>11998</v>
      </c>
    </row>
    <row r="3913" ht="30" customHeight="1" spans="1:13">
      <c r="A3913" s="41">
        <f>IF(C3913="","",SUBTOTAL(103,$C$2:C3913))</f>
        <v>3904</v>
      </c>
      <c r="B3913" s="41">
        <v>2193</v>
      </c>
      <c r="C3913" s="41">
        <v>3615</v>
      </c>
      <c r="D3913" s="41" t="s">
        <v>45</v>
      </c>
      <c r="E3913" s="41" t="s">
        <v>1298</v>
      </c>
      <c r="F3913" s="41" t="s">
        <v>11893</v>
      </c>
      <c r="G3913" s="41" t="s">
        <v>11999</v>
      </c>
      <c r="H3913" s="41" t="s">
        <v>12000</v>
      </c>
      <c r="I3913" s="43">
        <v>12</v>
      </c>
      <c r="J3913" s="44" t="str">
        <f>VLOOKUP(G3913,[1]硬件清单!$F:$F,1,0)</f>
        <v>210305756810HA000574</v>
      </c>
      <c r="K3913" s="43"/>
      <c r="L3913" s="44"/>
      <c r="M3913" s="45" t="s">
        <v>12001</v>
      </c>
    </row>
    <row r="3914" ht="30" customHeight="1" spans="1:13">
      <c r="A3914" s="41">
        <f>IF(C3914="","",SUBTOTAL(103,$C$2:C3914))</f>
        <v>3905</v>
      </c>
      <c r="B3914" s="41">
        <v>2194</v>
      </c>
      <c r="C3914" s="41">
        <v>3616</v>
      </c>
      <c r="D3914" s="41" t="s">
        <v>45</v>
      </c>
      <c r="E3914" s="41" t="s">
        <v>1298</v>
      </c>
      <c r="F3914" s="41" t="s">
        <v>11893</v>
      </c>
      <c r="G3914" s="41" t="s">
        <v>12002</v>
      </c>
      <c r="H3914" s="41" t="s">
        <v>12003</v>
      </c>
      <c r="I3914" s="43">
        <v>12</v>
      </c>
      <c r="J3914" s="44" t="str">
        <f>VLOOKUP(G3914,[1]硬件清单!$F:$F,1,0)</f>
        <v>210305756810HA000581</v>
      </c>
      <c r="K3914" s="43"/>
      <c r="L3914" s="44"/>
      <c r="M3914" s="45" t="s">
        <v>12004</v>
      </c>
    </row>
    <row r="3915" ht="30" customHeight="1" spans="1:13">
      <c r="A3915" s="41">
        <f>IF(C3915="","",SUBTOTAL(103,$C$2:C3915))</f>
        <v>3906</v>
      </c>
      <c r="B3915" s="41">
        <v>2195</v>
      </c>
      <c r="C3915" s="41">
        <v>3617</v>
      </c>
      <c r="D3915" s="41" t="s">
        <v>45</v>
      </c>
      <c r="E3915" s="41" t="s">
        <v>1298</v>
      </c>
      <c r="F3915" s="41" t="s">
        <v>11893</v>
      </c>
      <c r="G3915" s="41" t="s">
        <v>12005</v>
      </c>
      <c r="H3915" s="41" t="s">
        <v>12006</v>
      </c>
      <c r="I3915" s="43">
        <v>12</v>
      </c>
      <c r="J3915" s="44" t="str">
        <f>VLOOKUP(G3915,[1]硬件清单!$F:$F,1,0)</f>
        <v>210305756810HA000341</v>
      </c>
      <c r="K3915" s="43"/>
      <c r="L3915" s="44"/>
      <c r="M3915" s="45" t="s">
        <v>12007</v>
      </c>
    </row>
    <row r="3916" s="26" customFormat="1" ht="30" customHeight="1" spans="1:13">
      <c r="A3916" s="41">
        <f>IF(C3916="","",SUBTOTAL(103,$C$2:C3916))</f>
        <v>3907</v>
      </c>
      <c r="B3916" s="41">
        <v>2196</v>
      </c>
      <c r="C3916" s="41">
        <v>3618</v>
      </c>
      <c r="D3916" s="41" t="s">
        <v>45</v>
      </c>
      <c r="E3916" s="41" t="s">
        <v>1298</v>
      </c>
      <c r="F3916" s="41" t="s">
        <v>11893</v>
      </c>
      <c r="G3916" s="41" t="s">
        <v>12008</v>
      </c>
      <c r="H3916" s="41" t="s">
        <v>12009</v>
      </c>
      <c r="I3916" s="43">
        <v>12</v>
      </c>
      <c r="J3916" s="44" t="str">
        <f>VLOOKUP(G3916,[1]硬件清单!$F:$F,1,0)</f>
        <v>210305756810HA000332</v>
      </c>
      <c r="K3916" s="43"/>
      <c r="L3916" s="44"/>
      <c r="M3916" s="45" t="s">
        <v>12010</v>
      </c>
    </row>
    <row r="3917" s="26" customFormat="1" ht="30" customHeight="1" spans="1:13">
      <c r="A3917" s="41">
        <f>IF(C3917="","",SUBTOTAL(103,$C$2:C3917))</f>
        <v>3908</v>
      </c>
      <c r="B3917" s="41">
        <v>2197</v>
      </c>
      <c r="C3917" s="41">
        <v>3619</v>
      </c>
      <c r="D3917" s="41" t="s">
        <v>45</v>
      </c>
      <c r="E3917" s="41" t="s">
        <v>1298</v>
      </c>
      <c r="F3917" s="41" t="s">
        <v>11893</v>
      </c>
      <c r="G3917" s="41" t="s">
        <v>12011</v>
      </c>
      <c r="H3917" s="41" t="s">
        <v>12012</v>
      </c>
      <c r="I3917" s="43">
        <v>12</v>
      </c>
      <c r="J3917" s="44" t="str">
        <f>VLOOKUP(G3917,[1]硬件清单!$F:$F,1,0)</f>
        <v>210305756810HA000265</v>
      </c>
      <c r="K3917" s="43"/>
      <c r="L3917" s="44"/>
      <c r="M3917" s="45" t="s">
        <v>12013</v>
      </c>
    </row>
    <row r="3918" ht="30" customHeight="1" spans="1:13">
      <c r="A3918" s="41">
        <f>IF(C3918="","",SUBTOTAL(103,$C$2:C3918))</f>
        <v>3909</v>
      </c>
      <c r="B3918" s="41">
        <v>2198</v>
      </c>
      <c r="C3918" s="41">
        <v>3620</v>
      </c>
      <c r="D3918" s="41" t="s">
        <v>45</v>
      </c>
      <c r="E3918" s="41" t="s">
        <v>1298</v>
      </c>
      <c r="F3918" s="41" t="s">
        <v>11893</v>
      </c>
      <c r="G3918" s="41" t="s">
        <v>12014</v>
      </c>
      <c r="H3918" s="41" t="s">
        <v>12015</v>
      </c>
      <c r="I3918" s="43">
        <v>12</v>
      </c>
      <c r="J3918" s="44" t="str">
        <f>VLOOKUP(G3918,[1]硬件清单!$F:$F,1,0)</f>
        <v>210305756810HA000317</v>
      </c>
      <c r="K3918" s="43"/>
      <c r="L3918" s="44"/>
      <c r="M3918" s="45" t="s">
        <v>12016</v>
      </c>
    </row>
    <row r="3919" ht="30" customHeight="1" spans="1:13">
      <c r="A3919" s="41">
        <f>IF(C3919="","",SUBTOTAL(103,$C$2:C3919))</f>
        <v>3910</v>
      </c>
      <c r="B3919" s="41">
        <v>2199</v>
      </c>
      <c r="C3919" s="41">
        <v>3606</v>
      </c>
      <c r="D3919" s="41" t="s">
        <v>45</v>
      </c>
      <c r="E3919" s="41" t="s">
        <v>1298</v>
      </c>
      <c r="F3919" s="41" t="s">
        <v>11893</v>
      </c>
      <c r="G3919" s="41" t="s">
        <v>12017</v>
      </c>
      <c r="H3919" s="41" t="s">
        <v>12018</v>
      </c>
      <c r="I3919" s="43">
        <v>12</v>
      </c>
      <c r="J3919" s="44" t="str">
        <f>VLOOKUP(G3919,[1]硬件清单!$F:$F,1,0)</f>
        <v>210305756810HA000337</v>
      </c>
      <c r="K3919" s="43"/>
      <c r="L3919" s="44"/>
      <c r="M3919" s="45" t="s">
        <v>12019</v>
      </c>
    </row>
    <row r="3920" s="26" customFormat="1" ht="30" customHeight="1" spans="1:13">
      <c r="A3920" s="41">
        <f>IF(C3920="","",SUBTOTAL(103,$C$2:C3920))</f>
        <v>3911</v>
      </c>
      <c r="B3920" s="41">
        <v>2200</v>
      </c>
      <c r="C3920" s="41">
        <v>3607</v>
      </c>
      <c r="D3920" s="41" t="s">
        <v>45</v>
      </c>
      <c r="E3920" s="41" t="s">
        <v>1298</v>
      </c>
      <c r="F3920" s="41" t="s">
        <v>11893</v>
      </c>
      <c r="G3920" s="41" t="s">
        <v>12020</v>
      </c>
      <c r="H3920" s="41" t="s">
        <v>12021</v>
      </c>
      <c r="I3920" s="43">
        <v>12</v>
      </c>
      <c r="J3920" s="44" t="str">
        <f>VLOOKUP(G3920,[1]硬件清单!$F:$F,1,0)</f>
        <v>210305756810HA000320</v>
      </c>
      <c r="K3920" s="43"/>
      <c r="L3920" s="44"/>
      <c r="M3920" s="45" t="s">
        <v>12022</v>
      </c>
    </row>
    <row r="3921" s="26" customFormat="1" ht="30" customHeight="1" spans="1:13">
      <c r="A3921" s="41">
        <f>IF(C3921="","",SUBTOTAL(103,$C$2:C3921))</f>
        <v>3912</v>
      </c>
      <c r="B3921" s="41">
        <v>2201</v>
      </c>
      <c r="C3921" s="41">
        <v>3608</v>
      </c>
      <c r="D3921" s="41" t="s">
        <v>45</v>
      </c>
      <c r="E3921" s="41" t="s">
        <v>1298</v>
      </c>
      <c r="F3921" s="41" t="s">
        <v>11893</v>
      </c>
      <c r="G3921" s="41" t="s">
        <v>12023</v>
      </c>
      <c r="H3921" s="41" t="s">
        <v>12024</v>
      </c>
      <c r="I3921" s="43">
        <v>12</v>
      </c>
      <c r="J3921" s="44" t="str">
        <f>VLOOKUP(G3921,[1]硬件清单!$F:$F,1,0)</f>
        <v>210305756810HA000307</v>
      </c>
      <c r="K3921" s="43"/>
      <c r="L3921" s="44"/>
      <c r="M3921" s="45" t="s">
        <v>12025</v>
      </c>
    </row>
    <row r="3922" s="26" customFormat="1" ht="30" customHeight="1" spans="1:13">
      <c r="A3922" s="41">
        <f>IF(C3922="","",SUBTOTAL(103,$C$2:C3922))</f>
        <v>3913</v>
      </c>
      <c r="B3922" s="41">
        <v>2202</v>
      </c>
      <c r="C3922" s="41">
        <v>3609</v>
      </c>
      <c r="D3922" s="41" t="s">
        <v>45</v>
      </c>
      <c r="E3922" s="41" t="s">
        <v>1298</v>
      </c>
      <c r="F3922" s="41" t="s">
        <v>11893</v>
      </c>
      <c r="G3922" s="41" t="s">
        <v>12026</v>
      </c>
      <c r="H3922" s="41" t="s">
        <v>12027</v>
      </c>
      <c r="I3922" s="43">
        <v>12</v>
      </c>
      <c r="J3922" s="44" t="str">
        <f>VLOOKUP(G3922,[1]硬件清单!$F:$F,1,0)</f>
        <v>210305756810HA000259</v>
      </c>
      <c r="K3922" s="43"/>
      <c r="L3922" s="44"/>
      <c r="M3922" s="45" t="s">
        <v>12028</v>
      </c>
    </row>
    <row r="3923" ht="30" customHeight="1" spans="1:13">
      <c r="A3923" s="41">
        <f>IF(C3923="","",SUBTOTAL(103,$C$2:C3923))</f>
        <v>3914</v>
      </c>
      <c r="B3923" s="41">
        <v>2203</v>
      </c>
      <c r="C3923" s="41">
        <v>3610</v>
      </c>
      <c r="D3923" s="41" t="s">
        <v>45</v>
      </c>
      <c r="E3923" s="41" t="s">
        <v>1298</v>
      </c>
      <c r="F3923" s="41" t="s">
        <v>11893</v>
      </c>
      <c r="G3923" s="41" t="s">
        <v>12029</v>
      </c>
      <c r="H3923" s="41" t="s">
        <v>12030</v>
      </c>
      <c r="I3923" s="43">
        <v>12</v>
      </c>
      <c r="J3923" s="44" t="str">
        <f>VLOOKUP(G3923,[1]硬件清单!$F:$F,1,0)</f>
        <v>210305756810HA000589</v>
      </c>
      <c r="K3923" s="43"/>
      <c r="L3923" s="44"/>
      <c r="M3923" s="45" t="s">
        <v>12031</v>
      </c>
    </row>
    <row r="3924" s="26" customFormat="1" ht="30" customHeight="1" spans="1:13">
      <c r="A3924" s="41">
        <f>IF(C3924="","",SUBTOTAL(103,$C$2:C3924))</f>
        <v>3915</v>
      </c>
      <c r="B3924" s="41">
        <v>2204</v>
      </c>
      <c r="C3924" s="41">
        <v>3611</v>
      </c>
      <c r="D3924" s="41" t="s">
        <v>45</v>
      </c>
      <c r="E3924" s="41" t="s">
        <v>1298</v>
      </c>
      <c r="F3924" s="41" t="s">
        <v>11893</v>
      </c>
      <c r="G3924" s="41" t="s">
        <v>12032</v>
      </c>
      <c r="H3924" s="41" t="s">
        <v>12033</v>
      </c>
      <c r="I3924" s="43">
        <v>12</v>
      </c>
      <c r="J3924" s="44" t="str">
        <f>VLOOKUP(G3924,[1]硬件清单!$F:$F,1,0)</f>
        <v>210305756810HA000319</v>
      </c>
      <c r="K3924" s="43"/>
      <c r="L3924" s="44"/>
      <c r="M3924" s="45" t="s">
        <v>12034</v>
      </c>
    </row>
    <row r="3925" ht="30" customHeight="1" spans="1:13">
      <c r="A3925" s="41">
        <f>IF(C3925="","",SUBTOTAL(103,$C$2:C3925))</f>
        <v>3916</v>
      </c>
      <c r="B3925" s="41">
        <v>2205</v>
      </c>
      <c r="C3925" s="41">
        <v>3612</v>
      </c>
      <c r="D3925" s="41" t="s">
        <v>45</v>
      </c>
      <c r="E3925" s="41" t="s">
        <v>1298</v>
      </c>
      <c r="F3925" s="41" t="s">
        <v>11893</v>
      </c>
      <c r="G3925" s="41" t="s">
        <v>12035</v>
      </c>
      <c r="H3925" s="41" t="s">
        <v>12036</v>
      </c>
      <c r="I3925" s="43">
        <v>12</v>
      </c>
      <c r="J3925" s="44" t="str">
        <f>VLOOKUP(G3925,[1]硬件清单!$F:$F,1,0)</f>
        <v>210305756810HA000342</v>
      </c>
      <c r="K3925" s="43"/>
      <c r="L3925" s="44"/>
      <c r="M3925" s="45" t="s">
        <v>12037</v>
      </c>
    </row>
    <row r="3926" ht="30" customHeight="1" spans="1:13">
      <c r="A3926" s="41">
        <f>IF(C3926="","",SUBTOTAL(103,$C$2:C3926))</f>
        <v>3917</v>
      </c>
      <c r="B3926" s="41">
        <v>2206</v>
      </c>
      <c r="C3926" s="41">
        <v>3613</v>
      </c>
      <c r="D3926" s="41" t="s">
        <v>45</v>
      </c>
      <c r="E3926" s="41" t="s">
        <v>1298</v>
      </c>
      <c r="F3926" s="41" t="s">
        <v>11893</v>
      </c>
      <c r="G3926" s="41" t="s">
        <v>12038</v>
      </c>
      <c r="H3926" s="41" t="s">
        <v>12039</v>
      </c>
      <c r="I3926" s="43">
        <v>12</v>
      </c>
      <c r="J3926" s="44" t="str">
        <f>VLOOKUP(G3926,[1]硬件清单!$F:$F,1,0)</f>
        <v>210305756810HA000313</v>
      </c>
      <c r="K3926" s="43"/>
      <c r="L3926" s="44"/>
      <c r="M3926" s="45" t="s">
        <v>12040</v>
      </c>
    </row>
    <row r="3927" ht="30" customHeight="1" spans="1:13">
      <c r="A3927" s="41">
        <f>IF(C3927="","",SUBTOTAL(103,$C$2:C3927))</f>
        <v>3918</v>
      </c>
      <c r="B3927" s="41">
        <v>2207</v>
      </c>
      <c r="C3927" s="41">
        <v>3621</v>
      </c>
      <c r="D3927" s="41" t="s">
        <v>45</v>
      </c>
      <c r="E3927" s="41" t="s">
        <v>1298</v>
      </c>
      <c r="F3927" s="41" t="s">
        <v>11893</v>
      </c>
      <c r="G3927" s="41" t="s">
        <v>12041</v>
      </c>
      <c r="H3927" s="41" t="s">
        <v>12042</v>
      </c>
      <c r="I3927" s="43">
        <v>12</v>
      </c>
      <c r="J3927" s="44" t="str">
        <f>VLOOKUP(G3927,[1]硬件清单!$F:$F,1,0)</f>
        <v>210305756810HA000333</v>
      </c>
      <c r="K3927" s="43"/>
      <c r="L3927" s="44"/>
      <c r="M3927" s="45" t="s">
        <v>12043</v>
      </c>
    </row>
    <row r="3928" ht="30" customHeight="1" spans="1:13">
      <c r="A3928" s="41">
        <f>IF(C3928="","",SUBTOTAL(103,$C$2:C3928))</f>
        <v>3919</v>
      </c>
      <c r="B3928" s="41">
        <v>2208</v>
      </c>
      <c r="C3928" s="41">
        <v>3630</v>
      </c>
      <c r="D3928" s="41" t="s">
        <v>45</v>
      </c>
      <c r="E3928" s="41" t="s">
        <v>1298</v>
      </c>
      <c r="F3928" s="41" t="s">
        <v>11893</v>
      </c>
      <c r="G3928" s="41" t="s">
        <v>12044</v>
      </c>
      <c r="H3928" s="41" t="s">
        <v>12045</v>
      </c>
      <c r="I3928" s="43">
        <v>12</v>
      </c>
      <c r="J3928" s="44" t="str">
        <f>VLOOKUP(G3928,[1]硬件清单!$F:$F,1,0)</f>
        <v>210305756810HA000255</v>
      </c>
      <c r="K3928" s="43"/>
      <c r="L3928" s="44"/>
      <c r="M3928" s="45" t="s">
        <v>12046</v>
      </c>
    </row>
    <row r="3929" ht="30" customHeight="1" spans="1:13">
      <c r="A3929" s="41">
        <f>IF(C3929="","",SUBTOTAL(103,$C$2:C3929))</f>
        <v>3920</v>
      </c>
      <c r="B3929" s="41">
        <v>2209</v>
      </c>
      <c r="C3929" s="41">
        <v>3631</v>
      </c>
      <c r="D3929" s="41" t="s">
        <v>45</v>
      </c>
      <c r="E3929" s="41" t="s">
        <v>1298</v>
      </c>
      <c r="F3929" s="41" t="s">
        <v>11893</v>
      </c>
      <c r="G3929" s="41" t="s">
        <v>12047</v>
      </c>
      <c r="H3929" s="41" t="s">
        <v>12048</v>
      </c>
      <c r="I3929" s="43">
        <v>12</v>
      </c>
      <c r="J3929" s="44" t="str">
        <f>VLOOKUP(G3929,[1]硬件清单!$F:$F,1,0)</f>
        <v>210305756810HA000217</v>
      </c>
      <c r="K3929" s="43"/>
      <c r="L3929" s="44"/>
      <c r="M3929" s="45" t="s">
        <v>12049</v>
      </c>
    </row>
    <row r="3930" s="26" customFormat="1" ht="30" customHeight="1" spans="1:13">
      <c r="A3930" s="41">
        <f>IF(C3930="","",SUBTOTAL(103,$C$2:C3930))</f>
        <v>3921</v>
      </c>
      <c r="B3930" s="41">
        <v>2210</v>
      </c>
      <c r="C3930" s="41">
        <v>3632</v>
      </c>
      <c r="D3930" s="41" t="s">
        <v>45</v>
      </c>
      <c r="E3930" s="41" t="s">
        <v>1298</v>
      </c>
      <c r="F3930" s="41" t="s">
        <v>11893</v>
      </c>
      <c r="G3930" s="41" t="s">
        <v>12050</v>
      </c>
      <c r="H3930" s="41" t="s">
        <v>12051</v>
      </c>
      <c r="I3930" s="43">
        <v>12</v>
      </c>
      <c r="J3930" s="44" t="str">
        <f>VLOOKUP(G3930,[1]硬件清单!$F:$F,1,0)</f>
        <v>210305756810HA000580</v>
      </c>
      <c r="K3930" s="43"/>
      <c r="L3930" s="44"/>
      <c r="M3930" s="45" t="s">
        <v>12052</v>
      </c>
    </row>
    <row r="3931" ht="30" customHeight="1" spans="1:13">
      <c r="A3931" s="41">
        <f>IF(C3931="","",SUBTOTAL(103,$C$2:C3931))</f>
        <v>3922</v>
      </c>
      <c r="B3931" s="41">
        <v>2211</v>
      </c>
      <c r="C3931" s="41">
        <v>3633</v>
      </c>
      <c r="D3931" s="41" t="s">
        <v>45</v>
      </c>
      <c r="E3931" s="41" t="s">
        <v>1298</v>
      </c>
      <c r="F3931" s="41" t="s">
        <v>11893</v>
      </c>
      <c r="G3931" s="41" t="s">
        <v>12053</v>
      </c>
      <c r="H3931" s="41" t="s">
        <v>12054</v>
      </c>
      <c r="I3931" s="43">
        <v>12</v>
      </c>
      <c r="J3931" s="44" t="str">
        <f>VLOOKUP(G3931,[1]硬件清单!$F:$F,1,0)</f>
        <v>210305756810HA000631</v>
      </c>
      <c r="K3931" s="43"/>
      <c r="L3931" s="44"/>
      <c r="M3931" s="45" t="s">
        <v>12055</v>
      </c>
    </row>
    <row r="3932" s="26" customFormat="1" ht="30" customHeight="1" spans="1:13">
      <c r="A3932" s="41">
        <f>IF(C3932="","",SUBTOTAL(103,$C$2:C3932))</f>
        <v>3923</v>
      </c>
      <c r="B3932" s="41">
        <v>2212</v>
      </c>
      <c r="C3932" s="41">
        <v>3634</v>
      </c>
      <c r="D3932" s="41" t="s">
        <v>45</v>
      </c>
      <c r="E3932" s="41" t="s">
        <v>1298</v>
      </c>
      <c r="F3932" s="41" t="s">
        <v>11893</v>
      </c>
      <c r="G3932" s="41" t="s">
        <v>12056</v>
      </c>
      <c r="H3932" s="41" t="s">
        <v>12057</v>
      </c>
      <c r="I3932" s="43">
        <v>12</v>
      </c>
      <c r="J3932" s="44" t="str">
        <f>VLOOKUP(G3932,[1]硬件清单!$F:$F,1,0)</f>
        <v>210305756810HA000240</v>
      </c>
      <c r="K3932" s="43"/>
      <c r="L3932" s="44"/>
      <c r="M3932" s="45" t="s">
        <v>12058</v>
      </c>
    </row>
    <row r="3933" s="26" customFormat="1" ht="30" customHeight="1" spans="1:13">
      <c r="A3933" s="41">
        <f>IF(C3933="","",SUBTOTAL(103,$C$2:C3933))</f>
        <v>3924</v>
      </c>
      <c r="B3933" s="41">
        <v>2213</v>
      </c>
      <c r="C3933" s="41">
        <v>3635</v>
      </c>
      <c r="D3933" s="41" t="s">
        <v>45</v>
      </c>
      <c r="E3933" s="41" t="s">
        <v>1298</v>
      </c>
      <c r="F3933" s="41" t="s">
        <v>11893</v>
      </c>
      <c r="G3933" s="41" t="s">
        <v>12059</v>
      </c>
      <c r="H3933" s="41" t="s">
        <v>12060</v>
      </c>
      <c r="I3933" s="43">
        <v>12</v>
      </c>
      <c r="J3933" s="44" t="str">
        <f>VLOOKUP(G3933,[1]硬件清单!$F:$F,1,0)</f>
        <v>210305756810HA000263</v>
      </c>
      <c r="K3933" s="43"/>
      <c r="L3933" s="44"/>
      <c r="M3933" s="45" t="s">
        <v>12061</v>
      </c>
    </row>
    <row r="3934" ht="30" customHeight="1" spans="1:13">
      <c r="A3934" s="41">
        <f>IF(C3934="","",SUBTOTAL(103,$C$2:C3934))</f>
        <v>3925</v>
      </c>
      <c r="B3934" s="41">
        <v>2214</v>
      </c>
      <c r="C3934" s="41">
        <v>3636</v>
      </c>
      <c r="D3934" s="41" t="s">
        <v>45</v>
      </c>
      <c r="E3934" s="41" t="s">
        <v>1298</v>
      </c>
      <c r="F3934" s="41" t="s">
        <v>11893</v>
      </c>
      <c r="G3934" s="41" t="s">
        <v>12062</v>
      </c>
      <c r="H3934" s="41" t="s">
        <v>12063</v>
      </c>
      <c r="I3934" s="43">
        <v>12</v>
      </c>
      <c r="J3934" s="44" t="str">
        <f>VLOOKUP(G3934,[1]硬件清单!$F:$F,1,0)</f>
        <v>210305756810HA000321</v>
      </c>
      <c r="K3934" s="43"/>
      <c r="L3934" s="44"/>
      <c r="M3934" s="45" t="s">
        <v>12064</v>
      </c>
    </row>
    <row r="3935" ht="30" customHeight="1" spans="1:13">
      <c r="A3935" s="41">
        <f>IF(C3935="","",SUBTOTAL(103,$C$2:C3935))</f>
        <v>3926</v>
      </c>
      <c r="B3935" s="41">
        <v>2215</v>
      </c>
      <c r="C3935" s="41">
        <v>3622</v>
      </c>
      <c r="D3935" s="41" t="s">
        <v>45</v>
      </c>
      <c r="E3935" s="41" t="s">
        <v>1298</v>
      </c>
      <c r="F3935" s="41" t="s">
        <v>11893</v>
      </c>
      <c r="G3935" s="41" t="s">
        <v>12065</v>
      </c>
      <c r="H3935" s="41" t="s">
        <v>12066</v>
      </c>
      <c r="I3935" s="43">
        <v>12</v>
      </c>
      <c r="J3935" s="44" t="str">
        <f>VLOOKUP(G3935,[1]硬件清单!$F:$F,1,0)</f>
        <v>210305756810HA000458</v>
      </c>
      <c r="K3935" s="43"/>
      <c r="L3935" s="44"/>
      <c r="M3935" s="45" t="s">
        <v>12067</v>
      </c>
    </row>
    <row r="3936" ht="30" customHeight="1" spans="1:13">
      <c r="A3936" s="41">
        <f>IF(C3936="","",SUBTOTAL(103,$C$2:C3936))</f>
        <v>3927</v>
      </c>
      <c r="B3936" s="41">
        <v>2216</v>
      </c>
      <c r="C3936" s="41">
        <v>3623</v>
      </c>
      <c r="D3936" s="41" t="s">
        <v>45</v>
      </c>
      <c r="E3936" s="41" t="s">
        <v>1298</v>
      </c>
      <c r="F3936" s="41" t="s">
        <v>11893</v>
      </c>
      <c r="G3936" s="41" t="s">
        <v>12068</v>
      </c>
      <c r="H3936" s="41" t="s">
        <v>12069</v>
      </c>
      <c r="I3936" s="43">
        <v>12</v>
      </c>
      <c r="J3936" s="44" t="str">
        <f>VLOOKUP(G3936,[1]硬件清单!$F:$F,1,0)</f>
        <v>210305756810HA000249</v>
      </c>
      <c r="K3936" s="43"/>
      <c r="L3936" s="44"/>
      <c r="M3936" s="45" t="s">
        <v>12070</v>
      </c>
    </row>
    <row r="3937" ht="30" customHeight="1" spans="1:13">
      <c r="A3937" s="41">
        <f>IF(C3937="","",SUBTOTAL(103,$C$2:C3937))</f>
        <v>3928</v>
      </c>
      <c r="B3937" s="41">
        <v>2217</v>
      </c>
      <c r="C3937" s="41">
        <v>3624</v>
      </c>
      <c r="D3937" s="41" t="s">
        <v>45</v>
      </c>
      <c r="E3937" s="41" t="s">
        <v>1298</v>
      </c>
      <c r="F3937" s="41" t="s">
        <v>11893</v>
      </c>
      <c r="G3937" s="41" t="s">
        <v>12071</v>
      </c>
      <c r="H3937" s="41" t="s">
        <v>12072</v>
      </c>
      <c r="I3937" s="43">
        <v>12</v>
      </c>
      <c r="J3937" s="44" t="str">
        <f>VLOOKUP(G3937,[1]硬件清单!$F:$F,1,0)</f>
        <v>210305756810HA000235</v>
      </c>
      <c r="K3937" s="43"/>
      <c r="L3937" s="44"/>
      <c r="M3937" s="45" t="s">
        <v>12073</v>
      </c>
    </row>
    <row r="3938" s="26" customFormat="1" ht="30" customHeight="1" spans="1:13">
      <c r="A3938" s="41">
        <f>IF(C3938="","",SUBTOTAL(103,$C$2:C3938))</f>
        <v>3929</v>
      </c>
      <c r="B3938" s="41">
        <v>2218</v>
      </c>
      <c r="C3938" s="41">
        <v>3625</v>
      </c>
      <c r="D3938" s="41" t="s">
        <v>45</v>
      </c>
      <c r="E3938" s="41" t="s">
        <v>1298</v>
      </c>
      <c r="F3938" s="41" t="s">
        <v>11893</v>
      </c>
      <c r="G3938" s="41" t="s">
        <v>12074</v>
      </c>
      <c r="H3938" s="41" t="s">
        <v>12075</v>
      </c>
      <c r="I3938" s="43">
        <v>12</v>
      </c>
      <c r="J3938" s="44" t="str">
        <f>VLOOKUP(G3938,[1]硬件清单!$F:$F,1,0)</f>
        <v>210305756810HA000322</v>
      </c>
      <c r="K3938" s="43"/>
      <c r="L3938" s="44"/>
      <c r="M3938" s="45" t="s">
        <v>12076</v>
      </c>
    </row>
    <row r="3939" s="26" customFormat="1" ht="30" customHeight="1" spans="1:13">
      <c r="A3939" s="41">
        <f>IF(C3939="","",SUBTOTAL(103,$C$2:C3939))</f>
        <v>3930</v>
      </c>
      <c r="B3939" s="41">
        <v>2219</v>
      </c>
      <c r="C3939" s="41">
        <v>3626</v>
      </c>
      <c r="D3939" s="41" t="s">
        <v>45</v>
      </c>
      <c r="E3939" s="41" t="s">
        <v>1298</v>
      </c>
      <c r="F3939" s="41" t="s">
        <v>11893</v>
      </c>
      <c r="G3939" s="41" t="s">
        <v>12077</v>
      </c>
      <c r="H3939" s="41" t="s">
        <v>12078</v>
      </c>
      <c r="I3939" s="43">
        <v>12</v>
      </c>
      <c r="J3939" s="44" t="str">
        <f>VLOOKUP(G3939,[1]硬件清单!$F:$F,1,0)</f>
        <v>210305756810HA000338</v>
      </c>
      <c r="K3939" s="43"/>
      <c r="L3939" s="44"/>
      <c r="M3939" s="45" t="s">
        <v>12079</v>
      </c>
    </row>
    <row r="3940" ht="30" customHeight="1" spans="1:13">
      <c r="A3940" s="41">
        <f>IF(C3940="","",SUBTOTAL(103,$C$2:C3940))</f>
        <v>3931</v>
      </c>
      <c r="B3940" s="41">
        <v>2220</v>
      </c>
      <c r="C3940" s="41">
        <v>3627</v>
      </c>
      <c r="D3940" s="41" t="s">
        <v>45</v>
      </c>
      <c r="E3940" s="41" t="s">
        <v>1298</v>
      </c>
      <c r="F3940" s="41" t="s">
        <v>11893</v>
      </c>
      <c r="G3940" s="41" t="s">
        <v>12080</v>
      </c>
      <c r="H3940" s="41" t="s">
        <v>12081</v>
      </c>
      <c r="I3940" s="43">
        <v>12</v>
      </c>
      <c r="J3940" s="44" t="str">
        <f>VLOOKUP(G3940,[1]硬件清单!$F:$F,1,0)</f>
        <v>210305756810HA000584</v>
      </c>
      <c r="K3940" s="43"/>
      <c r="L3940" s="44"/>
      <c r="M3940" s="45" t="s">
        <v>12082</v>
      </c>
    </row>
    <row r="3941" s="26" customFormat="1" ht="30" customHeight="1" spans="1:13">
      <c r="A3941" s="41">
        <f>IF(C3941="","",SUBTOTAL(103,$C$2:C3941))</f>
        <v>3932</v>
      </c>
      <c r="B3941" s="41">
        <v>2221</v>
      </c>
      <c r="C3941" s="41">
        <v>3628</v>
      </c>
      <c r="D3941" s="41" t="s">
        <v>45</v>
      </c>
      <c r="E3941" s="41" t="s">
        <v>1298</v>
      </c>
      <c r="F3941" s="41" t="s">
        <v>11893</v>
      </c>
      <c r="G3941" s="41" t="s">
        <v>12083</v>
      </c>
      <c r="H3941" s="41" t="s">
        <v>12084</v>
      </c>
      <c r="I3941" s="43">
        <v>12</v>
      </c>
      <c r="J3941" s="44" t="str">
        <f>VLOOKUP(G3941,[1]硬件清单!$F:$F,1,0)</f>
        <v>210305756810HA000585</v>
      </c>
      <c r="K3941" s="43"/>
      <c r="L3941" s="44"/>
      <c r="M3941" s="45" t="s">
        <v>12085</v>
      </c>
    </row>
    <row r="3942" s="26" customFormat="1" ht="30" customHeight="1" spans="1:13">
      <c r="A3942" s="41">
        <f>IF(C3942="","",SUBTOTAL(103,$C$2:C3942))</f>
        <v>3933</v>
      </c>
      <c r="B3942" s="41">
        <v>2222</v>
      </c>
      <c r="C3942" s="41">
        <v>3629</v>
      </c>
      <c r="D3942" s="41" t="s">
        <v>45</v>
      </c>
      <c r="E3942" s="41" t="s">
        <v>1298</v>
      </c>
      <c r="F3942" s="41" t="s">
        <v>11893</v>
      </c>
      <c r="G3942" s="41" t="s">
        <v>12086</v>
      </c>
      <c r="H3942" s="41" t="s">
        <v>12087</v>
      </c>
      <c r="I3942" s="43">
        <v>12</v>
      </c>
      <c r="J3942" s="44" t="str">
        <f>VLOOKUP(G3942,[1]硬件清单!$F:$F,1,0)</f>
        <v>210305756810HA000318</v>
      </c>
      <c r="K3942" s="43"/>
      <c r="L3942" s="44"/>
      <c r="M3942" s="45" t="s">
        <v>12088</v>
      </c>
    </row>
    <row r="3943" s="26" customFormat="1" ht="30" customHeight="1" spans="1:13">
      <c r="A3943" s="41">
        <f>IF(C3943="","",SUBTOTAL(103,$C$2:C3943))</f>
        <v>3934</v>
      </c>
      <c r="B3943" s="41">
        <v>2223</v>
      </c>
      <c r="C3943" s="41">
        <v>4227</v>
      </c>
      <c r="D3943" s="41" t="s">
        <v>45</v>
      </c>
      <c r="E3943" s="41" t="s">
        <v>1298</v>
      </c>
      <c r="F3943" s="41" t="s">
        <v>11889</v>
      </c>
      <c r="G3943" s="41" t="s">
        <v>12089</v>
      </c>
      <c r="H3943" s="41" t="s">
        <v>12090</v>
      </c>
      <c r="I3943" s="43">
        <v>12</v>
      </c>
      <c r="J3943" s="44" t="str">
        <f>VLOOKUP(G3943,[1]硬件清单!$F:$F,1,0)</f>
        <v>2102300742N0H9000505/210230102810HA000029</v>
      </c>
      <c r="K3943" s="43"/>
      <c r="L3943" s="44"/>
      <c r="M3943" s="45" t="s">
        <v>12091</v>
      </c>
    </row>
    <row r="3944" ht="30" customHeight="1" spans="1:13">
      <c r="A3944" s="41">
        <f>IF(C3944="","",SUBTOTAL(103,$C$2:C3944))</f>
        <v>3935</v>
      </c>
      <c r="B3944" s="41">
        <v>2224</v>
      </c>
      <c r="C3944" s="41">
        <v>3637</v>
      </c>
      <c r="D3944" s="41" t="s">
        <v>45</v>
      </c>
      <c r="E3944" s="41" t="s">
        <v>1298</v>
      </c>
      <c r="F3944" s="41" t="s">
        <v>11893</v>
      </c>
      <c r="G3944" s="41" t="s">
        <v>12092</v>
      </c>
      <c r="H3944" s="41" t="s">
        <v>12093</v>
      </c>
      <c r="I3944" s="43">
        <v>12</v>
      </c>
      <c r="J3944" s="44" t="str">
        <f>VLOOKUP(G3944,[1]硬件清单!$F:$F,1,0)</f>
        <v>210305756810HA000578</v>
      </c>
      <c r="K3944" s="43"/>
      <c r="L3944" s="44"/>
      <c r="M3944" s="45" t="s">
        <v>12094</v>
      </c>
    </row>
    <row r="3945" ht="30" customHeight="1" spans="1:13">
      <c r="A3945" s="41">
        <f>IF(C3945="","",SUBTOTAL(103,$C$2:C3945))</f>
        <v>3936</v>
      </c>
      <c r="B3945" s="41">
        <v>2225</v>
      </c>
      <c r="C3945" s="41">
        <v>3646</v>
      </c>
      <c r="D3945" s="41" t="s">
        <v>45</v>
      </c>
      <c r="E3945" s="41" t="s">
        <v>1298</v>
      </c>
      <c r="F3945" s="41" t="s">
        <v>11893</v>
      </c>
      <c r="G3945" s="41" t="s">
        <v>12095</v>
      </c>
      <c r="H3945" s="41" t="s">
        <v>12096</v>
      </c>
      <c r="I3945" s="43">
        <v>12</v>
      </c>
      <c r="J3945" s="44" t="str">
        <f>VLOOKUP(G3945,[1]硬件清单!$F:$F,1,0)</f>
        <v>210305756810HA000593</v>
      </c>
      <c r="K3945" s="43"/>
      <c r="L3945" s="44"/>
      <c r="M3945" s="45" t="s">
        <v>12097</v>
      </c>
    </row>
    <row r="3946" ht="30" customHeight="1" spans="1:13">
      <c r="A3946" s="41">
        <f>IF(C3946="","",SUBTOTAL(103,$C$2:C3946))</f>
        <v>3937</v>
      </c>
      <c r="B3946" s="41">
        <v>2226</v>
      </c>
      <c r="C3946" s="41">
        <v>3647</v>
      </c>
      <c r="D3946" s="41" t="s">
        <v>45</v>
      </c>
      <c r="E3946" s="41" t="s">
        <v>1298</v>
      </c>
      <c r="F3946" s="41" t="s">
        <v>11893</v>
      </c>
      <c r="G3946" s="41" t="s">
        <v>12098</v>
      </c>
      <c r="H3946" s="41" t="s">
        <v>12099</v>
      </c>
      <c r="I3946" s="43">
        <v>12</v>
      </c>
      <c r="J3946" s="44" t="str">
        <f>VLOOKUP(G3946,[1]硬件清单!$F:$F,1,0)</f>
        <v>210305756810HA000456</v>
      </c>
      <c r="K3946" s="43"/>
      <c r="L3946" s="44"/>
      <c r="M3946" s="45" t="s">
        <v>12100</v>
      </c>
    </row>
    <row r="3947" ht="30" customHeight="1" spans="1:13">
      <c r="A3947" s="41">
        <f>IF(C3947="","",SUBTOTAL(103,$C$2:C3947))</f>
        <v>3938</v>
      </c>
      <c r="B3947" s="41">
        <v>2227</v>
      </c>
      <c r="C3947" s="41">
        <v>3648</v>
      </c>
      <c r="D3947" s="41" t="s">
        <v>45</v>
      </c>
      <c r="E3947" s="41" t="s">
        <v>1298</v>
      </c>
      <c r="F3947" s="41" t="s">
        <v>11893</v>
      </c>
      <c r="G3947" s="41" t="s">
        <v>12101</v>
      </c>
      <c r="H3947" s="41" t="s">
        <v>12102</v>
      </c>
      <c r="I3947" s="43">
        <v>12</v>
      </c>
      <c r="J3947" s="44" t="str">
        <f>VLOOKUP(G3947,[1]硬件清单!$F:$F,1,0)</f>
        <v>210305756810HA000331</v>
      </c>
      <c r="K3947" s="43"/>
      <c r="L3947" s="44"/>
      <c r="M3947" s="45" t="s">
        <v>12103</v>
      </c>
    </row>
    <row r="3948" ht="30" customHeight="1" spans="1:13">
      <c r="A3948" s="41">
        <f>IF(C3948="","",SUBTOTAL(103,$C$2:C3948))</f>
        <v>3939</v>
      </c>
      <c r="B3948" s="41">
        <v>2228</v>
      </c>
      <c r="C3948" s="41">
        <v>3649</v>
      </c>
      <c r="D3948" s="41" t="s">
        <v>45</v>
      </c>
      <c r="E3948" s="41" t="s">
        <v>1298</v>
      </c>
      <c r="F3948" s="41" t="s">
        <v>11893</v>
      </c>
      <c r="G3948" s="41" t="s">
        <v>12104</v>
      </c>
      <c r="H3948" s="41" t="s">
        <v>12105</v>
      </c>
      <c r="I3948" s="43">
        <v>12</v>
      </c>
      <c r="J3948" s="44" t="str">
        <f>VLOOKUP(G3948,[1]硬件清单!$F:$F,1,0)</f>
        <v>210305756810HA000420</v>
      </c>
      <c r="K3948" s="43"/>
      <c r="L3948" s="44"/>
      <c r="M3948" s="45" t="s">
        <v>12106</v>
      </c>
    </row>
    <row r="3949" ht="30" customHeight="1" spans="1:13">
      <c r="A3949" s="41">
        <f>IF(C3949="","",SUBTOTAL(103,$C$2:C3949))</f>
        <v>3940</v>
      </c>
      <c r="B3949" s="41">
        <v>2229</v>
      </c>
      <c r="C3949" s="41">
        <v>3650</v>
      </c>
      <c r="D3949" s="41" t="s">
        <v>45</v>
      </c>
      <c r="E3949" s="41" t="s">
        <v>1298</v>
      </c>
      <c r="F3949" s="41" t="s">
        <v>11893</v>
      </c>
      <c r="G3949" s="41" t="s">
        <v>12107</v>
      </c>
      <c r="H3949" s="41" t="s">
        <v>12108</v>
      </c>
      <c r="I3949" s="43">
        <v>12</v>
      </c>
      <c r="J3949" s="44" t="str">
        <f>VLOOKUP(G3949,[1]硬件清单!$F:$F,1,0)</f>
        <v>210305756810HA000243</v>
      </c>
      <c r="K3949" s="43"/>
      <c r="L3949" s="44"/>
      <c r="M3949" s="45" t="s">
        <v>12109</v>
      </c>
    </row>
    <row r="3950" ht="30" customHeight="1" spans="1:13">
      <c r="A3950" s="41">
        <f>IF(C3950="","",SUBTOTAL(103,$C$2:C3950))</f>
        <v>3941</v>
      </c>
      <c r="B3950" s="41">
        <v>2230</v>
      </c>
      <c r="C3950" s="41">
        <v>3651</v>
      </c>
      <c r="D3950" s="41" t="s">
        <v>45</v>
      </c>
      <c r="E3950" s="41" t="s">
        <v>1298</v>
      </c>
      <c r="F3950" s="41" t="s">
        <v>11893</v>
      </c>
      <c r="G3950" s="41" t="s">
        <v>12110</v>
      </c>
      <c r="H3950" s="41" t="s">
        <v>12111</v>
      </c>
      <c r="I3950" s="43">
        <v>12</v>
      </c>
      <c r="J3950" s="44" t="str">
        <f>VLOOKUP(G3950,[1]硬件清单!$F:$F,1,0)</f>
        <v>210305756810HA000504</v>
      </c>
      <c r="K3950" s="43"/>
      <c r="L3950" s="44"/>
      <c r="M3950" s="45" t="s">
        <v>12112</v>
      </c>
    </row>
    <row r="3951" ht="30" customHeight="1" spans="1:13">
      <c r="A3951" s="41">
        <f>IF(C3951="","",SUBTOTAL(103,$C$2:C3951))</f>
        <v>3942</v>
      </c>
      <c r="B3951" s="41">
        <v>2231</v>
      </c>
      <c r="C3951" s="41">
        <v>3652</v>
      </c>
      <c r="D3951" s="41" t="s">
        <v>45</v>
      </c>
      <c r="E3951" s="41" t="s">
        <v>1298</v>
      </c>
      <c r="F3951" s="41" t="s">
        <v>11893</v>
      </c>
      <c r="G3951" s="41" t="s">
        <v>12113</v>
      </c>
      <c r="H3951" s="41" t="s">
        <v>12114</v>
      </c>
      <c r="I3951" s="43">
        <v>12</v>
      </c>
      <c r="J3951" s="44" t="str">
        <f>VLOOKUP(G3951,[1]硬件清单!$F:$F,1,0)</f>
        <v>210305756810HA000236</v>
      </c>
      <c r="K3951" s="43"/>
      <c r="L3951" s="44"/>
      <c r="M3951" s="45" t="s">
        <v>12115</v>
      </c>
    </row>
    <row r="3952" s="26" customFormat="1" ht="30" customHeight="1" spans="1:13">
      <c r="A3952" s="41">
        <f>IF(C3952="","",SUBTOTAL(103,$C$2:C3952))</f>
        <v>3943</v>
      </c>
      <c r="B3952" s="41">
        <v>2232</v>
      </c>
      <c r="C3952" s="41">
        <v>3638</v>
      </c>
      <c r="D3952" s="41" t="s">
        <v>45</v>
      </c>
      <c r="E3952" s="41" t="s">
        <v>1298</v>
      </c>
      <c r="F3952" s="41" t="s">
        <v>11893</v>
      </c>
      <c r="G3952" s="41" t="s">
        <v>12116</v>
      </c>
      <c r="H3952" s="41" t="s">
        <v>12117</v>
      </c>
      <c r="I3952" s="43">
        <v>12</v>
      </c>
      <c r="J3952" s="44" t="str">
        <f>VLOOKUP(G3952,[1]硬件清单!$F:$F,1,0)</f>
        <v>210305756810HA000591</v>
      </c>
      <c r="K3952" s="43"/>
      <c r="L3952" s="44"/>
      <c r="M3952" s="45" t="s">
        <v>12118</v>
      </c>
    </row>
    <row r="3953" ht="30" customHeight="1" spans="1:13">
      <c r="A3953" s="41">
        <f>IF(C3953="","",SUBTOTAL(103,$C$2:C3953))</f>
        <v>3944</v>
      </c>
      <c r="B3953" s="41">
        <v>2233</v>
      </c>
      <c r="C3953" s="41">
        <v>3639</v>
      </c>
      <c r="D3953" s="41" t="s">
        <v>45</v>
      </c>
      <c r="E3953" s="41" t="s">
        <v>1298</v>
      </c>
      <c r="F3953" s="41" t="s">
        <v>11893</v>
      </c>
      <c r="G3953" s="41" t="s">
        <v>12119</v>
      </c>
      <c r="H3953" s="41" t="s">
        <v>12120</v>
      </c>
      <c r="I3953" s="43">
        <v>12</v>
      </c>
      <c r="J3953" s="44" t="str">
        <f>VLOOKUP(G3953,[1]硬件清单!$F:$F,1,0)</f>
        <v>210305756810HA000274</v>
      </c>
      <c r="K3953" s="43"/>
      <c r="L3953" s="44"/>
      <c r="M3953" s="45" t="s">
        <v>12121</v>
      </c>
    </row>
    <row r="3954" ht="30" customHeight="1" spans="1:13">
      <c r="A3954" s="41">
        <f>IF(C3954="","",SUBTOTAL(103,$C$2:C3954))</f>
        <v>3945</v>
      </c>
      <c r="B3954" s="41">
        <v>2234</v>
      </c>
      <c r="C3954" s="41">
        <v>3640</v>
      </c>
      <c r="D3954" s="41" t="s">
        <v>45</v>
      </c>
      <c r="E3954" s="41" t="s">
        <v>1298</v>
      </c>
      <c r="F3954" s="41" t="s">
        <v>11893</v>
      </c>
      <c r="G3954" s="41" t="s">
        <v>12122</v>
      </c>
      <c r="H3954" s="41" t="s">
        <v>12123</v>
      </c>
      <c r="I3954" s="43">
        <v>12</v>
      </c>
      <c r="J3954" s="44" t="str">
        <f>VLOOKUP(G3954,[1]硬件清单!$F:$F,1,0)</f>
        <v>210305756810HA000316</v>
      </c>
      <c r="K3954" s="43"/>
      <c r="L3954" s="44"/>
      <c r="M3954" s="45" t="s">
        <v>12124</v>
      </c>
    </row>
    <row r="3955" ht="30" customHeight="1" spans="1:13">
      <c r="A3955" s="41">
        <f>IF(C3955="","",SUBTOTAL(103,$C$2:C3955))</f>
        <v>3946</v>
      </c>
      <c r="B3955" s="41">
        <v>2235</v>
      </c>
      <c r="C3955" s="41">
        <v>3641</v>
      </c>
      <c r="D3955" s="41" t="s">
        <v>45</v>
      </c>
      <c r="E3955" s="41" t="s">
        <v>1298</v>
      </c>
      <c r="F3955" s="41" t="s">
        <v>11893</v>
      </c>
      <c r="G3955" s="41" t="s">
        <v>12125</v>
      </c>
      <c r="H3955" s="41" t="s">
        <v>12126</v>
      </c>
      <c r="I3955" s="43">
        <v>12</v>
      </c>
      <c r="J3955" s="44" t="str">
        <f>VLOOKUP(G3955,[1]硬件清单!$F:$F,1,0)</f>
        <v>210305756810HA000339</v>
      </c>
      <c r="K3955" s="43"/>
      <c r="L3955" s="44"/>
      <c r="M3955" s="45" t="s">
        <v>12127</v>
      </c>
    </row>
    <row r="3956" ht="30" customHeight="1" spans="1:13">
      <c r="A3956" s="41">
        <f>IF(C3956="","",SUBTOTAL(103,$C$2:C3956))</f>
        <v>3947</v>
      </c>
      <c r="B3956" s="41">
        <v>2236</v>
      </c>
      <c r="C3956" s="41">
        <v>3642</v>
      </c>
      <c r="D3956" s="41" t="s">
        <v>45</v>
      </c>
      <c r="E3956" s="41" t="s">
        <v>1298</v>
      </c>
      <c r="F3956" s="41" t="s">
        <v>11893</v>
      </c>
      <c r="G3956" s="41" t="s">
        <v>12128</v>
      </c>
      <c r="H3956" s="41" t="s">
        <v>12129</v>
      </c>
      <c r="I3956" s="43">
        <v>12</v>
      </c>
      <c r="J3956" s="44" t="str">
        <f>VLOOKUP(G3956,[1]硬件清单!$F:$F,1,0)</f>
        <v>210305756810HA000323</v>
      </c>
      <c r="K3956" s="43"/>
      <c r="L3956" s="44"/>
      <c r="M3956" s="45" t="s">
        <v>12130</v>
      </c>
    </row>
    <row r="3957" s="26" customFormat="1" ht="30" customHeight="1" spans="1:13">
      <c r="A3957" s="41">
        <f>IF(C3957="","",SUBTOTAL(103,$C$2:C3957))</f>
        <v>3948</v>
      </c>
      <c r="B3957" s="41">
        <v>2237</v>
      </c>
      <c r="C3957" s="41">
        <v>3643</v>
      </c>
      <c r="D3957" s="41" t="s">
        <v>45</v>
      </c>
      <c r="E3957" s="41" t="s">
        <v>1298</v>
      </c>
      <c r="F3957" s="41" t="s">
        <v>11893</v>
      </c>
      <c r="G3957" s="41" t="s">
        <v>12131</v>
      </c>
      <c r="H3957" s="41" t="s">
        <v>12132</v>
      </c>
      <c r="I3957" s="43">
        <v>12</v>
      </c>
      <c r="J3957" s="44" t="str">
        <f>VLOOKUP(G3957,[1]硬件清单!$F:$F,1,0)</f>
        <v>210305756810HA000346</v>
      </c>
      <c r="K3957" s="43"/>
      <c r="L3957" s="44"/>
      <c r="M3957" s="45" t="s">
        <v>12133</v>
      </c>
    </row>
    <row r="3958" ht="30" customHeight="1" spans="1:13">
      <c r="A3958" s="41">
        <f>IF(C3958="","",SUBTOTAL(103,$C$2:C3958))</f>
        <v>3949</v>
      </c>
      <c r="B3958" s="41">
        <v>2238</v>
      </c>
      <c r="C3958" s="41">
        <v>3644</v>
      </c>
      <c r="D3958" s="41" t="s">
        <v>45</v>
      </c>
      <c r="E3958" s="41" t="s">
        <v>1298</v>
      </c>
      <c r="F3958" s="41" t="s">
        <v>11893</v>
      </c>
      <c r="G3958" s="41" t="s">
        <v>12134</v>
      </c>
      <c r="H3958" s="41" t="s">
        <v>12135</v>
      </c>
      <c r="I3958" s="43">
        <v>12</v>
      </c>
      <c r="J3958" s="44" t="str">
        <f>VLOOKUP(G3958,[1]硬件清单!$F:$F,1,0)</f>
        <v>210305756810HA000242</v>
      </c>
      <c r="K3958" s="43"/>
      <c r="L3958" s="44"/>
      <c r="M3958" s="45" t="s">
        <v>12136</v>
      </c>
    </row>
    <row r="3959" s="26" customFormat="1" ht="30" customHeight="1" spans="1:13">
      <c r="A3959" s="41">
        <f>IF(C3959="","",SUBTOTAL(103,$C$2:C3959))</f>
        <v>3950</v>
      </c>
      <c r="B3959" s="41">
        <v>2239</v>
      </c>
      <c r="C3959" s="41">
        <v>3645</v>
      </c>
      <c r="D3959" s="41" t="s">
        <v>45</v>
      </c>
      <c r="E3959" s="41" t="s">
        <v>1298</v>
      </c>
      <c r="F3959" s="41" t="s">
        <v>11893</v>
      </c>
      <c r="G3959" s="41" t="s">
        <v>12137</v>
      </c>
      <c r="H3959" s="41" t="s">
        <v>12138</v>
      </c>
      <c r="I3959" s="43">
        <v>12</v>
      </c>
      <c r="J3959" s="44" t="str">
        <f>VLOOKUP(G3959,[1]硬件清单!$F:$F,1,0)</f>
        <v>210305756810HA000262</v>
      </c>
      <c r="K3959" s="43"/>
      <c r="L3959" s="44"/>
      <c r="M3959" s="45" t="s">
        <v>12139</v>
      </c>
    </row>
    <row r="3960" s="26" customFormat="1" ht="30" customHeight="1" spans="1:13">
      <c r="A3960" s="41">
        <f>IF(C3960="","",SUBTOTAL(103,$C$2:C3960))</f>
        <v>3951</v>
      </c>
      <c r="B3960" s="41">
        <v>2240</v>
      </c>
      <c r="C3960" s="41">
        <v>3749</v>
      </c>
      <c r="D3960" s="41" t="s">
        <v>45</v>
      </c>
      <c r="E3960" s="41" t="s">
        <v>1298</v>
      </c>
      <c r="F3960" s="41" t="s">
        <v>11893</v>
      </c>
      <c r="G3960" s="41" t="s">
        <v>12140</v>
      </c>
      <c r="H3960" s="41" t="s">
        <v>12141</v>
      </c>
      <c r="I3960" s="43">
        <v>12</v>
      </c>
      <c r="J3960" s="44" t="str">
        <f>VLOOKUP(G3960,[1]硬件清单!$F:$F,1,0)</f>
        <v>210305756810HA000271</v>
      </c>
      <c r="K3960" s="43"/>
      <c r="L3960" s="44"/>
      <c r="M3960" s="45" t="s">
        <v>12142</v>
      </c>
    </row>
    <row r="3961" s="26" customFormat="1" ht="30" customHeight="1" spans="1:13">
      <c r="A3961" s="41">
        <f>IF(C3961="","",SUBTOTAL(103,$C$2:C3961))</f>
        <v>3952</v>
      </c>
      <c r="B3961" s="41">
        <v>2241</v>
      </c>
      <c r="C3961" s="41">
        <v>3758</v>
      </c>
      <c r="D3961" s="41" t="s">
        <v>45</v>
      </c>
      <c r="E3961" s="41" t="s">
        <v>1298</v>
      </c>
      <c r="F3961" s="41" t="s">
        <v>11893</v>
      </c>
      <c r="G3961" s="41" t="s">
        <v>12143</v>
      </c>
      <c r="H3961" s="41" t="s">
        <v>12144</v>
      </c>
      <c r="I3961" s="43">
        <v>12</v>
      </c>
      <c r="J3961" s="44" t="str">
        <f>VLOOKUP(G3961,[1]硬件清单!$F:$F,1,0)</f>
        <v>210305756810HA000253</v>
      </c>
      <c r="K3961" s="43"/>
      <c r="L3961" s="44"/>
      <c r="M3961" s="45" t="s">
        <v>12145</v>
      </c>
    </row>
    <row r="3962" s="26" customFormat="1" ht="30" customHeight="1" spans="1:13">
      <c r="A3962" s="41">
        <f>IF(C3962="","",SUBTOTAL(103,$C$2:C3962))</f>
        <v>3953</v>
      </c>
      <c r="B3962" s="41">
        <v>2242</v>
      </c>
      <c r="C3962" s="41">
        <v>3759</v>
      </c>
      <c r="D3962" s="41" t="s">
        <v>45</v>
      </c>
      <c r="E3962" s="41" t="s">
        <v>1298</v>
      </c>
      <c r="F3962" s="41" t="s">
        <v>11893</v>
      </c>
      <c r="G3962" s="41" t="s">
        <v>12146</v>
      </c>
      <c r="H3962" s="41" t="s">
        <v>12147</v>
      </c>
      <c r="I3962" s="43">
        <v>12</v>
      </c>
      <c r="J3962" s="44" t="str">
        <f>VLOOKUP(G3962,[1]硬件清单!$F:$F,1,0)</f>
        <v>210305756810HA000302</v>
      </c>
      <c r="K3962" s="43"/>
      <c r="L3962" s="44"/>
      <c r="M3962" s="45" t="s">
        <v>12148</v>
      </c>
    </row>
    <row r="3963" ht="30" customHeight="1" spans="1:13">
      <c r="A3963" s="41">
        <f>IF(C3963="","",SUBTOTAL(103,$C$2:C3963))</f>
        <v>3954</v>
      </c>
      <c r="B3963" s="41">
        <v>2243</v>
      </c>
      <c r="C3963" s="41">
        <v>3760</v>
      </c>
      <c r="D3963" s="41" t="s">
        <v>45</v>
      </c>
      <c r="E3963" s="41" t="s">
        <v>1298</v>
      </c>
      <c r="F3963" s="41" t="s">
        <v>11893</v>
      </c>
      <c r="G3963" s="41" t="s">
        <v>12149</v>
      </c>
      <c r="H3963" s="41" t="s">
        <v>12150</v>
      </c>
      <c r="I3963" s="43">
        <v>12</v>
      </c>
      <c r="J3963" s="44" t="str">
        <f>VLOOKUP(G3963,[1]硬件清单!$F:$F,1,0)</f>
        <v>210305756810HA000428</v>
      </c>
      <c r="K3963" s="43"/>
      <c r="L3963" s="44"/>
      <c r="M3963" s="45" t="s">
        <v>12151</v>
      </c>
    </row>
    <row r="3964" ht="30" customHeight="1" spans="1:13">
      <c r="A3964" s="41">
        <f>IF(C3964="","",SUBTOTAL(103,$C$2:C3964))</f>
        <v>3955</v>
      </c>
      <c r="B3964" s="41">
        <v>2244</v>
      </c>
      <c r="C3964" s="41">
        <v>3761</v>
      </c>
      <c r="D3964" s="41" t="s">
        <v>45</v>
      </c>
      <c r="E3964" s="41" t="s">
        <v>1298</v>
      </c>
      <c r="F3964" s="41" t="s">
        <v>11893</v>
      </c>
      <c r="G3964" s="41" t="s">
        <v>12152</v>
      </c>
      <c r="H3964" s="41" t="s">
        <v>12153</v>
      </c>
      <c r="I3964" s="43">
        <v>12</v>
      </c>
      <c r="J3964" s="44" t="str">
        <f>VLOOKUP(G3964,[1]硬件清单!$F:$F,1,0)</f>
        <v>210305756810HA000241</v>
      </c>
      <c r="K3964" s="43"/>
      <c r="L3964" s="44"/>
      <c r="M3964" s="45" t="s">
        <v>12154</v>
      </c>
    </row>
    <row r="3965" s="26" customFormat="1" ht="30" customHeight="1" spans="1:13">
      <c r="A3965" s="41">
        <f>IF(C3965="","",SUBTOTAL(103,$C$2:C3965))</f>
        <v>3956</v>
      </c>
      <c r="B3965" s="41">
        <v>2245</v>
      </c>
      <c r="C3965" s="41">
        <v>3762</v>
      </c>
      <c r="D3965" s="41" t="s">
        <v>45</v>
      </c>
      <c r="E3965" s="41" t="s">
        <v>1298</v>
      </c>
      <c r="F3965" s="41" t="s">
        <v>11893</v>
      </c>
      <c r="G3965" s="41" t="s">
        <v>12155</v>
      </c>
      <c r="H3965" s="41" t="s">
        <v>12156</v>
      </c>
      <c r="I3965" s="43">
        <v>12</v>
      </c>
      <c r="J3965" s="44" t="str">
        <f>VLOOKUP(G3965,[1]硬件清单!$F:$F,1,0)</f>
        <v>210305756810HA000327</v>
      </c>
      <c r="K3965" s="43"/>
      <c r="L3965" s="44"/>
      <c r="M3965" s="45" t="s">
        <v>12157</v>
      </c>
    </row>
    <row r="3966" s="26" customFormat="1" ht="30" customHeight="1" spans="1:13">
      <c r="A3966" s="41">
        <f>IF(C3966="","",SUBTOTAL(103,$C$2:C3966))</f>
        <v>3957</v>
      </c>
      <c r="B3966" s="41">
        <v>2246</v>
      </c>
      <c r="C3966" s="41">
        <v>3763</v>
      </c>
      <c r="D3966" s="41" t="s">
        <v>45</v>
      </c>
      <c r="E3966" s="41" t="s">
        <v>1298</v>
      </c>
      <c r="F3966" s="41" t="s">
        <v>11893</v>
      </c>
      <c r="G3966" s="41" t="s">
        <v>12158</v>
      </c>
      <c r="H3966" s="41" t="s">
        <v>12159</v>
      </c>
      <c r="I3966" s="43">
        <v>12</v>
      </c>
      <c r="J3966" s="44" t="str">
        <f>VLOOKUP(G3966,[1]硬件清单!$F:$F,1,0)</f>
        <v>210305756810HA000257</v>
      </c>
      <c r="K3966" s="43"/>
      <c r="L3966" s="44"/>
      <c r="M3966" s="45" t="s">
        <v>12160</v>
      </c>
    </row>
    <row r="3967" ht="30" customHeight="1" spans="1:13">
      <c r="A3967" s="41">
        <f>IF(C3967="","",SUBTOTAL(103,$C$2:C3967))</f>
        <v>3958</v>
      </c>
      <c r="B3967" s="41">
        <v>2247</v>
      </c>
      <c r="C3967" s="41">
        <v>3764</v>
      </c>
      <c r="D3967" s="41" t="s">
        <v>45</v>
      </c>
      <c r="E3967" s="41" t="s">
        <v>1298</v>
      </c>
      <c r="F3967" s="41" t="s">
        <v>11893</v>
      </c>
      <c r="G3967" s="41" t="s">
        <v>12161</v>
      </c>
      <c r="H3967" s="41" t="s">
        <v>12162</v>
      </c>
      <c r="I3967" s="43">
        <v>12</v>
      </c>
      <c r="J3967" s="44" t="str">
        <f>VLOOKUP(G3967,[1]硬件清单!$F:$F,1,0)</f>
        <v>210305756810HA000232</v>
      </c>
      <c r="K3967" s="43"/>
      <c r="L3967" s="44"/>
      <c r="M3967" s="45" t="s">
        <v>12163</v>
      </c>
    </row>
    <row r="3968" ht="30" customHeight="1" spans="1:13">
      <c r="A3968" s="41">
        <f>IF(C3968="","",SUBTOTAL(103,$C$2:C3968))</f>
        <v>3959</v>
      </c>
      <c r="B3968" s="41">
        <v>2248</v>
      </c>
      <c r="C3968" s="41">
        <v>3750</v>
      </c>
      <c r="D3968" s="41" t="s">
        <v>45</v>
      </c>
      <c r="E3968" s="41" t="s">
        <v>1298</v>
      </c>
      <c r="F3968" s="41" t="s">
        <v>11893</v>
      </c>
      <c r="G3968" s="41" t="s">
        <v>12164</v>
      </c>
      <c r="H3968" s="41" t="s">
        <v>12165</v>
      </c>
      <c r="I3968" s="43">
        <v>12</v>
      </c>
      <c r="J3968" s="44" t="str">
        <f>VLOOKUP(G3968,[1]硬件清单!$F:$F,1,0)</f>
        <v>210305756810HA000293</v>
      </c>
      <c r="K3968" s="43"/>
      <c r="L3968" s="44"/>
      <c r="M3968" s="45" t="s">
        <v>12166</v>
      </c>
    </row>
    <row r="3969" ht="30" customHeight="1" spans="1:13">
      <c r="A3969" s="41">
        <f>IF(C3969="","",SUBTOTAL(103,$C$2:C3969))</f>
        <v>3960</v>
      </c>
      <c r="B3969" s="41">
        <v>2249</v>
      </c>
      <c r="C3969" s="41">
        <v>3751</v>
      </c>
      <c r="D3969" s="41" t="s">
        <v>45</v>
      </c>
      <c r="E3969" s="41" t="s">
        <v>1298</v>
      </c>
      <c r="F3969" s="41" t="s">
        <v>11893</v>
      </c>
      <c r="G3969" s="41" t="s">
        <v>12167</v>
      </c>
      <c r="H3969" s="41" t="s">
        <v>12168</v>
      </c>
      <c r="I3969" s="43">
        <v>12</v>
      </c>
      <c r="J3969" s="44" t="str">
        <f>VLOOKUP(G3969,[1]硬件清单!$F:$F,1,0)</f>
        <v>210305756810HA000344</v>
      </c>
      <c r="K3969" s="43"/>
      <c r="L3969" s="44"/>
      <c r="M3969" s="45" t="s">
        <v>12169</v>
      </c>
    </row>
    <row r="3970" ht="30" customHeight="1" spans="1:13">
      <c r="A3970" s="41">
        <f>IF(C3970="","",SUBTOTAL(103,$C$2:C3970))</f>
        <v>3961</v>
      </c>
      <c r="B3970" s="41">
        <v>2250</v>
      </c>
      <c r="C3970" s="41">
        <v>3752</v>
      </c>
      <c r="D3970" s="41" t="s">
        <v>45</v>
      </c>
      <c r="E3970" s="41" t="s">
        <v>1298</v>
      </c>
      <c r="F3970" s="41" t="s">
        <v>11893</v>
      </c>
      <c r="G3970" s="41" t="s">
        <v>12170</v>
      </c>
      <c r="H3970" s="41" t="s">
        <v>12171</v>
      </c>
      <c r="I3970" s="43">
        <v>12</v>
      </c>
      <c r="J3970" s="44" t="str">
        <f>VLOOKUP(G3970,[1]硬件清单!$F:$F,1,0)</f>
        <v>210305756810HA000256</v>
      </c>
      <c r="K3970" s="43"/>
      <c r="L3970" s="44"/>
      <c r="M3970" s="45" t="s">
        <v>12172</v>
      </c>
    </row>
    <row r="3971" ht="30" customHeight="1" spans="1:13">
      <c r="A3971" s="41">
        <f>IF(C3971="","",SUBTOTAL(103,$C$2:C3971))</f>
        <v>3962</v>
      </c>
      <c r="B3971" s="41">
        <v>2251</v>
      </c>
      <c r="C3971" s="41">
        <v>3753</v>
      </c>
      <c r="D3971" s="41" t="s">
        <v>45</v>
      </c>
      <c r="E3971" s="41" t="s">
        <v>1298</v>
      </c>
      <c r="F3971" s="41" t="s">
        <v>11893</v>
      </c>
      <c r="G3971" s="41" t="s">
        <v>12173</v>
      </c>
      <c r="H3971" s="41" t="s">
        <v>12174</v>
      </c>
      <c r="I3971" s="43">
        <v>12</v>
      </c>
      <c r="J3971" s="44" t="str">
        <f>VLOOKUP(G3971,[1]硬件清单!$F:$F,1,0)</f>
        <v>210305756810HA000261</v>
      </c>
      <c r="K3971" s="43"/>
      <c r="L3971" s="44"/>
      <c r="M3971" s="45" t="s">
        <v>12175</v>
      </c>
    </row>
    <row r="3972" ht="30" customHeight="1" spans="1:13">
      <c r="A3972" s="41">
        <f>IF(C3972="","",SUBTOTAL(103,$C$2:C3972))</f>
        <v>3963</v>
      </c>
      <c r="B3972" s="41">
        <v>2252</v>
      </c>
      <c r="C3972" s="41">
        <v>3754</v>
      </c>
      <c r="D3972" s="41" t="s">
        <v>45</v>
      </c>
      <c r="E3972" s="41" t="s">
        <v>1298</v>
      </c>
      <c r="F3972" s="41" t="s">
        <v>11893</v>
      </c>
      <c r="G3972" s="41" t="s">
        <v>12176</v>
      </c>
      <c r="H3972" s="41" t="s">
        <v>12177</v>
      </c>
      <c r="I3972" s="43">
        <v>12</v>
      </c>
      <c r="J3972" s="44" t="str">
        <f>VLOOKUP(G3972,[1]硬件清单!$F:$F,1,0)</f>
        <v>210305756810HA000283</v>
      </c>
      <c r="K3972" s="43"/>
      <c r="L3972" s="44"/>
      <c r="M3972" s="45" t="s">
        <v>12178</v>
      </c>
    </row>
    <row r="3973" ht="30" customHeight="1" spans="1:13">
      <c r="A3973" s="41">
        <f>IF(C3973="","",SUBTOTAL(103,$C$2:C3973))</f>
        <v>3964</v>
      </c>
      <c r="B3973" s="41">
        <v>2253</v>
      </c>
      <c r="C3973" s="41">
        <v>3755</v>
      </c>
      <c r="D3973" s="41" t="s">
        <v>45</v>
      </c>
      <c r="E3973" s="41" t="s">
        <v>1298</v>
      </c>
      <c r="F3973" s="41" t="s">
        <v>11893</v>
      </c>
      <c r="G3973" s="41" t="s">
        <v>12179</v>
      </c>
      <c r="H3973" s="41" t="s">
        <v>12180</v>
      </c>
      <c r="I3973" s="43">
        <v>12</v>
      </c>
      <c r="J3973" s="44" t="str">
        <f>VLOOKUP(G3973,[1]硬件清单!$F:$F,1,0)</f>
        <v>210305756810HA000301</v>
      </c>
      <c r="K3973" s="43"/>
      <c r="L3973" s="44"/>
      <c r="M3973" s="45" t="s">
        <v>12181</v>
      </c>
    </row>
    <row r="3974" ht="30" customHeight="1" spans="1:13">
      <c r="A3974" s="41">
        <f>IF(C3974="","",SUBTOTAL(103,$C$2:C3974))</f>
        <v>3965</v>
      </c>
      <c r="B3974" s="41">
        <v>2254</v>
      </c>
      <c r="C3974" s="41">
        <v>3756</v>
      </c>
      <c r="D3974" s="41" t="s">
        <v>45</v>
      </c>
      <c r="E3974" s="41" t="s">
        <v>1298</v>
      </c>
      <c r="F3974" s="41" t="s">
        <v>11893</v>
      </c>
      <c r="G3974" s="41" t="s">
        <v>12182</v>
      </c>
      <c r="H3974" s="41" t="s">
        <v>12183</v>
      </c>
      <c r="I3974" s="43">
        <v>12</v>
      </c>
      <c r="J3974" s="44" t="str">
        <f>VLOOKUP(G3974,[1]硬件清单!$F:$F,1,0)</f>
        <v>210305756810HA000219</v>
      </c>
      <c r="K3974" s="43"/>
      <c r="L3974" s="44"/>
      <c r="M3974" s="45" t="s">
        <v>12184</v>
      </c>
    </row>
    <row r="3975" ht="30" customHeight="1" spans="1:13">
      <c r="A3975" s="41">
        <f>IF(C3975="","",SUBTOTAL(103,$C$2:C3975))</f>
        <v>3966</v>
      </c>
      <c r="B3975" s="41">
        <v>2255</v>
      </c>
      <c r="C3975" s="41">
        <v>3757</v>
      </c>
      <c r="D3975" s="41" t="s">
        <v>45</v>
      </c>
      <c r="E3975" s="41" t="s">
        <v>1298</v>
      </c>
      <c r="F3975" s="41" t="s">
        <v>11893</v>
      </c>
      <c r="G3975" s="41" t="s">
        <v>12185</v>
      </c>
      <c r="H3975" s="41" t="s">
        <v>12186</v>
      </c>
      <c r="I3975" s="43">
        <v>12</v>
      </c>
      <c r="J3975" s="44" t="str">
        <f>VLOOKUP(G3975,[1]硬件清单!$F:$F,1,0)</f>
        <v>210305756810HA000334</v>
      </c>
      <c r="K3975" s="43"/>
      <c r="L3975" s="44"/>
      <c r="M3975" s="45" t="s">
        <v>12187</v>
      </c>
    </row>
    <row r="3976" ht="30" customHeight="1" spans="1:13">
      <c r="A3976" s="41">
        <f>IF(C3976="","",SUBTOTAL(103,$C$2:C3976))</f>
        <v>3967</v>
      </c>
      <c r="B3976" s="41">
        <v>2256</v>
      </c>
      <c r="C3976" s="41">
        <v>5357</v>
      </c>
      <c r="D3976" s="41" t="s">
        <v>45</v>
      </c>
      <c r="E3976" s="41" t="s">
        <v>1298</v>
      </c>
      <c r="F3976" s="41" t="s">
        <v>11889</v>
      </c>
      <c r="G3976" s="41" t="s">
        <v>12188</v>
      </c>
      <c r="H3976" s="41" t="s">
        <v>12189</v>
      </c>
      <c r="I3976" s="43">
        <v>12</v>
      </c>
      <c r="J3976" s="44" t="str">
        <f>VLOOKUP(G3976,[1]硬件清单!$F:$F,1,0)</f>
        <v>2102300742N0H9000552/
210230102810HA000024</v>
      </c>
      <c r="K3976" s="43"/>
      <c r="L3976" s="44"/>
      <c r="M3976" s="45" t="s">
        <v>12190</v>
      </c>
    </row>
    <row r="3977" ht="30" customHeight="1" spans="1:13">
      <c r="A3977" s="41">
        <f>IF(C3977="","",SUBTOTAL(103,$C$2:C3977))</f>
        <v>3968</v>
      </c>
      <c r="B3977" s="41">
        <v>2257</v>
      </c>
      <c r="C3977" s="41">
        <v>3897</v>
      </c>
      <c r="D3977" s="41" t="s">
        <v>45</v>
      </c>
      <c r="E3977" s="41" t="s">
        <v>1298</v>
      </c>
      <c r="F3977" s="41" t="s">
        <v>11893</v>
      </c>
      <c r="G3977" s="41" t="s">
        <v>12191</v>
      </c>
      <c r="H3977" s="41" t="s">
        <v>12192</v>
      </c>
      <c r="I3977" s="43">
        <v>12</v>
      </c>
      <c r="J3977" s="44" t="str">
        <f>VLOOKUP(G3977,[1]硬件清单!$F:$F,1,0)</f>
        <v>210305756810HA000233</v>
      </c>
      <c r="K3977" s="43"/>
      <c r="L3977" s="44"/>
      <c r="M3977" s="45" t="s">
        <v>12193</v>
      </c>
    </row>
    <row r="3978" ht="30" customHeight="1" spans="1:13">
      <c r="A3978" s="41">
        <f>IF(C3978="","",SUBTOTAL(103,$C$2:C3978))</f>
        <v>3969</v>
      </c>
      <c r="B3978" s="41">
        <v>2258</v>
      </c>
      <c r="C3978" s="41">
        <v>5000</v>
      </c>
      <c r="D3978" s="41" t="s">
        <v>45</v>
      </c>
      <c r="E3978" s="41" t="s">
        <v>1298</v>
      </c>
      <c r="F3978" s="41" t="s">
        <v>11893</v>
      </c>
      <c r="G3978" s="41" t="s">
        <v>12194</v>
      </c>
      <c r="H3978" s="41" t="s">
        <v>12195</v>
      </c>
      <c r="I3978" s="43">
        <v>12</v>
      </c>
      <c r="J3978" s="44" t="str">
        <f>VLOOKUP(G3978,[1]硬件清单!$F:$F,1,0)</f>
        <v>210305756810HA000568</v>
      </c>
      <c r="K3978" s="43"/>
      <c r="L3978" s="44"/>
      <c r="M3978" s="45" t="s">
        <v>12196</v>
      </c>
    </row>
    <row r="3979" ht="30" customHeight="1" spans="1:13">
      <c r="A3979" s="41">
        <f>IF(C3979="","",SUBTOTAL(103,$C$2:C3979))</f>
        <v>3970</v>
      </c>
      <c r="B3979" s="41">
        <v>2259</v>
      </c>
      <c r="C3979" s="41">
        <v>5001</v>
      </c>
      <c r="D3979" s="41" t="s">
        <v>45</v>
      </c>
      <c r="E3979" s="41" t="s">
        <v>1298</v>
      </c>
      <c r="F3979" s="41" t="s">
        <v>11893</v>
      </c>
      <c r="G3979" s="41" t="s">
        <v>12197</v>
      </c>
      <c r="H3979" s="41" t="s">
        <v>12198</v>
      </c>
      <c r="I3979" s="43">
        <v>12</v>
      </c>
      <c r="J3979" s="44" t="str">
        <f>VLOOKUP(G3979,[1]硬件清单!$F:$F,1,0)</f>
        <v>210305756810HA000340</v>
      </c>
      <c r="K3979" s="43"/>
      <c r="L3979" s="44"/>
      <c r="M3979" s="45" t="s">
        <v>12199</v>
      </c>
    </row>
    <row r="3980" ht="30" customHeight="1" spans="1:13">
      <c r="A3980" s="41">
        <f>IF(C3980="","",SUBTOTAL(103,$C$2:C3980))</f>
        <v>3971</v>
      </c>
      <c r="B3980" s="41">
        <v>2260</v>
      </c>
      <c r="C3980" s="41">
        <v>5002</v>
      </c>
      <c r="D3980" s="41" t="s">
        <v>45</v>
      </c>
      <c r="E3980" s="41" t="s">
        <v>1298</v>
      </c>
      <c r="F3980" s="41" t="s">
        <v>11893</v>
      </c>
      <c r="G3980" s="41" t="s">
        <v>12200</v>
      </c>
      <c r="H3980" s="41" t="s">
        <v>12201</v>
      </c>
      <c r="I3980" s="43">
        <v>12</v>
      </c>
      <c r="J3980" s="44" t="str">
        <f>VLOOKUP(G3980,[1]硬件清单!$F:$F,1,0)</f>
        <v>210305756810HA000326</v>
      </c>
      <c r="K3980" s="43"/>
      <c r="L3980" s="44"/>
      <c r="M3980" s="45" t="s">
        <v>12202</v>
      </c>
    </row>
    <row r="3981" ht="30" customHeight="1" spans="1:13">
      <c r="A3981" s="41">
        <f>IF(C3981="","",SUBTOTAL(103,$C$2:C3981))</f>
        <v>3972</v>
      </c>
      <c r="B3981" s="41">
        <v>2261</v>
      </c>
      <c r="C3981" s="41">
        <v>5003</v>
      </c>
      <c r="D3981" s="41" t="s">
        <v>45</v>
      </c>
      <c r="E3981" s="41" t="s">
        <v>1298</v>
      </c>
      <c r="F3981" s="41" t="s">
        <v>11893</v>
      </c>
      <c r="G3981" s="41" t="s">
        <v>12203</v>
      </c>
      <c r="H3981" s="41" t="s">
        <v>12204</v>
      </c>
      <c r="I3981" s="43">
        <v>12</v>
      </c>
      <c r="J3981" s="44" t="str">
        <f>VLOOKUP(G3981,[1]硬件清单!$F:$F,1,0)</f>
        <v>210305756810HA000505</v>
      </c>
      <c r="K3981" s="43"/>
      <c r="L3981" s="44"/>
      <c r="M3981" s="45" t="s">
        <v>12205</v>
      </c>
    </row>
    <row r="3982" ht="30" customHeight="1" spans="1:13">
      <c r="A3982" s="41">
        <f>IF(C3982="","",SUBTOTAL(103,$C$2:C3982))</f>
        <v>3973</v>
      </c>
      <c r="B3982" s="41">
        <v>2262</v>
      </c>
      <c r="C3982" s="41">
        <v>5004</v>
      </c>
      <c r="D3982" s="41" t="s">
        <v>45</v>
      </c>
      <c r="E3982" s="41" t="s">
        <v>1298</v>
      </c>
      <c r="F3982" s="41" t="s">
        <v>11893</v>
      </c>
      <c r="G3982" s="41" t="s">
        <v>12206</v>
      </c>
      <c r="H3982" s="41" t="s">
        <v>12207</v>
      </c>
      <c r="I3982" s="43">
        <v>12</v>
      </c>
      <c r="J3982" s="44" t="str">
        <f>VLOOKUP(G3982,[1]硬件清单!$F:$F,1,0)</f>
        <v>210305756810HA000433</v>
      </c>
      <c r="K3982" s="43"/>
      <c r="L3982" s="44"/>
      <c r="M3982" s="45" t="s">
        <v>12208</v>
      </c>
    </row>
    <row r="3983" ht="30" customHeight="1" spans="1:13">
      <c r="A3983" s="41">
        <f>IF(C3983="","",SUBTOTAL(103,$C$2:C3983))</f>
        <v>3974</v>
      </c>
      <c r="B3983" s="41">
        <v>2263</v>
      </c>
      <c r="C3983" s="41">
        <v>5005</v>
      </c>
      <c r="D3983" s="41" t="s">
        <v>45</v>
      </c>
      <c r="E3983" s="41" t="s">
        <v>1298</v>
      </c>
      <c r="F3983" s="41" t="s">
        <v>11893</v>
      </c>
      <c r="G3983" s="41" t="s">
        <v>12209</v>
      </c>
      <c r="H3983" s="41" t="s">
        <v>12210</v>
      </c>
      <c r="I3983" s="43">
        <v>12</v>
      </c>
      <c r="J3983" s="44" t="str">
        <f>VLOOKUP(G3983,[1]硬件清单!$F:$F,1,0)</f>
        <v>210305756810HA000315</v>
      </c>
      <c r="K3983" s="43"/>
      <c r="L3983" s="44"/>
      <c r="M3983" s="45" t="s">
        <v>12211</v>
      </c>
    </row>
    <row r="3984" ht="30" customHeight="1" spans="1:13">
      <c r="A3984" s="41">
        <f>IF(C3984="","",SUBTOTAL(103,$C$2:C3984))</f>
        <v>3975</v>
      </c>
      <c r="B3984" s="41">
        <v>2264</v>
      </c>
      <c r="C3984" s="41">
        <v>5006</v>
      </c>
      <c r="D3984" s="41" t="s">
        <v>45</v>
      </c>
      <c r="E3984" s="41" t="s">
        <v>1298</v>
      </c>
      <c r="F3984" s="41" t="s">
        <v>11893</v>
      </c>
      <c r="G3984" s="41" t="s">
        <v>12212</v>
      </c>
      <c r="H3984" s="41" t="s">
        <v>12213</v>
      </c>
      <c r="I3984" s="43">
        <v>12</v>
      </c>
      <c r="J3984" s="44" t="str">
        <f>VLOOKUP(G3984,[1]硬件清单!$F:$F,1,0)</f>
        <v>210305756810HA000309</v>
      </c>
      <c r="K3984" s="43"/>
      <c r="L3984" s="44"/>
      <c r="M3984" s="45" t="s">
        <v>12214</v>
      </c>
    </row>
    <row r="3985" ht="30" customHeight="1" spans="1:13">
      <c r="A3985" s="41">
        <f>IF(C3985="","",SUBTOTAL(103,$C$2:C3985))</f>
        <v>3976</v>
      </c>
      <c r="B3985" s="41">
        <v>2265</v>
      </c>
      <c r="C3985" s="41">
        <v>3898</v>
      </c>
      <c r="D3985" s="41" t="s">
        <v>45</v>
      </c>
      <c r="E3985" s="41" t="s">
        <v>1298</v>
      </c>
      <c r="F3985" s="41" t="s">
        <v>11893</v>
      </c>
      <c r="G3985" s="41" t="s">
        <v>12215</v>
      </c>
      <c r="H3985" s="41" t="s">
        <v>12216</v>
      </c>
      <c r="I3985" s="43">
        <v>12</v>
      </c>
      <c r="J3985" s="44" t="str">
        <f>VLOOKUP(G3985,[1]硬件清单!$F:$F,1,0)</f>
        <v>210305756810HA000267</v>
      </c>
      <c r="K3985" s="43"/>
      <c r="L3985" s="44"/>
      <c r="M3985" s="45" t="s">
        <v>12217</v>
      </c>
    </row>
    <row r="3986" ht="30" customHeight="1" spans="1:13">
      <c r="A3986" s="41">
        <f>IF(C3986="","",SUBTOTAL(103,$C$2:C3986))</f>
        <v>3977</v>
      </c>
      <c r="B3986" s="41">
        <v>2266</v>
      </c>
      <c r="C3986" s="41">
        <v>3899</v>
      </c>
      <c r="D3986" s="41" t="s">
        <v>45</v>
      </c>
      <c r="E3986" s="41" t="s">
        <v>1298</v>
      </c>
      <c r="F3986" s="41" t="s">
        <v>11893</v>
      </c>
      <c r="G3986" s="41" t="s">
        <v>12218</v>
      </c>
      <c r="H3986" s="41" t="s">
        <v>12219</v>
      </c>
      <c r="I3986" s="43">
        <v>12</v>
      </c>
      <c r="J3986" s="44" t="str">
        <f>VLOOKUP(G3986,[1]硬件清单!$F:$F,1,0)</f>
        <v>210305756810HA000254</v>
      </c>
      <c r="K3986" s="43"/>
      <c r="L3986" s="44"/>
      <c r="M3986" s="45" t="s">
        <v>12220</v>
      </c>
    </row>
    <row r="3987" ht="30" customHeight="1" spans="1:13">
      <c r="A3987" s="41">
        <f>IF(C3987="","",SUBTOTAL(103,$C$2:C3987))</f>
        <v>3978</v>
      </c>
      <c r="B3987" s="41">
        <v>2267</v>
      </c>
      <c r="C3987" s="41">
        <v>3900</v>
      </c>
      <c r="D3987" s="41" t="s">
        <v>45</v>
      </c>
      <c r="E3987" s="41" t="s">
        <v>1298</v>
      </c>
      <c r="F3987" s="41" t="s">
        <v>11893</v>
      </c>
      <c r="G3987" s="41" t="s">
        <v>12221</v>
      </c>
      <c r="H3987" s="41" t="s">
        <v>12222</v>
      </c>
      <c r="I3987" s="43">
        <v>12</v>
      </c>
      <c r="J3987" s="44" t="str">
        <f>VLOOKUP(G3987,[1]硬件清单!$F:$F,1,0)</f>
        <v>210305756810HA000250</v>
      </c>
      <c r="K3987" s="43"/>
      <c r="L3987" s="44"/>
      <c r="M3987" s="45" t="s">
        <v>12223</v>
      </c>
    </row>
    <row r="3988" ht="30" customHeight="1" spans="1:13">
      <c r="A3988" s="41">
        <f>IF(C3988="","",SUBTOTAL(103,$C$2:C3988))</f>
        <v>3979</v>
      </c>
      <c r="B3988" s="41">
        <v>2268</v>
      </c>
      <c r="C3988" s="41">
        <v>3901</v>
      </c>
      <c r="D3988" s="41" t="s">
        <v>45</v>
      </c>
      <c r="E3988" s="41" t="s">
        <v>1298</v>
      </c>
      <c r="F3988" s="41" t="s">
        <v>11893</v>
      </c>
      <c r="G3988" s="41" t="s">
        <v>12224</v>
      </c>
      <c r="H3988" s="41" t="s">
        <v>12225</v>
      </c>
      <c r="I3988" s="43">
        <v>12</v>
      </c>
      <c r="J3988" s="44" t="str">
        <f>VLOOKUP(G3988,[1]硬件清单!$F:$F,1,0)</f>
        <v>210305756810HA000252</v>
      </c>
      <c r="K3988" s="43"/>
      <c r="L3988" s="44"/>
      <c r="M3988" s="45" t="s">
        <v>12226</v>
      </c>
    </row>
    <row r="3989" ht="30" customHeight="1" spans="1:13">
      <c r="A3989" s="41">
        <f>IF(C3989="","",SUBTOTAL(103,$C$2:C3989))</f>
        <v>3980</v>
      </c>
      <c r="B3989" s="41">
        <v>2269</v>
      </c>
      <c r="C3989" s="41">
        <v>3902</v>
      </c>
      <c r="D3989" s="41" t="s">
        <v>45</v>
      </c>
      <c r="E3989" s="41" t="s">
        <v>1298</v>
      </c>
      <c r="F3989" s="41" t="s">
        <v>11893</v>
      </c>
      <c r="G3989" s="41" t="s">
        <v>12227</v>
      </c>
      <c r="H3989" s="41" t="s">
        <v>12228</v>
      </c>
      <c r="I3989" s="43">
        <v>12</v>
      </c>
      <c r="J3989" s="44" t="str">
        <f>VLOOKUP(G3989,[1]硬件清单!$F:$F,1,0)</f>
        <v>210305756810HA000507</v>
      </c>
      <c r="K3989" s="43"/>
      <c r="L3989" s="44"/>
      <c r="M3989" s="45" t="s">
        <v>12229</v>
      </c>
    </row>
    <row r="3990" ht="30" customHeight="1" spans="1:13">
      <c r="A3990" s="41">
        <f>IF(C3990="","",SUBTOTAL(103,$C$2:C3990))</f>
        <v>3981</v>
      </c>
      <c r="B3990" s="41">
        <v>2270</v>
      </c>
      <c r="C3990" s="41">
        <v>3903</v>
      </c>
      <c r="D3990" s="41" t="s">
        <v>45</v>
      </c>
      <c r="E3990" s="41" t="s">
        <v>1298</v>
      </c>
      <c r="F3990" s="41" t="s">
        <v>11893</v>
      </c>
      <c r="G3990" s="41" t="s">
        <v>12230</v>
      </c>
      <c r="H3990" s="41" t="s">
        <v>12231</v>
      </c>
      <c r="I3990" s="43">
        <v>12</v>
      </c>
      <c r="J3990" s="44" t="str">
        <f>VLOOKUP(G3990,[1]硬件清单!$F:$F,1,0)</f>
        <v>210305756810HA000427</v>
      </c>
      <c r="K3990" s="43"/>
      <c r="L3990" s="44"/>
      <c r="M3990" s="45" t="s">
        <v>12232</v>
      </c>
    </row>
    <row r="3991" ht="30" customHeight="1" spans="1:13">
      <c r="A3991" s="41">
        <f>IF(C3991="","",SUBTOTAL(103,$C$2:C3991))</f>
        <v>3982</v>
      </c>
      <c r="B3991" s="41">
        <v>2271</v>
      </c>
      <c r="C3991" s="41">
        <v>3904</v>
      </c>
      <c r="D3991" s="41" t="s">
        <v>45</v>
      </c>
      <c r="E3991" s="41" t="s">
        <v>1298</v>
      </c>
      <c r="F3991" s="41" t="s">
        <v>11893</v>
      </c>
      <c r="G3991" s="41" t="s">
        <v>12233</v>
      </c>
      <c r="H3991" s="41" t="s">
        <v>12234</v>
      </c>
      <c r="I3991" s="43">
        <v>12</v>
      </c>
      <c r="J3991" s="44" t="str">
        <f>VLOOKUP(G3991,[1]硬件清单!$F:$F,1,0)</f>
        <v>210305756810HA000277</v>
      </c>
      <c r="K3991" s="43"/>
      <c r="L3991" s="44"/>
      <c r="M3991" s="45" t="s">
        <v>12235</v>
      </c>
    </row>
    <row r="3992" ht="30" customHeight="1" spans="1:13">
      <c r="A3992" s="41">
        <f>IF(C3992="","",SUBTOTAL(103,$C$2:C3992))</f>
        <v>3983</v>
      </c>
      <c r="B3992" s="41">
        <v>2272</v>
      </c>
      <c r="C3992" s="41">
        <v>4999</v>
      </c>
      <c r="D3992" s="41" t="s">
        <v>45</v>
      </c>
      <c r="E3992" s="41" t="s">
        <v>1298</v>
      </c>
      <c r="F3992" s="41" t="s">
        <v>11893</v>
      </c>
      <c r="G3992" s="41" t="s">
        <v>12236</v>
      </c>
      <c r="H3992" s="41" t="s">
        <v>12237</v>
      </c>
      <c r="I3992" s="43">
        <v>12</v>
      </c>
      <c r="J3992" s="44" t="str">
        <f>VLOOKUP(G3992,[1]硬件清单!$F:$F,1,0)</f>
        <v>210305756810HA000579</v>
      </c>
      <c r="K3992" s="43"/>
      <c r="L3992" s="44"/>
      <c r="M3992" s="45" t="s">
        <v>12238</v>
      </c>
    </row>
    <row r="3993" ht="30" customHeight="1" spans="1:13">
      <c r="A3993" s="41">
        <f>IF(C3993="","",SUBTOTAL(103,$C$2:C3993))</f>
        <v>3984</v>
      </c>
      <c r="B3993" s="41">
        <v>2273</v>
      </c>
      <c r="C3993" s="41">
        <v>4225</v>
      </c>
      <c r="D3993" s="41" t="s">
        <v>45</v>
      </c>
      <c r="E3993" s="41" t="s">
        <v>1298</v>
      </c>
      <c r="F3993" s="41" t="s">
        <v>11889</v>
      </c>
      <c r="G3993" s="41" t="s">
        <v>12239</v>
      </c>
      <c r="H3993" s="41" t="s">
        <v>12240</v>
      </c>
      <c r="I3993" s="43">
        <v>12</v>
      </c>
      <c r="J3993" s="44" t="str">
        <f>VLOOKUP(G3993,[1]硬件清单!$F:$F,1,0)</f>
        <v>2102300742N0H9000528/210230102810HA000038</v>
      </c>
      <c r="K3993" s="43"/>
      <c r="L3993" s="44"/>
      <c r="M3993" s="45" t="s">
        <v>12241</v>
      </c>
    </row>
    <row r="3994" s="26" customFormat="1" ht="30" customHeight="1" spans="1:13">
      <c r="A3994" s="41">
        <f>IF(C3994="","",SUBTOTAL(103,$C$2:C3994))</f>
        <v>3985</v>
      </c>
      <c r="B3994" s="41">
        <v>2274</v>
      </c>
      <c r="C3994" s="41">
        <v>4226</v>
      </c>
      <c r="D3994" s="41" t="s">
        <v>45</v>
      </c>
      <c r="E3994" s="41" t="s">
        <v>1298</v>
      </c>
      <c r="F3994" s="41" t="s">
        <v>11889</v>
      </c>
      <c r="G3994" s="41" t="s">
        <v>12242</v>
      </c>
      <c r="H3994" s="41" t="s">
        <v>12243</v>
      </c>
      <c r="I3994" s="43">
        <v>12</v>
      </c>
      <c r="J3994" s="44" t="str">
        <f>VLOOKUP(G3994,[1]硬件清单!$F:$F,1,0)</f>
        <v>2102300742N0H9000454/210230102810HA000027</v>
      </c>
      <c r="K3994" s="43"/>
      <c r="L3994" s="44"/>
      <c r="M3994" s="45" t="s">
        <v>12244</v>
      </c>
    </row>
    <row r="3995" ht="30" customHeight="1" spans="1:13">
      <c r="A3995" s="41">
        <f>IF(C3995="","",SUBTOTAL(103,$C$2:C3995))</f>
        <v>3986</v>
      </c>
      <c r="B3995" s="41">
        <v>2275</v>
      </c>
      <c r="C3995" s="41">
        <v>4224</v>
      </c>
      <c r="D3995" s="41" t="s">
        <v>45</v>
      </c>
      <c r="E3995" s="41" t="s">
        <v>1298</v>
      </c>
      <c r="F3995" s="41" t="s">
        <v>11889</v>
      </c>
      <c r="G3995" s="41" t="s">
        <v>12245</v>
      </c>
      <c r="H3995" s="41" t="s">
        <v>12246</v>
      </c>
      <c r="I3995" s="43">
        <v>12</v>
      </c>
      <c r="J3995" s="44" t="str">
        <f>VLOOKUP(G3995,[1]硬件清单!$F:$F,1,0)</f>
        <v>2102300742N0H9000536/210230102810HA000035</v>
      </c>
      <c r="K3995" s="43"/>
      <c r="L3995" s="44"/>
      <c r="M3995" s="45" t="s">
        <v>12247</v>
      </c>
    </row>
    <row r="3996" ht="30" customHeight="1" spans="1:13">
      <c r="A3996" s="41">
        <f>IF(C3996="","",SUBTOTAL(103,$C$2:C3996))</f>
        <v>3987</v>
      </c>
      <c r="B3996" s="41">
        <v>2276</v>
      </c>
      <c r="C3996" s="41">
        <v>5356</v>
      </c>
      <c r="D3996" s="41" t="s">
        <v>45</v>
      </c>
      <c r="E3996" s="41" t="s">
        <v>1298</v>
      </c>
      <c r="F3996" s="41" t="s">
        <v>11889</v>
      </c>
      <c r="G3996" s="41" t="s">
        <v>12248</v>
      </c>
      <c r="H3996" s="41" t="s">
        <v>12249</v>
      </c>
      <c r="I3996" s="43">
        <v>12</v>
      </c>
      <c r="J3996" s="44" t="str">
        <f>VLOOKUP(G3996,[1]硬件清单!$F:$F,1,0)</f>
        <v>2102300742N0H9000586/
210230102810HA000101</v>
      </c>
      <c r="K3996" s="43"/>
      <c r="L3996" s="44"/>
      <c r="M3996" s="45" t="s">
        <v>12250</v>
      </c>
    </row>
    <row r="3997" ht="30" customHeight="1" spans="1:13">
      <c r="A3997" s="41">
        <f>IF(C3997="","",SUBTOTAL(103,$C$2:C3997))</f>
        <v>3988</v>
      </c>
      <c r="B3997" s="41">
        <v>2277</v>
      </c>
      <c r="C3997" s="41">
        <v>4142</v>
      </c>
      <c r="D3997" s="41" t="s">
        <v>45</v>
      </c>
      <c r="E3997" s="41" t="s">
        <v>1298</v>
      </c>
      <c r="F3997" s="41" t="s">
        <v>11893</v>
      </c>
      <c r="G3997" s="41" t="s">
        <v>12251</v>
      </c>
      <c r="H3997" s="41" t="s">
        <v>12252</v>
      </c>
      <c r="I3997" s="43">
        <v>12</v>
      </c>
      <c r="J3997" s="44" t="str">
        <f>VLOOKUP(G3997,[1]硬件清单!$F:$F,1,0)</f>
        <v>210305756810HA000436</v>
      </c>
      <c r="K3997" s="43"/>
      <c r="L3997" s="44"/>
      <c r="M3997" s="45" t="s">
        <v>12253</v>
      </c>
    </row>
    <row r="3998" ht="30" customHeight="1" spans="1:13">
      <c r="A3998" s="41">
        <f>IF(C3998="","",SUBTOTAL(103,$C$2:C3998))</f>
        <v>3989</v>
      </c>
      <c r="B3998" s="41">
        <v>2278</v>
      </c>
      <c r="C3998" s="41">
        <v>4151</v>
      </c>
      <c r="D3998" s="41" t="s">
        <v>45</v>
      </c>
      <c r="E3998" s="41" t="s">
        <v>1298</v>
      </c>
      <c r="F3998" s="41" t="s">
        <v>11893</v>
      </c>
      <c r="G3998" s="41" t="s">
        <v>12254</v>
      </c>
      <c r="H3998" s="41" t="s">
        <v>12255</v>
      </c>
      <c r="I3998" s="43">
        <v>12</v>
      </c>
      <c r="J3998" s="44" t="str">
        <f>VLOOKUP(G3998,[1]硬件清单!$F:$F,1,0)</f>
        <v>210305756810HA000625</v>
      </c>
      <c r="K3998" s="43"/>
      <c r="L3998" s="44"/>
      <c r="M3998" s="45" t="s">
        <v>12256</v>
      </c>
    </row>
    <row r="3999" ht="30" customHeight="1" spans="1:13">
      <c r="A3999" s="41">
        <f>IF(C3999="","",SUBTOTAL(103,$C$2:C3999))</f>
        <v>3990</v>
      </c>
      <c r="B3999" s="41">
        <v>2279</v>
      </c>
      <c r="C3999" s="41">
        <v>4152</v>
      </c>
      <c r="D3999" s="41" t="s">
        <v>45</v>
      </c>
      <c r="E3999" s="41" t="s">
        <v>1298</v>
      </c>
      <c r="F3999" s="41" t="s">
        <v>11893</v>
      </c>
      <c r="G3999" s="41" t="s">
        <v>12257</v>
      </c>
      <c r="H3999" s="41" t="s">
        <v>12258</v>
      </c>
      <c r="I3999" s="43">
        <v>12</v>
      </c>
      <c r="J3999" s="44" t="str">
        <f>VLOOKUP(G3999,[1]硬件清单!$F:$F,1,0)</f>
        <v>210305756810HA000572</v>
      </c>
      <c r="K3999" s="43"/>
      <c r="L3999" s="44"/>
      <c r="M3999" s="45" t="s">
        <v>12259</v>
      </c>
    </row>
    <row r="4000" ht="30" customHeight="1" spans="1:13">
      <c r="A4000" s="41">
        <f>IF(C4000="","",SUBTOTAL(103,$C$2:C4000))</f>
        <v>3991</v>
      </c>
      <c r="B4000" s="41">
        <v>2280</v>
      </c>
      <c r="C4000" s="41">
        <v>4153</v>
      </c>
      <c r="D4000" s="41" t="s">
        <v>45</v>
      </c>
      <c r="E4000" s="41" t="s">
        <v>1298</v>
      </c>
      <c r="F4000" s="41" t="s">
        <v>11893</v>
      </c>
      <c r="G4000" s="41" t="s">
        <v>12260</v>
      </c>
      <c r="H4000" s="41" t="s">
        <v>12261</v>
      </c>
      <c r="I4000" s="43">
        <v>12</v>
      </c>
      <c r="J4000" s="44" t="str">
        <f>VLOOKUP(G4000,[1]硬件清单!$F:$F,1,0)</f>
        <v>210305756810HA000245</v>
      </c>
      <c r="K4000" s="43"/>
      <c r="L4000" s="44"/>
      <c r="M4000" s="45" t="s">
        <v>12262</v>
      </c>
    </row>
    <row r="4001" ht="30" customHeight="1" spans="1:13">
      <c r="A4001" s="41">
        <f>IF(C4001="","",SUBTOTAL(103,$C$2:C4001))</f>
        <v>3992</v>
      </c>
      <c r="B4001" s="41">
        <v>2281</v>
      </c>
      <c r="C4001" s="41">
        <v>4154</v>
      </c>
      <c r="D4001" s="41" t="s">
        <v>45</v>
      </c>
      <c r="E4001" s="41" t="s">
        <v>1298</v>
      </c>
      <c r="F4001" s="41" t="s">
        <v>11893</v>
      </c>
      <c r="G4001" s="41" t="s">
        <v>12263</v>
      </c>
      <c r="H4001" s="41" t="s">
        <v>12264</v>
      </c>
      <c r="I4001" s="43">
        <v>12</v>
      </c>
      <c r="J4001" s="44" t="str">
        <f>VLOOKUP(G4001,[1]硬件清单!$F:$F,1,0)</f>
        <v>210305756810HA000422</v>
      </c>
      <c r="K4001" s="43"/>
      <c r="L4001" s="44"/>
      <c r="M4001" s="45" t="s">
        <v>12265</v>
      </c>
    </row>
    <row r="4002" ht="30" customHeight="1" spans="1:13">
      <c r="A4002" s="41">
        <f>IF(C4002="","",SUBTOTAL(103,$C$2:C4002))</f>
        <v>3993</v>
      </c>
      <c r="B4002" s="41">
        <v>2282</v>
      </c>
      <c r="C4002" s="41">
        <v>4155</v>
      </c>
      <c r="D4002" s="41" t="s">
        <v>45</v>
      </c>
      <c r="E4002" s="41" t="s">
        <v>1298</v>
      </c>
      <c r="F4002" s="41" t="s">
        <v>11893</v>
      </c>
      <c r="G4002" s="41" t="s">
        <v>12266</v>
      </c>
      <c r="H4002" s="41" t="s">
        <v>12267</v>
      </c>
      <c r="I4002" s="43">
        <v>12</v>
      </c>
      <c r="J4002" s="44" t="str">
        <f>VLOOKUP(G4002,[1]硬件清单!$F:$F,1,0)</f>
        <v>210305756810HA000330</v>
      </c>
      <c r="K4002" s="43"/>
      <c r="L4002" s="44"/>
      <c r="M4002" s="45" t="s">
        <v>12268</v>
      </c>
    </row>
    <row r="4003" ht="30" customHeight="1" spans="1:13">
      <c r="A4003" s="41">
        <f>IF(C4003="","",SUBTOTAL(103,$C$2:C4003))</f>
        <v>3994</v>
      </c>
      <c r="B4003" s="41">
        <v>2283</v>
      </c>
      <c r="C4003" s="41">
        <v>4156</v>
      </c>
      <c r="D4003" s="41" t="s">
        <v>45</v>
      </c>
      <c r="E4003" s="41" t="s">
        <v>1298</v>
      </c>
      <c r="F4003" s="41" t="s">
        <v>11893</v>
      </c>
      <c r="G4003" s="41" t="s">
        <v>12269</v>
      </c>
      <c r="H4003" s="41" t="s">
        <v>12270</v>
      </c>
      <c r="I4003" s="43">
        <v>12</v>
      </c>
      <c r="J4003" s="44" t="str">
        <f>VLOOKUP(G4003,[1]硬件清单!$F:$F,1,0)</f>
        <v>210305756810HA000264</v>
      </c>
      <c r="K4003" s="43"/>
      <c r="L4003" s="44"/>
      <c r="M4003" s="45" t="s">
        <v>12271</v>
      </c>
    </row>
    <row r="4004" ht="30" customHeight="1" spans="1:13">
      <c r="A4004" s="41">
        <f>IF(C4004="","",SUBTOTAL(103,$C$2:C4004))</f>
        <v>3995</v>
      </c>
      <c r="B4004" s="41">
        <v>2284</v>
      </c>
      <c r="C4004" s="41">
        <v>4157</v>
      </c>
      <c r="D4004" s="41" t="s">
        <v>45</v>
      </c>
      <c r="E4004" s="41" t="s">
        <v>1298</v>
      </c>
      <c r="F4004" s="41" t="s">
        <v>11893</v>
      </c>
      <c r="G4004" s="41" t="s">
        <v>12272</v>
      </c>
      <c r="H4004" s="41" t="s">
        <v>12273</v>
      </c>
      <c r="I4004" s="43">
        <v>12</v>
      </c>
      <c r="J4004" s="44" t="str">
        <f>VLOOKUP(G4004,[1]硬件清单!$F:$F,1,0)</f>
        <v>210305756810HA000506</v>
      </c>
      <c r="K4004" s="43"/>
      <c r="L4004" s="44"/>
      <c r="M4004" s="45" t="s">
        <v>12274</v>
      </c>
    </row>
    <row r="4005" ht="30" customHeight="1" spans="1:13">
      <c r="A4005" s="41">
        <f>IF(C4005="","",SUBTOTAL(103,$C$2:C4005))</f>
        <v>3996</v>
      </c>
      <c r="B4005" s="41">
        <v>2285</v>
      </c>
      <c r="C4005" s="41">
        <v>4143</v>
      </c>
      <c r="D4005" s="41" t="s">
        <v>45</v>
      </c>
      <c r="E4005" s="41" t="s">
        <v>1298</v>
      </c>
      <c r="F4005" s="41" t="s">
        <v>11893</v>
      </c>
      <c r="G4005" s="41" t="s">
        <v>12275</v>
      </c>
      <c r="H4005" s="41" t="s">
        <v>12276</v>
      </c>
      <c r="I4005" s="43">
        <v>12</v>
      </c>
      <c r="J4005" s="44" t="str">
        <f>VLOOKUP(G4005,[1]硬件清单!$F:$F,1,0)</f>
        <v>210305756810HA000567</v>
      </c>
      <c r="K4005" s="43"/>
      <c r="L4005" s="44"/>
      <c r="M4005" s="45" t="s">
        <v>12277</v>
      </c>
    </row>
    <row r="4006" s="26" customFormat="1" ht="30" customHeight="1" spans="1:13">
      <c r="A4006" s="41">
        <f>IF(C4006="","",SUBTOTAL(103,$C$2:C4006))</f>
        <v>3997</v>
      </c>
      <c r="B4006" s="41">
        <v>2286</v>
      </c>
      <c r="C4006" s="41">
        <v>4144</v>
      </c>
      <c r="D4006" s="41" t="s">
        <v>45</v>
      </c>
      <c r="E4006" s="41" t="s">
        <v>1298</v>
      </c>
      <c r="F4006" s="41" t="s">
        <v>11893</v>
      </c>
      <c r="G4006" s="41" t="s">
        <v>12278</v>
      </c>
      <c r="H4006" s="41" t="s">
        <v>12279</v>
      </c>
      <c r="I4006" s="43">
        <v>12</v>
      </c>
      <c r="J4006" s="44" t="str">
        <f>VLOOKUP(G4006,[1]硬件清单!$F:$F,1,0)</f>
        <v>210305756810HA000248</v>
      </c>
      <c r="K4006" s="43"/>
      <c r="L4006" s="44"/>
      <c r="M4006" s="45" t="s">
        <v>12280</v>
      </c>
    </row>
    <row r="4007" ht="30" customHeight="1" spans="1:13">
      <c r="A4007" s="41">
        <f>IF(C4007="","",SUBTOTAL(103,$C$2:C4007))</f>
        <v>3998</v>
      </c>
      <c r="B4007" s="41">
        <v>2287</v>
      </c>
      <c r="C4007" s="41">
        <v>4145</v>
      </c>
      <c r="D4007" s="41" t="s">
        <v>45</v>
      </c>
      <c r="E4007" s="41" t="s">
        <v>1298</v>
      </c>
      <c r="F4007" s="41" t="s">
        <v>11893</v>
      </c>
      <c r="G4007" s="41" t="s">
        <v>12281</v>
      </c>
      <c r="H4007" s="41" t="s">
        <v>12282</v>
      </c>
      <c r="I4007" s="43">
        <v>12</v>
      </c>
      <c r="J4007" s="44" t="str">
        <f>VLOOKUP(G4007,[1]硬件清单!$F:$F,1,0)</f>
        <v>210305756810HA000577</v>
      </c>
      <c r="K4007" s="43"/>
      <c r="L4007" s="44"/>
      <c r="M4007" s="45" t="s">
        <v>12283</v>
      </c>
    </row>
    <row r="4008" ht="30" customHeight="1" spans="1:13">
      <c r="A4008" s="41">
        <f>IF(C4008="","",SUBTOTAL(103,$C$2:C4008))</f>
        <v>3999</v>
      </c>
      <c r="B4008" s="41">
        <v>2288</v>
      </c>
      <c r="C4008" s="41">
        <v>4146</v>
      </c>
      <c r="D4008" s="41" t="s">
        <v>45</v>
      </c>
      <c r="E4008" s="41" t="s">
        <v>1298</v>
      </c>
      <c r="F4008" s="41" t="s">
        <v>11893</v>
      </c>
      <c r="G4008" s="41" t="s">
        <v>12284</v>
      </c>
      <c r="H4008" s="41" t="s">
        <v>12285</v>
      </c>
      <c r="I4008" s="43">
        <v>12</v>
      </c>
      <c r="J4008" s="44" t="str">
        <f>VLOOKUP(G4008,[1]硬件清单!$F:$F,1,0)</f>
        <v>210305756810HA000418</v>
      </c>
      <c r="K4008" s="43"/>
      <c r="L4008" s="44"/>
      <c r="M4008" s="45" t="s">
        <v>12286</v>
      </c>
    </row>
    <row r="4009" ht="30" customHeight="1" spans="1:13">
      <c r="A4009" s="41">
        <f>IF(C4009="","",SUBTOTAL(103,$C$2:C4009))</f>
        <v>4000</v>
      </c>
      <c r="B4009" s="41">
        <v>2289</v>
      </c>
      <c r="C4009" s="41">
        <v>4147</v>
      </c>
      <c r="D4009" s="41" t="s">
        <v>45</v>
      </c>
      <c r="E4009" s="41" t="s">
        <v>1298</v>
      </c>
      <c r="F4009" s="41" t="s">
        <v>11893</v>
      </c>
      <c r="G4009" s="41" t="s">
        <v>12287</v>
      </c>
      <c r="H4009" s="41" t="s">
        <v>12288</v>
      </c>
      <c r="I4009" s="43">
        <v>12</v>
      </c>
      <c r="J4009" s="44" t="str">
        <f>VLOOKUP(G4009,[1]硬件清单!$F:$F,1,0)</f>
        <v>210305756810HA000576</v>
      </c>
      <c r="K4009" s="43"/>
      <c r="L4009" s="44"/>
      <c r="M4009" s="45" t="s">
        <v>12289</v>
      </c>
    </row>
    <row r="4010" ht="30" customHeight="1" spans="1:13">
      <c r="A4010" s="41">
        <f>IF(C4010="","",SUBTOTAL(103,$C$2:C4010))</f>
        <v>4001</v>
      </c>
      <c r="B4010" s="41">
        <v>2290</v>
      </c>
      <c r="C4010" s="41">
        <v>4148</v>
      </c>
      <c r="D4010" s="41" t="s">
        <v>45</v>
      </c>
      <c r="E4010" s="41" t="s">
        <v>1298</v>
      </c>
      <c r="F4010" s="41" t="s">
        <v>11893</v>
      </c>
      <c r="G4010" s="41" t="s">
        <v>12290</v>
      </c>
      <c r="H4010" s="41" t="s">
        <v>12291</v>
      </c>
      <c r="I4010" s="43">
        <v>12</v>
      </c>
      <c r="J4010" s="44" t="str">
        <f>VLOOKUP(G4010,[1]硬件清单!$F:$F,1,0)</f>
        <v>210305756810HA000294</v>
      </c>
      <c r="K4010" s="43"/>
      <c r="L4010" s="44"/>
      <c r="M4010" s="45" t="s">
        <v>12292</v>
      </c>
    </row>
    <row r="4011" ht="30" customHeight="1" spans="1:13">
      <c r="A4011" s="41">
        <f>IF(C4011="","",SUBTOTAL(103,$C$2:C4011))</f>
        <v>4002</v>
      </c>
      <c r="B4011" s="41">
        <v>2291</v>
      </c>
      <c r="C4011" s="41">
        <v>4149</v>
      </c>
      <c r="D4011" s="41" t="s">
        <v>45</v>
      </c>
      <c r="E4011" s="41" t="s">
        <v>1298</v>
      </c>
      <c r="F4011" s="41" t="s">
        <v>11893</v>
      </c>
      <c r="G4011" s="41" t="s">
        <v>12293</v>
      </c>
      <c r="H4011" s="41" t="s">
        <v>12294</v>
      </c>
      <c r="I4011" s="43">
        <v>12</v>
      </c>
      <c r="J4011" s="44" t="str">
        <f>VLOOKUP(G4011,[1]硬件清单!$F:$F,1,0)</f>
        <v>210305756810HA000308</v>
      </c>
      <c r="K4011" s="43"/>
      <c r="L4011" s="44"/>
      <c r="M4011" s="45" t="s">
        <v>12295</v>
      </c>
    </row>
    <row r="4012" ht="30" customHeight="1" spans="1:13">
      <c r="A4012" s="41">
        <f>IF(C4012="","",SUBTOTAL(103,$C$2:C4012))</f>
        <v>4003</v>
      </c>
      <c r="B4012" s="41">
        <v>2292</v>
      </c>
      <c r="C4012" s="41">
        <v>4150</v>
      </c>
      <c r="D4012" s="41" t="s">
        <v>45</v>
      </c>
      <c r="E4012" s="41" t="s">
        <v>1298</v>
      </c>
      <c r="F4012" s="41" t="s">
        <v>11893</v>
      </c>
      <c r="G4012" s="41" t="s">
        <v>12296</v>
      </c>
      <c r="H4012" s="41" t="s">
        <v>12297</v>
      </c>
      <c r="I4012" s="43">
        <v>12</v>
      </c>
      <c r="J4012" s="44" t="str">
        <f>VLOOKUP(G4012,[1]硬件清单!$F:$F,1,0)</f>
        <v>210305756810HA000295</v>
      </c>
      <c r="K4012" s="43"/>
      <c r="L4012" s="44"/>
      <c r="M4012" s="45" t="s">
        <v>12298</v>
      </c>
    </row>
    <row r="4013" ht="30" customHeight="1" spans="1:13">
      <c r="A4013" s="41">
        <f>IF(C4013="","",SUBTOTAL(103,$C$2:C4013))</f>
        <v>4004</v>
      </c>
      <c r="B4013" s="41">
        <v>2293</v>
      </c>
      <c r="C4013" s="41">
        <v>10359</v>
      </c>
      <c r="D4013" s="41" t="s">
        <v>45</v>
      </c>
      <c r="E4013" s="41" t="s">
        <v>1298</v>
      </c>
      <c r="F4013" s="41" t="s">
        <v>4535</v>
      </c>
      <c r="G4013" s="41" t="s">
        <v>12299</v>
      </c>
      <c r="H4013" s="41" t="s">
        <v>12300</v>
      </c>
      <c r="I4013" s="43">
        <v>12</v>
      </c>
      <c r="J4013" s="44" t="str">
        <f>VLOOKUP(G4013,[1]硬件清单!$F:$F,1,0)</f>
        <v>J302XHL</v>
      </c>
      <c r="K4013" s="43"/>
      <c r="L4013" s="44"/>
      <c r="M4013" s="45" t="s">
        <v>12301</v>
      </c>
    </row>
    <row r="4014" ht="30" customHeight="1" spans="1:13">
      <c r="A4014" s="41">
        <f>IF(C4014="","",SUBTOTAL(103,$C$2:C4014))</f>
        <v>4005</v>
      </c>
      <c r="B4014" s="41">
        <v>2294</v>
      </c>
      <c r="C4014" s="41">
        <v>10360</v>
      </c>
      <c r="D4014" s="41" t="s">
        <v>45</v>
      </c>
      <c r="E4014" s="41" t="s">
        <v>1298</v>
      </c>
      <c r="F4014" s="41" t="s">
        <v>4535</v>
      </c>
      <c r="G4014" s="41" t="s">
        <v>12302</v>
      </c>
      <c r="H4014" s="41" t="s">
        <v>12303</v>
      </c>
      <c r="I4014" s="43">
        <v>12</v>
      </c>
      <c r="J4014" s="44" t="str">
        <f>VLOOKUP(G4014,[1]硬件清单!$F:$F,1,0)</f>
        <v>06HNAVT</v>
      </c>
      <c r="K4014" s="43"/>
      <c r="L4014" s="44"/>
      <c r="M4014" s="45" t="s">
        <v>12304</v>
      </c>
    </row>
    <row r="4015" ht="30" customHeight="1" spans="1:13">
      <c r="A4015" s="41">
        <f>IF(C4015="","",SUBTOTAL(103,$C$2:C4015))</f>
        <v>4006</v>
      </c>
      <c r="B4015" s="41">
        <v>2295</v>
      </c>
      <c r="C4015" s="41">
        <v>10361</v>
      </c>
      <c r="D4015" s="41" t="s">
        <v>45</v>
      </c>
      <c r="E4015" s="41" t="s">
        <v>1298</v>
      </c>
      <c r="F4015" s="41" t="s">
        <v>4535</v>
      </c>
      <c r="G4015" s="41" t="s">
        <v>12305</v>
      </c>
      <c r="H4015" s="41" t="s">
        <v>12306</v>
      </c>
      <c r="I4015" s="43">
        <v>12</v>
      </c>
      <c r="J4015" s="44" t="str">
        <f>VLOOKUP(G4015,[1]硬件清单!$F:$F,1,0)</f>
        <v>J302XHC</v>
      </c>
      <c r="K4015" s="43"/>
      <c r="L4015" s="44"/>
      <c r="M4015" s="45" t="s">
        <v>12307</v>
      </c>
    </row>
    <row r="4016" ht="30" customHeight="1" spans="1:13">
      <c r="A4016" s="41">
        <f>IF(C4016="","",SUBTOTAL(103,$C$2:C4016))</f>
        <v>4007</v>
      </c>
      <c r="B4016" s="41">
        <v>2296</v>
      </c>
      <c r="C4016" s="41">
        <v>4229</v>
      </c>
      <c r="D4016" s="41" t="s">
        <v>45</v>
      </c>
      <c r="E4016" s="41" t="s">
        <v>1298</v>
      </c>
      <c r="F4016" s="41" t="s">
        <v>11889</v>
      </c>
      <c r="G4016" s="41" t="s">
        <v>12308</v>
      </c>
      <c r="H4016" s="41" t="s">
        <v>12309</v>
      </c>
      <c r="I4016" s="43">
        <v>12</v>
      </c>
      <c r="J4016" s="44" t="str">
        <f>VLOOKUP(G4016,[1]硬件清单!$F:$F,1,0)</f>
        <v>2102300742N0H9000548/210230102810HA000034</v>
      </c>
      <c r="K4016" s="43"/>
      <c r="L4016" s="44"/>
      <c r="M4016" s="45" t="s">
        <v>12310</v>
      </c>
    </row>
    <row r="4017" ht="30" customHeight="1" spans="1:13">
      <c r="A4017" s="41">
        <f>IF(C4017="","",SUBTOTAL(103,$C$2:C4017))</f>
        <v>4008</v>
      </c>
      <c r="B4017" s="41">
        <v>2297</v>
      </c>
      <c r="C4017" s="41">
        <v>4164</v>
      </c>
      <c r="D4017" s="41" t="s">
        <v>45</v>
      </c>
      <c r="E4017" s="41" t="s">
        <v>1298</v>
      </c>
      <c r="F4017" s="41" t="s">
        <v>11893</v>
      </c>
      <c r="G4017" s="41" t="s">
        <v>12311</v>
      </c>
      <c r="H4017" s="41" t="s">
        <v>12312</v>
      </c>
      <c r="I4017" s="43">
        <v>12</v>
      </c>
      <c r="J4017" s="44" t="str">
        <f>VLOOKUP(G4017,[1]硬件清单!$F:$F,1,0)</f>
        <v>210305756810HA000282</v>
      </c>
      <c r="K4017" s="43"/>
      <c r="L4017" s="44"/>
      <c r="M4017" s="45" t="s">
        <v>12313</v>
      </c>
    </row>
    <row r="4018" ht="30" customHeight="1" spans="1:13">
      <c r="A4018" s="41">
        <f>IF(C4018="","",SUBTOTAL(103,$C$2:C4018))</f>
        <v>4009</v>
      </c>
      <c r="B4018" s="41">
        <v>2298</v>
      </c>
      <c r="C4018" s="41">
        <v>4173</v>
      </c>
      <c r="D4018" s="41" t="s">
        <v>45</v>
      </c>
      <c r="E4018" s="41" t="s">
        <v>1298</v>
      </c>
      <c r="F4018" s="41" t="s">
        <v>11893</v>
      </c>
      <c r="G4018" s="41" t="s">
        <v>12314</v>
      </c>
      <c r="H4018" s="41" t="s">
        <v>12315</v>
      </c>
      <c r="I4018" s="43">
        <v>12</v>
      </c>
      <c r="J4018" s="44" t="str">
        <f>VLOOKUP(G4018,[1]硬件清单!$F:$F,1,0)</f>
        <v>210305756810HA000399</v>
      </c>
      <c r="K4018" s="43"/>
      <c r="L4018" s="44"/>
      <c r="M4018" s="45" t="s">
        <v>12316</v>
      </c>
    </row>
    <row r="4019" ht="30" customHeight="1" spans="1:13">
      <c r="A4019" s="41">
        <f>IF(C4019="","",SUBTOTAL(103,$C$2:C4019))</f>
        <v>4010</v>
      </c>
      <c r="B4019" s="41">
        <v>2299</v>
      </c>
      <c r="C4019" s="41">
        <v>4174</v>
      </c>
      <c r="D4019" s="41" t="s">
        <v>45</v>
      </c>
      <c r="E4019" s="41" t="s">
        <v>1298</v>
      </c>
      <c r="F4019" s="41" t="s">
        <v>11893</v>
      </c>
      <c r="G4019" s="41" t="s">
        <v>12317</v>
      </c>
      <c r="H4019" s="41" t="s">
        <v>12318</v>
      </c>
      <c r="I4019" s="43">
        <v>12</v>
      </c>
      <c r="J4019" s="44" t="str">
        <f>VLOOKUP(G4019,[1]硬件清单!$F:$F,1,0)</f>
        <v>210305756810HA000347</v>
      </c>
      <c r="K4019" s="43"/>
      <c r="L4019" s="44"/>
      <c r="M4019" s="45" t="s">
        <v>12319</v>
      </c>
    </row>
    <row r="4020" ht="30" customHeight="1" spans="1:13">
      <c r="A4020" s="41">
        <f>IF(C4020="","",SUBTOTAL(103,$C$2:C4020))</f>
        <v>4011</v>
      </c>
      <c r="B4020" s="41">
        <v>2300</v>
      </c>
      <c r="C4020" s="41">
        <v>4175</v>
      </c>
      <c r="D4020" s="41" t="s">
        <v>45</v>
      </c>
      <c r="E4020" s="41" t="s">
        <v>1298</v>
      </c>
      <c r="F4020" s="41" t="s">
        <v>11893</v>
      </c>
      <c r="G4020" s="41" t="s">
        <v>12320</v>
      </c>
      <c r="H4020" s="41" t="s">
        <v>12321</v>
      </c>
      <c r="I4020" s="43">
        <v>12</v>
      </c>
      <c r="J4020" s="44" t="str">
        <f>VLOOKUP(G4020,[1]硬件清单!$F:$F,1,0)</f>
        <v>210305756810HA000401</v>
      </c>
      <c r="K4020" s="43"/>
      <c r="L4020" s="44"/>
      <c r="M4020" s="45" t="s">
        <v>12322</v>
      </c>
    </row>
    <row r="4021" ht="30" customHeight="1" spans="1:13">
      <c r="A4021" s="41">
        <f>IF(C4021="","",SUBTOTAL(103,$C$2:C4021))</f>
        <v>4012</v>
      </c>
      <c r="B4021" s="41">
        <v>2301</v>
      </c>
      <c r="C4021" s="41">
        <v>4176</v>
      </c>
      <c r="D4021" s="41" t="s">
        <v>45</v>
      </c>
      <c r="E4021" s="41" t="s">
        <v>1298</v>
      </c>
      <c r="F4021" s="41" t="s">
        <v>11893</v>
      </c>
      <c r="G4021" s="41" t="s">
        <v>12323</v>
      </c>
      <c r="H4021" s="41" t="s">
        <v>12324</v>
      </c>
      <c r="I4021" s="43">
        <v>12</v>
      </c>
      <c r="J4021" s="44" t="str">
        <f>VLOOKUP(G4021,[1]硬件清单!$F:$F,1,0)</f>
        <v>210305756810HA000402</v>
      </c>
      <c r="K4021" s="43"/>
      <c r="L4021" s="44"/>
      <c r="M4021" s="45" t="s">
        <v>12325</v>
      </c>
    </row>
    <row r="4022" ht="30" customHeight="1" spans="1:13">
      <c r="A4022" s="41">
        <f>IF(C4022="","",SUBTOTAL(103,$C$2:C4022))</f>
        <v>4013</v>
      </c>
      <c r="B4022" s="41">
        <v>2302</v>
      </c>
      <c r="C4022" s="41">
        <v>4177</v>
      </c>
      <c r="D4022" s="41" t="s">
        <v>45</v>
      </c>
      <c r="E4022" s="41" t="s">
        <v>1298</v>
      </c>
      <c r="F4022" s="41" t="s">
        <v>11893</v>
      </c>
      <c r="G4022" s="41" t="s">
        <v>12326</v>
      </c>
      <c r="H4022" s="41" t="s">
        <v>12327</v>
      </c>
      <c r="I4022" s="43">
        <v>12</v>
      </c>
      <c r="J4022" s="44" t="str">
        <f>VLOOKUP(G4022,[1]硬件清单!$F:$F,1,0)</f>
        <v>210305756810HA000400</v>
      </c>
      <c r="K4022" s="43"/>
      <c r="L4022" s="44"/>
      <c r="M4022" s="45" t="s">
        <v>12328</v>
      </c>
    </row>
    <row r="4023" ht="30" customHeight="1" spans="1:13">
      <c r="A4023" s="41">
        <f>IF(C4023="","",SUBTOTAL(103,$C$2:C4023))</f>
        <v>4014</v>
      </c>
      <c r="B4023" s="41">
        <v>2303</v>
      </c>
      <c r="C4023" s="41">
        <v>4178</v>
      </c>
      <c r="D4023" s="41" t="s">
        <v>45</v>
      </c>
      <c r="E4023" s="41" t="s">
        <v>1298</v>
      </c>
      <c r="F4023" s="41" t="s">
        <v>11893</v>
      </c>
      <c r="G4023" s="41" t="s">
        <v>12329</v>
      </c>
      <c r="H4023" s="41" t="s">
        <v>12330</v>
      </c>
      <c r="I4023" s="43">
        <v>12</v>
      </c>
      <c r="J4023" s="44" t="str">
        <f>VLOOKUP(G4023,[1]硬件清单!$F:$F,1,0)</f>
        <v>210305756810HA000280</v>
      </c>
      <c r="K4023" s="43"/>
      <c r="L4023" s="44"/>
      <c r="M4023" s="45" t="s">
        <v>12331</v>
      </c>
    </row>
    <row r="4024" ht="30" customHeight="1" spans="1:13">
      <c r="A4024" s="41">
        <f>IF(C4024="","",SUBTOTAL(103,$C$2:C4024))</f>
        <v>4015</v>
      </c>
      <c r="B4024" s="41">
        <v>2304</v>
      </c>
      <c r="C4024" s="41">
        <v>4179</v>
      </c>
      <c r="D4024" s="41" t="s">
        <v>45</v>
      </c>
      <c r="E4024" s="41" t="s">
        <v>1298</v>
      </c>
      <c r="F4024" s="41" t="s">
        <v>11893</v>
      </c>
      <c r="G4024" s="41" t="s">
        <v>12332</v>
      </c>
      <c r="H4024" s="41" t="s">
        <v>12333</v>
      </c>
      <c r="I4024" s="43">
        <v>12</v>
      </c>
      <c r="J4024" s="44" t="str">
        <f>VLOOKUP(G4024,[1]硬件清单!$F:$F,1,0)</f>
        <v>210305756810HA000226</v>
      </c>
      <c r="K4024" s="43"/>
      <c r="L4024" s="44"/>
      <c r="M4024" s="45" t="s">
        <v>12334</v>
      </c>
    </row>
    <row r="4025" ht="30" customHeight="1" spans="1:13">
      <c r="A4025" s="41">
        <f>IF(C4025="","",SUBTOTAL(103,$C$2:C4025))</f>
        <v>4016</v>
      </c>
      <c r="B4025" s="41">
        <v>2305</v>
      </c>
      <c r="C4025" s="41">
        <v>4165</v>
      </c>
      <c r="D4025" s="41" t="s">
        <v>45</v>
      </c>
      <c r="E4025" s="41" t="s">
        <v>1298</v>
      </c>
      <c r="F4025" s="41" t="s">
        <v>11893</v>
      </c>
      <c r="G4025" s="41" t="s">
        <v>12335</v>
      </c>
      <c r="H4025" s="41" t="s">
        <v>12336</v>
      </c>
      <c r="I4025" s="43">
        <v>12</v>
      </c>
      <c r="J4025" s="44" t="str">
        <f>VLOOKUP(G4025,[1]硬件清单!$F:$F,1,0)</f>
        <v>210305756810HA000220</v>
      </c>
      <c r="K4025" s="43"/>
      <c r="L4025" s="44"/>
      <c r="M4025" s="45" t="s">
        <v>12337</v>
      </c>
    </row>
    <row r="4026" ht="30" customHeight="1" spans="1:13">
      <c r="A4026" s="41">
        <f>IF(C4026="","",SUBTOTAL(103,$C$2:C4026))</f>
        <v>4017</v>
      </c>
      <c r="B4026" s="41">
        <v>2306</v>
      </c>
      <c r="C4026" s="41">
        <v>4166</v>
      </c>
      <c r="D4026" s="41" t="s">
        <v>45</v>
      </c>
      <c r="E4026" s="41" t="s">
        <v>1298</v>
      </c>
      <c r="F4026" s="41" t="s">
        <v>11893</v>
      </c>
      <c r="G4026" s="41" t="s">
        <v>12338</v>
      </c>
      <c r="H4026" s="41" t="s">
        <v>12339</v>
      </c>
      <c r="I4026" s="43">
        <v>12</v>
      </c>
      <c r="J4026" s="44" t="str">
        <f>VLOOKUP(G4026,[1]硬件清单!$F:$F,1,0)</f>
        <v>210305756810HA000278</v>
      </c>
      <c r="K4026" s="43"/>
      <c r="L4026" s="44"/>
      <c r="M4026" s="45" t="s">
        <v>12340</v>
      </c>
    </row>
    <row r="4027" ht="30" customHeight="1" spans="1:13">
      <c r="A4027" s="41">
        <f>IF(C4027="","",SUBTOTAL(103,$C$2:C4027))</f>
        <v>4018</v>
      </c>
      <c r="B4027" s="41">
        <v>2307</v>
      </c>
      <c r="C4027" s="41">
        <v>4167</v>
      </c>
      <c r="D4027" s="41" t="s">
        <v>45</v>
      </c>
      <c r="E4027" s="41" t="s">
        <v>1298</v>
      </c>
      <c r="F4027" s="41" t="s">
        <v>11893</v>
      </c>
      <c r="G4027" s="41" t="s">
        <v>12341</v>
      </c>
      <c r="H4027" s="41" t="s">
        <v>12342</v>
      </c>
      <c r="I4027" s="43">
        <v>12</v>
      </c>
      <c r="J4027" s="44" t="str">
        <f>VLOOKUP(G4027,[1]硬件清单!$F:$F,1,0)</f>
        <v>210305756810HA000216</v>
      </c>
      <c r="K4027" s="43"/>
      <c r="L4027" s="44"/>
      <c r="M4027" s="45" t="s">
        <v>12343</v>
      </c>
    </row>
    <row r="4028" ht="30" customHeight="1" spans="1:13">
      <c r="A4028" s="41">
        <f>IF(C4028="","",SUBTOTAL(103,$C$2:C4028))</f>
        <v>4019</v>
      </c>
      <c r="B4028" s="41">
        <v>2308</v>
      </c>
      <c r="C4028" s="41">
        <v>4168</v>
      </c>
      <c r="D4028" s="41" t="s">
        <v>45</v>
      </c>
      <c r="E4028" s="41" t="s">
        <v>1298</v>
      </c>
      <c r="F4028" s="41" t="s">
        <v>11893</v>
      </c>
      <c r="G4028" s="41" t="s">
        <v>12344</v>
      </c>
      <c r="H4028" s="41" t="s">
        <v>12345</v>
      </c>
      <c r="I4028" s="43">
        <v>12</v>
      </c>
      <c r="J4028" s="44" t="str">
        <f>VLOOKUP(G4028,[1]硬件清单!$F:$F,1,0)</f>
        <v>210305756810HA000225</v>
      </c>
      <c r="K4028" s="43"/>
      <c r="L4028" s="44"/>
      <c r="M4028" s="45" t="s">
        <v>12346</v>
      </c>
    </row>
    <row r="4029" ht="30" customHeight="1" spans="1:13">
      <c r="A4029" s="41">
        <f>IF(C4029="","",SUBTOTAL(103,$C$2:C4029))</f>
        <v>4020</v>
      </c>
      <c r="B4029" s="41">
        <v>2309</v>
      </c>
      <c r="C4029" s="41">
        <v>4169</v>
      </c>
      <c r="D4029" s="41" t="s">
        <v>45</v>
      </c>
      <c r="E4029" s="41" t="s">
        <v>1298</v>
      </c>
      <c r="F4029" s="41" t="s">
        <v>11893</v>
      </c>
      <c r="G4029" s="41" t="s">
        <v>12347</v>
      </c>
      <c r="H4029" s="41" t="s">
        <v>12348</v>
      </c>
      <c r="I4029" s="43">
        <v>12</v>
      </c>
      <c r="J4029" s="44" t="str">
        <f>VLOOKUP(G4029,[1]硬件清单!$F:$F,1,0)</f>
        <v>210305756810HA000281</v>
      </c>
      <c r="K4029" s="43"/>
      <c r="L4029" s="44"/>
      <c r="M4029" s="45" t="s">
        <v>12349</v>
      </c>
    </row>
    <row r="4030" ht="30" customHeight="1" spans="1:13">
      <c r="A4030" s="41">
        <f>IF(C4030="","",SUBTOTAL(103,$C$2:C4030))</f>
        <v>4021</v>
      </c>
      <c r="B4030" s="41">
        <v>2310</v>
      </c>
      <c r="C4030" s="41">
        <v>4170</v>
      </c>
      <c r="D4030" s="41" t="s">
        <v>45</v>
      </c>
      <c r="E4030" s="41" t="s">
        <v>1298</v>
      </c>
      <c r="F4030" s="41" t="s">
        <v>11893</v>
      </c>
      <c r="G4030" s="41" t="s">
        <v>12350</v>
      </c>
      <c r="H4030" s="41" t="s">
        <v>12351</v>
      </c>
      <c r="I4030" s="43">
        <v>12</v>
      </c>
      <c r="J4030" s="44" t="str">
        <f>VLOOKUP(G4030,[1]硬件清单!$F:$F,1,0)</f>
        <v>210305756810HA000258</v>
      </c>
      <c r="K4030" s="43"/>
      <c r="L4030" s="44"/>
      <c r="M4030" s="45" t="s">
        <v>12352</v>
      </c>
    </row>
    <row r="4031" ht="30" customHeight="1" spans="1:13">
      <c r="A4031" s="41">
        <f>IF(C4031="","",SUBTOTAL(103,$C$2:C4031))</f>
        <v>4022</v>
      </c>
      <c r="B4031" s="41">
        <v>2311</v>
      </c>
      <c r="C4031" s="41">
        <v>4171</v>
      </c>
      <c r="D4031" s="41" t="s">
        <v>45</v>
      </c>
      <c r="E4031" s="41" t="s">
        <v>1298</v>
      </c>
      <c r="F4031" s="41" t="s">
        <v>11893</v>
      </c>
      <c r="G4031" s="41" t="s">
        <v>12353</v>
      </c>
      <c r="H4031" s="41" t="s">
        <v>12354</v>
      </c>
      <c r="I4031" s="43">
        <v>12</v>
      </c>
      <c r="J4031" s="44" t="str">
        <f>VLOOKUP(G4031,[1]硬件清单!$F:$F,1,0)</f>
        <v>210305756810HA000348</v>
      </c>
      <c r="K4031" s="43"/>
      <c r="L4031" s="44"/>
      <c r="M4031" s="45" t="s">
        <v>12355</v>
      </c>
    </row>
    <row r="4032" ht="30" customHeight="1" spans="1:13">
      <c r="A4032" s="41">
        <f>IF(C4032="","",SUBTOTAL(103,$C$2:C4032))</f>
        <v>4023</v>
      </c>
      <c r="B4032" s="41">
        <v>2312</v>
      </c>
      <c r="C4032" s="41">
        <v>4172</v>
      </c>
      <c r="D4032" s="41" t="s">
        <v>45</v>
      </c>
      <c r="E4032" s="41" t="s">
        <v>1298</v>
      </c>
      <c r="F4032" s="41" t="s">
        <v>11893</v>
      </c>
      <c r="G4032" s="41" t="s">
        <v>12356</v>
      </c>
      <c r="H4032" s="41" t="s">
        <v>12357</v>
      </c>
      <c r="I4032" s="43">
        <v>12</v>
      </c>
      <c r="J4032" s="44" t="str">
        <f>VLOOKUP(G4032,[1]硬件清单!$F:$F,1,0)</f>
        <v>210305756810HA000279</v>
      </c>
      <c r="K4032" s="43"/>
      <c r="L4032" s="44"/>
      <c r="M4032" s="45" t="s">
        <v>12358</v>
      </c>
    </row>
    <row r="4033" ht="30" customHeight="1" spans="1:13">
      <c r="A4033" s="41">
        <f>IF(C4033="","",SUBTOTAL(103,$C$2:C4033))</f>
        <v>4024</v>
      </c>
      <c r="B4033" s="41">
        <v>2313</v>
      </c>
      <c r="C4033" s="41">
        <v>4228</v>
      </c>
      <c r="D4033" s="41" t="s">
        <v>45</v>
      </c>
      <c r="E4033" s="41" t="s">
        <v>1298</v>
      </c>
      <c r="F4033" s="41" t="s">
        <v>11889</v>
      </c>
      <c r="G4033" s="41" t="s">
        <v>12359</v>
      </c>
      <c r="H4033" s="41" t="s">
        <v>12360</v>
      </c>
      <c r="I4033" s="43">
        <v>12</v>
      </c>
      <c r="J4033" s="44" t="str">
        <f>VLOOKUP(G4033,[1]硬件清单!$F:$F,1,0)</f>
        <v>2102300742N0H9000464/210230102810HA000036</v>
      </c>
      <c r="K4033" s="43"/>
      <c r="L4033" s="44"/>
      <c r="M4033" s="45" t="s">
        <v>12361</v>
      </c>
    </row>
    <row r="4034" ht="30" customHeight="1" spans="1:13">
      <c r="A4034" s="41">
        <f>IF(C4034="","",SUBTOTAL(103,$C$2:C4034))</f>
        <v>4025</v>
      </c>
      <c r="B4034" s="41">
        <v>2314</v>
      </c>
      <c r="C4034" s="41">
        <v>3937</v>
      </c>
      <c r="D4034" s="41" t="s">
        <v>45</v>
      </c>
      <c r="E4034" s="41" t="s">
        <v>1298</v>
      </c>
      <c r="F4034" s="41" t="s">
        <v>11893</v>
      </c>
      <c r="G4034" s="41" t="s">
        <v>12362</v>
      </c>
      <c r="H4034" s="41" t="s">
        <v>12363</v>
      </c>
      <c r="I4034" s="43">
        <v>12</v>
      </c>
      <c r="J4034" s="44" t="str">
        <f>VLOOKUP(G4034,[1]硬件清单!$F:$F,1,0)</f>
        <v>210305756810HA001854</v>
      </c>
      <c r="K4034" s="43"/>
      <c r="L4034" s="44"/>
      <c r="M4034" s="45" t="s">
        <v>12364</v>
      </c>
    </row>
    <row r="4035" ht="30" customHeight="1" spans="1:13">
      <c r="A4035" s="41">
        <f>IF(C4035="","",SUBTOTAL(103,$C$2:C4035))</f>
        <v>4026</v>
      </c>
      <c r="B4035" s="41">
        <v>2315</v>
      </c>
      <c r="C4035" s="41">
        <v>3946</v>
      </c>
      <c r="D4035" s="41" t="s">
        <v>45</v>
      </c>
      <c r="E4035" s="41" t="s">
        <v>1298</v>
      </c>
      <c r="F4035" s="41" t="s">
        <v>11893</v>
      </c>
      <c r="G4035" s="41" t="s">
        <v>12365</v>
      </c>
      <c r="H4035" s="41" t="s">
        <v>12366</v>
      </c>
      <c r="I4035" s="43">
        <v>12</v>
      </c>
      <c r="J4035" s="44" t="str">
        <f>VLOOKUP(G4035,[1]硬件清单!$F:$F,1,0)</f>
        <v>210305756810HA001575</v>
      </c>
      <c r="K4035" s="43"/>
      <c r="L4035" s="44"/>
      <c r="M4035" s="45" t="s">
        <v>12367</v>
      </c>
    </row>
    <row r="4036" ht="30" customHeight="1" spans="1:13">
      <c r="A4036" s="41">
        <f>IF(C4036="","",SUBTOTAL(103,$C$2:C4036))</f>
        <v>4027</v>
      </c>
      <c r="B4036" s="41">
        <v>2316</v>
      </c>
      <c r="C4036" s="41">
        <v>3947</v>
      </c>
      <c r="D4036" s="41" t="s">
        <v>45</v>
      </c>
      <c r="E4036" s="41" t="s">
        <v>1298</v>
      </c>
      <c r="F4036" s="41" t="s">
        <v>11893</v>
      </c>
      <c r="G4036" s="41" t="s">
        <v>12368</v>
      </c>
      <c r="H4036" s="41" t="s">
        <v>12369</v>
      </c>
      <c r="I4036" s="43">
        <v>12</v>
      </c>
      <c r="J4036" s="44" t="str">
        <f>VLOOKUP(G4036,[1]硬件清单!$F:$F,1,0)</f>
        <v>210305756810HA001570</v>
      </c>
      <c r="K4036" s="43"/>
      <c r="L4036" s="44"/>
      <c r="M4036" s="45" t="s">
        <v>12370</v>
      </c>
    </row>
    <row r="4037" ht="30" customHeight="1" spans="1:13">
      <c r="A4037" s="41">
        <f>IF(C4037="","",SUBTOTAL(103,$C$2:C4037))</f>
        <v>4028</v>
      </c>
      <c r="B4037" s="41">
        <v>2317</v>
      </c>
      <c r="C4037" s="41">
        <v>3948</v>
      </c>
      <c r="D4037" s="41" t="s">
        <v>45</v>
      </c>
      <c r="E4037" s="41" t="s">
        <v>1298</v>
      </c>
      <c r="F4037" s="41" t="s">
        <v>11893</v>
      </c>
      <c r="G4037" s="41" t="s">
        <v>12371</v>
      </c>
      <c r="H4037" s="41" t="s">
        <v>12372</v>
      </c>
      <c r="I4037" s="43">
        <v>12</v>
      </c>
      <c r="J4037" s="44" t="str">
        <f>VLOOKUP(G4037,[1]硬件清单!$F:$F,1,0)</f>
        <v>210305756810HA001559</v>
      </c>
      <c r="K4037" s="43"/>
      <c r="L4037" s="44"/>
      <c r="M4037" s="45" t="s">
        <v>12373</v>
      </c>
    </row>
    <row r="4038" ht="30" customHeight="1" spans="1:13">
      <c r="A4038" s="41">
        <f>IF(C4038="","",SUBTOTAL(103,$C$2:C4038))</f>
        <v>4029</v>
      </c>
      <c r="B4038" s="41">
        <v>2318</v>
      </c>
      <c r="C4038" s="41">
        <v>3949</v>
      </c>
      <c r="D4038" s="41" t="s">
        <v>45</v>
      </c>
      <c r="E4038" s="41" t="s">
        <v>1298</v>
      </c>
      <c r="F4038" s="41" t="s">
        <v>11893</v>
      </c>
      <c r="G4038" s="41" t="s">
        <v>12374</v>
      </c>
      <c r="H4038" s="41" t="s">
        <v>12375</v>
      </c>
      <c r="I4038" s="43">
        <v>12</v>
      </c>
      <c r="J4038" s="44" t="str">
        <f>VLOOKUP(G4038,[1]硬件清单!$F:$F,1,0)</f>
        <v>210305756810HA001572</v>
      </c>
      <c r="K4038" s="43"/>
      <c r="L4038" s="44"/>
      <c r="M4038" s="45" t="s">
        <v>12376</v>
      </c>
    </row>
    <row r="4039" ht="30" customHeight="1" spans="1:13">
      <c r="A4039" s="41">
        <f>IF(C4039="","",SUBTOTAL(103,$C$2:C4039))</f>
        <v>4030</v>
      </c>
      <c r="B4039" s="41">
        <v>2319</v>
      </c>
      <c r="C4039" s="41">
        <v>3950</v>
      </c>
      <c r="D4039" s="41" t="s">
        <v>45</v>
      </c>
      <c r="E4039" s="41" t="s">
        <v>1298</v>
      </c>
      <c r="F4039" s="41" t="s">
        <v>11893</v>
      </c>
      <c r="G4039" s="41" t="s">
        <v>12377</v>
      </c>
      <c r="H4039" s="41" t="s">
        <v>12378</v>
      </c>
      <c r="I4039" s="43">
        <v>12</v>
      </c>
      <c r="J4039" s="44" t="str">
        <f>VLOOKUP(G4039,[1]硬件清单!$F:$F,1,0)</f>
        <v>210305756810HA001846</v>
      </c>
      <c r="K4039" s="43"/>
      <c r="L4039" s="44"/>
      <c r="M4039" s="45" t="s">
        <v>12379</v>
      </c>
    </row>
    <row r="4040" ht="30" customHeight="1" spans="1:13">
      <c r="A4040" s="41">
        <f>IF(C4040="","",SUBTOTAL(103,$C$2:C4040))</f>
        <v>4031</v>
      </c>
      <c r="B4040" s="41">
        <v>2320</v>
      </c>
      <c r="C4040" s="41">
        <v>3951</v>
      </c>
      <c r="D4040" s="41" t="s">
        <v>45</v>
      </c>
      <c r="E4040" s="41" t="s">
        <v>1298</v>
      </c>
      <c r="F4040" s="41" t="s">
        <v>11893</v>
      </c>
      <c r="G4040" s="41" t="s">
        <v>12380</v>
      </c>
      <c r="H4040" s="41" t="s">
        <v>12381</v>
      </c>
      <c r="I4040" s="43">
        <v>12</v>
      </c>
      <c r="J4040" s="44" t="str">
        <f>VLOOKUP(G4040,[1]硬件清单!$F:$F,1,0)</f>
        <v>210305756810HA001852</v>
      </c>
      <c r="K4040" s="43"/>
      <c r="L4040" s="44"/>
      <c r="M4040" s="45" t="s">
        <v>12382</v>
      </c>
    </row>
    <row r="4041" ht="30" customHeight="1" spans="1:13">
      <c r="A4041" s="41">
        <f>IF(C4041="","",SUBTOTAL(103,$C$2:C4041))</f>
        <v>4032</v>
      </c>
      <c r="B4041" s="41">
        <v>2321</v>
      </c>
      <c r="C4041" s="41">
        <v>3952</v>
      </c>
      <c r="D4041" s="41" t="s">
        <v>45</v>
      </c>
      <c r="E4041" s="41" t="s">
        <v>1298</v>
      </c>
      <c r="F4041" s="41" t="s">
        <v>11893</v>
      </c>
      <c r="G4041" s="41" t="s">
        <v>12383</v>
      </c>
      <c r="H4041" s="41" t="s">
        <v>12384</v>
      </c>
      <c r="I4041" s="43">
        <v>12</v>
      </c>
      <c r="J4041" s="44" t="str">
        <f>VLOOKUP(G4041,[1]硬件清单!$F:$F,1,0)</f>
        <v>210305756810HA001837</v>
      </c>
      <c r="K4041" s="43"/>
      <c r="L4041" s="44"/>
      <c r="M4041" s="45" t="s">
        <v>12385</v>
      </c>
    </row>
    <row r="4042" ht="30" customHeight="1" spans="1:13">
      <c r="A4042" s="41">
        <f>IF(C4042="","",SUBTOTAL(103,$C$2:C4042))</f>
        <v>4033</v>
      </c>
      <c r="B4042" s="41">
        <v>2322</v>
      </c>
      <c r="C4042" s="41">
        <v>3938</v>
      </c>
      <c r="D4042" s="41" t="s">
        <v>45</v>
      </c>
      <c r="E4042" s="41" t="s">
        <v>1298</v>
      </c>
      <c r="F4042" s="41" t="s">
        <v>11893</v>
      </c>
      <c r="G4042" s="41" t="s">
        <v>12386</v>
      </c>
      <c r="H4042" s="41" t="s">
        <v>12387</v>
      </c>
      <c r="I4042" s="43">
        <v>12</v>
      </c>
      <c r="J4042" s="44" t="str">
        <f>VLOOKUP(G4042,[1]硬件清单!$F:$F,1,0)</f>
        <v>210305756810HA001844</v>
      </c>
      <c r="K4042" s="43"/>
      <c r="L4042" s="44"/>
      <c r="M4042" s="45" t="s">
        <v>12388</v>
      </c>
    </row>
    <row r="4043" s="26" customFormat="1" ht="30" customHeight="1" spans="1:13">
      <c r="A4043" s="41">
        <f>IF(C4043="","",SUBTOTAL(103,$C$2:C4043))</f>
        <v>4034</v>
      </c>
      <c r="B4043" s="41">
        <v>2323</v>
      </c>
      <c r="C4043" s="41">
        <v>3939</v>
      </c>
      <c r="D4043" s="41" t="s">
        <v>45</v>
      </c>
      <c r="E4043" s="41" t="s">
        <v>1298</v>
      </c>
      <c r="F4043" s="41" t="s">
        <v>11893</v>
      </c>
      <c r="G4043" s="41" t="s">
        <v>12389</v>
      </c>
      <c r="H4043" s="41" t="s">
        <v>12390</v>
      </c>
      <c r="I4043" s="43">
        <v>12</v>
      </c>
      <c r="J4043" s="44" t="str">
        <f>VLOOKUP(G4043,[1]硬件清单!$F:$F,1,0)</f>
        <v>210305756810HA001561</v>
      </c>
      <c r="K4043" s="43"/>
      <c r="L4043" s="44"/>
      <c r="M4043" s="45" t="s">
        <v>12391</v>
      </c>
    </row>
    <row r="4044" ht="30" customHeight="1" spans="1:13">
      <c r="A4044" s="41">
        <f>IF(C4044="","",SUBTOTAL(103,$C$2:C4044))</f>
        <v>4035</v>
      </c>
      <c r="B4044" s="41">
        <v>2324</v>
      </c>
      <c r="C4044" s="41">
        <v>3940</v>
      </c>
      <c r="D4044" s="41" t="s">
        <v>45</v>
      </c>
      <c r="E4044" s="41" t="s">
        <v>1298</v>
      </c>
      <c r="F4044" s="41" t="s">
        <v>11893</v>
      </c>
      <c r="G4044" s="41" t="s">
        <v>12392</v>
      </c>
      <c r="H4044" s="41" t="s">
        <v>12393</v>
      </c>
      <c r="I4044" s="43">
        <v>12</v>
      </c>
      <c r="J4044" s="44" t="str">
        <f>VLOOKUP(G4044,[1]硬件清单!$F:$F,1,0)</f>
        <v>210305756810HA001842</v>
      </c>
      <c r="K4044" s="43"/>
      <c r="L4044" s="44"/>
      <c r="M4044" s="45" t="s">
        <v>12394</v>
      </c>
    </row>
    <row r="4045" ht="30" customHeight="1" spans="1:13">
      <c r="A4045" s="41">
        <f>IF(C4045="","",SUBTOTAL(103,$C$2:C4045))</f>
        <v>4036</v>
      </c>
      <c r="B4045" s="41">
        <v>2325</v>
      </c>
      <c r="C4045" s="41">
        <v>3941</v>
      </c>
      <c r="D4045" s="41" t="s">
        <v>45</v>
      </c>
      <c r="E4045" s="41" t="s">
        <v>1298</v>
      </c>
      <c r="F4045" s="41" t="s">
        <v>11893</v>
      </c>
      <c r="G4045" s="41" t="s">
        <v>12395</v>
      </c>
      <c r="H4045" s="41" t="s">
        <v>12396</v>
      </c>
      <c r="I4045" s="43">
        <v>12</v>
      </c>
      <c r="J4045" s="44" t="str">
        <f>VLOOKUP(G4045,[1]硬件清单!$F:$F,1,0)</f>
        <v>210305756810HA001853</v>
      </c>
      <c r="K4045" s="43"/>
      <c r="L4045" s="44"/>
      <c r="M4045" s="45" t="s">
        <v>12397</v>
      </c>
    </row>
    <row r="4046" ht="30" customHeight="1" spans="1:13">
      <c r="A4046" s="41">
        <f>IF(C4046="","",SUBTOTAL(103,$C$2:C4046))</f>
        <v>4037</v>
      </c>
      <c r="B4046" s="41">
        <v>2326</v>
      </c>
      <c r="C4046" s="41">
        <v>3942</v>
      </c>
      <c r="D4046" s="41" t="s">
        <v>45</v>
      </c>
      <c r="E4046" s="41" t="s">
        <v>1298</v>
      </c>
      <c r="F4046" s="41" t="s">
        <v>11893</v>
      </c>
      <c r="G4046" s="41" t="s">
        <v>12398</v>
      </c>
      <c r="H4046" s="41" t="s">
        <v>12399</v>
      </c>
      <c r="I4046" s="43">
        <v>12</v>
      </c>
      <c r="J4046" s="44" t="str">
        <f>VLOOKUP(G4046,[1]硬件清单!$F:$F,1,0)</f>
        <v>210305756810HA001562</v>
      </c>
      <c r="K4046" s="43"/>
      <c r="L4046" s="44"/>
      <c r="M4046" s="45" t="s">
        <v>12400</v>
      </c>
    </row>
    <row r="4047" ht="30" customHeight="1" spans="1:13">
      <c r="A4047" s="41">
        <f>IF(C4047="","",SUBTOTAL(103,$C$2:C4047))</f>
        <v>4038</v>
      </c>
      <c r="B4047" s="41">
        <v>2327</v>
      </c>
      <c r="C4047" s="41">
        <v>3943</v>
      </c>
      <c r="D4047" s="41" t="s">
        <v>45</v>
      </c>
      <c r="E4047" s="41" t="s">
        <v>1298</v>
      </c>
      <c r="F4047" s="41" t="s">
        <v>11893</v>
      </c>
      <c r="G4047" s="41" t="s">
        <v>12401</v>
      </c>
      <c r="H4047" s="41" t="s">
        <v>12402</v>
      </c>
      <c r="I4047" s="43">
        <v>12</v>
      </c>
      <c r="J4047" s="44" t="str">
        <f>VLOOKUP(G4047,[1]硬件清单!$F:$F,1,0)</f>
        <v>210305756810HA001845</v>
      </c>
      <c r="K4047" s="43"/>
      <c r="L4047" s="44"/>
      <c r="M4047" s="45" t="s">
        <v>12403</v>
      </c>
    </row>
    <row r="4048" ht="30" customHeight="1" spans="1:13">
      <c r="A4048" s="41">
        <f>IF(C4048="","",SUBTOTAL(103,$C$2:C4048))</f>
        <v>4039</v>
      </c>
      <c r="B4048" s="41">
        <v>2328</v>
      </c>
      <c r="C4048" s="41">
        <v>3944</v>
      </c>
      <c r="D4048" s="41" t="s">
        <v>45</v>
      </c>
      <c r="E4048" s="41" t="s">
        <v>1298</v>
      </c>
      <c r="F4048" s="41" t="s">
        <v>11893</v>
      </c>
      <c r="G4048" s="41" t="s">
        <v>12404</v>
      </c>
      <c r="H4048" s="41" t="s">
        <v>12405</v>
      </c>
      <c r="I4048" s="43">
        <v>12</v>
      </c>
      <c r="J4048" s="44" t="str">
        <f>VLOOKUP(G4048,[1]硬件清单!$F:$F,1,0)</f>
        <v>210305756810HA001841</v>
      </c>
      <c r="K4048" s="43"/>
      <c r="L4048" s="44"/>
      <c r="M4048" s="45" t="s">
        <v>12406</v>
      </c>
    </row>
    <row r="4049" ht="30" customHeight="1" spans="1:13">
      <c r="A4049" s="41">
        <f>IF(C4049="","",SUBTOTAL(103,$C$2:C4049))</f>
        <v>4040</v>
      </c>
      <c r="B4049" s="41">
        <v>2329</v>
      </c>
      <c r="C4049" s="41">
        <v>3945</v>
      </c>
      <c r="D4049" s="41" t="s">
        <v>45</v>
      </c>
      <c r="E4049" s="41" t="s">
        <v>1298</v>
      </c>
      <c r="F4049" s="41" t="s">
        <v>11893</v>
      </c>
      <c r="G4049" s="41" t="s">
        <v>12407</v>
      </c>
      <c r="H4049" s="41" t="s">
        <v>12408</v>
      </c>
      <c r="I4049" s="43">
        <v>12</v>
      </c>
      <c r="J4049" s="44" t="str">
        <f>VLOOKUP(G4049,[1]硬件清单!$F:$F,1,0)</f>
        <v>210305756810HA001839</v>
      </c>
      <c r="K4049" s="43"/>
      <c r="L4049" s="44"/>
      <c r="M4049" s="45" t="s">
        <v>12409</v>
      </c>
    </row>
    <row r="4050" ht="30" customHeight="1" spans="1:13">
      <c r="A4050" s="41">
        <f>IF(C4050="","",SUBTOTAL(103,$C$2:C4050))</f>
        <v>4041</v>
      </c>
      <c r="B4050" s="41">
        <v>2330</v>
      </c>
      <c r="C4050" s="41">
        <v>10362</v>
      </c>
      <c r="D4050" s="41" t="s">
        <v>45</v>
      </c>
      <c r="E4050" s="41" t="s">
        <v>1298</v>
      </c>
      <c r="F4050" s="41" t="s">
        <v>4535</v>
      </c>
      <c r="G4050" s="41" t="s">
        <v>12410</v>
      </c>
      <c r="H4050" s="41" t="s">
        <v>12411</v>
      </c>
      <c r="I4050" s="43">
        <v>12</v>
      </c>
      <c r="J4050" s="44" t="str">
        <f>VLOOKUP(G4050,[1]硬件清单!$F:$F,1,0)</f>
        <v>J320EAM</v>
      </c>
      <c r="K4050" s="43"/>
      <c r="L4050" s="44"/>
      <c r="M4050" s="45" t="s">
        <v>12412</v>
      </c>
    </row>
    <row r="4051" ht="30" customHeight="1" spans="1:13">
      <c r="A4051" s="41">
        <f>IF(C4051="","",SUBTOTAL(103,$C$2:C4051))</f>
        <v>4042</v>
      </c>
      <c r="B4051" s="41">
        <v>2331</v>
      </c>
      <c r="C4051" s="41">
        <v>10363</v>
      </c>
      <c r="D4051" s="41" t="s">
        <v>45</v>
      </c>
      <c r="E4051" s="41" t="s">
        <v>1298</v>
      </c>
      <c r="F4051" s="41" t="s">
        <v>4535</v>
      </c>
      <c r="G4051" s="41" t="s">
        <v>12413</v>
      </c>
      <c r="H4051" s="41" t="s">
        <v>12414</v>
      </c>
      <c r="I4051" s="43">
        <v>12</v>
      </c>
      <c r="J4051" s="44" t="str">
        <f>VLOOKUP(G4051,[1]硬件清单!$F:$F,1,0)</f>
        <v>J320EAN</v>
      </c>
      <c r="K4051" s="43"/>
      <c r="L4051" s="44"/>
      <c r="M4051" s="45" t="s">
        <v>12415</v>
      </c>
    </row>
    <row r="4052" ht="30" customHeight="1" spans="1:13">
      <c r="A4052" s="41">
        <f>IF(C4052="","",SUBTOTAL(103,$C$2:C4052))</f>
        <v>4043</v>
      </c>
      <c r="B4052" s="41">
        <v>2332</v>
      </c>
      <c r="C4052" s="41">
        <v>10364</v>
      </c>
      <c r="D4052" s="41" t="s">
        <v>45</v>
      </c>
      <c r="E4052" s="41" t="s">
        <v>1298</v>
      </c>
      <c r="F4052" s="41" t="s">
        <v>4535</v>
      </c>
      <c r="G4052" s="41" t="s">
        <v>12416</v>
      </c>
      <c r="H4052" s="41" t="s">
        <v>12417</v>
      </c>
      <c r="I4052" s="43">
        <v>12</v>
      </c>
      <c r="J4052" s="44" t="str">
        <f>VLOOKUP(G4052,[1]硬件清单!$F:$F,1,0)</f>
        <v>J320EAP</v>
      </c>
      <c r="K4052" s="43"/>
      <c r="L4052" s="44"/>
      <c r="M4052" s="45" t="s">
        <v>12418</v>
      </c>
    </row>
    <row r="4053" ht="30" customHeight="1" spans="1:13">
      <c r="A4053" s="41">
        <f>IF(C4053="","",SUBTOTAL(103,$C$2:C4053))</f>
        <v>4044</v>
      </c>
      <c r="B4053" s="41">
        <v>2333</v>
      </c>
      <c r="C4053" s="41">
        <v>5380</v>
      </c>
      <c r="D4053" s="41" t="s">
        <v>12</v>
      </c>
      <c r="E4053" s="41" t="s">
        <v>779</v>
      </c>
      <c r="F4053" s="42" t="s">
        <v>12419</v>
      </c>
      <c r="G4053" s="41" t="s">
        <v>776</v>
      </c>
      <c r="H4053" s="41" t="s">
        <v>12420</v>
      </c>
      <c r="I4053" s="43">
        <v>12</v>
      </c>
      <c r="J4053" s="44" t="str">
        <f>VLOOKUP(G4053,[1]硬件清单!$F:$F,1,0)</f>
        <v>无</v>
      </c>
      <c r="K4053" s="43"/>
      <c r="L4053" s="44"/>
      <c r="M4053" s="45" t="s">
        <v>12421</v>
      </c>
    </row>
    <row r="4054" ht="30" customHeight="1" spans="1:13">
      <c r="A4054" s="41">
        <f>IF(C4054="","",SUBTOTAL(103,$C$2:C4054))</f>
        <v>4045</v>
      </c>
      <c r="B4054" s="41">
        <v>2334</v>
      </c>
      <c r="C4054" s="41">
        <v>10474</v>
      </c>
      <c r="D4054" s="41" t="s">
        <v>45</v>
      </c>
      <c r="E4054" s="41" t="s">
        <v>1298</v>
      </c>
      <c r="F4054" s="41" t="s">
        <v>11676</v>
      </c>
      <c r="G4054" s="41" t="s">
        <v>12422</v>
      </c>
      <c r="H4054" s="41" t="s">
        <v>12423</v>
      </c>
      <c r="I4054" s="43">
        <v>12</v>
      </c>
      <c r="J4054" s="44" t="str">
        <f>VLOOKUP(G4054,[1]硬件清单!$F:$F,1,0)</f>
        <v>J30R7Y3</v>
      </c>
      <c r="K4054" s="43"/>
      <c r="L4054" s="44"/>
      <c r="M4054" s="45" t="s">
        <v>12424</v>
      </c>
    </row>
    <row r="4055" ht="30" customHeight="1" spans="1:13">
      <c r="A4055" s="41">
        <f>IF(C4055="","",SUBTOTAL(103,$C$2:C4055))</f>
        <v>4046</v>
      </c>
      <c r="B4055" s="41">
        <v>2335</v>
      </c>
      <c r="C4055" s="41">
        <v>10475</v>
      </c>
      <c r="D4055" s="41" t="s">
        <v>45</v>
      </c>
      <c r="E4055" s="41" t="s">
        <v>1298</v>
      </c>
      <c r="F4055" s="41" t="s">
        <v>11676</v>
      </c>
      <c r="G4055" s="41" t="s">
        <v>12425</v>
      </c>
      <c r="H4055" s="41" t="s">
        <v>12426</v>
      </c>
      <c r="I4055" s="43">
        <v>12</v>
      </c>
      <c r="J4055" s="44" t="str">
        <f>VLOOKUP(G4055,[1]硬件清单!$F:$F,1,0)</f>
        <v>J30R7Y4</v>
      </c>
      <c r="K4055" s="43"/>
      <c r="L4055" s="44"/>
      <c r="M4055" s="45" t="s">
        <v>12427</v>
      </c>
    </row>
    <row r="4056" ht="30" customHeight="1" spans="1:13">
      <c r="A4056" s="41">
        <f>IF(C4056="","",SUBTOTAL(103,$C$2:C4056))</f>
        <v>4047</v>
      </c>
      <c r="B4056" s="41">
        <v>2336</v>
      </c>
      <c r="C4056" s="41">
        <v>10309</v>
      </c>
      <c r="D4056" s="41" t="s">
        <v>45</v>
      </c>
      <c r="E4056" s="41" t="s">
        <v>1298</v>
      </c>
      <c r="F4056" s="41" t="s">
        <v>11676</v>
      </c>
      <c r="G4056" s="41" t="s">
        <v>12428</v>
      </c>
      <c r="H4056" s="41" t="s">
        <v>12429</v>
      </c>
      <c r="I4056" s="43">
        <v>12</v>
      </c>
      <c r="J4056" s="44" t="str">
        <f>VLOOKUP(G4056,[1]硬件清单!$F:$F,1,0)</f>
        <v>J320D8V</v>
      </c>
      <c r="K4056" s="43"/>
      <c r="L4056" s="44"/>
      <c r="M4056" s="45" t="s">
        <v>12430</v>
      </c>
    </row>
    <row r="4057" ht="30" customHeight="1" spans="1:13">
      <c r="A4057" s="41">
        <f>IF(C4057="","",SUBTOTAL(103,$C$2:C4057))</f>
        <v>4048</v>
      </c>
      <c r="B4057" s="41">
        <v>2337</v>
      </c>
      <c r="C4057" s="41">
        <v>10310</v>
      </c>
      <c r="D4057" s="41" t="s">
        <v>45</v>
      </c>
      <c r="E4057" s="41" t="s">
        <v>1298</v>
      </c>
      <c r="F4057" s="41" t="s">
        <v>11676</v>
      </c>
      <c r="G4057" s="41" t="s">
        <v>12431</v>
      </c>
      <c r="H4057" s="41" t="s">
        <v>12432</v>
      </c>
      <c r="I4057" s="43">
        <v>12</v>
      </c>
      <c r="J4057" s="44" t="str">
        <f>VLOOKUP(G4057,[1]硬件清单!$F:$F,1,0)</f>
        <v>J320D8K</v>
      </c>
      <c r="K4057" s="43"/>
      <c r="L4057" s="44"/>
      <c r="M4057" s="45" t="s">
        <v>12433</v>
      </c>
    </row>
    <row r="4058" ht="30" customHeight="1" spans="1:13">
      <c r="A4058" s="41">
        <f>IF(C4058="","",SUBTOTAL(103,$C$2:C4058))</f>
        <v>4049</v>
      </c>
      <c r="B4058" s="41">
        <v>2338</v>
      </c>
      <c r="C4058" s="41">
        <v>10472</v>
      </c>
      <c r="D4058" s="41" t="s">
        <v>45</v>
      </c>
      <c r="E4058" s="41" t="s">
        <v>1298</v>
      </c>
      <c r="F4058" s="41" t="s">
        <v>11676</v>
      </c>
      <c r="G4058" s="41" t="s">
        <v>12434</v>
      </c>
      <c r="H4058" s="41" t="s">
        <v>12435</v>
      </c>
      <c r="I4058" s="43">
        <v>12</v>
      </c>
      <c r="J4058" s="44" t="str">
        <f>VLOOKUP(G4058,[1]硬件清单!$F:$F,1,0)</f>
        <v>J30TK5G</v>
      </c>
      <c r="K4058" s="43"/>
      <c r="L4058" s="44"/>
      <c r="M4058" s="45" t="s">
        <v>12436</v>
      </c>
    </row>
    <row r="4059" ht="30" customHeight="1" spans="1:13">
      <c r="A4059" s="41">
        <f>IF(C4059="","",SUBTOTAL(103,$C$2:C4059))</f>
        <v>4050</v>
      </c>
      <c r="B4059" s="41">
        <v>2339</v>
      </c>
      <c r="C4059" s="41">
        <v>10311</v>
      </c>
      <c r="D4059" s="41" t="s">
        <v>45</v>
      </c>
      <c r="E4059" s="41" t="s">
        <v>1298</v>
      </c>
      <c r="F4059" s="41" t="s">
        <v>11676</v>
      </c>
      <c r="G4059" s="41" t="s">
        <v>12437</v>
      </c>
      <c r="H4059" s="41" t="s">
        <v>12438</v>
      </c>
      <c r="I4059" s="43">
        <v>12</v>
      </c>
      <c r="J4059" s="44" t="str">
        <f>VLOOKUP(G4059,[1]硬件清单!$F:$F,1,0)</f>
        <v>J320D8T</v>
      </c>
      <c r="K4059" s="43"/>
      <c r="L4059" s="44"/>
      <c r="M4059" s="45" t="s">
        <v>12439</v>
      </c>
    </row>
    <row r="4060" ht="30" customHeight="1" spans="1:13">
      <c r="A4060" s="41">
        <f>IF(C4060="","",SUBTOTAL(103,$C$2:C4060))</f>
        <v>4051</v>
      </c>
      <c r="B4060" s="41">
        <v>2340</v>
      </c>
      <c r="C4060" s="41">
        <v>10503</v>
      </c>
      <c r="D4060" s="41" t="s">
        <v>19</v>
      </c>
      <c r="E4060" s="41" t="s">
        <v>20</v>
      </c>
      <c r="F4060" s="41" t="s">
        <v>12440</v>
      </c>
      <c r="G4060" s="41" t="s">
        <v>12441</v>
      </c>
      <c r="H4060" s="41" t="s">
        <v>12442</v>
      </c>
      <c r="I4060" s="43">
        <v>12</v>
      </c>
      <c r="J4060" s="44" t="str">
        <f>VLOOKUP(G4060,[1]硬件清单!$F:$F,1,0)</f>
        <v>210235A1C3H158000020</v>
      </c>
      <c r="K4060" s="43"/>
      <c r="L4060" s="44"/>
      <c r="M4060" s="45" t="s">
        <v>12443</v>
      </c>
    </row>
    <row r="4061" ht="30" customHeight="1" spans="1:13">
      <c r="A4061" s="41">
        <f>IF(C4061="","",SUBTOTAL(103,$C$2:C4061))</f>
        <v>4052</v>
      </c>
      <c r="B4061" s="41">
        <v>2341</v>
      </c>
      <c r="C4061" s="41">
        <v>10504</v>
      </c>
      <c r="D4061" s="41" t="s">
        <v>19</v>
      </c>
      <c r="E4061" s="41" t="s">
        <v>20</v>
      </c>
      <c r="F4061" s="41" t="s">
        <v>12440</v>
      </c>
      <c r="G4061" s="41" t="s">
        <v>12444</v>
      </c>
      <c r="H4061" s="41" t="s">
        <v>12445</v>
      </c>
      <c r="I4061" s="43">
        <v>12</v>
      </c>
      <c r="J4061" s="44" t="str">
        <f>VLOOKUP(G4061,[1]硬件清单!$F:$F,1,0)</f>
        <v>210235A1C3H158000030</v>
      </c>
      <c r="K4061" s="43"/>
      <c r="L4061" s="44"/>
      <c r="M4061" s="45" t="s">
        <v>12446</v>
      </c>
    </row>
    <row r="4062" ht="30" customHeight="1" spans="1:13">
      <c r="A4062" s="41">
        <f>IF(C4062="","",SUBTOTAL(103,$C$2:C4062))</f>
        <v>4053</v>
      </c>
      <c r="B4062" s="41">
        <v>2342</v>
      </c>
      <c r="C4062" s="41">
        <v>10473</v>
      </c>
      <c r="D4062" s="41" t="s">
        <v>45</v>
      </c>
      <c r="E4062" s="41" t="s">
        <v>1298</v>
      </c>
      <c r="F4062" s="41" t="s">
        <v>11676</v>
      </c>
      <c r="G4062" s="41" t="s">
        <v>12447</v>
      </c>
      <c r="H4062" s="41" t="s">
        <v>12448</v>
      </c>
      <c r="I4062" s="43">
        <v>12</v>
      </c>
      <c r="J4062" s="44" t="str">
        <f>VLOOKUP(G4062,[1]硬件清单!$F:$F,1,0)</f>
        <v>J30ZYR5</v>
      </c>
      <c r="K4062" s="43"/>
      <c r="L4062" s="44"/>
      <c r="M4062" s="45" t="s">
        <v>12449</v>
      </c>
    </row>
    <row r="4063" ht="30" customHeight="1" spans="1:13">
      <c r="A4063" s="41">
        <f>IF(C4063="","",SUBTOTAL(103,$C$2:C4063))</f>
        <v>4054</v>
      </c>
      <c r="B4063" s="41">
        <v>2343</v>
      </c>
      <c r="C4063" s="41">
        <v>10314</v>
      </c>
      <c r="D4063" s="41" t="s">
        <v>45</v>
      </c>
      <c r="E4063" s="41" t="s">
        <v>1298</v>
      </c>
      <c r="F4063" s="41" t="s">
        <v>11676</v>
      </c>
      <c r="G4063" s="41" t="s">
        <v>12450</v>
      </c>
      <c r="H4063" s="41" t="s">
        <v>12451</v>
      </c>
      <c r="I4063" s="43">
        <v>12</v>
      </c>
      <c r="J4063" s="44" t="str">
        <f>VLOOKUP(G4063,[1]硬件清单!$F:$F,1,0)</f>
        <v>J320D8H</v>
      </c>
      <c r="K4063" s="43"/>
      <c r="L4063" s="44"/>
      <c r="M4063" s="45" t="s">
        <v>12452</v>
      </c>
    </row>
    <row r="4064" ht="30" customHeight="1" spans="1:13">
      <c r="A4064" s="41">
        <f>IF(C4064="","",SUBTOTAL(103,$C$2:C4064))</f>
        <v>4055</v>
      </c>
      <c r="B4064" s="41">
        <v>2344</v>
      </c>
      <c r="C4064" s="41">
        <v>10315</v>
      </c>
      <c r="D4064" s="41" t="s">
        <v>45</v>
      </c>
      <c r="E4064" s="41" t="s">
        <v>1298</v>
      </c>
      <c r="F4064" s="41" t="s">
        <v>11676</v>
      </c>
      <c r="G4064" s="41" t="s">
        <v>12453</v>
      </c>
      <c r="H4064" s="41" t="s">
        <v>12454</v>
      </c>
      <c r="I4064" s="43">
        <v>12</v>
      </c>
      <c r="J4064" s="44" t="str">
        <f>VLOOKUP(G4064,[1]硬件清单!$F:$F,1,0)</f>
        <v>J320D8L</v>
      </c>
      <c r="K4064" s="43"/>
      <c r="L4064" s="44"/>
      <c r="M4064" s="45" t="s">
        <v>12455</v>
      </c>
    </row>
    <row r="4065" ht="30" customHeight="1" spans="1:13">
      <c r="A4065" s="41">
        <f>IF(C4065="","",SUBTOTAL(103,$C$2:C4065))</f>
        <v>4056</v>
      </c>
      <c r="B4065" s="41">
        <v>2345</v>
      </c>
      <c r="C4065" s="41">
        <v>10316</v>
      </c>
      <c r="D4065" s="41" t="s">
        <v>45</v>
      </c>
      <c r="E4065" s="41" t="s">
        <v>1298</v>
      </c>
      <c r="F4065" s="41" t="s">
        <v>11676</v>
      </c>
      <c r="G4065" s="41" t="s">
        <v>12456</v>
      </c>
      <c r="H4065" s="41" t="s">
        <v>12457</v>
      </c>
      <c r="I4065" s="43">
        <v>12</v>
      </c>
      <c r="J4065" s="44" t="str">
        <f>VLOOKUP(G4065,[1]硬件清单!$F:$F,1,0)</f>
        <v>J320D8P</v>
      </c>
      <c r="K4065" s="43"/>
      <c r="L4065" s="44"/>
      <c r="M4065" s="45" t="s">
        <v>12458</v>
      </c>
    </row>
    <row r="4066" ht="30" customHeight="1" spans="1:13">
      <c r="A4066" s="41">
        <f>IF(C4066="","",SUBTOTAL(103,$C$2:C4066))</f>
        <v>4057</v>
      </c>
      <c r="B4066" s="41">
        <v>2346</v>
      </c>
      <c r="C4066" s="41">
        <v>10312</v>
      </c>
      <c r="D4066" s="41" t="s">
        <v>45</v>
      </c>
      <c r="E4066" s="41" t="s">
        <v>1298</v>
      </c>
      <c r="F4066" s="41" t="s">
        <v>11676</v>
      </c>
      <c r="G4066" s="41" t="s">
        <v>12459</v>
      </c>
      <c r="H4066" s="41" t="s">
        <v>12460</v>
      </c>
      <c r="I4066" s="43">
        <v>12</v>
      </c>
      <c r="J4066" s="44" t="str">
        <f>VLOOKUP(G4066,[1]硬件清单!$F:$F,1,0)</f>
        <v>J320D8M</v>
      </c>
      <c r="K4066" s="43"/>
      <c r="L4066" s="44"/>
      <c r="M4066" s="45" t="s">
        <v>12461</v>
      </c>
    </row>
    <row r="4067" ht="30" customHeight="1" spans="1:13">
      <c r="A4067" s="41">
        <f>IF(C4067="","",SUBTOTAL(103,$C$2:C4067))</f>
        <v>4058</v>
      </c>
      <c r="B4067" s="41">
        <v>2347</v>
      </c>
      <c r="C4067" s="41">
        <v>10317</v>
      </c>
      <c r="D4067" s="41" t="s">
        <v>45</v>
      </c>
      <c r="E4067" s="41" t="s">
        <v>1298</v>
      </c>
      <c r="F4067" s="41" t="s">
        <v>11676</v>
      </c>
      <c r="G4067" s="41" t="s">
        <v>12462</v>
      </c>
      <c r="H4067" s="41" t="s">
        <v>12463</v>
      </c>
      <c r="I4067" s="43">
        <v>12</v>
      </c>
      <c r="J4067" s="44" t="str">
        <f>VLOOKUP(G4067,[1]硬件清单!$F:$F,1,0)</f>
        <v>J320D8G</v>
      </c>
      <c r="K4067" s="43"/>
      <c r="L4067" s="44"/>
      <c r="M4067" s="45" t="s">
        <v>12464</v>
      </c>
    </row>
    <row r="4068" ht="30" customHeight="1" spans="1:13">
      <c r="A4068" s="41">
        <f>IF(C4068="","",SUBTOTAL(103,$C$2:C4068))</f>
        <v>4059</v>
      </c>
      <c r="B4068" s="41">
        <v>2348</v>
      </c>
      <c r="C4068" s="41">
        <v>10318</v>
      </c>
      <c r="D4068" s="41" t="s">
        <v>45</v>
      </c>
      <c r="E4068" s="41" t="s">
        <v>1298</v>
      </c>
      <c r="F4068" s="41" t="s">
        <v>11676</v>
      </c>
      <c r="G4068" s="41" t="s">
        <v>12465</v>
      </c>
      <c r="H4068" s="41" t="s">
        <v>12466</v>
      </c>
      <c r="I4068" s="43">
        <v>12</v>
      </c>
      <c r="J4068" s="44" t="str">
        <f>VLOOKUP(G4068,[1]硬件清单!$F:$F,1,0)</f>
        <v>J320D8N</v>
      </c>
      <c r="K4068" s="43"/>
      <c r="L4068" s="44"/>
      <c r="M4068" s="45" t="s">
        <v>12467</v>
      </c>
    </row>
    <row r="4069" ht="30" customHeight="1" spans="1:13">
      <c r="A4069" s="41">
        <f>IF(C4069="","",SUBTOTAL(103,$C$2:C4069))</f>
        <v>4060</v>
      </c>
      <c r="B4069" s="41">
        <v>2349</v>
      </c>
      <c r="C4069" s="41">
        <v>10313</v>
      </c>
      <c r="D4069" s="41" t="s">
        <v>45</v>
      </c>
      <c r="E4069" s="41" t="s">
        <v>1298</v>
      </c>
      <c r="F4069" s="41" t="s">
        <v>11676</v>
      </c>
      <c r="G4069" s="41" t="s">
        <v>12468</v>
      </c>
      <c r="H4069" s="41" t="s">
        <v>12469</v>
      </c>
      <c r="I4069" s="43">
        <v>12</v>
      </c>
      <c r="J4069" s="44" t="str">
        <f>VLOOKUP(G4069,[1]硬件清单!$F:$F,1,0)</f>
        <v>J320D8R</v>
      </c>
      <c r="K4069" s="43"/>
      <c r="L4069" s="44"/>
      <c r="M4069" s="45" t="s">
        <v>12470</v>
      </c>
    </row>
    <row r="4070" ht="30" customHeight="1" spans="1:13">
      <c r="A4070" s="41">
        <f>IF(C4070="","",SUBTOTAL(103,$C$2:C4070))</f>
        <v>4061</v>
      </c>
      <c r="B4070" s="41">
        <v>2350</v>
      </c>
      <c r="C4070" s="41">
        <v>4216</v>
      </c>
      <c r="D4070" s="41" t="s">
        <v>45</v>
      </c>
      <c r="E4070" s="41" t="s">
        <v>1298</v>
      </c>
      <c r="F4070" s="41" t="s">
        <v>11889</v>
      </c>
      <c r="G4070" s="41" t="s">
        <v>12471</v>
      </c>
      <c r="H4070" s="41" t="s">
        <v>12472</v>
      </c>
      <c r="I4070" s="43">
        <v>12</v>
      </c>
      <c r="J4070" s="44" t="str">
        <f>VLOOKUP(G4070,[1]硬件清单!$F:$F,1,0)</f>
        <v>2102300742N0H9000554/210230102810HA000044</v>
      </c>
      <c r="K4070" s="43"/>
      <c r="L4070" s="44"/>
      <c r="M4070" s="47" t="s">
        <v>12473</v>
      </c>
    </row>
    <row r="4071" ht="30" customHeight="1" spans="1:13">
      <c r="A4071" s="41">
        <f>IF(C4071="","",SUBTOTAL(103,$C$2:C4071))</f>
        <v>4062</v>
      </c>
      <c r="B4071" s="41">
        <v>2351</v>
      </c>
      <c r="C4071" s="41">
        <v>4217</v>
      </c>
      <c r="D4071" s="41" t="s">
        <v>45</v>
      </c>
      <c r="E4071" s="41" t="s">
        <v>1298</v>
      </c>
      <c r="F4071" s="41" t="s">
        <v>11889</v>
      </c>
      <c r="G4071" s="41" t="s">
        <v>12474</v>
      </c>
      <c r="H4071" s="41" t="s">
        <v>12475</v>
      </c>
      <c r="I4071" s="43">
        <v>12</v>
      </c>
      <c r="J4071" s="44" t="str">
        <f>VLOOKUP(G4071,[1]硬件清单!$F:$F,1,0)</f>
        <v>2102300742N0H9000560/210230102810HA000040</v>
      </c>
      <c r="K4071" s="43"/>
      <c r="L4071" s="44"/>
      <c r="M4071" s="45" t="s">
        <v>12476</v>
      </c>
    </row>
    <row r="4072" ht="30" customHeight="1" spans="1:13">
      <c r="A4072" s="41">
        <f>IF(C4072="","",SUBTOTAL(103,$C$2:C4072))</f>
        <v>4063</v>
      </c>
      <c r="B4072" s="41">
        <v>2352</v>
      </c>
      <c r="C4072" s="41">
        <v>4215</v>
      </c>
      <c r="D4072" s="41" t="s">
        <v>45</v>
      </c>
      <c r="E4072" s="41" t="s">
        <v>1298</v>
      </c>
      <c r="F4072" s="41" t="s">
        <v>11889</v>
      </c>
      <c r="G4072" s="41" t="s">
        <v>12477</v>
      </c>
      <c r="H4072" s="41" t="s">
        <v>12478</v>
      </c>
      <c r="I4072" s="43">
        <v>12</v>
      </c>
      <c r="J4072" s="44" t="str">
        <f>VLOOKUP(G4072,[1]硬件清单!$F:$F,1,0)</f>
        <v>2102300742N0H9000588/210230102810HA000098</v>
      </c>
      <c r="K4072" s="43"/>
      <c r="L4072" s="44"/>
      <c r="M4072" s="45" t="s">
        <v>12479</v>
      </c>
    </row>
    <row r="4073" ht="30" customHeight="1" spans="1:13">
      <c r="A4073" s="41">
        <f>IF(C4073="","",SUBTOTAL(103,$C$2:C4073))</f>
        <v>4064</v>
      </c>
      <c r="B4073" s="41">
        <v>2353</v>
      </c>
      <c r="C4073" s="41">
        <v>3809</v>
      </c>
      <c r="D4073" s="41" t="s">
        <v>45</v>
      </c>
      <c r="E4073" s="41" t="s">
        <v>1298</v>
      </c>
      <c r="F4073" s="41" t="s">
        <v>11893</v>
      </c>
      <c r="G4073" s="41" t="s">
        <v>12480</v>
      </c>
      <c r="H4073" s="41" t="s">
        <v>12481</v>
      </c>
      <c r="I4073" s="43">
        <v>12</v>
      </c>
      <c r="J4073" s="44" t="str">
        <f>VLOOKUP(G4073,[1]硬件清单!$F:$F,1,0)</f>
        <v>210305756810HA000673</v>
      </c>
      <c r="K4073" s="43"/>
      <c r="L4073" s="44"/>
      <c r="M4073" s="45" t="s">
        <v>12482</v>
      </c>
    </row>
    <row r="4074" ht="30" customHeight="1" spans="1:13">
      <c r="A4074" s="41">
        <f>IF(C4074="","",SUBTOTAL(103,$C$2:C4074))</f>
        <v>4065</v>
      </c>
      <c r="B4074" s="41">
        <v>2354</v>
      </c>
      <c r="C4074" s="41">
        <v>3818</v>
      </c>
      <c r="D4074" s="41" t="s">
        <v>45</v>
      </c>
      <c r="E4074" s="41" t="s">
        <v>1298</v>
      </c>
      <c r="F4074" s="41" t="s">
        <v>11893</v>
      </c>
      <c r="G4074" s="41" t="s">
        <v>12483</v>
      </c>
      <c r="H4074" s="41" t="s">
        <v>12484</v>
      </c>
      <c r="I4074" s="43">
        <v>12</v>
      </c>
      <c r="J4074" s="44" t="str">
        <f>VLOOKUP(G4074,[1]硬件清单!$F:$F,1,0)</f>
        <v>210305756810HA000189</v>
      </c>
      <c r="K4074" s="43"/>
      <c r="L4074" s="44"/>
      <c r="M4074" s="45" t="s">
        <v>12485</v>
      </c>
    </row>
    <row r="4075" ht="30" customHeight="1" spans="1:13">
      <c r="A4075" s="41">
        <f>IF(C4075="","",SUBTOTAL(103,$C$2:C4075))</f>
        <v>4066</v>
      </c>
      <c r="B4075" s="41">
        <v>2355</v>
      </c>
      <c r="C4075" s="41">
        <v>3819</v>
      </c>
      <c r="D4075" s="41" t="s">
        <v>45</v>
      </c>
      <c r="E4075" s="41" t="s">
        <v>1298</v>
      </c>
      <c r="F4075" s="41" t="s">
        <v>11893</v>
      </c>
      <c r="G4075" s="41" t="s">
        <v>12486</v>
      </c>
      <c r="H4075" s="41" t="s">
        <v>12487</v>
      </c>
      <c r="I4075" s="43">
        <v>12</v>
      </c>
      <c r="J4075" s="44" t="str">
        <f>VLOOKUP(G4075,[1]硬件清单!$F:$F,1,0)</f>
        <v>210305756810HA000639</v>
      </c>
      <c r="K4075" s="43"/>
      <c r="L4075" s="44"/>
      <c r="M4075" s="45" t="s">
        <v>12488</v>
      </c>
    </row>
    <row r="4076" ht="30" customHeight="1" spans="1:13">
      <c r="A4076" s="41">
        <f>IF(C4076="","",SUBTOTAL(103,$C$2:C4076))</f>
        <v>4067</v>
      </c>
      <c r="B4076" s="41">
        <v>2356</v>
      </c>
      <c r="C4076" s="41">
        <v>3820</v>
      </c>
      <c r="D4076" s="41" t="s">
        <v>45</v>
      </c>
      <c r="E4076" s="41" t="s">
        <v>1298</v>
      </c>
      <c r="F4076" s="41" t="s">
        <v>11893</v>
      </c>
      <c r="G4076" s="41" t="s">
        <v>12489</v>
      </c>
      <c r="H4076" s="41" t="s">
        <v>12490</v>
      </c>
      <c r="I4076" s="43">
        <v>12</v>
      </c>
      <c r="J4076" s="44" t="str">
        <f>VLOOKUP(G4076,[1]硬件清单!$F:$F,1,0)</f>
        <v>210305756810HA000493</v>
      </c>
      <c r="K4076" s="43"/>
      <c r="L4076" s="44"/>
      <c r="M4076" s="45" t="s">
        <v>12491</v>
      </c>
    </row>
    <row r="4077" ht="30" customHeight="1" spans="1:13">
      <c r="A4077" s="41">
        <f>IF(C4077="","",SUBTOTAL(103,$C$2:C4077))</f>
        <v>4068</v>
      </c>
      <c r="B4077" s="41">
        <v>2357</v>
      </c>
      <c r="C4077" s="41">
        <v>3821</v>
      </c>
      <c r="D4077" s="41" t="s">
        <v>45</v>
      </c>
      <c r="E4077" s="41" t="s">
        <v>1298</v>
      </c>
      <c r="F4077" s="41" t="s">
        <v>11893</v>
      </c>
      <c r="G4077" s="41" t="s">
        <v>12492</v>
      </c>
      <c r="H4077" s="41" t="s">
        <v>12493</v>
      </c>
      <c r="I4077" s="43">
        <v>12</v>
      </c>
      <c r="J4077" s="44" t="str">
        <f>VLOOKUP(G4077,[1]硬件清单!$F:$F,1,0)</f>
        <v>210305756810HA000623</v>
      </c>
      <c r="K4077" s="43"/>
      <c r="L4077" s="44"/>
      <c r="M4077" s="45" t="s">
        <v>12494</v>
      </c>
    </row>
    <row r="4078" ht="30" customHeight="1" spans="1:13">
      <c r="A4078" s="41">
        <f>IF(C4078="","",SUBTOTAL(103,$C$2:C4078))</f>
        <v>4069</v>
      </c>
      <c r="B4078" s="41">
        <v>2358</v>
      </c>
      <c r="C4078" s="41">
        <v>3822</v>
      </c>
      <c r="D4078" s="41" t="s">
        <v>45</v>
      </c>
      <c r="E4078" s="41" t="s">
        <v>1298</v>
      </c>
      <c r="F4078" s="41" t="s">
        <v>11893</v>
      </c>
      <c r="G4078" s="41" t="s">
        <v>12495</v>
      </c>
      <c r="H4078" s="41" t="s">
        <v>12496</v>
      </c>
      <c r="I4078" s="43">
        <v>12</v>
      </c>
      <c r="J4078" s="44" t="str">
        <f>VLOOKUP(G4078,[1]硬件清单!$F:$F,1,0)</f>
        <v>210305756810HA000175</v>
      </c>
      <c r="K4078" s="43"/>
      <c r="L4078" s="44"/>
      <c r="M4078" s="45" t="s">
        <v>12497</v>
      </c>
    </row>
    <row r="4079" ht="30" customHeight="1" spans="1:13">
      <c r="A4079" s="41">
        <f>IF(C4079="","",SUBTOTAL(103,$C$2:C4079))</f>
        <v>4070</v>
      </c>
      <c r="B4079" s="41">
        <v>2359</v>
      </c>
      <c r="C4079" s="41">
        <v>3823</v>
      </c>
      <c r="D4079" s="41" t="s">
        <v>45</v>
      </c>
      <c r="E4079" s="41" t="s">
        <v>1298</v>
      </c>
      <c r="F4079" s="41" t="s">
        <v>11893</v>
      </c>
      <c r="G4079" s="41" t="s">
        <v>12498</v>
      </c>
      <c r="H4079" s="41" t="s">
        <v>12499</v>
      </c>
      <c r="I4079" s="43">
        <v>12</v>
      </c>
      <c r="J4079" s="44" t="str">
        <f>VLOOKUP(G4079,[1]硬件清单!$F:$F,1,0)</f>
        <v>210305756810HA000445</v>
      </c>
      <c r="K4079" s="43"/>
      <c r="L4079" s="44"/>
      <c r="M4079" s="45" t="s">
        <v>12500</v>
      </c>
    </row>
    <row r="4080" ht="30" customHeight="1" spans="1:13">
      <c r="A4080" s="41">
        <f>IF(C4080="","",SUBTOTAL(103,$C$2:C4080))</f>
        <v>4071</v>
      </c>
      <c r="B4080" s="41">
        <v>2360</v>
      </c>
      <c r="C4080" s="41">
        <v>3824</v>
      </c>
      <c r="D4080" s="41" t="s">
        <v>45</v>
      </c>
      <c r="E4080" s="41" t="s">
        <v>1298</v>
      </c>
      <c r="F4080" s="41" t="s">
        <v>11893</v>
      </c>
      <c r="G4080" s="41" t="s">
        <v>12501</v>
      </c>
      <c r="H4080" s="41" t="s">
        <v>12502</v>
      </c>
      <c r="I4080" s="43">
        <v>12</v>
      </c>
      <c r="J4080" s="44" t="str">
        <f>VLOOKUP(G4080,[1]硬件清单!$F:$F,1,0)</f>
        <v>210305756810HA000191</v>
      </c>
      <c r="K4080" s="43"/>
      <c r="L4080" s="44"/>
      <c r="M4080" s="45" t="s">
        <v>12503</v>
      </c>
    </row>
    <row r="4081" ht="30" customHeight="1" spans="1:13">
      <c r="A4081" s="41">
        <f>IF(C4081="","",SUBTOTAL(103,$C$2:C4081))</f>
        <v>4072</v>
      </c>
      <c r="B4081" s="41">
        <v>2361</v>
      </c>
      <c r="C4081" s="41">
        <v>4219</v>
      </c>
      <c r="D4081" s="41" t="s">
        <v>45</v>
      </c>
      <c r="E4081" s="41" t="s">
        <v>1298</v>
      </c>
      <c r="F4081" s="41" t="s">
        <v>11889</v>
      </c>
      <c r="G4081" s="41" t="s">
        <v>12504</v>
      </c>
      <c r="H4081" s="41" t="s">
        <v>12505</v>
      </c>
      <c r="I4081" s="43">
        <v>12</v>
      </c>
      <c r="J4081" s="44" t="str">
        <f>VLOOKUP(G4081,[1]硬件清单!$F:$F,1,0)</f>
        <v>2102300742N0H9000569/210230102810HA000042</v>
      </c>
      <c r="K4081" s="43"/>
      <c r="L4081" s="44"/>
      <c r="M4081" s="45" t="s">
        <v>12506</v>
      </c>
    </row>
    <row r="4082" ht="30" customHeight="1" spans="1:13">
      <c r="A4082" s="41">
        <f>IF(C4082="","",SUBTOTAL(103,$C$2:C4082))</f>
        <v>4073</v>
      </c>
      <c r="B4082" s="41">
        <v>2362</v>
      </c>
      <c r="C4082" s="41">
        <v>3810</v>
      </c>
      <c r="D4082" s="41" t="s">
        <v>45</v>
      </c>
      <c r="E4082" s="41" t="s">
        <v>1298</v>
      </c>
      <c r="F4082" s="41" t="s">
        <v>11893</v>
      </c>
      <c r="G4082" s="41" t="s">
        <v>12507</v>
      </c>
      <c r="H4082" s="41" t="s">
        <v>12508</v>
      </c>
      <c r="I4082" s="43">
        <v>12</v>
      </c>
      <c r="J4082" s="44" t="str">
        <f>VLOOKUP(G4082,[1]硬件清单!$F:$F,1,0)</f>
        <v>210305756810HA000398</v>
      </c>
      <c r="K4082" s="43"/>
      <c r="L4082" s="44"/>
      <c r="M4082" s="45" t="s">
        <v>12509</v>
      </c>
    </row>
    <row r="4083" ht="30" customHeight="1" spans="1:13">
      <c r="A4083" s="41">
        <f>IF(C4083="","",SUBTOTAL(103,$C$2:C4083))</f>
        <v>4074</v>
      </c>
      <c r="B4083" s="41">
        <v>2363</v>
      </c>
      <c r="C4083" s="41">
        <v>3811</v>
      </c>
      <c r="D4083" s="41" t="s">
        <v>45</v>
      </c>
      <c r="E4083" s="41" t="s">
        <v>1298</v>
      </c>
      <c r="F4083" s="41" t="s">
        <v>11893</v>
      </c>
      <c r="G4083" s="41" t="s">
        <v>12510</v>
      </c>
      <c r="H4083" s="41" t="s">
        <v>12511</v>
      </c>
      <c r="I4083" s="43">
        <v>12</v>
      </c>
      <c r="J4083" s="44" t="str">
        <f>VLOOKUP(G4083,[1]硬件清单!$F:$F,1,0)</f>
        <v>210305756810HA000648</v>
      </c>
      <c r="K4083" s="43"/>
      <c r="L4083" s="44"/>
      <c r="M4083" s="45" t="s">
        <v>12512</v>
      </c>
    </row>
    <row r="4084" ht="30" customHeight="1" spans="1:13">
      <c r="A4084" s="41">
        <f>IF(C4084="","",SUBTOTAL(103,$C$2:C4084))</f>
        <v>4075</v>
      </c>
      <c r="B4084" s="41">
        <v>2364</v>
      </c>
      <c r="C4084" s="41">
        <v>3812</v>
      </c>
      <c r="D4084" s="41" t="s">
        <v>45</v>
      </c>
      <c r="E4084" s="41" t="s">
        <v>1298</v>
      </c>
      <c r="F4084" s="41" t="s">
        <v>11893</v>
      </c>
      <c r="G4084" s="41" t="s">
        <v>12513</v>
      </c>
      <c r="H4084" s="41" t="s">
        <v>12514</v>
      </c>
      <c r="I4084" s="43">
        <v>12</v>
      </c>
      <c r="J4084" s="44" t="str">
        <f>VLOOKUP(G4084,[1]硬件清单!$F:$F,1,0)</f>
        <v>210305756810HA000663</v>
      </c>
      <c r="K4084" s="43"/>
      <c r="L4084" s="44"/>
      <c r="M4084" s="45" t="s">
        <v>12515</v>
      </c>
    </row>
    <row r="4085" ht="30" customHeight="1" spans="1:13">
      <c r="A4085" s="41">
        <f>IF(C4085="","",SUBTOTAL(103,$C$2:C4085))</f>
        <v>4076</v>
      </c>
      <c r="B4085" s="41">
        <v>2365</v>
      </c>
      <c r="C4085" s="41">
        <v>3813</v>
      </c>
      <c r="D4085" s="41" t="s">
        <v>45</v>
      </c>
      <c r="E4085" s="41" t="s">
        <v>1298</v>
      </c>
      <c r="F4085" s="41" t="s">
        <v>11893</v>
      </c>
      <c r="G4085" s="41" t="s">
        <v>12516</v>
      </c>
      <c r="H4085" s="41" t="s">
        <v>12517</v>
      </c>
      <c r="I4085" s="43">
        <v>12</v>
      </c>
      <c r="J4085" s="44" t="str">
        <f>VLOOKUP(G4085,[1]硬件清单!$F:$F,1,0)</f>
        <v>210305756810HA000412</v>
      </c>
      <c r="K4085" s="43"/>
      <c r="L4085" s="44"/>
      <c r="M4085" s="45" t="s">
        <v>12518</v>
      </c>
    </row>
    <row r="4086" ht="30" customHeight="1" spans="1:13">
      <c r="A4086" s="41">
        <f>IF(C4086="","",SUBTOTAL(103,$C$2:C4086))</f>
        <v>4077</v>
      </c>
      <c r="B4086" s="41">
        <v>2366</v>
      </c>
      <c r="C4086" s="41">
        <v>3814</v>
      </c>
      <c r="D4086" s="41" t="s">
        <v>45</v>
      </c>
      <c r="E4086" s="41" t="s">
        <v>1298</v>
      </c>
      <c r="F4086" s="41" t="s">
        <v>11893</v>
      </c>
      <c r="G4086" s="41" t="s">
        <v>12519</v>
      </c>
      <c r="H4086" s="41" t="s">
        <v>12520</v>
      </c>
      <c r="I4086" s="43">
        <v>12</v>
      </c>
      <c r="J4086" s="44" t="str">
        <f>VLOOKUP(G4086,[1]硬件清单!$F:$F,1,0)</f>
        <v>210305756810HA000406</v>
      </c>
      <c r="K4086" s="43"/>
      <c r="L4086" s="44"/>
      <c r="M4086" s="45" t="s">
        <v>12521</v>
      </c>
    </row>
    <row r="4087" ht="30" customHeight="1" spans="1:13">
      <c r="A4087" s="41">
        <f>IF(C4087="","",SUBTOTAL(103,$C$2:C4087))</f>
        <v>4078</v>
      </c>
      <c r="B4087" s="41">
        <v>2367</v>
      </c>
      <c r="C4087" s="41">
        <v>3815</v>
      </c>
      <c r="D4087" s="41" t="s">
        <v>45</v>
      </c>
      <c r="E4087" s="41" t="s">
        <v>1298</v>
      </c>
      <c r="F4087" s="41" t="s">
        <v>11893</v>
      </c>
      <c r="G4087" s="41" t="s">
        <v>12522</v>
      </c>
      <c r="H4087" s="41" t="s">
        <v>12523</v>
      </c>
      <c r="I4087" s="43">
        <v>12</v>
      </c>
      <c r="J4087" s="44" t="str">
        <f>VLOOKUP(G4087,[1]硬件清单!$F:$F,1,0)</f>
        <v>210305756810HA000180</v>
      </c>
      <c r="K4087" s="43"/>
      <c r="L4087" s="44"/>
      <c r="M4087" s="45" t="s">
        <v>12524</v>
      </c>
    </row>
    <row r="4088" ht="30" customHeight="1" spans="1:13">
      <c r="A4088" s="41">
        <f>IF(C4088="","",SUBTOTAL(103,$C$2:C4088))</f>
        <v>4079</v>
      </c>
      <c r="B4088" s="41">
        <v>2368</v>
      </c>
      <c r="C4088" s="41">
        <v>3816</v>
      </c>
      <c r="D4088" s="41" t="s">
        <v>45</v>
      </c>
      <c r="E4088" s="41" t="s">
        <v>1298</v>
      </c>
      <c r="F4088" s="41" t="s">
        <v>11893</v>
      </c>
      <c r="G4088" s="41" t="s">
        <v>12525</v>
      </c>
      <c r="H4088" s="41" t="s">
        <v>12526</v>
      </c>
      <c r="I4088" s="43">
        <v>12</v>
      </c>
      <c r="J4088" s="44" t="str">
        <f>VLOOKUP(G4088,[1]硬件清单!$F:$F,1,0)</f>
        <v>210305756810HA000481</v>
      </c>
      <c r="K4088" s="43"/>
      <c r="L4088" s="44"/>
      <c r="M4088" s="45" t="s">
        <v>12527</v>
      </c>
    </row>
    <row r="4089" ht="30" customHeight="1" spans="1:13">
      <c r="A4089" s="41">
        <f>IF(C4089="","",SUBTOTAL(103,$C$2:C4089))</f>
        <v>4080</v>
      </c>
      <c r="B4089" s="41">
        <v>2369</v>
      </c>
      <c r="C4089" s="41">
        <v>3817</v>
      </c>
      <c r="D4089" s="41" t="s">
        <v>45</v>
      </c>
      <c r="E4089" s="41" t="s">
        <v>1298</v>
      </c>
      <c r="F4089" s="41" t="s">
        <v>11893</v>
      </c>
      <c r="G4089" s="41" t="s">
        <v>12528</v>
      </c>
      <c r="H4089" s="41" t="s">
        <v>12529</v>
      </c>
      <c r="I4089" s="43">
        <v>12</v>
      </c>
      <c r="J4089" s="44" t="str">
        <f>VLOOKUP(G4089,[1]硬件清单!$F:$F,1,0)</f>
        <v>210305756810HA000179</v>
      </c>
      <c r="K4089" s="43"/>
      <c r="L4089" s="44"/>
      <c r="M4089" s="45" t="s">
        <v>12530</v>
      </c>
    </row>
    <row r="4090" ht="30" customHeight="1" spans="1:13">
      <c r="A4090" s="41">
        <f>IF(C4090="","",SUBTOTAL(103,$C$2:C4090))</f>
        <v>4081</v>
      </c>
      <c r="B4090" s="41">
        <v>2370</v>
      </c>
      <c r="C4090" s="41">
        <v>4214</v>
      </c>
      <c r="D4090" s="41" t="s">
        <v>45</v>
      </c>
      <c r="E4090" s="41" t="s">
        <v>1298</v>
      </c>
      <c r="F4090" s="41" t="s">
        <v>11889</v>
      </c>
      <c r="G4090" s="41" t="s">
        <v>12531</v>
      </c>
      <c r="H4090" s="41" t="s">
        <v>12532</v>
      </c>
      <c r="I4090" s="43">
        <v>12</v>
      </c>
      <c r="J4090" s="44" t="str">
        <f>VLOOKUP(G4090,[1]硬件清单!$F:$F,1,0)</f>
        <v>2102300742N0G6000381/210230102810HA000053</v>
      </c>
      <c r="K4090" s="43"/>
      <c r="L4090" s="44"/>
      <c r="M4090" s="47" t="s">
        <v>12533</v>
      </c>
    </row>
    <row r="4091" ht="30" customHeight="1" spans="1:13">
      <c r="A4091" s="41">
        <f>IF(C4091="","",SUBTOTAL(103,$C$2:C4091))</f>
        <v>4082</v>
      </c>
      <c r="B4091" s="41">
        <v>2371</v>
      </c>
      <c r="C4091" s="41">
        <v>4218</v>
      </c>
      <c r="D4091" s="41" t="s">
        <v>45</v>
      </c>
      <c r="E4091" s="41" t="s">
        <v>1298</v>
      </c>
      <c r="F4091" s="41" t="s">
        <v>11889</v>
      </c>
      <c r="G4091" s="41" t="s">
        <v>12534</v>
      </c>
      <c r="H4091" s="41" t="s">
        <v>12535</v>
      </c>
      <c r="I4091" s="43">
        <v>12</v>
      </c>
      <c r="J4091" s="44" t="str">
        <f>VLOOKUP(G4091,[1]硬件清单!$F:$F,1,0)</f>
        <v>2102300742N0H9000540/210230102810HA000052</v>
      </c>
      <c r="K4091" s="43"/>
      <c r="L4091" s="44"/>
      <c r="M4091" s="47" t="s">
        <v>12536</v>
      </c>
    </row>
    <row r="4092" ht="30" customHeight="1" spans="1:13">
      <c r="A4092" s="41">
        <f>IF(C4092="","",SUBTOTAL(103,$C$2:C4092))</f>
        <v>4083</v>
      </c>
      <c r="B4092" s="41">
        <v>2372</v>
      </c>
      <c r="C4092" s="41">
        <v>4223</v>
      </c>
      <c r="D4092" s="41" t="s">
        <v>45</v>
      </c>
      <c r="E4092" s="41" t="s">
        <v>1298</v>
      </c>
      <c r="F4092" s="41" t="s">
        <v>11889</v>
      </c>
      <c r="G4092" s="41" t="s">
        <v>12537</v>
      </c>
      <c r="H4092" s="41" t="s">
        <v>12538</v>
      </c>
      <c r="I4092" s="43">
        <v>12</v>
      </c>
      <c r="J4092" s="44" t="str">
        <f>VLOOKUP(G4092,[1]硬件清单!$F:$F,1,0)</f>
        <v>2102300742N0H9000549/210230102810HA000017</v>
      </c>
      <c r="K4092" s="43"/>
      <c r="L4092" s="44"/>
      <c r="M4092" s="45" t="s">
        <v>12539</v>
      </c>
    </row>
    <row r="4093" ht="30" customHeight="1" spans="1:13">
      <c r="A4093" s="41">
        <f>IF(C4093="","",SUBTOTAL(103,$C$2:C4093))</f>
        <v>4084</v>
      </c>
      <c r="B4093" s="41">
        <v>2373</v>
      </c>
      <c r="C4093" s="41">
        <v>4220</v>
      </c>
      <c r="D4093" s="41" t="s">
        <v>45</v>
      </c>
      <c r="E4093" s="41" t="s">
        <v>1298</v>
      </c>
      <c r="F4093" s="41" t="s">
        <v>11889</v>
      </c>
      <c r="G4093" s="41" t="s">
        <v>12540</v>
      </c>
      <c r="H4093" s="41" t="s">
        <v>12541</v>
      </c>
      <c r="I4093" s="43">
        <v>12</v>
      </c>
      <c r="J4093" s="44" t="str">
        <f>VLOOKUP(G4093,[1]硬件清单!$F:$F,1,0)</f>
        <v>2102300742N0H9000559/210230102810HA000039</v>
      </c>
      <c r="K4093" s="43"/>
      <c r="L4093" s="44"/>
      <c r="M4093" s="45" t="s">
        <v>12542</v>
      </c>
    </row>
    <row r="4094" ht="30" customHeight="1" spans="1:13">
      <c r="A4094" s="41">
        <f>IF(C4094="","",SUBTOTAL(103,$C$2:C4094))</f>
        <v>4085</v>
      </c>
      <c r="B4094" s="41">
        <v>2374</v>
      </c>
      <c r="C4094" s="41">
        <v>4221</v>
      </c>
      <c r="D4094" s="41" t="s">
        <v>45</v>
      </c>
      <c r="E4094" s="41" t="s">
        <v>1298</v>
      </c>
      <c r="F4094" s="41" t="s">
        <v>11889</v>
      </c>
      <c r="G4094" s="41" t="s">
        <v>12543</v>
      </c>
      <c r="H4094" s="41" t="s">
        <v>12544</v>
      </c>
      <c r="I4094" s="43">
        <v>12</v>
      </c>
      <c r="J4094" s="44" t="str">
        <f>VLOOKUP(G4094,[1]硬件清单!$F:$F,1,0)</f>
        <v>2102300742N0H9000642/210230102810HA000096</v>
      </c>
      <c r="K4094" s="43"/>
      <c r="L4094" s="44"/>
      <c r="M4094" s="45" t="s">
        <v>12545</v>
      </c>
    </row>
    <row r="4095" ht="30" customHeight="1" spans="1:13">
      <c r="A4095" s="41">
        <f>IF(C4095="","",SUBTOTAL(103,$C$2:C4095))</f>
        <v>4086</v>
      </c>
      <c r="B4095" s="41">
        <v>2375</v>
      </c>
      <c r="C4095" s="41">
        <v>4222</v>
      </c>
      <c r="D4095" s="41" t="s">
        <v>45</v>
      </c>
      <c r="E4095" s="41" t="s">
        <v>1298</v>
      </c>
      <c r="F4095" s="41" t="s">
        <v>11889</v>
      </c>
      <c r="G4095" s="41" t="s">
        <v>12546</v>
      </c>
      <c r="H4095" s="41" t="s">
        <v>12547</v>
      </c>
      <c r="I4095" s="43">
        <v>12</v>
      </c>
      <c r="J4095" s="44" t="str">
        <f>VLOOKUP(G4095,[1]硬件清单!$F:$F,1,0)</f>
        <v>2102300742N0H9000567/210230102810HA000041</v>
      </c>
      <c r="K4095" s="43"/>
      <c r="L4095" s="44"/>
      <c r="M4095" s="45" t="s">
        <v>12548</v>
      </c>
    </row>
    <row r="4096" ht="30" customHeight="1" spans="1:13">
      <c r="A4096" s="41">
        <f>IF(C4096="","",SUBTOTAL(103,$C$2:C4096))</f>
        <v>4087</v>
      </c>
      <c r="B4096" s="41">
        <v>2376</v>
      </c>
      <c r="C4096" s="41">
        <v>3825</v>
      </c>
      <c r="D4096" s="41" t="s">
        <v>45</v>
      </c>
      <c r="E4096" s="41" t="s">
        <v>1298</v>
      </c>
      <c r="F4096" s="41" t="s">
        <v>11893</v>
      </c>
      <c r="G4096" s="41" t="s">
        <v>12549</v>
      </c>
      <c r="H4096" s="41" t="s">
        <v>12550</v>
      </c>
      <c r="I4096" s="43">
        <v>12</v>
      </c>
      <c r="J4096" s="44" t="str">
        <f>VLOOKUP(G4096,[1]硬件清单!$F:$F,1,0)</f>
        <v>210305756810HA000207</v>
      </c>
      <c r="K4096" s="43"/>
      <c r="L4096" s="44"/>
      <c r="M4096" s="45" t="s">
        <v>12551</v>
      </c>
    </row>
    <row r="4097" ht="30" customHeight="1" spans="1:13">
      <c r="A4097" s="41">
        <f>IF(C4097="","",SUBTOTAL(103,$C$2:C4097))</f>
        <v>4088</v>
      </c>
      <c r="B4097" s="41">
        <v>2377</v>
      </c>
      <c r="C4097" s="41">
        <v>3834</v>
      </c>
      <c r="D4097" s="41" t="s">
        <v>45</v>
      </c>
      <c r="E4097" s="41" t="s">
        <v>1298</v>
      </c>
      <c r="F4097" s="41" t="s">
        <v>11893</v>
      </c>
      <c r="G4097" s="41" t="s">
        <v>12552</v>
      </c>
      <c r="H4097" s="41" t="s">
        <v>12553</v>
      </c>
      <c r="I4097" s="43">
        <v>12</v>
      </c>
      <c r="J4097" s="44" t="str">
        <f>VLOOKUP(G4097,[1]硬件清单!$F:$F,1,0)</f>
        <v>210305756810HA000173</v>
      </c>
      <c r="K4097" s="43"/>
      <c r="L4097" s="44"/>
      <c r="M4097" s="45" t="s">
        <v>12554</v>
      </c>
    </row>
    <row r="4098" ht="30" customHeight="1" spans="1:13">
      <c r="A4098" s="41">
        <f>IF(C4098="","",SUBTOTAL(103,$C$2:C4098))</f>
        <v>4089</v>
      </c>
      <c r="B4098" s="41">
        <v>2378</v>
      </c>
      <c r="C4098" s="41">
        <v>3835</v>
      </c>
      <c r="D4098" s="41" t="s">
        <v>45</v>
      </c>
      <c r="E4098" s="41" t="s">
        <v>1298</v>
      </c>
      <c r="F4098" s="41" t="s">
        <v>11893</v>
      </c>
      <c r="G4098" s="41" t="s">
        <v>12555</v>
      </c>
      <c r="H4098" s="41" t="s">
        <v>12556</v>
      </c>
      <c r="I4098" s="43">
        <v>12</v>
      </c>
      <c r="J4098" s="44" t="str">
        <f>VLOOKUP(G4098,[1]硬件清单!$F:$F,1,0)</f>
        <v>210305756810HA000157</v>
      </c>
      <c r="K4098" s="43"/>
      <c r="L4098" s="44"/>
      <c r="M4098" s="45" t="s">
        <v>12557</v>
      </c>
    </row>
    <row r="4099" ht="30" customHeight="1" spans="1:13">
      <c r="A4099" s="41">
        <f>IF(C4099="","",SUBTOTAL(103,$C$2:C4099))</f>
        <v>4090</v>
      </c>
      <c r="B4099" s="41">
        <v>2379</v>
      </c>
      <c r="C4099" s="41">
        <v>3836</v>
      </c>
      <c r="D4099" s="41" t="s">
        <v>45</v>
      </c>
      <c r="E4099" s="41" t="s">
        <v>1298</v>
      </c>
      <c r="F4099" s="41" t="s">
        <v>11893</v>
      </c>
      <c r="G4099" s="41" t="s">
        <v>12558</v>
      </c>
      <c r="H4099" s="41" t="s">
        <v>12559</v>
      </c>
      <c r="I4099" s="43">
        <v>12</v>
      </c>
      <c r="J4099" s="44" t="str">
        <f>VLOOKUP(G4099,[1]硬件清单!$F:$F,1,0)</f>
        <v>210305756810HA000159</v>
      </c>
      <c r="K4099" s="43"/>
      <c r="L4099" s="44"/>
      <c r="M4099" s="45" t="s">
        <v>12560</v>
      </c>
    </row>
    <row r="4100" ht="30" customHeight="1" spans="1:13">
      <c r="A4100" s="41">
        <f>IF(C4100="","",SUBTOTAL(103,$C$2:C4100))</f>
        <v>4091</v>
      </c>
      <c r="B4100" s="41">
        <v>2380</v>
      </c>
      <c r="C4100" s="41">
        <v>3837</v>
      </c>
      <c r="D4100" s="41" t="s">
        <v>45</v>
      </c>
      <c r="E4100" s="41" t="s">
        <v>1298</v>
      </c>
      <c r="F4100" s="41" t="s">
        <v>11893</v>
      </c>
      <c r="G4100" s="41" t="s">
        <v>12561</v>
      </c>
      <c r="H4100" s="41" t="s">
        <v>12562</v>
      </c>
      <c r="I4100" s="43">
        <v>12</v>
      </c>
      <c r="J4100" s="44" t="str">
        <f>VLOOKUP(G4100,[1]硬件清单!$F:$F,1,0)</f>
        <v>210305756810HA000651</v>
      </c>
      <c r="K4100" s="43"/>
      <c r="L4100" s="44"/>
      <c r="M4100" s="45" t="s">
        <v>12563</v>
      </c>
    </row>
    <row r="4101" ht="30" customHeight="1" spans="1:13">
      <c r="A4101" s="41">
        <f>IF(C4101="","",SUBTOTAL(103,$C$2:C4101))</f>
        <v>4092</v>
      </c>
      <c r="B4101" s="41">
        <v>2381</v>
      </c>
      <c r="C4101" s="41">
        <v>3838</v>
      </c>
      <c r="D4101" s="41" t="s">
        <v>45</v>
      </c>
      <c r="E4101" s="41" t="s">
        <v>1298</v>
      </c>
      <c r="F4101" s="41" t="s">
        <v>11893</v>
      </c>
      <c r="G4101" s="41" t="s">
        <v>12564</v>
      </c>
      <c r="H4101" s="41" t="s">
        <v>12565</v>
      </c>
      <c r="I4101" s="43">
        <v>12</v>
      </c>
      <c r="J4101" s="44" t="str">
        <f>VLOOKUP(G4101,[1]硬件清单!$F:$F,1,0)</f>
        <v>210305756810HA000476</v>
      </c>
      <c r="K4101" s="43"/>
      <c r="L4101" s="44"/>
      <c r="M4101" s="45" t="s">
        <v>12566</v>
      </c>
    </row>
    <row r="4102" ht="30" customHeight="1" spans="1:13">
      <c r="A4102" s="41">
        <f>IF(C4102="","",SUBTOTAL(103,$C$2:C4102))</f>
        <v>4093</v>
      </c>
      <c r="B4102" s="41">
        <v>2382</v>
      </c>
      <c r="C4102" s="41">
        <v>3839</v>
      </c>
      <c r="D4102" s="41" t="s">
        <v>45</v>
      </c>
      <c r="E4102" s="41" t="s">
        <v>1298</v>
      </c>
      <c r="F4102" s="41" t="s">
        <v>11893</v>
      </c>
      <c r="G4102" s="41" t="s">
        <v>12567</v>
      </c>
      <c r="H4102" s="41" t="s">
        <v>12568</v>
      </c>
      <c r="I4102" s="43">
        <v>12</v>
      </c>
      <c r="J4102" s="44" t="str">
        <f>VLOOKUP(G4102,[1]硬件清单!$F:$F,1,0)</f>
        <v>210305756810HA000410</v>
      </c>
      <c r="K4102" s="43"/>
      <c r="L4102" s="44"/>
      <c r="M4102" s="45" t="s">
        <v>12569</v>
      </c>
    </row>
    <row r="4103" ht="30" customHeight="1" spans="1:13">
      <c r="A4103" s="41">
        <f>IF(C4103="","",SUBTOTAL(103,$C$2:C4103))</f>
        <v>4094</v>
      </c>
      <c r="B4103" s="41">
        <v>2383</v>
      </c>
      <c r="C4103" s="41">
        <v>3840</v>
      </c>
      <c r="D4103" s="41" t="s">
        <v>45</v>
      </c>
      <c r="E4103" s="41" t="s">
        <v>1298</v>
      </c>
      <c r="F4103" s="41" t="s">
        <v>11893</v>
      </c>
      <c r="G4103" s="41" t="s">
        <v>12570</v>
      </c>
      <c r="H4103" s="41" t="s">
        <v>12571</v>
      </c>
      <c r="I4103" s="43">
        <v>12</v>
      </c>
      <c r="J4103" s="44" t="str">
        <f>VLOOKUP(G4103,[1]硬件清单!$F:$F,1,0)</f>
        <v>210305756810HA000292</v>
      </c>
      <c r="K4103" s="43"/>
      <c r="L4103" s="44"/>
      <c r="M4103" s="45" t="s">
        <v>12572</v>
      </c>
    </row>
    <row r="4104" ht="30" customHeight="1" spans="1:13">
      <c r="A4104" s="41">
        <f>IF(C4104="","",SUBTOTAL(103,$C$2:C4104))</f>
        <v>4095</v>
      </c>
      <c r="B4104" s="41">
        <v>2384</v>
      </c>
      <c r="C4104" s="41">
        <v>3826</v>
      </c>
      <c r="D4104" s="41" t="s">
        <v>45</v>
      </c>
      <c r="E4104" s="41" t="s">
        <v>1298</v>
      </c>
      <c r="F4104" s="41" t="s">
        <v>11893</v>
      </c>
      <c r="G4104" s="41" t="s">
        <v>12573</v>
      </c>
      <c r="H4104" s="41" t="s">
        <v>12574</v>
      </c>
      <c r="I4104" s="43">
        <v>12</v>
      </c>
      <c r="J4104" s="44" t="str">
        <f>VLOOKUP(G4104,[1]硬件清单!$F:$F,1,0)</f>
        <v>210305756810HA000198</v>
      </c>
      <c r="K4104" s="43"/>
      <c r="L4104" s="44"/>
      <c r="M4104" s="45" t="s">
        <v>12575</v>
      </c>
    </row>
    <row r="4105" ht="30" customHeight="1" spans="1:13">
      <c r="A4105" s="41">
        <f>IF(C4105="","",SUBTOTAL(103,$C$2:C4105))</f>
        <v>4096</v>
      </c>
      <c r="B4105" s="41">
        <v>2385</v>
      </c>
      <c r="C4105" s="41">
        <v>3827</v>
      </c>
      <c r="D4105" s="41" t="s">
        <v>45</v>
      </c>
      <c r="E4105" s="41" t="s">
        <v>1298</v>
      </c>
      <c r="F4105" s="41" t="s">
        <v>11893</v>
      </c>
      <c r="G4105" s="41" t="s">
        <v>12576</v>
      </c>
      <c r="H4105" s="41" t="s">
        <v>12577</v>
      </c>
      <c r="I4105" s="43">
        <v>12</v>
      </c>
      <c r="J4105" s="44" t="str">
        <f>VLOOKUP(G4105,[1]硬件清单!$F:$F,1,0)</f>
        <v>210305756810HA000150</v>
      </c>
      <c r="K4105" s="43"/>
      <c r="L4105" s="44"/>
      <c r="M4105" s="45" t="s">
        <v>12578</v>
      </c>
    </row>
    <row r="4106" ht="30" customHeight="1" spans="1:13">
      <c r="A4106" s="41">
        <f>IF(C4106="","",SUBTOTAL(103,$C$2:C4106))</f>
        <v>4097</v>
      </c>
      <c r="B4106" s="41">
        <v>2386</v>
      </c>
      <c r="C4106" s="41">
        <v>3828</v>
      </c>
      <c r="D4106" s="41" t="s">
        <v>45</v>
      </c>
      <c r="E4106" s="41" t="s">
        <v>1298</v>
      </c>
      <c r="F4106" s="41" t="s">
        <v>11893</v>
      </c>
      <c r="G4106" s="41" t="s">
        <v>12579</v>
      </c>
      <c r="H4106" s="41" t="s">
        <v>12580</v>
      </c>
      <c r="I4106" s="43">
        <v>12</v>
      </c>
      <c r="J4106" s="44" t="str">
        <f>VLOOKUP(G4106,[1]硬件清单!$F:$F,1,0)</f>
        <v>210305756810HA000197</v>
      </c>
      <c r="K4106" s="43"/>
      <c r="L4106" s="44"/>
      <c r="M4106" s="45" t="s">
        <v>12581</v>
      </c>
    </row>
    <row r="4107" ht="30" customHeight="1" spans="1:13">
      <c r="A4107" s="41">
        <f>IF(C4107="","",SUBTOTAL(103,$C$2:C4107))</f>
        <v>4098</v>
      </c>
      <c r="B4107" s="41">
        <v>2387</v>
      </c>
      <c r="C4107" s="41">
        <v>3829</v>
      </c>
      <c r="D4107" s="41" t="s">
        <v>45</v>
      </c>
      <c r="E4107" s="41" t="s">
        <v>1298</v>
      </c>
      <c r="F4107" s="41" t="s">
        <v>11893</v>
      </c>
      <c r="G4107" s="41" t="s">
        <v>12582</v>
      </c>
      <c r="H4107" s="41" t="s">
        <v>12583</v>
      </c>
      <c r="I4107" s="43">
        <v>12</v>
      </c>
      <c r="J4107" s="44" t="str">
        <f>VLOOKUP(G4107,[1]硬件清单!$F:$F,1,0)</f>
        <v>210305756810HA000490</v>
      </c>
      <c r="K4107" s="43"/>
      <c r="L4107" s="44"/>
      <c r="M4107" s="45" t="s">
        <v>12584</v>
      </c>
    </row>
    <row r="4108" ht="30" customHeight="1" spans="1:13">
      <c r="A4108" s="41">
        <f>IF(C4108="","",SUBTOTAL(103,$C$2:C4108))</f>
        <v>4099</v>
      </c>
      <c r="B4108" s="41">
        <v>2388</v>
      </c>
      <c r="C4108" s="41">
        <v>3830</v>
      </c>
      <c r="D4108" s="41" t="s">
        <v>45</v>
      </c>
      <c r="E4108" s="41" t="s">
        <v>1298</v>
      </c>
      <c r="F4108" s="41" t="s">
        <v>11893</v>
      </c>
      <c r="G4108" s="41" t="s">
        <v>12585</v>
      </c>
      <c r="H4108" s="41" t="s">
        <v>12586</v>
      </c>
      <c r="I4108" s="43">
        <v>12</v>
      </c>
      <c r="J4108" s="44" t="str">
        <f>VLOOKUP(G4108,[1]硬件清单!$F:$F,1,0)</f>
        <v>210305756810HA000407</v>
      </c>
      <c r="K4108" s="43"/>
      <c r="L4108" s="44"/>
      <c r="M4108" s="45" t="s">
        <v>12587</v>
      </c>
    </row>
    <row r="4109" ht="30" customHeight="1" spans="1:13">
      <c r="A4109" s="41">
        <f>IF(C4109="","",SUBTOTAL(103,$C$2:C4109))</f>
        <v>4100</v>
      </c>
      <c r="B4109" s="41">
        <v>2389</v>
      </c>
      <c r="C4109" s="41">
        <v>3831</v>
      </c>
      <c r="D4109" s="41" t="s">
        <v>45</v>
      </c>
      <c r="E4109" s="41" t="s">
        <v>1298</v>
      </c>
      <c r="F4109" s="41" t="s">
        <v>11893</v>
      </c>
      <c r="G4109" s="41" t="s">
        <v>12588</v>
      </c>
      <c r="H4109" s="41" t="s">
        <v>12589</v>
      </c>
      <c r="I4109" s="43">
        <v>12</v>
      </c>
      <c r="J4109" s="44" t="str">
        <f>VLOOKUP(G4109,[1]硬件清单!$F:$F,1,0)</f>
        <v>210305756810HA000213</v>
      </c>
      <c r="K4109" s="43"/>
      <c r="L4109" s="44"/>
      <c r="M4109" s="45" t="s">
        <v>12590</v>
      </c>
    </row>
    <row r="4110" ht="30" customHeight="1" spans="1:13">
      <c r="A4110" s="41">
        <f>IF(C4110="","",SUBTOTAL(103,$C$2:C4110))</f>
        <v>4101</v>
      </c>
      <c r="B4110" s="41">
        <v>2390</v>
      </c>
      <c r="C4110" s="41">
        <v>3832</v>
      </c>
      <c r="D4110" s="41" t="s">
        <v>45</v>
      </c>
      <c r="E4110" s="41" t="s">
        <v>1298</v>
      </c>
      <c r="F4110" s="41" t="s">
        <v>11893</v>
      </c>
      <c r="G4110" s="41" t="s">
        <v>12591</v>
      </c>
      <c r="H4110" s="41" t="s">
        <v>12592</v>
      </c>
      <c r="I4110" s="43">
        <v>12</v>
      </c>
      <c r="J4110" s="44" t="str">
        <f>VLOOKUP(G4110,[1]硬件清单!$F:$F,1,0)</f>
        <v>210305756810HA000200</v>
      </c>
      <c r="K4110" s="43"/>
      <c r="L4110" s="44"/>
      <c r="M4110" s="45" t="s">
        <v>12593</v>
      </c>
    </row>
    <row r="4111" ht="30" customHeight="1" spans="1:13">
      <c r="A4111" s="41">
        <f>IF(C4111="","",SUBTOTAL(103,$C$2:C4111))</f>
        <v>4102</v>
      </c>
      <c r="B4111" s="41">
        <v>2391</v>
      </c>
      <c r="C4111" s="41">
        <v>3833</v>
      </c>
      <c r="D4111" s="41" t="s">
        <v>45</v>
      </c>
      <c r="E4111" s="41" t="s">
        <v>1298</v>
      </c>
      <c r="F4111" s="41" t="s">
        <v>11893</v>
      </c>
      <c r="G4111" s="41" t="s">
        <v>12594</v>
      </c>
      <c r="H4111" s="41" t="s">
        <v>12595</v>
      </c>
      <c r="I4111" s="43">
        <v>12</v>
      </c>
      <c r="J4111" s="44" t="str">
        <f>VLOOKUP(G4111,[1]硬件清单!$F:$F,1,0)</f>
        <v>210305756810HA000156</v>
      </c>
      <c r="K4111" s="43"/>
      <c r="L4111" s="44"/>
      <c r="M4111" s="45" t="s">
        <v>12596</v>
      </c>
    </row>
    <row r="4112" ht="30" customHeight="1" spans="1:13">
      <c r="A4112" s="41">
        <f>IF(C4112="","",SUBTOTAL(103,$C$2:C4112))</f>
        <v>4103</v>
      </c>
      <c r="B4112" s="41">
        <v>2392</v>
      </c>
      <c r="C4112" s="41">
        <v>3801</v>
      </c>
      <c r="D4112" s="41" t="s">
        <v>45</v>
      </c>
      <c r="E4112" s="41" t="s">
        <v>1298</v>
      </c>
      <c r="F4112" s="41" t="s">
        <v>11893</v>
      </c>
      <c r="G4112" s="41" t="s">
        <v>12597</v>
      </c>
      <c r="H4112" s="41" t="s">
        <v>12598</v>
      </c>
      <c r="I4112" s="43">
        <v>12</v>
      </c>
      <c r="J4112" s="44" t="str">
        <f>VLOOKUP(G4112,[1]硬件清单!$F:$F,1,0)</f>
        <v>210305756810HA000158</v>
      </c>
      <c r="K4112" s="43"/>
      <c r="L4112" s="44"/>
      <c r="M4112" s="45" t="s">
        <v>12599</v>
      </c>
    </row>
    <row r="4113" ht="30" customHeight="1" spans="1:13">
      <c r="A4113" s="41">
        <f>IF(C4113="","",SUBTOTAL(103,$C$2:C4113))</f>
        <v>4104</v>
      </c>
      <c r="B4113" s="41">
        <v>2393</v>
      </c>
      <c r="C4113" s="41">
        <v>3888</v>
      </c>
      <c r="D4113" s="41" t="s">
        <v>45</v>
      </c>
      <c r="E4113" s="41" t="s">
        <v>1298</v>
      </c>
      <c r="F4113" s="41" t="s">
        <v>11893</v>
      </c>
      <c r="G4113" s="41" t="s">
        <v>12600</v>
      </c>
      <c r="H4113" s="41" t="s">
        <v>12601</v>
      </c>
      <c r="I4113" s="43">
        <v>12</v>
      </c>
      <c r="J4113" s="44" t="str">
        <f>VLOOKUP(G4113,[1]硬件清单!$F:$F,1,0)</f>
        <v>210305756810HA000181</v>
      </c>
      <c r="K4113" s="43"/>
      <c r="L4113" s="44"/>
      <c r="M4113" s="45" t="s">
        <v>12602</v>
      </c>
    </row>
    <row r="4114" ht="30" customHeight="1" spans="1:13">
      <c r="A4114" s="41">
        <f>IF(C4114="","",SUBTOTAL(103,$C$2:C4114))</f>
        <v>4105</v>
      </c>
      <c r="B4114" s="41">
        <v>2394</v>
      </c>
      <c r="C4114" s="41">
        <v>3889</v>
      </c>
      <c r="D4114" s="41" t="s">
        <v>45</v>
      </c>
      <c r="E4114" s="41" t="s">
        <v>1298</v>
      </c>
      <c r="F4114" s="41" t="s">
        <v>11893</v>
      </c>
      <c r="G4114" s="41" t="s">
        <v>12603</v>
      </c>
      <c r="H4114" s="41" t="s">
        <v>12604</v>
      </c>
      <c r="I4114" s="43">
        <v>12</v>
      </c>
      <c r="J4114" s="44" t="str">
        <f>VLOOKUP(G4114,[1]硬件清单!$F:$F,1,0)</f>
        <v>210305756810HA000187</v>
      </c>
      <c r="K4114" s="43"/>
      <c r="L4114" s="44"/>
      <c r="M4114" s="45" t="s">
        <v>12605</v>
      </c>
    </row>
    <row r="4115" ht="30" customHeight="1" spans="1:13">
      <c r="A4115" s="41">
        <f>IF(C4115="","",SUBTOTAL(103,$C$2:C4115))</f>
        <v>4106</v>
      </c>
      <c r="B4115" s="41">
        <v>2395</v>
      </c>
      <c r="C4115" s="41">
        <v>3890</v>
      </c>
      <c r="D4115" s="41" t="s">
        <v>45</v>
      </c>
      <c r="E4115" s="41" t="s">
        <v>1298</v>
      </c>
      <c r="F4115" s="41" t="s">
        <v>11893</v>
      </c>
      <c r="G4115" s="41" t="s">
        <v>12606</v>
      </c>
      <c r="H4115" s="41" t="s">
        <v>12607</v>
      </c>
      <c r="I4115" s="43">
        <v>12</v>
      </c>
      <c r="J4115" s="44" t="str">
        <f>VLOOKUP(G4115,[1]硬件清单!$F:$F,1,0)</f>
        <v>210305756810HA000382</v>
      </c>
      <c r="K4115" s="43"/>
      <c r="L4115" s="44"/>
      <c r="M4115" s="45" t="s">
        <v>12608</v>
      </c>
    </row>
    <row r="4116" ht="30" customHeight="1" spans="1:13">
      <c r="A4116" s="41">
        <f>IF(C4116="","",SUBTOTAL(103,$C$2:C4116))</f>
        <v>4107</v>
      </c>
      <c r="B4116" s="41">
        <v>2396</v>
      </c>
      <c r="C4116" s="41">
        <v>3891</v>
      </c>
      <c r="D4116" s="41" t="s">
        <v>45</v>
      </c>
      <c r="E4116" s="41" t="s">
        <v>1298</v>
      </c>
      <c r="F4116" s="41" t="s">
        <v>11893</v>
      </c>
      <c r="G4116" s="41" t="s">
        <v>12609</v>
      </c>
      <c r="H4116" s="41" t="s">
        <v>12610</v>
      </c>
      <c r="I4116" s="43">
        <v>12</v>
      </c>
      <c r="J4116" s="44" t="str">
        <f>VLOOKUP(G4116,[1]硬件清单!$F:$F,1,0)</f>
        <v>210305756810HA000379</v>
      </c>
      <c r="K4116" s="43"/>
      <c r="L4116" s="44"/>
      <c r="M4116" s="45" t="s">
        <v>12611</v>
      </c>
    </row>
    <row r="4117" ht="30" customHeight="1" spans="1:13">
      <c r="A4117" s="41">
        <f>IF(C4117="","",SUBTOTAL(103,$C$2:C4117))</f>
        <v>4108</v>
      </c>
      <c r="B4117" s="41">
        <v>2397</v>
      </c>
      <c r="C4117" s="41">
        <v>3892</v>
      </c>
      <c r="D4117" s="41" t="s">
        <v>45</v>
      </c>
      <c r="E4117" s="41" t="s">
        <v>1298</v>
      </c>
      <c r="F4117" s="41" t="s">
        <v>11893</v>
      </c>
      <c r="G4117" s="41" t="s">
        <v>12612</v>
      </c>
      <c r="H4117" s="41" t="s">
        <v>12613</v>
      </c>
      <c r="I4117" s="43">
        <v>12</v>
      </c>
      <c r="J4117" s="44" t="str">
        <f>VLOOKUP(G4117,[1]硬件清单!$F:$F,1,0)</f>
        <v>210305756810HA000439</v>
      </c>
      <c r="K4117" s="43"/>
      <c r="L4117" s="44"/>
      <c r="M4117" s="45" t="s">
        <v>12614</v>
      </c>
    </row>
    <row r="4118" ht="30" customHeight="1" spans="1:13">
      <c r="A4118" s="41">
        <f>IF(C4118="","",SUBTOTAL(103,$C$2:C4118))</f>
        <v>4109</v>
      </c>
      <c r="B4118" s="41">
        <v>2398</v>
      </c>
      <c r="C4118" s="41">
        <v>3893</v>
      </c>
      <c r="D4118" s="41" t="s">
        <v>45</v>
      </c>
      <c r="E4118" s="41" t="s">
        <v>1298</v>
      </c>
      <c r="F4118" s="41" t="s">
        <v>11893</v>
      </c>
      <c r="G4118" s="41" t="s">
        <v>12615</v>
      </c>
      <c r="H4118" s="41" t="s">
        <v>12616</v>
      </c>
      <c r="I4118" s="43">
        <v>12</v>
      </c>
      <c r="J4118" s="44" t="str">
        <f>VLOOKUP(G4118,[1]硬件清单!$F:$F,1,0)</f>
        <v>210305756810HA000469</v>
      </c>
      <c r="K4118" s="43"/>
      <c r="L4118" s="44"/>
      <c r="M4118" s="45" t="s">
        <v>12617</v>
      </c>
    </row>
    <row r="4119" ht="30" customHeight="1" spans="1:13">
      <c r="A4119" s="41">
        <f>IF(C4119="","",SUBTOTAL(103,$C$2:C4119))</f>
        <v>4110</v>
      </c>
      <c r="B4119" s="41">
        <v>2399</v>
      </c>
      <c r="C4119" s="41">
        <v>3894</v>
      </c>
      <c r="D4119" s="41" t="s">
        <v>45</v>
      </c>
      <c r="E4119" s="41" t="s">
        <v>1298</v>
      </c>
      <c r="F4119" s="41" t="s">
        <v>11893</v>
      </c>
      <c r="G4119" s="41" t="s">
        <v>12618</v>
      </c>
      <c r="H4119" s="41" t="s">
        <v>12619</v>
      </c>
      <c r="I4119" s="43">
        <v>12</v>
      </c>
      <c r="J4119" s="44" t="str">
        <f>VLOOKUP(G4119,[1]硬件清单!$F:$F,1,0)</f>
        <v>210305756810HA000442</v>
      </c>
      <c r="K4119" s="43"/>
      <c r="L4119" s="44"/>
      <c r="M4119" s="45" t="s">
        <v>12620</v>
      </c>
    </row>
    <row r="4120" ht="30" customHeight="1" spans="1:13">
      <c r="A4120" s="41">
        <f>IF(C4120="","",SUBTOTAL(103,$C$2:C4120))</f>
        <v>4111</v>
      </c>
      <c r="B4120" s="41">
        <v>2400</v>
      </c>
      <c r="C4120" s="41">
        <v>3802</v>
      </c>
      <c r="D4120" s="41" t="s">
        <v>45</v>
      </c>
      <c r="E4120" s="41" t="s">
        <v>1298</v>
      </c>
      <c r="F4120" s="41" t="s">
        <v>11893</v>
      </c>
      <c r="G4120" s="41" t="s">
        <v>12621</v>
      </c>
      <c r="H4120" s="41" t="s">
        <v>12622</v>
      </c>
      <c r="I4120" s="43">
        <v>12</v>
      </c>
      <c r="J4120" s="44" t="str">
        <f>VLOOKUP(G4120,[1]硬件清单!$F:$F,1,0)</f>
        <v>210305756810HA000162</v>
      </c>
      <c r="K4120" s="43"/>
      <c r="L4120" s="44"/>
      <c r="M4120" s="45" t="s">
        <v>12623</v>
      </c>
    </row>
    <row r="4121" ht="30" customHeight="1" spans="1:13">
      <c r="A4121" s="41">
        <f>IF(C4121="","",SUBTOTAL(103,$C$2:C4121))</f>
        <v>4112</v>
      </c>
      <c r="B4121" s="41">
        <v>2401</v>
      </c>
      <c r="C4121" s="41">
        <v>3803</v>
      </c>
      <c r="D4121" s="41" t="s">
        <v>45</v>
      </c>
      <c r="E4121" s="41" t="s">
        <v>1298</v>
      </c>
      <c r="F4121" s="41" t="s">
        <v>11893</v>
      </c>
      <c r="G4121" s="41" t="s">
        <v>12624</v>
      </c>
      <c r="H4121" s="41" t="s">
        <v>12625</v>
      </c>
      <c r="I4121" s="43">
        <v>12</v>
      </c>
      <c r="J4121" s="44" t="str">
        <f>VLOOKUP(G4121,[1]硬件清单!$F:$F,1,0)</f>
        <v>210305756810HA000498</v>
      </c>
      <c r="K4121" s="43"/>
      <c r="L4121" s="44"/>
      <c r="M4121" s="45" t="s">
        <v>12626</v>
      </c>
    </row>
    <row r="4122" ht="30" customHeight="1" spans="1:13">
      <c r="A4122" s="41">
        <f>IF(C4122="","",SUBTOTAL(103,$C$2:C4122))</f>
        <v>4113</v>
      </c>
      <c r="B4122" s="41">
        <v>2402</v>
      </c>
      <c r="C4122" s="41">
        <v>3804</v>
      </c>
      <c r="D4122" s="41" t="s">
        <v>45</v>
      </c>
      <c r="E4122" s="41" t="s">
        <v>1298</v>
      </c>
      <c r="F4122" s="41" t="s">
        <v>11893</v>
      </c>
      <c r="G4122" s="41" t="s">
        <v>12627</v>
      </c>
      <c r="H4122" s="41" t="s">
        <v>12628</v>
      </c>
      <c r="I4122" s="43">
        <v>12</v>
      </c>
      <c r="J4122" s="44" t="str">
        <f>VLOOKUP(G4122,[1]硬件清单!$F:$F,1,0)</f>
        <v>210305756810HA000165</v>
      </c>
      <c r="K4122" s="43"/>
      <c r="L4122" s="44"/>
      <c r="M4122" s="45" t="s">
        <v>12629</v>
      </c>
    </row>
    <row r="4123" ht="30" customHeight="1" spans="1:13">
      <c r="A4123" s="41">
        <f>IF(C4123="","",SUBTOTAL(103,$C$2:C4123))</f>
        <v>4114</v>
      </c>
      <c r="B4123" s="41">
        <v>2403</v>
      </c>
      <c r="C4123" s="41">
        <v>3805</v>
      </c>
      <c r="D4123" s="41" t="s">
        <v>45</v>
      </c>
      <c r="E4123" s="41" t="s">
        <v>1298</v>
      </c>
      <c r="F4123" s="41" t="s">
        <v>11893</v>
      </c>
      <c r="G4123" s="41" t="s">
        <v>12630</v>
      </c>
      <c r="H4123" s="41" t="s">
        <v>12631</v>
      </c>
      <c r="I4123" s="43">
        <v>12</v>
      </c>
      <c r="J4123" s="44" t="str">
        <f>VLOOKUP(G4123,[1]硬件清单!$F:$F,1,0)</f>
        <v>210305756810HA000177</v>
      </c>
      <c r="K4123" s="43"/>
      <c r="L4123" s="44"/>
      <c r="M4123" s="45" t="s">
        <v>12632</v>
      </c>
    </row>
    <row r="4124" ht="30" customHeight="1" spans="1:13">
      <c r="A4124" s="41">
        <f>IF(C4124="","",SUBTOTAL(103,$C$2:C4124))</f>
        <v>4115</v>
      </c>
      <c r="B4124" s="41">
        <v>2404</v>
      </c>
      <c r="C4124" s="41">
        <v>3806</v>
      </c>
      <c r="D4124" s="41" t="s">
        <v>45</v>
      </c>
      <c r="E4124" s="41" t="s">
        <v>1298</v>
      </c>
      <c r="F4124" s="41" t="s">
        <v>11893</v>
      </c>
      <c r="G4124" s="41" t="s">
        <v>12633</v>
      </c>
      <c r="H4124" s="41" t="s">
        <v>12634</v>
      </c>
      <c r="I4124" s="43">
        <v>12</v>
      </c>
      <c r="J4124" s="44" t="str">
        <f>VLOOKUP(G4124,[1]硬件清单!$F:$F,1,0)</f>
        <v>210305756810HA000478</v>
      </c>
      <c r="K4124" s="43"/>
      <c r="L4124" s="44"/>
      <c r="M4124" s="45" t="s">
        <v>12635</v>
      </c>
    </row>
    <row r="4125" ht="30" customHeight="1" spans="1:13">
      <c r="A4125" s="41">
        <f>IF(C4125="","",SUBTOTAL(103,$C$2:C4125))</f>
        <v>4116</v>
      </c>
      <c r="B4125" s="41">
        <v>2405</v>
      </c>
      <c r="C4125" s="41">
        <v>3807</v>
      </c>
      <c r="D4125" s="41" t="s">
        <v>45</v>
      </c>
      <c r="E4125" s="41" t="s">
        <v>1298</v>
      </c>
      <c r="F4125" s="41" t="s">
        <v>11893</v>
      </c>
      <c r="G4125" s="41" t="s">
        <v>12636</v>
      </c>
      <c r="H4125" s="41" t="s">
        <v>12637</v>
      </c>
      <c r="I4125" s="43">
        <v>12</v>
      </c>
      <c r="J4125" s="44" t="str">
        <f>VLOOKUP(G4125,[1]硬件清单!$F:$F,1,0)</f>
        <v>210305756810HA000370</v>
      </c>
      <c r="K4125" s="43"/>
      <c r="L4125" s="44"/>
      <c r="M4125" s="45" t="s">
        <v>12638</v>
      </c>
    </row>
    <row r="4126" ht="30" customHeight="1" spans="1:13">
      <c r="A4126" s="41">
        <f>IF(C4126="","",SUBTOTAL(103,$C$2:C4126))</f>
        <v>4117</v>
      </c>
      <c r="B4126" s="41">
        <v>2406</v>
      </c>
      <c r="C4126" s="41">
        <v>3808</v>
      </c>
      <c r="D4126" s="41" t="s">
        <v>45</v>
      </c>
      <c r="E4126" s="41" t="s">
        <v>1298</v>
      </c>
      <c r="F4126" s="41" t="s">
        <v>11893</v>
      </c>
      <c r="G4126" s="41" t="s">
        <v>12639</v>
      </c>
      <c r="H4126" s="41" t="s">
        <v>12640</v>
      </c>
      <c r="I4126" s="43">
        <v>12</v>
      </c>
      <c r="J4126" s="44" t="str">
        <f>VLOOKUP(G4126,[1]硬件清单!$F:$F,1,0)</f>
        <v>210305756810HA000496</v>
      </c>
      <c r="K4126" s="43"/>
      <c r="L4126" s="44"/>
      <c r="M4126" s="45" t="s">
        <v>12641</v>
      </c>
    </row>
    <row r="4127" ht="30" customHeight="1" spans="1:13">
      <c r="A4127" s="41">
        <f>IF(C4127="","",SUBTOTAL(103,$C$2:C4127))</f>
        <v>4118</v>
      </c>
      <c r="B4127" s="41">
        <v>2407</v>
      </c>
      <c r="C4127" s="41">
        <v>3887</v>
      </c>
      <c r="D4127" s="41" t="s">
        <v>45</v>
      </c>
      <c r="E4127" s="41" t="s">
        <v>1298</v>
      </c>
      <c r="F4127" s="41" t="s">
        <v>11893</v>
      </c>
      <c r="G4127" s="41" t="s">
        <v>12642</v>
      </c>
      <c r="H4127" s="41" t="s">
        <v>12643</v>
      </c>
      <c r="I4127" s="43">
        <v>12</v>
      </c>
      <c r="J4127" s="44" t="str">
        <f>VLOOKUP(G4127,[1]硬件清单!$F:$F,1,0)</f>
        <v>210305756810HA000230</v>
      </c>
      <c r="K4127" s="43"/>
      <c r="L4127" s="44"/>
      <c r="M4127" s="45" t="s">
        <v>12644</v>
      </c>
    </row>
    <row r="4128" ht="30" customHeight="1" spans="1:13">
      <c r="A4128" s="41">
        <f>IF(C4128="","",SUBTOTAL(103,$C$2:C4128))</f>
        <v>4119</v>
      </c>
      <c r="B4128" s="41">
        <v>2408</v>
      </c>
      <c r="C4128" s="41">
        <v>3873</v>
      </c>
      <c r="D4128" s="41" t="s">
        <v>45</v>
      </c>
      <c r="E4128" s="41" t="s">
        <v>1298</v>
      </c>
      <c r="F4128" s="41" t="s">
        <v>11893</v>
      </c>
      <c r="G4128" s="41" t="s">
        <v>12645</v>
      </c>
      <c r="H4128" s="41" t="s">
        <v>12646</v>
      </c>
      <c r="I4128" s="43">
        <v>12</v>
      </c>
      <c r="J4128" s="44" t="str">
        <f>VLOOKUP(G4128,[1]硬件清单!$F:$F,1,0)</f>
        <v>210305756810HA000208</v>
      </c>
      <c r="K4128" s="43"/>
      <c r="L4128" s="44"/>
      <c r="M4128" s="45" t="s">
        <v>12647</v>
      </c>
    </row>
    <row r="4129" ht="30" customHeight="1" spans="1:13">
      <c r="A4129" s="41">
        <f>IF(C4129="","",SUBTOTAL(103,$C$2:C4129))</f>
        <v>4120</v>
      </c>
      <c r="B4129" s="41">
        <v>2409</v>
      </c>
      <c r="C4129" s="41">
        <v>3882</v>
      </c>
      <c r="D4129" s="41" t="s">
        <v>45</v>
      </c>
      <c r="E4129" s="41" t="s">
        <v>1298</v>
      </c>
      <c r="F4129" s="41" t="s">
        <v>11893</v>
      </c>
      <c r="G4129" s="41" t="s">
        <v>12648</v>
      </c>
      <c r="H4129" s="41" t="s">
        <v>12649</v>
      </c>
      <c r="I4129" s="43">
        <v>12</v>
      </c>
      <c r="J4129" s="44" t="str">
        <f>VLOOKUP(G4129,[1]硬件清单!$F:$F,1,0)</f>
        <v>210305756810HA000503</v>
      </c>
      <c r="K4129" s="43"/>
      <c r="L4129" s="44"/>
      <c r="M4129" s="45" t="s">
        <v>12650</v>
      </c>
    </row>
    <row r="4130" ht="30" customHeight="1" spans="1:13">
      <c r="A4130" s="41">
        <f>IF(C4130="","",SUBTOTAL(103,$C$2:C4130))</f>
        <v>4121</v>
      </c>
      <c r="B4130" s="41">
        <v>2410</v>
      </c>
      <c r="C4130" s="41">
        <v>3883</v>
      </c>
      <c r="D4130" s="41" t="s">
        <v>45</v>
      </c>
      <c r="E4130" s="41" t="s">
        <v>1298</v>
      </c>
      <c r="F4130" s="41" t="s">
        <v>11893</v>
      </c>
      <c r="G4130" s="41" t="s">
        <v>12651</v>
      </c>
      <c r="H4130" s="41" t="s">
        <v>12652</v>
      </c>
      <c r="I4130" s="43">
        <v>12</v>
      </c>
      <c r="J4130" s="44" t="str">
        <f>VLOOKUP(G4130,[1]硬件清单!$F:$F,1,0)</f>
        <v>210305756810HA000193</v>
      </c>
      <c r="K4130" s="43"/>
      <c r="L4130" s="44"/>
      <c r="M4130" s="45" t="s">
        <v>12653</v>
      </c>
    </row>
    <row r="4131" ht="30" customHeight="1" spans="1:13">
      <c r="A4131" s="41">
        <f>IF(C4131="","",SUBTOTAL(103,$C$2:C4131))</f>
        <v>4122</v>
      </c>
      <c r="B4131" s="41">
        <v>2411</v>
      </c>
      <c r="C4131" s="41">
        <v>3884</v>
      </c>
      <c r="D4131" s="41" t="s">
        <v>45</v>
      </c>
      <c r="E4131" s="41" t="s">
        <v>1298</v>
      </c>
      <c r="F4131" s="41" t="s">
        <v>11893</v>
      </c>
      <c r="G4131" s="41" t="s">
        <v>12654</v>
      </c>
      <c r="H4131" s="41" t="s">
        <v>12655</v>
      </c>
      <c r="I4131" s="43">
        <v>12</v>
      </c>
      <c r="J4131" s="44" t="str">
        <f>VLOOKUP(G4131,[1]硬件清单!$F:$F,1,0)</f>
        <v>210305756810HA000669</v>
      </c>
      <c r="K4131" s="43"/>
      <c r="L4131" s="44"/>
      <c r="M4131" s="45" t="s">
        <v>12656</v>
      </c>
    </row>
    <row r="4132" ht="30" customHeight="1" spans="1:13">
      <c r="A4132" s="41">
        <f>IF(C4132="","",SUBTOTAL(103,$C$2:C4132))</f>
        <v>4123</v>
      </c>
      <c r="B4132" s="41">
        <v>2412</v>
      </c>
      <c r="C4132" s="41">
        <v>4049</v>
      </c>
      <c r="D4132" s="41" t="s">
        <v>45</v>
      </c>
      <c r="E4132" s="41" t="s">
        <v>1298</v>
      </c>
      <c r="F4132" s="41" t="s">
        <v>11893</v>
      </c>
      <c r="G4132" s="41" t="s">
        <v>12657</v>
      </c>
      <c r="H4132" s="41" t="s">
        <v>12658</v>
      </c>
      <c r="I4132" s="43">
        <v>12</v>
      </c>
      <c r="J4132" s="44" t="str">
        <f>VLOOKUP(G4132,[1]硬件清单!$F:$F,1,0)</f>
        <v>210305756810HA001278</v>
      </c>
      <c r="K4132" s="43"/>
      <c r="L4132" s="44"/>
      <c r="M4132" s="45" t="s">
        <v>12659</v>
      </c>
    </row>
    <row r="4133" ht="30" customHeight="1" spans="1:13">
      <c r="A4133" s="41">
        <f>IF(C4133="","",SUBTOTAL(103,$C$2:C4133))</f>
        <v>4124</v>
      </c>
      <c r="B4133" s="41">
        <v>2413</v>
      </c>
      <c r="C4133" s="41">
        <v>4050</v>
      </c>
      <c r="D4133" s="41" t="s">
        <v>45</v>
      </c>
      <c r="E4133" s="41" t="s">
        <v>1298</v>
      </c>
      <c r="F4133" s="41" t="s">
        <v>11893</v>
      </c>
      <c r="G4133" s="41" t="s">
        <v>12660</v>
      </c>
      <c r="H4133" s="41" t="s">
        <v>12661</v>
      </c>
      <c r="I4133" s="43">
        <v>12</v>
      </c>
      <c r="J4133" s="44" t="str">
        <f>VLOOKUP(G4133,[1]硬件清单!$F:$F,1,0)</f>
        <v>210305756810HA001273</v>
      </c>
      <c r="K4133" s="43"/>
      <c r="L4133" s="44"/>
      <c r="M4133" s="45" t="s">
        <v>12662</v>
      </c>
    </row>
    <row r="4134" ht="30" customHeight="1" spans="1:13">
      <c r="A4134" s="41">
        <f>IF(C4134="","",SUBTOTAL(103,$C$2:C4134))</f>
        <v>4125</v>
      </c>
      <c r="B4134" s="41">
        <v>2414</v>
      </c>
      <c r="C4134" s="41">
        <v>4051</v>
      </c>
      <c r="D4134" s="41" t="s">
        <v>45</v>
      </c>
      <c r="E4134" s="41" t="s">
        <v>1298</v>
      </c>
      <c r="F4134" s="41" t="s">
        <v>11893</v>
      </c>
      <c r="G4134" s="41" t="s">
        <v>12663</v>
      </c>
      <c r="H4134" s="41" t="s">
        <v>12664</v>
      </c>
      <c r="I4134" s="43">
        <v>12</v>
      </c>
      <c r="J4134" s="44" t="str">
        <f>VLOOKUP(G4134,[1]硬件清单!$F:$F,1,0)</f>
        <v>210305756810HA001274</v>
      </c>
      <c r="K4134" s="43"/>
      <c r="L4134" s="44"/>
      <c r="M4134" s="45" t="s">
        <v>12665</v>
      </c>
    </row>
    <row r="4135" ht="30" customHeight="1" spans="1:13">
      <c r="A4135" s="41">
        <f>IF(C4135="","",SUBTOTAL(103,$C$2:C4135))</f>
        <v>4126</v>
      </c>
      <c r="B4135" s="41">
        <v>2415</v>
      </c>
      <c r="C4135" s="41">
        <v>4052</v>
      </c>
      <c r="D4135" s="41" t="s">
        <v>45</v>
      </c>
      <c r="E4135" s="41" t="s">
        <v>1298</v>
      </c>
      <c r="F4135" s="41" t="s">
        <v>11893</v>
      </c>
      <c r="G4135" s="41" t="s">
        <v>12666</v>
      </c>
      <c r="H4135" s="41" t="s">
        <v>12667</v>
      </c>
      <c r="I4135" s="43">
        <v>12</v>
      </c>
      <c r="J4135" s="44" t="str">
        <f>VLOOKUP(G4135,[1]硬件清单!$F:$F,1,0)</f>
        <v>210305756810HA001277</v>
      </c>
      <c r="K4135" s="43"/>
      <c r="L4135" s="44"/>
      <c r="M4135" s="45" t="s">
        <v>12668</v>
      </c>
    </row>
    <row r="4136" ht="30" customHeight="1" spans="1:13">
      <c r="A4136" s="41">
        <f>IF(C4136="","",SUBTOTAL(103,$C$2:C4136))</f>
        <v>4127</v>
      </c>
      <c r="B4136" s="41">
        <v>2416</v>
      </c>
      <c r="C4136" s="41">
        <v>3874</v>
      </c>
      <c r="D4136" s="41" t="s">
        <v>45</v>
      </c>
      <c r="E4136" s="41" t="s">
        <v>1298</v>
      </c>
      <c r="F4136" s="41" t="s">
        <v>11893</v>
      </c>
      <c r="G4136" s="41" t="s">
        <v>12669</v>
      </c>
      <c r="H4136" s="41" t="s">
        <v>12670</v>
      </c>
      <c r="I4136" s="43">
        <v>12</v>
      </c>
      <c r="J4136" s="44" t="str">
        <f>VLOOKUP(G4136,[1]硬件清单!$F:$F,1,0)</f>
        <v>210305756810HA000210</v>
      </c>
      <c r="K4136" s="43"/>
      <c r="L4136" s="44"/>
      <c r="M4136" s="45" t="s">
        <v>12671</v>
      </c>
    </row>
    <row r="4137" ht="30" customHeight="1" spans="1:13">
      <c r="A4137" s="41">
        <f>IF(C4137="","",SUBTOTAL(103,$C$2:C4137))</f>
        <v>4128</v>
      </c>
      <c r="B4137" s="41">
        <v>2417</v>
      </c>
      <c r="C4137" s="41">
        <v>3875</v>
      </c>
      <c r="D4137" s="41" t="s">
        <v>45</v>
      </c>
      <c r="E4137" s="41" t="s">
        <v>1298</v>
      </c>
      <c r="F4137" s="41" t="s">
        <v>11893</v>
      </c>
      <c r="G4137" s="41" t="s">
        <v>12672</v>
      </c>
      <c r="H4137" s="41" t="s">
        <v>12673</v>
      </c>
      <c r="I4137" s="43">
        <v>12</v>
      </c>
      <c r="J4137" s="44" t="str">
        <f>VLOOKUP(G4137,[1]硬件清单!$F:$F,1,0)</f>
        <v>210305756810HA000450</v>
      </c>
      <c r="K4137" s="43"/>
      <c r="L4137" s="44"/>
      <c r="M4137" s="45" t="s">
        <v>12674</v>
      </c>
    </row>
    <row r="4138" ht="30" customHeight="1" spans="1:13">
      <c r="A4138" s="41">
        <f>IF(C4138="","",SUBTOTAL(103,$C$2:C4138))</f>
        <v>4129</v>
      </c>
      <c r="B4138" s="41">
        <v>2418</v>
      </c>
      <c r="C4138" s="41">
        <v>3876</v>
      </c>
      <c r="D4138" s="41" t="s">
        <v>45</v>
      </c>
      <c r="E4138" s="41" t="s">
        <v>1298</v>
      </c>
      <c r="F4138" s="41" t="s">
        <v>11893</v>
      </c>
      <c r="G4138" s="41" t="s">
        <v>12675</v>
      </c>
      <c r="H4138" s="41" t="s">
        <v>12676</v>
      </c>
      <c r="I4138" s="43">
        <v>12</v>
      </c>
      <c r="J4138" s="44" t="str">
        <f>VLOOKUP(G4138,[1]硬件清单!$F:$F,1,0)</f>
        <v>210305756810HA000194</v>
      </c>
      <c r="K4138" s="43"/>
      <c r="L4138" s="44"/>
      <c r="M4138" s="45" t="s">
        <v>12677</v>
      </c>
    </row>
    <row r="4139" ht="30" customHeight="1" spans="1:13">
      <c r="A4139" s="41">
        <f>IF(C4139="","",SUBTOTAL(103,$C$2:C4139))</f>
        <v>4130</v>
      </c>
      <c r="B4139" s="41">
        <v>2419</v>
      </c>
      <c r="C4139" s="41">
        <v>3877</v>
      </c>
      <c r="D4139" s="41" t="s">
        <v>45</v>
      </c>
      <c r="E4139" s="41" t="s">
        <v>1298</v>
      </c>
      <c r="F4139" s="41" t="s">
        <v>11893</v>
      </c>
      <c r="G4139" s="41" t="s">
        <v>12678</v>
      </c>
      <c r="H4139" s="41" t="s">
        <v>12679</v>
      </c>
      <c r="I4139" s="43">
        <v>12</v>
      </c>
      <c r="J4139" s="44" t="str">
        <f>VLOOKUP(G4139,[1]硬件清单!$F:$F,1,0)</f>
        <v>210305756810HA000453</v>
      </c>
      <c r="K4139" s="43"/>
      <c r="L4139" s="44"/>
      <c r="M4139" s="45" t="s">
        <v>12680</v>
      </c>
    </row>
    <row r="4140" ht="30" customHeight="1" spans="1:13">
      <c r="A4140" s="41">
        <f>IF(C4140="","",SUBTOTAL(103,$C$2:C4140))</f>
        <v>4131</v>
      </c>
      <c r="B4140" s="41">
        <v>2420</v>
      </c>
      <c r="C4140" s="41">
        <v>3878</v>
      </c>
      <c r="D4140" s="41" t="s">
        <v>45</v>
      </c>
      <c r="E4140" s="41" t="s">
        <v>1298</v>
      </c>
      <c r="F4140" s="41" t="s">
        <v>11893</v>
      </c>
      <c r="G4140" s="41" t="s">
        <v>12681</v>
      </c>
      <c r="H4140" s="41" t="s">
        <v>12682</v>
      </c>
      <c r="I4140" s="43">
        <v>12</v>
      </c>
      <c r="J4140" s="44" t="str">
        <f>VLOOKUP(G4140,[1]硬件清单!$F:$F,1,0)</f>
        <v>210305756810HA000645</v>
      </c>
      <c r="K4140" s="43"/>
      <c r="L4140" s="44"/>
      <c r="M4140" s="45" t="s">
        <v>12683</v>
      </c>
    </row>
    <row r="4141" ht="30" customHeight="1" spans="1:13">
      <c r="A4141" s="41">
        <f>IF(C4141="","",SUBTOTAL(103,$C$2:C4141))</f>
        <v>4132</v>
      </c>
      <c r="B4141" s="41">
        <v>2421</v>
      </c>
      <c r="C4141" s="41">
        <v>3879</v>
      </c>
      <c r="D4141" s="41" t="s">
        <v>45</v>
      </c>
      <c r="E4141" s="41" t="s">
        <v>1298</v>
      </c>
      <c r="F4141" s="41" t="s">
        <v>11893</v>
      </c>
      <c r="G4141" s="41" t="s">
        <v>12684</v>
      </c>
      <c r="H4141" s="41" t="s">
        <v>12685</v>
      </c>
      <c r="I4141" s="43">
        <v>12</v>
      </c>
      <c r="J4141" s="44" t="str">
        <f>VLOOKUP(G4141,[1]硬件清单!$F:$F,1,0)</f>
        <v>210305756810HA000464</v>
      </c>
      <c r="K4141" s="43"/>
      <c r="L4141" s="44"/>
      <c r="M4141" s="45" t="s">
        <v>12686</v>
      </c>
    </row>
    <row r="4142" ht="30" customHeight="1" spans="1:13">
      <c r="A4142" s="41">
        <f>IF(C4142="","",SUBTOTAL(103,$C$2:C4142))</f>
        <v>4133</v>
      </c>
      <c r="B4142" s="41">
        <v>2422</v>
      </c>
      <c r="C4142" s="41">
        <v>3880</v>
      </c>
      <c r="D4142" s="41" t="s">
        <v>45</v>
      </c>
      <c r="E4142" s="41" t="s">
        <v>1298</v>
      </c>
      <c r="F4142" s="41" t="s">
        <v>11893</v>
      </c>
      <c r="G4142" s="41" t="s">
        <v>12687</v>
      </c>
      <c r="H4142" s="41" t="s">
        <v>12688</v>
      </c>
      <c r="I4142" s="43">
        <v>12</v>
      </c>
      <c r="J4142" s="44" t="str">
        <f>VLOOKUP(G4142,[1]硬件清单!$F:$F,1,0)</f>
        <v>210305756810HA000633</v>
      </c>
      <c r="K4142" s="43"/>
      <c r="L4142" s="44"/>
      <c r="M4142" s="45" t="s">
        <v>12689</v>
      </c>
    </row>
    <row r="4143" ht="30" customHeight="1" spans="1:13">
      <c r="A4143" s="41">
        <f>IF(C4143="","",SUBTOTAL(103,$C$2:C4143))</f>
        <v>4134</v>
      </c>
      <c r="B4143" s="41">
        <v>2423</v>
      </c>
      <c r="C4143" s="41">
        <v>3881</v>
      </c>
      <c r="D4143" s="41" t="s">
        <v>45</v>
      </c>
      <c r="E4143" s="41" t="s">
        <v>1298</v>
      </c>
      <c r="F4143" s="41" t="s">
        <v>11893</v>
      </c>
      <c r="G4143" s="41" t="s">
        <v>12690</v>
      </c>
      <c r="H4143" s="41" t="s">
        <v>12691</v>
      </c>
      <c r="I4143" s="43">
        <v>12</v>
      </c>
      <c r="J4143" s="44" t="str">
        <f>VLOOKUP(G4143,[1]硬件清单!$F:$F,1,0)</f>
        <v>210305756810HA000163</v>
      </c>
      <c r="K4143" s="43"/>
      <c r="L4143" s="44"/>
      <c r="M4143" s="45" t="s">
        <v>12692</v>
      </c>
    </row>
    <row r="4144" ht="30" customHeight="1" spans="1:13">
      <c r="A4144" s="41">
        <f>IF(C4144="","",SUBTOTAL(103,$C$2:C4144))</f>
        <v>4135</v>
      </c>
      <c r="B4144" s="41">
        <v>2424</v>
      </c>
      <c r="C4144" s="41">
        <v>3921</v>
      </c>
      <c r="D4144" s="41" t="s">
        <v>45</v>
      </c>
      <c r="E4144" s="41" t="s">
        <v>1298</v>
      </c>
      <c r="F4144" s="41" t="s">
        <v>11893</v>
      </c>
      <c r="G4144" s="41" t="s">
        <v>12693</v>
      </c>
      <c r="H4144" s="41" t="s">
        <v>12694</v>
      </c>
      <c r="I4144" s="43">
        <v>12</v>
      </c>
      <c r="J4144" s="44" t="str">
        <f>VLOOKUP(G4144,[1]硬件清单!$F:$F,1,0)</f>
        <v>210305756810HA000149</v>
      </c>
      <c r="K4144" s="43"/>
      <c r="L4144" s="44"/>
      <c r="M4144" s="45" t="s">
        <v>12695</v>
      </c>
    </row>
    <row r="4145" ht="30" customHeight="1" spans="1:13">
      <c r="A4145" s="41">
        <f>IF(C4145="","",SUBTOTAL(103,$C$2:C4145))</f>
        <v>4136</v>
      </c>
      <c r="B4145" s="41">
        <v>2425</v>
      </c>
      <c r="C4145" s="41">
        <v>3930</v>
      </c>
      <c r="D4145" s="41" t="s">
        <v>45</v>
      </c>
      <c r="E4145" s="41" t="s">
        <v>1298</v>
      </c>
      <c r="F4145" s="41" t="s">
        <v>11893</v>
      </c>
      <c r="G4145" s="41" t="s">
        <v>12696</v>
      </c>
      <c r="H4145" s="41" t="s">
        <v>12697</v>
      </c>
      <c r="I4145" s="43">
        <v>12</v>
      </c>
      <c r="J4145" s="44" t="str">
        <f>VLOOKUP(G4145,[1]硬件清单!$F:$F,1,0)</f>
        <v>210305756810HA000599</v>
      </c>
      <c r="K4145" s="43"/>
      <c r="L4145" s="44"/>
      <c r="M4145" s="45" t="s">
        <v>12698</v>
      </c>
    </row>
    <row r="4146" ht="30" customHeight="1" spans="1:13">
      <c r="A4146" s="41">
        <f>IF(C4146="","",SUBTOTAL(103,$C$2:C4146))</f>
        <v>4137</v>
      </c>
      <c r="B4146" s="41">
        <v>2426</v>
      </c>
      <c r="C4146" s="41">
        <v>3931</v>
      </c>
      <c r="D4146" s="41" t="s">
        <v>45</v>
      </c>
      <c r="E4146" s="41" t="s">
        <v>1298</v>
      </c>
      <c r="F4146" s="41" t="s">
        <v>11893</v>
      </c>
      <c r="G4146" s="41" t="s">
        <v>12699</v>
      </c>
      <c r="H4146" s="41" t="s">
        <v>12700</v>
      </c>
      <c r="I4146" s="43">
        <v>12</v>
      </c>
      <c r="J4146" s="44" t="str">
        <f>VLOOKUP(G4146,[1]硬件清单!$F:$F,1,0)</f>
        <v>210305756810HA000446</v>
      </c>
      <c r="K4146" s="43"/>
      <c r="L4146" s="44"/>
      <c r="M4146" s="45" t="s">
        <v>12701</v>
      </c>
    </row>
    <row r="4147" ht="30" customHeight="1" spans="1:13">
      <c r="A4147" s="41">
        <f>IF(C4147="","",SUBTOTAL(103,$C$2:C4147))</f>
        <v>4138</v>
      </c>
      <c r="B4147" s="41">
        <v>2427</v>
      </c>
      <c r="C4147" s="41">
        <v>3932</v>
      </c>
      <c r="D4147" s="41" t="s">
        <v>45</v>
      </c>
      <c r="E4147" s="41" t="s">
        <v>1298</v>
      </c>
      <c r="F4147" s="41" t="s">
        <v>11893</v>
      </c>
      <c r="G4147" s="41" t="s">
        <v>12702</v>
      </c>
      <c r="H4147" s="41" t="s">
        <v>12703</v>
      </c>
      <c r="I4147" s="43">
        <v>12</v>
      </c>
      <c r="J4147" s="44" t="str">
        <f>VLOOKUP(G4147,[1]硬件清单!$F:$F,1,0)</f>
        <v>210305756810HA000642</v>
      </c>
      <c r="K4147" s="43"/>
      <c r="L4147" s="44"/>
      <c r="M4147" s="45" t="s">
        <v>12704</v>
      </c>
    </row>
    <row r="4148" ht="30" customHeight="1" spans="1:13">
      <c r="A4148" s="41">
        <f>IF(C4148="","",SUBTOTAL(103,$C$2:C4148))</f>
        <v>4139</v>
      </c>
      <c r="B4148" s="41">
        <v>2428</v>
      </c>
      <c r="C4148" s="41">
        <v>3933</v>
      </c>
      <c r="D4148" s="41" t="s">
        <v>45</v>
      </c>
      <c r="E4148" s="41" t="s">
        <v>1298</v>
      </c>
      <c r="F4148" s="41" t="s">
        <v>11893</v>
      </c>
      <c r="G4148" s="41" t="s">
        <v>12705</v>
      </c>
      <c r="H4148" s="41" t="s">
        <v>12706</v>
      </c>
      <c r="I4148" s="43">
        <v>12</v>
      </c>
      <c r="J4148" s="44" t="str">
        <f>VLOOKUP(G4148,[1]硬件清单!$F:$F,1,0)</f>
        <v>210305756810HA000640</v>
      </c>
      <c r="K4148" s="43"/>
      <c r="L4148" s="44"/>
      <c r="M4148" s="45" t="s">
        <v>12707</v>
      </c>
    </row>
    <row r="4149" ht="30" customHeight="1" spans="1:13">
      <c r="A4149" s="41">
        <f>IF(C4149="","",SUBTOTAL(103,$C$2:C4149))</f>
        <v>4140</v>
      </c>
      <c r="B4149" s="41">
        <v>2429</v>
      </c>
      <c r="C4149" s="41">
        <v>3934</v>
      </c>
      <c r="D4149" s="41" t="s">
        <v>45</v>
      </c>
      <c r="E4149" s="41" t="s">
        <v>1298</v>
      </c>
      <c r="F4149" s="41" t="s">
        <v>11893</v>
      </c>
      <c r="G4149" s="41" t="s">
        <v>12708</v>
      </c>
      <c r="H4149" s="41" t="s">
        <v>12709</v>
      </c>
      <c r="I4149" s="43">
        <v>12</v>
      </c>
      <c r="J4149" s="44" t="str">
        <f>VLOOKUP(G4149,[1]硬件清单!$F:$F,1,0)</f>
        <v>210305756810HA000646</v>
      </c>
      <c r="K4149" s="43"/>
      <c r="L4149" s="44"/>
      <c r="M4149" s="45" t="s">
        <v>12710</v>
      </c>
    </row>
    <row r="4150" ht="30" customHeight="1" spans="1:13">
      <c r="A4150" s="41">
        <f>IF(C4150="","",SUBTOTAL(103,$C$2:C4150))</f>
        <v>4141</v>
      </c>
      <c r="B4150" s="41">
        <v>2430</v>
      </c>
      <c r="C4150" s="41">
        <v>3935</v>
      </c>
      <c r="D4150" s="41" t="s">
        <v>45</v>
      </c>
      <c r="E4150" s="41" t="s">
        <v>1298</v>
      </c>
      <c r="F4150" s="41" t="s">
        <v>11893</v>
      </c>
      <c r="G4150" s="41" t="s">
        <v>12711</v>
      </c>
      <c r="H4150" s="41" t="s">
        <v>12712</v>
      </c>
      <c r="I4150" s="43">
        <v>12</v>
      </c>
      <c r="J4150" s="44" t="str">
        <f>VLOOKUP(G4150,[1]硬件清单!$F:$F,1,0)</f>
        <v>210305756810HA000285</v>
      </c>
      <c r="K4150" s="43"/>
      <c r="L4150" s="44"/>
      <c r="M4150" s="45" t="s">
        <v>12713</v>
      </c>
    </row>
    <row r="4151" ht="30" customHeight="1" spans="1:13">
      <c r="A4151" s="41">
        <f>IF(C4151="","",SUBTOTAL(103,$C$2:C4151))</f>
        <v>4142</v>
      </c>
      <c r="B4151" s="41">
        <v>2431</v>
      </c>
      <c r="C4151" s="41">
        <v>3936</v>
      </c>
      <c r="D4151" s="41" t="s">
        <v>45</v>
      </c>
      <c r="E4151" s="41" t="s">
        <v>1298</v>
      </c>
      <c r="F4151" s="41" t="s">
        <v>11893</v>
      </c>
      <c r="G4151" s="41" t="s">
        <v>12714</v>
      </c>
      <c r="H4151" s="41" t="s">
        <v>12715</v>
      </c>
      <c r="I4151" s="43">
        <v>12</v>
      </c>
      <c r="J4151" s="44" t="str">
        <f>VLOOKUP(G4151,[1]硬件清单!$F:$F,1,0)</f>
        <v>210305756810HA000618</v>
      </c>
      <c r="K4151" s="43"/>
      <c r="L4151" s="44"/>
      <c r="M4151" s="45" t="s">
        <v>12716</v>
      </c>
    </row>
    <row r="4152" ht="30" customHeight="1" spans="1:13">
      <c r="A4152" s="41">
        <f>IF(C4152="","",SUBTOTAL(103,$C$2:C4152))</f>
        <v>4143</v>
      </c>
      <c r="B4152" s="41">
        <v>2432</v>
      </c>
      <c r="C4152" s="41">
        <v>3922</v>
      </c>
      <c r="D4152" s="41" t="s">
        <v>45</v>
      </c>
      <c r="E4152" s="41" t="s">
        <v>1298</v>
      </c>
      <c r="F4152" s="41" t="s">
        <v>11893</v>
      </c>
      <c r="G4152" s="41" t="s">
        <v>12717</v>
      </c>
      <c r="H4152" s="41" t="s">
        <v>12718</v>
      </c>
      <c r="I4152" s="43">
        <v>12</v>
      </c>
      <c r="J4152" s="44" t="str">
        <f>VLOOKUP(G4152,[1]硬件清单!$F:$F,1,0)</f>
        <v>210305756810HA000609</v>
      </c>
      <c r="K4152" s="43"/>
      <c r="L4152" s="44"/>
      <c r="M4152" s="45" t="s">
        <v>12719</v>
      </c>
    </row>
    <row r="4153" ht="30" customHeight="1" spans="1:13">
      <c r="A4153" s="41">
        <f>IF(C4153="","",SUBTOTAL(103,$C$2:C4153))</f>
        <v>4144</v>
      </c>
      <c r="B4153" s="41">
        <v>2433</v>
      </c>
      <c r="C4153" s="41">
        <v>3923</v>
      </c>
      <c r="D4153" s="41" t="s">
        <v>45</v>
      </c>
      <c r="E4153" s="41" t="s">
        <v>1298</v>
      </c>
      <c r="F4153" s="41" t="s">
        <v>11893</v>
      </c>
      <c r="G4153" s="41" t="s">
        <v>12720</v>
      </c>
      <c r="H4153" s="41" t="s">
        <v>12721</v>
      </c>
      <c r="I4153" s="43">
        <v>12</v>
      </c>
      <c r="J4153" s="44" t="str">
        <f>VLOOKUP(G4153,[1]硬件清单!$F:$F,1,0)</f>
        <v>210305756810HA000170</v>
      </c>
      <c r="K4153" s="43"/>
      <c r="L4153" s="44"/>
      <c r="M4153" s="45" t="s">
        <v>12722</v>
      </c>
    </row>
    <row r="4154" ht="30" customHeight="1" spans="1:13">
      <c r="A4154" s="41">
        <f>IF(C4154="","",SUBTOTAL(103,$C$2:C4154))</f>
        <v>4145</v>
      </c>
      <c r="B4154" s="41">
        <v>2434</v>
      </c>
      <c r="C4154" s="41">
        <v>3924</v>
      </c>
      <c r="D4154" s="41" t="s">
        <v>45</v>
      </c>
      <c r="E4154" s="41" t="s">
        <v>1298</v>
      </c>
      <c r="F4154" s="41" t="s">
        <v>11893</v>
      </c>
      <c r="G4154" s="41" t="s">
        <v>12723</v>
      </c>
      <c r="H4154" s="41" t="s">
        <v>12724</v>
      </c>
      <c r="I4154" s="43">
        <v>12</v>
      </c>
      <c r="J4154" s="44" t="str">
        <f>VLOOKUP(G4154,[1]硬件清单!$F:$F,1,0)</f>
        <v>210305756810HA000638</v>
      </c>
      <c r="K4154" s="43"/>
      <c r="L4154" s="44"/>
      <c r="M4154" s="45" t="s">
        <v>12725</v>
      </c>
    </row>
    <row r="4155" ht="30" customHeight="1" spans="1:13">
      <c r="A4155" s="41">
        <f>IF(C4155="","",SUBTOTAL(103,$C$2:C4155))</f>
        <v>4146</v>
      </c>
      <c r="B4155" s="41">
        <v>2435</v>
      </c>
      <c r="C4155" s="41">
        <v>3925</v>
      </c>
      <c r="D4155" s="41" t="s">
        <v>45</v>
      </c>
      <c r="E4155" s="41" t="s">
        <v>1298</v>
      </c>
      <c r="F4155" s="41" t="s">
        <v>11893</v>
      </c>
      <c r="G4155" s="41" t="s">
        <v>12726</v>
      </c>
      <c r="H4155" s="41" t="s">
        <v>12727</v>
      </c>
      <c r="I4155" s="43">
        <v>12</v>
      </c>
      <c r="J4155" s="44" t="str">
        <f>VLOOKUP(G4155,[1]硬件清单!$F:$F,1,0)</f>
        <v>210305756810HA000647</v>
      </c>
      <c r="K4155" s="43"/>
      <c r="L4155" s="44"/>
      <c r="M4155" s="45" t="s">
        <v>12728</v>
      </c>
    </row>
    <row r="4156" ht="30" customHeight="1" spans="1:13">
      <c r="A4156" s="41">
        <f>IF(C4156="","",SUBTOTAL(103,$C$2:C4156))</f>
        <v>4147</v>
      </c>
      <c r="B4156" s="41">
        <v>2436</v>
      </c>
      <c r="C4156" s="41">
        <v>3926</v>
      </c>
      <c r="D4156" s="41" t="s">
        <v>45</v>
      </c>
      <c r="E4156" s="41" t="s">
        <v>1298</v>
      </c>
      <c r="F4156" s="41" t="s">
        <v>11893</v>
      </c>
      <c r="G4156" s="41" t="s">
        <v>12729</v>
      </c>
      <c r="H4156" s="41" t="s">
        <v>12730</v>
      </c>
      <c r="I4156" s="43">
        <v>12</v>
      </c>
      <c r="J4156" s="44" t="str">
        <f>VLOOKUP(G4156,[1]硬件清单!$F:$F,1,0)</f>
        <v>210305756810HA000190</v>
      </c>
      <c r="K4156" s="43"/>
      <c r="L4156" s="44"/>
      <c r="M4156" s="45" t="s">
        <v>12731</v>
      </c>
    </row>
    <row r="4157" ht="30" customHeight="1" spans="1:13">
      <c r="A4157" s="41">
        <f>IF(C4157="","",SUBTOTAL(103,$C$2:C4157))</f>
        <v>4148</v>
      </c>
      <c r="B4157" s="41">
        <v>2437</v>
      </c>
      <c r="C4157" s="41">
        <v>3927</v>
      </c>
      <c r="D4157" s="41" t="s">
        <v>45</v>
      </c>
      <c r="E4157" s="41" t="s">
        <v>1298</v>
      </c>
      <c r="F4157" s="41" t="s">
        <v>11893</v>
      </c>
      <c r="G4157" s="41" t="s">
        <v>12732</v>
      </c>
      <c r="H4157" s="41" t="s">
        <v>12733</v>
      </c>
      <c r="I4157" s="43">
        <v>12</v>
      </c>
      <c r="J4157" s="44" t="str">
        <f>VLOOKUP(G4157,[1]硬件清单!$F:$F,1,0)</f>
        <v>210305756810HA000155</v>
      </c>
      <c r="K4157" s="43"/>
      <c r="L4157" s="44"/>
      <c r="M4157" s="45" t="s">
        <v>12734</v>
      </c>
    </row>
    <row r="4158" ht="30" customHeight="1" spans="1:13">
      <c r="A4158" s="41">
        <f>IF(C4158="","",SUBTOTAL(103,$C$2:C4158))</f>
        <v>4149</v>
      </c>
      <c r="B4158" s="41">
        <v>2438</v>
      </c>
      <c r="C4158" s="41">
        <v>3928</v>
      </c>
      <c r="D4158" s="41" t="s">
        <v>45</v>
      </c>
      <c r="E4158" s="41" t="s">
        <v>1298</v>
      </c>
      <c r="F4158" s="41" t="s">
        <v>11893</v>
      </c>
      <c r="G4158" s="41" t="s">
        <v>12735</v>
      </c>
      <c r="H4158" s="41" t="s">
        <v>12736</v>
      </c>
      <c r="I4158" s="43">
        <v>12</v>
      </c>
      <c r="J4158" s="44" t="str">
        <f>VLOOKUP(G4158,[1]硬件清单!$F:$F,1,0)</f>
        <v>210305756810HA000653</v>
      </c>
      <c r="K4158" s="43"/>
      <c r="L4158" s="44"/>
      <c r="M4158" s="45" t="s">
        <v>12737</v>
      </c>
    </row>
    <row r="4159" ht="30" customHeight="1" spans="1:13">
      <c r="A4159" s="41">
        <f>IF(C4159="","",SUBTOTAL(103,$C$2:C4159))</f>
        <v>4150</v>
      </c>
      <c r="B4159" s="41">
        <v>2439</v>
      </c>
      <c r="C4159" s="41">
        <v>3929</v>
      </c>
      <c r="D4159" s="41" t="s">
        <v>45</v>
      </c>
      <c r="E4159" s="41" t="s">
        <v>1298</v>
      </c>
      <c r="F4159" s="41" t="s">
        <v>11893</v>
      </c>
      <c r="G4159" s="41" t="s">
        <v>12738</v>
      </c>
      <c r="H4159" s="41" t="s">
        <v>12739</v>
      </c>
      <c r="I4159" s="43">
        <v>12</v>
      </c>
      <c r="J4159" s="44" t="str">
        <f>VLOOKUP(G4159,[1]硬件清单!$F:$F,1,0)</f>
        <v>210305756810HA000288</v>
      </c>
      <c r="K4159" s="43"/>
      <c r="L4159" s="44"/>
      <c r="M4159" s="45" t="s">
        <v>12740</v>
      </c>
    </row>
    <row r="4160" ht="30" customHeight="1" spans="1:13">
      <c r="A4160" s="41">
        <f>IF(C4160="","",SUBTOTAL(103,$C$2:C4160))</f>
        <v>4151</v>
      </c>
      <c r="B4160" s="41">
        <v>2440</v>
      </c>
      <c r="C4160" s="41">
        <v>4009</v>
      </c>
      <c r="D4160" s="41" t="s">
        <v>45</v>
      </c>
      <c r="E4160" s="41" t="s">
        <v>1298</v>
      </c>
      <c r="F4160" s="41" t="s">
        <v>11893</v>
      </c>
      <c r="G4160" s="41" t="s">
        <v>12741</v>
      </c>
      <c r="H4160" s="41" t="s">
        <v>12742</v>
      </c>
      <c r="I4160" s="43">
        <v>12</v>
      </c>
      <c r="J4160" s="44" t="str">
        <f>VLOOKUP(G4160,[1]硬件清单!$F:$F,1,0)</f>
        <v>210305756810HA000201</v>
      </c>
      <c r="K4160" s="43"/>
      <c r="L4160" s="44"/>
      <c r="M4160" s="45" t="s">
        <v>12743</v>
      </c>
    </row>
    <row r="4161" ht="30" customHeight="1" spans="1:13">
      <c r="A4161" s="41">
        <f>IF(C4161="","",SUBTOTAL(103,$C$2:C4161))</f>
        <v>4152</v>
      </c>
      <c r="B4161" s="41">
        <v>2441</v>
      </c>
      <c r="C4161" s="41">
        <v>4018</v>
      </c>
      <c r="D4161" s="41" t="s">
        <v>45</v>
      </c>
      <c r="E4161" s="41" t="s">
        <v>1298</v>
      </c>
      <c r="F4161" s="41" t="s">
        <v>11893</v>
      </c>
      <c r="G4161" s="41" t="s">
        <v>12744</v>
      </c>
      <c r="H4161" s="41" t="s">
        <v>12745</v>
      </c>
      <c r="I4161" s="43">
        <v>12</v>
      </c>
      <c r="J4161" s="44" t="str">
        <f>VLOOKUP(G4161,[1]硬件清单!$F:$F,1,0)</f>
        <v>210305756810HA000660</v>
      </c>
      <c r="K4161" s="43"/>
      <c r="L4161" s="44"/>
      <c r="M4161" s="45" t="s">
        <v>12746</v>
      </c>
    </row>
    <row r="4162" ht="30" customHeight="1" spans="1:13">
      <c r="A4162" s="41">
        <f>IF(C4162="","",SUBTOTAL(103,$C$2:C4162))</f>
        <v>4153</v>
      </c>
      <c r="B4162" s="41">
        <v>2442</v>
      </c>
      <c r="C4162" s="41">
        <v>4019</v>
      </c>
      <c r="D4162" s="41" t="s">
        <v>45</v>
      </c>
      <c r="E4162" s="41" t="s">
        <v>1298</v>
      </c>
      <c r="F4162" s="41" t="s">
        <v>11893</v>
      </c>
      <c r="G4162" s="41" t="s">
        <v>12747</v>
      </c>
      <c r="H4162" s="41" t="s">
        <v>12748</v>
      </c>
      <c r="I4162" s="43">
        <v>12</v>
      </c>
      <c r="J4162" s="44" t="str">
        <f>VLOOKUP(G4162,[1]硬件清单!$F:$F,1,0)</f>
        <v>210305756810HA000634</v>
      </c>
      <c r="K4162" s="43"/>
      <c r="L4162" s="44"/>
      <c r="M4162" s="45" t="s">
        <v>12749</v>
      </c>
    </row>
    <row r="4163" ht="30" customHeight="1" spans="1:13">
      <c r="A4163" s="41">
        <f>IF(C4163="","",SUBTOTAL(103,$C$2:C4163))</f>
        <v>4154</v>
      </c>
      <c r="B4163" s="41">
        <v>2443</v>
      </c>
      <c r="C4163" s="41">
        <v>4020</v>
      </c>
      <c r="D4163" s="41" t="s">
        <v>45</v>
      </c>
      <c r="E4163" s="41" t="s">
        <v>1298</v>
      </c>
      <c r="F4163" s="41" t="s">
        <v>11893</v>
      </c>
      <c r="G4163" s="41" t="s">
        <v>12750</v>
      </c>
      <c r="H4163" s="41" t="s">
        <v>12751</v>
      </c>
      <c r="I4163" s="43">
        <v>12</v>
      </c>
      <c r="J4163" s="44" t="str">
        <f>VLOOKUP(G4163,[1]硬件清单!$F:$F,1,0)</f>
        <v>210305756810HA000411</v>
      </c>
      <c r="K4163" s="43"/>
      <c r="L4163" s="44"/>
      <c r="M4163" s="45" t="s">
        <v>12752</v>
      </c>
    </row>
    <row r="4164" ht="30" customHeight="1" spans="1:13">
      <c r="A4164" s="41">
        <f>IF(C4164="","",SUBTOTAL(103,$C$2:C4164))</f>
        <v>4155</v>
      </c>
      <c r="B4164" s="41">
        <v>2444</v>
      </c>
      <c r="C4164" s="41">
        <v>4021</v>
      </c>
      <c r="D4164" s="41" t="s">
        <v>45</v>
      </c>
      <c r="E4164" s="41" t="s">
        <v>1298</v>
      </c>
      <c r="F4164" s="41" t="s">
        <v>11893</v>
      </c>
      <c r="G4164" s="41" t="s">
        <v>12753</v>
      </c>
      <c r="H4164" s="41" t="s">
        <v>12754</v>
      </c>
      <c r="I4164" s="43">
        <v>12</v>
      </c>
      <c r="J4164" s="44" t="str">
        <f>VLOOKUP(G4164,[1]硬件清单!$F:$F,1,0)</f>
        <v>210305756810HA000390</v>
      </c>
      <c r="K4164" s="43"/>
      <c r="L4164" s="44"/>
      <c r="M4164" s="45" t="s">
        <v>12755</v>
      </c>
    </row>
    <row r="4165" ht="30" customHeight="1" spans="1:13">
      <c r="A4165" s="41">
        <f>IF(C4165="","",SUBTOTAL(103,$C$2:C4165))</f>
        <v>4156</v>
      </c>
      <c r="B4165" s="41">
        <v>2445</v>
      </c>
      <c r="C4165" s="41">
        <v>4022</v>
      </c>
      <c r="D4165" s="41" t="s">
        <v>45</v>
      </c>
      <c r="E4165" s="41" t="s">
        <v>1298</v>
      </c>
      <c r="F4165" s="41" t="s">
        <v>11893</v>
      </c>
      <c r="G4165" s="41" t="s">
        <v>12756</v>
      </c>
      <c r="H4165" s="41" t="s">
        <v>12757</v>
      </c>
      <c r="I4165" s="43">
        <v>12</v>
      </c>
      <c r="J4165" s="44" t="str">
        <f>VLOOKUP(G4165,[1]硬件清单!$F:$F,1,0)</f>
        <v>210305756810HA000178</v>
      </c>
      <c r="K4165" s="43"/>
      <c r="L4165" s="44"/>
      <c r="M4165" s="45" t="s">
        <v>12758</v>
      </c>
    </row>
    <row r="4166" ht="30" customHeight="1" spans="1:13">
      <c r="A4166" s="41">
        <f>IF(C4166="","",SUBTOTAL(103,$C$2:C4166))</f>
        <v>4157</v>
      </c>
      <c r="B4166" s="41">
        <v>2446</v>
      </c>
      <c r="C4166" s="41">
        <v>4023</v>
      </c>
      <c r="D4166" s="41" t="s">
        <v>45</v>
      </c>
      <c r="E4166" s="41" t="s">
        <v>1298</v>
      </c>
      <c r="F4166" s="41" t="s">
        <v>11893</v>
      </c>
      <c r="G4166" s="41" t="s">
        <v>12759</v>
      </c>
      <c r="H4166" s="41" t="s">
        <v>12760</v>
      </c>
      <c r="I4166" s="43">
        <v>12</v>
      </c>
      <c r="J4166" s="44" t="str">
        <f>VLOOKUP(G4166,[1]硬件清单!$F:$F,1,0)</f>
        <v>210305756810HA000497</v>
      </c>
      <c r="K4166" s="43"/>
      <c r="L4166" s="44"/>
      <c r="M4166" s="45" t="s">
        <v>12761</v>
      </c>
    </row>
    <row r="4167" ht="30" customHeight="1" spans="1:13">
      <c r="A4167" s="41">
        <f>IF(C4167="","",SUBTOTAL(103,$C$2:C4167))</f>
        <v>4158</v>
      </c>
      <c r="B4167" s="41">
        <v>2447</v>
      </c>
      <c r="C4167" s="41">
        <v>4024</v>
      </c>
      <c r="D4167" s="41" t="s">
        <v>45</v>
      </c>
      <c r="E4167" s="41" t="s">
        <v>1298</v>
      </c>
      <c r="F4167" s="41" t="s">
        <v>11893</v>
      </c>
      <c r="G4167" s="41" t="s">
        <v>12762</v>
      </c>
      <c r="H4167" s="41" t="s">
        <v>12763</v>
      </c>
      <c r="I4167" s="43">
        <v>12</v>
      </c>
      <c r="J4167" s="44" t="str">
        <f>VLOOKUP(G4167,[1]硬件清单!$F:$F,1,0)</f>
        <v>210305756810HA000659</v>
      </c>
      <c r="K4167" s="43"/>
      <c r="L4167" s="44"/>
      <c r="M4167" s="45" t="s">
        <v>12764</v>
      </c>
    </row>
    <row r="4168" ht="30" customHeight="1" spans="1:13">
      <c r="A4168" s="41">
        <f>IF(C4168="","",SUBTOTAL(103,$C$2:C4168))</f>
        <v>4159</v>
      </c>
      <c r="B4168" s="41">
        <v>2448</v>
      </c>
      <c r="C4168" s="41">
        <v>4010</v>
      </c>
      <c r="D4168" s="41" t="s">
        <v>45</v>
      </c>
      <c r="E4168" s="41" t="s">
        <v>1298</v>
      </c>
      <c r="F4168" s="41" t="s">
        <v>11893</v>
      </c>
      <c r="G4168" s="41" t="s">
        <v>12765</v>
      </c>
      <c r="H4168" s="41" t="s">
        <v>12766</v>
      </c>
      <c r="I4168" s="43">
        <v>12</v>
      </c>
      <c r="J4168" s="44" t="str">
        <f>VLOOKUP(G4168,[1]硬件清单!$F:$F,1,0)</f>
        <v>210305756810HA000229</v>
      </c>
      <c r="K4168" s="43"/>
      <c r="L4168" s="44"/>
      <c r="M4168" s="45" t="s">
        <v>12767</v>
      </c>
    </row>
    <row r="4169" ht="30" customHeight="1" spans="1:13">
      <c r="A4169" s="41">
        <f>IF(C4169="","",SUBTOTAL(103,$C$2:C4169))</f>
        <v>4160</v>
      </c>
      <c r="B4169" s="41">
        <v>2449</v>
      </c>
      <c r="C4169" s="41">
        <v>4011</v>
      </c>
      <c r="D4169" s="41" t="s">
        <v>45</v>
      </c>
      <c r="E4169" s="41" t="s">
        <v>1298</v>
      </c>
      <c r="F4169" s="41" t="s">
        <v>11893</v>
      </c>
      <c r="G4169" s="41" t="s">
        <v>12768</v>
      </c>
      <c r="H4169" s="41" t="s">
        <v>12769</v>
      </c>
      <c r="I4169" s="43">
        <v>12</v>
      </c>
      <c r="J4169" s="44" t="str">
        <f>VLOOKUP(G4169,[1]硬件清单!$F:$F,1,0)</f>
        <v>210305756810HA000494</v>
      </c>
      <c r="K4169" s="43"/>
      <c r="L4169" s="44"/>
      <c r="M4169" s="45" t="s">
        <v>12770</v>
      </c>
    </row>
    <row r="4170" ht="30" customHeight="1" spans="1:13">
      <c r="A4170" s="41">
        <f>IF(C4170="","",SUBTOTAL(103,$C$2:C4170))</f>
        <v>4161</v>
      </c>
      <c r="B4170" s="41">
        <v>2450</v>
      </c>
      <c r="C4170" s="41">
        <v>4012</v>
      </c>
      <c r="D4170" s="41" t="s">
        <v>45</v>
      </c>
      <c r="E4170" s="41" t="s">
        <v>1298</v>
      </c>
      <c r="F4170" s="41" t="s">
        <v>11893</v>
      </c>
      <c r="G4170" s="41" t="s">
        <v>12771</v>
      </c>
      <c r="H4170" s="41" t="s">
        <v>12772</v>
      </c>
      <c r="I4170" s="43">
        <v>12</v>
      </c>
      <c r="J4170" s="44" t="str">
        <f>VLOOKUP(G4170,[1]硬件清单!$F:$F,1,0)</f>
        <v>210305756810HA000501</v>
      </c>
      <c r="K4170" s="43"/>
      <c r="L4170" s="44"/>
      <c r="M4170" s="45" t="s">
        <v>12773</v>
      </c>
    </row>
    <row r="4171" ht="30" customHeight="1" spans="1:13">
      <c r="A4171" s="41">
        <f>IF(C4171="","",SUBTOTAL(103,$C$2:C4171))</f>
        <v>4162</v>
      </c>
      <c r="B4171" s="41">
        <v>2451</v>
      </c>
      <c r="C4171" s="41">
        <v>4013</v>
      </c>
      <c r="D4171" s="41" t="s">
        <v>45</v>
      </c>
      <c r="E4171" s="41" t="s">
        <v>1298</v>
      </c>
      <c r="F4171" s="41" t="s">
        <v>11893</v>
      </c>
      <c r="G4171" s="41" t="s">
        <v>12774</v>
      </c>
      <c r="H4171" s="41" t="s">
        <v>12775</v>
      </c>
      <c r="I4171" s="43">
        <v>12</v>
      </c>
      <c r="J4171" s="44" t="str">
        <f>VLOOKUP(G4171,[1]硬件清单!$F:$F,1,0)</f>
        <v>210305756810HA000378</v>
      </c>
      <c r="K4171" s="43"/>
      <c r="L4171" s="44"/>
      <c r="M4171" s="45" t="s">
        <v>12776</v>
      </c>
    </row>
    <row r="4172" ht="30" customHeight="1" spans="1:13">
      <c r="A4172" s="41">
        <f>IF(C4172="","",SUBTOTAL(103,$C$2:C4172))</f>
        <v>4163</v>
      </c>
      <c r="B4172" s="41">
        <v>2452</v>
      </c>
      <c r="C4172" s="41">
        <v>4014</v>
      </c>
      <c r="D4172" s="41" t="s">
        <v>45</v>
      </c>
      <c r="E4172" s="41" t="s">
        <v>1298</v>
      </c>
      <c r="F4172" s="41" t="s">
        <v>11893</v>
      </c>
      <c r="G4172" s="41" t="s">
        <v>12777</v>
      </c>
      <c r="H4172" s="41" t="s">
        <v>12778</v>
      </c>
      <c r="I4172" s="43">
        <v>12</v>
      </c>
      <c r="J4172" s="44" t="str">
        <f>VLOOKUP(G4172,[1]硬件清单!$F:$F,1,0)</f>
        <v>210305756810HA000614</v>
      </c>
      <c r="K4172" s="43"/>
      <c r="L4172" s="44"/>
      <c r="M4172" s="45" t="s">
        <v>12779</v>
      </c>
    </row>
    <row r="4173" ht="30" customHeight="1" spans="1:13">
      <c r="A4173" s="41">
        <f>IF(C4173="","",SUBTOTAL(103,$C$2:C4173))</f>
        <v>4164</v>
      </c>
      <c r="B4173" s="41">
        <v>2453</v>
      </c>
      <c r="C4173" s="41">
        <v>4015</v>
      </c>
      <c r="D4173" s="41" t="s">
        <v>45</v>
      </c>
      <c r="E4173" s="41" t="s">
        <v>1298</v>
      </c>
      <c r="F4173" s="41" t="s">
        <v>11893</v>
      </c>
      <c r="G4173" s="41" t="s">
        <v>12780</v>
      </c>
      <c r="H4173" s="41" t="s">
        <v>12781</v>
      </c>
      <c r="I4173" s="43">
        <v>12</v>
      </c>
      <c r="J4173" s="44" t="str">
        <f>VLOOKUP(G4173,[1]硬件清单!$F:$F,1,0)</f>
        <v>210305756810HA000654</v>
      </c>
      <c r="K4173" s="43"/>
      <c r="L4173" s="44"/>
      <c r="M4173" s="45" t="s">
        <v>12782</v>
      </c>
    </row>
    <row r="4174" ht="30" customHeight="1" spans="1:13">
      <c r="A4174" s="41">
        <f>IF(C4174="","",SUBTOTAL(103,$C$2:C4174))</f>
        <v>4165</v>
      </c>
      <c r="B4174" s="41">
        <v>2454</v>
      </c>
      <c r="C4174" s="41">
        <v>4016</v>
      </c>
      <c r="D4174" s="41" t="s">
        <v>45</v>
      </c>
      <c r="E4174" s="41" t="s">
        <v>1298</v>
      </c>
      <c r="F4174" s="41" t="s">
        <v>11893</v>
      </c>
      <c r="G4174" s="41" t="s">
        <v>12783</v>
      </c>
      <c r="H4174" s="41" t="s">
        <v>12784</v>
      </c>
      <c r="I4174" s="43">
        <v>12</v>
      </c>
      <c r="J4174" s="44" t="str">
        <f>VLOOKUP(G4174,[1]硬件清单!$F:$F,1,0)</f>
        <v>210305756810HA000636</v>
      </c>
      <c r="K4174" s="43"/>
      <c r="L4174" s="44"/>
      <c r="M4174" s="45" t="s">
        <v>12785</v>
      </c>
    </row>
    <row r="4175" ht="30" customHeight="1" spans="1:13">
      <c r="A4175" s="41">
        <f>IF(C4175="","",SUBTOTAL(103,$C$2:C4175))</f>
        <v>4166</v>
      </c>
      <c r="B4175" s="41">
        <v>2455</v>
      </c>
      <c r="C4175" s="41">
        <v>4017</v>
      </c>
      <c r="D4175" s="41" t="s">
        <v>45</v>
      </c>
      <c r="E4175" s="41" t="s">
        <v>1298</v>
      </c>
      <c r="F4175" s="41" t="s">
        <v>11893</v>
      </c>
      <c r="G4175" s="41" t="s">
        <v>12786</v>
      </c>
      <c r="H4175" s="41" t="s">
        <v>12787</v>
      </c>
      <c r="I4175" s="43">
        <v>12</v>
      </c>
      <c r="J4175" s="44" t="str">
        <f>VLOOKUP(G4175,[1]硬件清单!$F:$F,1,0)</f>
        <v>210305756810HA000212</v>
      </c>
      <c r="K4175" s="43"/>
      <c r="L4175" s="44"/>
      <c r="M4175" s="45" t="s">
        <v>12788</v>
      </c>
    </row>
    <row r="4176" ht="30" customHeight="1" spans="1:13">
      <c r="A4176" s="41">
        <f>IF(C4176="","",SUBTOTAL(103,$C$2:C4176))</f>
        <v>4167</v>
      </c>
      <c r="B4176" s="41">
        <v>2456</v>
      </c>
      <c r="C4176" s="41">
        <v>4027</v>
      </c>
      <c r="D4176" s="41" t="s">
        <v>45</v>
      </c>
      <c r="E4176" s="41" t="s">
        <v>1298</v>
      </c>
      <c r="F4176" s="41" t="s">
        <v>11893</v>
      </c>
      <c r="G4176" s="41" t="s">
        <v>12789</v>
      </c>
      <c r="H4176" s="41" t="s">
        <v>12790</v>
      </c>
      <c r="I4176" s="43">
        <v>12</v>
      </c>
      <c r="J4176" s="44" t="str">
        <f>VLOOKUP(G4176,[1]硬件清单!$F:$F,1,0)</f>
        <v>210305756810HA000396</v>
      </c>
      <c r="K4176" s="43"/>
      <c r="L4176" s="44"/>
      <c r="M4176" s="45" t="s">
        <v>12791</v>
      </c>
    </row>
    <row r="4177" ht="30" customHeight="1" spans="1:13">
      <c r="A4177" s="41">
        <f>IF(C4177="","",SUBTOTAL(103,$C$2:C4177))</f>
        <v>4168</v>
      </c>
      <c r="B4177" s="41">
        <v>2457</v>
      </c>
      <c r="C4177" s="41">
        <v>4036</v>
      </c>
      <c r="D4177" s="41" t="s">
        <v>45</v>
      </c>
      <c r="E4177" s="41" t="s">
        <v>1298</v>
      </c>
      <c r="F4177" s="41" t="s">
        <v>11893</v>
      </c>
      <c r="G4177" s="41" t="s">
        <v>12792</v>
      </c>
      <c r="H4177" s="41" t="s">
        <v>12793</v>
      </c>
      <c r="I4177" s="43">
        <v>12</v>
      </c>
      <c r="J4177" s="44" t="str">
        <f>VLOOKUP(G4177,[1]硬件清单!$F:$F,1,0)</f>
        <v>210305756810HA000367</v>
      </c>
      <c r="K4177" s="43"/>
      <c r="L4177" s="44"/>
      <c r="M4177" s="45" t="s">
        <v>12794</v>
      </c>
    </row>
    <row r="4178" ht="30" customHeight="1" spans="1:13">
      <c r="A4178" s="41">
        <f>IF(C4178="","",SUBTOTAL(103,$C$2:C4178))</f>
        <v>4169</v>
      </c>
      <c r="B4178" s="41">
        <v>2458</v>
      </c>
      <c r="C4178" s="41">
        <v>4037</v>
      </c>
      <c r="D4178" s="41" t="s">
        <v>45</v>
      </c>
      <c r="E4178" s="41" t="s">
        <v>1298</v>
      </c>
      <c r="F4178" s="41" t="s">
        <v>11893</v>
      </c>
      <c r="G4178" s="41" t="s">
        <v>12795</v>
      </c>
      <c r="H4178" s="41" t="s">
        <v>12796</v>
      </c>
      <c r="I4178" s="43">
        <v>12</v>
      </c>
      <c r="J4178" s="44" t="str">
        <f>VLOOKUP(G4178,[1]硬件清单!$F:$F,1,0)</f>
        <v>210305756810HA000394</v>
      </c>
      <c r="K4178" s="43"/>
      <c r="L4178" s="44"/>
      <c r="M4178" s="45" t="s">
        <v>12797</v>
      </c>
    </row>
    <row r="4179" ht="30" customHeight="1" spans="1:13">
      <c r="A4179" s="41">
        <f>IF(C4179="","",SUBTOTAL(103,$C$2:C4179))</f>
        <v>4170</v>
      </c>
      <c r="B4179" s="41">
        <v>2459</v>
      </c>
      <c r="C4179" s="41">
        <v>4038</v>
      </c>
      <c r="D4179" s="41" t="s">
        <v>45</v>
      </c>
      <c r="E4179" s="41" t="s">
        <v>1298</v>
      </c>
      <c r="F4179" s="41" t="s">
        <v>11893</v>
      </c>
      <c r="G4179" s="41" t="s">
        <v>12798</v>
      </c>
      <c r="H4179" s="41" t="s">
        <v>12799</v>
      </c>
      <c r="I4179" s="43">
        <v>12</v>
      </c>
      <c r="J4179" s="44" t="str">
        <f>VLOOKUP(G4179,[1]硬件清单!$F:$F,1,0)</f>
        <v>210305756810HA000364</v>
      </c>
      <c r="K4179" s="43"/>
      <c r="L4179" s="44"/>
      <c r="M4179" s="45" t="s">
        <v>12800</v>
      </c>
    </row>
    <row r="4180" ht="30" customHeight="1" spans="1:13">
      <c r="A4180" s="41">
        <f>IF(C4180="","",SUBTOTAL(103,$C$2:C4180))</f>
        <v>4171</v>
      </c>
      <c r="B4180" s="41">
        <v>2460</v>
      </c>
      <c r="C4180" s="41">
        <v>4039</v>
      </c>
      <c r="D4180" s="41" t="s">
        <v>45</v>
      </c>
      <c r="E4180" s="41" t="s">
        <v>1298</v>
      </c>
      <c r="F4180" s="41" t="s">
        <v>11893</v>
      </c>
      <c r="G4180" s="41" t="s">
        <v>12801</v>
      </c>
      <c r="H4180" s="41" t="s">
        <v>12802</v>
      </c>
      <c r="I4180" s="43">
        <v>12</v>
      </c>
      <c r="J4180" s="44" t="str">
        <f>VLOOKUP(G4180,[1]硬件清单!$F:$F,1,0)</f>
        <v>210305756810HA000369</v>
      </c>
      <c r="K4180" s="43"/>
      <c r="L4180" s="44"/>
      <c r="M4180" s="45" t="s">
        <v>12803</v>
      </c>
    </row>
    <row r="4181" ht="30" customHeight="1" spans="1:13">
      <c r="A4181" s="41">
        <f>IF(C4181="","",SUBTOTAL(103,$C$2:C4181))</f>
        <v>4172</v>
      </c>
      <c r="B4181" s="41">
        <v>2461</v>
      </c>
      <c r="C4181" s="41">
        <v>4040</v>
      </c>
      <c r="D4181" s="41" t="s">
        <v>45</v>
      </c>
      <c r="E4181" s="41" t="s">
        <v>1298</v>
      </c>
      <c r="F4181" s="41" t="s">
        <v>11893</v>
      </c>
      <c r="G4181" s="41" t="s">
        <v>12804</v>
      </c>
      <c r="H4181" s="41" t="s">
        <v>12805</v>
      </c>
      <c r="I4181" s="43">
        <v>12</v>
      </c>
      <c r="J4181" s="44" t="str">
        <f>VLOOKUP(G4181,[1]硬件清单!$F:$F,1,0)</f>
        <v>210305756810HA000366</v>
      </c>
      <c r="K4181" s="43"/>
      <c r="L4181" s="44"/>
      <c r="M4181" s="45" t="s">
        <v>12806</v>
      </c>
    </row>
    <row r="4182" ht="30" customHeight="1" spans="1:13">
      <c r="A4182" s="41">
        <f>IF(C4182="","",SUBTOTAL(103,$C$2:C4182))</f>
        <v>4173</v>
      </c>
      <c r="B4182" s="41">
        <v>2462</v>
      </c>
      <c r="C4182" s="41">
        <v>4041</v>
      </c>
      <c r="D4182" s="41" t="s">
        <v>45</v>
      </c>
      <c r="E4182" s="41" t="s">
        <v>1298</v>
      </c>
      <c r="F4182" s="41" t="s">
        <v>11893</v>
      </c>
      <c r="G4182" s="41" t="s">
        <v>12807</v>
      </c>
      <c r="H4182" s="41" t="s">
        <v>12808</v>
      </c>
      <c r="I4182" s="43">
        <v>12</v>
      </c>
      <c r="J4182" s="44" t="str">
        <f>VLOOKUP(G4182,[1]硬件清单!$F:$F,1,0)</f>
        <v>210305756810HA000357</v>
      </c>
      <c r="K4182" s="43"/>
      <c r="L4182" s="44"/>
      <c r="M4182" s="45" t="s">
        <v>12809</v>
      </c>
    </row>
    <row r="4183" ht="30" customHeight="1" spans="1:13">
      <c r="A4183" s="41">
        <f>IF(C4183="","",SUBTOTAL(103,$C$2:C4183))</f>
        <v>4174</v>
      </c>
      <c r="B4183" s="41">
        <v>2463</v>
      </c>
      <c r="C4183" s="41">
        <v>4042</v>
      </c>
      <c r="D4183" s="41" t="s">
        <v>45</v>
      </c>
      <c r="E4183" s="41" t="s">
        <v>1298</v>
      </c>
      <c r="F4183" s="41" t="s">
        <v>11893</v>
      </c>
      <c r="G4183" s="41" t="s">
        <v>12810</v>
      </c>
      <c r="H4183" s="41" t="s">
        <v>12811</v>
      </c>
      <c r="I4183" s="43">
        <v>12</v>
      </c>
      <c r="J4183" s="44" t="str">
        <f>VLOOKUP(G4183,[1]硬件清单!$F:$F,1,0)</f>
        <v>210305756810HA000624</v>
      </c>
      <c r="K4183" s="43"/>
      <c r="L4183" s="44"/>
      <c r="M4183" s="45" t="s">
        <v>12812</v>
      </c>
    </row>
    <row r="4184" ht="30" customHeight="1" spans="1:13">
      <c r="A4184" s="41">
        <f>IF(C4184="","",SUBTOTAL(103,$C$2:C4184))</f>
        <v>4175</v>
      </c>
      <c r="B4184" s="41">
        <v>2464</v>
      </c>
      <c r="C4184" s="41">
        <v>4028</v>
      </c>
      <c r="D4184" s="41" t="s">
        <v>45</v>
      </c>
      <c r="E4184" s="41" t="s">
        <v>1298</v>
      </c>
      <c r="F4184" s="41" t="s">
        <v>11893</v>
      </c>
      <c r="G4184" s="41" t="s">
        <v>12813</v>
      </c>
      <c r="H4184" s="41" t="s">
        <v>12814</v>
      </c>
      <c r="I4184" s="43">
        <v>12</v>
      </c>
      <c r="J4184" s="44" t="str">
        <f>VLOOKUP(G4184,[1]硬件清单!$F:$F,1,0)</f>
        <v>210305756810HA000204</v>
      </c>
      <c r="K4184" s="43"/>
      <c r="L4184" s="44"/>
      <c r="M4184" s="45" t="s">
        <v>12815</v>
      </c>
    </row>
    <row r="4185" ht="30" customHeight="1" spans="1:13">
      <c r="A4185" s="41">
        <f>IF(C4185="","",SUBTOTAL(103,$C$2:C4185))</f>
        <v>4176</v>
      </c>
      <c r="B4185" s="41">
        <v>2465</v>
      </c>
      <c r="C4185" s="41">
        <v>4029</v>
      </c>
      <c r="D4185" s="41" t="s">
        <v>45</v>
      </c>
      <c r="E4185" s="41" t="s">
        <v>1298</v>
      </c>
      <c r="F4185" s="41" t="s">
        <v>11893</v>
      </c>
      <c r="G4185" s="41" t="s">
        <v>12816</v>
      </c>
      <c r="H4185" s="41" t="s">
        <v>12817</v>
      </c>
      <c r="I4185" s="43">
        <v>12</v>
      </c>
      <c r="J4185" s="44" t="str">
        <f>VLOOKUP(G4185,[1]硬件清单!$F:$F,1,0)</f>
        <v>210305756810HA000368</v>
      </c>
      <c r="K4185" s="43"/>
      <c r="L4185" s="44"/>
      <c r="M4185" s="45" t="s">
        <v>12818</v>
      </c>
    </row>
    <row r="4186" ht="30" customHeight="1" spans="1:13">
      <c r="A4186" s="41">
        <f>IF(C4186="","",SUBTOTAL(103,$C$2:C4186))</f>
        <v>4177</v>
      </c>
      <c r="B4186" s="41">
        <v>2466</v>
      </c>
      <c r="C4186" s="41">
        <v>4030</v>
      </c>
      <c r="D4186" s="41" t="s">
        <v>45</v>
      </c>
      <c r="E4186" s="41" t="s">
        <v>1298</v>
      </c>
      <c r="F4186" s="41" t="s">
        <v>11893</v>
      </c>
      <c r="G4186" s="41" t="s">
        <v>12819</v>
      </c>
      <c r="H4186" s="41" t="s">
        <v>12820</v>
      </c>
      <c r="I4186" s="43">
        <v>12</v>
      </c>
      <c r="J4186" s="44" t="str">
        <f>VLOOKUP(G4186,[1]硬件清单!$F:$F,1,0)</f>
        <v>210305756810HA000361</v>
      </c>
      <c r="K4186" s="43"/>
      <c r="L4186" s="44"/>
      <c r="M4186" s="45" t="s">
        <v>12821</v>
      </c>
    </row>
    <row r="4187" ht="30" customHeight="1" spans="1:13">
      <c r="A4187" s="41">
        <f>IF(C4187="","",SUBTOTAL(103,$C$2:C4187))</f>
        <v>4178</v>
      </c>
      <c r="B4187" s="41">
        <v>2467</v>
      </c>
      <c r="C4187" s="41">
        <v>4031</v>
      </c>
      <c r="D4187" s="41" t="s">
        <v>45</v>
      </c>
      <c r="E4187" s="41" t="s">
        <v>1298</v>
      </c>
      <c r="F4187" s="41" t="s">
        <v>11893</v>
      </c>
      <c r="G4187" s="41" t="s">
        <v>12822</v>
      </c>
      <c r="H4187" s="41" t="s">
        <v>12823</v>
      </c>
      <c r="I4187" s="43">
        <v>12</v>
      </c>
      <c r="J4187" s="44" t="str">
        <f>VLOOKUP(G4187,[1]硬件清单!$F:$F,1,0)</f>
        <v>210305756810HA000489</v>
      </c>
      <c r="K4187" s="43"/>
      <c r="L4187" s="44"/>
      <c r="M4187" s="45" t="s">
        <v>12824</v>
      </c>
    </row>
    <row r="4188" ht="30" customHeight="1" spans="1:13">
      <c r="A4188" s="41">
        <f>IF(C4188="","",SUBTOTAL(103,$C$2:C4188))</f>
        <v>4179</v>
      </c>
      <c r="B4188" s="41">
        <v>2468</v>
      </c>
      <c r="C4188" s="41">
        <v>4032</v>
      </c>
      <c r="D4188" s="41" t="s">
        <v>45</v>
      </c>
      <c r="E4188" s="41" t="s">
        <v>1298</v>
      </c>
      <c r="F4188" s="41" t="s">
        <v>11893</v>
      </c>
      <c r="G4188" s="41" t="s">
        <v>12825</v>
      </c>
      <c r="H4188" s="41" t="s">
        <v>12826</v>
      </c>
      <c r="I4188" s="43">
        <v>12</v>
      </c>
      <c r="J4188" s="44" t="str">
        <f>VLOOKUP(G4188,[1]硬件清单!$F:$F,1,0)</f>
        <v>210305756810HA000199</v>
      </c>
      <c r="K4188" s="43"/>
      <c r="L4188" s="44"/>
      <c r="M4188" s="45" t="s">
        <v>12827</v>
      </c>
    </row>
    <row r="4189" ht="30" customHeight="1" spans="1:13">
      <c r="A4189" s="41">
        <f>IF(C4189="","",SUBTOTAL(103,$C$2:C4189))</f>
        <v>4180</v>
      </c>
      <c r="B4189" s="41">
        <v>2469</v>
      </c>
      <c r="C4189" s="41">
        <v>4033</v>
      </c>
      <c r="D4189" s="41" t="s">
        <v>45</v>
      </c>
      <c r="E4189" s="41" t="s">
        <v>1298</v>
      </c>
      <c r="F4189" s="41" t="s">
        <v>11893</v>
      </c>
      <c r="G4189" s="41" t="s">
        <v>12828</v>
      </c>
      <c r="H4189" s="41" t="s">
        <v>12829</v>
      </c>
      <c r="I4189" s="43">
        <v>12</v>
      </c>
      <c r="J4189" s="44" t="str">
        <f>VLOOKUP(G4189,[1]硬件清单!$F:$F,1,0)</f>
        <v>210305756810HA000375</v>
      </c>
      <c r="K4189" s="43"/>
      <c r="L4189" s="44"/>
      <c r="M4189" s="45" t="s">
        <v>12830</v>
      </c>
    </row>
    <row r="4190" ht="30" customHeight="1" spans="1:13">
      <c r="A4190" s="41">
        <f>IF(C4190="","",SUBTOTAL(103,$C$2:C4190))</f>
        <v>4181</v>
      </c>
      <c r="B4190" s="41">
        <v>2470</v>
      </c>
      <c r="C4190" s="41">
        <v>4034</v>
      </c>
      <c r="D4190" s="41" t="s">
        <v>45</v>
      </c>
      <c r="E4190" s="41" t="s">
        <v>1298</v>
      </c>
      <c r="F4190" s="41" t="s">
        <v>11893</v>
      </c>
      <c r="G4190" s="41" t="s">
        <v>12831</v>
      </c>
      <c r="H4190" s="41" t="s">
        <v>12832</v>
      </c>
      <c r="I4190" s="43">
        <v>12</v>
      </c>
      <c r="J4190" s="44" t="str">
        <f>VLOOKUP(G4190,[1]硬件清单!$F:$F,1,0)</f>
        <v>210305756810HA000597</v>
      </c>
      <c r="K4190" s="43"/>
      <c r="L4190" s="44"/>
      <c r="M4190" s="45" t="s">
        <v>12833</v>
      </c>
    </row>
    <row r="4191" ht="30" customHeight="1" spans="1:13">
      <c r="A4191" s="41">
        <f>IF(C4191="","",SUBTOTAL(103,$C$2:C4191))</f>
        <v>4182</v>
      </c>
      <c r="B4191" s="41">
        <v>2471</v>
      </c>
      <c r="C4191" s="41">
        <v>4035</v>
      </c>
      <c r="D4191" s="41" t="s">
        <v>45</v>
      </c>
      <c r="E4191" s="41" t="s">
        <v>1298</v>
      </c>
      <c r="F4191" s="41" t="s">
        <v>11893</v>
      </c>
      <c r="G4191" s="41" t="s">
        <v>12834</v>
      </c>
      <c r="H4191" s="41" t="s">
        <v>12835</v>
      </c>
      <c r="I4191" s="43">
        <v>12</v>
      </c>
      <c r="J4191" s="44" t="str">
        <f>VLOOKUP(G4191,[1]硬件清单!$F:$F,1,0)</f>
        <v>210305756810HA000372</v>
      </c>
      <c r="K4191" s="43"/>
      <c r="L4191" s="44"/>
      <c r="M4191" s="45" t="s">
        <v>12836</v>
      </c>
    </row>
    <row r="4192" ht="30" customHeight="1" spans="1:13">
      <c r="A4192" s="41">
        <f>IF(C4192="","",SUBTOTAL(103,$C$2:C4192))</f>
        <v>4183</v>
      </c>
      <c r="B4192" s="41">
        <v>2472</v>
      </c>
      <c r="C4192" s="41">
        <v>4053</v>
      </c>
      <c r="D4192" s="41" t="s">
        <v>45</v>
      </c>
      <c r="E4192" s="41" t="s">
        <v>1298</v>
      </c>
      <c r="F4192" s="41" t="s">
        <v>11893</v>
      </c>
      <c r="G4192" s="41" t="s">
        <v>12837</v>
      </c>
      <c r="H4192" s="41" t="s">
        <v>12838</v>
      </c>
      <c r="I4192" s="43">
        <v>12</v>
      </c>
      <c r="J4192" s="44" t="str">
        <f>VLOOKUP(G4192,[1]硬件清单!$F:$F,1,0)</f>
        <v>210305756810HA000472</v>
      </c>
      <c r="K4192" s="43"/>
      <c r="L4192" s="44"/>
      <c r="M4192" s="45" t="s">
        <v>12839</v>
      </c>
    </row>
    <row r="4193" ht="30" customHeight="1" spans="1:13">
      <c r="A4193" s="41">
        <f>IF(C4193="","",SUBTOTAL(103,$C$2:C4193))</f>
        <v>4184</v>
      </c>
      <c r="B4193" s="41">
        <v>2473</v>
      </c>
      <c r="C4193" s="41">
        <v>4062</v>
      </c>
      <c r="D4193" s="41" t="s">
        <v>45</v>
      </c>
      <c r="E4193" s="41" t="s">
        <v>1298</v>
      </c>
      <c r="F4193" s="41" t="s">
        <v>11893</v>
      </c>
      <c r="G4193" s="41" t="s">
        <v>12840</v>
      </c>
      <c r="H4193" s="41" t="s">
        <v>12841</v>
      </c>
      <c r="I4193" s="43">
        <v>12</v>
      </c>
      <c r="J4193" s="44" t="str">
        <f>VLOOKUP(G4193,[1]硬件清单!$F:$F,1,0)</f>
        <v>210305756810HA000291</v>
      </c>
      <c r="K4193" s="43"/>
      <c r="L4193" s="44"/>
      <c r="M4193" s="45" t="s">
        <v>12842</v>
      </c>
    </row>
    <row r="4194" ht="30" customHeight="1" spans="1:13">
      <c r="A4194" s="41">
        <f>IF(C4194="","",SUBTOTAL(103,$C$2:C4194))</f>
        <v>4185</v>
      </c>
      <c r="B4194" s="41">
        <v>2474</v>
      </c>
      <c r="C4194" s="41">
        <v>4063</v>
      </c>
      <c r="D4194" s="41" t="s">
        <v>45</v>
      </c>
      <c r="E4194" s="41" t="s">
        <v>1298</v>
      </c>
      <c r="F4194" s="41" t="s">
        <v>11893</v>
      </c>
      <c r="G4194" s="41" t="s">
        <v>12843</v>
      </c>
      <c r="H4194" s="41" t="s">
        <v>12844</v>
      </c>
      <c r="I4194" s="43">
        <v>12</v>
      </c>
      <c r="J4194" s="44" t="str">
        <f>VLOOKUP(G4194,[1]硬件清单!$F:$F,1,0)</f>
        <v>210305756810HA000151</v>
      </c>
      <c r="K4194" s="43"/>
      <c r="L4194" s="44"/>
      <c r="M4194" s="45" t="s">
        <v>12845</v>
      </c>
    </row>
    <row r="4195" ht="30" customHeight="1" spans="1:13">
      <c r="A4195" s="41">
        <f>IF(C4195="","",SUBTOTAL(103,$C$2:C4195))</f>
        <v>4186</v>
      </c>
      <c r="B4195" s="41">
        <v>2475</v>
      </c>
      <c r="C4195" s="41">
        <v>4064</v>
      </c>
      <c r="D4195" s="41" t="s">
        <v>45</v>
      </c>
      <c r="E4195" s="41" t="s">
        <v>1298</v>
      </c>
      <c r="F4195" s="41" t="s">
        <v>11893</v>
      </c>
      <c r="G4195" s="41" t="s">
        <v>12846</v>
      </c>
      <c r="H4195" s="41" t="s">
        <v>12847</v>
      </c>
      <c r="I4195" s="43">
        <v>12</v>
      </c>
      <c r="J4195" s="44" t="str">
        <f>VLOOKUP(G4195,[1]硬件清单!$F:$F,1,0)</f>
        <v>210305756810HA000670</v>
      </c>
      <c r="K4195" s="43"/>
      <c r="L4195" s="44"/>
      <c r="M4195" s="45" t="s">
        <v>12848</v>
      </c>
    </row>
    <row r="4196" ht="30" customHeight="1" spans="1:13">
      <c r="A4196" s="41">
        <f>IF(C4196="","",SUBTOTAL(103,$C$2:C4196))</f>
        <v>4187</v>
      </c>
      <c r="B4196" s="41">
        <v>2476</v>
      </c>
      <c r="C4196" s="41">
        <v>4085</v>
      </c>
      <c r="D4196" s="41" t="s">
        <v>45</v>
      </c>
      <c r="E4196" s="41" t="s">
        <v>1298</v>
      </c>
      <c r="F4196" s="41" t="s">
        <v>11893</v>
      </c>
      <c r="G4196" s="41" t="s">
        <v>12849</v>
      </c>
      <c r="H4196" s="41" t="s">
        <v>12850</v>
      </c>
      <c r="I4196" s="43">
        <v>12</v>
      </c>
      <c r="J4196" s="44" t="str">
        <f>VLOOKUP(G4196,[1]硬件清单!$F:$F,1,0)</f>
        <v>210305756810HA000363</v>
      </c>
      <c r="K4196" s="43"/>
      <c r="L4196" s="44"/>
      <c r="M4196" s="45" t="s">
        <v>12851</v>
      </c>
    </row>
    <row r="4197" ht="30" customHeight="1" spans="1:13">
      <c r="A4197" s="41">
        <f>IF(C4197="","",SUBTOTAL(103,$C$2:C4197))</f>
        <v>4188</v>
      </c>
      <c r="B4197" s="41">
        <v>2477</v>
      </c>
      <c r="C4197" s="41">
        <v>4086</v>
      </c>
      <c r="D4197" s="41" t="s">
        <v>45</v>
      </c>
      <c r="E4197" s="41" t="s">
        <v>1298</v>
      </c>
      <c r="F4197" s="41" t="s">
        <v>11893</v>
      </c>
      <c r="G4197" s="41" t="s">
        <v>12852</v>
      </c>
      <c r="H4197" s="41" t="s">
        <v>12853</v>
      </c>
      <c r="I4197" s="43">
        <v>12</v>
      </c>
      <c r="J4197" s="44" t="str">
        <f>VLOOKUP(G4197,[1]硬件清单!$F:$F,1,0)</f>
        <v>210305756810HA000206</v>
      </c>
      <c r="K4197" s="43"/>
      <c r="L4197" s="44"/>
      <c r="M4197" s="45" t="s">
        <v>12854</v>
      </c>
    </row>
    <row r="4198" ht="30" customHeight="1" spans="1:13">
      <c r="A4198" s="41">
        <f>IF(C4198="","",SUBTOTAL(103,$C$2:C4198))</f>
        <v>4189</v>
      </c>
      <c r="B4198" s="41">
        <v>2478</v>
      </c>
      <c r="C4198" s="41">
        <v>4087</v>
      </c>
      <c r="D4198" s="41" t="s">
        <v>45</v>
      </c>
      <c r="E4198" s="41" t="s">
        <v>1298</v>
      </c>
      <c r="F4198" s="41" t="s">
        <v>11893</v>
      </c>
      <c r="G4198" s="41" t="s">
        <v>12855</v>
      </c>
      <c r="H4198" s="41" t="s">
        <v>12856</v>
      </c>
      <c r="I4198" s="43">
        <v>12</v>
      </c>
      <c r="J4198" s="44" t="str">
        <f>VLOOKUP(G4198,[1]硬件清单!$F:$F,1,0)</f>
        <v>210305756810HA000359</v>
      </c>
      <c r="K4198" s="43"/>
      <c r="L4198" s="44"/>
      <c r="M4198" s="45" t="s">
        <v>12857</v>
      </c>
    </row>
    <row r="4199" ht="30" customHeight="1" spans="1:13">
      <c r="A4199" s="41">
        <f>IF(C4199="","",SUBTOTAL(103,$C$2:C4199))</f>
        <v>4190</v>
      </c>
      <c r="B4199" s="41">
        <v>2479</v>
      </c>
      <c r="C4199" s="41">
        <v>4088</v>
      </c>
      <c r="D4199" s="41" t="s">
        <v>45</v>
      </c>
      <c r="E4199" s="41" t="s">
        <v>1298</v>
      </c>
      <c r="F4199" s="41" t="s">
        <v>11893</v>
      </c>
      <c r="G4199" s="41" t="s">
        <v>12858</v>
      </c>
      <c r="H4199" s="41" t="s">
        <v>12859</v>
      </c>
      <c r="I4199" s="43">
        <v>12</v>
      </c>
      <c r="J4199" s="44" t="str">
        <f>VLOOKUP(G4199,[1]硬件清单!$F:$F,1,0)</f>
        <v>210305756810HA000176</v>
      </c>
      <c r="K4199" s="43"/>
      <c r="L4199" s="44"/>
      <c r="M4199" s="45" t="s">
        <v>12860</v>
      </c>
    </row>
    <row r="4200" ht="30" customHeight="1" spans="1:13">
      <c r="A4200" s="41">
        <f>IF(C4200="","",SUBTOTAL(103,$C$2:C4200))</f>
        <v>4191</v>
      </c>
      <c r="B4200" s="41">
        <v>2480</v>
      </c>
      <c r="C4200" s="41">
        <v>4054</v>
      </c>
      <c r="D4200" s="41" t="s">
        <v>45</v>
      </c>
      <c r="E4200" s="41" t="s">
        <v>1298</v>
      </c>
      <c r="F4200" s="41" t="s">
        <v>11893</v>
      </c>
      <c r="G4200" s="41" t="s">
        <v>12861</v>
      </c>
      <c r="H4200" s="41" t="s">
        <v>12862</v>
      </c>
      <c r="I4200" s="43">
        <v>12</v>
      </c>
      <c r="J4200" s="44" t="str">
        <f>VLOOKUP(G4200,[1]硬件清单!$F:$F,1,0)</f>
        <v>210305756810HA000408</v>
      </c>
      <c r="K4200" s="43"/>
      <c r="L4200" s="44"/>
      <c r="M4200" s="45" t="s">
        <v>12863</v>
      </c>
    </row>
    <row r="4201" ht="30" customHeight="1" spans="1:13">
      <c r="A4201" s="41">
        <f>IF(C4201="","",SUBTOTAL(103,$C$2:C4201))</f>
        <v>4192</v>
      </c>
      <c r="B4201" s="41">
        <v>2481</v>
      </c>
      <c r="C4201" s="41">
        <v>4055</v>
      </c>
      <c r="D4201" s="41" t="s">
        <v>45</v>
      </c>
      <c r="E4201" s="41" t="s">
        <v>1298</v>
      </c>
      <c r="F4201" s="41" t="s">
        <v>11893</v>
      </c>
      <c r="G4201" s="41" t="s">
        <v>12864</v>
      </c>
      <c r="H4201" s="41" t="s">
        <v>12865</v>
      </c>
      <c r="I4201" s="43">
        <v>12</v>
      </c>
      <c r="J4201" s="44" t="str">
        <f>VLOOKUP(G4201,[1]硬件清单!$F:$F,1,0)</f>
        <v>210305756810HA000655</v>
      </c>
      <c r="K4201" s="43"/>
      <c r="L4201" s="44"/>
      <c r="M4201" s="45" t="s">
        <v>12866</v>
      </c>
    </row>
    <row r="4202" ht="30" customHeight="1" spans="1:13">
      <c r="A4202" s="41">
        <f>IF(C4202="","",SUBTOTAL(103,$C$2:C4202))</f>
        <v>4193</v>
      </c>
      <c r="B4202" s="41">
        <v>2482</v>
      </c>
      <c r="C4202" s="41">
        <v>4056</v>
      </c>
      <c r="D4202" s="41" t="s">
        <v>45</v>
      </c>
      <c r="E4202" s="41" t="s">
        <v>1298</v>
      </c>
      <c r="F4202" s="41" t="s">
        <v>11893</v>
      </c>
      <c r="G4202" s="41" t="s">
        <v>12867</v>
      </c>
      <c r="H4202" s="41" t="s">
        <v>12868</v>
      </c>
      <c r="I4202" s="43">
        <v>12</v>
      </c>
      <c r="J4202" s="44" t="str">
        <f>VLOOKUP(G4202,[1]硬件清单!$F:$F,1,0)</f>
        <v>210305756810HA000384</v>
      </c>
      <c r="K4202" s="43"/>
      <c r="L4202" s="44"/>
      <c r="M4202" s="45" t="s">
        <v>12869</v>
      </c>
    </row>
    <row r="4203" ht="30" customHeight="1" spans="1:13">
      <c r="A4203" s="41">
        <f>IF(C4203="","",SUBTOTAL(103,$C$2:C4203))</f>
        <v>4194</v>
      </c>
      <c r="B4203" s="41">
        <v>2483</v>
      </c>
      <c r="C4203" s="41">
        <v>4057</v>
      </c>
      <c r="D4203" s="41" t="s">
        <v>45</v>
      </c>
      <c r="E4203" s="41" t="s">
        <v>1298</v>
      </c>
      <c r="F4203" s="41" t="s">
        <v>11893</v>
      </c>
      <c r="G4203" s="41" t="s">
        <v>12870</v>
      </c>
      <c r="H4203" s="41" t="s">
        <v>12871</v>
      </c>
      <c r="I4203" s="43">
        <v>12</v>
      </c>
      <c r="J4203" s="44" t="str">
        <f>VLOOKUP(G4203,[1]硬件清单!$F:$F,1,0)</f>
        <v>210305756810HA000499</v>
      </c>
      <c r="K4203" s="43"/>
      <c r="L4203" s="44"/>
      <c r="M4203" s="45" t="s">
        <v>12872</v>
      </c>
    </row>
    <row r="4204" ht="30" customHeight="1" spans="1:13">
      <c r="A4204" s="41">
        <f>IF(C4204="","",SUBTOTAL(103,$C$2:C4204))</f>
        <v>4195</v>
      </c>
      <c r="B4204" s="41">
        <v>2484</v>
      </c>
      <c r="C4204" s="41">
        <v>4058</v>
      </c>
      <c r="D4204" s="41" t="s">
        <v>45</v>
      </c>
      <c r="E4204" s="41" t="s">
        <v>1298</v>
      </c>
      <c r="F4204" s="41" t="s">
        <v>11893</v>
      </c>
      <c r="G4204" s="41" t="s">
        <v>12873</v>
      </c>
      <c r="H4204" s="41" t="s">
        <v>12874</v>
      </c>
      <c r="I4204" s="43">
        <v>12</v>
      </c>
      <c r="J4204" s="44" t="str">
        <f>VLOOKUP(G4204,[1]硬件清单!$F:$F,1,0)</f>
        <v>210305756810HA000644</v>
      </c>
      <c r="K4204" s="43"/>
      <c r="L4204" s="44"/>
      <c r="M4204" s="45" t="s">
        <v>12875</v>
      </c>
    </row>
    <row r="4205" ht="30" customHeight="1" spans="1:13">
      <c r="A4205" s="41">
        <f>IF(C4205="","",SUBTOTAL(103,$C$2:C4205))</f>
        <v>4196</v>
      </c>
      <c r="B4205" s="41">
        <v>2485</v>
      </c>
      <c r="C4205" s="41">
        <v>4059</v>
      </c>
      <c r="D4205" s="41" t="s">
        <v>45</v>
      </c>
      <c r="E4205" s="41" t="s">
        <v>1298</v>
      </c>
      <c r="F4205" s="41" t="s">
        <v>11893</v>
      </c>
      <c r="G4205" s="41" t="s">
        <v>12876</v>
      </c>
      <c r="H4205" s="41" t="s">
        <v>12877</v>
      </c>
      <c r="I4205" s="43">
        <v>12</v>
      </c>
      <c r="J4205" s="44" t="str">
        <f>VLOOKUP(G4205,[1]硬件清单!$F:$F,1,0)</f>
        <v>210305756810HA000373</v>
      </c>
      <c r="K4205" s="43"/>
      <c r="L4205" s="44"/>
      <c r="M4205" s="45" t="s">
        <v>12878</v>
      </c>
    </row>
    <row r="4206" ht="30" customHeight="1" spans="1:13">
      <c r="A4206" s="41">
        <f>IF(C4206="","",SUBTOTAL(103,$C$2:C4206))</f>
        <v>4197</v>
      </c>
      <c r="B4206" s="41">
        <v>2486</v>
      </c>
      <c r="C4206" s="41">
        <v>4060</v>
      </c>
      <c r="D4206" s="41" t="s">
        <v>45</v>
      </c>
      <c r="E4206" s="41" t="s">
        <v>1298</v>
      </c>
      <c r="F4206" s="41" t="s">
        <v>11893</v>
      </c>
      <c r="G4206" s="41" t="s">
        <v>12879</v>
      </c>
      <c r="H4206" s="41" t="s">
        <v>12880</v>
      </c>
      <c r="I4206" s="43">
        <v>12</v>
      </c>
      <c r="J4206" s="44" t="str">
        <f>VLOOKUP(G4206,[1]硬件清单!$F:$F,1,0)</f>
        <v>210305756810HA000358</v>
      </c>
      <c r="K4206" s="43"/>
      <c r="L4206" s="44"/>
      <c r="M4206" s="45" t="s">
        <v>12881</v>
      </c>
    </row>
    <row r="4207" ht="30" customHeight="1" spans="1:13">
      <c r="A4207" s="41">
        <f>IF(C4207="","",SUBTOTAL(103,$C$2:C4207))</f>
        <v>4198</v>
      </c>
      <c r="B4207" s="41">
        <v>2487</v>
      </c>
      <c r="C4207" s="41">
        <v>4061</v>
      </c>
      <c r="D4207" s="41" t="s">
        <v>45</v>
      </c>
      <c r="E4207" s="41" t="s">
        <v>1298</v>
      </c>
      <c r="F4207" s="41" t="s">
        <v>11893</v>
      </c>
      <c r="G4207" s="41" t="s">
        <v>12882</v>
      </c>
      <c r="H4207" s="41" t="s">
        <v>12883</v>
      </c>
      <c r="I4207" s="43">
        <v>12</v>
      </c>
      <c r="J4207" s="44" t="str">
        <f>VLOOKUP(G4207,[1]硬件清单!$F:$F,1,0)</f>
        <v>210305756810HA000466</v>
      </c>
      <c r="K4207" s="43"/>
      <c r="L4207" s="44"/>
      <c r="M4207" s="45" t="s">
        <v>12884</v>
      </c>
    </row>
    <row r="4208" ht="30" customHeight="1" spans="1:13">
      <c r="A4208" s="41">
        <f>IF(C4208="","",SUBTOTAL(103,$C$2:C4208))</f>
        <v>4199</v>
      </c>
      <c r="B4208" s="41">
        <v>2488</v>
      </c>
      <c r="C4208" s="41">
        <v>4091</v>
      </c>
      <c r="D4208" s="41" t="s">
        <v>45</v>
      </c>
      <c r="E4208" s="41" t="s">
        <v>1298</v>
      </c>
      <c r="F4208" s="41" t="s">
        <v>11893</v>
      </c>
      <c r="G4208" s="41" t="s">
        <v>12885</v>
      </c>
      <c r="H4208" s="41" t="s">
        <v>12886</v>
      </c>
      <c r="I4208" s="43">
        <v>12</v>
      </c>
      <c r="J4208" s="44" t="str">
        <f>VLOOKUP(G4208,[1]硬件清单!$F:$F,1,0)</f>
        <v>210305756810HA000479</v>
      </c>
      <c r="K4208" s="43"/>
      <c r="L4208" s="44"/>
      <c r="M4208" s="45" t="s">
        <v>12887</v>
      </c>
    </row>
    <row r="4209" ht="30" customHeight="1" spans="1:13">
      <c r="A4209" s="41">
        <f>IF(C4209="","",SUBTOTAL(103,$C$2:C4209))</f>
        <v>4200</v>
      </c>
      <c r="B4209" s="41">
        <v>2489</v>
      </c>
      <c r="C4209" s="41">
        <v>4520</v>
      </c>
      <c r="D4209" s="41" t="s">
        <v>45</v>
      </c>
      <c r="E4209" s="41" t="s">
        <v>1298</v>
      </c>
      <c r="F4209" s="41" t="s">
        <v>6065</v>
      </c>
      <c r="G4209" s="41" t="s">
        <v>12888</v>
      </c>
      <c r="H4209" s="41" t="s">
        <v>12889</v>
      </c>
      <c r="I4209" s="43">
        <v>12</v>
      </c>
      <c r="J4209" s="44" t="str">
        <f>VLOOKUP(G4209,[1]硬件清单!$F:$F,1,0)</f>
        <v>210305756810HA000451</v>
      </c>
      <c r="K4209" s="43"/>
      <c r="L4209" s="44"/>
      <c r="M4209" s="45" t="s">
        <v>12890</v>
      </c>
    </row>
    <row r="4210" ht="30" customHeight="1" spans="1:13">
      <c r="A4210" s="41">
        <f>IF(C4210="","",SUBTOTAL(103,$C$2:C4210))</f>
        <v>4201</v>
      </c>
      <c r="B4210" s="41">
        <v>2490</v>
      </c>
      <c r="C4210" s="41">
        <v>4521</v>
      </c>
      <c r="D4210" s="41" t="s">
        <v>45</v>
      </c>
      <c r="E4210" s="41" t="s">
        <v>1298</v>
      </c>
      <c r="F4210" s="41" t="s">
        <v>6065</v>
      </c>
      <c r="G4210" s="41" t="s">
        <v>12891</v>
      </c>
      <c r="H4210" s="41" t="s">
        <v>12892</v>
      </c>
      <c r="I4210" s="43">
        <v>12</v>
      </c>
      <c r="J4210" s="44" t="str">
        <f>VLOOKUP(G4210,[1]硬件清单!$F:$F,1,0)</f>
        <v>210305756810HA000486</v>
      </c>
      <c r="K4210" s="43"/>
      <c r="L4210" s="44"/>
      <c r="M4210" s="45" t="s">
        <v>12893</v>
      </c>
    </row>
    <row r="4211" ht="30" customHeight="1" spans="1:13">
      <c r="A4211" s="41">
        <f>IF(C4211="","",SUBTOTAL(103,$C$2:C4211))</f>
        <v>4202</v>
      </c>
      <c r="B4211" s="41">
        <v>2491</v>
      </c>
      <c r="C4211" s="41">
        <v>4522</v>
      </c>
      <c r="D4211" s="41" t="s">
        <v>45</v>
      </c>
      <c r="E4211" s="41" t="s">
        <v>1298</v>
      </c>
      <c r="F4211" s="41" t="s">
        <v>6065</v>
      </c>
      <c r="G4211" s="41" t="s">
        <v>12894</v>
      </c>
      <c r="H4211" s="41" t="s">
        <v>12895</v>
      </c>
      <c r="I4211" s="43">
        <v>12</v>
      </c>
      <c r="J4211" s="44" t="str">
        <f>VLOOKUP(G4211,[1]硬件清单!$F:$F,1,0)</f>
        <v>210305756810HA000612</v>
      </c>
      <c r="K4211" s="43"/>
      <c r="L4211" s="44"/>
      <c r="M4211" s="45" t="s">
        <v>12896</v>
      </c>
    </row>
    <row r="4212" ht="30" customHeight="1" spans="1:13">
      <c r="A4212" s="41">
        <f>IF(C4212="","",SUBTOTAL(103,$C$2:C4212))</f>
        <v>4203</v>
      </c>
      <c r="B4212" s="41">
        <v>2492</v>
      </c>
      <c r="C4212" s="41">
        <v>4523</v>
      </c>
      <c r="D4212" s="41" t="s">
        <v>45</v>
      </c>
      <c r="E4212" s="41" t="s">
        <v>1298</v>
      </c>
      <c r="F4212" s="41" t="s">
        <v>6065</v>
      </c>
      <c r="G4212" s="41" t="s">
        <v>12897</v>
      </c>
      <c r="H4212" s="41" t="s">
        <v>12898</v>
      </c>
      <c r="I4212" s="43">
        <v>12</v>
      </c>
      <c r="J4212" s="44" t="str">
        <f>VLOOKUP(G4212,[1]硬件清单!$F:$F,1,0)</f>
        <v>210305756810HA000488</v>
      </c>
      <c r="K4212" s="43"/>
      <c r="L4212" s="44"/>
      <c r="M4212" s="45" t="s">
        <v>12899</v>
      </c>
    </row>
    <row r="4213" ht="30" customHeight="1" spans="1:13">
      <c r="A4213" s="41">
        <f>IF(C4213="","",SUBTOTAL(103,$C$2:C4213))</f>
        <v>4204</v>
      </c>
      <c r="B4213" s="41">
        <v>2493</v>
      </c>
      <c r="C4213" s="41">
        <v>5095</v>
      </c>
      <c r="D4213" s="41" t="s">
        <v>45</v>
      </c>
      <c r="E4213" s="41" t="s">
        <v>1298</v>
      </c>
      <c r="F4213" s="41" t="s">
        <v>11893</v>
      </c>
      <c r="G4213" s="41" t="s">
        <v>12900</v>
      </c>
      <c r="H4213" s="41" t="s">
        <v>12901</v>
      </c>
      <c r="I4213" s="43">
        <v>12</v>
      </c>
      <c r="J4213" s="44" t="str">
        <f>VLOOKUP(G4213,[1]硬件清单!$F:$F,1,0)</f>
        <v>210305756810HA000444</v>
      </c>
      <c r="K4213" s="43"/>
      <c r="L4213" s="44"/>
      <c r="M4213" s="45" t="s">
        <v>12902</v>
      </c>
    </row>
    <row r="4214" ht="30" customHeight="1" spans="1:13">
      <c r="A4214" s="41">
        <f>IF(C4214="","",SUBTOTAL(103,$C$2:C4214))</f>
        <v>4205</v>
      </c>
      <c r="B4214" s="41">
        <v>2494</v>
      </c>
      <c r="C4214" s="41">
        <v>5096</v>
      </c>
      <c r="D4214" s="41" t="s">
        <v>45</v>
      </c>
      <c r="E4214" s="41" t="s">
        <v>1298</v>
      </c>
      <c r="F4214" s="41" t="s">
        <v>11893</v>
      </c>
      <c r="G4214" s="41" t="s">
        <v>12903</v>
      </c>
      <c r="H4214" s="41" t="s">
        <v>12904</v>
      </c>
      <c r="I4214" s="43">
        <v>12</v>
      </c>
      <c r="J4214" s="44" t="str">
        <f>VLOOKUP(G4214,[1]硬件清单!$F:$F,1,0)</f>
        <v>210305756810HA000380</v>
      </c>
      <c r="K4214" s="43"/>
      <c r="L4214" s="44"/>
      <c r="M4214" s="45" t="s">
        <v>12905</v>
      </c>
    </row>
    <row r="4215" ht="30" customHeight="1" spans="1:13">
      <c r="A4215" s="41">
        <f>IF(C4215="","",SUBTOTAL(103,$C$2:C4215))</f>
        <v>4206</v>
      </c>
      <c r="B4215" s="41">
        <v>2495</v>
      </c>
      <c r="C4215" s="41">
        <v>5097</v>
      </c>
      <c r="D4215" s="41" t="s">
        <v>45</v>
      </c>
      <c r="E4215" s="41" t="s">
        <v>1298</v>
      </c>
      <c r="F4215" s="41" t="s">
        <v>11893</v>
      </c>
      <c r="G4215" s="41" t="s">
        <v>12906</v>
      </c>
      <c r="H4215" s="41" t="s">
        <v>12907</v>
      </c>
      <c r="I4215" s="43">
        <v>12</v>
      </c>
      <c r="J4215" s="44" t="str">
        <f>VLOOKUP(G4215,[1]硬件清单!$F:$F,1,0)</f>
        <v>210305756810HA000668</v>
      </c>
      <c r="K4215" s="43"/>
      <c r="L4215" s="44"/>
      <c r="M4215" s="45" t="s">
        <v>12908</v>
      </c>
    </row>
    <row r="4216" ht="30" customHeight="1" spans="1:13">
      <c r="A4216" s="41">
        <f>IF(C4216="","",SUBTOTAL(103,$C$2:C4216))</f>
        <v>4207</v>
      </c>
      <c r="B4216" s="41">
        <v>2496</v>
      </c>
      <c r="C4216" s="41">
        <v>4092</v>
      </c>
      <c r="D4216" s="41" t="s">
        <v>45</v>
      </c>
      <c r="E4216" s="41" t="s">
        <v>1298</v>
      </c>
      <c r="F4216" s="41" t="s">
        <v>11893</v>
      </c>
      <c r="G4216" s="41" t="s">
        <v>12909</v>
      </c>
      <c r="H4216" s="41" t="s">
        <v>12910</v>
      </c>
      <c r="I4216" s="43">
        <v>12</v>
      </c>
      <c r="J4216" s="44" t="str">
        <f>VLOOKUP(G4216,[1]硬件清单!$F:$F,1,0)</f>
        <v>210305756810HA000492</v>
      </c>
      <c r="K4216" s="43"/>
      <c r="L4216" s="44"/>
      <c r="M4216" s="45" t="s">
        <v>12911</v>
      </c>
    </row>
    <row r="4217" ht="30" customHeight="1" spans="1:13">
      <c r="A4217" s="41">
        <f>IF(C4217="","",SUBTOTAL(103,$C$2:C4217))</f>
        <v>4208</v>
      </c>
      <c r="B4217" s="41">
        <v>2497</v>
      </c>
      <c r="C4217" s="41">
        <v>4093</v>
      </c>
      <c r="D4217" s="41" t="s">
        <v>45</v>
      </c>
      <c r="E4217" s="41" t="s">
        <v>1298</v>
      </c>
      <c r="F4217" s="41" t="s">
        <v>11893</v>
      </c>
      <c r="G4217" s="41" t="s">
        <v>12912</v>
      </c>
      <c r="H4217" s="41" t="s">
        <v>12913</v>
      </c>
      <c r="I4217" s="43">
        <v>12</v>
      </c>
      <c r="J4217" s="44" t="str">
        <f>VLOOKUP(G4217,[1]硬件清单!$F:$F,1,0)</f>
        <v>210305756810HA001832</v>
      </c>
      <c r="K4217" s="43"/>
      <c r="L4217" s="44"/>
      <c r="M4217" s="45" t="s">
        <v>12914</v>
      </c>
    </row>
    <row r="4218" ht="30" customHeight="1" spans="1:13">
      <c r="A4218" s="41">
        <f>IF(C4218="","",SUBTOTAL(103,$C$2:C4218))</f>
        <v>4209</v>
      </c>
      <c r="B4218" s="41">
        <v>2498</v>
      </c>
      <c r="C4218" s="41">
        <v>4094</v>
      </c>
      <c r="D4218" s="41" t="s">
        <v>45</v>
      </c>
      <c r="E4218" s="41" t="s">
        <v>1298</v>
      </c>
      <c r="F4218" s="41" t="s">
        <v>11893</v>
      </c>
      <c r="G4218" s="41" t="s">
        <v>12915</v>
      </c>
      <c r="H4218" s="41" t="s">
        <v>12916</v>
      </c>
      <c r="I4218" s="43">
        <v>12</v>
      </c>
      <c r="J4218" s="44" t="str">
        <f>VLOOKUP(G4218,[1]硬件清单!$F:$F,1,0)</f>
        <v>210305756810HA000448</v>
      </c>
      <c r="K4218" s="43"/>
      <c r="L4218" s="44"/>
      <c r="M4218" s="45" t="s">
        <v>12917</v>
      </c>
    </row>
    <row r="4219" ht="30" customHeight="1" spans="1:13">
      <c r="A4219" s="41">
        <f>IF(C4219="","",SUBTOTAL(103,$C$2:C4219))</f>
        <v>4210</v>
      </c>
      <c r="B4219" s="41">
        <v>2499</v>
      </c>
      <c r="C4219" s="41">
        <v>4095</v>
      </c>
      <c r="D4219" s="41" t="s">
        <v>45</v>
      </c>
      <c r="E4219" s="41" t="s">
        <v>1298</v>
      </c>
      <c r="F4219" s="41" t="s">
        <v>11893</v>
      </c>
      <c r="G4219" s="41" t="s">
        <v>12918</v>
      </c>
      <c r="H4219" s="41" t="s">
        <v>12919</v>
      </c>
      <c r="I4219" s="43">
        <v>12</v>
      </c>
      <c r="J4219" s="44" t="str">
        <f>VLOOKUP(G4219,[1]硬件清单!$F:$F,1,0)</f>
        <v>210305756810HA000377</v>
      </c>
      <c r="K4219" s="43"/>
      <c r="L4219" s="44"/>
      <c r="M4219" s="45" t="s">
        <v>12920</v>
      </c>
    </row>
    <row r="4220" ht="30" customHeight="1" spans="1:13">
      <c r="A4220" s="41">
        <f>IF(C4220="","",SUBTOTAL(103,$C$2:C4220))</f>
        <v>4211</v>
      </c>
      <c r="B4220" s="41">
        <v>2500</v>
      </c>
      <c r="C4220" s="41">
        <v>4096</v>
      </c>
      <c r="D4220" s="41" t="s">
        <v>45</v>
      </c>
      <c r="E4220" s="41" t="s">
        <v>1298</v>
      </c>
      <c r="F4220" s="41" t="s">
        <v>11893</v>
      </c>
      <c r="G4220" s="41" t="s">
        <v>12921</v>
      </c>
      <c r="H4220" s="41" t="s">
        <v>12922</v>
      </c>
      <c r="I4220" s="43">
        <v>12</v>
      </c>
      <c r="J4220" s="44" t="str">
        <f>VLOOKUP(G4220,[1]硬件清单!$F:$F,1,0)</f>
        <v>210305756810HA000502</v>
      </c>
      <c r="K4220" s="43"/>
      <c r="L4220" s="44"/>
      <c r="M4220" s="45" t="s">
        <v>12923</v>
      </c>
    </row>
    <row r="4221" ht="30" customHeight="1" spans="1:13">
      <c r="A4221" s="41">
        <f>IF(C4221="","",SUBTOTAL(103,$C$2:C4221))</f>
        <v>4212</v>
      </c>
      <c r="B4221" s="41">
        <v>2501</v>
      </c>
      <c r="C4221" s="41">
        <v>4097</v>
      </c>
      <c r="D4221" s="41" t="s">
        <v>45</v>
      </c>
      <c r="E4221" s="41" t="s">
        <v>1298</v>
      </c>
      <c r="F4221" s="41" t="s">
        <v>11893</v>
      </c>
      <c r="G4221" s="41" t="s">
        <v>12924</v>
      </c>
      <c r="H4221" s="41" t="s">
        <v>12925</v>
      </c>
      <c r="I4221" s="43">
        <v>12</v>
      </c>
      <c r="J4221" s="44" t="str">
        <f>VLOOKUP(G4221,[1]硬件清单!$F:$F,1,0)</f>
        <v>210305756810HA000405</v>
      </c>
      <c r="K4221" s="43"/>
      <c r="L4221" s="44"/>
      <c r="M4221" s="45" t="s">
        <v>12926</v>
      </c>
    </row>
    <row r="4222" ht="30" customHeight="1" spans="1:13">
      <c r="A4222" s="41">
        <f>IF(C4222="","",SUBTOTAL(103,$C$2:C4222))</f>
        <v>4213</v>
      </c>
      <c r="B4222" s="41">
        <v>2502</v>
      </c>
      <c r="C4222" s="41">
        <v>4098</v>
      </c>
      <c r="D4222" s="41" t="s">
        <v>45</v>
      </c>
      <c r="E4222" s="41" t="s">
        <v>1298</v>
      </c>
      <c r="F4222" s="41" t="s">
        <v>11893</v>
      </c>
      <c r="G4222" s="41" t="s">
        <v>12927</v>
      </c>
      <c r="H4222" s="41" t="s">
        <v>12928</v>
      </c>
      <c r="I4222" s="43">
        <v>12</v>
      </c>
      <c r="J4222" s="44" t="str">
        <f>VLOOKUP(G4222,[1]硬件清单!$F:$F,1,0)</f>
        <v>210305756810HA000500</v>
      </c>
      <c r="K4222" s="43"/>
      <c r="L4222" s="44"/>
      <c r="M4222" s="45" t="s">
        <v>12929</v>
      </c>
    </row>
    <row r="4223" ht="30" customHeight="1" spans="1:13">
      <c r="A4223" s="41">
        <f>IF(C4223="","",SUBTOTAL(103,$C$2:C4223))</f>
        <v>4214</v>
      </c>
      <c r="B4223" s="41">
        <v>2503</v>
      </c>
      <c r="C4223" s="41">
        <v>4099</v>
      </c>
      <c r="D4223" s="41" t="s">
        <v>45</v>
      </c>
      <c r="E4223" s="41" t="s">
        <v>1298</v>
      </c>
      <c r="F4223" s="41" t="s">
        <v>11893</v>
      </c>
      <c r="G4223" s="41" t="s">
        <v>12930</v>
      </c>
      <c r="H4223" s="41" t="s">
        <v>12931</v>
      </c>
      <c r="I4223" s="43">
        <v>12</v>
      </c>
      <c r="J4223" s="44" t="str">
        <f>VLOOKUP(G4223,[1]硬件清单!$F:$F,1,0)</f>
        <v>210305756810HA000211</v>
      </c>
      <c r="K4223" s="43"/>
      <c r="L4223" s="44"/>
      <c r="M4223" s="45" t="s">
        <v>12932</v>
      </c>
    </row>
    <row r="4224" ht="30" customHeight="1" spans="1:13">
      <c r="A4224" s="41">
        <f>IF(C4224="","",SUBTOTAL(103,$C$2:C4224))</f>
        <v>4215</v>
      </c>
      <c r="B4224" s="41">
        <v>2504</v>
      </c>
      <c r="C4224" s="41">
        <v>4110</v>
      </c>
      <c r="D4224" s="41" t="s">
        <v>45</v>
      </c>
      <c r="E4224" s="41" t="s">
        <v>1298</v>
      </c>
      <c r="F4224" s="41" t="s">
        <v>11893</v>
      </c>
      <c r="G4224" s="41" t="s">
        <v>12933</v>
      </c>
      <c r="H4224" s="41" t="s">
        <v>12934</v>
      </c>
      <c r="I4224" s="43">
        <v>12</v>
      </c>
      <c r="J4224" s="44" t="str">
        <f>VLOOKUP(G4224,[1]硬件清单!$F:$F,1,0)</f>
        <v>210305756810HA000467</v>
      </c>
      <c r="K4224" s="43"/>
      <c r="L4224" s="44"/>
      <c r="M4224" s="45" t="s">
        <v>12935</v>
      </c>
    </row>
    <row r="4225" ht="30" customHeight="1" spans="1:13">
      <c r="A4225" s="41">
        <f>IF(C4225="","",SUBTOTAL(103,$C$2:C4225))</f>
        <v>4216</v>
      </c>
      <c r="B4225" s="41">
        <v>2505</v>
      </c>
      <c r="C4225" s="41">
        <v>4119</v>
      </c>
      <c r="D4225" s="41" t="s">
        <v>45</v>
      </c>
      <c r="E4225" s="41" t="s">
        <v>1298</v>
      </c>
      <c r="F4225" s="41" t="s">
        <v>11893</v>
      </c>
      <c r="G4225" s="41" t="s">
        <v>12936</v>
      </c>
      <c r="H4225" s="41" t="s">
        <v>12937</v>
      </c>
      <c r="I4225" s="43">
        <v>12</v>
      </c>
      <c r="J4225" s="44" t="str">
        <f>VLOOKUP(G4225,[1]硬件清单!$F:$F,1,0)</f>
        <v>210305756810HA000391</v>
      </c>
      <c r="K4225" s="43"/>
      <c r="L4225" s="44"/>
      <c r="M4225" s="45" t="s">
        <v>12938</v>
      </c>
    </row>
    <row r="4226" ht="30" customHeight="1" spans="1:13">
      <c r="A4226" s="41">
        <f>IF(C4226="","",SUBTOTAL(103,$C$2:C4226))</f>
        <v>4217</v>
      </c>
      <c r="B4226" s="41">
        <v>2506</v>
      </c>
      <c r="C4226" s="41">
        <v>4120</v>
      </c>
      <c r="D4226" s="41" t="s">
        <v>45</v>
      </c>
      <c r="E4226" s="41" t="s">
        <v>1298</v>
      </c>
      <c r="F4226" s="41" t="s">
        <v>11893</v>
      </c>
      <c r="G4226" s="41" t="s">
        <v>12939</v>
      </c>
      <c r="H4226" s="41" t="s">
        <v>12940</v>
      </c>
      <c r="I4226" s="43">
        <v>12</v>
      </c>
      <c r="J4226" s="44" t="str">
        <f>VLOOKUP(G4226,[1]硬件清单!$F:$F,1,0)</f>
        <v>210305756810HA000185</v>
      </c>
      <c r="K4226" s="43"/>
      <c r="L4226" s="44"/>
      <c r="M4226" s="45" t="s">
        <v>12941</v>
      </c>
    </row>
    <row r="4227" ht="30" customHeight="1" spans="1:13">
      <c r="A4227" s="41">
        <f>IF(C4227="","",SUBTOTAL(103,$C$2:C4227))</f>
        <v>4218</v>
      </c>
      <c r="B4227" s="41">
        <v>2507</v>
      </c>
      <c r="C4227" s="41">
        <v>4121</v>
      </c>
      <c r="D4227" s="41" t="s">
        <v>45</v>
      </c>
      <c r="E4227" s="41" t="s">
        <v>1298</v>
      </c>
      <c r="F4227" s="41" t="s">
        <v>11893</v>
      </c>
      <c r="G4227" s="41" t="s">
        <v>12942</v>
      </c>
      <c r="H4227" s="41" t="s">
        <v>12943</v>
      </c>
      <c r="I4227" s="43">
        <v>12</v>
      </c>
      <c r="J4227" s="44" t="str">
        <f>VLOOKUP(G4227,[1]硬件清单!$F:$F,1,0)</f>
        <v>210305756810HA000461</v>
      </c>
      <c r="K4227" s="43"/>
      <c r="L4227" s="44"/>
      <c r="M4227" s="45" t="s">
        <v>12944</v>
      </c>
    </row>
    <row r="4228" ht="30" customHeight="1" spans="1:13">
      <c r="A4228" s="41">
        <f>IF(C4228="","",SUBTOTAL(103,$C$2:C4228))</f>
        <v>4219</v>
      </c>
      <c r="B4228" s="41">
        <v>2508</v>
      </c>
      <c r="C4228" s="41">
        <v>4122</v>
      </c>
      <c r="D4228" s="41" t="s">
        <v>45</v>
      </c>
      <c r="E4228" s="41" t="s">
        <v>1298</v>
      </c>
      <c r="F4228" s="41" t="s">
        <v>11893</v>
      </c>
      <c r="G4228" s="41" t="s">
        <v>12945</v>
      </c>
      <c r="H4228" s="41" t="s">
        <v>12946</v>
      </c>
      <c r="I4228" s="43">
        <v>12</v>
      </c>
      <c r="J4228" s="44" t="str">
        <f>VLOOKUP(G4228,[1]硬件清单!$F:$F,1,0)</f>
        <v>210305756810HA000650</v>
      </c>
      <c r="K4228" s="43"/>
      <c r="L4228" s="44"/>
      <c r="M4228" s="45" t="s">
        <v>12947</v>
      </c>
    </row>
    <row r="4229" ht="30" customHeight="1" spans="1:13">
      <c r="A4229" s="41">
        <f>IF(C4229="","",SUBTOTAL(103,$C$2:C4229))</f>
        <v>4220</v>
      </c>
      <c r="B4229" s="41">
        <v>2509</v>
      </c>
      <c r="C4229" s="41">
        <v>4123</v>
      </c>
      <c r="D4229" s="41" t="s">
        <v>45</v>
      </c>
      <c r="E4229" s="41" t="s">
        <v>1298</v>
      </c>
      <c r="F4229" s="41" t="s">
        <v>11893</v>
      </c>
      <c r="G4229" s="41" t="s">
        <v>12948</v>
      </c>
      <c r="H4229" s="41" t="s">
        <v>12949</v>
      </c>
      <c r="I4229" s="43">
        <v>12</v>
      </c>
      <c r="J4229" s="44" t="str">
        <f>VLOOKUP(G4229,[1]硬件清单!$F:$F,1,0)</f>
        <v>210305756810HA000172</v>
      </c>
      <c r="K4229" s="43"/>
      <c r="L4229" s="44"/>
      <c r="M4229" s="45" t="s">
        <v>12950</v>
      </c>
    </row>
    <row r="4230" ht="30" customHeight="1" spans="1:13">
      <c r="A4230" s="41">
        <f>IF(C4230="","",SUBTOTAL(103,$C$2:C4230))</f>
        <v>4221</v>
      </c>
      <c r="B4230" s="41">
        <v>2510</v>
      </c>
      <c r="C4230" s="41">
        <v>4124</v>
      </c>
      <c r="D4230" s="41" t="s">
        <v>45</v>
      </c>
      <c r="E4230" s="41" t="s">
        <v>1298</v>
      </c>
      <c r="F4230" s="41" t="s">
        <v>11893</v>
      </c>
      <c r="G4230" s="41" t="s">
        <v>12951</v>
      </c>
      <c r="H4230" s="41" t="s">
        <v>12952</v>
      </c>
      <c r="I4230" s="43">
        <v>12</v>
      </c>
      <c r="J4230" s="44" t="str">
        <f>VLOOKUP(G4230,[1]硬件清单!$F:$F,1,0)</f>
        <v>210305756810HA000615</v>
      </c>
      <c r="K4230" s="43"/>
      <c r="L4230" s="44"/>
      <c r="M4230" s="45" t="s">
        <v>12953</v>
      </c>
    </row>
    <row r="4231" ht="30" customHeight="1" spans="1:13">
      <c r="A4231" s="41">
        <f>IF(C4231="","",SUBTOTAL(103,$C$2:C4231))</f>
        <v>4222</v>
      </c>
      <c r="B4231" s="41">
        <v>2511</v>
      </c>
      <c r="C4231" s="41">
        <v>4125</v>
      </c>
      <c r="D4231" s="41" t="s">
        <v>45</v>
      </c>
      <c r="E4231" s="41" t="s">
        <v>1298</v>
      </c>
      <c r="F4231" s="41" t="s">
        <v>11893</v>
      </c>
      <c r="G4231" s="41" t="s">
        <v>12954</v>
      </c>
      <c r="H4231" s="41" t="s">
        <v>12955</v>
      </c>
      <c r="I4231" s="43">
        <v>12</v>
      </c>
      <c r="J4231" s="44" t="str">
        <f>VLOOKUP(G4231,[1]硬件清单!$F:$F,1,0)</f>
        <v>210305756810HA000381</v>
      </c>
      <c r="K4231" s="43"/>
      <c r="L4231" s="44"/>
      <c r="M4231" s="45" t="s">
        <v>12956</v>
      </c>
    </row>
    <row r="4232" ht="30" customHeight="1" spans="1:13">
      <c r="A4232" s="41">
        <f>IF(C4232="","",SUBTOTAL(103,$C$2:C4232))</f>
        <v>4223</v>
      </c>
      <c r="B4232" s="41">
        <v>2512</v>
      </c>
      <c r="C4232" s="41">
        <v>4111</v>
      </c>
      <c r="D4232" s="41" t="s">
        <v>45</v>
      </c>
      <c r="E4232" s="41" t="s">
        <v>1298</v>
      </c>
      <c r="F4232" s="41" t="s">
        <v>11893</v>
      </c>
      <c r="G4232" s="41" t="s">
        <v>12957</v>
      </c>
      <c r="H4232" s="41" t="s">
        <v>12958</v>
      </c>
      <c r="I4232" s="43">
        <v>12</v>
      </c>
      <c r="J4232" s="44" t="str">
        <f>VLOOKUP(G4232,[1]硬件清单!$F:$F,1,0)</f>
        <v>210305756810HA000661</v>
      </c>
      <c r="K4232" s="43"/>
      <c r="L4232" s="44"/>
      <c r="M4232" s="45" t="s">
        <v>12959</v>
      </c>
    </row>
    <row r="4233" ht="30" customHeight="1" spans="1:13">
      <c r="A4233" s="41">
        <f>IF(C4233="","",SUBTOTAL(103,$C$2:C4233))</f>
        <v>4224</v>
      </c>
      <c r="B4233" s="41">
        <v>2513</v>
      </c>
      <c r="C4233" s="41">
        <v>4112</v>
      </c>
      <c r="D4233" s="41" t="s">
        <v>45</v>
      </c>
      <c r="E4233" s="41" t="s">
        <v>1298</v>
      </c>
      <c r="F4233" s="41" t="s">
        <v>11893</v>
      </c>
      <c r="G4233" s="41" t="s">
        <v>12960</v>
      </c>
      <c r="H4233" s="41" t="s">
        <v>12961</v>
      </c>
      <c r="I4233" s="43">
        <v>12</v>
      </c>
      <c r="J4233" s="44" t="str">
        <f>VLOOKUP(G4233,[1]硬件清单!$F:$F,1,0)</f>
        <v>210305756810HA000152</v>
      </c>
      <c r="K4233" s="43"/>
      <c r="L4233" s="44"/>
      <c r="M4233" s="45" t="s">
        <v>12962</v>
      </c>
    </row>
    <row r="4234" ht="30" customHeight="1" spans="1:13">
      <c r="A4234" s="41">
        <f>IF(C4234="","",SUBTOTAL(103,$C$2:C4234))</f>
        <v>4225</v>
      </c>
      <c r="B4234" s="41">
        <v>2514</v>
      </c>
      <c r="C4234" s="41">
        <v>4113</v>
      </c>
      <c r="D4234" s="41" t="s">
        <v>45</v>
      </c>
      <c r="E4234" s="41" t="s">
        <v>1298</v>
      </c>
      <c r="F4234" s="41" t="s">
        <v>11893</v>
      </c>
      <c r="G4234" s="41" t="s">
        <v>12963</v>
      </c>
      <c r="H4234" s="41" t="s">
        <v>12964</v>
      </c>
      <c r="I4234" s="43">
        <v>12</v>
      </c>
      <c r="J4234" s="44" t="str">
        <f>VLOOKUP(G4234,[1]硬件清单!$F:$F,1,0)</f>
        <v>210305756810HA000652</v>
      </c>
      <c r="K4234" s="43"/>
      <c r="L4234" s="44"/>
      <c r="M4234" s="45" t="s">
        <v>12965</v>
      </c>
    </row>
    <row r="4235" ht="30" customHeight="1" spans="1:13">
      <c r="A4235" s="41">
        <f>IF(C4235="","",SUBTOTAL(103,$C$2:C4235))</f>
        <v>4226</v>
      </c>
      <c r="B4235" s="41">
        <v>2515</v>
      </c>
      <c r="C4235" s="41">
        <v>4114</v>
      </c>
      <c r="D4235" s="41" t="s">
        <v>45</v>
      </c>
      <c r="E4235" s="41" t="s">
        <v>1298</v>
      </c>
      <c r="F4235" s="41" t="s">
        <v>11893</v>
      </c>
      <c r="G4235" s="41" t="s">
        <v>12966</v>
      </c>
      <c r="H4235" s="41" t="s">
        <v>12967</v>
      </c>
      <c r="I4235" s="43">
        <v>12</v>
      </c>
      <c r="J4235" s="44" t="str">
        <f>VLOOKUP(G4235,[1]硬件清单!$F:$F,1,0)</f>
        <v>210305756810HA000611</v>
      </c>
      <c r="K4235" s="43"/>
      <c r="L4235" s="44"/>
      <c r="M4235" s="45" t="s">
        <v>12968</v>
      </c>
    </row>
    <row r="4236" ht="30" customHeight="1" spans="1:13">
      <c r="A4236" s="41">
        <f>IF(C4236="","",SUBTOTAL(103,$C$2:C4236))</f>
        <v>4227</v>
      </c>
      <c r="B4236" s="41">
        <v>2516</v>
      </c>
      <c r="C4236" s="41">
        <v>4115</v>
      </c>
      <c r="D4236" s="41" t="s">
        <v>45</v>
      </c>
      <c r="E4236" s="41" t="s">
        <v>1298</v>
      </c>
      <c r="F4236" s="41" t="s">
        <v>11893</v>
      </c>
      <c r="G4236" s="41" t="s">
        <v>12969</v>
      </c>
      <c r="H4236" s="41" t="s">
        <v>12970</v>
      </c>
      <c r="I4236" s="43">
        <v>12</v>
      </c>
      <c r="J4236" s="44" t="str">
        <f>VLOOKUP(G4236,[1]硬件清单!$F:$F,1,0)</f>
        <v>210305756810HA000438</v>
      </c>
      <c r="K4236" s="43"/>
      <c r="L4236" s="44"/>
      <c r="M4236" s="45" t="s">
        <v>12971</v>
      </c>
    </row>
    <row r="4237" ht="30" customHeight="1" spans="1:13">
      <c r="A4237" s="41">
        <f>IF(C4237="","",SUBTOTAL(103,$C$2:C4237))</f>
        <v>4228</v>
      </c>
      <c r="B4237" s="41">
        <v>2517</v>
      </c>
      <c r="C4237" s="41">
        <v>4116</v>
      </c>
      <c r="D4237" s="41" t="s">
        <v>45</v>
      </c>
      <c r="E4237" s="41" t="s">
        <v>1298</v>
      </c>
      <c r="F4237" s="41" t="s">
        <v>11893</v>
      </c>
      <c r="G4237" s="41" t="s">
        <v>12972</v>
      </c>
      <c r="H4237" s="41" t="s">
        <v>12973</v>
      </c>
      <c r="I4237" s="43">
        <v>12</v>
      </c>
      <c r="J4237" s="44" t="str">
        <f>VLOOKUP(G4237,[1]硬件清单!$F:$F,1,0)</f>
        <v>210305756810HA000610</v>
      </c>
      <c r="K4237" s="43"/>
      <c r="L4237" s="44"/>
      <c r="M4237" s="45" t="s">
        <v>12974</v>
      </c>
    </row>
    <row r="4238" ht="30" customHeight="1" spans="1:13">
      <c r="A4238" s="41">
        <f>IF(C4238="","",SUBTOTAL(103,$C$2:C4238))</f>
        <v>4229</v>
      </c>
      <c r="B4238" s="41">
        <v>2518</v>
      </c>
      <c r="C4238" s="41">
        <v>4117</v>
      </c>
      <c r="D4238" s="41" t="s">
        <v>45</v>
      </c>
      <c r="E4238" s="41" t="s">
        <v>1298</v>
      </c>
      <c r="F4238" s="41" t="s">
        <v>11893</v>
      </c>
      <c r="G4238" s="41" t="s">
        <v>12975</v>
      </c>
      <c r="H4238" s="41" t="s">
        <v>12976</v>
      </c>
      <c r="I4238" s="43">
        <v>12</v>
      </c>
      <c r="J4238" s="44" t="str">
        <f>VLOOKUP(G4238,[1]硬件清单!$F:$F,1,0)</f>
        <v>210305756810HA000192</v>
      </c>
      <c r="K4238" s="43"/>
      <c r="L4238" s="44"/>
      <c r="M4238" s="45" t="s">
        <v>12977</v>
      </c>
    </row>
    <row r="4239" ht="30" customHeight="1" spans="1:13">
      <c r="A4239" s="41">
        <f>IF(C4239="","",SUBTOTAL(103,$C$2:C4239))</f>
        <v>4230</v>
      </c>
      <c r="B4239" s="41">
        <v>2519</v>
      </c>
      <c r="C4239" s="41">
        <v>4118</v>
      </c>
      <c r="D4239" s="41" t="s">
        <v>45</v>
      </c>
      <c r="E4239" s="41" t="s">
        <v>1298</v>
      </c>
      <c r="F4239" s="41" t="s">
        <v>11893</v>
      </c>
      <c r="G4239" s="41" t="s">
        <v>12978</v>
      </c>
      <c r="H4239" s="41" t="s">
        <v>12979</v>
      </c>
      <c r="I4239" s="43">
        <v>12</v>
      </c>
      <c r="J4239" s="44" t="str">
        <f>VLOOKUP(G4239,[1]硬件清单!$F:$F,1,0)</f>
        <v>210305756810HA000665</v>
      </c>
      <c r="K4239" s="43"/>
      <c r="L4239" s="44"/>
      <c r="M4239" s="45" t="s">
        <v>12980</v>
      </c>
    </row>
    <row r="4240" ht="30" customHeight="1" spans="1:13">
      <c r="A4240" s="41">
        <f>IF(C4240="","",SUBTOTAL(103,$C$2:C4240))</f>
        <v>4231</v>
      </c>
      <c r="B4240" s="41">
        <v>2520</v>
      </c>
      <c r="C4240" s="41">
        <v>5351</v>
      </c>
      <c r="D4240" s="41" t="s">
        <v>45</v>
      </c>
      <c r="E4240" s="41" t="s">
        <v>1298</v>
      </c>
      <c r="F4240" s="41" t="s">
        <v>11889</v>
      </c>
      <c r="G4240" s="41" t="s">
        <v>12981</v>
      </c>
      <c r="H4240" s="41" t="s">
        <v>12982</v>
      </c>
      <c r="I4240" s="43">
        <v>12</v>
      </c>
      <c r="J4240" s="44" t="str">
        <f>VLOOKUP(G4240,[1]硬件清单!$F:$F,1,0)</f>
        <v>2102300742N0H5000359/
210230102810HA000056</v>
      </c>
      <c r="K4240" s="43"/>
      <c r="L4240" s="44"/>
      <c r="M4240" s="45" t="s">
        <v>12983</v>
      </c>
    </row>
    <row r="4241" ht="30" customHeight="1" spans="1:13">
      <c r="A4241" s="41">
        <f>IF(C4241="","",SUBTOTAL(103,$C$2:C4241))</f>
        <v>4232</v>
      </c>
      <c r="B4241" s="41">
        <v>2521</v>
      </c>
      <c r="C4241" s="41">
        <v>4211</v>
      </c>
      <c r="D4241" s="41" t="s">
        <v>45</v>
      </c>
      <c r="E4241" s="41" t="s">
        <v>1298</v>
      </c>
      <c r="F4241" s="41" t="s">
        <v>11893</v>
      </c>
      <c r="G4241" s="41" t="s">
        <v>12984</v>
      </c>
      <c r="H4241" s="41" t="s">
        <v>12985</v>
      </c>
      <c r="I4241" s="43">
        <v>12</v>
      </c>
      <c r="J4241" s="44" t="str">
        <f>VLOOKUP(G4241,[1]硬件清单!$F:$F,1,0)</f>
        <v>210305756810HA000601</v>
      </c>
      <c r="K4241" s="43"/>
      <c r="L4241" s="44"/>
      <c r="M4241" s="45" t="s">
        <v>12986</v>
      </c>
    </row>
    <row r="4242" ht="30" customHeight="1" spans="1:13">
      <c r="A4242" s="41">
        <f>IF(C4242="","",SUBTOTAL(103,$C$2:C4242))</f>
        <v>4233</v>
      </c>
      <c r="B4242" s="41">
        <v>2522</v>
      </c>
      <c r="C4242" s="41">
        <v>4202</v>
      </c>
      <c r="D4242" s="41" t="s">
        <v>45</v>
      </c>
      <c r="E4242" s="41" t="s">
        <v>1298</v>
      </c>
      <c r="F4242" s="41" t="s">
        <v>11893</v>
      </c>
      <c r="G4242" s="41" t="s">
        <v>12987</v>
      </c>
      <c r="H4242" s="41" t="s">
        <v>12988</v>
      </c>
      <c r="I4242" s="43">
        <v>12</v>
      </c>
      <c r="J4242" s="44" t="str">
        <f>VLOOKUP(G4242,[1]硬件清单!$F:$F,1,0)</f>
        <v>210305756810HA000290</v>
      </c>
      <c r="K4242" s="43"/>
      <c r="L4242" s="44"/>
      <c r="M4242" s="45" t="s">
        <v>12989</v>
      </c>
    </row>
    <row r="4243" ht="30" customHeight="1" spans="1:13">
      <c r="A4243" s="41">
        <f>IF(C4243="","",SUBTOTAL(103,$C$2:C4243))</f>
        <v>4234</v>
      </c>
      <c r="B4243" s="41">
        <v>2523</v>
      </c>
      <c r="C4243" s="41">
        <v>4201</v>
      </c>
      <c r="D4243" s="41" t="s">
        <v>45</v>
      </c>
      <c r="E4243" s="41" t="s">
        <v>1298</v>
      </c>
      <c r="F4243" s="41" t="s">
        <v>11893</v>
      </c>
      <c r="G4243" s="41" t="s">
        <v>12990</v>
      </c>
      <c r="H4243" s="41" t="s">
        <v>12991</v>
      </c>
      <c r="I4243" s="43">
        <v>12</v>
      </c>
      <c r="J4243" s="44" t="str">
        <f>VLOOKUP(G4243,[1]硬件清单!$F:$F,1,0)</f>
        <v>210305756810HA000483</v>
      </c>
      <c r="K4243" s="43"/>
      <c r="L4243" s="44"/>
      <c r="M4243" s="45" t="s">
        <v>12992</v>
      </c>
    </row>
    <row r="4244" ht="30" customHeight="1" spans="1:13">
      <c r="A4244" s="41">
        <f>IF(C4244="","",SUBTOTAL(103,$C$2:C4244))</f>
        <v>4235</v>
      </c>
      <c r="B4244" s="41">
        <v>2524</v>
      </c>
      <c r="C4244" s="41">
        <v>4200</v>
      </c>
      <c r="D4244" s="41" t="s">
        <v>45</v>
      </c>
      <c r="E4244" s="41" t="s">
        <v>1298</v>
      </c>
      <c r="F4244" s="41" t="s">
        <v>11893</v>
      </c>
      <c r="G4244" s="41" t="s">
        <v>12993</v>
      </c>
      <c r="H4244" s="41" t="s">
        <v>12994</v>
      </c>
      <c r="I4244" s="43">
        <v>12</v>
      </c>
      <c r="J4244" s="44" t="str">
        <f>VLOOKUP(G4244,[1]硬件清单!$F:$F,1,0)</f>
        <v>210305756810HA000289</v>
      </c>
      <c r="K4244" s="43"/>
      <c r="L4244" s="44"/>
      <c r="M4244" s="45" t="s">
        <v>12995</v>
      </c>
    </row>
    <row r="4245" ht="30" customHeight="1" spans="1:13">
      <c r="A4245" s="41">
        <f>IF(C4245="","",SUBTOTAL(103,$C$2:C4245))</f>
        <v>4236</v>
      </c>
      <c r="B4245" s="41">
        <v>2525</v>
      </c>
      <c r="C4245" s="41">
        <v>4199</v>
      </c>
      <c r="D4245" s="41" t="s">
        <v>45</v>
      </c>
      <c r="E4245" s="41" t="s">
        <v>1298</v>
      </c>
      <c r="F4245" s="41" t="s">
        <v>11893</v>
      </c>
      <c r="G4245" s="41" t="s">
        <v>12996</v>
      </c>
      <c r="H4245" s="41" t="s">
        <v>12997</v>
      </c>
      <c r="I4245" s="43">
        <v>12</v>
      </c>
      <c r="J4245" s="44" t="str">
        <f>VLOOKUP(G4245,[1]硬件清单!$F:$F,1,0)</f>
        <v>210305756810HA000664</v>
      </c>
      <c r="K4245" s="43"/>
      <c r="L4245" s="44"/>
      <c r="M4245" s="45" t="s">
        <v>12998</v>
      </c>
    </row>
    <row r="4246" ht="30" customHeight="1" spans="1:13">
      <c r="A4246" s="41">
        <f>IF(C4246="","",SUBTOTAL(103,$C$2:C4246))</f>
        <v>4237</v>
      </c>
      <c r="B4246" s="41">
        <v>2526</v>
      </c>
      <c r="C4246" s="41">
        <v>4198</v>
      </c>
      <c r="D4246" s="41" t="s">
        <v>45</v>
      </c>
      <c r="E4246" s="41" t="s">
        <v>1298</v>
      </c>
      <c r="F4246" s="41" t="s">
        <v>11893</v>
      </c>
      <c r="G4246" s="41" t="s">
        <v>12999</v>
      </c>
      <c r="H4246" s="41" t="s">
        <v>13000</v>
      </c>
      <c r="I4246" s="43">
        <v>12</v>
      </c>
      <c r="J4246" s="44" t="str">
        <f>VLOOKUP(G4246,[1]硬件清单!$F:$F,1,0)</f>
        <v>210305756810HA000454</v>
      </c>
      <c r="K4246" s="43"/>
      <c r="L4246" s="44"/>
      <c r="M4246" s="45" t="s">
        <v>13001</v>
      </c>
    </row>
    <row r="4247" ht="30" customHeight="1" spans="1:13">
      <c r="A4247" s="41">
        <f>IF(C4247="","",SUBTOTAL(103,$C$2:C4247))</f>
        <v>4238</v>
      </c>
      <c r="B4247" s="41">
        <v>2527</v>
      </c>
      <c r="C4247" s="41">
        <v>4197</v>
      </c>
      <c r="D4247" s="41" t="s">
        <v>45</v>
      </c>
      <c r="E4247" s="41" t="s">
        <v>1298</v>
      </c>
      <c r="F4247" s="41" t="s">
        <v>11893</v>
      </c>
      <c r="G4247" s="41" t="s">
        <v>13002</v>
      </c>
      <c r="H4247" s="41" t="s">
        <v>13003</v>
      </c>
      <c r="I4247" s="43">
        <v>12</v>
      </c>
      <c r="J4247" s="44" t="str">
        <f>VLOOKUP(G4247,[1]硬件清单!$F:$F,1,0)</f>
        <v>210305756810HA000667</v>
      </c>
      <c r="K4247" s="43"/>
      <c r="L4247" s="44"/>
      <c r="M4247" s="45" t="s">
        <v>13004</v>
      </c>
    </row>
    <row r="4248" ht="30" customHeight="1" spans="1:13">
      <c r="A4248" s="41">
        <f>IF(C4248="","",SUBTOTAL(103,$C$2:C4248))</f>
        <v>4239</v>
      </c>
      <c r="B4248" s="41">
        <v>2528</v>
      </c>
      <c r="C4248" s="41">
        <v>4196</v>
      </c>
      <c r="D4248" s="41" t="s">
        <v>45</v>
      </c>
      <c r="E4248" s="41" t="s">
        <v>1298</v>
      </c>
      <c r="F4248" s="41" t="s">
        <v>11893</v>
      </c>
      <c r="G4248" s="41" t="s">
        <v>13005</v>
      </c>
      <c r="H4248" s="41" t="s">
        <v>13006</v>
      </c>
      <c r="I4248" s="43">
        <v>12</v>
      </c>
      <c r="J4248" s="44" t="str">
        <f>VLOOKUP(G4248,[1]硬件清单!$F:$F,1,0)</f>
        <v>210305756810HA000477</v>
      </c>
      <c r="K4248" s="43"/>
      <c r="L4248" s="44"/>
      <c r="M4248" s="45" t="s">
        <v>13007</v>
      </c>
    </row>
    <row r="4249" ht="30" customHeight="1" spans="1:13">
      <c r="A4249" s="41">
        <f>IF(C4249="","",SUBTOTAL(103,$C$2:C4249))</f>
        <v>4240</v>
      </c>
      <c r="B4249" s="41">
        <v>2529</v>
      </c>
      <c r="C4249" s="41">
        <v>4210</v>
      </c>
      <c r="D4249" s="41" t="s">
        <v>45</v>
      </c>
      <c r="E4249" s="41" t="s">
        <v>1298</v>
      </c>
      <c r="F4249" s="41" t="s">
        <v>11893</v>
      </c>
      <c r="G4249" s="41" t="s">
        <v>13008</v>
      </c>
      <c r="H4249" s="41" t="s">
        <v>13009</v>
      </c>
      <c r="I4249" s="43">
        <v>12</v>
      </c>
      <c r="J4249" s="44" t="str">
        <f>VLOOKUP(G4249,[1]硬件清单!$F:$F,1,0)</f>
        <v>210305756810HA000287</v>
      </c>
      <c r="K4249" s="43"/>
      <c r="L4249" s="44"/>
      <c r="M4249" s="45" t="s">
        <v>13010</v>
      </c>
    </row>
    <row r="4250" ht="30" customHeight="1" spans="1:13">
      <c r="A4250" s="41">
        <f>IF(C4250="","",SUBTOTAL(103,$C$2:C4250))</f>
        <v>4241</v>
      </c>
      <c r="B4250" s="41">
        <v>2530</v>
      </c>
      <c r="C4250" s="41">
        <v>4209</v>
      </c>
      <c r="D4250" s="41" t="s">
        <v>45</v>
      </c>
      <c r="E4250" s="41" t="s">
        <v>1298</v>
      </c>
      <c r="F4250" s="41" t="s">
        <v>11893</v>
      </c>
      <c r="G4250" s="41" t="s">
        <v>13011</v>
      </c>
      <c r="H4250" s="41" t="s">
        <v>13012</v>
      </c>
      <c r="I4250" s="43">
        <v>12</v>
      </c>
      <c r="J4250" s="44" t="str">
        <f>VLOOKUP(G4250,[1]硬件清单!$F:$F,1,0)</f>
        <v>210305756810HA000672</v>
      </c>
      <c r="K4250" s="43"/>
      <c r="L4250" s="44"/>
      <c r="M4250" s="45" t="s">
        <v>13013</v>
      </c>
    </row>
    <row r="4251" ht="30" customHeight="1" spans="1:13">
      <c r="A4251" s="41">
        <f>IF(C4251="","",SUBTOTAL(103,$C$2:C4251))</f>
        <v>4242</v>
      </c>
      <c r="B4251" s="41">
        <v>2531</v>
      </c>
      <c r="C4251" s="41">
        <v>4208</v>
      </c>
      <c r="D4251" s="41" t="s">
        <v>45</v>
      </c>
      <c r="E4251" s="41" t="s">
        <v>1298</v>
      </c>
      <c r="F4251" s="41" t="s">
        <v>11893</v>
      </c>
      <c r="G4251" s="41" t="s">
        <v>13014</v>
      </c>
      <c r="H4251" s="41" t="s">
        <v>13015</v>
      </c>
      <c r="I4251" s="43">
        <v>12</v>
      </c>
      <c r="J4251" s="44" t="str">
        <f>VLOOKUP(G4251,[1]硬件清单!$F:$F,1,0)</f>
        <v>210305756810HA000389</v>
      </c>
      <c r="K4251" s="43"/>
      <c r="L4251" s="44"/>
      <c r="M4251" s="45" t="s">
        <v>13016</v>
      </c>
    </row>
    <row r="4252" ht="30" customHeight="1" spans="1:13">
      <c r="A4252" s="41">
        <f>IF(C4252="","",SUBTOTAL(103,$C$2:C4252))</f>
        <v>4243</v>
      </c>
      <c r="B4252" s="41">
        <v>2532</v>
      </c>
      <c r="C4252" s="41">
        <v>4207</v>
      </c>
      <c r="D4252" s="41" t="s">
        <v>45</v>
      </c>
      <c r="E4252" s="41" t="s">
        <v>1298</v>
      </c>
      <c r="F4252" s="41" t="s">
        <v>11893</v>
      </c>
      <c r="G4252" s="41" t="s">
        <v>13017</v>
      </c>
      <c r="H4252" s="41" t="s">
        <v>13018</v>
      </c>
      <c r="I4252" s="43">
        <v>12</v>
      </c>
      <c r="J4252" s="44" t="str">
        <f>VLOOKUP(G4252,[1]硬件清单!$F:$F,1,0)</f>
        <v>210305756810HA000441</v>
      </c>
      <c r="K4252" s="43"/>
      <c r="L4252" s="44"/>
      <c r="M4252" s="45" t="s">
        <v>13019</v>
      </c>
    </row>
    <row r="4253" ht="30" customHeight="1" spans="1:13">
      <c r="A4253" s="41">
        <f>IF(C4253="","",SUBTOTAL(103,$C$2:C4253))</f>
        <v>4244</v>
      </c>
      <c r="B4253" s="41">
        <v>2533</v>
      </c>
      <c r="C4253" s="41">
        <v>4206</v>
      </c>
      <c r="D4253" s="41" t="s">
        <v>45</v>
      </c>
      <c r="E4253" s="41" t="s">
        <v>1298</v>
      </c>
      <c r="F4253" s="41" t="s">
        <v>11893</v>
      </c>
      <c r="G4253" s="41" t="s">
        <v>13020</v>
      </c>
      <c r="H4253" s="41" t="s">
        <v>13021</v>
      </c>
      <c r="I4253" s="43">
        <v>12</v>
      </c>
      <c r="J4253" s="44" t="str">
        <f>VLOOKUP(G4253,[1]硬件清单!$F:$F,1,0)</f>
        <v>210305756810HA000600</v>
      </c>
      <c r="K4253" s="43"/>
      <c r="L4253" s="44"/>
      <c r="M4253" s="45" t="s">
        <v>13022</v>
      </c>
    </row>
    <row r="4254" ht="30" customHeight="1" spans="1:13">
      <c r="A4254" s="41">
        <f>IF(C4254="","",SUBTOTAL(103,$C$2:C4254))</f>
        <v>4245</v>
      </c>
      <c r="B4254" s="41">
        <v>2534</v>
      </c>
      <c r="C4254" s="41">
        <v>4205</v>
      </c>
      <c r="D4254" s="41" t="s">
        <v>45</v>
      </c>
      <c r="E4254" s="41" t="s">
        <v>1298</v>
      </c>
      <c r="F4254" s="41" t="s">
        <v>11893</v>
      </c>
      <c r="G4254" s="41" t="s">
        <v>13023</v>
      </c>
      <c r="H4254" s="41" t="s">
        <v>13024</v>
      </c>
      <c r="I4254" s="43">
        <v>12</v>
      </c>
      <c r="J4254" s="44" t="str">
        <f>VLOOKUP(G4254,[1]硬件清单!$F:$F,1,0)</f>
        <v>210305756810HA000462</v>
      </c>
      <c r="K4254" s="43"/>
      <c r="L4254" s="44"/>
      <c r="M4254" s="45" t="s">
        <v>13025</v>
      </c>
    </row>
    <row r="4255" ht="30" customHeight="1" spans="1:13">
      <c r="A4255" s="41">
        <f>IF(C4255="","",SUBTOTAL(103,$C$2:C4255))</f>
        <v>4246</v>
      </c>
      <c r="B4255" s="41">
        <v>2535</v>
      </c>
      <c r="C4255" s="41">
        <v>4204</v>
      </c>
      <c r="D4255" s="41" t="s">
        <v>45</v>
      </c>
      <c r="E4255" s="41" t="s">
        <v>1298</v>
      </c>
      <c r="F4255" s="41" t="s">
        <v>11893</v>
      </c>
      <c r="G4255" s="41" t="s">
        <v>13026</v>
      </c>
      <c r="H4255" s="41" t="s">
        <v>13027</v>
      </c>
      <c r="I4255" s="43">
        <v>12</v>
      </c>
      <c r="J4255" s="44" t="str">
        <f>VLOOKUP(G4255,[1]硬件清单!$F:$F,1,0)</f>
        <v>210305756810HA000621</v>
      </c>
      <c r="K4255" s="43"/>
      <c r="L4255" s="44"/>
      <c r="M4255" s="45" t="s">
        <v>13028</v>
      </c>
    </row>
    <row r="4256" ht="30" customHeight="1" spans="1:13">
      <c r="A4256" s="41">
        <f>IF(C4256="","",SUBTOTAL(103,$C$2:C4256))</f>
        <v>4247</v>
      </c>
      <c r="B4256" s="41">
        <v>2536</v>
      </c>
      <c r="C4256" s="41">
        <v>4203</v>
      </c>
      <c r="D4256" s="41" t="s">
        <v>45</v>
      </c>
      <c r="E4256" s="41" t="s">
        <v>1298</v>
      </c>
      <c r="F4256" s="41" t="s">
        <v>11893</v>
      </c>
      <c r="G4256" s="41" t="s">
        <v>13029</v>
      </c>
      <c r="H4256" s="41" t="s">
        <v>13030</v>
      </c>
      <c r="I4256" s="43">
        <v>12</v>
      </c>
      <c r="J4256" s="44" t="str">
        <f>VLOOKUP(G4256,[1]硬件清单!$F:$F,1,0)</f>
        <v>210305756810HA000209</v>
      </c>
      <c r="K4256" s="43"/>
      <c r="L4256" s="44"/>
      <c r="M4256" s="45" t="s">
        <v>13031</v>
      </c>
    </row>
    <row r="4257" ht="30" customHeight="1" spans="1:13">
      <c r="A4257" s="41">
        <f>IF(C4257="","",SUBTOTAL(103,$C$2:C4257))</f>
        <v>4248</v>
      </c>
      <c r="B4257" s="41">
        <v>2537</v>
      </c>
      <c r="C4257" s="41">
        <v>4528</v>
      </c>
      <c r="D4257" s="41" t="s">
        <v>45</v>
      </c>
      <c r="E4257" s="41" t="s">
        <v>1298</v>
      </c>
      <c r="F4257" s="41" t="s">
        <v>11889</v>
      </c>
      <c r="G4257" s="41" t="s">
        <v>13032</v>
      </c>
      <c r="H4257" s="41" t="s">
        <v>13033</v>
      </c>
      <c r="I4257" s="43">
        <v>12</v>
      </c>
      <c r="J4257" s="44" t="str">
        <f>VLOOKUP(G4257,[1]硬件清单!$F:$F,1,0)</f>
        <v>2102300742N0G6000384/
210230102810HA000057</v>
      </c>
      <c r="K4257" s="43"/>
      <c r="L4257" s="44"/>
      <c r="M4257" s="45" t="s">
        <v>13034</v>
      </c>
    </row>
    <row r="4258" ht="30" customHeight="1" spans="1:13">
      <c r="A4258" s="41">
        <f>IF(C4258="","",SUBTOTAL(103,$C$2:C4258))</f>
        <v>4249</v>
      </c>
      <c r="B4258" s="41">
        <v>2538</v>
      </c>
      <c r="C4258" s="41">
        <v>4524</v>
      </c>
      <c r="D4258" s="41" t="s">
        <v>45</v>
      </c>
      <c r="E4258" s="41" t="s">
        <v>1298</v>
      </c>
      <c r="F4258" s="41" t="s">
        <v>6065</v>
      </c>
      <c r="G4258" s="41" t="s">
        <v>13035</v>
      </c>
      <c r="H4258" s="41" t="s">
        <v>13036</v>
      </c>
      <c r="I4258" s="43">
        <v>12</v>
      </c>
      <c r="J4258" s="44" t="str">
        <f>VLOOKUP(G4258,[1]硬件清单!$F:$F,1,0)</f>
        <v>210305756810HA000385</v>
      </c>
      <c r="K4258" s="43"/>
      <c r="L4258" s="44"/>
      <c r="M4258" s="45" t="s">
        <v>13037</v>
      </c>
    </row>
    <row r="4259" ht="30" customHeight="1" spans="1:13">
      <c r="A4259" s="41">
        <f>IF(C4259="","",SUBTOTAL(103,$C$2:C4259))</f>
        <v>4250</v>
      </c>
      <c r="B4259" s="41">
        <v>2539</v>
      </c>
      <c r="C4259" s="41">
        <v>5123</v>
      </c>
      <c r="D4259" s="41" t="s">
        <v>45</v>
      </c>
      <c r="E4259" s="41" t="s">
        <v>1298</v>
      </c>
      <c r="F4259" s="41" t="s">
        <v>11893</v>
      </c>
      <c r="G4259" s="41" t="s">
        <v>13038</v>
      </c>
      <c r="H4259" s="41" t="s">
        <v>13039</v>
      </c>
      <c r="I4259" s="43">
        <v>12</v>
      </c>
      <c r="J4259" s="44" t="str">
        <f>VLOOKUP(G4259,[1]硬件清单!$F:$F,1,0)</f>
        <v>210305756810HA000383</v>
      </c>
      <c r="K4259" s="43"/>
      <c r="L4259" s="44"/>
      <c r="M4259" s="45" t="s">
        <v>13040</v>
      </c>
    </row>
    <row r="4260" ht="30" customHeight="1" spans="1:13">
      <c r="A4260" s="41">
        <f>IF(C4260="","",SUBTOTAL(103,$C$2:C4260))</f>
        <v>4251</v>
      </c>
      <c r="B4260" s="41">
        <v>2540</v>
      </c>
      <c r="C4260" s="41">
        <v>5124</v>
      </c>
      <c r="D4260" s="41" t="s">
        <v>45</v>
      </c>
      <c r="E4260" s="41" t="s">
        <v>1298</v>
      </c>
      <c r="F4260" s="41" t="s">
        <v>11893</v>
      </c>
      <c r="G4260" s="41" t="s">
        <v>13041</v>
      </c>
      <c r="H4260" s="41" t="s">
        <v>13042</v>
      </c>
      <c r="I4260" s="43">
        <v>12</v>
      </c>
      <c r="J4260" s="44" t="str">
        <f>VLOOKUP(G4260,[1]硬件清单!$F:$F,1,0)</f>
        <v>210305756810HA000649</v>
      </c>
      <c r="K4260" s="43"/>
      <c r="L4260" s="44"/>
      <c r="M4260" s="45" t="s">
        <v>13043</v>
      </c>
    </row>
    <row r="4261" ht="30" customHeight="1" spans="1:13">
      <c r="A4261" s="41">
        <f>IF(C4261="","",SUBTOTAL(103,$C$2:C4261))</f>
        <v>4252</v>
      </c>
      <c r="B4261" s="41">
        <v>2541</v>
      </c>
      <c r="C4261" s="41">
        <v>5125</v>
      </c>
      <c r="D4261" s="41" t="s">
        <v>45</v>
      </c>
      <c r="E4261" s="41" t="s">
        <v>1298</v>
      </c>
      <c r="F4261" s="41" t="s">
        <v>11893</v>
      </c>
      <c r="G4261" s="41" t="s">
        <v>13044</v>
      </c>
      <c r="H4261" s="41" t="s">
        <v>13045</v>
      </c>
      <c r="I4261" s="43">
        <v>12</v>
      </c>
      <c r="J4261" s="44" t="str">
        <f>VLOOKUP(G4261,[1]硬件清单!$F:$F,1,0)</f>
        <v>210305756810HA000182</v>
      </c>
      <c r="K4261" s="43"/>
      <c r="L4261" s="44"/>
      <c r="M4261" s="45" t="s">
        <v>13046</v>
      </c>
    </row>
    <row r="4262" ht="30" customHeight="1" spans="1:13">
      <c r="A4262" s="41">
        <f>IF(C4262="","",SUBTOTAL(103,$C$2:C4262))</f>
        <v>4253</v>
      </c>
      <c r="B4262" s="41">
        <v>2542</v>
      </c>
      <c r="C4262" s="41">
        <v>5126</v>
      </c>
      <c r="D4262" s="41" t="s">
        <v>45</v>
      </c>
      <c r="E4262" s="41" t="s">
        <v>1298</v>
      </c>
      <c r="F4262" s="41" t="s">
        <v>11893</v>
      </c>
      <c r="G4262" s="41" t="s">
        <v>13047</v>
      </c>
      <c r="H4262" s="41" t="s">
        <v>13048</v>
      </c>
      <c r="I4262" s="43">
        <v>12</v>
      </c>
      <c r="J4262" s="44" t="str">
        <f>VLOOKUP(G4262,[1]硬件清单!$F:$F,1,0)</f>
        <v>210305756810HA000658</v>
      </c>
      <c r="K4262" s="43"/>
      <c r="L4262" s="44"/>
      <c r="M4262" s="45" t="s">
        <v>13049</v>
      </c>
    </row>
    <row r="4263" ht="30" customHeight="1" spans="1:13">
      <c r="A4263" s="41">
        <f>IF(C4263="","",SUBTOTAL(103,$C$2:C4263))</f>
        <v>4254</v>
      </c>
      <c r="B4263" s="41">
        <v>2543</v>
      </c>
      <c r="C4263" s="41">
        <v>5127</v>
      </c>
      <c r="D4263" s="41" t="s">
        <v>45</v>
      </c>
      <c r="E4263" s="41" t="s">
        <v>1298</v>
      </c>
      <c r="F4263" s="41" t="s">
        <v>11893</v>
      </c>
      <c r="G4263" s="41" t="s">
        <v>13050</v>
      </c>
      <c r="H4263" s="41" t="s">
        <v>13051</v>
      </c>
      <c r="I4263" s="43">
        <v>12</v>
      </c>
      <c r="J4263" s="44" t="str">
        <f>VLOOKUP(G4263,[1]硬件清单!$F:$F,1,0)</f>
        <v>210305756810HA000153</v>
      </c>
      <c r="K4263" s="43"/>
      <c r="L4263" s="44"/>
      <c r="M4263" s="45" t="s">
        <v>13052</v>
      </c>
    </row>
    <row r="4264" ht="30" customHeight="1" spans="1:13">
      <c r="A4264" s="41">
        <f>IF(C4264="","",SUBTOTAL(103,$C$2:C4264))</f>
        <v>4255</v>
      </c>
      <c r="B4264" s="41">
        <v>2544</v>
      </c>
      <c r="C4264" s="41">
        <v>5128</v>
      </c>
      <c r="D4264" s="41" t="s">
        <v>45</v>
      </c>
      <c r="E4264" s="41" t="s">
        <v>1298</v>
      </c>
      <c r="F4264" s="41" t="s">
        <v>11893</v>
      </c>
      <c r="G4264" s="41" t="s">
        <v>13053</v>
      </c>
      <c r="H4264" s="41" t="s">
        <v>13054</v>
      </c>
      <c r="I4264" s="43">
        <v>12</v>
      </c>
      <c r="J4264" s="44" t="str">
        <f>VLOOKUP(G4264,[1]硬件清单!$F:$F,1,0)</f>
        <v>210305756810HA000184</v>
      </c>
      <c r="K4264" s="43"/>
      <c r="L4264" s="44"/>
      <c r="M4264" s="45" t="s">
        <v>13055</v>
      </c>
    </row>
    <row r="4265" ht="30" customHeight="1" spans="1:13">
      <c r="A4265" s="41">
        <f>IF(C4265="","",SUBTOTAL(103,$C$2:C4265))</f>
        <v>4256</v>
      </c>
      <c r="B4265" s="41">
        <v>2545</v>
      </c>
      <c r="C4265" s="41">
        <v>5129</v>
      </c>
      <c r="D4265" s="41" t="s">
        <v>45</v>
      </c>
      <c r="E4265" s="41" t="s">
        <v>1298</v>
      </c>
      <c r="F4265" s="41" t="s">
        <v>11893</v>
      </c>
      <c r="G4265" s="41" t="s">
        <v>13056</v>
      </c>
      <c r="H4265" s="41" t="s">
        <v>13057</v>
      </c>
      <c r="I4265" s="43">
        <v>12</v>
      </c>
      <c r="J4265" s="44" t="str">
        <f>VLOOKUP(G4265,[1]硬件清单!$F:$F,1,0)</f>
        <v>210305756810HA000662</v>
      </c>
      <c r="K4265" s="43"/>
      <c r="L4265" s="44"/>
      <c r="M4265" s="45" t="s">
        <v>13058</v>
      </c>
    </row>
    <row r="4266" ht="30" customHeight="1" spans="1:13">
      <c r="A4266" s="41">
        <f>IF(C4266="","",SUBTOTAL(103,$C$2:C4266))</f>
        <v>4257</v>
      </c>
      <c r="B4266" s="41">
        <v>2546</v>
      </c>
      <c r="C4266" s="41">
        <v>4525</v>
      </c>
      <c r="D4266" s="41" t="s">
        <v>45</v>
      </c>
      <c r="E4266" s="41" t="s">
        <v>1298</v>
      </c>
      <c r="F4266" s="41" t="s">
        <v>6065</v>
      </c>
      <c r="G4266" s="41" t="s">
        <v>13059</v>
      </c>
      <c r="H4266" s="41" t="s">
        <v>13060</v>
      </c>
      <c r="I4266" s="43">
        <v>12</v>
      </c>
      <c r="J4266" s="44" t="str">
        <f>VLOOKUP(G4266,[1]硬件清单!$F:$F,1,0)</f>
        <v>210305756810HA000286</v>
      </c>
      <c r="K4266" s="43"/>
      <c r="L4266" s="44"/>
      <c r="M4266" s="45" t="s">
        <v>13061</v>
      </c>
    </row>
    <row r="4267" ht="30" customHeight="1" spans="1:13">
      <c r="A4267" s="41">
        <f>IF(C4267="","",SUBTOTAL(103,$C$2:C4267))</f>
        <v>4258</v>
      </c>
      <c r="B4267" s="41">
        <v>2547</v>
      </c>
      <c r="C4267" s="41">
        <v>4526</v>
      </c>
      <c r="D4267" s="41" t="s">
        <v>45</v>
      </c>
      <c r="E4267" s="41" t="s">
        <v>1298</v>
      </c>
      <c r="F4267" s="41" t="s">
        <v>6065</v>
      </c>
      <c r="G4267" s="41" t="s">
        <v>13062</v>
      </c>
      <c r="H4267" s="41" t="s">
        <v>13063</v>
      </c>
      <c r="I4267" s="43">
        <v>12</v>
      </c>
      <c r="J4267" s="44" t="str">
        <f>VLOOKUP(G4267,[1]硬件清单!$F:$F,1,0)</f>
        <v>210305756810HA000613</v>
      </c>
      <c r="K4267" s="43"/>
      <c r="L4267" s="44"/>
      <c r="M4267" s="45" t="s">
        <v>13064</v>
      </c>
    </row>
    <row r="4268" ht="30" customHeight="1" spans="1:13">
      <c r="A4268" s="41">
        <f>IF(C4268="","",SUBTOTAL(103,$C$2:C4268))</f>
        <v>4259</v>
      </c>
      <c r="B4268" s="41">
        <v>2548</v>
      </c>
      <c r="C4268" s="41">
        <v>4527</v>
      </c>
      <c r="D4268" s="41" t="s">
        <v>45</v>
      </c>
      <c r="E4268" s="41" t="s">
        <v>1298</v>
      </c>
      <c r="F4268" s="41" t="s">
        <v>6065</v>
      </c>
      <c r="G4268" s="41" t="s">
        <v>13065</v>
      </c>
      <c r="H4268" s="41" t="s">
        <v>13066</v>
      </c>
      <c r="I4268" s="43">
        <v>12</v>
      </c>
      <c r="J4268" s="44" t="str">
        <f>VLOOKUP(G4268,[1]硬件清单!$F:$F,1,0)</f>
        <v>210305756810HA000167</v>
      </c>
      <c r="K4268" s="43"/>
      <c r="L4268" s="44"/>
      <c r="M4268" s="45" t="s">
        <v>13067</v>
      </c>
    </row>
    <row r="4269" ht="30" customHeight="1" spans="1:13">
      <c r="A4269" s="41">
        <f>IF(C4269="","",SUBTOTAL(103,$C$2:C4269))</f>
        <v>4260</v>
      </c>
      <c r="B4269" s="41">
        <v>2549</v>
      </c>
      <c r="C4269" s="41">
        <v>5118</v>
      </c>
      <c r="D4269" s="41" t="s">
        <v>45</v>
      </c>
      <c r="E4269" s="41" t="s">
        <v>1298</v>
      </c>
      <c r="F4269" s="41" t="s">
        <v>11893</v>
      </c>
      <c r="G4269" s="41" t="s">
        <v>13068</v>
      </c>
      <c r="H4269" s="41" t="s">
        <v>13069</v>
      </c>
      <c r="I4269" s="43">
        <v>12</v>
      </c>
      <c r="J4269" s="44" t="str">
        <f>VLOOKUP(G4269,[1]硬件清单!$F:$F,1,0)</f>
        <v>210305756810HA000608</v>
      </c>
      <c r="K4269" s="43"/>
      <c r="L4269" s="44"/>
      <c r="M4269" s="45" t="s">
        <v>13070</v>
      </c>
    </row>
    <row r="4270" ht="30" customHeight="1" spans="1:13">
      <c r="A4270" s="41">
        <f>IF(C4270="","",SUBTOTAL(103,$C$2:C4270))</f>
        <v>4261</v>
      </c>
      <c r="B4270" s="41">
        <v>2550</v>
      </c>
      <c r="C4270" s="41">
        <v>5119</v>
      </c>
      <c r="D4270" s="41" t="s">
        <v>45</v>
      </c>
      <c r="E4270" s="41" t="s">
        <v>1298</v>
      </c>
      <c r="F4270" s="41" t="s">
        <v>11893</v>
      </c>
      <c r="G4270" s="41" t="s">
        <v>13071</v>
      </c>
      <c r="H4270" s="41" t="s">
        <v>13072</v>
      </c>
      <c r="I4270" s="43">
        <v>12</v>
      </c>
      <c r="J4270" s="44" t="str">
        <f>VLOOKUP(G4270,[1]硬件清单!$F:$F,1,0)</f>
        <v>210305756810HA000284</v>
      </c>
      <c r="K4270" s="43"/>
      <c r="L4270" s="44"/>
      <c r="M4270" s="45" t="s">
        <v>13073</v>
      </c>
    </row>
    <row r="4271" ht="30" customHeight="1" spans="1:13">
      <c r="A4271" s="41">
        <f>IF(C4271="","",SUBTOTAL(103,$C$2:C4271))</f>
        <v>4262</v>
      </c>
      <c r="B4271" s="41">
        <v>2551</v>
      </c>
      <c r="C4271" s="41">
        <v>5120</v>
      </c>
      <c r="D4271" s="41" t="s">
        <v>45</v>
      </c>
      <c r="E4271" s="41" t="s">
        <v>1298</v>
      </c>
      <c r="F4271" s="41" t="s">
        <v>11893</v>
      </c>
      <c r="G4271" s="41" t="s">
        <v>13074</v>
      </c>
      <c r="H4271" s="41" t="s">
        <v>13075</v>
      </c>
      <c r="I4271" s="43">
        <v>12</v>
      </c>
      <c r="J4271" s="44" t="str">
        <f>VLOOKUP(G4271,[1]硬件清单!$F:$F,1,0)</f>
        <v>210305756810HA000643</v>
      </c>
      <c r="K4271" s="43"/>
      <c r="L4271" s="44"/>
      <c r="M4271" s="45" t="s">
        <v>13076</v>
      </c>
    </row>
    <row r="4272" ht="30" customHeight="1" spans="1:13">
      <c r="A4272" s="41">
        <f>IF(C4272="","",SUBTOTAL(103,$C$2:C4272))</f>
        <v>4263</v>
      </c>
      <c r="B4272" s="41">
        <v>2552</v>
      </c>
      <c r="C4272" s="41">
        <v>5121</v>
      </c>
      <c r="D4272" s="41" t="s">
        <v>45</v>
      </c>
      <c r="E4272" s="41" t="s">
        <v>1298</v>
      </c>
      <c r="F4272" s="41" t="s">
        <v>11893</v>
      </c>
      <c r="G4272" s="41" t="s">
        <v>13077</v>
      </c>
      <c r="H4272" s="41" t="s">
        <v>13078</v>
      </c>
      <c r="I4272" s="43">
        <v>12</v>
      </c>
      <c r="J4272" s="44" t="str">
        <f>VLOOKUP(G4272,[1]硬件清单!$F:$F,1,0)</f>
        <v>210305756810HA000602</v>
      </c>
      <c r="K4272" s="43"/>
      <c r="L4272" s="44"/>
      <c r="M4272" s="45" t="s">
        <v>13079</v>
      </c>
    </row>
    <row r="4273" ht="30" customHeight="1" spans="1:13">
      <c r="A4273" s="41">
        <f>IF(C4273="","",SUBTOTAL(103,$C$2:C4273))</f>
        <v>4264</v>
      </c>
      <c r="B4273" s="41">
        <v>2553</v>
      </c>
      <c r="C4273" s="41">
        <v>5122</v>
      </c>
      <c r="D4273" s="41" t="s">
        <v>45</v>
      </c>
      <c r="E4273" s="41" t="s">
        <v>1298</v>
      </c>
      <c r="F4273" s="41" t="s">
        <v>11893</v>
      </c>
      <c r="G4273" s="41" t="s">
        <v>13080</v>
      </c>
      <c r="H4273" s="41" t="s">
        <v>13081</v>
      </c>
      <c r="I4273" s="43">
        <v>12</v>
      </c>
      <c r="J4273" s="44" t="str">
        <f>VLOOKUP(G4273,[1]硬件清单!$F:$F,1,0)</f>
        <v>210305756810HA000214</v>
      </c>
      <c r="K4273" s="43"/>
      <c r="L4273" s="44"/>
      <c r="M4273" s="45" t="s">
        <v>13082</v>
      </c>
    </row>
    <row r="4274" ht="30" customHeight="1" spans="1:13">
      <c r="A4274" s="41">
        <f>IF(C4274="","",SUBTOTAL(103,$C$2:C4274))</f>
        <v>4265</v>
      </c>
      <c r="B4274" s="41">
        <v>2554</v>
      </c>
      <c r="C4274" s="41">
        <v>5353</v>
      </c>
      <c r="D4274" s="41" t="s">
        <v>45</v>
      </c>
      <c r="E4274" s="41" t="s">
        <v>1298</v>
      </c>
      <c r="F4274" s="41" t="s">
        <v>11889</v>
      </c>
      <c r="G4274" s="41" t="s">
        <v>13083</v>
      </c>
      <c r="H4274" s="41" t="s">
        <v>13084</v>
      </c>
      <c r="I4274" s="43">
        <v>12</v>
      </c>
      <c r="J4274" s="44" t="str">
        <f>VLOOKUP(G4274,[1]硬件清单!$F:$F,1,0)</f>
        <v>2102300742N0H9000471/
210230102810HA000060</v>
      </c>
      <c r="K4274" s="43"/>
      <c r="L4274" s="44"/>
      <c r="M4274" s="45" t="s">
        <v>13085</v>
      </c>
    </row>
    <row r="4275" ht="30" customHeight="1" spans="1:13">
      <c r="A4275" s="41">
        <f>IF(C4275="","",SUBTOTAL(103,$C$2:C4275))</f>
        <v>4266</v>
      </c>
      <c r="B4275" s="41">
        <v>2555</v>
      </c>
      <c r="C4275" s="41">
        <v>5115</v>
      </c>
      <c r="D4275" s="41" t="s">
        <v>45</v>
      </c>
      <c r="E4275" s="41" t="s">
        <v>1298</v>
      </c>
      <c r="F4275" s="41" t="s">
        <v>11893</v>
      </c>
      <c r="G4275" s="41" t="s">
        <v>13086</v>
      </c>
      <c r="H4275" s="41" t="s">
        <v>13087</v>
      </c>
      <c r="I4275" s="43">
        <v>12</v>
      </c>
      <c r="J4275" s="44" t="str">
        <f>VLOOKUP(G4275,[1]硬件清单!$F:$F,1,0)</f>
        <v>210305756810HA000657</v>
      </c>
      <c r="K4275" s="43"/>
      <c r="L4275" s="44"/>
      <c r="M4275" s="45" t="s">
        <v>13088</v>
      </c>
    </row>
    <row r="4276" ht="30" customHeight="1" spans="1:13">
      <c r="A4276" s="41">
        <f>IF(C4276="","",SUBTOTAL(103,$C$2:C4276))</f>
        <v>4267</v>
      </c>
      <c r="B4276" s="41">
        <v>2556</v>
      </c>
      <c r="C4276" s="41">
        <v>5164</v>
      </c>
      <c r="D4276" s="41" t="s">
        <v>45</v>
      </c>
      <c r="E4276" s="41" t="s">
        <v>1298</v>
      </c>
      <c r="F4276" s="41" t="s">
        <v>11893</v>
      </c>
      <c r="G4276" s="41" t="s">
        <v>13089</v>
      </c>
      <c r="H4276" s="41" t="s">
        <v>13090</v>
      </c>
      <c r="I4276" s="43">
        <v>12</v>
      </c>
      <c r="J4276" s="44" t="str">
        <f>VLOOKUP(G4276,[1]硬件清单!$F:$F,1,0)</f>
        <v>210305756810HA000473</v>
      </c>
      <c r="K4276" s="43"/>
      <c r="L4276" s="44"/>
      <c r="M4276" s="45" t="s">
        <v>13091</v>
      </c>
    </row>
    <row r="4277" ht="30" customHeight="1" spans="1:13">
      <c r="A4277" s="41">
        <f>IF(C4277="","",SUBTOTAL(103,$C$2:C4277))</f>
        <v>4268</v>
      </c>
      <c r="B4277" s="41">
        <v>2557</v>
      </c>
      <c r="C4277" s="41">
        <v>5187</v>
      </c>
      <c r="D4277" s="41" t="s">
        <v>45</v>
      </c>
      <c r="E4277" s="41" t="s">
        <v>1298</v>
      </c>
      <c r="F4277" s="41" t="s">
        <v>11893</v>
      </c>
      <c r="G4277" s="41" t="s">
        <v>13092</v>
      </c>
      <c r="H4277" s="41" t="s">
        <v>13093</v>
      </c>
      <c r="I4277" s="43">
        <v>12</v>
      </c>
      <c r="J4277" s="44" t="str">
        <f>VLOOKUP(G4277,[1]硬件清单!$F:$F,1,0)</f>
        <v>210305756810HA000460</v>
      </c>
      <c r="K4277" s="43"/>
      <c r="L4277" s="44"/>
      <c r="M4277" s="45" t="s">
        <v>13094</v>
      </c>
    </row>
    <row r="4278" ht="30" customHeight="1" spans="1:13">
      <c r="A4278" s="41">
        <f>IF(C4278="","",SUBTOTAL(103,$C$2:C4278))</f>
        <v>4269</v>
      </c>
      <c r="B4278" s="41">
        <v>2558</v>
      </c>
      <c r="C4278" s="41">
        <v>5188</v>
      </c>
      <c r="D4278" s="41" t="s">
        <v>45</v>
      </c>
      <c r="E4278" s="41" t="s">
        <v>1298</v>
      </c>
      <c r="F4278" s="41" t="s">
        <v>11893</v>
      </c>
      <c r="G4278" s="41" t="s">
        <v>13095</v>
      </c>
      <c r="H4278" s="41" t="s">
        <v>13096</v>
      </c>
      <c r="I4278" s="43">
        <v>12</v>
      </c>
      <c r="J4278" s="44" t="str">
        <f>VLOOKUP(G4278,[1]硬件清单!$F:$F,1,0)</f>
        <v>210305756810HA000166</v>
      </c>
      <c r="K4278" s="43"/>
      <c r="L4278" s="44"/>
      <c r="M4278" s="45" t="s">
        <v>13097</v>
      </c>
    </row>
    <row r="4279" ht="30" customHeight="1" spans="1:13">
      <c r="A4279" s="41">
        <f>IF(C4279="","",SUBTOTAL(103,$C$2:C4279))</f>
        <v>4270</v>
      </c>
      <c r="B4279" s="41">
        <v>2559</v>
      </c>
      <c r="C4279" s="41">
        <v>5189</v>
      </c>
      <c r="D4279" s="41" t="s">
        <v>45</v>
      </c>
      <c r="E4279" s="41" t="s">
        <v>1298</v>
      </c>
      <c r="F4279" s="41" t="s">
        <v>11893</v>
      </c>
      <c r="G4279" s="41" t="s">
        <v>13098</v>
      </c>
      <c r="H4279" s="41" t="s">
        <v>13099</v>
      </c>
      <c r="I4279" s="43">
        <v>12</v>
      </c>
      <c r="J4279" s="44" t="str">
        <f>VLOOKUP(G4279,[1]硬件清单!$F:$F,1,0)</f>
        <v>210305756810HA000671</v>
      </c>
      <c r="K4279" s="43"/>
      <c r="L4279" s="44"/>
      <c r="M4279" s="45" t="s">
        <v>13100</v>
      </c>
    </row>
    <row r="4280" ht="30" customHeight="1" spans="1:13">
      <c r="A4280" s="41">
        <f>IF(C4280="","",SUBTOTAL(103,$C$2:C4280))</f>
        <v>4271</v>
      </c>
      <c r="B4280" s="41">
        <v>2560</v>
      </c>
      <c r="C4280" s="41">
        <v>5190</v>
      </c>
      <c r="D4280" s="41" t="s">
        <v>45</v>
      </c>
      <c r="E4280" s="41" t="s">
        <v>1298</v>
      </c>
      <c r="F4280" s="41" t="s">
        <v>11893</v>
      </c>
      <c r="G4280" s="41" t="s">
        <v>13101</v>
      </c>
      <c r="H4280" s="41" t="s">
        <v>13102</v>
      </c>
      <c r="I4280" s="43">
        <v>12</v>
      </c>
      <c r="J4280" s="44" t="str">
        <f>VLOOKUP(G4280,[1]硬件清单!$F:$F,1,0)</f>
        <v>210305756810HA000641</v>
      </c>
      <c r="K4280" s="43"/>
      <c r="L4280" s="44"/>
      <c r="M4280" s="47" t="s">
        <v>13103</v>
      </c>
    </row>
    <row r="4281" ht="30" customHeight="1" spans="1:13">
      <c r="A4281" s="41">
        <f>IF(C4281="","",SUBTOTAL(103,$C$2:C4281))</f>
        <v>4272</v>
      </c>
      <c r="B4281" s="41">
        <v>2561</v>
      </c>
      <c r="C4281" s="41">
        <v>5191</v>
      </c>
      <c r="D4281" s="41" t="s">
        <v>45</v>
      </c>
      <c r="E4281" s="41" t="s">
        <v>1298</v>
      </c>
      <c r="F4281" s="41" t="s">
        <v>11893</v>
      </c>
      <c r="G4281" s="41" t="s">
        <v>13104</v>
      </c>
      <c r="H4281" s="41" t="s">
        <v>13105</v>
      </c>
      <c r="I4281" s="43">
        <v>12</v>
      </c>
      <c r="J4281" s="44" t="str">
        <f>VLOOKUP(G4281,[1]硬件清单!$F:$F,1,0)</f>
        <v>210305756810HA000475</v>
      </c>
      <c r="K4281" s="43"/>
      <c r="L4281" s="44"/>
      <c r="M4281" s="47" t="s">
        <v>13106</v>
      </c>
    </row>
    <row r="4282" ht="30" customHeight="1" spans="1:13">
      <c r="A4282" s="41">
        <f>IF(C4282="","",SUBTOTAL(103,$C$2:C4282))</f>
        <v>4273</v>
      </c>
      <c r="B4282" s="41">
        <v>2562</v>
      </c>
      <c r="C4282" s="41">
        <v>5192</v>
      </c>
      <c r="D4282" s="41" t="s">
        <v>45</v>
      </c>
      <c r="E4282" s="41" t="s">
        <v>1298</v>
      </c>
      <c r="F4282" s="41" t="s">
        <v>11893</v>
      </c>
      <c r="G4282" s="41" t="s">
        <v>13107</v>
      </c>
      <c r="H4282" s="41" t="s">
        <v>13108</v>
      </c>
      <c r="I4282" s="43">
        <v>12</v>
      </c>
      <c r="J4282" s="44" t="str">
        <f>VLOOKUP(G4282,[1]硬件清单!$F:$F,1,0)</f>
        <v>210305756810HA000485</v>
      </c>
      <c r="K4282" s="43"/>
      <c r="L4282" s="44"/>
      <c r="M4282" s="47" t="s">
        <v>13109</v>
      </c>
    </row>
    <row r="4283" ht="30" customHeight="1" spans="1:13">
      <c r="A4283" s="41">
        <f>IF(C4283="","",SUBTOTAL(103,$C$2:C4283))</f>
        <v>4274</v>
      </c>
      <c r="B4283" s="41">
        <v>2563</v>
      </c>
      <c r="C4283" s="41">
        <v>5116</v>
      </c>
      <c r="D4283" s="41" t="s">
        <v>45</v>
      </c>
      <c r="E4283" s="41" t="s">
        <v>1298</v>
      </c>
      <c r="F4283" s="41" t="s">
        <v>11893</v>
      </c>
      <c r="G4283" s="41" t="s">
        <v>13110</v>
      </c>
      <c r="H4283" s="41" t="s">
        <v>13111</v>
      </c>
      <c r="I4283" s="43">
        <v>12</v>
      </c>
      <c r="J4283" s="44" t="str">
        <f>VLOOKUP(G4283,[1]硬件清单!$F:$F,1,0)</f>
        <v>210305756810HA000154</v>
      </c>
      <c r="K4283" s="43"/>
      <c r="L4283" s="44"/>
      <c r="M4283" s="45" t="s">
        <v>13112</v>
      </c>
    </row>
    <row r="4284" ht="30" customHeight="1" spans="1:13">
      <c r="A4284" s="41">
        <f>IF(C4284="","",SUBTOTAL(103,$C$2:C4284))</f>
        <v>4275</v>
      </c>
      <c r="B4284" s="41">
        <v>2564</v>
      </c>
      <c r="C4284" s="41">
        <v>5117</v>
      </c>
      <c r="D4284" s="41" t="s">
        <v>45</v>
      </c>
      <c r="E4284" s="41" t="s">
        <v>1298</v>
      </c>
      <c r="F4284" s="41" t="s">
        <v>11893</v>
      </c>
      <c r="G4284" s="41" t="s">
        <v>13113</v>
      </c>
      <c r="H4284" s="41" t="s">
        <v>13114</v>
      </c>
      <c r="I4284" s="43">
        <v>12</v>
      </c>
      <c r="J4284" s="44" t="str">
        <f>VLOOKUP(G4284,[1]硬件清单!$F:$F,1,0)</f>
        <v>210305756810HA000471</v>
      </c>
      <c r="K4284" s="43"/>
      <c r="L4284" s="44"/>
      <c r="M4284" s="45" t="s">
        <v>13115</v>
      </c>
    </row>
    <row r="4285" ht="30" customHeight="1" spans="1:13">
      <c r="A4285" s="41">
        <f>IF(C4285="","",SUBTOTAL(103,$C$2:C4285))</f>
        <v>4276</v>
      </c>
      <c r="B4285" s="41">
        <v>2565</v>
      </c>
      <c r="C4285" s="41">
        <v>5130</v>
      </c>
      <c r="D4285" s="41" t="s">
        <v>45</v>
      </c>
      <c r="E4285" s="41" t="s">
        <v>1298</v>
      </c>
      <c r="F4285" s="41" t="s">
        <v>11893</v>
      </c>
      <c r="G4285" s="41" t="s">
        <v>13116</v>
      </c>
      <c r="H4285" s="41" t="s">
        <v>13117</v>
      </c>
      <c r="I4285" s="43">
        <v>12</v>
      </c>
      <c r="J4285" s="44" t="str">
        <f>VLOOKUP(G4285,[1]硬件清单!$F:$F,1,0)</f>
        <v>210305756810HA000470</v>
      </c>
      <c r="K4285" s="43"/>
      <c r="L4285" s="44"/>
      <c r="M4285" s="45" t="s">
        <v>13118</v>
      </c>
    </row>
    <row r="4286" ht="30" customHeight="1" spans="1:13">
      <c r="A4286" s="41">
        <f>IF(C4286="","",SUBTOTAL(103,$C$2:C4286))</f>
        <v>4277</v>
      </c>
      <c r="B4286" s="41">
        <v>2566</v>
      </c>
      <c r="C4286" s="41">
        <v>5131</v>
      </c>
      <c r="D4286" s="41" t="s">
        <v>45</v>
      </c>
      <c r="E4286" s="41" t="s">
        <v>1298</v>
      </c>
      <c r="F4286" s="41" t="s">
        <v>11893</v>
      </c>
      <c r="G4286" s="41" t="s">
        <v>13119</v>
      </c>
      <c r="H4286" s="41" t="s">
        <v>13120</v>
      </c>
      <c r="I4286" s="43">
        <v>12</v>
      </c>
      <c r="J4286" s="44" t="str">
        <f>VLOOKUP(G4286,[1]硬件清单!$F:$F,1,0)</f>
        <v>210305756810HA000468</v>
      </c>
      <c r="K4286" s="43"/>
      <c r="L4286" s="44"/>
      <c r="M4286" s="45" t="s">
        <v>13121</v>
      </c>
    </row>
    <row r="4287" ht="30" customHeight="1" spans="1:13">
      <c r="A4287" s="41">
        <f>IF(C4287="","",SUBTOTAL(103,$C$2:C4287))</f>
        <v>4278</v>
      </c>
      <c r="B4287" s="41">
        <v>2567</v>
      </c>
      <c r="C4287" s="41">
        <v>5132</v>
      </c>
      <c r="D4287" s="41" t="s">
        <v>45</v>
      </c>
      <c r="E4287" s="41" t="s">
        <v>1298</v>
      </c>
      <c r="F4287" s="41" t="s">
        <v>11893</v>
      </c>
      <c r="G4287" s="41" t="s">
        <v>13122</v>
      </c>
      <c r="H4287" s="41" t="s">
        <v>13123</v>
      </c>
      <c r="I4287" s="43">
        <v>12</v>
      </c>
      <c r="J4287" s="44" t="str">
        <f>VLOOKUP(G4287,[1]硬件清单!$F:$F,1,0)</f>
        <v>210305756810HA000397</v>
      </c>
      <c r="K4287" s="43"/>
      <c r="L4287" s="44"/>
      <c r="M4287" s="45" t="s">
        <v>13124</v>
      </c>
    </row>
    <row r="4288" ht="30" customHeight="1" spans="1:13">
      <c r="A4288" s="41">
        <f>IF(C4288="","",SUBTOTAL(103,$C$2:C4288))</f>
        <v>4279</v>
      </c>
      <c r="B4288" s="41">
        <v>2568</v>
      </c>
      <c r="C4288" s="41">
        <v>5133</v>
      </c>
      <c r="D4288" s="41" t="s">
        <v>45</v>
      </c>
      <c r="E4288" s="41" t="s">
        <v>1298</v>
      </c>
      <c r="F4288" s="41" t="s">
        <v>11893</v>
      </c>
      <c r="G4288" s="41" t="s">
        <v>13125</v>
      </c>
      <c r="H4288" s="41" t="s">
        <v>13126</v>
      </c>
      <c r="I4288" s="43">
        <v>12</v>
      </c>
      <c r="J4288" s="44" t="str">
        <f>VLOOKUP(G4288,[1]硬件清单!$F:$F,1,0)</f>
        <v>210305756810HA000635</v>
      </c>
      <c r="K4288" s="43"/>
      <c r="L4288" s="44"/>
      <c r="M4288" s="45" t="s">
        <v>13127</v>
      </c>
    </row>
    <row r="4289" ht="30" customHeight="1" spans="1:13">
      <c r="A4289" s="41">
        <f>IF(C4289="","",SUBTOTAL(103,$C$2:C4289))</f>
        <v>4280</v>
      </c>
      <c r="B4289" s="41">
        <v>2569</v>
      </c>
      <c r="C4289" s="41">
        <v>5162</v>
      </c>
      <c r="D4289" s="41" t="s">
        <v>45</v>
      </c>
      <c r="E4289" s="41" t="s">
        <v>1298</v>
      </c>
      <c r="F4289" s="41" t="s">
        <v>11893</v>
      </c>
      <c r="G4289" s="41" t="s">
        <v>13128</v>
      </c>
      <c r="H4289" s="41" t="s">
        <v>13129</v>
      </c>
      <c r="I4289" s="43">
        <v>12</v>
      </c>
      <c r="J4289" s="44" t="str">
        <f>VLOOKUP(G4289,[1]硬件清单!$F:$F,1,0)</f>
        <v>210305756810HA000637</v>
      </c>
      <c r="K4289" s="43"/>
      <c r="L4289" s="44"/>
      <c r="M4289" s="45" t="s">
        <v>13130</v>
      </c>
    </row>
    <row r="4290" ht="30" customHeight="1" spans="1:13">
      <c r="A4290" s="41">
        <f>IF(C4290="","",SUBTOTAL(103,$C$2:C4290))</f>
        <v>4281</v>
      </c>
      <c r="B4290" s="41">
        <v>2570</v>
      </c>
      <c r="C4290" s="41">
        <v>5163</v>
      </c>
      <c r="D4290" s="41" t="s">
        <v>45</v>
      </c>
      <c r="E4290" s="41" t="s">
        <v>1298</v>
      </c>
      <c r="F4290" s="41" t="s">
        <v>11893</v>
      </c>
      <c r="G4290" s="41" t="s">
        <v>13131</v>
      </c>
      <c r="H4290" s="41" t="s">
        <v>13132</v>
      </c>
      <c r="I4290" s="43">
        <v>12</v>
      </c>
      <c r="J4290" s="44" t="str">
        <f>VLOOKUP(G4290,[1]硬件清单!$F:$F,1,0)</f>
        <v>210305756810HA000403</v>
      </c>
      <c r="K4290" s="43"/>
      <c r="L4290" s="44"/>
      <c r="M4290" s="45" t="s">
        <v>13133</v>
      </c>
    </row>
    <row r="4291" ht="30" customHeight="1" spans="1:13">
      <c r="A4291" s="41">
        <f>IF(C4291="","",SUBTOTAL(103,$C$2:C4291))</f>
        <v>4282</v>
      </c>
      <c r="B4291" s="41">
        <v>2571</v>
      </c>
      <c r="C4291" s="41">
        <v>5352</v>
      </c>
      <c r="D4291" s="41" t="s">
        <v>45</v>
      </c>
      <c r="E4291" s="41" t="s">
        <v>1298</v>
      </c>
      <c r="F4291" s="41" t="s">
        <v>11889</v>
      </c>
      <c r="G4291" s="41" t="s">
        <v>13134</v>
      </c>
      <c r="H4291" s="41" t="s">
        <v>13135</v>
      </c>
      <c r="I4291" s="43">
        <v>12</v>
      </c>
      <c r="J4291" s="44" t="str">
        <f>VLOOKUP(G4291,[1]硬件清单!$F:$F,1,0)</f>
        <v>2102300742N0H9000537/
210230102810HA000016</v>
      </c>
      <c r="K4291" s="43"/>
      <c r="L4291" s="44"/>
      <c r="M4291" s="45" t="s">
        <v>13136</v>
      </c>
    </row>
    <row r="4292" ht="30" customHeight="1" spans="1:13">
      <c r="A4292" s="41">
        <f>IF(C4292="","",SUBTOTAL(103,$C$2:C4292))</f>
        <v>4283</v>
      </c>
      <c r="B4292" s="41">
        <v>2572</v>
      </c>
      <c r="C4292" s="41">
        <v>5165</v>
      </c>
      <c r="D4292" s="41" t="s">
        <v>45</v>
      </c>
      <c r="E4292" s="41" t="s">
        <v>1298</v>
      </c>
      <c r="F4292" s="41" t="s">
        <v>11893</v>
      </c>
      <c r="G4292" s="41" t="s">
        <v>13137</v>
      </c>
      <c r="H4292" s="41" t="s">
        <v>13138</v>
      </c>
      <c r="I4292" s="43">
        <v>12</v>
      </c>
      <c r="J4292" s="44" t="str">
        <f>VLOOKUP(G4292,[1]硬件清单!$F:$F,1,0)</f>
        <v>210305756810HA000484</v>
      </c>
      <c r="K4292" s="43"/>
      <c r="L4292" s="44"/>
      <c r="M4292" s="45" t="s">
        <v>13139</v>
      </c>
    </row>
    <row r="4293" ht="30" customHeight="1" spans="1:13">
      <c r="A4293" s="41">
        <f>IF(C4293="","",SUBTOTAL(103,$C$2:C4293))</f>
        <v>4284</v>
      </c>
      <c r="B4293" s="41">
        <v>2573</v>
      </c>
      <c r="C4293" s="41">
        <v>5174</v>
      </c>
      <c r="D4293" s="41" t="s">
        <v>45</v>
      </c>
      <c r="E4293" s="41" t="s">
        <v>1298</v>
      </c>
      <c r="F4293" s="41" t="s">
        <v>11893</v>
      </c>
      <c r="G4293" s="41" t="s">
        <v>13140</v>
      </c>
      <c r="H4293" s="41" t="s">
        <v>13141</v>
      </c>
      <c r="I4293" s="43">
        <v>12</v>
      </c>
      <c r="J4293" s="44" t="str">
        <f>VLOOKUP(G4293,[1]硬件清单!$F:$F,1,0)</f>
        <v>210305756810HA000598</v>
      </c>
      <c r="K4293" s="43"/>
      <c r="L4293" s="44"/>
      <c r="M4293" s="47" t="s">
        <v>13142</v>
      </c>
    </row>
    <row r="4294" ht="30" customHeight="1" spans="1:13">
      <c r="A4294" s="41">
        <f>IF(C4294="","",SUBTOTAL(103,$C$2:C4294))</f>
        <v>4285</v>
      </c>
      <c r="B4294" s="41">
        <v>2574</v>
      </c>
      <c r="C4294" s="41">
        <v>5175</v>
      </c>
      <c r="D4294" s="41" t="s">
        <v>45</v>
      </c>
      <c r="E4294" s="41" t="s">
        <v>1298</v>
      </c>
      <c r="F4294" s="41" t="s">
        <v>11893</v>
      </c>
      <c r="G4294" s="41" t="s">
        <v>13143</v>
      </c>
      <c r="H4294" s="41" t="s">
        <v>13144</v>
      </c>
      <c r="I4294" s="43">
        <v>12</v>
      </c>
      <c r="J4294" s="44" t="str">
        <f>VLOOKUP(G4294,[1]硬件清单!$F:$F,1,0)</f>
        <v>210305756810HA000395</v>
      </c>
      <c r="K4294" s="43"/>
      <c r="L4294" s="44"/>
      <c r="M4294" s="47" t="s">
        <v>13145</v>
      </c>
    </row>
    <row r="4295" ht="30" customHeight="1" spans="1:13">
      <c r="A4295" s="41">
        <f>IF(C4295="","",SUBTOTAL(103,$C$2:C4295))</f>
        <v>4286</v>
      </c>
      <c r="B4295" s="41">
        <v>2575</v>
      </c>
      <c r="C4295" s="41">
        <v>5176</v>
      </c>
      <c r="D4295" s="41" t="s">
        <v>45</v>
      </c>
      <c r="E4295" s="41" t="s">
        <v>1298</v>
      </c>
      <c r="F4295" s="41" t="s">
        <v>11893</v>
      </c>
      <c r="G4295" s="41" t="s">
        <v>13146</v>
      </c>
      <c r="H4295" s="41" t="s">
        <v>13147</v>
      </c>
      <c r="I4295" s="43">
        <v>12</v>
      </c>
      <c r="J4295" s="44" t="str">
        <f>VLOOKUP(G4295,[1]硬件清单!$F:$F,1,0)</f>
        <v>210305756810HA000376</v>
      </c>
      <c r="K4295" s="43"/>
      <c r="L4295" s="44"/>
      <c r="M4295" s="45" t="s">
        <v>13148</v>
      </c>
    </row>
    <row r="4296" ht="30" customHeight="1" spans="1:13">
      <c r="A4296" s="41">
        <f>IF(C4296="","",SUBTOTAL(103,$C$2:C4296))</f>
        <v>4287</v>
      </c>
      <c r="B4296" s="41">
        <v>2576</v>
      </c>
      <c r="C4296" s="41">
        <v>5177</v>
      </c>
      <c r="D4296" s="41" t="s">
        <v>45</v>
      </c>
      <c r="E4296" s="41" t="s">
        <v>1298</v>
      </c>
      <c r="F4296" s="41" t="s">
        <v>11893</v>
      </c>
      <c r="G4296" s="41" t="s">
        <v>13149</v>
      </c>
      <c r="H4296" s="41" t="s">
        <v>13150</v>
      </c>
      <c r="I4296" s="43">
        <v>12</v>
      </c>
      <c r="J4296" s="44" t="str">
        <f>VLOOKUP(G4296,[1]硬件清单!$F:$F,1,0)</f>
        <v>210305756810HA000452</v>
      </c>
      <c r="K4296" s="43"/>
      <c r="L4296" s="44"/>
      <c r="M4296" s="45" t="s">
        <v>13151</v>
      </c>
    </row>
    <row r="4297" ht="30" customHeight="1" spans="1:13">
      <c r="A4297" s="41">
        <f>IF(C4297="","",SUBTOTAL(103,$C$2:C4297))</f>
        <v>4288</v>
      </c>
      <c r="B4297" s="41">
        <v>2577</v>
      </c>
      <c r="C4297" s="41">
        <v>5178</v>
      </c>
      <c r="D4297" s="41" t="s">
        <v>45</v>
      </c>
      <c r="E4297" s="41" t="s">
        <v>1298</v>
      </c>
      <c r="F4297" s="41" t="s">
        <v>11893</v>
      </c>
      <c r="G4297" s="41" t="s">
        <v>13152</v>
      </c>
      <c r="H4297" s="41" t="s">
        <v>13153</v>
      </c>
      <c r="I4297" s="43">
        <v>12</v>
      </c>
      <c r="J4297" s="44" t="str">
        <f>VLOOKUP(G4297,[1]硬件清单!$F:$F,1,0)</f>
        <v>210305756810HA000632</v>
      </c>
      <c r="K4297" s="43"/>
      <c r="L4297" s="44"/>
      <c r="M4297" s="45" t="s">
        <v>13154</v>
      </c>
    </row>
    <row r="4298" ht="30" customHeight="1" spans="1:13">
      <c r="A4298" s="41">
        <f>IF(C4298="","",SUBTOTAL(103,$C$2:C4298))</f>
        <v>4289</v>
      </c>
      <c r="B4298" s="41">
        <v>2578</v>
      </c>
      <c r="C4298" s="41">
        <v>5179</v>
      </c>
      <c r="D4298" s="41" t="s">
        <v>45</v>
      </c>
      <c r="E4298" s="41" t="s">
        <v>1298</v>
      </c>
      <c r="F4298" s="41" t="s">
        <v>11893</v>
      </c>
      <c r="G4298" s="41" t="s">
        <v>13155</v>
      </c>
      <c r="H4298" s="41" t="s">
        <v>13156</v>
      </c>
      <c r="I4298" s="43">
        <v>12</v>
      </c>
      <c r="J4298" s="44" t="str">
        <f>VLOOKUP(G4298,[1]硬件清单!$F:$F,1,0)</f>
        <v>210305756810HA000666</v>
      </c>
      <c r="K4298" s="43"/>
      <c r="L4298" s="44"/>
      <c r="M4298" s="45" t="s">
        <v>13157</v>
      </c>
    </row>
    <row r="4299" ht="30" customHeight="1" spans="1:13">
      <c r="A4299" s="41">
        <f>IF(C4299="","",SUBTOTAL(103,$C$2:C4299))</f>
        <v>4290</v>
      </c>
      <c r="B4299" s="41">
        <v>2579</v>
      </c>
      <c r="C4299" s="41">
        <v>5180</v>
      </c>
      <c r="D4299" s="41" t="s">
        <v>45</v>
      </c>
      <c r="E4299" s="41" t="s">
        <v>1298</v>
      </c>
      <c r="F4299" s="41" t="s">
        <v>11893</v>
      </c>
      <c r="G4299" s="41" t="s">
        <v>13158</v>
      </c>
      <c r="H4299" s="41" t="s">
        <v>13159</v>
      </c>
      <c r="I4299" s="43">
        <v>12</v>
      </c>
      <c r="J4299" s="44" t="str">
        <f>VLOOKUP(G4299,[1]硬件清单!$F:$F,1,0)</f>
        <v>210305756810HA000387</v>
      </c>
      <c r="K4299" s="43"/>
      <c r="L4299" s="44"/>
      <c r="M4299" s="45" t="s">
        <v>13160</v>
      </c>
    </row>
    <row r="4300" ht="30" customHeight="1" spans="1:13">
      <c r="A4300" s="41">
        <f>IF(C4300="","",SUBTOTAL(103,$C$2:C4300))</f>
        <v>4291</v>
      </c>
      <c r="B4300" s="41">
        <v>2580</v>
      </c>
      <c r="C4300" s="41">
        <v>5166</v>
      </c>
      <c r="D4300" s="41" t="s">
        <v>45</v>
      </c>
      <c r="E4300" s="41" t="s">
        <v>1298</v>
      </c>
      <c r="F4300" s="41" t="s">
        <v>11893</v>
      </c>
      <c r="G4300" s="41" t="s">
        <v>13161</v>
      </c>
      <c r="H4300" s="41" t="s">
        <v>13162</v>
      </c>
      <c r="I4300" s="43">
        <v>12</v>
      </c>
      <c r="J4300" s="44" t="str">
        <f>VLOOKUP(G4300,[1]硬件清单!$F:$F,1,0)</f>
        <v>210305756810HA000171</v>
      </c>
      <c r="K4300" s="43"/>
      <c r="L4300" s="44"/>
      <c r="M4300" s="45" t="s">
        <v>13163</v>
      </c>
    </row>
    <row r="4301" ht="30" customHeight="1" spans="1:13">
      <c r="A4301" s="41">
        <f>IF(C4301="","",SUBTOTAL(103,$C$2:C4301))</f>
        <v>4292</v>
      </c>
      <c r="B4301" s="41">
        <v>2581</v>
      </c>
      <c r="C4301" s="41">
        <v>5167</v>
      </c>
      <c r="D4301" s="41" t="s">
        <v>45</v>
      </c>
      <c r="E4301" s="41" t="s">
        <v>1298</v>
      </c>
      <c r="F4301" s="41" t="s">
        <v>11893</v>
      </c>
      <c r="G4301" s="41" t="s">
        <v>13164</v>
      </c>
      <c r="H4301" s="41" t="s">
        <v>13165</v>
      </c>
      <c r="I4301" s="43">
        <v>12</v>
      </c>
      <c r="J4301" s="44" t="str">
        <f>VLOOKUP(G4301,[1]硬件清单!$F:$F,1,0)</f>
        <v>210305756810HA000360</v>
      </c>
      <c r="K4301" s="43"/>
      <c r="L4301" s="44"/>
      <c r="M4301" s="45" t="s">
        <v>13166</v>
      </c>
    </row>
    <row r="4302" ht="30" customHeight="1" spans="1:13">
      <c r="A4302" s="41">
        <f>IF(C4302="","",SUBTOTAL(103,$C$2:C4302))</f>
        <v>4293</v>
      </c>
      <c r="B4302" s="41">
        <v>2582</v>
      </c>
      <c r="C4302" s="41">
        <v>5168</v>
      </c>
      <c r="D4302" s="41" t="s">
        <v>45</v>
      </c>
      <c r="E4302" s="41" t="s">
        <v>1298</v>
      </c>
      <c r="F4302" s="41" t="s">
        <v>11893</v>
      </c>
      <c r="G4302" s="41" t="s">
        <v>13167</v>
      </c>
      <c r="H4302" s="41" t="s">
        <v>13168</v>
      </c>
      <c r="I4302" s="43">
        <v>12</v>
      </c>
      <c r="J4302" s="44" t="str">
        <f>VLOOKUP(G4302,[1]硬件清单!$F:$F,1,0)</f>
        <v>210305756810HA000604</v>
      </c>
      <c r="K4302" s="43"/>
      <c r="L4302" s="44"/>
      <c r="M4302" s="45" t="s">
        <v>13169</v>
      </c>
    </row>
    <row r="4303" ht="30" customHeight="1" spans="1:13">
      <c r="A4303" s="41">
        <f>IF(C4303="","",SUBTOTAL(103,$C$2:C4303))</f>
        <v>4294</v>
      </c>
      <c r="B4303" s="41">
        <v>2583</v>
      </c>
      <c r="C4303" s="41">
        <v>5169</v>
      </c>
      <c r="D4303" s="41" t="s">
        <v>45</v>
      </c>
      <c r="E4303" s="41" t="s">
        <v>1298</v>
      </c>
      <c r="F4303" s="41" t="s">
        <v>11893</v>
      </c>
      <c r="G4303" s="41" t="s">
        <v>13170</v>
      </c>
      <c r="H4303" s="41" t="s">
        <v>13171</v>
      </c>
      <c r="I4303" s="43">
        <v>12</v>
      </c>
      <c r="J4303" s="44" t="str">
        <f>VLOOKUP(G4303,[1]硬件清单!$F:$F,1,0)</f>
        <v>210305756810HA000168</v>
      </c>
      <c r="K4303" s="43"/>
      <c r="L4303" s="44"/>
      <c r="M4303" s="45" t="s">
        <v>13172</v>
      </c>
    </row>
    <row r="4304" ht="30" customHeight="1" spans="1:13">
      <c r="A4304" s="41">
        <f>IF(C4304="","",SUBTOTAL(103,$C$2:C4304))</f>
        <v>4295</v>
      </c>
      <c r="B4304" s="41">
        <v>2584</v>
      </c>
      <c r="C4304" s="41">
        <v>5170</v>
      </c>
      <c r="D4304" s="41" t="s">
        <v>45</v>
      </c>
      <c r="E4304" s="41" t="s">
        <v>1298</v>
      </c>
      <c r="F4304" s="41" t="s">
        <v>11893</v>
      </c>
      <c r="G4304" s="41" t="s">
        <v>13173</v>
      </c>
      <c r="H4304" s="41" t="s">
        <v>13174</v>
      </c>
      <c r="I4304" s="43">
        <v>12</v>
      </c>
      <c r="J4304" s="44" t="str">
        <f>VLOOKUP(G4304,[1]硬件清单!$F:$F,1,0)</f>
        <v>210305756810HA000388</v>
      </c>
      <c r="K4304" s="43"/>
      <c r="L4304" s="44"/>
      <c r="M4304" s="45" t="s">
        <v>13175</v>
      </c>
    </row>
    <row r="4305" ht="30" customHeight="1" spans="1:13">
      <c r="A4305" s="41">
        <f>IF(C4305="","",SUBTOTAL(103,$C$2:C4305))</f>
        <v>4296</v>
      </c>
      <c r="B4305" s="41">
        <v>2585</v>
      </c>
      <c r="C4305" s="41">
        <v>5171</v>
      </c>
      <c r="D4305" s="41" t="s">
        <v>45</v>
      </c>
      <c r="E4305" s="41" t="s">
        <v>1298</v>
      </c>
      <c r="F4305" s="41" t="s">
        <v>11893</v>
      </c>
      <c r="G4305" s="41" t="s">
        <v>13176</v>
      </c>
      <c r="H4305" s="41" t="s">
        <v>13177</v>
      </c>
      <c r="I4305" s="43">
        <v>12</v>
      </c>
      <c r="J4305" s="44" t="str">
        <f>VLOOKUP(G4305,[1]硬件清单!$F:$F,1,0)</f>
        <v>210305756810HA000474</v>
      </c>
      <c r="K4305" s="43"/>
      <c r="L4305" s="44"/>
      <c r="M4305" s="45" t="s">
        <v>13178</v>
      </c>
    </row>
    <row r="4306" ht="30" customHeight="1" spans="1:13">
      <c r="A4306" s="41">
        <f>IF(C4306="","",SUBTOTAL(103,$C$2:C4306))</f>
        <v>4297</v>
      </c>
      <c r="B4306" s="41">
        <v>2586</v>
      </c>
      <c r="C4306" s="41">
        <v>5172</v>
      </c>
      <c r="D4306" s="41" t="s">
        <v>45</v>
      </c>
      <c r="E4306" s="41" t="s">
        <v>1298</v>
      </c>
      <c r="F4306" s="41" t="s">
        <v>11893</v>
      </c>
      <c r="G4306" s="41" t="s">
        <v>13179</v>
      </c>
      <c r="H4306" s="41" t="s">
        <v>13180</v>
      </c>
      <c r="I4306" s="43">
        <v>12</v>
      </c>
      <c r="J4306" s="44" t="str">
        <f>VLOOKUP(G4306,[1]硬件清单!$F:$F,1,0)</f>
        <v>210305756810HA000447</v>
      </c>
      <c r="K4306" s="43"/>
      <c r="L4306" s="44"/>
      <c r="M4306" s="47" t="s">
        <v>13181</v>
      </c>
    </row>
    <row r="4307" ht="30" customHeight="1" spans="1:13">
      <c r="A4307" s="41">
        <f>IF(C4307="","",SUBTOTAL(103,$C$2:C4307))</f>
        <v>4298</v>
      </c>
      <c r="B4307" s="41">
        <v>2587</v>
      </c>
      <c r="C4307" s="41">
        <v>5173</v>
      </c>
      <c r="D4307" s="41" t="s">
        <v>45</v>
      </c>
      <c r="E4307" s="41" t="s">
        <v>1298</v>
      </c>
      <c r="F4307" s="41" t="s">
        <v>11893</v>
      </c>
      <c r="G4307" s="41" t="s">
        <v>13182</v>
      </c>
      <c r="H4307" s="41" t="s">
        <v>13183</v>
      </c>
      <c r="I4307" s="43">
        <v>12</v>
      </c>
      <c r="J4307" s="44" t="str">
        <f>VLOOKUP(G4307,[1]硬件清单!$F:$F,1,0)</f>
        <v>210305756810HA000617</v>
      </c>
      <c r="K4307" s="43"/>
      <c r="L4307" s="44"/>
      <c r="M4307" s="47" t="s">
        <v>13184</v>
      </c>
    </row>
    <row r="4308" ht="30" customHeight="1" spans="1:13">
      <c r="A4308" s="41">
        <f>IF(C4308="","",SUBTOTAL(103,$C$2:C4308))</f>
        <v>4299</v>
      </c>
      <c r="B4308" s="41">
        <v>2588</v>
      </c>
      <c r="C4308" s="41">
        <v>5355</v>
      </c>
      <c r="D4308" s="41" t="s">
        <v>45</v>
      </c>
      <c r="E4308" s="41" t="s">
        <v>1298</v>
      </c>
      <c r="F4308" s="41" t="s">
        <v>11889</v>
      </c>
      <c r="G4308" s="41" t="s">
        <v>13185</v>
      </c>
      <c r="H4308" s="41" t="s">
        <v>13186</v>
      </c>
      <c r="I4308" s="43">
        <v>12</v>
      </c>
      <c r="J4308" s="44" t="str">
        <f>VLOOKUP(G4308,[1]硬件清单!$F:$F,1,0)</f>
        <v>2102300742N0H9000545/
210230102810HA000019</v>
      </c>
      <c r="K4308" s="43"/>
      <c r="L4308" s="44"/>
      <c r="M4308" s="45" t="s">
        <v>13187</v>
      </c>
    </row>
    <row r="4309" ht="30" customHeight="1" spans="1:13">
      <c r="A4309" s="41">
        <f>IF(C4309="","",SUBTOTAL(103,$C$2:C4309))</f>
        <v>4300</v>
      </c>
      <c r="B4309" s="41">
        <v>2589</v>
      </c>
      <c r="C4309" s="41">
        <v>5269</v>
      </c>
      <c r="D4309" s="41" t="s">
        <v>45</v>
      </c>
      <c r="E4309" s="41" t="s">
        <v>1298</v>
      </c>
      <c r="F4309" s="41" t="s">
        <v>11893</v>
      </c>
      <c r="G4309" s="41" t="s">
        <v>13188</v>
      </c>
      <c r="H4309" s="41" t="s">
        <v>13189</v>
      </c>
      <c r="I4309" s="43">
        <v>12</v>
      </c>
      <c r="J4309" s="44" t="str">
        <f>VLOOKUP(G4309,[1]硬件清单!$F:$F,1,0)</f>
        <v>210305756810HA000183</v>
      </c>
      <c r="K4309" s="43"/>
      <c r="L4309" s="44"/>
      <c r="M4309" s="45" t="s">
        <v>13190</v>
      </c>
    </row>
    <row r="4310" ht="30" customHeight="1" spans="1:13">
      <c r="A4310" s="41">
        <f>IF(C4310="","",SUBTOTAL(103,$C$2:C4310))</f>
        <v>4301</v>
      </c>
      <c r="B4310" s="41">
        <v>2590</v>
      </c>
      <c r="C4310" s="41">
        <v>5286</v>
      </c>
      <c r="D4310" s="41" t="s">
        <v>45</v>
      </c>
      <c r="E4310" s="41" t="s">
        <v>1298</v>
      </c>
      <c r="F4310" s="41" t="s">
        <v>11893</v>
      </c>
      <c r="G4310" s="41" t="s">
        <v>13191</v>
      </c>
      <c r="H4310" s="41" t="s">
        <v>13192</v>
      </c>
      <c r="I4310" s="43">
        <v>12</v>
      </c>
      <c r="J4310" s="44" t="str">
        <f>VLOOKUP(G4310,[1]硬件清单!$F:$F,1,0)</f>
        <v>210305756810HA000674</v>
      </c>
      <c r="K4310" s="43"/>
      <c r="L4310" s="44"/>
      <c r="M4310" s="47" t="s">
        <v>13193</v>
      </c>
    </row>
    <row r="4311" ht="30" customHeight="1" spans="1:13">
      <c r="A4311" s="41">
        <f>IF(C4311="","",SUBTOTAL(103,$C$2:C4311))</f>
        <v>4302</v>
      </c>
      <c r="B4311" s="41">
        <v>2591</v>
      </c>
      <c r="C4311" s="41">
        <v>5287</v>
      </c>
      <c r="D4311" s="41" t="s">
        <v>45</v>
      </c>
      <c r="E4311" s="41" t="s">
        <v>1298</v>
      </c>
      <c r="F4311" s="41" t="s">
        <v>11893</v>
      </c>
      <c r="G4311" s="41" t="s">
        <v>13194</v>
      </c>
      <c r="H4311" s="41" t="s">
        <v>13195</v>
      </c>
      <c r="I4311" s="43">
        <v>12</v>
      </c>
      <c r="J4311" s="44" t="str">
        <f>VLOOKUP(G4311,[1]硬件清单!$F:$F,1,0)</f>
        <v>210305756810HA000205</v>
      </c>
      <c r="K4311" s="43"/>
      <c r="L4311" s="44"/>
      <c r="M4311" s="47" t="s">
        <v>13196</v>
      </c>
    </row>
    <row r="4312" ht="30" customHeight="1" spans="1:13">
      <c r="A4312" s="41">
        <f>IF(C4312="","",SUBTOTAL(103,$C$2:C4312))</f>
        <v>4303</v>
      </c>
      <c r="B4312" s="41">
        <v>2592</v>
      </c>
      <c r="C4312" s="41">
        <v>5288</v>
      </c>
      <c r="D4312" s="41" t="s">
        <v>45</v>
      </c>
      <c r="E4312" s="41" t="s">
        <v>1298</v>
      </c>
      <c r="F4312" s="41" t="s">
        <v>11893</v>
      </c>
      <c r="G4312" s="41" t="s">
        <v>13197</v>
      </c>
      <c r="H4312" s="41" t="s">
        <v>13198</v>
      </c>
      <c r="I4312" s="43">
        <v>12</v>
      </c>
      <c r="J4312" s="44" t="str">
        <f>VLOOKUP(G4312,[1]硬件清单!$F:$F,1,0)</f>
        <v>210305756810HA001177</v>
      </c>
      <c r="K4312" s="43"/>
      <c r="L4312" s="44"/>
      <c r="M4312" s="47" t="s">
        <v>13199</v>
      </c>
    </row>
    <row r="4313" ht="30" customHeight="1" spans="1:13">
      <c r="A4313" s="41">
        <f>IF(C4313="","",SUBTOTAL(103,$C$2:C4313))</f>
        <v>4304</v>
      </c>
      <c r="B4313" s="41">
        <v>2593</v>
      </c>
      <c r="C4313" s="41">
        <v>5289</v>
      </c>
      <c r="D4313" s="41" t="s">
        <v>45</v>
      </c>
      <c r="E4313" s="41" t="s">
        <v>1298</v>
      </c>
      <c r="F4313" s="41" t="s">
        <v>11893</v>
      </c>
      <c r="G4313" s="41" t="s">
        <v>13200</v>
      </c>
      <c r="H4313" s="41" t="s">
        <v>13201</v>
      </c>
      <c r="I4313" s="43">
        <v>12</v>
      </c>
      <c r="J4313" s="44" t="str">
        <f>VLOOKUP(G4313,[1]硬件清单!$F:$F,1,0)</f>
        <v>210305756810HA000931</v>
      </c>
      <c r="K4313" s="43"/>
      <c r="L4313" s="44"/>
      <c r="M4313" s="47" t="s">
        <v>13202</v>
      </c>
    </row>
    <row r="4314" ht="30" customHeight="1" spans="1:13">
      <c r="A4314" s="41">
        <f>IF(C4314="","",SUBTOTAL(103,$C$2:C4314))</f>
        <v>4305</v>
      </c>
      <c r="B4314" s="41">
        <v>2594</v>
      </c>
      <c r="C4314" s="41">
        <v>5290</v>
      </c>
      <c r="D4314" s="41" t="s">
        <v>45</v>
      </c>
      <c r="E4314" s="41" t="s">
        <v>1298</v>
      </c>
      <c r="F4314" s="41" t="s">
        <v>11893</v>
      </c>
      <c r="G4314" s="41" t="s">
        <v>13203</v>
      </c>
      <c r="H4314" s="41" t="s">
        <v>13204</v>
      </c>
      <c r="I4314" s="43">
        <v>12</v>
      </c>
      <c r="J4314" s="44" t="str">
        <f>VLOOKUP(G4314,[1]硬件清单!$F:$F,1,0)</f>
        <v>210305756810HA001148</v>
      </c>
      <c r="K4314" s="43"/>
      <c r="L4314" s="44"/>
      <c r="M4314" s="47" t="s">
        <v>13205</v>
      </c>
    </row>
    <row r="4315" ht="30" customHeight="1" spans="1:13">
      <c r="A4315" s="41">
        <f>IF(C4315="","",SUBTOTAL(103,$C$2:C4315))</f>
        <v>4306</v>
      </c>
      <c r="B4315" s="41">
        <v>2595</v>
      </c>
      <c r="C4315" s="41">
        <v>5301</v>
      </c>
      <c r="D4315" s="41" t="s">
        <v>45</v>
      </c>
      <c r="E4315" s="41" t="s">
        <v>1298</v>
      </c>
      <c r="F4315" s="41" t="s">
        <v>11893</v>
      </c>
      <c r="G4315" s="41" t="s">
        <v>13206</v>
      </c>
      <c r="H4315" s="41" t="s">
        <v>13207</v>
      </c>
      <c r="I4315" s="43">
        <v>12</v>
      </c>
      <c r="J4315" s="44" t="str">
        <f>VLOOKUP(G4315,[1]硬件清单!$F:$F,1,0)</f>
        <v>210305756810HA001133</v>
      </c>
      <c r="K4315" s="43"/>
      <c r="L4315" s="44"/>
      <c r="M4315" s="45" t="s">
        <v>13208</v>
      </c>
    </row>
    <row r="4316" ht="30" customHeight="1" spans="1:13">
      <c r="A4316" s="41">
        <f>IF(C4316="","",SUBTOTAL(103,$C$2:C4316))</f>
        <v>4307</v>
      </c>
      <c r="B4316" s="41">
        <v>2596</v>
      </c>
      <c r="C4316" s="41">
        <v>5302</v>
      </c>
      <c r="D4316" s="41" t="s">
        <v>45</v>
      </c>
      <c r="E4316" s="41" t="s">
        <v>1298</v>
      </c>
      <c r="F4316" s="41" t="s">
        <v>11893</v>
      </c>
      <c r="G4316" s="41" t="s">
        <v>13209</v>
      </c>
      <c r="H4316" s="41" t="s">
        <v>13210</v>
      </c>
      <c r="I4316" s="43">
        <v>12</v>
      </c>
      <c r="J4316" s="44" t="str">
        <f>VLOOKUP(G4316,[1]硬件清单!$F:$F,1,0)</f>
        <v>210305756810HA001089</v>
      </c>
      <c r="K4316" s="43"/>
      <c r="L4316" s="44"/>
      <c r="M4316" s="45" t="s">
        <v>13211</v>
      </c>
    </row>
    <row r="4317" ht="30" customHeight="1" spans="1:13">
      <c r="A4317" s="41">
        <f>IF(C4317="","",SUBTOTAL(103,$C$2:C4317))</f>
        <v>4308</v>
      </c>
      <c r="B4317" s="41">
        <v>2597</v>
      </c>
      <c r="C4317" s="41">
        <v>5270</v>
      </c>
      <c r="D4317" s="41" t="s">
        <v>45</v>
      </c>
      <c r="E4317" s="41" t="s">
        <v>1298</v>
      </c>
      <c r="F4317" s="41" t="s">
        <v>11893</v>
      </c>
      <c r="G4317" s="41" t="s">
        <v>13212</v>
      </c>
      <c r="H4317" s="41" t="s">
        <v>13213</v>
      </c>
      <c r="I4317" s="43">
        <v>12</v>
      </c>
      <c r="J4317" s="44" t="str">
        <f>VLOOKUP(G4317,[1]硬件清单!$F:$F,1,0)</f>
        <v>210305756810HA000482</v>
      </c>
      <c r="K4317" s="43"/>
      <c r="L4317" s="44"/>
      <c r="M4317" s="45" t="s">
        <v>13214</v>
      </c>
    </row>
    <row r="4318" ht="30" customHeight="1" spans="1:13">
      <c r="A4318" s="41">
        <f>IF(C4318="","",SUBTOTAL(103,$C$2:C4318))</f>
        <v>4309</v>
      </c>
      <c r="B4318" s="41">
        <v>2598</v>
      </c>
      <c r="C4318" s="41">
        <v>5271</v>
      </c>
      <c r="D4318" s="41" t="s">
        <v>45</v>
      </c>
      <c r="E4318" s="41" t="s">
        <v>1298</v>
      </c>
      <c r="F4318" s="41" t="s">
        <v>11893</v>
      </c>
      <c r="G4318" s="41" t="s">
        <v>13215</v>
      </c>
      <c r="H4318" s="41" t="s">
        <v>13216</v>
      </c>
      <c r="I4318" s="43">
        <v>12</v>
      </c>
      <c r="J4318" s="44" t="str">
        <f>VLOOKUP(G4318,[1]硬件清单!$F:$F,1,0)</f>
        <v>210305756810HA000365</v>
      </c>
      <c r="K4318" s="43"/>
      <c r="L4318" s="44"/>
      <c r="M4318" s="45" t="s">
        <v>13217</v>
      </c>
    </row>
    <row r="4319" ht="30" customHeight="1" spans="1:13">
      <c r="A4319" s="41">
        <f>IF(C4319="","",SUBTOTAL(103,$C$2:C4319))</f>
        <v>4310</v>
      </c>
      <c r="B4319" s="41">
        <v>2599</v>
      </c>
      <c r="C4319" s="41">
        <v>5272</v>
      </c>
      <c r="D4319" s="41" t="s">
        <v>45</v>
      </c>
      <c r="E4319" s="41" t="s">
        <v>1298</v>
      </c>
      <c r="F4319" s="41" t="s">
        <v>11893</v>
      </c>
      <c r="G4319" s="41" t="s">
        <v>13218</v>
      </c>
      <c r="H4319" s="41" t="s">
        <v>13219</v>
      </c>
      <c r="I4319" s="43">
        <v>12</v>
      </c>
      <c r="J4319" s="44" t="str">
        <f>VLOOKUP(G4319,[1]硬件清单!$F:$F,1,0)</f>
        <v>210305756810HA000203</v>
      </c>
      <c r="K4319" s="43"/>
      <c r="L4319" s="44"/>
      <c r="M4319" s="45" t="s">
        <v>13220</v>
      </c>
    </row>
    <row r="4320" ht="30" customHeight="1" spans="1:13">
      <c r="A4320" s="41">
        <f>IF(C4320="","",SUBTOTAL(103,$C$2:C4320))</f>
        <v>4311</v>
      </c>
      <c r="B4320" s="41">
        <v>2600</v>
      </c>
      <c r="C4320" s="41">
        <v>5273</v>
      </c>
      <c r="D4320" s="41" t="s">
        <v>45</v>
      </c>
      <c r="E4320" s="41" t="s">
        <v>1298</v>
      </c>
      <c r="F4320" s="41" t="s">
        <v>11893</v>
      </c>
      <c r="G4320" s="41" t="s">
        <v>13221</v>
      </c>
      <c r="H4320" s="41" t="s">
        <v>13222</v>
      </c>
      <c r="I4320" s="43">
        <v>12</v>
      </c>
      <c r="J4320" s="44" t="str">
        <f>VLOOKUP(G4320,[1]硬件清单!$F:$F,1,0)</f>
        <v>210305756810HA000603</v>
      </c>
      <c r="K4320" s="43"/>
      <c r="L4320" s="44"/>
      <c r="M4320" s="45" t="s">
        <v>13223</v>
      </c>
    </row>
    <row r="4321" ht="30" customHeight="1" spans="1:13">
      <c r="A4321" s="41">
        <f>IF(C4321="","",SUBTOTAL(103,$C$2:C4321))</f>
        <v>4312</v>
      </c>
      <c r="B4321" s="41">
        <v>2601</v>
      </c>
      <c r="C4321" s="41">
        <v>5274</v>
      </c>
      <c r="D4321" s="41" t="s">
        <v>45</v>
      </c>
      <c r="E4321" s="41" t="s">
        <v>1298</v>
      </c>
      <c r="F4321" s="41" t="s">
        <v>11893</v>
      </c>
      <c r="G4321" s="41" t="s">
        <v>13224</v>
      </c>
      <c r="H4321" s="41" t="s">
        <v>13225</v>
      </c>
      <c r="I4321" s="43">
        <v>12</v>
      </c>
      <c r="J4321" s="44" t="str">
        <f>VLOOKUP(G4321,[1]硬件清单!$F:$F,1,0)</f>
        <v>210305756810HA000605</v>
      </c>
      <c r="K4321" s="43"/>
      <c r="L4321" s="44"/>
      <c r="M4321" s="45" t="s">
        <v>13226</v>
      </c>
    </row>
    <row r="4322" ht="30" customHeight="1" spans="1:13">
      <c r="A4322" s="41">
        <f>IF(C4322="","",SUBTOTAL(103,$C$2:C4322))</f>
        <v>4313</v>
      </c>
      <c r="B4322" s="41">
        <v>2602</v>
      </c>
      <c r="C4322" s="41">
        <v>5283</v>
      </c>
      <c r="D4322" s="41" t="s">
        <v>45</v>
      </c>
      <c r="E4322" s="41" t="s">
        <v>1298</v>
      </c>
      <c r="F4322" s="41" t="s">
        <v>11893</v>
      </c>
      <c r="G4322" s="41" t="s">
        <v>13227</v>
      </c>
      <c r="H4322" s="41" t="s">
        <v>13228</v>
      </c>
      <c r="I4322" s="43">
        <v>12</v>
      </c>
      <c r="J4322" s="44" t="str">
        <f>VLOOKUP(G4322,[1]硬件清单!$F:$F,1,0)</f>
        <v>210305756810HA000374</v>
      </c>
      <c r="K4322" s="43"/>
      <c r="L4322" s="44"/>
      <c r="M4322" s="45" t="s">
        <v>13229</v>
      </c>
    </row>
    <row r="4323" ht="30" customHeight="1" spans="1:13">
      <c r="A4323" s="41">
        <f>IF(C4323="","",SUBTOTAL(103,$C$2:C4323))</f>
        <v>4314</v>
      </c>
      <c r="B4323" s="41">
        <v>2603</v>
      </c>
      <c r="C4323" s="41">
        <v>5284</v>
      </c>
      <c r="D4323" s="41" t="s">
        <v>45</v>
      </c>
      <c r="E4323" s="41" t="s">
        <v>1298</v>
      </c>
      <c r="F4323" s="41" t="s">
        <v>11893</v>
      </c>
      <c r="G4323" s="41" t="s">
        <v>13230</v>
      </c>
      <c r="H4323" s="41" t="s">
        <v>13231</v>
      </c>
      <c r="I4323" s="43">
        <v>12</v>
      </c>
      <c r="J4323" s="44" t="str">
        <f>VLOOKUP(G4323,[1]硬件清单!$F:$F,1,0)</f>
        <v>210305756810HA000371</v>
      </c>
      <c r="K4323" s="43"/>
      <c r="L4323" s="44"/>
      <c r="M4323" s="47" t="s">
        <v>13232</v>
      </c>
    </row>
    <row r="4324" ht="30" customHeight="1" spans="1:13">
      <c r="A4324" s="41">
        <f>IF(C4324="","",SUBTOTAL(103,$C$2:C4324))</f>
        <v>4315</v>
      </c>
      <c r="B4324" s="41">
        <v>2604</v>
      </c>
      <c r="C4324" s="41">
        <v>5285</v>
      </c>
      <c r="D4324" s="41" t="s">
        <v>45</v>
      </c>
      <c r="E4324" s="41" t="s">
        <v>1298</v>
      </c>
      <c r="F4324" s="41" t="s">
        <v>11893</v>
      </c>
      <c r="G4324" s="41" t="s">
        <v>13233</v>
      </c>
      <c r="H4324" s="41" t="s">
        <v>13234</v>
      </c>
      <c r="I4324" s="43">
        <v>12</v>
      </c>
      <c r="J4324" s="44" t="str">
        <f>VLOOKUP(G4324,[1]硬件清单!$F:$F,1,0)</f>
        <v>210305756810HA000440</v>
      </c>
      <c r="K4324" s="43"/>
      <c r="L4324" s="44"/>
      <c r="M4324" s="47" t="s">
        <v>13235</v>
      </c>
    </row>
    <row r="4325" ht="30" customHeight="1" spans="1:13">
      <c r="A4325" s="41">
        <f>IF(C4325="","",SUBTOTAL(103,$C$2:C4325))</f>
        <v>4316</v>
      </c>
      <c r="B4325" s="41">
        <v>2605</v>
      </c>
      <c r="C4325" s="41">
        <v>5354</v>
      </c>
      <c r="D4325" s="41" t="s">
        <v>45</v>
      </c>
      <c r="E4325" s="41" t="s">
        <v>1298</v>
      </c>
      <c r="F4325" s="41" t="s">
        <v>11889</v>
      </c>
      <c r="G4325" s="41" t="s">
        <v>13236</v>
      </c>
      <c r="H4325" s="41" t="s">
        <v>13237</v>
      </c>
      <c r="I4325" s="43">
        <v>12</v>
      </c>
      <c r="J4325" s="44" t="str">
        <f>VLOOKUP(G4325,[1]硬件清单!$F:$F,1,0)</f>
        <v>2102300742N0H9000553/
210230102810HA000014</v>
      </c>
      <c r="K4325" s="43"/>
      <c r="L4325" s="44"/>
      <c r="M4325" s="45" t="s">
        <v>13238</v>
      </c>
    </row>
    <row r="4326" ht="30" customHeight="1" spans="1:13">
      <c r="A4326" s="41">
        <f>IF(C4326="","",SUBTOTAL(103,$C$2:C4326))</f>
        <v>4317</v>
      </c>
      <c r="B4326" s="41">
        <v>2606</v>
      </c>
      <c r="C4326" s="41">
        <v>5297</v>
      </c>
      <c r="D4326" s="41" t="s">
        <v>45</v>
      </c>
      <c r="E4326" s="41" t="s">
        <v>1298</v>
      </c>
      <c r="F4326" s="41" t="s">
        <v>11893</v>
      </c>
      <c r="G4326" s="41" t="s">
        <v>13239</v>
      </c>
      <c r="H4326" s="41" t="s">
        <v>13240</v>
      </c>
      <c r="I4326" s="43">
        <v>12</v>
      </c>
      <c r="J4326" s="44" t="str">
        <f>VLOOKUP(G4326,[1]硬件清单!$F:$F,1,0)</f>
        <v>210305756810HA001166</v>
      </c>
      <c r="K4326" s="43"/>
      <c r="L4326" s="44"/>
      <c r="M4326" s="45" t="s">
        <v>13241</v>
      </c>
    </row>
    <row r="4327" ht="30" customHeight="1" spans="1:13">
      <c r="A4327" s="41">
        <f>IF(C4327="","",SUBTOTAL(103,$C$2:C4327))</f>
        <v>4318</v>
      </c>
      <c r="B4327" s="41">
        <v>2607</v>
      </c>
      <c r="C4327" s="41">
        <v>5308</v>
      </c>
      <c r="D4327" s="41" t="s">
        <v>45</v>
      </c>
      <c r="E4327" s="41" t="s">
        <v>1298</v>
      </c>
      <c r="F4327" s="41" t="s">
        <v>11893</v>
      </c>
      <c r="G4327" s="41" t="s">
        <v>13242</v>
      </c>
      <c r="H4327" s="41" t="s">
        <v>13243</v>
      </c>
      <c r="I4327" s="43">
        <v>12</v>
      </c>
      <c r="J4327" s="44" t="str">
        <f>VLOOKUP(G4327,[1]硬件清单!$F:$F,1,0)</f>
        <v>210305756810HA001107</v>
      </c>
      <c r="K4327" s="43"/>
      <c r="L4327" s="44"/>
      <c r="M4327" s="45" t="s">
        <v>13244</v>
      </c>
    </row>
    <row r="4328" ht="30" customHeight="1" spans="1:13">
      <c r="A4328" s="41">
        <f>IF(C4328="","",SUBTOTAL(103,$C$2:C4328))</f>
        <v>4319</v>
      </c>
      <c r="B4328" s="41">
        <v>2608</v>
      </c>
      <c r="C4328" s="41">
        <v>5337</v>
      </c>
      <c r="D4328" s="41" t="s">
        <v>45</v>
      </c>
      <c r="E4328" s="41" t="s">
        <v>1298</v>
      </c>
      <c r="F4328" s="41" t="s">
        <v>11893</v>
      </c>
      <c r="G4328" s="41" t="s">
        <v>13245</v>
      </c>
      <c r="H4328" s="41" t="s">
        <v>13246</v>
      </c>
      <c r="I4328" s="43">
        <v>12</v>
      </c>
      <c r="J4328" s="44" t="str">
        <f>VLOOKUP(G4328,[1]硬件清单!$F:$F,1,0)</f>
        <v>210305756810HA001169</v>
      </c>
      <c r="K4328" s="43"/>
      <c r="L4328" s="44"/>
      <c r="M4328" s="45" t="s">
        <v>13247</v>
      </c>
    </row>
    <row r="4329" ht="30" customHeight="1" spans="1:13">
      <c r="A4329" s="41">
        <f>IF(C4329="","",SUBTOTAL(103,$C$2:C4329))</f>
        <v>4320</v>
      </c>
      <c r="B4329" s="41">
        <v>2609</v>
      </c>
      <c r="C4329" s="41">
        <v>5338</v>
      </c>
      <c r="D4329" s="41" t="s">
        <v>45</v>
      </c>
      <c r="E4329" s="41" t="s">
        <v>1298</v>
      </c>
      <c r="F4329" s="41" t="s">
        <v>11893</v>
      </c>
      <c r="G4329" s="41" t="s">
        <v>13248</v>
      </c>
      <c r="H4329" s="41" t="s">
        <v>13249</v>
      </c>
      <c r="I4329" s="43">
        <v>12</v>
      </c>
      <c r="J4329" s="44" t="str">
        <f>VLOOKUP(G4329,[1]硬件清单!$F:$F,1,0)</f>
        <v>210305756810HA000836</v>
      </c>
      <c r="K4329" s="43"/>
      <c r="L4329" s="44"/>
      <c r="M4329" s="45" t="s">
        <v>13250</v>
      </c>
    </row>
    <row r="4330" ht="30" customHeight="1" spans="1:13">
      <c r="A4330" s="41">
        <f>IF(C4330="","",SUBTOTAL(103,$C$2:C4330))</f>
        <v>4321</v>
      </c>
      <c r="B4330" s="41">
        <v>2610</v>
      </c>
      <c r="C4330" s="41">
        <v>5339</v>
      </c>
      <c r="D4330" s="41" t="s">
        <v>45</v>
      </c>
      <c r="E4330" s="41" t="s">
        <v>1298</v>
      </c>
      <c r="F4330" s="41" t="s">
        <v>11893</v>
      </c>
      <c r="G4330" s="41" t="s">
        <v>13251</v>
      </c>
      <c r="H4330" s="41" t="s">
        <v>13252</v>
      </c>
      <c r="I4330" s="43">
        <v>12</v>
      </c>
      <c r="J4330" s="44" t="str">
        <f>VLOOKUP(G4330,[1]硬件清单!$F:$F,1,0)</f>
        <v>210305756810HA001117</v>
      </c>
      <c r="K4330" s="43"/>
      <c r="L4330" s="44"/>
      <c r="M4330" s="45" t="s">
        <v>13253</v>
      </c>
    </row>
    <row r="4331" ht="30" customHeight="1" spans="1:13">
      <c r="A4331" s="41">
        <f>IF(C4331="","",SUBTOTAL(103,$C$2:C4331))</f>
        <v>4322</v>
      </c>
      <c r="B4331" s="41">
        <v>2611</v>
      </c>
      <c r="C4331" s="41">
        <v>5340</v>
      </c>
      <c r="D4331" s="41" t="s">
        <v>45</v>
      </c>
      <c r="E4331" s="41" t="s">
        <v>1298</v>
      </c>
      <c r="F4331" s="41" t="s">
        <v>11893</v>
      </c>
      <c r="G4331" s="41" t="s">
        <v>13254</v>
      </c>
      <c r="H4331" s="41" t="s">
        <v>13255</v>
      </c>
      <c r="I4331" s="43">
        <v>12</v>
      </c>
      <c r="J4331" s="44" t="str">
        <f>VLOOKUP(G4331,[1]硬件清单!$F:$F,1,0)</f>
        <v>210305756810HA001173</v>
      </c>
      <c r="K4331" s="43"/>
      <c r="L4331" s="44"/>
      <c r="M4331" s="45" t="s">
        <v>13256</v>
      </c>
    </row>
    <row r="4332" ht="30" customHeight="1" spans="1:13">
      <c r="A4332" s="41">
        <f>IF(C4332="","",SUBTOTAL(103,$C$2:C4332))</f>
        <v>4323</v>
      </c>
      <c r="B4332" s="41">
        <v>2612</v>
      </c>
      <c r="C4332" s="41">
        <v>5347</v>
      </c>
      <c r="D4332" s="41" t="s">
        <v>45</v>
      </c>
      <c r="E4332" s="41" t="s">
        <v>1298</v>
      </c>
      <c r="F4332" s="41" t="s">
        <v>11893</v>
      </c>
      <c r="G4332" s="41" t="s">
        <v>13257</v>
      </c>
      <c r="H4332" s="41" t="s">
        <v>13258</v>
      </c>
      <c r="I4332" s="43">
        <v>12</v>
      </c>
      <c r="J4332" s="44" t="str">
        <f>VLOOKUP(G4332,[1]硬件清单!$F:$F,1,0)</f>
        <v>210305756810HA001090</v>
      </c>
      <c r="K4332" s="43"/>
      <c r="L4332" s="44"/>
      <c r="M4332" s="45" t="s">
        <v>13259</v>
      </c>
    </row>
    <row r="4333" ht="30" customHeight="1" spans="1:13">
      <c r="A4333" s="41">
        <f>IF(C4333="","",SUBTOTAL(103,$C$2:C4333))</f>
        <v>4324</v>
      </c>
      <c r="B4333" s="41">
        <v>2613</v>
      </c>
      <c r="C4333" s="41">
        <v>5348</v>
      </c>
      <c r="D4333" s="41" t="s">
        <v>45</v>
      </c>
      <c r="E4333" s="41" t="s">
        <v>1298</v>
      </c>
      <c r="F4333" s="41" t="s">
        <v>11893</v>
      </c>
      <c r="G4333" s="41" t="s">
        <v>13260</v>
      </c>
      <c r="H4333" s="41" t="s">
        <v>13261</v>
      </c>
      <c r="I4333" s="43">
        <v>12</v>
      </c>
      <c r="J4333" s="44" t="str">
        <f>VLOOKUP(G4333,[1]硬件清单!$F:$F,1,0)</f>
        <v>210305756810HA001091</v>
      </c>
      <c r="K4333" s="43"/>
      <c r="L4333" s="44"/>
      <c r="M4333" s="45" t="s">
        <v>13262</v>
      </c>
    </row>
    <row r="4334" ht="30" customHeight="1" spans="1:13">
      <c r="A4334" s="41">
        <f>IF(C4334="","",SUBTOTAL(103,$C$2:C4334))</f>
        <v>4325</v>
      </c>
      <c r="B4334" s="41">
        <v>2614</v>
      </c>
      <c r="C4334" s="41">
        <v>5298</v>
      </c>
      <c r="D4334" s="41" t="s">
        <v>45</v>
      </c>
      <c r="E4334" s="41" t="s">
        <v>1298</v>
      </c>
      <c r="F4334" s="41" t="s">
        <v>11893</v>
      </c>
      <c r="G4334" s="41" t="s">
        <v>13263</v>
      </c>
      <c r="H4334" s="41" t="s">
        <v>13264</v>
      </c>
      <c r="I4334" s="43">
        <v>12</v>
      </c>
      <c r="J4334" s="44" t="str">
        <f>VLOOKUP(G4334,[1]硬件清单!$F:$F,1,0)</f>
        <v>210305756810HA000881</v>
      </c>
      <c r="K4334" s="43"/>
      <c r="L4334" s="44"/>
      <c r="M4334" s="45" t="s">
        <v>13265</v>
      </c>
    </row>
    <row r="4335" ht="30" customHeight="1" spans="1:13">
      <c r="A4335" s="41">
        <f>IF(C4335="","",SUBTOTAL(103,$C$2:C4335))</f>
        <v>4326</v>
      </c>
      <c r="B4335" s="41">
        <v>2615</v>
      </c>
      <c r="C4335" s="41">
        <v>5299</v>
      </c>
      <c r="D4335" s="41" t="s">
        <v>45</v>
      </c>
      <c r="E4335" s="41" t="s">
        <v>1298</v>
      </c>
      <c r="F4335" s="41" t="s">
        <v>11893</v>
      </c>
      <c r="G4335" s="41" t="s">
        <v>13266</v>
      </c>
      <c r="H4335" s="41" t="s">
        <v>13267</v>
      </c>
      <c r="I4335" s="43">
        <v>12</v>
      </c>
      <c r="J4335" s="44" t="str">
        <f>VLOOKUP(G4335,[1]硬件清单!$F:$F,1,0)</f>
        <v>210305756810HA001152</v>
      </c>
      <c r="K4335" s="43"/>
      <c r="L4335" s="44"/>
      <c r="M4335" s="45" t="s">
        <v>13268</v>
      </c>
    </row>
    <row r="4336" ht="30" customHeight="1" spans="1:13">
      <c r="A4336" s="41">
        <f>IF(C4336="","",SUBTOTAL(103,$C$2:C4336))</f>
        <v>4327</v>
      </c>
      <c r="B4336" s="41">
        <v>2616</v>
      </c>
      <c r="C4336" s="41">
        <v>5300</v>
      </c>
      <c r="D4336" s="41" t="s">
        <v>45</v>
      </c>
      <c r="E4336" s="41" t="s">
        <v>1298</v>
      </c>
      <c r="F4336" s="41" t="s">
        <v>11893</v>
      </c>
      <c r="G4336" s="41" t="s">
        <v>13269</v>
      </c>
      <c r="H4336" s="41" t="s">
        <v>13270</v>
      </c>
      <c r="I4336" s="43">
        <v>12</v>
      </c>
      <c r="J4336" s="44" t="str">
        <f>VLOOKUP(G4336,[1]硬件清单!$F:$F,1,0)</f>
        <v>210305756810HA001139</v>
      </c>
      <c r="K4336" s="43"/>
      <c r="L4336" s="44"/>
      <c r="M4336" s="45" t="s">
        <v>13271</v>
      </c>
    </row>
    <row r="4337" ht="30" customHeight="1" spans="1:13">
      <c r="A4337" s="41">
        <f>IF(C4337="","",SUBTOTAL(103,$C$2:C4337))</f>
        <v>4328</v>
      </c>
      <c r="B4337" s="41">
        <v>2617</v>
      </c>
      <c r="C4337" s="41">
        <v>5303</v>
      </c>
      <c r="D4337" s="41" t="s">
        <v>45</v>
      </c>
      <c r="E4337" s="41" t="s">
        <v>1298</v>
      </c>
      <c r="F4337" s="41" t="s">
        <v>11893</v>
      </c>
      <c r="G4337" s="41" t="s">
        <v>13272</v>
      </c>
      <c r="H4337" s="41" t="s">
        <v>13273</v>
      </c>
      <c r="I4337" s="43">
        <v>12</v>
      </c>
      <c r="J4337" s="44" t="str">
        <f>VLOOKUP(G4337,[1]硬件清单!$F:$F,1,0)</f>
        <v>210305756810HA000861</v>
      </c>
      <c r="K4337" s="43"/>
      <c r="L4337" s="44"/>
      <c r="M4337" s="45" t="s">
        <v>13274</v>
      </c>
    </row>
    <row r="4338" ht="30" customHeight="1" spans="1:13">
      <c r="A4338" s="41">
        <f>IF(C4338="","",SUBTOTAL(103,$C$2:C4338))</f>
        <v>4329</v>
      </c>
      <c r="B4338" s="41">
        <v>2618</v>
      </c>
      <c r="C4338" s="41">
        <v>5304</v>
      </c>
      <c r="D4338" s="41" t="s">
        <v>45</v>
      </c>
      <c r="E4338" s="41" t="s">
        <v>1298</v>
      </c>
      <c r="F4338" s="41" t="s">
        <v>11893</v>
      </c>
      <c r="G4338" s="41" t="s">
        <v>13275</v>
      </c>
      <c r="H4338" s="41" t="s">
        <v>13276</v>
      </c>
      <c r="I4338" s="43">
        <v>12</v>
      </c>
      <c r="J4338" s="44" t="str">
        <f>VLOOKUP(G4338,[1]硬件清单!$F:$F,1,0)</f>
        <v>210305756810HA000827</v>
      </c>
      <c r="K4338" s="43"/>
      <c r="L4338" s="44"/>
      <c r="M4338" s="45" t="s">
        <v>13277</v>
      </c>
    </row>
    <row r="4339" ht="30" customHeight="1" spans="1:13">
      <c r="A4339" s="41">
        <f>IF(C4339="","",SUBTOTAL(103,$C$2:C4339))</f>
        <v>4330</v>
      </c>
      <c r="B4339" s="41">
        <v>2619</v>
      </c>
      <c r="C4339" s="41">
        <v>5305</v>
      </c>
      <c r="D4339" s="41" t="s">
        <v>45</v>
      </c>
      <c r="E4339" s="41" t="s">
        <v>1298</v>
      </c>
      <c r="F4339" s="41" t="s">
        <v>11893</v>
      </c>
      <c r="G4339" s="41" t="s">
        <v>13278</v>
      </c>
      <c r="H4339" s="41" t="s">
        <v>13279</v>
      </c>
      <c r="I4339" s="43">
        <v>12</v>
      </c>
      <c r="J4339" s="44" t="str">
        <f>VLOOKUP(G4339,[1]硬件清单!$F:$F,1,0)</f>
        <v>210305756810HA000840</v>
      </c>
      <c r="K4339" s="43"/>
      <c r="L4339" s="44"/>
      <c r="M4339" s="45" t="s">
        <v>13280</v>
      </c>
    </row>
    <row r="4340" ht="30" customHeight="1" spans="1:13">
      <c r="A4340" s="41">
        <f>IF(C4340="","",SUBTOTAL(103,$C$2:C4340))</f>
        <v>4331</v>
      </c>
      <c r="B4340" s="41">
        <v>2620</v>
      </c>
      <c r="C4340" s="41">
        <v>5306</v>
      </c>
      <c r="D4340" s="41" t="s">
        <v>45</v>
      </c>
      <c r="E4340" s="41" t="s">
        <v>1298</v>
      </c>
      <c r="F4340" s="41" t="s">
        <v>11893</v>
      </c>
      <c r="G4340" s="41" t="s">
        <v>13281</v>
      </c>
      <c r="H4340" s="41" t="s">
        <v>13282</v>
      </c>
      <c r="I4340" s="43">
        <v>12</v>
      </c>
      <c r="J4340" s="44" t="str">
        <f>VLOOKUP(G4340,[1]硬件清单!$F:$F,1,0)</f>
        <v>210305756810HA000835</v>
      </c>
      <c r="K4340" s="43"/>
      <c r="L4340" s="44"/>
      <c r="M4340" s="45" t="s">
        <v>13283</v>
      </c>
    </row>
    <row r="4341" ht="30" customHeight="1" spans="1:13">
      <c r="A4341" s="41">
        <f>IF(C4341="","",SUBTOTAL(103,$C$2:C4341))</f>
        <v>4332</v>
      </c>
      <c r="B4341" s="41">
        <v>2621</v>
      </c>
      <c r="C4341" s="41">
        <v>5307</v>
      </c>
      <c r="D4341" s="41" t="s">
        <v>45</v>
      </c>
      <c r="E4341" s="41" t="s">
        <v>1298</v>
      </c>
      <c r="F4341" s="41" t="s">
        <v>11893</v>
      </c>
      <c r="G4341" s="41" t="s">
        <v>13284</v>
      </c>
      <c r="H4341" s="41" t="s">
        <v>13285</v>
      </c>
      <c r="I4341" s="43">
        <v>12</v>
      </c>
      <c r="J4341" s="44" t="str">
        <f>VLOOKUP(G4341,[1]硬件清单!$F:$F,1,0)</f>
        <v>210305756810HA000879</v>
      </c>
      <c r="K4341" s="43"/>
      <c r="L4341" s="44"/>
      <c r="M4341" s="45" t="s">
        <v>13286</v>
      </c>
    </row>
    <row r="4342" ht="30" customHeight="1" spans="1:13">
      <c r="A4342" s="41">
        <f>IF(C4342="","",SUBTOTAL(103,$C$2:C4342))</f>
        <v>4333</v>
      </c>
      <c r="B4342" s="41">
        <v>2622</v>
      </c>
      <c r="C4342" s="41">
        <v>4777</v>
      </c>
      <c r="D4342" s="41" t="s">
        <v>19</v>
      </c>
      <c r="E4342" s="41" t="s">
        <v>20</v>
      </c>
      <c r="F4342" s="41" t="s">
        <v>10050</v>
      </c>
      <c r="G4342" s="41" t="s">
        <v>13287</v>
      </c>
      <c r="H4342" s="41" t="s">
        <v>13288</v>
      </c>
      <c r="I4342" s="43">
        <v>12</v>
      </c>
      <c r="J4342" s="44" t="str">
        <f>VLOOKUP(G4342,[1]硬件清单!$F:$F,1,0)</f>
        <v>210235A1G9H179000005</v>
      </c>
      <c r="K4342" s="43"/>
      <c r="L4342" s="44"/>
      <c r="M4342" s="45" t="s">
        <v>13289</v>
      </c>
    </row>
    <row r="4343" ht="30" customHeight="1" spans="1:13">
      <c r="A4343" s="41">
        <f>IF(C4343="","",SUBTOTAL(103,$C$2:C4343))</f>
        <v>4334</v>
      </c>
      <c r="B4343" s="41">
        <v>2623</v>
      </c>
      <c r="C4343" s="41">
        <v>4776</v>
      </c>
      <c r="D4343" s="41" t="s">
        <v>19</v>
      </c>
      <c r="E4343" s="41" t="s">
        <v>20</v>
      </c>
      <c r="F4343" s="41" t="s">
        <v>10050</v>
      </c>
      <c r="G4343" s="41" t="s">
        <v>13290</v>
      </c>
      <c r="H4343" s="41" t="s">
        <v>13291</v>
      </c>
      <c r="I4343" s="43">
        <v>12</v>
      </c>
      <c r="J4343" s="44" t="str">
        <f>VLOOKUP(G4343,[1]硬件清单!$F:$F,1,0)</f>
        <v>210235A1G9H178000023</v>
      </c>
      <c r="K4343" s="43"/>
      <c r="L4343" s="44"/>
      <c r="M4343" s="47" t="s">
        <v>13292</v>
      </c>
    </row>
    <row r="4344" ht="30" customHeight="1" spans="1:13">
      <c r="A4344" s="41">
        <f>IF(C4344="","",SUBTOTAL(103,$C$2:C4344))</f>
        <v>4335</v>
      </c>
      <c r="B4344" s="41">
        <v>2624</v>
      </c>
      <c r="C4344" s="41">
        <v>4775</v>
      </c>
      <c r="D4344" s="41" t="s">
        <v>19</v>
      </c>
      <c r="E4344" s="41" t="s">
        <v>20</v>
      </c>
      <c r="F4344" s="41" t="s">
        <v>10050</v>
      </c>
      <c r="G4344" s="41" t="s">
        <v>13293</v>
      </c>
      <c r="H4344" s="41" t="s">
        <v>13294</v>
      </c>
      <c r="I4344" s="43">
        <v>12</v>
      </c>
      <c r="J4344" s="44" t="str">
        <f>VLOOKUP(G4344,[1]硬件清单!$F:$F,1,0)</f>
        <v>210235A1G9H178000010</v>
      </c>
      <c r="K4344" s="43"/>
      <c r="L4344" s="44"/>
      <c r="M4344" s="47" t="s">
        <v>13295</v>
      </c>
    </row>
    <row r="4345" ht="30" customHeight="1" spans="1:13">
      <c r="A4345" s="41">
        <f>IF(C4345="","",SUBTOTAL(103,$C$2:C4345))</f>
        <v>4336</v>
      </c>
      <c r="B4345" s="41">
        <v>2625</v>
      </c>
      <c r="C4345" s="41">
        <v>4768</v>
      </c>
      <c r="D4345" s="41" t="s">
        <v>19</v>
      </c>
      <c r="E4345" s="41" t="s">
        <v>20</v>
      </c>
      <c r="F4345" s="41" t="s">
        <v>10077</v>
      </c>
      <c r="G4345" s="41" t="s">
        <v>13296</v>
      </c>
      <c r="H4345" s="41" t="s">
        <v>13297</v>
      </c>
      <c r="I4345" s="43">
        <v>12</v>
      </c>
      <c r="J4345" s="44" t="str">
        <f>VLOOKUP(G4345,[1]硬件清单!$F:$F,1,0)</f>
        <v>210235A1TXH179000419</v>
      </c>
      <c r="K4345" s="43"/>
      <c r="L4345" s="44"/>
      <c r="M4345" s="45" t="s">
        <v>13298</v>
      </c>
    </row>
    <row r="4346" ht="30" customHeight="1" spans="1:13">
      <c r="A4346" s="41">
        <f>IF(C4346="","",SUBTOTAL(103,$C$2:C4346))</f>
        <v>4337</v>
      </c>
      <c r="B4346" s="41">
        <v>2626</v>
      </c>
      <c r="C4346" s="41">
        <v>4767</v>
      </c>
      <c r="D4346" s="41" t="s">
        <v>19</v>
      </c>
      <c r="E4346" s="41" t="s">
        <v>20</v>
      </c>
      <c r="F4346" s="41" t="s">
        <v>10077</v>
      </c>
      <c r="G4346" s="41" t="s">
        <v>13299</v>
      </c>
      <c r="H4346" s="41" t="s">
        <v>13300</v>
      </c>
      <c r="I4346" s="43">
        <v>12</v>
      </c>
      <c r="J4346" s="44" t="str">
        <f>VLOOKUP(G4346,[1]硬件清单!$F:$F,1,0)</f>
        <v>210235A1TXH179000325</v>
      </c>
      <c r="K4346" s="43"/>
      <c r="L4346" s="44"/>
      <c r="M4346" s="45" t="s">
        <v>13301</v>
      </c>
    </row>
    <row r="4347" ht="30" customHeight="1" spans="1:13">
      <c r="A4347" s="41">
        <f>IF(C4347="","",SUBTOTAL(103,$C$2:C4347))</f>
        <v>4338</v>
      </c>
      <c r="B4347" s="41">
        <v>2627</v>
      </c>
      <c r="C4347" s="41">
        <v>4781</v>
      </c>
      <c r="D4347" s="41" t="s">
        <v>19</v>
      </c>
      <c r="E4347" s="41" t="s">
        <v>20</v>
      </c>
      <c r="F4347" s="41" t="s">
        <v>10050</v>
      </c>
      <c r="G4347" s="41" t="s">
        <v>13302</v>
      </c>
      <c r="H4347" s="41" t="s">
        <v>13303</v>
      </c>
      <c r="I4347" s="43">
        <v>12</v>
      </c>
      <c r="J4347" s="44" t="str">
        <f>VLOOKUP(G4347,[1]硬件清单!$F:$F,1,0)</f>
        <v>210235A1G9H178000017</v>
      </c>
      <c r="K4347" s="43"/>
      <c r="L4347" s="44"/>
      <c r="M4347" s="45" t="s">
        <v>13304</v>
      </c>
    </row>
    <row r="4348" ht="30" customHeight="1" spans="1:13">
      <c r="A4348" s="41">
        <f>IF(C4348="","",SUBTOTAL(103,$C$2:C4348))</f>
        <v>4339</v>
      </c>
      <c r="B4348" s="41">
        <v>2628</v>
      </c>
      <c r="C4348" s="41">
        <v>4780</v>
      </c>
      <c r="D4348" s="41" t="s">
        <v>19</v>
      </c>
      <c r="E4348" s="41" t="s">
        <v>20</v>
      </c>
      <c r="F4348" s="41" t="s">
        <v>10050</v>
      </c>
      <c r="G4348" s="41" t="s">
        <v>13305</v>
      </c>
      <c r="H4348" s="41" t="s">
        <v>13306</v>
      </c>
      <c r="I4348" s="43">
        <v>12</v>
      </c>
      <c r="J4348" s="44" t="str">
        <f>VLOOKUP(G4348,[1]硬件清单!$F:$F,1,0)</f>
        <v>210235A1G9H179000020</v>
      </c>
      <c r="K4348" s="43"/>
      <c r="L4348" s="44"/>
      <c r="M4348" s="47" t="s">
        <v>13307</v>
      </c>
    </row>
    <row r="4349" ht="30" customHeight="1" spans="1:13">
      <c r="A4349" s="41">
        <f>IF(C4349="","",SUBTOTAL(103,$C$2:C4349))</f>
        <v>4340</v>
      </c>
      <c r="B4349" s="41">
        <v>2629</v>
      </c>
      <c r="C4349" s="41">
        <v>4779</v>
      </c>
      <c r="D4349" s="41" t="s">
        <v>19</v>
      </c>
      <c r="E4349" s="41" t="s">
        <v>20</v>
      </c>
      <c r="F4349" s="41" t="s">
        <v>10050</v>
      </c>
      <c r="G4349" s="41" t="s">
        <v>13308</v>
      </c>
      <c r="H4349" s="41" t="s">
        <v>13309</v>
      </c>
      <c r="I4349" s="43">
        <v>12</v>
      </c>
      <c r="J4349" s="44" t="str">
        <f>VLOOKUP(G4349,[1]硬件清单!$F:$F,1,0)</f>
        <v>210235A1G9H178000048</v>
      </c>
      <c r="K4349" s="43"/>
      <c r="L4349" s="44"/>
      <c r="M4349" s="45" t="s">
        <v>13310</v>
      </c>
    </row>
    <row r="4350" ht="30" customHeight="1" spans="1:13">
      <c r="A4350" s="41">
        <f>IF(C4350="","",SUBTOTAL(103,$C$2:C4350))</f>
        <v>4341</v>
      </c>
      <c r="B4350" s="41">
        <v>2630</v>
      </c>
      <c r="C4350" s="41">
        <v>4778</v>
      </c>
      <c r="D4350" s="41" t="s">
        <v>19</v>
      </c>
      <c r="E4350" s="41" t="s">
        <v>20</v>
      </c>
      <c r="F4350" s="41" t="s">
        <v>10050</v>
      </c>
      <c r="G4350" s="41" t="s">
        <v>13311</v>
      </c>
      <c r="H4350" s="41" t="s">
        <v>13312</v>
      </c>
      <c r="I4350" s="43">
        <v>12</v>
      </c>
      <c r="J4350" s="44" t="str">
        <f>VLOOKUP(G4350,[1]硬件清单!$F:$F,1,0)</f>
        <v>210235A1G9H179000025</v>
      </c>
      <c r="K4350" s="43"/>
      <c r="L4350" s="44"/>
      <c r="M4350" s="45" t="s">
        <v>13313</v>
      </c>
    </row>
    <row r="4351" ht="30" customHeight="1" spans="1:13">
      <c r="A4351" s="41">
        <f>IF(C4351="","",SUBTOTAL(103,$C$2:C4351))</f>
        <v>4342</v>
      </c>
      <c r="B4351" s="41">
        <v>2631</v>
      </c>
      <c r="C4351" s="41">
        <v>4231</v>
      </c>
      <c r="D4351" s="41" t="s">
        <v>45</v>
      </c>
      <c r="E4351" s="41" t="s">
        <v>1298</v>
      </c>
      <c r="F4351" s="41" t="s">
        <v>11889</v>
      </c>
      <c r="G4351" s="41" t="s">
        <v>13314</v>
      </c>
      <c r="H4351" s="41" t="s">
        <v>13315</v>
      </c>
      <c r="I4351" s="43">
        <v>12</v>
      </c>
      <c r="J4351" s="44" t="str">
        <f>VLOOKUP(G4351,[1]硬件清单!$F:$F,1,0)</f>
        <v>2102300742N0H6000477/210230102810HA000059</v>
      </c>
      <c r="K4351" s="43"/>
      <c r="L4351" s="44"/>
      <c r="M4351" s="45" t="s">
        <v>13316</v>
      </c>
    </row>
    <row r="4352" ht="30" customHeight="1" spans="1:13">
      <c r="A4352" s="41">
        <f>IF(C4352="","",SUBTOTAL(103,$C$2:C4352))</f>
        <v>4343</v>
      </c>
      <c r="B4352" s="41">
        <v>2632</v>
      </c>
      <c r="C4352" s="41">
        <v>3717</v>
      </c>
      <c r="D4352" s="41" t="s">
        <v>45</v>
      </c>
      <c r="E4352" s="41" t="s">
        <v>1298</v>
      </c>
      <c r="F4352" s="41" t="s">
        <v>11893</v>
      </c>
      <c r="G4352" s="41" t="s">
        <v>13317</v>
      </c>
      <c r="H4352" s="41" t="s">
        <v>13318</v>
      </c>
      <c r="I4352" s="43">
        <v>12</v>
      </c>
      <c r="J4352" s="44" t="str">
        <f>VLOOKUP(G4352,[1]硬件清单!$F:$F,1,0)</f>
        <v>210305756810HA001180</v>
      </c>
      <c r="K4352" s="43"/>
      <c r="L4352" s="44"/>
      <c r="M4352" s="45" t="s">
        <v>13319</v>
      </c>
    </row>
    <row r="4353" ht="30" customHeight="1" spans="1:13">
      <c r="A4353" s="41">
        <f>IF(C4353="","",SUBTOTAL(103,$C$2:C4353))</f>
        <v>4344</v>
      </c>
      <c r="B4353" s="41">
        <v>2633</v>
      </c>
      <c r="C4353" s="41">
        <v>3726</v>
      </c>
      <c r="D4353" s="41" t="s">
        <v>45</v>
      </c>
      <c r="E4353" s="41" t="s">
        <v>1298</v>
      </c>
      <c r="F4353" s="41" t="s">
        <v>11893</v>
      </c>
      <c r="G4353" s="41" t="s">
        <v>13320</v>
      </c>
      <c r="H4353" s="41" t="s">
        <v>13321</v>
      </c>
      <c r="I4353" s="43">
        <v>12</v>
      </c>
      <c r="J4353" s="44" t="str">
        <f>VLOOKUP(G4353,[1]硬件清单!$F:$F,1,0)</f>
        <v>210305756810HA001065</v>
      </c>
      <c r="K4353" s="43"/>
      <c r="L4353" s="44"/>
      <c r="M4353" s="45" t="s">
        <v>13322</v>
      </c>
    </row>
    <row r="4354" ht="30" customHeight="1" spans="1:13">
      <c r="A4354" s="41">
        <f>IF(C4354="","",SUBTOTAL(103,$C$2:C4354))</f>
        <v>4345</v>
      </c>
      <c r="B4354" s="41">
        <v>2634</v>
      </c>
      <c r="C4354" s="41">
        <v>3727</v>
      </c>
      <c r="D4354" s="41" t="s">
        <v>45</v>
      </c>
      <c r="E4354" s="41" t="s">
        <v>1298</v>
      </c>
      <c r="F4354" s="41" t="s">
        <v>11893</v>
      </c>
      <c r="G4354" s="41" t="s">
        <v>13323</v>
      </c>
      <c r="H4354" s="41" t="s">
        <v>13324</v>
      </c>
      <c r="I4354" s="43">
        <v>12</v>
      </c>
      <c r="J4354" s="44" t="str">
        <f>VLOOKUP(G4354,[1]硬件清单!$F:$F,1,0)</f>
        <v>210305756810HA001092</v>
      </c>
      <c r="K4354" s="43"/>
      <c r="L4354" s="44"/>
      <c r="M4354" s="45" t="s">
        <v>13325</v>
      </c>
    </row>
    <row r="4355" ht="30" customHeight="1" spans="1:13">
      <c r="A4355" s="41">
        <f>IF(C4355="","",SUBTOTAL(103,$C$2:C4355))</f>
        <v>4346</v>
      </c>
      <c r="B4355" s="41">
        <v>2635</v>
      </c>
      <c r="C4355" s="41">
        <v>3728</v>
      </c>
      <c r="D4355" s="41" t="s">
        <v>45</v>
      </c>
      <c r="E4355" s="41" t="s">
        <v>1298</v>
      </c>
      <c r="F4355" s="41" t="s">
        <v>11893</v>
      </c>
      <c r="G4355" s="41" t="s">
        <v>13326</v>
      </c>
      <c r="H4355" s="41" t="s">
        <v>13327</v>
      </c>
      <c r="I4355" s="43">
        <v>12</v>
      </c>
      <c r="J4355" s="44" t="str">
        <f>VLOOKUP(G4355,[1]硬件清单!$F:$F,1,0)</f>
        <v>210305756810HA001074</v>
      </c>
      <c r="K4355" s="43"/>
      <c r="L4355" s="44"/>
      <c r="M4355" s="45" t="s">
        <v>13328</v>
      </c>
    </row>
    <row r="4356" ht="30" customHeight="1" spans="1:13">
      <c r="A4356" s="41">
        <f>IF(C4356="","",SUBTOTAL(103,$C$2:C4356))</f>
        <v>4347</v>
      </c>
      <c r="B4356" s="41">
        <v>2636</v>
      </c>
      <c r="C4356" s="41">
        <v>3729</v>
      </c>
      <c r="D4356" s="41" t="s">
        <v>45</v>
      </c>
      <c r="E4356" s="41" t="s">
        <v>1298</v>
      </c>
      <c r="F4356" s="41" t="s">
        <v>11893</v>
      </c>
      <c r="G4356" s="41" t="s">
        <v>13329</v>
      </c>
      <c r="H4356" s="41" t="s">
        <v>13330</v>
      </c>
      <c r="I4356" s="43">
        <v>12</v>
      </c>
      <c r="J4356" s="44" t="str">
        <f>VLOOKUP(G4356,[1]硬件清单!$F:$F,1,0)</f>
        <v>210305756810HA000945</v>
      </c>
      <c r="K4356" s="43"/>
      <c r="L4356" s="44"/>
      <c r="M4356" s="45" t="s">
        <v>13331</v>
      </c>
    </row>
    <row r="4357" ht="30" customHeight="1" spans="1:13">
      <c r="A4357" s="41">
        <f>IF(C4357="","",SUBTOTAL(103,$C$2:C4357))</f>
        <v>4348</v>
      </c>
      <c r="B4357" s="41">
        <v>2637</v>
      </c>
      <c r="C4357" s="41">
        <v>3730</v>
      </c>
      <c r="D4357" s="41" t="s">
        <v>45</v>
      </c>
      <c r="E4357" s="41" t="s">
        <v>1298</v>
      </c>
      <c r="F4357" s="41" t="s">
        <v>11893</v>
      </c>
      <c r="G4357" s="41" t="s">
        <v>13332</v>
      </c>
      <c r="H4357" s="41" t="s">
        <v>13333</v>
      </c>
      <c r="I4357" s="43">
        <v>12</v>
      </c>
      <c r="J4357" s="44" t="str">
        <f>VLOOKUP(G4357,[1]硬件清单!$F:$F,1,0)</f>
        <v>210305756810HA001172</v>
      </c>
      <c r="K4357" s="43"/>
      <c r="L4357" s="44"/>
      <c r="M4357" s="45" t="s">
        <v>13334</v>
      </c>
    </row>
    <row r="4358" ht="30" customHeight="1" spans="1:13">
      <c r="A4358" s="41">
        <f>IF(C4358="","",SUBTOTAL(103,$C$2:C4358))</f>
        <v>4349</v>
      </c>
      <c r="B4358" s="41">
        <v>2638</v>
      </c>
      <c r="C4358" s="41">
        <v>3731</v>
      </c>
      <c r="D4358" s="41" t="s">
        <v>45</v>
      </c>
      <c r="E4358" s="41" t="s">
        <v>1298</v>
      </c>
      <c r="F4358" s="41" t="s">
        <v>11893</v>
      </c>
      <c r="G4358" s="41" t="s">
        <v>13335</v>
      </c>
      <c r="H4358" s="41" t="s">
        <v>13336</v>
      </c>
      <c r="I4358" s="43">
        <v>12</v>
      </c>
      <c r="J4358" s="44" t="str">
        <f>VLOOKUP(G4358,[1]硬件清单!$F:$F,1,0)</f>
        <v>210305756810HA000741</v>
      </c>
      <c r="K4358" s="43"/>
      <c r="L4358" s="44"/>
      <c r="M4358" s="45" t="s">
        <v>13337</v>
      </c>
    </row>
    <row r="4359" ht="30" customHeight="1" spans="1:13">
      <c r="A4359" s="41">
        <f>IF(C4359="","",SUBTOTAL(103,$C$2:C4359))</f>
        <v>4350</v>
      </c>
      <c r="B4359" s="41">
        <v>2639</v>
      </c>
      <c r="C4359" s="41">
        <v>3732</v>
      </c>
      <c r="D4359" s="41" t="s">
        <v>45</v>
      </c>
      <c r="E4359" s="41" t="s">
        <v>1298</v>
      </c>
      <c r="F4359" s="41" t="s">
        <v>11893</v>
      </c>
      <c r="G4359" s="41" t="s">
        <v>13338</v>
      </c>
      <c r="H4359" s="41" t="s">
        <v>13339</v>
      </c>
      <c r="I4359" s="43">
        <v>12</v>
      </c>
      <c r="J4359" s="44" t="str">
        <f>VLOOKUP(G4359,[1]硬件清单!$F:$F,1,0)</f>
        <v>210305756810HA000895</v>
      </c>
      <c r="K4359" s="43"/>
      <c r="L4359" s="44"/>
      <c r="M4359" s="45" t="s">
        <v>13340</v>
      </c>
    </row>
    <row r="4360" ht="30" customHeight="1" spans="1:13">
      <c r="A4360" s="41">
        <f>IF(C4360="","",SUBTOTAL(103,$C$2:C4360))</f>
        <v>4351</v>
      </c>
      <c r="B4360" s="41">
        <v>2640</v>
      </c>
      <c r="C4360" s="41">
        <v>3718</v>
      </c>
      <c r="D4360" s="41" t="s">
        <v>45</v>
      </c>
      <c r="E4360" s="41" t="s">
        <v>1298</v>
      </c>
      <c r="F4360" s="41" t="s">
        <v>11893</v>
      </c>
      <c r="G4360" s="41" t="s">
        <v>13341</v>
      </c>
      <c r="H4360" s="41" t="s">
        <v>13342</v>
      </c>
      <c r="I4360" s="43">
        <v>12</v>
      </c>
      <c r="J4360" s="44" t="str">
        <f>VLOOKUP(G4360,[1]硬件清单!$F:$F,1,0)</f>
        <v>210305756810HA001094</v>
      </c>
      <c r="K4360" s="43"/>
      <c r="L4360" s="44"/>
      <c r="M4360" s="45" t="s">
        <v>13343</v>
      </c>
    </row>
    <row r="4361" ht="30" customHeight="1" spans="1:13">
      <c r="A4361" s="41">
        <f>IF(C4361="","",SUBTOTAL(103,$C$2:C4361))</f>
        <v>4352</v>
      </c>
      <c r="B4361" s="41">
        <v>2641</v>
      </c>
      <c r="C4361" s="41">
        <v>3719</v>
      </c>
      <c r="D4361" s="41" t="s">
        <v>45</v>
      </c>
      <c r="E4361" s="41" t="s">
        <v>1298</v>
      </c>
      <c r="F4361" s="41" t="s">
        <v>11893</v>
      </c>
      <c r="G4361" s="41" t="s">
        <v>13344</v>
      </c>
      <c r="H4361" s="41" t="s">
        <v>13345</v>
      </c>
      <c r="I4361" s="43">
        <v>12</v>
      </c>
      <c r="J4361" s="44" t="str">
        <f>VLOOKUP(G4361,[1]硬件清单!$F:$F,1,0)</f>
        <v>210305756810HA001068</v>
      </c>
      <c r="K4361" s="43"/>
      <c r="L4361" s="44"/>
      <c r="M4361" s="45" t="s">
        <v>13346</v>
      </c>
    </row>
    <row r="4362" ht="30" customHeight="1" spans="1:13">
      <c r="A4362" s="41">
        <f>IF(C4362="","",SUBTOTAL(103,$C$2:C4362))</f>
        <v>4353</v>
      </c>
      <c r="B4362" s="41">
        <v>2642</v>
      </c>
      <c r="C4362" s="41">
        <v>3720</v>
      </c>
      <c r="D4362" s="41" t="s">
        <v>45</v>
      </c>
      <c r="E4362" s="41" t="s">
        <v>1298</v>
      </c>
      <c r="F4362" s="41" t="s">
        <v>11893</v>
      </c>
      <c r="G4362" s="41" t="s">
        <v>13347</v>
      </c>
      <c r="H4362" s="41" t="s">
        <v>13348</v>
      </c>
      <c r="I4362" s="43">
        <v>12</v>
      </c>
      <c r="J4362" s="44" t="str">
        <f>VLOOKUP(G4362,[1]硬件清单!$F:$F,1,0)</f>
        <v>210305756810HA001167</v>
      </c>
      <c r="K4362" s="43"/>
      <c r="L4362" s="44"/>
      <c r="M4362" s="45" t="s">
        <v>13349</v>
      </c>
    </row>
    <row r="4363" ht="30" customHeight="1" spans="1:13">
      <c r="A4363" s="41">
        <f>IF(C4363="","",SUBTOTAL(103,$C$2:C4363))</f>
        <v>4354</v>
      </c>
      <c r="B4363" s="41">
        <v>2643</v>
      </c>
      <c r="C4363" s="41">
        <v>3721</v>
      </c>
      <c r="D4363" s="41" t="s">
        <v>45</v>
      </c>
      <c r="E4363" s="41" t="s">
        <v>1298</v>
      </c>
      <c r="F4363" s="41" t="s">
        <v>11893</v>
      </c>
      <c r="G4363" s="41" t="s">
        <v>13350</v>
      </c>
      <c r="H4363" s="41" t="s">
        <v>13351</v>
      </c>
      <c r="I4363" s="43">
        <v>12</v>
      </c>
      <c r="J4363" s="44" t="str">
        <f>VLOOKUP(G4363,[1]硬件清单!$F:$F,1,0)</f>
        <v>210305756810HA001096</v>
      </c>
      <c r="K4363" s="43"/>
      <c r="L4363" s="44"/>
      <c r="M4363" s="45" t="s">
        <v>13352</v>
      </c>
    </row>
    <row r="4364" ht="30" customHeight="1" spans="1:13">
      <c r="A4364" s="41">
        <f>IF(C4364="","",SUBTOTAL(103,$C$2:C4364))</f>
        <v>4355</v>
      </c>
      <c r="B4364" s="41">
        <v>2644</v>
      </c>
      <c r="C4364" s="41">
        <v>3722</v>
      </c>
      <c r="D4364" s="41" t="s">
        <v>45</v>
      </c>
      <c r="E4364" s="41" t="s">
        <v>1298</v>
      </c>
      <c r="F4364" s="41" t="s">
        <v>11893</v>
      </c>
      <c r="G4364" s="41" t="s">
        <v>13353</v>
      </c>
      <c r="H4364" s="41" t="s">
        <v>13354</v>
      </c>
      <c r="I4364" s="43">
        <v>12</v>
      </c>
      <c r="J4364" s="44" t="str">
        <f>VLOOKUP(G4364,[1]硬件清单!$F:$F,1,0)</f>
        <v>210305756810HA001067</v>
      </c>
      <c r="K4364" s="43"/>
      <c r="L4364" s="44"/>
      <c r="M4364" s="45" t="s">
        <v>13355</v>
      </c>
    </row>
    <row r="4365" ht="30" customHeight="1" spans="1:13">
      <c r="A4365" s="41">
        <f>IF(C4365="","",SUBTOTAL(103,$C$2:C4365))</f>
        <v>4356</v>
      </c>
      <c r="B4365" s="41">
        <v>2645</v>
      </c>
      <c r="C4365" s="41">
        <v>3723</v>
      </c>
      <c r="D4365" s="41" t="s">
        <v>45</v>
      </c>
      <c r="E4365" s="41" t="s">
        <v>1298</v>
      </c>
      <c r="F4365" s="41" t="s">
        <v>11893</v>
      </c>
      <c r="G4365" s="41" t="s">
        <v>13356</v>
      </c>
      <c r="H4365" s="41" t="s">
        <v>13357</v>
      </c>
      <c r="I4365" s="43">
        <v>12</v>
      </c>
      <c r="J4365" s="44" t="str">
        <f>VLOOKUP(G4365,[1]硬件清单!$F:$F,1,0)</f>
        <v>210305756810HA001066</v>
      </c>
      <c r="K4365" s="43"/>
      <c r="L4365" s="44"/>
      <c r="M4365" s="45" t="s">
        <v>13358</v>
      </c>
    </row>
    <row r="4366" ht="30" customHeight="1" spans="1:13">
      <c r="A4366" s="41">
        <f>IF(C4366="","",SUBTOTAL(103,$C$2:C4366))</f>
        <v>4357</v>
      </c>
      <c r="B4366" s="41">
        <v>2646</v>
      </c>
      <c r="C4366" s="41">
        <v>3724</v>
      </c>
      <c r="D4366" s="41" t="s">
        <v>45</v>
      </c>
      <c r="E4366" s="41" t="s">
        <v>1298</v>
      </c>
      <c r="F4366" s="41" t="s">
        <v>11893</v>
      </c>
      <c r="G4366" s="41" t="s">
        <v>13359</v>
      </c>
      <c r="H4366" s="41" t="s">
        <v>13360</v>
      </c>
      <c r="I4366" s="43">
        <v>12</v>
      </c>
      <c r="J4366" s="44" t="str">
        <f>VLOOKUP(G4366,[1]硬件清单!$F:$F,1,0)</f>
        <v>210305756810HA000899</v>
      </c>
      <c r="K4366" s="43"/>
      <c r="L4366" s="44"/>
      <c r="M4366" s="45" t="s">
        <v>13361</v>
      </c>
    </row>
    <row r="4367" ht="30" customHeight="1" spans="1:13">
      <c r="A4367" s="41">
        <f>IF(C4367="","",SUBTOTAL(103,$C$2:C4367))</f>
        <v>4358</v>
      </c>
      <c r="B4367" s="41">
        <v>2647</v>
      </c>
      <c r="C4367" s="41">
        <v>3725</v>
      </c>
      <c r="D4367" s="41" t="s">
        <v>45</v>
      </c>
      <c r="E4367" s="41" t="s">
        <v>1298</v>
      </c>
      <c r="F4367" s="41" t="s">
        <v>11893</v>
      </c>
      <c r="G4367" s="41" t="s">
        <v>13362</v>
      </c>
      <c r="H4367" s="41" t="s">
        <v>13363</v>
      </c>
      <c r="I4367" s="43">
        <v>12</v>
      </c>
      <c r="J4367" s="44" t="str">
        <f>VLOOKUP(G4367,[1]硬件清单!$F:$F,1,0)</f>
        <v>210305756810HA001112</v>
      </c>
      <c r="K4367" s="43"/>
      <c r="L4367" s="44"/>
      <c r="M4367" s="45" t="s">
        <v>13364</v>
      </c>
    </row>
    <row r="4368" ht="30" customHeight="1" spans="1:13">
      <c r="A4368" s="41">
        <f>IF(C4368="","",SUBTOTAL(103,$C$2:C4368))</f>
        <v>4359</v>
      </c>
      <c r="B4368" s="41">
        <v>2648</v>
      </c>
      <c r="C4368" s="41">
        <v>4230</v>
      </c>
      <c r="D4368" s="41" t="s">
        <v>45</v>
      </c>
      <c r="E4368" s="41" t="s">
        <v>1298</v>
      </c>
      <c r="F4368" s="41" t="s">
        <v>11889</v>
      </c>
      <c r="G4368" s="41" t="s">
        <v>13365</v>
      </c>
      <c r="H4368" s="41" t="s">
        <v>13366</v>
      </c>
      <c r="I4368" s="43">
        <v>12</v>
      </c>
      <c r="J4368" s="44" t="str">
        <f>VLOOKUP(G4368,[1]硬件清单!$F:$F,1,0)</f>
        <v>2102300742N0H9000578/210230102810HA000055</v>
      </c>
      <c r="K4368" s="43"/>
      <c r="L4368" s="44"/>
      <c r="M4368" s="45" t="s">
        <v>13367</v>
      </c>
    </row>
    <row r="4369" ht="30" customHeight="1" spans="1:13">
      <c r="A4369" s="41">
        <f>IF(C4369="","",SUBTOTAL(103,$C$2:C4369))</f>
        <v>4360</v>
      </c>
      <c r="B4369" s="41">
        <v>2649</v>
      </c>
      <c r="C4369" s="41">
        <v>3733</v>
      </c>
      <c r="D4369" s="41" t="s">
        <v>45</v>
      </c>
      <c r="E4369" s="41" t="s">
        <v>1298</v>
      </c>
      <c r="F4369" s="41" t="s">
        <v>11893</v>
      </c>
      <c r="G4369" s="41" t="s">
        <v>13368</v>
      </c>
      <c r="H4369" s="41" t="s">
        <v>13369</v>
      </c>
      <c r="I4369" s="43">
        <v>12</v>
      </c>
      <c r="J4369" s="44" t="str">
        <f>VLOOKUP(G4369,[1]硬件清单!$F:$F,1,0)</f>
        <v>210305756810HA001175</v>
      </c>
      <c r="K4369" s="43"/>
      <c r="L4369" s="44"/>
      <c r="M4369" s="45" t="s">
        <v>13370</v>
      </c>
    </row>
    <row r="4370" ht="30" customHeight="1" spans="1:13">
      <c r="A4370" s="41">
        <f>IF(C4370="","",SUBTOTAL(103,$C$2:C4370))</f>
        <v>4361</v>
      </c>
      <c r="B4370" s="41">
        <v>2650</v>
      </c>
      <c r="C4370" s="41">
        <v>3742</v>
      </c>
      <c r="D4370" s="41" t="s">
        <v>45</v>
      </c>
      <c r="E4370" s="41" t="s">
        <v>1298</v>
      </c>
      <c r="F4370" s="41" t="s">
        <v>11893</v>
      </c>
      <c r="G4370" s="41" t="s">
        <v>13371</v>
      </c>
      <c r="H4370" s="41" t="s">
        <v>13372</v>
      </c>
      <c r="I4370" s="43">
        <v>12</v>
      </c>
      <c r="J4370" s="44" t="str">
        <f>VLOOKUP(G4370,[1]硬件清单!$F:$F,1,0)</f>
        <v>210305756810HA001058</v>
      </c>
      <c r="K4370" s="43"/>
      <c r="L4370" s="44"/>
      <c r="M4370" s="45" t="s">
        <v>13373</v>
      </c>
    </row>
    <row r="4371" ht="30" customHeight="1" spans="1:13">
      <c r="A4371" s="41">
        <f>IF(C4371="","",SUBTOTAL(103,$C$2:C4371))</f>
        <v>4362</v>
      </c>
      <c r="B4371" s="41">
        <v>2651</v>
      </c>
      <c r="C4371" s="41">
        <v>3743</v>
      </c>
      <c r="D4371" s="41" t="s">
        <v>45</v>
      </c>
      <c r="E4371" s="41" t="s">
        <v>1298</v>
      </c>
      <c r="F4371" s="41" t="s">
        <v>11893</v>
      </c>
      <c r="G4371" s="41" t="s">
        <v>13374</v>
      </c>
      <c r="H4371" s="41" t="s">
        <v>13375</v>
      </c>
      <c r="I4371" s="43">
        <v>12</v>
      </c>
      <c r="J4371" s="44" t="str">
        <f>VLOOKUP(G4371,[1]硬件清单!$F:$F,1,0)</f>
        <v>210305756810HA001108</v>
      </c>
      <c r="K4371" s="43"/>
      <c r="L4371" s="44"/>
      <c r="M4371" s="45" t="s">
        <v>13376</v>
      </c>
    </row>
    <row r="4372" ht="30" customHeight="1" spans="1:13">
      <c r="A4372" s="41">
        <f>IF(C4372="","",SUBTOTAL(103,$C$2:C4372))</f>
        <v>4363</v>
      </c>
      <c r="B4372" s="41">
        <v>2652</v>
      </c>
      <c r="C4372" s="41">
        <v>3744</v>
      </c>
      <c r="D4372" s="41" t="s">
        <v>45</v>
      </c>
      <c r="E4372" s="41" t="s">
        <v>1298</v>
      </c>
      <c r="F4372" s="41" t="s">
        <v>11893</v>
      </c>
      <c r="G4372" s="41" t="s">
        <v>13377</v>
      </c>
      <c r="H4372" s="41" t="s">
        <v>13378</v>
      </c>
      <c r="I4372" s="43">
        <v>12</v>
      </c>
      <c r="J4372" s="44" t="str">
        <f>VLOOKUP(G4372,[1]硬件清单!$F:$F,1,0)</f>
        <v>210305756810HA001130</v>
      </c>
      <c r="K4372" s="43"/>
      <c r="L4372" s="44"/>
      <c r="M4372" s="45" t="s">
        <v>13379</v>
      </c>
    </row>
    <row r="4373" ht="30" customHeight="1" spans="1:13">
      <c r="A4373" s="41">
        <f>IF(C4373="","",SUBTOTAL(103,$C$2:C4373))</f>
        <v>4364</v>
      </c>
      <c r="B4373" s="41">
        <v>2653</v>
      </c>
      <c r="C4373" s="41">
        <v>3745</v>
      </c>
      <c r="D4373" s="41" t="s">
        <v>45</v>
      </c>
      <c r="E4373" s="41" t="s">
        <v>1298</v>
      </c>
      <c r="F4373" s="41" t="s">
        <v>11893</v>
      </c>
      <c r="G4373" s="41" t="s">
        <v>13380</v>
      </c>
      <c r="H4373" s="41" t="s">
        <v>13381</v>
      </c>
      <c r="I4373" s="43">
        <v>12</v>
      </c>
      <c r="J4373" s="44" t="str">
        <f>VLOOKUP(G4373,[1]硬件清单!$F:$F,1,0)</f>
        <v>210305756810HA000926</v>
      </c>
      <c r="K4373" s="43"/>
      <c r="L4373" s="44"/>
      <c r="M4373" s="45" t="s">
        <v>13382</v>
      </c>
    </row>
    <row r="4374" ht="30" customHeight="1" spans="1:13">
      <c r="A4374" s="41">
        <f>IF(C4374="","",SUBTOTAL(103,$C$2:C4374))</f>
        <v>4365</v>
      </c>
      <c r="B4374" s="41">
        <v>2654</v>
      </c>
      <c r="C4374" s="41">
        <v>3746</v>
      </c>
      <c r="D4374" s="41" t="s">
        <v>45</v>
      </c>
      <c r="E4374" s="41" t="s">
        <v>1298</v>
      </c>
      <c r="F4374" s="41" t="s">
        <v>11893</v>
      </c>
      <c r="G4374" s="41" t="s">
        <v>13383</v>
      </c>
      <c r="H4374" s="41" t="s">
        <v>13384</v>
      </c>
      <c r="I4374" s="43">
        <v>12</v>
      </c>
      <c r="J4374" s="44" t="str">
        <f>VLOOKUP(G4374,[1]硬件清单!$F:$F,1,0)</f>
        <v>210305756810HA001097</v>
      </c>
      <c r="K4374" s="43"/>
      <c r="L4374" s="44"/>
      <c r="M4374" s="45" t="s">
        <v>13385</v>
      </c>
    </row>
    <row r="4375" ht="30" customHeight="1" spans="1:13">
      <c r="A4375" s="41">
        <f>IF(C4375="","",SUBTOTAL(103,$C$2:C4375))</f>
        <v>4366</v>
      </c>
      <c r="B4375" s="41">
        <v>2655</v>
      </c>
      <c r="C4375" s="41">
        <v>3747</v>
      </c>
      <c r="D4375" s="41" t="s">
        <v>45</v>
      </c>
      <c r="E4375" s="41" t="s">
        <v>1298</v>
      </c>
      <c r="F4375" s="41" t="s">
        <v>11893</v>
      </c>
      <c r="G4375" s="41" t="s">
        <v>13386</v>
      </c>
      <c r="H4375" s="41" t="s">
        <v>13387</v>
      </c>
      <c r="I4375" s="43">
        <v>12</v>
      </c>
      <c r="J4375" s="44" t="str">
        <f>VLOOKUP(G4375,[1]硬件清单!$F:$F,1,0)</f>
        <v>210305756810HA000898</v>
      </c>
      <c r="K4375" s="43"/>
      <c r="L4375" s="44"/>
      <c r="M4375" s="45" t="s">
        <v>13388</v>
      </c>
    </row>
    <row r="4376" ht="30" customHeight="1" spans="1:13">
      <c r="A4376" s="41">
        <f>IF(C4376="","",SUBTOTAL(103,$C$2:C4376))</f>
        <v>4367</v>
      </c>
      <c r="B4376" s="41">
        <v>2656</v>
      </c>
      <c r="C4376" s="41">
        <v>3748</v>
      </c>
      <c r="D4376" s="41" t="s">
        <v>45</v>
      </c>
      <c r="E4376" s="41" t="s">
        <v>1298</v>
      </c>
      <c r="F4376" s="41" t="s">
        <v>11893</v>
      </c>
      <c r="G4376" s="41" t="s">
        <v>13389</v>
      </c>
      <c r="H4376" s="41" t="s">
        <v>13390</v>
      </c>
      <c r="I4376" s="43">
        <v>12</v>
      </c>
      <c r="J4376" s="44" t="str">
        <f>VLOOKUP(G4376,[1]硬件清单!$F:$F,1,0)</f>
        <v>210305756810HA000950</v>
      </c>
      <c r="K4376" s="43"/>
      <c r="L4376" s="44"/>
      <c r="M4376" s="45" t="s">
        <v>13391</v>
      </c>
    </row>
    <row r="4377" ht="30" customHeight="1" spans="1:13">
      <c r="A4377" s="41">
        <f>IF(C4377="","",SUBTOTAL(103,$C$2:C4377))</f>
        <v>4368</v>
      </c>
      <c r="B4377" s="41">
        <v>2657</v>
      </c>
      <c r="C4377" s="41">
        <v>3734</v>
      </c>
      <c r="D4377" s="41" t="s">
        <v>45</v>
      </c>
      <c r="E4377" s="41" t="s">
        <v>1298</v>
      </c>
      <c r="F4377" s="41" t="s">
        <v>11893</v>
      </c>
      <c r="G4377" s="41" t="s">
        <v>13392</v>
      </c>
      <c r="H4377" s="41" t="s">
        <v>13393</v>
      </c>
      <c r="I4377" s="43">
        <v>12</v>
      </c>
      <c r="J4377" s="44" t="str">
        <f>VLOOKUP(G4377,[1]硬件清单!$F:$F,1,0)</f>
        <v>210305756810HA000902</v>
      </c>
      <c r="K4377" s="43"/>
      <c r="L4377" s="44"/>
      <c r="M4377" s="45" t="s">
        <v>13394</v>
      </c>
    </row>
    <row r="4378" ht="30" customHeight="1" spans="1:13">
      <c r="A4378" s="41">
        <f>IF(C4378="","",SUBTOTAL(103,$C$2:C4378))</f>
        <v>4369</v>
      </c>
      <c r="B4378" s="41">
        <v>2658</v>
      </c>
      <c r="C4378" s="41">
        <v>3735</v>
      </c>
      <c r="D4378" s="41" t="s">
        <v>45</v>
      </c>
      <c r="E4378" s="41" t="s">
        <v>1298</v>
      </c>
      <c r="F4378" s="41" t="s">
        <v>11893</v>
      </c>
      <c r="G4378" s="41" t="s">
        <v>13395</v>
      </c>
      <c r="H4378" s="41" t="s">
        <v>13396</v>
      </c>
      <c r="I4378" s="43">
        <v>12</v>
      </c>
      <c r="J4378" s="44" t="str">
        <f>VLOOKUP(G4378,[1]硬件清单!$F:$F,1,0)</f>
        <v>210305756810HA000943</v>
      </c>
      <c r="K4378" s="43"/>
      <c r="L4378" s="44"/>
      <c r="M4378" s="45" t="s">
        <v>13397</v>
      </c>
    </row>
    <row r="4379" ht="30" customHeight="1" spans="1:13">
      <c r="A4379" s="41">
        <f>IF(C4379="","",SUBTOTAL(103,$C$2:C4379))</f>
        <v>4370</v>
      </c>
      <c r="B4379" s="41">
        <v>2659</v>
      </c>
      <c r="C4379" s="41">
        <v>3736</v>
      </c>
      <c r="D4379" s="41" t="s">
        <v>45</v>
      </c>
      <c r="E4379" s="41" t="s">
        <v>1298</v>
      </c>
      <c r="F4379" s="41" t="s">
        <v>11893</v>
      </c>
      <c r="G4379" s="41" t="s">
        <v>13398</v>
      </c>
      <c r="H4379" s="41" t="s">
        <v>13399</v>
      </c>
      <c r="I4379" s="43">
        <v>12</v>
      </c>
      <c r="J4379" s="44" t="str">
        <f>VLOOKUP(G4379,[1]硬件清单!$F:$F,1,0)</f>
        <v>210305756810HA001114</v>
      </c>
      <c r="K4379" s="43"/>
      <c r="L4379" s="44"/>
      <c r="M4379" s="45" t="s">
        <v>13400</v>
      </c>
    </row>
    <row r="4380" ht="30" customHeight="1" spans="1:13">
      <c r="A4380" s="41">
        <f>IF(C4380="","",SUBTOTAL(103,$C$2:C4380))</f>
        <v>4371</v>
      </c>
      <c r="B4380" s="41">
        <v>2660</v>
      </c>
      <c r="C4380" s="41">
        <v>3737</v>
      </c>
      <c r="D4380" s="41" t="s">
        <v>45</v>
      </c>
      <c r="E4380" s="41" t="s">
        <v>1298</v>
      </c>
      <c r="F4380" s="41" t="s">
        <v>11893</v>
      </c>
      <c r="G4380" s="41" t="s">
        <v>13401</v>
      </c>
      <c r="H4380" s="41" t="s">
        <v>13402</v>
      </c>
      <c r="I4380" s="43">
        <v>12</v>
      </c>
      <c r="J4380" s="44" t="str">
        <f>VLOOKUP(G4380,[1]硬件清单!$F:$F,1,0)</f>
        <v>210305756810HA001110</v>
      </c>
      <c r="K4380" s="43"/>
      <c r="L4380" s="44"/>
      <c r="M4380" s="45" t="s">
        <v>13403</v>
      </c>
    </row>
    <row r="4381" ht="30" customHeight="1" spans="1:13">
      <c r="A4381" s="41">
        <f>IF(C4381="","",SUBTOTAL(103,$C$2:C4381))</f>
        <v>4372</v>
      </c>
      <c r="B4381" s="41">
        <v>2661</v>
      </c>
      <c r="C4381" s="41">
        <v>3738</v>
      </c>
      <c r="D4381" s="41" t="s">
        <v>45</v>
      </c>
      <c r="E4381" s="41" t="s">
        <v>1298</v>
      </c>
      <c r="F4381" s="41" t="s">
        <v>11893</v>
      </c>
      <c r="G4381" s="41" t="s">
        <v>13404</v>
      </c>
      <c r="H4381" s="41" t="s">
        <v>13405</v>
      </c>
      <c r="I4381" s="43">
        <v>12</v>
      </c>
      <c r="J4381" s="44" t="str">
        <f>VLOOKUP(G4381,[1]硬件清单!$F:$F,1,0)</f>
        <v>210305756810HA001064</v>
      </c>
      <c r="K4381" s="43"/>
      <c r="L4381" s="44"/>
      <c r="M4381" s="45" t="s">
        <v>13406</v>
      </c>
    </row>
    <row r="4382" ht="30" customHeight="1" spans="1:13">
      <c r="A4382" s="41">
        <f>IF(C4382="","",SUBTOTAL(103,$C$2:C4382))</f>
        <v>4373</v>
      </c>
      <c r="B4382" s="41">
        <v>2662</v>
      </c>
      <c r="C4382" s="41">
        <v>3739</v>
      </c>
      <c r="D4382" s="41" t="s">
        <v>45</v>
      </c>
      <c r="E4382" s="41" t="s">
        <v>1298</v>
      </c>
      <c r="F4382" s="41" t="s">
        <v>11893</v>
      </c>
      <c r="G4382" s="41" t="s">
        <v>13407</v>
      </c>
      <c r="H4382" s="41" t="s">
        <v>13408</v>
      </c>
      <c r="I4382" s="43">
        <v>12</v>
      </c>
      <c r="J4382" s="44" t="str">
        <f>VLOOKUP(G4382,[1]硬件清单!$F:$F,1,0)</f>
        <v>210305756810HA001063</v>
      </c>
      <c r="K4382" s="43"/>
      <c r="L4382" s="44"/>
      <c r="M4382" s="45" t="s">
        <v>13409</v>
      </c>
    </row>
    <row r="4383" ht="30" customHeight="1" spans="1:13">
      <c r="A4383" s="41">
        <f>IF(C4383="","",SUBTOTAL(103,$C$2:C4383))</f>
        <v>4374</v>
      </c>
      <c r="B4383" s="41">
        <v>2663</v>
      </c>
      <c r="C4383" s="41">
        <v>3740</v>
      </c>
      <c r="D4383" s="41" t="s">
        <v>45</v>
      </c>
      <c r="E4383" s="41" t="s">
        <v>1298</v>
      </c>
      <c r="F4383" s="41" t="s">
        <v>11893</v>
      </c>
      <c r="G4383" s="41" t="s">
        <v>13410</v>
      </c>
      <c r="H4383" s="41" t="s">
        <v>13411</v>
      </c>
      <c r="I4383" s="43">
        <v>12</v>
      </c>
      <c r="J4383" s="44" t="str">
        <f>VLOOKUP(G4383,[1]硬件清单!$F:$F,1,0)</f>
        <v>210305756810HA000904</v>
      </c>
      <c r="K4383" s="43"/>
      <c r="L4383" s="44"/>
      <c r="M4383" s="45" t="s">
        <v>13412</v>
      </c>
    </row>
    <row r="4384" ht="30" customHeight="1" spans="1:13">
      <c r="A4384" s="41">
        <f>IF(C4384="","",SUBTOTAL(103,$C$2:C4384))</f>
        <v>4375</v>
      </c>
      <c r="B4384" s="41">
        <v>2664</v>
      </c>
      <c r="C4384" s="41">
        <v>3741</v>
      </c>
      <c r="D4384" s="41" t="s">
        <v>45</v>
      </c>
      <c r="E4384" s="41" t="s">
        <v>1298</v>
      </c>
      <c r="F4384" s="41" t="s">
        <v>11893</v>
      </c>
      <c r="G4384" s="41" t="s">
        <v>13413</v>
      </c>
      <c r="H4384" s="41" t="s">
        <v>13414</v>
      </c>
      <c r="I4384" s="43">
        <v>12</v>
      </c>
      <c r="J4384" s="44" t="str">
        <f>VLOOKUP(G4384,[1]硬件清单!$F:$F,1,0)</f>
        <v>210305756810HA000907</v>
      </c>
      <c r="K4384" s="43"/>
      <c r="L4384" s="44"/>
      <c r="M4384" s="45" t="s">
        <v>13415</v>
      </c>
    </row>
    <row r="4385" ht="30" customHeight="1" spans="1:13">
      <c r="A4385" s="41">
        <f>IF(C4385="","",SUBTOTAL(103,$C$2:C4385))</f>
        <v>4376</v>
      </c>
      <c r="B4385" s="41">
        <v>2665</v>
      </c>
      <c r="C4385" s="41">
        <v>4243</v>
      </c>
      <c r="D4385" s="41" t="s">
        <v>45</v>
      </c>
      <c r="E4385" s="41" t="s">
        <v>1298</v>
      </c>
      <c r="F4385" s="41" t="s">
        <v>11889</v>
      </c>
      <c r="G4385" s="41" t="s">
        <v>13416</v>
      </c>
      <c r="H4385" s="41" t="s">
        <v>13417</v>
      </c>
      <c r="I4385" s="43">
        <v>12</v>
      </c>
      <c r="J4385" s="44" t="str">
        <f>VLOOKUP(G4385,[1]硬件清单!$F:$F,1,0)</f>
        <v>2102300742N0H9000504/210230102810HA000025</v>
      </c>
      <c r="K4385" s="43"/>
      <c r="L4385" s="44"/>
      <c r="M4385" s="45" t="s">
        <v>13418</v>
      </c>
    </row>
    <row r="4386" ht="30" customHeight="1" spans="1:13">
      <c r="A4386" s="41">
        <f>IF(C4386="","",SUBTOTAL(103,$C$2:C4386))</f>
        <v>4377</v>
      </c>
      <c r="B4386" s="41">
        <v>2666</v>
      </c>
      <c r="C4386" s="41">
        <v>3653</v>
      </c>
      <c r="D4386" s="41" t="s">
        <v>45</v>
      </c>
      <c r="E4386" s="41" t="s">
        <v>1298</v>
      </c>
      <c r="F4386" s="41" t="s">
        <v>11893</v>
      </c>
      <c r="G4386" s="41" t="s">
        <v>13419</v>
      </c>
      <c r="H4386" s="41" t="s">
        <v>13420</v>
      </c>
      <c r="I4386" s="43">
        <v>12</v>
      </c>
      <c r="J4386" s="44" t="str">
        <f>VLOOKUP(G4386,[1]硬件清单!$F:$F,1,0)</f>
        <v>210305756810HA000310</v>
      </c>
      <c r="K4386" s="43"/>
      <c r="L4386" s="44"/>
      <c r="M4386" s="45" t="s">
        <v>13421</v>
      </c>
    </row>
    <row r="4387" ht="30" customHeight="1" spans="1:13">
      <c r="A4387" s="41">
        <f>IF(C4387="","",SUBTOTAL(103,$C$2:C4387))</f>
        <v>4378</v>
      </c>
      <c r="B4387" s="41">
        <v>2667</v>
      </c>
      <c r="C4387" s="41">
        <v>3662</v>
      </c>
      <c r="D4387" s="41" t="s">
        <v>45</v>
      </c>
      <c r="E4387" s="41" t="s">
        <v>1298</v>
      </c>
      <c r="F4387" s="41" t="s">
        <v>11893</v>
      </c>
      <c r="G4387" s="41" t="s">
        <v>13422</v>
      </c>
      <c r="H4387" s="41" t="s">
        <v>13423</v>
      </c>
      <c r="I4387" s="43">
        <v>12</v>
      </c>
      <c r="J4387" s="44" t="str">
        <f>VLOOKUP(G4387,[1]硬件清单!$F:$F,1,0)</f>
        <v>210305756810HA000592</v>
      </c>
      <c r="K4387" s="43"/>
      <c r="L4387" s="44"/>
      <c r="M4387" s="45" t="s">
        <v>13424</v>
      </c>
    </row>
    <row r="4388" ht="30" customHeight="1" spans="1:13">
      <c r="A4388" s="41">
        <f>IF(C4388="","",SUBTOTAL(103,$C$2:C4388))</f>
        <v>4379</v>
      </c>
      <c r="B4388" s="41">
        <v>2668</v>
      </c>
      <c r="C4388" s="41">
        <v>3663</v>
      </c>
      <c r="D4388" s="41" t="s">
        <v>45</v>
      </c>
      <c r="E4388" s="41" t="s">
        <v>1298</v>
      </c>
      <c r="F4388" s="41" t="s">
        <v>11893</v>
      </c>
      <c r="G4388" s="41" t="s">
        <v>13425</v>
      </c>
      <c r="H4388" s="41" t="s">
        <v>13426</v>
      </c>
      <c r="I4388" s="43">
        <v>12</v>
      </c>
      <c r="J4388" s="44" t="str">
        <f>VLOOKUP(G4388,[1]硬件清单!$F:$F,1,0)</f>
        <v>210305756810HA000431</v>
      </c>
      <c r="K4388" s="43"/>
      <c r="L4388" s="44"/>
      <c r="M4388" s="45" t="s">
        <v>13427</v>
      </c>
    </row>
    <row r="4389" ht="30" customHeight="1" spans="1:13">
      <c r="A4389" s="41">
        <f>IF(C4389="","",SUBTOTAL(103,$C$2:C4389))</f>
        <v>4380</v>
      </c>
      <c r="B4389" s="41">
        <v>2669</v>
      </c>
      <c r="C4389" s="41">
        <v>3664</v>
      </c>
      <c r="D4389" s="41" t="s">
        <v>45</v>
      </c>
      <c r="E4389" s="41" t="s">
        <v>1298</v>
      </c>
      <c r="F4389" s="41" t="s">
        <v>11893</v>
      </c>
      <c r="G4389" s="41" t="s">
        <v>13428</v>
      </c>
      <c r="H4389" s="41" t="s">
        <v>13429</v>
      </c>
      <c r="I4389" s="43">
        <v>12</v>
      </c>
      <c r="J4389" s="44" t="str">
        <f>VLOOKUP(G4389,[1]硬件清单!$F:$F,1,0)</f>
        <v>210305756810HA000244</v>
      </c>
      <c r="K4389" s="43"/>
      <c r="L4389" s="44"/>
      <c r="M4389" s="45" t="s">
        <v>13430</v>
      </c>
    </row>
    <row r="4390" ht="30" customHeight="1" spans="1:13">
      <c r="A4390" s="41">
        <f>IF(C4390="","",SUBTOTAL(103,$C$2:C4390))</f>
        <v>4381</v>
      </c>
      <c r="B4390" s="41">
        <v>2670</v>
      </c>
      <c r="C4390" s="41">
        <v>3665</v>
      </c>
      <c r="D4390" s="41" t="s">
        <v>45</v>
      </c>
      <c r="E4390" s="41" t="s">
        <v>1298</v>
      </c>
      <c r="F4390" s="41" t="s">
        <v>11893</v>
      </c>
      <c r="G4390" s="41" t="s">
        <v>13431</v>
      </c>
      <c r="H4390" s="41" t="s">
        <v>13432</v>
      </c>
      <c r="I4390" s="43">
        <v>12</v>
      </c>
      <c r="J4390" s="44" t="str">
        <f>VLOOKUP(G4390,[1]硬件清单!$F:$F,1,0)</f>
        <v>210305756810HA000457</v>
      </c>
      <c r="K4390" s="43"/>
      <c r="L4390" s="44"/>
      <c r="M4390" s="45" t="s">
        <v>13433</v>
      </c>
    </row>
    <row r="4391" ht="30" customHeight="1" spans="1:13">
      <c r="A4391" s="41">
        <f>IF(C4391="","",SUBTOTAL(103,$C$2:C4391))</f>
        <v>4382</v>
      </c>
      <c r="B4391" s="41">
        <v>2671</v>
      </c>
      <c r="C4391" s="41">
        <v>3666</v>
      </c>
      <c r="D4391" s="41" t="s">
        <v>45</v>
      </c>
      <c r="E4391" s="41" t="s">
        <v>1298</v>
      </c>
      <c r="F4391" s="41" t="s">
        <v>11893</v>
      </c>
      <c r="G4391" s="41" t="s">
        <v>13434</v>
      </c>
      <c r="H4391" s="41" t="s">
        <v>13435</v>
      </c>
      <c r="I4391" s="43">
        <v>12</v>
      </c>
      <c r="J4391" s="44" t="str">
        <f>VLOOKUP(G4391,[1]硬件清单!$F:$F,1,0)</f>
        <v>210305756810HA000455</v>
      </c>
      <c r="K4391" s="43"/>
      <c r="L4391" s="44"/>
      <c r="M4391" s="45" t="s">
        <v>13436</v>
      </c>
    </row>
    <row r="4392" ht="30" customHeight="1" spans="1:13">
      <c r="A4392" s="41">
        <f>IF(C4392="","",SUBTOTAL(103,$C$2:C4392))</f>
        <v>4383</v>
      </c>
      <c r="B4392" s="41">
        <v>2672</v>
      </c>
      <c r="C4392" s="41">
        <v>3667</v>
      </c>
      <c r="D4392" s="41" t="s">
        <v>45</v>
      </c>
      <c r="E4392" s="41" t="s">
        <v>1298</v>
      </c>
      <c r="F4392" s="41" t="s">
        <v>11893</v>
      </c>
      <c r="G4392" s="41" t="s">
        <v>13437</v>
      </c>
      <c r="H4392" s="41" t="s">
        <v>13438</v>
      </c>
      <c r="I4392" s="43">
        <v>12</v>
      </c>
      <c r="J4392" s="44" t="str">
        <f>VLOOKUP(G4392,[1]硬件清单!$F:$F,1,0)</f>
        <v>210305756810HA000415</v>
      </c>
      <c r="K4392" s="43"/>
      <c r="L4392" s="44"/>
      <c r="M4392" s="45" t="s">
        <v>13439</v>
      </c>
    </row>
    <row r="4393" ht="30" customHeight="1" spans="1:13">
      <c r="A4393" s="41">
        <f>IF(C4393="","",SUBTOTAL(103,$C$2:C4393))</f>
        <v>4384</v>
      </c>
      <c r="B4393" s="41">
        <v>2673</v>
      </c>
      <c r="C4393" s="41">
        <v>3668</v>
      </c>
      <c r="D4393" s="41" t="s">
        <v>45</v>
      </c>
      <c r="E4393" s="41" t="s">
        <v>1298</v>
      </c>
      <c r="F4393" s="41" t="s">
        <v>11893</v>
      </c>
      <c r="G4393" s="41" t="s">
        <v>13440</v>
      </c>
      <c r="H4393" s="41" t="s">
        <v>13441</v>
      </c>
      <c r="I4393" s="43">
        <v>12</v>
      </c>
      <c r="J4393" s="44" t="str">
        <f>VLOOKUP(G4393,[1]硬件清单!$F:$F,1,0)</f>
        <v>210305756810HA000459</v>
      </c>
      <c r="K4393" s="43"/>
      <c r="L4393" s="44"/>
      <c r="M4393" s="45" t="s">
        <v>13442</v>
      </c>
    </row>
    <row r="4394" ht="30" customHeight="1" spans="1:13">
      <c r="A4394" s="41">
        <f>IF(C4394="","",SUBTOTAL(103,$C$2:C4394))</f>
        <v>4385</v>
      </c>
      <c r="B4394" s="41">
        <v>2674</v>
      </c>
      <c r="C4394" s="41">
        <v>3654</v>
      </c>
      <c r="D4394" s="41" t="s">
        <v>45</v>
      </c>
      <c r="E4394" s="41" t="s">
        <v>1298</v>
      </c>
      <c r="F4394" s="41" t="s">
        <v>11893</v>
      </c>
      <c r="G4394" s="41" t="s">
        <v>13443</v>
      </c>
      <c r="H4394" s="41" t="s">
        <v>13444</v>
      </c>
      <c r="I4394" s="43">
        <v>12</v>
      </c>
      <c r="J4394" s="44" t="str">
        <f>VLOOKUP(G4394,[1]硬件清单!$F:$F,1,0)</f>
        <v>210305756810HA000311</v>
      </c>
      <c r="K4394" s="43"/>
      <c r="L4394" s="44"/>
      <c r="M4394" s="45" t="s">
        <v>13445</v>
      </c>
    </row>
    <row r="4395" ht="30" customHeight="1" spans="1:13">
      <c r="A4395" s="41">
        <f>IF(C4395="","",SUBTOTAL(103,$C$2:C4395))</f>
        <v>4386</v>
      </c>
      <c r="B4395" s="41">
        <v>2675</v>
      </c>
      <c r="C4395" s="41">
        <v>3655</v>
      </c>
      <c r="D4395" s="41" t="s">
        <v>45</v>
      </c>
      <c r="E4395" s="41" t="s">
        <v>1298</v>
      </c>
      <c r="F4395" s="41" t="s">
        <v>11893</v>
      </c>
      <c r="G4395" s="41" t="s">
        <v>13446</v>
      </c>
      <c r="H4395" s="41" t="s">
        <v>13447</v>
      </c>
      <c r="I4395" s="43">
        <v>12</v>
      </c>
      <c r="J4395" s="44" t="str">
        <f>VLOOKUP(G4395,[1]硬件清单!$F:$F,1,0)</f>
        <v>210305756810HA000306</v>
      </c>
      <c r="K4395" s="43"/>
      <c r="L4395" s="44"/>
      <c r="M4395" s="45" t="s">
        <v>13448</v>
      </c>
    </row>
    <row r="4396" ht="30" customHeight="1" spans="1:13">
      <c r="A4396" s="41">
        <f>IF(C4396="","",SUBTOTAL(103,$C$2:C4396))</f>
        <v>4387</v>
      </c>
      <c r="B4396" s="41">
        <v>2676</v>
      </c>
      <c r="C4396" s="41">
        <v>3656</v>
      </c>
      <c r="D4396" s="41" t="s">
        <v>45</v>
      </c>
      <c r="E4396" s="41" t="s">
        <v>1298</v>
      </c>
      <c r="F4396" s="41" t="s">
        <v>11893</v>
      </c>
      <c r="G4396" s="41" t="s">
        <v>13449</v>
      </c>
      <c r="H4396" s="41" t="s">
        <v>13450</v>
      </c>
      <c r="I4396" s="43">
        <v>12</v>
      </c>
      <c r="J4396" s="44" t="str">
        <f>VLOOKUP(G4396,[1]硬件清单!$F:$F,1,0)</f>
        <v>210305756810HA000300</v>
      </c>
      <c r="K4396" s="43"/>
      <c r="L4396" s="44"/>
      <c r="M4396" s="45" t="s">
        <v>13451</v>
      </c>
    </row>
    <row r="4397" ht="30" customHeight="1" spans="1:13">
      <c r="A4397" s="41">
        <f>IF(C4397="","",SUBTOTAL(103,$C$2:C4397))</f>
        <v>4388</v>
      </c>
      <c r="B4397" s="41">
        <v>2677</v>
      </c>
      <c r="C4397" s="41">
        <v>3657</v>
      </c>
      <c r="D4397" s="41" t="s">
        <v>45</v>
      </c>
      <c r="E4397" s="41" t="s">
        <v>1298</v>
      </c>
      <c r="F4397" s="41" t="s">
        <v>11893</v>
      </c>
      <c r="G4397" s="41" t="s">
        <v>13452</v>
      </c>
      <c r="H4397" s="41" t="s">
        <v>13453</v>
      </c>
      <c r="I4397" s="43">
        <v>12</v>
      </c>
      <c r="J4397" s="44" t="str">
        <f>VLOOKUP(G4397,[1]硬件清单!$F:$F,1,0)</f>
        <v>210305756810HA000276</v>
      </c>
      <c r="K4397" s="43"/>
      <c r="L4397" s="44"/>
      <c r="M4397" s="45" t="s">
        <v>13454</v>
      </c>
    </row>
    <row r="4398" ht="30" customHeight="1" spans="1:13">
      <c r="A4398" s="41">
        <f>IF(C4398="","",SUBTOTAL(103,$C$2:C4398))</f>
        <v>4389</v>
      </c>
      <c r="B4398" s="41">
        <v>2678</v>
      </c>
      <c r="C4398" s="41">
        <v>3658</v>
      </c>
      <c r="D4398" s="41" t="s">
        <v>45</v>
      </c>
      <c r="E4398" s="41" t="s">
        <v>1298</v>
      </c>
      <c r="F4398" s="41" t="s">
        <v>11893</v>
      </c>
      <c r="G4398" s="41" t="s">
        <v>13455</v>
      </c>
      <c r="H4398" s="41" t="s">
        <v>13456</v>
      </c>
      <c r="I4398" s="43">
        <v>12</v>
      </c>
      <c r="J4398" s="44" t="str">
        <f>VLOOKUP(G4398,[1]硬件清单!$F:$F,1,0)</f>
        <v>210305756810HA000423</v>
      </c>
      <c r="K4398" s="43"/>
      <c r="L4398" s="44"/>
      <c r="M4398" s="45" t="s">
        <v>13457</v>
      </c>
    </row>
    <row r="4399" ht="30" customHeight="1" spans="1:13">
      <c r="A4399" s="41">
        <f>IF(C4399="","",SUBTOTAL(103,$C$2:C4399))</f>
        <v>4390</v>
      </c>
      <c r="B4399" s="41">
        <v>2679</v>
      </c>
      <c r="C4399" s="41">
        <v>3659</v>
      </c>
      <c r="D4399" s="41" t="s">
        <v>45</v>
      </c>
      <c r="E4399" s="41" t="s">
        <v>1298</v>
      </c>
      <c r="F4399" s="41" t="s">
        <v>11893</v>
      </c>
      <c r="G4399" s="41" t="s">
        <v>13458</v>
      </c>
      <c r="H4399" s="41" t="s">
        <v>13459</v>
      </c>
      <c r="I4399" s="43">
        <v>12</v>
      </c>
      <c r="J4399" s="44" t="str">
        <f>VLOOKUP(G4399,[1]硬件清单!$F:$F,1,0)</f>
        <v>210305756810HA000565</v>
      </c>
      <c r="K4399" s="43"/>
      <c r="L4399" s="44"/>
      <c r="M4399" s="45" t="s">
        <v>13460</v>
      </c>
    </row>
    <row r="4400" ht="30" customHeight="1" spans="1:13">
      <c r="A4400" s="41">
        <f>IF(C4400="","",SUBTOTAL(103,$C$2:C4400))</f>
        <v>4391</v>
      </c>
      <c r="B4400" s="41">
        <v>2680</v>
      </c>
      <c r="C4400" s="41">
        <v>3660</v>
      </c>
      <c r="D4400" s="41" t="s">
        <v>45</v>
      </c>
      <c r="E4400" s="41" t="s">
        <v>1298</v>
      </c>
      <c r="F4400" s="41" t="s">
        <v>11893</v>
      </c>
      <c r="G4400" s="41" t="s">
        <v>13461</v>
      </c>
      <c r="H4400" s="41" t="s">
        <v>13462</v>
      </c>
      <c r="I4400" s="43">
        <v>12</v>
      </c>
      <c r="J4400" s="44" t="str">
        <f>VLOOKUP(G4400,[1]硬件清单!$F:$F,1,0)</f>
        <v>210305756810HA000582</v>
      </c>
      <c r="K4400" s="43"/>
      <c r="L4400" s="44"/>
      <c r="M4400" s="45" t="s">
        <v>13463</v>
      </c>
    </row>
    <row r="4401" ht="30" customHeight="1" spans="1:13">
      <c r="A4401" s="41">
        <f>IF(C4401="","",SUBTOTAL(103,$C$2:C4401))</f>
        <v>4392</v>
      </c>
      <c r="B4401" s="41">
        <v>2681</v>
      </c>
      <c r="C4401" s="41">
        <v>3661</v>
      </c>
      <c r="D4401" s="41" t="s">
        <v>45</v>
      </c>
      <c r="E4401" s="41" t="s">
        <v>1298</v>
      </c>
      <c r="F4401" s="41" t="s">
        <v>11893</v>
      </c>
      <c r="G4401" s="41" t="s">
        <v>13464</v>
      </c>
      <c r="H4401" s="41" t="s">
        <v>13465</v>
      </c>
      <c r="I4401" s="43">
        <v>12</v>
      </c>
      <c r="J4401" s="44" t="str">
        <f>VLOOKUP(G4401,[1]硬件清单!$F:$F,1,0)</f>
        <v>210305756810HA000630</v>
      </c>
      <c r="K4401" s="43"/>
      <c r="L4401" s="44"/>
      <c r="M4401" s="45" t="s">
        <v>13466</v>
      </c>
    </row>
    <row r="4402" ht="30" customHeight="1" spans="1:13">
      <c r="A4402" s="41">
        <f>IF(C4402="","",SUBTOTAL(103,$C$2:C4402))</f>
        <v>4393</v>
      </c>
      <c r="B4402" s="41">
        <v>2682</v>
      </c>
      <c r="C4402" s="41">
        <v>4242</v>
      </c>
      <c r="D4402" s="41" t="s">
        <v>45</v>
      </c>
      <c r="E4402" s="41" t="s">
        <v>1298</v>
      </c>
      <c r="F4402" s="41" t="s">
        <v>11889</v>
      </c>
      <c r="G4402" s="41" t="s">
        <v>13467</v>
      </c>
      <c r="H4402" s="41" t="s">
        <v>13468</v>
      </c>
      <c r="I4402" s="43">
        <v>12</v>
      </c>
      <c r="J4402" s="44" t="str">
        <f>VLOOKUP(G4402,[1]硬件清单!$F:$F,1,0)</f>
        <v>2102300742N0H9000593/210230102810HA000099</v>
      </c>
      <c r="K4402" s="43"/>
      <c r="L4402" s="44"/>
      <c r="M4402" s="45" t="s">
        <v>13469</v>
      </c>
    </row>
    <row r="4403" ht="30" customHeight="1" spans="1:13">
      <c r="A4403" s="41">
        <f>IF(C4403="","",SUBTOTAL(103,$C$2:C4403))</f>
        <v>4394</v>
      </c>
      <c r="B4403" s="41">
        <v>2683</v>
      </c>
      <c r="C4403" s="41">
        <v>3669</v>
      </c>
      <c r="D4403" s="41" t="s">
        <v>45</v>
      </c>
      <c r="E4403" s="41" t="s">
        <v>1298</v>
      </c>
      <c r="F4403" s="41" t="s">
        <v>11893</v>
      </c>
      <c r="G4403" s="41" t="s">
        <v>13470</v>
      </c>
      <c r="H4403" s="41" t="s">
        <v>13471</v>
      </c>
      <c r="I4403" s="43">
        <v>12</v>
      </c>
      <c r="J4403" s="44" t="str">
        <f>VLOOKUP(G4403,[1]硬件清单!$F:$F,1,0)</f>
        <v>210305756810HA000238</v>
      </c>
      <c r="K4403" s="43"/>
      <c r="L4403" s="44"/>
      <c r="M4403" s="45" t="s">
        <v>13472</v>
      </c>
    </row>
    <row r="4404" ht="30" customHeight="1" spans="1:13">
      <c r="A4404" s="41">
        <f>IF(C4404="","",SUBTOTAL(103,$C$2:C4404))</f>
        <v>4395</v>
      </c>
      <c r="B4404" s="41">
        <v>2684</v>
      </c>
      <c r="C4404" s="41">
        <v>3678</v>
      </c>
      <c r="D4404" s="41" t="s">
        <v>45</v>
      </c>
      <c r="E4404" s="41" t="s">
        <v>1298</v>
      </c>
      <c r="F4404" s="41" t="s">
        <v>11893</v>
      </c>
      <c r="G4404" s="41" t="s">
        <v>13473</v>
      </c>
      <c r="H4404" s="41" t="s">
        <v>13474</v>
      </c>
      <c r="I4404" s="43">
        <v>12</v>
      </c>
      <c r="J4404" s="44" t="str">
        <f>VLOOKUP(G4404,[1]硬件清单!$F:$F,1,0)</f>
        <v>210305756810HA000312</v>
      </c>
      <c r="K4404" s="43"/>
      <c r="L4404" s="44"/>
      <c r="M4404" s="45" t="s">
        <v>13475</v>
      </c>
    </row>
    <row r="4405" ht="30" customHeight="1" spans="1:13">
      <c r="A4405" s="41">
        <f>IF(C4405="","",SUBTOTAL(103,$C$2:C4405))</f>
        <v>4396</v>
      </c>
      <c r="B4405" s="41">
        <v>2685</v>
      </c>
      <c r="C4405" s="41">
        <v>3679</v>
      </c>
      <c r="D4405" s="41" t="s">
        <v>45</v>
      </c>
      <c r="E4405" s="41" t="s">
        <v>1298</v>
      </c>
      <c r="F4405" s="41" t="s">
        <v>11893</v>
      </c>
      <c r="G4405" s="41" t="s">
        <v>13476</v>
      </c>
      <c r="H4405" s="41" t="s">
        <v>13477</v>
      </c>
      <c r="I4405" s="43">
        <v>12</v>
      </c>
      <c r="J4405" s="44" t="str">
        <f>VLOOKUP(G4405,[1]硬件清单!$F:$F,1,0)</f>
        <v>210305756810HA000570</v>
      </c>
      <c r="K4405" s="43"/>
      <c r="L4405" s="44"/>
      <c r="M4405" s="45" t="s">
        <v>13478</v>
      </c>
    </row>
    <row r="4406" ht="30" customHeight="1" spans="1:13">
      <c r="A4406" s="41">
        <f>IF(C4406="","",SUBTOTAL(103,$C$2:C4406))</f>
        <v>4397</v>
      </c>
      <c r="B4406" s="41">
        <v>2686</v>
      </c>
      <c r="C4406" s="41">
        <v>3680</v>
      </c>
      <c r="D4406" s="41" t="s">
        <v>45</v>
      </c>
      <c r="E4406" s="41" t="s">
        <v>1298</v>
      </c>
      <c r="F4406" s="41" t="s">
        <v>11893</v>
      </c>
      <c r="G4406" s="41" t="s">
        <v>13479</v>
      </c>
      <c r="H4406" s="41" t="s">
        <v>13480</v>
      </c>
      <c r="I4406" s="43">
        <v>12</v>
      </c>
      <c r="J4406" s="44" t="str">
        <f>VLOOKUP(G4406,[1]硬件清单!$F:$F,1,0)</f>
        <v>210305756810HA000417</v>
      </c>
      <c r="K4406" s="43"/>
      <c r="L4406" s="44"/>
      <c r="M4406" s="45" t="s">
        <v>13481</v>
      </c>
    </row>
    <row r="4407" ht="30" customHeight="1" spans="1:13">
      <c r="A4407" s="41">
        <f>IF(C4407="","",SUBTOTAL(103,$C$2:C4407))</f>
        <v>4398</v>
      </c>
      <c r="B4407" s="41">
        <v>2687</v>
      </c>
      <c r="C4407" s="41">
        <v>3681</v>
      </c>
      <c r="D4407" s="41" t="s">
        <v>45</v>
      </c>
      <c r="E4407" s="41" t="s">
        <v>1298</v>
      </c>
      <c r="F4407" s="41" t="s">
        <v>11893</v>
      </c>
      <c r="G4407" s="41" t="s">
        <v>13482</v>
      </c>
      <c r="H4407" s="41" t="s">
        <v>13483</v>
      </c>
      <c r="I4407" s="43">
        <v>12</v>
      </c>
      <c r="J4407" s="44" t="str">
        <f>VLOOKUP(G4407,[1]硬件清单!$F:$F,1,0)</f>
        <v>210305756810HA000335</v>
      </c>
      <c r="K4407" s="43"/>
      <c r="L4407" s="44"/>
      <c r="M4407" s="45" t="s">
        <v>13484</v>
      </c>
    </row>
    <row r="4408" ht="30" customHeight="1" spans="1:13">
      <c r="A4408" s="41">
        <f>IF(C4408="","",SUBTOTAL(103,$C$2:C4408))</f>
        <v>4399</v>
      </c>
      <c r="B4408" s="41">
        <v>2688</v>
      </c>
      <c r="C4408" s="41">
        <v>3682</v>
      </c>
      <c r="D4408" s="41" t="s">
        <v>45</v>
      </c>
      <c r="E4408" s="41" t="s">
        <v>1298</v>
      </c>
      <c r="F4408" s="41" t="s">
        <v>11893</v>
      </c>
      <c r="G4408" s="41" t="s">
        <v>13485</v>
      </c>
      <c r="H4408" s="41" t="s">
        <v>13486</v>
      </c>
      <c r="I4408" s="43">
        <v>12</v>
      </c>
      <c r="J4408" s="44" t="str">
        <f>VLOOKUP(G4408,[1]硬件清单!$F:$F,1,0)</f>
        <v>210305756810HA000228</v>
      </c>
      <c r="K4408" s="43"/>
      <c r="L4408" s="44"/>
      <c r="M4408" s="45" t="s">
        <v>13487</v>
      </c>
    </row>
    <row r="4409" ht="30" customHeight="1" spans="1:13">
      <c r="A4409" s="41">
        <f>IF(C4409="","",SUBTOTAL(103,$C$2:C4409))</f>
        <v>4400</v>
      </c>
      <c r="B4409" s="41">
        <v>2689</v>
      </c>
      <c r="C4409" s="41">
        <v>3683</v>
      </c>
      <c r="D4409" s="41" t="s">
        <v>45</v>
      </c>
      <c r="E4409" s="41" t="s">
        <v>1298</v>
      </c>
      <c r="F4409" s="41" t="s">
        <v>11893</v>
      </c>
      <c r="G4409" s="41" t="s">
        <v>13488</v>
      </c>
      <c r="H4409" s="41" t="s">
        <v>13489</v>
      </c>
      <c r="I4409" s="43">
        <v>12</v>
      </c>
      <c r="J4409" s="44" t="str">
        <f>VLOOKUP(G4409,[1]硬件清单!$F:$F,1,0)</f>
        <v>210305756810HA000268</v>
      </c>
      <c r="K4409" s="43"/>
      <c r="L4409" s="44"/>
      <c r="M4409" s="45" t="s">
        <v>13490</v>
      </c>
    </row>
    <row r="4410" ht="30" customHeight="1" spans="1:13">
      <c r="A4410" s="41">
        <f>IF(C4410="","",SUBTOTAL(103,$C$2:C4410))</f>
        <v>4401</v>
      </c>
      <c r="B4410" s="41">
        <v>2690</v>
      </c>
      <c r="C4410" s="41">
        <v>3684</v>
      </c>
      <c r="D4410" s="41" t="s">
        <v>45</v>
      </c>
      <c r="E4410" s="41" t="s">
        <v>1298</v>
      </c>
      <c r="F4410" s="41" t="s">
        <v>11893</v>
      </c>
      <c r="G4410" s="41" t="s">
        <v>13491</v>
      </c>
      <c r="H4410" s="41" t="s">
        <v>13492</v>
      </c>
      <c r="I4410" s="43">
        <v>12</v>
      </c>
      <c r="J4410" s="44" t="str">
        <f>VLOOKUP(G4410,[1]硬件清单!$F:$F,1,0)</f>
        <v>210305756810HA000273</v>
      </c>
      <c r="K4410" s="43"/>
      <c r="L4410" s="44"/>
      <c r="M4410" s="45" t="s">
        <v>13493</v>
      </c>
    </row>
    <row r="4411" ht="30" customHeight="1" spans="1:13">
      <c r="A4411" s="41">
        <f>IF(C4411="","",SUBTOTAL(103,$C$2:C4411))</f>
        <v>4402</v>
      </c>
      <c r="B4411" s="41">
        <v>2691</v>
      </c>
      <c r="C4411" s="41">
        <v>3670</v>
      </c>
      <c r="D4411" s="41" t="s">
        <v>45</v>
      </c>
      <c r="E4411" s="41" t="s">
        <v>1298</v>
      </c>
      <c r="F4411" s="41" t="s">
        <v>11893</v>
      </c>
      <c r="G4411" s="41" t="s">
        <v>13494</v>
      </c>
      <c r="H4411" s="41" t="s">
        <v>13495</v>
      </c>
      <c r="I4411" s="43">
        <v>12</v>
      </c>
      <c r="J4411" s="44" t="str">
        <f>VLOOKUP(G4411,[1]硬件清单!$F:$F,1,0)</f>
        <v>210305756810HA000583</v>
      </c>
      <c r="K4411" s="43"/>
      <c r="L4411" s="44"/>
      <c r="M4411" s="45" t="s">
        <v>13496</v>
      </c>
    </row>
    <row r="4412" ht="30" customHeight="1" spans="1:13">
      <c r="A4412" s="41">
        <f>IF(C4412="","",SUBTOTAL(103,$C$2:C4412))</f>
        <v>4403</v>
      </c>
      <c r="B4412" s="41">
        <v>2692</v>
      </c>
      <c r="C4412" s="41">
        <v>3671</v>
      </c>
      <c r="D4412" s="41" t="s">
        <v>45</v>
      </c>
      <c r="E4412" s="41" t="s">
        <v>1298</v>
      </c>
      <c r="F4412" s="41" t="s">
        <v>11893</v>
      </c>
      <c r="G4412" s="41" t="s">
        <v>13497</v>
      </c>
      <c r="H4412" s="41" t="s">
        <v>13498</v>
      </c>
      <c r="I4412" s="43">
        <v>12</v>
      </c>
      <c r="J4412" s="44" t="str">
        <f>VLOOKUP(G4412,[1]硬件清单!$F:$F,1,0)</f>
        <v>210305756810HA000297</v>
      </c>
      <c r="K4412" s="43"/>
      <c r="L4412" s="44"/>
      <c r="M4412" s="45" t="s">
        <v>13499</v>
      </c>
    </row>
    <row r="4413" ht="30" customHeight="1" spans="1:13">
      <c r="A4413" s="41">
        <f>IF(C4413="","",SUBTOTAL(103,$C$2:C4413))</f>
        <v>4404</v>
      </c>
      <c r="B4413" s="41">
        <v>2693</v>
      </c>
      <c r="C4413" s="41">
        <v>3672</v>
      </c>
      <c r="D4413" s="41" t="s">
        <v>45</v>
      </c>
      <c r="E4413" s="41" t="s">
        <v>1298</v>
      </c>
      <c r="F4413" s="41" t="s">
        <v>11893</v>
      </c>
      <c r="G4413" s="41" t="s">
        <v>13500</v>
      </c>
      <c r="H4413" s="41" t="s">
        <v>13501</v>
      </c>
      <c r="I4413" s="43">
        <v>12</v>
      </c>
      <c r="J4413" s="44" t="str">
        <f>VLOOKUP(G4413,[1]硬件清单!$F:$F,1,0)</f>
        <v>210305756810HA000329</v>
      </c>
      <c r="K4413" s="43"/>
      <c r="L4413" s="44"/>
      <c r="M4413" s="45" t="s">
        <v>13502</v>
      </c>
    </row>
    <row r="4414" ht="30" customHeight="1" spans="1:13">
      <c r="A4414" s="41">
        <f>IF(C4414="","",SUBTOTAL(103,$C$2:C4414))</f>
        <v>4405</v>
      </c>
      <c r="B4414" s="41">
        <v>2694</v>
      </c>
      <c r="C4414" s="41">
        <v>3673</v>
      </c>
      <c r="D4414" s="41" t="s">
        <v>45</v>
      </c>
      <c r="E4414" s="41" t="s">
        <v>1298</v>
      </c>
      <c r="F4414" s="41" t="s">
        <v>11893</v>
      </c>
      <c r="G4414" s="41" t="s">
        <v>13503</v>
      </c>
      <c r="H4414" s="41" t="s">
        <v>13504</v>
      </c>
      <c r="I4414" s="43">
        <v>12</v>
      </c>
      <c r="J4414" s="44" t="str">
        <f>VLOOKUP(G4414,[1]硬件清单!$F:$F,1,0)</f>
        <v>210305756810HA000566</v>
      </c>
      <c r="K4414" s="43"/>
      <c r="L4414" s="44"/>
      <c r="M4414" s="45" t="s">
        <v>13505</v>
      </c>
    </row>
    <row r="4415" ht="30" customHeight="1" spans="1:13">
      <c r="A4415" s="41">
        <f>IF(C4415="","",SUBTOTAL(103,$C$2:C4415))</f>
        <v>4406</v>
      </c>
      <c r="B4415" s="41">
        <v>2695</v>
      </c>
      <c r="C4415" s="41">
        <v>3674</v>
      </c>
      <c r="D4415" s="41" t="s">
        <v>45</v>
      </c>
      <c r="E4415" s="41" t="s">
        <v>1298</v>
      </c>
      <c r="F4415" s="41" t="s">
        <v>11893</v>
      </c>
      <c r="G4415" s="41" t="s">
        <v>13506</v>
      </c>
      <c r="H4415" s="41" t="s">
        <v>13507</v>
      </c>
      <c r="I4415" s="43">
        <v>12</v>
      </c>
      <c r="J4415" s="44" t="str">
        <f>VLOOKUP(G4415,[1]硬件清单!$F:$F,1,0)</f>
        <v>210305756810HA000569</v>
      </c>
      <c r="K4415" s="43"/>
      <c r="L4415" s="44"/>
      <c r="M4415" s="45" t="s">
        <v>13508</v>
      </c>
    </row>
    <row r="4416" ht="30" customHeight="1" spans="1:13">
      <c r="A4416" s="41">
        <f>IF(C4416="","",SUBTOTAL(103,$C$2:C4416))</f>
        <v>4407</v>
      </c>
      <c r="B4416" s="41">
        <v>2696</v>
      </c>
      <c r="C4416" s="41">
        <v>3675</v>
      </c>
      <c r="D4416" s="41" t="s">
        <v>45</v>
      </c>
      <c r="E4416" s="41" t="s">
        <v>1298</v>
      </c>
      <c r="F4416" s="41" t="s">
        <v>11893</v>
      </c>
      <c r="G4416" s="41" t="s">
        <v>13509</v>
      </c>
      <c r="H4416" s="41" t="s">
        <v>13510</v>
      </c>
      <c r="I4416" s="43">
        <v>12</v>
      </c>
      <c r="J4416" s="44" t="str">
        <f>VLOOKUP(G4416,[1]硬件清单!$F:$F,1,0)</f>
        <v>210305756810HA000571</v>
      </c>
      <c r="K4416" s="43"/>
      <c r="L4416" s="44"/>
      <c r="M4416" s="45" t="s">
        <v>13511</v>
      </c>
    </row>
    <row r="4417" ht="30" customHeight="1" spans="1:13">
      <c r="A4417" s="41">
        <f>IF(C4417="","",SUBTOTAL(103,$C$2:C4417))</f>
        <v>4408</v>
      </c>
      <c r="B4417" s="41">
        <v>2697</v>
      </c>
      <c r="C4417" s="41">
        <v>3676</v>
      </c>
      <c r="D4417" s="41" t="s">
        <v>45</v>
      </c>
      <c r="E4417" s="41" t="s">
        <v>1298</v>
      </c>
      <c r="F4417" s="41" t="s">
        <v>11893</v>
      </c>
      <c r="G4417" s="41" t="s">
        <v>13512</v>
      </c>
      <c r="H4417" s="41" t="s">
        <v>13513</v>
      </c>
      <c r="I4417" s="43">
        <v>12</v>
      </c>
      <c r="J4417" s="44" t="str">
        <f>VLOOKUP(G4417,[1]硬件清单!$F:$F,1,0)</f>
        <v>210305756810HA000303</v>
      </c>
      <c r="K4417" s="43"/>
      <c r="L4417" s="44"/>
      <c r="M4417" s="45" t="s">
        <v>13514</v>
      </c>
    </row>
    <row r="4418" ht="30" customHeight="1" spans="1:13">
      <c r="A4418" s="41">
        <f>IF(C4418="","",SUBTOTAL(103,$C$2:C4418))</f>
        <v>4409</v>
      </c>
      <c r="B4418" s="41">
        <v>2698</v>
      </c>
      <c r="C4418" s="41">
        <v>3677</v>
      </c>
      <c r="D4418" s="41" t="s">
        <v>45</v>
      </c>
      <c r="E4418" s="41" t="s">
        <v>1298</v>
      </c>
      <c r="F4418" s="41" t="s">
        <v>11893</v>
      </c>
      <c r="G4418" s="41" t="s">
        <v>13515</v>
      </c>
      <c r="H4418" s="41" t="s">
        <v>13516</v>
      </c>
      <c r="I4418" s="43">
        <v>12</v>
      </c>
      <c r="J4418" s="44" t="str">
        <f>VLOOKUP(G4418,[1]硬件清单!$F:$F,1,0)</f>
        <v>210305756810HA000270</v>
      </c>
      <c r="K4418" s="43"/>
      <c r="L4418" s="44"/>
      <c r="M4418" s="45" t="s">
        <v>13517</v>
      </c>
    </row>
    <row r="4419" ht="30" customHeight="1" spans="1:13">
      <c r="A4419" s="41">
        <f>IF(C4419="","",SUBTOTAL(103,$C$2:C4419))</f>
        <v>4410</v>
      </c>
      <c r="B4419" s="41">
        <v>2699</v>
      </c>
      <c r="C4419" s="41">
        <v>4245</v>
      </c>
      <c r="D4419" s="41" t="s">
        <v>45</v>
      </c>
      <c r="E4419" s="41" t="s">
        <v>1298</v>
      </c>
      <c r="F4419" s="41" t="s">
        <v>11889</v>
      </c>
      <c r="G4419" s="41" t="s">
        <v>13518</v>
      </c>
      <c r="H4419" s="41" t="s">
        <v>13519</v>
      </c>
      <c r="I4419" s="43">
        <v>12</v>
      </c>
      <c r="J4419" s="44" t="str">
        <f>VLOOKUP(G4419,[1]硬件清单!$F:$F,1,0)</f>
        <v>2102300742N0H9000589/210230102810HA000100</v>
      </c>
      <c r="K4419" s="43"/>
      <c r="L4419" s="44"/>
      <c r="M4419" s="45" t="s">
        <v>13520</v>
      </c>
    </row>
    <row r="4420" ht="30" customHeight="1" spans="1:13">
      <c r="A4420" s="41">
        <f>IF(C4420="","",SUBTOTAL(103,$C$2:C4420))</f>
        <v>4411</v>
      </c>
      <c r="B4420" s="41">
        <v>2700</v>
      </c>
      <c r="C4420" s="41">
        <v>3765</v>
      </c>
      <c r="D4420" s="41" t="s">
        <v>45</v>
      </c>
      <c r="E4420" s="41" t="s">
        <v>1298</v>
      </c>
      <c r="F4420" s="41" t="s">
        <v>11893</v>
      </c>
      <c r="G4420" s="41" t="s">
        <v>13521</v>
      </c>
      <c r="H4420" s="41" t="s">
        <v>13522</v>
      </c>
      <c r="I4420" s="43">
        <v>12</v>
      </c>
      <c r="J4420" s="44" t="str">
        <f>VLOOKUP(G4420,[1]硬件清单!$F:$F,1,0)</f>
        <v>210305756810HA000564</v>
      </c>
      <c r="K4420" s="43"/>
      <c r="L4420" s="44"/>
      <c r="M4420" s="45" t="s">
        <v>13523</v>
      </c>
    </row>
    <row r="4421" ht="30" customHeight="1" spans="1:13">
      <c r="A4421" s="41">
        <f>IF(C4421="","",SUBTOTAL(103,$C$2:C4421))</f>
        <v>4412</v>
      </c>
      <c r="B4421" s="41">
        <v>2701</v>
      </c>
      <c r="C4421" s="41">
        <v>3774</v>
      </c>
      <c r="D4421" s="41" t="s">
        <v>45</v>
      </c>
      <c r="E4421" s="41" t="s">
        <v>1298</v>
      </c>
      <c r="F4421" s="41" t="s">
        <v>11893</v>
      </c>
      <c r="G4421" s="41" t="s">
        <v>13524</v>
      </c>
      <c r="H4421" s="41" t="s">
        <v>13525</v>
      </c>
      <c r="I4421" s="43">
        <v>12</v>
      </c>
      <c r="J4421" s="44" t="str">
        <f>VLOOKUP(G4421,[1]硬件清单!$F:$F,1,0)</f>
        <v>210305756810HA000414</v>
      </c>
      <c r="K4421" s="43"/>
      <c r="L4421" s="44"/>
      <c r="M4421" s="45" t="s">
        <v>13526</v>
      </c>
    </row>
    <row r="4422" ht="30" customHeight="1" spans="1:13">
      <c r="A4422" s="41">
        <f>IF(C4422="","",SUBTOTAL(103,$C$2:C4422))</f>
        <v>4413</v>
      </c>
      <c r="B4422" s="41">
        <v>2702</v>
      </c>
      <c r="C4422" s="41">
        <v>3775</v>
      </c>
      <c r="D4422" s="41" t="s">
        <v>45</v>
      </c>
      <c r="E4422" s="41" t="s">
        <v>1298</v>
      </c>
      <c r="F4422" s="41" t="s">
        <v>11893</v>
      </c>
      <c r="G4422" s="41" t="s">
        <v>13527</v>
      </c>
      <c r="H4422" s="41" t="s">
        <v>13528</v>
      </c>
      <c r="I4422" s="43">
        <v>12</v>
      </c>
      <c r="J4422" s="44" t="str">
        <f>VLOOKUP(G4422,[1]硬件清单!$F:$F,1,0)</f>
        <v>210305756810HA000413</v>
      </c>
      <c r="K4422" s="43"/>
      <c r="L4422" s="44"/>
      <c r="M4422" s="45" t="s">
        <v>13529</v>
      </c>
    </row>
    <row r="4423" ht="30" customHeight="1" spans="1:13">
      <c r="A4423" s="41">
        <f>IF(C4423="","",SUBTOTAL(103,$C$2:C4423))</f>
        <v>4414</v>
      </c>
      <c r="B4423" s="41">
        <v>2703</v>
      </c>
      <c r="C4423" s="41">
        <v>3776</v>
      </c>
      <c r="D4423" s="41" t="s">
        <v>45</v>
      </c>
      <c r="E4423" s="41" t="s">
        <v>1298</v>
      </c>
      <c r="F4423" s="41" t="s">
        <v>11893</v>
      </c>
      <c r="G4423" s="41" t="s">
        <v>13530</v>
      </c>
      <c r="H4423" s="41" t="s">
        <v>13531</v>
      </c>
      <c r="I4423" s="43">
        <v>12</v>
      </c>
      <c r="J4423" s="44" t="str">
        <f>VLOOKUP(G4423,[1]硬件清单!$F:$F,1,0)</f>
        <v>210305756810HA000432</v>
      </c>
      <c r="K4423" s="43"/>
      <c r="L4423" s="44"/>
      <c r="M4423" s="45" t="s">
        <v>13532</v>
      </c>
    </row>
    <row r="4424" ht="30" customHeight="1" spans="1:13">
      <c r="A4424" s="41">
        <f>IF(C4424="","",SUBTOTAL(103,$C$2:C4424))</f>
        <v>4415</v>
      </c>
      <c r="B4424" s="41">
        <v>2704</v>
      </c>
      <c r="C4424" s="41">
        <v>3777</v>
      </c>
      <c r="D4424" s="41" t="s">
        <v>45</v>
      </c>
      <c r="E4424" s="41" t="s">
        <v>1298</v>
      </c>
      <c r="F4424" s="41" t="s">
        <v>11893</v>
      </c>
      <c r="G4424" s="41" t="s">
        <v>13533</v>
      </c>
      <c r="H4424" s="41" t="s">
        <v>13534</v>
      </c>
      <c r="I4424" s="43">
        <v>12</v>
      </c>
      <c r="J4424" s="44" t="str">
        <f>VLOOKUP(G4424,[1]硬件清单!$F:$F,1,0)</f>
        <v>210305756810HA000590</v>
      </c>
      <c r="K4424" s="43"/>
      <c r="L4424" s="44"/>
      <c r="M4424" s="45" t="s">
        <v>13535</v>
      </c>
    </row>
    <row r="4425" ht="30" customHeight="1" spans="1:13">
      <c r="A4425" s="41">
        <f>IF(C4425="","",SUBTOTAL(103,$C$2:C4425))</f>
        <v>4416</v>
      </c>
      <c r="B4425" s="41">
        <v>2705</v>
      </c>
      <c r="C4425" s="41">
        <v>3778</v>
      </c>
      <c r="D4425" s="41" t="s">
        <v>45</v>
      </c>
      <c r="E4425" s="41" t="s">
        <v>1298</v>
      </c>
      <c r="F4425" s="41" t="s">
        <v>11893</v>
      </c>
      <c r="G4425" s="41" t="s">
        <v>13536</v>
      </c>
      <c r="H4425" s="41" t="s">
        <v>13537</v>
      </c>
      <c r="I4425" s="43">
        <v>12</v>
      </c>
      <c r="J4425" s="44" t="str">
        <f>VLOOKUP(G4425,[1]硬件清单!$F:$F,1,0)</f>
        <v>210305756810HA000246</v>
      </c>
      <c r="K4425" s="43"/>
      <c r="L4425" s="44"/>
      <c r="M4425" s="45" t="s">
        <v>13538</v>
      </c>
    </row>
    <row r="4426" ht="30" customHeight="1" spans="1:13">
      <c r="A4426" s="41">
        <f>IF(C4426="","",SUBTOTAL(103,$C$2:C4426))</f>
        <v>4417</v>
      </c>
      <c r="B4426" s="41">
        <v>2706</v>
      </c>
      <c r="C4426" s="41">
        <v>3779</v>
      </c>
      <c r="D4426" s="41" t="s">
        <v>45</v>
      </c>
      <c r="E4426" s="41" t="s">
        <v>1298</v>
      </c>
      <c r="F4426" s="41" t="s">
        <v>11893</v>
      </c>
      <c r="G4426" s="41" t="s">
        <v>13539</v>
      </c>
      <c r="H4426" s="41" t="s">
        <v>13540</v>
      </c>
      <c r="I4426" s="43">
        <v>12</v>
      </c>
      <c r="J4426" s="44" t="str">
        <f>VLOOKUP(G4426,[1]硬件清单!$F:$F,1,0)</f>
        <v>210305756810HA000429</v>
      </c>
      <c r="K4426" s="43"/>
      <c r="L4426" s="44"/>
      <c r="M4426" s="45" t="s">
        <v>13541</v>
      </c>
    </row>
    <row r="4427" ht="30" customHeight="1" spans="1:13">
      <c r="A4427" s="41">
        <f>IF(C4427="","",SUBTOTAL(103,$C$2:C4427))</f>
        <v>4418</v>
      </c>
      <c r="B4427" s="41">
        <v>2707</v>
      </c>
      <c r="C4427" s="41">
        <v>3780</v>
      </c>
      <c r="D4427" s="41" t="s">
        <v>45</v>
      </c>
      <c r="E4427" s="41" t="s">
        <v>1298</v>
      </c>
      <c r="F4427" s="41" t="s">
        <v>11893</v>
      </c>
      <c r="G4427" s="41" t="s">
        <v>13542</v>
      </c>
      <c r="H4427" s="41" t="s">
        <v>13543</v>
      </c>
      <c r="I4427" s="43">
        <v>12</v>
      </c>
      <c r="J4427" s="44" t="str">
        <f>VLOOKUP(G4427,[1]硬件清单!$F:$F,1,0)</f>
        <v>210305756810HA000218</v>
      </c>
      <c r="K4427" s="43"/>
      <c r="L4427" s="44"/>
      <c r="M4427" s="45" t="s">
        <v>13544</v>
      </c>
    </row>
    <row r="4428" ht="30" customHeight="1" spans="1:13">
      <c r="A4428" s="41">
        <f>IF(C4428="","",SUBTOTAL(103,$C$2:C4428))</f>
        <v>4419</v>
      </c>
      <c r="B4428" s="41">
        <v>2708</v>
      </c>
      <c r="C4428" s="41">
        <v>3771</v>
      </c>
      <c r="D4428" s="41" t="s">
        <v>45</v>
      </c>
      <c r="E4428" s="41" t="s">
        <v>1298</v>
      </c>
      <c r="F4428" s="41" t="s">
        <v>11893</v>
      </c>
      <c r="G4428" s="41" t="s">
        <v>13545</v>
      </c>
      <c r="H4428" s="41" t="s">
        <v>13546</v>
      </c>
      <c r="I4428" s="43">
        <v>12</v>
      </c>
      <c r="J4428" s="44" t="str">
        <f>VLOOKUP(G4428,[1]硬件清单!$F:$F,1,0)</f>
        <v>210305756810HA000266</v>
      </c>
      <c r="K4428" s="43"/>
      <c r="L4428" s="44"/>
      <c r="M4428" s="45" t="s">
        <v>13547</v>
      </c>
    </row>
    <row r="4429" ht="30" customHeight="1" spans="1:13">
      <c r="A4429" s="41">
        <f>IF(C4429="","",SUBTOTAL(103,$C$2:C4429))</f>
        <v>4420</v>
      </c>
      <c r="B4429" s="41">
        <v>2709</v>
      </c>
      <c r="C4429" s="41">
        <v>3767</v>
      </c>
      <c r="D4429" s="41" t="s">
        <v>45</v>
      </c>
      <c r="E4429" s="41" t="s">
        <v>1298</v>
      </c>
      <c r="F4429" s="41" t="s">
        <v>11893</v>
      </c>
      <c r="G4429" s="41" t="s">
        <v>13548</v>
      </c>
      <c r="H4429" s="41" t="s">
        <v>13549</v>
      </c>
      <c r="I4429" s="43">
        <v>12</v>
      </c>
      <c r="J4429" s="44" t="str">
        <f>VLOOKUP(G4429,[1]硬件清单!$F:$F,1,0)</f>
        <v>210305756810HA000421</v>
      </c>
      <c r="K4429" s="43"/>
      <c r="L4429" s="44"/>
      <c r="M4429" s="45" t="s">
        <v>13550</v>
      </c>
    </row>
    <row r="4430" ht="30" customHeight="1" spans="1:13">
      <c r="A4430" s="41">
        <f>IF(C4430="","",SUBTOTAL(103,$C$2:C4430))</f>
        <v>4421</v>
      </c>
      <c r="B4430" s="41">
        <v>2710</v>
      </c>
      <c r="C4430" s="41">
        <v>3768</v>
      </c>
      <c r="D4430" s="41" t="s">
        <v>45</v>
      </c>
      <c r="E4430" s="41" t="s">
        <v>1298</v>
      </c>
      <c r="F4430" s="41" t="s">
        <v>11893</v>
      </c>
      <c r="G4430" s="41" t="s">
        <v>13551</v>
      </c>
      <c r="H4430" s="41" t="s">
        <v>13552</v>
      </c>
      <c r="I4430" s="43">
        <v>12</v>
      </c>
      <c r="J4430" s="44" t="str">
        <f>VLOOKUP(G4430,[1]硬件清单!$F:$F,1,0)</f>
        <v>210305756810HA000430</v>
      </c>
      <c r="K4430" s="43"/>
      <c r="L4430" s="44"/>
      <c r="M4430" s="45" t="s">
        <v>13553</v>
      </c>
    </row>
    <row r="4431" ht="30" customHeight="1" spans="1:13">
      <c r="A4431" s="41">
        <f>IF(C4431="","",SUBTOTAL(103,$C$2:C4431))</f>
        <v>4422</v>
      </c>
      <c r="B4431" s="41">
        <v>2711</v>
      </c>
      <c r="C4431" s="41">
        <v>3769</v>
      </c>
      <c r="D4431" s="41" t="s">
        <v>45</v>
      </c>
      <c r="E4431" s="41" t="s">
        <v>1298</v>
      </c>
      <c r="F4431" s="41" t="s">
        <v>11893</v>
      </c>
      <c r="G4431" s="41" t="s">
        <v>13554</v>
      </c>
      <c r="H4431" s="41" t="s">
        <v>13555</v>
      </c>
      <c r="I4431" s="43">
        <v>12</v>
      </c>
      <c r="J4431" s="44" t="str">
        <f>VLOOKUP(G4431,[1]硬件清单!$F:$F,1,0)</f>
        <v>210305756810HA000234</v>
      </c>
      <c r="K4431" s="43"/>
      <c r="L4431" s="44"/>
      <c r="M4431" s="45" t="s">
        <v>13556</v>
      </c>
    </row>
    <row r="4432" s="26" customFormat="1" ht="30" customHeight="1" spans="1:13">
      <c r="A4432" s="41">
        <f>IF(C4432="","",SUBTOTAL(103,$C$2:C4432))</f>
        <v>4423</v>
      </c>
      <c r="B4432" s="41">
        <v>2712</v>
      </c>
      <c r="C4432" s="41">
        <v>3770</v>
      </c>
      <c r="D4432" s="41" t="s">
        <v>45</v>
      </c>
      <c r="E4432" s="41" t="s">
        <v>1298</v>
      </c>
      <c r="F4432" s="41" t="s">
        <v>11893</v>
      </c>
      <c r="G4432" s="41" t="s">
        <v>13557</v>
      </c>
      <c r="H4432" s="41" t="s">
        <v>13558</v>
      </c>
      <c r="I4432" s="43">
        <v>12</v>
      </c>
      <c r="J4432" s="44" t="str">
        <f>VLOOKUP(G4432,[1]硬件清单!$F:$F,1,0)</f>
        <v>210305756810HA000416</v>
      </c>
      <c r="K4432" s="43"/>
      <c r="L4432" s="44"/>
      <c r="M4432" s="45" t="s">
        <v>13559</v>
      </c>
    </row>
    <row r="4433" ht="30" customHeight="1" spans="1:13">
      <c r="A4433" s="41">
        <f>IF(C4433="","",SUBTOTAL(103,$C$2:C4433))</f>
        <v>4424</v>
      </c>
      <c r="B4433" s="41">
        <v>2713</v>
      </c>
      <c r="C4433" s="41">
        <v>3766</v>
      </c>
      <c r="D4433" s="41" t="s">
        <v>45</v>
      </c>
      <c r="E4433" s="41" t="s">
        <v>1298</v>
      </c>
      <c r="F4433" s="41" t="s">
        <v>11893</v>
      </c>
      <c r="G4433" s="41" t="s">
        <v>13560</v>
      </c>
      <c r="H4433" s="41" t="s">
        <v>13561</v>
      </c>
      <c r="I4433" s="43">
        <v>12</v>
      </c>
      <c r="J4433" s="44" t="str">
        <f>VLOOKUP(G4433,[1]硬件清单!$F:$F,1,0)</f>
        <v>210305756810HA000222</v>
      </c>
      <c r="K4433" s="43"/>
      <c r="L4433" s="44"/>
      <c r="M4433" s="45" t="s">
        <v>13562</v>
      </c>
    </row>
    <row r="4434" ht="30" customHeight="1" spans="1:13">
      <c r="A4434" s="41">
        <f>IF(C4434="","",SUBTOTAL(103,$C$2:C4434))</f>
        <v>4425</v>
      </c>
      <c r="B4434" s="41">
        <v>2714</v>
      </c>
      <c r="C4434" s="41">
        <v>3772</v>
      </c>
      <c r="D4434" s="41" t="s">
        <v>45</v>
      </c>
      <c r="E4434" s="41" t="s">
        <v>1298</v>
      </c>
      <c r="F4434" s="41" t="s">
        <v>11893</v>
      </c>
      <c r="G4434" s="41" t="s">
        <v>13563</v>
      </c>
      <c r="H4434" s="41" t="s">
        <v>13564</v>
      </c>
      <c r="I4434" s="43">
        <v>12</v>
      </c>
      <c r="J4434" s="44" t="str">
        <f>VLOOKUP(G4434,[1]硬件清单!$F:$F,1,0)</f>
        <v>210305756810HA000434</v>
      </c>
      <c r="K4434" s="43"/>
      <c r="L4434" s="44"/>
      <c r="M4434" s="45" t="s">
        <v>13565</v>
      </c>
    </row>
    <row r="4435" ht="30" customHeight="1" spans="1:13">
      <c r="A4435" s="41">
        <f>IF(C4435="","",SUBTOTAL(103,$C$2:C4435))</f>
        <v>4426</v>
      </c>
      <c r="B4435" s="41">
        <v>2715</v>
      </c>
      <c r="C4435" s="41">
        <v>3773</v>
      </c>
      <c r="D4435" s="41" t="s">
        <v>45</v>
      </c>
      <c r="E4435" s="41" t="s">
        <v>1298</v>
      </c>
      <c r="F4435" s="41" t="s">
        <v>11893</v>
      </c>
      <c r="G4435" s="41" t="s">
        <v>13566</v>
      </c>
      <c r="H4435" s="41" t="s">
        <v>13567</v>
      </c>
      <c r="I4435" s="43">
        <v>12</v>
      </c>
      <c r="J4435" s="44" t="str">
        <f>VLOOKUP(G4435,[1]硬件清单!$F:$F,1,0)</f>
        <v>210305756810HA000247</v>
      </c>
      <c r="K4435" s="43"/>
      <c r="L4435" s="44"/>
      <c r="M4435" s="45" t="s">
        <v>13568</v>
      </c>
    </row>
    <row r="4436" ht="30" customHeight="1" spans="1:13">
      <c r="A4436" s="41">
        <f>IF(C4436="","",SUBTOTAL(103,$C$2:C4436))</f>
        <v>4427</v>
      </c>
      <c r="B4436" s="41">
        <v>2716</v>
      </c>
      <c r="C4436" s="41">
        <v>4244</v>
      </c>
      <c r="D4436" s="41" t="s">
        <v>45</v>
      </c>
      <c r="E4436" s="41" t="s">
        <v>1298</v>
      </c>
      <c r="F4436" s="41" t="s">
        <v>11889</v>
      </c>
      <c r="G4436" s="41" t="s">
        <v>13569</v>
      </c>
      <c r="H4436" s="41" t="s">
        <v>13570</v>
      </c>
      <c r="I4436" s="43">
        <v>12</v>
      </c>
      <c r="J4436" s="44" t="str">
        <f>VLOOKUP(G4436,[1]硬件清单!$F:$F,1,0)</f>
        <v>2102300742N0H9000256/210230102810HA000026</v>
      </c>
      <c r="K4436" s="43"/>
      <c r="L4436" s="44"/>
      <c r="M4436" s="45" t="s">
        <v>13571</v>
      </c>
    </row>
    <row r="4437" ht="30" customHeight="1" spans="1:13">
      <c r="A4437" s="41">
        <f>IF(C4437="","",SUBTOTAL(103,$C$2:C4437))</f>
        <v>4428</v>
      </c>
      <c r="B4437" s="41">
        <v>2717</v>
      </c>
      <c r="C4437" s="41">
        <v>3781</v>
      </c>
      <c r="D4437" s="41" t="s">
        <v>45</v>
      </c>
      <c r="E4437" s="41" t="s">
        <v>1298</v>
      </c>
      <c r="F4437" s="41" t="s">
        <v>11893</v>
      </c>
      <c r="G4437" s="41" t="s">
        <v>13572</v>
      </c>
      <c r="H4437" s="41" t="s">
        <v>13573</v>
      </c>
      <c r="I4437" s="43">
        <v>12</v>
      </c>
      <c r="J4437" s="44" t="str">
        <f>VLOOKUP(G4437,[1]硬件清单!$F:$F,1,0)</f>
        <v>210305756810HA000627</v>
      </c>
      <c r="K4437" s="43"/>
      <c r="L4437" s="44"/>
      <c r="M4437" s="45" t="s">
        <v>13574</v>
      </c>
    </row>
    <row r="4438" ht="30" customHeight="1" spans="1:13">
      <c r="A4438" s="41">
        <f>IF(C4438="","",SUBTOTAL(103,$C$2:C4438))</f>
        <v>4429</v>
      </c>
      <c r="B4438" s="41">
        <v>2718</v>
      </c>
      <c r="C4438" s="41">
        <v>3790</v>
      </c>
      <c r="D4438" s="41" t="s">
        <v>45</v>
      </c>
      <c r="E4438" s="41" t="s">
        <v>1298</v>
      </c>
      <c r="F4438" s="41" t="s">
        <v>11893</v>
      </c>
      <c r="G4438" s="41" t="s">
        <v>13575</v>
      </c>
      <c r="H4438" s="41" t="s">
        <v>13576</v>
      </c>
      <c r="I4438" s="43">
        <v>12</v>
      </c>
      <c r="J4438" s="44" t="str">
        <f>VLOOKUP(G4438,[1]硬件清单!$F:$F,1,0)</f>
        <v>210305756810HA000324</v>
      </c>
      <c r="K4438" s="43"/>
      <c r="L4438" s="44"/>
      <c r="M4438" s="45" t="s">
        <v>13577</v>
      </c>
    </row>
    <row r="4439" ht="30" customHeight="1" spans="1:13">
      <c r="A4439" s="41">
        <f>IF(C4439="","",SUBTOTAL(103,$C$2:C4439))</f>
        <v>4430</v>
      </c>
      <c r="B4439" s="41">
        <v>2719</v>
      </c>
      <c r="C4439" s="41">
        <v>3791</v>
      </c>
      <c r="D4439" s="41" t="s">
        <v>45</v>
      </c>
      <c r="E4439" s="41" t="s">
        <v>1298</v>
      </c>
      <c r="F4439" s="41" t="s">
        <v>11893</v>
      </c>
      <c r="G4439" s="41" t="s">
        <v>13578</v>
      </c>
      <c r="H4439" s="41" t="s">
        <v>13579</v>
      </c>
      <c r="I4439" s="43">
        <v>12</v>
      </c>
      <c r="J4439" s="44" t="str">
        <f>VLOOKUP(G4439,[1]硬件清单!$F:$F,1,0)</f>
        <v>210305756810HA000260</v>
      </c>
      <c r="K4439" s="43"/>
      <c r="L4439" s="44"/>
      <c r="M4439" s="45" t="s">
        <v>13580</v>
      </c>
    </row>
    <row r="4440" ht="30" customHeight="1" spans="1:13">
      <c r="A4440" s="41">
        <f>IF(C4440="","",SUBTOTAL(103,$C$2:C4440))</f>
        <v>4431</v>
      </c>
      <c r="B4440" s="41">
        <v>2720</v>
      </c>
      <c r="C4440" s="41">
        <v>3792</v>
      </c>
      <c r="D4440" s="41" t="s">
        <v>45</v>
      </c>
      <c r="E4440" s="41" t="s">
        <v>1298</v>
      </c>
      <c r="F4440" s="41" t="s">
        <v>11893</v>
      </c>
      <c r="G4440" s="41" t="s">
        <v>13581</v>
      </c>
      <c r="H4440" s="41" t="s">
        <v>13582</v>
      </c>
      <c r="I4440" s="43">
        <v>12</v>
      </c>
      <c r="J4440" s="44" t="str">
        <f>VLOOKUP(G4440,[1]硬件清单!$F:$F,1,0)</f>
        <v>210305756810HA000573</v>
      </c>
      <c r="K4440" s="43"/>
      <c r="L4440" s="44"/>
      <c r="M4440" s="45" t="s">
        <v>13583</v>
      </c>
    </row>
    <row r="4441" ht="30" customHeight="1" spans="1:13">
      <c r="A4441" s="41">
        <f>IF(C4441="","",SUBTOTAL(103,$C$2:C4441))</f>
        <v>4432</v>
      </c>
      <c r="B4441" s="41">
        <v>2721</v>
      </c>
      <c r="C4441" s="41">
        <v>3793</v>
      </c>
      <c r="D4441" s="41" t="s">
        <v>45</v>
      </c>
      <c r="E4441" s="41" t="s">
        <v>1298</v>
      </c>
      <c r="F4441" s="41" t="s">
        <v>11893</v>
      </c>
      <c r="G4441" s="41" t="s">
        <v>13584</v>
      </c>
      <c r="H4441" s="41" t="s">
        <v>13585</v>
      </c>
      <c r="I4441" s="43">
        <v>12</v>
      </c>
      <c r="J4441" s="44" t="str">
        <f>VLOOKUP(G4441,[1]硬件清单!$F:$F,1,0)</f>
        <v>210305756810HA000328</v>
      </c>
      <c r="K4441" s="43"/>
      <c r="L4441" s="44"/>
      <c r="M4441" s="45" t="s">
        <v>13586</v>
      </c>
    </row>
    <row r="4442" ht="30" customHeight="1" spans="1:13">
      <c r="A4442" s="41">
        <f>IF(C4442="","",SUBTOTAL(103,$C$2:C4442))</f>
        <v>4433</v>
      </c>
      <c r="B4442" s="41">
        <v>2722</v>
      </c>
      <c r="C4442" s="41">
        <v>3794</v>
      </c>
      <c r="D4442" s="41" t="s">
        <v>45</v>
      </c>
      <c r="E4442" s="41" t="s">
        <v>1298</v>
      </c>
      <c r="F4442" s="41" t="s">
        <v>11893</v>
      </c>
      <c r="G4442" s="41" t="s">
        <v>13587</v>
      </c>
      <c r="H4442" s="41" t="s">
        <v>13588</v>
      </c>
      <c r="I4442" s="43">
        <v>12</v>
      </c>
      <c r="J4442" s="44" t="str">
        <f>VLOOKUP(G4442,[1]硬件清单!$F:$F,1,0)</f>
        <v>210305756810HA000275</v>
      </c>
      <c r="K4442" s="43"/>
      <c r="L4442" s="44"/>
      <c r="M4442" s="45" t="s">
        <v>13589</v>
      </c>
    </row>
    <row r="4443" ht="30" customHeight="1" spans="1:13">
      <c r="A4443" s="41">
        <f>IF(C4443="","",SUBTOTAL(103,$C$2:C4443))</f>
        <v>4434</v>
      </c>
      <c r="B4443" s="41">
        <v>2723</v>
      </c>
      <c r="C4443" s="41">
        <v>3795</v>
      </c>
      <c r="D4443" s="41" t="s">
        <v>45</v>
      </c>
      <c r="E4443" s="41" t="s">
        <v>1298</v>
      </c>
      <c r="F4443" s="41" t="s">
        <v>11893</v>
      </c>
      <c r="G4443" s="41" t="s">
        <v>13590</v>
      </c>
      <c r="H4443" s="41" t="s">
        <v>13591</v>
      </c>
      <c r="I4443" s="43">
        <v>12</v>
      </c>
      <c r="J4443" s="44" t="str">
        <f>VLOOKUP(G4443,[1]硬件清单!$F:$F,1,0)</f>
        <v>210305756810HA000325</v>
      </c>
      <c r="K4443" s="43"/>
      <c r="L4443" s="44"/>
      <c r="M4443" s="45" t="s">
        <v>13592</v>
      </c>
    </row>
    <row r="4444" ht="30" customHeight="1" spans="1:13">
      <c r="A4444" s="41">
        <f>IF(C4444="","",SUBTOTAL(103,$C$2:C4444))</f>
        <v>4435</v>
      </c>
      <c r="B4444" s="41">
        <v>2724</v>
      </c>
      <c r="C4444" s="41">
        <v>3796</v>
      </c>
      <c r="D4444" s="41" t="s">
        <v>45</v>
      </c>
      <c r="E4444" s="41" t="s">
        <v>1298</v>
      </c>
      <c r="F4444" s="41" t="s">
        <v>11893</v>
      </c>
      <c r="G4444" s="41" t="s">
        <v>13593</v>
      </c>
      <c r="H4444" s="41" t="s">
        <v>13594</v>
      </c>
      <c r="I4444" s="43">
        <v>12</v>
      </c>
      <c r="J4444" s="44" t="str">
        <f>VLOOKUP(G4444,[1]硬件清单!$F:$F,1,0)</f>
        <v>210305756810HA000336</v>
      </c>
      <c r="K4444" s="43"/>
      <c r="L4444" s="44"/>
      <c r="M4444" s="45" t="s">
        <v>13595</v>
      </c>
    </row>
    <row r="4445" ht="30" customHeight="1" spans="1:13">
      <c r="A4445" s="41">
        <f>IF(C4445="","",SUBTOTAL(103,$C$2:C4445))</f>
        <v>4436</v>
      </c>
      <c r="B4445" s="41">
        <v>2725</v>
      </c>
      <c r="C4445" s="41">
        <v>3782</v>
      </c>
      <c r="D4445" s="41" t="s">
        <v>45</v>
      </c>
      <c r="E4445" s="41" t="s">
        <v>1298</v>
      </c>
      <c r="F4445" s="41" t="s">
        <v>11893</v>
      </c>
      <c r="G4445" s="41" t="s">
        <v>13596</v>
      </c>
      <c r="H4445" s="41" t="s">
        <v>13597</v>
      </c>
      <c r="I4445" s="43">
        <v>12</v>
      </c>
      <c r="J4445" s="44" t="str">
        <f>VLOOKUP(G4445,[1]硬件清单!$F:$F,1,0)</f>
        <v>210305756810HA000299</v>
      </c>
      <c r="K4445" s="43"/>
      <c r="L4445" s="44"/>
      <c r="M4445" s="45" t="s">
        <v>13598</v>
      </c>
    </row>
    <row r="4446" ht="30" customHeight="1" spans="1:13">
      <c r="A4446" s="41">
        <f>IF(C4446="","",SUBTOTAL(103,$C$2:C4446))</f>
        <v>4437</v>
      </c>
      <c r="B4446" s="41">
        <v>2726</v>
      </c>
      <c r="C4446" s="41">
        <v>3783</v>
      </c>
      <c r="D4446" s="41" t="s">
        <v>45</v>
      </c>
      <c r="E4446" s="41" t="s">
        <v>1298</v>
      </c>
      <c r="F4446" s="41" t="s">
        <v>11893</v>
      </c>
      <c r="G4446" s="41" t="s">
        <v>13599</v>
      </c>
      <c r="H4446" s="41" t="s">
        <v>13600</v>
      </c>
      <c r="I4446" s="43">
        <v>12</v>
      </c>
      <c r="J4446" s="44" t="str">
        <f>VLOOKUP(G4446,[1]硬件清单!$F:$F,1,0)</f>
        <v>210305756810HA000269</v>
      </c>
      <c r="K4446" s="43"/>
      <c r="L4446" s="44"/>
      <c r="M4446" s="45" t="s">
        <v>13601</v>
      </c>
    </row>
    <row r="4447" ht="30" customHeight="1" spans="1:13">
      <c r="A4447" s="41">
        <f>IF(C4447="","",SUBTOTAL(103,$C$2:C4447))</f>
        <v>4438</v>
      </c>
      <c r="B4447" s="41">
        <v>2727</v>
      </c>
      <c r="C4447" s="41">
        <v>3784</v>
      </c>
      <c r="D4447" s="41" t="s">
        <v>45</v>
      </c>
      <c r="E4447" s="41" t="s">
        <v>1298</v>
      </c>
      <c r="F4447" s="41" t="s">
        <v>11893</v>
      </c>
      <c r="G4447" s="41" t="s">
        <v>13602</v>
      </c>
      <c r="H4447" s="41" t="s">
        <v>13603</v>
      </c>
      <c r="I4447" s="43">
        <v>12</v>
      </c>
      <c r="J4447" s="44" t="str">
        <f>VLOOKUP(G4447,[1]硬件清单!$F:$F,1,0)</f>
        <v>210305756810HA000298</v>
      </c>
      <c r="K4447" s="43"/>
      <c r="L4447" s="44"/>
      <c r="M4447" s="45" t="s">
        <v>13604</v>
      </c>
    </row>
    <row r="4448" ht="30" customHeight="1" spans="1:13">
      <c r="A4448" s="41">
        <f>IF(C4448="","",SUBTOTAL(103,$C$2:C4448))</f>
        <v>4439</v>
      </c>
      <c r="B4448" s="41">
        <v>2728</v>
      </c>
      <c r="C4448" s="41">
        <v>3785</v>
      </c>
      <c r="D4448" s="41" t="s">
        <v>45</v>
      </c>
      <c r="E4448" s="41" t="s">
        <v>1298</v>
      </c>
      <c r="F4448" s="41" t="s">
        <v>11893</v>
      </c>
      <c r="G4448" s="41" t="s">
        <v>13605</v>
      </c>
      <c r="H4448" s="41" t="s">
        <v>13606</v>
      </c>
      <c r="I4448" s="43">
        <v>12</v>
      </c>
      <c r="J4448" s="44" t="str">
        <f>VLOOKUP(G4448,[1]硬件清单!$F:$F,1,0)</f>
        <v>210305756810HA000435</v>
      </c>
      <c r="K4448" s="43"/>
      <c r="L4448" s="44"/>
      <c r="M4448" s="45" t="s">
        <v>13607</v>
      </c>
    </row>
    <row r="4449" ht="30" customHeight="1" spans="1:13">
      <c r="A4449" s="41">
        <f>IF(C4449="","",SUBTOTAL(103,$C$2:C4449))</f>
        <v>4440</v>
      </c>
      <c r="B4449" s="41">
        <v>2729</v>
      </c>
      <c r="C4449" s="41">
        <v>3786</v>
      </c>
      <c r="D4449" s="41" t="s">
        <v>45</v>
      </c>
      <c r="E4449" s="41" t="s">
        <v>1298</v>
      </c>
      <c r="F4449" s="41" t="s">
        <v>11893</v>
      </c>
      <c r="G4449" s="41" t="s">
        <v>13608</v>
      </c>
      <c r="H4449" s="41" t="s">
        <v>13609</v>
      </c>
      <c r="I4449" s="43">
        <v>12</v>
      </c>
      <c r="J4449" s="44" t="str">
        <f>VLOOKUP(G4449,[1]硬件清单!$F:$F,1,0)</f>
        <v>210305756810HA000239</v>
      </c>
      <c r="K4449" s="43"/>
      <c r="L4449" s="44"/>
      <c r="M4449" s="45" t="s">
        <v>13610</v>
      </c>
    </row>
    <row r="4450" ht="30" customHeight="1" spans="1:13">
      <c r="A4450" s="41">
        <f>IF(C4450="","",SUBTOTAL(103,$C$2:C4450))</f>
        <v>4441</v>
      </c>
      <c r="B4450" s="41">
        <v>2730</v>
      </c>
      <c r="C4450" s="41">
        <v>3787</v>
      </c>
      <c r="D4450" s="41" t="s">
        <v>45</v>
      </c>
      <c r="E4450" s="41" t="s">
        <v>1298</v>
      </c>
      <c r="F4450" s="41" t="s">
        <v>11893</v>
      </c>
      <c r="G4450" s="41" t="s">
        <v>13611</v>
      </c>
      <c r="H4450" s="41" t="s">
        <v>13612</v>
      </c>
      <c r="I4450" s="43">
        <v>12</v>
      </c>
      <c r="J4450" s="44" t="str">
        <f>VLOOKUP(G4450,[1]硬件清单!$F:$F,1,0)</f>
        <v>210305756810HA000628</v>
      </c>
      <c r="K4450" s="43"/>
      <c r="L4450" s="44"/>
      <c r="M4450" s="45" t="s">
        <v>13613</v>
      </c>
    </row>
    <row r="4451" ht="30" customHeight="1" spans="1:13">
      <c r="A4451" s="41">
        <f>IF(C4451="","",SUBTOTAL(103,$C$2:C4451))</f>
        <v>4442</v>
      </c>
      <c r="B4451" s="41">
        <v>2731</v>
      </c>
      <c r="C4451" s="41">
        <v>3788</v>
      </c>
      <c r="D4451" s="41" t="s">
        <v>45</v>
      </c>
      <c r="E4451" s="41" t="s">
        <v>1298</v>
      </c>
      <c r="F4451" s="41" t="s">
        <v>11893</v>
      </c>
      <c r="G4451" s="41" t="s">
        <v>13614</v>
      </c>
      <c r="H4451" s="41" t="s">
        <v>13615</v>
      </c>
      <c r="I4451" s="43">
        <v>12</v>
      </c>
      <c r="J4451" s="44" t="str">
        <f>VLOOKUP(G4451,[1]硬件清单!$F:$F,1,0)</f>
        <v>210305756810HA000221</v>
      </c>
      <c r="K4451" s="43"/>
      <c r="L4451" s="44"/>
      <c r="M4451" s="45" t="s">
        <v>13616</v>
      </c>
    </row>
    <row r="4452" ht="30" customHeight="1" spans="1:13">
      <c r="A4452" s="41">
        <f>IF(C4452="","",SUBTOTAL(103,$C$2:C4452))</f>
        <v>4443</v>
      </c>
      <c r="B4452" s="41">
        <v>2732</v>
      </c>
      <c r="C4452" s="41">
        <v>3789</v>
      </c>
      <c r="D4452" s="41" t="s">
        <v>45</v>
      </c>
      <c r="E4452" s="41" t="s">
        <v>1298</v>
      </c>
      <c r="F4452" s="41" t="s">
        <v>11893</v>
      </c>
      <c r="G4452" s="41" t="s">
        <v>13617</v>
      </c>
      <c r="H4452" s="41" t="s">
        <v>13618</v>
      </c>
      <c r="I4452" s="43">
        <v>12</v>
      </c>
      <c r="J4452" s="44" t="str">
        <f>VLOOKUP(G4452,[1]硬件清单!$F:$F,1,0)</f>
        <v>210305756810HA000588</v>
      </c>
      <c r="K4452" s="43"/>
      <c r="L4452" s="44"/>
      <c r="M4452" s="45" t="s">
        <v>13619</v>
      </c>
    </row>
    <row r="4453" ht="30" customHeight="1" spans="1:13">
      <c r="A4453" s="41">
        <f>IF(C4453="","",SUBTOTAL(103,$C$2:C4453))</f>
        <v>4444</v>
      </c>
      <c r="B4453" s="41">
        <v>2733</v>
      </c>
      <c r="C4453" s="41">
        <v>5009</v>
      </c>
      <c r="D4453" s="41" t="s">
        <v>45</v>
      </c>
      <c r="E4453" s="41" t="s">
        <v>1298</v>
      </c>
      <c r="F4453" s="41" t="s">
        <v>11889</v>
      </c>
      <c r="G4453" s="41" t="s">
        <v>13620</v>
      </c>
      <c r="H4453" s="41" t="s">
        <v>13621</v>
      </c>
      <c r="I4453" s="43">
        <v>12</v>
      </c>
      <c r="J4453" s="44" t="str">
        <f>VLOOKUP(G4453,[1]硬件清单!$F:$F,1,0)</f>
        <v>2102300742N0H9000671/
210230102810HA000177</v>
      </c>
      <c r="K4453" s="43"/>
      <c r="L4453" s="44"/>
      <c r="M4453" s="45" t="s">
        <v>13622</v>
      </c>
    </row>
    <row r="4454" ht="30" customHeight="1" spans="1:13">
      <c r="A4454" s="41">
        <f>IF(C4454="","",SUBTOTAL(103,$C$2:C4454))</f>
        <v>4445</v>
      </c>
      <c r="B4454" s="41">
        <v>2734</v>
      </c>
      <c r="C4454" s="41">
        <v>4979</v>
      </c>
      <c r="D4454" s="41" t="s">
        <v>45</v>
      </c>
      <c r="E4454" s="41" t="s">
        <v>1298</v>
      </c>
      <c r="F4454" s="41" t="s">
        <v>11893</v>
      </c>
      <c r="G4454" s="41" t="s">
        <v>13623</v>
      </c>
      <c r="H4454" s="41" t="s">
        <v>13624</v>
      </c>
      <c r="I4454" s="43">
        <v>12</v>
      </c>
      <c r="J4454" s="44" t="str">
        <f>VLOOKUP(G4454,[1]硬件清单!$F:$F,1,0)</f>
        <v>210305756810HA000343</v>
      </c>
      <c r="K4454" s="43"/>
      <c r="L4454" s="44"/>
      <c r="M4454" s="45" t="s">
        <v>13625</v>
      </c>
    </row>
    <row r="4455" ht="30" customHeight="1" spans="1:13">
      <c r="A4455" s="41">
        <f>IF(C4455="","",SUBTOTAL(103,$C$2:C4455))</f>
        <v>4446</v>
      </c>
      <c r="B4455" s="41">
        <v>2735</v>
      </c>
      <c r="C4455" s="41">
        <v>5238</v>
      </c>
      <c r="D4455" s="41" t="s">
        <v>45</v>
      </c>
      <c r="E4455" s="41" t="s">
        <v>1298</v>
      </c>
      <c r="F4455" s="41" t="s">
        <v>11893</v>
      </c>
      <c r="G4455" s="41" t="s">
        <v>13626</v>
      </c>
      <c r="H4455" s="41" t="s">
        <v>13627</v>
      </c>
      <c r="I4455" s="43">
        <v>12</v>
      </c>
      <c r="J4455" s="44" t="str">
        <f>VLOOKUP(G4455,[1]硬件清单!$F:$F,1,0)</f>
        <v>210305756810HA001843</v>
      </c>
      <c r="K4455" s="43"/>
      <c r="L4455" s="44"/>
      <c r="M4455" s="45" t="s">
        <v>13628</v>
      </c>
    </row>
    <row r="4456" ht="30" customHeight="1" spans="1:13">
      <c r="A4456" s="41">
        <f>IF(C4456="","",SUBTOTAL(103,$C$2:C4456))</f>
        <v>4447</v>
      </c>
      <c r="B4456" s="41">
        <v>2736</v>
      </c>
      <c r="C4456" s="41">
        <v>5239</v>
      </c>
      <c r="D4456" s="41" t="s">
        <v>45</v>
      </c>
      <c r="E4456" s="41" t="s">
        <v>1298</v>
      </c>
      <c r="F4456" s="41" t="s">
        <v>11893</v>
      </c>
      <c r="G4456" s="41" t="s">
        <v>13629</v>
      </c>
      <c r="H4456" s="41" t="s">
        <v>13630</v>
      </c>
      <c r="I4456" s="43">
        <v>12</v>
      </c>
      <c r="J4456" s="44" t="str">
        <f>VLOOKUP(G4456,[1]硬件清单!$F:$F,1,0)</f>
        <v>210305756810HA001850</v>
      </c>
      <c r="K4456" s="43"/>
      <c r="L4456" s="44"/>
      <c r="M4456" s="45" t="s">
        <v>13631</v>
      </c>
    </row>
    <row r="4457" ht="30" customHeight="1" spans="1:13">
      <c r="A4457" s="41">
        <f>IF(C4457="","",SUBTOTAL(103,$C$2:C4457))</f>
        <v>4448</v>
      </c>
      <c r="B4457" s="41">
        <v>2737</v>
      </c>
      <c r="C4457" s="41">
        <v>5240</v>
      </c>
      <c r="D4457" s="41" t="s">
        <v>45</v>
      </c>
      <c r="E4457" s="41" t="s">
        <v>1298</v>
      </c>
      <c r="F4457" s="41" t="s">
        <v>11893</v>
      </c>
      <c r="G4457" s="41" t="s">
        <v>13632</v>
      </c>
      <c r="H4457" s="41" t="s">
        <v>13633</v>
      </c>
      <c r="I4457" s="43">
        <v>12</v>
      </c>
      <c r="J4457" s="44" t="str">
        <f>VLOOKUP(G4457,[1]硬件清单!$F:$F,1,0)</f>
        <v>210305756810HA001840</v>
      </c>
      <c r="K4457" s="43"/>
      <c r="L4457" s="44"/>
      <c r="M4457" s="45" t="s">
        <v>13634</v>
      </c>
    </row>
    <row r="4458" ht="30" customHeight="1" spans="1:13">
      <c r="A4458" s="41">
        <f>IF(C4458="","",SUBTOTAL(103,$C$2:C4458))</f>
        <v>4449</v>
      </c>
      <c r="B4458" s="41">
        <v>2738</v>
      </c>
      <c r="C4458" s="41">
        <v>4089</v>
      </c>
      <c r="D4458" s="41" t="s">
        <v>45</v>
      </c>
      <c r="E4458" s="41" t="s">
        <v>1298</v>
      </c>
      <c r="F4458" s="41" t="s">
        <v>11893</v>
      </c>
      <c r="G4458" s="41" t="s">
        <v>13635</v>
      </c>
      <c r="H4458" s="41" t="s">
        <v>13636</v>
      </c>
      <c r="I4458" s="43">
        <v>12</v>
      </c>
      <c r="J4458" s="44" t="str">
        <f>VLOOKUP(G4458,[1]硬件清单!$F:$F,1,0)</f>
        <v>210305756810HA001847</v>
      </c>
      <c r="K4458" s="43"/>
      <c r="L4458" s="44"/>
      <c r="M4458" s="45" t="s">
        <v>13637</v>
      </c>
    </row>
    <row r="4459" ht="30" customHeight="1" spans="1:13">
      <c r="A4459" s="41">
        <f>IF(C4459="","",SUBTOTAL(103,$C$2:C4459))</f>
        <v>4450</v>
      </c>
      <c r="B4459" s="41">
        <v>2739</v>
      </c>
      <c r="C4459" s="41">
        <v>4090</v>
      </c>
      <c r="D4459" s="41" t="s">
        <v>45</v>
      </c>
      <c r="E4459" s="41" t="s">
        <v>1298</v>
      </c>
      <c r="F4459" s="41" t="s">
        <v>11893</v>
      </c>
      <c r="G4459" s="41" t="s">
        <v>13638</v>
      </c>
      <c r="H4459" s="41" t="s">
        <v>13639</v>
      </c>
      <c r="I4459" s="43">
        <v>12</v>
      </c>
      <c r="J4459" s="44" t="str">
        <f>VLOOKUP(G4459,[1]硬件清单!$F:$F,1,0)</f>
        <v>210305756810HA001851</v>
      </c>
      <c r="K4459" s="43"/>
      <c r="L4459" s="44"/>
      <c r="M4459" s="45" t="s">
        <v>13640</v>
      </c>
    </row>
    <row r="4460" ht="30" customHeight="1" spans="1:13">
      <c r="A4460" s="41">
        <f>IF(C4460="","",SUBTOTAL(103,$C$2:C4460))</f>
        <v>4451</v>
      </c>
      <c r="B4460" s="41">
        <v>2740</v>
      </c>
      <c r="C4460" s="41">
        <v>4108</v>
      </c>
      <c r="D4460" s="41" t="s">
        <v>45</v>
      </c>
      <c r="E4460" s="41" t="s">
        <v>1298</v>
      </c>
      <c r="F4460" s="41" t="s">
        <v>11893</v>
      </c>
      <c r="G4460" s="41" t="s">
        <v>13641</v>
      </c>
      <c r="H4460" s="41" t="s">
        <v>13642</v>
      </c>
      <c r="I4460" s="43">
        <v>12</v>
      </c>
      <c r="J4460" s="44" t="str">
        <f>VLOOKUP(G4460,[1]硬件清单!$F:$F,1,0)</f>
        <v>210305756810HA001571</v>
      </c>
      <c r="K4460" s="43"/>
      <c r="L4460" s="44"/>
      <c r="M4460" s="45" t="s">
        <v>13643</v>
      </c>
    </row>
    <row r="4461" ht="30" customHeight="1" spans="1:13">
      <c r="A4461" s="41">
        <f>IF(C4461="","",SUBTOTAL(103,$C$2:C4461))</f>
        <v>4452</v>
      </c>
      <c r="B4461" s="41">
        <v>2741</v>
      </c>
      <c r="C4461" s="41">
        <v>4109</v>
      </c>
      <c r="D4461" s="41" t="s">
        <v>45</v>
      </c>
      <c r="E4461" s="41" t="s">
        <v>1298</v>
      </c>
      <c r="F4461" s="41" t="s">
        <v>11893</v>
      </c>
      <c r="G4461" s="41" t="s">
        <v>13644</v>
      </c>
      <c r="H4461" s="41" t="s">
        <v>13645</v>
      </c>
      <c r="I4461" s="43">
        <v>12</v>
      </c>
      <c r="J4461" s="44" t="str">
        <f>VLOOKUP(G4461,[1]硬件清单!$F:$F,1,0)</f>
        <v>210305756810HA001558</v>
      </c>
      <c r="K4461" s="43"/>
      <c r="L4461" s="44"/>
      <c r="M4461" s="45" t="s">
        <v>13646</v>
      </c>
    </row>
    <row r="4462" ht="30" customHeight="1" spans="1:13">
      <c r="A4462" s="41">
        <f>IF(C4462="","",SUBTOTAL(103,$C$2:C4462))</f>
        <v>4453</v>
      </c>
      <c r="B4462" s="41">
        <v>2742</v>
      </c>
      <c r="C4462" s="41">
        <v>4980</v>
      </c>
      <c r="D4462" s="41" t="s">
        <v>45</v>
      </c>
      <c r="E4462" s="41" t="s">
        <v>1298</v>
      </c>
      <c r="F4462" s="41" t="s">
        <v>11893</v>
      </c>
      <c r="G4462" s="41" t="s">
        <v>13647</v>
      </c>
      <c r="H4462" s="41" t="s">
        <v>13648</v>
      </c>
      <c r="I4462" s="43">
        <v>12</v>
      </c>
      <c r="J4462" s="44" t="str">
        <f>VLOOKUP(G4462,[1]硬件清单!$F:$F,1,0)</f>
        <v>210305756810HA000251</v>
      </c>
      <c r="K4462" s="43"/>
      <c r="L4462" s="44"/>
      <c r="M4462" s="45" t="s">
        <v>13649</v>
      </c>
    </row>
    <row r="4463" ht="30" customHeight="1" spans="1:13">
      <c r="A4463" s="41">
        <f>IF(C4463="","",SUBTOTAL(103,$C$2:C4463))</f>
        <v>4454</v>
      </c>
      <c r="B4463" s="41">
        <v>2743</v>
      </c>
      <c r="C4463" s="41">
        <v>4981</v>
      </c>
      <c r="D4463" s="41" t="s">
        <v>45</v>
      </c>
      <c r="E4463" s="41" t="s">
        <v>1298</v>
      </c>
      <c r="F4463" s="41" t="s">
        <v>11893</v>
      </c>
      <c r="G4463" s="41" t="s">
        <v>13650</v>
      </c>
      <c r="H4463" s="41" t="s">
        <v>13651</v>
      </c>
      <c r="I4463" s="43">
        <v>12</v>
      </c>
      <c r="J4463" s="44" t="str">
        <f>VLOOKUP(G4463,[1]硬件清单!$F:$F,1,0)</f>
        <v>210305756810HA000296</v>
      </c>
      <c r="K4463" s="43"/>
      <c r="L4463" s="44"/>
      <c r="M4463" s="45" t="s">
        <v>13652</v>
      </c>
    </row>
    <row r="4464" ht="30" customHeight="1" spans="1:13">
      <c r="A4464" s="41">
        <f>IF(C4464="","",SUBTOTAL(103,$C$2:C4464))</f>
        <v>4455</v>
      </c>
      <c r="B4464" s="41">
        <v>2744</v>
      </c>
      <c r="C4464" s="41">
        <v>4982</v>
      </c>
      <c r="D4464" s="41" t="s">
        <v>45</v>
      </c>
      <c r="E4464" s="41" t="s">
        <v>1298</v>
      </c>
      <c r="F4464" s="41" t="s">
        <v>11893</v>
      </c>
      <c r="G4464" s="41" t="s">
        <v>13653</v>
      </c>
      <c r="H4464" s="41" t="s">
        <v>13654</v>
      </c>
      <c r="I4464" s="43">
        <v>12</v>
      </c>
      <c r="J4464" s="44" t="str">
        <f>VLOOKUP(G4464,[1]硬件清单!$F:$F,1,0)</f>
        <v>210305756810HA000272</v>
      </c>
      <c r="K4464" s="43"/>
      <c r="L4464" s="44"/>
      <c r="M4464" s="45" t="s">
        <v>13655</v>
      </c>
    </row>
    <row r="4465" ht="30" customHeight="1" spans="1:13">
      <c r="A4465" s="41">
        <f>IF(C4465="","",SUBTOTAL(103,$C$2:C4465))</f>
        <v>4456</v>
      </c>
      <c r="B4465" s="41">
        <v>2745</v>
      </c>
      <c r="C4465" s="41">
        <v>5007</v>
      </c>
      <c r="D4465" s="41" t="s">
        <v>45</v>
      </c>
      <c r="E4465" s="41" t="s">
        <v>1298</v>
      </c>
      <c r="F4465" s="41" t="s">
        <v>11893</v>
      </c>
      <c r="G4465" s="41" t="s">
        <v>13656</v>
      </c>
      <c r="H4465" s="41" t="s">
        <v>13657</v>
      </c>
      <c r="I4465" s="43">
        <v>12</v>
      </c>
      <c r="J4465" s="44" t="str">
        <f>VLOOKUP(G4465,[1]硬件清单!$F:$F,1,0)</f>
        <v>210305756810HA000509</v>
      </c>
      <c r="K4465" s="43"/>
      <c r="L4465" s="44"/>
      <c r="M4465" s="45" t="s">
        <v>13658</v>
      </c>
    </row>
    <row r="4466" ht="30" customHeight="1" spans="1:13">
      <c r="A4466" s="41">
        <f>IF(C4466="","",SUBTOTAL(103,$C$2:C4466))</f>
        <v>4457</v>
      </c>
      <c r="B4466" s="41">
        <v>2746</v>
      </c>
      <c r="C4466" s="41">
        <v>5008</v>
      </c>
      <c r="D4466" s="41" t="s">
        <v>45</v>
      </c>
      <c r="E4466" s="41" t="s">
        <v>1298</v>
      </c>
      <c r="F4466" s="41" t="s">
        <v>11893</v>
      </c>
      <c r="G4466" s="41" t="s">
        <v>13659</v>
      </c>
      <c r="H4466" s="41" t="s">
        <v>13660</v>
      </c>
      <c r="I4466" s="43">
        <v>12</v>
      </c>
      <c r="J4466" s="44" t="str">
        <f>VLOOKUP(G4466,[1]硬件清单!$F:$F,1,0)</f>
        <v>210305756810HA000419</v>
      </c>
      <c r="K4466" s="43"/>
      <c r="L4466" s="44"/>
      <c r="M4466" s="45" t="s">
        <v>13661</v>
      </c>
    </row>
    <row r="4467" ht="30" customHeight="1" spans="1:13">
      <c r="A4467" s="41">
        <f>IF(C4467="","",SUBTOTAL(103,$C$2:C4467))</f>
        <v>4458</v>
      </c>
      <c r="B4467" s="41">
        <v>2747</v>
      </c>
      <c r="C4467" s="41">
        <v>5184</v>
      </c>
      <c r="D4467" s="41" t="s">
        <v>45</v>
      </c>
      <c r="E4467" s="41" t="s">
        <v>1298</v>
      </c>
      <c r="F4467" s="41" t="s">
        <v>11893</v>
      </c>
      <c r="G4467" s="41" t="s">
        <v>13662</v>
      </c>
      <c r="H4467" s="41" t="s">
        <v>13663</v>
      </c>
      <c r="I4467" s="43">
        <v>12</v>
      </c>
      <c r="J4467" s="44" t="str">
        <f>VLOOKUP(G4467,[1]硬件清单!$F:$F,1,0)</f>
        <v>210305756810HA001838</v>
      </c>
      <c r="K4467" s="43"/>
      <c r="L4467" s="44"/>
      <c r="M4467" s="45" t="s">
        <v>13664</v>
      </c>
    </row>
    <row r="4468" ht="30" customHeight="1" spans="1:13">
      <c r="A4468" s="41">
        <f>IF(C4468="","",SUBTOTAL(103,$C$2:C4468))</f>
        <v>4459</v>
      </c>
      <c r="B4468" s="41">
        <v>2748</v>
      </c>
      <c r="C4468" s="41">
        <v>5185</v>
      </c>
      <c r="D4468" s="41" t="s">
        <v>45</v>
      </c>
      <c r="E4468" s="41" t="s">
        <v>1298</v>
      </c>
      <c r="F4468" s="41" t="s">
        <v>11893</v>
      </c>
      <c r="G4468" s="41" t="s">
        <v>13665</v>
      </c>
      <c r="H4468" s="41" t="s">
        <v>13666</v>
      </c>
      <c r="I4468" s="43">
        <v>12</v>
      </c>
      <c r="J4468" s="44" t="str">
        <f>VLOOKUP(G4468,[1]硬件清单!$F:$F,1,0)</f>
        <v>210305756810HA001849</v>
      </c>
      <c r="K4468" s="43"/>
      <c r="L4468" s="44"/>
      <c r="M4468" s="45" t="s">
        <v>13667</v>
      </c>
    </row>
    <row r="4469" ht="30" customHeight="1" spans="1:13">
      <c r="A4469" s="41">
        <f>IF(C4469="","",SUBTOTAL(103,$C$2:C4469))</f>
        <v>4460</v>
      </c>
      <c r="B4469" s="41">
        <v>2749</v>
      </c>
      <c r="C4469" s="41">
        <v>5186</v>
      </c>
      <c r="D4469" s="41" t="s">
        <v>45</v>
      </c>
      <c r="E4469" s="41" t="s">
        <v>1298</v>
      </c>
      <c r="F4469" s="41" t="s">
        <v>11893</v>
      </c>
      <c r="G4469" s="41" t="s">
        <v>13668</v>
      </c>
      <c r="H4469" s="41" t="s">
        <v>13669</v>
      </c>
      <c r="I4469" s="43">
        <v>12</v>
      </c>
      <c r="J4469" s="44" t="str">
        <f>VLOOKUP(G4469,[1]硬件清单!$F:$F,1,0)</f>
        <v>210305756810HA001855</v>
      </c>
      <c r="K4469" s="43"/>
      <c r="L4469" s="44"/>
      <c r="M4469" s="45" t="s">
        <v>13670</v>
      </c>
    </row>
    <row r="4470" ht="30" customHeight="1" spans="1:13">
      <c r="A4470" s="41">
        <f>IF(C4470="","",SUBTOTAL(103,$C$2:C4470))</f>
        <v>4461</v>
      </c>
      <c r="B4470" s="41">
        <v>2750</v>
      </c>
      <c r="C4470" s="41">
        <v>5010</v>
      </c>
      <c r="D4470" s="41" t="s">
        <v>45</v>
      </c>
      <c r="E4470" s="41" t="s">
        <v>1298</v>
      </c>
      <c r="F4470" s="41" t="s">
        <v>11889</v>
      </c>
      <c r="G4470" s="41" t="s">
        <v>13671</v>
      </c>
      <c r="H4470" s="41" t="s">
        <v>13672</v>
      </c>
      <c r="I4470" s="43">
        <v>12</v>
      </c>
      <c r="J4470" s="44" t="str">
        <f>VLOOKUP(G4470,[1]硬件清单!$F:$F,1,0)</f>
        <v>2102300742N0H9000420/
210230102810HA000028</v>
      </c>
      <c r="K4470" s="43"/>
      <c r="L4470" s="44"/>
      <c r="M4470" s="45" t="s">
        <v>13673</v>
      </c>
    </row>
    <row r="4471" ht="30" customHeight="1" spans="1:13">
      <c r="A4471" s="41">
        <f>IF(C4471="","",SUBTOTAL(103,$C$2:C4471))</f>
        <v>4462</v>
      </c>
      <c r="B4471" s="41">
        <v>2751</v>
      </c>
      <c r="C4471" s="41">
        <v>4983</v>
      </c>
      <c r="D4471" s="41" t="s">
        <v>45</v>
      </c>
      <c r="E4471" s="41" t="s">
        <v>1298</v>
      </c>
      <c r="F4471" s="41" t="s">
        <v>11893</v>
      </c>
      <c r="G4471" s="41" t="s">
        <v>13674</v>
      </c>
      <c r="H4471" s="41" t="s">
        <v>13675</v>
      </c>
      <c r="I4471" s="43">
        <v>12</v>
      </c>
      <c r="J4471" s="44" t="str">
        <f>VLOOKUP(G4471,[1]硬件清单!$F:$F,1,0)</f>
        <v>210305756810HA000223</v>
      </c>
      <c r="K4471" s="43"/>
      <c r="L4471" s="44"/>
      <c r="M4471" s="45" t="s">
        <v>13676</v>
      </c>
    </row>
    <row r="4472" ht="30" customHeight="1" spans="1:13">
      <c r="A4472" s="41">
        <f>IF(C4472="","",SUBTOTAL(103,$C$2:C4472))</f>
        <v>4463</v>
      </c>
      <c r="B4472" s="41">
        <v>2752</v>
      </c>
      <c r="C4472" s="41">
        <v>4992</v>
      </c>
      <c r="D4472" s="41" t="s">
        <v>45</v>
      </c>
      <c r="E4472" s="41" t="s">
        <v>1298</v>
      </c>
      <c r="F4472" s="41" t="s">
        <v>11893</v>
      </c>
      <c r="G4472" s="41" t="s">
        <v>13677</v>
      </c>
      <c r="H4472" s="41" t="s">
        <v>13678</v>
      </c>
      <c r="I4472" s="43">
        <v>12</v>
      </c>
      <c r="J4472" s="44" t="str">
        <f>VLOOKUP(G4472,[1]硬件清单!$F:$F,1,0)</f>
        <v>210305756810HA000586</v>
      </c>
      <c r="K4472" s="43"/>
      <c r="L4472" s="44"/>
      <c r="M4472" s="45" t="s">
        <v>13679</v>
      </c>
    </row>
    <row r="4473" ht="30" customHeight="1" spans="1:13">
      <c r="A4473" s="41">
        <f>IF(C4473="","",SUBTOTAL(103,$C$2:C4473))</f>
        <v>4464</v>
      </c>
      <c r="B4473" s="41">
        <v>2753</v>
      </c>
      <c r="C4473" s="41">
        <v>4993</v>
      </c>
      <c r="D4473" s="41" t="s">
        <v>45</v>
      </c>
      <c r="E4473" s="41" t="s">
        <v>1298</v>
      </c>
      <c r="F4473" s="41" t="s">
        <v>11893</v>
      </c>
      <c r="G4473" s="41" t="s">
        <v>13680</v>
      </c>
      <c r="H4473" s="41" t="s">
        <v>13681</v>
      </c>
      <c r="I4473" s="43">
        <v>12</v>
      </c>
      <c r="J4473" s="44" t="str">
        <f>VLOOKUP(G4473,[1]硬件清单!$F:$F,1,0)</f>
        <v>210305756810HA000626</v>
      </c>
      <c r="K4473" s="43"/>
      <c r="L4473" s="44"/>
      <c r="M4473" s="45" t="s">
        <v>13682</v>
      </c>
    </row>
    <row r="4474" ht="30" customHeight="1" spans="1:13">
      <c r="A4474" s="41">
        <f>IF(C4474="","",SUBTOTAL(103,$C$2:C4474))</f>
        <v>4465</v>
      </c>
      <c r="B4474" s="41">
        <v>2754</v>
      </c>
      <c r="C4474" s="41">
        <v>4994</v>
      </c>
      <c r="D4474" s="41" t="s">
        <v>45</v>
      </c>
      <c r="E4474" s="41" t="s">
        <v>1298</v>
      </c>
      <c r="F4474" s="41" t="s">
        <v>11893</v>
      </c>
      <c r="G4474" s="41" t="s">
        <v>13683</v>
      </c>
      <c r="H4474" s="41" t="s">
        <v>13684</v>
      </c>
      <c r="I4474" s="43">
        <v>12</v>
      </c>
      <c r="J4474" s="44" t="str">
        <f>VLOOKUP(G4474,[1]硬件清单!$F:$F,1,0)</f>
        <v>210305756810HA000508</v>
      </c>
      <c r="K4474" s="43"/>
      <c r="L4474" s="44"/>
      <c r="M4474" s="45" t="s">
        <v>13685</v>
      </c>
    </row>
    <row r="4475" ht="30" customHeight="1" spans="1:13">
      <c r="A4475" s="41">
        <f>IF(C4475="","",SUBTOTAL(103,$C$2:C4475))</f>
        <v>4466</v>
      </c>
      <c r="B4475" s="41">
        <v>2755</v>
      </c>
      <c r="C4475" s="41">
        <v>4995</v>
      </c>
      <c r="D4475" s="41" t="s">
        <v>45</v>
      </c>
      <c r="E4475" s="41" t="s">
        <v>1298</v>
      </c>
      <c r="F4475" s="41" t="s">
        <v>11893</v>
      </c>
      <c r="G4475" s="41" t="s">
        <v>13686</v>
      </c>
      <c r="H4475" s="41" t="s">
        <v>13687</v>
      </c>
      <c r="I4475" s="43">
        <v>12</v>
      </c>
      <c r="J4475" s="44" t="str">
        <f>VLOOKUP(G4475,[1]硬件清单!$F:$F,1,0)</f>
        <v>210305756810HA000424</v>
      </c>
      <c r="K4475" s="43"/>
      <c r="L4475" s="44"/>
      <c r="M4475" s="45" t="s">
        <v>13688</v>
      </c>
    </row>
    <row r="4476" ht="30" customHeight="1" spans="1:13">
      <c r="A4476" s="41">
        <f>IF(C4476="","",SUBTOTAL(103,$C$2:C4476))</f>
        <v>4467</v>
      </c>
      <c r="B4476" s="41">
        <v>2756</v>
      </c>
      <c r="C4476" s="41">
        <v>4996</v>
      </c>
      <c r="D4476" s="41" t="s">
        <v>45</v>
      </c>
      <c r="E4476" s="41" t="s">
        <v>1298</v>
      </c>
      <c r="F4476" s="41" t="s">
        <v>11893</v>
      </c>
      <c r="G4476" s="41" t="s">
        <v>13689</v>
      </c>
      <c r="H4476" s="41" t="s">
        <v>13690</v>
      </c>
      <c r="I4476" s="43">
        <v>12</v>
      </c>
      <c r="J4476" s="44" t="str">
        <f>VLOOKUP(G4476,[1]硬件清单!$F:$F,1,0)</f>
        <v>210305756810HA000426</v>
      </c>
      <c r="K4476" s="43"/>
      <c r="L4476" s="44"/>
      <c r="M4476" s="45" t="s">
        <v>13691</v>
      </c>
    </row>
    <row r="4477" ht="30" customHeight="1" spans="1:13">
      <c r="A4477" s="41">
        <f>IF(C4477="","",SUBTOTAL(103,$C$2:C4477))</f>
        <v>4468</v>
      </c>
      <c r="B4477" s="41">
        <v>2757</v>
      </c>
      <c r="C4477" s="41">
        <v>4997</v>
      </c>
      <c r="D4477" s="41" t="s">
        <v>45</v>
      </c>
      <c r="E4477" s="41" t="s">
        <v>1298</v>
      </c>
      <c r="F4477" s="41" t="s">
        <v>11893</v>
      </c>
      <c r="G4477" s="41" t="s">
        <v>13692</v>
      </c>
      <c r="H4477" s="41" t="s">
        <v>13693</v>
      </c>
      <c r="I4477" s="43">
        <v>12</v>
      </c>
      <c r="J4477" s="44" t="str">
        <f>VLOOKUP(G4477,[1]硬件清单!$F:$F,1,0)</f>
        <v>210305756810HA000575</v>
      </c>
      <c r="K4477" s="43"/>
      <c r="L4477" s="44"/>
      <c r="M4477" s="45" t="s">
        <v>13694</v>
      </c>
    </row>
    <row r="4478" ht="30" customHeight="1" spans="1:13">
      <c r="A4478" s="41">
        <f>IF(C4478="","",SUBTOTAL(103,$C$2:C4478))</f>
        <v>4469</v>
      </c>
      <c r="B4478" s="41">
        <v>2758</v>
      </c>
      <c r="C4478" s="41">
        <v>4998</v>
      </c>
      <c r="D4478" s="41" t="s">
        <v>45</v>
      </c>
      <c r="E4478" s="41" t="s">
        <v>1298</v>
      </c>
      <c r="F4478" s="41" t="s">
        <v>11893</v>
      </c>
      <c r="G4478" s="41" t="s">
        <v>13695</v>
      </c>
      <c r="H4478" s="41" t="s">
        <v>13696</v>
      </c>
      <c r="I4478" s="43">
        <v>12</v>
      </c>
      <c r="J4478" s="44" t="str">
        <f>VLOOKUP(G4478,[1]硬件清单!$F:$F,1,0)</f>
        <v>210305756810HA000224</v>
      </c>
      <c r="K4478" s="43"/>
      <c r="L4478" s="44"/>
      <c r="M4478" s="45" t="s">
        <v>13697</v>
      </c>
    </row>
    <row r="4479" ht="30" customHeight="1" spans="1:13">
      <c r="A4479" s="41">
        <f>IF(C4479="","",SUBTOTAL(103,$C$2:C4479))</f>
        <v>4470</v>
      </c>
      <c r="B4479" s="41">
        <v>2759</v>
      </c>
      <c r="C4479" s="41">
        <v>4984</v>
      </c>
      <c r="D4479" s="41" t="s">
        <v>45</v>
      </c>
      <c r="E4479" s="41" t="s">
        <v>1298</v>
      </c>
      <c r="F4479" s="41" t="s">
        <v>11893</v>
      </c>
      <c r="G4479" s="41" t="s">
        <v>13698</v>
      </c>
      <c r="H4479" s="41" t="s">
        <v>13699</v>
      </c>
      <c r="I4479" s="43">
        <v>12</v>
      </c>
      <c r="J4479" s="44" t="str">
        <f>VLOOKUP(G4479,[1]硬件清单!$F:$F,1,0)</f>
        <v>210305756810HA000425</v>
      </c>
      <c r="K4479" s="43"/>
      <c r="L4479" s="44"/>
      <c r="M4479" s="45" t="s">
        <v>13700</v>
      </c>
    </row>
    <row r="4480" ht="30" customHeight="1" spans="1:13">
      <c r="A4480" s="41">
        <f>IF(C4480="","",SUBTOTAL(103,$C$2:C4480))</f>
        <v>4471</v>
      </c>
      <c r="B4480" s="41">
        <v>2760</v>
      </c>
      <c r="C4480" s="41">
        <v>4985</v>
      </c>
      <c r="D4480" s="41" t="s">
        <v>45</v>
      </c>
      <c r="E4480" s="41" t="s">
        <v>1298</v>
      </c>
      <c r="F4480" s="41" t="s">
        <v>11893</v>
      </c>
      <c r="G4480" s="41" t="s">
        <v>13701</v>
      </c>
      <c r="H4480" s="41" t="s">
        <v>13702</v>
      </c>
      <c r="I4480" s="43">
        <v>12</v>
      </c>
      <c r="J4480" s="44" t="str">
        <f>VLOOKUP(G4480,[1]硬件清单!$F:$F,1,0)</f>
        <v>210305756810HA000305</v>
      </c>
      <c r="K4480" s="43"/>
      <c r="L4480" s="44"/>
      <c r="M4480" s="45" t="s">
        <v>13703</v>
      </c>
    </row>
    <row r="4481" ht="30" customHeight="1" spans="1:13">
      <c r="A4481" s="41">
        <f>IF(C4481="","",SUBTOTAL(103,$C$2:C4481))</f>
        <v>4472</v>
      </c>
      <c r="B4481" s="41">
        <v>2761</v>
      </c>
      <c r="C4481" s="41">
        <v>4986</v>
      </c>
      <c r="D4481" s="41" t="s">
        <v>45</v>
      </c>
      <c r="E4481" s="41" t="s">
        <v>1298</v>
      </c>
      <c r="F4481" s="41" t="s">
        <v>11893</v>
      </c>
      <c r="G4481" s="41" t="s">
        <v>13704</v>
      </c>
      <c r="H4481" s="41" t="s">
        <v>13705</v>
      </c>
      <c r="I4481" s="43">
        <v>12</v>
      </c>
      <c r="J4481" s="44" t="str">
        <f>VLOOKUP(G4481,[1]硬件清单!$F:$F,1,0)</f>
        <v>210305756810HA000587</v>
      </c>
      <c r="K4481" s="43"/>
      <c r="L4481" s="44"/>
      <c r="M4481" s="45" t="s">
        <v>13706</v>
      </c>
    </row>
    <row r="4482" ht="30" customHeight="1" spans="1:13">
      <c r="A4482" s="41">
        <f>IF(C4482="","",SUBTOTAL(103,$C$2:C4482))</f>
        <v>4473</v>
      </c>
      <c r="B4482" s="41">
        <v>2762</v>
      </c>
      <c r="C4482" s="41">
        <v>4987</v>
      </c>
      <c r="D4482" s="41" t="s">
        <v>45</v>
      </c>
      <c r="E4482" s="41" t="s">
        <v>1298</v>
      </c>
      <c r="F4482" s="41" t="s">
        <v>11893</v>
      </c>
      <c r="G4482" s="41" t="s">
        <v>13707</v>
      </c>
      <c r="H4482" s="41" t="s">
        <v>13708</v>
      </c>
      <c r="I4482" s="43">
        <v>12</v>
      </c>
      <c r="J4482" s="44" t="str">
        <f>VLOOKUP(G4482,[1]硬件清单!$F:$F,1,0)</f>
        <v>210305756810HA000510</v>
      </c>
      <c r="K4482" s="43"/>
      <c r="L4482" s="44"/>
      <c r="M4482" s="45" t="s">
        <v>13709</v>
      </c>
    </row>
    <row r="4483" ht="30" customHeight="1" spans="1:13">
      <c r="A4483" s="41">
        <f>IF(C4483="","",SUBTOTAL(103,$C$2:C4483))</f>
        <v>4474</v>
      </c>
      <c r="B4483" s="41">
        <v>2763</v>
      </c>
      <c r="C4483" s="41">
        <v>4988</v>
      </c>
      <c r="D4483" s="41" t="s">
        <v>45</v>
      </c>
      <c r="E4483" s="41" t="s">
        <v>1298</v>
      </c>
      <c r="F4483" s="41" t="s">
        <v>11893</v>
      </c>
      <c r="G4483" s="41" t="s">
        <v>13710</v>
      </c>
      <c r="H4483" s="41" t="s">
        <v>13711</v>
      </c>
      <c r="I4483" s="43">
        <v>12</v>
      </c>
      <c r="J4483" s="44" t="str">
        <f>VLOOKUP(G4483,[1]硬件清单!$F:$F,1,0)</f>
        <v>210305756810HA000437</v>
      </c>
      <c r="K4483" s="43"/>
      <c r="L4483" s="44"/>
      <c r="M4483" s="45" t="s">
        <v>13712</v>
      </c>
    </row>
    <row r="4484" ht="30" customHeight="1" spans="1:13">
      <c r="A4484" s="41">
        <f>IF(C4484="","",SUBTOTAL(103,$C$2:C4484))</f>
        <v>4475</v>
      </c>
      <c r="B4484" s="41">
        <v>2764</v>
      </c>
      <c r="C4484" s="41">
        <v>4989</v>
      </c>
      <c r="D4484" s="41" t="s">
        <v>45</v>
      </c>
      <c r="E4484" s="41" t="s">
        <v>1298</v>
      </c>
      <c r="F4484" s="41" t="s">
        <v>11893</v>
      </c>
      <c r="G4484" s="41" t="s">
        <v>13713</v>
      </c>
      <c r="H4484" s="41" t="s">
        <v>13714</v>
      </c>
      <c r="I4484" s="43">
        <v>12</v>
      </c>
      <c r="J4484" s="44" t="str">
        <f>VLOOKUP(G4484,[1]硬件清单!$F:$F,1,0)</f>
        <v>210305756810HA000629</v>
      </c>
      <c r="K4484" s="43"/>
      <c r="L4484" s="44"/>
      <c r="M4484" s="45" t="s">
        <v>13715</v>
      </c>
    </row>
    <row r="4485" ht="30" customHeight="1" spans="1:13">
      <c r="A4485" s="41">
        <f>IF(C4485="","",SUBTOTAL(103,$C$2:C4485))</f>
        <v>4476</v>
      </c>
      <c r="B4485" s="41">
        <v>2765</v>
      </c>
      <c r="C4485" s="41">
        <v>4990</v>
      </c>
      <c r="D4485" s="41" t="s">
        <v>45</v>
      </c>
      <c r="E4485" s="41" t="s">
        <v>1298</v>
      </c>
      <c r="F4485" s="41" t="s">
        <v>11893</v>
      </c>
      <c r="G4485" s="41" t="s">
        <v>13716</v>
      </c>
      <c r="H4485" s="41" t="s">
        <v>13717</v>
      </c>
      <c r="I4485" s="43">
        <v>12</v>
      </c>
      <c r="J4485" s="44" t="str">
        <f>VLOOKUP(G4485,[1]硬件清单!$F:$F,1,0)</f>
        <v>210305756810HA000237</v>
      </c>
      <c r="K4485" s="43"/>
      <c r="L4485" s="44"/>
      <c r="M4485" s="45" t="s">
        <v>13718</v>
      </c>
    </row>
    <row r="4486" ht="30" customHeight="1" spans="1:13">
      <c r="A4486" s="41">
        <f>IF(C4486="","",SUBTOTAL(103,$C$2:C4486))</f>
        <v>4477</v>
      </c>
      <c r="B4486" s="41">
        <v>2766</v>
      </c>
      <c r="C4486" s="41">
        <v>4991</v>
      </c>
      <c r="D4486" s="41" t="s">
        <v>45</v>
      </c>
      <c r="E4486" s="41" t="s">
        <v>1298</v>
      </c>
      <c r="F4486" s="41" t="s">
        <v>11893</v>
      </c>
      <c r="G4486" s="41" t="s">
        <v>13719</v>
      </c>
      <c r="H4486" s="41" t="s">
        <v>13720</v>
      </c>
      <c r="I4486" s="43">
        <v>12</v>
      </c>
      <c r="J4486" s="44" t="str">
        <f>VLOOKUP(G4486,[1]硬件清单!$F:$F,1,0)</f>
        <v>210305756810HA000304</v>
      </c>
      <c r="K4486" s="43"/>
      <c r="L4486" s="44"/>
      <c r="M4486" s="45" t="s">
        <v>13721</v>
      </c>
    </row>
    <row r="4487" ht="30" customHeight="1" spans="1:13">
      <c r="A4487" s="41">
        <f>IF(C4487="","",SUBTOTAL(103,$C$2:C4487))</f>
        <v>4478</v>
      </c>
      <c r="B4487" s="41">
        <v>2767</v>
      </c>
      <c r="C4487" s="41">
        <v>4247</v>
      </c>
      <c r="D4487" s="41" t="s">
        <v>45</v>
      </c>
      <c r="E4487" s="41" t="s">
        <v>1298</v>
      </c>
      <c r="F4487" s="41" t="s">
        <v>11889</v>
      </c>
      <c r="G4487" s="41" t="s">
        <v>13722</v>
      </c>
      <c r="H4487" s="41" t="s">
        <v>13723</v>
      </c>
      <c r="I4487" s="43">
        <v>12</v>
      </c>
      <c r="J4487" s="44" t="str">
        <f>VLOOKUP(G4487,[1]硬件清单!$F:$F,1,0)</f>
        <v>2102300742N0HA000006/210230102810HA000179</v>
      </c>
      <c r="K4487" s="43"/>
      <c r="L4487" s="44"/>
      <c r="M4487" s="45" t="s">
        <v>13724</v>
      </c>
    </row>
    <row r="4488" ht="30" customHeight="1" spans="1:13">
      <c r="A4488" s="41">
        <f>IF(C4488="","",SUBTOTAL(103,$C$2:C4488))</f>
        <v>4479</v>
      </c>
      <c r="B4488" s="41">
        <v>2768</v>
      </c>
      <c r="C4488" s="41">
        <v>3953</v>
      </c>
      <c r="D4488" s="41" t="s">
        <v>45</v>
      </c>
      <c r="E4488" s="41" t="s">
        <v>1298</v>
      </c>
      <c r="F4488" s="41" t="s">
        <v>11893</v>
      </c>
      <c r="G4488" s="41" t="s">
        <v>13725</v>
      </c>
      <c r="H4488" s="41" t="s">
        <v>13726</v>
      </c>
      <c r="I4488" s="43">
        <v>12</v>
      </c>
      <c r="J4488" s="44" t="str">
        <f>VLOOKUP(G4488,[1]硬件清单!$F:$F,1,0)</f>
        <v>210305756810HA001268</v>
      </c>
      <c r="K4488" s="43"/>
      <c r="L4488" s="44"/>
      <c r="M4488" s="45" t="s">
        <v>13727</v>
      </c>
    </row>
    <row r="4489" ht="30" customHeight="1" spans="1:13">
      <c r="A4489" s="41">
        <f>IF(C4489="","",SUBTOTAL(103,$C$2:C4489))</f>
        <v>4480</v>
      </c>
      <c r="B4489" s="41">
        <v>2769</v>
      </c>
      <c r="C4489" s="41">
        <v>3962</v>
      </c>
      <c r="D4489" s="41" t="s">
        <v>45</v>
      </c>
      <c r="E4489" s="41" t="s">
        <v>1298</v>
      </c>
      <c r="F4489" s="41" t="s">
        <v>11893</v>
      </c>
      <c r="G4489" s="41" t="s">
        <v>13728</v>
      </c>
      <c r="H4489" s="41" t="s">
        <v>13729</v>
      </c>
      <c r="I4489" s="43">
        <v>12</v>
      </c>
      <c r="J4489" s="44" t="str">
        <f>VLOOKUP(G4489,[1]硬件清单!$F:$F,1,0)</f>
        <v>210305756810HA001283</v>
      </c>
      <c r="K4489" s="43"/>
      <c r="L4489" s="44"/>
      <c r="M4489" s="45" t="s">
        <v>13730</v>
      </c>
    </row>
    <row r="4490" ht="30" customHeight="1" spans="1:13">
      <c r="A4490" s="41">
        <f>IF(C4490="","",SUBTOTAL(103,$C$2:C4490))</f>
        <v>4481</v>
      </c>
      <c r="B4490" s="41">
        <v>2770</v>
      </c>
      <c r="C4490" s="41">
        <v>3963</v>
      </c>
      <c r="D4490" s="41" t="s">
        <v>45</v>
      </c>
      <c r="E4490" s="41" t="s">
        <v>1298</v>
      </c>
      <c r="F4490" s="41" t="s">
        <v>11893</v>
      </c>
      <c r="G4490" s="41" t="s">
        <v>13731</v>
      </c>
      <c r="H4490" s="41" t="s">
        <v>13732</v>
      </c>
      <c r="I4490" s="43">
        <v>12</v>
      </c>
      <c r="J4490" s="44" t="str">
        <f>VLOOKUP(G4490,[1]硬件清单!$F:$F,1,0)</f>
        <v>210305756810HA001263</v>
      </c>
      <c r="K4490" s="43"/>
      <c r="L4490" s="44"/>
      <c r="M4490" s="45" t="s">
        <v>13733</v>
      </c>
    </row>
    <row r="4491" ht="30" customHeight="1" spans="1:13">
      <c r="A4491" s="41">
        <f>IF(C4491="","",SUBTOTAL(103,$C$2:C4491))</f>
        <v>4482</v>
      </c>
      <c r="B4491" s="41">
        <v>2771</v>
      </c>
      <c r="C4491" s="41">
        <v>3964</v>
      </c>
      <c r="D4491" s="41" t="s">
        <v>45</v>
      </c>
      <c r="E4491" s="41" t="s">
        <v>1298</v>
      </c>
      <c r="F4491" s="41" t="s">
        <v>11893</v>
      </c>
      <c r="G4491" s="41" t="s">
        <v>13734</v>
      </c>
      <c r="H4491" s="41" t="s">
        <v>13735</v>
      </c>
      <c r="I4491" s="43">
        <v>12</v>
      </c>
      <c r="J4491" s="44" t="str">
        <f>VLOOKUP(G4491,[1]硬件清单!$F:$F,1,0)</f>
        <v>210305756810HA001848</v>
      </c>
      <c r="K4491" s="43"/>
      <c r="L4491" s="44"/>
      <c r="M4491" s="45" t="s">
        <v>13736</v>
      </c>
    </row>
    <row r="4492" ht="30" customHeight="1" spans="1:13">
      <c r="A4492" s="41">
        <f>IF(C4492="","",SUBTOTAL(103,$C$2:C4492))</f>
        <v>4483</v>
      </c>
      <c r="B4492" s="41">
        <v>2772</v>
      </c>
      <c r="C4492" s="41">
        <v>3965</v>
      </c>
      <c r="D4492" s="41" t="s">
        <v>45</v>
      </c>
      <c r="E4492" s="41" t="s">
        <v>1298</v>
      </c>
      <c r="F4492" s="41" t="s">
        <v>11893</v>
      </c>
      <c r="G4492" s="41" t="s">
        <v>13737</v>
      </c>
      <c r="H4492" s="41" t="s">
        <v>13738</v>
      </c>
      <c r="I4492" s="43">
        <v>12</v>
      </c>
      <c r="J4492" s="44" t="str">
        <f>VLOOKUP(G4492,[1]硬件清单!$F:$F,1,0)</f>
        <v>210305756810HA001569</v>
      </c>
      <c r="K4492" s="43"/>
      <c r="L4492" s="44"/>
      <c r="M4492" s="45" t="s">
        <v>13739</v>
      </c>
    </row>
    <row r="4493" ht="30" customHeight="1" spans="1:13">
      <c r="A4493" s="41">
        <f>IF(C4493="","",SUBTOTAL(103,$C$2:C4493))</f>
        <v>4484</v>
      </c>
      <c r="B4493" s="41">
        <v>2773</v>
      </c>
      <c r="C4493" s="41">
        <v>3966</v>
      </c>
      <c r="D4493" s="41" t="s">
        <v>45</v>
      </c>
      <c r="E4493" s="41" t="s">
        <v>1298</v>
      </c>
      <c r="F4493" s="41" t="s">
        <v>11893</v>
      </c>
      <c r="G4493" s="41" t="s">
        <v>13740</v>
      </c>
      <c r="H4493" s="41" t="s">
        <v>13741</v>
      </c>
      <c r="I4493" s="43">
        <v>12</v>
      </c>
      <c r="J4493" s="44" t="str">
        <f>VLOOKUP(G4493,[1]硬件清单!$F:$F,1,0)</f>
        <v>210305756810HA001836</v>
      </c>
      <c r="K4493" s="43"/>
      <c r="L4493" s="44"/>
      <c r="M4493" s="45" t="s">
        <v>13742</v>
      </c>
    </row>
    <row r="4494" ht="30" customHeight="1" spans="1:13">
      <c r="A4494" s="41">
        <f>IF(C4494="","",SUBTOTAL(103,$C$2:C4494))</f>
        <v>4485</v>
      </c>
      <c r="B4494" s="41">
        <v>2774</v>
      </c>
      <c r="C4494" s="41">
        <v>3967</v>
      </c>
      <c r="D4494" s="41" t="s">
        <v>45</v>
      </c>
      <c r="E4494" s="41" t="s">
        <v>1298</v>
      </c>
      <c r="F4494" s="41" t="s">
        <v>11893</v>
      </c>
      <c r="G4494" s="41" t="s">
        <v>13743</v>
      </c>
      <c r="H4494" s="41" t="s">
        <v>13744</v>
      </c>
      <c r="I4494" s="43">
        <v>12</v>
      </c>
      <c r="J4494" s="44" t="str">
        <f>VLOOKUP(G4494,[1]硬件清单!$F:$F,1,0)</f>
        <v>210305756810HA001573</v>
      </c>
      <c r="K4494" s="43"/>
      <c r="L4494" s="44"/>
      <c r="M4494" s="45" t="s">
        <v>13745</v>
      </c>
    </row>
    <row r="4495" ht="30" customHeight="1" spans="1:13">
      <c r="A4495" s="41">
        <f>IF(C4495="","",SUBTOTAL(103,$C$2:C4495))</f>
        <v>4486</v>
      </c>
      <c r="B4495" s="41">
        <v>2775</v>
      </c>
      <c r="C4495" s="41">
        <v>3968</v>
      </c>
      <c r="D4495" s="41" t="s">
        <v>45</v>
      </c>
      <c r="E4495" s="41" t="s">
        <v>1298</v>
      </c>
      <c r="F4495" s="41" t="s">
        <v>11893</v>
      </c>
      <c r="G4495" s="41" t="s">
        <v>13746</v>
      </c>
      <c r="H4495" s="41" t="s">
        <v>13747</v>
      </c>
      <c r="I4495" s="43">
        <v>12</v>
      </c>
      <c r="J4495" s="44" t="str">
        <f>VLOOKUP(G4495,[1]硬件清单!$F:$F,1,0)</f>
        <v>210305756810HA001574</v>
      </c>
      <c r="K4495" s="43"/>
      <c r="L4495" s="44"/>
      <c r="M4495" s="45" t="s">
        <v>13748</v>
      </c>
    </row>
    <row r="4496" ht="30" customHeight="1" spans="1:13">
      <c r="A4496" s="41">
        <f>IF(C4496="","",SUBTOTAL(103,$C$2:C4496))</f>
        <v>4487</v>
      </c>
      <c r="B4496" s="41">
        <v>2776</v>
      </c>
      <c r="C4496" s="41">
        <v>3954</v>
      </c>
      <c r="D4496" s="41" t="s">
        <v>45</v>
      </c>
      <c r="E4496" s="41" t="s">
        <v>1298</v>
      </c>
      <c r="F4496" s="41" t="s">
        <v>11893</v>
      </c>
      <c r="G4496" s="41" t="s">
        <v>13749</v>
      </c>
      <c r="H4496" s="41" t="s">
        <v>13750</v>
      </c>
      <c r="I4496" s="43">
        <v>12</v>
      </c>
      <c r="J4496" s="44" t="str">
        <f>VLOOKUP(G4496,[1]硬件清单!$F:$F,1,0)</f>
        <v>210305756810HA001280</v>
      </c>
      <c r="K4496" s="43"/>
      <c r="L4496" s="44"/>
      <c r="M4496" s="45" t="s">
        <v>13751</v>
      </c>
    </row>
    <row r="4497" ht="30" customHeight="1" spans="1:13">
      <c r="A4497" s="41">
        <f>IF(C4497="","",SUBTOTAL(103,$C$2:C4497))</f>
        <v>4488</v>
      </c>
      <c r="B4497" s="41">
        <v>2777</v>
      </c>
      <c r="C4497" s="41">
        <v>3955</v>
      </c>
      <c r="D4497" s="41" t="s">
        <v>45</v>
      </c>
      <c r="E4497" s="41" t="s">
        <v>1298</v>
      </c>
      <c r="F4497" s="41" t="s">
        <v>11893</v>
      </c>
      <c r="G4497" s="41" t="s">
        <v>13752</v>
      </c>
      <c r="H4497" s="41" t="s">
        <v>13753</v>
      </c>
      <c r="I4497" s="43">
        <v>12</v>
      </c>
      <c r="J4497" s="44" t="str">
        <f>VLOOKUP(G4497,[1]硬件清单!$F:$F,1,0)</f>
        <v>210305756810HA001285</v>
      </c>
      <c r="K4497" s="43"/>
      <c r="L4497" s="44"/>
      <c r="M4497" s="45" t="s">
        <v>13754</v>
      </c>
    </row>
    <row r="4498" ht="30" customHeight="1" spans="1:13">
      <c r="A4498" s="41">
        <f>IF(C4498="","",SUBTOTAL(103,$C$2:C4498))</f>
        <v>4489</v>
      </c>
      <c r="B4498" s="41">
        <v>2778</v>
      </c>
      <c r="C4498" s="41">
        <v>3956</v>
      </c>
      <c r="D4498" s="41" t="s">
        <v>45</v>
      </c>
      <c r="E4498" s="41" t="s">
        <v>1298</v>
      </c>
      <c r="F4498" s="41" t="s">
        <v>11893</v>
      </c>
      <c r="G4498" s="41" t="s">
        <v>13755</v>
      </c>
      <c r="H4498" s="41" t="s">
        <v>13756</v>
      </c>
      <c r="I4498" s="43">
        <v>12</v>
      </c>
      <c r="J4498" s="44" t="str">
        <f>VLOOKUP(G4498,[1]硬件清单!$F:$F,1,0)</f>
        <v>210305756810HA001272</v>
      </c>
      <c r="K4498" s="43"/>
      <c r="L4498" s="44"/>
      <c r="M4498" s="45" t="s">
        <v>13757</v>
      </c>
    </row>
    <row r="4499" ht="30" customHeight="1" spans="1:13">
      <c r="A4499" s="41">
        <f>IF(C4499="","",SUBTOTAL(103,$C$2:C4499))</f>
        <v>4490</v>
      </c>
      <c r="B4499" s="41">
        <v>2779</v>
      </c>
      <c r="C4499" s="41">
        <v>3957</v>
      </c>
      <c r="D4499" s="41" t="s">
        <v>45</v>
      </c>
      <c r="E4499" s="41" t="s">
        <v>1298</v>
      </c>
      <c r="F4499" s="41" t="s">
        <v>11893</v>
      </c>
      <c r="G4499" s="41" t="s">
        <v>13758</v>
      </c>
      <c r="H4499" s="41" t="s">
        <v>13759</v>
      </c>
      <c r="I4499" s="43">
        <v>12</v>
      </c>
      <c r="J4499" s="44" t="str">
        <f>VLOOKUP(G4499,[1]硬件清单!$F:$F,1,0)</f>
        <v>210305756810HA001260</v>
      </c>
      <c r="K4499" s="43"/>
      <c r="L4499" s="44"/>
      <c r="M4499" s="45" t="s">
        <v>13760</v>
      </c>
    </row>
    <row r="4500" ht="30" customHeight="1" spans="1:13">
      <c r="A4500" s="41">
        <f>IF(C4500="","",SUBTOTAL(103,$C$2:C4500))</f>
        <v>4491</v>
      </c>
      <c r="B4500" s="41">
        <v>2780</v>
      </c>
      <c r="C4500" s="41">
        <v>3958</v>
      </c>
      <c r="D4500" s="41" t="s">
        <v>45</v>
      </c>
      <c r="E4500" s="41" t="s">
        <v>1298</v>
      </c>
      <c r="F4500" s="41" t="s">
        <v>11893</v>
      </c>
      <c r="G4500" s="41" t="s">
        <v>13761</v>
      </c>
      <c r="H4500" s="41" t="s">
        <v>13762</v>
      </c>
      <c r="I4500" s="43">
        <v>12</v>
      </c>
      <c r="J4500" s="44" t="str">
        <f>VLOOKUP(G4500,[1]硬件清单!$F:$F,1,0)</f>
        <v>210305756810HA001267</v>
      </c>
      <c r="K4500" s="43"/>
      <c r="L4500" s="44"/>
      <c r="M4500" s="45" t="s">
        <v>13763</v>
      </c>
    </row>
    <row r="4501" ht="30" customHeight="1" spans="1:13">
      <c r="A4501" s="41">
        <f>IF(C4501="","",SUBTOTAL(103,$C$2:C4501))</f>
        <v>4492</v>
      </c>
      <c r="B4501" s="41">
        <v>2781</v>
      </c>
      <c r="C4501" s="41">
        <v>3959</v>
      </c>
      <c r="D4501" s="41" t="s">
        <v>45</v>
      </c>
      <c r="E4501" s="41" t="s">
        <v>1298</v>
      </c>
      <c r="F4501" s="41" t="s">
        <v>11893</v>
      </c>
      <c r="G4501" s="41" t="s">
        <v>13764</v>
      </c>
      <c r="H4501" s="41" t="s">
        <v>13765</v>
      </c>
      <c r="I4501" s="43">
        <v>12</v>
      </c>
      <c r="J4501" s="44" t="str">
        <f>VLOOKUP(G4501,[1]硬件清单!$F:$F,1,0)</f>
        <v>210305756810HA001266</v>
      </c>
      <c r="K4501" s="43"/>
      <c r="L4501" s="44"/>
      <c r="M4501" s="45" t="s">
        <v>13766</v>
      </c>
    </row>
    <row r="4502" ht="30" customHeight="1" spans="1:13">
      <c r="A4502" s="41">
        <f>IF(C4502="","",SUBTOTAL(103,$C$2:C4502))</f>
        <v>4493</v>
      </c>
      <c r="B4502" s="41">
        <v>2782</v>
      </c>
      <c r="C4502" s="41">
        <v>3960</v>
      </c>
      <c r="D4502" s="41" t="s">
        <v>45</v>
      </c>
      <c r="E4502" s="41" t="s">
        <v>1298</v>
      </c>
      <c r="F4502" s="41" t="s">
        <v>11893</v>
      </c>
      <c r="G4502" s="41" t="s">
        <v>13767</v>
      </c>
      <c r="H4502" s="41" t="s">
        <v>13768</v>
      </c>
      <c r="I4502" s="43">
        <v>12</v>
      </c>
      <c r="J4502" s="44" t="str">
        <f>VLOOKUP(G4502,[1]硬件清单!$F:$F,1,0)</f>
        <v>210305756810HA001269</v>
      </c>
      <c r="K4502" s="43"/>
      <c r="L4502" s="44"/>
      <c r="M4502" s="45" t="s">
        <v>13769</v>
      </c>
    </row>
    <row r="4503" ht="30" customHeight="1" spans="1:13">
      <c r="A4503" s="41">
        <f>IF(C4503="","",SUBTOTAL(103,$C$2:C4503))</f>
        <v>4494</v>
      </c>
      <c r="B4503" s="41">
        <v>2783</v>
      </c>
      <c r="C4503" s="41">
        <v>3961</v>
      </c>
      <c r="D4503" s="41" t="s">
        <v>45</v>
      </c>
      <c r="E4503" s="41" t="s">
        <v>1298</v>
      </c>
      <c r="F4503" s="41" t="s">
        <v>11893</v>
      </c>
      <c r="G4503" s="41" t="s">
        <v>13770</v>
      </c>
      <c r="H4503" s="41" t="s">
        <v>13771</v>
      </c>
      <c r="I4503" s="43">
        <v>12</v>
      </c>
      <c r="J4503" s="44" t="str">
        <f>VLOOKUP(G4503,[1]硬件清单!$F:$F,1,0)</f>
        <v>210305756810HA001279</v>
      </c>
      <c r="K4503" s="43"/>
      <c r="L4503" s="44"/>
      <c r="M4503" s="45" t="s">
        <v>13772</v>
      </c>
    </row>
    <row r="4504" ht="30" customHeight="1" spans="1:13">
      <c r="A4504" s="41">
        <f>IF(C4504="","",SUBTOTAL(103,$C$2:C4504))</f>
        <v>4495</v>
      </c>
      <c r="B4504" s="41">
        <v>2784</v>
      </c>
      <c r="C4504" s="41">
        <v>4246</v>
      </c>
      <c r="D4504" s="41" t="s">
        <v>45</v>
      </c>
      <c r="E4504" s="41" t="s">
        <v>1298</v>
      </c>
      <c r="F4504" s="41" t="s">
        <v>11889</v>
      </c>
      <c r="G4504" s="41" t="s">
        <v>13773</v>
      </c>
      <c r="H4504" s="41" t="s">
        <v>13774</v>
      </c>
      <c r="I4504" s="43">
        <v>12</v>
      </c>
      <c r="J4504" s="44" t="str">
        <f>VLOOKUP(G4504,[1]硬件清单!$F:$F,1,0)</f>
        <v>2102300742N0H9000689/210230102810HA000178</v>
      </c>
      <c r="K4504" s="43"/>
      <c r="L4504" s="44"/>
      <c r="M4504" s="45" t="s">
        <v>13775</v>
      </c>
    </row>
    <row r="4505" ht="30" customHeight="1" spans="1:13">
      <c r="A4505" s="41">
        <f>IF(C4505="","",SUBTOTAL(103,$C$2:C4505))</f>
        <v>4496</v>
      </c>
      <c r="B4505" s="41">
        <v>2785</v>
      </c>
      <c r="C4505" s="41">
        <v>4160</v>
      </c>
      <c r="D4505" s="41" t="s">
        <v>45</v>
      </c>
      <c r="E4505" s="41" t="s">
        <v>1298</v>
      </c>
      <c r="F4505" s="41" t="s">
        <v>11893</v>
      </c>
      <c r="G4505" s="41" t="s">
        <v>13776</v>
      </c>
      <c r="H4505" s="41" t="s">
        <v>13777</v>
      </c>
      <c r="I4505" s="43">
        <v>12</v>
      </c>
      <c r="J4505" s="44" t="str">
        <f>VLOOKUP(G4505,[1]硬件清单!$F:$F,1,0)</f>
        <v>210305756810HA001258</v>
      </c>
      <c r="K4505" s="43"/>
      <c r="L4505" s="44"/>
      <c r="M4505" s="45" t="s">
        <v>13778</v>
      </c>
    </row>
    <row r="4506" ht="30" customHeight="1" spans="1:13">
      <c r="A4506" s="41">
        <f>IF(C4506="","",SUBTOTAL(103,$C$2:C4506))</f>
        <v>4497</v>
      </c>
      <c r="B4506" s="41">
        <v>2786</v>
      </c>
      <c r="C4506" s="41">
        <v>5139</v>
      </c>
      <c r="D4506" s="41" t="s">
        <v>45</v>
      </c>
      <c r="E4506" s="41" t="s">
        <v>1298</v>
      </c>
      <c r="F4506" s="41" t="s">
        <v>11893</v>
      </c>
      <c r="G4506" s="41" t="s">
        <v>13779</v>
      </c>
      <c r="H4506" s="41" t="s">
        <v>13780</v>
      </c>
      <c r="I4506" s="43">
        <v>12</v>
      </c>
      <c r="J4506" s="44" t="str">
        <f>VLOOKUP(G4506,[1]硬件清单!$F:$F,1,0)</f>
        <v>210305756810HA001255</v>
      </c>
      <c r="K4506" s="43"/>
      <c r="L4506" s="44"/>
      <c r="M4506" s="45" t="s">
        <v>13781</v>
      </c>
    </row>
    <row r="4507" ht="30" customHeight="1" spans="1:13">
      <c r="A4507" s="41">
        <f>IF(C4507="","",SUBTOTAL(103,$C$2:C4507))</f>
        <v>4498</v>
      </c>
      <c r="B4507" s="41">
        <v>2787</v>
      </c>
      <c r="C4507" s="41">
        <v>5181</v>
      </c>
      <c r="D4507" s="41" t="s">
        <v>45</v>
      </c>
      <c r="E4507" s="41" t="s">
        <v>1298</v>
      </c>
      <c r="F4507" s="41" t="s">
        <v>11893</v>
      </c>
      <c r="G4507" s="41" t="s">
        <v>13782</v>
      </c>
      <c r="H4507" s="41" t="s">
        <v>13783</v>
      </c>
      <c r="I4507" s="43">
        <v>12</v>
      </c>
      <c r="J4507" s="44" t="str">
        <f>VLOOKUP(G4507,[1]硬件清单!$F:$F,1,0)</f>
        <v>210305756810HA001256</v>
      </c>
      <c r="K4507" s="43"/>
      <c r="L4507" s="44"/>
      <c r="M4507" s="45" t="s">
        <v>13784</v>
      </c>
    </row>
    <row r="4508" ht="30" customHeight="1" spans="1:13">
      <c r="A4508" s="41">
        <f>IF(C4508="","",SUBTOTAL(103,$C$2:C4508))</f>
        <v>4499</v>
      </c>
      <c r="B4508" s="41">
        <v>2788</v>
      </c>
      <c r="C4508" s="41">
        <v>5182</v>
      </c>
      <c r="D4508" s="41" t="s">
        <v>45</v>
      </c>
      <c r="E4508" s="41" t="s">
        <v>1298</v>
      </c>
      <c r="F4508" s="41" t="s">
        <v>11893</v>
      </c>
      <c r="G4508" s="41" t="s">
        <v>13785</v>
      </c>
      <c r="H4508" s="41" t="s">
        <v>13786</v>
      </c>
      <c r="I4508" s="43">
        <v>12</v>
      </c>
      <c r="J4508" s="44" t="str">
        <f>VLOOKUP(G4508,[1]硬件清单!$F:$F,1,0)</f>
        <v>210305756810HA001286</v>
      </c>
      <c r="K4508" s="43"/>
      <c r="L4508" s="44"/>
      <c r="M4508" s="45" t="s">
        <v>13787</v>
      </c>
    </row>
    <row r="4509" ht="30" customHeight="1" spans="1:13">
      <c r="A4509" s="41">
        <f>IF(C4509="","",SUBTOTAL(103,$C$2:C4509))</f>
        <v>4500</v>
      </c>
      <c r="B4509" s="41">
        <v>2789</v>
      </c>
      <c r="C4509" s="41">
        <v>5183</v>
      </c>
      <c r="D4509" s="41" t="s">
        <v>45</v>
      </c>
      <c r="E4509" s="41" t="s">
        <v>1298</v>
      </c>
      <c r="F4509" s="41" t="s">
        <v>11893</v>
      </c>
      <c r="G4509" s="41" t="s">
        <v>13788</v>
      </c>
      <c r="H4509" s="41" t="s">
        <v>13789</v>
      </c>
      <c r="I4509" s="43">
        <v>12</v>
      </c>
      <c r="J4509" s="44" t="str">
        <f>VLOOKUP(G4509,[1]硬件清单!$F:$F,1,0)</f>
        <v>210305756810HA001271</v>
      </c>
      <c r="K4509" s="43"/>
      <c r="L4509" s="44"/>
      <c r="M4509" s="45" t="s">
        <v>13790</v>
      </c>
    </row>
    <row r="4510" ht="30" customHeight="1" spans="1:13">
      <c r="A4510" s="41">
        <f>IF(C4510="","",SUBTOTAL(103,$C$2:C4510))</f>
        <v>4501</v>
      </c>
      <c r="B4510" s="41">
        <v>2790</v>
      </c>
      <c r="C4510" s="41">
        <v>5235</v>
      </c>
      <c r="D4510" s="41" t="s">
        <v>45</v>
      </c>
      <c r="E4510" s="41" t="s">
        <v>1298</v>
      </c>
      <c r="F4510" s="41" t="s">
        <v>11893</v>
      </c>
      <c r="G4510" s="41" t="s">
        <v>13791</v>
      </c>
      <c r="H4510" s="41" t="s">
        <v>13792</v>
      </c>
      <c r="I4510" s="43">
        <v>12</v>
      </c>
      <c r="J4510" s="44" t="str">
        <f>VLOOKUP(G4510,[1]硬件清单!$F:$F,1,0)</f>
        <v>210305756810HA001282</v>
      </c>
      <c r="K4510" s="43"/>
      <c r="L4510" s="44"/>
      <c r="M4510" s="45" t="s">
        <v>13793</v>
      </c>
    </row>
    <row r="4511" ht="30" customHeight="1" spans="1:13">
      <c r="A4511" s="41">
        <f>IF(C4511="","",SUBTOTAL(103,$C$2:C4511))</f>
        <v>4502</v>
      </c>
      <c r="B4511" s="41">
        <v>2791</v>
      </c>
      <c r="C4511" s="41">
        <v>5236</v>
      </c>
      <c r="D4511" s="41" t="s">
        <v>45</v>
      </c>
      <c r="E4511" s="41" t="s">
        <v>1298</v>
      </c>
      <c r="F4511" s="41" t="s">
        <v>11893</v>
      </c>
      <c r="G4511" s="41" t="s">
        <v>13794</v>
      </c>
      <c r="H4511" s="41" t="s">
        <v>13795</v>
      </c>
      <c r="I4511" s="43">
        <v>12</v>
      </c>
      <c r="J4511" s="44" t="str">
        <f>VLOOKUP(G4511,[1]硬件清单!$F:$F,1,0)</f>
        <v>210305756810HA001270</v>
      </c>
      <c r="K4511" s="43"/>
      <c r="L4511" s="44"/>
      <c r="M4511" s="45" t="s">
        <v>13796</v>
      </c>
    </row>
    <row r="4512" ht="30" customHeight="1" spans="1:13">
      <c r="A4512" s="41">
        <f>IF(C4512="","",SUBTOTAL(103,$C$2:C4512))</f>
        <v>4503</v>
      </c>
      <c r="B4512" s="41">
        <v>2792</v>
      </c>
      <c r="C4512" s="41">
        <v>5237</v>
      </c>
      <c r="D4512" s="41" t="s">
        <v>45</v>
      </c>
      <c r="E4512" s="41" t="s">
        <v>1298</v>
      </c>
      <c r="F4512" s="41" t="s">
        <v>11893</v>
      </c>
      <c r="G4512" s="41" t="s">
        <v>13797</v>
      </c>
      <c r="H4512" s="41" t="s">
        <v>13798</v>
      </c>
      <c r="I4512" s="43">
        <v>12</v>
      </c>
      <c r="J4512" s="44" t="str">
        <f>VLOOKUP(G4512,[1]硬件清单!$F:$F,1,0)</f>
        <v>210305756810HA001264</v>
      </c>
      <c r="K4512" s="43"/>
      <c r="L4512" s="44"/>
      <c r="M4512" s="45" t="s">
        <v>13799</v>
      </c>
    </row>
    <row r="4513" ht="30" customHeight="1" spans="1:13">
      <c r="A4513" s="41">
        <f>IF(C4513="","",SUBTOTAL(103,$C$2:C4513))</f>
        <v>4504</v>
      </c>
      <c r="B4513" s="41">
        <v>2793</v>
      </c>
      <c r="C4513" s="41">
        <v>4161</v>
      </c>
      <c r="D4513" s="41" t="s">
        <v>45</v>
      </c>
      <c r="E4513" s="41" t="s">
        <v>1298</v>
      </c>
      <c r="F4513" s="41" t="s">
        <v>11893</v>
      </c>
      <c r="G4513" s="41" t="s">
        <v>13800</v>
      </c>
      <c r="H4513" s="41" t="s">
        <v>13801</v>
      </c>
      <c r="I4513" s="43">
        <v>12</v>
      </c>
      <c r="J4513" s="44" t="str">
        <f>VLOOKUP(G4513,[1]硬件清单!$F:$F,1,0)</f>
        <v>210305756810HA001281</v>
      </c>
      <c r="K4513" s="43"/>
      <c r="L4513" s="44"/>
      <c r="M4513" s="45" t="s">
        <v>13802</v>
      </c>
    </row>
    <row r="4514" ht="30" customHeight="1" spans="1:13">
      <c r="A4514" s="41">
        <f>IF(C4514="","",SUBTOTAL(103,$C$2:C4514))</f>
        <v>4505</v>
      </c>
      <c r="B4514" s="41">
        <v>2794</v>
      </c>
      <c r="C4514" s="41">
        <v>4162</v>
      </c>
      <c r="D4514" s="41" t="s">
        <v>45</v>
      </c>
      <c r="E4514" s="41" t="s">
        <v>1298</v>
      </c>
      <c r="F4514" s="41" t="s">
        <v>11893</v>
      </c>
      <c r="G4514" s="41" t="s">
        <v>13803</v>
      </c>
      <c r="H4514" s="41" t="s">
        <v>13804</v>
      </c>
      <c r="I4514" s="43">
        <v>12</v>
      </c>
      <c r="J4514" s="44" t="str">
        <f>VLOOKUP(G4514,[1]硬件清单!$F:$F,1,0)</f>
        <v>210305756810HA001275</v>
      </c>
      <c r="K4514" s="43"/>
      <c r="L4514" s="44"/>
      <c r="M4514" s="45" t="s">
        <v>13805</v>
      </c>
    </row>
    <row r="4515" ht="30" customHeight="1" spans="1:13">
      <c r="A4515" s="41">
        <f>IF(C4515="","",SUBTOTAL(103,$C$2:C4515))</f>
        <v>4506</v>
      </c>
      <c r="B4515" s="41">
        <v>2795</v>
      </c>
      <c r="C4515" s="41">
        <v>4163</v>
      </c>
      <c r="D4515" s="41" t="s">
        <v>45</v>
      </c>
      <c r="E4515" s="41" t="s">
        <v>1298</v>
      </c>
      <c r="F4515" s="41" t="s">
        <v>11893</v>
      </c>
      <c r="G4515" s="41" t="s">
        <v>13806</v>
      </c>
      <c r="H4515" s="41" t="s">
        <v>13807</v>
      </c>
      <c r="I4515" s="43">
        <v>12</v>
      </c>
      <c r="J4515" s="44" t="str">
        <f>VLOOKUP(G4515,[1]硬件清单!$F:$F,1,0)</f>
        <v>210305756810HA001261</v>
      </c>
      <c r="K4515" s="43"/>
      <c r="L4515" s="44"/>
      <c r="M4515" s="45" t="s">
        <v>13808</v>
      </c>
    </row>
    <row r="4516" ht="30" customHeight="1" spans="1:13">
      <c r="A4516" s="41">
        <f>IF(C4516="","",SUBTOTAL(103,$C$2:C4516))</f>
        <v>4507</v>
      </c>
      <c r="B4516" s="41">
        <v>2796</v>
      </c>
      <c r="C4516" s="41">
        <v>5134</v>
      </c>
      <c r="D4516" s="41" t="s">
        <v>45</v>
      </c>
      <c r="E4516" s="41" t="s">
        <v>1298</v>
      </c>
      <c r="F4516" s="41" t="s">
        <v>11893</v>
      </c>
      <c r="G4516" s="41" t="s">
        <v>13809</v>
      </c>
      <c r="H4516" s="41" t="s">
        <v>13810</v>
      </c>
      <c r="I4516" s="43">
        <v>12</v>
      </c>
      <c r="J4516" s="44" t="str">
        <f>VLOOKUP(G4516,[1]硬件清单!$F:$F,1,0)</f>
        <v>210305756810HA001265</v>
      </c>
      <c r="K4516" s="43"/>
      <c r="L4516" s="44"/>
      <c r="M4516" s="45" t="s">
        <v>13811</v>
      </c>
    </row>
    <row r="4517" ht="30" customHeight="1" spans="1:13">
      <c r="A4517" s="41">
        <f>IF(C4517="","",SUBTOTAL(103,$C$2:C4517))</f>
        <v>4508</v>
      </c>
      <c r="B4517" s="41">
        <v>2797</v>
      </c>
      <c r="C4517" s="41">
        <v>5135</v>
      </c>
      <c r="D4517" s="41" t="s">
        <v>45</v>
      </c>
      <c r="E4517" s="41" t="s">
        <v>1298</v>
      </c>
      <c r="F4517" s="41" t="s">
        <v>11893</v>
      </c>
      <c r="G4517" s="41" t="s">
        <v>13812</v>
      </c>
      <c r="H4517" s="41" t="s">
        <v>13813</v>
      </c>
      <c r="I4517" s="43">
        <v>12</v>
      </c>
      <c r="J4517" s="44" t="str">
        <f>VLOOKUP(G4517,[1]硬件清单!$F:$F,1,0)</f>
        <v>210305756810HA001284</v>
      </c>
      <c r="K4517" s="43"/>
      <c r="L4517" s="44"/>
      <c r="M4517" s="45" t="s">
        <v>13814</v>
      </c>
    </row>
    <row r="4518" ht="30" customHeight="1" spans="1:13">
      <c r="A4518" s="41">
        <f>IF(C4518="","",SUBTOTAL(103,$C$2:C4518))</f>
        <v>4509</v>
      </c>
      <c r="B4518" s="41">
        <v>2798</v>
      </c>
      <c r="C4518" s="41">
        <v>5136</v>
      </c>
      <c r="D4518" s="41" t="s">
        <v>45</v>
      </c>
      <c r="E4518" s="41" t="s">
        <v>1298</v>
      </c>
      <c r="F4518" s="41" t="s">
        <v>11893</v>
      </c>
      <c r="G4518" s="41" t="s">
        <v>13815</v>
      </c>
      <c r="H4518" s="41" t="s">
        <v>13816</v>
      </c>
      <c r="I4518" s="43">
        <v>12</v>
      </c>
      <c r="J4518" s="44" t="str">
        <f>VLOOKUP(G4518,[1]硬件清单!$F:$F,1,0)</f>
        <v>210305756810HA001257</v>
      </c>
      <c r="K4518" s="43"/>
      <c r="L4518" s="44"/>
      <c r="M4518" s="45" t="s">
        <v>13817</v>
      </c>
    </row>
    <row r="4519" ht="30" customHeight="1" spans="1:13">
      <c r="A4519" s="41">
        <f>IF(C4519="","",SUBTOTAL(103,$C$2:C4519))</f>
        <v>4510</v>
      </c>
      <c r="B4519" s="41">
        <v>2799</v>
      </c>
      <c r="C4519" s="41">
        <v>5137</v>
      </c>
      <c r="D4519" s="41" t="s">
        <v>45</v>
      </c>
      <c r="E4519" s="41" t="s">
        <v>1298</v>
      </c>
      <c r="F4519" s="41" t="s">
        <v>11893</v>
      </c>
      <c r="G4519" s="41" t="s">
        <v>13818</v>
      </c>
      <c r="H4519" s="41" t="s">
        <v>13819</v>
      </c>
      <c r="I4519" s="43">
        <v>12</v>
      </c>
      <c r="J4519" s="44" t="str">
        <f>VLOOKUP(G4519,[1]硬件清单!$F:$F,1,0)</f>
        <v>210305756810HA001262</v>
      </c>
      <c r="K4519" s="43"/>
      <c r="L4519" s="44"/>
      <c r="M4519" s="45" t="s">
        <v>13820</v>
      </c>
    </row>
    <row r="4520" ht="30" customHeight="1" spans="1:13">
      <c r="A4520" s="41">
        <f>IF(C4520="","",SUBTOTAL(103,$C$2:C4520))</f>
        <v>4511</v>
      </c>
      <c r="B4520" s="41">
        <v>2800</v>
      </c>
      <c r="C4520" s="41">
        <v>5138</v>
      </c>
      <c r="D4520" s="41" t="s">
        <v>45</v>
      </c>
      <c r="E4520" s="41" t="s">
        <v>1298</v>
      </c>
      <c r="F4520" s="41" t="s">
        <v>11893</v>
      </c>
      <c r="G4520" s="41" t="s">
        <v>13821</v>
      </c>
      <c r="H4520" s="41" t="s">
        <v>13822</v>
      </c>
      <c r="I4520" s="43">
        <v>12</v>
      </c>
      <c r="J4520" s="44" t="str">
        <f>VLOOKUP(G4520,[1]硬件清单!$F:$F,1,0)</f>
        <v>210305756810HA001259</v>
      </c>
      <c r="K4520" s="43"/>
      <c r="L4520" s="44"/>
      <c r="M4520" s="45" t="s">
        <v>13823</v>
      </c>
    </row>
    <row r="4521" ht="30" customHeight="1" spans="1:13">
      <c r="A4521" s="41">
        <f>IF(C4521="","",SUBTOTAL(103,$C$2:C4521))</f>
        <v>4512</v>
      </c>
      <c r="B4521" s="41">
        <v>2801</v>
      </c>
      <c r="C4521" s="41">
        <v>5241</v>
      </c>
      <c r="D4521" s="41" t="s">
        <v>45</v>
      </c>
      <c r="E4521" s="41" t="s">
        <v>1298</v>
      </c>
      <c r="F4521" s="41" t="s">
        <v>4485</v>
      </c>
      <c r="G4521" s="41" t="s">
        <v>13824</v>
      </c>
      <c r="H4521" s="41" t="s">
        <v>13825</v>
      </c>
      <c r="I4521" s="43">
        <v>12</v>
      </c>
      <c r="J4521" s="44" t="str">
        <f>VLOOKUP(G4521,[1]硬件清单!$F:$F,1,0)</f>
        <v>FCH2141V1X4</v>
      </c>
      <c r="K4521" s="43"/>
      <c r="L4521" s="44"/>
      <c r="M4521" s="45" t="s">
        <v>13826</v>
      </c>
    </row>
    <row r="4522" ht="30" customHeight="1" spans="1:13">
      <c r="A4522" s="41">
        <f>IF(C4522="","",SUBTOTAL(103,$C$2:C4522))</f>
        <v>4513</v>
      </c>
      <c r="B4522" s="41">
        <v>2802</v>
      </c>
      <c r="C4522" s="41">
        <v>5198</v>
      </c>
      <c r="D4522" s="41" t="s">
        <v>45</v>
      </c>
      <c r="E4522" s="41" t="s">
        <v>1298</v>
      </c>
      <c r="F4522" s="41" t="s">
        <v>4485</v>
      </c>
      <c r="G4522" s="41" t="s">
        <v>13827</v>
      </c>
      <c r="H4522" s="41" t="s">
        <v>13828</v>
      </c>
      <c r="I4522" s="43">
        <v>12</v>
      </c>
      <c r="J4522" s="44" t="str">
        <f>VLOOKUP(G4522,[1]硬件清单!$F:$F,1,0)</f>
        <v>FCH2142V1ZF</v>
      </c>
      <c r="K4522" s="43"/>
      <c r="L4522" s="44"/>
      <c r="M4522" s="45" t="s">
        <v>13829</v>
      </c>
    </row>
    <row r="4523" ht="30" customHeight="1" spans="1:13">
      <c r="A4523" s="41">
        <f>IF(C4523="","",SUBTOTAL(103,$C$2:C4523))</f>
        <v>4514</v>
      </c>
      <c r="B4523" s="41">
        <v>2803</v>
      </c>
      <c r="C4523" s="41">
        <v>5197</v>
      </c>
      <c r="D4523" s="41" t="s">
        <v>45</v>
      </c>
      <c r="E4523" s="41" t="s">
        <v>1298</v>
      </c>
      <c r="F4523" s="41" t="s">
        <v>4485</v>
      </c>
      <c r="G4523" s="41" t="s">
        <v>13830</v>
      </c>
      <c r="H4523" s="41" t="s">
        <v>13831</v>
      </c>
      <c r="I4523" s="43">
        <v>12</v>
      </c>
      <c r="J4523" s="44" t="str">
        <f>VLOOKUP(G4523,[1]硬件清单!$F:$F,1,0)</f>
        <v>FCH2142V1Y3</v>
      </c>
      <c r="K4523" s="43"/>
      <c r="L4523" s="44"/>
      <c r="M4523" s="45" t="s">
        <v>13832</v>
      </c>
    </row>
    <row r="4524" ht="30" customHeight="1" spans="1:13">
      <c r="A4524" s="41">
        <f>IF(C4524="","",SUBTOTAL(103,$C$2:C4524))</f>
        <v>4515</v>
      </c>
      <c r="B4524" s="41">
        <v>2804</v>
      </c>
      <c r="C4524" s="41">
        <v>5196</v>
      </c>
      <c r="D4524" s="41" t="s">
        <v>45</v>
      </c>
      <c r="E4524" s="41" t="s">
        <v>1298</v>
      </c>
      <c r="F4524" s="41" t="s">
        <v>4485</v>
      </c>
      <c r="G4524" s="41" t="s">
        <v>13833</v>
      </c>
      <c r="H4524" s="41" t="s">
        <v>13834</v>
      </c>
      <c r="I4524" s="43">
        <v>12</v>
      </c>
      <c r="J4524" s="44" t="str">
        <f>VLOOKUP(G4524,[1]硬件清单!$F:$F,1,0)</f>
        <v>FCH2141V2MT</v>
      </c>
      <c r="K4524" s="43"/>
      <c r="L4524" s="44"/>
      <c r="M4524" s="45" t="s">
        <v>13835</v>
      </c>
    </row>
    <row r="4525" ht="30" customHeight="1" spans="1:13">
      <c r="A4525" s="41">
        <f>IF(C4525="","",SUBTOTAL(103,$C$2:C4525))</f>
        <v>4516</v>
      </c>
      <c r="B4525" s="41">
        <v>2805</v>
      </c>
      <c r="C4525" s="41">
        <v>4266</v>
      </c>
      <c r="D4525" s="41" t="s">
        <v>45</v>
      </c>
      <c r="E4525" s="41" t="s">
        <v>1298</v>
      </c>
      <c r="F4525" s="41" t="s">
        <v>4485</v>
      </c>
      <c r="G4525" s="41" t="s">
        <v>13836</v>
      </c>
      <c r="H4525" s="41" t="s">
        <v>13837</v>
      </c>
      <c r="I4525" s="43">
        <v>12</v>
      </c>
      <c r="J4525" s="44" t="str">
        <f>VLOOKUP(G4525,[1]硬件清单!$F:$F,1,0)</f>
        <v>FCH2107V0XU</v>
      </c>
      <c r="K4525" s="43"/>
      <c r="L4525" s="44"/>
      <c r="M4525" s="45" t="s">
        <v>13838</v>
      </c>
    </row>
    <row r="4526" ht="30" customHeight="1" spans="1:13">
      <c r="A4526" s="41">
        <f>IF(C4526="","",SUBTOTAL(103,$C$2:C4526))</f>
        <v>4517</v>
      </c>
      <c r="B4526" s="41">
        <v>2806</v>
      </c>
      <c r="C4526" s="41">
        <v>5142</v>
      </c>
      <c r="D4526" s="41" t="s">
        <v>45</v>
      </c>
      <c r="E4526" s="41" t="s">
        <v>1298</v>
      </c>
      <c r="F4526" s="41" t="s">
        <v>4485</v>
      </c>
      <c r="G4526" s="41" t="s">
        <v>13839</v>
      </c>
      <c r="H4526" s="41" t="s">
        <v>13840</v>
      </c>
      <c r="I4526" s="43">
        <v>12</v>
      </c>
      <c r="J4526" s="44" t="str">
        <f>VLOOKUP(G4526,[1]硬件清单!$F:$F,1,0)</f>
        <v>FCH2138V06N</v>
      </c>
      <c r="K4526" s="43"/>
      <c r="L4526" s="44"/>
      <c r="M4526" s="45" t="s">
        <v>13841</v>
      </c>
    </row>
    <row r="4527" ht="30" customHeight="1" spans="1:13">
      <c r="A4527" s="41">
        <f>IF(C4527="","",SUBTOTAL(103,$C$2:C4527))</f>
        <v>4518</v>
      </c>
      <c r="B4527" s="41">
        <v>2807</v>
      </c>
      <c r="C4527" s="41">
        <v>5141</v>
      </c>
      <c r="D4527" s="41" t="s">
        <v>45</v>
      </c>
      <c r="E4527" s="41" t="s">
        <v>1298</v>
      </c>
      <c r="F4527" s="41" t="s">
        <v>4485</v>
      </c>
      <c r="G4527" s="41" t="s">
        <v>13842</v>
      </c>
      <c r="H4527" s="41" t="s">
        <v>13843</v>
      </c>
      <c r="I4527" s="43">
        <v>12</v>
      </c>
      <c r="J4527" s="44" t="str">
        <f>VLOOKUP(G4527,[1]硬件清单!$F:$F,1,0)</f>
        <v>FCH2132V06Q</v>
      </c>
      <c r="K4527" s="43"/>
      <c r="L4527" s="44"/>
      <c r="M4527" s="45" t="s">
        <v>13844</v>
      </c>
    </row>
    <row r="4528" ht="30" customHeight="1" spans="1:13">
      <c r="A4528" s="41">
        <f>IF(C4528="","",SUBTOTAL(103,$C$2:C4528))</f>
        <v>4519</v>
      </c>
      <c r="B4528" s="41">
        <v>2808</v>
      </c>
      <c r="C4528" s="41">
        <v>5140</v>
      </c>
      <c r="D4528" s="41" t="s">
        <v>45</v>
      </c>
      <c r="E4528" s="41" t="s">
        <v>1298</v>
      </c>
      <c r="F4528" s="41" t="s">
        <v>4485</v>
      </c>
      <c r="G4528" s="41" t="s">
        <v>13845</v>
      </c>
      <c r="H4528" s="41" t="s">
        <v>13846</v>
      </c>
      <c r="I4528" s="43">
        <v>12</v>
      </c>
      <c r="J4528" s="44" t="str">
        <f>VLOOKUP(G4528,[1]硬件清单!$F:$F,1,0)</f>
        <v>FCH2138V07F</v>
      </c>
      <c r="K4528" s="43"/>
      <c r="L4528" s="44"/>
      <c r="M4528" s="45" t="s">
        <v>13847</v>
      </c>
    </row>
    <row r="4529" ht="30" customHeight="1" spans="1:13">
      <c r="A4529" s="41">
        <f>IF(C4529="","",SUBTOTAL(103,$C$2:C4529))</f>
        <v>4520</v>
      </c>
      <c r="B4529" s="41">
        <v>2809</v>
      </c>
      <c r="C4529" s="41">
        <v>4770</v>
      </c>
      <c r="D4529" s="41" t="s">
        <v>19</v>
      </c>
      <c r="E4529" s="41" t="s">
        <v>20</v>
      </c>
      <c r="F4529" s="41" t="s">
        <v>10077</v>
      </c>
      <c r="G4529" s="41" t="s">
        <v>13848</v>
      </c>
      <c r="H4529" s="41" t="s">
        <v>13849</v>
      </c>
      <c r="I4529" s="43">
        <v>12</v>
      </c>
      <c r="J4529" s="44" t="str">
        <f>VLOOKUP(G4529,[1]硬件清单!$F:$F,1,0)</f>
        <v>210235A1TXH179000264</v>
      </c>
      <c r="K4529" s="43"/>
      <c r="L4529" s="44"/>
      <c r="M4529" s="45" t="s">
        <v>13850</v>
      </c>
    </row>
    <row r="4530" ht="30" customHeight="1" spans="1:13">
      <c r="A4530" s="41">
        <f>IF(C4530="","",SUBTOTAL(103,$C$2:C4530))</f>
        <v>4521</v>
      </c>
      <c r="B4530" s="41">
        <v>2810</v>
      </c>
      <c r="C4530" s="41">
        <v>4769</v>
      </c>
      <c r="D4530" s="41" t="s">
        <v>19</v>
      </c>
      <c r="E4530" s="41" t="s">
        <v>20</v>
      </c>
      <c r="F4530" s="41" t="s">
        <v>10077</v>
      </c>
      <c r="G4530" s="41" t="s">
        <v>13851</v>
      </c>
      <c r="H4530" s="41" t="s">
        <v>13852</v>
      </c>
      <c r="I4530" s="43">
        <v>12</v>
      </c>
      <c r="J4530" s="44" t="str">
        <f>VLOOKUP(G4530,[1]硬件清单!$F:$F,1,0)</f>
        <v>210235A1TXH179000420</v>
      </c>
      <c r="K4530" s="43"/>
      <c r="L4530" s="44"/>
      <c r="M4530" s="45" t="s">
        <v>13853</v>
      </c>
    </row>
    <row r="4531" ht="30" customHeight="1" spans="1:13">
      <c r="A4531" s="41">
        <f>IF(C4531="","",SUBTOTAL(103,$C$2:C4531))</f>
        <v>4522</v>
      </c>
      <c r="B4531" s="41">
        <v>2811</v>
      </c>
      <c r="C4531" s="41">
        <v>4267</v>
      </c>
      <c r="D4531" s="41" t="s">
        <v>45</v>
      </c>
      <c r="E4531" s="41" t="s">
        <v>1298</v>
      </c>
      <c r="F4531" s="41" t="s">
        <v>4485</v>
      </c>
      <c r="G4531" s="41" t="s">
        <v>13854</v>
      </c>
      <c r="H4531" s="41" t="s">
        <v>13855</v>
      </c>
      <c r="I4531" s="43">
        <v>12</v>
      </c>
      <c r="J4531" s="44" t="str">
        <f>VLOOKUP(G4531,[1]硬件清单!$F:$F,1,0)</f>
        <v>FCH2137V24V</v>
      </c>
      <c r="K4531" s="43"/>
      <c r="L4531" s="44"/>
      <c r="M4531" s="45" t="s">
        <v>13856</v>
      </c>
    </row>
    <row r="4532" ht="30" customHeight="1" spans="1:13">
      <c r="A4532" s="41">
        <f>IF(C4532="","",SUBTOTAL(103,$C$2:C4532))</f>
        <v>4523</v>
      </c>
      <c r="B4532" s="41">
        <v>2812</v>
      </c>
      <c r="C4532" s="41">
        <v>5243</v>
      </c>
      <c r="D4532" s="41" t="s">
        <v>45</v>
      </c>
      <c r="E4532" s="41" t="s">
        <v>1298</v>
      </c>
      <c r="F4532" s="41" t="s">
        <v>4485</v>
      </c>
      <c r="G4532" s="41" t="s">
        <v>13857</v>
      </c>
      <c r="H4532" s="41" t="s">
        <v>13858</v>
      </c>
      <c r="I4532" s="43">
        <v>12</v>
      </c>
      <c r="J4532" s="44" t="str">
        <f>VLOOKUP(G4532,[1]硬件清单!$F:$F,1,0)</f>
        <v>FCH2141V1X6</v>
      </c>
      <c r="K4532" s="43"/>
      <c r="L4532" s="44"/>
      <c r="M4532" s="45" t="s">
        <v>13859</v>
      </c>
    </row>
    <row r="4533" ht="30" customHeight="1" spans="1:13">
      <c r="A4533" s="41">
        <f>IF(C4533="","",SUBTOTAL(103,$C$2:C4533))</f>
        <v>4524</v>
      </c>
      <c r="B4533" s="41">
        <v>2813</v>
      </c>
      <c r="C4533" s="41">
        <v>5242</v>
      </c>
      <c r="D4533" s="41" t="s">
        <v>45</v>
      </c>
      <c r="E4533" s="41" t="s">
        <v>1298</v>
      </c>
      <c r="F4533" s="41" t="s">
        <v>4485</v>
      </c>
      <c r="G4533" s="41" t="s">
        <v>13860</v>
      </c>
      <c r="H4533" s="41" t="s">
        <v>13861</v>
      </c>
      <c r="I4533" s="43">
        <v>12</v>
      </c>
      <c r="J4533" s="44" t="str">
        <f>VLOOKUP(G4533,[1]硬件清单!$F:$F,1,0)</f>
        <v>FCH2141V1WX</v>
      </c>
      <c r="K4533" s="43"/>
      <c r="L4533" s="44"/>
      <c r="M4533" s="45" t="s">
        <v>13862</v>
      </c>
    </row>
    <row r="4534" ht="30" customHeight="1" spans="1:13">
      <c r="A4534" s="41">
        <f>IF(C4534="","",SUBTOTAL(103,$C$2:C4534))</f>
        <v>4525</v>
      </c>
      <c r="B4534" s="41">
        <v>2814</v>
      </c>
      <c r="C4534" s="41">
        <v>4233</v>
      </c>
      <c r="D4534" s="41" t="s">
        <v>45</v>
      </c>
      <c r="E4534" s="41" t="s">
        <v>1298</v>
      </c>
      <c r="F4534" s="41" t="s">
        <v>11889</v>
      </c>
      <c r="G4534" s="41" t="s">
        <v>13863</v>
      </c>
      <c r="H4534" s="41" t="s">
        <v>13864</v>
      </c>
      <c r="I4534" s="43">
        <v>12</v>
      </c>
      <c r="J4534" s="44" t="str">
        <f>VLOOKUP(G4534,[1]硬件清单!$F:$F,1,0)</f>
        <v>2102300742N0H9000547/210230102810HA000022</v>
      </c>
      <c r="K4534" s="43"/>
      <c r="L4534" s="44"/>
      <c r="M4534" s="45" t="s">
        <v>13865</v>
      </c>
    </row>
    <row r="4535" ht="30" customHeight="1" spans="1:13">
      <c r="A4535" s="41">
        <f>IF(C4535="","",SUBTOTAL(103,$C$2:C4535))</f>
        <v>4526</v>
      </c>
      <c r="B4535" s="41">
        <v>2815</v>
      </c>
      <c r="C4535" s="41">
        <v>3841</v>
      </c>
      <c r="D4535" s="41" t="s">
        <v>45</v>
      </c>
      <c r="E4535" s="41" t="s">
        <v>1298</v>
      </c>
      <c r="F4535" s="41" t="s">
        <v>11893</v>
      </c>
      <c r="G4535" s="41" t="s">
        <v>13866</v>
      </c>
      <c r="H4535" s="41" t="s">
        <v>13867</v>
      </c>
      <c r="I4535" s="43">
        <v>12</v>
      </c>
      <c r="J4535" s="44" t="str">
        <f>VLOOKUP(G4535,[1]硬件清单!$F:$F,1,0)</f>
        <v>210305756810HA000764</v>
      </c>
      <c r="K4535" s="43"/>
      <c r="L4535" s="44"/>
      <c r="M4535" s="45" t="s">
        <v>13868</v>
      </c>
    </row>
    <row r="4536" ht="30" customHeight="1" spans="1:13">
      <c r="A4536" s="41">
        <f>IF(C4536="","",SUBTOTAL(103,$C$2:C4536))</f>
        <v>4527</v>
      </c>
      <c r="B4536" s="41">
        <v>2816</v>
      </c>
      <c r="C4536" s="41">
        <v>3850</v>
      </c>
      <c r="D4536" s="41" t="s">
        <v>45</v>
      </c>
      <c r="E4536" s="41" t="s">
        <v>1298</v>
      </c>
      <c r="F4536" s="41" t="s">
        <v>11893</v>
      </c>
      <c r="G4536" s="41" t="s">
        <v>13869</v>
      </c>
      <c r="H4536" s="41" t="s">
        <v>13870</v>
      </c>
      <c r="I4536" s="43">
        <v>12</v>
      </c>
      <c r="J4536" s="44" t="str">
        <f>VLOOKUP(G4536,[1]硬件清单!$F:$F,1,0)</f>
        <v>210305756810HA000746</v>
      </c>
      <c r="K4536" s="43"/>
      <c r="L4536" s="44"/>
      <c r="M4536" s="45" t="s">
        <v>13871</v>
      </c>
    </row>
    <row r="4537" ht="30" customHeight="1" spans="1:13">
      <c r="A4537" s="41">
        <f>IF(C4537="","",SUBTOTAL(103,$C$2:C4537))</f>
        <v>4528</v>
      </c>
      <c r="B4537" s="41">
        <v>2817</v>
      </c>
      <c r="C4537" s="41">
        <v>3851</v>
      </c>
      <c r="D4537" s="41" t="s">
        <v>45</v>
      </c>
      <c r="E4537" s="41" t="s">
        <v>1298</v>
      </c>
      <c r="F4537" s="41" t="s">
        <v>11893</v>
      </c>
      <c r="G4537" s="41" t="s">
        <v>13872</v>
      </c>
      <c r="H4537" s="41" t="s">
        <v>13873</v>
      </c>
      <c r="I4537" s="43">
        <v>12</v>
      </c>
      <c r="J4537" s="44" t="str">
        <f>VLOOKUP(G4537,[1]硬件清单!$F:$F,1,0)</f>
        <v>210305756810HA000919</v>
      </c>
      <c r="K4537" s="43"/>
      <c r="L4537" s="44"/>
      <c r="M4537" s="45" t="s">
        <v>13874</v>
      </c>
    </row>
    <row r="4538" ht="30" customHeight="1" spans="1:13">
      <c r="A4538" s="41">
        <f>IF(C4538="","",SUBTOTAL(103,$C$2:C4538))</f>
        <v>4529</v>
      </c>
      <c r="B4538" s="41">
        <v>2818</v>
      </c>
      <c r="C4538" s="41">
        <v>3852</v>
      </c>
      <c r="D4538" s="41" t="s">
        <v>45</v>
      </c>
      <c r="E4538" s="41" t="s">
        <v>1298</v>
      </c>
      <c r="F4538" s="41" t="s">
        <v>11893</v>
      </c>
      <c r="G4538" s="41" t="s">
        <v>13875</v>
      </c>
      <c r="H4538" s="41" t="s">
        <v>13876</v>
      </c>
      <c r="I4538" s="43">
        <v>12</v>
      </c>
      <c r="J4538" s="44" t="str">
        <f>VLOOKUP(G4538,[1]硬件清单!$F:$F,1,0)</f>
        <v>210305756810HA000938</v>
      </c>
      <c r="K4538" s="43"/>
      <c r="L4538" s="44"/>
      <c r="M4538" s="45" t="s">
        <v>13877</v>
      </c>
    </row>
    <row r="4539" ht="30" customHeight="1" spans="1:13">
      <c r="A4539" s="41">
        <f>IF(C4539="","",SUBTOTAL(103,$C$2:C4539))</f>
        <v>4530</v>
      </c>
      <c r="B4539" s="41">
        <v>2819</v>
      </c>
      <c r="C4539" s="41">
        <v>3853</v>
      </c>
      <c r="D4539" s="41" t="s">
        <v>45</v>
      </c>
      <c r="E4539" s="41" t="s">
        <v>1298</v>
      </c>
      <c r="F4539" s="41" t="s">
        <v>11893</v>
      </c>
      <c r="G4539" s="41" t="s">
        <v>13878</v>
      </c>
      <c r="H4539" s="41" t="s">
        <v>13879</v>
      </c>
      <c r="I4539" s="43">
        <v>12</v>
      </c>
      <c r="J4539" s="44" t="str">
        <f>VLOOKUP(G4539,[1]硬件清单!$F:$F,1,0)</f>
        <v>210305756810HA000910</v>
      </c>
      <c r="K4539" s="43"/>
      <c r="L4539" s="44"/>
      <c r="M4539" s="45" t="s">
        <v>13880</v>
      </c>
    </row>
    <row r="4540" ht="30" customHeight="1" spans="1:13">
      <c r="A4540" s="41">
        <f>IF(C4540="","",SUBTOTAL(103,$C$2:C4540))</f>
        <v>4531</v>
      </c>
      <c r="B4540" s="41">
        <v>2820</v>
      </c>
      <c r="C4540" s="41">
        <v>3854</v>
      </c>
      <c r="D4540" s="41" t="s">
        <v>45</v>
      </c>
      <c r="E4540" s="41" t="s">
        <v>1298</v>
      </c>
      <c r="F4540" s="41" t="s">
        <v>11893</v>
      </c>
      <c r="G4540" s="41" t="s">
        <v>13881</v>
      </c>
      <c r="H4540" s="41" t="s">
        <v>13882</v>
      </c>
      <c r="I4540" s="43">
        <v>12</v>
      </c>
      <c r="J4540" s="44" t="str">
        <f>VLOOKUP(G4540,[1]硬件清单!$F:$F,1,0)</f>
        <v>210305756810HA001061</v>
      </c>
      <c r="K4540" s="43"/>
      <c r="L4540" s="44"/>
      <c r="M4540" s="45" t="s">
        <v>13883</v>
      </c>
    </row>
    <row r="4541" ht="30" customHeight="1" spans="1:13">
      <c r="A4541" s="41">
        <f>IF(C4541="","",SUBTOTAL(103,$C$2:C4541))</f>
        <v>4532</v>
      </c>
      <c r="B4541" s="41">
        <v>2821</v>
      </c>
      <c r="C4541" s="41">
        <v>3855</v>
      </c>
      <c r="D4541" s="41" t="s">
        <v>45</v>
      </c>
      <c r="E4541" s="41" t="s">
        <v>1298</v>
      </c>
      <c r="F4541" s="41" t="s">
        <v>11893</v>
      </c>
      <c r="G4541" s="41" t="s">
        <v>13884</v>
      </c>
      <c r="H4541" s="41" t="s">
        <v>13885</v>
      </c>
      <c r="I4541" s="43">
        <v>12</v>
      </c>
      <c r="J4541" s="44" t="str">
        <f>VLOOKUP(G4541,[1]硬件清单!$F:$F,1,0)</f>
        <v>210305756810HA000901</v>
      </c>
      <c r="K4541" s="43"/>
      <c r="L4541" s="44"/>
      <c r="M4541" s="45" t="s">
        <v>13886</v>
      </c>
    </row>
    <row r="4542" ht="30" customHeight="1" spans="1:13">
      <c r="A4542" s="41">
        <f>IF(C4542="","",SUBTOTAL(103,$C$2:C4542))</f>
        <v>4533</v>
      </c>
      <c r="B4542" s="41">
        <v>2822</v>
      </c>
      <c r="C4542" s="41">
        <v>3856</v>
      </c>
      <c r="D4542" s="41" t="s">
        <v>45</v>
      </c>
      <c r="E4542" s="41" t="s">
        <v>1298</v>
      </c>
      <c r="F4542" s="41" t="s">
        <v>11893</v>
      </c>
      <c r="G4542" s="41" t="s">
        <v>13887</v>
      </c>
      <c r="H4542" s="41" t="s">
        <v>13888</v>
      </c>
      <c r="I4542" s="43">
        <v>12</v>
      </c>
      <c r="J4542" s="44" t="str">
        <f>VLOOKUP(G4542,[1]硬件清单!$F:$F,1,0)</f>
        <v>210305756810HA000908</v>
      </c>
      <c r="K4542" s="43"/>
      <c r="L4542" s="44"/>
      <c r="M4542" s="45" t="s">
        <v>13889</v>
      </c>
    </row>
    <row r="4543" ht="30" customHeight="1" spans="1:13">
      <c r="A4543" s="41">
        <f>IF(C4543="","",SUBTOTAL(103,$C$2:C4543))</f>
        <v>4534</v>
      </c>
      <c r="B4543" s="41">
        <v>2823</v>
      </c>
      <c r="C4543" s="41">
        <v>3842</v>
      </c>
      <c r="D4543" s="41" t="s">
        <v>45</v>
      </c>
      <c r="E4543" s="41" t="s">
        <v>1298</v>
      </c>
      <c r="F4543" s="41" t="s">
        <v>11893</v>
      </c>
      <c r="G4543" s="41" t="s">
        <v>13890</v>
      </c>
      <c r="H4543" s="41" t="s">
        <v>13891</v>
      </c>
      <c r="I4543" s="43">
        <v>12</v>
      </c>
      <c r="J4543" s="44" t="str">
        <f>VLOOKUP(G4543,[1]硬件清单!$F:$F,1,0)</f>
        <v>210305756810HA000928</v>
      </c>
      <c r="K4543" s="43"/>
      <c r="L4543" s="44"/>
      <c r="M4543" s="45" t="s">
        <v>13892</v>
      </c>
    </row>
    <row r="4544" ht="30" customHeight="1" spans="1:13">
      <c r="A4544" s="41">
        <f>IF(C4544="","",SUBTOTAL(103,$C$2:C4544))</f>
        <v>4535</v>
      </c>
      <c r="B4544" s="41">
        <v>2824</v>
      </c>
      <c r="C4544" s="41">
        <v>3843</v>
      </c>
      <c r="D4544" s="41" t="s">
        <v>45</v>
      </c>
      <c r="E4544" s="41" t="s">
        <v>1298</v>
      </c>
      <c r="F4544" s="41" t="s">
        <v>11893</v>
      </c>
      <c r="G4544" s="41" t="s">
        <v>13893</v>
      </c>
      <c r="H4544" s="41" t="s">
        <v>13894</v>
      </c>
      <c r="I4544" s="43">
        <v>12</v>
      </c>
      <c r="J4544" s="44" t="str">
        <f>VLOOKUP(G4544,[1]硬件清单!$F:$F,1,0)</f>
        <v>210305756810HA001062</v>
      </c>
      <c r="K4544" s="43"/>
      <c r="L4544" s="44"/>
      <c r="M4544" s="45" t="s">
        <v>13895</v>
      </c>
    </row>
    <row r="4545" ht="30" customHeight="1" spans="1:13">
      <c r="A4545" s="41">
        <f>IF(C4545="","",SUBTOTAL(103,$C$2:C4545))</f>
        <v>4536</v>
      </c>
      <c r="B4545" s="41">
        <v>2825</v>
      </c>
      <c r="C4545" s="41">
        <v>3844</v>
      </c>
      <c r="D4545" s="41" t="s">
        <v>45</v>
      </c>
      <c r="E4545" s="41" t="s">
        <v>1298</v>
      </c>
      <c r="F4545" s="41" t="s">
        <v>11893</v>
      </c>
      <c r="G4545" s="41" t="s">
        <v>13896</v>
      </c>
      <c r="H4545" s="41" t="s">
        <v>13897</v>
      </c>
      <c r="I4545" s="43">
        <v>12</v>
      </c>
      <c r="J4545" s="44" t="str">
        <f>VLOOKUP(G4545,[1]硬件清单!$F:$F,1,0)</f>
        <v>210305756810HA000912</v>
      </c>
      <c r="K4545" s="43"/>
      <c r="L4545" s="44"/>
      <c r="M4545" s="45" t="s">
        <v>13898</v>
      </c>
    </row>
    <row r="4546" s="26" customFormat="1" ht="30" customHeight="1" spans="1:13">
      <c r="A4546" s="41">
        <f>IF(C4546="","",SUBTOTAL(103,$C$2:C4546))</f>
        <v>4537</v>
      </c>
      <c r="B4546" s="41">
        <v>2826</v>
      </c>
      <c r="C4546" s="41">
        <v>3845</v>
      </c>
      <c r="D4546" s="41" t="s">
        <v>45</v>
      </c>
      <c r="E4546" s="41" t="s">
        <v>1298</v>
      </c>
      <c r="F4546" s="41" t="s">
        <v>11893</v>
      </c>
      <c r="G4546" s="41" t="s">
        <v>13899</v>
      </c>
      <c r="H4546" s="41" t="s">
        <v>13900</v>
      </c>
      <c r="I4546" s="43">
        <v>12</v>
      </c>
      <c r="J4546" s="44" t="str">
        <f>VLOOKUP(G4546,[1]硬件清单!$F:$F,1,0)</f>
        <v>210305756810HA000866</v>
      </c>
      <c r="K4546" s="43"/>
      <c r="L4546" s="44"/>
      <c r="M4546" s="45" t="s">
        <v>13901</v>
      </c>
    </row>
    <row r="4547" s="26" customFormat="1" ht="30" customHeight="1" spans="1:13">
      <c r="A4547" s="41">
        <f>IF(C4547="","",SUBTOTAL(103,$C$2:C4547))</f>
        <v>4538</v>
      </c>
      <c r="B4547" s="41">
        <v>2827</v>
      </c>
      <c r="C4547" s="41">
        <v>3846</v>
      </c>
      <c r="D4547" s="41" t="s">
        <v>45</v>
      </c>
      <c r="E4547" s="41" t="s">
        <v>1298</v>
      </c>
      <c r="F4547" s="41" t="s">
        <v>11893</v>
      </c>
      <c r="G4547" s="41" t="s">
        <v>13902</v>
      </c>
      <c r="H4547" s="41" t="s">
        <v>13903</v>
      </c>
      <c r="I4547" s="43">
        <v>12</v>
      </c>
      <c r="J4547" s="44" t="str">
        <f>VLOOKUP(G4547,[1]硬件清单!$F:$F,1,0)</f>
        <v>210305756810HA001113</v>
      </c>
      <c r="K4547" s="43"/>
      <c r="L4547" s="44"/>
      <c r="M4547" s="45" t="s">
        <v>13904</v>
      </c>
    </row>
    <row r="4548" s="26" customFormat="1" ht="30" customHeight="1" spans="1:13">
      <c r="A4548" s="41">
        <f>IF(C4548="","",SUBTOTAL(103,$C$2:C4548))</f>
        <v>4539</v>
      </c>
      <c r="B4548" s="41">
        <v>2828</v>
      </c>
      <c r="C4548" s="41">
        <v>3847</v>
      </c>
      <c r="D4548" s="41" t="s">
        <v>45</v>
      </c>
      <c r="E4548" s="41" t="s">
        <v>1298</v>
      </c>
      <c r="F4548" s="41" t="s">
        <v>11893</v>
      </c>
      <c r="G4548" s="41" t="s">
        <v>13905</v>
      </c>
      <c r="H4548" s="41" t="s">
        <v>13906</v>
      </c>
      <c r="I4548" s="43">
        <v>12</v>
      </c>
      <c r="J4548" s="44" t="str">
        <f>VLOOKUP(G4548,[1]硬件清单!$F:$F,1,0)</f>
        <v>210305756810HA001104</v>
      </c>
      <c r="K4548" s="43"/>
      <c r="L4548" s="44"/>
      <c r="M4548" s="45" t="s">
        <v>13907</v>
      </c>
    </row>
    <row r="4549" s="26" customFormat="1" ht="30" customHeight="1" spans="1:13">
      <c r="A4549" s="41">
        <f>IF(C4549="","",SUBTOTAL(103,$C$2:C4549))</f>
        <v>4540</v>
      </c>
      <c r="B4549" s="41">
        <v>2829</v>
      </c>
      <c r="C4549" s="41">
        <v>3848</v>
      </c>
      <c r="D4549" s="41" t="s">
        <v>45</v>
      </c>
      <c r="E4549" s="41" t="s">
        <v>1298</v>
      </c>
      <c r="F4549" s="41" t="s">
        <v>11893</v>
      </c>
      <c r="G4549" s="41" t="s">
        <v>13908</v>
      </c>
      <c r="H4549" s="41" t="s">
        <v>13909</v>
      </c>
      <c r="I4549" s="43">
        <v>12</v>
      </c>
      <c r="J4549" s="44" t="str">
        <f>VLOOKUP(G4549,[1]硬件清单!$F:$F,1,0)</f>
        <v>210305756810HA000922</v>
      </c>
      <c r="K4549" s="43"/>
      <c r="L4549" s="44"/>
      <c r="M4549" s="45" t="s">
        <v>13910</v>
      </c>
    </row>
    <row r="4550" s="26" customFormat="1" ht="30" customHeight="1" spans="1:13">
      <c r="A4550" s="41">
        <f>IF(C4550="","",SUBTOTAL(103,$C$2:C4550))</f>
        <v>4541</v>
      </c>
      <c r="B4550" s="41">
        <v>2830</v>
      </c>
      <c r="C4550" s="41">
        <v>3849</v>
      </c>
      <c r="D4550" s="41" t="s">
        <v>45</v>
      </c>
      <c r="E4550" s="41" t="s">
        <v>1298</v>
      </c>
      <c r="F4550" s="41" t="s">
        <v>11893</v>
      </c>
      <c r="G4550" s="41" t="s">
        <v>13911</v>
      </c>
      <c r="H4550" s="41" t="s">
        <v>13912</v>
      </c>
      <c r="I4550" s="43">
        <v>12</v>
      </c>
      <c r="J4550" s="44" t="str">
        <f>VLOOKUP(G4550,[1]硬件清单!$F:$F,1,0)</f>
        <v>210305756810HA000750</v>
      </c>
      <c r="K4550" s="43"/>
      <c r="L4550" s="44"/>
      <c r="M4550" s="45" t="s">
        <v>13913</v>
      </c>
    </row>
    <row r="4551" s="26" customFormat="1" ht="46" customHeight="1" spans="1:13">
      <c r="A4551" s="41">
        <f>IF(C4551="","",SUBTOTAL(103,$C$2:C4551))</f>
        <v>4542</v>
      </c>
      <c r="B4551" s="41">
        <v>2831</v>
      </c>
      <c r="C4551" s="41">
        <v>4232</v>
      </c>
      <c r="D4551" s="41" t="s">
        <v>45</v>
      </c>
      <c r="E4551" s="41" t="s">
        <v>1298</v>
      </c>
      <c r="F4551" s="41" t="s">
        <v>11889</v>
      </c>
      <c r="G4551" s="41" t="s">
        <v>13914</v>
      </c>
      <c r="H4551" s="41" t="s">
        <v>13915</v>
      </c>
      <c r="I4551" s="43">
        <v>12</v>
      </c>
      <c r="J4551" s="44" t="str">
        <f>VLOOKUP(G4551,[1]硬件清单!$F:$F,1,0)</f>
        <v>2102300742N0H9000507/210230102810HA000021</v>
      </c>
      <c r="K4551" s="43"/>
      <c r="L4551" s="44"/>
      <c r="M4551" s="45" t="s">
        <v>13916</v>
      </c>
    </row>
    <row r="4552" s="26" customFormat="1" ht="30" customHeight="1" spans="1:13">
      <c r="A4552" s="41">
        <f>IF(C4552="","",SUBTOTAL(103,$C$2:C4552))</f>
        <v>4543</v>
      </c>
      <c r="B4552" s="41">
        <v>2832</v>
      </c>
      <c r="C4552" s="41">
        <v>3857</v>
      </c>
      <c r="D4552" s="41" t="s">
        <v>45</v>
      </c>
      <c r="E4552" s="41" t="s">
        <v>1298</v>
      </c>
      <c r="F4552" s="41" t="s">
        <v>11893</v>
      </c>
      <c r="G4552" s="41" t="s">
        <v>13917</v>
      </c>
      <c r="H4552" s="41" t="s">
        <v>13918</v>
      </c>
      <c r="I4552" s="43">
        <v>12</v>
      </c>
      <c r="J4552" s="44" t="str">
        <f>VLOOKUP(G4552,[1]硬件清单!$F:$F,1,0)</f>
        <v>210305756810HA000875</v>
      </c>
      <c r="K4552" s="43"/>
      <c r="L4552" s="44"/>
      <c r="M4552" s="45" t="s">
        <v>13919</v>
      </c>
    </row>
    <row r="4553" s="26" customFormat="1" ht="30" customHeight="1" spans="1:13">
      <c r="A4553" s="41">
        <f>IF(C4553="","",SUBTOTAL(103,$C$2:C4553))</f>
        <v>4544</v>
      </c>
      <c r="B4553" s="41">
        <v>2833</v>
      </c>
      <c r="C4553" s="41">
        <v>3866</v>
      </c>
      <c r="D4553" s="41" t="s">
        <v>45</v>
      </c>
      <c r="E4553" s="41" t="s">
        <v>1298</v>
      </c>
      <c r="F4553" s="41" t="s">
        <v>11893</v>
      </c>
      <c r="G4553" s="41" t="s">
        <v>13920</v>
      </c>
      <c r="H4553" s="41" t="s">
        <v>13921</v>
      </c>
      <c r="I4553" s="43">
        <v>12</v>
      </c>
      <c r="J4553" s="44" t="str">
        <f>VLOOKUP(G4553,[1]硬件清单!$F:$F,1,0)</f>
        <v>210305756810HA000850</v>
      </c>
      <c r="K4553" s="43"/>
      <c r="L4553" s="44"/>
      <c r="M4553" s="45" t="s">
        <v>13922</v>
      </c>
    </row>
    <row r="4554" s="26" customFormat="1" ht="30" customHeight="1" spans="1:13">
      <c r="A4554" s="41">
        <f>IF(C4554="","",SUBTOTAL(103,$C$2:C4554))</f>
        <v>4545</v>
      </c>
      <c r="B4554" s="41">
        <v>2834</v>
      </c>
      <c r="C4554" s="41">
        <v>3867</v>
      </c>
      <c r="D4554" s="41" t="s">
        <v>45</v>
      </c>
      <c r="E4554" s="41" t="s">
        <v>1298</v>
      </c>
      <c r="F4554" s="41" t="s">
        <v>11893</v>
      </c>
      <c r="G4554" s="41" t="s">
        <v>13923</v>
      </c>
      <c r="H4554" s="41" t="s">
        <v>13924</v>
      </c>
      <c r="I4554" s="43">
        <v>12</v>
      </c>
      <c r="J4554" s="44" t="str">
        <f>VLOOKUP(G4554,[1]硬件清单!$F:$F,1,0)</f>
        <v>210305756810HA001163</v>
      </c>
      <c r="K4554" s="43"/>
      <c r="L4554" s="44"/>
      <c r="M4554" s="45" t="s">
        <v>13925</v>
      </c>
    </row>
    <row r="4555" s="26" customFormat="1" ht="30" customHeight="1" spans="1:13">
      <c r="A4555" s="41">
        <f>IF(C4555="","",SUBTOTAL(103,$C$2:C4555))</f>
        <v>4546</v>
      </c>
      <c r="B4555" s="41">
        <v>2835</v>
      </c>
      <c r="C4555" s="41">
        <v>3868</v>
      </c>
      <c r="D4555" s="41" t="s">
        <v>45</v>
      </c>
      <c r="E4555" s="41" t="s">
        <v>1298</v>
      </c>
      <c r="F4555" s="41" t="s">
        <v>11893</v>
      </c>
      <c r="G4555" s="41" t="s">
        <v>13926</v>
      </c>
      <c r="H4555" s="41" t="s">
        <v>13927</v>
      </c>
      <c r="I4555" s="43">
        <v>12</v>
      </c>
      <c r="J4555" s="44" t="str">
        <f>VLOOKUP(G4555,[1]硬件清单!$F:$F,1,0)</f>
        <v>210305756810HA000852</v>
      </c>
      <c r="K4555" s="43"/>
      <c r="L4555" s="44"/>
      <c r="M4555" s="45" t="s">
        <v>13928</v>
      </c>
    </row>
    <row r="4556" s="26" customFormat="1" ht="30" customHeight="1" spans="1:13">
      <c r="A4556" s="41">
        <f>IF(C4556="","",SUBTOTAL(103,$C$2:C4556))</f>
        <v>4547</v>
      </c>
      <c r="B4556" s="41">
        <v>2836</v>
      </c>
      <c r="C4556" s="41">
        <v>3869</v>
      </c>
      <c r="D4556" s="41" t="s">
        <v>45</v>
      </c>
      <c r="E4556" s="41" t="s">
        <v>1298</v>
      </c>
      <c r="F4556" s="41" t="s">
        <v>11893</v>
      </c>
      <c r="G4556" s="41" t="s">
        <v>13929</v>
      </c>
      <c r="H4556" s="41" t="s">
        <v>13930</v>
      </c>
      <c r="I4556" s="43">
        <v>12</v>
      </c>
      <c r="J4556" s="44" t="str">
        <f>VLOOKUP(G4556,[1]硬件清单!$F:$F,1,0)</f>
        <v>210305756810HA000882</v>
      </c>
      <c r="K4556" s="43"/>
      <c r="L4556" s="44"/>
      <c r="M4556" s="45" t="s">
        <v>13931</v>
      </c>
    </row>
    <row r="4557" s="26" customFormat="1" ht="30" customHeight="1" spans="1:13">
      <c r="A4557" s="41">
        <f>IF(C4557="","",SUBTOTAL(103,$C$2:C4557))</f>
        <v>4548</v>
      </c>
      <c r="B4557" s="41">
        <v>2837</v>
      </c>
      <c r="C4557" s="41">
        <v>3870</v>
      </c>
      <c r="D4557" s="41" t="s">
        <v>45</v>
      </c>
      <c r="E4557" s="41" t="s">
        <v>1298</v>
      </c>
      <c r="F4557" s="41" t="s">
        <v>11893</v>
      </c>
      <c r="G4557" s="41" t="s">
        <v>13932</v>
      </c>
      <c r="H4557" s="41" t="s">
        <v>13933</v>
      </c>
      <c r="I4557" s="43">
        <v>12</v>
      </c>
      <c r="J4557" s="44" t="str">
        <f>VLOOKUP(G4557,[1]硬件清单!$F:$F,1,0)</f>
        <v>210305756810HA001077</v>
      </c>
      <c r="K4557" s="43"/>
      <c r="L4557" s="44"/>
      <c r="M4557" s="45" t="s">
        <v>13934</v>
      </c>
    </row>
    <row r="4558" s="26" customFormat="1" ht="30" customHeight="1" spans="1:13">
      <c r="A4558" s="41">
        <f>IF(C4558="","",SUBTOTAL(103,$C$2:C4558))</f>
        <v>4549</v>
      </c>
      <c r="B4558" s="41">
        <v>2838</v>
      </c>
      <c r="C4558" s="41">
        <v>3871</v>
      </c>
      <c r="D4558" s="41" t="s">
        <v>45</v>
      </c>
      <c r="E4558" s="41" t="s">
        <v>1298</v>
      </c>
      <c r="F4558" s="41" t="s">
        <v>11893</v>
      </c>
      <c r="G4558" s="41" t="s">
        <v>13935</v>
      </c>
      <c r="H4558" s="41" t="s">
        <v>13936</v>
      </c>
      <c r="I4558" s="43">
        <v>12</v>
      </c>
      <c r="J4558" s="44" t="str">
        <f>VLOOKUP(G4558,[1]硬件清单!$F:$F,1,0)</f>
        <v>210305756810HA001080</v>
      </c>
      <c r="K4558" s="43"/>
      <c r="L4558" s="44"/>
      <c r="M4558" s="45" t="s">
        <v>13937</v>
      </c>
    </row>
    <row r="4559" s="26" customFormat="1" ht="30" customHeight="1" spans="1:13">
      <c r="A4559" s="41">
        <f>IF(C4559="","",SUBTOTAL(103,$C$2:C4559))</f>
        <v>4550</v>
      </c>
      <c r="B4559" s="41">
        <v>2839</v>
      </c>
      <c r="C4559" s="41">
        <v>3872</v>
      </c>
      <c r="D4559" s="41" t="s">
        <v>45</v>
      </c>
      <c r="E4559" s="41" t="s">
        <v>1298</v>
      </c>
      <c r="F4559" s="41" t="s">
        <v>11893</v>
      </c>
      <c r="G4559" s="41" t="s">
        <v>13938</v>
      </c>
      <c r="H4559" s="41" t="s">
        <v>13939</v>
      </c>
      <c r="I4559" s="43">
        <v>12</v>
      </c>
      <c r="J4559" s="44" t="str">
        <f>VLOOKUP(G4559,[1]硬件清单!$F:$F,1,0)</f>
        <v>210305756810HA000856</v>
      </c>
      <c r="K4559" s="43"/>
      <c r="L4559" s="44"/>
      <c r="M4559" s="45" t="s">
        <v>13940</v>
      </c>
    </row>
    <row r="4560" s="26" customFormat="1" ht="30" customHeight="1" spans="1:13">
      <c r="A4560" s="41">
        <f>IF(C4560="","",SUBTOTAL(103,$C$2:C4560))</f>
        <v>4551</v>
      </c>
      <c r="B4560" s="41">
        <v>2840</v>
      </c>
      <c r="C4560" s="41">
        <v>3858</v>
      </c>
      <c r="D4560" s="41" t="s">
        <v>45</v>
      </c>
      <c r="E4560" s="41" t="s">
        <v>1298</v>
      </c>
      <c r="F4560" s="41" t="s">
        <v>11893</v>
      </c>
      <c r="G4560" s="41" t="s">
        <v>13941</v>
      </c>
      <c r="H4560" s="41" t="s">
        <v>13942</v>
      </c>
      <c r="I4560" s="43">
        <v>12</v>
      </c>
      <c r="J4560" s="44" t="str">
        <f>VLOOKUP(G4560,[1]硬件清单!$F:$F,1,0)</f>
        <v>210305756810HA000832</v>
      </c>
      <c r="K4560" s="43"/>
      <c r="L4560" s="44"/>
      <c r="M4560" s="45" t="s">
        <v>13943</v>
      </c>
    </row>
    <row r="4561" s="26" customFormat="1" ht="30" customHeight="1" spans="1:13">
      <c r="A4561" s="41">
        <f>IF(C4561="","",SUBTOTAL(103,$C$2:C4561))</f>
        <v>4552</v>
      </c>
      <c r="B4561" s="41">
        <v>2841</v>
      </c>
      <c r="C4561" s="41">
        <v>3859</v>
      </c>
      <c r="D4561" s="41" t="s">
        <v>45</v>
      </c>
      <c r="E4561" s="41" t="s">
        <v>1298</v>
      </c>
      <c r="F4561" s="41" t="s">
        <v>11893</v>
      </c>
      <c r="G4561" s="41" t="s">
        <v>13944</v>
      </c>
      <c r="H4561" s="41" t="s">
        <v>13945</v>
      </c>
      <c r="I4561" s="43">
        <v>12</v>
      </c>
      <c r="J4561" s="44" t="str">
        <f>VLOOKUP(G4561,[1]硬件清单!$F:$F,1,0)</f>
        <v>210305756810HA001181</v>
      </c>
      <c r="K4561" s="43"/>
      <c r="L4561" s="44"/>
      <c r="M4561" s="45" t="s">
        <v>13946</v>
      </c>
    </row>
    <row r="4562" s="26" customFormat="1" ht="30" customHeight="1" spans="1:13">
      <c r="A4562" s="41">
        <f>IF(C4562="","",SUBTOTAL(103,$C$2:C4562))</f>
        <v>4553</v>
      </c>
      <c r="B4562" s="41">
        <v>2842</v>
      </c>
      <c r="C4562" s="41">
        <v>3860</v>
      </c>
      <c r="D4562" s="41" t="s">
        <v>45</v>
      </c>
      <c r="E4562" s="41" t="s">
        <v>1298</v>
      </c>
      <c r="F4562" s="41" t="s">
        <v>11893</v>
      </c>
      <c r="G4562" s="41" t="s">
        <v>13947</v>
      </c>
      <c r="H4562" s="41" t="s">
        <v>13948</v>
      </c>
      <c r="I4562" s="43">
        <v>12</v>
      </c>
      <c r="J4562" s="44" t="str">
        <f>VLOOKUP(G4562,[1]硬件清单!$F:$F,1,0)</f>
        <v>210305756810HA000842</v>
      </c>
      <c r="K4562" s="43"/>
      <c r="L4562" s="44"/>
      <c r="M4562" s="45" t="s">
        <v>13949</v>
      </c>
    </row>
    <row r="4563" s="26" customFormat="1" ht="30" customHeight="1" spans="1:13">
      <c r="A4563" s="41">
        <f>IF(C4563="","",SUBTOTAL(103,$C$2:C4563))</f>
        <v>4554</v>
      </c>
      <c r="B4563" s="41">
        <v>2843</v>
      </c>
      <c r="C4563" s="41">
        <v>3861</v>
      </c>
      <c r="D4563" s="41" t="s">
        <v>45</v>
      </c>
      <c r="E4563" s="41" t="s">
        <v>1298</v>
      </c>
      <c r="F4563" s="41" t="s">
        <v>11893</v>
      </c>
      <c r="G4563" s="41" t="s">
        <v>13950</v>
      </c>
      <c r="H4563" s="41" t="s">
        <v>13951</v>
      </c>
      <c r="I4563" s="43">
        <v>12</v>
      </c>
      <c r="J4563" s="44" t="str">
        <f>VLOOKUP(G4563,[1]硬件清单!$F:$F,1,0)</f>
        <v>210305756810HA000864</v>
      </c>
      <c r="K4563" s="43"/>
      <c r="L4563" s="44"/>
      <c r="M4563" s="45" t="s">
        <v>13952</v>
      </c>
    </row>
    <row r="4564" s="26" customFormat="1" ht="30" customHeight="1" spans="1:13">
      <c r="A4564" s="41">
        <f>IF(C4564="","",SUBTOTAL(103,$C$2:C4564))</f>
        <v>4555</v>
      </c>
      <c r="B4564" s="41">
        <v>2844</v>
      </c>
      <c r="C4564" s="41">
        <v>3862</v>
      </c>
      <c r="D4564" s="41" t="s">
        <v>45</v>
      </c>
      <c r="E4564" s="41" t="s">
        <v>1298</v>
      </c>
      <c r="F4564" s="41" t="s">
        <v>11893</v>
      </c>
      <c r="G4564" s="41" t="s">
        <v>13953</v>
      </c>
      <c r="H4564" s="41" t="s">
        <v>13954</v>
      </c>
      <c r="I4564" s="43">
        <v>12</v>
      </c>
      <c r="J4564" s="44" t="str">
        <f>VLOOKUP(G4564,[1]硬件清单!$F:$F,1,0)</f>
        <v>210305756810HA000837</v>
      </c>
      <c r="K4564" s="43"/>
      <c r="L4564" s="44"/>
      <c r="M4564" s="45" t="s">
        <v>13955</v>
      </c>
    </row>
    <row r="4565" s="26" customFormat="1" ht="30" customHeight="1" spans="1:13">
      <c r="A4565" s="41">
        <f>IF(C4565="","",SUBTOTAL(103,$C$2:C4565))</f>
        <v>4556</v>
      </c>
      <c r="B4565" s="41">
        <v>2845</v>
      </c>
      <c r="C4565" s="41">
        <v>3863</v>
      </c>
      <c r="D4565" s="41" t="s">
        <v>45</v>
      </c>
      <c r="E4565" s="41" t="s">
        <v>1298</v>
      </c>
      <c r="F4565" s="41" t="s">
        <v>11893</v>
      </c>
      <c r="G4565" s="41" t="s">
        <v>13956</v>
      </c>
      <c r="H4565" s="41" t="s">
        <v>13957</v>
      </c>
      <c r="I4565" s="43">
        <v>12</v>
      </c>
      <c r="J4565" s="44" t="str">
        <f>VLOOKUP(G4565,[1]硬件清单!$F:$F,1,0)</f>
        <v>210305756810HA001142</v>
      </c>
      <c r="K4565" s="43"/>
      <c r="L4565" s="44"/>
      <c r="M4565" s="45" t="s">
        <v>13958</v>
      </c>
    </row>
    <row r="4566" s="26" customFormat="1" ht="30" customHeight="1" spans="1:13">
      <c r="A4566" s="41">
        <f>IF(C4566="","",SUBTOTAL(103,$C$2:C4566))</f>
        <v>4557</v>
      </c>
      <c r="B4566" s="41">
        <v>2846</v>
      </c>
      <c r="C4566" s="41">
        <v>3864</v>
      </c>
      <c r="D4566" s="41" t="s">
        <v>45</v>
      </c>
      <c r="E4566" s="41" t="s">
        <v>1298</v>
      </c>
      <c r="F4566" s="41" t="s">
        <v>11893</v>
      </c>
      <c r="G4566" s="41" t="s">
        <v>13959</v>
      </c>
      <c r="H4566" s="41" t="s">
        <v>13960</v>
      </c>
      <c r="I4566" s="43">
        <v>12</v>
      </c>
      <c r="J4566" s="44" t="str">
        <f>VLOOKUP(G4566,[1]硬件清单!$F:$F,1,0)</f>
        <v>210305756810HA000868</v>
      </c>
      <c r="K4566" s="43"/>
      <c r="L4566" s="44"/>
      <c r="M4566" s="45" t="s">
        <v>13961</v>
      </c>
    </row>
    <row r="4567" s="26" customFormat="1" ht="30" customHeight="1" spans="1:13">
      <c r="A4567" s="41">
        <f>IF(C4567="","",SUBTOTAL(103,$C$2:C4567))</f>
        <v>4558</v>
      </c>
      <c r="B4567" s="41">
        <v>2847</v>
      </c>
      <c r="C4567" s="41">
        <v>3865</v>
      </c>
      <c r="D4567" s="41" t="s">
        <v>45</v>
      </c>
      <c r="E4567" s="41" t="s">
        <v>1298</v>
      </c>
      <c r="F4567" s="41" t="s">
        <v>11893</v>
      </c>
      <c r="G4567" s="41" t="s">
        <v>13962</v>
      </c>
      <c r="H4567" s="41" t="s">
        <v>13963</v>
      </c>
      <c r="I4567" s="43">
        <v>12</v>
      </c>
      <c r="J4567" s="44" t="str">
        <f>VLOOKUP(G4567,[1]硬件清单!$F:$F,1,0)</f>
        <v>210305756810HA001126</v>
      </c>
      <c r="K4567" s="43"/>
      <c r="L4567" s="44"/>
      <c r="M4567" s="45" t="s">
        <v>13964</v>
      </c>
    </row>
    <row r="4568" s="26" customFormat="1" ht="30" customHeight="1" spans="1:13">
      <c r="A4568" s="41">
        <f>IF(C4568="","",SUBTOTAL(103,$C$2:C4568))</f>
        <v>4559</v>
      </c>
      <c r="B4568" s="41">
        <v>2848</v>
      </c>
      <c r="C4568" s="41">
        <v>4235</v>
      </c>
      <c r="D4568" s="41" t="s">
        <v>45</v>
      </c>
      <c r="E4568" s="41" t="s">
        <v>1298</v>
      </c>
      <c r="F4568" s="41" t="s">
        <v>11889</v>
      </c>
      <c r="G4568" s="41" t="s">
        <v>13965</v>
      </c>
      <c r="H4568" s="41" t="s">
        <v>13966</v>
      </c>
      <c r="I4568" s="43">
        <v>12</v>
      </c>
      <c r="J4568" s="44" t="str">
        <f>VLOOKUP(G4568,[1]硬件清单!$F:$F,1,0)</f>
        <v>2102300742N0H9000473/210230102810HA000061</v>
      </c>
      <c r="K4568" s="43"/>
      <c r="L4568" s="44"/>
      <c r="M4568" s="45" t="s">
        <v>13967</v>
      </c>
    </row>
    <row r="4569" s="26" customFormat="1" ht="30" customHeight="1" spans="1:13">
      <c r="A4569" s="41">
        <f>IF(C4569="","",SUBTOTAL(103,$C$2:C4569))</f>
        <v>4560</v>
      </c>
      <c r="B4569" s="41">
        <v>2849</v>
      </c>
      <c r="C4569" s="41">
        <v>3885</v>
      </c>
      <c r="D4569" s="41" t="s">
        <v>45</v>
      </c>
      <c r="E4569" s="41" t="s">
        <v>1298</v>
      </c>
      <c r="F4569" s="41" t="s">
        <v>11893</v>
      </c>
      <c r="G4569" s="41" t="s">
        <v>13968</v>
      </c>
      <c r="H4569" s="41" t="s">
        <v>13969</v>
      </c>
      <c r="I4569" s="43">
        <v>12</v>
      </c>
      <c r="J4569" s="44" t="str">
        <f>VLOOKUP(G4569,[1]硬件清单!$F:$F,1,0)</f>
        <v>210305756810HA000939</v>
      </c>
      <c r="K4569" s="43"/>
      <c r="L4569" s="44"/>
      <c r="M4569" s="45" t="s">
        <v>13970</v>
      </c>
    </row>
    <row r="4570" s="26" customFormat="1" ht="30" customHeight="1" spans="1:13">
      <c r="A4570" s="41">
        <f>IF(C4570="","",SUBTOTAL(103,$C$2:C4570))</f>
        <v>4561</v>
      </c>
      <c r="B4570" s="41">
        <v>2850</v>
      </c>
      <c r="C4570" s="41">
        <v>3976</v>
      </c>
      <c r="D4570" s="41" t="s">
        <v>45</v>
      </c>
      <c r="E4570" s="41" t="s">
        <v>1298</v>
      </c>
      <c r="F4570" s="41" t="s">
        <v>11893</v>
      </c>
      <c r="G4570" s="41" t="s">
        <v>13971</v>
      </c>
      <c r="H4570" s="41" t="s">
        <v>13972</v>
      </c>
      <c r="I4570" s="43">
        <v>12</v>
      </c>
      <c r="J4570" s="44" t="str">
        <f>VLOOKUP(G4570,[1]硬件清单!$F:$F,1,0)</f>
        <v>210305756810HA001095</v>
      </c>
      <c r="K4570" s="43"/>
      <c r="L4570" s="44"/>
      <c r="M4570" s="45" t="s">
        <v>13973</v>
      </c>
    </row>
    <row r="4571" s="26" customFormat="1" ht="30" customHeight="1" spans="1:13">
      <c r="A4571" s="41">
        <f>IF(C4571="","",SUBTOTAL(103,$C$2:C4571))</f>
        <v>4562</v>
      </c>
      <c r="B4571" s="41">
        <v>2851</v>
      </c>
      <c r="C4571" s="41">
        <v>4043</v>
      </c>
      <c r="D4571" s="41" t="s">
        <v>45</v>
      </c>
      <c r="E4571" s="41" t="s">
        <v>1298</v>
      </c>
      <c r="F4571" s="41" t="s">
        <v>11893</v>
      </c>
      <c r="G4571" s="41" t="s">
        <v>13974</v>
      </c>
      <c r="H4571" s="41" t="s">
        <v>13975</v>
      </c>
      <c r="I4571" s="43">
        <v>12</v>
      </c>
      <c r="J4571" s="44" t="str">
        <f>VLOOKUP(G4571,[1]硬件清单!$F:$F,1,0)</f>
        <v>210305756810HA000941</v>
      </c>
      <c r="K4571" s="43"/>
      <c r="L4571" s="44"/>
      <c r="M4571" s="45" t="s">
        <v>13976</v>
      </c>
    </row>
    <row r="4572" s="26" customFormat="1" ht="30" customHeight="1" spans="1:13">
      <c r="A4572" s="41">
        <f>IF(C4572="","",SUBTOTAL(103,$C$2:C4572))</f>
        <v>4563</v>
      </c>
      <c r="B4572" s="41">
        <v>2852</v>
      </c>
      <c r="C4572" s="41">
        <v>4044</v>
      </c>
      <c r="D4572" s="41" t="s">
        <v>45</v>
      </c>
      <c r="E4572" s="41" t="s">
        <v>1298</v>
      </c>
      <c r="F4572" s="41" t="s">
        <v>11893</v>
      </c>
      <c r="G4572" s="41" t="s">
        <v>13977</v>
      </c>
      <c r="H4572" s="41" t="s">
        <v>13978</v>
      </c>
      <c r="I4572" s="43">
        <v>12</v>
      </c>
      <c r="J4572" s="44" t="str">
        <f>VLOOKUP(G4572,[1]硬件清单!$F:$F,1,0)</f>
        <v>210305756810HA001098</v>
      </c>
      <c r="K4572" s="43"/>
      <c r="L4572" s="44"/>
      <c r="M4572" s="45" t="s">
        <v>13979</v>
      </c>
    </row>
    <row r="4573" s="26" customFormat="1" ht="30" customHeight="1" spans="1:13">
      <c r="A4573" s="41">
        <f>IF(C4573="","",SUBTOTAL(103,$C$2:C4573))</f>
        <v>4564</v>
      </c>
      <c r="B4573" s="41">
        <v>2853</v>
      </c>
      <c r="C4573" s="41">
        <v>4045</v>
      </c>
      <c r="D4573" s="41" t="s">
        <v>45</v>
      </c>
      <c r="E4573" s="41" t="s">
        <v>1298</v>
      </c>
      <c r="F4573" s="41" t="s">
        <v>11893</v>
      </c>
      <c r="G4573" s="41" t="s">
        <v>13980</v>
      </c>
      <c r="H4573" s="41" t="s">
        <v>13981</v>
      </c>
      <c r="I4573" s="43">
        <v>12</v>
      </c>
      <c r="J4573" s="44" t="str">
        <f>VLOOKUP(G4573,[1]硬件清单!$F:$F,1,0)</f>
        <v>210305756810HA000905</v>
      </c>
      <c r="K4573" s="43"/>
      <c r="L4573" s="44"/>
      <c r="M4573" s="45" t="s">
        <v>13982</v>
      </c>
    </row>
    <row r="4574" s="26" customFormat="1" ht="30" customHeight="1" spans="1:13">
      <c r="A4574" s="41">
        <f>IF(C4574="","",SUBTOTAL(103,$C$2:C4574))</f>
        <v>4565</v>
      </c>
      <c r="B4574" s="41">
        <v>2854</v>
      </c>
      <c r="C4574" s="41">
        <v>4046</v>
      </c>
      <c r="D4574" s="41" t="s">
        <v>45</v>
      </c>
      <c r="E4574" s="41" t="s">
        <v>1298</v>
      </c>
      <c r="F4574" s="41" t="s">
        <v>11893</v>
      </c>
      <c r="G4574" s="41" t="s">
        <v>13983</v>
      </c>
      <c r="H4574" s="41" t="s">
        <v>13984</v>
      </c>
      <c r="I4574" s="43">
        <v>12</v>
      </c>
      <c r="J4574" s="44" t="str">
        <f>VLOOKUP(G4574,[1]硬件清单!$F:$F,1,0)</f>
        <v>210305756810HA000924</v>
      </c>
      <c r="K4574" s="43"/>
      <c r="L4574" s="44"/>
      <c r="M4574" s="45" t="s">
        <v>13985</v>
      </c>
    </row>
    <row r="4575" s="26" customFormat="1" ht="30" customHeight="1" spans="1:13">
      <c r="A4575" s="41">
        <f>IF(C4575="","",SUBTOTAL(103,$C$2:C4575))</f>
        <v>4566</v>
      </c>
      <c r="B4575" s="41">
        <v>2855</v>
      </c>
      <c r="C4575" s="41">
        <v>4047</v>
      </c>
      <c r="D4575" s="41" t="s">
        <v>45</v>
      </c>
      <c r="E4575" s="41" t="s">
        <v>1298</v>
      </c>
      <c r="F4575" s="41" t="s">
        <v>11893</v>
      </c>
      <c r="G4575" s="41" t="s">
        <v>13986</v>
      </c>
      <c r="H4575" s="41" t="s">
        <v>13987</v>
      </c>
      <c r="I4575" s="43">
        <v>12</v>
      </c>
      <c r="J4575" s="44" t="str">
        <f>VLOOKUP(G4575,[1]硬件清单!$F:$F,1,0)</f>
        <v>210305756810HA001081</v>
      </c>
      <c r="K4575" s="43"/>
      <c r="L4575" s="44"/>
      <c r="M4575" s="45" t="s">
        <v>13988</v>
      </c>
    </row>
    <row r="4576" s="26" customFormat="1" ht="30" customHeight="1" spans="1:13">
      <c r="A4576" s="41">
        <f>IF(C4576="","",SUBTOTAL(103,$C$2:C4576))</f>
        <v>4567</v>
      </c>
      <c r="B4576" s="41">
        <v>2856</v>
      </c>
      <c r="C4576" s="41">
        <v>4048</v>
      </c>
      <c r="D4576" s="41" t="s">
        <v>45</v>
      </c>
      <c r="E4576" s="41" t="s">
        <v>1298</v>
      </c>
      <c r="F4576" s="41" t="s">
        <v>11893</v>
      </c>
      <c r="G4576" s="41" t="s">
        <v>13989</v>
      </c>
      <c r="H4576" s="41" t="s">
        <v>13990</v>
      </c>
      <c r="I4576" s="43">
        <v>12</v>
      </c>
      <c r="J4576" s="44" t="str">
        <f>VLOOKUP(G4576,[1]硬件清单!$F:$F,1,0)</f>
        <v>210305756810HA000916</v>
      </c>
      <c r="K4576" s="43"/>
      <c r="L4576" s="44"/>
      <c r="M4576" s="45" t="s">
        <v>13991</v>
      </c>
    </row>
    <row r="4577" s="26" customFormat="1" ht="30" customHeight="1" spans="1:13">
      <c r="A4577" s="41">
        <f>IF(C4577="","",SUBTOTAL(103,$C$2:C4577))</f>
        <v>4568</v>
      </c>
      <c r="B4577" s="41">
        <v>2857</v>
      </c>
      <c r="C4577" s="41">
        <v>3886</v>
      </c>
      <c r="D4577" s="41" t="s">
        <v>45</v>
      </c>
      <c r="E4577" s="41" t="s">
        <v>1298</v>
      </c>
      <c r="F4577" s="41" t="s">
        <v>11893</v>
      </c>
      <c r="G4577" s="41" t="s">
        <v>13992</v>
      </c>
      <c r="H4577" s="41" t="s">
        <v>13993</v>
      </c>
      <c r="I4577" s="43">
        <v>12</v>
      </c>
      <c r="J4577" s="44" t="str">
        <f>VLOOKUP(G4577,[1]硬件清单!$F:$F,1,0)</f>
        <v>210305756810HA000897</v>
      </c>
      <c r="K4577" s="43"/>
      <c r="L4577" s="44"/>
      <c r="M4577" s="45" t="s">
        <v>13994</v>
      </c>
    </row>
    <row r="4578" s="26" customFormat="1" ht="30" customHeight="1" spans="1:13">
      <c r="A4578" s="41">
        <f>IF(C4578="","",SUBTOTAL(103,$C$2:C4578))</f>
        <v>4569</v>
      </c>
      <c r="B4578" s="41">
        <v>2858</v>
      </c>
      <c r="C4578" s="41">
        <v>3969</v>
      </c>
      <c r="D4578" s="41" t="s">
        <v>45</v>
      </c>
      <c r="E4578" s="41" t="s">
        <v>1298</v>
      </c>
      <c r="F4578" s="41" t="s">
        <v>11893</v>
      </c>
      <c r="G4578" s="41" t="s">
        <v>13995</v>
      </c>
      <c r="H4578" s="41" t="s">
        <v>13996</v>
      </c>
      <c r="I4578" s="43">
        <v>12</v>
      </c>
      <c r="J4578" s="44" t="str">
        <f>VLOOKUP(G4578,[1]硬件清单!$F:$F,1,0)</f>
        <v>210305756810HA000917</v>
      </c>
      <c r="K4578" s="43"/>
      <c r="L4578" s="44"/>
      <c r="M4578" s="45" t="s">
        <v>13997</v>
      </c>
    </row>
    <row r="4579" s="26" customFormat="1" ht="30" customHeight="1" spans="1:13">
      <c r="A4579" s="41">
        <f>IF(C4579="","",SUBTOTAL(103,$C$2:C4579))</f>
        <v>4570</v>
      </c>
      <c r="B4579" s="41">
        <v>2859</v>
      </c>
      <c r="C4579" s="41">
        <v>3970</v>
      </c>
      <c r="D4579" s="41" t="s">
        <v>45</v>
      </c>
      <c r="E4579" s="41" t="s">
        <v>1298</v>
      </c>
      <c r="F4579" s="41" t="s">
        <v>11893</v>
      </c>
      <c r="G4579" s="41" t="s">
        <v>13998</v>
      </c>
      <c r="H4579" s="41" t="s">
        <v>13999</v>
      </c>
      <c r="I4579" s="43">
        <v>12</v>
      </c>
      <c r="J4579" s="44" t="str">
        <f>VLOOKUP(G4579,[1]硬件清单!$F:$F,1,0)</f>
        <v>210305756810HA000768</v>
      </c>
      <c r="K4579" s="43"/>
      <c r="L4579" s="44"/>
      <c r="M4579" s="45" t="s">
        <v>14000</v>
      </c>
    </row>
    <row r="4580" s="26" customFormat="1" ht="30" customHeight="1" spans="1:13">
      <c r="A4580" s="41">
        <f>IF(C4580="","",SUBTOTAL(103,$C$2:C4580))</f>
        <v>4571</v>
      </c>
      <c r="B4580" s="41">
        <v>2860</v>
      </c>
      <c r="C4580" s="41">
        <v>3971</v>
      </c>
      <c r="D4580" s="41" t="s">
        <v>45</v>
      </c>
      <c r="E4580" s="41" t="s">
        <v>1298</v>
      </c>
      <c r="F4580" s="41" t="s">
        <v>11893</v>
      </c>
      <c r="G4580" s="41" t="s">
        <v>14001</v>
      </c>
      <c r="H4580" s="41" t="s">
        <v>14002</v>
      </c>
      <c r="I4580" s="43">
        <v>12</v>
      </c>
      <c r="J4580" s="44" t="str">
        <f>VLOOKUP(G4580,[1]硬件清单!$F:$F,1,0)</f>
        <v>210305756810HA001102</v>
      </c>
      <c r="K4580" s="43"/>
      <c r="L4580" s="44"/>
      <c r="M4580" s="45" t="s">
        <v>14003</v>
      </c>
    </row>
    <row r="4581" s="26" customFormat="1" ht="30" customHeight="1" spans="1:13">
      <c r="A4581" s="41">
        <f>IF(C4581="","",SUBTOTAL(103,$C$2:C4581))</f>
        <v>4572</v>
      </c>
      <c r="B4581" s="41">
        <v>2861</v>
      </c>
      <c r="C4581" s="41">
        <v>3972</v>
      </c>
      <c r="D4581" s="41" t="s">
        <v>45</v>
      </c>
      <c r="E4581" s="41" t="s">
        <v>1298</v>
      </c>
      <c r="F4581" s="41" t="s">
        <v>11893</v>
      </c>
      <c r="G4581" s="41" t="s">
        <v>14004</v>
      </c>
      <c r="H4581" s="41" t="s">
        <v>14005</v>
      </c>
      <c r="I4581" s="43">
        <v>12</v>
      </c>
      <c r="J4581" s="44" t="str">
        <f>VLOOKUP(G4581,[1]硬件清单!$F:$F,1,0)</f>
        <v>210305756810HA000763</v>
      </c>
      <c r="K4581" s="43"/>
      <c r="L4581" s="44"/>
      <c r="M4581" s="45" t="s">
        <v>14006</v>
      </c>
    </row>
    <row r="4582" s="26" customFormat="1" ht="30" customHeight="1" spans="1:13">
      <c r="A4582" s="41">
        <f>IF(C4582="","",SUBTOTAL(103,$C$2:C4582))</f>
        <v>4573</v>
      </c>
      <c r="B4582" s="41">
        <v>2862</v>
      </c>
      <c r="C4582" s="41">
        <v>3973</v>
      </c>
      <c r="D4582" s="41" t="s">
        <v>45</v>
      </c>
      <c r="E4582" s="41" t="s">
        <v>1298</v>
      </c>
      <c r="F4582" s="41" t="s">
        <v>11893</v>
      </c>
      <c r="G4582" s="41" t="s">
        <v>14007</v>
      </c>
      <c r="H4582" s="41" t="s">
        <v>14008</v>
      </c>
      <c r="I4582" s="43">
        <v>12</v>
      </c>
      <c r="J4582" s="44" t="str">
        <f>VLOOKUP(G4582,[1]硬件清单!$F:$F,1,0)</f>
        <v>210305756810HA001123</v>
      </c>
      <c r="K4582" s="43"/>
      <c r="L4582" s="44"/>
      <c r="M4582" s="45" t="s">
        <v>14009</v>
      </c>
    </row>
    <row r="4583" s="26" customFormat="1" ht="30" customHeight="1" spans="1:13">
      <c r="A4583" s="41">
        <f>IF(C4583="","",SUBTOTAL(103,$C$2:C4583))</f>
        <v>4574</v>
      </c>
      <c r="B4583" s="41">
        <v>2863</v>
      </c>
      <c r="C4583" s="41">
        <v>3974</v>
      </c>
      <c r="D4583" s="41" t="s">
        <v>45</v>
      </c>
      <c r="E4583" s="41" t="s">
        <v>1298</v>
      </c>
      <c r="F4583" s="41" t="s">
        <v>11893</v>
      </c>
      <c r="G4583" s="41" t="s">
        <v>14010</v>
      </c>
      <c r="H4583" s="41" t="s">
        <v>14011</v>
      </c>
      <c r="I4583" s="43">
        <v>12</v>
      </c>
      <c r="J4583" s="44" t="str">
        <f>VLOOKUP(G4583,[1]硬件清单!$F:$F,1,0)</f>
        <v>210305756810HA000935</v>
      </c>
      <c r="K4583" s="43"/>
      <c r="L4583" s="44"/>
      <c r="M4583" s="45" t="s">
        <v>14012</v>
      </c>
    </row>
    <row r="4584" s="26" customFormat="1" ht="30" customHeight="1" spans="1:13">
      <c r="A4584" s="41">
        <f>IF(C4584="","",SUBTOTAL(103,$C$2:C4584))</f>
        <v>4575</v>
      </c>
      <c r="B4584" s="41">
        <v>2864</v>
      </c>
      <c r="C4584" s="41">
        <v>3975</v>
      </c>
      <c r="D4584" s="41" t="s">
        <v>45</v>
      </c>
      <c r="E4584" s="41" t="s">
        <v>1298</v>
      </c>
      <c r="F4584" s="41" t="s">
        <v>11893</v>
      </c>
      <c r="G4584" s="41" t="s">
        <v>14013</v>
      </c>
      <c r="H4584" s="41" t="s">
        <v>14014</v>
      </c>
      <c r="I4584" s="43">
        <v>12</v>
      </c>
      <c r="J4584" s="44" t="str">
        <f>VLOOKUP(G4584,[1]硬件清单!$F:$F,1,0)</f>
        <v>210305756810HA000777</v>
      </c>
      <c r="K4584" s="43"/>
      <c r="L4584" s="44"/>
      <c r="M4584" s="45" t="s">
        <v>14015</v>
      </c>
    </row>
    <row r="4585" s="26" customFormat="1" ht="30" customHeight="1" spans="1:13">
      <c r="A4585" s="41">
        <f>IF(C4585="","",SUBTOTAL(103,$C$2:C4585))</f>
        <v>4576</v>
      </c>
      <c r="B4585" s="41">
        <v>2865</v>
      </c>
      <c r="C4585" s="41">
        <v>4234</v>
      </c>
      <c r="D4585" s="41" t="s">
        <v>45</v>
      </c>
      <c r="E4585" s="41" t="s">
        <v>1298</v>
      </c>
      <c r="F4585" s="41" t="s">
        <v>11889</v>
      </c>
      <c r="G4585" s="41" t="s">
        <v>14016</v>
      </c>
      <c r="H4585" s="41" t="s">
        <v>14017</v>
      </c>
      <c r="I4585" s="43">
        <v>12</v>
      </c>
      <c r="J4585" s="44" t="str">
        <f>VLOOKUP(G4585,[1]硬件清单!$F:$F,1,0)</f>
        <v>2102300742N0H9000551/210230102810HA000020</v>
      </c>
      <c r="K4585" s="43"/>
      <c r="L4585" s="44"/>
      <c r="M4585" s="45" t="s">
        <v>14018</v>
      </c>
    </row>
    <row r="4586" s="26" customFormat="1" ht="30" customHeight="1" spans="1:13">
      <c r="A4586" s="41">
        <f>IF(C4586="","",SUBTOTAL(103,$C$2:C4586))</f>
        <v>4577</v>
      </c>
      <c r="B4586" s="41">
        <v>2866</v>
      </c>
      <c r="C4586" s="41">
        <v>3905</v>
      </c>
      <c r="D4586" s="41" t="s">
        <v>45</v>
      </c>
      <c r="E4586" s="41" t="s">
        <v>1298</v>
      </c>
      <c r="F4586" s="41" t="s">
        <v>11893</v>
      </c>
      <c r="G4586" s="41" t="s">
        <v>14019</v>
      </c>
      <c r="H4586" s="41" t="s">
        <v>14020</v>
      </c>
      <c r="I4586" s="43">
        <v>12</v>
      </c>
      <c r="J4586" s="44" t="str">
        <f>VLOOKUP(G4586,[1]硬件清单!$F:$F,1,0)</f>
        <v>210305756810HA000759</v>
      </c>
      <c r="K4586" s="43"/>
      <c r="L4586" s="44"/>
      <c r="M4586" s="45" t="s">
        <v>14021</v>
      </c>
    </row>
    <row r="4587" s="26" customFormat="1" ht="30" customHeight="1" spans="1:13">
      <c r="A4587" s="41">
        <f>IF(C4587="","",SUBTOTAL(103,$C$2:C4587))</f>
        <v>4578</v>
      </c>
      <c r="B4587" s="41">
        <v>2867</v>
      </c>
      <c r="C4587" s="41">
        <v>3914</v>
      </c>
      <c r="D4587" s="41" t="s">
        <v>45</v>
      </c>
      <c r="E4587" s="41" t="s">
        <v>1298</v>
      </c>
      <c r="F4587" s="41" t="s">
        <v>11893</v>
      </c>
      <c r="G4587" s="41" t="s">
        <v>14022</v>
      </c>
      <c r="H4587" s="41" t="s">
        <v>14023</v>
      </c>
      <c r="I4587" s="43">
        <v>12</v>
      </c>
      <c r="J4587" s="44" t="str">
        <f>VLOOKUP(G4587,[1]硬件清单!$F:$F,1,0)</f>
        <v>210305756810HA001105</v>
      </c>
      <c r="K4587" s="43"/>
      <c r="L4587" s="44"/>
      <c r="M4587" s="45" t="s">
        <v>14024</v>
      </c>
    </row>
    <row r="4588" s="26" customFormat="1" ht="30" customHeight="1" spans="1:13">
      <c r="A4588" s="41">
        <f>IF(C4588="","",SUBTOTAL(103,$C$2:C4588))</f>
        <v>4579</v>
      </c>
      <c r="B4588" s="41">
        <v>2868</v>
      </c>
      <c r="C4588" s="41">
        <v>3915</v>
      </c>
      <c r="D4588" s="41" t="s">
        <v>45</v>
      </c>
      <c r="E4588" s="41" t="s">
        <v>1298</v>
      </c>
      <c r="F4588" s="41" t="s">
        <v>11893</v>
      </c>
      <c r="G4588" s="41" t="s">
        <v>14025</v>
      </c>
      <c r="H4588" s="41" t="s">
        <v>14026</v>
      </c>
      <c r="I4588" s="43">
        <v>12</v>
      </c>
      <c r="J4588" s="44" t="str">
        <f>VLOOKUP(G4588,[1]硬件清单!$F:$F,1,0)</f>
        <v>210305756810HA000828</v>
      </c>
      <c r="K4588" s="43"/>
      <c r="L4588" s="44"/>
      <c r="M4588" s="45" t="s">
        <v>14027</v>
      </c>
    </row>
    <row r="4589" s="26" customFormat="1" ht="30" customHeight="1" spans="1:13">
      <c r="A4589" s="41">
        <f>IF(C4589="","",SUBTOTAL(103,$C$2:C4589))</f>
        <v>4580</v>
      </c>
      <c r="B4589" s="41">
        <v>2869</v>
      </c>
      <c r="C4589" s="41">
        <v>3916</v>
      </c>
      <c r="D4589" s="41" t="s">
        <v>45</v>
      </c>
      <c r="E4589" s="41" t="s">
        <v>1298</v>
      </c>
      <c r="F4589" s="41" t="s">
        <v>11893</v>
      </c>
      <c r="G4589" s="41" t="s">
        <v>14028</v>
      </c>
      <c r="H4589" s="41" t="s">
        <v>14029</v>
      </c>
      <c r="I4589" s="43">
        <v>12</v>
      </c>
      <c r="J4589" s="44" t="str">
        <f>VLOOKUP(G4589,[1]硬件清单!$F:$F,1,0)</f>
        <v>210305756810HA000767</v>
      </c>
      <c r="K4589" s="43"/>
      <c r="L4589" s="44"/>
      <c r="M4589" s="45" t="s">
        <v>14030</v>
      </c>
    </row>
    <row r="4590" s="26" customFormat="1" ht="30" customHeight="1" spans="1:13">
      <c r="A4590" s="41">
        <f>IF(C4590="","",SUBTOTAL(103,$C$2:C4590))</f>
        <v>4581</v>
      </c>
      <c r="B4590" s="41">
        <v>2870</v>
      </c>
      <c r="C4590" s="41">
        <v>3917</v>
      </c>
      <c r="D4590" s="41" t="s">
        <v>45</v>
      </c>
      <c r="E4590" s="41" t="s">
        <v>1298</v>
      </c>
      <c r="F4590" s="41" t="s">
        <v>11893</v>
      </c>
      <c r="G4590" s="41" t="s">
        <v>14031</v>
      </c>
      <c r="H4590" s="41" t="s">
        <v>14032</v>
      </c>
      <c r="I4590" s="43">
        <v>12</v>
      </c>
      <c r="J4590" s="44" t="str">
        <f>VLOOKUP(G4590,[1]硬件清单!$F:$F,1,0)</f>
        <v>210305756810HA000932</v>
      </c>
      <c r="K4590" s="43"/>
      <c r="L4590" s="44"/>
      <c r="M4590" s="45" t="s">
        <v>14033</v>
      </c>
    </row>
    <row r="4591" s="26" customFormat="1" ht="30" customHeight="1" spans="1:13">
      <c r="A4591" s="41">
        <f>IF(C4591="","",SUBTOTAL(103,$C$2:C4591))</f>
        <v>4582</v>
      </c>
      <c r="B4591" s="41">
        <v>2871</v>
      </c>
      <c r="C4591" s="41">
        <v>3918</v>
      </c>
      <c r="D4591" s="41" t="s">
        <v>45</v>
      </c>
      <c r="E4591" s="41" t="s">
        <v>1298</v>
      </c>
      <c r="F4591" s="41" t="s">
        <v>11893</v>
      </c>
      <c r="G4591" s="41" t="s">
        <v>14034</v>
      </c>
      <c r="H4591" s="41" t="s">
        <v>14035</v>
      </c>
      <c r="I4591" s="43">
        <v>12</v>
      </c>
      <c r="J4591" s="44" t="str">
        <f>VLOOKUP(G4591,[1]硬件清单!$F:$F,1,0)</f>
        <v>210305756810HA001103</v>
      </c>
      <c r="K4591" s="43"/>
      <c r="L4591" s="44"/>
      <c r="M4591" s="45" t="s">
        <v>14036</v>
      </c>
    </row>
    <row r="4592" s="26" customFormat="1" ht="30" customHeight="1" spans="1:13">
      <c r="A4592" s="41">
        <f>IF(C4592="","",SUBTOTAL(103,$C$2:C4592))</f>
        <v>4583</v>
      </c>
      <c r="B4592" s="41">
        <v>2872</v>
      </c>
      <c r="C4592" s="41">
        <v>3919</v>
      </c>
      <c r="D4592" s="41" t="s">
        <v>45</v>
      </c>
      <c r="E4592" s="41" t="s">
        <v>1298</v>
      </c>
      <c r="F4592" s="41" t="s">
        <v>11893</v>
      </c>
      <c r="G4592" s="41" t="s">
        <v>14037</v>
      </c>
      <c r="H4592" s="41" t="s">
        <v>14038</v>
      </c>
      <c r="I4592" s="43">
        <v>12</v>
      </c>
      <c r="J4592" s="44" t="str">
        <f>VLOOKUP(G4592,[1]硬件清单!$F:$F,1,0)</f>
        <v>210305756810HA000865</v>
      </c>
      <c r="K4592" s="43"/>
      <c r="L4592" s="44"/>
      <c r="M4592" s="45" t="s">
        <v>14039</v>
      </c>
    </row>
    <row r="4593" s="26" customFormat="1" ht="30" customHeight="1" spans="1:13">
      <c r="A4593" s="41">
        <f>IF(C4593="","",SUBTOTAL(103,$C$2:C4593))</f>
        <v>4584</v>
      </c>
      <c r="B4593" s="41">
        <v>2873</v>
      </c>
      <c r="C4593" s="41">
        <v>3920</v>
      </c>
      <c r="D4593" s="41" t="s">
        <v>45</v>
      </c>
      <c r="E4593" s="41" t="s">
        <v>1298</v>
      </c>
      <c r="F4593" s="41" t="s">
        <v>11893</v>
      </c>
      <c r="G4593" s="41" t="s">
        <v>14040</v>
      </c>
      <c r="H4593" s="41" t="s">
        <v>14041</v>
      </c>
      <c r="I4593" s="43">
        <v>12</v>
      </c>
      <c r="J4593" s="44" t="str">
        <f>VLOOKUP(G4593,[1]硬件清单!$F:$F,1,0)</f>
        <v>210305756810HA000940</v>
      </c>
      <c r="K4593" s="43"/>
      <c r="L4593" s="44"/>
      <c r="M4593" s="45" t="s">
        <v>14042</v>
      </c>
    </row>
    <row r="4594" s="26" customFormat="1" ht="30" customHeight="1" spans="1:13">
      <c r="A4594" s="41">
        <f>IF(C4594="","",SUBTOTAL(103,$C$2:C4594))</f>
        <v>4585</v>
      </c>
      <c r="B4594" s="41">
        <v>2874</v>
      </c>
      <c r="C4594" s="41">
        <v>3906</v>
      </c>
      <c r="D4594" s="41" t="s">
        <v>45</v>
      </c>
      <c r="E4594" s="41" t="s">
        <v>1298</v>
      </c>
      <c r="F4594" s="41" t="s">
        <v>11893</v>
      </c>
      <c r="G4594" s="41" t="s">
        <v>14043</v>
      </c>
      <c r="H4594" s="41" t="s">
        <v>14044</v>
      </c>
      <c r="I4594" s="43">
        <v>12</v>
      </c>
      <c r="J4594" s="44" t="str">
        <f>VLOOKUP(G4594,[1]硬件清单!$F:$F,1,0)</f>
        <v>210305756810HA001083</v>
      </c>
      <c r="K4594" s="43"/>
      <c r="L4594" s="44"/>
      <c r="M4594" s="45" t="s">
        <v>14045</v>
      </c>
    </row>
    <row r="4595" s="26" customFormat="1" ht="30" customHeight="1" spans="1:13">
      <c r="A4595" s="41">
        <f>IF(C4595="","",SUBTOTAL(103,$C$2:C4595))</f>
        <v>4586</v>
      </c>
      <c r="B4595" s="41">
        <v>2875</v>
      </c>
      <c r="C4595" s="41">
        <v>3907</v>
      </c>
      <c r="D4595" s="41" t="s">
        <v>45</v>
      </c>
      <c r="E4595" s="41" t="s">
        <v>1298</v>
      </c>
      <c r="F4595" s="41" t="s">
        <v>11893</v>
      </c>
      <c r="G4595" s="41" t="s">
        <v>14046</v>
      </c>
      <c r="H4595" s="41" t="s">
        <v>14047</v>
      </c>
      <c r="I4595" s="43">
        <v>12</v>
      </c>
      <c r="J4595" s="44" t="str">
        <f>VLOOKUP(G4595,[1]硬件清单!$F:$F,1,0)</f>
        <v>210305756810HA000952</v>
      </c>
      <c r="K4595" s="43"/>
      <c r="L4595" s="44"/>
      <c r="M4595" s="45" t="s">
        <v>14048</v>
      </c>
    </row>
    <row r="4596" s="26" customFormat="1" ht="30" customHeight="1" spans="1:13">
      <c r="A4596" s="41">
        <f>IF(C4596="","",SUBTOTAL(103,$C$2:C4596))</f>
        <v>4587</v>
      </c>
      <c r="B4596" s="41">
        <v>2876</v>
      </c>
      <c r="C4596" s="41">
        <v>3908</v>
      </c>
      <c r="D4596" s="41" t="s">
        <v>45</v>
      </c>
      <c r="E4596" s="41" t="s">
        <v>1298</v>
      </c>
      <c r="F4596" s="41" t="s">
        <v>11893</v>
      </c>
      <c r="G4596" s="41" t="s">
        <v>14049</v>
      </c>
      <c r="H4596" s="41" t="s">
        <v>14050</v>
      </c>
      <c r="I4596" s="43">
        <v>12</v>
      </c>
      <c r="J4596" s="44" t="str">
        <f>VLOOKUP(G4596,[1]硬件清单!$F:$F,1,0)</f>
        <v>210305756810HA000944</v>
      </c>
      <c r="K4596" s="43"/>
      <c r="L4596" s="44"/>
      <c r="M4596" s="45" t="s">
        <v>14051</v>
      </c>
    </row>
    <row r="4597" s="26" customFormat="1" ht="30" customHeight="1" spans="1:13">
      <c r="A4597" s="41">
        <f>IF(C4597="","",SUBTOTAL(103,$C$2:C4597))</f>
        <v>4588</v>
      </c>
      <c r="B4597" s="41">
        <v>2877</v>
      </c>
      <c r="C4597" s="41">
        <v>3909</v>
      </c>
      <c r="D4597" s="41" t="s">
        <v>45</v>
      </c>
      <c r="E4597" s="41" t="s">
        <v>1298</v>
      </c>
      <c r="F4597" s="41" t="s">
        <v>11893</v>
      </c>
      <c r="G4597" s="41" t="s">
        <v>14052</v>
      </c>
      <c r="H4597" s="41" t="s">
        <v>14053</v>
      </c>
      <c r="I4597" s="43">
        <v>12</v>
      </c>
      <c r="J4597" s="44" t="str">
        <f>VLOOKUP(G4597,[1]硬件清单!$F:$F,1,0)</f>
        <v>210305756810HA001093</v>
      </c>
      <c r="K4597" s="43"/>
      <c r="L4597" s="44"/>
      <c r="M4597" s="45" t="s">
        <v>14054</v>
      </c>
    </row>
    <row r="4598" s="26" customFormat="1" ht="30" customHeight="1" spans="1:13">
      <c r="A4598" s="41">
        <f>IF(C4598="","",SUBTOTAL(103,$C$2:C4598))</f>
        <v>4589</v>
      </c>
      <c r="B4598" s="41">
        <v>2878</v>
      </c>
      <c r="C4598" s="41">
        <v>3910</v>
      </c>
      <c r="D4598" s="41" t="s">
        <v>45</v>
      </c>
      <c r="E4598" s="41" t="s">
        <v>1298</v>
      </c>
      <c r="F4598" s="41" t="s">
        <v>11893</v>
      </c>
      <c r="G4598" s="41" t="s">
        <v>14055</v>
      </c>
      <c r="H4598" s="41" t="s">
        <v>14056</v>
      </c>
      <c r="I4598" s="43">
        <v>12</v>
      </c>
      <c r="J4598" s="44" t="str">
        <f>VLOOKUP(G4598,[1]硬件清单!$F:$F,1,0)</f>
        <v>210305756810HA000847</v>
      </c>
      <c r="K4598" s="43"/>
      <c r="L4598" s="44"/>
      <c r="M4598" s="45" t="s">
        <v>14057</v>
      </c>
    </row>
    <row r="4599" s="26" customFormat="1" ht="30" customHeight="1" spans="1:13">
      <c r="A4599" s="41">
        <f>IF(C4599="","",SUBTOTAL(103,$C$2:C4599))</f>
        <v>4590</v>
      </c>
      <c r="B4599" s="41">
        <v>2879</v>
      </c>
      <c r="C4599" s="41">
        <v>3911</v>
      </c>
      <c r="D4599" s="41" t="s">
        <v>45</v>
      </c>
      <c r="E4599" s="41" t="s">
        <v>1298</v>
      </c>
      <c r="F4599" s="41" t="s">
        <v>11893</v>
      </c>
      <c r="G4599" s="41" t="s">
        <v>14058</v>
      </c>
      <c r="H4599" s="41" t="s">
        <v>14059</v>
      </c>
      <c r="I4599" s="43">
        <v>12</v>
      </c>
      <c r="J4599" s="44" t="str">
        <f>VLOOKUP(G4599,[1]硬件清单!$F:$F,1,0)</f>
        <v>210305756810HA001146</v>
      </c>
      <c r="K4599" s="43"/>
      <c r="L4599" s="44"/>
      <c r="M4599" s="45" t="s">
        <v>14060</v>
      </c>
    </row>
    <row r="4600" s="26" customFormat="1" ht="30" customHeight="1" spans="1:13">
      <c r="A4600" s="41">
        <f>IF(C4600="","",SUBTOTAL(103,$C$2:C4600))</f>
        <v>4591</v>
      </c>
      <c r="B4600" s="41">
        <v>2880</v>
      </c>
      <c r="C4600" s="41">
        <v>3912</v>
      </c>
      <c r="D4600" s="41" t="s">
        <v>45</v>
      </c>
      <c r="E4600" s="41" t="s">
        <v>1298</v>
      </c>
      <c r="F4600" s="41" t="s">
        <v>11893</v>
      </c>
      <c r="G4600" s="41" t="s">
        <v>14061</v>
      </c>
      <c r="H4600" s="41" t="s">
        <v>14062</v>
      </c>
      <c r="I4600" s="43">
        <v>12</v>
      </c>
      <c r="J4600" s="44" t="str">
        <f>VLOOKUP(G4600,[1]硬件清单!$F:$F,1,0)</f>
        <v>210305756810HA001128</v>
      </c>
      <c r="K4600" s="43"/>
      <c r="L4600" s="44"/>
      <c r="M4600" s="45" t="s">
        <v>14063</v>
      </c>
    </row>
    <row r="4601" s="26" customFormat="1" ht="30" customHeight="1" spans="1:13">
      <c r="A4601" s="41">
        <f>IF(C4601="","",SUBTOTAL(103,$C$2:C4601))</f>
        <v>4592</v>
      </c>
      <c r="B4601" s="41">
        <v>2881</v>
      </c>
      <c r="C4601" s="41">
        <v>3913</v>
      </c>
      <c r="D4601" s="41" t="s">
        <v>45</v>
      </c>
      <c r="E4601" s="41" t="s">
        <v>1298</v>
      </c>
      <c r="F4601" s="41" t="s">
        <v>11893</v>
      </c>
      <c r="G4601" s="41" t="s">
        <v>14064</v>
      </c>
      <c r="H4601" s="41" t="s">
        <v>14065</v>
      </c>
      <c r="I4601" s="43">
        <v>12</v>
      </c>
      <c r="J4601" s="44" t="str">
        <f>VLOOKUP(G4601,[1]硬件清单!$F:$F,1,0)</f>
        <v>210305756810HA000948</v>
      </c>
      <c r="K4601" s="43"/>
      <c r="L4601" s="44"/>
      <c r="M4601" s="45" t="s">
        <v>14066</v>
      </c>
    </row>
    <row r="4602" s="26" customFormat="1" ht="30" customHeight="1" spans="1:13">
      <c r="A4602" s="41">
        <f>IF(C4602="","",SUBTOTAL(103,$C$2:C4602))</f>
        <v>4593</v>
      </c>
      <c r="B4602" s="41">
        <v>2882</v>
      </c>
      <c r="C4602" s="41">
        <v>4237</v>
      </c>
      <c r="D4602" s="41" t="s">
        <v>45</v>
      </c>
      <c r="E4602" s="41" t="s">
        <v>1298</v>
      </c>
      <c r="F4602" s="41" t="s">
        <v>11889</v>
      </c>
      <c r="G4602" s="41" t="s">
        <v>14067</v>
      </c>
      <c r="H4602" s="41" t="s">
        <v>14068</v>
      </c>
      <c r="I4602" s="43">
        <v>12</v>
      </c>
      <c r="J4602" s="44" t="str">
        <f>VLOOKUP(G4602,[1]硬件清单!$F:$F,1,0)</f>
        <v>2102300742N0H9000543/210230102810HA000018</v>
      </c>
      <c r="K4602" s="43"/>
      <c r="L4602" s="44"/>
      <c r="M4602" s="45" t="s">
        <v>14069</v>
      </c>
    </row>
    <row r="4603" s="26" customFormat="1" ht="30" customHeight="1" spans="1:13">
      <c r="A4603" s="41">
        <f>IF(C4603="","",SUBTOTAL(103,$C$2:C4603))</f>
        <v>4594</v>
      </c>
      <c r="B4603" s="41">
        <v>2883</v>
      </c>
      <c r="C4603" s="41">
        <v>3977</v>
      </c>
      <c r="D4603" s="41" t="s">
        <v>45</v>
      </c>
      <c r="E4603" s="41" t="s">
        <v>1298</v>
      </c>
      <c r="F4603" s="41" t="s">
        <v>11893</v>
      </c>
      <c r="G4603" s="41" t="s">
        <v>14070</v>
      </c>
      <c r="H4603" s="41" t="s">
        <v>14071</v>
      </c>
      <c r="I4603" s="43">
        <v>12</v>
      </c>
      <c r="J4603" s="44" t="str">
        <f>VLOOKUP(G4603,[1]硬件清单!$F:$F,1,0)</f>
        <v>210305756810HA000747</v>
      </c>
      <c r="K4603" s="43"/>
      <c r="L4603" s="44"/>
      <c r="M4603" s="45" t="s">
        <v>14072</v>
      </c>
    </row>
    <row r="4604" s="26" customFormat="1" ht="30" customHeight="1" spans="1:13">
      <c r="A4604" s="41">
        <f>IF(C4604="","",SUBTOTAL(103,$C$2:C4604))</f>
        <v>4595</v>
      </c>
      <c r="B4604" s="41">
        <v>2884</v>
      </c>
      <c r="C4604" s="41">
        <v>3986</v>
      </c>
      <c r="D4604" s="41" t="s">
        <v>45</v>
      </c>
      <c r="E4604" s="41" t="s">
        <v>1298</v>
      </c>
      <c r="F4604" s="41" t="s">
        <v>11893</v>
      </c>
      <c r="G4604" s="41" t="s">
        <v>14073</v>
      </c>
      <c r="H4604" s="41" t="s">
        <v>14074</v>
      </c>
      <c r="I4604" s="43">
        <v>12</v>
      </c>
      <c r="J4604" s="44" t="str">
        <f>VLOOKUP(G4604,[1]硬件清单!$F:$F,1,0)</f>
        <v>210305756810HA000936</v>
      </c>
      <c r="K4604" s="43"/>
      <c r="L4604" s="44"/>
      <c r="M4604" s="45" t="s">
        <v>14075</v>
      </c>
    </row>
    <row r="4605" s="26" customFormat="1" ht="30" customHeight="1" spans="1:13">
      <c r="A4605" s="41">
        <f>IF(C4605="","",SUBTOTAL(103,$C$2:C4605))</f>
        <v>4596</v>
      </c>
      <c r="B4605" s="41">
        <v>2885</v>
      </c>
      <c r="C4605" s="41">
        <v>3987</v>
      </c>
      <c r="D4605" s="41" t="s">
        <v>45</v>
      </c>
      <c r="E4605" s="41" t="s">
        <v>1298</v>
      </c>
      <c r="F4605" s="41" t="s">
        <v>11893</v>
      </c>
      <c r="G4605" s="41" t="s">
        <v>14076</v>
      </c>
      <c r="H4605" s="41" t="s">
        <v>14077</v>
      </c>
      <c r="I4605" s="43">
        <v>12</v>
      </c>
      <c r="J4605" s="44" t="str">
        <f>VLOOKUP(G4605,[1]硬件清单!$F:$F,1,0)</f>
        <v>210305756810HA000825</v>
      </c>
      <c r="K4605" s="43"/>
      <c r="L4605" s="44"/>
      <c r="M4605" s="45" t="s">
        <v>14078</v>
      </c>
    </row>
    <row r="4606" s="26" customFormat="1" ht="30" customHeight="1" spans="1:13">
      <c r="A4606" s="41">
        <f>IF(C4606="","",SUBTOTAL(103,$C$2:C4606))</f>
        <v>4597</v>
      </c>
      <c r="B4606" s="41">
        <v>2886</v>
      </c>
      <c r="C4606" s="41">
        <v>3988</v>
      </c>
      <c r="D4606" s="41" t="s">
        <v>45</v>
      </c>
      <c r="E4606" s="41" t="s">
        <v>1298</v>
      </c>
      <c r="F4606" s="41" t="s">
        <v>11893</v>
      </c>
      <c r="G4606" s="41" t="s">
        <v>14079</v>
      </c>
      <c r="H4606" s="41" t="s">
        <v>14080</v>
      </c>
      <c r="I4606" s="43">
        <v>12</v>
      </c>
      <c r="J4606" s="44" t="str">
        <f>VLOOKUP(G4606,[1]硬件清单!$F:$F,1,0)</f>
        <v>210305756810HA001143</v>
      </c>
      <c r="K4606" s="43"/>
      <c r="L4606" s="44"/>
      <c r="M4606" s="45" t="s">
        <v>14081</v>
      </c>
    </row>
    <row r="4607" s="26" customFormat="1" ht="30" customHeight="1" spans="1:13">
      <c r="A4607" s="41">
        <f>IF(C4607="","",SUBTOTAL(103,$C$2:C4607))</f>
        <v>4598</v>
      </c>
      <c r="B4607" s="41">
        <v>2887</v>
      </c>
      <c r="C4607" s="41">
        <v>3989</v>
      </c>
      <c r="D4607" s="41" t="s">
        <v>45</v>
      </c>
      <c r="E4607" s="41" t="s">
        <v>1298</v>
      </c>
      <c r="F4607" s="41" t="s">
        <v>11893</v>
      </c>
      <c r="G4607" s="41" t="s">
        <v>14082</v>
      </c>
      <c r="H4607" s="41" t="s">
        <v>14083</v>
      </c>
      <c r="I4607" s="43">
        <v>12</v>
      </c>
      <c r="J4607" s="44" t="str">
        <f>VLOOKUP(G4607,[1]硬件清单!$F:$F,1,0)</f>
        <v>210305756810HA001082</v>
      </c>
      <c r="K4607" s="43"/>
      <c r="L4607" s="44"/>
      <c r="M4607" s="45" t="s">
        <v>14084</v>
      </c>
    </row>
    <row r="4608" s="26" customFormat="1" ht="30" customHeight="1" spans="1:13">
      <c r="A4608" s="41">
        <f>IF(C4608="","",SUBTOTAL(103,$C$2:C4608))</f>
        <v>4599</v>
      </c>
      <c r="B4608" s="41">
        <v>2888</v>
      </c>
      <c r="C4608" s="41">
        <v>3990</v>
      </c>
      <c r="D4608" s="41" t="s">
        <v>45</v>
      </c>
      <c r="E4608" s="41" t="s">
        <v>1298</v>
      </c>
      <c r="F4608" s="41" t="s">
        <v>11893</v>
      </c>
      <c r="G4608" s="41" t="s">
        <v>14085</v>
      </c>
      <c r="H4608" s="41" t="s">
        <v>14086</v>
      </c>
      <c r="I4608" s="43">
        <v>12</v>
      </c>
      <c r="J4608" s="44" t="str">
        <f>VLOOKUP(G4608,[1]硬件清单!$F:$F,1,0)</f>
        <v>210305756810HA001115</v>
      </c>
      <c r="K4608" s="43"/>
      <c r="L4608" s="44"/>
      <c r="M4608" s="45" t="s">
        <v>14087</v>
      </c>
    </row>
    <row r="4609" s="26" customFormat="1" ht="30" customHeight="1" spans="1:13">
      <c r="A4609" s="41">
        <f>IF(C4609="","",SUBTOTAL(103,$C$2:C4609))</f>
        <v>4600</v>
      </c>
      <c r="B4609" s="41">
        <v>2889</v>
      </c>
      <c r="C4609" s="41">
        <v>3991</v>
      </c>
      <c r="D4609" s="41" t="s">
        <v>45</v>
      </c>
      <c r="E4609" s="41" t="s">
        <v>1298</v>
      </c>
      <c r="F4609" s="41" t="s">
        <v>11893</v>
      </c>
      <c r="G4609" s="41" t="s">
        <v>14088</v>
      </c>
      <c r="H4609" s="41" t="s">
        <v>14089</v>
      </c>
      <c r="I4609" s="43">
        <v>12</v>
      </c>
      <c r="J4609" s="44" t="str">
        <f>VLOOKUP(G4609,[1]硬件清单!$F:$F,1,0)</f>
        <v>210305756810HA000753</v>
      </c>
      <c r="K4609" s="43"/>
      <c r="L4609" s="44"/>
      <c r="M4609" s="45" t="s">
        <v>14090</v>
      </c>
    </row>
    <row r="4610" s="26" customFormat="1" ht="30" customHeight="1" spans="1:13">
      <c r="A4610" s="41">
        <f>IF(C4610="","",SUBTOTAL(103,$C$2:C4610))</f>
        <v>4601</v>
      </c>
      <c r="B4610" s="41">
        <v>2890</v>
      </c>
      <c r="C4610" s="41">
        <v>3992</v>
      </c>
      <c r="D4610" s="41" t="s">
        <v>45</v>
      </c>
      <c r="E4610" s="41" t="s">
        <v>1298</v>
      </c>
      <c r="F4610" s="41" t="s">
        <v>11893</v>
      </c>
      <c r="G4610" s="41" t="s">
        <v>14091</v>
      </c>
      <c r="H4610" s="41" t="s">
        <v>14092</v>
      </c>
      <c r="I4610" s="43">
        <v>12</v>
      </c>
      <c r="J4610" s="44" t="str">
        <f>VLOOKUP(G4610,[1]硬件清单!$F:$F,1,0)</f>
        <v>210305756810HA000911</v>
      </c>
      <c r="K4610" s="43"/>
      <c r="L4610" s="44"/>
      <c r="M4610" s="45" t="s">
        <v>14093</v>
      </c>
    </row>
    <row r="4611" s="26" customFormat="1" ht="30" customHeight="1" spans="1:13">
      <c r="A4611" s="41">
        <f>IF(C4611="","",SUBTOTAL(103,$C$2:C4611))</f>
        <v>4602</v>
      </c>
      <c r="B4611" s="41">
        <v>2891</v>
      </c>
      <c r="C4611" s="41">
        <v>3978</v>
      </c>
      <c r="D4611" s="41" t="s">
        <v>45</v>
      </c>
      <c r="E4611" s="41" t="s">
        <v>1298</v>
      </c>
      <c r="F4611" s="41" t="s">
        <v>11893</v>
      </c>
      <c r="G4611" s="41" t="s">
        <v>14094</v>
      </c>
      <c r="H4611" s="41" t="s">
        <v>14095</v>
      </c>
      <c r="I4611" s="43">
        <v>12</v>
      </c>
      <c r="J4611" s="44" t="str">
        <f>VLOOKUP(G4611,[1]硬件清单!$F:$F,1,0)</f>
        <v>210305756810HA001153</v>
      </c>
      <c r="K4611" s="43"/>
      <c r="L4611" s="44"/>
      <c r="M4611" s="45" t="s">
        <v>14096</v>
      </c>
    </row>
    <row r="4612" s="26" customFormat="1" ht="30" customHeight="1" spans="1:13">
      <c r="A4612" s="41">
        <f>IF(C4612="","",SUBTOTAL(103,$C$2:C4612))</f>
        <v>4603</v>
      </c>
      <c r="B4612" s="41">
        <v>2892</v>
      </c>
      <c r="C4612" s="41">
        <v>3979</v>
      </c>
      <c r="D4612" s="41" t="s">
        <v>45</v>
      </c>
      <c r="E4612" s="41" t="s">
        <v>1298</v>
      </c>
      <c r="F4612" s="41" t="s">
        <v>11893</v>
      </c>
      <c r="G4612" s="41" t="s">
        <v>14097</v>
      </c>
      <c r="H4612" s="41" t="s">
        <v>14098</v>
      </c>
      <c r="I4612" s="43">
        <v>12</v>
      </c>
      <c r="J4612" s="44" t="str">
        <f>VLOOKUP(G4612,[1]硬件清单!$F:$F,1,0)</f>
        <v>210305756810HA000826</v>
      </c>
      <c r="K4612" s="43"/>
      <c r="L4612" s="44"/>
      <c r="M4612" s="45" t="s">
        <v>14099</v>
      </c>
    </row>
    <row r="4613" s="26" customFormat="1" ht="30" customHeight="1" spans="1:13">
      <c r="A4613" s="41">
        <f>IF(C4613="","",SUBTOTAL(103,$C$2:C4613))</f>
        <v>4604</v>
      </c>
      <c r="B4613" s="41">
        <v>2893</v>
      </c>
      <c r="C4613" s="41">
        <v>3980</v>
      </c>
      <c r="D4613" s="41" t="s">
        <v>45</v>
      </c>
      <c r="E4613" s="41" t="s">
        <v>1298</v>
      </c>
      <c r="F4613" s="41" t="s">
        <v>11893</v>
      </c>
      <c r="G4613" s="41" t="s">
        <v>14100</v>
      </c>
      <c r="H4613" s="41" t="s">
        <v>14101</v>
      </c>
      <c r="I4613" s="43">
        <v>12</v>
      </c>
      <c r="J4613" s="44" t="str">
        <f>VLOOKUP(G4613,[1]硬件清单!$F:$F,1,0)</f>
        <v>210305756810HA000930</v>
      </c>
      <c r="K4613" s="43"/>
      <c r="L4613" s="44"/>
      <c r="M4613" s="45" t="s">
        <v>14102</v>
      </c>
    </row>
    <row r="4614" s="26" customFormat="1" ht="30" customHeight="1" spans="1:13">
      <c r="A4614" s="41">
        <f>IF(C4614="","",SUBTOTAL(103,$C$2:C4614))</f>
        <v>4605</v>
      </c>
      <c r="B4614" s="41">
        <v>2894</v>
      </c>
      <c r="C4614" s="41">
        <v>3981</v>
      </c>
      <c r="D4614" s="41" t="s">
        <v>45</v>
      </c>
      <c r="E4614" s="41" t="s">
        <v>1298</v>
      </c>
      <c r="F4614" s="41" t="s">
        <v>11893</v>
      </c>
      <c r="G4614" s="41" t="s">
        <v>14103</v>
      </c>
      <c r="H4614" s="41" t="s">
        <v>14104</v>
      </c>
      <c r="I4614" s="43">
        <v>12</v>
      </c>
      <c r="J4614" s="44" t="str">
        <f>VLOOKUP(G4614,[1]硬件清单!$F:$F,1,0)</f>
        <v>210305756810HA001087</v>
      </c>
      <c r="K4614" s="43"/>
      <c r="L4614" s="44"/>
      <c r="M4614" s="45" t="s">
        <v>14105</v>
      </c>
    </row>
    <row r="4615" s="26" customFormat="1" ht="30" customHeight="1" spans="1:13">
      <c r="A4615" s="41">
        <f>IF(C4615="","",SUBTOTAL(103,$C$2:C4615))</f>
        <v>4606</v>
      </c>
      <c r="B4615" s="41">
        <v>2895</v>
      </c>
      <c r="C4615" s="41">
        <v>3982</v>
      </c>
      <c r="D4615" s="41" t="s">
        <v>45</v>
      </c>
      <c r="E4615" s="41" t="s">
        <v>1298</v>
      </c>
      <c r="F4615" s="41" t="s">
        <v>11893</v>
      </c>
      <c r="G4615" s="41" t="s">
        <v>14106</v>
      </c>
      <c r="H4615" s="41" t="s">
        <v>14107</v>
      </c>
      <c r="I4615" s="43">
        <v>12</v>
      </c>
      <c r="J4615" s="44" t="str">
        <f>VLOOKUP(G4615,[1]硬件清单!$F:$F,1,0)</f>
        <v>210305756810HA001059</v>
      </c>
      <c r="K4615" s="43"/>
      <c r="L4615" s="44"/>
      <c r="M4615" s="45" t="s">
        <v>14108</v>
      </c>
    </row>
    <row r="4616" s="26" customFormat="1" ht="30" customHeight="1" spans="1:13">
      <c r="A4616" s="41">
        <f>IF(C4616="","",SUBTOTAL(103,$C$2:C4616))</f>
        <v>4607</v>
      </c>
      <c r="B4616" s="41">
        <v>2896</v>
      </c>
      <c r="C4616" s="41">
        <v>3983</v>
      </c>
      <c r="D4616" s="41" t="s">
        <v>45</v>
      </c>
      <c r="E4616" s="41" t="s">
        <v>1298</v>
      </c>
      <c r="F4616" s="41" t="s">
        <v>11893</v>
      </c>
      <c r="G4616" s="41" t="s">
        <v>14109</v>
      </c>
      <c r="H4616" s="41" t="s">
        <v>14110</v>
      </c>
      <c r="I4616" s="43">
        <v>12</v>
      </c>
      <c r="J4616" s="44" t="str">
        <f>VLOOKUP(G4616,[1]硬件清单!$F:$F,1,0)</f>
        <v>210305756810HA000900</v>
      </c>
      <c r="K4616" s="43"/>
      <c r="L4616" s="44"/>
      <c r="M4616" s="45" t="s">
        <v>14111</v>
      </c>
    </row>
    <row r="4617" s="26" customFormat="1" ht="30" customHeight="1" spans="1:13">
      <c r="A4617" s="41">
        <f>IF(C4617="","",SUBTOTAL(103,$C$2:C4617))</f>
        <v>4608</v>
      </c>
      <c r="B4617" s="41">
        <v>2897</v>
      </c>
      <c r="C4617" s="41">
        <v>3984</v>
      </c>
      <c r="D4617" s="41" t="s">
        <v>45</v>
      </c>
      <c r="E4617" s="41" t="s">
        <v>1298</v>
      </c>
      <c r="F4617" s="41" t="s">
        <v>11893</v>
      </c>
      <c r="G4617" s="41" t="s">
        <v>14112</v>
      </c>
      <c r="H4617" s="41" t="s">
        <v>14113</v>
      </c>
      <c r="I4617" s="43">
        <v>12</v>
      </c>
      <c r="J4617" s="44" t="str">
        <f>VLOOKUP(G4617,[1]硬件清单!$F:$F,1,0)</f>
        <v>210305756810HA000903</v>
      </c>
      <c r="K4617" s="43"/>
      <c r="L4617" s="44"/>
      <c r="M4617" s="45" t="s">
        <v>14114</v>
      </c>
    </row>
    <row r="4618" s="26" customFormat="1" ht="30" customHeight="1" spans="1:13">
      <c r="A4618" s="41">
        <f>IF(C4618="","",SUBTOTAL(103,$C$2:C4618))</f>
        <v>4609</v>
      </c>
      <c r="B4618" s="41">
        <v>2898</v>
      </c>
      <c r="C4618" s="41">
        <v>3985</v>
      </c>
      <c r="D4618" s="41" t="s">
        <v>45</v>
      </c>
      <c r="E4618" s="41" t="s">
        <v>1298</v>
      </c>
      <c r="F4618" s="41" t="s">
        <v>11893</v>
      </c>
      <c r="G4618" s="41" t="s">
        <v>14115</v>
      </c>
      <c r="H4618" s="41" t="s">
        <v>14116</v>
      </c>
      <c r="I4618" s="43">
        <v>12</v>
      </c>
      <c r="J4618" s="44" t="str">
        <f>VLOOKUP(G4618,[1]硬件清单!$F:$F,1,0)</f>
        <v>210305756810HA000762</v>
      </c>
      <c r="K4618" s="43"/>
      <c r="L4618" s="44"/>
      <c r="M4618" s="45" t="s">
        <v>14117</v>
      </c>
    </row>
    <row r="4619" s="26" customFormat="1" ht="30" customHeight="1" spans="1:13">
      <c r="A4619" s="41">
        <f>IF(C4619="","",SUBTOTAL(103,$C$2:C4619))</f>
        <v>4610</v>
      </c>
      <c r="B4619" s="41">
        <v>2899</v>
      </c>
      <c r="C4619" s="41">
        <v>4236</v>
      </c>
      <c r="D4619" s="41" t="s">
        <v>45</v>
      </c>
      <c r="E4619" s="41" t="s">
        <v>1298</v>
      </c>
      <c r="F4619" s="41" t="s">
        <v>11889</v>
      </c>
      <c r="G4619" s="41" t="s">
        <v>14118</v>
      </c>
      <c r="H4619" s="41" t="s">
        <v>14119</v>
      </c>
      <c r="I4619" s="43">
        <v>12</v>
      </c>
      <c r="J4619" s="44" t="str">
        <f>VLOOKUP(G4619,[1]硬件清单!$F:$F,1,0)</f>
        <v>2102300742N0H9000608/210230102810HA000094</v>
      </c>
      <c r="K4619" s="43"/>
      <c r="L4619" s="44"/>
      <c r="M4619" s="45" t="s">
        <v>14120</v>
      </c>
    </row>
    <row r="4620" s="26" customFormat="1" ht="30" customHeight="1" spans="1:13">
      <c r="A4620" s="41">
        <f>IF(C4620="","",SUBTOTAL(103,$C$2:C4620))</f>
        <v>4611</v>
      </c>
      <c r="B4620" s="41">
        <v>2900</v>
      </c>
      <c r="C4620" s="41">
        <v>3993</v>
      </c>
      <c r="D4620" s="41" t="s">
        <v>45</v>
      </c>
      <c r="E4620" s="41" t="s">
        <v>1298</v>
      </c>
      <c r="F4620" s="41" t="s">
        <v>11893</v>
      </c>
      <c r="G4620" s="41" t="s">
        <v>14121</v>
      </c>
      <c r="H4620" s="41" t="s">
        <v>14122</v>
      </c>
      <c r="I4620" s="43">
        <v>12</v>
      </c>
      <c r="J4620" s="44" t="str">
        <f>VLOOKUP(G4620,[1]硬件清单!$F:$F,1,0)</f>
        <v>210305756810HA001129</v>
      </c>
      <c r="K4620" s="43"/>
      <c r="L4620" s="44"/>
      <c r="M4620" s="45" t="s">
        <v>14123</v>
      </c>
    </row>
    <row r="4621" s="26" customFormat="1" ht="30" customHeight="1" spans="1:13">
      <c r="A4621" s="41">
        <f>IF(C4621="","",SUBTOTAL(103,$C$2:C4621))</f>
        <v>4612</v>
      </c>
      <c r="B4621" s="41">
        <v>2901</v>
      </c>
      <c r="C4621" s="41">
        <v>4002</v>
      </c>
      <c r="D4621" s="41" t="s">
        <v>45</v>
      </c>
      <c r="E4621" s="41" t="s">
        <v>1298</v>
      </c>
      <c r="F4621" s="41" t="s">
        <v>11893</v>
      </c>
      <c r="G4621" s="41" t="s">
        <v>14124</v>
      </c>
      <c r="H4621" s="41" t="s">
        <v>14125</v>
      </c>
      <c r="I4621" s="43">
        <v>12</v>
      </c>
      <c r="J4621" s="44" t="str">
        <f>VLOOKUP(G4621,[1]硬件清单!$F:$F,1,0)</f>
        <v>210305756810HA000743</v>
      </c>
      <c r="K4621" s="43"/>
      <c r="L4621" s="44"/>
      <c r="M4621" s="45" t="s">
        <v>14126</v>
      </c>
    </row>
    <row r="4622" s="26" customFormat="1" ht="30" customHeight="1" spans="1:13">
      <c r="A4622" s="41">
        <f>IF(C4622="","",SUBTOTAL(103,$C$2:C4622))</f>
        <v>4613</v>
      </c>
      <c r="B4622" s="41">
        <v>2902</v>
      </c>
      <c r="C4622" s="41">
        <v>4003</v>
      </c>
      <c r="D4622" s="41" t="s">
        <v>45</v>
      </c>
      <c r="E4622" s="41" t="s">
        <v>1298</v>
      </c>
      <c r="F4622" s="41" t="s">
        <v>11893</v>
      </c>
      <c r="G4622" s="41" t="s">
        <v>14127</v>
      </c>
      <c r="H4622" s="41" t="s">
        <v>14128</v>
      </c>
      <c r="I4622" s="43">
        <v>12</v>
      </c>
      <c r="J4622" s="44" t="str">
        <f>VLOOKUP(G4622,[1]硬件清单!$F:$F,1,0)</f>
        <v>210305756810HA001099</v>
      </c>
      <c r="K4622" s="43"/>
      <c r="L4622" s="44"/>
      <c r="M4622" s="45" t="s">
        <v>14129</v>
      </c>
    </row>
    <row r="4623" s="26" customFormat="1" ht="30" customHeight="1" spans="1:13">
      <c r="A4623" s="41">
        <f>IF(C4623="","",SUBTOTAL(103,$C$2:C4623))</f>
        <v>4614</v>
      </c>
      <c r="B4623" s="41">
        <v>2903</v>
      </c>
      <c r="C4623" s="41">
        <v>4004</v>
      </c>
      <c r="D4623" s="41" t="s">
        <v>45</v>
      </c>
      <c r="E4623" s="41" t="s">
        <v>1298</v>
      </c>
      <c r="F4623" s="41" t="s">
        <v>11893</v>
      </c>
      <c r="G4623" s="41" t="s">
        <v>14130</v>
      </c>
      <c r="H4623" s="41" t="s">
        <v>14131</v>
      </c>
      <c r="I4623" s="43">
        <v>12</v>
      </c>
      <c r="J4623" s="44" t="str">
        <f>VLOOKUP(G4623,[1]硬件清单!$F:$F,1,0)</f>
        <v>210305756810HA001060</v>
      </c>
      <c r="K4623" s="43"/>
      <c r="L4623" s="44"/>
      <c r="M4623" s="45" t="s">
        <v>14132</v>
      </c>
    </row>
    <row r="4624" s="26" customFormat="1" ht="30" customHeight="1" spans="1:13">
      <c r="A4624" s="41">
        <f>IF(C4624="","",SUBTOTAL(103,$C$2:C4624))</f>
        <v>4615</v>
      </c>
      <c r="B4624" s="41">
        <v>2904</v>
      </c>
      <c r="C4624" s="41">
        <v>4006</v>
      </c>
      <c r="D4624" s="41" t="s">
        <v>45</v>
      </c>
      <c r="E4624" s="41" t="s">
        <v>1298</v>
      </c>
      <c r="F4624" s="41" t="s">
        <v>11893</v>
      </c>
      <c r="G4624" s="41" t="s">
        <v>14133</v>
      </c>
      <c r="H4624" s="41" t="s">
        <v>14134</v>
      </c>
      <c r="I4624" s="43">
        <v>12</v>
      </c>
      <c r="J4624" s="44" t="str">
        <f>VLOOKUP(G4624,[1]硬件清单!$F:$F,1,0)</f>
        <v>210305756810HA001106</v>
      </c>
      <c r="K4624" s="43"/>
      <c r="L4624" s="44"/>
      <c r="M4624" s="45" t="s">
        <v>14135</v>
      </c>
    </row>
    <row r="4625" s="26" customFormat="1" ht="30" customHeight="1" spans="1:13">
      <c r="A4625" s="41">
        <f>IF(C4625="","",SUBTOTAL(103,$C$2:C4625))</f>
        <v>4616</v>
      </c>
      <c r="B4625" s="41">
        <v>2905</v>
      </c>
      <c r="C4625" s="41">
        <v>4005</v>
      </c>
      <c r="D4625" s="41" t="s">
        <v>45</v>
      </c>
      <c r="E4625" s="41" t="s">
        <v>1298</v>
      </c>
      <c r="F4625" s="41" t="s">
        <v>11893</v>
      </c>
      <c r="G4625" s="41" t="s">
        <v>14136</v>
      </c>
      <c r="H4625" s="41" t="s">
        <v>14137</v>
      </c>
      <c r="I4625" s="43">
        <v>12</v>
      </c>
      <c r="J4625" s="44" t="str">
        <f>VLOOKUP(G4625,[1]硬件清单!$F:$F,1,0)</f>
        <v>210305756810HA001075</v>
      </c>
      <c r="K4625" s="43"/>
      <c r="L4625" s="44"/>
      <c r="M4625" s="45" t="s">
        <v>14138</v>
      </c>
    </row>
    <row r="4626" s="26" customFormat="1" ht="30" customHeight="1" spans="1:13">
      <c r="A4626" s="41">
        <f>IF(C4626="","",SUBTOTAL(103,$C$2:C4626))</f>
        <v>4617</v>
      </c>
      <c r="B4626" s="41">
        <v>2906</v>
      </c>
      <c r="C4626" s="41">
        <v>4007</v>
      </c>
      <c r="D4626" s="41" t="s">
        <v>45</v>
      </c>
      <c r="E4626" s="41" t="s">
        <v>1298</v>
      </c>
      <c r="F4626" s="41" t="s">
        <v>11893</v>
      </c>
      <c r="G4626" s="41" t="s">
        <v>14139</v>
      </c>
      <c r="H4626" s="41" t="s">
        <v>14140</v>
      </c>
      <c r="I4626" s="43">
        <v>12</v>
      </c>
      <c r="J4626" s="44" t="str">
        <f>VLOOKUP(G4626,[1]硬件清单!$F:$F,1,0)</f>
        <v>210305756810HA001078</v>
      </c>
      <c r="K4626" s="43"/>
      <c r="L4626" s="44"/>
      <c r="M4626" s="45" t="s">
        <v>14141</v>
      </c>
    </row>
    <row r="4627" s="26" customFormat="1" ht="30" customHeight="1" spans="1:13">
      <c r="A4627" s="41">
        <f>IF(C4627="","",SUBTOTAL(103,$C$2:C4627))</f>
        <v>4618</v>
      </c>
      <c r="B4627" s="41">
        <v>2907</v>
      </c>
      <c r="C4627" s="41">
        <v>4008</v>
      </c>
      <c r="D4627" s="41" t="s">
        <v>45</v>
      </c>
      <c r="E4627" s="41" t="s">
        <v>1298</v>
      </c>
      <c r="F4627" s="41" t="s">
        <v>11893</v>
      </c>
      <c r="G4627" s="41" t="s">
        <v>14142</v>
      </c>
      <c r="H4627" s="41" t="s">
        <v>14143</v>
      </c>
      <c r="I4627" s="43">
        <v>12</v>
      </c>
      <c r="J4627" s="44" t="str">
        <f>VLOOKUP(G4627,[1]硬件清单!$F:$F,1,0)</f>
        <v>210305756810HA000769</v>
      </c>
      <c r="K4627" s="43"/>
      <c r="L4627" s="44"/>
      <c r="M4627" s="45" t="s">
        <v>14144</v>
      </c>
    </row>
    <row r="4628" s="26" customFormat="1" ht="30" customHeight="1" spans="1:13">
      <c r="A4628" s="41">
        <f>IF(C4628="","",SUBTOTAL(103,$C$2:C4628))</f>
        <v>4619</v>
      </c>
      <c r="B4628" s="41">
        <v>2908</v>
      </c>
      <c r="C4628" s="41">
        <v>3994</v>
      </c>
      <c r="D4628" s="41" t="s">
        <v>45</v>
      </c>
      <c r="E4628" s="41" t="s">
        <v>1298</v>
      </c>
      <c r="F4628" s="41" t="s">
        <v>11893</v>
      </c>
      <c r="G4628" s="41" t="s">
        <v>14145</v>
      </c>
      <c r="H4628" s="41" t="s">
        <v>14146</v>
      </c>
      <c r="I4628" s="43">
        <v>12</v>
      </c>
      <c r="J4628" s="44" t="str">
        <f>VLOOKUP(G4628,[1]硬件清单!$F:$F,1,0)</f>
        <v>210305756810HA001101</v>
      </c>
      <c r="K4628" s="43"/>
      <c r="L4628" s="44"/>
      <c r="M4628" s="45" t="s">
        <v>14147</v>
      </c>
    </row>
    <row r="4629" s="26" customFormat="1" ht="30" customHeight="1" spans="1:13">
      <c r="A4629" s="41">
        <f>IF(C4629="","",SUBTOTAL(103,$C$2:C4629))</f>
        <v>4620</v>
      </c>
      <c r="B4629" s="41">
        <v>2909</v>
      </c>
      <c r="C4629" s="41">
        <v>3995</v>
      </c>
      <c r="D4629" s="41" t="s">
        <v>45</v>
      </c>
      <c r="E4629" s="41" t="s">
        <v>1298</v>
      </c>
      <c r="F4629" s="41" t="s">
        <v>11893</v>
      </c>
      <c r="G4629" s="41" t="s">
        <v>14148</v>
      </c>
      <c r="H4629" s="41" t="s">
        <v>14149</v>
      </c>
      <c r="I4629" s="43">
        <v>12</v>
      </c>
      <c r="J4629" s="44" t="str">
        <f>VLOOKUP(G4629,[1]硬件清单!$F:$F,1,0)</f>
        <v>210305756810HA000934</v>
      </c>
      <c r="K4629" s="43"/>
      <c r="L4629" s="44"/>
      <c r="M4629" s="45" t="s">
        <v>14150</v>
      </c>
    </row>
    <row r="4630" s="26" customFormat="1" ht="30" customHeight="1" spans="1:13">
      <c r="A4630" s="41">
        <f>IF(C4630="","",SUBTOTAL(103,$C$2:C4630))</f>
        <v>4621</v>
      </c>
      <c r="B4630" s="41">
        <v>2910</v>
      </c>
      <c r="C4630" s="41">
        <v>3996</v>
      </c>
      <c r="D4630" s="41" t="s">
        <v>45</v>
      </c>
      <c r="E4630" s="41" t="s">
        <v>1298</v>
      </c>
      <c r="F4630" s="41" t="s">
        <v>11893</v>
      </c>
      <c r="G4630" s="41" t="s">
        <v>14151</v>
      </c>
      <c r="H4630" s="41" t="s">
        <v>14152</v>
      </c>
      <c r="I4630" s="43">
        <v>12</v>
      </c>
      <c r="J4630" s="44" t="str">
        <f>VLOOKUP(G4630,[1]硬件清单!$F:$F,1,0)</f>
        <v>210305756810HA001176</v>
      </c>
      <c r="K4630" s="43"/>
      <c r="L4630" s="44"/>
      <c r="M4630" s="45" t="s">
        <v>14153</v>
      </c>
    </row>
    <row r="4631" s="26" customFormat="1" ht="30" customHeight="1" spans="1:13">
      <c r="A4631" s="41">
        <f>IF(C4631="","",SUBTOTAL(103,$C$2:C4631))</f>
        <v>4622</v>
      </c>
      <c r="B4631" s="41">
        <v>2911</v>
      </c>
      <c r="C4631" s="41">
        <v>3997</v>
      </c>
      <c r="D4631" s="41" t="s">
        <v>45</v>
      </c>
      <c r="E4631" s="41" t="s">
        <v>1298</v>
      </c>
      <c r="F4631" s="41" t="s">
        <v>11893</v>
      </c>
      <c r="G4631" s="41" t="s">
        <v>14154</v>
      </c>
      <c r="H4631" s="41" t="s">
        <v>14155</v>
      </c>
      <c r="I4631" s="43">
        <v>12</v>
      </c>
      <c r="J4631" s="44" t="str">
        <f>VLOOKUP(G4631,[1]硬件清单!$F:$F,1,0)</f>
        <v>210305756810HA001125</v>
      </c>
      <c r="K4631" s="43"/>
      <c r="L4631" s="44"/>
      <c r="M4631" s="45" t="s">
        <v>14156</v>
      </c>
    </row>
    <row r="4632" s="26" customFormat="1" ht="30" customHeight="1" spans="1:13">
      <c r="A4632" s="41">
        <f>IF(C4632="","",SUBTOTAL(103,$C$2:C4632))</f>
        <v>4623</v>
      </c>
      <c r="B4632" s="41">
        <v>2912</v>
      </c>
      <c r="C4632" s="41">
        <v>3998</v>
      </c>
      <c r="D4632" s="41" t="s">
        <v>45</v>
      </c>
      <c r="E4632" s="41" t="s">
        <v>1298</v>
      </c>
      <c r="F4632" s="41" t="s">
        <v>11893</v>
      </c>
      <c r="G4632" s="41" t="s">
        <v>14157</v>
      </c>
      <c r="H4632" s="41" t="s">
        <v>14158</v>
      </c>
      <c r="I4632" s="43">
        <v>12</v>
      </c>
      <c r="J4632" s="44" t="str">
        <f>VLOOKUP(G4632,[1]硬件清单!$F:$F,1,0)</f>
        <v>210305756810HA000923</v>
      </c>
      <c r="K4632" s="43"/>
      <c r="L4632" s="44"/>
      <c r="M4632" s="45" t="s">
        <v>14159</v>
      </c>
    </row>
    <row r="4633" s="26" customFormat="1" ht="30" customHeight="1" spans="1:13">
      <c r="A4633" s="41">
        <f>IF(C4633="","",SUBTOTAL(103,$C$2:C4633))</f>
        <v>4624</v>
      </c>
      <c r="B4633" s="41">
        <v>2913</v>
      </c>
      <c r="C4633" s="41">
        <v>3999</v>
      </c>
      <c r="D4633" s="41" t="s">
        <v>45</v>
      </c>
      <c r="E4633" s="41" t="s">
        <v>1298</v>
      </c>
      <c r="F4633" s="41" t="s">
        <v>11893</v>
      </c>
      <c r="G4633" s="41" t="s">
        <v>14160</v>
      </c>
      <c r="H4633" s="41" t="s">
        <v>14161</v>
      </c>
      <c r="I4633" s="43">
        <v>12</v>
      </c>
      <c r="J4633" s="44" t="str">
        <f>VLOOKUP(G4633,[1]硬件清单!$F:$F,1,0)</f>
        <v>210305756810HA001127</v>
      </c>
      <c r="K4633" s="43"/>
      <c r="L4633" s="44"/>
      <c r="M4633" s="45" t="s">
        <v>14162</v>
      </c>
    </row>
    <row r="4634" s="26" customFormat="1" ht="30" customHeight="1" spans="1:13">
      <c r="A4634" s="41">
        <f>IF(C4634="","",SUBTOTAL(103,$C$2:C4634))</f>
        <v>4625</v>
      </c>
      <c r="B4634" s="41">
        <v>2914</v>
      </c>
      <c r="C4634" s="41">
        <v>4000</v>
      </c>
      <c r="D4634" s="41" t="s">
        <v>45</v>
      </c>
      <c r="E4634" s="41" t="s">
        <v>1298</v>
      </c>
      <c r="F4634" s="41" t="s">
        <v>11893</v>
      </c>
      <c r="G4634" s="41" t="s">
        <v>14163</v>
      </c>
      <c r="H4634" s="41" t="s">
        <v>14164</v>
      </c>
      <c r="I4634" s="43">
        <v>12</v>
      </c>
      <c r="J4634" s="44" t="str">
        <f>VLOOKUP(G4634,[1]硬件清单!$F:$F,1,0)</f>
        <v>210305756810HA001116</v>
      </c>
      <c r="K4634" s="43"/>
      <c r="L4634" s="44"/>
      <c r="M4634" s="45" t="s">
        <v>14165</v>
      </c>
    </row>
    <row r="4635" s="26" customFormat="1" ht="30" customHeight="1" spans="1:13">
      <c r="A4635" s="41">
        <f>IF(C4635="","",SUBTOTAL(103,$C$2:C4635))</f>
        <v>4626</v>
      </c>
      <c r="B4635" s="41">
        <v>2915</v>
      </c>
      <c r="C4635" s="41">
        <v>4001</v>
      </c>
      <c r="D4635" s="41" t="s">
        <v>45</v>
      </c>
      <c r="E4635" s="41" t="s">
        <v>1298</v>
      </c>
      <c r="F4635" s="41" t="s">
        <v>11893</v>
      </c>
      <c r="G4635" s="41" t="s">
        <v>14166</v>
      </c>
      <c r="H4635" s="41" t="s">
        <v>14167</v>
      </c>
      <c r="I4635" s="43">
        <v>12</v>
      </c>
      <c r="J4635" s="44" t="str">
        <f>VLOOKUP(G4635,[1]硬件清单!$F:$F,1,0)</f>
        <v>210305756810HA001111</v>
      </c>
      <c r="K4635" s="43"/>
      <c r="L4635" s="44"/>
      <c r="M4635" s="45" t="s">
        <v>14168</v>
      </c>
    </row>
    <row r="4636" s="26" customFormat="1" ht="30" customHeight="1" spans="1:13">
      <c r="A4636" s="41">
        <f>IF(C4636="","",SUBTOTAL(103,$C$2:C4636))</f>
        <v>4627</v>
      </c>
      <c r="B4636" s="41">
        <v>2916</v>
      </c>
      <c r="C4636" s="41">
        <v>4239</v>
      </c>
      <c r="D4636" s="41" t="s">
        <v>45</v>
      </c>
      <c r="E4636" s="41" t="s">
        <v>1298</v>
      </c>
      <c r="F4636" s="41" t="s">
        <v>11889</v>
      </c>
      <c r="G4636" s="41" t="s">
        <v>14169</v>
      </c>
      <c r="H4636" s="41" t="s">
        <v>14170</v>
      </c>
      <c r="I4636" s="43">
        <v>12</v>
      </c>
      <c r="J4636" s="44" t="str">
        <f>VLOOKUP(G4636,[1]硬件清单!$F:$F,1,0)</f>
        <v>2102300742N0H9000557/210230102810HA000043</v>
      </c>
      <c r="K4636" s="43"/>
      <c r="L4636" s="44"/>
      <c r="M4636" s="45" t="s">
        <v>14171</v>
      </c>
    </row>
    <row r="4637" s="26" customFormat="1" ht="30" customHeight="1" spans="1:13">
      <c r="A4637" s="41">
        <f>IF(C4637="","",SUBTOTAL(103,$C$2:C4637))</f>
        <v>4628</v>
      </c>
      <c r="B4637" s="41">
        <v>2917</v>
      </c>
      <c r="C4637" s="41">
        <v>4065</v>
      </c>
      <c r="D4637" s="41" t="s">
        <v>45</v>
      </c>
      <c r="E4637" s="41" t="s">
        <v>1298</v>
      </c>
      <c r="F4637" s="41" t="s">
        <v>11893</v>
      </c>
      <c r="G4637" s="41" t="s">
        <v>14172</v>
      </c>
      <c r="H4637" s="41" t="s">
        <v>14173</v>
      </c>
      <c r="I4637" s="43">
        <v>12</v>
      </c>
      <c r="J4637" s="44" t="str">
        <f>VLOOKUP(G4637,[1]硬件清单!$F:$F,1,0)</f>
        <v>210305756810HA000843</v>
      </c>
      <c r="K4637" s="43"/>
      <c r="L4637" s="44"/>
      <c r="M4637" s="45" t="s">
        <v>14174</v>
      </c>
    </row>
    <row r="4638" s="26" customFormat="1" ht="30" customHeight="1" spans="1:13">
      <c r="A4638" s="41">
        <f>IF(C4638="","",SUBTOTAL(103,$C$2:C4638))</f>
        <v>4629</v>
      </c>
      <c r="B4638" s="41">
        <v>2918</v>
      </c>
      <c r="C4638" s="41">
        <v>4074</v>
      </c>
      <c r="D4638" s="41" t="s">
        <v>45</v>
      </c>
      <c r="E4638" s="41" t="s">
        <v>1298</v>
      </c>
      <c r="F4638" s="41" t="s">
        <v>11893</v>
      </c>
      <c r="G4638" s="41" t="s">
        <v>13920</v>
      </c>
      <c r="H4638" s="41" t="s">
        <v>14175</v>
      </c>
      <c r="I4638" s="43">
        <v>12</v>
      </c>
      <c r="J4638" s="44" t="str">
        <f>VLOOKUP(G4638,[1]硬件清单!$F:$F,1,0)</f>
        <v>210305756810HA000850</v>
      </c>
      <c r="K4638" s="43"/>
      <c r="L4638" s="44"/>
      <c r="M4638" s="45" t="s">
        <v>14176</v>
      </c>
    </row>
    <row r="4639" s="26" customFormat="1" ht="30" customHeight="1" spans="1:13">
      <c r="A4639" s="41">
        <f>IF(C4639="","",SUBTOTAL(103,$C$2:C4639))</f>
        <v>4630</v>
      </c>
      <c r="B4639" s="41">
        <v>2919</v>
      </c>
      <c r="C4639" s="41">
        <v>4075</v>
      </c>
      <c r="D4639" s="41" t="s">
        <v>45</v>
      </c>
      <c r="E4639" s="41" t="s">
        <v>1298</v>
      </c>
      <c r="F4639" s="41" t="s">
        <v>11893</v>
      </c>
      <c r="G4639" s="41" t="s">
        <v>14177</v>
      </c>
      <c r="H4639" s="41" t="s">
        <v>14178</v>
      </c>
      <c r="I4639" s="43">
        <v>12</v>
      </c>
      <c r="J4639" s="44" t="str">
        <f>VLOOKUP(G4639,[1]硬件清单!$F:$F,1,0)</f>
        <v>210305756810HA000854</v>
      </c>
      <c r="K4639" s="43"/>
      <c r="L4639" s="44"/>
      <c r="M4639" s="45" t="s">
        <v>14179</v>
      </c>
    </row>
    <row r="4640" s="26" customFormat="1" ht="30" customHeight="1" spans="1:13">
      <c r="A4640" s="41">
        <f>IF(C4640="","",SUBTOTAL(103,$C$2:C4640))</f>
        <v>4631</v>
      </c>
      <c r="B4640" s="41">
        <v>2920</v>
      </c>
      <c r="C4640" s="41">
        <v>4076</v>
      </c>
      <c r="D4640" s="41" t="s">
        <v>45</v>
      </c>
      <c r="E4640" s="41" t="s">
        <v>1298</v>
      </c>
      <c r="F4640" s="41" t="s">
        <v>11893</v>
      </c>
      <c r="G4640" s="41" t="s">
        <v>14180</v>
      </c>
      <c r="H4640" s="41" t="s">
        <v>14181</v>
      </c>
      <c r="I4640" s="43">
        <v>12</v>
      </c>
      <c r="J4640" s="44" t="str">
        <f>VLOOKUP(G4640,[1]硬件清单!$F:$F,1,0)</f>
        <v>210305756810HA001154</v>
      </c>
      <c r="K4640" s="43"/>
      <c r="L4640" s="44"/>
      <c r="M4640" s="45" t="s">
        <v>14182</v>
      </c>
    </row>
    <row r="4641" s="26" customFormat="1" ht="30" customHeight="1" spans="1:13">
      <c r="A4641" s="41">
        <f>IF(C4641="","",SUBTOTAL(103,$C$2:C4641))</f>
        <v>4632</v>
      </c>
      <c r="B4641" s="41">
        <v>2921</v>
      </c>
      <c r="C4641" s="41">
        <v>4158</v>
      </c>
      <c r="D4641" s="41" t="s">
        <v>45</v>
      </c>
      <c r="E4641" s="41" t="s">
        <v>1298</v>
      </c>
      <c r="F4641" s="41" t="s">
        <v>11893</v>
      </c>
      <c r="G4641" s="41" t="s">
        <v>14183</v>
      </c>
      <c r="H4641" s="41" t="s">
        <v>14184</v>
      </c>
      <c r="I4641" s="43">
        <v>12</v>
      </c>
      <c r="J4641" s="44" t="str">
        <f>VLOOKUP(G4641,[1]硬件清单!$F:$F,1,0)</f>
        <v>210305756810HA001100</v>
      </c>
      <c r="K4641" s="43"/>
      <c r="L4641" s="44"/>
      <c r="M4641" s="45" t="s">
        <v>14185</v>
      </c>
    </row>
    <row r="4642" s="26" customFormat="1" ht="30" customHeight="1" spans="1:13">
      <c r="A4642" s="41">
        <f>IF(C4642="","",SUBTOTAL(103,$C$2:C4642))</f>
        <v>4633</v>
      </c>
      <c r="B4642" s="41">
        <v>2922</v>
      </c>
      <c r="C4642" s="41">
        <v>4159</v>
      </c>
      <c r="D4642" s="41" t="s">
        <v>45</v>
      </c>
      <c r="E4642" s="41" t="s">
        <v>1298</v>
      </c>
      <c r="F4642" s="41" t="s">
        <v>11893</v>
      </c>
      <c r="G4642" s="41" t="s">
        <v>14186</v>
      </c>
      <c r="H4642" s="41" t="s">
        <v>14187</v>
      </c>
      <c r="I4642" s="43">
        <v>12</v>
      </c>
      <c r="J4642" s="44" t="str">
        <f>VLOOKUP(G4642,[1]硬件清单!$F:$F,1,0)</f>
        <v>210305756810HA000831</v>
      </c>
      <c r="K4642" s="43"/>
      <c r="L4642" s="44"/>
      <c r="M4642" s="45" t="s">
        <v>14188</v>
      </c>
    </row>
    <row r="4643" s="26" customFormat="1" ht="30" customHeight="1" spans="1:13">
      <c r="A4643" s="41">
        <f>IF(C4643="","",SUBTOTAL(103,$C$2:C4643))</f>
        <v>4634</v>
      </c>
      <c r="B4643" s="41">
        <v>2923</v>
      </c>
      <c r="C4643" s="41">
        <v>4518</v>
      </c>
      <c r="D4643" s="41" t="s">
        <v>45</v>
      </c>
      <c r="E4643" s="41" t="s">
        <v>1298</v>
      </c>
      <c r="F4643" s="41" t="s">
        <v>6065</v>
      </c>
      <c r="G4643" s="41" t="s">
        <v>14189</v>
      </c>
      <c r="H4643" s="41" t="s">
        <v>14190</v>
      </c>
      <c r="I4643" s="43">
        <v>12</v>
      </c>
      <c r="J4643" s="44" t="str">
        <f>VLOOKUP(G4643,[1]硬件清单!$F:$F,1,0)</f>
        <v>210305756810HA000711</v>
      </c>
      <c r="K4643" s="43"/>
      <c r="L4643" s="44"/>
      <c r="M4643" s="45" t="s">
        <v>14191</v>
      </c>
    </row>
    <row r="4644" s="26" customFormat="1" ht="30" customHeight="1" spans="1:13">
      <c r="A4644" s="41">
        <f>IF(C4644="","",SUBTOTAL(103,$C$2:C4644))</f>
        <v>4635</v>
      </c>
      <c r="B4644" s="41">
        <v>2924</v>
      </c>
      <c r="C4644" s="41">
        <v>4519</v>
      </c>
      <c r="D4644" s="41" t="s">
        <v>45</v>
      </c>
      <c r="E4644" s="41" t="s">
        <v>1298</v>
      </c>
      <c r="F4644" s="41" t="s">
        <v>6065</v>
      </c>
      <c r="G4644" s="41" t="s">
        <v>14192</v>
      </c>
      <c r="H4644" s="41" t="s">
        <v>14193</v>
      </c>
      <c r="I4644" s="43">
        <v>12</v>
      </c>
      <c r="J4644" s="44" t="str">
        <f>VLOOKUP(G4644,[1]硬件清单!$F:$F,1,0)</f>
        <v>210305756810HA000846</v>
      </c>
      <c r="K4644" s="43"/>
      <c r="L4644" s="44"/>
      <c r="M4644" s="45" t="s">
        <v>14194</v>
      </c>
    </row>
    <row r="4645" s="26" customFormat="1" ht="30" customHeight="1" spans="1:13">
      <c r="A4645" s="41">
        <f>IF(C4645="","",SUBTOTAL(103,$C$2:C4645))</f>
        <v>4636</v>
      </c>
      <c r="B4645" s="41">
        <v>2925</v>
      </c>
      <c r="C4645" s="41">
        <v>4066</v>
      </c>
      <c r="D4645" s="41" t="s">
        <v>45</v>
      </c>
      <c r="E4645" s="41" t="s">
        <v>1298</v>
      </c>
      <c r="F4645" s="41" t="s">
        <v>11893</v>
      </c>
      <c r="G4645" s="41" t="s">
        <v>14195</v>
      </c>
      <c r="H4645" s="41" t="s">
        <v>14196</v>
      </c>
      <c r="I4645" s="43">
        <v>12</v>
      </c>
      <c r="J4645" s="44" t="str">
        <f>VLOOKUP(G4645,[1]硬件清单!$F:$F,1,0)</f>
        <v>210305756810HA000872</v>
      </c>
      <c r="K4645" s="43"/>
      <c r="L4645" s="44"/>
      <c r="M4645" s="45" t="s">
        <v>14197</v>
      </c>
    </row>
    <row r="4646" s="26" customFormat="1" ht="30" customHeight="1" spans="1:13">
      <c r="A4646" s="41">
        <f>IF(C4646="","",SUBTOTAL(103,$C$2:C4646))</f>
        <v>4637</v>
      </c>
      <c r="B4646" s="41">
        <v>2926</v>
      </c>
      <c r="C4646" s="41">
        <v>4067</v>
      </c>
      <c r="D4646" s="41" t="s">
        <v>45</v>
      </c>
      <c r="E4646" s="41" t="s">
        <v>1298</v>
      </c>
      <c r="F4646" s="41" t="s">
        <v>11893</v>
      </c>
      <c r="G4646" s="41" t="s">
        <v>14198</v>
      </c>
      <c r="H4646" s="41" t="s">
        <v>14199</v>
      </c>
      <c r="I4646" s="43">
        <v>12</v>
      </c>
      <c r="J4646" s="44" t="str">
        <f>VLOOKUP(G4646,[1]硬件清单!$F:$F,1,0)</f>
        <v>210305756810HA000867</v>
      </c>
      <c r="K4646" s="43"/>
      <c r="L4646" s="44"/>
      <c r="M4646" s="45" t="s">
        <v>14200</v>
      </c>
    </row>
    <row r="4647" s="26" customFormat="1" ht="30" customHeight="1" spans="1:13">
      <c r="A4647" s="41">
        <f>IF(C4647="","",SUBTOTAL(103,$C$2:C4647))</f>
        <v>4638</v>
      </c>
      <c r="B4647" s="41">
        <v>2927</v>
      </c>
      <c r="C4647" s="41">
        <v>4068</v>
      </c>
      <c r="D4647" s="41" t="s">
        <v>45</v>
      </c>
      <c r="E4647" s="41" t="s">
        <v>1298</v>
      </c>
      <c r="F4647" s="41" t="s">
        <v>11893</v>
      </c>
      <c r="G4647" s="41" t="s">
        <v>14201</v>
      </c>
      <c r="H4647" s="41" t="s">
        <v>14202</v>
      </c>
      <c r="I4647" s="43">
        <v>12</v>
      </c>
      <c r="J4647" s="44" t="str">
        <f>VLOOKUP(G4647,[1]硬件清单!$F:$F,1,0)</f>
        <v>210305756810HA000876</v>
      </c>
      <c r="K4647" s="43"/>
      <c r="L4647" s="44"/>
      <c r="M4647" s="45" t="s">
        <v>14203</v>
      </c>
    </row>
    <row r="4648" s="26" customFormat="1" ht="30" customHeight="1" spans="1:13">
      <c r="A4648" s="41">
        <f>IF(C4648="","",SUBTOTAL(103,$C$2:C4648))</f>
        <v>4639</v>
      </c>
      <c r="B4648" s="41">
        <v>2928</v>
      </c>
      <c r="C4648" s="41">
        <v>4069</v>
      </c>
      <c r="D4648" s="41" t="s">
        <v>45</v>
      </c>
      <c r="E4648" s="41" t="s">
        <v>1298</v>
      </c>
      <c r="F4648" s="41" t="s">
        <v>11893</v>
      </c>
      <c r="G4648" s="41" t="s">
        <v>14204</v>
      </c>
      <c r="H4648" s="41" t="s">
        <v>14205</v>
      </c>
      <c r="I4648" s="43">
        <v>12</v>
      </c>
      <c r="J4648" s="44" t="str">
        <f>VLOOKUP(G4648,[1]硬件清单!$F:$F,1,0)</f>
        <v>210305756810HA001170</v>
      </c>
      <c r="K4648" s="43"/>
      <c r="L4648" s="44"/>
      <c r="M4648" s="45" t="s">
        <v>14206</v>
      </c>
    </row>
    <row r="4649" s="26" customFormat="1" ht="30" customHeight="1" spans="1:13">
      <c r="A4649" s="41">
        <f>IF(C4649="","",SUBTOTAL(103,$C$2:C4649))</f>
        <v>4640</v>
      </c>
      <c r="B4649" s="41">
        <v>2929</v>
      </c>
      <c r="C4649" s="41">
        <v>4070</v>
      </c>
      <c r="D4649" s="41" t="s">
        <v>45</v>
      </c>
      <c r="E4649" s="41" t="s">
        <v>1298</v>
      </c>
      <c r="F4649" s="41" t="s">
        <v>11893</v>
      </c>
      <c r="G4649" s="41" t="s">
        <v>14207</v>
      </c>
      <c r="H4649" s="41" t="s">
        <v>14208</v>
      </c>
      <c r="I4649" s="43">
        <v>12</v>
      </c>
      <c r="J4649" s="44" t="str">
        <f>VLOOKUP(G4649,[1]硬件清单!$F:$F,1,0)</f>
        <v>210305756810HA000883</v>
      </c>
      <c r="K4649" s="43"/>
      <c r="L4649" s="44"/>
      <c r="M4649" s="45" t="s">
        <v>14209</v>
      </c>
    </row>
    <row r="4650" s="26" customFormat="1" ht="30" customHeight="1" spans="1:13">
      <c r="A4650" s="41">
        <f>IF(C4650="","",SUBTOTAL(103,$C$2:C4650))</f>
        <v>4641</v>
      </c>
      <c r="B4650" s="41">
        <v>2930</v>
      </c>
      <c r="C4650" s="41">
        <v>4071</v>
      </c>
      <c r="D4650" s="41" t="s">
        <v>45</v>
      </c>
      <c r="E4650" s="41" t="s">
        <v>1298</v>
      </c>
      <c r="F4650" s="41" t="s">
        <v>11893</v>
      </c>
      <c r="G4650" s="41" t="s">
        <v>14210</v>
      </c>
      <c r="H4650" s="41" t="s">
        <v>14211</v>
      </c>
      <c r="I4650" s="43">
        <v>12</v>
      </c>
      <c r="J4650" s="44" t="str">
        <f>VLOOKUP(G4650,[1]硬件清单!$F:$F,1,0)</f>
        <v>210305756810HA000873</v>
      </c>
      <c r="K4650" s="43"/>
      <c r="L4650" s="44"/>
      <c r="M4650" s="45" t="s">
        <v>14212</v>
      </c>
    </row>
    <row r="4651" s="26" customFormat="1" ht="30" customHeight="1" spans="1:13">
      <c r="A4651" s="41">
        <f>IF(C4651="","",SUBTOTAL(103,$C$2:C4651))</f>
        <v>4642</v>
      </c>
      <c r="B4651" s="41">
        <v>2931</v>
      </c>
      <c r="C4651" s="41">
        <v>4072</v>
      </c>
      <c r="D4651" s="41" t="s">
        <v>45</v>
      </c>
      <c r="E4651" s="41" t="s">
        <v>1298</v>
      </c>
      <c r="F4651" s="41" t="s">
        <v>11893</v>
      </c>
      <c r="G4651" s="41" t="s">
        <v>14213</v>
      </c>
      <c r="H4651" s="41" t="s">
        <v>14214</v>
      </c>
      <c r="I4651" s="43">
        <v>12</v>
      </c>
      <c r="J4651" s="44" t="str">
        <f>VLOOKUP(G4651,[1]硬件清单!$F:$F,1,0)</f>
        <v>210305756810HA000859</v>
      </c>
      <c r="K4651" s="43"/>
      <c r="L4651" s="44"/>
      <c r="M4651" s="45" t="s">
        <v>14215</v>
      </c>
    </row>
    <row r="4652" s="26" customFormat="1" ht="30" customHeight="1" spans="1:13">
      <c r="A4652" s="41">
        <f>IF(C4652="","",SUBTOTAL(103,$C$2:C4652))</f>
        <v>4643</v>
      </c>
      <c r="B4652" s="41">
        <v>2932</v>
      </c>
      <c r="C4652" s="41">
        <v>4073</v>
      </c>
      <c r="D4652" s="41" t="s">
        <v>45</v>
      </c>
      <c r="E4652" s="41" t="s">
        <v>1298</v>
      </c>
      <c r="F4652" s="41" t="s">
        <v>11893</v>
      </c>
      <c r="G4652" s="41" t="s">
        <v>14216</v>
      </c>
      <c r="H4652" s="41" t="s">
        <v>14217</v>
      </c>
      <c r="I4652" s="43">
        <v>12</v>
      </c>
      <c r="J4652" s="44" t="str">
        <f>VLOOKUP(G4652,[1]硬件清单!$F:$F,1,0)</f>
        <v>210305756810HA001071</v>
      </c>
      <c r="K4652" s="43"/>
      <c r="L4652" s="44"/>
      <c r="M4652" s="45" t="s">
        <v>14218</v>
      </c>
    </row>
    <row r="4653" s="26" customFormat="1" ht="30" customHeight="1" spans="1:13">
      <c r="A4653" s="41">
        <f>IF(C4653="","",SUBTOTAL(103,$C$2:C4653))</f>
        <v>4644</v>
      </c>
      <c r="B4653" s="41">
        <v>2933</v>
      </c>
      <c r="C4653" s="41">
        <v>4238</v>
      </c>
      <c r="D4653" s="41" t="s">
        <v>45</v>
      </c>
      <c r="E4653" s="41" t="s">
        <v>1298</v>
      </c>
      <c r="F4653" s="41" t="s">
        <v>11889</v>
      </c>
      <c r="G4653" s="41" t="s">
        <v>14219</v>
      </c>
      <c r="H4653" s="41" t="s">
        <v>14220</v>
      </c>
      <c r="I4653" s="43">
        <v>12</v>
      </c>
      <c r="J4653" s="44" t="str">
        <f>VLOOKUP(G4653,[1]硬件清单!$F:$F,1,0)</f>
        <v>2102300742N0H9000550/210230102810HA000015</v>
      </c>
      <c r="K4653" s="43"/>
      <c r="L4653" s="44"/>
      <c r="M4653" s="45" t="s">
        <v>14221</v>
      </c>
    </row>
    <row r="4654" s="26" customFormat="1" ht="30" customHeight="1" spans="1:13">
      <c r="A4654" s="41">
        <f>IF(C4654="","",SUBTOTAL(103,$C$2:C4654))</f>
        <v>4645</v>
      </c>
      <c r="B4654" s="41">
        <v>2934</v>
      </c>
      <c r="C4654" s="41">
        <v>4077</v>
      </c>
      <c r="D4654" s="41" t="s">
        <v>45</v>
      </c>
      <c r="E4654" s="41" t="s">
        <v>1298</v>
      </c>
      <c r="F4654" s="41" t="s">
        <v>11893</v>
      </c>
      <c r="G4654" s="41" t="s">
        <v>14222</v>
      </c>
      <c r="H4654" s="41" t="s">
        <v>14223</v>
      </c>
      <c r="I4654" s="43">
        <v>12</v>
      </c>
      <c r="J4654" s="44" t="str">
        <f>VLOOKUP(G4654,[1]硬件清单!$F:$F,1,0)</f>
        <v>210305756810HA001171</v>
      </c>
      <c r="K4654" s="43"/>
      <c r="L4654" s="44"/>
      <c r="M4654" s="45" t="s">
        <v>14224</v>
      </c>
    </row>
    <row r="4655" s="26" customFormat="1" ht="30" customHeight="1" spans="1:13">
      <c r="A4655" s="41">
        <f>IF(C4655="","",SUBTOTAL(103,$C$2:C4655))</f>
        <v>4646</v>
      </c>
      <c r="B4655" s="41">
        <v>2935</v>
      </c>
      <c r="C4655" s="41">
        <v>4101</v>
      </c>
      <c r="D4655" s="41" t="s">
        <v>45</v>
      </c>
      <c r="E4655" s="41" t="s">
        <v>1298</v>
      </c>
      <c r="F4655" s="41" t="s">
        <v>11893</v>
      </c>
      <c r="G4655" s="41" t="s">
        <v>14225</v>
      </c>
      <c r="H4655" s="41" t="s">
        <v>14226</v>
      </c>
      <c r="I4655" s="43">
        <v>12</v>
      </c>
      <c r="J4655" s="44" t="str">
        <f>VLOOKUP(G4655,[1]硬件清单!$F:$F,1,0)</f>
        <v>210305756810HA000853</v>
      </c>
      <c r="K4655" s="43"/>
      <c r="L4655" s="44"/>
      <c r="M4655" s="45" t="s">
        <v>14227</v>
      </c>
    </row>
    <row r="4656" ht="30" customHeight="1" spans="1:13">
      <c r="A4656" s="41">
        <f>IF(C4656="","",SUBTOTAL(103,$C$2:C4656))</f>
        <v>4647</v>
      </c>
      <c r="B4656" s="41">
        <v>2936</v>
      </c>
      <c r="C4656" s="41">
        <v>4102</v>
      </c>
      <c r="D4656" s="41" t="s">
        <v>45</v>
      </c>
      <c r="E4656" s="41" t="s">
        <v>1298</v>
      </c>
      <c r="F4656" s="41" t="s">
        <v>11893</v>
      </c>
      <c r="G4656" s="41" t="s">
        <v>14228</v>
      </c>
      <c r="H4656" s="41" t="s">
        <v>14229</v>
      </c>
      <c r="I4656" s="43">
        <v>12</v>
      </c>
      <c r="J4656" s="44" t="str">
        <f>VLOOKUP(G4656,[1]硬件清单!$F:$F,1,0)</f>
        <v>210305756810HA000707</v>
      </c>
      <c r="K4656" s="43"/>
      <c r="L4656" s="44"/>
      <c r="M4656" s="45" t="s">
        <v>14230</v>
      </c>
    </row>
    <row r="4657" ht="30" customHeight="1" spans="1:13">
      <c r="A4657" s="41">
        <f>IF(C4657="","",SUBTOTAL(103,$C$2:C4657))</f>
        <v>4648</v>
      </c>
      <c r="B4657" s="41">
        <v>2937</v>
      </c>
      <c r="C4657" s="41">
        <v>4103</v>
      </c>
      <c r="D4657" s="41" t="s">
        <v>45</v>
      </c>
      <c r="E4657" s="41" t="s">
        <v>1298</v>
      </c>
      <c r="F4657" s="41" t="s">
        <v>11893</v>
      </c>
      <c r="G4657" s="41" t="s">
        <v>14231</v>
      </c>
      <c r="H4657" s="41" t="s">
        <v>14232</v>
      </c>
      <c r="I4657" s="43">
        <v>12</v>
      </c>
      <c r="J4657" s="44" t="str">
        <f>VLOOKUP(G4657,[1]硬件清单!$F:$F,1,0)</f>
        <v>210305756810HA001178</v>
      </c>
      <c r="K4657" s="43"/>
      <c r="L4657" s="44"/>
      <c r="M4657" s="45" t="s">
        <v>14233</v>
      </c>
    </row>
    <row r="4658" ht="30" customHeight="1" spans="1:13">
      <c r="A4658" s="41">
        <f>IF(C4658="","",SUBTOTAL(103,$C$2:C4658))</f>
        <v>4649</v>
      </c>
      <c r="B4658" s="41">
        <v>2938</v>
      </c>
      <c r="C4658" s="41">
        <v>4104</v>
      </c>
      <c r="D4658" s="41" t="s">
        <v>45</v>
      </c>
      <c r="E4658" s="41" t="s">
        <v>1298</v>
      </c>
      <c r="F4658" s="41" t="s">
        <v>11893</v>
      </c>
      <c r="G4658" s="41" t="s">
        <v>14234</v>
      </c>
      <c r="H4658" s="41" t="s">
        <v>14235</v>
      </c>
      <c r="I4658" s="43">
        <v>12</v>
      </c>
      <c r="J4658" s="44" t="str">
        <f>VLOOKUP(G4658,[1]硬件清单!$F:$F,1,0)</f>
        <v>210305756810HA000913</v>
      </c>
      <c r="K4658" s="43"/>
      <c r="L4658" s="44"/>
      <c r="M4658" s="45" t="s">
        <v>14236</v>
      </c>
    </row>
    <row r="4659" ht="30" customHeight="1" spans="1:13">
      <c r="A4659" s="41">
        <f>IF(C4659="","",SUBTOTAL(103,$C$2:C4659))</f>
        <v>4650</v>
      </c>
      <c r="B4659" s="41">
        <v>2939</v>
      </c>
      <c r="C4659" s="41">
        <v>4105</v>
      </c>
      <c r="D4659" s="41" t="s">
        <v>45</v>
      </c>
      <c r="E4659" s="41" t="s">
        <v>1298</v>
      </c>
      <c r="F4659" s="41" t="s">
        <v>11893</v>
      </c>
      <c r="G4659" s="41" t="s">
        <v>14237</v>
      </c>
      <c r="H4659" s="41" t="s">
        <v>14238</v>
      </c>
      <c r="I4659" s="43">
        <v>12</v>
      </c>
      <c r="J4659" s="44" t="str">
        <f>VLOOKUP(G4659,[1]硬件清单!$F:$F,1,0)</f>
        <v>210305756810HA000851</v>
      </c>
      <c r="K4659" s="43"/>
      <c r="L4659" s="44"/>
      <c r="M4659" s="45" t="s">
        <v>14239</v>
      </c>
    </row>
    <row r="4660" ht="30" customHeight="1" spans="1:13">
      <c r="A4660" s="41">
        <f>IF(C4660="","",SUBTOTAL(103,$C$2:C4660))</f>
        <v>4651</v>
      </c>
      <c r="B4660" s="41">
        <v>2940</v>
      </c>
      <c r="C4660" s="41">
        <v>4106</v>
      </c>
      <c r="D4660" s="41" t="s">
        <v>45</v>
      </c>
      <c r="E4660" s="41" t="s">
        <v>1298</v>
      </c>
      <c r="F4660" s="41" t="s">
        <v>11893</v>
      </c>
      <c r="G4660" s="41" t="s">
        <v>14240</v>
      </c>
      <c r="H4660" s="41" t="s">
        <v>14241</v>
      </c>
      <c r="I4660" s="43">
        <v>12</v>
      </c>
      <c r="J4660" s="44" t="str">
        <f>VLOOKUP(G4660,[1]硬件清单!$F:$F,1,0)</f>
        <v>210305756810HA000947</v>
      </c>
      <c r="K4660" s="43"/>
      <c r="L4660" s="44"/>
      <c r="M4660" s="45" t="s">
        <v>14242</v>
      </c>
    </row>
    <row r="4661" ht="30" customHeight="1" spans="1:13">
      <c r="A4661" s="41">
        <f>IF(C4661="","",SUBTOTAL(103,$C$2:C4661))</f>
        <v>4652</v>
      </c>
      <c r="B4661" s="41">
        <v>2941</v>
      </c>
      <c r="C4661" s="41">
        <v>4107</v>
      </c>
      <c r="D4661" s="41" t="s">
        <v>45</v>
      </c>
      <c r="E4661" s="41" t="s">
        <v>1298</v>
      </c>
      <c r="F4661" s="41" t="s">
        <v>11893</v>
      </c>
      <c r="G4661" s="41" t="s">
        <v>14243</v>
      </c>
      <c r="H4661" s="41" t="s">
        <v>14244</v>
      </c>
      <c r="I4661" s="43">
        <v>12</v>
      </c>
      <c r="J4661" s="44" t="str">
        <f>VLOOKUP(G4661,[1]硬件清单!$F:$F,1,0)</f>
        <v>210305756810HA000929</v>
      </c>
      <c r="K4661" s="43"/>
      <c r="L4661" s="44"/>
      <c r="M4661" s="45" t="s">
        <v>14245</v>
      </c>
    </row>
    <row r="4662" ht="30" customHeight="1" spans="1:13">
      <c r="A4662" s="41">
        <f>IF(C4662="","",SUBTOTAL(103,$C$2:C4662))</f>
        <v>4653</v>
      </c>
      <c r="B4662" s="41">
        <v>2942</v>
      </c>
      <c r="C4662" s="41">
        <v>4078</v>
      </c>
      <c r="D4662" s="41" t="s">
        <v>45</v>
      </c>
      <c r="E4662" s="41" t="s">
        <v>1298</v>
      </c>
      <c r="F4662" s="41" t="s">
        <v>11893</v>
      </c>
      <c r="G4662" s="41" t="s">
        <v>14246</v>
      </c>
      <c r="H4662" s="41" t="s">
        <v>14247</v>
      </c>
      <c r="I4662" s="43">
        <v>12</v>
      </c>
      <c r="J4662" s="44" t="str">
        <f>VLOOKUP(G4662,[1]硬件清单!$F:$F,1,0)</f>
        <v>210305756810HA000869</v>
      </c>
      <c r="K4662" s="43"/>
      <c r="L4662" s="44"/>
      <c r="M4662" s="45" t="s">
        <v>14248</v>
      </c>
    </row>
    <row r="4663" ht="30" customHeight="1" spans="1:13">
      <c r="A4663" s="41">
        <f>IF(C4663="","",SUBTOTAL(103,$C$2:C4663))</f>
        <v>4654</v>
      </c>
      <c r="B4663" s="41">
        <v>2943</v>
      </c>
      <c r="C4663" s="41">
        <v>4079</v>
      </c>
      <c r="D4663" s="41" t="s">
        <v>45</v>
      </c>
      <c r="E4663" s="41" t="s">
        <v>1298</v>
      </c>
      <c r="F4663" s="41" t="s">
        <v>11893</v>
      </c>
      <c r="G4663" s="41" t="s">
        <v>14249</v>
      </c>
      <c r="H4663" s="41" t="s">
        <v>14250</v>
      </c>
      <c r="I4663" s="43">
        <v>12</v>
      </c>
      <c r="J4663" s="44" t="str">
        <f>VLOOKUP(G4663,[1]硬件清单!$F:$F,1,0)</f>
        <v>210305756810HA000848</v>
      </c>
      <c r="K4663" s="43"/>
      <c r="L4663" s="44"/>
      <c r="M4663" s="45" t="s">
        <v>14251</v>
      </c>
    </row>
    <row r="4664" s="26" customFormat="1" ht="30" customHeight="1" spans="1:13">
      <c r="A4664" s="41">
        <f>IF(C4664="","",SUBTOTAL(103,$C$2:C4664))</f>
        <v>4655</v>
      </c>
      <c r="B4664" s="41">
        <v>2944</v>
      </c>
      <c r="C4664" s="41">
        <v>4080</v>
      </c>
      <c r="D4664" s="41" t="s">
        <v>45</v>
      </c>
      <c r="E4664" s="41" t="s">
        <v>1298</v>
      </c>
      <c r="F4664" s="41" t="s">
        <v>11893</v>
      </c>
      <c r="G4664" s="41" t="s">
        <v>14252</v>
      </c>
      <c r="H4664" s="41" t="s">
        <v>14253</v>
      </c>
      <c r="I4664" s="43">
        <v>12</v>
      </c>
      <c r="J4664" s="44" t="str">
        <f>VLOOKUP(G4664,[1]硬件清单!$F:$F,1,0)</f>
        <v>210305756810HA000761</v>
      </c>
      <c r="K4664" s="43"/>
      <c r="L4664" s="44"/>
      <c r="M4664" s="45" t="s">
        <v>14254</v>
      </c>
    </row>
    <row r="4665" s="26" customFormat="1" ht="30" customHeight="1" spans="1:13">
      <c r="A4665" s="41">
        <f>IF(C4665="","",SUBTOTAL(103,$C$2:C4665))</f>
        <v>4656</v>
      </c>
      <c r="B4665" s="41">
        <v>2945</v>
      </c>
      <c r="C4665" s="41">
        <v>4081</v>
      </c>
      <c r="D4665" s="41" t="s">
        <v>45</v>
      </c>
      <c r="E4665" s="41" t="s">
        <v>1298</v>
      </c>
      <c r="F4665" s="41" t="s">
        <v>11893</v>
      </c>
      <c r="G4665" s="41" t="s">
        <v>14255</v>
      </c>
      <c r="H4665" s="41" t="s">
        <v>14256</v>
      </c>
      <c r="I4665" s="43">
        <v>12</v>
      </c>
      <c r="J4665" s="44" t="str">
        <f>VLOOKUP(G4665,[1]硬件清单!$F:$F,1,0)</f>
        <v>210305756810HA000755</v>
      </c>
      <c r="K4665" s="43"/>
      <c r="L4665" s="44"/>
      <c r="M4665" s="45" t="s">
        <v>14257</v>
      </c>
    </row>
    <row r="4666" s="26" customFormat="1" ht="30" customHeight="1" spans="1:13">
      <c r="A4666" s="41">
        <f>IF(C4666="","",SUBTOTAL(103,$C$2:C4666))</f>
        <v>4657</v>
      </c>
      <c r="B4666" s="41">
        <v>2946</v>
      </c>
      <c r="C4666" s="41">
        <v>4082</v>
      </c>
      <c r="D4666" s="41" t="s">
        <v>45</v>
      </c>
      <c r="E4666" s="41" t="s">
        <v>1298</v>
      </c>
      <c r="F4666" s="41" t="s">
        <v>11893</v>
      </c>
      <c r="G4666" s="41" t="s">
        <v>14258</v>
      </c>
      <c r="H4666" s="41" t="s">
        <v>14259</v>
      </c>
      <c r="I4666" s="43">
        <v>12</v>
      </c>
      <c r="J4666" s="44" t="str">
        <f>VLOOKUP(G4666,[1]硬件清单!$F:$F,1,0)</f>
        <v>210305756810HA000745</v>
      </c>
      <c r="K4666" s="43"/>
      <c r="L4666" s="44"/>
      <c r="M4666" s="45" t="s">
        <v>14260</v>
      </c>
    </row>
    <row r="4667" s="26" customFormat="1" ht="30" customHeight="1" spans="1:13">
      <c r="A4667" s="41">
        <f>IF(C4667="","",SUBTOTAL(103,$C$2:C4667))</f>
        <v>4658</v>
      </c>
      <c r="B4667" s="41">
        <v>2947</v>
      </c>
      <c r="C4667" s="41">
        <v>4083</v>
      </c>
      <c r="D4667" s="41" t="s">
        <v>45</v>
      </c>
      <c r="E4667" s="41" t="s">
        <v>1298</v>
      </c>
      <c r="F4667" s="41" t="s">
        <v>11893</v>
      </c>
      <c r="G4667" s="41" t="s">
        <v>14261</v>
      </c>
      <c r="H4667" s="41" t="s">
        <v>14262</v>
      </c>
      <c r="I4667" s="43">
        <v>12</v>
      </c>
      <c r="J4667" s="44" t="str">
        <f>VLOOKUP(G4667,[1]硬件清单!$F:$F,1,0)</f>
        <v>210305756810HA001174</v>
      </c>
      <c r="K4667" s="43"/>
      <c r="L4667" s="44"/>
      <c r="M4667" s="45" t="s">
        <v>14263</v>
      </c>
    </row>
    <row r="4668" s="26" customFormat="1" ht="30" customHeight="1" spans="1:13">
      <c r="A4668" s="41">
        <f>IF(C4668="","",SUBTOTAL(103,$C$2:C4668))</f>
        <v>4659</v>
      </c>
      <c r="B4668" s="41">
        <v>2948</v>
      </c>
      <c r="C4668" s="41">
        <v>4084</v>
      </c>
      <c r="D4668" s="41" t="s">
        <v>45</v>
      </c>
      <c r="E4668" s="41" t="s">
        <v>1298</v>
      </c>
      <c r="F4668" s="41" t="s">
        <v>11893</v>
      </c>
      <c r="G4668" s="41" t="s">
        <v>14264</v>
      </c>
      <c r="H4668" s="41" t="s">
        <v>14265</v>
      </c>
      <c r="I4668" s="43">
        <v>12</v>
      </c>
      <c r="J4668" s="44" t="str">
        <f>VLOOKUP(G4668,[1]硬件清单!$F:$F,1,0)</f>
        <v>210305756810HA001141</v>
      </c>
      <c r="K4668" s="43"/>
      <c r="L4668" s="44"/>
      <c r="M4668" s="45" t="s">
        <v>14266</v>
      </c>
    </row>
    <row r="4669" s="26" customFormat="1" ht="30" customHeight="1" spans="1:13">
      <c r="A4669" s="41">
        <f>IF(C4669="","",SUBTOTAL(103,$C$2:C4669))</f>
        <v>4660</v>
      </c>
      <c r="B4669" s="41">
        <v>2949</v>
      </c>
      <c r="C4669" s="41">
        <v>4100</v>
      </c>
      <c r="D4669" s="41" t="s">
        <v>45</v>
      </c>
      <c r="E4669" s="41" t="s">
        <v>1298</v>
      </c>
      <c r="F4669" s="41" t="s">
        <v>11893</v>
      </c>
      <c r="G4669" s="41" t="s">
        <v>14267</v>
      </c>
      <c r="H4669" s="41" t="s">
        <v>14268</v>
      </c>
      <c r="I4669" s="43">
        <v>12</v>
      </c>
      <c r="J4669" s="44" t="str">
        <f>VLOOKUP(G4669,[1]硬件清单!$F:$F,1,0)</f>
        <v>210305756810HA001134</v>
      </c>
      <c r="K4669" s="43"/>
      <c r="L4669" s="44"/>
      <c r="M4669" s="45" t="s">
        <v>14269</v>
      </c>
    </row>
    <row r="4670" s="26" customFormat="1" ht="30" customHeight="1" spans="1:13">
      <c r="A4670" s="41">
        <f>IF(C4670="","",SUBTOTAL(103,$C$2:C4670))</f>
        <v>4661</v>
      </c>
      <c r="B4670" s="41">
        <v>2950</v>
      </c>
      <c r="C4670" s="41">
        <v>4241</v>
      </c>
      <c r="D4670" s="41" t="s">
        <v>45</v>
      </c>
      <c r="E4670" s="41" t="s">
        <v>1298</v>
      </c>
      <c r="F4670" s="41" t="s">
        <v>11889</v>
      </c>
      <c r="G4670" s="41" t="s">
        <v>14270</v>
      </c>
      <c r="H4670" s="41" t="s">
        <v>14271</v>
      </c>
      <c r="I4670" s="43">
        <v>12</v>
      </c>
      <c r="J4670" s="44" t="str">
        <f>VLOOKUP(G4670,[1]硬件清单!$F:$F,1,0)</f>
        <v>2102300742N0H9000643/210230102810HA000097</v>
      </c>
      <c r="K4670" s="43"/>
      <c r="L4670" s="44"/>
      <c r="M4670" s="45" t="s">
        <v>14272</v>
      </c>
    </row>
    <row r="4671" s="26" customFormat="1" ht="30" customHeight="1" spans="1:13">
      <c r="A4671" s="41">
        <f>IF(C4671="","",SUBTOTAL(103,$C$2:C4671))</f>
        <v>4662</v>
      </c>
      <c r="B4671" s="41">
        <v>2951</v>
      </c>
      <c r="C4671" s="41">
        <v>4126</v>
      </c>
      <c r="D4671" s="41" t="s">
        <v>45</v>
      </c>
      <c r="E4671" s="41" t="s">
        <v>1298</v>
      </c>
      <c r="F4671" s="41" t="s">
        <v>11893</v>
      </c>
      <c r="G4671" s="41" t="s">
        <v>14273</v>
      </c>
      <c r="H4671" s="41" t="s">
        <v>14274</v>
      </c>
      <c r="I4671" s="43">
        <v>12</v>
      </c>
      <c r="J4671" s="44" t="str">
        <f>VLOOKUP(G4671,[1]硬件清单!$F:$F,1,0)</f>
        <v>210305756810HA001109</v>
      </c>
      <c r="K4671" s="43"/>
      <c r="L4671" s="44"/>
      <c r="M4671" s="45" t="s">
        <v>14275</v>
      </c>
    </row>
    <row r="4672" s="26" customFormat="1" ht="30" customHeight="1" spans="1:13">
      <c r="A4672" s="41">
        <f>IF(C4672="","",SUBTOTAL(103,$C$2:C4672))</f>
        <v>4663</v>
      </c>
      <c r="B4672" s="41">
        <v>2952</v>
      </c>
      <c r="C4672" s="41">
        <v>4135</v>
      </c>
      <c r="D4672" s="41" t="s">
        <v>45</v>
      </c>
      <c r="E4672" s="41" t="s">
        <v>1298</v>
      </c>
      <c r="F4672" s="41" t="s">
        <v>11893</v>
      </c>
      <c r="G4672" s="41" t="s">
        <v>14276</v>
      </c>
      <c r="H4672" s="41" t="s">
        <v>14277</v>
      </c>
      <c r="I4672" s="43">
        <v>12</v>
      </c>
      <c r="J4672" s="44" t="str">
        <f>VLOOKUP(G4672,[1]硬件清单!$F:$F,1,0)</f>
        <v>210305756810HA001073</v>
      </c>
      <c r="K4672" s="43"/>
      <c r="L4672" s="44"/>
      <c r="M4672" s="45" t="s">
        <v>14278</v>
      </c>
    </row>
    <row r="4673" s="26" customFormat="1" ht="30" customHeight="1" spans="1:13">
      <c r="A4673" s="41">
        <f>IF(C4673="","",SUBTOTAL(103,$C$2:C4673))</f>
        <v>4664</v>
      </c>
      <c r="B4673" s="41">
        <v>2953</v>
      </c>
      <c r="C4673" s="41">
        <v>4136</v>
      </c>
      <c r="D4673" s="41" t="s">
        <v>45</v>
      </c>
      <c r="E4673" s="41" t="s">
        <v>1298</v>
      </c>
      <c r="F4673" s="41" t="s">
        <v>11893</v>
      </c>
      <c r="G4673" s="41" t="s">
        <v>14279</v>
      </c>
      <c r="H4673" s="41" t="s">
        <v>14280</v>
      </c>
      <c r="I4673" s="43">
        <v>12</v>
      </c>
      <c r="J4673" s="44" t="str">
        <f>VLOOKUP(G4673,[1]硬件清单!$F:$F,1,0)</f>
        <v>210305756810HA000925</v>
      </c>
      <c r="K4673" s="43"/>
      <c r="L4673" s="44"/>
      <c r="M4673" s="45" t="s">
        <v>14281</v>
      </c>
    </row>
    <row r="4674" s="26" customFormat="1" ht="30" customHeight="1" spans="1:13">
      <c r="A4674" s="41">
        <f>IF(C4674="","",SUBTOTAL(103,$C$2:C4674))</f>
        <v>4665</v>
      </c>
      <c r="B4674" s="41">
        <v>2954</v>
      </c>
      <c r="C4674" s="41">
        <v>4137</v>
      </c>
      <c r="D4674" s="41" t="s">
        <v>45</v>
      </c>
      <c r="E4674" s="41" t="s">
        <v>1298</v>
      </c>
      <c r="F4674" s="41" t="s">
        <v>11893</v>
      </c>
      <c r="G4674" s="41" t="s">
        <v>14282</v>
      </c>
      <c r="H4674" s="41" t="s">
        <v>14283</v>
      </c>
      <c r="I4674" s="43">
        <v>12</v>
      </c>
      <c r="J4674" s="44" t="str">
        <f>VLOOKUP(G4674,[1]硬件清单!$F:$F,1,0)</f>
        <v>210305756810HA000844</v>
      </c>
      <c r="K4674" s="43"/>
      <c r="L4674" s="44"/>
      <c r="M4674" s="45" t="s">
        <v>14284</v>
      </c>
    </row>
    <row r="4675" s="26" customFormat="1" ht="30" customHeight="1" spans="1:13">
      <c r="A4675" s="41">
        <f>IF(C4675="","",SUBTOTAL(103,$C$2:C4675))</f>
        <v>4666</v>
      </c>
      <c r="B4675" s="41">
        <v>2955</v>
      </c>
      <c r="C4675" s="41">
        <v>4138</v>
      </c>
      <c r="D4675" s="41" t="s">
        <v>45</v>
      </c>
      <c r="E4675" s="41" t="s">
        <v>1298</v>
      </c>
      <c r="F4675" s="41" t="s">
        <v>11893</v>
      </c>
      <c r="G4675" s="41" t="s">
        <v>14285</v>
      </c>
      <c r="H4675" s="41" t="s">
        <v>14286</v>
      </c>
      <c r="I4675" s="43">
        <v>12</v>
      </c>
      <c r="J4675" s="44" t="str">
        <f>VLOOKUP(G4675,[1]硬件清单!$F:$F,1,0)</f>
        <v>210305756810HA000894</v>
      </c>
      <c r="K4675" s="43"/>
      <c r="L4675" s="44"/>
      <c r="M4675" s="45" t="s">
        <v>14287</v>
      </c>
    </row>
    <row r="4676" s="26" customFormat="1" ht="30" customHeight="1" spans="1:13">
      <c r="A4676" s="41">
        <f>IF(C4676="","",SUBTOTAL(103,$C$2:C4676))</f>
        <v>4667</v>
      </c>
      <c r="B4676" s="41">
        <v>2956</v>
      </c>
      <c r="C4676" s="41">
        <v>4139</v>
      </c>
      <c r="D4676" s="41" t="s">
        <v>45</v>
      </c>
      <c r="E4676" s="41" t="s">
        <v>1298</v>
      </c>
      <c r="F4676" s="41" t="s">
        <v>11893</v>
      </c>
      <c r="G4676" s="41" t="s">
        <v>14288</v>
      </c>
      <c r="H4676" s="41" t="s">
        <v>14289</v>
      </c>
      <c r="I4676" s="43">
        <v>12</v>
      </c>
      <c r="J4676" s="44" t="str">
        <f>VLOOKUP(G4676,[1]硬件清单!$F:$F,1,0)</f>
        <v>210305756810HA000860</v>
      </c>
      <c r="K4676" s="43"/>
      <c r="L4676" s="44"/>
      <c r="M4676" s="45" t="s">
        <v>14290</v>
      </c>
    </row>
    <row r="4677" s="26" customFormat="1" ht="30" customHeight="1" spans="1:13">
      <c r="A4677" s="41">
        <f>IF(C4677="","",SUBTOTAL(103,$C$2:C4677))</f>
        <v>4668</v>
      </c>
      <c r="B4677" s="41">
        <v>2957</v>
      </c>
      <c r="C4677" s="41">
        <v>4140</v>
      </c>
      <c r="D4677" s="41" t="s">
        <v>45</v>
      </c>
      <c r="E4677" s="41" t="s">
        <v>1298</v>
      </c>
      <c r="F4677" s="41" t="s">
        <v>11893</v>
      </c>
      <c r="G4677" s="41" t="s">
        <v>14291</v>
      </c>
      <c r="H4677" s="41" t="s">
        <v>14292</v>
      </c>
      <c r="I4677" s="43">
        <v>12</v>
      </c>
      <c r="J4677" s="44" t="str">
        <f>VLOOKUP(G4677,[1]硬件清单!$F:$F,1,0)</f>
        <v>210305756810HA000774</v>
      </c>
      <c r="K4677" s="43"/>
      <c r="L4677" s="44"/>
      <c r="M4677" s="45" t="s">
        <v>14293</v>
      </c>
    </row>
    <row r="4678" s="26" customFormat="1" ht="24" customHeight="1" spans="1:13">
      <c r="A4678" s="41">
        <f>IF(C4678="","",SUBTOTAL(103,$C$2:C4678))</f>
        <v>4669</v>
      </c>
      <c r="B4678" s="41">
        <v>2958</v>
      </c>
      <c r="C4678" s="41">
        <v>4141</v>
      </c>
      <c r="D4678" s="41" t="s">
        <v>45</v>
      </c>
      <c r="E4678" s="41" t="s">
        <v>1298</v>
      </c>
      <c r="F4678" s="41" t="s">
        <v>11893</v>
      </c>
      <c r="G4678" s="41" t="s">
        <v>14294</v>
      </c>
      <c r="H4678" s="41" t="s">
        <v>14295</v>
      </c>
      <c r="I4678" s="43">
        <v>12</v>
      </c>
      <c r="J4678" s="44" t="str">
        <f>VLOOKUP(G4678,[1]硬件清单!$F:$F,1,0)</f>
        <v>210305756810HA000749</v>
      </c>
      <c r="K4678" s="43"/>
      <c r="L4678" s="44"/>
      <c r="M4678" s="45" t="s">
        <v>14296</v>
      </c>
    </row>
    <row r="4679" s="26" customFormat="1" ht="30" customHeight="1" spans="1:13">
      <c r="A4679" s="41">
        <f>IF(C4679="","",SUBTOTAL(103,$C$2:C4679))</f>
        <v>4670</v>
      </c>
      <c r="B4679" s="41">
        <v>2959</v>
      </c>
      <c r="C4679" s="41">
        <v>4127</v>
      </c>
      <c r="D4679" s="41" t="s">
        <v>45</v>
      </c>
      <c r="E4679" s="41" t="s">
        <v>1298</v>
      </c>
      <c r="F4679" s="41" t="s">
        <v>11893</v>
      </c>
      <c r="G4679" s="41" t="s">
        <v>14297</v>
      </c>
      <c r="H4679" s="41" t="s">
        <v>14298</v>
      </c>
      <c r="I4679" s="43">
        <v>12</v>
      </c>
      <c r="J4679" s="44" t="str">
        <f>VLOOKUP(G4679,[1]硬件清单!$F:$F,1,0)</f>
        <v>210305756810HA000830</v>
      </c>
      <c r="K4679" s="43"/>
      <c r="L4679" s="44"/>
      <c r="M4679" s="45" t="s">
        <v>14299</v>
      </c>
    </row>
    <row r="4680" s="26" customFormat="1" ht="30" customHeight="1" spans="1:13">
      <c r="A4680" s="41">
        <f>IF(C4680="","",SUBTOTAL(103,$C$2:C4680))</f>
        <v>4671</v>
      </c>
      <c r="B4680" s="41">
        <v>2960</v>
      </c>
      <c r="C4680" s="41">
        <v>4128</v>
      </c>
      <c r="D4680" s="41" t="s">
        <v>45</v>
      </c>
      <c r="E4680" s="41" t="s">
        <v>1298</v>
      </c>
      <c r="F4680" s="41" t="s">
        <v>11893</v>
      </c>
      <c r="G4680" s="41" t="s">
        <v>14300</v>
      </c>
      <c r="H4680" s="41" t="s">
        <v>14301</v>
      </c>
      <c r="I4680" s="43">
        <v>12</v>
      </c>
      <c r="J4680" s="44" t="str">
        <f>VLOOKUP(G4680,[1]硬件清单!$F:$F,1,0)</f>
        <v>210305756810HA000878</v>
      </c>
      <c r="K4680" s="43"/>
      <c r="L4680" s="44"/>
      <c r="M4680" s="45" t="s">
        <v>14302</v>
      </c>
    </row>
    <row r="4681" s="26" customFormat="1" ht="30" customHeight="1" spans="1:13">
      <c r="A4681" s="41">
        <f>IF(C4681="","",SUBTOTAL(103,$C$2:C4681))</f>
        <v>4672</v>
      </c>
      <c r="B4681" s="41">
        <v>2961</v>
      </c>
      <c r="C4681" s="41">
        <v>4129</v>
      </c>
      <c r="D4681" s="41" t="s">
        <v>45</v>
      </c>
      <c r="E4681" s="41" t="s">
        <v>1298</v>
      </c>
      <c r="F4681" s="41" t="s">
        <v>11893</v>
      </c>
      <c r="G4681" s="41" t="s">
        <v>14303</v>
      </c>
      <c r="H4681" s="41" t="s">
        <v>14304</v>
      </c>
      <c r="I4681" s="43">
        <v>12</v>
      </c>
      <c r="J4681" s="44" t="str">
        <f>VLOOKUP(G4681,[1]硬件清单!$F:$F,1,0)</f>
        <v>210305756810HA000877</v>
      </c>
      <c r="K4681" s="43"/>
      <c r="L4681" s="44"/>
      <c r="M4681" s="45" t="s">
        <v>14305</v>
      </c>
    </row>
    <row r="4682" s="26" customFormat="1" ht="30" customHeight="1" spans="1:13">
      <c r="A4682" s="41">
        <f>IF(C4682="","",SUBTOTAL(103,$C$2:C4682))</f>
        <v>4673</v>
      </c>
      <c r="B4682" s="41">
        <v>2962</v>
      </c>
      <c r="C4682" s="41">
        <v>4130</v>
      </c>
      <c r="D4682" s="41" t="s">
        <v>45</v>
      </c>
      <c r="E4682" s="41" t="s">
        <v>1298</v>
      </c>
      <c r="F4682" s="41" t="s">
        <v>11893</v>
      </c>
      <c r="G4682" s="41" t="s">
        <v>14306</v>
      </c>
      <c r="H4682" s="41" t="s">
        <v>14307</v>
      </c>
      <c r="I4682" s="43">
        <v>12</v>
      </c>
      <c r="J4682" s="44" t="str">
        <f>VLOOKUP(G4682,[1]硬件清单!$F:$F,1,0)</f>
        <v>210305756810HA001150</v>
      </c>
      <c r="K4682" s="43"/>
      <c r="L4682" s="44"/>
      <c r="M4682" s="45" t="s">
        <v>14308</v>
      </c>
    </row>
    <row r="4683" s="26" customFormat="1" ht="30" customHeight="1" spans="1:13">
      <c r="A4683" s="41">
        <f>IF(C4683="","",SUBTOTAL(103,$C$2:C4683))</f>
        <v>4674</v>
      </c>
      <c r="B4683" s="41">
        <v>2963</v>
      </c>
      <c r="C4683" s="41">
        <v>4131</v>
      </c>
      <c r="D4683" s="41" t="s">
        <v>45</v>
      </c>
      <c r="E4683" s="41" t="s">
        <v>1298</v>
      </c>
      <c r="F4683" s="41" t="s">
        <v>11893</v>
      </c>
      <c r="G4683" s="41" t="s">
        <v>14309</v>
      </c>
      <c r="H4683" s="41" t="s">
        <v>14310</v>
      </c>
      <c r="I4683" s="43">
        <v>12</v>
      </c>
      <c r="J4683" s="44" t="str">
        <f>VLOOKUP(G4683,[1]硬件清单!$F:$F,1,0)</f>
        <v>210305756810HA000710</v>
      </c>
      <c r="K4683" s="43"/>
      <c r="L4683" s="44"/>
      <c r="M4683" s="45" t="s">
        <v>14311</v>
      </c>
    </row>
    <row r="4684" s="26" customFormat="1" ht="30" customHeight="1" spans="1:13">
      <c r="A4684" s="41">
        <f>IF(C4684="","",SUBTOTAL(103,$C$2:C4684))</f>
        <v>4675</v>
      </c>
      <c r="B4684" s="41">
        <v>2964</v>
      </c>
      <c r="C4684" s="41">
        <v>4132</v>
      </c>
      <c r="D4684" s="41" t="s">
        <v>45</v>
      </c>
      <c r="E4684" s="41" t="s">
        <v>1298</v>
      </c>
      <c r="F4684" s="41" t="s">
        <v>11893</v>
      </c>
      <c r="G4684" s="41" t="s">
        <v>14312</v>
      </c>
      <c r="H4684" s="41" t="s">
        <v>14313</v>
      </c>
      <c r="I4684" s="43">
        <v>12</v>
      </c>
      <c r="J4684" s="44" t="str">
        <f>VLOOKUP(G4684,[1]硬件清单!$F:$F,1,0)</f>
        <v>210305756810HA001079</v>
      </c>
      <c r="K4684" s="43"/>
      <c r="L4684" s="44"/>
      <c r="M4684" s="45" t="s">
        <v>14314</v>
      </c>
    </row>
    <row r="4685" s="26" customFormat="1" ht="30" customHeight="1" spans="1:13">
      <c r="A4685" s="41">
        <f>IF(C4685="","",SUBTOTAL(103,$C$2:C4685))</f>
        <v>4676</v>
      </c>
      <c r="B4685" s="41">
        <v>2965</v>
      </c>
      <c r="C4685" s="41">
        <v>4133</v>
      </c>
      <c r="D4685" s="41" t="s">
        <v>45</v>
      </c>
      <c r="E4685" s="41" t="s">
        <v>1298</v>
      </c>
      <c r="F4685" s="41" t="s">
        <v>11893</v>
      </c>
      <c r="G4685" s="41" t="s">
        <v>14315</v>
      </c>
      <c r="H4685" s="41" t="s">
        <v>14316</v>
      </c>
      <c r="I4685" s="43">
        <v>12</v>
      </c>
      <c r="J4685" s="44" t="str">
        <f>VLOOKUP(G4685,[1]硬件清单!$F:$F,1,0)</f>
        <v>210305756810HA000756</v>
      </c>
      <c r="K4685" s="43"/>
      <c r="L4685" s="44"/>
      <c r="M4685" s="45" t="s">
        <v>14317</v>
      </c>
    </row>
    <row r="4686" s="26" customFormat="1" ht="30" customHeight="1" spans="1:13">
      <c r="A4686" s="41">
        <f>IF(C4686="","",SUBTOTAL(103,$C$2:C4686))</f>
        <v>4677</v>
      </c>
      <c r="B4686" s="41">
        <v>2966</v>
      </c>
      <c r="C4686" s="41">
        <v>4134</v>
      </c>
      <c r="D4686" s="41" t="s">
        <v>45</v>
      </c>
      <c r="E4686" s="41" t="s">
        <v>1298</v>
      </c>
      <c r="F4686" s="41" t="s">
        <v>11893</v>
      </c>
      <c r="G4686" s="41" t="s">
        <v>14318</v>
      </c>
      <c r="H4686" s="41" t="s">
        <v>14319</v>
      </c>
      <c r="I4686" s="43">
        <v>12</v>
      </c>
      <c r="J4686" s="44" t="str">
        <f>VLOOKUP(G4686,[1]硬件清单!$F:$F,1,0)</f>
        <v>210305756810HA000757</v>
      </c>
      <c r="K4686" s="43"/>
      <c r="L4686" s="44"/>
      <c r="M4686" s="45" t="s">
        <v>14320</v>
      </c>
    </row>
    <row r="4687" s="26" customFormat="1" ht="30" customHeight="1" spans="1:13">
      <c r="A4687" s="41">
        <f>IF(C4687="","",SUBTOTAL(103,$C$2:C4687))</f>
        <v>4678</v>
      </c>
      <c r="B4687" s="41">
        <v>2967</v>
      </c>
      <c r="C4687" s="41">
        <v>4240</v>
      </c>
      <c r="D4687" s="41" t="s">
        <v>45</v>
      </c>
      <c r="E4687" s="41" t="s">
        <v>1298</v>
      </c>
      <c r="F4687" s="41" t="s">
        <v>11889</v>
      </c>
      <c r="G4687" s="41" t="s">
        <v>14321</v>
      </c>
      <c r="H4687" s="41" t="s">
        <v>14322</v>
      </c>
      <c r="I4687" s="43">
        <v>12</v>
      </c>
      <c r="J4687" s="44" t="str">
        <f>VLOOKUP(G4687,[1]硬件清单!$F:$F,1,0)</f>
        <v>2102300742N0H9000457/210230102810HA000051</v>
      </c>
      <c r="K4687" s="43"/>
      <c r="L4687" s="44"/>
      <c r="M4687" s="45" t="s">
        <v>14323</v>
      </c>
    </row>
    <row r="4688" s="26" customFormat="1" ht="30" customHeight="1" spans="1:13">
      <c r="A4688" s="41">
        <f>IF(C4688="","",SUBTOTAL(103,$C$2:C4688))</f>
        <v>4679</v>
      </c>
      <c r="B4688" s="41">
        <v>2968</v>
      </c>
      <c r="C4688" s="41">
        <v>4195</v>
      </c>
      <c r="D4688" s="41" t="s">
        <v>45</v>
      </c>
      <c r="E4688" s="41" t="s">
        <v>1298</v>
      </c>
      <c r="F4688" s="41" t="s">
        <v>11893</v>
      </c>
      <c r="G4688" s="41" t="s">
        <v>14324</v>
      </c>
      <c r="H4688" s="41" t="s">
        <v>14325</v>
      </c>
      <c r="I4688" s="43">
        <v>12</v>
      </c>
      <c r="J4688" s="44" t="str">
        <f>VLOOKUP(G4688,[1]硬件清单!$F:$F,1,0)</f>
        <v>210305756810HA000833</v>
      </c>
      <c r="K4688" s="43"/>
      <c r="L4688" s="44"/>
      <c r="M4688" s="45" t="s">
        <v>14326</v>
      </c>
    </row>
    <row r="4689" s="26" customFormat="1" ht="30" customHeight="1" spans="1:13">
      <c r="A4689" s="41">
        <f>IF(C4689="","",SUBTOTAL(103,$C$2:C4689))</f>
        <v>4680</v>
      </c>
      <c r="B4689" s="41">
        <v>2969</v>
      </c>
      <c r="C4689" s="41">
        <v>4186</v>
      </c>
      <c r="D4689" s="41" t="s">
        <v>45</v>
      </c>
      <c r="E4689" s="41" t="s">
        <v>1298</v>
      </c>
      <c r="F4689" s="41" t="s">
        <v>11893</v>
      </c>
      <c r="G4689" s="41" t="s">
        <v>14327</v>
      </c>
      <c r="H4689" s="41" t="s">
        <v>14328</v>
      </c>
      <c r="I4689" s="43">
        <v>12</v>
      </c>
      <c r="J4689" s="44" t="str">
        <f>VLOOKUP(G4689,[1]硬件清单!$F:$F,1,0)</f>
        <v>210305756810HA001140</v>
      </c>
      <c r="K4689" s="43"/>
      <c r="L4689" s="44"/>
      <c r="M4689" s="45" t="s">
        <v>14329</v>
      </c>
    </row>
    <row r="4690" s="26" customFormat="1" ht="30" customHeight="1" spans="1:13">
      <c r="A4690" s="41">
        <f>IF(C4690="","",SUBTOTAL(103,$C$2:C4690))</f>
        <v>4681</v>
      </c>
      <c r="B4690" s="41">
        <v>2970</v>
      </c>
      <c r="C4690" s="41">
        <v>4185</v>
      </c>
      <c r="D4690" s="41" t="s">
        <v>45</v>
      </c>
      <c r="E4690" s="41" t="s">
        <v>1298</v>
      </c>
      <c r="F4690" s="41" t="s">
        <v>11893</v>
      </c>
      <c r="G4690" s="41" t="s">
        <v>14330</v>
      </c>
      <c r="H4690" s="41" t="s">
        <v>14331</v>
      </c>
      <c r="I4690" s="43">
        <v>12</v>
      </c>
      <c r="J4690" s="44" t="str">
        <f>VLOOKUP(G4690,[1]硬件清单!$F:$F,1,0)</f>
        <v>210305756810HA001135</v>
      </c>
      <c r="K4690" s="43"/>
      <c r="L4690" s="44"/>
      <c r="M4690" s="45" t="s">
        <v>14332</v>
      </c>
    </row>
    <row r="4691" s="26" customFormat="1" ht="30" customHeight="1" spans="1:13">
      <c r="A4691" s="41">
        <f>IF(C4691="","",SUBTOTAL(103,$C$2:C4691))</f>
        <v>4682</v>
      </c>
      <c r="B4691" s="41">
        <v>2971</v>
      </c>
      <c r="C4691" s="41">
        <v>4184</v>
      </c>
      <c r="D4691" s="41" t="s">
        <v>45</v>
      </c>
      <c r="E4691" s="41" t="s">
        <v>1298</v>
      </c>
      <c r="F4691" s="41" t="s">
        <v>11893</v>
      </c>
      <c r="G4691" s="41" t="s">
        <v>14333</v>
      </c>
      <c r="H4691" s="41" t="s">
        <v>14334</v>
      </c>
      <c r="I4691" s="43">
        <v>12</v>
      </c>
      <c r="J4691" s="44" t="str">
        <f>VLOOKUP(G4691,[1]硬件清单!$F:$F,1,0)</f>
        <v>210305756810HA001157</v>
      </c>
      <c r="K4691" s="43"/>
      <c r="L4691" s="44"/>
      <c r="M4691" s="45" t="s">
        <v>14335</v>
      </c>
    </row>
    <row r="4692" s="26" customFormat="1" ht="30" customHeight="1" spans="1:13">
      <c r="A4692" s="41">
        <f>IF(C4692="","",SUBTOTAL(103,$C$2:C4692))</f>
        <v>4683</v>
      </c>
      <c r="B4692" s="41">
        <v>2972</v>
      </c>
      <c r="C4692" s="41">
        <v>4183</v>
      </c>
      <c r="D4692" s="41" t="s">
        <v>45</v>
      </c>
      <c r="E4692" s="41" t="s">
        <v>1298</v>
      </c>
      <c r="F4692" s="41" t="s">
        <v>11893</v>
      </c>
      <c r="G4692" s="41" t="s">
        <v>14336</v>
      </c>
      <c r="H4692" s="41" t="s">
        <v>14337</v>
      </c>
      <c r="I4692" s="43">
        <v>12</v>
      </c>
      <c r="J4692" s="44" t="str">
        <f>VLOOKUP(G4692,[1]硬件清单!$F:$F,1,0)</f>
        <v>210305756810HA000946</v>
      </c>
      <c r="K4692" s="43"/>
      <c r="L4692" s="44"/>
      <c r="M4692" s="45" t="s">
        <v>14338</v>
      </c>
    </row>
    <row r="4693" s="26" customFormat="1" ht="30" customHeight="1" spans="1:13">
      <c r="A4693" s="41">
        <f>IF(C4693="","",SUBTOTAL(103,$C$2:C4693))</f>
        <v>4684</v>
      </c>
      <c r="B4693" s="41">
        <v>2973</v>
      </c>
      <c r="C4693" s="41">
        <v>4182</v>
      </c>
      <c r="D4693" s="41" t="s">
        <v>45</v>
      </c>
      <c r="E4693" s="41" t="s">
        <v>1298</v>
      </c>
      <c r="F4693" s="41" t="s">
        <v>11893</v>
      </c>
      <c r="G4693" s="41" t="s">
        <v>14339</v>
      </c>
      <c r="H4693" s="41" t="s">
        <v>14340</v>
      </c>
      <c r="I4693" s="43">
        <v>12</v>
      </c>
      <c r="J4693" s="44" t="str">
        <f>VLOOKUP(G4693,[1]硬件清单!$F:$F,1,0)</f>
        <v>210305756810HA000778</v>
      </c>
      <c r="K4693" s="43"/>
      <c r="L4693" s="44"/>
      <c r="M4693" s="45" t="s">
        <v>14341</v>
      </c>
    </row>
    <row r="4694" s="26" customFormat="1" ht="30" customHeight="1" spans="1:13">
      <c r="A4694" s="41">
        <f>IF(C4694="","",SUBTOTAL(103,$C$2:C4694))</f>
        <v>4685</v>
      </c>
      <c r="B4694" s="41">
        <v>2974</v>
      </c>
      <c r="C4694" s="41">
        <v>4181</v>
      </c>
      <c r="D4694" s="41" t="s">
        <v>45</v>
      </c>
      <c r="E4694" s="41" t="s">
        <v>1298</v>
      </c>
      <c r="F4694" s="41" t="s">
        <v>11893</v>
      </c>
      <c r="G4694" s="41" t="s">
        <v>14342</v>
      </c>
      <c r="H4694" s="41" t="s">
        <v>14343</v>
      </c>
      <c r="I4694" s="43">
        <v>12</v>
      </c>
      <c r="J4694" s="44" t="str">
        <f>VLOOKUP(G4694,[1]硬件清单!$F:$F,1,0)</f>
        <v>210305756810HA001158</v>
      </c>
      <c r="K4694" s="43"/>
      <c r="L4694" s="44"/>
      <c r="M4694" s="45" t="s">
        <v>14344</v>
      </c>
    </row>
    <row r="4695" s="26" customFormat="1" ht="30" customHeight="1" spans="1:13">
      <c r="A4695" s="41">
        <f>IF(C4695="","",SUBTOTAL(103,$C$2:C4695))</f>
        <v>4686</v>
      </c>
      <c r="B4695" s="41">
        <v>2975</v>
      </c>
      <c r="C4695" s="41">
        <v>4180</v>
      </c>
      <c r="D4695" s="41" t="s">
        <v>45</v>
      </c>
      <c r="E4695" s="41" t="s">
        <v>1298</v>
      </c>
      <c r="F4695" s="41" t="s">
        <v>11893</v>
      </c>
      <c r="G4695" s="41" t="s">
        <v>14345</v>
      </c>
      <c r="H4695" s="41" t="s">
        <v>14346</v>
      </c>
      <c r="I4695" s="43">
        <v>12</v>
      </c>
      <c r="J4695" s="44" t="str">
        <f>VLOOKUP(G4695,[1]硬件清单!$F:$F,1,0)</f>
        <v>210305756810HA000909</v>
      </c>
      <c r="K4695" s="43"/>
      <c r="L4695" s="44"/>
      <c r="M4695" s="45" t="s">
        <v>14347</v>
      </c>
    </row>
    <row r="4696" s="26" customFormat="1" ht="30" customHeight="1" spans="1:13">
      <c r="A4696" s="41">
        <f>IF(C4696="","",SUBTOTAL(103,$C$2:C4696))</f>
        <v>4687</v>
      </c>
      <c r="B4696" s="41">
        <v>2976</v>
      </c>
      <c r="C4696" s="41">
        <v>4194</v>
      </c>
      <c r="D4696" s="41" t="s">
        <v>45</v>
      </c>
      <c r="E4696" s="41" t="s">
        <v>1298</v>
      </c>
      <c r="F4696" s="41" t="s">
        <v>11893</v>
      </c>
      <c r="G4696" s="41" t="s">
        <v>14348</v>
      </c>
      <c r="H4696" s="41" t="s">
        <v>14349</v>
      </c>
      <c r="I4696" s="43">
        <v>12</v>
      </c>
      <c r="J4696" s="44" t="str">
        <f>VLOOKUP(G4696,[1]硬件清单!$F:$F,1,0)</f>
        <v>210305756810HA000937</v>
      </c>
      <c r="K4696" s="43"/>
      <c r="L4696" s="44"/>
      <c r="M4696" s="45" t="s">
        <v>14350</v>
      </c>
    </row>
    <row r="4697" s="26" customFormat="1" ht="30" customHeight="1" spans="1:13">
      <c r="A4697" s="41">
        <f>IF(C4697="","",SUBTOTAL(103,$C$2:C4697))</f>
        <v>4688</v>
      </c>
      <c r="B4697" s="41">
        <v>2977</v>
      </c>
      <c r="C4697" s="41">
        <v>4193</v>
      </c>
      <c r="D4697" s="41" t="s">
        <v>45</v>
      </c>
      <c r="E4697" s="41" t="s">
        <v>1298</v>
      </c>
      <c r="F4697" s="41" t="s">
        <v>11893</v>
      </c>
      <c r="G4697" s="41" t="s">
        <v>14351</v>
      </c>
      <c r="H4697" s="41" t="s">
        <v>14352</v>
      </c>
      <c r="I4697" s="43">
        <v>12</v>
      </c>
      <c r="J4697" s="44" t="str">
        <f>VLOOKUP(G4697,[1]硬件清单!$F:$F,1,0)</f>
        <v>210305756810HA000896</v>
      </c>
      <c r="K4697" s="43"/>
      <c r="L4697" s="44"/>
      <c r="M4697" s="45" t="s">
        <v>14353</v>
      </c>
    </row>
    <row r="4698" s="26" customFormat="1" ht="30" customHeight="1" spans="1:13">
      <c r="A4698" s="41">
        <f>IF(C4698="","",SUBTOTAL(103,$C$2:C4698))</f>
        <v>4689</v>
      </c>
      <c r="B4698" s="41">
        <v>2978</v>
      </c>
      <c r="C4698" s="41">
        <v>4192</v>
      </c>
      <c r="D4698" s="41" t="s">
        <v>45</v>
      </c>
      <c r="E4698" s="41" t="s">
        <v>1298</v>
      </c>
      <c r="F4698" s="41" t="s">
        <v>11893</v>
      </c>
      <c r="G4698" s="41" t="s">
        <v>14354</v>
      </c>
      <c r="H4698" s="41" t="s">
        <v>14355</v>
      </c>
      <c r="I4698" s="43">
        <v>12</v>
      </c>
      <c r="J4698" s="44" t="str">
        <f>VLOOKUP(G4698,[1]硬件清单!$F:$F,1,0)</f>
        <v>210305756810HA000709</v>
      </c>
      <c r="K4698" s="43"/>
      <c r="L4698" s="44"/>
      <c r="M4698" s="45" t="s">
        <v>14356</v>
      </c>
    </row>
    <row r="4699" s="26" customFormat="1" ht="30" customHeight="1" spans="1:13">
      <c r="A4699" s="41">
        <f>IF(C4699="","",SUBTOTAL(103,$C$2:C4699))</f>
        <v>4690</v>
      </c>
      <c r="B4699" s="41">
        <v>2979</v>
      </c>
      <c r="C4699" s="41">
        <v>4191</v>
      </c>
      <c r="D4699" s="41" t="s">
        <v>45</v>
      </c>
      <c r="E4699" s="41" t="s">
        <v>1298</v>
      </c>
      <c r="F4699" s="41" t="s">
        <v>11893</v>
      </c>
      <c r="G4699" s="41" t="s">
        <v>14357</v>
      </c>
      <c r="H4699" s="41" t="s">
        <v>14358</v>
      </c>
      <c r="I4699" s="43">
        <v>12</v>
      </c>
      <c r="J4699" s="44" t="str">
        <f>VLOOKUP(G4699,[1]硬件清单!$F:$F,1,0)</f>
        <v>210305756810HA000870</v>
      </c>
      <c r="K4699" s="43"/>
      <c r="L4699" s="44"/>
      <c r="M4699" s="45" t="s">
        <v>14359</v>
      </c>
    </row>
    <row r="4700" s="26" customFormat="1" ht="30" customHeight="1" spans="1:13">
      <c r="A4700" s="41">
        <f>IF(C4700="","",SUBTOTAL(103,$C$2:C4700))</f>
        <v>4691</v>
      </c>
      <c r="B4700" s="41">
        <v>2980</v>
      </c>
      <c r="C4700" s="41">
        <v>4190</v>
      </c>
      <c r="D4700" s="41" t="s">
        <v>45</v>
      </c>
      <c r="E4700" s="41" t="s">
        <v>1298</v>
      </c>
      <c r="F4700" s="41" t="s">
        <v>11893</v>
      </c>
      <c r="G4700" s="41" t="s">
        <v>14360</v>
      </c>
      <c r="H4700" s="41" t="s">
        <v>14361</v>
      </c>
      <c r="I4700" s="43">
        <v>12</v>
      </c>
      <c r="J4700" s="44" t="str">
        <f>VLOOKUP(G4700,[1]硬件清单!$F:$F,1,0)</f>
        <v>210305756810HA001137</v>
      </c>
      <c r="K4700" s="43"/>
      <c r="L4700" s="44"/>
      <c r="M4700" s="45" t="s">
        <v>14362</v>
      </c>
    </row>
    <row r="4701" s="26" customFormat="1" ht="30" customHeight="1" spans="1:13">
      <c r="A4701" s="41">
        <f>IF(C4701="","",SUBTOTAL(103,$C$2:C4701))</f>
        <v>4692</v>
      </c>
      <c r="B4701" s="41">
        <v>2981</v>
      </c>
      <c r="C4701" s="41">
        <v>4189</v>
      </c>
      <c r="D4701" s="41" t="s">
        <v>45</v>
      </c>
      <c r="E4701" s="41" t="s">
        <v>1298</v>
      </c>
      <c r="F4701" s="41" t="s">
        <v>11893</v>
      </c>
      <c r="G4701" s="41" t="s">
        <v>14363</v>
      </c>
      <c r="H4701" s="41" t="s">
        <v>14364</v>
      </c>
      <c r="I4701" s="43">
        <v>12</v>
      </c>
      <c r="J4701" s="44" t="str">
        <f>VLOOKUP(G4701,[1]硬件清单!$F:$F,1,0)</f>
        <v>210305756810HA001132</v>
      </c>
      <c r="K4701" s="43"/>
      <c r="L4701" s="44"/>
      <c r="M4701" s="45" t="s">
        <v>14365</v>
      </c>
    </row>
    <row r="4702" s="26" customFormat="1" ht="30" customHeight="1" spans="1:13">
      <c r="A4702" s="41">
        <f>IF(C4702="","",SUBTOTAL(103,$C$2:C4702))</f>
        <v>4693</v>
      </c>
      <c r="B4702" s="41">
        <v>2982</v>
      </c>
      <c r="C4702" s="41">
        <v>4188</v>
      </c>
      <c r="D4702" s="41" t="s">
        <v>45</v>
      </c>
      <c r="E4702" s="41" t="s">
        <v>1298</v>
      </c>
      <c r="F4702" s="41" t="s">
        <v>11893</v>
      </c>
      <c r="G4702" s="41" t="s">
        <v>14366</v>
      </c>
      <c r="H4702" s="41" t="s">
        <v>14367</v>
      </c>
      <c r="I4702" s="43">
        <v>12</v>
      </c>
      <c r="J4702" s="44" t="str">
        <f>VLOOKUP(G4702,[1]硬件清单!$F:$F,1,0)</f>
        <v>210305756810HA001151</v>
      </c>
      <c r="K4702" s="43"/>
      <c r="L4702" s="44"/>
      <c r="M4702" s="45" t="s">
        <v>14368</v>
      </c>
    </row>
    <row r="4703" s="26" customFormat="1" ht="30" customHeight="1" spans="1:13">
      <c r="A4703" s="41">
        <f>IF(C4703="","",SUBTOTAL(103,$C$2:C4703))</f>
        <v>4694</v>
      </c>
      <c r="B4703" s="41">
        <v>2983</v>
      </c>
      <c r="C4703" s="41">
        <v>4187</v>
      </c>
      <c r="D4703" s="41" t="s">
        <v>45</v>
      </c>
      <c r="E4703" s="41" t="s">
        <v>1298</v>
      </c>
      <c r="F4703" s="41" t="s">
        <v>11893</v>
      </c>
      <c r="G4703" s="41" t="s">
        <v>14369</v>
      </c>
      <c r="H4703" s="41" t="s">
        <v>14370</v>
      </c>
      <c r="I4703" s="43">
        <v>12</v>
      </c>
      <c r="J4703" s="44" t="str">
        <f>VLOOKUP(G4703,[1]硬件清单!$F:$F,1,0)</f>
        <v>210305756810HA000849</v>
      </c>
      <c r="K4703" s="43"/>
      <c r="L4703" s="44"/>
      <c r="M4703" s="45" t="s">
        <v>14371</v>
      </c>
    </row>
    <row r="4704" s="26" customFormat="1" ht="30" customHeight="1" spans="1:13">
      <c r="A4704" s="41">
        <f>IF(C4704="","",SUBTOTAL(103,$C$2:C4704))</f>
        <v>4695</v>
      </c>
      <c r="B4704" s="41">
        <v>2984</v>
      </c>
      <c r="C4704" s="41">
        <v>4695</v>
      </c>
      <c r="D4704" s="41" t="s">
        <v>45</v>
      </c>
      <c r="E4704" s="41" t="s">
        <v>1298</v>
      </c>
      <c r="F4704" s="41" t="s">
        <v>11889</v>
      </c>
      <c r="G4704" s="41" t="s">
        <v>14372</v>
      </c>
      <c r="H4704" s="41" t="s">
        <v>14373</v>
      </c>
      <c r="I4704" s="43">
        <v>12</v>
      </c>
      <c r="J4704" s="44" t="str">
        <f>VLOOKUP(G4704,[1]硬件清单!$F:$F,1,0)</f>
        <v>2102300742N0H8000165/
210230102810HA000058</v>
      </c>
      <c r="K4704" s="43"/>
      <c r="L4704" s="44"/>
      <c r="M4704" s="45" t="s">
        <v>14374</v>
      </c>
    </row>
    <row r="4705" s="26" customFormat="1" ht="30" customHeight="1" spans="1:13">
      <c r="A4705" s="41">
        <f>IF(C4705="","",SUBTOTAL(103,$C$2:C4705))</f>
        <v>4696</v>
      </c>
      <c r="B4705" s="41">
        <v>2985</v>
      </c>
      <c r="C4705" s="41">
        <v>4670</v>
      </c>
      <c r="D4705" s="41" t="s">
        <v>45</v>
      </c>
      <c r="E4705" s="41" t="s">
        <v>1298</v>
      </c>
      <c r="F4705" s="41" t="s">
        <v>11893</v>
      </c>
      <c r="G4705" s="41" t="s">
        <v>14375</v>
      </c>
      <c r="H4705" s="41" t="s">
        <v>14376</v>
      </c>
      <c r="I4705" s="43">
        <v>12</v>
      </c>
      <c r="J4705" s="44" t="str">
        <f>VLOOKUP(G4705,[1]硬件清单!$F:$F,1,0)</f>
        <v>210305756810HA000748</v>
      </c>
      <c r="K4705" s="43"/>
      <c r="L4705" s="44"/>
      <c r="M4705" s="45" t="s">
        <v>14377</v>
      </c>
    </row>
    <row r="4706" s="26" customFormat="1" ht="30" customHeight="1" spans="1:13">
      <c r="A4706" s="41">
        <f>IF(C4706="","",SUBTOTAL(103,$C$2:C4706))</f>
        <v>4697</v>
      </c>
      <c r="B4706" s="41">
        <v>2986</v>
      </c>
      <c r="C4706" s="41">
        <v>4679</v>
      </c>
      <c r="D4706" s="41" t="s">
        <v>45</v>
      </c>
      <c r="E4706" s="41" t="s">
        <v>1298</v>
      </c>
      <c r="F4706" s="41" t="s">
        <v>11893</v>
      </c>
      <c r="G4706" s="41" t="s">
        <v>14378</v>
      </c>
      <c r="H4706" s="41" t="s">
        <v>14379</v>
      </c>
      <c r="I4706" s="43">
        <v>12</v>
      </c>
      <c r="J4706" s="44" t="str">
        <f>VLOOKUP(G4706,[1]硬件清单!$F:$F,1,0)</f>
        <v>210305756810HA000735</v>
      </c>
      <c r="K4706" s="43"/>
      <c r="L4706" s="44"/>
      <c r="M4706" s="45" t="s">
        <v>14380</v>
      </c>
    </row>
    <row r="4707" s="26" customFormat="1" ht="30" customHeight="1" spans="1:13">
      <c r="A4707" s="41">
        <f>IF(C4707="","",SUBTOTAL(103,$C$2:C4707))</f>
        <v>4698</v>
      </c>
      <c r="B4707" s="41">
        <v>2987</v>
      </c>
      <c r="C4707" s="41">
        <v>4680</v>
      </c>
      <c r="D4707" s="41" t="s">
        <v>45</v>
      </c>
      <c r="E4707" s="41" t="s">
        <v>1298</v>
      </c>
      <c r="F4707" s="41" t="s">
        <v>11893</v>
      </c>
      <c r="G4707" s="41" t="s">
        <v>14381</v>
      </c>
      <c r="H4707" s="41" t="s">
        <v>14382</v>
      </c>
      <c r="I4707" s="43">
        <v>12</v>
      </c>
      <c r="J4707" s="44" t="str">
        <f>VLOOKUP(G4707,[1]硬件清单!$F:$F,1,0)</f>
        <v>210305756810HA000893</v>
      </c>
      <c r="K4707" s="43"/>
      <c r="L4707" s="44"/>
      <c r="M4707" s="45" t="s">
        <v>14383</v>
      </c>
    </row>
    <row r="4708" s="26" customFormat="1" ht="30" customHeight="1" spans="1:13">
      <c r="A4708" s="41">
        <f>IF(C4708="","",SUBTOTAL(103,$C$2:C4708))</f>
        <v>4699</v>
      </c>
      <c r="B4708" s="41">
        <v>2988</v>
      </c>
      <c r="C4708" s="41">
        <v>4681</v>
      </c>
      <c r="D4708" s="41" t="s">
        <v>45</v>
      </c>
      <c r="E4708" s="41" t="s">
        <v>1298</v>
      </c>
      <c r="F4708" s="41" t="s">
        <v>11893</v>
      </c>
      <c r="G4708" s="41" t="s">
        <v>14384</v>
      </c>
      <c r="H4708" s="41" t="s">
        <v>14385</v>
      </c>
      <c r="I4708" s="43">
        <v>12</v>
      </c>
      <c r="J4708" s="44" t="str">
        <f>VLOOKUP(G4708,[1]硬件清单!$F:$F,1,0)</f>
        <v>210305756810HA000927</v>
      </c>
      <c r="K4708" s="43"/>
      <c r="L4708" s="44"/>
      <c r="M4708" s="45" t="s">
        <v>14386</v>
      </c>
    </row>
    <row r="4709" s="26" customFormat="1" ht="30" customHeight="1" spans="1:13">
      <c r="A4709" s="41">
        <f>IF(C4709="","",SUBTOTAL(103,$C$2:C4709))</f>
        <v>4700</v>
      </c>
      <c r="B4709" s="41">
        <v>2989</v>
      </c>
      <c r="C4709" s="41">
        <v>4682</v>
      </c>
      <c r="D4709" s="41" t="s">
        <v>45</v>
      </c>
      <c r="E4709" s="41" t="s">
        <v>1298</v>
      </c>
      <c r="F4709" s="41" t="s">
        <v>11893</v>
      </c>
      <c r="G4709" s="41" t="s">
        <v>14387</v>
      </c>
      <c r="H4709" s="41" t="s">
        <v>14388</v>
      </c>
      <c r="I4709" s="43">
        <v>12</v>
      </c>
      <c r="J4709" s="44" t="str">
        <f>VLOOKUP(G4709,[1]硬件清单!$F:$F,1,0)</f>
        <v>210305756810HA001145</v>
      </c>
      <c r="K4709" s="43"/>
      <c r="L4709" s="44"/>
      <c r="M4709" s="45" t="s">
        <v>14389</v>
      </c>
    </row>
    <row r="4710" s="26" customFormat="1" ht="30" customHeight="1" spans="1:13">
      <c r="A4710" s="41">
        <f>IF(C4710="","",SUBTOTAL(103,$C$2:C4710))</f>
        <v>4701</v>
      </c>
      <c r="B4710" s="41">
        <v>2990</v>
      </c>
      <c r="C4710" s="41">
        <v>4683</v>
      </c>
      <c r="D4710" s="41" t="s">
        <v>45</v>
      </c>
      <c r="E4710" s="41" t="s">
        <v>1298</v>
      </c>
      <c r="F4710" s="41" t="s">
        <v>11893</v>
      </c>
      <c r="G4710" s="41" t="s">
        <v>14390</v>
      </c>
      <c r="H4710" s="41" t="s">
        <v>14391</v>
      </c>
      <c r="I4710" s="43">
        <v>12</v>
      </c>
      <c r="J4710" s="44" t="str">
        <f>VLOOKUP(G4710,[1]硬件清单!$F:$F,1,0)</f>
        <v>210305756810HA001164</v>
      </c>
      <c r="K4710" s="43"/>
      <c r="L4710" s="44"/>
      <c r="M4710" s="45" t="s">
        <v>14392</v>
      </c>
    </row>
    <row r="4711" s="26" customFormat="1" ht="30" customHeight="1" spans="1:13">
      <c r="A4711" s="41">
        <f>IF(C4711="","",SUBTOTAL(103,$C$2:C4711))</f>
        <v>4702</v>
      </c>
      <c r="B4711" s="41">
        <v>2991</v>
      </c>
      <c r="C4711" s="41">
        <v>4684</v>
      </c>
      <c r="D4711" s="41" t="s">
        <v>45</v>
      </c>
      <c r="E4711" s="41" t="s">
        <v>1298</v>
      </c>
      <c r="F4711" s="41" t="s">
        <v>11893</v>
      </c>
      <c r="G4711" s="41" t="s">
        <v>14393</v>
      </c>
      <c r="H4711" s="41" t="s">
        <v>14394</v>
      </c>
      <c r="I4711" s="43">
        <v>12</v>
      </c>
      <c r="J4711" s="44" t="str">
        <f>VLOOKUP(G4711,[1]硬件清单!$F:$F,1,0)</f>
        <v>210305756810HA000855</v>
      </c>
      <c r="K4711" s="43"/>
      <c r="L4711" s="44"/>
      <c r="M4711" s="45" t="s">
        <v>14395</v>
      </c>
    </row>
    <row r="4712" s="26" customFormat="1" ht="30" customHeight="1" spans="1:13">
      <c r="A4712" s="41">
        <f>IF(C4712="","",SUBTOTAL(103,$C$2:C4712))</f>
        <v>4703</v>
      </c>
      <c r="B4712" s="41">
        <v>2992</v>
      </c>
      <c r="C4712" s="41">
        <v>4685</v>
      </c>
      <c r="D4712" s="41" t="s">
        <v>45</v>
      </c>
      <c r="E4712" s="41" t="s">
        <v>1298</v>
      </c>
      <c r="F4712" s="41" t="s">
        <v>11893</v>
      </c>
      <c r="G4712" s="41" t="s">
        <v>14396</v>
      </c>
      <c r="H4712" s="41" t="s">
        <v>14397</v>
      </c>
      <c r="I4712" s="43">
        <v>12</v>
      </c>
      <c r="J4712" s="44" t="str">
        <f>VLOOKUP(G4712,[1]硬件清单!$F:$F,1,0)</f>
        <v>210305756810HA001136</v>
      </c>
      <c r="K4712" s="43"/>
      <c r="L4712" s="44"/>
      <c r="M4712" s="45" t="s">
        <v>14398</v>
      </c>
    </row>
    <row r="4713" s="26" customFormat="1" ht="30" customHeight="1" spans="1:13">
      <c r="A4713" s="41">
        <f>IF(C4713="","",SUBTOTAL(103,$C$2:C4713))</f>
        <v>4704</v>
      </c>
      <c r="B4713" s="41">
        <v>2993</v>
      </c>
      <c r="C4713" s="41">
        <v>4671</v>
      </c>
      <c r="D4713" s="41" t="s">
        <v>45</v>
      </c>
      <c r="E4713" s="41" t="s">
        <v>1298</v>
      </c>
      <c r="F4713" s="41" t="s">
        <v>11893</v>
      </c>
      <c r="G4713" s="41" t="s">
        <v>14399</v>
      </c>
      <c r="H4713" s="41" t="s">
        <v>14400</v>
      </c>
      <c r="I4713" s="43">
        <v>12</v>
      </c>
      <c r="J4713" s="44" t="str">
        <f>VLOOKUP(G4713,[1]硬件清单!$F:$F,1,0)</f>
        <v>210305756810HA000708</v>
      </c>
      <c r="K4713" s="43"/>
      <c r="L4713" s="44"/>
      <c r="M4713" s="45" t="s">
        <v>14401</v>
      </c>
    </row>
    <row r="4714" s="26" customFormat="1" ht="30" customHeight="1" spans="1:13">
      <c r="A4714" s="41">
        <f>IF(C4714="","",SUBTOTAL(103,$C$2:C4714))</f>
        <v>4705</v>
      </c>
      <c r="B4714" s="41">
        <v>2994</v>
      </c>
      <c r="C4714" s="41">
        <v>4672</v>
      </c>
      <c r="D4714" s="41" t="s">
        <v>45</v>
      </c>
      <c r="E4714" s="41" t="s">
        <v>1298</v>
      </c>
      <c r="F4714" s="41" t="s">
        <v>11893</v>
      </c>
      <c r="G4714" s="41" t="s">
        <v>14402</v>
      </c>
      <c r="H4714" s="41" t="s">
        <v>14403</v>
      </c>
      <c r="I4714" s="43">
        <v>12</v>
      </c>
      <c r="J4714" s="44" t="str">
        <f>VLOOKUP(G4714,[1]硬件清单!$F:$F,1,0)</f>
        <v>210305756810HA000758</v>
      </c>
      <c r="K4714" s="43"/>
      <c r="L4714" s="44"/>
      <c r="M4714" s="45" t="s">
        <v>14404</v>
      </c>
    </row>
    <row r="4715" s="26" customFormat="1" ht="30" customHeight="1" spans="1:13">
      <c r="A4715" s="41">
        <f>IF(C4715="","",SUBTOTAL(103,$C$2:C4715))</f>
        <v>4706</v>
      </c>
      <c r="B4715" s="41">
        <v>2995</v>
      </c>
      <c r="C4715" s="41">
        <v>4673</v>
      </c>
      <c r="D4715" s="41" t="s">
        <v>45</v>
      </c>
      <c r="E4715" s="41" t="s">
        <v>1298</v>
      </c>
      <c r="F4715" s="41" t="s">
        <v>11893</v>
      </c>
      <c r="G4715" s="41" t="s">
        <v>14405</v>
      </c>
      <c r="H4715" s="41" t="s">
        <v>14406</v>
      </c>
      <c r="I4715" s="43">
        <v>12</v>
      </c>
      <c r="J4715" s="44" t="str">
        <f>VLOOKUP(G4715,[1]硬件清单!$F:$F,1,0)</f>
        <v>210305756810HA000765</v>
      </c>
      <c r="K4715" s="43"/>
      <c r="L4715" s="44"/>
      <c r="M4715" s="45" t="s">
        <v>14407</v>
      </c>
    </row>
    <row r="4716" s="26" customFormat="1" ht="30" customHeight="1" spans="1:13">
      <c r="A4716" s="41">
        <f>IF(C4716="","",SUBTOTAL(103,$C$2:C4716))</f>
        <v>4707</v>
      </c>
      <c r="B4716" s="41">
        <v>2996</v>
      </c>
      <c r="C4716" s="41">
        <v>4674</v>
      </c>
      <c r="D4716" s="41" t="s">
        <v>45</v>
      </c>
      <c r="E4716" s="41" t="s">
        <v>1298</v>
      </c>
      <c r="F4716" s="41" t="s">
        <v>11893</v>
      </c>
      <c r="G4716" s="41" t="s">
        <v>14408</v>
      </c>
      <c r="H4716" s="41" t="s">
        <v>14409</v>
      </c>
      <c r="I4716" s="43">
        <v>12</v>
      </c>
      <c r="J4716" s="44" t="str">
        <f>VLOOKUP(G4716,[1]硬件清单!$F:$F,1,0)</f>
        <v>210305756810HA000834</v>
      </c>
      <c r="K4716" s="43"/>
      <c r="L4716" s="44"/>
      <c r="M4716" s="45" t="s">
        <v>14410</v>
      </c>
    </row>
    <row r="4717" s="26" customFormat="1" ht="30" customHeight="1" spans="1:13">
      <c r="A4717" s="41">
        <f>IF(C4717="","",SUBTOTAL(103,$C$2:C4717))</f>
        <v>4708</v>
      </c>
      <c r="B4717" s="41">
        <v>2997</v>
      </c>
      <c r="C4717" s="41">
        <v>4675</v>
      </c>
      <c r="D4717" s="41" t="s">
        <v>45</v>
      </c>
      <c r="E4717" s="41" t="s">
        <v>1298</v>
      </c>
      <c r="F4717" s="41" t="s">
        <v>11893</v>
      </c>
      <c r="G4717" s="41" t="s">
        <v>14411</v>
      </c>
      <c r="H4717" s="41" t="s">
        <v>14412</v>
      </c>
      <c r="I4717" s="43">
        <v>12</v>
      </c>
      <c r="J4717" s="44" t="str">
        <f>VLOOKUP(G4717,[1]硬件清单!$F:$F,1,0)</f>
        <v>210305756810HA000838</v>
      </c>
      <c r="K4717" s="43"/>
      <c r="L4717" s="44"/>
      <c r="M4717" s="45" t="s">
        <v>14413</v>
      </c>
    </row>
    <row r="4718" s="26" customFormat="1" ht="30" customHeight="1" spans="1:13">
      <c r="A4718" s="41">
        <f>IF(C4718="","",SUBTOTAL(103,$C$2:C4718))</f>
        <v>4709</v>
      </c>
      <c r="B4718" s="41">
        <v>2998</v>
      </c>
      <c r="C4718" s="41">
        <v>4676</v>
      </c>
      <c r="D4718" s="41" t="s">
        <v>45</v>
      </c>
      <c r="E4718" s="41" t="s">
        <v>1298</v>
      </c>
      <c r="F4718" s="41" t="s">
        <v>11893</v>
      </c>
      <c r="G4718" s="41" t="s">
        <v>14414</v>
      </c>
      <c r="H4718" s="41" t="s">
        <v>14415</v>
      </c>
      <c r="I4718" s="43">
        <v>12</v>
      </c>
      <c r="J4718" s="44" t="str">
        <f>VLOOKUP(G4718,[1]硬件清单!$F:$F,1,0)</f>
        <v>210305756810HA000829</v>
      </c>
      <c r="K4718" s="43"/>
      <c r="L4718" s="44"/>
      <c r="M4718" s="45" t="s">
        <v>14416</v>
      </c>
    </row>
    <row r="4719" s="26" customFormat="1" ht="30" customHeight="1" spans="1:13">
      <c r="A4719" s="41">
        <f>IF(C4719="","",SUBTOTAL(103,$C$2:C4719))</f>
        <v>4710</v>
      </c>
      <c r="B4719" s="41">
        <v>2999</v>
      </c>
      <c r="C4719" s="41">
        <v>4677</v>
      </c>
      <c r="D4719" s="41" t="s">
        <v>45</v>
      </c>
      <c r="E4719" s="41" t="s">
        <v>1298</v>
      </c>
      <c r="F4719" s="41" t="s">
        <v>11893</v>
      </c>
      <c r="G4719" s="41" t="s">
        <v>14417</v>
      </c>
      <c r="H4719" s="41" t="s">
        <v>14418</v>
      </c>
      <c r="I4719" s="43">
        <v>12</v>
      </c>
      <c r="J4719" s="44" t="str">
        <f>VLOOKUP(G4719,[1]硬件清单!$F:$F,1,0)</f>
        <v>210305756810HA000871</v>
      </c>
      <c r="K4719" s="43"/>
      <c r="L4719" s="44"/>
      <c r="M4719" s="45" t="s">
        <v>14419</v>
      </c>
    </row>
    <row r="4720" s="26" customFormat="1" ht="30" customHeight="1" spans="1:13">
      <c r="A4720" s="41">
        <f>IF(C4720="","",SUBTOTAL(103,$C$2:C4720))</f>
        <v>4711</v>
      </c>
      <c r="B4720" s="41">
        <v>3000</v>
      </c>
      <c r="C4720" s="41">
        <v>4678</v>
      </c>
      <c r="D4720" s="41" t="s">
        <v>45</v>
      </c>
      <c r="E4720" s="41" t="s">
        <v>1298</v>
      </c>
      <c r="F4720" s="41" t="s">
        <v>11893</v>
      </c>
      <c r="G4720" s="41" t="s">
        <v>14420</v>
      </c>
      <c r="H4720" s="41" t="s">
        <v>14421</v>
      </c>
      <c r="I4720" s="43">
        <v>12</v>
      </c>
      <c r="J4720" s="44" t="str">
        <f>VLOOKUP(G4720,[1]硬件清单!$F:$F,1,0)</f>
        <v>210305756810HA000771</v>
      </c>
      <c r="K4720" s="43"/>
      <c r="L4720" s="44"/>
      <c r="M4720" s="45" t="s">
        <v>14422</v>
      </c>
    </row>
    <row r="4721" s="26" customFormat="1" ht="30" customHeight="1" spans="1:13">
      <c r="A4721" s="41">
        <f>IF(C4721="","",SUBTOTAL(103,$C$2:C4721))</f>
        <v>4712</v>
      </c>
      <c r="B4721" s="41">
        <v>3001</v>
      </c>
      <c r="C4721" s="41">
        <v>5098</v>
      </c>
      <c r="D4721" s="41" t="s">
        <v>45</v>
      </c>
      <c r="E4721" s="41" t="s">
        <v>1298</v>
      </c>
      <c r="F4721" s="41" t="s">
        <v>11889</v>
      </c>
      <c r="G4721" s="41" t="s">
        <v>14423</v>
      </c>
      <c r="H4721" s="41" t="s">
        <v>14424</v>
      </c>
      <c r="I4721" s="43">
        <v>12</v>
      </c>
      <c r="J4721" s="44" t="str">
        <f>VLOOKUP(G4721,[1]硬件清单!$F:$F,1,0)</f>
        <v>2102300742N0G6000474/
210230102810HA000062</v>
      </c>
      <c r="K4721" s="43"/>
      <c r="L4721" s="44"/>
      <c r="M4721" s="45" t="s">
        <v>14425</v>
      </c>
    </row>
    <row r="4722" s="26" customFormat="1" ht="30" customHeight="1" spans="1:13">
      <c r="A4722" s="41">
        <f>IF(C4722="","",SUBTOTAL(103,$C$2:C4722))</f>
        <v>4713</v>
      </c>
      <c r="B4722" s="41">
        <v>3002</v>
      </c>
      <c r="C4722" s="41">
        <v>4712</v>
      </c>
      <c r="D4722" s="41" t="s">
        <v>45</v>
      </c>
      <c r="E4722" s="41" t="s">
        <v>1298</v>
      </c>
      <c r="F4722" s="41" t="s">
        <v>11893</v>
      </c>
      <c r="G4722" s="41" t="s">
        <v>14426</v>
      </c>
      <c r="H4722" s="41" t="s">
        <v>14427</v>
      </c>
      <c r="I4722" s="43">
        <v>12</v>
      </c>
      <c r="J4722" s="44" t="str">
        <f>VLOOKUP(G4722,[1]硬件清单!$F:$F,1,0)</f>
        <v>210305756810HA000766</v>
      </c>
      <c r="K4722" s="43"/>
      <c r="L4722" s="44"/>
      <c r="M4722" s="45" t="s">
        <v>14428</v>
      </c>
    </row>
    <row r="4723" s="26" customFormat="1" ht="30" customHeight="1" spans="1:13">
      <c r="A4723" s="41">
        <f>IF(C4723="","",SUBTOTAL(103,$C$2:C4723))</f>
        <v>4714</v>
      </c>
      <c r="B4723" s="41">
        <v>3003</v>
      </c>
      <c r="C4723" s="41">
        <v>5088</v>
      </c>
      <c r="D4723" s="41" t="s">
        <v>45</v>
      </c>
      <c r="E4723" s="41" t="s">
        <v>1298</v>
      </c>
      <c r="F4723" s="41" t="s">
        <v>11893</v>
      </c>
      <c r="G4723" s="41" t="s">
        <v>14429</v>
      </c>
      <c r="H4723" s="41" t="s">
        <v>14430</v>
      </c>
      <c r="I4723" s="43">
        <v>12</v>
      </c>
      <c r="J4723" s="44" t="str">
        <f>VLOOKUP(G4723,[1]硬件清单!$F:$F,1,0)</f>
        <v>210305756810HA000754</v>
      </c>
      <c r="K4723" s="43"/>
      <c r="L4723" s="44"/>
      <c r="M4723" s="45" t="s">
        <v>14431</v>
      </c>
    </row>
    <row r="4724" s="26" customFormat="1" ht="30" customHeight="1" spans="1:13">
      <c r="A4724" s="41">
        <f>IF(C4724="","",SUBTOTAL(103,$C$2:C4724))</f>
        <v>4715</v>
      </c>
      <c r="B4724" s="41">
        <v>3004</v>
      </c>
      <c r="C4724" s="41">
        <v>5089</v>
      </c>
      <c r="D4724" s="41" t="s">
        <v>45</v>
      </c>
      <c r="E4724" s="41" t="s">
        <v>1298</v>
      </c>
      <c r="F4724" s="41" t="s">
        <v>11893</v>
      </c>
      <c r="G4724" s="41" t="s">
        <v>14432</v>
      </c>
      <c r="H4724" s="41" t="s">
        <v>14433</v>
      </c>
      <c r="I4724" s="43">
        <v>12</v>
      </c>
      <c r="J4724" s="44" t="str">
        <f>VLOOKUP(G4724,[1]硬件清单!$F:$F,1,0)</f>
        <v>210305756810HA000773</v>
      </c>
      <c r="K4724" s="43"/>
      <c r="L4724" s="44"/>
      <c r="M4724" s="45" t="s">
        <v>14434</v>
      </c>
    </row>
    <row r="4725" s="26" customFormat="1" ht="30" customHeight="1" spans="1:13">
      <c r="A4725" s="41">
        <f>IF(C4725="","",SUBTOTAL(103,$C$2:C4725))</f>
        <v>4716</v>
      </c>
      <c r="B4725" s="41">
        <v>3005</v>
      </c>
      <c r="C4725" s="41">
        <v>5090</v>
      </c>
      <c r="D4725" s="41" t="s">
        <v>45</v>
      </c>
      <c r="E4725" s="41" t="s">
        <v>1298</v>
      </c>
      <c r="F4725" s="41" t="s">
        <v>11893</v>
      </c>
      <c r="G4725" s="41" t="s">
        <v>14435</v>
      </c>
      <c r="H4725" s="41" t="s">
        <v>14436</v>
      </c>
      <c r="I4725" s="43">
        <v>12</v>
      </c>
      <c r="J4725" s="44" t="str">
        <f>VLOOKUP(G4725,[1]硬件清单!$F:$F,1,0)</f>
        <v>210305756810HA001138</v>
      </c>
      <c r="K4725" s="43"/>
      <c r="L4725" s="44"/>
      <c r="M4725" s="45" t="s">
        <v>14437</v>
      </c>
    </row>
    <row r="4726" s="26" customFormat="1" ht="30" customHeight="1" spans="1:13">
      <c r="A4726" s="41">
        <f>IF(C4726="","",SUBTOTAL(103,$C$2:C4726))</f>
        <v>4717</v>
      </c>
      <c r="B4726" s="41">
        <v>3006</v>
      </c>
      <c r="C4726" s="41">
        <v>5091</v>
      </c>
      <c r="D4726" s="41" t="s">
        <v>45</v>
      </c>
      <c r="E4726" s="41" t="s">
        <v>1298</v>
      </c>
      <c r="F4726" s="41" t="s">
        <v>11893</v>
      </c>
      <c r="G4726" s="41" t="s">
        <v>14438</v>
      </c>
      <c r="H4726" s="41" t="s">
        <v>14439</v>
      </c>
      <c r="I4726" s="43">
        <v>12</v>
      </c>
      <c r="J4726" s="44" t="str">
        <f>VLOOKUP(G4726,[1]硬件清单!$F:$F,1,0)</f>
        <v>210305756810HA000772</v>
      </c>
      <c r="K4726" s="43"/>
      <c r="L4726" s="44"/>
      <c r="M4726" s="45" t="s">
        <v>14440</v>
      </c>
    </row>
    <row r="4727" s="26" customFormat="1" ht="30" customHeight="1" spans="1:13">
      <c r="A4727" s="41">
        <f>IF(C4727="","",SUBTOTAL(103,$C$2:C4727))</f>
        <v>4718</v>
      </c>
      <c r="B4727" s="41">
        <v>3007</v>
      </c>
      <c r="C4727" s="41">
        <v>5092</v>
      </c>
      <c r="D4727" s="41" t="s">
        <v>45</v>
      </c>
      <c r="E4727" s="41" t="s">
        <v>1298</v>
      </c>
      <c r="F4727" s="41" t="s">
        <v>11893</v>
      </c>
      <c r="G4727" s="41" t="s">
        <v>14441</v>
      </c>
      <c r="H4727" s="41" t="s">
        <v>14442</v>
      </c>
      <c r="I4727" s="43">
        <v>12</v>
      </c>
      <c r="J4727" s="44" t="str">
        <f>VLOOKUP(G4727,[1]硬件清单!$F:$F,1,0)</f>
        <v>210305756810HA001084</v>
      </c>
      <c r="K4727" s="43"/>
      <c r="L4727" s="44"/>
      <c r="M4727" s="45" t="s">
        <v>14443</v>
      </c>
    </row>
    <row r="4728" s="26" customFormat="1" ht="30" customHeight="1" spans="1:13">
      <c r="A4728" s="41">
        <f>IF(C4728="","",SUBTOTAL(103,$C$2:C4728))</f>
        <v>4719</v>
      </c>
      <c r="B4728" s="41">
        <v>3008</v>
      </c>
      <c r="C4728" s="41">
        <v>5093</v>
      </c>
      <c r="D4728" s="41" t="s">
        <v>45</v>
      </c>
      <c r="E4728" s="41" t="s">
        <v>1298</v>
      </c>
      <c r="F4728" s="41" t="s">
        <v>11893</v>
      </c>
      <c r="G4728" s="41" t="s">
        <v>14444</v>
      </c>
      <c r="H4728" s="41" t="s">
        <v>14445</v>
      </c>
      <c r="I4728" s="43">
        <v>12</v>
      </c>
      <c r="J4728" s="44" t="str">
        <f>VLOOKUP(G4728,[1]硬件清单!$F:$F,1,0)</f>
        <v>210305756810HA000770</v>
      </c>
      <c r="K4728" s="43"/>
      <c r="L4728" s="44"/>
      <c r="M4728" s="45" t="s">
        <v>14446</v>
      </c>
    </row>
    <row r="4729" s="26" customFormat="1" ht="30" customHeight="1" spans="1:13">
      <c r="A4729" s="41">
        <f>IF(C4729="","",SUBTOTAL(103,$C$2:C4729))</f>
        <v>4720</v>
      </c>
      <c r="B4729" s="41">
        <v>3009</v>
      </c>
      <c r="C4729" s="41">
        <v>5094</v>
      </c>
      <c r="D4729" s="41" t="s">
        <v>45</v>
      </c>
      <c r="E4729" s="41" t="s">
        <v>1298</v>
      </c>
      <c r="F4729" s="41" t="s">
        <v>11893</v>
      </c>
      <c r="G4729" s="41" t="s">
        <v>14447</v>
      </c>
      <c r="H4729" s="41" t="s">
        <v>14448</v>
      </c>
      <c r="I4729" s="43">
        <v>12</v>
      </c>
      <c r="J4729" s="44" t="str">
        <f>VLOOKUP(G4729,[1]硬件清单!$F:$F,1,0)</f>
        <v>210305756810HA000760</v>
      </c>
      <c r="K4729" s="43"/>
      <c r="L4729" s="44"/>
      <c r="M4729" s="45" t="s">
        <v>14449</v>
      </c>
    </row>
    <row r="4730" s="26" customFormat="1" ht="30" customHeight="1" spans="1:13">
      <c r="A4730" s="41">
        <f>IF(C4730="","",SUBTOTAL(103,$C$2:C4730))</f>
        <v>4721</v>
      </c>
      <c r="B4730" s="41">
        <v>3010</v>
      </c>
      <c r="C4730" s="41">
        <v>4713</v>
      </c>
      <c r="D4730" s="41" t="s">
        <v>45</v>
      </c>
      <c r="E4730" s="41" t="s">
        <v>1298</v>
      </c>
      <c r="F4730" s="41" t="s">
        <v>11893</v>
      </c>
      <c r="G4730" s="41" t="s">
        <v>14450</v>
      </c>
      <c r="H4730" s="41" t="s">
        <v>14451</v>
      </c>
      <c r="I4730" s="43">
        <v>12</v>
      </c>
      <c r="J4730" s="44" t="str">
        <f>VLOOKUP(G4730,[1]硬件清单!$F:$F,1,0)</f>
        <v>210305756810HA000742</v>
      </c>
      <c r="K4730" s="43"/>
      <c r="L4730" s="44"/>
      <c r="M4730" s="45" t="s">
        <v>14452</v>
      </c>
    </row>
    <row r="4731" s="26" customFormat="1" ht="30" customHeight="1" spans="1:13">
      <c r="A4731" s="41">
        <f>IF(C4731="","",SUBTOTAL(103,$C$2:C4731))</f>
        <v>4722</v>
      </c>
      <c r="B4731" s="41">
        <v>3011</v>
      </c>
      <c r="C4731" s="41">
        <v>4716</v>
      </c>
      <c r="D4731" s="41" t="s">
        <v>45</v>
      </c>
      <c r="E4731" s="41" t="s">
        <v>1298</v>
      </c>
      <c r="F4731" s="41" t="s">
        <v>11893</v>
      </c>
      <c r="G4731" s="41" t="s">
        <v>14453</v>
      </c>
      <c r="H4731" s="41" t="s">
        <v>14454</v>
      </c>
      <c r="I4731" s="43">
        <v>12</v>
      </c>
      <c r="J4731" s="44" t="str">
        <f>VLOOKUP(G4731,[1]硬件清单!$F:$F,1,0)</f>
        <v>210305756810HA000737</v>
      </c>
      <c r="K4731" s="43"/>
      <c r="L4731" s="44"/>
      <c r="M4731" s="45" t="s">
        <v>14455</v>
      </c>
    </row>
    <row r="4732" s="26" customFormat="1" ht="30" customHeight="1" spans="1:13">
      <c r="A4732" s="41">
        <f>IF(C4732="","",SUBTOTAL(103,$C$2:C4732))</f>
        <v>4723</v>
      </c>
      <c r="B4732" s="41">
        <v>3012</v>
      </c>
      <c r="C4732" s="41">
        <v>4717</v>
      </c>
      <c r="D4732" s="41" t="s">
        <v>45</v>
      </c>
      <c r="E4732" s="41" t="s">
        <v>1298</v>
      </c>
      <c r="F4732" s="41" t="s">
        <v>11893</v>
      </c>
      <c r="G4732" s="41" t="s">
        <v>14456</v>
      </c>
      <c r="H4732" s="41" t="s">
        <v>14457</v>
      </c>
      <c r="I4732" s="43">
        <v>12</v>
      </c>
      <c r="J4732" s="44" t="str">
        <f>VLOOKUP(G4732,[1]硬件清单!$F:$F,1,0)</f>
        <v>210305756810HA000740</v>
      </c>
      <c r="K4732" s="43"/>
      <c r="L4732" s="44"/>
      <c r="M4732" s="45" t="s">
        <v>14458</v>
      </c>
    </row>
    <row r="4733" s="26" customFormat="1" ht="30" customHeight="1" spans="1:13">
      <c r="A4733" s="41">
        <f>IF(C4733="","",SUBTOTAL(103,$C$2:C4733))</f>
        <v>4724</v>
      </c>
      <c r="B4733" s="41">
        <v>3013</v>
      </c>
      <c r="C4733" s="41">
        <v>4718</v>
      </c>
      <c r="D4733" s="41" t="s">
        <v>45</v>
      </c>
      <c r="E4733" s="41" t="s">
        <v>1298</v>
      </c>
      <c r="F4733" s="41" t="s">
        <v>11893</v>
      </c>
      <c r="G4733" s="41" t="s">
        <v>14459</v>
      </c>
      <c r="H4733" s="41" t="s">
        <v>14460</v>
      </c>
      <c r="I4733" s="43">
        <v>12</v>
      </c>
      <c r="J4733" s="44" t="str">
        <f>VLOOKUP(G4733,[1]硬件清单!$F:$F,1,0)</f>
        <v>210305756810HA000736</v>
      </c>
      <c r="K4733" s="43"/>
      <c r="L4733" s="44"/>
      <c r="M4733" s="45" t="s">
        <v>14461</v>
      </c>
    </row>
    <row r="4734" s="26" customFormat="1" ht="30" customHeight="1" spans="1:13">
      <c r="A4734" s="41">
        <f>IF(C4734="","",SUBTOTAL(103,$C$2:C4734))</f>
        <v>4725</v>
      </c>
      <c r="B4734" s="41">
        <v>3014</v>
      </c>
      <c r="C4734" s="41">
        <v>4719</v>
      </c>
      <c r="D4734" s="41" t="s">
        <v>45</v>
      </c>
      <c r="E4734" s="41" t="s">
        <v>1298</v>
      </c>
      <c r="F4734" s="41" t="s">
        <v>11893</v>
      </c>
      <c r="G4734" s="41" t="s">
        <v>14462</v>
      </c>
      <c r="H4734" s="41" t="s">
        <v>14463</v>
      </c>
      <c r="I4734" s="43">
        <v>12</v>
      </c>
      <c r="J4734" s="44" t="str">
        <f>VLOOKUP(G4734,[1]硬件清单!$F:$F,1,0)</f>
        <v>210305756810HA000738</v>
      </c>
      <c r="K4734" s="43"/>
      <c r="L4734" s="44"/>
      <c r="M4734" s="45" t="s">
        <v>14464</v>
      </c>
    </row>
    <row r="4735" s="26" customFormat="1" ht="30" customHeight="1" spans="1:13">
      <c r="A4735" s="41">
        <f>IF(C4735="","",SUBTOTAL(103,$C$2:C4735))</f>
        <v>4726</v>
      </c>
      <c r="B4735" s="41">
        <v>3015</v>
      </c>
      <c r="C4735" s="41">
        <v>4746</v>
      </c>
      <c r="D4735" s="41" t="s">
        <v>45</v>
      </c>
      <c r="E4735" s="41" t="s">
        <v>1298</v>
      </c>
      <c r="F4735" s="41" t="s">
        <v>11893</v>
      </c>
      <c r="G4735" s="41" t="s">
        <v>14465</v>
      </c>
      <c r="H4735" s="41" t="s">
        <v>14466</v>
      </c>
      <c r="I4735" s="43">
        <v>12</v>
      </c>
      <c r="J4735" s="44" t="str">
        <f>VLOOKUP(G4735,[1]硬件清单!$F:$F,1,0)</f>
        <v>210305756810HA000775</v>
      </c>
      <c r="K4735" s="43"/>
      <c r="L4735" s="44"/>
      <c r="M4735" s="45" t="s">
        <v>14467</v>
      </c>
    </row>
    <row r="4736" s="26" customFormat="1" ht="30" customHeight="1" spans="1:13">
      <c r="A4736" s="41">
        <f>IF(C4736="","",SUBTOTAL(103,$C$2:C4736))</f>
        <v>4727</v>
      </c>
      <c r="B4736" s="41">
        <v>3016</v>
      </c>
      <c r="C4736" s="41">
        <v>4745</v>
      </c>
      <c r="D4736" s="41" t="s">
        <v>45</v>
      </c>
      <c r="E4736" s="41" t="s">
        <v>1298</v>
      </c>
      <c r="F4736" s="41" t="s">
        <v>11893</v>
      </c>
      <c r="G4736" s="41" t="s">
        <v>14468</v>
      </c>
      <c r="H4736" s="41" t="s">
        <v>14469</v>
      </c>
      <c r="I4736" s="43">
        <v>12</v>
      </c>
      <c r="J4736" s="44" t="str">
        <f>VLOOKUP(G4736,[1]硬件清单!$F:$F,1,0)</f>
        <v>210305756810HA000751</v>
      </c>
      <c r="K4736" s="43"/>
      <c r="L4736" s="44"/>
      <c r="M4736" s="45" t="s">
        <v>14470</v>
      </c>
    </row>
    <row r="4737" s="26" customFormat="1" ht="30" customHeight="1" spans="1:13">
      <c r="A4737" s="41">
        <f>IF(C4737="","",SUBTOTAL(103,$C$2:C4737))</f>
        <v>4728</v>
      </c>
      <c r="B4737" s="41">
        <v>3017</v>
      </c>
      <c r="C4737" s="41">
        <v>5087</v>
      </c>
      <c r="D4737" s="41" t="s">
        <v>45</v>
      </c>
      <c r="E4737" s="41" t="s">
        <v>1298</v>
      </c>
      <c r="F4737" s="41" t="s">
        <v>11893</v>
      </c>
      <c r="G4737" s="41" t="s">
        <v>14471</v>
      </c>
      <c r="H4737" s="41" t="s">
        <v>14472</v>
      </c>
      <c r="I4737" s="43">
        <v>12</v>
      </c>
      <c r="J4737" s="44" t="str">
        <f>VLOOKUP(G4737,[1]硬件清单!$F:$F,1,0)</f>
        <v>210305756810HA000942</v>
      </c>
      <c r="K4737" s="43"/>
      <c r="L4737" s="44"/>
      <c r="M4737" s="45" t="s">
        <v>14473</v>
      </c>
    </row>
    <row r="4738" s="26" customFormat="1" ht="30" customHeight="1" spans="1:13">
      <c r="A4738" s="41">
        <f>IF(C4738="","",SUBTOTAL(103,$C$2:C4738))</f>
        <v>4729</v>
      </c>
      <c r="B4738" s="41">
        <v>3018</v>
      </c>
      <c r="C4738" s="41">
        <v>5359</v>
      </c>
      <c r="D4738" s="41" t="s">
        <v>45</v>
      </c>
      <c r="E4738" s="41" t="s">
        <v>1298</v>
      </c>
      <c r="F4738" s="41" t="s">
        <v>11889</v>
      </c>
      <c r="G4738" s="41" t="s">
        <v>14474</v>
      </c>
      <c r="H4738" s="41" t="s">
        <v>14475</v>
      </c>
      <c r="I4738" s="43">
        <v>12</v>
      </c>
      <c r="J4738" s="44" t="str">
        <f>VLOOKUP(G4738,[1]硬件清单!$F:$F,1,0)</f>
        <v>2102300742N0H9000688/
210230102810HA000176</v>
      </c>
      <c r="K4738" s="43"/>
      <c r="L4738" s="44"/>
      <c r="M4738" s="45" t="s">
        <v>14476</v>
      </c>
    </row>
    <row r="4739" s="26" customFormat="1" ht="30" customHeight="1" spans="1:13">
      <c r="A4739" s="41">
        <f>IF(C4739="","",SUBTOTAL(103,$C$2:C4739))</f>
        <v>4730</v>
      </c>
      <c r="B4739" s="41">
        <v>3019</v>
      </c>
      <c r="C4739" s="41">
        <v>5193</v>
      </c>
      <c r="D4739" s="41" t="s">
        <v>45</v>
      </c>
      <c r="E4739" s="41" t="s">
        <v>1298</v>
      </c>
      <c r="F4739" s="41" t="s">
        <v>11893</v>
      </c>
      <c r="G4739" s="41" t="s">
        <v>14477</v>
      </c>
      <c r="H4739" s="41" t="s">
        <v>14478</v>
      </c>
      <c r="I4739" s="43">
        <v>12</v>
      </c>
      <c r="J4739" s="44" t="str">
        <f>VLOOKUP(G4739,[1]硬件清单!$F:$F,1,0)</f>
        <v>210305756810HA000752</v>
      </c>
      <c r="K4739" s="43"/>
      <c r="L4739" s="44"/>
      <c r="M4739" s="45" t="s">
        <v>14479</v>
      </c>
    </row>
    <row r="4740" s="26" customFormat="1" ht="30" customHeight="1" spans="1:13">
      <c r="A4740" s="41">
        <f>IF(C4740="","",SUBTOTAL(103,$C$2:C4740))</f>
        <v>4731</v>
      </c>
      <c r="B4740" s="41">
        <v>3020</v>
      </c>
      <c r="C4740" s="41">
        <v>5226</v>
      </c>
      <c r="D4740" s="41" t="s">
        <v>45</v>
      </c>
      <c r="E4740" s="41" t="s">
        <v>1298</v>
      </c>
      <c r="F4740" s="41" t="s">
        <v>11893</v>
      </c>
      <c r="G4740" s="41" t="s">
        <v>14480</v>
      </c>
      <c r="H4740" s="41" t="s">
        <v>14481</v>
      </c>
      <c r="I4740" s="43">
        <v>12</v>
      </c>
      <c r="J4740" s="44" t="str">
        <f>VLOOKUP(G4740,[1]硬件清单!$F:$F,1,0)</f>
        <v>210305756810HA000712</v>
      </c>
      <c r="K4740" s="43"/>
      <c r="L4740" s="44"/>
      <c r="M4740" s="45" t="s">
        <v>14482</v>
      </c>
    </row>
    <row r="4741" s="26" customFormat="1" ht="30" customHeight="1" spans="1:13">
      <c r="A4741" s="41">
        <f>IF(C4741="","",SUBTOTAL(103,$C$2:C4741))</f>
        <v>4732</v>
      </c>
      <c r="B4741" s="41">
        <v>3021</v>
      </c>
      <c r="C4741" s="41">
        <v>5263</v>
      </c>
      <c r="D4741" s="41" t="s">
        <v>45</v>
      </c>
      <c r="E4741" s="41" t="s">
        <v>1298</v>
      </c>
      <c r="F4741" s="41" t="s">
        <v>11893</v>
      </c>
      <c r="G4741" s="41" t="s">
        <v>14483</v>
      </c>
      <c r="H4741" s="41" t="s">
        <v>14484</v>
      </c>
      <c r="I4741" s="43">
        <v>12</v>
      </c>
      <c r="J4741" s="44" t="str">
        <f>VLOOKUP(G4741,[1]硬件清单!$F:$F,1,0)</f>
        <v>210305756810HA000776</v>
      </c>
      <c r="K4741" s="43"/>
      <c r="L4741" s="44"/>
      <c r="M4741" s="45" t="s">
        <v>14485</v>
      </c>
    </row>
    <row r="4742" s="26" customFormat="1" ht="30" customHeight="1" spans="1:13">
      <c r="A4742" s="41">
        <f>IF(C4742="","",SUBTOTAL(103,$C$2:C4742))</f>
        <v>4733</v>
      </c>
      <c r="B4742" s="41">
        <v>3022</v>
      </c>
      <c r="C4742" s="41">
        <v>5264</v>
      </c>
      <c r="D4742" s="41" t="s">
        <v>45</v>
      </c>
      <c r="E4742" s="41" t="s">
        <v>1298</v>
      </c>
      <c r="F4742" s="41" t="s">
        <v>11893</v>
      </c>
      <c r="G4742" s="41" t="s">
        <v>14486</v>
      </c>
      <c r="H4742" s="41" t="s">
        <v>14487</v>
      </c>
      <c r="I4742" s="43">
        <v>12</v>
      </c>
      <c r="J4742" s="44" t="str">
        <f>VLOOKUP(G4742,[1]硬件清单!$F:$F,1,0)</f>
        <v>210305756810HA000874</v>
      </c>
      <c r="K4742" s="43"/>
      <c r="L4742" s="44"/>
      <c r="M4742" s="45" t="s">
        <v>14488</v>
      </c>
    </row>
    <row r="4743" s="26" customFormat="1" ht="30" customHeight="1" spans="1:13">
      <c r="A4743" s="41">
        <f>IF(C4743="","",SUBTOTAL(103,$C$2:C4743))</f>
        <v>4734</v>
      </c>
      <c r="B4743" s="41">
        <v>3023</v>
      </c>
      <c r="C4743" s="41">
        <v>5265</v>
      </c>
      <c r="D4743" s="41" t="s">
        <v>45</v>
      </c>
      <c r="E4743" s="41" t="s">
        <v>1298</v>
      </c>
      <c r="F4743" s="41" t="s">
        <v>11893</v>
      </c>
      <c r="G4743" s="41" t="s">
        <v>14489</v>
      </c>
      <c r="H4743" s="41" t="s">
        <v>14490</v>
      </c>
      <c r="I4743" s="43">
        <v>12</v>
      </c>
      <c r="J4743" s="44" t="str">
        <f>VLOOKUP(G4743,[1]硬件清单!$F:$F,1,0)</f>
        <v>210305756810HA000884</v>
      </c>
      <c r="K4743" s="43"/>
      <c r="L4743" s="44"/>
      <c r="M4743" s="45" t="s">
        <v>14491</v>
      </c>
    </row>
    <row r="4744" s="26" customFormat="1" ht="30" customHeight="1" spans="1:13">
      <c r="A4744" s="41">
        <f>IF(C4744="","",SUBTOTAL(103,$C$2:C4744))</f>
        <v>4735</v>
      </c>
      <c r="B4744" s="41">
        <v>3024</v>
      </c>
      <c r="C4744" s="41">
        <v>5266</v>
      </c>
      <c r="D4744" s="41" t="s">
        <v>45</v>
      </c>
      <c r="E4744" s="41" t="s">
        <v>1298</v>
      </c>
      <c r="F4744" s="41" t="s">
        <v>11893</v>
      </c>
      <c r="G4744" s="41" t="s">
        <v>14492</v>
      </c>
      <c r="H4744" s="41" t="s">
        <v>14493</v>
      </c>
      <c r="I4744" s="43">
        <v>12</v>
      </c>
      <c r="J4744" s="44" t="str">
        <f>VLOOKUP(G4744,[1]硬件清单!$F:$F,1,0)</f>
        <v>210305756810HA001088</v>
      </c>
      <c r="K4744" s="43"/>
      <c r="L4744" s="44"/>
      <c r="M4744" s="45" t="s">
        <v>14494</v>
      </c>
    </row>
    <row r="4745" s="26" customFormat="1" ht="30" customHeight="1" spans="1:13">
      <c r="A4745" s="41">
        <f>IF(C4745="","",SUBTOTAL(103,$C$2:C4745))</f>
        <v>4736</v>
      </c>
      <c r="B4745" s="41">
        <v>3025</v>
      </c>
      <c r="C4745" s="41">
        <v>5267</v>
      </c>
      <c r="D4745" s="41" t="s">
        <v>45</v>
      </c>
      <c r="E4745" s="41" t="s">
        <v>1298</v>
      </c>
      <c r="F4745" s="41" t="s">
        <v>11893</v>
      </c>
      <c r="G4745" s="41" t="s">
        <v>14495</v>
      </c>
      <c r="H4745" s="41" t="s">
        <v>14496</v>
      </c>
      <c r="I4745" s="43">
        <v>12</v>
      </c>
      <c r="J4745" s="44" t="str">
        <f>VLOOKUP(G4745,[1]硬件清单!$F:$F,1,0)</f>
        <v>210305756810HA000880</v>
      </c>
      <c r="K4745" s="43"/>
      <c r="L4745" s="44"/>
      <c r="M4745" s="45" t="s">
        <v>14497</v>
      </c>
    </row>
    <row r="4746" s="26" customFormat="1" ht="30" customHeight="1" spans="1:13">
      <c r="A4746" s="41">
        <f>IF(C4746="","",SUBTOTAL(103,$C$2:C4746))</f>
        <v>4737</v>
      </c>
      <c r="B4746" s="41">
        <v>3026</v>
      </c>
      <c r="C4746" s="41">
        <v>5268</v>
      </c>
      <c r="D4746" s="41" t="s">
        <v>45</v>
      </c>
      <c r="E4746" s="41" t="s">
        <v>1298</v>
      </c>
      <c r="F4746" s="41" t="s">
        <v>11893</v>
      </c>
      <c r="G4746" s="41" t="s">
        <v>14498</v>
      </c>
      <c r="H4746" s="41" t="s">
        <v>14499</v>
      </c>
      <c r="I4746" s="43">
        <v>12</v>
      </c>
      <c r="J4746" s="44" t="str">
        <f>VLOOKUP(G4746,[1]硬件清单!$F:$F,1,0)</f>
        <v>210305756810HA000841</v>
      </c>
      <c r="K4746" s="43"/>
      <c r="L4746" s="44"/>
      <c r="M4746" s="45" t="s">
        <v>14500</v>
      </c>
    </row>
    <row r="4747" s="26" customFormat="1" ht="30" customHeight="1" spans="1:13">
      <c r="A4747" s="41">
        <f>IF(C4747="","",SUBTOTAL(103,$C$2:C4747))</f>
        <v>4738</v>
      </c>
      <c r="B4747" s="41">
        <v>3027</v>
      </c>
      <c r="C4747" s="41">
        <v>5194</v>
      </c>
      <c r="D4747" s="41" t="s">
        <v>45</v>
      </c>
      <c r="E4747" s="41" t="s">
        <v>1298</v>
      </c>
      <c r="F4747" s="41" t="s">
        <v>11893</v>
      </c>
      <c r="G4747" s="41" t="s">
        <v>14501</v>
      </c>
      <c r="H4747" s="41" t="s">
        <v>14502</v>
      </c>
      <c r="I4747" s="43">
        <v>12</v>
      </c>
      <c r="J4747" s="44" t="str">
        <f>VLOOKUP(G4747,[1]硬件清单!$F:$F,1,0)</f>
        <v>210305756810HA000951</v>
      </c>
      <c r="K4747" s="43"/>
      <c r="L4747" s="44"/>
      <c r="M4747" s="45" t="s">
        <v>14503</v>
      </c>
    </row>
    <row r="4748" s="26" customFormat="1" ht="30" customHeight="1" spans="1:13">
      <c r="A4748" s="41">
        <f>IF(C4748="","",SUBTOTAL(103,$C$2:C4748))</f>
        <v>4739</v>
      </c>
      <c r="B4748" s="41">
        <v>3028</v>
      </c>
      <c r="C4748" s="41">
        <v>5195</v>
      </c>
      <c r="D4748" s="41" t="s">
        <v>45</v>
      </c>
      <c r="E4748" s="41" t="s">
        <v>1298</v>
      </c>
      <c r="F4748" s="41" t="s">
        <v>11893</v>
      </c>
      <c r="G4748" s="41" t="s">
        <v>14504</v>
      </c>
      <c r="H4748" s="41" t="s">
        <v>14505</v>
      </c>
      <c r="I4748" s="43">
        <v>12</v>
      </c>
      <c r="J4748" s="44" t="str">
        <f>VLOOKUP(G4748,[1]硬件清单!$F:$F,1,0)</f>
        <v>210305756810HA000863</v>
      </c>
      <c r="K4748" s="43"/>
      <c r="L4748" s="44"/>
      <c r="M4748" s="45" t="s">
        <v>14506</v>
      </c>
    </row>
    <row r="4749" s="26" customFormat="1" ht="30" customHeight="1" spans="1:13">
      <c r="A4749" s="41">
        <f>IF(C4749="","",SUBTOTAL(103,$C$2:C4749))</f>
        <v>4740</v>
      </c>
      <c r="B4749" s="41">
        <v>3029</v>
      </c>
      <c r="C4749" s="41">
        <v>5220</v>
      </c>
      <c r="D4749" s="41" t="s">
        <v>45</v>
      </c>
      <c r="E4749" s="41" t="s">
        <v>1298</v>
      </c>
      <c r="F4749" s="41" t="s">
        <v>11893</v>
      </c>
      <c r="G4749" s="41" t="s">
        <v>14507</v>
      </c>
      <c r="H4749" s="41" t="s">
        <v>14508</v>
      </c>
      <c r="I4749" s="43">
        <v>12</v>
      </c>
      <c r="J4749" s="44" t="str">
        <f>VLOOKUP(G4749,[1]硬件清单!$F:$F,1,0)</f>
        <v>210305756810HA001086</v>
      </c>
      <c r="K4749" s="43"/>
      <c r="L4749" s="44"/>
      <c r="M4749" s="45" t="s">
        <v>14509</v>
      </c>
    </row>
    <row r="4750" s="26" customFormat="1" ht="30" customHeight="1" spans="1:13">
      <c r="A4750" s="41">
        <f>IF(C4750="","",SUBTOTAL(103,$C$2:C4750))</f>
        <v>4741</v>
      </c>
      <c r="B4750" s="41">
        <v>3030</v>
      </c>
      <c r="C4750" s="41">
        <v>5221</v>
      </c>
      <c r="D4750" s="41" t="s">
        <v>45</v>
      </c>
      <c r="E4750" s="41" t="s">
        <v>1298</v>
      </c>
      <c r="F4750" s="41" t="s">
        <v>11893</v>
      </c>
      <c r="G4750" s="41" t="s">
        <v>14510</v>
      </c>
      <c r="H4750" s="41" t="s">
        <v>14511</v>
      </c>
      <c r="I4750" s="43">
        <v>12</v>
      </c>
      <c r="J4750" s="44" t="str">
        <f>VLOOKUP(G4750,[1]硬件清单!$F:$F,1,0)</f>
        <v>210305756810HA001155</v>
      </c>
      <c r="K4750" s="43"/>
      <c r="L4750" s="44"/>
      <c r="M4750" s="45" t="s">
        <v>14512</v>
      </c>
    </row>
    <row r="4751" s="26" customFormat="1" ht="30" customHeight="1" spans="1:13">
      <c r="A4751" s="41">
        <f>IF(C4751="","",SUBTOTAL(103,$C$2:C4751))</f>
        <v>4742</v>
      </c>
      <c r="B4751" s="41">
        <v>3031</v>
      </c>
      <c r="C4751" s="41">
        <v>5222</v>
      </c>
      <c r="D4751" s="41" t="s">
        <v>45</v>
      </c>
      <c r="E4751" s="41" t="s">
        <v>1298</v>
      </c>
      <c r="F4751" s="41" t="s">
        <v>11893</v>
      </c>
      <c r="G4751" s="41" t="s">
        <v>14513</v>
      </c>
      <c r="H4751" s="41" t="s">
        <v>14514</v>
      </c>
      <c r="I4751" s="43">
        <v>12</v>
      </c>
      <c r="J4751" s="44" t="str">
        <f>VLOOKUP(G4751,[1]硬件清单!$F:$F,1,0)</f>
        <v>210305756810HA001149</v>
      </c>
      <c r="K4751" s="43"/>
      <c r="L4751" s="44"/>
      <c r="M4751" s="45" t="s">
        <v>14515</v>
      </c>
    </row>
    <row r="4752" s="26" customFormat="1" ht="30" customHeight="1" spans="1:13">
      <c r="A4752" s="41">
        <f>IF(C4752="","",SUBTOTAL(103,$C$2:C4752))</f>
        <v>4743</v>
      </c>
      <c r="B4752" s="41">
        <v>3032</v>
      </c>
      <c r="C4752" s="41">
        <v>5223</v>
      </c>
      <c r="D4752" s="41" t="s">
        <v>45</v>
      </c>
      <c r="E4752" s="41" t="s">
        <v>1298</v>
      </c>
      <c r="F4752" s="41" t="s">
        <v>11893</v>
      </c>
      <c r="G4752" s="41" t="s">
        <v>14516</v>
      </c>
      <c r="H4752" s="41" t="s">
        <v>14517</v>
      </c>
      <c r="I4752" s="43">
        <v>12</v>
      </c>
      <c r="J4752" s="44" t="str">
        <f>VLOOKUP(G4752,[1]硬件清单!$F:$F,1,0)</f>
        <v>210305756810HA000933</v>
      </c>
      <c r="K4752" s="43"/>
      <c r="L4752" s="44"/>
      <c r="M4752" s="45" t="s">
        <v>14518</v>
      </c>
    </row>
    <row r="4753" s="26" customFormat="1" ht="30" customHeight="1" spans="1:13">
      <c r="A4753" s="41">
        <f>IF(C4753="","",SUBTOTAL(103,$C$2:C4753))</f>
        <v>4744</v>
      </c>
      <c r="B4753" s="41">
        <v>3033</v>
      </c>
      <c r="C4753" s="41">
        <v>5224</v>
      </c>
      <c r="D4753" s="41" t="s">
        <v>45</v>
      </c>
      <c r="E4753" s="41" t="s">
        <v>1298</v>
      </c>
      <c r="F4753" s="41" t="s">
        <v>11893</v>
      </c>
      <c r="G4753" s="41" t="s">
        <v>14519</v>
      </c>
      <c r="H4753" s="41" t="s">
        <v>14520</v>
      </c>
      <c r="I4753" s="43">
        <v>12</v>
      </c>
      <c r="J4753" s="44" t="str">
        <f>VLOOKUP(G4753,[1]硬件清单!$F:$F,1,0)</f>
        <v>210305756810HA001159</v>
      </c>
      <c r="K4753" s="43"/>
      <c r="L4753" s="44"/>
      <c r="M4753" s="45" t="s">
        <v>14521</v>
      </c>
    </row>
    <row r="4754" s="26" customFormat="1" ht="30" customHeight="1" spans="1:13">
      <c r="A4754" s="41">
        <f>IF(C4754="","",SUBTOTAL(103,$C$2:C4754))</f>
        <v>4745</v>
      </c>
      <c r="B4754" s="41">
        <v>3034</v>
      </c>
      <c r="C4754" s="41">
        <v>5225</v>
      </c>
      <c r="D4754" s="41" t="s">
        <v>45</v>
      </c>
      <c r="E4754" s="41" t="s">
        <v>1298</v>
      </c>
      <c r="F4754" s="41" t="s">
        <v>11893</v>
      </c>
      <c r="G4754" s="41" t="s">
        <v>14522</v>
      </c>
      <c r="H4754" s="41" t="s">
        <v>14523</v>
      </c>
      <c r="I4754" s="43">
        <v>12</v>
      </c>
      <c r="J4754" s="44" t="str">
        <f>VLOOKUP(G4754,[1]硬件清单!$F:$F,1,0)</f>
        <v>210305756810HA000744</v>
      </c>
      <c r="K4754" s="43"/>
      <c r="L4754" s="44"/>
      <c r="M4754" s="45" t="s">
        <v>14524</v>
      </c>
    </row>
    <row r="4755" s="26" customFormat="1" ht="30" customHeight="1" spans="1:13">
      <c r="A4755" s="41">
        <f>IF(C4755="","",SUBTOTAL(103,$C$2:C4755))</f>
        <v>4746</v>
      </c>
      <c r="B4755" s="41">
        <v>3035</v>
      </c>
      <c r="C4755" s="41">
        <v>5358</v>
      </c>
      <c r="D4755" s="41" t="s">
        <v>45</v>
      </c>
      <c r="E4755" s="41" t="s">
        <v>1298</v>
      </c>
      <c r="F4755" s="41" t="s">
        <v>11889</v>
      </c>
      <c r="G4755" s="41" t="s">
        <v>14525</v>
      </c>
      <c r="H4755" s="41" t="s">
        <v>14526</v>
      </c>
      <c r="I4755" s="43">
        <v>12</v>
      </c>
      <c r="J4755" s="44" t="str">
        <f>VLOOKUP(G4755,[1]硬件清单!$F:$F,1,0)</f>
        <v>2102300742N0HA000057/
210230102810HA000173</v>
      </c>
      <c r="K4755" s="43"/>
      <c r="L4755" s="44"/>
      <c r="M4755" s="45" t="s">
        <v>14527</v>
      </c>
    </row>
    <row r="4756" s="26" customFormat="1" ht="30" customHeight="1" spans="1:13">
      <c r="A4756" s="41">
        <f>IF(C4756="","",SUBTOTAL(103,$C$2:C4756))</f>
        <v>4747</v>
      </c>
      <c r="B4756" s="41">
        <v>3036</v>
      </c>
      <c r="C4756" s="41">
        <v>5227</v>
      </c>
      <c r="D4756" s="41" t="s">
        <v>45</v>
      </c>
      <c r="E4756" s="41" t="s">
        <v>1298</v>
      </c>
      <c r="F4756" s="41" t="s">
        <v>11893</v>
      </c>
      <c r="G4756" s="41" t="s">
        <v>14528</v>
      </c>
      <c r="H4756" s="41" t="s">
        <v>14529</v>
      </c>
      <c r="I4756" s="43">
        <v>12</v>
      </c>
      <c r="J4756" s="44" t="str">
        <f>VLOOKUP(G4756,[1]硬件清单!$F:$F,1,0)</f>
        <v>210305756810HA001144</v>
      </c>
      <c r="K4756" s="43"/>
      <c r="L4756" s="44"/>
      <c r="M4756" s="45" t="s">
        <v>14530</v>
      </c>
    </row>
    <row r="4757" s="26" customFormat="1" ht="30" customHeight="1" spans="1:13">
      <c r="A4757" s="41">
        <f>IF(C4757="","",SUBTOTAL(103,$C$2:C4757))</f>
        <v>4748</v>
      </c>
      <c r="B4757" s="41">
        <v>3037</v>
      </c>
      <c r="C4757" s="41">
        <v>5276</v>
      </c>
      <c r="D4757" s="41" t="s">
        <v>45</v>
      </c>
      <c r="E4757" s="41" t="s">
        <v>1298</v>
      </c>
      <c r="F4757" s="41" t="s">
        <v>11893</v>
      </c>
      <c r="G4757" s="41" t="s">
        <v>14531</v>
      </c>
      <c r="H4757" s="41" t="s">
        <v>14532</v>
      </c>
      <c r="I4757" s="43">
        <v>12</v>
      </c>
      <c r="J4757" s="44" t="str">
        <f>VLOOKUP(G4757,[1]硬件清单!$F:$F,1,0)</f>
        <v>210305756810HA000918</v>
      </c>
      <c r="K4757" s="43"/>
      <c r="L4757" s="44"/>
      <c r="M4757" s="45" t="s">
        <v>14533</v>
      </c>
    </row>
    <row r="4758" s="26" customFormat="1" ht="30" customHeight="1" spans="1:13">
      <c r="A4758" s="41">
        <f>IF(C4758="","",SUBTOTAL(103,$C$2:C4758))</f>
        <v>4749</v>
      </c>
      <c r="B4758" s="41">
        <v>3038</v>
      </c>
      <c r="C4758" s="41">
        <v>5277</v>
      </c>
      <c r="D4758" s="41" t="s">
        <v>45</v>
      </c>
      <c r="E4758" s="41" t="s">
        <v>1298</v>
      </c>
      <c r="F4758" s="41" t="s">
        <v>11893</v>
      </c>
      <c r="G4758" s="41" t="s">
        <v>14534</v>
      </c>
      <c r="H4758" s="41" t="s">
        <v>14535</v>
      </c>
      <c r="I4758" s="43">
        <v>12</v>
      </c>
      <c r="J4758" s="44" t="str">
        <f>VLOOKUP(G4758,[1]硬件清单!$F:$F,1,0)</f>
        <v>210305756810HA001122</v>
      </c>
      <c r="K4758" s="43"/>
      <c r="L4758" s="44"/>
      <c r="M4758" s="45" t="s">
        <v>14536</v>
      </c>
    </row>
    <row r="4759" s="26" customFormat="1" ht="30" customHeight="1" spans="1:13">
      <c r="A4759" s="41">
        <f>IF(C4759="","",SUBTOTAL(103,$C$2:C4759))</f>
        <v>4750</v>
      </c>
      <c r="B4759" s="41">
        <v>3039</v>
      </c>
      <c r="C4759" s="41">
        <v>5278</v>
      </c>
      <c r="D4759" s="41" t="s">
        <v>45</v>
      </c>
      <c r="E4759" s="41" t="s">
        <v>1298</v>
      </c>
      <c r="F4759" s="41" t="s">
        <v>11893</v>
      </c>
      <c r="G4759" s="41" t="s">
        <v>14537</v>
      </c>
      <c r="H4759" s="41" t="s">
        <v>14538</v>
      </c>
      <c r="I4759" s="43">
        <v>12</v>
      </c>
      <c r="J4759" s="44" t="str">
        <f>VLOOKUP(G4759,[1]硬件清单!$F:$F,1,0)</f>
        <v>210305756810HA000920</v>
      </c>
      <c r="K4759" s="43"/>
      <c r="L4759" s="44"/>
      <c r="M4759" s="45" t="s">
        <v>14539</v>
      </c>
    </row>
    <row r="4760" s="26" customFormat="1" ht="30" customHeight="1" spans="1:13">
      <c r="A4760" s="41">
        <f>IF(C4760="","",SUBTOTAL(103,$C$2:C4760))</f>
        <v>4751</v>
      </c>
      <c r="B4760" s="41">
        <v>3040</v>
      </c>
      <c r="C4760" s="41">
        <v>5279</v>
      </c>
      <c r="D4760" s="41" t="s">
        <v>45</v>
      </c>
      <c r="E4760" s="41" t="s">
        <v>1298</v>
      </c>
      <c r="F4760" s="41" t="s">
        <v>11893</v>
      </c>
      <c r="G4760" s="41" t="s">
        <v>14540</v>
      </c>
      <c r="H4760" s="41" t="s">
        <v>14541</v>
      </c>
      <c r="I4760" s="43">
        <v>12</v>
      </c>
      <c r="J4760" s="44" t="str">
        <f>VLOOKUP(G4760,[1]硬件清单!$F:$F,1,0)</f>
        <v>210305756810HA001162</v>
      </c>
      <c r="K4760" s="43"/>
      <c r="L4760" s="44"/>
      <c r="M4760" s="45" t="s">
        <v>14542</v>
      </c>
    </row>
    <row r="4761" s="26" customFormat="1" ht="30" customHeight="1" spans="1:13">
      <c r="A4761" s="41">
        <f>IF(C4761="","",SUBTOTAL(103,$C$2:C4761))</f>
        <v>4752</v>
      </c>
      <c r="B4761" s="41">
        <v>3041</v>
      </c>
      <c r="C4761" s="41">
        <v>5280</v>
      </c>
      <c r="D4761" s="41" t="s">
        <v>45</v>
      </c>
      <c r="E4761" s="41" t="s">
        <v>1298</v>
      </c>
      <c r="F4761" s="41" t="s">
        <v>11893</v>
      </c>
      <c r="G4761" s="41" t="s">
        <v>14543</v>
      </c>
      <c r="H4761" s="41" t="s">
        <v>14544</v>
      </c>
      <c r="I4761" s="43">
        <v>12</v>
      </c>
      <c r="J4761" s="44" t="str">
        <f>VLOOKUP(G4761,[1]硬件清单!$F:$F,1,0)</f>
        <v>210305756810HA001124</v>
      </c>
      <c r="K4761" s="43"/>
      <c r="L4761" s="44"/>
      <c r="M4761" s="45" t="s">
        <v>14545</v>
      </c>
    </row>
    <row r="4762" s="26" customFormat="1" ht="30" customHeight="1" spans="1:13">
      <c r="A4762" s="41">
        <f>IF(C4762="","",SUBTOTAL(103,$C$2:C4762))</f>
        <v>4753</v>
      </c>
      <c r="B4762" s="41">
        <v>3042</v>
      </c>
      <c r="C4762" s="41">
        <v>5281</v>
      </c>
      <c r="D4762" s="41" t="s">
        <v>45</v>
      </c>
      <c r="E4762" s="41" t="s">
        <v>1298</v>
      </c>
      <c r="F4762" s="41" t="s">
        <v>11893</v>
      </c>
      <c r="G4762" s="41" t="s">
        <v>14546</v>
      </c>
      <c r="H4762" s="41" t="s">
        <v>14547</v>
      </c>
      <c r="I4762" s="43">
        <v>12</v>
      </c>
      <c r="J4762" s="44" t="str">
        <f>VLOOKUP(G4762,[1]硬件清单!$F:$F,1,0)</f>
        <v>210305756810HA001076</v>
      </c>
      <c r="K4762" s="43"/>
      <c r="L4762" s="44"/>
      <c r="M4762" s="45" t="s">
        <v>14548</v>
      </c>
    </row>
    <row r="4763" s="26" customFormat="1" ht="30" customHeight="1" spans="1:13">
      <c r="A4763" s="41">
        <f>IF(C4763="","",SUBTOTAL(103,$C$2:C4763))</f>
        <v>4754</v>
      </c>
      <c r="B4763" s="41">
        <v>3043</v>
      </c>
      <c r="C4763" s="41">
        <v>5282</v>
      </c>
      <c r="D4763" s="41" t="s">
        <v>45</v>
      </c>
      <c r="E4763" s="41" t="s">
        <v>1298</v>
      </c>
      <c r="F4763" s="41" t="s">
        <v>11893</v>
      </c>
      <c r="G4763" s="41" t="s">
        <v>14549</v>
      </c>
      <c r="H4763" s="41" t="s">
        <v>14550</v>
      </c>
      <c r="I4763" s="43">
        <v>12</v>
      </c>
      <c r="J4763" s="44" t="str">
        <f>VLOOKUP(G4763,[1]硬件清单!$F:$F,1,0)</f>
        <v>210305756810HA000739</v>
      </c>
      <c r="K4763" s="43"/>
      <c r="L4763" s="44"/>
      <c r="M4763" s="45" t="s">
        <v>14551</v>
      </c>
    </row>
    <row r="4764" s="26" customFormat="1" ht="30" customHeight="1" spans="1:13">
      <c r="A4764" s="41">
        <f>IF(C4764="","",SUBTOTAL(103,$C$2:C4764))</f>
        <v>4755</v>
      </c>
      <c r="B4764" s="41">
        <v>3044</v>
      </c>
      <c r="C4764" s="41">
        <v>5228</v>
      </c>
      <c r="D4764" s="41" t="s">
        <v>45</v>
      </c>
      <c r="E4764" s="41" t="s">
        <v>1298</v>
      </c>
      <c r="F4764" s="41" t="s">
        <v>11893</v>
      </c>
      <c r="G4764" s="41" t="s">
        <v>14552</v>
      </c>
      <c r="H4764" s="41" t="s">
        <v>14553</v>
      </c>
      <c r="I4764" s="43">
        <v>12</v>
      </c>
      <c r="J4764" s="44" t="str">
        <f>VLOOKUP(G4764,[1]硬件清单!$F:$F,1,0)</f>
        <v>210305756810HA001072</v>
      </c>
      <c r="K4764" s="43"/>
      <c r="L4764" s="44"/>
      <c r="M4764" s="45" t="s">
        <v>14554</v>
      </c>
    </row>
    <row r="4765" s="26" customFormat="1" ht="30" customHeight="1" spans="1:13">
      <c r="A4765" s="41">
        <f>IF(C4765="","",SUBTOTAL(103,$C$2:C4765))</f>
        <v>4756</v>
      </c>
      <c r="B4765" s="41">
        <v>3045</v>
      </c>
      <c r="C4765" s="41">
        <v>5229</v>
      </c>
      <c r="D4765" s="41" t="s">
        <v>45</v>
      </c>
      <c r="E4765" s="41" t="s">
        <v>1298</v>
      </c>
      <c r="F4765" s="41" t="s">
        <v>11893</v>
      </c>
      <c r="G4765" s="41" t="s">
        <v>14555</v>
      </c>
      <c r="H4765" s="41" t="s">
        <v>14556</v>
      </c>
      <c r="I4765" s="43">
        <v>12</v>
      </c>
      <c r="J4765" s="44" t="str">
        <f>VLOOKUP(G4765,[1]硬件清单!$F:$F,1,0)</f>
        <v>210305756810HA000858</v>
      </c>
      <c r="K4765" s="43"/>
      <c r="L4765" s="44"/>
      <c r="M4765" s="45" t="s">
        <v>14557</v>
      </c>
    </row>
    <row r="4766" s="26" customFormat="1" ht="30" customHeight="1" spans="1:13">
      <c r="A4766" s="41">
        <f>IF(C4766="","",SUBTOTAL(103,$C$2:C4766))</f>
        <v>4757</v>
      </c>
      <c r="B4766" s="41">
        <v>3046</v>
      </c>
      <c r="C4766" s="41">
        <v>5230</v>
      </c>
      <c r="D4766" s="41" t="s">
        <v>45</v>
      </c>
      <c r="E4766" s="41" t="s">
        <v>1298</v>
      </c>
      <c r="F4766" s="41" t="s">
        <v>11893</v>
      </c>
      <c r="G4766" s="41" t="s">
        <v>14558</v>
      </c>
      <c r="H4766" s="41" t="s">
        <v>14559</v>
      </c>
      <c r="I4766" s="43">
        <v>12</v>
      </c>
      <c r="J4766" s="44" t="str">
        <f>VLOOKUP(G4766,[1]硬件清单!$F:$F,1,0)</f>
        <v>210305756810HA000915</v>
      </c>
      <c r="K4766" s="43"/>
      <c r="L4766" s="44"/>
      <c r="M4766" s="45" t="s">
        <v>14560</v>
      </c>
    </row>
    <row r="4767" s="26" customFormat="1" ht="30" customHeight="1" spans="1:13">
      <c r="A4767" s="41">
        <f>IF(C4767="","",SUBTOTAL(103,$C$2:C4767))</f>
        <v>4758</v>
      </c>
      <c r="B4767" s="41">
        <v>3047</v>
      </c>
      <c r="C4767" s="41">
        <v>5231</v>
      </c>
      <c r="D4767" s="41" t="s">
        <v>45</v>
      </c>
      <c r="E4767" s="41" t="s">
        <v>1298</v>
      </c>
      <c r="F4767" s="41" t="s">
        <v>11893</v>
      </c>
      <c r="G4767" s="41" t="s">
        <v>14561</v>
      </c>
      <c r="H4767" s="41" t="s">
        <v>14562</v>
      </c>
      <c r="I4767" s="43">
        <v>12</v>
      </c>
      <c r="J4767" s="44" t="str">
        <f>VLOOKUP(G4767,[1]硬件清单!$F:$F,1,0)</f>
        <v>210305756810HA001070</v>
      </c>
      <c r="K4767" s="43"/>
      <c r="L4767" s="44"/>
      <c r="M4767" s="45" t="s">
        <v>14563</v>
      </c>
    </row>
    <row r="4768" s="26" customFormat="1" ht="30" customHeight="1" spans="1:13">
      <c r="A4768" s="41">
        <f>IF(C4768="","",SUBTOTAL(103,$C$2:C4768))</f>
        <v>4759</v>
      </c>
      <c r="B4768" s="41">
        <v>3048</v>
      </c>
      <c r="C4768" s="41">
        <v>5232</v>
      </c>
      <c r="D4768" s="41" t="s">
        <v>45</v>
      </c>
      <c r="E4768" s="41" t="s">
        <v>1298</v>
      </c>
      <c r="F4768" s="41" t="s">
        <v>11893</v>
      </c>
      <c r="G4768" s="41" t="s">
        <v>14564</v>
      </c>
      <c r="H4768" s="41" t="s">
        <v>14565</v>
      </c>
      <c r="I4768" s="43">
        <v>12</v>
      </c>
      <c r="J4768" s="44" t="str">
        <f>VLOOKUP(G4768,[1]硬件清单!$F:$F,1,0)</f>
        <v>210305756810HA000914</v>
      </c>
      <c r="K4768" s="43"/>
      <c r="L4768" s="44"/>
      <c r="M4768" s="45" t="s">
        <v>14566</v>
      </c>
    </row>
    <row r="4769" s="26" customFormat="1" ht="30" customHeight="1" spans="1:13">
      <c r="A4769" s="41">
        <f>IF(C4769="","",SUBTOTAL(103,$C$2:C4769))</f>
        <v>4760</v>
      </c>
      <c r="B4769" s="41">
        <v>3049</v>
      </c>
      <c r="C4769" s="41">
        <v>5233</v>
      </c>
      <c r="D4769" s="41" t="s">
        <v>45</v>
      </c>
      <c r="E4769" s="41" t="s">
        <v>1298</v>
      </c>
      <c r="F4769" s="41" t="s">
        <v>11893</v>
      </c>
      <c r="G4769" s="41" t="s">
        <v>14567</v>
      </c>
      <c r="H4769" s="41" t="s">
        <v>14568</v>
      </c>
      <c r="I4769" s="43">
        <v>12</v>
      </c>
      <c r="J4769" s="44" t="str">
        <f>VLOOKUP(G4769,[1]硬件清单!$F:$F,1,0)</f>
        <v>210305756810HA000921</v>
      </c>
      <c r="K4769" s="43"/>
      <c r="L4769" s="44"/>
      <c r="M4769" s="45" t="s">
        <v>14569</v>
      </c>
    </row>
    <row r="4770" s="26" customFormat="1" ht="30" customHeight="1" spans="1:13">
      <c r="A4770" s="41">
        <f>IF(C4770="","",SUBTOTAL(103,$C$2:C4770))</f>
        <v>4761</v>
      </c>
      <c r="B4770" s="41">
        <v>3050</v>
      </c>
      <c r="C4770" s="41">
        <v>5234</v>
      </c>
      <c r="D4770" s="41" t="s">
        <v>45</v>
      </c>
      <c r="E4770" s="41" t="s">
        <v>1298</v>
      </c>
      <c r="F4770" s="41" t="s">
        <v>11893</v>
      </c>
      <c r="G4770" s="41" t="s">
        <v>14570</v>
      </c>
      <c r="H4770" s="41" t="s">
        <v>14571</v>
      </c>
      <c r="I4770" s="43">
        <v>12</v>
      </c>
      <c r="J4770" s="44" t="str">
        <f>VLOOKUP(G4770,[1]硬件清单!$F:$F,1,0)</f>
        <v>210305756810HA000845</v>
      </c>
      <c r="K4770" s="43"/>
      <c r="L4770" s="44"/>
      <c r="M4770" s="45" t="s">
        <v>14572</v>
      </c>
    </row>
    <row r="4771" s="26" customFormat="1" ht="30" customHeight="1" spans="1:13">
      <c r="A4771" s="41">
        <f>IF(C4771="","",SUBTOTAL(103,$C$2:C4771))</f>
        <v>4762</v>
      </c>
      <c r="B4771" s="41">
        <v>3051</v>
      </c>
      <c r="C4771" s="41">
        <v>5275</v>
      </c>
      <c r="D4771" s="41" t="s">
        <v>45</v>
      </c>
      <c r="E4771" s="41" t="s">
        <v>1298</v>
      </c>
      <c r="F4771" s="41" t="s">
        <v>11893</v>
      </c>
      <c r="G4771" s="41" t="s">
        <v>14573</v>
      </c>
      <c r="H4771" s="41" t="s">
        <v>14574</v>
      </c>
      <c r="I4771" s="43">
        <v>12</v>
      </c>
      <c r="J4771" s="44" t="str">
        <f>VLOOKUP(G4771,[1]硬件清单!$F:$F,1,0)</f>
        <v>210305756810HA001156</v>
      </c>
      <c r="K4771" s="43"/>
      <c r="L4771" s="44"/>
      <c r="M4771" s="45" t="s">
        <v>14575</v>
      </c>
    </row>
    <row r="4772" s="26" customFormat="1" ht="30" customHeight="1" spans="1:13">
      <c r="A4772" s="41">
        <f>IF(C4772="","",SUBTOTAL(103,$C$2:C4772))</f>
        <v>4763</v>
      </c>
      <c r="B4772" s="41">
        <v>3052</v>
      </c>
      <c r="C4772" s="41">
        <v>4720</v>
      </c>
      <c r="D4772" s="41" t="s">
        <v>45</v>
      </c>
      <c r="E4772" s="41" t="s">
        <v>1298</v>
      </c>
      <c r="F4772" s="41" t="s">
        <v>11889</v>
      </c>
      <c r="G4772" s="41" t="s">
        <v>14576</v>
      </c>
      <c r="H4772" s="41" t="s">
        <v>14577</v>
      </c>
      <c r="I4772" s="43">
        <v>12</v>
      </c>
      <c r="J4772" s="44" t="str">
        <f>VLOOKUP(G4772,[1]硬件清单!$F:$F,1,0)</f>
        <v>2102300742N0H9000700/
210230102810HA000174</v>
      </c>
      <c r="K4772" s="43"/>
      <c r="L4772" s="44"/>
      <c r="M4772" s="45" t="s">
        <v>14578</v>
      </c>
    </row>
    <row r="4773" s="26" customFormat="1" ht="30" customHeight="1" spans="1:13">
      <c r="A4773" s="41">
        <f>IF(C4773="","",SUBTOTAL(103,$C$2:C4773))</f>
        <v>4764</v>
      </c>
      <c r="B4773" s="41">
        <v>3053</v>
      </c>
      <c r="C4773" s="41">
        <v>3797</v>
      </c>
      <c r="D4773" s="41" t="s">
        <v>45</v>
      </c>
      <c r="E4773" s="41" t="s">
        <v>1298</v>
      </c>
      <c r="F4773" s="41" t="s">
        <v>11893</v>
      </c>
      <c r="G4773" s="41" t="s">
        <v>14579</v>
      </c>
      <c r="H4773" s="41" t="s">
        <v>14580</v>
      </c>
      <c r="I4773" s="43">
        <v>12</v>
      </c>
      <c r="J4773" s="44" t="str">
        <f>VLOOKUP(G4773,[1]硬件清单!$F:$F,1,0)</f>
        <v>210305756810HA000594</v>
      </c>
      <c r="K4773" s="43"/>
      <c r="L4773" s="44"/>
      <c r="M4773" s="45" t="s">
        <v>14581</v>
      </c>
    </row>
    <row r="4774" s="26" customFormat="1" ht="30" customHeight="1" spans="1:13">
      <c r="A4774" s="41">
        <f>IF(C4774="","",SUBTOTAL(103,$C$2:C4774))</f>
        <v>4765</v>
      </c>
      <c r="B4774" s="41">
        <v>3054</v>
      </c>
      <c r="C4774" s="41">
        <v>4689</v>
      </c>
      <c r="D4774" s="41" t="s">
        <v>45</v>
      </c>
      <c r="E4774" s="41" t="s">
        <v>1298</v>
      </c>
      <c r="F4774" s="41" t="s">
        <v>11893</v>
      </c>
      <c r="G4774" s="41" t="s">
        <v>14582</v>
      </c>
      <c r="H4774" s="41" t="s">
        <v>14583</v>
      </c>
      <c r="I4774" s="43">
        <v>12</v>
      </c>
      <c r="J4774" s="44" t="str">
        <f>VLOOKUP(G4774,[1]硬件清单!$F:$F,1,0)</f>
        <v>210305756810HA001563</v>
      </c>
      <c r="K4774" s="43"/>
      <c r="L4774" s="44"/>
      <c r="M4774" s="45" t="s">
        <v>14584</v>
      </c>
    </row>
    <row r="4775" s="26" customFormat="1" ht="30" customHeight="1" spans="1:13">
      <c r="A4775" s="41">
        <f>IF(C4775="","",SUBTOTAL(103,$C$2:C4775))</f>
        <v>4766</v>
      </c>
      <c r="B4775" s="41">
        <v>3055</v>
      </c>
      <c r="C4775" s="41">
        <v>4690</v>
      </c>
      <c r="D4775" s="41" t="s">
        <v>45</v>
      </c>
      <c r="E4775" s="41" t="s">
        <v>1298</v>
      </c>
      <c r="F4775" s="41" t="s">
        <v>11893</v>
      </c>
      <c r="G4775" s="41" t="s">
        <v>14585</v>
      </c>
      <c r="H4775" s="41" t="s">
        <v>14586</v>
      </c>
      <c r="I4775" s="43">
        <v>12</v>
      </c>
      <c r="J4775" s="44" t="str">
        <f>VLOOKUP(G4775,[1]硬件清单!$F:$F,1,0)</f>
        <v>210305756810HA001833</v>
      </c>
      <c r="K4775" s="43"/>
      <c r="L4775" s="44"/>
      <c r="M4775" s="45" t="s">
        <v>14587</v>
      </c>
    </row>
    <row r="4776" s="26" customFormat="1" ht="30" customHeight="1" spans="1:13">
      <c r="A4776" s="41">
        <f>IF(C4776="","",SUBTOTAL(103,$C$2:C4776))</f>
        <v>4767</v>
      </c>
      <c r="B4776" s="41">
        <v>3056</v>
      </c>
      <c r="C4776" s="41">
        <v>4691</v>
      </c>
      <c r="D4776" s="41" t="s">
        <v>45</v>
      </c>
      <c r="E4776" s="41" t="s">
        <v>1298</v>
      </c>
      <c r="F4776" s="41" t="s">
        <v>11893</v>
      </c>
      <c r="G4776" s="41" t="s">
        <v>14588</v>
      </c>
      <c r="H4776" s="41" t="s">
        <v>14589</v>
      </c>
      <c r="I4776" s="43">
        <v>12</v>
      </c>
      <c r="J4776" s="44" t="str">
        <f>VLOOKUP(G4776,[1]硬件清单!$F:$F,1,0)</f>
        <v>210305756810HA001560</v>
      </c>
      <c r="K4776" s="43"/>
      <c r="L4776" s="44"/>
      <c r="M4776" s="45" t="s">
        <v>14590</v>
      </c>
    </row>
    <row r="4777" s="26" customFormat="1" ht="30" customHeight="1" spans="1:13">
      <c r="A4777" s="41">
        <f>IF(C4777="","",SUBTOTAL(103,$C$2:C4777))</f>
        <v>4768</v>
      </c>
      <c r="B4777" s="41">
        <v>3057</v>
      </c>
      <c r="C4777" s="41">
        <v>4692</v>
      </c>
      <c r="D4777" s="41" t="s">
        <v>45</v>
      </c>
      <c r="E4777" s="41" t="s">
        <v>1298</v>
      </c>
      <c r="F4777" s="41" t="s">
        <v>11893</v>
      </c>
      <c r="G4777" s="41" t="s">
        <v>14591</v>
      </c>
      <c r="H4777" s="41" t="s">
        <v>14592</v>
      </c>
      <c r="I4777" s="43">
        <v>12</v>
      </c>
      <c r="J4777" s="44" t="str">
        <f>VLOOKUP(G4777,[1]硬件清单!$F:$F,1,0)</f>
        <v>210305756810HA001834</v>
      </c>
      <c r="K4777" s="43"/>
      <c r="L4777" s="44"/>
      <c r="M4777" s="45" t="s">
        <v>14593</v>
      </c>
    </row>
    <row r="4778" s="26" customFormat="1" ht="30" customHeight="1" spans="1:13">
      <c r="A4778" s="41">
        <f>IF(C4778="","",SUBTOTAL(103,$C$2:C4778))</f>
        <v>4769</v>
      </c>
      <c r="B4778" s="41">
        <v>3058</v>
      </c>
      <c r="C4778" s="41">
        <v>4693</v>
      </c>
      <c r="D4778" s="41" t="s">
        <v>45</v>
      </c>
      <c r="E4778" s="41" t="s">
        <v>1298</v>
      </c>
      <c r="F4778" s="41" t="s">
        <v>11893</v>
      </c>
      <c r="G4778" s="41" t="s">
        <v>14594</v>
      </c>
      <c r="H4778" s="41" t="s">
        <v>14595</v>
      </c>
      <c r="I4778" s="43">
        <v>12</v>
      </c>
      <c r="J4778" s="44" t="str">
        <f>VLOOKUP(G4778,[1]硬件清单!$F:$F,1,0)</f>
        <v>210305756810HA001565</v>
      </c>
      <c r="K4778" s="43"/>
      <c r="L4778" s="44"/>
      <c r="M4778" s="45" t="s">
        <v>14596</v>
      </c>
    </row>
    <row r="4779" s="26" customFormat="1" ht="30" customHeight="1" spans="1:13">
      <c r="A4779" s="41">
        <f>IF(C4779="","",SUBTOTAL(103,$C$2:C4779))</f>
        <v>4770</v>
      </c>
      <c r="B4779" s="41">
        <v>3059</v>
      </c>
      <c r="C4779" s="41">
        <v>4715</v>
      </c>
      <c r="D4779" s="41" t="s">
        <v>45</v>
      </c>
      <c r="E4779" s="41" t="s">
        <v>1298</v>
      </c>
      <c r="F4779" s="41" t="s">
        <v>11893</v>
      </c>
      <c r="G4779" s="41" t="s">
        <v>14597</v>
      </c>
      <c r="H4779" s="41" t="s">
        <v>14598</v>
      </c>
      <c r="I4779" s="43">
        <v>12</v>
      </c>
      <c r="J4779" s="44" t="str">
        <f>VLOOKUP(G4779,[1]硬件清单!$F:$F,1,0)</f>
        <v>210305756810HA001566</v>
      </c>
      <c r="K4779" s="43"/>
      <c r="L4779" s="44"/>
      <c r="M4779" s="45" t="s">
        <v>14599</v>
      </c>
    </row>
    <row r="4780" s="26" customFormat="1" ht="30" customHeight="1" spans="1:13">
      <c r="A4780" s="41">
        <f>IF(C4780="","",SUBTOTAL(103,$C$2:C4780))</f>
        <v>4771</v>
      </c>
      <c r="B4780" s="41">
        <v>3060</v>
      </c>
      <c r="C4780" s="41">
        <v>4714</v>
      </c>
      <c r="D4780" s="41" t="s">
        <v>45</v>
      </c>
      <c r="E4780" s="41" t="s">
        <v>1298</v>
      </c>
      <c r="F4780" s="41" t="s">
        <v>11893</v>
      </c>
      <c r="G4780" s="41" t="s">
        <v>14600</v>
      </c>
      <c r="H4780" s="41" t="s">
        <v>14601</v>
      </c>
      <c r="I4780" s="43">
        <v>12</v>
      </c>
      <c r="J4780" s="44" t="str">
        <f>VLOOKUP(G4780,[1]硬件清单!$F:$F,1,0)</f>
        <v>210305756810HA001567</v>
      </c>
      <c r="K4780" s="43"/>
      <c r="L4780" s="44"/>
      <c r="M4780" s="45" t="s">
        <v>14602</v>
      </c>
    </row>
    <row r="4781" s="26" customFormat="1" ht="30" customHeight="1" spans="1:13">
      <c r="A4781" s="41">
        <f>IF(C4781="","",SUBTOTAL(103,$C$2:C4781))</f>
        <v>4772</v>
      </c>
      <c r="B4781" s="41">
        <v>3061</v>
      </c>
      <c r="C4781" s="41">
        <v>3798</v>
      </c>
      <c r="D4781" s="41" t="s">
        <v>45</v>
      </c>
      <c r="E4781" s="41" t="s">
        <v>1298</v>
      </c>
      <c r="F4781" s="41" t="s">
        <v>11893</v>
      </c>
      <c r="G4781" s="41" t="s">
        <v>14603</v>
      </c>
      <c r="H4781" s="41" t="s">
        <v>14604</v>
      </c>
      <c r="I4781" s="43">
        <v>12</v>
      </c>
      <c r="J4781" s="44" t="str">
        <f>VLOOKUP(G4781,[1]硬件清单!$F:$F,1,0)</f>
        <v>210305756810HA000491</v>
      </c>
      <c r="K4781" s="43"/>
      <c r="L4781" s="44"/>
      <c r="M4781" s="45" t="s">
        <v>14605</v>
      </c>
    </row>
    <row r="4782" s="26" customFormat="1" ht="30" customHeight="1" spans="1:13">
      <c r="A4782" s="41">
        <f>IF(C4782="","",SUBTOTAL(103,$C$2:C4782))</f>
        <v>4773</v>
      </c>
      <c r="B4782" s="41">
        <v>3062</v>
      </c>
      <c r="C4782" s="41">
        <v>3799</v>
      </c>
      <c r="D4782" s="41" t="s">
        <v>45</v>
      </c>
      <c r="E4782" s="41" t="s">
        <v>1298</v>
      </c>
      <c r="F4782" s="41" t="s">
        <v>11893</v>
      </c>
      <c r="G4782" s="41" t="s">
        <v>14606</v>
      </c>
      <c r="H4782" s="41" t="s">
        <v>14607</v>
      </c>
      <c r="I4782" s="43">
        <v>12</v>
      </c>
      <c r="J4782" s="44" t="str">
        <f>VLOOKUP(G4782,[1]硬件清单!$F:$F,1,0)</f>
        <v>210305756810HA000656</v>
      </c>
      <c r="K4782" s="43"/>
      <c r="L4782" s="44"/>
      <c r="M4782" s="45" t="s">
        <v>14608</v>
      </c>
    </row>
    <row r="4783" s="26" customFormat="1" ht="30" customHeight="1" spans="1:13">
      <c r="A4783" s="41">
        <f>IF(C4783="","",SUBTOTAL(103,$C$2:C4783))</f>
        <v>4774</v>
      </c>
      <c r="B4783" s="41">
        <v>3063</v>
      </c>
      <c r="C4783" s="41">
        <v>3800</v>
      </c>
      <c r="D4783" s="41" t="s">
        <v>45</v>
      </c>
      <c r="E4783" s="41" t="s">
        <v>1298</v>
      </c>
      <c r="F4783" s="41" t="s">
        <v>11893</v>
      </c>
      <c r="G4783" s="41" t="s">
        <v>14609</v>
      </c>
      <c r="H4783" s="41" t="s">
        <v>14610</v>
      </c>
      <c r="I4783" s="43">
        <v>12</v>
      </c>
      <c r="J4783" s="44" t="str">
        <f>VLOOKUP(G4783,[1]硬件清单!$F:$F,1,0)</f>
        <v>210305756810HA000174</v>
      </c>
      <c r="K4783" s="43"/>
      <c r="L4783" s="44"/>
      <c r="M4783" s="45" t="s">
        <v>14611</v>
      </c>
    </row>
    <row r="4784" s="26" customFormat="1" ht="30" customHeight="1" spans="1:13">
      <c r="A4784" s="41">
        <f>IF(C4784="","",SUBTOTAL(103,$C$2:C4784))</f>
        <v>4775</v>
      </c>
      <c r="B4784" s="41">
        <v>3064</v>
      </c>
      <c r="C4784" s="41">
        <v>3895</v>
      </c>
      <c r="D4784" s="41" t="s">
        <v>45</v>
      </c>
      <c r="E4784" s="41" t="s">
        <v>1298</v>
      </c>
      <c r="F4784" s="41" t="s">
        <v>11893</v>
      </c>
      <c r="G4784" s="41" t="s">
        <v>14612</v>
      </c>
      <c r="H4784" s="41" t="s">
        <v>14613</v>
      </c>
      <c r="I4784" s="43">
        <v>12</v>
      </c>
      <c r="J4784" s="44" t="str">
        <f>VLOOKUP(G4784,[1]硬件清单!$F:$F,1,0)</f>
        <v>210305756810HA001276</v>
      </c>
      <c r="K4784" s="43"/>
      <c r="L4784" s="44"/>
      <c r="M4784" s="45" t="s">
        <v>14614</v>
      </c>
    </row>
    <row r="4785" s="26" customFormat="1" ht="30" customHeight="1" spans="1:13">
      <c r="A4785" s="41">
        <f>IF(C4785="","",SUBTOTAL(103,$C$2:C4785))</f>
        <v>4776</v>
      </c>
      <c r="B4785" s="41">
        <v>3065</v>
      </c>
      <c r="C4785" s="41">
        <v>3896</v>
      </c>
      <c r="D4785" s="41" t="s">
        <v>45</v>
      </c>
      <c r="E4785" s="41" t="s">
        <v>1298</v>
      </c>
      <c r="F4785" s="41" t="s">
        <v>11893</v>
      </c>
      <c r="G4785" s="41" t="s">
        <v>14615</v>
      </c>
      <c r="H4785" s="41" t="s">
        <v>14616</v>
      </c>
      <c r="I4785" s="43">
        <v>12</v>
      </c>
      <c r="J4785" s="44" t="str">
        <f>VLOOKUP(G4785,[1]硬件清单!$F:$F,1,0)</f>
        <v>210305756810HA001564</v>
      </c>
      <c r="K4785" s="43"/>
      <c r="L4785" s="44"/>
      <c r="M4785" s="45" t="s">
        <v>14617</v>
      </c>
    </row>
    <row r="4786" s="26" customFormat="1" ht="30" customHeight="1" spans="1:13">
      <c r="A4786" s="41">
        <f>IF(C4786="","",SUBTOTAL(103,$C$2:C4786))</f>
        <v>4777</v>
      </c>
      <c r="B4786" s="41">
        <v>3066</v>
      </c>
      <c r="C4786" s="41">
        <v>4686</v>
      </c>
      <c r="D4786" s="41" t="s">
        <v>45</v>
      </c>
      <c r="E4786" s="41" t="s">
        <v>1298</v>
      </c>
      <c r="F4786" s="41" t="s">
        <v>11893</v>
      </c>
      <c r="G4786" s="41" t="s">
        <v>14618</v>
      </c>
      <c r="H4786" s="41" t="s">
        <v>14619</v>
      </c>
      <c r="I4786" s="43">
        <v>12</v>
      </c>
      <c r="J4786" s="44" t="str">
        <f>VLOOKUP(G4786,[1]硬件清单!$F:$F,1,0)</f>
        <v>210305756810HA001835</v>
      </c>
      <c r="K4786" s="43"/>
      <c r="L4786" s="44"/>
      <c r="M4786" s="45" t="s">
        <v>14620</v>
      </c>
    </row>
    <row r="4787" s="26" customFormat="1" ht="30" customHeight="1" spans="1:13">
      <c r="A4787" s="41">
        <f>IF(C4787="","",SUBTOTAL(103,$C$2:C4787))</f>
        <v>4778</v>
      </c>
      <c r="B4787" s="41">
        <v>3067</v>
      </c>
      <c r="C4787" s="41">
        <v>4687</v>
      </c>
      <c r="D4787" s="41" t="s">
        <v>45</v>
      </c>
      <c r="E4787" s="41" t="s">
        <v>1298</v>
      </c>
      <c r="F4787" s="41" t="s">
        <v>11893</v>
      </c>
      <c r="G4787" s="41" t="s">
        <v>14621</v>
      </c>
      <c r="H4787" s="41" t="s">
        <v>14622</v>
      </c>
      <c r="I4787" s="43">
        <v>12</v>
      </c>
      <c r="J4787" s="44" t="str">
        <f>VLOOKUP(G4787,[1]硬件清单!$F:$F,1,0)</f>
        <v>210305756810HA001557</v>
      </c>
      <c r="K4787" s="43"/>
      <c r="L4787" s="44"/>
      <c r="M4787" s="45" t="s">
        <v>14623</v>
      </c>
    </row>
    <row r="4788" s="26" customFormat="1" ht="30" customHeight="1" spans="1:13">
      <c r="A4788" s="41">
        <f>IF(C4788="","",SUBTOTAL(103,$C$2:C4788))</f>
        <v>4779</v>
      </c>
      <c r="B4788" s="41">
        <v>3068</v>
      </c>
      <c r="C4788" s="41">
        <v>4688</v>
      </c>
      <c r="D4788" s="41" t="s">
        <v>45</v>
      </c>
      <c r="E4788" s="41" t="s">
        <v>1298</v>
      </c>
      <c r="F4788" s="41" t="s">
        <v>11893</v>
      </c>
      <c r="G4788" s="41" t="s">
        <v>14624</v>
      </c>
      <c r="H4788" s="41" t="s">
        <v>14625</v>
      </c>
      <c r="I4788" s="43">
        <v>12</v>
      </c>
      <c r="J4788" s="44" t="str">
        <f>VLOOKUP(G4788,[1]硬件清单!$F:$F,1,0)</f>
        <v>210305756810HA001568</v>
      </c>
      <c r="K4788" s="43"/>
      <c r="L4788" s="44"/>
      <c r="M4788" s="45" t="s">
        <v>14626</v>
      </c>
    </row>
    <row r="4789" s="26" customFormat="1" ht="30" customHeight="1" spans="1:13">
      <c r="A4789" s="41">
        <f>IF(C4789="","",SUBTOTAL(103,$C$2:C4789))</f>
        <v>4780</v>
      </c>
      <c r="B4789" s="41">
        <v>3069</v>
      </c>
      <c r="C4789" s="41">
        <v>4694</v>
      </c>
      <c r="D4789" s="41" t="s">
        <v>45</v>
      </c>
      <c r="E4789" s="41" t="s">
        <v>1298</v>
      </c>
      <c r="F4789" s="41" t="s">
        <v>11889</v>
      </c>
      <c r="G4789" s="41" t="s">
        <v>14627</v>
      </c>
      <c r="H4789" s="41" t="s">
        <v>14628</v>
      </c>
      <c r="I4789" s="43">
        <v>12</v>
      </c>
      <c r="J4789" s="44" t="str">
        <f>VLOOKUP(G4789,[1]硬件清单!$F:$F,1,0)</f>
        <v>2102300742N0HA000003/
210230102810HA000175</v>
      </c>
      <c r="K4789" s="43"/>
      <c r="L4789" s="44"/>
      <c r="M4789" s="45" t="s">
        <v>14629</v>
      </c>
    </row>
    <row r="4790" s="26" customFormat="1" ht="30" customHeight="1" spans="1:13">
      <c r="A4790" s="41">
        <f>IF(C4790="","",SUBTOTAL(103,$C$2:C4790))</f>
        <v>4781</v>
      </c>
      <c r="B4790" s="41">
        <v>3070</v>
      </c>
      <c r="C4790" s="41">
        <v>5313</v>
      </c>
      <c r="D4790" s="41" t="s">
        <v>45</v>
      </c>
      <c r="E4790" s="41" t="s">
        <v>1298</v>
      </c>
      <c r="F4790" s="41" t="s">
        <v>11893</v>
      </c>
      <c r="G4790" s="41" t="s">
        <v>14630</v>
      </c>
      <c r="H4790" s="41" t="s">
        <v>14631</v>
      </c>
      <c r="I4790" s="43">
        <v>12</v>
      </c>
      <c r="J4790" s="44" t="str">
        <f>VLOOKUP(G4790,[1]硬件清单!$F:$F,1,0)</f>
        <v>210305756810HA000857</v>
      </c>
      <c r="K4790" s="43"/>
      <c r="L4790" s="44"/>
      <c r="M4790" s="45" t="s">
        <v>14632</v>
      </c>
    </row>
    <row r="4791" s="26" customFormat="1" ht="30" customHeight="1" spans="1:13">
      <c r="A4791" s="41">
        <f>IF(C4791="","",SUBTOTAL(103,$C$2:C4791))</f>
        <v>4782</v>
      </c>
      <c r="B4791" s="41">
        <v>3071</v>
      </c>
      <c r="C4791" s="41">
        <v>5328</v>
      </c>
      <c r="D4791" s="41" t="s">
        <v>45</v>
      </c>
      <c r="E4791" s="41" t="s">
        <v>1298</v>
      </c>
      <c r="F4791" s="41" t="s">
        <v>11893</v>
      </c>
      <c r="G4791" s="41" t="s">
        <v>14633</v>
      </c>
      <c r="H4791" s="41" t="s">
        <v>14634</v>
      </c>
      <c r="I4791" s="43">
        <v>12</v>
      </c>
      <c r="J4791" s="44" t="str">
        <f>VLOOKUP(G4791,[1]硬件清单!$F:$F,1,0)</f>
        <v>210305756810HA001165</v>
      </c>
      <c r="K4791" s="43"/>
      <c r="L4791" s="44"/>
      <c r="M4791" s="45" t="s">
        <v>14635</v>
      </c>
    </row>
    <row r="4792" s="26" customFormat="1" ht="30" customHeight="1" spans="1:13">
      <c r="A4792" s="41">
        <f>IF(C4792="","",SUBTOTAL(103,$C$2:C4792))</f>
        <v>4783</v>
      </c>
      <c r="B4792" s="41">
        <v>3072</v>
      </c>
      <c r="C4792" s="41">
        <v>5329</v>
      </c>
      <c r="D4792" s="41" t="s">
        <v>45</v>
      </c>
      <c r="E4792" s="41" t="s">
        <v>1298</v>
      </c>
      <c r="F4792" s="41" t="s">
        <v>11893</v>
      </c>
      <c r="G4792" s="41" t="s">
        <v>14636</v>
      </c>
      <c r="H4792" s="41" t="s">
        <v>14637</v>
      </c>
      <c r="I4792" s="43">
        <v>12</v>
      </c>
      <c r="J4792" s="44" t="str">
        <f>VLOOKUP(G4792,[1]硬件清单!$F:$F,1,0)</f>
        <v>210305756810HA000949</v>
      </c>
      <c r="K4792" s="43"/>
      <c r="L4792" s="44"/>
      <c r="M4792" s="45" t="s">
        <v>14638</v>
      </c>
    </row>
    <row r="4793" s="26" customFormat="1" ht="30" customHeight="1" spans="1:13">
      <c r="A4793" s="41">
        <f>IF(C4793="","",SUBTOTAL(103,$C$2:C4793))</f>
        <v>4784</v>
      </c>
      <c r="B4793" s="41">
        <v>3073</v>
      </c>
      <c r="C4793" s="41">
        <v>5330</v>
      </c>
      <c r="D4793" s="41" t="s">
        <v>45</v>
      </c>
      <c r="E4793" s="41" t="s">
        <v>1298</v>
      </c>
      <c r="F4793" s="41" t="s">
        <v>11893</v>
      </c>
      <c r="G4793" s="41" t="s">
        <v>14639</v>
      </c>
      <c r="H4793" s="41" t="s">
        <v>14640</v>
      </c>
      <c r="I4793" s="43">
        <v>12</v>
      </c>
      <c r="J4793" s="44" t="str">
        <f>VLOOKUP(G4793,[1]硬件清单!$F:$F,1,0)</f>
        <v>210305756810HA001069</v>
      </c>
      <c r="K4793" s="43"/>
      <c r="L4793" s="44"/>
      <c r="M4793" s="45" t="s">
        <v>14641</v>
      </c>
    </row>
    <row r="4794" s="26" customFormat="1" ht="30" customHeight="1" spans="1:13">
      <c r="A4794" s="41">
        <f>IF(C4794="","",SUBTOTAL(103,$C$2:C4794))</f>
        <v>4785</v>
      </c>
      <c r="B4794" s="41">
        <v>3074</v>
      </c>
      <c r="C4794" s="41">
        <v>5331</v>
      </c>
      <c r="D4794" s="41" t="s">
        <v>45</v>
      </c>
      <c r="E4794" s="41" t="s">
        <v>1298</v>
      </c>
      <c r="F4794" s="41" t="s">
        <v>11893</v>
      </c>
      <c r="G4794" s="41" t="s">
        <v>14642</v>
      </c>
      <c r="H4794" s="41" t="s">
        <v>14643</v>
      </c>
      <c r="I4794" s="43">
        <v>12</v>
      </c>
      <c r="J4794" s="44" t="str">
        <f>VLOOKUP(G4794,[1]硬件清单!$F:$F,1,0)</f>
        <v>210305756810HA001161</v>
      </c>
      <c r="K4794" s="43"/>
      <c r="L4794" s="44"/>
      <c r="M4794" s="45" t="s">
        <v>14644</v>
      </c>
    </row>
    <row r="4795" s="26" customFormat="1" ht="30" customHeight="1" spans="1:13">
      <c r="A4795" s="41">
        <f>IF(C4795="","",SUBTOTAL(103,$C$2:C4795))</f>
        <v>4786</v>
      </c>
      <c r="B4795" s="41">
        <v>3075</v>
      </c>
      <c r="C4795" s="41">
        <v>5314</v>
      </c>
      <c r="D4795" s="41" t="s">
        <v>45</v>
      </c>
      <c r="E4795" s="41" t="s">
        <v>1298</v>
      </c>
      <c r="F4795" s="41" t="s">
        <v>11893</v>
      </c>
      <c r="G4795" s="41" t="s">
        <v>14645</v>
      </c>
      <c r="H4795" s="41" t="s">
        <v>14646</v>
      </c>
      <c r="I4795" s="43">
        <v>12</v>
      </c>
      <c r="J4795" s="44" t="str">
        <f>VLOOKUP(G4795,[1]硬件清单!$F:$F,1,0)</f>
        <v>210305756810HA001168</v>
      </c>
      <c r="K4795" s="43"/>
      <c r="L4795" s="44"/>
      <c r="M4795" s="45" t="s">
        <v>14647</v>
      </c>
    </row>
    <row r="4796" s="26" customFormat="1" ht="30" customHeight="1" spans="1:13">
      <c r="A4796" s="41">
        <f>IF(C4796="","",SUBTOTAL(103,$C$2:C4796))</f>
        <v>4787</v>
      </c>
      <c r="B4796" s="41">
        <v>3076</v>
      </c>
      <c r="C4796" s="41">
        <v>5315</v>
      </c>
      <c r="D4796" s="41" t="s">
        <v>45</v>
      </c>
      <c r="E4796" s="41" t="s">
        <v>1298</v>
      </c>
      <c r="F4796" s="41" t="s">
        <v>11893</v>
      </c>
      <c r="G4796" s="41" t="s">
        <v>14648</v>
      </c>
      <c r="H4796" s="41" t="s">
        <v>14649</v>
      </c>
      <c r="I4796" s="43">
        <v>12</v>
      </c>
      <c r="J4796" s="44" t="str">
        <f>VLOOKUP(G4796,[1]硬件清单!$F:$F,1,0)</f>
        <v>210305756810HA001085</v>
      </c>
      <c r="K4796" s="43"/>
      <c r="L4796" s="44"/>
      <c r="M4796" s="45" t="s">
        <v>14650</v>
      </c>
    </row>
    <row r="4797" s="26" customFormat="1" ht="30" customHeight="1" spans="1:13">
      <c r="A4797" s="41">
        <f>IF(C4797="","",SUBTOTAL(103,$C$2:C4797))</f>
        <v>4788</v>
      </c>
      <c r="B4797" s="41">
        <v>3077</v>
      </c>
      <c r="C4797" s="41">
        <v>5316</v>
      </c>
      <c r="D4797" s="41" t="s">
        <v>45</v>
      </c>
      <c r="E4797" s="41" t="s">
        <v>1298</v>
      </c>
      <c r="F4797" s="41" t="s">
        <v>11893</v>
      </c>
      <c r="G4797" s="41" t="s">
        <v>14651</v>
      </c>
      <c r="H4797" s="41" t="s">
        <v>14652</v>
      </c>
      <c r="I4797" s="43">
        <v>12</v>
      </c>
      <c r="J4797" s="44" t="str">
        <f>VLOOKUP(G4797,[1]硬件清单!$F:$F,1,0)</f>
        <v>210305756810HA001160</v>
      </c>
      <c r="K4797" s="43"/>
      <c r="L4797" s="44"/>
      <c r="M4797" s="45" t="s">
        <v>14653</v>
      </c>
    </row>
    <row r="4798" s="26" customFormat="1" ht="30" customHeight="1" spans="1:13">
      <c r="A4798" s="41">
        <f>IF(C4798="","",SUBTOTAL(103,$C$2:C4798))</f>
        <v>4789</v>
      </c>
      <c r="B4798" s="41">
        <v>3078</v>
      </c>
      <c r="C4798" s="41">
        <v>5323</v>
      </c>
      <c r="D4798" s="41" t="s">
        <v>45</v>
      </c>
      <c r="E4798" s="41" t="s">
        <v>1298</v>
      </c>
      <c r="F4798" s="41" t="s">
        <v>11893</v>
      </c>
      <c r="G4798" s="41" t="s">
        <v>14654</v>
      </c>
      <c r="H4798" s="41" t="s">
        <v>14655</v>
      </c>
      <c r="I4798" s="43">
        <v>12</v>
      </c>
      <c r="J4798" s="44" t="str">
        <f>VLOOKUP(G4798,[1]硬件清单!$F:$F,1,0)</f>
        <v>210305756810HA000839</v>
      </c>
      <c r="K4798" s="43"/>
      <c r="L4798" s="44"/>
      <c r="M4798" s="45" t="s">
        <v>14656</v>
      </c>
    </row>
    <row r="4799" s="26" customFormat="1" ht="30" customHeight="1" spans="1:13">
      <c r="A4799" s="41">
        <f>IF(C4799="","",SUBTOTAL(103,$C$2:C4799))</f>
        <v>4790</v>
      </c>
      <c r="B4799" s="41">
        <v>3079</v>
      </c>
      <c r="C4799" s="41">
        <v>5324</v>
      </c>
      <c r="D4799" s="41" t="s">
        <v>45</v>
      </c>
      <c r="E4799" s="41" t="s">
        <v>1298</v>
      </c>
      <c r="F4799" s="41" t="s">
        <v>11893</v>
      </c>
      <c r="G4799" s="41" t="s">
        <v>14657</v>
      </c>
      <c r="H4799" s="41" t="s">
        <v>14658</v>
      </c>
      <c r="I4799" s="43">
        <v>12</v>
      </c>
      <c r="J4799" s="44" t="str">
        <f>VLOOKUP(G4799,[1]硬件清单!$F:$F,1,0)</f>
        <v>210305756810HA000906</v>
      </c>
      <c r="K4799" s="43"/>
      <c r="L4799" s="44"/>
      <c r="M4799" s="45" t="s">
        <v>14659</v>
      </c>
    </row>
    <row r="4800" s="26" customFormat="1" ht="30" customHeight="1" spans="1:13">
      <c r="A4800" s="41">
        <f>IF(C4800="","",SUBTOTAL(103,$C$2:C4800))</f>
        <v>4791</v>
      </c>
      <c r="B4800" s="41">
        <v>3080</v>
      </c>
      <c r="C4800" s="41">
        <v>5325</v>
      </c>
      <c r="D4800" s="41" t="s">
        <v>45</v>
      </c>
      <c r="E4800" s="41" t="s">
        <v>1298</v>
      </c>
      <c r="F4800" s="41" t="s">
        <v>11893</v>
      </c>
      <c r="G4800" s="41" t="s">
        <v>14660</v>
      </c>
      <c r="H4800" s="41" t="s">
        <v>14661</v>
      </c>
      <c r="I4800" s="43">
        <v>12</v>
      </c>
      <c r="J4800" s="44" t="str">
        <f>VLOOKUP(G4800,[1]硬件清单!$F:$F,1,0)</f>
        <v>210305756810HA001179</v>
      </c>
      <c r="K4800" s="43"/>
      <c r="L4800" s="44"/>
      <c r="M4800" s="45" t="s">
        <v>14662</v>
      </c>
    </row>
    <row r="4801" s="26" customFormat="1" ht="30" customHeight="1" spans="1:13">
      <c r="A4801" s="41">
        <f>IF(C4801="","",SUBTOTAL(103,$C$2:C4801))</f>
        <v>4792</v>
      </c>
      <c r="B4801" s="41">
        <v>3081</v>
      </c>
      <c r="C4801" s="41">
        <v>5326</v>
      </c>
      <c r="D4801" s="41" t="s">
        <v>45</v>
      </c>
      <c r="E4801" s="41" t="s">
        <v>1298</v>
      </c>
      <c r="F4801" s="41" t="s">
        <v>11893</v>
      </c>
      <c r="G4801" s="41" t="s">
        <v>14663</v>
      </c>
      <c r="H4801" s="41" t="s">
        <v>14664</v>
      </c>
      <c r="I4801" s="43">
        <v>12</v>
      </c>
      <c r="J4801" s="44" t="str">
        <f>VLOOKUP(G4801,[1]硬件清单!$F:$F,1,0)</f>
        <v>210305756810HA001147</v>
      </c>
      <c r="K4801" s="43"/>
      <c r="L4801" s="44"/>
      <c r="M4801" s="45" t="s">
        <v>14665</v>
      </c>
    </row>
    <row r="4802" s="26" customFormat="1" ht="30" customHeight="1" spans="1:13">
      <c r="A4802" s="41">
        <f>IF(C4802="","",SUBTOTAL(103,$C$2:C4802))</f>
        <v>4793</v>
      </c>
      <c r="B4802" s="41">
        <v>3082</v>
      </c>
      <c r="C4802" s="41">
        <v>5327</v>
      </c>
      <c r="D4802" s="41" t="s">
        <v>45</v>
      </c>
      <c r="E4802" s="41" t="s">
        <v>1298</v>
      </c>
      <c r="F4802" s="41" t="s">
        <v>11893</v>
      </c>
      <c r="G4802" s="41" t="s">
        <v>14666</v>
      </c>
      <c r="H4802" s="41" t="s">
        <v>14667</v>
      </c>
      <c r="I4802" s="43">
        <v>12</v>
      </c>
      <c r="J4802" s="44" t="str">
        <f>VLOOKUP(G4802,[1]硬件清单!$F:$F,1,0)</f>
        <v>210305756810HA001131</v>
      </c>
      <c r="K4802" s="43"/>
      <c r="L4802" s="44"/>
      <c r="M4802" s="45" t="s">
        <v>14668</v>
      </c>
    </row>
    <row r="4803" s="26" customFormat="1" ht="30" customHeight="1" spans="1:13">
      <c r="A4803" s="41">
        <f>IF(C4803="","",SUBTOTAL(103,$C$2:C4803))</f>
        <v>4794</v>
      </c>
      <c r="B4803" s="41">
        <v>3083</v>
      </c>
      <c r="C4803" s="41">
        <v>13606</v>
      </c>
      <c r="D4803" s="41" t="s">
        <v>19</v>
      </c>
      <c r="E4803" s="41" t="s">
        <v>20</v>
      </c>
      <c r="F4803" s="41" t="s">
        <v>3778</v>
      </c>
      <c r="G4803" s="41" t="s">
        <v>14669</v>
      </c>
      <c r="H4803" s="41" t="s">
        <v>14670</v>
      </c>
      <c r="I4803" s="43">
        <v>12</v>
      </c>
      <c r="J4803" s="44" t="str">
        <f>VLOOKUP(G4803,[1]硬件清单!$F:$F,1,0)</f>
        <v>2102350DLVDMK8001514</v>
      </c>
      <c r="K4803" s="43"/>
      <c r="L4803" s="44"/>
      <c r="M4803" s="45" t="s">
        <v>14671</v>
      </c>
    </row>
    <row r="4804" s="26" customFormat="1" ht="30" customHeight="1" spans="1:13">
      <c r="A4804" s="41">
        <f>IF(C4804="","",SUBTOTAL(103,$C$2:C4804))</f>
        <v>4795</v>
      </c>
      <c r="B4804" s="41">
        <v>3084</v>
      </c>
      <c r="C4804" s="41">
        <v>5071</v>
      </c>
      <c r="D4804" s="41" t="s">
        <v>45</v>
      </c>
      <c r="E4804" s="41" t="s">
        <v>1298</v>
      </c>
      <c r="F4804" s="41" t="s">
        <v>10093</v>
      </c>
      <c r="G4804" s="41" t="s">
        <v>14672</v>
      </c>
      <c r="H4804" s="41" t="s">
        <v>14673</v>
      </c>
      <c r="I4804" s="43">
        <v>12</v>
      </c>
      <c r="J4804" s="44" t="str">
        <f>VLOOKUP(G4804,[1]硬件清单!$F:$F,1,0)</f>
        <v>217203519-10A</v>
      </c>
      <c r="K4804" s="43"/>
      <c r="L4804" s="44"/>
      <c r="M4804" s="45" t="s">
        <v>14674</v>
      </c>
    </row>
    <row r="4805" s="26" customFormat="1" ht="30" customHeight="1" spans="1:13">
      <c r="A4805" s="41">
        <f>IF(C4805="","",SUBTOTAL(103,$C$2:C4805))</f>
        <v>4796</v>
      </c>
      <c r="B4805" s="41">
        <v>3085</v>
      </c>
      <c r="C4805" s="41">
        <v>5070</v>
      </c>
      <c r="D4805" s="41" t="s">
        <v>45</v>
      </c>
      <c r="E4805" s="41" t="s">
        <v>1298</v>
      </c>
      <c r="F4805" s="41" t="s">
        <v>10093</v>
      </c>
      <c r="G4805" s="41" t="s">
        <v>14675</v>
      </c>
      <c r="H4805" s="41" t="s">
        <v>14676</v>
      </c>
      <c r="I4805" s="43">
        <v>12</v>
      </c>
      <c r="J4805" s="44" t="str">
        <f>VLOOKUP(G4805,[1]硬件清单!$F:$F,1,0)</f>
        <v>217203519-11A</v>
      </c>
      <c r="K4805" s="43"/>
      <c r="L4805" s="44"/>
      <c r="M4805" s="45" t="s">
        <v>14677</v>
      </c>
    </row>
    <row r="4806" s="26" customFormat="1" ht="30" customHeight="1" spans="1:13">
      <c r="A4806" s="41">
        <f>IF(C4806="","",SUBTOTAL(103,$C$2:C4806))</f>
        <v>4797</v>
      </c>
      <c r="B4806" s="41">
        <v>3086</v>
      </c>
      <c r="C4806" s="41">
        <v>5069</v>
      </c>
      <c r="D4806" s="41" t="s">
        <v>45</v>
      </c>
      <c r="E4806" s="41" t="s">
        <v>1298</v>
      </c>
      <c r="F4806" s="41" t="s">
        <v>10093</v>
      </c>
      <c r="G4806" s="41" t="s">
        <v>14678</v>
      </c>
      <c r="H4806" s="41" t="s">
        <v>14679</v>
      </c>
      <c r="I4806" s="43">
        <v>12</v>
      </c>
      <c r="J4806" s="44" t="str">
        <f>VLOOKUP(G4806,[1]硬件清单!$F:$F,1,0)</f>
        <v>217203519-12A</v>
      </c>
      <c r="K4806" s="43"/>
      <c r="L4806" s="44"/>
      <c r="M4806" s="45" t="s">
        <v>14680</v>
      </c>
    </row>
    <row r="4807" s="26" customFormat="1" ht="30" customHeight="1" spans="1:13">
      <c r="A4807" s="41">
        <f>IF(C4807="","",SUBTOTAL(103,$C$2:C4807))</f>
        <v>4798</v>
      </c>
      <c r="B4807" s="41">
        <v>3087</v>
      </c>
      <c r="C4807" s="41">
        <v>5068</v>
      </c>
      <c r="D4807" s="41" t="s">
        <v>45</v>
      </c>
      <c r="E4807" s="41" t="s">
        <v>1298</v>
      </c>
      <c r="F4807" s="41" t="s">
        <v>10093</v>
      </c>
      <c r="G4807" s="41" t="s">
        <v>14681</v>
      </c>
      <c r="H4807" s="41" t="s">
        <v>14682</v>
      </c>
      <c r="I4807" s="43">
        <v>12</v>
      </c>
      <c r="J4807" s="44" t="str">
        <f>VLOOKUP(G4807,[1]硬件清单!$F:$F,1,0)</f>
        <v>217203519-13A</v>
      </c>
      <c r="K4807" s="43"/>
      <c r="L4807" s="44"/>
      <c r="M4807" s="45" t="s">
        <v>14683</v>
      </c>
    </row>
    <row r="4808" s="26" customFormat="1" ht="30" customHeight="1" spans="1:13">
      <c r="A4808" s="41">
        <f>IF(C4808="","",SUBTOTAL(103,$C$2:C4808))</f>
        <v>4799</v>
      </c>
      <c r="B4808" s="41">
        <v>3088</v>
      </c>
      <c r="C4808" s="41">
        <v>5067</v>
      </c>
      <c r="D4808" s="41" t="s">
        <v>45</v>
      </c>
      <c r="E4808" s="41" t="s">
        <v>1298</v>
      </c>
      <c r="F4808" s="41" t="s">
        <v>10093</v>
      </c>
      <c r="G4808" s="41" t="s">
        <v>14684</v>
      </c>
      <c r="H4808" s="41" t="s">
        <v>14685</v>
      </c>
      <c r="I4808" s="43">
        <v>12</v>
      </c>
      <c r="J4808" s="44" t="str">
        <f>VLOOKUP(G4808,[1]硬件清单!$F:$F,1,0)</f>
        <v>217203519-14A</v>
      </c>
      <c r="K4808" s="43"/>
      <c r="L4808" s="44"/>
      <c r="M4808" s="45" t="s">
        <v>14686</v>
      </c>
    </row>
    <row r="4809" s="26" customFormat="1" ht="30" customHeight="1" spans="1:13">
      <c r="A4809" s="41">
        <f>IF(C4809="","",SUBTOTAL(103,$C$2:C4809))</f>
        <v>4800</v>
      </c>
      <c r="B4809" s="41">
        <v>3089</v>
      </c>
      <c r="C4809" s="41">
        <v>5066</v>
      </c>
      <c r="D4809" s="41" t="s">
        <v>45</v>
      </c>
      <c r="E4809" s="41" t="s">
        <v>1298</v>
      </c>
      <c r="F4809" s="41" t="s">
        <v>10093</v>
      </c>
      <c r="G4809" s="41" t="s">
        <v>14687</v>
      </c>
      <c r="H4809" s="41" t="s">
        <v>14688</v>
      </c>
      <c r="I4809" s="43">
        <v>12</v>
      </c>
      <c r="J4809" s="44" t="str">
        <f>VLOOKUP(G4809,[1]硬件清单!$F:$F,1,0)</f>
        <v>217203519-15A</v>
      </c>
      <c r="K4809" s="43"/>
      <c r="L4809" s="44"/>
      <c r="M4809" s="45" t="s">
        <v>14689</v>
      </c>
    </row>
    <row r="4810" s="26" customFormat="1" ht="30" customHeight="1" spans="1:13">
      <c r="A4810" s="41">
        <f>IF(C4810="","",SUBTOTAL(103,$C$2:C4810))</f>
        <v>4801</v>
      </c>
      <c r="B4810" s="41">
        <v>3090</v>
      </c>
      <c r="C4810" s="41">
        <v>5065</v>
      </c>
      <c r="D4810" s="41" t="s">
        <v>45</v>
      </c>
      <c r="E4810" s="41" t="s">
        <v>1298</v>
      </c>
      <c r="F4810" s="41" t="s">
        <v>10093</v>
      </c>
      <c r="G4810" s="41" t="s">
        <v>14690</v>
      </c>
      <c r="H4810" s="41" t="s">
        <v>14691</v>
      </c>
      <c r="I4810" s="43">
        <v>12</v>
      </c>
      <c r="J4810" s="44" t="str">
        <f>VLOOKUP(G4810,[1]硬件清单!$F:$F,1,0)</f>
        <v>217203519-16A</v>
      </c>
      <c r="K4810" s="43"/>
      <c r="L4810" s="44"/>
      <c r="M4810" s="45" t="s">
        <v>14692</v>
      </c>
    </row>
    <row r="4811" s="26" customFormat="1" ht="30" customHeight="1" spans="1:13">
      <c r="A4811" s="41">
        <f>IF(C4811="","",SUBTOTAL(103,$C$2:C4811))</f>
        <v>4802</v>
      </c>
      <c r="B4811" s="41">
        <v>3091</v>
      </c>
      <c r="C4811" s="41">
        <v>5064</v>
      </c>
      <c r="D4811" s="41" t="s">
        <v>45</v>
      </c>
      <c r="E4811" s="41" t="s">
        <v>1298</v>
      </c>
      <c r="F4811" s="41" t="s">
        <v>10093</v>
      </c>
      <c r="G4811" s="41" t="s">
        <v>14693</v>
      </c>
      <c r="H4811" s="41" t="s">
        <v>14694</v>
      </c>
      <c r="I4811" s="43">
        <v>12</v>
      </c>
      <c r="J4811" s="44" t="str">
        <f>VLOOKUP(G4811,[1]硬件清单!$F:$F,1,0)</f>
        <v>217203519-17A</v>
      </c>
      <c r="K4811" s="43"/>
      <c r="L4811" s="44"/>
      <c r="M4811" s="45" t="s">
        <v>14695</v>
      </c>
    </row>
    <row r="4812" s="26" customFormat="1" ht="30" customHeight="1" spans="1:13">
      <c r="A4812" s="41">
        <f>IF(C4812="","",SUBTOTAL(103,$C$2:C4812))</f>
        <v>4803</v>
      </c>
      <c r="B4812" s="41">
        <v>3092</v>
      </c>
      <c r="C4812" s="41">
        <v>5063</v>
      </c>
      <c r="D4812" s="41" t="s">
        <v>45</v>
      </c>
      <c r="E4812" s="41" t="s">
        <v>1298</v>
      </c>
      <c r="F4812" s="41" t="s">
        <v>10093</v>
      </c>
      <c r="G4812" s="41" t="s">
        <v>14696</v>
      </c>
      <c r="H4812" s="41" t="s">
        <v>14697</v>
      </c>
      <c r="I4812" s="43">
        <v>12</v>
      </c>
      <c r="J4812" s="44" t="str">
        <f>VLOOKUP(G4812,[1]硬件清单!$F:$F,1,0)</f>
        <v>217203519-18A</v>
      </c>
      <c r="K4812" s="43"/>
      <c r="L4812" s="44"/>
      <c r="M4812" s="45" t="s">
        <v>14698</v>
      </c>
    </row>
    <row r="4813" s="26" customFormat="1" ht="30" customHeight="1" spans="1:13">
      <c r="A4813" s="41">
        <f>IF(C4813="","",SUBTOTAL(103,$C$2:C4813))</f>
        <v>4804</v>
      </c>
      <c r="B4813" s="41">
        <v>3093</v>
      </c>
      <c r="C4813" s="41">
        <v>5062</v>
      </c>
      <c r="D4813" s="41" t="s">
        <v>45</v>
      </c>
      <c r="E4813" s="41" t="s">
        <v>1298</v>
      </c>
      <c r="F4813" s="41" t="s">
        <v>10093</v>
      </c>
      <c r="G4813" s="41" t="s">
        <v>14699</v>
      </c>
      <c r="H4813" s="41" t="s">
        <v>14700</v>
      </c>
      <c r="I4813" s="43">
        <v>12</v>
      </c>
      <c r="J4813" s="44" t="str">
        <f>VLOOKUP(G4813,[1]硬件清单!$F:$F,1,0)</f>
        <v>217203519-19A</v>
      </c>
      <c r="K4813" s="43"/>
      <c r="L4813" s="44"/>
      <c r="M4813" s="45" t="s">
        <v>14701</v>
      </c>
    </row>
    <row r="4814" s="26" customFormat="1" ht="30" customHeight="1" spans="1:13">
      <c r="A4814" s="41">
        <f>IF(C4814="","",SUBTOTAL(103,$C$2:C4814))</f>
        <v>4805</v>
      </c>
      <c r="B4814" s="41">
        <v>3094</v>
      </c>
      <c r="C4814" s="41">
        <v>5080</v>
      </c>
      <c r="D4814" s="41" t="s">
        <v>45</v>
      </c>
      <c r="E4814" s="41" t="s">
        <v>1298</v>
      </c>
      <c r="F4814" s="41" t="s">
        <v>10093</v>
      </c>
      <c r="G4814" s="41" t="s">
        <v>14702</v>
      </c>
      <c r="H4814" s="41" t="s">
        <v>14703</v>
      </c>
      <c r="I4814" s="43">
        <v>12</v>
      </c>
      <c r="J4814" s="44" t="str">
        <f>VLOOKUP(G4814,[1]硬件清单!$F:$F,1,0)</f>
        <v>217203519-01A</v>
      </c>
      <c r="K4814" s="43"/>
      <c r="L4814" s="44"/>
      <c r="M4814" s="45" t="s">
        <v>14704</v>
      </c>
    </row>
    <row r="4815" s="26" customFormat="1" ht="30" customHeight="1" spans="1:13">
      <c r="A4815" s="41">
        <f>IF(C4815="","",SUBTOTAL(103,$C$2:C4815))</f>
        <v>4806</v>
      </c>
      <c r="B4815" s="41">
        <v>3095</v>
      </c>
      <c r="C4815" s="41">
        <v>5061</v>
      </c>
      <c r="D4815" s="41" t="s">
        <v>45</v>
      </c>
      <c r="E4815" s="41" t="s">
        <v>1298</v>
      </c>
      <c r="F4815" s="41" t="s">
        <v>10093</v>
      </c>
      <c r="G4815" s="41" t="s">
        <v>14705</v>
      </c>
      <c r="H4815" s="41" t="s">
        <v>14706</v>
      </c>
      <c r="I4815" s="43">
        <v>12</v>
      </c>
      <c r="J4815" s="44" t="str">
        <f>VLOOKUP(G4815,[1]硬件清单!$F:$F,1,0)</f>
        <v>217203519-20A</v>
      </c>
      <c r="K4815" s="43"/>
      <c r="L4815" s="44"/>
      <c r="M4815" s="45" t="s">
        <v>14707</v>
      </c>
    </row>
    <row r="4816" s="26" customFormat="1" ht="30" customHeight="1" spans="1:13">
      <c r="A4816" s="41">
        <f>IF(C4816="","",SUBTOTAL(103,$C$2:C4816))</f>
        <v>4807</v>
      </c>
      <c r="B4816" s="41">
        <v>3096</v>
      </c>
      <c r="C4816" s="41">
        <v>5060</v>
      </c>
      <c r="D4816" s="41" t="s">
        <v>45</v>
      </c>
      <c r="E4816" s="41" t="s">
        <v>1298</v>
      </c>
      <c r="F4816" s="41" t="s">
        <v>10093</v>
      </c>
      <c r="G4816" s="41" t="s">
        <v>14708</v>
      </c>
      <c r="H4816" s="41" t="s">
        <v>14709</v>
      </c>
      <c r="I4816" s="43">
        <v>12</v>
      </c>
      <c r="J4816" s="44" t="str">
        <f>VLOOKUP(G4816,[1]硬件清单!$F:$F,1,0)</f>
        <v>217203519-21A</v>
      </c>
      <c r="K4816" s="43"/>
      <c r="L4816" s="44"/>
      <c r="M4816" s="45" t="s">
        <v>14710</v>
      </c>
    </row>
    <row r="4817" s="26" customFormat="1" ht="30" customHeight="1" spans="1:13">
      <c r="A4817" s="41">
        <f>IF(C4817="","",SUBTOTAL(103,$C$2:C4817))</f>
        <v>4808</v>
      </c>
      <c r="B4817" s="41">
        <v>3097</v>
      </c>
      <c r="C4817" s="41">
        <v>5059</v>
      </c>
      <c r="D4817" s="41" t="s">
        <v>45</v>
      </c>
      <c r="E4817" s="41" t="s">
        <v>1298</v>
      </c>
      <c r="F4817" s="41" t="s">
        <v>10093</v>
      </c>
      <c r="G4817" s="41" t="s">
        <v>14711</v>
      </c>
      <c r="H4817" s="41" t="s">
        <v>14712</v>
      </c>
      <c r="I4817" s="43">
        <v>12</v>
      </c>
      <c r="J4817" s="44" t="str">
        <f>VLOOKUP(G4817,[1]硬件清单!$F:$F,1,0)</f>
        <v>217203519-22A</v>
      </c>
      <c r="K4817" s="43"/>
      <c r="L4817" s="44"/>
      <c r="M4817" s="45" t="s">
        <v>14713</v>
      </c>
    </row>
    <row r="4818" s="26" customFormat="1" ht="30" customHeight="1" spans="1:13">
      <c r="A4818" s="41">
        <f>IF(C4818="","",SUBTOTAL(103,$C$2:C4818))</f>
        <v>4809</v>
      </c>
      <c r="B4818" s="41">
        <v>3098</v>
      </c>
      <c r="C4818" s="41">
        <v>5058</v>
      </c>
      <c r="D4818" s="41" t="s">
        <v>45</v>
      </c>
      <c r="E4818" s="41" t="s">
        <v>1298</v>
      </c>
      <c r="F4818" s="41" t="s">
        <v>10093</v>
      </c>
      <c r="G4818" s="41" t="s">
        <v>14714</v>
      </c>
      <c r="H4818" s="41" t="s">
        <v>14715</v>
      </c>
      <c r="I4818" s="43">
        <v>12</v>
      </c>
      <c r="J4818" s="44" t="str">
        <f>VLOOKUP(G4818,[1]硬件清单!$F:$F,1,0)</f>
        <v>217203519-23A</v>
      </c>
      <c r="K4818" s="43"/>
      <c r="L4818" s="44"/>
      <c r="M4818" s="45" t="s">
        <v>14716</v>
      </c>
    </row>
    <row r="4819" s="26" customFormat="1" ht="30" customHeight="1" spans="1:13">
      <c r="A4819" s="41">
        <f>IF(C4819="","",SUBTOTAL(103,$C$2:C4819))</f>
        <v>4810</v>
      </c>
      <c r="B4819" s="41">
        <v>3099</v>
      </c>
      <c r="C4819" s="41">
        <v>5057</v>
      </c>
      <c r="D4819" s="41" t="s">
        <v>45</v>
      </c>
      <c r="E4819" s="41" t="s">
        <v>1298</v>
      </c>
      <c r="F4819" s="41" t="s">
        <v>10093</v>
      </c>
      <c r="G4819" s="41" t="s">
        <v>14717</v>
      </c>
      <c r="H4819" s="41" t="s">
        <v>14718</v>
      </c>
      <c r="I4819" s="43">
        <v>12</v>
      </c>
      <c r="J4819" s="44" t="str">
        <f>VLOOKUP(G4819,[1]硬件清单!$F:$F,1,0)</f>
        <v>217203519-24A</v>
      </c>
      <c r="K4819" s="43"/>
      <c r="L4819" s="44"/>
      <c r="M4819" s="45" t="s">
        <v>14719</v>
      </c>
    </row>
    <row r="4820" s="26" customFormat="1" ht="30" customHeight="1" spans="1:13">
      <c r="A4820" s="41">
        <f>IF(C4820="","",SUBTOTAL(103,$C$2:C4820))</f>
        <v>4811</v>
      </c>
      <c r="B4820" s="41">
        <v>3100</v>
      </c>
      <c r="C4820" s="41">
        <v>5079</v>
      </c>
      <c r="D4820" s="41" t="s">
        <v>45</v>
      </c>
      <c r="E4820" s="41" t="s">
        <v>1298</v>
      </c>
      <c r="F4820" s="41" t="s">
        <v>10093</v>
      </c>
      <c r="G4820" s="41" t="s">
        <v>14720</v>
      </c>
      <c r="H4820" s="41" t="s">
        <v>14721</v>
      </c>
      <c r="I4820" s="43">
        <v>12</v>
      </c>
      <c r="J4820" s="44" t="str">
        <f>VLOOKUP(G4820,[1]硬件清单!$F:$F,1,0)</f>
        <v>217203519-02A</v>
      </c>
      <c r="K4820" s="43"/>
      <c r="L4820" s="44"/>
      <c r="M4820" s="45" t="s">
        <v>14722</v>
      </c>
    </row>
    <row r="4821" s="26" customFormat="1" ht="30" customHeight="1" spans="1:13">
      <c r="A4821" s="41">
        <f>IF(C4821="","",SUBTOTAL(103,$C$2:C4821))</f>
        <v>4812</v>
      </c>
      <c r="B4821" s="41">
        <v>3101</v>
      </c>
      <c r="C4821" s="41">
        <v>5056</v>
      </c>
      <c r="D4821" s="41" t="s">
        <v>45</v>
      </c>
      <c r="E4821" s="41" t="s">
        <v>1298</v>
      </c>
      <c r="F4821" s="41" t="s">
        <v>10093</v>
      </c>
      <c r="G4821" s="41" t="s">
        <v>14723</v>
      </c>
      <c r="H4821" s="41" t="s">
        <v>14724</v>
      </c>
      <c r="I4821" s="43">
        <v>12</v>
      </c>
      <c r="J4821" s="44" t="str">
        <f>VLOOKUP(G4821,[1]硬件清单!$F:$F,1,0)</f>
        <v>217203519-25A</v>
      </c>
      <c r="K4821" s="43"/>
      <c r="L4821" s="44"/>
      <c r="M4821" s="45" t="s">
        <v>14725</v>
      </c>
    </row>
    <row r="4822" s="26" customFormat="1" ht="30" customHeight="1" spans="1:13">
      <c r="A4822" s="41">
        <f>IF(C4822="","",SUBTOTAL(103,$C$2:C4822))</f>
        <v>4813</v>
      </c>
      <c r="B4822" s="41">
        <v>3102</v>
      </c>
      <c r="C4822" s="41">
        <v>5055</v>
      </c>
      <c r="D4822" s="41" t="s">
        <v>45</v>
      </c>
      <c r="E4822" s="41" t="s">
        <v>1298</v>
      </c>
      <c r="F4822" s="41" t="s">
        <v>10093</v>
      </c>
      <c r="G4822" s="41" t="s">
        <v>14726</v>
      </c>
      <c r="H4822" s="41" t="s">
        <v>14727</v>
      </c>
      <c r="I4822" s="43">
        <v>12</v>
      </c>
      <c r="J4822" s="44" t="str">
        <f>VLOOKUP(G4822,[1]硬件清单!$F:$F,1,0)</f>
        <v>217203519-26A</v>
      </c>
      <c r="K4822" s="43"/>
      <c r="L4822" s="44"/>
      <c r="M4822" s="45" t="s">
        <v>14728</v>
      </c>
    </row>
    <row r="4823" s="26" customFormat="1" ht="30" customHeight="1" spans="1:13">
      <c r="A4823" s="41">
        <f>IF(C4823="","",SUBTOTAL(103,$C$2:C4823))</f>
        <v>4814</v>
      </c>
      <c r="B4823" s="41">
        <v>3103</v>
      </c>
      <c r="C4823" s="41">
        <v>5054</v>
      </c>
      <c r="D4823" s="41" t="s">
        <v>45</v>
      </c>
      <c r="E4823" s="41" t="s">
        <v>1298</v>
      </c>
      <c r="F4823" s="41" t="s">
        <v>10093</v>
      </c>
      <c r="G4823" s="41" t="s">
        <v>14729</v>
      </c>
      <c r="H4823" s="41" t="s">
        <v>14730</v>
      </c>
      <c r="I4823" s="43">
        <v>12</v>
      </c>
      <c r="J4823" s="44" t="str">
        <f>VLOOKUP(G4823,[1]硬件清单!$F:$F,1,0)</f>
        <v>217203519-27A</v>
      </c>
      <c r="K4823" s="43"/>
      <c r="L4823" s="44"/>
      <c r="M4823" s="45" t="s">
        <v>14731</v>
      </c>
    </row>
    <row r="4824" s="26" customFormat="1" ht="30" customHeight="1" spans="1:13">
      <c r="A4824" s="41">
        <f>IF(C4824="","",SUBTOTAL(103,$C$2:C4824))</f>
        <v>4815</v>
      </c>
      <c r="B4824" s="41">
        <v>3104</v>
      </c>
      <c r="C4824" s="41">
        <v>5053</v>
      </c>
      <c r="D4824" s="41" t="s">
        <v>45</v>
      </c>
      <c r="E4824" s="41" t="s">
        <v>1298</v>
      </c>
      <c r="F4824" s="41" t="s">
        <v>10093</v>
      </c>
      <c r="G4824" s="41" t="s">
        <v>14732</v>
      </c>
      <c r="H4824" s="41" t="s">
        <v>14733</v>
      </c>
      <c r="I4824" s="43">
        <v>12</v>
      </c>
      <c r="J4824" s="44" t="str">
        <f>VLOOKUP(G4824,[1]硬件清单!$F:$F,1,0)</f>
        <v>217203519-28A</v>
      </c>
      <c r="K4824" s="43"/>
      <c r="L4824" s="44"/>
      <c r="M4824" s="45" t="s">
        <v>14734</v>
      </c>
    </row>
    <row r="4825" s="26" customFormat="1" ht="30" customHeight="1" spans="1:13">
      <c r="A4825" s="41">
        <f>IF(C4825="","",SUBTOTAL(103,$C$2:C4825))</f>
        <v>4816</v>
      </c>
      <c r="B4825" s="41">
        <v>3105</v>
      </c>
      <c r="C4825" s="41">
        <v>5052</v>
      </c>
      <c r="D4825" s="41" t="s">
        <v>45</v>
      </c>
      <c r="E4825" s="41" t="s">
        <v>1298</v>
      </c>
      <c r="F4825" s="41" t="s">
        <v>10093</v>
      </c>
      <c r="G4825" s="41" t="s">
        <v>14735</v>
      </c>
      <c r="H4825" s="41" t="s">
        <v>14736</v>
      </c>
      <c r="I4825" s="43">
        <v>12</v>
      </c>
      <c r="J4825" s="44" t="str">
        <f>VLOOKUP(G4825,[1]硬件清单!$F:$F,1,0)</f>
        <v>217203519-29A</v>
      </c>
      <c r="K4825" s="43"/>
      <c r="L4825" s="44"/>
      <c r="M4825" s="45" t="s">
        <v>14737</v>
      </c>
    </row>
    <row r="4826" s="26" customFormat="1" ht="30" customHeight="1" spans="1:13">
      <c r="A4826" s="41">
        <f>IF(C4826="","",SUBTOTAL(103,$C$2:C4826))</f>
        <v>4817</v>
      </c>
      <c r="B4826" s="41">
        <v>3106</v>
      </c>
      <c r="C4826" s="41">
        <v>5051</v>
      </c>
      <c r="D4826" s="41" t="s">
        <v>45</v>
      </c>
      <c r="E4826" s="41" t="s">
        <v>1298</v>
      </c>
      <c r="F4826" s="41" t="s">
        <v>10093</v>
      </c>
      <c r="G4826" s="41" t="s">
        <v>14738</v>
      </c>
      <c r="H4826" s="41" t="s">
        <v>14739</v>
      </c>
      <c r="I4826" s="43">
        <v>12</v>
      </c>
      <c r="J4826" s="44" t="str">
        <f>VLOOKUP(G4826,[1]硬件清单!$F:$F,1,0)</f>
        <v>217203519-30A</v>
      </c>
      <c r="K4826" s="43"/>
      <c r="L4826" s="44"/>
      <c r="M4826" s="45" t="s">
        <v>14740</v>
      </c>
    </row>
    <row r="4827" s="26" customFormat="1" ht="30" customHeight="1" spans="1:13">
      <c r="A4827" s="41">
        <f>IF(C4827="","",SUBTOTAL(103,$C$2:C4827))</f>
        <v>4818</v>
      </c>
      <c r="B4827" s="41">
        <v>3107</v>
      </c>
      <c r="C4827" s="41">
        <v>5050</v>
      </c>
      <c r="D4827" s="41" t="s">
        <v>45</v>
      </c>
      <c r="E4827" s="41" t="s">
        <v>1298</v>
      </c>
      <c r="F4827" s="41" t="s">
        <v>10093</v>
      </c>
      <c r="G4827" s="41" t="s">
        <v>14741</v>
      </c>
      <c r="H4827" s="41" t="s">
        <v>14742</v>
      </c>
      <c r="I4827" s="43">
        <v>12</v>
      </c>
      <c r="J4827" s="44" t="str">
        <f>VLOOKUP(G4827,[1]硬件清单!$F:$F,1,0)</f>
        <v>217203519-31A</v>
      </c>
      <c r="K4827" s="43"/>
      <c r="L4827" s="44"/>
      <c r="M4827" s="45" t="s">
        <v>14743</v>
      </c>
    </row>
    <row r="4828" s="26" customFormat="1" ht="30" customHeight="1" spans="1:13">
      <c r="A4828" s="41">
        <f>IF(C4828="","",SUBTOTAL(103,$C$2:C4828))</f>
        <v>4819</v>
      </c>
      <c r="B4828" s="41">
        <v>3108</v>
      </c>
      <c r="C4828" s="41">
        <v>5049</v>
      </c>
      <c r="D4828" s="41" t="s">
        <v>45</v>
      </c>
      <c r="E4828" s="41" t="s">
        <v>1298</v>
      </c>
      <c r="F4828" s="41" t="s">
        <v>10093</v>
      </c>
      <c r="G4828" s="41" t="s">
        <v>14744</v>
      </c>
      <c r="H4828" s="41" t="s">
        <v>14745</v>
      </c>
      <c r="I4828" s="43">
        <v>12</v>
      </c>
      <c r="J4828" s="44" t="str">
        <f>VLOOKUP(G4828,[1]硬件清单!$F:$F,1,0)</f>
        <v>217203519-32A</v>
      </c>
      <c r="K4828" s="43"/>
      <c r="L4828" s="44"/>
      <c r="M4828" s="45" t="s">
        <v>14746</v>
      </c>
    </row>
    <row r="4829" s="26" customFormat="1" ht="30" customHeight="1" spans="1:13">
      <c r="A4829" s="41">
        <f>IF(C4829="","",SUBTOTAL(103,$C$2:C4829))</f>
        <v>4820</v>
      </c>
      <c r="B4829" s="41">
        <v>3109</v>
      </c>
      <c r="C4829" s="41">
        <v>5078</v>
      </c>
      <c r="D4829" s="41" t="s">
        <v>45</v>
      </c>
      <c r="E4829" s="41" t="s">
        <v>1298</v>
      </c>
      <c r="F4829" s="41" t="s">
        <v>10093</v>
      </c>
      <c r="G4829" s="41" t="s">
        <v>14747</v>
      </c>
      <c r="H4829" s="41" t="s">
        <v>14748</v>
      </c>
      <c r="I4829" s="43">
        <v>12</v>
      </c>
      <c r="J4829" s="44" t="str">
        <f>VLOOKUP(G4829,[1]硬件清单!$F:$F,1,0)</f>
        <v>217203519-03A</v>
      </c>
      <c r="K4829" s="43"/>
      <c r="L4829" s="44"/>
      <c r="M4829" s="45" t="s">
        <v>14749</v>
      </c>
    </row>
    <row r="4830" s="26" customFormat="1" ht="30" customHeight="1" spans="1:13">
      <c r="A4830" s="41">
        <f>IF(C4830="","",SUBTOTAL(103,$C$2:C4830))</f>
        <v>4821</v>
      </c>
      <c r="B4830" s="41">
        <v>3110</v>
      </c>
      <c r="C4830" s="41">
        <v>5077</v>
      </c>
      <c r="D4830" s="41" t="s">
        <v>45</v>
      </c>
      <c r="E4830" s="41" t="s">
        <v>1298</v>
      </c>
      <c r="F4830" s="41" t="s">
        <v>10093</v>
      </c>
      <c r="G4830" s="41" t="s">
        <v>14750</v>
      </c>
      <c r="H4830" s="41" t="s">
        <v>14751</v>
      </c>
      <c r="I4830" s="43">
        <v>12</v>
      </c>
      <c r="J4830" s="44" t="str">
        <f>VLOOKUP(G4830,[1]硬件清单!$F:$F,1,0)</f>
        <v>217203519-04A</v>
      </c>
      <c r="K4830" s="43"/>
      <c r="L4830" s="44"/>
      <c r="M4830" s="45" t="s">
        <v>14752</v>
      </c>
    </row>
    <row r="4831" s="26" customFormat="1" ht="30" customHeight="1" spans="1:13">
      <c r="A4831" s="41">
        <f>IF(C4831="","",SUBTOTAL(103,$C$2:C4831))</f>
        <v>4822</v>
      </c>
      <c r="B4831" s="41">
        <v>3111</v>
      </c>
      <c r="C4831" s="41">
        <v>5076</v>
      </c>
      <c r="D4831" s="41" t="s">
        <v>45</v>
      </c>
      <c r="E4831" s="41" t="s">
        <v>1298</v>
      </c>
      <c r="F4831" s="41" t="s">
        <v>10093</v>
      </c>
      <c r="G4831" s="41" t="s">
        <v>14753</v>
      </c>
      <c r="H4831" s="41" t="s">
        <v>14754</v>
      </c>
      <c r="I4831" s="43">
        <v>12</v>
      </c>
      <c r="J4831" s="44" t="str">
        <f>VLOOKUP(G4831,[1]硬件清单!$F:$F,1,0)</f>
        <v>217203519-05A</v>
      </c>
      <c r="K4831" s="43"/>
      <c r="L4831" s="44"/>
      <c r="M4831" s="45" t="s">
        <v>14755</v>
      </c>
    </row>
    <row r="4832" s="26" customFormat="1" ht="30" customHeight="1" spans="1:13">
      <c r="A4832" s="41">
        <f>IF(C4832="","",SUBTOTAL(103,$C$2:C4832))</f>
        <v>4823</v>
      </c>
      <c r="B4832" s="41">
        <v>3112</v>
      </c>
      <c r="C4832" s="41">
        <v>5075</v>
      </c>
      <c r="D4832" s="41" t="s">
        <v>45</v>
      </c>
      <c r="E4832" s="41" t="s">
        <v>1298</v>
      </c>
      <c r="F4832" s="41" t="s">
        <v>10093</v>
      </c>
      <c r="G4832" s="41" t="s">
        <v>14756</v>
      </c>
      <c r="H4832" s="41" t="s">
        <v>14757</v>
      </c>
      <c r="I4832" s="43">
        <v>12</v>
      </c>
      <c r="J4832" s="44" t="str">
        <f>VLOOKUP(G4832,[1]硬件清单!$F:$F,1,0)</f>
        <v>217203519-06A</v>
      </c>
      <c r="K4832" s="43"/>
      <c r="L4832" s="44"/>
      <c r="M4832" s="45" t="s">
        <v>14758</v>
      </c>
    </row>
    <row r="4833" s="26" customFormat="1" ht="30" customHeight="1" spans="1:13">
      <c r="A4833" s="41">
        <f>IF(C4833="","",SUBTOTAL(103,$C$2:C4833))</f>
        <v>4824</v>
      </c>
      <c r="B4833" s="41">
        <v>3113</v>
      </c>
      <c r="C4833" s="41">
        <v>5074</v>
      </c>
      <c r="D4833" s="41" t="s">
        <v>45</v>
      </c>
      <c r="E4833" s="41" t="s">
        <v>1298</v>
      </c>
      <c r="F4833" s="41" t="s">
        <v>10093</v>
      </c>
      <c r="G4833" s="41" t="s">
        <v>14759</v>
      </c>
      <c r="H4833" s="41" t="s">
        <v>14760</v>
      </c>
      <c r="I4833" s="43">
        <v>12</v>
      </c>
      <c r="J4833" s="44" t="str">
        <f>VLOOKUP(G4833,[1]硬件清单!$F:$F,1,0)</f>
        <v>217203519-07A</v>
      </c>
      <c r="K4833" s="43"/>
      <c r="L4833" s="44"/>
      <c r="M4833" s="45" t="s">
        <v>14761</v>
      </c>
    </row>
    <row r="4834" s="26" customFormat="1" ht="30" customHeight="1" spans="1:13">
      <c r="A4834" s="41">
        <f>IF(C4834="","",SUBTOTAL(103,$C$2:C4834))</f>
        <v>4825</v>
      </c>
      <c r="B4834" s="41">
        <v>3114</v>
      </c>
      <c r="C4834" s="41">
        <v>5073</v>
      </c>
      <c r="D4834" s="41" t="s">
        <v>45</v>
      </c>
      <c r="E4834" s="41" t="s">
        <v>1298</v>
      </c>
      <c r="F4834" s="41" t="s">
        <v>10093</v>
      </c>
      <c r="G4834" s="41" t="s">
        <v>14762</v>
      </c>
      <c r="H4834" s="41" t="s">
        <v>14763</v>
      </c>
      <c r="I4834" s="43">
        <v>12</v>
      </c>
      <c r="J4834" s="44" t="str">
        <f>VLOOKUP(G4834,[1]硬件清单!$F:$F,1,0)</f>
        <v>217203519-08A</v>
      </c>
      <c r="K4834" s="43"/>
      <c r="L4834" s="44"/>
      <c r="M4834" s="45" t="s">
        <v>14764</v>
      </c>
    </row>
    <row r="4835" s="26" customFormat="1" ht="30" customHeight="1" spans="1:13">
      <c r="A4835" s="41">
        <f>IF(C4835="","",SUBTOTAL(103,$C$2:C4835))</f>
        <v>4826</v>
      </c>
      <c r="B4835" s="41">
        <v>3115</v>
      </c>
      <c r="C4835" s="41">
        <v>5072</v>
      </c>
      <c r="D4835" s="41" t="s">
        <v>45</v>
      </c>
      <c r="E4835" s="41" t="s">
        <v>1298</v>
      </c>
      <c r="F4835" s="41" t="s">
        <v>10093</v>
      </c>
      <c r="G4835" s="41" t="s">
        <v>14765</v>
      </c>
      <c r="H4835" s="41" t="s">
        <v>14766</v>
      </c>
      <c r="I4835" s="43">
        <v>12</v>
      </c>
      <c r="J4835" s="44" t="str">
        <f>VLOOKUP(G4835,[1]硬件清单!$F:$F,1,0)</f>
        <v>217203519-09A</v>
      </c>
      <c r="K4835" s="43"/>
      <c r="L4835" s="44"/>
      <c r="M4835" s="45" t="s">
        <v>14767</v>
      </c>
    </row>
    <row r="4836" s="26" customFormat="1" ht="30" customHeight="1" spans="1:13">
      <c r="A4836" s="41">
        <f>IF(C4836="","",SUBTOTAL(103,$C$2:C4836))</f>
        <v>4827</v>
      </c>
      <c r="B4836" s="41">
        <v>3116</v>
      </c>
      <c r="C4836" s="41">
        <v>9032</v>
      </c>
      <c r="D4836" s="41" t="s">
        <v>45</v>
      </c>
      <c r="E4836" s="41" t="s">
        <v>1298</v>
      </c>
      <c r="F4836" s="41" t="s">
        <v>6784</v>
      </c>
      <c r="G4836" s="41" t="s">
        <v>14768</v>
      </c>
      <c r="H4836" s="41" t="s">
        <v>14769</v>
      </c>
      <c r="I4836" s="43">
        <v>12</v>
      </c>
      <c r="J4836" s="44" t="str">
        <f>VLOOKUP(G4836,[1]硬件清单!$F:$F,1,0)</f>
        <v>CNG230S8ZB</v>
      </c>
      <c r="K4836" s="43"/>
      <c r="L4836" s="44"/>
      <c r="M4836" s="45" t="s">
        <v>14770</v>
      </c>
    </row>
    <row r="4837" s="26" customFormat="1" ht="30" customHeight="1" spans="1:13">
      <c r="A4837" s="41">
        <f>IF(C4837="","",SUBTOTAL(103,$C$2:C4837))</f>
        <v>4828</v>
      </c>
      <c r="B4837" s="41">
        <v>3117</v>
      </c>
      <c r="C4837" s="41">
        <v>9033</v>
      </c>
      <c r="D4837" s="41" t="s">
        <v>45</v>
      </c>
      <c r="E4837" s="41" t="s">
        <v>1298</v>
      </c>
      <c r="F4837" s="41" t="s">
        <v>6784</v>
      </c>
      <c r="G4837" s="41" t="s">
        <v>14771</v>
      </c>
      <c r="H4837" s="41" t="s">
        <v>14772</v>
      </c>
      <c r="I4837" s="43">
        <v>12</v>
      </c>
      <c r="J4837" s="44" t="str">
        <f>VLOOKUP(G4837,[1]硬件清单!$F:$F,1,0)</f>
        <v>CNG230S8Z4</v>
      </c>
      <c r="K4837" s="43"/>
      <c r="L4837" s="44"/>
      <c r="M4837" s="45" t="s">
        <v>14773</v>
      </c>
    </row>
    <row r="4838" s="26" customFormat="1" ht="30" customHeight="1" spans="1:13">
      <c r="A4838" s="41">
        <f>IF(C4838="","",SUBTOTAL(103,$C$2:C4838))</f>
        <v>4829</v>
      </c>
      <c r="B4838" s="41">
        <v>3152</v>
      </c>
      <c r="C4838" s="41">
        <v>9572</v>
      </c>
      <c r="D4838" s="41" t="s">
        <v>45</v>
      </c>
      <c r="E4838" s="41" t="s">
        <v>1298</v>
      </c>
      <c r="F4838" s="41" t="s">
        <v>9850</v>
      </c>
      <c r="G4838" s="41" t="s">
        <v>14774</v>
      </c>
      <c r="H4838" s="41" t="s">
        <v>14775</v>
      </c>
      <c r="I4838" s="43">
        <v>12</v>
      </c>
      <c r="J4838" s="44" t="str">
        <f>VLOOKUP(G4838,[1]硬件清单!$F:$F,1,0)</f>
        <v>2102300742N0EA000065</v>
      </c>
      <c r="K4838" s="43"/>
      <c r="L4838" s="44"/>
      <c r="M4838" s="45" t="s">
        <v>14776</v>
      </c>
    </row>
    <row r="4839" s="26" customFormat="1" ht="30" customHeight="1" spans="1:13">
      <c r="A4839" s="41">
        <f>IF(C4839="","",SUBTOTAL(103,$C$2:C4839))</f>
        <v>4830</v>
      </c>
      <c r="B4839" s="41">
        <v>3153</v>
      </c>
      <c r="C4839" s="41">
        <v>9316</v>
      </c>
      <c r="D4839" s="41" t="s">
        <v>45</v>
      </c>
      <c r="E4839" s="41" t="s">
        <v>1298</v>
      </c>
      <c r="F4839" s="41" t="s">
        <v>8153</v>
      </c>
      <c r="G4839" s="41" t="s">
        <v>14777</v>
      </c>
      <c r="H4839" s="41" t="s">
        <v>14778</v>
      </c>
      <c r="I4839" s="43">
        <v>12</v>
      </c>
      <c r="J4839" s="44" t="str">
        <f>VLOOKUP(G4839,[1]硬件清单!$F:$F,1,0)</f>
        <v>210305485510EA000450</v>
      </c>
      <c r="K4839" s="43"/>
      <c r="L4839" s="44"/>
      <c r="M4839" s="45" t="s">
        <v>14779</v>
      </c>
    </row>
    <row r="4840" s="26" customFormat="1" ht="30" customHeight="1" spans="1:13">
      <c r="A4840" s="41">
        <f>IF(C4840="","",SUBTOTAL(103,$C$2:C4840))</f>
        <v>4831</v>
      </c>
      <c r="B4840" s="41">
        <v>3154</v>
      </c>
      <c r="C4840" s="41">
        <v>9325</v>
      </c>
      <c r="D4840" s="41" t="s">
        <v>45</v>
      </c>
      <c r="E4840" s="41" t="s">
        <v>1298</v>
      </c>
      <c r="F4840" s="41" t="s">
        <v>8153</v>
      </c>
      <c r="G4840" s="41" t="s">
        <v>14780</v>
      </c>
      <c r="H4840" s="41" t="s">
        <v>14781</v>
      </c>
      <c r="I4840" s="43">
        <v>12</v>
      </c>
      <c r="J4840" s="44" t="str">
        <f>VLOOKUP(G4840,[1]硬件清单!$F:$F,1,0)</f>
        <v>210305485510EA000421</v>
      </c>
      <c r="K4840" s="43"/>
      <c r="L4840" s="44"/>
      <c r="M4840" s="45" t="s">
        <v>14782</v>
      </c>
    </row>
    <row r="4841" s="26" customFormat="1" ht="30" customHeight="1" spans="1:13">
      <c r="A4841" s="41">
        <f>IF(C4841="","",SUBTOTAL(103,$C$2:C4841))</f>
        <v>4832</v>
      </c>
      <c r="B4841" s="41">
        <v>3155</v>
      </c>
      <c r="C4841" s="41">
        <v>9326</v>
      </c>
      <c r="D4841" s="41" t="s">
        <v>45</v>
      </c>
      <c r="E4841" s="41" t="s">
        <v>1298</v>
      </c>
      <c r="F4841" s="41" t="s">
        <v>8153</v>
      </c>
      <c r="G4841" s="41" t="s">
        <v>14783</v>
      </c>
      <c r="H4841" s="41" t="s">
        <v>14784</v>
      </c>
      <c r="I4841" s="43">
        <v>12</v>
      </c>
      <c r="J4841" s="44" t="str">
        <f>VLOOKUP(G4841,[1]硬件清单!$F:$F,1,0)</f>
        <v>210305485510EA000394</v>
      </c>
      <c r="K4841" s="43"/>
      <c r="L4841" s="44"/>
      <c r="M4841" s="45" t="s">
        <v>14785</v>
      </c>
    </row>
    <row r="4842" s="26" customFormat="1" ht="30" customHeight="1" spans="1:13">
      <c r="A4842" s="41">
        <f>IF(C4842="","",SUBTOTAL(103,$C$2:C4842))</f>
        <v>4833</v>
      </c>
      <c r="B4842" s="41">
        <v>3156</v>
      </c>
      <c r="C4842" s="41">
        <v>9327</v>
      </c>
      <c r="D4842" s="41" t="s">
        <v>45</v>
      </c>
      <c r="E4842" s="41" t="s">
        <v>1298</v>
      </c>
      <c r="F4842" s="41" t="s">
        <v>8153</v>
      </c>
      <c r="G4842" s="41" t="s">
        <v>14786</v>
      </c>
      <c r="H4842" s="41" t="s">
        <v>14787</v>
      </c>
      <c r="I4842" s="43">
        <v>12</v>
      </c>
      <c r="J4842" s="44" t="str">
        <f>VLOOKUP(G4842,[1]硬件清单!$F:$F,1,0)</f>
        <v>210305485510EA000521</v>
      </c>
      <c r="K4842" s="43"/>
      <c r="L4842" s="44"/>
      <c r="M4842" s="45" t="s">
        <v>14788</v>
      </c>
    </row>
    <row r="4843" s="26" customFormat="1" ht="30" customHeight="1" spans="1:13">
      <c r="A4843" s="41">
        <f>IF(C4843="","",SUBTOTAL(103,$C$2:C4843))</f>
        <v>4834</v>
      </c>
      <c r="B4843" s="41">
        <v>3157</v>
      </c>
      <c r="C4843" s="41">
        <v>9328</v>
      </c>
      <c r="D4843" s="41" t="s">
        <v>45</v>
      </c>
      <c r="E4843" s="41" t="s">
        <v>1298</v>
      </c>
      <c r="F4843" s="41" t="s">
        <v>8153</v>
      </c>
      <c r="G4843" s="41" t="s">
        <v>14789</v>
      </c>
      <c r="H4843" s="41" t="s">
        <v>14790</v>
      </c>
      <c r="I4843" s="43">
        <v>12</v>
      </c>
      <c r="J4843" s="44" t="str">
        <f>VLOOKUP(G4843,[1]硬件清单!$F:$F,1,0)</f>
        <v>210305485510EA000475</v>
      </c>
      <c r="K4843" s="43"/>
      <c r="L4843" s="44"/>
      <c r="M4843" s="45" t="s">
        <v>14791</v>
      </c>
    </row>
    <row r="4844" s="26" customFormat="1" ht="30" customHeight="1" spans="1:13">
      <c r="A4844" s="41">
        <f>IF(C4844="","",SUBTOTAL(103,$C$2:C4844))</f>
        <v>4835</v>
      </c>
      <c r="B4844" s="41">
        <v>3158</v>
      </c>
      <c r="C4844" s="41">
        <v>9329</v>
      </c>
      <c r="D4844" s="41" t="s">
        <v>45</v>
      </c>
      <c r="E4844" s="41" t="s">
        <v>1298</v>
      </c>
      <c r="F4844" s="41" t="s">
        <v>8153</v>
      </c>
      <c r="G4844" s="41" t="s">
        <v>14792</v>
      </c>
      <c r="H4844" s="41" t="s">
        <v>14793</v>
      </c>
      <c r="I4844" s="43">
        <v>12</v>
      </c>
      <c r="J4844" s="44" t="str">
        <f>VLOOKUP(G4844,[1]硬件清单!$F:$F,1,0)</f>
        <v>210305485510EA000605</v>
      </c>
      <c r="K4844" s="43"/>
      <c r="L4844" s="44"/>
      <c r="M4844" s="45" t="s">
        <v>14794</v>
      </c>
    </row>
    <row r="4845" s="26" customFormat="1" ht="30" customHeight="1" spans="1:13">
      <c r="A4845" s="41">
        <f>IF(C4845="","",SUBTOTAL(103,$C$2:C4845))</f>
        <v>4836</v>
      </c>
      <c r="B4845" s="41">
        <v>3159</v>
      </c>
      <c r="C4845" s="41">
        <v>9330</v>
      </c>
      <c r="D4845" s="41" t="s">
        <v>45</v>
      </c>
      <c r="E4845" s="41" t="s">
        <v>1298</v>
      </c>
      <c r="F4845" s="41" t="s">
        <v>8153</v>
      </c>
      <c r="G4845" s="41" t="s">
        <v>14795</v>
      </c>
      <c r="H4845" s="41" t="s">
        <v>14796</v>
      </c>
      <c r="I4845" s="43">
        <v>12</v>
      </c>
      <c r="J4845" s="44" t="str">
        <f>VLOOKUP(G4845,[1]硬件清单!$F:$F,1,0)</f>
        <v>210305485510EA000340</v>
      </c>
      <c r="K4845" s="43"/>
      <c r="L4845" s="44"/>
      <c r="M4845" s="45" t="s">
        <v>14797</v>
      </c>
    </row>
    <row r="4846" s="26" customFormat="1" ht="30" customHeight="1" spans="1:13">
      <c r="A4846" s="41">
        <f>IF(C4846="","",SUBTOTAL(103,$C$2:C4846))</f>
        <v>4837</v>
      </c>
      <c r="B4846" s="41">
        <v>3160</v>
      </c>
      <c r="C4846" s="41">
        <v>9331</v>
      </c>
      <c r="D4846" s="41" t="s">
        <v>45</v>
      </c>
      <c r="E4846" s="41" t="s">
        <v>1298</v>
      </c>
      <c r="F4846" s="41" t="s">
        <v>8153</v>
      </c>
      <c r="G4846" s="41" t="s">
        <v>14798</v>
      </c>
      <c r="H4846" s="41" t="s">
        <v>14799</v>
      </c>
      <c r="I4846" s="43">
        <v>12</v>
      </c>
      <c r="J4846" s="44" t="str">
        <f>VLOOKUP(G4846,[1]硬件清单!$F:$F,1,0)</f>
        <v>210305485510EA000343</v>
      </c>
      <c r="K4846" s="43"/>
      <c r="L4846" s="44"/>
      <c r="M4846" s="45" t="s">
        <v>14800</v>
      </c>
    </row>
    <row r="4847" s="26" customFormat="1" ht="30" customHeight="1" spans="1:13">
      <c r="A4847" s="41">
        <f>IF(C4847="","",SUBTOTAL(103,$C$2:C4847))</f>
        <v>4838</v>
      </c>
      <c r="B4847" s="41">
        <v>3161</v>
      </c>
      <c r="C4847" s="41">
        <v>9317</v>
      </c>
      <c r="D4847" s="41" t="s">
        <v>45</v>
      </c>
      <c r="E4847" s="41" t="s">
        <v>1298</v>
      </c>
      <c r="F4847" s="41" t="s">
        <v>8153</v>
      </c>
      <c r="G4847" s="41" t="s">
        <v>14801</v>
      </c>
      <c r="H4847" s="41" t="s">
        <v>14802</v>
      </c>
      <c r="I4847" s="43">
        <v>12</v>
      </c>
      <c r="J4847" s="44" t="str">
        <f>VLOOKUP(G4847,[1]硬件清单!$F:$F,1,0)</f>
        <v>210305485510EA000453</v>
      </c>
      <c r="K4847" s="43"/>
      <c r="L4847" s="44"/>
      <c r="M4847" s="45" t="s">
        <v>14803</v>
      </c>
    </row>
    <row r="4848" s="26" customFormat="1" ht="30" customHeight="1" spans="1:13">
      <c r="A4848" s="41">
        <f>IF(C4848="","",SUBTOTAL(103,$C$2:C4848))</f>
        <v>4839</v>
      </c>
      <c r="B4848" s="41">
        <v>3162</v>
      </c>
      <c r="C4848" s="41">
        <v>9318</v>
      </c>
      <c r="D4848" s="41" t="s">
        <v>45</v>
      </c>
      <c r="E4848" s="41" t="s">
        <v>1298</v>
      </c>
      <c r="F4848" s="41" t="s">
        <v>8153</v>
      </c>
      <c r="G4848" s="41" t="s">
        <v>14804</v>
      </c>
      <c r="H4848" s="41" t="s">
        <v>14805</v>
      </c>
      <c r="I4848" s="43">
        <v>12</v>
      </c>
      <c r="J4848" s="44" t="str">
        <f>VLOOKUP(G4848,[1]硬件清单!$F:$F,1,0)</f>
        <v>210305485510EA000313</v>
      </c>
      <c r="K4848" s="43"/>
      <c r="L4848" s="44"/>
      <c r="M4848" s="45" t="s">
        <v>14806</v>
      </c>
    </row>
    <row r="4849" s="26" customFormat="1" ht="30" customHeight="1" spans="1:13">
      <c r="A4849" s="41">
        <f>IF(C4849="","",SUBTOTAL(103,$C$2:C4849))</f>
        <v>4840</v>
      </c>
      <c r="B4849" s="41">
        <v>3163</v>
      </c>
      <c r="C4849" s="41">
        <v>9319</v>
      </c>
      <c r="D4849" s="41" t="s">
        <v>45</v>
      </c>
      <c r="E4849" s="41" t="s">
        <v>1298</v>
      </c>
      <c r="F4849" s="41" t="s">
        <v>8153</v>
      </c>
      <c r="G4849" s="41" t="s">
        <v>14807</v>
      </c>
      <c r="H4849" s="41" t="s">
        <v>14808</v>
      </c>
      <c r="I4849" s="43">
        <v>12</v>
      </c>
      <c r="J4849" s="44" t="str">
        <f>VLOOKUP(G4849,[1]硬件清单!$F:$F,1,0)</f>
        <v>210305485510EA000416</v>
      </c>
      <c r="K4849" s="43"/>
      <c r="L4849" s="44"/>
      <c r="M4849" s="45" t="s">
        <v>14809</v>
      </c>
    </row>
    <row r="4850" s="26" customFormat="1" ht="30" customHeight="1" spans="1:13">
      <c r="A4850" s="41">
        <f>IF(C4850="","",SUBTOTAL(103,$C$2:C4850))</f>
        <v>4841</v>
      </c>
      <c r="B4850" s="41">
        <v>3164</v>
      </c>
      <c r="C4850" s="41">
        <v>9320</v>
      </c>
      <c r="D4850" s="41" t="s">
        <v>45</v>
      </c>
      <c r="E4850" s="41" t="s">
        <v>1298</v>
      </c>
      <c r="F4850" s="41" t="s">
        <v>8153</v>
      </c>
      <c r="G4850" s="41" t="s">
        <v>14810</v>
      </c>
      <c r="H4850" s="41" t="s">
        <v>14811</v>
      </c>
      <c r="I4850" s="43">
        <v>12</v>
      </c>
      <c r="J4850" s="44" t="str">
        <f>VLOOKUP(G4850,[1]硬件清单!$F:$F,1,0)</f>
        <v>210305485510EA000503</v>
      </c>
      <c r="K4850" s="43"/>
      <c r="L4850" s="44"/>
      <c r="M4850" s="45" t="s">
        <v>14812</v>
      </c>
    </row>
    <row r="4851" s="26" customFormat="1" ht="30" customHeight="1" spans="1:13">
      <c r="A4851" s="41">
        <f>IF(C4851="","",SUBTOTAL(103,$C$2:C4851))</f>
        <v>4842</v>
      </c>
      <c r="B4851" s="41">
        <v>3165</v>
      </c>
      <c r="C4851" s="41">
        <v>9321</v>
      </c>
      <c r="D4851" s="41" t="s">
        <v>45</v>
      </c>
      <c r="E4851" s="41" t="s">
        <v>1298</v>
      </c>
      <c r="F4851" s="41" t="s">
        <v>8153</v>
      </c>
      <c r="G4851" s="41" t="s">
        <v>14813</v>
      </c>
      <c r="H4851" s="41" t="s">
        <v>14814</v>
      </c>
      <c r="I4851" s="43">
        <v>12</v>
      </c>
      <c r="J4851" s="44" t="str">
        <f>VLOOKUP(G4851,[1]硬件清单!$F:$F,1,0)</f>
        <v>210305485510EA000420</v>
      </c>
      <c r="K4851" s="43"/>
      <c r="L4851" s="44"/>
      <c r="M4851" s="45" t="s">
        <v>14815</v>
      </c>
    </row>
    <row r="4852" s="26" customFormat="1" ht="30" customHeight="1" spans="1:13">
      <c r="A4852" s="41">
        <f>IF(C4852="","",SUBTOTAL(103,$C$2:C4852))</f>
        <v>4843</v>
      </c>
      <c r="B4852" s="41">
        <v>3166</v>
      </c>
      <c r="C4852" s="41">
        <v>9322</v>
      </c>
      <c r="D4852" s="41" t="s">
        <v>45</v>
      </c>
      <c r="E4852" s="41" t="s">
        <v>1298</v>
      </c>
      <c r="F4852" s="41" t="s">
        <v>8153</v>
      </c>
      <c r="G4852" s="41" t="s">
        <v>14816</v>
      </c>
      <c r="H4852" s="41" t="s">
        <v>14817</v>
      </c>
      <c r="I4852" s="43">
        <v>12</v>
      </c>
      <c r="J4852" s="44" t="str">
        <f>VLOOKUP(G4852,[1]硬件清单!$F:$F,1,0)</f>
        <v>210305485510EA000326</v>
      </c>
      <c r="K4852" s="43"/>
      <c r="L4852" s="44"/>
      <c r="M4852" s="45" t="s">
        <v>14818</v>
      </c>
    </row>
    <row r="4853" s="26" customFormat="1" ht="30" customHeight="1" spans="1:13">
      <c r="A4853" s="41">
        <f>IF(C4853="","",SUBTOTAL(103,$C$2:C4853))</f>
        <v>4844</v>
      </c>
      <c r="B4853" s="41">
        <v>3167</v>
      </c>
      <c r="C4853" s="41">
        <v>9323</v>
      </c>
      <c r="D4853" s="41" t="s">
        <v>45</v>
      </c>
      <c r="E4853" s="41" t="s">
        <v>1298</v>
      </c>
      <c r="F4853" s="41" t="s">
        <v>8153</v>
      </c>
      <c r="G4853" s="41" t="s">
        <v>14819</v>
      </c>
      <c r="H4853" s="41" t="s">
        <v>14820</v>
      </c>
      <c r="I4853" s="43">
        <v>12</v>
      </c>
      <c r="J4853" s="44" t="str">
        <f>VLOOKUP(G4853,[1]硬件清单!$F:$F,1,0)</f>
        <v>210305485510EA000298</v>
      </c>
      <c r="K4853" s="43"/>
      <c r="L4853" s="44"/>
      <c r="M4853" s="45" t="s">
        <v>14821</v>
      </c>
    </row>
    <row r="4854" s="26" customFormat="1" ht="30" customHeight="1" spans="1:13">
      <c r="A4854" s="41">
        <f>IF(C4854="","",SUBTOTAL(103,$C$2:C4854))</f>
        <v>4845</v>
      </c>
      <c r="B4854" s="41">
        <v>3168</v>
      </c>
      <c r="C4854" s="41">
        <v>9324</v>
      </c>
      <c r="D4854" s="41" t="s">
        <v>45</v>
      </c>
      <c r="E4854" s="41" t="s">
        <v>1298</v>
      </c>
      <c r="F4854" s="41" t="s">
        <v>8153</v>
      </c>
      <c r="G4854" s="41" t="s">
        <v>14822</v>
      </c>
      <c r="H4854" s="41" t="s">
        <v>14823</v>
      </c>
      <c r="I4854" s="43">
        <v>12</v>
      </c>
      <c r="J4854" s="44" t="str">
        <f>VLOOKUP(G4854,[1]硬件清单!$F:$F,1,0)</f>
        <v>210305485510EA000342</v>
      </c>
      <c r="K4854" s="43"/>
      <c r="L4854" s="44"/>
      <c r="M4854" s="45" t="s">
        <v>14824</v>
      </c>
    </row>
    <row r="4855" s="26" customFormat="1" ht="30" customHeight="1" spans="1:13">
      <c r="A4855" s="41">
        <f>IF(C4855="","",SUBTOTAL(103,$C$2:C4855))</f>
        <v>4846</v>
      </c>
      <c r="B4855" s="41">
        <v>3169</v>
      </c>
      <c r="C4855" s="41">
        <v>9571</v>
      </c>
      <c r="D4855" s="41" t="s">
        <v>45</v>
      </c>
      <c r="E4855" s="41" t="s">
        <v>1298</v>
      </c>
      <c r="F4855" s="41" t="s">
        <v>9850</v>
      </c>
      <c r="G4855" s="41" t="s">
        <v>14825</v>
      </c>
      <c r="H4855" s="41" t="s">
        <v>14826</v>
      </c>
      <c r="I4855" s="43">
        <v>12</v>
      </c>
      <c r="J4855" s="44" t="str">
        <f>VLOOKUP(G4855,[1]硬件清单!$F:$F,1,0)</f>
        <v>2102300742N0EA000067</v>
      </c>
      <c r="K4855" s="43"/>
      <c r="L4855" s="44"/>
      <c r="M4855" s="45" t="s">
        <v>14827</v>
      </c>
    </row>
    <row r="4856" s="26" customFormat="1" ht="30" customHeight="1" spans="1:13">
      <c r="A4856" s="41">
        <f>IF(C4856="","",SUBTOTAL(103,$C$2:C4856))</f>
        <v>4847</v>
      </c>
      <c r="B4856" s="41">
        <v>3170</v>
      </c>
      <c r="C4856" s="41">
        <v>9300</v>
      </c>
      <c r="D4856" s="41" t="s">
        <v>45</v>
      </c>
      <c r="E4856" s="41" t="s">
        <v>1298</v>
      </c>
      <c r="F4856" s="41" t="s">
        <v>8153</v>
      </c>
      <c r="G4856" s="41" t="s">
        <v>14828</v>
      </c>
      <c r="H4856" s="41" t="s">
        <v>14829</v>
      </c>
      <c r="I4856" s="43">
        <v>12</v>
      </c>
      <c r="J4856" s="44" t="str">
        <f>VLOOKUP(G4856,[1]硬件清单!$F:$F,1,0)</f>
        <v>210305485510EA000609</v>
      </c>
      <c r="K4856" s="43"/>
      <c r="L4856" s="44"/>
      <c r="M4856" s="45" t="s">
        <v>14830</v>
      </c>
    </row>
    <row r="4857" s="26" customFormat="1" ht="30" customHeight="1" spans="1:13">
      <c r="A4857" s="41">
        <f>IF(C4857="","",SUBTOTAL(103,$C$2:C4857))</f>
        <v>4848</v>
      </c>
      <c r="B4857" s="41">
        <v>3171</v>
      </c>
      <c r="C4857" s="41">
        <v>9309</v>
      </c>
      <c r="D4857" s="41" t="s">
        <v>45</v>
      </c>
      <c r="E4857" s="41" t="s">
        <v>1298</v>
      </c>
      <c r="F4857" s="41" t="s">
        <v>8153</v>
      </c>
      <c r="G4857" s="41" t="s">
        <v>14831</v>
      </c>
      <c r="H4857" s="41" t="s">
        <v>14832</v>
      </c>
      <c r="I4857" s="43">
        <v>12</v>
      </c>
      <c r="J4857" s="44" t="str">
        <f>VLOOKUP(G4857,[1]硬件清单!$F:$F,1,0)</f>
        <v>210305485510EA000302</v>
      </c>
      <c r="K4857" s="43"/>
      <c r="L4857" s="44"/>
      <c r="M4857" s="45" t="s">
        <v>14833</v>
      </c>
    </row>
    <row r="4858" s="26" customFormat="1" ht="30" customHeight="1" spans="1:13">
      <c r="A4858" s="41">
        <f>IF(C4858="","",SUBTOTAL(103,$C$2:C4858))</f>
        <v>4849</v>
      </c>
      <c r="B4858" s="41">
        <v>3172</v>
      </c>
      <c r="C4858" s="41">
        <v>9310</v>
      </c>
      <c r="D4858" s="41" t="s">
        <v>45</v>
      </c>
      <c r="E4858" s="41" t="s">
        <v>1298</v>
      </c>
      <c r="F4858" s="41" t="s">
        <v>8153</v>
      </c>
      <c r="G4858" s="41" t="s">
        <v>14834</v>
      </c>
      <c r="H4858" s="41" t="s">
        <v>14835</v>
      </c>
      <c r="I4858" s="43">
        <v>12</v>
      </c>
      <c r="J4858" s="44" t="str">
        <f>VLOOKUP(G4858,[1]硬件清单!$F:$F,1,0)</f>
        <v>210305485510EA000526</v>
      </c>
      <c r="K4858" s="43"/>
      <c r="L4858" s="44"/>
      <c r="M4858" s="45" t="s">
        <v>14836</v>
      </c>
    </row>
    <row r="4859" s="26" customFormat="1" ht="30" customHeight="1" spans="1:13">
      <c r="A4859" s="41">
        <f>IF(C4859="","",SUBTOTAL(103,$C$2:C4859))</f>
        <v>4850</v>
      </c>
      <c r="B4859" s="41">
        <v>3173</v>
      </c>
      <c r="C4859" s="41">
        <v>9311</v>
      </c>
      <c r="D4859" s="41" t="s">
        <v>45</v>
      </c>
      <c r="E4859" s="41" t="s">
        <v>1298</v>
      </c>
      <c r="F4859" s="41" t="s">
        <v>8153</v>
      </c>
      <c r="G4859" s="41" t="s">
        <v>14837</v>
      </c>
      <c r="H4859" s="41" t="s">
        <v>14838</v>
      </c>
      <c r="I4859" s="43">
        <v>12</v>
      </c>
      <c r="J4859" s="44" t="str">
        <f>VLOOKUP(G4859,[1]硬件清单!$F:$F,1,0)</f>
        <v>210305485510EA000519</v>
      </c>
      <c r="K4859" s="43"/>
      <c r="L4859" s="44"/>
      <c r="M4859" s="45" t="s">
        <v>14839</v>
      </c>
    </row>
    <row r="4860" s="26" customFormat="1" ht="30" customHeight="1" spans="1:13">
      <c r="A4860" s="41">
        <f>IF(C4860="","",SUBTOTAL(103,$C$2:C4860))</f>
        <v>4851</v>
      </c>
      <c r="B4860" s="41">
        <v>3174</v>
      </c>
      <c r="C4860" s="41">
        <v>9312</v>
      </c>
      <c r="D4860" s="41" t="s">
        <v>45</v>
      </c>
      <c r="E4860" s="41" t="s">
        <v>1298</v>
      </c>
      <c r="F4860" s="41" t="s">
        <v>8153</v>
      </c>
      <c r="G4860" s="41" t="s">
        <v>14840</v>
      </c>
      <c r="H4860" s="41" t="s">
        <v>14841</v>
      </c>
      <c r="I4860" s="43">
        <v>12</v>
      </c>
      <c r="J4860" s="44" t="str">
        <f>VLOOKUP(G4860,[1]硬件清单!$F:$F,1,0)</f>
        <v>210305485510EA000525</v>
      </c>
      <c r="K4860" s="43"/>
      <c r="L4860" s="44"/>
      <c r="M4860" s="45" t="s">
        <v>14842</v>
      </c>
    </row>
    <row r="4861" s="26" customFormat="1" ht="30" customHeight="1" spans="1:13">
      <c r="A4861" s="41">
        <f>IF(C4861="","",SUBTOTAL(103,$C$2:C4861))</f>
        <v>4852</v>
      </c>
      <c r="B4861" s="41">
        <v>3175</v>
      </c>
      <c r="C4861" s="41">
        <v>9313</v>
      </c>
      <c r="D4861" s="41" t="s">
        <v>45</v>
      </c>
      <c r="E4861" s="41" t="s">
        <v>1298</v>
      </c>
      <c r="F4861" s="41" t="s">
        <v>8153</v>
      </c>
      <c r="G4861" s="41" t="s">
        <v>14843</v>
      </c>
      <c r="H4861" s="41" t="s">
        <v>14844</v>
      </c>
      <c r="I4861" s="43">
        <v>12</v>
      </c>
      <c r="J4861" s="44" t="str">
        <f>VLOOKUP(G4861,[1]硬件清单!$F:$F,1,0)</f>
        <v>210305485510EA000427</v>
      </c>
      <c r="K4861" s="43"/>
      <c r="L4861" s="44"/>
      <c r="M4861" s="45" t="s">
        <v>14845</v>
      </c>
    </row>
    <row r="4862" s="26" customFormat="1" ht="30" customHeight="1" spans="1:13">
      <c r="A4862" s="41">
        <f>IF(C4862="","",SUBTOTAL(103,$C$2:C4862))</f>
        <v>4853</v>
      </c>
      <c r="B4862" s="41">
        <v>3176</v>
      </c>
      <c r="C4862" s="41">
        <v>9314</v>
      </c>
      <c r="D4862" s="41" t="s">
        <v>45</v>
      </c>
      <c r="E4862" s="41" t="s">
        <v>1298</v>
      </c>
      <c r="F4862" s="41" t="s">
        <v>8153</v>
      </c>
      <c r="G4862" s="41" t="s">
        <v>14846</v>
      </c>
      <c r="H4862" s="41" t="s">
        <v>14847</v>
      </c>
      <c r="I4862" s="43">
        <v>12</v>
      </c>
      <c r="J4862" s="44" t="str">
        <f>VLOOKUP(G4862,[1]硬件清单!$F:$F,1,0)</f>
        <v>210305485510EA000597</v>
      </c>
      <c r="K4862" s="43"/>
      <c r="L4862" s="44"/>
      <c r="M4862" s="45" t="s">
        <v>14848</v>
      </c>
    </row>
    <row r="4863" s="26" customFormat="1" ht="30" customHeight="1" spans="1:13">
      <c r="A4863" s="41">
        <f>IF(C4863="","",SUBTOTAL(103,$C$2:C4863))</f>
        <v>4854</v>
      </c>
      <c r="B4863" s="41">
        <v>3177</v>
      </c>
      <c r="C4863" s="41">
        <v>9315</v>
      </c>
      <c r="D4863" s="41" t="s">
        <v>45</v>
      </c>
      <c r="E4863" s="41" t="s">
        <v>1298</v>
      </c>
      <c r="F4863" s="41" t="s">
        <v>8153</v>
      </c>
      <c r="G4863" s="41" t="s">
        <v>14849</v>
      </c>
      <c r="H4863" s="41" t="s">
        <v>14850</v>
      </c>
      <c r="I4863" s="43">
        <v>12</v>
      </c>
      <c r="J4863" s="44" t="str">
        <f>VLOOKUP(G4863,[1]硬件清单!$F:$F,1,0)</f>
        <v>210305485510EA000399</v>
      </c>
      <c r="K4863" s="43"/>
      <c r="L4863" s="44"/>
      <c r="M4863" s="45" t="s">
        <v>14851</v>
      </c>
    </row>
    <row r="4864" s="26" customFormat="1" ht="30" customHeight="1" spans="1:13">
      <c r="A4864" s="41">
        <f>IF(C4864="","",SUBTOTAL(103,$C$2:C4864))</f>
        <v>4855</v>
      </c>
      <c r="B4864" s="41">
        <v>3178</v>
      </c>
      <c r="C4864" s="41">
        <v>9301</v>
      </c>
      <c r="D4864" s="41" t="s">
        <v>45</v>
      </c>
      <c r="E4864" s="41" t="s">
        <v>1298</v>
      </c>
      <c r="F4864" s="41" t="s">
        <v>8153</v>
      </c>
      <c r="G4864" s="41" t="s">
        <v>14852</v>
      </c>
      <c r="H4864" s="41" t="s">
        <v>14853</v>
      </c>
      <c r="I4864" s="43">
        <v>12</v>
      </c>
      <c r="J4864" s="44" t="str">
        <f>VLOOKUP(G4864,[1]硬件清单!$F:$F,1,0)</f>
        <v>210305485510EA000468</v>
      </c>
      <c r="K4864" s="43"/>
      <c r="L4864" s="44"/>
      <c r="M4864" s="45" t="s">
        <v>14854</v>
      </c>
    </row>
    <row r="4865" s="26" customFormat="1" ht="30" customHeight="1" spans="1:13">
      <c r="A4865" s="41">
        <f>IF(C4865="","",SUBTOTAL(103,$C$2:C4865))</f>
        <v>4856</v>
      </c>
      <c r="B4865" s="41">
        <v>3179</v>
      </c>
      <c r="C4865" s="41">
        <v>9302</v>
      </c>
      <c r="D4865" s="41" t="s">
        <v>45</v>
      </c>
      <c r="E4865" s="41" t="s">
        <v>1298</v>
      </c>
      <c r="F4865" s="41" t="s">
        <v>8153</v>
      </c>
      <c r="G4865" s="41" t="s">
        <v>14855</v>
      </c>
      <c r="H4865" s="41" t="s">
        <v>14856</v>
      </c>
      <c r="I4865" s="43">
        <v>12</v>
      </c>
      <c r="J4865" s="44" t="str">
        <f>VLOOKUP(G4865,[1]硬件清单!$F:$F,1,0)</f>
        <v>210305485510EA000501</v>
      </c>
      <c r="K4865" s="43"/>
      <c r="L4865" s="44"/>
      <c r="M4865" s="45" t="s">
        <v>14857</v>
      </c>
    </row>
    <row r="4866" s="26" customFormat="1" ht="30" customHeight="1" spans="1:13">
      <c r="A4866" s="41">
        <f>IF(C4866="","",SUBTOTAL(103,$C$2:C4866))</f>
        <v>4857</v>
      </c>
      <c r="B4866" s="41">
        <v>3180</v>
      </c>
      <c r="C4866" s="41">
        <v>9303</v>
      </c>
      <c r="D4866" s="41" t="s">
        <v>45</v>
      </c>
      <c r="E4866" s="41" t="s">
        <v>1298</v>
      </c>
      <c r="F4866" s="41" t="s">
        <v>8153</v>
      </c>
      <c r="G4866" s="41" t="s">
        <v>14858</v>
      </c>
      <c r="H4866" s="41" t="s">
        <v>14859</v>
      </c>
      <c r="I4866" s="43">
        <v>12</v>
      </c>
      <c r="J4866" s="44" t="str">
        <f>VLOOKUP(G4866,[1]硬件清单!$F:$F,1,0)</f>
        <v>210305485510EA000310</v>
      </c>
      <c r="K4866" s="43"/>
      <c r="L4866" s="44"/>
      <c r="M4866" s="45" t="s">
        <v>14860</v>
      </c>
    </row>
    <row r="4867" s="26" customFormat="1" ht="30" customHeight="1" spans="1:13">
      <c r="A4867" s="41">
        <f>IF(C4867="","",SUBTOTAL(103,$C$2:C4867))</f>
        <v>4858</v>
      </c>
      <c r="B4867" s="41">
        <v>3181</v>
      </c>
      <c r="C4867" s="41">
        <v>9304</v>
      </c>
      <c r="D4867" s="41" t="s">
        <v>45</v>
      </c>
      <c r="E4867" s="41" t="s">
        <v>1298</v>
      </c>
      <c r="F4867" s="41" t="s">
        <v>8153</v>
      </c>
      <c r="G4867" s="41" t="s">
        <v>14861</v>
      </c>
      <c r="H4867" s="41" t="s">
        <v>14862</v>
      </c>
      <c r="I4867" s="43">
        <v>12</v>
      </c>
      <c r="J4867" s="44" t="str">
        <f>VLOOKUP(G4867,[1]硬件清单!$F:$F,1,0)</f>
        <v>210305485510EA000467</v>
      </c>
      <c r="K4867" s="43"/>
      <c r="L4867" s="44"/>
      <c r="M4867" s="45" t="s">
        <v>14863</v>
      </c>
    </row>
    <row r="4868" s="26" customFormat="1" ht="30" customHeight="1" spans="1:13">
      <c r="A4868" s="41">
        <f>IF(C4868="","",SUBTOTAL(103,$C$2:C4868))</f>
        <v>4859</v>
      </c>
      <c r="B4868" s="41">
        <v>3182</v>
      </c>
      <c r="C4868" s="41">
        <v>9305</v>
      </c>
      <c r="D4868" s="41" t="s">
        <v>45</v>
      </c>
      <c r="E4868" s="41" t="s">
        <v>1298</v>
      </c>
      <c r="F4868" s="41" t="s">
        <v>8153</v>
      </c>
      <c r="G4868" s="41" t="s">
        <v>14864</v>
      </c>
      <c r="H4868" s="41" t="s">
        <v>14865</v>
      </c>
      <c r="I4868" s="43">
        <v>12</v>
      </c>
      <c r="J4868" s="44" t="str">
        <f>VLOOKUP(G4868,[1]硬件清单!$F:$F,1,0)</f>
        <v>210305485510EA000539</v>
      </c>
      <c r="K4868" s="43"/>
      <c r="L4868" s="44"/>
      <c r="M4868" s="45" t="s">
        <v>14866</v>
      </c>
    </row>
    <row r="4869" s="26" customFormat="1" ht="30" customHeight="1" spans="1:13">
      <c r="A4869" s="41">
        <f>IF(C4869="","",SUBTOTAL(103,$C$2:C4869))</f>
        <v>4860</v>
      </c>
      <c r="B4869" s="41">
        <v>3183</v>
      </c>
      <c r="C4869" s="41">
        <v>9306</v>
      </c>
      <c r="D4869" s="41" t="s">
        <v>45</v>
      </c>
      <c r="E4869" s="41" t="s">
        <v>1298</v>
      </c>
      <c r="F4869" s="41" t="s">
        <v>8153</v>
      </c>
      <c r="G4869" s="41" t="s">
        <v>14867</v>
      </c>
      <c r="H4869" s="41" t="s">
        <v>14868</v>
      </c>
      <c r="I4869" s="43">
        <v>12</v>
      </c>
      <c r="J4869" s="44" t="str">
        <f>VLOOKUP(G4869,[1]硬件清单!$F:$F,1,0)</f>
        <v>210305485510EA000419</v>
      </c>
      <c r="K4869" s="43"/>
      <c r="L4869" s="44"/>
      <c r="M4869" s="45" t="s">
        <v>14869</v>
      </c>
    </row>
    <row r="4870" s="26" customFormat="1" ht="30" customHeight="1" spans="1:13">
      <c r="A4870" s="41">
        <f>IF(C4870="","",SUBTOTAL(103,$C$2:C4870))</f>
        <v>4861</v>
      </c>
      <c r="B4870" s="41">
        <v>3184</v>
      </c>
      <c r="C4870" s="41">
        <v>9307</v>
      </c>
      <c r="D4870" s="41" t="s">
        <v>45</v>
      </c>
      <c r="E4870" s="41" t="s">
        <v>1298</v>
      </c>
      <c r="F4870" s="41" t="s">
        <v>8153</v>
      </c>
      <c r="G4870" s="41" t="s">
        <v>14870</v>
      </c>
      <c r="H4870" s="41" t="s">
        <v>14871</v>
      </c>
      <c r="I4870" s="43">
        <v>12</v>
      </c>
      <c r="J4870" s="44" t="str">
        <f>VLOOKUP(G4870,[1]硬件清单!$F:$F,1,0)</f>
        <v>210305485510EA000592</v>
      </c>
      <c r="K4870" s="43"/>
      <c r="L4870" s="44"/>
      <c r="M4870" s="45" t="s">
        <v>14872</v>
      </c>
    </row>
    <row r="4871" s="26" customFormat="1" ht="30" customHeight="1" spans="1:13">
      <c r="A4871" s="41">
        <f>IF(C4871="","",SUBTOTAL(103,$C$2:C4871))</f>
        <v>4862</v>
      </c>
      <c r="B4871" s="41">
        <v>3185</v>
      </c>
      <c r="C4871" s="41">
        <v>9308</v>
      </c>
      <c r="D4871" s="41" t="s">
        <v>45</v>
      </c>
      <c r="E4871" s="41" t="s">
        <v>1298</v>
      </c>
      <c r="F4871" s="41" t="s">
        <v>8153</v>
      </c>
      <c r="G4871" s="41" t="s">
        <v>14873</v>
      </c>
      <c r="H4871" s="41" t="s">
        <v>14874</v>
      </c>
      <c r="I4871" s="43">
        <v>12</v>
      </c>
      <c r="J4871" s="44" t="str">
        <f>VLOOKUP(G4871,[1]硬件清单!$F:$F,1,0)</f>
        <v>210305485510EA000514</v>
      </c>
      <c r="K4871" s="43"/>
      <c r="L4871" s="44"/>
      <c r="M4871" s="45" t="s">
        <v>14875</v>
      </c>
    </row>
    <row r="4872" s="26" customFormat="1" ht="30" customHeight="1" spans="1:13">
      <c r="A4872" s="41">
        <f>IF(C4872="","",SUBTOTAL(103,$C$2:C4872))</f>
        <v>4863</v>
      </c>
      <c r="B4872" s="41">
        <v>3186</v>
      </c>
      <c r="C4872" s="41">
        <v>9574</v>
      </c>
      <c r="D4872" s="41" t="s">
        <v>45</v>
      </c>
      <c r="E4872" s="41" t="s">
        <v>1298</v>
      </c>
      <c r="F4872" s="41" t="s">
        <v>9850</v>
      </c>
      <c r="G4872" s="41" t="s">
        <v>14876</v>
      </c>
      <c r="H4872" s="41" t="s">
        <v>14877</v>
      </c>
      <c r="I4872" s="43">
        <v>12</v>
      </c>
      <c r="J4872" s="44" t="str">
        <f>VLOOKUP(G4872,[1]硬件清单!$F:$F,1,0)</f>
        <v>2102300742N0EA000001</v>
      </c>
      <c r="K4872" s="43"/>
      <c r="L4872" s="44"/>
      <c r="M4872" s="45" t="s">
        <v>14878</v>
      </c>
    </row>
    <row r="4873" s="26" customFormat="1" ht="30" customHeight="1" spans="1:13">
      <c r="A4873" s="41">
        <f>IF(C4873="","",SUBTOTAL(103,$C$2:C4873))</f>
        <v>4864</v>
      </c>
      <c r="B4873" s="41">
        <v>3187</v>
      </c>
      <c r="C4873" s="41">
        <v>9348</v>
      </c>
      <c r="D4873" s="41" t="s">
        <v>45</v>
      </c>
      <c r="E4873" s="41" t="s">
        <v>1298</v>
      </c>
      <c r="F4873" s="41" t="s">
        <v>8153</v>
      </c>
      <c r="G4873" s="41" t="s">
        <v>14879</v>
      </c>
      <c r="H4873" s="41" t="s">
        <v>14880</v>
      </c>
      <c r="I4873" s="43">
        <v>12</v>
      </c>
      <c r="J4873" s="44" t="str">
        <f>VLOOKUP(G4873,[1]硬件清单!$F:$F,1,0)</f>
        <v>210305485510EA000461</v>
      </c>
      <c r="K4873" s="43"/>
      <c r="L4873" s="44"/>
      <c r="M4873" s="45" t="s">
        <v>14881</v>
      </c>
    </row>
    <row r="4874" s="26" customFormat="1" ht="30" customHeight="1" spans="1:13">
      <c r="A4874" s="41">
        <f>IF(C4874="","",SUBTOTAL(103,$C$2:C4874))</f>
        <v>4865</v>
      </c>
      <c r="B4874" s="41">
        <v>3188</v>
      </c>
      <c r="C4874" s="41">
        <v>9357</v>
      </c>
      <c r="D4874" s="41" t="s">
        <v>45</v>
      </c>
      <c r="E4874" s="41" t="s">
        <v>1298</v>
      </c>
      <c r="F4874" s="41" t="s">
        <v>8153</v>
      </c>
      <c r="G4874" s="41" t="s">
        <v>14882</v>
      </c>
      <c r="H4874" s="41" t="s">
        <v>14883</v>
      </c>
      <c r="I4874" s="43">
        <v>12</v>
      </c>
      <c r="J4874" s="44" t="str">
        <f>VLOOKUP(G4874,[1]硬件清单!$F:$F,1,0)</f>
        <v>210305485510EA000595</v>
      </c>
      <c r="K4874" s="43"/>
      <c r="L4874" s="44"/>
      <c r="M4874" s="45" t="s">
        <v>14884</v>
      </c>
    </row>
    <row r="4875" s="26" customFormat="1" ht="30" customHeight="1" spans="1:13">
      <c r="A4875" s="41">
        <f>IF(C4875="","",SUBTOTAL(103,$C$2:C4875))</f>
        <v>4866</v>
      </c>
      <c r="B4875" s="41">
        <v>3189</v>
      </c>
      <c r="C4875" s="41">
        <v>9358</v>
      </c>
      <c r="D4875" s="41" t="s">
        <v>45</v>
      </c>
      <c r="E4875" s="41" t="s">
        <v>1298</v>
      </c>
      <c r="F4875" s="41" t="s">
        <v>8153</v>
      </c>
      <c r="G4875" s="41" t="s">
        <v>14885</v>
      </c>
      <c r="H4875" s="41" t="s">
        <v>14886</v>
      </c>
      <c r="I4875" s="43">
        <v>12</v>
      </c>
      <c r="J4875" s="44" t="str">
        <f>VLOOKUP(G4875,[1]硬件清单!$F:$F,1,0)</f>
        <v>210305485510EA000586</v>
      </c>
      <c r="K4875" s="43"/>
      <c r="L4875" s="44"/>
      <c r="M4875" s="45" t="s">
        <v>14887</v>
      </c>
    </row>
    <row r="4876" s="26" customFormat="1" ht="30" customHeight="1" spans="1:13">
      <c r="A4876" s="41">
        <f>IF(C4876="","",SUBTOTAL(103,$C$2:C4876))</f>
        <v>4867</v>
      </c>
      <c r="B4876" s="41">
        <v>3190</v>
      </c>
      <c r="C4876" s="41">
        <v>9359</v>
      </c>
      <c r="D4876" s="41" t="s">
        <v>45</v>
      </c>
      <c r="E4876" s="41" t="s">
        <v>1298</v>
      </c>
      <c r="F4876" s="41" t="s">
        <v>8153</v>
      </c>
      <c r="G4876" s="41" t="s">
        <v>14888</v>
      </c>
      <c r="H4876" s="41" t="s">
        <v>14889</v>
      </c>
      <c r="I4876" s="43">
        <v>12</v>
      </c>
      <c r="J4876" s="44" t="str">
        <f>VLOOKUP(G4876,[1]硬件清单!$F:$F,1,0)</f>
        <v>210305485510EA000465</v>
      </c>
      <c r="K4876" s="43"/>
      <c r="L4876" s="44"/>
      <c r="M4876" s="45" t="s">
        <v>14890</v>
      </c>
    </row>
    <row r="4877" s="26" customFormat="1" ht="30" customHeight="1" spans="1:13">
      <c r="A4877" s="41">
        <f>IF(C4877="","",SUBTOTAL(103,$C$2:C4877))</f>
        <v>4868</v>
      </c>
      <c r="B4877" s="41">
        <v>3191</v>
      </c>
      <c r="C4877" s="41">
        <v>9360</v>
      </c>
      <c r="D4877" s="41" t="s">
        <v>45</v>
      </c>
      <c r="E4877" s="41" t="s">
        <v>1298</v>
      </c>
      <c r="F4877" s="41" t="s">
        <v>8153</v>
      </c>
      <c r="G4877" s="41" t="s">
        <v>14891</v>
      </c>
      <c r="H4877" s="41" t="s">
        <v>14892</v>
      </c>
      <c r="I4877" s="43">
        <v>12</v>
      </c>
      <c r="J4877" s="44" t="str">
        <f>VLOOKUP(G4877,[1]硬件清单!$F:$F,1,0)</f>
        <v>210305485510EA000345</v>
      </c>
      <c r="K4877" s="43"/>
      <c r="L4877" s="44"/>
      <c r="M4877" s="45" t="s">
        <v>14893</v>
      </c>
    </row>
    <row r="4878" s="26" customFormat="1" ht="30" customHeight="1" spans="1:13">
      <c r="A4878" s="41">
        <f>IF(C4878="","",SUBTOTAL(103,$C$2:C4878))</f>
        <v>4869</v>
      </c>
      <c r="B4878" s="41">
        <v>3192</v>
      </c>
      <c r="C4878" s="41">
        <v>9361</v>
      </c>
      <c r="D4878" s="41" t="s">
        <v>45</v>
      </c>
      <c r="E4878" s="41" t="s">
        <v>1298</v>
      </c>
      <c r="F4878" s="41" t="s">
        <v>8153</v>
      </c>
      <c r="G4878" s="41" t="s">
        <v>14894</v>
      </c>
      <c r="H4878" s="41" t="s">
        <v>14895</v>
      </c>
      <c r="I4878" s="43">
        <v>12</v>
      </c>
      <c r="J4878" s="44" t="str">
        <f>VLOOKUP(G4878,[1]硬件清单!$F:$F,1,0)</f>
        <v>210305485510EA000574</v>
      </c>
      <c r="K4878" s="43"/>
      <c r="L4878" s="44"/>
      <c r="M4878" s="45" t="s">
        <v>14896</v>
      </c>
    </row>
    <row r="4879" s="26" customFormat="1" ht="30" customHeight="1" spans="1:13">
      <c r="A4879" s="41">
        <f>IF(C4879="","",SUBTOTAL(103,$C$2:C4879))</f>
        <v>4870</v>
      </c>
      <c r="B4879" s="41">
        <v>3193</v>
      </c>
      <c r="C4879" s="41">
        <v>9362</v>
      </c>
      <c r="D4879" s="41" t="s">
        <v>45</v>
      </c>
      <c r="E4879" s="41" t="s">
        <v>1298</v>
      </c>
      <c r="F4879" s="41" t="s">
        <v>8153</v>
      </c>
      <c r="G4879" s="41" t="s">
        <v>14897</v>
      </c>
      <c r="H4879" s="41" t="s">
        <v>14898</v>
      </c>
      <c r="I4879" s="43">
        <v>12</v>
      </c>
      <c r="J4879" s="44" t="str">
        <f>VLOOKUP(G4879,[1]硬件清单!$F:$F,1,0)</f>
        <v>210305485510EA000504</v>
      </c>
      <c r="K4879" s="43"/>
      <c r="L4879" s="44"/>
      <c r="M4879" s="45" t="s">
        <v>14899</v>
      </c>
    </row>
    <row r="4880" s="26" customFormat="1" ht="30" customHeight="1" spans="1:13">
      <c r="A4880" s="41">
        <f>IF(C4880="","",SUBTOTAL(103,$C$2:C4880))</f>
        <v>4871</v>
      </c>
      <c r="B4880" s="41">
        <v>3194</v>
      </c>
      <c r="C4880" s="41">
        <v>9363</v>
      </c>
      <c r="D4880" s="41" t="s">
        <v>45</v>
      </c>
      <c r="E4880" s="41" t="s">
        <v>1298</v>
      </c>
      <c r="F4880" s="41" t="s">
        <v>8153</v>
      </c>
      <c r="G4880" s="41" t="s">
        <v>14900</v>
      </c>
      <c r="H4880" s="41" t="s">
        <v>14901</v>
      </c>
      <c r="I4880" s="43">
        <v>12</v>
      </c>
      <c r="J4880" s="44" t="str">
        <f>VLOOKUP(G4880,[1]硬件清单!$F:$F,1,0)</f>
        <v>210305485510EA000449</v>
      </c>
      <c r="K4880" s="43"/>
      <c r="L4880" s="44"/>
      <c r="M4880" s="45" t="s">
        <v>14902</v>
      </c>
    </row>
    <row r="4881" s="26" customFormat="1" ht="30" customHeight="1" spans="1:13">
      <c r="A4881" s="41">
        <f>IF(C4881="","",SUBTOTAL(103,$C$2:C4881))</f>
        <v>4872</v>
      </c>
      <c r="B4881" s="41">
        <v>3195</v>
      </c>
      <c r="C4881" s="41">
        <v>9349</v>
      </c>
      <c r="D4881" s="41" t="s">
        <v>45</v>
      </c>
      <c r="E4881" s="41" t="s">
        <v>1298</v>
      </c>
      <c r="F4881" s="41" t="s">
        <v>8153</v>
      </c>
      <c r="G4881" s="41" t="s">
        <v>14903</v>
      </c>
      <c r="H4881" s="41" t="s">
        <v>14904</v>
      </c>
      <c r="I4881" s="43">
        <v>12</v>
      </c>
      <c r="J4881" s="44" t="str">
        <f>VLOOKUP(G4881,[1]硬件清单!$F:$F,1,0)</f>
        <v>210305485510EA000471</v>
      </c>
      <c r="K4881" s="43"/>
      <c r="L4881" s="44"/>
      <c r="M4881" s="45" t="s">
        <v>14905</v>
      </c>
    </row>
    <row r="4882" s="26" customFormat="1" ht="30" customHeight="1" spans="1:13">
      <c r="A4882" s="41">
        <f>IF(C4882="","",SUBTOTAL(103,$C$2:C4882))</f>
        <v>4873</v>
      </c>
      <c r="B4882" s="41">
        <v>3196</v>
      </c>
      <c r="C4882" s="41">
        <v>9350</v>
      </c>
      <c r="D4882" s="41" t="s">
        <v>45</v>
      </c>
      <c r="E4882" s="41" t="s">
        <v>1298</v>
      </c>
      <c r="F4882" s="41" t="s">
        <v>8153</v>
      </c>
      <c r="G4882" s="41" t="s">
        <v>14906</v>
      </c>
      <c r="H4882" s="41" t="s">
        <v>14907</v>
      </c>
      <c r="I4882" s="43">
        <v>12</v>
      </c>
      <c r="J4882" s="44" t="str">
        <f>VLOOKUP(G4882,[1]硬件清单!$F:$F,1,0)</f>
        <v>210305485510EA000447</v>
      </c>
      <c r="K4882" s="43"/>
      <c r="L4882" s="44"/>
      <c r="M4882" s="45" t="s">
        <v>14908</v>
      </c>
    </row>
    <row r="4883" s="26" customFormat="1" ht="30" customHeight="1" spans="1:13">
      <c r="A4883" s="41">
        <f>IF(C4883="","",SUBTOTAL(103,$C$2:C4883))</f>
        <v>4874</v>
      </c>
      <c r="B4883" s="41">
        <v>3197</v>
      </c>
      <c r="C4883" s="41">
        <v>9351</v>
      </c>
      <c r="D4883" s="41" t="s">
        <v>45</v>
      </c>
      <c r="E4883" s="41" t="s">
        <v>1298</v>
      </c>
      <c r="F4883" s="41" t="s">
        <v>8153</v>
      </c>
      <c r="G4883" s="41" t="s">
        <v>14909</v>
      </c>
      <c r="H4883" s="41" t="s">
        <v>14910</v>
      </c>
      <c r="I4883" s="43">
        <v>12</v>
      </c>
      <c r="J4883" s="44" t="str">
        <f>VLOOKUP(G4883,[1]硬件清单!$F:$F,1,0)</f>
        <v>210305485510EA000507</v>
      </c>
      <c r="K4883" s="43"/>
      <c r="L4883" s="44"/>
      <c r="M4883" s="45" t="s">
        <v>14911</v>
      </c>
    </row>
    <row r="4884" s="26" customFormat="1" ht="30" customHeight="1" spans="1:13">
      <c r="A4884" s="41">
        <f>IF(C4884="","",SUBTOTAL(103,$C$2:C4884))</f>
        <v>4875</v>
      </c>
      <c r="B4884" s="41">
        <v>3198</v>
      </c>
      <c r="C4884" s="41">
        <v>9352</v>
      </c>
      <c r="D4884" s="41" t="s">
        <v>45</v>
      </c>
      <c r="E4884" s="41" t="s">
        <v>1298</v>
      </c>
      <c r="F4884" s="41" t="s">
        <v>8153</v>
      </c>
      <c r="G4884" s="41" t="s">
        <v>14912</v>
      </c>
      <c r="H4884" s="41" t="s">
        <v>14913</v>
      </c>
      <c r="I4884" s="43">
        <v>12</v>
      </c>
      <c r="J4884" s="44" t="str">
        <f>VLOOKUP(G4884,[1]硬件清单!$F:$F,1,0)</f>
        <v>210305485510EA000581</v>
      </c>
      <c r="K4884" s="43"/>
      <c r="L4884" s="44"/>
      <c r="M4884" s="45" t="s">
        <v>14914</v>
      </c>
    </row>
    <row r="4885" s="26" customFormat="1" ht="30" customHeight="1" spans="1:13">
      <c r="A4885" s="41">
        <f>IF(C4885="","",SUBTOTAL(103,$C$2:C4885))</f>
        <v>4876</v>
      </c>
      <c r="B4885" s="41">
        <v>3199</v>
      </c>
      <c r="C4885" s="41">
        <v>9353</v>
      </c>
      <c r="D4885" s="41" t="s">
        <v>45</v>
      </c>
      <c r="E4885" s="41" t="s">
        <v>1298</v>
      </c>
      <c r="F4885" s="41" t="s">
        <v>8153</v>
      </c>
      <c r="G4885" s="41" t="s">
        <v>14915</v>
      </c>
      <c r="H4885" s="41" t="s">
        <v>14916</v>
      </c>
      <c r="I4885" s="43">
        <v>12</v>
      </c>
      <c r="J4885" s="44" t="str">
        <f>VLOOKUP(G4885,[1]硬件清单!$F:$F,1,0)</f>
        <v>210305485510EA000546</v>
      </c>
      <c r="K4885" s="43"/>
      <c r="L4885" s="44"/>
      <c r="M4885" s="45" t="s">
        <v>14917</v>
      </c>
    </row>
    <row r="4886" s="26" customFormat="1" ht="30" customHeight="1" spans="1:13">
      <c r="A4886" s="41">
        <f>IF(C4886="","",SUBTOTAL(103,$C$2:C4886))</f>
        <v>4877</v>
      </c>
      <c r="B4886" s="41">
        <v>3200</v>
      </c>
      <c r="C4886" s="41">
        <v>9354</v>
      </c>
      <c r="D4886" s="41" t="s">
        <v>45</v>
      </c>
      <c r="E4886" s="41" t="s">
        <v>1298</v>
      </c>
      <c r="F4886" s="41" t="s">
        <v>8153</v>
      </c>
      <c r="G4886" s="41" t="s">
        <v>14918</v>
      </c>
      <c r="H4886" s="41" t="s">
        <v>14919</v>
      </c>
      <c r="I4886" s="43">
        <v>12</v>
      </c>
      <c r="J4886" s="44" t="str">
        <f>VLOOKUP(G4886,[1]硬件清单!$F:$F,1,0)</f>
        <v>210305485510EA000324</v>
      </c>
      <c r="K4886" s="43"/>
      <c r="L4886" s="44"/>
      <c r="M4886" s="45" t="s">
        <v>14920</v>
      </c>
    </row>
    <row r="4887" s="26" customFormat="1" ht="30" customHeight="1" spans="1:13">
      <c r="A4887" s="41">
        <f>IF(C4887="","",SUBTOTAL(103,$C$2:C4887))</f>
        <v>4878</v>
      </c>
      <c r="B4887" s="41">
        <v>3201</v>
      </c>
      <c r="C4887" s="41">
        <v>9355</v>
      </c>
      <c r="D4887" s="41" t="s">
        <v>45</v>
      </c>
      <c r="E4887" s="41" t="s">
        <v>1298</v>
      </c>
      <c r="F4887" s="41" t="s">
        <v>8153</v>
      </c>
      <c r="G4887" s="41" t="s">
        <v>14921</v>
      </c>
      <c r="H4887" s="41" t="s">
        <v>14922</v>
      </c>
      <c r="I4887" s="43">
        <v>12</v>
      </c>
      <c r="J4887" s="44" t="str">
        <f>VLOOKUP(G4887,[1]硬件清单!$F:$F,1,0)</f>
        <v>210305485510EA000415</v>
      </c>
      <c r="K4887" s="43"/>
      <c r="L4887" s="44"/>
      <c r="M4887" s="45" t="s">
        <v>14923</v>
      </c>
    </row>
    <row r="4888" s="26" customFormat="1" ht="30" customHeight="1" spans="1:13">
      <c r="A4888" s="41">
        <f>IF(C4888="","",SUBTOTAL(103,$C$2:C4888))</f>
        <v>4879</v>
      </c>
      <c r="B4888" s="41">
        <v>3202</v>
      </c>
      <c r="C4888" s="41">
        <v>9356</v>
      </c>
      <c r="D4888" s="41" t="s">
        <v>45</v>
      </c>
      <c r="E4888" s="41" t="s">
        <v>1298</v>
      </c>
      <c r="F4888" s="41" t="s">
        <v>8153</v>
      </c>
      <c r="G4888" s="41" t="s">
        <v>14924</v>
      </c>
      <c r="H4888" s="41" t="s">
        <v>14925</v>
      </c>
      <c r="I4888" s="43">
        <v>12</v>
      </c>
      <c r="J4888" s="44" t="str">
        <f>VLOOKUP(G4888,[1]硬件清单!$F:$F,1,0)</f>
        <v>210305485510EA000325</v>
      </c>
      <c r="K4888" s="43"/>
      <c r="L4888" s="44"/>
      <c r="M4888" s="45" t="s">
        <v>14926</v>
      </c>
    </row>
    <row r="4889" s="26" customFormat="1" ht="30" customHeight="1" spans="1:13">
      <c r="A4889" s="41">
        <f>IF(C4889="","",SUBTOTAL(103,$C$2:C4889))</f>
        <v>4880</v>
      </c>
      <c r="B4889" s="41">
        <v>3203</v>
      </c>
      <c r="C4889" s="41">
        <v>9573</v>
      </c>
      <c r="D4889" s="41" t="s">
        <v>45</v>
      </c>
      <c r="E4889" s="41" t="s">
        <v>1298</v>
      </c>
      <c r="F4889" s="41" t="s">
        <v>9850</v>
      </c>
      <c r="G4889" s="41" t="s">
        <v>14927</v>
      </c>
      <c r="H4889" s="41" t="s">
        <v>14928</v>
      </c>
      <c r="I4889" s="43">
        <v>12</v>
      </c>
      <c r="J4889" s="44" t="str">
        <f>VLOOKUP(G4889,[1]硬件清单!$F:$F,1,0)</f>
        <v>2102300742N0EA000061</v>
      </c>
      <c r="K4889" s="43"/>
      <c r="L4889" s="44"/>
      <c r="M4889" s="45" t="s">
        <v>14929</v>
      </c>
    </row>
    <row r="4890" s="26" customFormat="1" ht="30" customHeight="1" spans="1:13">
      <c r="A4890" s="41">
        <f>IF(C4890="","",SUBTOTAL(103,$C$2:C4890))</f>
        <v>4881</v>
      </c>
      <c r="B4890" s="41">
        <v>3204</v>
      </c>
      <c r="C4890" s="41">
        <v>9332</v>
      </c>
      <c r="D4890" s="41" t="s">
        <v>45</v>
      </c>
      <c r="E4890" s="41" t="s">
        <v>1298</v>
      </c>
      <c r="F4890" s="41" t="s">
        <v>8153</v>
      </c>
      <c r="G4890" s="41" t="s">
        <v>14930</v>
      </c>
      <c r="H4890" s="41" t="s">
        <v>14931</v>
      </c>
      <c r="I4890" s="43">
        <v>12</v>
      </c>
      <c r="J4890" s="44" t="str">
        <f>VLOOKUP(G4890,[1]硬件清单!$F:$F,1,0)</f>
        <v>210305485510EA000402</v>
      </c>
      <c r="K4890" s="43"/>
      <c r="L4890" s="44"/>
      <c r="M4890" s="45" t="s">
        <v>14932</v>
      </c>
    </row>
    <row r="4891" s="26" customFormat="1" ht="30" customHeight="1" spans="1:13">
      <c r="A4891" s="41">
        <f>IF(C4891="","",SUBTOTAL(103,$C$2:C4891))</f>
        <v>4882</v>
      </c>
      <c r="B4891" s="41">
        <v>3205</v>
      </c>
      <c r="C4891" s="41">
        <v>9341</v>
      </c>
      <c r="D4891" s="41" t="s">
        <v>45</v>
      </c>
      <c r="E4891" s="41" t="s">
        <v>1298</v>
      </c>
      <c r="F4891" s="41" t="s">
        <v>8153</v>
      </c>
      <c r="G4891" s="41" t="s">
        <v>14933</v>
      </c>
      <c r="H4891" s="41" t="s">
        <v>14934</v>
      </c>
      <c r="I4891" s="43">
        <v>12</v>
      </c>
      <c r="J4891" s="44" t="str">
        <f>VLOOKUP(G4891,[1]硬件清单!$F:$F,1,0)</f>
        <v>210305485510EA000424</v>
      </c>
      <c r="K4891" s="43"/>
      <c r="L4891" s="44"/>
      <c r="M4891" s="45" t="s">
        <v>14935</v>
      </c>
    </row>
    <row r="4892" s="26" customFormat="1" ht="30" customHeight="1" spans="1:13">
      <c r="A4892" s="41">
        <f>IF(C4892="","",SUBTOTAL(103,$C$2:C4892))</f>
        <v>4883</v>
      </c>
      <c r="B4892" s="41">
        <v>3206</v>
      </c>
      <c r="C4892" s="41">
        <v>9342</v>
      </c>
      <c r="D4892" s="41" t="s">
        <v>45</v>
      </c>
      <c r="E4892" s="41" t="s">
        <v>1298</v>
      </c>
      <c r="F4892" s="41" t="s">
        <v>8153</v>
      </c>
      <c r="G4892" s="41" t="s">
        <v>14936</v>
      </c>
      <c r="H4892" s="41" t="s">
        <v>14937</v>
      </c>
      <c r="I4892" s="43">
        <v>12</v>
      </c>
      <c r="J4892" s="44" t="str">
        <f>VLOOKUP(G4892,[1]硬件清单!$F:$F,1,0)</f>
        <v>210305485510EA000582</v>
      </c>
      <c r="K4892" s="43"/>
      <c r="L4892" s="44"/>
      <c r="M4892" s="45" t="s">
        <v>14938</v>
      </c>
    </row>
    <row r="4893" s="26" customFormat="1" ht="30" customHeight="1" spans="1:13">
      <c r="A4893" s="41">
        <f>IF(C4893="","",SUBTOTAL(103,$C$2:C4893))</f>
        <v>4884</v>
      </c>
      <c r="B4893" s="41">
        <v>3207</v>
      </c>
      <c r="C4893" s="41">
        <v>9343</v>
      </c>
      <c r="D4893" s="41" t="s">
        <v>45</v>
      </c>
      <c r="E4893" s="41" t="s">
        <v>1298</v>
      </c>
      <c r="F4893" s="41" t="s">
        <v>8153</v>
      </c>
      <c r="G4893" s="41" t="s">
        <v>14939</v>
      </c>
      <c r="H4893" s="41" t="s">
        <v>14940</v>
      </c>
      <c r="I4893" s="43">
        <v>12</v>
      </c>
      <c r="J4893" s="44" t="str">
        <f>VLOOKUP(G4893,[1]硬件清单!$F:$F,1,0)</f>
        <v>210305485510EA000330</v>
      </c>
      <c r="K4893" s="43"/>
      <c r="L4893" s="44"/>
      <c r="M4893" s="45" t="s">
        <v>14941</v>
      </c>
    </row>
    <row r="4894" s="26" customFormat="1" ht="30" customHeight="1" spans="1:13">
      <c r="A4894" s="41">
        <f>IF(C4894="","",SUBTOTAL(103,$C$2:C4894))</f>
        <v>4885</v>
      </c>
      <c r="B4894" s="41">
        <v>3208</v>
      </c>
      <c r="C4894" s="41">
        <v>9344</v>
      </c>
      <c r="D4894" s="41" t="s">
        <v>45</v>
      </c>
      <c r="E4894" s="41" t="s">
        <v>1298</v>
      </c>
      <c r="F4894" s="41" t="s">
        <v>8153</v>
      </c>
      <c r="G4894" s="41" t="s">
        <v>14942</v>
      </c>
      <c r="H4894" s="41" t="s">
        <v>14943</v>
      </c>
      <c r="I4894" s="43">
        <v>12</v>
      </c>
      <c r="J4894" s="44" t="str">
        <f>VLOOKUP(G4894,[1]硬件清单!$F:$F,1,0)</f>
        <v>210305485510EA000331</v>
      </c>
      <c r="K4894" s="43"/>
      <c r="L4894" s="44"/>
      <c r="M4894" s="45" t="s">
        <v>14944</v>
      </c>
    </row>
    <row r="4895" s="26" customFormat="1" ht="30" customHeight="1" spans="1:13">
      <c r="A4895" s="41">
        <f>IF(C4895="","",SUBTOTAL(103,$C$2:C4895))</f>
        <v>4886</v>
      </c>
      <c r="B4895" s="41">
        <v>3209</v>
      </c>
      <c r="C4895" s="41">
        <v>9345</v>
      </c>
      <c r="D4895" s="41" t="s">
        <v>45</v>
      </c>
      <c r="E4895" s="41" t="s">
        <v>1298</v>
      </c>
      <c r="F4895" s="41" t="s">
        <v>8153</v>
      </c>
      <c r="G4895" s="41" t="s">
        <v>14945</v>
      </c>
      <c r="H4895" s="41" t="s">
        <v>14946</v>
      </c>
      <c r="I4895" s="43">
        <v>12</v>
      </c>
      <c r="J4895" s="44" t="str">
        <f>VLOOKUP(G4895,[1]硬件清单!$F:$F,1,0)</f>
        <v>210305485510EA000455</v>
      </c>
      <c r="K4895" s="43"/>
      <c r="L4895" s="44"/>
      <c r="M4895" s="45" t="s">
        <v>14947</v>
      </c>
    </row>
    <row r="4896" s="26" customFormat="1" ht="30" customHeight="1" spans="1:13">
      <c r="A4896" s="41">
        <f>IF(C4896="","",SUBTOTAL(103,$C$2:C4896))</f>
        <v>4887</v>
      </c>
      <c r="B4896" s="41">
        <v>3210</v>
      </c>
      <c r="C4896" s="41">
        <v>9346</v>
      </c>
      <c r="D4896" s="41" t="s">
        <v>45</v>
      </c>
      <c r="E4896" s="41" t="s">
        <v>1298</v>
      </c>
      <c r="F4896" s="41" t="s">
        <v>8153</v>
      </c>
      <c r="G4896" s="41" t="s">
        <v>14948</v>
      </c>
      <c r="H4896" s="41" t="s">
        <v>14949</v>
      </c>
      <c r="I4896" s="43">
        <v>12</v>
      </c>
      <c r="J4896" s="44" t="str">
        <f>VLOOKUP(G4896,[1]硬件清单!$F:$F,1,0)</f>
        <v>210305485510EA000596</v>
      </c>
      <c r="K4896" s="43"/>
      <c r="L4896" s="44"/>
      <c r="M4896" s="45" t="s">
        <v>14950</v>
      </c>
    </row>
    <row r="4897" s="26" customFormat="1" ht="30" customHeight="1" spans="1:13">
      <c r="A4897" s="41">
        <f>IF(C4897="","",SUBTOTAL(103,$C$2:C4897))</f>
        <v>4888</v>
      </c>
      <c r="B4897" s="41">
        <v>3211</v>
      </c>
      <c r="C4897" s="41">
        <v>9347</v>
      </c>
      <c r="D4897" s="41" t="s">
        <v>45</v>
      </c>
      <c r="E4897" s="41" t="s">
        <v>1298</v>
      </c>
      <c r="F4897" s="41" t="s">
        <v>8153</v>
      </c>
      <c r="G4897" s="41" t="s">
        <v>14951</v>
      </c>
      <c r="H4897" s="41" t="s">
        <v>14952</v>
      </c>
      <c r="I4897" s="43">
        <v>12</v>
      </c>
      <c r="J4897" s="44" t="str">
        <f>VLOOKUP(G4897,[1]硬件清单!$F:$F,1,0)</f>
        <v>210305485510EA000304</v>
      </c>
      <c r="K4897" s="43"/>
      <c r="L4897" s="44"/>
      <c r="M4897" s="45" t="s">
        <v>14953</v>
      </c>
    </row>
    <row r="4898" s="26" customFormat="1" ht="30" customHeight="1" spans="1:13">
      <c r="A4898" s="41">
        <f>IF(C4898="","",SUBTOTAL(103,$C$2:C4898))</f>
        <v>4889</v>
      </c>
      <c r="B4898" s="41">
        <v>3212</v>
      </c>
      <c r="C4898" s="41">
        <v>9333</v>
      </c>
      <c r="D4898" s="41" t="s">
        <v>45</v>
      </c>
      <c r="E4898" s="41" t="s">
        <v>1298</v>
      </c>
      <c r="F4898" s="41" t="s">
        <v>8153</v>
      </c>
      <c r="G4898" s="41" t="s">
        <v>14954</v>
      </c>
      <c r="H4898" s="41" t="s">
        <v>14955</v>
      </c>
      <c r="I4898" s="43">
        <v>12</v>
      </c>
      <c r="J4898" s="44" t="str">
        <f>VLOOKUP(G4898,[1]硬件清单!$F:$F,1,0)</f>
        <v>210305485510EA000430</v>
      </c>
      <c r="K4898" s="43"/>
      <c r="L4898" s="44"/>
      <c r="M4898" s="45" t="s">
        <v>14956</v>
      </c>
    </row>
    <row r="4899" s="26" customFormat="1" ht="30" customHeight="1" spans="1:13">
      <c r="A4899" s="41">
        <f>IF(C4899="","",SUBTOTAL(103,$C$2:C4899))</f>
        <v>4890</v>
      </c>
      <c r="B4899" s="41">
        <v>3213</v>
      </c>
      <c r="C4899" s="41">
        <v>9334</v>
      </c>
      <c r="D4899" s="41" t="s">
        <v>45</v>
      </c>
      <c r="E4899" s="41" t="s">
        <v>1298</v>
      </c>
      <c r="F4899" s="41" t="s">
        <v>8153</v>
      </c>
      <c r="G4899" s="41" t="s">
        <v>14957</v>
      </c>
      <c r="H4899" s="41" t="s">
        <v>14958</v>
      </c>
      <c r="I4899" s="43">
        <v>12</v>
      </c>
      <c r="J4899" s="44" t="str">
        <f>VLOOKUP(G4899,[1]硬件清单!$F:$F,1,0)</f>
        <v>210305485510EA000538</v>
      </c>
      <c r="K4899" s="43"/>
      <c r="L4899" s="44"/>
      <c r="M4899" s="45" t="s">
        <v>14959</v>
      </c>
    </row>
    <row r="4900" s="26" customFormat="1" ht="30" customHeight="1" spans="1:13">
      <c r="A4900" s="41">
        <f>IF(C4900="","",SUBTOTAL(103,$C$2:C4900))</f>
        <v>4891</v>
      </c>
      <c r="B4900" s="41">
        <v>3214</v>
      </c>
      <c r="C4900" s="41">
        <v>9335</v>
      </c>
      <c r="D4900" s="41" t="s">
        <v>45</v>
      </c>
      <c r="E4900" s="41" t="s">
        <v>1298</v>
      </c>
      <c r="F4900" s="41" t="s">
        <v>8153</v>
      </c>
      <c r="G4900" s="41" t="s">
        <v>14960</v>
      </c>
      <c r="H4900" s="41" t="s">
        <v>14961</v>
      </c>
      <c r="I4900" s="43">
        <v>12</v>
      </c>
      <c r="J4900" s="44" t="str">
        <f>VLOOKUP(G4900,[1]硬件清单!$F:$F,1,0)</f>
        <v>210305485510EA000307</v>
      </c>
      <c r="K4900" s="43"/>
      <c r="L4900" s="44"/>
      <c r="M4900" s="45" t="s">
        <v>14962</v>
      </c>
    </row>
    <row r="4901" s="26" customFormat="1" ht="30" customHeight="1" spans="1:13">
      <c r="A4901" s="41">
        <f>IF(C4901="","",SUBTOTAL(103,$C$2:C4901))</f>
        <v>4892</v>
      </c>
      <c r="B4901" s="41">
        <v>3215</v>
      </c>
      <c r="C4901" s="41">
        <v>9336</v>
      </c>
      <c r="D4901" s="41" t="s">
        <v>45</v>
      </c>
      <c r="E4901" s="41" t="s">
        <v>1298</v>
      </c>
      <c r="F4901" s="41" t="s">
        <v>8153</v>
      </c>
      <c r="G4901" s="41" t="s">
        <v>14963</v>
      </c>
      <c r="H4901" s="41" t="s">
        <v>14964</v>
      </c>
      <c r="I4901" s="43">
        <v>12</v>
      </c>
      <c r="J4901" s="44" t="str">
        <f>VLOOKUP(G4901,[1]硬件清单!$F:$F,1,0)</f>
        <v>210305485510EA000599</v>
      </c>
      <c r="K4901" s="43"/>
      <c r="L4901" s="44"/>
      <c r="M4901" s="45" t="s">
        <v>14965</v>
      </c>
    </row>
    <row r="4902" s="26" customFormat="1" ht="30" customHeight="1" spans="1:13">
      <c r="A4902" s="41">
        <f>IF(C4902="","",SUBTOTAL(103,$C$2:C4902))</f>
        <v>4893</v>
      </c>
      <c r="B4902" s="41">
        <v>3216</v>
      </c>
      <c r="C4902" s="41">
        <v>9337</v>
      </c>
      <c r="D4902" s="41" t="s">
        <v>45</v>
      </c>
      <c r="E4902" s="41" t="s">
        <v>1298</v>
      </c>
      <c r="F4902" s="41" t="s">
        <v>8153</v>
      </c>
      <c r="G4902" s="41" t="s">
        <v>14966</v>
      </c>
      <c r="H4902" s="41" t="s">
        <v>14967</v>
      </c>
      <c r="I4902" s="43">
        <v>12</v>
      </c>
      <c r="J4902" s="44" t="str">
        <f>VLOOKUP(G4902,[1]硬件清单!$F:$F,1,0)</f>
        <v>210305485510EA000508</v>
      </c>
      <c r="K4902" s="43"/>
      <c r="L4902" s="44"/>
      <c r="M4902" s="45" t="s">
        <v>14968</v>
      </c>
    </row>
    <row r="4903" s="26" customFormat="1" ht="30" customHeight="1" spans="1:13">
      <c r="A4903" s="41">
        <f>IF(C4903="","",SUBTOTAL(103,$C$2:C4903))</f>
        <v>4894</v>
      </c>
      <c r="B4903" s="41">
        <v>3217</v>
      </c>
      <c r="C4903" s="41">
        <v>9338</v>
      </c>
      <c r="D4903" s="41" t="s">
        <v>45</v>
      </c>
      <c r="E4903" s="41" t="s">
        <v>1298</v>
      </c>
      <c r="F4903" s="41" t="s">
        <v>8153</v>
      </c>
      <c r="G4903" s="41" t="s">
        <v>14969</v>
      </c>
      <c r="H4903" s="41" t="s">
        <v>14970</v>
      </c>
      <c r="I4903" s="43">
        <v>12</v>
      </c>
      <c r="J4903" s="44" t="str">
        <f>VLOOKUP(G4903,[1]硬件清单!$F:$F,1,0)</f>
        <v>210305485510EA000333</v>
      </c>
      <c r="K4903" s="43"/>
      <c r="L4903" s="44"/>
      <c r="M4903" s="45" t="s">
        <v>14971</v>
      </c>
    </row>
    <row r="4904" s="26" customFormat="1" ht="30" customHeight="1" spans="1:13">
      <c r="A4904" s="41">
        <f>IF(C4904="","",SUBTOTAL(103,$C$2:C4904))</f>
        <v>4895</v>
      </c>
      <c r="B4904" s="41">
        <v>3218</v>
      </c>
      <c r="C4904" s="41">
        <v>9339</v>
      </c>
      <c r="D4904" s="41" t="s">
        <v>45</v>
      </c>
      <c r="E4904" s="41" t="s">
        <v>1298</v>
      </c>
      <c r="F4904" s="41" t="s">
        <v>8153</v>
      </c>
      <c r="G4904" s="41" t="s">
        <v>14972</v>
      </c>
      <c r="H4904" s="41" t="s">
        <v>14973</v>
      </c>
      <c r="I4904" s="43">
        <v>12</v>
      </c>
      <c r="J4904" s="44" t="str">
        <f>VLOOKUP(G4904,[1]硬件清单!$F:$F,1,0)</f>
        <v>210305485510EA000437</v>
      </c>
      <c r="K4904" s="43"/>
      <c r="L4904" s="44"/>
      <c r="M4904" s="45" t="s">
        <v>14974</v>
      </c>
    </row>
    <row r="4905" s="26" customFormat="1" ht="30" customHeight="1" spans="1:13">
      <c r="A4905" s="41">
        <f>IF(C4905="","",SUBTOTAL(103,$C$2:C4905))</f>
        <v>4896</v>
      </c>
      <c r="B4905" s="41">
        <v>3219</v>
      </c>
      <c r="C4905" s="41">
        <v>9340</v>
      </c>
      <c r="D4905" s="41" t="s">
        <v>45</v>
      </c>
      <c r="E4905" s="41" t="s">
        <v>1298</v>
      </c>
      <c r="F4905" s="41" t="s">
        <v>8153</v>
      </c>
      <c r="G4905" s="41" t="s">
        <v>14975</v>
      </c>
      <c r="H4905" s="41" t="s">
        <v>14976</v>
      </c>
      <c r="I4905" s="43">
        <v>12</v>
      </c>
      <c r="J4905" s="44" t="str">
        <f>VLOOKUP(G4905,[1]硬件清单!$F:$F,1,0)</f>
        <v>210305485510EA000594</v>
      </c>
      <c r="K4905" s="43"/>
      <c r="L4905" s="44"/>
      <c r="M4905" s="45" t="s">
        <v>14977</v>
      </c>
    </row>
    <row r="4906" s="26" customFormat="1" ht="30" customHeight="1" spans="1:13">
      <c r="A4906" s="41">
        <f>IF(C4906="","",SUBTOTAL(103,$C$2:C4906))</f>
        <v>4897</v>
      </c>
      <c r="B4906" s="41">
        <v>3220</v>
      </c>
      <c r="C4906" s="41">
        <v>9576</v>
      </c>
      <c r="D4906" s="41" t="s">
        <v>45</v>
      </c>
      <c r="E4906" s="41" t="s">
        <v>1298</v>
      </c>
      <c r="F4906" s="41" t="s">
        <v>9850</v>
      </c>
      <c r="G4906" s="41" t="s">
        <v>14978</v>
      </c>
      <c r="H4906" s="41" t="s">
        <v>14979</v>
      </c>
      <c r="I4906" s="43">
        <v>12</v>
      </c>
      <c r="J4906" s="44" t="str">
        <f>VLOOKUP(G4906,[1]硬件清单!$F:$F,1,0)</f>
        <v>2102300742N0EA000063</v>
      </c>
      <c r="K4906" s="43"/>
      <c r="L4906" s="44"/>
      <c r="M4906" s="45" t="s">
        <v>14980</v>
      </c>
    </row>
    <row r="4907" s="26" customFormat="1" ht="30" customHeight="1" spans="1:13">
      <c r="A4907" s="41">
        <f>IF(C4907="","",SUBTOTAL(103,$C$2:C4907))</f>
        <v>4898</v>
      </c>
      <c r="B4907" s="41">
        <v>3221</v>
      </c>
      <c r="C4907" s="41">
        <v>9377</v>
      </c>
      <c r="D4907" s="41" t="s">
        <v>45</v>
      </c>
      <c r="E4907" s="41" t="s">
        <v>1298</v>
      </c>
      <c r="F4907" s="41" t="s">
        <v>8153</v>
      </c>
      <c r="G4907" s="41" t="s">
        <v>14981</v>
      </c>
      <c r="H4907" s="41" t="s">
        <v>14982</v>
      </c>
      <c r="I4907" s="43">
        <v>12</v>
      </c>
      <c r="J4907" s="44" t="str">
        <f>VLOOKUP(G4907,[1]硬件清单!$F:$F,1,0)</f>
        <v>210305485510EA000585</v>
      </c>
      <c r="K4907" s="43"/>
      <c r="L4907" s="44"/>
      <c r="M4907" s="45" t="s">
        <v>14983</v>
      </c>
    </row>
    <row r="4908" s="26" customFormat="1" ht="30" customHeight="1" spans="1:13">
      <c r="A4908" s="41">
        <f>IF(C4908="","",SUBTOTAL(103,$C$2:C4908))</f>
        <v>4899</v>
      </c>
      <c r="B4908" s="41">
        <v>3222</v>
      </c>
      <c r="C4908" s="41">
        <v>9386</v>
      </c>
      <c r="D4908" s="41" t="s">
        <v>45</v>
      </c>
      <c r="E4908" s="41" t="s">
        <v>1298</v>
      </c>
      <c r="F4908" s="41" t="s">
        <v>8153</v>
      </c>
      <c r="G4908" s="41" t="s">
        <v>14984</v>
      </c>
      <c r="H4908" s="41" t="s">
        <v>14985</v>
      </c>
      <c r="I4908" s="43">
        <v>12</v>
      </c>
      <c r="J4908" s="44" t="str">
        <f>VLOOKUP(G4908,[1]硬件清单!$F:$F,1,0)</f>
        <v>210305485510EA000338</v>
      </c>
      <c r="K4908" s="43"/>
      <c r="L4908" s="44"/>
      <c r="M4908" s="45" t="s">
        <v>14986</v>
      </c>
    </row>
    <row r="4909" s="26" customFormat="1" ht="30" customHeight="1" spans="1:13">
      <c r="A4909" s="41">
        <f>IF(C4909="","",SUBTOTAL(103,$C$2:C4909))</f>
        <v>4900</v>
      </c>
      <c r="B4909" s="41">
        <v>3223</v>
      </c>
      <c r="C4909" s="41">
        <v>9387</v>
      </c>
      <c r="D4909" s="41" t="s">
        <v>45</v>
      </c>
      <c r="E4909" s="41" t="s">
        <v>1298</v>
      </c>
      <c r="F4909" s="41" t="s">
        <v>8153</v>
      </c>
      <c r="G4909" s="41" t="s">
        <v>14987</v>
      </c>
      <c r="H4909" s="41" t="s">
        <v>14988</v>
      </c>
      <c r="I4909" s="43">
        <v>12</v>
      </c>
      <c r="J4909" s="44" t="str">
        <f>VLOOKUP(G4909,[1]硬件清单!$F:$F,1,0)</f>
        <v>210305485510EA000411</v>
      </c>
      <c r="K4909" s="43"/>
      <c r="L4909" s="44"/>
      <c r="M4909" s="45" t="s">
        <v>14989</v>
      </c>
    </row>
    <row r="4910" s="26" customFormat="1" ht="30" customHeight="1" spans="1:13">
      <c r="A4910" s="41">
        <f>IF(C4910="","",SUBTOTAL(103,$C$2:C4910))</f>
        <v>4901</v>
      </c>
      <c r="B4910" s="41">
        <v>3224</v>
      </c>
      <c r="C4910" s="41">
        <v>9388</v>
      </c>
      <c r="D4910" s="41" t="s">
        <v>45</v>
      </c>
      <c r="E4910" s="41" t="s">
        <v>1298</v>
      </c>
      <c r="F4910" s="41" t="s">
        <v>8153</v>
      </c>
      <c r="G4910" s="41" t="s">
        <v>14987</v>
      </c>
      <c r="H4910" s="41" t="s">
        <v>14990</v>
      </c>
      <c r="I4910" s="43">
        <v>12</v>
      </c>
      <c r="J4910" s="44" t="str">
        <f>VLOOKUP(G4910,[1]硬件清单!$F:$F,1,0)</f>
        <v>210305485510EA000411</v>
      </c>
      <c r="K4910" s="43"/>
      <c r="L4910" s="44"/>
      <c r="M4910" s="45" t="s">
        <v>14991</v>
      </c>
    </row>
    <row r="4911" s="26" customFormat="1" ht="30" customHeight="1" spans="1:13">
      <c r="A4911" s="41">
        <f>IF(C4911="","",SUBTOTAL(103,$C$2:C4911))</f>
        <v>4902</v>
      </c>
      <c r="B4911" s="41">
        <v>3225</v>
      </c>
      <c r="C4911" s="41">
        <v>9389</v>
      </c>
      <c r="D4911" s="41" t="s">
        <v>45</v>
      </c>
      <c r="E4911" s="41" t="s">
        <v>1298</v>
      </c>
      <c r="F4911" s="41" t="s">
        <v>8153</v>
      </c>
      <c r="G4911" s="41" t="s">
        <v>14992</v>
      </c>
      <c r="H4911" s="41" t="s">
        <v>14993</v>
      </c>
      <c r="I4911" s="43">
        <v>12</v>
      </c>
      <c r="J4911" s="44" t="str">
        <f>VLOOKUP(G4911,[1]硬件清单!$F:$F,1,0)</f>
        <v>210305485510EA000297</v>
      </c>
      <c r="K4911" s="43"/>
      <c r="L4911" s="44"/>
      <c r="M4911" s="45" t="s">
        <v>14994</v>
      </c>
    </row>
    <row r="4912" s="26" customFormat="1" ht="30" customHeight="1" spans="1:13">
      <c r="A4912" s="41">
        <f>IF(C4912="","",SUBTOTAL(103,$C$2:C4912))</f>
        <v>4903</v>
      </c>
      <c r="B4912" s="41">
        <v>3226</v>
      </c>
      <c r="C4912" s="41">
        <v>9378</v>
      </c>
      <c r="D4912" s="41" t="s">
        <v>45</v>
      </c>
      <c r="E4912" s="41" t="s">
        <v>1298</v>
      </c>
      <c r="F4912" s="41" t="s">
        <v>8153</v>
      </c>
      <c r="G4912" s="41" t="s">
        <v>14995</v>
      </c>
      <c r="H4912" s="41" t="s">
        <v>14996</v>
      </c>
      <c r="I4912" s="43">
        <v>12</v>
      </c>
      <c r="J4912" s="44" t="str">
        <f>VLOOKUP(G4912,[1]硬件清单!$F:$F,1,0)</f>
        <v>210305485510EA000400</v>
      </c>
      <c r="K4912" s="43"/>
      <c r="L4912" s="44"/>
      <c r="M4912" s="45" t="s">
        <v>14997</v>
      </c>
    </row>
    <row r="4913" s="26" customFormat="1" ht="30" customHeight="1" spans="1:13">
      <c r="A4913" s="41">
        <f>IF(C4913="","",SUBTOTAL(103,$C$2:C4913))</f>
        <v>4904</v>
      </c>
      <c r="B4913" s="41">
        <v>3227</v>
      </c>
      <c r="C4913" s="41">
        <v>9379</v>
      </c>
      <c r="D4913" s="41" t="s">
        <v>45</v>
      </c>
      <c r="E4913" s="41" t="s">
        <v>1298</v>
      </c>
      <c r="F4913" s="41" t="s">
        <v>8153</v>
      </c>
      <c r="G4913" s="41" t="s">
        <v>14998</v>
      </c>
      <c r="H4913" s="41" t="s">
        <v>14999</v>
      </c>
      <c r="I4913" s="43">
        <v>12</v>
      </c>
      <c r="J4913" s="44" t="str">
        <f>VLOOKUP(G4913,[1]硬件清单!$F:$F,1,0)</f>
        <v>210305485510EA000520</v>
      </c>
      <c r="K4913" s="43"/>
      <c r="L4913" s="44"/>
      <c r="M4913" s="45" t="s">
        <v>15000</v>
      </c>
    </row>
    <row r="4914" s="26" customFormat="1" ht="30" customHeight="1" spans="1:13">
      <c r="A4914" s="41">
        <f>IF(C4914="","",SUBTOTAL(103,$C$2:C4914))</f>
        <v>4905</v>
      </c>
      <c r="B4914" s="41">
        <v>3228</v>
      </c>
      <c r="C4914" s="41">
        <v>9380</v>
      </c>
      <c r="D4914" s="41" t="s">
        <v>45</v>
      </c>
      <c r="E4914" s="41" t="s">
        <v>1298</v>
      </c>
      <c r="F4914" s="41" t="s">
        <v>8153</v>
      </c>
      <c r="G4914" s="41" t="s">
        <v>15001</v>
      </c>
      <c r="H4914" s="41" t="s">
        <v>15002</v>
      </c>
      <c r="I4914" s="43">
        <v>12</v>
      </c>
      <c r="J4914" s="44" t="str">
        <f>VLOOKUP(G4914,[1]硬件清单!$F:$F,1,0)</f>
        <v>210305485510EA000425</v>
      </c>
      <c r="K4914" s="43"/>
      <c r="L4914" s="44"/>
      <c r="M4914" s="45" t="s">
        <v>15003</v>
      </c>
    </row>
    <row r="4915" s="26" customFormat="1" ht="30" customHeight="1" spans="1:13">
      <c r="A4915" s="41">
        <f>IF(C4915="","",SUBTOTAL(103,$C$2:C4915))</f>
        <v>4906</v>
      </c>
      <c r="B4915" s="41">
        <v>3229</v>
      </c>
      <c r="C4915" s="41">
        <v>9381</v>
      </c>
      <c r="D4915" s="41" t="s">
        <v>45</v>
      </c>
      <c r="E4915" s="41" t="s">
        <v>1298</v>
      </c>
      <c r="F4915" s="41" t="s">
        <v>8153</v>
      </c>
      <c r="G4915" s="41" t="s">
        <v>15004</v>
      </c>
      <c r="H4915" s="41" t="s">
        <v>15005</v>
      </c>
      <c r="I4915" s="43">
        <v>12</v>
      </c>
      <c r="J4915" s="44" t="str">
        <f>VLOOKUP(G4915,[1]硬件清单!$F:$F,1,0)</f>
        <v>210305485510EA000314</v>
      </c>
      <c r="K4915" s="43"/>
      <c r="L4915" s="44"/>
      <c r="M4915" s="45" t="s">
        <v>15006</v>
      </c>
    </row>
    <row r="4916" s="26" customFormat="1" ht="30" customHeight="1" spans="1:13">
      <c r="A4916" s="41">
        <f>IF(C4916="","",SUBTOTAL(103,$C$2:C4916))</f>
        <v>4907</v>
      </c>
      <c r="B4916" s="41">
        <v>3230</v>
      </c>
      <c r="C4916" s="41">
        <v>9382</v>
      </c>
      <c r="D4916" s="41" t="s">
        <v>45</v>
      </c>
      <c r="E4916" s="41" t="s">
        <v>1298</v>
      </c>
      <c r="F4916" s="41" t="s">
        <v>8153</v>
      </c>
      <c r="G4916" s="41" t="s">
        <v>15007</v>
      </c>
      <c r="H4916" s="41" t="s">
        <v>15008</v>
      </c>
      <c r="I4916" s="43">
        <v>12</v>
      </c>
      <c r="J4916" s="44" t="str">
        <f>VLOOKUP(G4916,[1]硬件清单!$F:$F,1,0)</f>
        <v>210305485510EA000579</v>
      </c>
      <c r="K4916" s="43"/>
      <c r="L4916" s="44"/>
      <c r="M4916" s="45" t="s">
        <v>15009</v>
      </c>
    </row>
    <row r="4917" s="26" customFormat="1" ht="30" customHeight="1" spans="1:13">
      <c r="A4917" s="41">
        <f>IF(C4917="","",SUBTOTAL(103,$C$2:C4917))</f>
        <v>4908</v>
      </c>
      <c r="B4917" s="41">
        <v>3231</v>
      </c>
      <c r="C4917" s="41">
        <v>9383</v>
      </c>
      <c r="D4917" s="41" t="s">
        <v>45</v>
      </c>
      <c r="E4917" s="41" t="s">
        <v>1298</v>
      </c>
      <c r="F4917" s="41" t="s">
        <v>8153</v>
      </c>
      <c r="G4917" s="41" t="s">
        <v>15010</v>
      </c>
      <c r="H4917" s="41" t="s">
        <v>15011</v>
      </c>
      <c r="I4917" s="43">
        <v>12</v>
      </c>
      <c r="J4917" s="44" t="str">
        <f>VLOOKUP(G4917,[1]硬件清单!$F:$F,1,0)</f>
        <v>210305485510EA000344</v>
      </c>
      <c r="K4917" s="43"/>
      <c r="L4917" s="44"/>
      <c r="M4917" s="45" t="s">
        <v>15012</v>
      </c>
    </row>
    <row r="4918" s="26" customFormat="1" ht="30" customHeight="1" spans="1:13">
      <c r="A4918" s="41">
        <f>IF(C4918="","",SUBTOTAL(103,$C$2:C4918))</f>
        <v>4909</v>
      </c>
      <c r="B4918" s="41">
        <v>3232</v>
      </c>
      <c r="C4918" s="41">
        <v>9384</v>
      </c>
      <c r="D4918" s="41" t="s">
        <v>45</v>
      </c>
      <c r="E4918" s="41" t="s">
        <v>1298</v>
      </c>
      <c r="F4918" s="41" t="s">
        <v>8153</v>
      </c>
      <c r="G4918" s="41" t="s">
        <v>15013</v>
      </c>
      <c r="H4918" s="41" t="s">
        <v>15014</v>
      </c>
      <c r="I4918" s="43">
        <v>12</v>
      </c>
      <c r="J4918" s="44" t="str">
        <f>VLOOKUP(G4918,[1]硬件清单!$F:$F,1,0)</f>
        <v>210305485510EA000439</v>
      </c>
      <c r="K4918" s="43"/>
      <c r="L4918" s="44"/>
      <c r="M4918" s="45" t="s">
        <v>15015</v>
      </c>
    </row>
    <row r="4919" s="26" customFormat="1" ht="30" customHeight="1" spans="1:13">
      <c r="A4919" s="41">
        <f>IF(C4919="","",SUBTOTAL(103,$C$2:C4919))</f>
        <v>4910</v>
      </c>
      <c r="B4919" s="41">
        <v>3233</v>
      </c>
      <c r="C4919" s="41">
        <v>9385</v>
      </c>
      <c r="D4919" s="41" t="s">
        <v>45</v>
      </c>
      <c r="E4919" s="41" t="s">
        <v>1298</v>
      </c>
      <c r="F4919" s="41" t="s">
        <v>8153</v>
      </c>
      <c r="G4919" s="41" t="s">
        <v>15016</v>
      </c>
      <c r="H4919" s="41" t="s">
        <v>15017</v>
      </c>
      <c r="I4919" s="43">
        <v>12</v>
      </c>
      <c r="J4919" s="44" t="str">
        <f>VLOOKUP(G4919,[1]硬件清单!$F:$F,1,0)</f>
        <v>210305485510EA000323</v>
      </c>
      <c r="K4919" s="43"/>
      <c r="L4919" s="44"/>
      <c r="M4919" s="45" t="s">
        <v>15018</v>
      </c>
    </row>
    <row r="4920" s="26" customFormat="1" ht="30" customHeight="1" spans="1:13">
      <c r="A4920" s="41">
        <f>IF(C4920="","",SUBTOTAL(103,$C$2:C4920))</f>
        <v>4911</v>
      </c>
      <c r="B4920" s="41">
        <v>3234</v>
      </c>
      <c r="C4920" s="41">
        <v>9575</v>
      </c>
      <c r="D4920" s="41" t="s">
        <v>45</v>
      </c>
      <c r="E4920" s="41" t="s">
        <v>1298</v>
      </c>
      <c r="F4920" s="41" t="s">
        <v>9850</v>
      </c>
      <c r="G4920" s="41" t="s">
        <v>15019</v>
      </c>
      <c r="H4920" s="41" t="s">
        <v>15020</v>
      </c>
      <c r="I4920" s="43">
        <v>12</v>
      </c>
      <c r="J4920" s="44" t="str">
        <f>VLOOKUP(G4920,[1]硬件清单!$F:$F,1,0)</f>
        <v>2102300742N0EA000058</v>
      </c>
      <c r="K4920" s="43"/>
      <c r="L4920" s="44"/>
      <c r="M4920" s="45" t="s">
        <v>15021</v>
      </c>
    </row>
    <row r="4921" s="26" customFormat="1" ht="30" customHeight="1" spans="1:13">
      <c r="A4921" s="41">
        <f>IF(C4921="","",SUBTOTAL(103,$C$2:C4921))</f>
        <v>4912</v>
      </c>
      <c r="B4921" s="41">
        <v>3235</v>
      </c>
      <c r="C4921" s="41">
        <v>9364</v>
      </c>
      <c r="D4921" s="41" t="s">
        <v>45</v>
      </c>
      <c r="E4921" s="41" t="s">
        <v>1298</v>
      </c>
      <c r="F4921" s="41" t="s">
        <v>8153</v>
      </c>
      <c r="G4921" s="41" t="s">
        <v>15022</v>
      </c>
      <c r="H4921" s="41" t="s">
        <v>15023</v>
      </c>
      <c r="I4921" s="43">
        <v>12</v>
      </c>
      <c r="J4921" s="44" t="str">
        <f>VLOOKUP(G4921,[1]硬件清单!$F:$F,1,0)</f>
        <v>210305485510EA000435</v>
      </c>
      <c r="K4921" s="43"/>
      <c r="L4921" s="44"/>
      <c r="M4921" s="45" t="s">
        <v>15024</v>
      </c>
    </row>
    <row r="4922" s="26" customFormat="1" ht="30" customHeight="1" spans="1:13">
      <c r="A4922" s="41">
        <f>IF(C4922="","",SUBTOTAL(103,$C$2:C4922))</f>
        <v>4913</v>
      </c>
      <c r="B4922" s="41">
        <v>3236</v>
      </c>
      <c r="C4922" s="41">
        <v>9373</v>
      </c>
      <c r="D4922" s="41" t="s">
        <v>45</v>
      </c>
      <c r="E4922" s="41" t="s">
        <v>1298</v>
      </c>
      <c r="F4922" s="41" t="s">
        <v>8153</v>
      </c>
      <c r="G4922" s="41" t="s">
        <v>15025</v>
      </c>
      <c r="H4922" s="41" t="s">
        <v>15026</v>
      </c>
      <c r="I4922" s="43">
        <v>12</v>
      </c>
      <c r="J4922" s="44" t="str">
        <f>VLOOKUP(G4922,[1]硬件清单!$F:$F,1,0)</f>
        <v>210305485510EA000466</v>
      </c>
      <c r="K4922" s="43"/>
      <c r="L4922" s="44"/>
      <c r="M4922" s="45" t="s">
        <v>15027</v>
      </c>
    </row>
    <row r="4923" s="26" customFormat="1" ht="30" customHeight="1" spans="1:13">
      <c r="A4923" s="41">
        <f>IF(C4923="","",SUBTOTAL(103,$C$2:C4923))</f>
        <v>4914</v>
      </c>
      <c r="B4923" s="41">
        <v>3237</v>
      </c>
      <c r="C4923" s="41">
        <v>9374</v>
      </c>
      <c r="D4923" s="41" t="s">
        <v>45</v>
      </c>
      <c r="E4923" s="41" t="s">
        <v>1298</v>
      </c>
      <c r="F4923" s="41" t="s">
        <v>8153</v>
      </c>
      <c r="G4923" s="41" t="s">
        <v>15028</v>
      </c>
      <c r="H4923" s="41" t="s">
        <v>15029</v>
      </c>
      <c r="I4923" s="43">
        <v>12</v>
      </c>
      <c r="J4923" s="44" t="str">
        <f>VLOOKUP(G4923,[1]硬件清单!$F:$F,1,0)</f>
        <v>210305485510EA000543</v>
      </c>
      <c r="K4923" s="43"/>
      <c r="L4923" s="44"/>
      <c r="M4923" s="45" t="s">
        <v>15030</v>
      </c>
    </row>
    <row r="4924" s="26" customFormat="1" ht="30" customHeight="1" spans="1:13">
      <c r="A4924" s="41">
        <f>IF(C4924="","",SUBTOTAL(103,$C$2:C4924))</f>
        <v>4915</v>
      </c>
      <c r="B4924" s="41">
        <v>3238</v>
      </c>
      <c r="C4924" s="41">
        <v>9375</v>
      </c>
      <c r="D4924" s="41" t="s">
        <v>45</v>
      </c>
      <c r="E4924" s="41" t="s">
        <v>1298</v>
      </c>
      <c r="F4924" s="41" t="s">
        <v>8153</v>
      </c>
      <c r="G4924" s="41" t="s">
        <v>15031</v>
      </c>
      <c r="H4924" s="41" t="s">
        <v>15032</v>
      </c>
      <c r="I4924" s="43">
        <v>12</v>
      </c>
      <c r="J4924" s="44" t="str">
        <f>VLOOKUP(G4924,[1]硬件清单!$F:$F,1,0)</f>
        <v>210305485510EA000535</v>
      </c>
      <c r="K4924" s="43"/>
      <c r="L4924" s="44"/>
      <c r="M4924" s="45" t="s">
        <v>15033</v>
      </c>
    </row>
    <row r="4925" s="26" customFormat="1" ht="30" customHeight="1" spans="1:13">
      <c r="A4925" s="41">
        <f>IF(C4925="","",SUBTOTAL(103,$C$2:C4925))</f>
        <v>4916</v>
      </c>
      <c r="B4925" s="41">
        <v>3239</v>
      </c>
      <c r="C4925" s="41">
        <v>9376</v>
      </c>
      <c r="D4925" s="41" t="s">
        <v>45</v>
      </c>
      <c r="E4925" s="41" t="s">
        <v>1298</v>
      </c>
      <c r="F4925" s="41" t="s">
        <v>8153</v>
      </c>
      <c r="G4925" s="41" t="s">
        <v>15034</v>
      </c>
      <c r="H4925" s="41" t="s">
        <v>15035</v>
      </c>
      <c r="I4925" s="43">
        <v>12</v>
      </c>
      <c r="J4925" s="44" t="str">
        <f>VLOOKUP(G4925,[1]硬件清单!$F:$F,1,0)</f>
        <v>210305485510EA000334</v>
      </c>
      <c r="K4925" s="43"/>
      <c r="L4925" s="44"/>
      <c r="M4925" s="45" t="s">
        <v>15036</v>
      </c>
    </row>
    <row r="4926" s="26" customFormat="1" ht="30" customHeight="1" spans="1:13">
      <c r="A4926" s="41">
        <f>IF(C4926="","",SUBTOTAL(103,$C$2:C4926))</f>
        <v>4917</v>
      </c>
      <c r="B4926" s="41">
        <v>3240</v>
      </c>
      <c r="C4926" s="41">
        <v>9365</v>
      </c>
      <c r="D4926" s="41" t="s">
        <v>45</v>
      </c>
      <c r="E4926" s="41" t="s">
        <v>1298</v>
      </c>
      <c r="F4926" s="41" t="s">
        <v>8153</v>
      </c>
      <c r="G4926" s="41" t="s">
        <v>15037</v>
      </c>
      <c r="H4926" s="41" t="s">
        <v>15038</v>
      </c>
      <c r="I4926" s="43">
        <v>12</v>
      </c>
      <c r="J4926" s="44" t="str">
        <f>VLOOKUP(G4926,[1]硬件清单!$F:$F,1,0)</f>
        <v>210305485510EA000469</v>
      </c>
      <c r="K4926" s="43"/>
      <c r="L4926" s="44"/>
      <c r="M4926" s="45" t="s">
        <v>15039</v>
      </c>
    </row>
    <row r="4927" s="26" customFormat="1" ht="30" customHeight="1" spans="1:13">
      <c r="A4927" s="41">
        <f>IF(C4927="","",SUBTOTAL(103,$C$2:C4927))</f>
        <v>4918</v>
      </c>
      <c r="B4927" s="41">
        <v>3241</v>
      </c>
      <c r="C4927" s="41">
        <v>9366</v>
      </c>
      <c r="D4927" s="41" t="s">
        <v>45</v>
      </c>
      <c r="E4927" s="41" t="s">
        <v>1298</v>
      </c>
      <c r="F4927" s="41" t="s">
        <v>8153</v>
      </c>
      <c r="G4927" s="41" t="s">
        <v>15040</v>
      </c>
      <c r="H4927" s="41" t="s">
        <v>15041</v>
      </c>
      <c r="I4927" s="43">
        <v>12</v>
      </c>
      <c r="J4927" s="44" t="str">
        <f>VLOOKUP(G4927,[1]硬件清单!$F:$F,1,0)</f>
        <v>210305485510EA000593</v>
      </c>
      <c r="K4927" s="43"/>
      <c r="L4927" s="44"/>
      <c r="M4927" s="45" t="s">
        <v>15042</v>
      </c>
    </row>
    <row r="4928" s="26" customFormat="1" ht="30" customHeight="1" spans="1:13">
      <c r="A4928" s="41">
        <f>IF(C4928="","",SUBTOTAL(103,$C$2:C4928))</f>
        <v>4919</v>
      </c>
      <c r="B4928" s="41">
        <v>3242</v>
      </c>
      <c r="C4928" s="41">
        <v>9367</v>
      </c>
      <c r="D4928" s="41" t="s">
        <v>45</v>
      </c>
      <c r="E4928" s="41" t="s">
        <v>1298</v>
      </c>
      <c r="F4928" s="41" t="s">
        <v>8153</v>
      </c>
      <c r="G4928" s="41" t="s">
        <v>15043</v>
      </c>
      <c r="H4928" s="41" t="s">
        <v>15044</v>
      </c>
      <c r="I4928" s="43">
        <v>12</v>
      </c>
      <c r="J4928" s="44" t="str">
        <f>VLOOKUP(G4928,[1]硬件清单!$F:$F,1,0)</f>
        <v>210305485510EA000523</v>
      </c>
      <c r="K4928" s="43"/>
      <c r="L4928" s="44"/>
      <c r="M4928" s="45" t="s">
        <v>15045</v>
      </c>
    </row>
    <row r="4929" s="26" customFormat="1" ht="30" customHeight="1" spans="1:13">
      <c r="A4929" s="41">
        <f>IF(C4929="","",SUBTOTAL(103,$C$2:C4929))</f>
        <v>4920</v>
      </c>
      <c r="B4929" s="41">
        <v>3243</v>
      </c>
      <c r="C4929" s="41">
        <v>9368</v>
      </c>
      <c r="D4929" s="41" t="s">
        <v>45</v>
      </c>
      <c r="E4929" s="41" t="s">
        <v>1298</v>
      </c>
      <c r="F4929" s="41" t="s">
        <v>8153</v>
      </c>
      <c r="G4929" s="41" t="s">
        <v>15046</v>
      </c>
      <c r="H4929" s="41" t="s">
        <v>15047</v>
      </c>
      <c r="I4929" s="43">
        <v>12</v>
      </c>
      <c r="J4929" s="44" t="str">
        <f>VLOOKUP(G4929,[1]硬件清单!$F:$F,1,0)</f>
        <v>210305485510EA000528</v>
      </c>
      <c r="K4929" s="43"/>
      <c r="L4929" s="44"/>
      <c r="M4929" s="45" t="s">
        <v>15048</v>
      </c>
    </row>
    <row r="4930" s="26" customFormat="1" ht="30" customHeight="1" spans="1:13">
      <c r="A4930" s="41">
        <f>IF(C4930="","",SUBTOTAL(103,$C$2:C4930))</f>
        <v>4921</v>
      </c>
      <c r="B4930" s="41">
        <v>3244</v>
      </c>
      <c r="C4930" s="41">
        <v>9369</v>
      </c>
      <c r="D4930" s="41" t="s">
        <v>45</v>
      </c>
      <c r="E4930" s="41" t="s">
        <v>1298</v>
      </c>
      <c r="F4930" s="41" t="s">
        <v>8153</v>
      </c>
      <c r="G4930" s="41" t="s">
        <v>15049</v>
      </c>
      <c r="H4930" s="41" t="s">
        <v>15050</v>
      </c>
      <c r="I4930" s="43">
        <v>12</v>
      </c>
      <c r="J4930" s="44" t="str">
        <f>VLOOKUP(G4930,[1]硬件清单!$F:$F,1,0)</f>
        <v>210305485510EA000335</v>
      </c>
      <c r="K4930" s="43"/>
      <c r="L4930" s="44"/>
      <c r="M4930" s="45" t="s">
        <v>15051</v>
      </c>
    </row>
    <row r="4931" s="26" customFormat="1" ht="30" customHeight="1" spans="1:13">
      <c r="A4931" s="41">
        <f>IF(C4931="","",SUBTOTAL(103,$C$2:C4931))</f>
        <v>4922</v>
      </c>
      <c r="B4931" s="41">
        <v>3245</v>
      </c>
      <c r="C4931" s="41">
        <v>9370</v>
      </c>
      <c r="D4931" s="41" t="s">
        <v>45</v>
      </c>
      <c r="E4931" s="41" t="s">
        <v>1298</v>
      </c>
      <c r="F4931" s="41" t="s">
        <v>8153</v>
      </c>
      <c r="G4931" s="41" t="s">
        <v>15052</v>
      </c>
      <c r="H4931" s="41" t="s">
        <v>15053</v>
      </c>
      <c r="I4931" s="43">
        <v>12</v>
      </c>
      <c r="J4931" s="44" t="str">
        <f>VLOOKUP(G4931,[1]硬件清单!$F:$F,1,0)</f>
        <v>210305485510EA000418</v>
      </c>
      <c r="K4931" s="43"/>
      <c r="L4931" s="44"/>
      <c r="M4931" s="45" t="s">
        <v>15054</v>
      </c>
    </row>
    <row r="4932" s="26" customFormat="1" ht="30" customHeight="1" spans="1:13">
      <c r="A4932" s="41">
        <f>IF(C4932="","",SUBTOTAL(103,$C$2:C4932))</f>
        <v>4923</v>
      </c>
      <c r="B4932" s="41">
        <v>3246</v>
      </c>
      <c r="C4932" s="41">
        <v>9371</v>
      </c>
      <c r="D4932" s="41" t="s">
        <v>45</v>
      </c>
      <c r="E4932" s="41" t="s">
        <v>1298</v>
      </c>
      <c r="F4932" s="41" t="s">
        <v>8153</v>
      </c>
      <c r="G4932" s="41" t="s">
        <v>15055</v>
      </c>
      <c r="H4932" s="41" t="s">
        <v>15056</v>
      </c>
      <c r="I4932" s="43">
        <v>12</v>
      </c>
      <c r="J4932" s="44" t="str">
        <f>VLOOKUP(G4932,[1]硬件清单!$F:$F,1,0)</f>
        <v>210305485510EA000591</v>
      </c>
      <c r="K4932" s="43"/>
      <c r="L4932" s="44"/>
      <c r="M4932" s="45" t="s">
        <v>15057</v>
      </c>
    </row>
    <row r="4933" s="26" customFormat="1" ht="30" customHeight="1" spans="1:13">
      <c r="A4933" s="41">
        <f>IF(C4933="","",SUBTOTAL(103,$C$2:C4933))</f>
        <v>4924</v>
      </c>
      <c r="B4933" s="41">
        <v>3247</v>
      </c>
      <c r="C4933" s="41">
        <v>9372</v>
      </c>
      <c r="D4933" s="41" t="s">
        <v>45</v>
      </c>
      <c r="E4933" s="41" t="s">
        <v>1298</v>
      </c>
      <c r="F4933" s="41" t="s">
        <v>8153</v>
      </c>
      <c r="G4933" s="41" t="s">
        <v>15058</v>
      </c>
      <c r="H4933" s="41" t="s">
        <v>15059</v>
      </c>
      <c r="I4933" s="43">
        <v>12</v>
      </c>
      <c r="J4933" s="44" t="str">
        <f>VLOOKUP(G4933,[1]硬件清单!$F:$F,1,0)</f>
        <v>210305485510EA000602</v>
      </c>
      <c r="K4933" s="43"/>
      <c r="L4933" s="44"/>
      <c r="M4933" s="45" t="s">
        <v>15060</v>
      </c>
    </row>
    <row r="4934" s="26" customFormat="1" ht="30" customHeight="1" spans="1:13">
      <c r="A4934" s="41">
        <f>IF(C4934="","",SUBTOTAL(103,$C$2:C4934))</f>
        <v>4925</v>
      </c>
      <c r="B4934" s="41">
        <v>3249</v>
      </c>
      <c r="C4934" s="41">
        <v>11536</v>
      </c>
      <c r="D4934" s="41" t="s">
        <v>12</v>
      </c>
      <c r="E4934" s="41" t="s">
        <v>1627</v>
      </c>
      <c r="F4934" s="42" t="s">
        <v>15061</v>
      </c>
      <c r="G4934" s="41" t="s">
        <v>15062</v>
      </c>
      <c r="H4934" s="41" t="s">
        <v>15063</v>
      </c>
      <c r="I4934" s="43">
        <v>12</v>
      </c>
      <c r="J4934" s="44" t="str">
        <f>VLOOKUP(G4934,[1]硬件清单!$F:$F,1,0)</f>
        <v>BK-F01-DOOR-01</v>
      </c>
      <c r="K4934" s="43"/>
      <c r="L4934" s="44"/>
      <c r="M4934" s="45" t="s">
        <v>15064</v>
      </c>
    </row>
    <row r="4935" s="26" customFormat="1" ht="30" customHeight="1" spans="1:13">
      <c r="A4935" s="41">
        <f>IF(C4935="","",SUBTOTAL(103,$C$2:C4935))</f>
        <v>4926</v>
      </c>
      <c r="B4935" s="41">
        <v>3250</v>
      </c>
      <c r="C4935" s="41">
        <v>11118</v>
      </c>
      <c r="D4935" s="41" t="s">
        <v>19</v>
      </c>
      <c r="E4935" s="41" t="s">
        <v>20</v>
      </c>
      <c r="F4935" s="41" t="s">
        <v>10789</v>
      </c>
      <c r="G4935" s="41" t="s">
        <v>15065</v>
      </c>
      <c r="H4935" s="41" t="s">
        <v>15066</v>
      </c>
      <c r="I4935" s="43">
        <v>12</v>
      </c>
      <c r="J4935" s="44" t="str">
        <f>VLOOKUP(G4935,[1]硬件清单!$F:$F,1,0)</f>
        <v>FOC1838R2S2</v>
      </c>
      <c r="K4935" s="43"/>
      <c r="L4935" s="44"/>
      <c r="M4935" s="45" t="s">
        <v>15067</v>
      </c>
    </row>
    <row r="4936" s="26" customFormat="1" ht="30" customHeight="1" spans="1:13">
      <c r="A4936" s="41">
        <f>IF(C4936="","",SUBTOTAL(103,$C$2:C4936))</f>
        <v>4927</v>
      </c>
      <c r="B4936" s="41">
        <v>3251</v>
      </c>
      <c r="C4936" s="41">
        <v>11119</v>
      </c>
      <c r="D4936" s="41" t="s">
        <v>19</v>
      </c>
      <c r="E4936" s="41" t="s">
        <v>20</v>
      </c>
      <c r="F4936" s="41" t="s">
        <v>10789</v>
      </c>
      <c r="G4936" s="41" t="s">
        <v>15068</v>
      </c>
      <c r="H4936" s="41" t="s">
        <v>15069</v>
      </c>
      <c r="I4936" s="43">
        <v>12</v>
      </c>
      <c r="J4936" s="44" t="str">
        <f>VLOOKUP(G4936,[1]硬件清单!$F:$F,1,0)</f>
        <v>FOC1838R2UP</v>
      </c>
      <c r="K4936" s="43"/>
      <c r="L4936" s="44"/>
      <c r="M4936" s="45" t="s">
        <v>15070</v>
      </c>
    </row>
    <row r="4937" s="26" customFormat="1" ht="30" customHeight="1" spans="1:13">
      <c r="A4937" s="41">
        <f>IF(C4937="","",SUBTOTAL(103,$C$2:C4937))</f>
        <v>4928</v>
      </c>
      <c r="B4937" s="41">
        <v>3252</v>
      </c>
      <c r="C4937" s="41">
        <v>4811</v>
      </c>
      <c r="D4937" s="41" t="s">
        <v>19</v>
      </c>
      <c r="E4937" s="41" t="s">
        <v>20</v>
      </c>
      <c r="F4937" s="41" t="s">
        <v>10050</v>
      </c>
      <c r="G4937" s="41" t="s">
        <v>15071</v>
      </c>
      <c r="H4937" s="41" t="s">
        <v>15072</v>
      </c>
      <c r="I4937" s="43">
        <v>12</v>
      </c>
      <c r="J4937" s="44" t="str">
        <f>VLOOKUP(G4937,[1]硬件清单!$F:$F,1,0)</f>
        <v>210235A1G9H178000035</v>
      </c>
      <c r="K4937" s="43"/>
      <c r="L4937" s="44"/>
      <c r="M4937" s="45" t="s">
        <v>15073</v>
      </c>
    </row>
    <row r="4938" s="26" customFormat="1" ht="30" customHeight="1" spans="1:13">
      <c r="A4938" s="41">
        <f>IF(C4938="","",SUBTOTAL(103,$C$2:C4938))</f>
        <v>4929</v>
      </c>
      <c r="B4938" s="41">
        <v>3253</v>
      </c>
      <c r="C4938" s="41">
        <v>4812</v>
      </c>
      <c r="D4938" s="41" t="s">
        <v>19</v>
      </c>
      <c r="E4938" s="41" t="s">
        <v>20</v>
      </c>
      <c r="F4938" s="41" t="s">
        <v>10050</v>
      </c>
      <c r="G4938" s="41" t="s">
        <v>15074</v>
      </c>
      <c r="H4938" s="41" t="s">
        <v>15075</v>
      </c>
      <c r="I4938" s="43">
        <v>12</v>
      </c>
      <c r="J4938" s="44" t="str">
        <f>VLOOKUP(G4938,[1]硬件清单!$F:$F,1,0)</f>
        <v>210235A1G9H178000052</v>
      </c>
      <c r="K4938" s="43"/>
      <c r="L4938" s="44"/>
      <c r="M4938" s="45" t="s">
        <v>15076</v>
      </c>
    </row>
    <row r="4939" s="26" customFormat="1" ht="30" customHeight="1" spans="1:13">
      <c r="A4939" s="41">
        <f>IF(C4939="","",SUBTOTAL(103,$C$2:C4939))</f>
        <v>4930</v>
      </c>
      <c r="B4939" s="41">
        <v>3255</v>
      </c>
      <c r="C4939" s="41">
        <v>9587</v>
      </c>
      <c r="D4939" s="41" t="s">
        <v>45</v>
      </c>
      <c r="E4939" s="41" t="s">
        <v>1298</v>
      </c>
      <c r="F4939" s="41" t="s">
        <v>11161</v>
      </c>
      <c r="G4939" s="41" t="s">
        <v>15077</v>
      </c>
      <c r="H4939" s="41" t="s">
        <v>15078</v>
      </c>
      <c r="I4939" s="43">
        <v>12</v>
      </c>
      <c r="J4939" s="44" t="str">
        <f>VLOOKUP(G4939,[1]硬件清单!$F:$F,1,0)</f>
        <v>214635684-01A</v>
      </c>
      <c r="K4939" s="43"/>
      <c r="L4939" s="44"/>
      <c r="M4939" s="45" t="s">
        <v>15079</v>
      </c>
    </row>
    <row r="4940" s="26" customFormat="1" ht="30" customHeight="1" spans="1:13">
      <c r="A4940" s="41">
        <f>IF(C4940="","",SUBTOTAL(103,$C$2:C4940))</f>
        <v>4931</v>
      </c>
      <c r="B4940" s="41">
        <v>3287</v>
      </c>
      <c r="C4940" s="41">
        <v>9557</v>
      </c>
      <c r="D4940" s="41" t="s">
        <v>45</v>
      </c>
      <c r="E4940" s="41" t="s">
        <v>1298</v>
      </c>
      <c r="F4940" s="41" t="s">
        <v>11157</v>
      </c>
      <c r="G4940" s="41" t="s">
        <v>15080</v>
      </c>
      <c r="H4940" s="41" t="s">
        <v>15081</v>
      </c>
      <c r="I4940" s="43">
        <v>12</v>
      </c>
      <c r="J4940" s="44" t="str">
        <f>VLOOKUP(G4940,[1]硬件清单!$F:$F,1,0)</f>
        <v>214635717</v>
      </c>
      <c r="K4940" s="43"/>
      <c r="L4940" s="44"/>
      <c r="M4940" s="45" t="s">
        <v>15082</v>
      </c>
    </row>
    <row r="4941" s="26" customFormat="1" ht="30" customHeight="1" spans="1:13">
      <c r="A4941" s="41">
        <f>IF(C4941="","",SUBTOTAL(103,$C$2:C4941))</f>
        <v>4932</v>
      </c>
      <c r="B4941" s="41">
        <v>3288</v>
      </c>
      <c r="C4941" s="41">
        <v>9619</v>
      </c>
      <c r="D4941" s="41" t="s">
        <v>45</v>
      </c>
      <c r="E4941" s="41" t="s">
        <v>1298</v>
      </c>
      <c r="F4941" s="41" t="s">
        <v>11161</v>
      </c>
      <c r="G4941" s="41" t="s">
        <v>15083</v>
      </c>
      <c r="H4941" s="41" t="s">
        <v>15084</v>
      </c>
      <c r="I4941" s="43">
        <v>12</v>
      </c>
      <c r="J4941" s="44" t="str">
        <f>VLOOKUP(G4941,[1]硬件清单!$F:$F,1,0)</f>
        <v>214635717-01A</v>
      </c>
      <c r="K4941" s="43"/>
      <c r="L4941" s="44"/>
      <c r="M4941" s="45" t="s">
        <v>15085</v>
      </c>
    </row>
    <row r="4942" s="26" customFormat="1" ht="30" customHeight="1" spans="1:13">
      <c r="A4942" s="41">
        <f>IF(C4942="","",SUBTOTAL(103,$C$2:C4942))</f>
        <v>4933</v>
      </c>
      <c r="B4942" s="41">
        <v>3289</v>
      </c>
      <c r="C4942" s="41">
        <v>9628</v>
      </c>
      <c r="D4942" s="41" t="s">
        <v>45</v>
      </c>
      <c r="E4942" s="41" t="s">
        <v>1298</v>
      </c>
      <c r="F4942" s="41" t="s">
        <v>11161</v>
      </c>
      <c r="G4942" s="41" t="s">
        <v>15086</v>
      </c>
      <c r="H4942" s="41" t="s">
        <v>15087</v>
      </c>
      <c r="I4942" s="43">
        <v>12</v>
      </c>
      <c r="J4942" s="44" t="str">
        <f>VLOOKUP(G4942,[1]硬件清单!$F:$F,1,0)</f>
        <v>214635717-10A</v>
      </c>
      <c r="K4942" s="43"/>
      <c r="L4942" s="44"/>
      <c r="M4942" s="45" t="s">
        <v>15088</v>
      </c>
    </row>
    <row r="4943" s="26" customFormat="1" ht="30" customHeight="1" spans="1:13">
      <c r="A4943" s="41">
        <f>IF(C4943="","",SUBTOTAL(103,$C$2:C4943))</f>
        <v>4934</v>
      </c>
      <c r="B4943" s="41">
        <v>3290</v>
      </c>
      <c r="C4943" s="41">
        <v>9629</v>
      </c>
      <c r="D4943" s="41" t="s">
        <v>45</v>
      </c>
      <c r="E4943" s="41" t="s">
        <v>1298</v>
      </c>
      <c r="F4943" s="41" t="s">
        <v>11161</v>
      </c>
      <c r="G4943" s="41" t="s">
        <v>15089</v>
      </c>
      <c r="H4943" s="41" t="s">
        <v>15090</v>
      </c>
      <c r="I4943" s="43">
        <v>12</v>
      </c>
      <c r="J4943" s="44" t="str">
        <f>VLOOKUP(G4943,[1]硬件清单!$F:$F,1,0)</f>
        <v>214635717-11A</v>
      </c>
      <c r="K4943" s="43"/>
      <c r="L4943" s="44"/>
      <c r="M4943" s="45" t="s">
        <v>15091</v>
      </c>
    </row>
    <row r="4944" s="26" customFormat="1" ht="30" customHeight="1" spans="1:13">
      <c r="A4944" s="41">
        <f>IF(C4944="","",SUBTOTAL(103,$C$2:C4944))</f>
        <v>4935</v>
      </c>
      <c r="B4944" s="41">
        <v>3291</v>
      </c>
      <c r="C4944" s="41">
        <v>9630</v>
      </c>
      <c r="D4944" s="41" t="s">
        <v>45</v>
      </c>
      <c r="E4944" s="41" t="s">
        <v>1298</v>
      </c>
      <c r="F4944" s="41" t="s">
        <v>11161</v>
      </c>
      <c r="G4944" s="41" t="s">
        <v>15092</v>
      </c>
      <c r="H4944" s="41" t="s">
        <v>15093</v>
      </c>
      <c r="I4944" s="43">
        <v>12</v>
      </c>
      <c r="J4944" s="44" t="str">
        <f>VLOOKUP(G4944,[1]硬件清单!$F:$F,1,0)</f>
        <v>214635717-12A</v>
      </c>
      <c r="K4944" s="43"/>
      <c r="L4944" s="44"/>
      <c r="M4944" s="45" t="s">
        <v>15094</v>
      </c>
    </row>
    <row r="4945" s="26" customFormat="1" ht="30" customHeight="1" spans="1:13">
      <c r="A4945" s="41">
        <f>IF(C4945="","",SUBTOTAL(103,$C$2:C4945))</f>
        <v>4936</v>
      </c>
      <c r="B4945" s="41">
        <v>3292</v>
      </c>
      <c r="C4945" s="41">
        <v>9631</v>
      </c>
      <c r="D4945" s="41" t="s">
        <v>45</v>
      </c>
      <c r="E4945" s="41" t="s">
        <v>1298</v>
      </c>
      <c r="F4945" s="41" t="s">
        <v>11161</v>
      </c>
      <c r="G4945" s="41" t="s">
        <v>15095</v>
      </c>
      <c r="H4945" s="41" t="s">
        <v>15096</v>
      </c>
      <c r="I4945" s="43">
        <v>12</v>
      </c>
      <c r="J4945" s="44" t="str">
        <f>VLOOKUP(G4945,[1]硬件清单!$F:$F,1,0)</f>
        <v>214635717-13A</v>
      </c>
      <c r="K4945" s="43"/>
      <c r="L4945" s="44"/>
      <c r="M4945" s="45" t="s">
        <v>15097</v>
      </c>
    </row>
    <row r="4946" s="26" customFormat="1" ht="30" customHeight="1" spans="1:13">
      <c r="A4946" s="41">
        <f>IF(C4946="","",SUBTOTAL(103,$C$2:C4946))</f>
        <v>4937</v>
      </c>
      <c r="B4946" s="41">
        <v>3293</v>
      </c>
      <c r="C4946" s="41">
        <v>9632</v>
      </c>
      <c r="D4946" s="41" t="s">
        <v>45</v>
      </c>
      <c r="E4946" s="41" t="s">
        <v>1298</v>
      </c>
      <c r="F4946" s="41" t="s">
        <v>11161</v>
      </c>
      <c r="G4946" s="41" t="s">
        <v>15098</v>
      </c>
      <c r="H4946" s="41" t="s">
        <v>15099</v>
      </c>
      <c r="I4946" s="43">
        <v>12</v>
      </c>
      <c r="J4946" s="44" t="str">
        <f>VLOOKUP(G4946,[1]硬件清单!$F:$F,1,0)</f>
        <v>214635717-14A</v>
      </c>
      <c r="K4946" s="43"/>
      <c r="L4946" s="44"/>
      <c r="M4946" s="45" t="s">
        <v>15100</v>
      </c>
    </row>
    <row r="4947" s="26" customFormat="1" ht="30" customHeight="1" spans="1:13">
      <c r="A4947" s="41">
        <f>IF(C4947="","",SUBTOTAL(103,$C$2:C4947))</f>
        <v>4938</v>
      </c>
      <c r="B4947" s="41">
        <v>3294</v>
      </c>
      <c r="C4947" s="41">
        <v>9633</v>
      </c>
      <c r="D4947" s="41" t="s">
        <v>45</v>
      </c>
      <c r="E4947" s="41" t="s">
        <v>1298</v>
      </c>
      <c r="F4947" s="41" t="s">
        <v>11161</v>
      </c>
      <c r="G4947" s="41" t="s">
        <v>15101</v>
      </c>
      <c r="H4947" s="41" t="s">
        <v>15102</v>
      </c>
      <c r="I4947" s="43">
        <v>12</v>
      </c>
      <c r="J4947" s="44" t="str">
        <f>VLOOKUP(G4947,[1]硬件清单!$F:$F,1,0)</f>
        <v>214635717-15A</v>
      </c>
      <c r="K4947" s="43"/>
      <c r="L4947" s="44"/>
      <c r="M4947" s="45" t="s">
        <v>15103</v>
      </c>
    </row>
    <row r="4948" s="26" customFormat="1" ht="30" customHeight="1" spans="1:13">
      <c r="A4948" s="41">
        <f>IF(C4948="","",SUBTOTAL(103,$C$2:C4948))</f>
        <v>4939</v>
      </c>
      <c r="B4948" s="41">
        <v>3295</v>
      </c>
      <c r="C4948" s="41">
        <v>9634</v>
      </c>
      <c r="D4948" s="41" t="s">
        <v>45</v>
      </c>
      <c r="E4948" s="41" t="s">
        <v>1298</v>
      </c>
      <c r="F4948" s="41" t="s">
        <v>11161</v>
      </c>
      <c r="G4948" s="41" t="s">
        <v>15104</v>
      </c>
      <c r="H4948" s="41" t="s">
        <v>15105</v>
      </c>
      <c r="I4948" s="43">
        <v>12</v>
      </c>
      <c r="J4948" s="44" t="str">
        <f>VLOOKUP(G4948,[1]硬件清单!$F:$F,1,0)</f>
        <v>214635717-16A</v>
      </c>
      <c r="K4948" s="43"/>
      <c r="L4948" s="44"/>
      <c r="M4948" s="45" t="s">
        <v>15106</v>
      </c>
    </row>
    <row r="4949" s="26" customFormat="1" ht="30" customHeight="1" spans="1:13">
      <c r="A4949" s="41">
        <f>IF(C4949="","",SUBTOTAL(103,$C$2:C4949))</f>
        <v>4940</v>
      </c>
      <c r="B4949" s="41">
        <v>3296</v>
      </c>
      <c r="C4949" s="41">
        <v>9635</v>
      </c>
      <c r="D4949" s="41" t="s">
        <v>45</v>
      </c>
      <c r="E4949" s="41" t="s">
        <v>1298</v>
      </c>
      <c r="F4949" s="41" t="s">
        <v>11161</v>
      </c>
      <c r="G4949" s="41" t="s">
        <v>15107</v>
      </c>
      <c r="H4949" s="41" t="s">
        <v>15108</v>
      </c>
      <c r="I4949" s="43">
        <v>12</v>
      </c>
      <c r="J4949" s="44" t="str">
        <f>VLOOKUP(G4949,[1]硬件清单!$F:$F,1,0)</f>
        <v>214635717-17A</v>
      </c>
      <c r="K4949" s="43"/>
      <c r="L4949" s="44"/>
      <c r="M4949" s="45" t="s">
        <v>15109</v>
      </c>
    </row>
    <row r="4950" s="26" customFormat="1" ht="30" customHeight="1" spans="1:13">
      <c r="A4950" s="41">
        <f>IF(C4950="","",SUBTOTAL(103,$C$2:C4950))</f>
        <v>4941</v>
      </c>
      <c r="B4950" s="41">
        <v>3297</v>
      </c>
      <c r="C4950" s="41">
        <v>9636</v>
      </c>
      <c r="D4950" s="41" t="s">
        <v>45</v>
      </c>
      <c r="E4950" s="41" t="s">
        <v>1298</v>
      </c>
      <c r="F4950" s="41" t="s">
        <v>11161</v>
      </c>
      <c r="G4950" s="41" t="s">
        <v>15110</v>
      </c>
      <c r="H4950" s="41" t="s">
        <v>15111</v>
      </c>
      <c r="I4950" s="43">
        <v>12</v>
      </c>
      <c r="J4950" s="44" t="str">
        <f>VLOOKUP(G4950,[1]硬件清单!$F:$F,1,0)</f>
        <v>214635717-18A</v>
      </c>
      <c r="K4950" s="43"/>
      <c r="L4950" s="44"/>
      <c r="M4950" s="45" t="s">
        <v>15112</v>
      </c>
    </row>
    <row r="4951" s="26" customFormat="1" ht="30" customHeight="1" spans="1:13">
      <c r="A4951" s="41">
        <f>IF(C4951="","",SUBTOTAL(103,$C$2:C4951))</f>
        <v>4942</v>
      </c>
      <c r="B4951" s="41">
        <v>3298</v>
      </c>
      <c r="C4951" s="41">
        <v>9637</v>
      </c>
      <c r="D4951" s="41" t="s">
        <v>45</v>
      </c>
      <c r="E4951" s="41" t="s">
        <v>1298</v>
      </c>
      <c r="F4951" s="41" t="s">
        <v>11161</v>
      </c>
      <c r="G4951" s="41" t="s">
        <v>15113</v>
      </c>
      <c r="H4951" s="41" t="s">
        <v>15114</v>
      </c>
      <c r="I4951" s="43">
        <v>12</v>
      </c>
      <c r="J4951" s="44" t="str">
        <f>VLOOKUP(G4951,[1]硬件清单!$F:$F,1,0)</f>
        <v>214635717-19A</v>
      </c>
      <c r="K4951" s="43"/>
      <c r="L4951" s="44"/>
      <c r="M4951" s="45" t="s">
        <v>15115</v>
      </c>
    </row>
    <row r="4952" s="26" customFormat="1" ht="30" customHeight="1" spans="1:13">
      <c r="A4952" s="41">
        <f>IF(C4952="","",SUBTOTAL(103,$C$2:C4952))</f>
        <v>4943</v>
      </c>
      <c r="B4952" s="41">
        <v>3299</v>
      </c>
      <c r="C4952" s="41">
        <v>9620</v>
      </c>
      <c r="D4952" s="41" t="s">
        <v>45</v>
      </c>
      <c r="E4952" s="41" t="s">
        <v>1298</v>
      </c>
      <c r="F4952" s="41" t="s">
        <v>11161</v>
      </c>
      <c r="G4952" s="41" t="s">
        <v>15116</v>
      </c>
      <c r="H4952" s="41" t="s">
        <v>15117</v>
      </c>
      <c r="I4952" s="43">
        <v>12</v>
      </c>
      <c r="J4952" s="44" t="str">
        <f>VLOOKUP(G4952,[1]硬件清单!$F:$F,1,0)</f>
        <v>214635717-02A</v>
      </c>
      <c r="K4952" s="43"/>
      <c r="L4952" s="44"/>
      <c r="M4952" s="45" t="s">
        <v>15118</v>
      </c>
    </row>
    <row r="4953" s="26" customFormat="1" ht="30" customHeight="1" spans="1:13">
      <c r="A4953" s="41">
        <f>IF(C4953="","",SUBTOTAL(103,$C$2:C4953))</f>
        <v>4944</v>
      </c>
      <c r="B4953" s="41">
        <v>3301</v>
      </c>
      <c r="C4953" s="41">
        <v>9639</v>
      </c>
      <c r="D4953" s="41" t="s">
        <v>45</v>
      </c>
      <c r="E4953" s="41" t="s">
        <v>1298</v>
      </c>
      <c r="F4953" s="41" t="s">
        <v>11161</v>
      </c>
      <c r="G4953" s="41" t="s">
        <v>15119</v>
      </c>
      <c r="H4953" s="41" t="s">
        <v>15120</v>
      </c>
      <c r="I4953" s="43">
        <v>12</v>
      </c>
      <c r="J4953" s="44" t="str">
        <f>VLOOKUP(G4953,[1]硬件清单!$F:$F,1,0)</f>
        <v>214635717-26A</v>
      </c>
      <c r="K4953" s="43"/>
      <c r="L4953" s="44"/>
      <c r="M4953" s="45" t="s">
        <v>15121</v>
      </c>
    </row>
    <row r="4954" s="26" customFormat="1" ht="30" customHeight="1" spans="1:13">
      <c r="A4954" s="41">
        <f>IF(C4954="","",SUBTOTAL(103,$C$2:C4954))</f>
        <v>4945</v>
      </c>
      <c r="B4954" s="41">
        <v>3302</v>
      </c>
      <c r="C4954" s="41">
        <v>9640</v>
      </c>
      <c r="D4954" s="41" t="s">
        <v>45</v>
      </c>
      <c r="E4954" s="41" t="s">
        <v>1298</v>
      </c>
      <c r="F4954" s="41" t="s">
        <v>11161</v>
      </c>
      <c r="G4954" s="41" t="s">
        <v>15122</v>
      </c>
      <c r="H4954" s="41" t="s">
        <v>15123</v>
      </c>
      <c r="I4954" s="43">
        <v>12</v>
      </c>
      <c r="J4954" s="44" t="str">
        <f>VLOOKUP(G4954,[1]硬件清单!$F:$F,1,0)</f>
        <v>214635717-27A</v>
      </c>
      <c r="K4954" s="43"/>
      <c r="L4954" s="44"/>
      <c r="M4954" s="45" t="s">
        <v>15124</v>
      </c>
    </row>
    <row r="4955" s="26" customFormat="1" ht="30" customHeight="1" spans="1:13">
      <c r="A4955" s="41">
        <f>IF(C4955="","",SUBTOTAL(103,$C$2:C4955))</f>
        <v>4946</v>
      </c>
      <c r="B4955" s="41">
        <v>3303</v>
      </c>
      <c r="C4955" s="41">
        <v>9641</v>
      </c>
      <c r="D4955" s="41" t="s">
        <v>45</v>
      </c>
      <c r="E4955" s="41" t="s">
        <v>1298</v>
      </c>
      <c r="F4955" s="41" t="s">
        <v>11161</v>
      </c>
      <c r="G4955" s="41" t="s">
        <v>15125</v>
      </c>
      <c r="H4955" s="41" t="s">
        <v>15126</v>
      </c>
      <c r="I4955" s="43">
        <v>12</v>
      </c>
      <c r="J4955" s="44" t="str">
        <f>VLOOKUP(G4955,[1]硬件清单!$F:$F,1,0)</f>
        <v>214635717-28A</v>
      </c>
      <c r="K4955" s="43"/>
      <c r="L4955" s="44"/>
      <c r="M4955" s="45" t="s">
        <v>15127</v>
      </c>
    </row>
    <row r="4956" s="26" customFormat="1" ht="30" customHeight="1" spans="1:13">
      <c r="A4956" s="41">
        <f>IF(C4956="","",SUBTOTAL(103,$C$2:C4956))</f>
        <v>4947</v>
      </c>
      <c r="B4956" s="41">
        <v>3304</v>
      </c>
      <c r="C4956" s="41">
        <v>9642</v>
      </c>
      <c r="D4956" s="41" t="s">
        <v>45</v>
      </c>
      <c r="E4956" s="41" t="s">
        <v>1298</v>
      </c>
      <c r="F4956" s="41" t="s">
        <v>11161</v>
      </c>
      <c r="G4956" s="41" t="s">
        <v>15128</v>
      </c>
      <c r="H4956" s="41" t="s">
        <v>15129</v>
      </c>
      <c r="I4956" s="43">
        <v>12</v>
      </c>
      <c r="J4956" s="44" t="str">
        <f>VLOOKUP(G4956,[1]硬件清单!$F:$F,1,0)</f>
        <v>214635717-29A</v>
      </c>
      <c r="K4956" s="43"/>
      <c r="L4956" s="44"/>
      <c r="M4956" s="45" t="s">
        <v>15130</v>
      </c>
    </row>
    <row r="4957" s="26" customFormat="1" ht="30" customHeight="1" spans="1:13">
      <c r="A4957" s="41">
        <f>IF(C4957="","",SUBTOTAL(103,$C$2:C4957))</f>
        <v>4948</v>
      </c>
      <c r="B4957" s="41">
        <v>3305</v>
      </c>
      <c r="C4957" s="41">
        <v>9621</v>
      </c>
      <c r="D4957" s="41" t="s">
        <v>45</v>
      </c>
      <c r="E4957" s="41" t="s">
        <v>1298</v>
      </c>
      <c r="F4957" s="41" t="s">
        <v>11161</v>
      </c>
      <c r="G4957" s="41" t="s">
        <v>15131</v>
      </c>
      <c r="H4957" s="41" t="s">
        <v>15132</v>
      </c>
      <c r="I4957" s="43">
        <v>12</v>
      </c>
      <c r="J4957" s="44" t="str">
        <f>VLOOKUP(G4957,[1]硬件清单!$F:$F,1,0)</f>
        <v>214635717-03A</v>
      </c>
      <c r="K4957" s="43"/>
      <c r="L4957" s="44"/>
      <c r="M4957" s="45" t="s">
        <v>15133</v>
      </c>
    </row>
    <row r="4958" s="26" customFormat="1" ht="30" customHeight="1" spans="1:13">
      <c r="A4958" s="41">
        <f>IF(C4958="","",SUBTOTAL(103,$C$2:C4958))</f>
        <v>4949</v>
      </c>
      <c r="B4958" s="41">
        <v>3306</v>
      </c>
      <c r="C4958" s="41">
        <v>9643</v>
      </c>
      <c r="D4958" s="41" t="s">
        <v>45</v>
      </c>
      <c r="E4958" s="41" t="s">
        <v>1298</v>
      </c>
      <c r="F4958" s="41" t="s">
        <v>11161</v>
      </c>
      <c r="G4958" s="41" t="s">
        <v>15134</v>
      </c>
      <c r="H4958" s="41" t="s">
        <v>15135</v>
      </c>
      <c r="I4958" s="43">
        <v>12</v>
      </c>
      <c r="J4958" s="44" t="str">
        <f>VLOOKUP(G4958,[1]硬件清单!$F:$F,1,0)</f>
        <v>214635717-30A</v>
      </c>
      <c r="K4958" s="43"/>
      <c r="L4958" s="44"/>
      <c r="M4958" s="45" t="s">
        <v>15136</v>
      </c>
    </row>
    <row r="4959" s="26" customFormat="1" ht="30" customHeight="1" spans="1:13">
      <c r="A4959" s="41">
        <f>IF(C4959="","",SUBTOTAL(103,$C$2:C4959))</f>
        <v>4950</v>
      </c>
      <c r="B4959" s="41">
        <v>3307</v>
      </c>
      <c r="C4959" s="41">
        <v>9644</v>
      </c>
      <c r="D4959" s="41" t="s">
        <v>45</v>
      </c>
      <c r="E4959" s="41" t="s">
        <v>1298</v>
      </c>
      <c r="F4959" s="41" t="s">
        <v>11161</v>
      </c>
      <c r="G4959" s="41" t="s">
        <v>15137</v>
      </c>
      <c r="H4959" s="41" t="s">
        <v>15138</v>
      </c>
      <c r="I4959" s="43">
        <v>12</v>
      </c>
      <c r="J4959" s="44" t="str">
        <f>VLOOKUP(G4959,[1]硬件清单!$F:$F,1,0)</f>
        <v>214635717-31A</v>
      </c>
      <c r="K4959" s="43"/>
      <c r="L4959" s="44"/>
      <c r="M4959" s="45" t="s">
        <v>15139</v>
      </c>
    </row>
    <row r="4960" s="26" customFormat="1" ht="30" customHeight="1" spans="1:13">
      <c r="A4960" s="41">
        <f>IF(C4960="","",SUBTOTAL(103,$C$2:C4960))</f>
        <v>4951</v>
      </c>
      <c r="B4960" s="41">
        <v>3308</v>
      </c>
      <c r="C4960" s="41">
        <v>9645</v>
      </c>
      <c r="D4960" s="41" t="s">
        <v>45</v>
      </c>
      <c r="E4960" s="41" t="s">
        <v>1298</v>
      </c>
      <c r="F4960" s="41" t="s">
        <v>11161</v>
      </c>
      <c r="G4960" s="41" t="s">
        <v>15140</v>
      </c>
      <c r="H4960" s="41" t="s">
        <v>15141</v>
      </c>
      <c r="I4960" s="43">
        <v>12</v>
      </c>
      <c r="J4960" s="44" t="str">
        <f>VLOOKUP(G4960,[1]硬件清单!$F:$F,1,0)</f>
        <v>214635717-32A</v>
      </c>
      <c r="K4960" s="43"/>
      <c r="L4960" s="44"/>
      <c r="M4960" s="45" t="s">
        <v>15142</v>
      </c>
    </row>
    <row r="4961" s="26" customFormat="1" ht="30" customHeight="1" spans="1:13">
      <c r="A4961" s="41">
        <f>IF(C4961="","",SUBTOTAL(103,$C$2:C4961))</f>
        <v>4952</v>
      </c>
      <c r="B4961" s="41">
        <v>3309</v>
      </c>
      <c r="C4961" s="41">
        <v>9646</v>
      </c>
      <c r="D4961" s="41" t="s">
        <v>45</v>
      </c>
      <c r="E4961" s="41" t="s">
        <v>1298</v>
      </c>
      <c r="F4961" s="41" t="s">
        <v>11161</v>
      </c>
      <c r="G4961" s="41" t="s">
        <v>15143</v>
      </c>
      <c r="H4961" s="41" t="s">
        <v>15144</v>
      </c>
      <c r="I4961" s="43">
        <v>12</v>
      </c>
      <c r="J4961" s="44" t="str">
        <f>VLOOKUP(G4961,[1]硬件清单!$F:$F,1,0)</f>
        <v>214635717-33A</v>
      </c>
      <c r="K4961" s="43"/>
      <c r="L4961" s="44"/>
      <c r="M4961" s="45" t="s">
        <v>15145</v>
      </c>
    </row>
    <row r="4962" s="26" customFormat="1" ht="30" customHeight="1" spans="1:13">
      <c r="A4962" s="41">
        <f>IF(C4962="","",SUBTOTAL(103,$C$2:C4962))</f>
        <v>4953</v>
      </c>
      <c r="B4962" s="41">
        <v>3310</v>
      </c>
      <c r="C4962" s="41">
        <v>9647</v>
      </c>
      <c r="D4962" s="41" t="s">
        <v>45</v>
      </c>
      <c r="E4962" s="41" t="s">
        <v>1298</v>
      </c>
      <c r="F4962" s="41" t="s">
        <v>11161</v>
      </c>
      <c r="G4962" s="41" t="s">
        <v>15146</v>
      </c>
      <c r="H4962" s="41" t="s">
        <v>15147</v>
      </c>
      <c r="I4962" s="43">
        <v>12</v>
      </c>
      <c r="J4962" s="44" t="str">
        <f>VLOOKUP(G4962,[1]硬件清单!$F:$F,1,0)</f>
        <v>214635717-34A</v>
      </c>
      <c r="K4962" s="43"/>
      <c r="L4962" s="44"/>
      <c r="M4962" s="45" t="s">
        <v>15148</v>
      </c>
    </row>
    <row r="4963" s="26" customFormat="1" ht="30" customHeight="1" spans="1:13">
      <c r="A4963" s="41">
        <f>IF(C4963="","",SUBTOTAL(103,$C$2:C4963))</f>
        <v>4954</v>
      </c>
      <c r="B4963" s="41">
        <v>3311</v>
      </c>
      <c r="C4963" s="41">
        <v>9648</v>
      </c>
      <c r="D4963" s="41" t="s">
        <v>45</v>
      </c>
      <c r="E4963" s="41" t="s">
        <v>1298</v>
      </c>
      <c r="F4963" s="41" t="s">
        <v>11161</v>
      </c>
      <c r="G4963" s="41" t="s">
        <v>15149</v>
      </c>
      <c r="H4963" s="41" t="s">
        <v>15150</v>
      </c>
      <c r="I4963" s="43">
        <v>12</v>
      </c>
      <c r="J4963" s="44" t="str">
        <f>VLOOKUP(G4963,[1]硬件清单!$F:$F,1,0)</f>
        <v>214635717-35A</v>
      </c>
      <c r="K4963" s="43"/>
      <c r="L4963" s="44"/>
      <c r="M4963" s="45" t="s">
        <v>15151</v>
      </c>
    </row>
    <row r="4964" s="26" customFormat="1" ht="30" customHeight="1" spans="1:13">
      <c r="A4964" s="41">
        <f>IF(C4964="","",SUBTOTAL(103,$C$2:C4964))</f>
        <v>4955</v>
      </c>
      <c r="B4964" s="41">
        <v>3312</v>
      </c>
      <c r="C4964" s="41">
        <v>9649</v>
      </c>
      <c r="D4964" s="41" t="s">
        <v>45</v>
      </c>
      <c r="E4964" s="41" t="s">
        <v>1298</v>
      </c>
      <c r="F4964" s="41" t="s">
        <v>11161</v>
      </c>
      <c r="G4964" s="41" t="s">
        <v>15152</v>
      </c>
      <c r="H4964" s="41" t="s">
        <v>15153</v>
      </c>
      <c r="I4964" s="43">
        <v>12</v>
      </c>
      <c r="J4964" s="44" t="str">
        <f>VLOOKUP(G4964,[1]硬件清单!$F:$F,1,0)</f>
        <v>214635717-36A</v>
      </c>
      <c r="K4964" s="43"/>
      <c r="L4964" s="44"/>
      <c r="M4964" s="45" t="s">
        <v>15154</v>
      </c>
    </row>
    <row r="4965" s="26" customFormat="1" ht="30" customHeight="1" spans="1:13">
      <c r="A4965" s="41">
        <f>IF(C4965="","",SUBTOTAL(103,$C$2:C4965))</f>
        <v>4956</v>
      </c>
      <c r="B4965" s="41">
        <v>3313</v>
      </c>
      <c r="C4965" s="41">
        <v>9650</v>
      </c>
      <c r="D4965" s="41" t="s">
        <v>45</v>
      </c>
      <c r="E4965" s="41" t="s">
        <v>1298</v>
      </c>
      <c r="F4965" s="41" t="s">
        <v>11161</v>
      </c>
      <c r="G4965" s="41" t="s">
        <v>15155</v>
      </c>
      <c r="H4965" s="41" t="s">
        <v>15156</v>
      </c>
      <c r="I4965" s="43">
        <v>12</v>
      </c>
      <c r="J4965" s="44" t="str">
        <f>VLOOKUP(G4965,[1]硬件清单!$F:$F,1,0)</f>
        <v>214635717-37A</v>
      </c>
      <c r="K4965" s="43"/>
      <c r="L4965" s="44"/>
      <c r="M4965" s="45" t="s">
        <v>15157</v>
      </c>
    </row>
    <row r="4966" s="26" customFormat="1" ht="30" customHeight="1" spans="1:13">
      <c r="A4966" s="41">
        <f>IF(C4966="","",SUBTOTAL(103,$C$2:C4966))</f>
        <v>4957</v>
      </c>
      <c r="B4966" s="41">
        <v>3314</v>
      </c>
      <c r="C4966" s="41">
        <v>9622</v>
      </c>
      <c r="D4966" s="41" t="s">
        <v>45</v>
      </c>
      <c r="E4966" s="41" t="s">
        <v>1298</v>
      </c>
      <c r="F4966" s="41" t="s">
        <v>11161</v>
      </c>
      <c r="G4966" s="41" t="s">
        <v>15158</v>
      </c>
      <c r="H4966" s="41" t="s">
        <v>15159</v>
      </c>
      <c r="I4966" s="43">
        <v>12</v>
      </c>
      <c r="J4966" s="44" t="str">
        <f>VLOOKUP(G4966,[1]硬件清单!$F:$F,1,0)</f>
        <v>214635717-04A</v>
      </c>
      <c r="K4966" s="43"/>
      <c r="L4966" s="44"/>
      <c r="M4966" s="45" t="s">
        <v>15160</v>
      </c>
    </row>
    <row r="4967" s="26" customFormat="1" ht="30" customHeight="1" spans="1:13">
      <c r="A4967" s="41">
        <f>IF(C4967="","",SUBTOTAL(103,$C$2:C4967))</f>
        <v>4958</v>
      </c>
      <c r="B4967" s="41">
        <v>3315</v>
      </c>
      <c r="C4967" s="41">
        <v>9623</v>
      </c>
      <c r="D4967" s="41" t="s">
        <v>45</v>
      </c>
      <c r="E4967" s="41" t="s">
        <v>1298</v>
      </c>
      <c r="F4967" s="41" t="s">
        <v>11161</v>
      </c>
      <c r="G4967" s="41" t="s">
        <v>15161</v>
      </c>
      <c r="H4967" s="41" t="s">
        <v>15162</v>
      </c>
      <c r="I4967" s="43">
        <v>12</v>
      </c>
      <c r="J4967" s="44" t="str">
        <f>VLOOKUP(G4967,[1]硬件清单!$F:$F,1,0)</f>
        <v>214635717-05A</v>
      </c>
      <c r="K4967" s="43"/>
      <c r="L4967" s="44"/>
      <c r="M4967" s="45" t="s">
        <v>15163</v>
      </c>
    </row>
    <row r="4968" s="26" customFormat="1" ht="30" customHeight="1" spans="1:13">
      <c r="A4968" s="41">
        <f>IF(C4968="","",SUBTOTAL(103,$C$2:C4968))</f>
        <v>4959</v>
      </c>
      <c r="B4968" s="41">
        <v>3316</v>
      </c>
      <c r="C4968" s="41">
        <v>9624</v>
      </c>
      <c r="D4968" s="41" t="s">
        <v>45</v>
      </c>
      <c r="E4968" s="41" t="s">
        <v>1298</v>
      </c>
      <c r="F4968" s="41" t="s">
        <v>11161</v>
      </c>
      <c r="G4968" s="41" t="s">
        <v>15164</v>
      </c>
      <c r="H4968" s="41" t="s">
        <v>15165</v>
      </c>
      <c r="I4968" s="43">
        <v>12</v>
      </c>
      <c r="J4968" s="44" t="str">
        <f>VLOOKUP(G4968,[1]硬件清单!$F:$F,1,0)</f>
        <v>214635717-06A</v>
      </c>
      <c r="K4968" s="43"/>
      <c r="L4968" s="44"/>
      <c r="M4968" s="45" t="s">
        <v>15166</v>
      </c>
    </row>
    <row r="4969" s="26" customFormat="1" ht="30" customHeight="1" spans="1:13">
      <c r="A4969" s="41">
        <f>IF(C4969="","",SUBTOTAL(103,$C$2:C4969))</f>
        <v>4960</v>
      </c>
      <c r="B4969" s="41">
        <v>3317</v>
      </c>
      <c r="C4969" s="41">
        <v>9625</v>
      </c>
      <c r="D4969" s="41" t="s">
        <v>45</v>
      </c>
      <c r="E4969" s="41" t="s">
        <v>1298</v>
      </c>
      <c r="F4969" s="41" t="s">
        <v>11161</v>
      </c>
      <c r="G4969" s="41" t="s">
        <v>15167</v>
      </c>
      <c r="H4969" s="41" t="s">
        <v>15168</v>
      </c>
      <c r="I4969" s="43">
        <v>12</v>
      </c>
      <c r="J4969" s="44" t="str">
        <f>VLOOKUP(G4969,[1]硬件清单!$F:$F,1,0)</f>
        <v>214635717-07A</v>
      </c>
      <c r="K4969" s="43"/>
      <c r="L4969" s="44"/>
      <c r="M4969" s="45" t="s">
        <v>15169</v>
      </c>
    </row>
    <row r="4970" s="26" customFormat="1" ht="30" customHeight="1" spans="1:13">
      <c r="A4970" s="41">
        <f>IF(C4970="","",SUBTOTAL(103,$C$2:C4970))</f>
        <v>4961</v>
      </c>
      <c r="B4970" s="41">
        <v>3318</v>
      </c>
      <c r="C4970" s="41">
        <v>9626</v>
      </c>
      <c r="D4970" s="41" t="s">
        <v>45</v>
      </c>
      <c r="E4970" s="41" t="s">
        <v>1298</v>
      </c>
      <c r="F4970" s="41" t="s">
        <v>11161</v>
      </c>
      <c r="G4970" s="41" t="s">
        <v>15170</v>
      </c>
      <c r="H4970" s="41" t="s">
        <v>15171</v>
      </c>
      <c r="I4970" s="43">
        <v>12</v>
      </c>
      <c r="J4970" s="44" t="str">
        <f>VLOOKUP(G4970,[1]硬件清单!$F:$F,1,0)</f>
        <v>214635717-08A</v>
      </c>
      <c r="K4970" s="43"/>
      <c r="L4970" s="44"/>
      <c r="M4970" s="45" t="s">
        <v>15172</v>
      </c>
    </row>
    <row r="4971" s="26" customFormat="1" ht="30" customHeight="1" spans="1:13">
      <c r="A4971" s="41">
        <f>IF(C4971="","",SUBTOTAL(103,$C$2:C4971))</f>
        <v>4962</v>
      </c>
      <c r="B4971" s="41">
        <v>3319</v>
      </c>
      <c r="C4971" s="41">
        <v>9627</v>
      </c>
      <c r="D4971" s="41" t="s">
        <v>45</v>
      </c>
      <c r="E4971" s="41" t="s">
        <v>1298</v>
      </c>
      <c r="F4971" s="41" t="s">
        <v>11161</v>
      </c>
      <c r="G4971" s="41" t="s">
        <v>15173</v>
      </c>
      <c r="H4971" s="41" t="s">
        <v>15174</v>
      </c>
      <c r="I4971" s="43">
        <v>12</v>
      </c>
      <c r="J4971" s="44" t="str">
        <f>VLOOKUP(G4971,[1]硬件清单!$F:$F,1,0)</f>
        <v>214635717-09A</v>
      </c>
      <c r="K4971" s="43"/>
      <c r="L4971" s="44"/>
      <c r="M4971" s="45" t="s">
        <v>15175</v>
      </c>
    </row>
    <row r="4972" s="26" customFormat="1" ht="30" customHeight="1" spans="1:13">
      <c r="A4972" s="41">
        <f>IF(C4972="","",SUBTOTAL(103,$C$2:C4972))</f>
        <v>4963</v>
      </c>
      <c r="B4972" s="41">
        <v>3320</v>
      </c>
      <c r="C4972" s="41">
        <v>9558</v>
      </c>
      <c r="D4972" s="41" t="s">
        <v>45</v>
      </c>
      <c r="E4972" s="41" t="s">
        <v>1298</v>
      </c>
      <c r="F4972" s="41" t="s">
        <v>11157</v>
      </c>
      <c r="G4972" s="41" t="s">
        <v>15176</v>
      </c>
      <c r="H4972" s="41" t="s">
        <v>15177</v>
      </c>
      <c r="I4972" s="43">
        <v>12</v>
      </c>
      <c r="J4972" s="44" t="str">
        <f>VLOOKUP(G4972,[1]硬件清单!$F:$F,1,0)</f>
        <v>214635750</v>
      </c>
      <c r="K4972" s="43"/>
      <c r="L4972" s="44"/>
      <c r="M4972" s="45" t="s">
        <v>15178</v>
      </c>
    </row>
    <row r="4973" s="26" customFormat="1" ht="30" customHeight="1" spans="1:13">
      <c r="A4973" s="41">
        <f>IF(C4973="","",SUBTOTAL(103,$C$2:C4973))</f>
        <v>4964</v>
      </c>
      <c r="B4973" s="41">
        <v>3321</v>
      </c>
      <c r="C4973" s="41">
        <v>9651</v>
      </c>
      <c r="D4973" s="41" t="s">
        <v>45</v>
      </c>
      <c r="E4973" s="41" t="s">
        <v>1298</v>
      </c>
      <c r="F4973" s="41" t="s">
        <v>11161</v>
      </c>
      <c r="G4973" s="41" t="s">
        <v>15179</v>
      </c>
      <c r="H4973" s="41" t="s">
        <v>15180</v>
      </c>
      <c r="I4973" s="43">
        <v>12</v>
      </c>
      <c r="J4973" s="44" t="str">
        <f>VLOOKUP(G4973,[1]硬件清单!$F:$F,1,0)</f>
        <v>214635750-01A</v>
      </c>
      <c r="K4973" s="43"/>
      <c r="L4973" s="44"/>
      <c r="M4973" s="45" t="s">
        <v>15181</v>
      </c>
    </row>
    <row r="4974" s="26" customFormat="1" ht="30" customHeight="1" spans="1:13">
      <c r="A4974" s="41">
        <f>IF(C4974="","",SUBTOTAL(103,$C$2:C4974))</f>
        <v>4965</v>
      </c>
      <c r="B4974" s="41">
        <v>3322</v>
      </c>
      <c r="C4974" s="41">
        <v>9660</v>
      </c>
      <c r="D4974" s="41" t="s">
        <v>45</v>
      </c>
      <c r="E4974" s="41" t="s">
        <v>1298</v>
      </c>
      <c r="F4974" s="41" t="s">
        <v>11161</v>
      </c>
      <c r="G4974" s="41" t="s">
        <v>15182</v>
      </c>
      <c r="H4974" s="41" t="s">
        <v>15183</v>
      </c>
      <c r="I4974" s="43">
        <v>12</v>
      </c>
      <c r="J4974" s="44" t="str">
        <f>VLOOKUP(G4974,[1]硬件清单!$F:$F,1,0)</f>
        <v>214635750-10A</v>
      </c>
      <c r="K4974" s="43"/>
      <c r="L4974" s="44"/>
      <c r="M4974" s="45" t="s">
        <v>15184</v>
      </c>
    </row>
    <row r="4975" s="26" customFormat="1" ht="30" customHeight="1" spans="1:13">
      <c r="A4975" s="41">
        <f>IF(C4975="","",SUBTOTAL(103,$C$2:C4975))</f>
        <v>4966</v>
      </c>
      <c r="B4975" s="41">
        <v>3323</v>
      </c>
      <c r="C4975" s="41">
        <v>9661</v>
      </c>
      <c r="D4975" s="41" t="s">
        <v>45</v>
      </c>
      <c r="E4975" s="41" t="s">
        <v>1298</v>
      </c>
      <c r="F4975" s="41" t="s">
        <v>11161</v>
      </c>
      <c r="G4975" s="41" t="s">
        <v>15185</v>
      </c>
      <c r="H4975" s="41" t="s">
        <v>15186</v>
      </c>
      <c r="I4975" s="43">
        <v>12</v>
      </c>
      <c r="J4975" s="44" t="str">
        <f>VLOOKUP(G4975,[1]硬件清单!$F:$F,1,0)</f>
        <v>214635750-11A</v>
      </c>
      <c r="K4975" s="43"/>
      <c r="L4975" s="44"/>
      <c r="M4975" s="45" t="s">
        <v>15187</v>
      </c>
    </row>
    <row r="4976" s="26" customFormat="1" ht="30" customHeight="1" spans="1:13">
      <c r="A4976" s="41">
        <f>IF(C4976="","",SUBTOTAL(103,$C$2:C4976))</f>
        <v>4967</v>
      </c>
      <c r="B4976" s="41">
        <v>3324</v>
      </c>
      <c r="C4976" s="41">
        <v>9662</v>
      </c>
      <c r="D4976" s="41" t="s">
        <v>45</v>
      </c>
      <c r="E4976" s="41" t="s">
        <v>1298</v>
      </c>
      <c r="F4976" s="41" t="s">
        <v>11161</v>
      </c>
      <c r="G4976" s="41" t="s">
        <v>15188</v>
      </c>
      <c r="H4976" s="41" t="s">
        <v>15189</v>
      </c>
      <c r="I4976" s="43">
        <v>12</v>
      </c>
      <c r="J4976" s="44" t="str">
        <f>VLOOKUP(G4976,[1]硬件清单!$F:$F,1,0)</f>
        <v>214635750-12A</v>
      </c>
      <c r="K4976" s="43"/>
      <c r="L4976" s="44"/>
      <c r="M4976" s="45" t="s">
        <v>15190</v>
      </c>
    </row>
    <row r="4977" s="26" customFormat="1" ht="30" customHeight="1" spans="1:13">
      <c r="A4977" s="41">
        <f>IF(C4977="","",SUBTOTAL(103,$C$2:C4977))</f>
        <v>4968</v>
      </c>
      <c r="B4977" s="41">
        <v>3325</v>
      </c>
      <c r="C4977" s="41">
        <v>9663</v>
      </c>
      <c r="D4977" s="41" t="s">
        <v>45</v>
      </c>
      <c r="E4977" s="41" t="s">
        <v>1298</v>
      </c>
      <c r="F4977" s="41" t="s">
        <v>11161</v>
      </c>
      <c r="G4977" s="41" t="s">
        <v>15191</v>
      </c>
      <c r="H4977" s="41" t="s">
        <v>15192</v>
      </c>
      <c r="I4977" s="43">
        <v>12</v>
      </c>
      <c r="J4977" s="44" t="str">
        <f>VLOOKUP(G4977,[1]硬件清单!$F:$F,1,0)</f>
        <v>214635750-13A</v>
      </c>
      <c r="K4977" s="43"/>
      <c r="L4977" s="44"/>
      <c r="M4977" s="45" t="s">
        <v>15193</v>
      </c>
    </row>
    <row r="4978" s="26" customFormat="1" ht="30" customHeight="1" spans="1:13">
      <c r="A4978" s="41">
        <f>IF(C4978="","",SUBTOTAL(103,$C$2:C4978))</f>
        <v>4969</v>
      </c>
      <c r="B4978" s="41">
        <v>3326</v>
      </c>
      <c r="C4978" s="41">
        <v>9664</v>
      </c>
      <c r="D4978" s="41" t="s">
        <v>45</v>
      </c>
      <c r="E4978" s="41" t="s">
        <v>1298</v>
      </c>
      <c r="F4978" s="41" t="s">
        <v>11161</v>
      </c>
      <c r="G4978" s="41" t="s">
        <v>15194</v>
      </c>
      <c r="H4978" s="41" t="s">
        <v>15195</v>
      </c>
      <c r="I4978" s="43">
        <v>12</v>
      </c>
      <c r="J4978" s="44" t="str">
        <f>VLOOKUP(G4978,[1]硬件清单!$F:$F,1,0)</f>
        <v>214635750-14A</v>
      </c>
      <c r="K4978" s="43"/>
      <c r="L4978" s="44"/>
      <c r="M4978" s="45" t="s">
        <v>15196</v>
      </c>
    </row>
    <row r="4979" s="26" customFormat="1" ht="30" customHeight="1" spans="1:13">
      <c r="A4979" s="41">
        <f>IF(C4979="","",SUBTOTAL(103,$C$2:C4979))</f>
        <v>4970</v>
      </c>
      <c r="B4979" s="41">
        <v>3327</v>
      </c>
      <c r="C4979" s="41">
        <v>9665</v>
      </c>
      <c r="D4979" s="41" t="s">
        <v>45</v>
      </c>
      <c r="E4979" s="41" t="s">
        <v>1298</v>
      </c>
      <c r="F4979" s="41" t="s">
        <v>11161</v>
      </c>
      <c r="G4979" s="41" t="s">
        <v>15197</v>
      </c>
      <c r="H4979" s="41" t="s">
        <v>15198</v>
      </c>
      <c r="I4979" s="43">
        <v>12</v>
      </c>
      <c r="J4979" s="44" t="str">
        <f>VLOOKUP(G4979,[1]硬件清单!$F:$F,1,0)</f>
        <v>214635750-15A</v>
      </c>
      <c r="K4979" s="43"/>
      <c r="L4979" s="44"/>
      <c r="M4979" s="45" t="s">
        <v>15199</v>
      </c>
    </row>
    <row r="4980" s="26" customFormat="1" ht="30" customHeight="1" spans="1:13">
      <c r="A4980" s="41">
        <f>IF(C4980="","",SUBTOTAL(103,$C$2:C4980))</f>
        <v>4971</v>
      </c>
      <c r="B4980" s="41">
        <v>3328</v>
      </c>
      <c r="C4980" s="41">
        <v>9666</v>
      </c>
      <c r="D4980" s="41" t="s">
        <v>45</v>
      </c>
      <c r="E4980" s="41" t="s">
        <v>1298</v>
      </c>
      <c r="F4980" s="41" t="s">
        <v>11161</v>
      </c>
      <c r="G4980" s="41" t="s">
        <v>15200</v>
      </c>
      <c r="H4980" s="41" t="s">
        <v>15201</v>
      </c>
      <c r="I4980" s="43">
        <v>12</v>
      </c>
      <c r="J4980" s="44" t="str">
        <f>VLOOKUP(G4980,[1]硬件清单!$F:$F,1,0)</f>
        <v>214635750-16A</v>
      </c>
      <c r="K4980" s="43"/>
      <c r="L4980" s="44"/>
      <c r="M4980" s="45" t="s">
        <v>15202</v>
      </c>
    </row>
    <row r="4981" s="26" customFormat="1" ht="30" customHeight="1" spans="1:13">
      <c r="A4981" s="41">
        <f>IF(C4981="","",SUBTOTAL(103,$C$2:C4981))</f>
        <v>4972</v>
      </c>
      <c r="B4981" s="41">
        <v>3329</v>
      </c>
      <c r="C4981" s="41">
        <v>9667</v>
      </c>
      <c r="D4981" s="41" t="s">
        <v>45</v>
      </c>
      <c r="E4981" s="41" t="s">
        <v>1298</v>
      </c>
      <c r="F4981" s="41" t="s">
        <v>11161</v>
      </c>
      <c r="G4981" s="41" t="s">
        <v>15203</v>
      </c>
      <c r="H4981" s="41" t="s">
        <v>15204</v>
      </c>
      <c r="I4981" s="43">
        <v>12</v>
      </c>
      <c r="J4981" s="44" t="str">
        <f>VLOOKUP(G4981,[1]硬件清单!$F:$F,1,0)</f>
        <v>214635750-17A</v>
      </c>
      <c r="K4981" s="43"/>
      <c r="L4981" s="44"/>
      <c r="M4981" s="45" t="s">
        <v>15205</v>
      </c>
    </row>
    <row r="4982" s="26" customFormat="1" ht="30" customHeight="1" spans="1:13">
      <c r="A4982" s="41">
        <f>IF(C4982="","",SUBTOTAL(103,$C$2:C4982))</f>
        <v>4973</v>
      </c>
      <c r="B4982" s="41">
        <v>3330</v>
      </c>
      <c r="C4982" s="41">
        <v>9668</v>
      </c>
      <c r="D4982" s="41" t="s">
        <v>45</v>
      </c>
      <c r="E4982" s="41" t="s">
        <v>1298</v>
      </c>
      <c r="F4982" s="41" t="s">
        <v>11161</v>
      </c>
      <c r="G4982" s="41" t="s">
        <v>15206</v>
      </c>
      <c r="H4982" s="41" t="s">
        <v>15207</v>
      </c>
      <c r="I4982" s="43">
        <v>12</v>
      </c>
      <c r="J4982" s="44" t="str">
        <f>VLOOKUP(G4982,[1]硬件清单!$F:$F,1,0)</f>
        <v>214635750-18A</v>
      </c>
      <c r="K4982" s="43"/>
      <c r="L4982" s="44"/>
      <c r="M4982" s="45" t="s">
        <v>15208</v>
      </c>
    </row>
    <row r="4983" s="26" customFormat="1" ht="30" customHeight="1" spans="1:13">
      <c r="A4983" s="41">
        <f>IF(C4983="","",SUBTOTAL(103,$C$2:C4983))</f>
        <v>4974</v>
      </c>
      <c r="B4983" s="41">
        <v>3331</v>
      </c>
      <c r="C4983" s="41">
        <v>9669</v>
      </c>
      <c r="D4983" s="41" t="s">
        <v>45</v>
      </c>
      <c r="E4983" s="41" t="s">
        <v>1298</v>
      </c>
      <c r="F4983" s="41" t="s">
        <v>11161</v>
      </c>
      <c r="G4983" s="41" t="s">
        <v>15209</v>
      </c>
      <c r="H4983" s="41" t="s">
        <v>15210</v>
      </c>
      <c r="I4983" s="43">
        <v>12</v>
      </c>
      <c r="J4983" s="44" t="str">
        <f>VLOOKUP(G4983,[1]硬件清单!$F:$F,1,0)</f>
        <v>214635750-19A</v>
      </c>
      <c r="K4983" s="43"/>
      <c r="L4983" s="44"/>
      <c r="M4983" s="45" t="s">
        <v>15211</v>
      </c>
    </row>
    <row r="4984" s="26" customFormat="1" ht="30" customHeight="1" spans="1:13">
      <c r="A4984" s="41">
        <f>IF(C4984="","",SUBTOTAL(103,$C$2:C4984))</f>
        <v>4975</v>
      </c>
      <c r="B4984" s="41">
        <v>3332</v>
      </c>
      <c r="C4984" s="41">
        <v>9652</v>
      </c>
      <c r="D4984" s="41" t="s">
        <v>45</v>
      </c>
      <c r="E4984" s="41" t="s">
        <v>1298</v>
      </c>
      <c r="F4984" s="41" t="s">
        <v>11161</v>
      </c>
      <c r="G4984" s="41" t="s">
        <v>15212</v>
      </c>
      <c r="H4984" s="41" t="s">
        <v>15213</v>
      </c>
      <c r="I4984" s="43">
        <v>12</v>
      </c>
      <c r="J4984" s="44" t="str">
        <f>VLOOKUP(G4984,[1]硬件清单!$F:$F,1,0)</f>
        <v>214635750-02A</v>
      </c>
      <c r="K4984" s="43"/>
      <c r="L4984" s="44"/>
      <c r="M4984" s="45" t="s">
        <v>15214</v>
      </c>
    </row>
    <row r="4985" s="26" customFormat="1" ht="30" customHeight="1" spans="1:13">
      <c r="A4985" s="41">
        <f>IF(C4985="","",SUBTOTAL(103,$C$2:C4985))</f>
        <v>4976</v>
      </c>
      <c r="B4985" s="41">
        <v>3333</v>
      </c>
      <c r="C4985" s="41">
        <v>9670</v>
      </c>
      <c r="D4985" s="41" t="s">
        <v>45</v>
      </c>
      <c r="E4985" s="41" t="s">
        <v>1298</v>
      </c>
      <c r="F4985" s="41" t="s">
        <v>11161</v>
      </c>
      <c r="G4985" s="41" t="s">
        <v>15215</v>
      </c>
      <c r="H4985" s="41" t="s">
        <v>15216</v>
      </c>
      <c r="I4985" s="43">
        <v>12</v>
      </c>
      <c r="J4985" s="44" t="str">
        <f>VLOOKUP(G4985,[1]硬件清单!$F:$F,1,0)</f>
        <v>214635750-20A</v>
      </c>
      <c r="K4985" s="43"/>
      <c r="L4985" s="44"/>
      <c r="M4985" s="45" t="s">
        <v>15217</v>
      </c>
    </row>
    <row r="4986" s="26" customFormat="1" ht="30" customHeight="1" spans="1:13">
      <c r="A4986" s="41">
        <f>IF(C4986="","",SUBTOTAL(103,$C$2:C4986))</f>
        <v>4977</v>
      </c>
      <c r="B4986" s="41">
        <v>3334</v>
      </c>
      <c r="C4986" s="41">
        <v>9671</v>
      </c>
      <c r="D4986" s="41" t="s">
        <v>45</v>
      </c>
      <c r="E4986" s="41" t="s">
        <v>1298</v>
      </c>
      <c r="F4986" s="41" t="s">
        <v>11161</v>
      </c>
      <c r="G4986" s="41" t="s">
        <v>15218</v>
      </c>
      <c r="H4986" s="41" t="s">
        <v>15219</v>
      </c>
      <c r="I4986" s="43">
        <v>12</v>
      </c>
      <c r="J4986" s="44" t="str">
        <f>VLOOKUP(G4986,[1]硬件清单!$F:$F,1,0)</f>
        <v>214635750-26A</v>
      </c>
      <c r="K4986" s="43"/>
      <c r="L4986" s="44"/>
      <c r="M4986" s="45" t="s">
        <v>15220</v>
      </c>
    </row>
    <row r="4987" s="26" customFormat="1" ht="30" customHeight="1" spans="1:13">
      <c r="A4987" s="41">
        <f>IF(C4987="","",SUBTOTAL(103,$C$2:C4987))</f>
        <v>4978</v>
      </c>
      <c r="B4987" s="41">
        <v>3335</v>
      </c>
      <c r="C4987" s="41">
        <v>9672</v>
      </c>
      <c r="D4987" s="41" t="s">
        <v>45</v>
      </c>
      <c r="E4987" s="41" t="s">
        <v>1298</v>
      </c>
      <c r="F4987" s="41" t="s">
        <v>11161</v>
      </c>
      <c r="G4987" s="41" t="s">
        <v>15221</v>
      </c>
      <c r="H4987" s="41" t="s">
        <v>15222</v>
      </c>
      <c r="I4987" s="43">
        <v>12</v>
      </c>
      <c r="J4987" s="44" t="str">
        <f>VLOOKUP(G4987,[1]硬件清单!$F:$F,1,0)</f>
        <v>214635750-27A</v>
      </c>
      <c r="K4987" s="43"/>
      <c r="L4987" s="44"/>
      <c r="M4987" s="45" t="s">
        <v>15223</v>
      </c>
    </row>
    <row r="4988" s="26" customFormat="1" ht="30" customHeight="1" spans="1:13">
      <c r="A4988" s="41">
        <f>IF(C4988="","",SUBTOTAL(103,$C$2:C4988))</f>
        <v>4979</v>
      </c>
      <c r="B4988" s="41">
        <v>3336</v>
      </c>
      <c r="C4988" s="41">
        <v>9673</v>
      </c>
      <c r="D4988" s="41" t="s">
        <v>45</v>
      </c>
      <c r="E4988" s="41" t="s">
        <v>1298</v>
      </c>
      <c r="F4988" s="41" t="s">
        <v>11161</v>
      </c>
      <c r="G4988" s="41" t="s">
        <v>15224</v>
      </c>
      <c r="H4988" s="41" t="s">
        <v>15225</v>
      </c>
      <c r="I4988" s="43">
        <v>12</v>
      </c>
      <c r="J4988" s="44" t="str">
        <f>VLOOKUP(G4988,[1]硬件清单!$F:$F,1,0)</f>
        <v>214635750-28A</v>
      </c>
      <c r="K4988" s="43"/>
      <c r="L4988" s="44"/>
      <c r="M4988" s="45" t="s">
        <v>15226</v>
      </c>
    </row>
    <row r="4989" s="26" customFormat="1" ht="30" customHeight="1" spans="1:13">
      <c r="A4989" s="41">
        <f>IF(C4989="","",SUBTOTAL(103,$C$2:C4989))</f>
        <v>4980</v>
      </c>
      <c r="B4989" s="41">
        <v>3337</v>
      </c>
      <c r="C4989" s="41">
        <v>9674</v>
      </c>
      <c r="D4989" s="41" t="s">
        <v>45</v>
      </c>
      <c r="E4989" s="41" t="s">
        <v>1298</v>
      </c>
      <c r="F4989" s="41" t="s">
        <v>11161</v>
      </c>
      <c r="G4989" s="41" t="s">
        <v>15227</v>
      </c>
      <c r="H4989" s="41" t="s">
        <v>15228</v>
      </c>
      <c r="I4989" s="43">
        <v>12</v>
      </c>
      <c r="J4989" s="44" t="str">
        <f>VLOOKUP(G4989,[1]硬件清单!$F:$F,1,0)</f>
        <v>214635750-29A</v>
      </c>
      <c r="K4989" s="43"/>
      <c r="L4989" s="44"/>
      <c r="M4989" s="45" t="s">
        <v>15229</v>
      </c>
    </row>
    <row r="4990" s="26" customFormat="1" ht="30" customHeight="1" spans="1:13">
      <c r="A4990" s="41">
        <f>IF(C4990="","",SUBTOTAL(103,$C$2:C4990))</f>
        <v>4981</v>
      </c>
      <c r="B4990" s="41">
        <v>3338</v>
      </c>
      <c r="C4990" s="41">
        <v>9653</v>
      </c>
      <c r="D4990" s="41" t="s">
        <v>45</v>
      </c>
      <c r="E4990" s="41" t="s">
        <v>1298</v>
      </c>
      <c r="F4990" s="41" t="s">
        <v>11161</v>
      </c>
      <c r="G4990" s="41" t="s">
        <v>15230</v>
      </c>
      <c r="H4990" s="41" t="s">
        <v>15231</v>
      </c>
      <c r="I4990" s="43">
        <v>12</v>
      </c>
      <c r="J4990" s="44" t="str">
        <f>VLOOKUP(G4990,[1]硬件清单!$F:$F,1,0)</f>
        <v>214635750-03A</v>
      </c>
      <c r="K4990" s="43"/>
      <c r="L4990" s="44"/>
      <c r="M4990" s="45" t="s">
        <v>15232</v>
      </c>
    </row>
    <row r="4991" s="26" customFormat="1" ht="30" customHeight="1" spans="1:13">
      <c r="A4991" s="41">
        <f>IF(C4991="","",SUBTOTAL(103,$C$2:C4991))</f>
        <v>4982</v>
      </c>
      <c r="B4991" s="41">
        <v>3339</v>
      </c>
      <c r="C4991" s="41">
        <v>9675</v>
      </c>
      <c r="D4991" s="41" t="s">
        <v>45</v>
      </c>
      <c r="E4991" s="41" t="s">
        <v>1298</v>
      </c>
      <c r="F4991" s="41" t="s">
        <v>11161</v>
      </c>
      <c r="G4991" s="41" t="s">
        <v>15233</v>
      </c>
      <c r="H4991" s="41" t="s">
        <v>15234</v>
      </c>
      <c r="I4991" s="43">
        <v>12</v>
      </c>
      <c r="J4991" s="44" t="str">
        <f>VLOOKUP(G4991,[1]硬件清单!$F:$F,1,0)</f>
        <v>214635750-30A</v>
      </c>
      <c r="K4991" s="43"/>
      <c r="L4991" s="44"/>
      <c r="M4991" s="45" t="s">
        <v>15235</v>
      </c>
    </row>
    <row r="4992" s="26" customFormat="1" ht="30" customHeight="1" spans="1:13">
      <c r="A4992" s="41">
        <f>IF(C4992="","",SUBTOTAL(103,$C$2:C4992))</f>
        <v>4983</v>
      </c>
      <c r="B4992" s="41">
        <v>3340</v>
      </c>
      <c r="C4992" s="41">
        <v>9676</v>
      </c>
      <c r="D4992" s="41" t="s">
        <v>45</v>
      </c>
      <c r="E4992" s="41" t="s">
        <v>1298</v>
      </c>
      <c r="F4992" s="41" t="s">
        <v>11161</v>
      </c>
      <c r="G4992" s="41" t="s">
        <v>15236</v>
      </c>
      <c r="H4992" s="41" t="s">
        <v>15237</v>
      </c>
      <c r="I4992" s="43">
        <v>12</v>
      </c>
      <c r="J4992" s="44" t="str">
        <f>VLOOKUP(G4992,[1]硬件清单!$F:$F,1,0)</f>
        <v>214635750-31A</v>
      </c>
      <c r="K4992" s="43"/>
      <c r="L4992" s="44"/>
      <c r="M4992" s="45" t="s">
        <v>15238</v>
      </c>
    </row>
    <row r="4993" s="26" customFormat="1" ht="30" customHeight="1" spans="1:13">
      <c r="A4993" s="41">
        <f>IF(C4993="","",SUBTOTAL(103,$C$2:C4993))</f>
        <v>4984</v>
      </c>
      <c r="B4993" s="41">
        <v>3341</v>
      </c>
      <c r="C4993" s="41">
        <v>9677</v>
      </c>
      <c r="D4993" s="41" t="s">
        <v>45</v>
      </c>
      <c r="E4993" s="41" t="s">
        <v>1298</v>
      </c>
      <c r="F4993" s="41" t="s">
        <v>11161</v>
      </c>
      <c r="G4993" s="41" t="s">
        <v>15239</v>
      </c>
      <c r="H4993" s="41" t="s">
        <v>15240</v>
      </c>
      <c r="I4993" s="43">
        <v>12</v>
      </c>
      <c r="J4993" s="44" t="str">
        <f>VLOOKUP(G4993,[1]硬件清单!$F:$F,1,0)</f>
        <v>214635750-32A</v>
      </c>
      <c r="K4993" s="43"/>
      <c r="L4993" s="44"/>
      <c r="M4993" s="45" t="s">
        <v>15241</v>
      </c>
    </row>
    <row r="4994" s="26" customFormat="1" ht="30" customHeight="1" spans="1:13">
      <c r="A4994" s="41">
        <f>IF(C4994="","",SUBTOTAL(103,$C$2:C4994))</f>
        <v>4985</v>
      </c>
      <c r="B4994" s="41">
        <v>3342</v>
      </c>
      <c r="C4994" s="41">
        <v>9678</v>
      </c>
      <c r="D4994" s="41" t="s">
        <v>45</v>
      </c>
      <c r="E4994" s="41" t="s">
        <v>1298</v>
      </c>
      <c r="F4994" s="41" t="s">
        <v>11161</v>
      </c>
      <c r="G4994" s="41" t="s">
        <v>15242</v>
      </c>
      <c r="H4994" s="41" t="s">
        <v>15243</v>
      </c>
      <c r="I4994" s="43">
        <v>12</v>
      </c>
      <c r="J4994" s="44" t="str">
        <f>VLOOKUP(G4994,[1]硬件清单!$F:$F,1,0)</f>
        <v>214635750-33A</v>
      </c>
      <c r="K4994" s="43"/>
      <c r="L4994" s="44"/>
      <c r="M4994" s="45" t="s">
        <v>15244</v>
      </c>
    </row>
    <row r="4995" s="26" customFormat="1" ht="30" customHeight="1" spans="1:13">
      <c r="A4995" s="41">
        <f>IF(C4995="","",SUBTOTAL(103,$C$2:C4995))</f>
        <v>4986</v>
      </c>
      <c r="B4995" s="41">
        <v>3343</v>
      </c>
      <c r="C4995" s="41">
        <v>9679</v>
      </c>
      <c r="D4995" s="41" t="s">
        <v>45</v>
      </c>
      <c r="E4995" s="41" t="s">
        <v>1298</v>
      </c>
      <c r="F4995" s="41" t="s">
        <v>11161</v>
      </c>
      <c r="G4995" s="41" t="s">
        <v>15245</v>
      </c>
      <c r="H4995" s="41" t="s">
        <v>15246</v>
      </c>
      <c r="I4995" s="43">
        <v>12</v>
      </c>
      <c r="J4995" s="44" t="str">
        <f>VLOOKUP(G4995,[1]硬件清单!$F:$F,1,0)</f>
        <v>214635750-34A</v>
      </c>
      <c r="K4995" s="43"/>
      <c r="L4995" s="44"/>
      <c r="M4995" s="45" t="s">
        <v>15247</v>
      </c>
    </row>
    <row r="4996" s="26" customFormat="1" ht="30" customHeight="1" spans="1:13">
      <c r="A4996" s="41">
        <f>IF(C4996="","",SUBTOTAL(103,$C$2:C4996))</f>
        <v>4987</v>
      </c>
      <c r="B4996" s="41">
        <v>3344</v>
      </c>
      <c r="C4996" s="41">
        <v>9680</v>
      </c>
      <c r="D4996" s="41" t="s">
        <v>45</v>
      </c>
      <c r="E4996" s="41" t="s">
        <v>1298</v>
      </c>
      <c r="F4996" s="41" t="s">
        <v>11161</v>
      </c>
      <c r="G4996" s="41" t="s">
        <v>15248</v>
      </c>
      <c r="H4996" s="41" t="s">
        <v>15249</v>
      </c>
      <c r="I4996" s="43">
        <v>12</v>
      </c>
      <c r="J4996" s="44" t="str">
        <f>VLOOKUP(G4996,[1]硬件清单!$F:$F,1,0)</f>
        <v>214635750-35A</v>
      </c>
      <c r="K4996" s="43"/>
      <c r="L4996" s="44"/>
      <c r="M4996" s="45" t="s">
        <v>15250</v>
      </c>
    </row>
    <row r="4997" s="26" customFormat="1" ht="30" customHeight="1" spans="1:13">
      <c r="A4997" s="41">
        <f>IF(C4997="","",SUBTOTAL(103,$C$2:C4997))</f>
        <v>4988</v>
      </c>
      <c r="B4997" s="41">
        <v>3345</v>
      </c>
      <c r="C4997" s="41">
        <v>9681</v>
      </c>
      <c r="D4997" s="41" t="s">
        <v>45</v>
      </c>
      <c r="E4997" s="41" t="s">
        <v>1298</v>
      </c>
      <c r="F4997" s="41" t="s">
        <v>11161</v>
      </c>
      <c r="G4997" s="41" t="s">
        <v>15251</v>
      </c>
      <c r="H4997" s="41" t="s">
        <v>15252</v>
      </c>
      <c r="I4997" s="43">
        <v>12</v>
      </c>
      <c r="J4997" s="44" t="str">
        <f>VLOOKUP(G4997,[1]硬件清单!$F:$F,1,0)</f>
        <v>214635750-36A</v>
      </c>
      <c r="K4997" s="43"/>
      <c r="L4997" s="44"/>
      <c r="M4997" s="45" t="s">
        <v>15253</v>
      </c>
    </row>
    <row r="4998" s="26" customFormat="1" ht="30" customHeight="1" spans="1:13">
      <c r="A4998" s="41">
        <f>IF(C4998="","",SUBTOTAL(103,$C$2:C4998))</f>
        <v>4989</v>
      </c>
      <c r="B4998" s="41">
        <v>3346</v>
      </c>
      <c r="C4998" s="41">
        <v>9682</v>
      </c>
      <c r="D4998" s="41" t="s">
        <v>45</v>
      </c>
      <c r="E4998" s="41" t="s">
        <v>1298</v>
      </c>
      <c r="F4998" s="41" t="s">
        <v>11161</v>
      </c>
      <c r="G4998" s="41" t="s">
        <v>15254</v>
      </c>
      <c r="H4998" s="41" t="s">
        <v>15255</v>
      </c>
      <c r="I4998" s="43">
        <v>12</v>
      </c>
      <c r="J4998" s="44" t="str">
        <f>VLOOKUP(G4998,[1]硬件清单!$F:$F,1,0)</f>
        <v>214635750-37A</v>
      </c>
      <c r="K4998" s="43"/>
      <c r="L4998" s="44"/>
      <c r="M4998" s="45" t="s">
        <v>15256</v>
      </c>
    </row>
    <row r="4999" s="26" customFormat="1" ht="30" customHeight="1" spans="1:13">
      <c r="A4999" s="41">
        <f>IF(C4999="","",SUBTOTAL(103,$C$2:C4999))</f>
        <v>4990</v>
      </c>
      <c r="B4999" s="41">
        <v>3347</v>
      </c>
      <c r="C4999" s="41">
        <v>9654</v>
      </c>
      <c r="D4999" s="41" t="s">
        <v>45</v>
      </c>
      <c r="E4999" s="41" t="s">
        <v>1298</v>
      </c>
      <c r="F4999" s="41" t="s">
        <v>11161</v>
      </c>
      <c r="G4999" s="41" t="s">
        <v>15257</v>
      </c>
      <c r="H4999" s="41" t="s">
        <v>15258</v>
      </c>
      <c r="I4999" s="43">
        <v>12</v>
      </c>
      <c r="J4999" s="44" t="str">
        <f>VLOOKUP(G4999,[1]硬件清单!$F:$F,1,0)</f>
        <v>214635750-04A</v>
      </c>
      <c r="K4999" s="43"/>
      <c r="L4999" s="44"/>
      <c r="M4999" s="45" t="s">
        <v>15259</v>
      </c>
    </row>
    <row r="5000" s="26" customFormat="1" ht="30" customHeight="1" spans="1:13">
      <c r="A5000" s="41">
        <f>IF(C5000="","",SUBTOTAL(103,$C$2:C5000))</f>
        <v>4991</v>
      </c>
      <c r="B5000" s="41">
        <v>3348</v>
      </c>
      <c r="C5000" s="41">
        <v>9655</v>
      </c>
      <c r="D5000" s="41" t="s">
        <v>45</v>
      </c>
      <c r="E5000" s="41" t="s">
        <v>1298</v>
      </c>
      <c r="F5000" s="41" t="s">
        <v>11161</v>
      </c>
      <c r="G5000" s="41" t="s">
        <v>15260</v>
      </c>
      <c r="H5000" s="41" t="s">
        <v>15261</v>
      </c>
      <c r="I5000" s="43">
        <v>12</v>
      </c>
      <c r="J5000" s="44" t="str">
        <f>VLOOKUP(G5000,[1]硬件清单!$F:$F,1,0)</f>
        <v>214635750-05A</v>
      </c>
      <c r="K5000" s="43"/>
      <c r="L5000" s="44"/>
      <c r="M5000" s="45" t="s">
        <v>15262</v>
      </c>
    </row>
    <row r="5001" s="26" customFormat="1" ht="30" customHeight="1" spans="1:13">
      <c r="A5001" s="41">
        <f>IF(C5001="","",SUBTOTAL(103,$C$2:C5001))</f>
        <v>4992</v>
      </c>
      <c r="B5001" s="41">
        <v>3349</v>
      </c>
      <c r="C5001" s="41">
        <v>9656</v>
      </c>
      <c r="D5001" s="41" t="s">
        <v>45</v>
      </c>
      <c r="E5001" s="41" t="s">
        <v>1298</v>
      </c>
      <c r="F5001" s="41" t="s">
        <v>11161</v>
      </c>
      <c r="G5001" s="41" t="s">
        <v>15263</v>
      </c>
      <c r="H5001" s="41" t="s">
        <v>15264</v>
      </c>
      <c r="I5001" s="43">
        <v>12</v>
      </c>
      <c r="J5001" s="44" t="str">
        <f>VLOOKUP(G5001,[1]硬件清单!$F:$F,1,0)</f>
        <v>214635750-06A</v>
      </c>
      <c r="K5001" s="43"/>
      <c r="L5001" s="44"/>
      <c r="M5001" s="45" t="s">
        <v>15265</v>
      </c>
    </row>
    <row r="5002" s="26" customFormat="1" ht="30" customHeight="1" spans="1:13">
      <c r="A5002" s="41">
        <f>IF(C5002="","",SUBTOTAL(103,$C$2:C5002))</f>
        <v>4993</v>
      </c>
      <c r="B5002" s="41">
        <v>3350</v>
      </c>
      <c r="C5002" s="41">
        <v>9657</v>
      </c>
      <c r="D5002" s="41" t="s">
        <v>45</v>
      </c>
      <c r="E5002" s="41" t="s">
        <v>1298</v>
      </c>
      <c r="F5002" s="41" t="s">
        <v>11161</v>
      </c>
      <c r="G5002" s="41" t="s">
        <v>15266</v>
      </c>
      <c r="H5002" s="41" t="s">
        <v>15267</v>
      </c>
      <c r="I5002" s="43">
        <v>12</v>
      </c>
      <c r="J5002" s="44" t="str">
        <f>VLOOKUP(G5002,[1]硬件清单!$F:$F,1,0)</f>
        <v>214635750-07A</v>
      </c>
      <c r="K5002" s="43"/>
      <c r="L5002" s="44"/>
      <c r="M5002" s="45" t="s">
        <v>15268</v>
      </c>
    </row>
    <row r="5003" s="26" customFormat="1" ht="30" customHeight="1" spans="1:13">
      <c r="A5003" s="41">
        <f>IF(C5003="","",SUBTOTAL(103,$C$2:C5003))</f>
        <v>4994</v>
      </c>
      <c r="B5003" s="41">
        <v>3352</v>
      </c>
      <c r="C5003" s="41">
        <v>9659</v>
      </c>
      <c r="D5003" s="41" t="s">
        <v>45</v>
      </c>
      <c r="E5003" s="41" t="s">
        <v>1298</v>
      </c>
      <c r="F5003" s="41" t="s">
        <v>11161</v>
      </c>
      <c r="G5003" s="41" t="s">
        <v>15269</v>
      </c>
      <c r="H5003" s="41" t="s">
        <v>15270</v>
      </c>
      <c r="I5003" s="43">
        <v>12</v>
      </c>
      <c r="J5003" s="44" t="str">
        <f>VLOOKUP(G5003,[1]硬件清单!$F:$F,1,0)</f>
        <v>214635750-09A</v>
      </c>
      <c r="K5003" s="43"/>
      <c r="L5003" s="44"/>
      <c r="M5003" s="45" t="s">
        <v>15271</v>
      </c>
    </row>
    <row r="5004" s="26" customFormat="1" ht="30" customHeight="1" spans="1:13">
      <c r="A5004" s="41">
        <f>IF(C5004="","",SUBTOTAL(103,$C$2:C5004))</f>
        <v>4995</v>
      </c>
      <c r="B5004" s="41">
        <v>3353</v>
      </c>
      <c r="C5004" s="41">
        <v>9799</v>
      </c>
      <c r="D5004" s="41" t="s">
        <v>45</v>
      </c>
      <c r="E5004" s="41" t="s">
        <v>1298</v>
      </c>
      <c r="F5004" s="41" t="s">
        <v>11157</v>
      </c>
      <c r="G5004" s="41" t="s">
        <v>15272</v>
      </c>
      <c r="H5004" s="41" t="s">
        <v>15273</v>
      </c>
      <c r="I5004" s="43">
        <v>12</v>
      </c>
      <c r="J5004" s="44" t="str">
        <f>VLOOKUP(G5004,[1]硬件清单!$F:$F,1,0)</f>
        <v>214635953</v>
      </c>
      <c r="K5004" s="43"/>
      <c r="L5004" s="44"/>
      <c r="M5004" s="45" t="s">
        <v>15274</v>
      </c>
    </row>
    <row r="5005" s="26" customFormat="1" ht="30" customHeight="1" spans="1:13">
      <c r="A5005" s="41">
        <f>IF(C5005="","",SUBTOTAL(103,$C$2:C5005))</f>
        <v>4996</v>
      </c>
      <c r="B5005" s="41">
        <v>3354</v>
      </c>
      <c r="C5005" s="41">
        <v>9767</v>
      </c>
      <c r="D5005" s="41" t="s">
        <v>45</v>
      </c>
      <c r="E5005" s="41" t="s">
        <v>1298</v>
      </c>
      <c r="F5005" s="41" t="s">
        <v>11161</v>
      </c>
      <c r="G5005" s="41" t="s">
        <v>15275</v>
      </c>
      <c r="H5005" s="41" t="s">
        <v>15276</v>
      </c>
      <c r="I5005" s="43">
        <v>12</v>
      </c>
      <c r="J5005" s="44" t="str">
        <f>VLOOKUP(G5005,[1]硬件清单!$F:$F,1,0)</f>
        <v>214635953-01A</v>
      </c>
      <c r="K5005" s="43"/>
      <c r="L5005" s="44"/>
      <c r="M5005" s="45" t="s">
        <v>15277</v>
      </c>
    </row>
    <row r="5006" s="26" customFormat="1" ht="30" customHeight="1" spans="1:13">
      <c r="A5006" s="41">
        <f>IF(C5006="","",SUBTOTAL(103,$C$2:C5006))</f>
        <v>4997</v>
      </c>
      <c r="B5006" s="41">
        <v>3355</v>
      </c>
      <c r="C5006" s="41">
        <v>9776</v>
      </c>
      <c r="D5006" s="41" t="s">
        <v>45</v>
      </c>
      <c r="E5006" s="41" t="s">
        <v>1298</v>
      </c>
      <c r="F5006" s="41" t="s">
        <v>11161</v>
      </c>
      <c r="G5006" s="41" t="s">
        <v>15278</v>
      </c>
      <c r="H5006" s="41" t="s">
        <v>15279</v>
      </c>
      <c r="I5006" s="43">
        <v>12</v>
      </c>
      <c r="J5006" s="44" t="str">
        <f>VLOOKUP(G5006,[1]硬件清单!$F:$F,1,0)</f>
        <v>214635953-10A</v>
      </c>
      <c r="K5006" s="43"/>
      <c r="L5006" s="44"/>
      <c r="M5006" s="45" t="s">
        <v>15280</v>
      </c>
    </row>
    <row r="5007" s="26" customFormat="1" ht="30" customHeight="1" spans="1:13">
      <c r="A5007" s="41">
        <f>IF(C5007="","",SUBTOTAL(103,$C$2:C5007))</f>
        <v>4998</v>
      </c>
      <c r="B5007" s="41">
        <v>3356</v>
      </c>
      <c r="C5007" s="41">
        <v>9777</v>
      </c>
      <c r="D5007" s="41" t="s">
        <v>45</v>
      </c>
      <c r="E5007" s="41" t="s">
        <v>1298</v>
      </c>
      <c r="F5007" s="41" t="s">
        <v>11161</v>
      </c>
      <c r="G5007" s="41" t="s">
        <v>15281</v>
      </c>
      <c r="H5007" s="41" t="s">
        <v>15282</v>
      </c>
      <c r="I5007" s="43">
        <v>12</v>
      </c>
      <c r="J5007" s="44" t="str">
        <f>VLOOKUP(G5007,[1]硬件清单!$F:$F,1,0)</f>
        <v>214635953-11A</v>
      </c>
      <c r="K5007" s="43"/>
      <c r="L5007" s="44"/>
      <c r="M5007" s="45" t="s">
        <v>15283</v>
      </c>
    </row>
    <row r="5008" s="26" customFormat="1" ht="30" customHeight="1" spans="1:13">
      <c r="A5008" s="41">
        <f>IF(C5008="","",SUBTOTAL(103,$C$2:C5008))</f>
        <v>4999</v>
      </c>
      <c r="B5008" s="41">
        <v>3357</v>
      </c>
      <c r="C5008" s="41">
        <v>9778</v>
      </c>
      <c r="D5008" s="41" t="s">
        <v>45</v>
      </c>
      <c r="E5008" s="41" t="s">
        <v>1298</v>
      </c>
      <c r="F5008" s="41" t="s">
        <v>11161</v>
      </c>
      <c r="G5008" s="41" t="s">
        <v>15284</v>
      </c>
      <c r="H5008" s="41" t="s">
        <v>15285</v>
      </c>
      <c r="I5008" s="43">
        <v>12</v>
      </c>
      <c r="J5008" s="44" t="str">
        <f>VLOOKUP(G5008,[1]硬件清单!$F:$F,1,0)</f>
        <v>214635953-12A</v>
      </c>
      <c r="K5008" s="43"/>
      <c r="L5008" s="44"/>
      <c r="M5008" s="45" t="s">
        <v>15286</v>
      </c>
    </row>
    <row r="5009" s="26" customFormat="1" ht="30" customHeight="1" spans="1:13">
      <c r="A5009" s="41">
        <f>IF(C5009="","",SUBTOTAL(103,$C$2:C5009))</f>
        <v>5000</v>
      </c>
      <c r="B5009" s="41">
        <v>3358</v>
      </c>
      <c r="C5009" s="41">
        <v>9779</v>
      </c>
      <c r="D5009" s="41" t="s">
        <v>45</v>
      </c>
      <c r="E5009" s="41" t="s">
        <v>1298</v>
      </c>
      <c r="F5009" s="41" t="s">
        <v>11161</v>
      </c>
      <c r="G5009" s="41" t="s">
        <v>15287</v>
      </c>
      <c r="H5009" s="41" t="s">
        <v>15288</v>
      </c>
      <c r="I5009" s="43">
        <v>12</v>
      </c>
      <c r="J5009" s="44" t="str">
        <f>VLOOKUP(G5009,[1]硬件清单!$F:$F,1,0)</f>
        <v>214635953-13A</v>
      </c>
      <c r="K5009" s="43"/>
      <c r="L5009" s="44"/>
      <c r="M5009" s="45" t="s">
        <v>15289</v>
      </c>
    </row>
    <row r="5010" s="26" customFormat="1" ht="30" customHeight="1" spans="1:13">
      <c r="A5010" s="41">
        <f>IF(C5010="","",SUBTOTAL(103,$C$2:C5010))</f>
        <v>5001</v>
      </c>
      <c r="B5010" s="41">
        <v>3359</v>
      </c>
      <c r="C5010" s="41">
        <v>9780</v>
      </c>
      <c r="D5010" s="41" t="s">
        <v>45</v>
      </c>
      <c r="E5010" s="41" t="s">
        <v>1298</v>
      </c>
      <c r="F5010" s="41" t="s">
        <v>11161</v>
      </c>
      <c r="G5010" s="41" t="s">
        <v>15290</v>
      </c>
      <c r="H5010" s="41" t="s">
        <v>15291</v>
      </c>
      <c r="I5010" s="43">
        <v>12</v>
      </c>
      <c r="J5010" s="44" t="str">
        <f>VLOOKUP(G5010,[1]硬件清单!$F:$F,1,0)</f>
        <v>214635953-14A</v>
      </c>
      <c r="K5010" s="43"/>
      <c r="L5010" s="44"/>
      <c r="M5010" s="45" t="s">
        <v>15292</v>
      </c>
    </row>
    <row r="5011" s="26" customFormat="1" ht="30" customHeight="1" spans="1:13">
      <c r="A5011" s="41">
        <f>IF(C5011="","",SUBTOTAL(103,$C$2:C5011))</f>
        <v>5002</v>
      </c>
      <c r="B5011" s="41">
        <v>3360</v>
      </c>
      <c r="C5011" s="41">
        <v>9781</v>
      </c>
      <c r="D5011" s="41" t="s">
        <v>45</v>
      </c>
      <c r="E5011" s="41" t="s">
        <v>1298</v>
      </c>
      <c r="F5011" s="41" t="s">
        <v>11161</v>
      </c>
      <c r="G5011" s="41" t="s">
        <v>15293</v>
      </c>
      <c r="H5011" s="41" t="s">
        <v>15294</v>
      </c>
      <c r="I5011" s="43">
        <v>12</v>
      </c>
      <c r="J5011" s="44" t="str">
        <f>VLOOKUP(G5011,[1]硬件清单!$F:$F,1,0)</f>
        <v>214635953-15A</v>
      </c>
      <c r="K5011" s="43"/>
      <c r="L5011" s="44"/>
      <c r="M5011" s="45" t="s">
        <v>15295</v>
      </c>
    </row>
    <row r="5012" s="26" customFormat="1" ht="30" customHeight="1" spans="1:13">
      <c r="A5012" s="41">
        <f>IF(C5012="","",SUBTOTAL(103,$C$2:C5012))</f>
        <v>5003</v>
      </c>
      <c r="B5012" s="41">
        <v>3361</v>
      </c>
      <c r="C5012" s="41">
        <v>9782</v>
      </c>
      <c r="D5012" s="41" t="s">
        <v>45</v>
      </c>
      <c r="E5012" s="41" t="s">
        <v>1298</v>
      </c>
      <c r="F5012" s="41" t="s">
        <v>11161</v>
      </c>
      <c r="G5012" s="41" t="s">
        <v>15296</v>
      </c>
      <c r="H5012" s="41" t="s">
        <v>15297</v>
      </c>
      <c r="I5012" s="43">
        <v>12</v>
      </c>
      <c r="J5012" s="44" t="str">
        <f>VLOOKUP(G5012,[1]硬件清单!$F:$F,1,0)</f>
        <v>214635953-16A</v>
      </c>
      <c r="K5012" s="43"/>
      <c r="L5012" s="44"/>
      <c r="M5012" s="45" t="s">
        <v>15298</v>
      </c>
    </row>
    <row r="5013" s="26" customFormat="1" ht="30" customHeight="1" spans="1:13">
      <c r="A5013" s="41">
        <f>IF(C5013="","",SUBTOTAL(103,$C$2:C5013))</f>
        <v>5004</v>
      </c>
      <c r="B5013" s="41">
        <v>3362</v>
      </c>
      <c r="C5013" s="41">
        <v>9783</v>
      </c>
      <c r="D5013" s="41" t="s">
        <v>45</v>
      </c>
      <c r="E5013" s="41" t="s">
        <v>1298</v>
      </c>
      <c r="F5013" s="41" t="s">
        <v>11161</v>
      </c>
      <c r="G5013" s="41" t="s">
        <v>15299</v>
      </c>
      <c r="H5013" s="41" t="s">
        <v>15300</v>
      </c>
      <c r="I5013" s="43">
        <v>12</v>
      </c>
      <c r="J5013" s="44" t="str">
        <f>VLOOKUP(G5013,[1]硬件清单!$F:$F,1,0)</f>
        <v>214635953-17A</v>
      </c>
      <c r="K5013" s="43"/>
      <c r="L5013" s="44"/>
      <c r="M5013" s="45" t="s">
        <v>15301</v>
      </c>
    </row>
    <row r="5014" s="26" customFormat="1" ht="30" customHeight="1" spans="1:13">
      <c r="A5014" s="41">
        <f>IF(C5014="","",SUBTOTAL(103,$C$2:C5014))</f>
        <v>5005</v>
      </c>
      <c r="B5014" s="41">
        <v>3363</v>
      </c>
      <c r="C5014" s="41">
        <v>9784</v>
      </c>
      <c r="D5014" s="41" t="s">
        <v>45</v>
      </c>
      <c r="E5014" s="41" t="s">
        <v>1298</v>
      </c>
      <c r="F5014" s="41" t="s">
        <v>11161</v>
      </c>
      <c r="G5014" s="41" t="s">
        <v>15302</v>
      </c>
      <c r="H5014" s="41" t="s">
        <v>15303</v>
      </c>
      <c r="I5014" s="43">
        <v>12</v>
      </c>
      <c r="J5014" s="44" t="str">
        <f>VLOOKUP(G5014,[1]硬件清单!$F:$F,1,0)</f>
        <v>214635953-18A</v>
      </c>
      <c r="K5014" s="43"/>
      <c r="L5014" s="44"/>
      <c r="M5014" s="45" t="s">
        <v>15304</v>
      </c>
    </row>
    <row r="5015" s="26" customFormat="1" ht="30" customHeight="1" spans="1:13">
      <c r="A5015" s="41">
        <f>IF(C5015="","",SUBTOTAL(103,$C$2:C5015))</f>
        <v>5006</v>
      </c>
      <c r="B5015" s="41">
        <v>3364</v>
      </c>
      <c r="C5015" s="41">
        <v>9785</v>
      </c>
      <c r="D5015" s="41" t="s">
        <v>45</v>
      </c>
      <c r="E5015" s="41" t="s">
        <v>1298</v>
      </c>
      <c r="F5015" s="41" t="s">
        <v>11161</v>
      </c>
      <c r="G5015" s="41" t="s">
        <v>15305</v>
      </c>
      <c r="H5015" s="41" t="s">
        <v>15306</v>
      </c>
      <c r="I5015" s="43">
        <v>12</v>
      </c>
      <c r="J5015" s="44" t="str">
        <f>VLOOKUP(G5015,[1]硬件清单!$F:$F,1,0)</f>
        <v>214635953-19A</v>
      </c>
      <c r="K5015" s="43"/>
      <c r="L5015" s="44"/>
      <c r="M5015" s="45" t="s">
        <v>15307</v>
      </c>
    </row>
    <row r="5016" s="26" customFormat="1" ht="30" customHeight="1" spans="1:13">
      <c r="A5016" s="41">
        <f>IF(C5016="","",SUBTOTAL(103,$C$2:C5016))</f>
        <v>5007</v>
      </c>
      <c r="B5016" s="41">
        <v>3365</v>
      </c>
      <c r="C5016" s="41">
        <v>9768</v>
      </c>
      <c r="D5016" s="41" t="s">
        <v>45</v>
      </c>
      <c r="E5016" s="41" t="s">
        <v>1298</v>
      </c>
      <c r="F5016" s="41" t="s">
        <v>11161</v>
      </c>
      <c r="G5016" s="41" t="s">
        <v>15308</v>
      </c>
      <c r="H5016" s="41" t="s">
        <v>15309</v>
      </c>
      <c r="I5016" s="43">
        <v>12</v>
      </c>
      <c r="J5016" s="44" t="str">
        <f>VLOOKUP(G5016,[1]硬件清单!$F:$F,1,0)</f>
        <v>214635953-02A</v>
      </c>
      <c r="K5016" s="43"/>
      <c r="L5016" s="44"/>
      <c r="M5016" s="45" t="s">
        <v>15310</v>
      </c>
    </row>
    <row r="5017" s="26" customFormat="1" ht="30" customHeight="1" spans="1:13">
      <c r="A5017" s="41">
        <f>IF(C5017="","",SUBTOTAL(103,$C$2:C5017))</f>
        <v>5008</v>
      </c>
      <c r="B5017" s="41">
        <v>3366</v>
      </c>
      <c r="C5017" s="41">
        <v>9786</v>
      </c>
      <c r="D5017" s="41" t="s">
        <v>45</v>
      </c>
      <c r="E5017" s="41" t="s">
        <v>1298</v>
      </c>
      <c r="F5017" s="41" t="s">
        <v>11161</v>
      </c>
      <c r="G5017" s="41" t="s">
        <v>15311</v>
      </c>
      <c r="H5017" s="41" t="s">
        <v>15312</v>
      </c>
      <c r="I5017" s="43">
        <v>12</v>
      </c>
      <c r="J5017" s="44" t="str">
        <f>VLOOKUP(G5017,[1]硬件清单!$F:$F,1,0)</f>
        <v>214635953-20A</v>
      </c>
      <c r="K5017" s="43"/>
      <c r="L5017" s="44"/>
      <c r="M5017" s="45" t="s">
        <v>15313</v>
      </c>
    </row>
    <row r="5018" s="26" customFormat="1" ht="30" customHeight="1" spans="1:13">
      <c r="A5018" s="41">
        <f>IF(C5018="","",SUBTOTAL(103,$C$2:C5018))</f>
        <v>5009</v>
      </c>
      <c r="B5018" s="41">
        <v>3367</v>
      </c>
      <c r="C5018" s="41">
        <v>9787</v>
      </c>
      <c r="D5018" s="41" t="s">
        <v>45</v>
      </c>
      <c r="E5018" s="41" t="s">
        <v>1298</v>
      </c>
      <c r="F5018" s="41" t="s">
        <v>11161</v>
      </c>
      <c r="G5018" s="41" t="s">
        <v>15314</v>
      </c>
      <c r="H5018" s="41" t="s">
        <v>15315</v>
      </c>
      <c r="I5018" s="43">
        <v>12</v>
      </c>
      <c r="J5018" s="44" t="str">
        <f>VLOOKUP(G5018,[1]硬件清单!$F:$F,1,0)</f>
        <v>214635953-26A</v>
      </c>
      <c r="K5018" s="43"/>
      <c r="L5018" s="44"/>
      <c r="M5018" s="45" t="s">
        <v>15316</v>
      </c>
    </row>
    <row r="5019" s="26" customFormat="1" ht="30" customHeight="1" spans="1:13">
      <c r="A5019" s="41">
        <f>IF(C5019="","",SUBTOTAL(103,$C$2:C5019))</f>
        <v>5010</v>
      </c>
      <c r="B5019" s="41">
        <v>3368</v>
      </c>
      <c r="C5019" s="41">
        <v>9788</v>
      </c>
      <c r="D5019" s="41" t="s">
        <v>45</v>
      </c>
      <c r="E5019" s="41" t="s">
        <v>1298</v>
      </c>
      <c r="F5019" s="41" t="s">
        <v>11161</v>
      </c>
      <c r="G5019" s="41" t="s">
        <v>15317</v>
      </c>
      <c r="H5019" s="41" t="s">
        <v>15318</v>
      </c>
      <c r="I5019" s="43">
        <v>12</v>
      </c>
      <c r="J5019" s="44" t="str">
        <f>VLOOKUP(G5019,[1]硬件清单!$F:$F,1,0)</f>
        <v>214635953-27A</v>
      </c>
      <c r="K5019" s="43"/>
      <c r="L5019" s="44"/>
      <c r="M5019" s="45" t="s">
        <v>15319</v>
      </c>
    </row>
    <row r="5020" s="26" customFormat="1" ht="30" customHeight="1" spans="1:13">
      <c r="A5020" s="41">
        <f>IF(C5020="","",SUBTOTAL(103,$C$2:C5020))</f>
        <v>5011</v>
      </c>
      <c r="B5020" s="41">
        <v>3369</v>
      </c>
      <c r="C5020" s="41">
        <v>9789</v>
      </c>
      <c r="D5020" s="41" t="s">
        <v>45</v>
      </c>
      <c r="E5020" s="41" t="s">
        <v>1298</v>
      </c>
      <c r="F5020" s="41" t="s">
        <v>11161</v>
      </c>
      <c r="G5020" s="41" t="s">
        <v>15320</v>
      </c>
      <c r="H5020" s="41" t="s">
        <v>15321</v>
      </c>
      <c r="I5020" s="43">
        <v>12</v>
      </c>
      <c r="J5020" s="44" t="str">
        <f>VLOOKUP(G5020,[1]硬件清单!$F:$F,1,0)</f>
        <v>214635953-28A</v>
      </c>
      <c r="K5020" s="43"/>
      <c r="L5020" s="44"/>
      <c r="M5020" s="45" t="s">
        <v>15322</v>
      </c>
    </row>
    <row r="5021" s="26" customFormat="1" ht="30" customHeight="1" spans="1:13">
      <c r="A5021" s="41">
        <f>IF(C5021="","",SUBTOTAL(103,$C$2:C5021))</f>
        <v>5012</v>
      </c>
      <c r="B5021" s="41">
        <v>3370</v>
      </c>
      <c r="C5021" s="41">
        <v>9790</v>
      </c>
      <c r="D5021" s="41" t="s">
        <v>45</v>
      </c>
      <c r="E5021" s="41" t="s">
        <v>1298</v>
      </c>
      <c r="F5021" s="41" t="s">
        <v>11161</v>
      </c>
      <c r="G5021" s="41" t="s">
        <v>15323</v>
      </c>
      <c r="H5021" s="41" t="s">
        <v>15324</v>
      </c>
      <c r="I5021" s="43">
        <v>12</v>
      </c>
      <c r="J5021" s="44" t="str">
        <f>VLOOKUP(G5021,[1]硬件清单!$F:$F,1,0)</f>
        <v>214635953-29A</v>
      </c>
      <c r="K5021" s="43"/>
      <c r="L5021" s="44"/>
      <c r="M5021" s="45" t="s">
        <v>15325</v>
      </c>
    </row>
    <row r="5022" s="26" customFormat="1" ht="30" customHeight="1" spans="1:13">
      <c r="A5022" s="41">
        <f>IF(C5022="","",SUBTOTAL(103,$C$2:C5022))</f>
        <v>5013</v>
      </c>
      <c r="B5022" s="41">
        <v>3371</v>
      </c>
      <c r="C5022" s="41">
        <v>9769</v>
      </c>
      <c r="D5022" s="41" t="s">
        <v>45</v>
      </c>
      <c r="E5022" s="41" t="s">
        <v>1298</v>
      </c>
      <c r="F5022" s="41" t="s">
        <v>11161</v>
      </c>
      <c r="G5022" s="41" t="s">
        <v>15326</v>
      </c>
      <c r="H5022" s="41" t="s">
        <v>15327</v>
      </c>
      <c r="I5022" s="43">
        <v>12</v>
      </c>
      <c r="J5022" s="44" t="str">
        <f>VLOOKUP(G5022,[1]硬件清单!$F:$F,1,0)</f>
        <v>214635953-03A</v>
      </c>
      <c r="K5022" s="43"/>
      <c r="L5022" s="44"/>
      <c r="M5022" s="45" t="s">
        <v>15328</v>
      </c>
    </row>
    <row r="5023" s="26" customFormat="1" ht="30" customHeight="1" spans="1:13">
      <c r="A5023" s="41">
        <f>IF(C5023="","",SUBTOTAL(103,$C$2:C5023))</f>
        <v>5014</v>
      </c>
      <c r="B5023" s="41">
        <v>3372</v>
      </c>
      <c r="C5023" s="41">
        <v>9791</v>
      </c>
      <c r="D5023" s="41" t="s">
        <v>45</v>
      </c>
      <c r="E5023" s="41" t="s">
        <v>1298</v>
      </c>
      <c r="F5023" s="41" t="s">
        <v>11161</v>
      </c>
      <c r="G5023" s="41" t="s">
        <v>15329</v>
      </c>
      <c r="H5023" s="41" t="s">
        <v>15330</v>
      </c>
      <c r="I5023" s="43">
        <v>12</v>
      </c>
      <c r="J5023" s="44" t="str">
        <f>VLOOKUP(G5023,[1]硬件清单!$F:$F,1,0)</f>
        <v>214635953-30A</v>
      </c>
      <c r="K5023" s="43"/>
      <c r="L5023" s="44"/>
      <c r="M5023" s="45" t="s">
        <v>15331</v>
      </c>
    </row>
    <row r="5024" s="26" customFormat="1" ht="30" customHeight="1" spans="1:13">
      <c r="A5024" s="41">
        <f>IF(C5024="","",SUBTOTAL(103,$C$2:C5024))</f>
        <v>5015</v>
      </c>
      <c r="B5024" s="41">
        <v>3373</v>
      </c>
      <c r="C5024" s="41">
        <v>9792</v>
      </c>
      <c r="D5024" s="41" t="s">
        <v>45</v>
      </c>
      <c r="E5024" s="41" t="s">
        <v>1298</v>
      </c>
      <c r="F5024" s="41" t="s">
        <v>11161</v>
      </c>
      <c r="G5024" s="41" t="s">
        <v>15332</v>
      </c>
      <c r="H5024" s="41" t="s">
        <v>15333</v>
      </c>
      <c r="I5024" s="43">
        <v>12</v>
      </c>
      <c r="J5024" s="44" t="str">
        <f>VLOOKUP(G5024,[1]硬件清单!$F:$F,1,0)</f>
        <v>214635953-31A</v>
      </c>
      <c r="K5024" s="43"/>
      <c r="L5024" s="44"/>
      <c r="M5024" s="45" t="s">
        <v>15334</v>
      </c>
    </row>
    <row r="5025" s="26" customFormat="1" ht="30" customHeight="1" spans="1:13">
      <c r="A5025" s="41">
        <f>IF(C5025="","",SUBTOTAL(103,$C$2:C5025))</f>
        <v>5016</v>
      </c>
      <c r="B5025" s="41">
        <v>3374</v>
      </c>
      <c r="C5025" s="41">
        <v>9793</v>
      </c>
      <c r="D5025" s="41" t="s">
        <v>45</v>
      </c>
      <c r="E5025" s="41" t="s">
        <v>1298</v>
      </c>
      <c r="F5025" s="41" t="s">
        <v>11161</v>
      </c>
      <c r="G5025" s="41" t="s">
        <v>15335</v>
      </c>
      <c r="H5025" s="41" t="s">
        <v>15336</v>
      </c>
      <c r="I5025" s="43">
        <v>12</v>
      </c>
      <c r="J5025" s="44" t="str">
        <f>VLOOKUP(G5025,[1]硬件清单!$F:$F,1,0)</f>
        <v>214635953-32A</v>
      </c>
      <c r="K5025" s="43"/>
      <c r="L5025" s="44"/>
      <c r="M5025" s="45" t="s">
        <v>15337</v>
      </c>
    </row>
    <row r="5026" s="26" customFormat="1" ht="30" customHeight="1" spans="1:13">
      <c r="A5026" s="41">
        <f>IF(C5026="","",SUBTOTAL(103,$C$2:C5026))</f>
        <v>5017</v>
      </c>
      <c r="B5026" s="41">
        <v>3375</v>
      </c>
      <c r="C5026" s="41">
        <v>9794</v>
      </c>
      <c r="D5026" s="41" t="s">
        <v>45</v>
      </c>
      <c r="E5026" s="41" t="s">
        <v>1298</v>
      </c>
      <c r="F5026" s="41" t="s">
        <v>11161</v>
      </c>
      <c r="G5026" s="41" t="s">
        <v>15338</v>
      </c>
      <c r="H5026" s="41" t="s">
        <v>15339</v>
      </c>
      <c r="I5026" s="43">
        <v>12</v>
      </c>
      <c r="J5026" s="44" t="str">
        <f>VLOOKUP(G5026,[1]硬件清单!$F:$F,1,0)</f>
        <v>214635953-33A</v>
      </c>
      <c r="K5026" s="43"/>
      <c r="L5026" s="44"/>
      <c r="M5026" s="45" t="s">
        <v>15340</v>
      </c>
    </row>
    <row r="5027" s="26" customFormat="1" ht="30" customHeight="1" spans="1:13">
      <c r="A5027" s="41">
        <f>IF(C5027="","",SUBTOTAL(103,$C$2:C5027))</f>
        <v>5018</v>
      </c>
      <c r="B5027" s="41">
        <v>3376</v>
      </c>
      <c r="C5027" s="41">
        <v>9795</v>
      </c>
      <c r="D5027" s="41" t="s">
        <v>45</v>
      </c>
      <c r="E5027" s="41" t="s">
        <v>1298</v>
      </c>
      <c r="F5027" s="41" t="s">
        <v>11161</v>
      </c>
      <c r="G5027" s="41" t="s">
        <v>15341</v>
      </c>
      <c r="H5027" s="41" t="s">
        <v>15342</v>
      </c>
      <c r="I5027" s="43">
        <v>12</v>
      </c>
      <c r="J5027" s="44" t="str">
        <f>VLOOKUP(G5027,[1]硬件清单!$F:$F,1,0)</f>
        <v>214635953-34A</v>
      </c>
      <c r="K5027" s="43"/>
      <c r="L5027" s="44"/>
      <c r="M5027" s="45" t="s">
        <v>15343</v>
      </c>
    </row>
    <row r="5028" s="26" customFormat="1" ht="30" customHeight="1" spans="1:13">
      <c r="A5028" s="41">
        <f>IF(C5028="","",SUBTOTAL(103,$C$2:C5028))</f>
        <v>5019</v>
      </c>
      <c r="B5028" s="41">
        <v>3377</v>
      </c>
      <c r="C5028" s="41">
        <v>9796</v>
      </c>
      <c r="D5028" s="41" t="s">
        <v>45</v>
      </c>
      <c r="E5028" s="41" t="s">
        <v>1298</v>
      </c>
      <c r="F5028" s="41" t="s">
        <v>11161</v>
      </c>
      <c r="G5028" s="41" t="s">
        <v>15344</v>
      </c>
      <c r="H5028" s="41" t="s">
        <v>15345</v>
      </c>
      <c r="I5028" s="43">
        <v>12</v>
      </c>
      <c r="J5028" s="44" t="str">
        <f>VLOOKUP(G5028,[1]硬件清单!$F:$F,1,0)</f>
        <v>214635953-35A</v>
      </c>
      <c r="K5028" s="43"/>
      <c r="L5028" s="44"/>
      <c r="M5028" s="45" t="s">
        <v>15346</v>
      </c>
    </row>
    <row r="5029" s="26" customFormat="1" ht="30" customHeight="1" spans="1:13">
      <c r="A5029" s="41">
        <f>IF(C5029="","",SUBTOTAL(103,$C$2:C5029))</f>
        <v>5020</v>
      </c>
      <c r="B5029" s="41">
        <v>3378</v>
      </c>
      <c r="C5029" s="41">
        <v>9797</v>
      </c>
      <c r="D5029" s="41" t="s">
        <v>45</v>
      </c>
      <c r="E5029" s="41" t="s">
        <v>1298</v>
      </c>
      <c r="F5029" s="41" t="s">
        <v>11161</v>
      </c>
      <c r="G5029" s="41" t="s">
        <v>15347</v>
      </c>
      <c r="H5029" s="41" t="s">
        <v>15348</v>
      </c>
      <c r="I5029" s="43">
        <v>12</v>
      </c>
      <c r="J5029" s="44" t="str">
        <f>VLOOKUP(G5029,[1]硬件清单!$F:$F,1,0)</f>
        <v>214635953-36A</v>
      </c>
      <c r="K5029" s="43"/>
      <c r="L5029" s="44"/>
      <c r="M5029" s="45" t="s">
        <v>15349</v>
      </c>
    </row>
    <row r="5030" s="26" customFormat="1" ht="30" customHeight="1" spans="1:13">
      <c r="A5030" s="41">
        <f>IF(C5030="","",SUBTOTAL(103,$C$2:C5030))</f>
        <v>5021</v>
      </c>
      <c r="B5030" s="41">
        <v>3379</v>
      </c>
      <c r="C5030" s="41">
        <v>9798</v>
      </c>
      <c r="D5030" s="41" t="s">
        <v>45</v>
      </c>
      <c r="E5030" s="41" t="s">
        <v>1298</v>
      </c>
      <c r="F5030" s="41" t="s">
        <v>11161</v>
      </c>
      <c r="G5030" s="41" t="s">
        <v>15350</v>
      </c>
      <c r="H5030" s="41" t="s">
        <v>15351</v>
      </c>
      <c r="I5030" s="43">
        <v>12</v>
      </c>
      <c r="J5030" s="44" t="str">
        <f>VLOOKUP(G5030,[1]硬件清单!$F:$F,1,0)</f>
        <v>214635953-37A</v>
      </c>
      <c r="K5030" s="43"/>
      <c r="L5030" s="44"/>
      <c r="M5030" s="45" t="s">
        <v>15352</v>
      </c>
    </row>
    <row r="5031" s="26" customFormat="1" ht="30" customHeight="1" spans="1:13">
      <c r="A5031" s="41">
        <f>IF(C5031="","",SUBTOTAL(103,$C$2:C5031))</f>
        <v>5022</v>
      </c>
      <c r="B5031" s="41">
        <v>3380</v>
      </c>
      <c r="C5031" s="41">
        <v>9770</v>
      </c>
      <c r="D5031" s="41" t="s">
        <v>45</v>
      </c>
      <c r="E5031" s="41" t="s">
        <v>1298</v>
      </c>
      <c r="F5031" s="41" t="s">
        <v>11161</v>
      </c>
      <c r="G5031" s="41" t="s">
        <v>15353</v>
      </c>
      <c r="H5031" s="41" t="s">
        <v>15354</v>
      </c>
      <c r="I5031" s="43">
        <v>12</v>
      </c>
      <c r="J5031" s="44" t="str">
        <f>VLOOKUP(G5031,[1]硬件清单!$F:$F,1,0)</f>
        <v>214635953-04A</v>
      </c>
      <c r="K5031" s="43"/>
      <c r="L5031" s="44"/>
      <c r="M5031" s="45" t="s">
        <v>15355</v>
      </c>
    </row>
    <row r="5032" s="26" customFormat="1" ht="30" customHeight="1" spans="1:13">
      <c r="A5032" s="41">
        <f>IF(C5032="","",SUBTOTAL(103,$C$2:C5032))</f>
        <v>5023</v>
      </c>
      <c r="B5032" s="41">
        <v>3381</v>
      </c>
      <c r="C5032" s="41">
        <v>9771</v>
      </c>
      <c r="D5032" s="41" t="s">
        <v>45</v>
      </c>
      <c r="E5032" s="41" t="s">
        <v>1298</v>
      </c>
      <c r="F5032" s="41" t="s">
        <v>11161</v>
      </c>
      <c r="G5032" s="41" t="s">
        <v>15356</v>
      </c>
      <c r="H5032" s="41" t="s">
        <v>15357</v>
      </c>
      <c r="I5032" s="43">
        <v>12</v>
      </c>
      <c r="J5032" s="44" t="str">
        <f>VLOOKUP(G5032,[1]硬件清单!$F:$F,1,0)</f>
        <v>214635953-05A</v>
      </c>
      <c r="K5032" s="43"/>
      <c r="L5032" s="44"/>
      <c r="M5032" s="45" t="s">
        <v>15358</v>
      </c>
    </row>
    <row r="5033" s="26" customFormat="1" ht="30" customHeight="1" spans="1:13">
      <c r="A5033" s="41">
        <f>IF(C5033="","",SUBTOTAL(103,$C$2:C5033))</f>
        <v>5024</v>
      </c>
      <c r="B5033" s="41">
        <v>3382</v>
      </c>
      <c r="C5033" s="41">
        <v>9772</v>
      </c>
      <c r="D5033" s="41" t="s">
        <v>45</v>
      </c>
      <c r="E5033" s="41" t="s">
        <v>1298</v>
      </c>
      <c r="F5033" s="41" t="s">
        <v>11161</v>
      </c>
      <c r="G5033" s="41" t="s">
        <v>15359</v>
      </c>
      <c r="H5033" s="41" t="s">
        <v>15360</v>
      </c>
      <c r="I5033" s="43">
        <v>12</v>
      </c>
      <c r="J5033" s="44" t="str">
        <f>VLOOKUP(G5033,[1]硬件清单!$F:$F,1,0)</f>
        <v>214635953-06A</v>
      </c>
      <c r="K5033" s="43"/>
      <c r="L5033" s="44"/>
      <c r="M5033" s="45" t="s">
        <v>15361</v>
      </c>
    </row>
    <row r="5034" s="26" customFormat="1" ht="30" customHeight="1" spans="1:13">
      <c r="A5034" s="41">
        <f>IF(C5034="","",SUBTOTAL(103,$C$2:C5034))</f>
        <v>5025</v>
      </c>
      <c r="B5034" s="41">
        <v>3383</v>
      </c>
      <c r="C5034" s="41">
        <v>9773</v>
      </c>
      <c r="D5034" s="41" t="s">
        <v>45</v>
      </c>
      <c r="E5034" s="41" t="s">
        <v>1298</v>
      </c>
      <c r="F5034" s="41" t="s">
        <v>11161</v>
      </c>
      <c r="G5034" s="41" t="s">
        <v>15362</v>
      </c>
      <c r="H5034" s="41" t="s">
        <v>15363</v>
      </c>
      <c r="I5034" s="43">
        <v>12</v>
      </c>
      <c r="J5034" s="44" t="str">
        <f>VLOOKUP(G5034,[1]硬件清单!$F:$F,1,0)</f>
        <v>214635953-07A</v>
      </c>
      <c r="K5034" s="43"/>
      <c r="L5034" s="44"/>
      <c r="M5034" s="45" t="s">
        <v>15364</v>
      </c>
    </row>
    <row r="5035" s="26" customFormat="1" ht="30" customHeight="1" spans="1:13">
      <c r="A5035" s="41">
        <f>IF(C5035="","",SUBTOTAL(103,$C$2:C5035))</f>
        <v>5026</v>
      </c>
      <c r="B5035" s="41">
        <v>3384</v>
      </c>
      <c r="C5035" s="41">
        <v>9774</v>
      </c>
      <c r="D5035" s="41" t="s">
        <v>45</v>
      </c>
      <c r="E5035" s="41" t="s">
        <v>1298</v>
      </c>
      <c r="F5035" s="41" t="s">
        <v>11161</v>
      </c>
      <c r="G5035" s="41" t="s">
        <v>15365</v>
      </c>
      <c r="H5035" s="41" t="s">
        <v>15366</v>
      </c>
      <c r="I5035" s="43">
        <v>12</v>
      </c>
      <c r="J5035" s="44" t="str">
        <f>VLOOKUP(G5035,[1]硬件清单!$F:$F,1,0)</f>
        <v>214635953-08A</v>
      </c>
      <c r="K5035" s="43"/>
      <c r="L5035" s="44"/>
      <c r="M5035" s="45" t="s">
        <v>15367</v>
      </c>
    </row>
    <row r="5036" s="26" customFormat="1" ht="30" customHeight="1" spans="1:13">
      <c r="A5036" s="41">
        <f>IF(C5036="","",SUBTOTAL(103,$C$2:C5036))</f>
        <v>5027</v>
      </c>
      <c r="B5036" s="41">
        <v>3385</v>
      </c>
      <c r="C5036" s="41">
        <v>9775</v>
      </c>
      <c r="D5036" s="41" t="s">
        <v>45</v>
      </c>
      <c r="E5036" s="41" t="s">
        <v>1298</v>
      </c>
      <c r="F5036" s="41" t="s">
        <v>11161</v>
      </c>
      <c r="G5036" s="41" t="s">
        <v>15368</v>
      </c>
      <c r="H5036" s="41" t="s">
        <v>15369</v>
      </c>
      <c r="I5036" s="43">
        <v>12</v>
      </c>
      <c r="J5036" s="44" t="str">
        <f>VLOOKUP(G5036,[1]硬件清单!$F:$F,1,0)</f>
        <v>214635953-09A</v>
      </c>
      <c r="K5036" s="43"/>
      <c r="L5036" s="44"/>
      <c r="M5036" s="45" t="s">
        <v>15370</v>
      </c>
    </row>
    <row r="5037" s="26" customFormat="1" ht="30" customHeight="1" spans="1:13">
      <c r="A5037" s="41">
        <f>IF(C5037="","",SUBTOTAL(103,$C$2:C5037))</f>
        <v>5028</v>
      </c>
      <c r="B5037" s="41">
        <v>3453</v>
      </c>
      <c r="C5037" s="41">
        <v>9812</v>
      </c>
      <c r="D5037" s="41" t="s">
        <v>45</v>
      </c>
      <c r="E5037" s="41" t="s">
        <v>1298</v>
      </c>
      <c r="F5037" s="41" t="s">
        <v>1430</v>
      </c>
      <c r="G5037" s="41" t="s">
        <v>15371</v>
      </c>
      <c r="H5037" s="41" t="s">
        <v>15372</v>
      </c>
      <c r="I5037" s="43">
        <v>12</v>
      </c>
      <c r="J5037" s="44" t="str">
        <f>VLOOKUP(G5037,[1]硬件清单!$F:$F,1,0)</f>
        <v>6CU4421WAK</v>
      </c>
      <c r="K5037" s="43"/>
      <c r="L5037" s="44"/>
      <c r="M5037" s="45" t="s">
        <v>15373</v>
      </c>
    </row>
    <row r="5038" s="26" customFormat="1" ht="30" customHeight="1" spans="1:13">
      <c r="A5038" s="41">
        <f>IF(C5038="","",SUBTOTAL(103,$C$2:C5038))</f>
        <v>5029</v>
      </c>
      <c r="B5038" s="41">
        <v>3454</v>
      </c>
      <c r="C5038" s="41">
        <v>9683</v>
      </c>
      <c r="D5038" s="41" t="s">
        <v>45</v>
      </c>
      <c r="E5038" s="41" t="s">
        <v>1298</v>
      </c>
      <c r="F5038" s="41" t="s">
        <v>6138</v>
      </c>
      <c r="G5038" s="41" t="s">
        <v>15374</v>
      </c>
      <c r="H5038" s="41" t="s">
        <v>15375</v>
      </c>
      <c r="I5038" s="43">
        <v>12</v>
      </c>
      <c r="J5038" s="44" t="str">
        <f>VLOOKUP(G5038,[1]硬件清单!$F:$F,1,0)</f>
        <v>6CU4421WH4</v>
      </c>
      <c r="K5038" s="43"/>
      <c r="L5038" s="44"/>
      <c r="M5038" s="45" t="s">
        <v>15376</v>
      </c>
    </row>
    <row r="5039" s="26" customFormat="1" ht="31.2" spans="1:13">
      <c r="A5039" s="41">
        <f>IF(C5039="","",SUBTOTAL(103,$C$2:C5039))</f>
        <v>5030</v>
      </c>
      <c r="B5039" s="41">
        <v>3455</v>
      </c>
      <c r="C5039" s="41">
        <v>9692</v>
      </c>
      <c r="D5039" s="41" t="s">
        <v>45</v>
      </c>
      <c r="E5039" s="41" t="s">
        <v>1298</v>
      </c>
      <c r="F5039" s="41" t="s">
        <v>6138</v>
      </c>
      <c r="G5039" s="41" t="s">
        <v>15377</v>
      </c>
      <c r="H5039" s="41" t="s">
        <v>15378</v>
      </c>
      <c r="I5039" s="43">
        <v>12</v>
      </c>
      <c r="J5039" s="44" t="str">
        <f>VLOOKUP(G5039,[1]硬件清单!$F:$F,1,0)</f>
        <v>6CU4421WFX</v>
      </c>
      <c r="K5039" s="43"/>
      <c r="L5039" s="44"/>
      <c r="M5039" s="45" t="s">
        <v>15379</v>
      </c>
    </row>
    <row r="5040" s="26" customFormat="1" ht="30" customHeight="1" spans="1:13">
      <c r="A5040" s="41">
        <f>IF(C5040="","",SUBTOTAL(103,$C$2:C5040))</f>
        <v>5031</v>
      </c>
      <c r="B5040" s="41">
        <v>3456</v>
      </c>
      <c r="C5040" s="41">
        <v>9693</v>
      </c>
      <c r="D5040" s="41" t="s">
        <v>45</v>
      </c>
      <c r="E5040" s="41" t="s">
        <v>1298</v>
      </c>
      <c r="F5040" s="41" t="s">
        <v>6138</v>
      </c>
      <c r="G5040" s="41" t="s">
        <v>15380</v>
      </c>
      <c r="H5040" s="41" t="s">
        <v>15381</v>
      </c>
      <c r="I5040" s="43">
        <v>12</v>
      </c>
      <c r="J5040" s="44" t="str">
        <f>VLOOKUP(G5040,[1]硬件清单!$F:$F,1,0)</f>
        <v>6CU4421WEP</v>
      </c>
      <c r="K5040" s="43"/>
      <c r="L5040" s="44"/>
      <c r="M5040" s="45" t="s">
        <v>15382</v>
      </c>
    </row>
    <row r="5041" s="26" customFormat="1" ht="30" customHeight="1" spans="1:13">
      <c r="A5041" s="41">
        <f>IF(C5041="","",SUBTOTAL(103,$C$2:C5041))</f>
        <v>5032</v>
      </c>
      <c r="B5041" s="41">
        <v>3457</v>
      </c>
      <c r="C5041" s="41">
        <v>9694</v>
      </c>
      <c r="D5041" s="41" t="s">
        <v>45</v>
      </c>
      <c r="E5041" s="41" t="s">
        <v>1298</v>
      </c>
      <c r="F5041" s="41" t="s">
        <v>6138</v>
      </c>
      <c r="G5041" s="41" t="s">
        <v>15383</v>
      </c>
      <c r="H5041" s="41" t="s">
        <v>15384</v>
      </c>
      <c r="I5041" s="43">
        <v>12</v>
      </c>
      <c r="J5041" s="44" t="str">
        <f>VLOOKUP(G5041,[1]硬件清单!$F:$F,1,0)</f>
        <v>6CU4421WFV</v>
      </c>
      <c r="K5041" s="43"/>
      <c r="L5041" s="44"/>
      <c r="M5041" s="45" t="s">
        <v>15385</v>
      </c>
    </row>
    <row r="5042" s="26" customFormat="1" ht="30" customHeight="1" spans="1:13">
      <c r="A5042" s="41">
        <f>IF(C5042="","",SUBTOTAL(103,$C$2:C5042))</f>
        <v>5033</v>
      </c>
      <c r="B5042" s="41">
        <v>3458</v>
      </c>
      <c r="C5042" s="41">
        <v>9695</v>
      </c>
      <c r="D5042" s="41" t="s">
        <v>45</v>
      </c>
      <c r="E5042" s="41" t="s">
        <v>1298</v>
      </c>
      <c r="F5042" s="41" t="s">
        <v>6138</v>
      </c>
      <c r="G5042" s="41" t="s">
        <v>15386</v>
      </c>
      <c r="H5042" s="41" t="s">
        <v>15387</v>
      </c>
      <c r="I5042" s="43">
        <v>12</v>
      </c>
      <c r="J5042" s="44" t="str">
        <f>VLOOKUP(G5042,[1]硬件清单!$F:$F,1,0)</f>
        <v>6CU4421WEK</v>
      </c>
      <c r="K5042" s="43"/>
      <c r="L5042" s="44"/>
      <c r="M5042" s="45" t="s">
        <v>15388</v>
      </c>
    </row>
    <row r="5043" s="26" customFormat="1" ht="30" customHeight="1" spans="1:13">
      <c r="A5043" s="41">
        <f>IF(C5043="","",SUBTOTAL(103,$C$2:C5043))</f>
        <v>5034</v>
      </c>
      <c r="B5043" s="41">
        <v>3459</v>
      </c>
      <c r="C5043" s="41">
        <v>9696</v>
      </c>
      <c r="D5043" s="41" t="s">
        <v>45</v>
      </c>
      <c r="E5043" s="41" t="s">
        <v>1298</v>
      </c>
      <c r="F5043" s="41" t="s">
        <v>6138</v>
      </c>
      <c r="G5043" s="41" t="s">
        <v>15389</v>
      </c>
      <c r="H5043" s="41" t="s">
        <v>15390</v>
      </c>
      <c r="I5043" s="43">
        <v>12</v>
      </c>
      <c r="J5043" s="44" t="str">
        <f>VLOOKUP(G5043,[1]硬件清单!$F:$F,1,0)</f>
        <v>6CU4421WFM</v>
      </c>
      <c r="K5043" s="43"/>
      <c r="L5043" s="44"/>
      <c r="M5043" s="45" t="s">
        <v>15391</v>
      </c>
    </row>
    <row r="5044" s="26" customFormat="1" ht="30" customHeight="1" spans="1:13">
      <c r="A5044" s="41">
        <f>IF(C5044="","",SUBTOTAL(103,$C$2:C5044))</f>
        <v>5035</v>
      </c>
      <c r="B5044" s="41">
        <v>3460</v>
      </c>
      <c r="C5044" s="41">
        <v>9697</v>
      </c>
      <c r="D5044" s="41" t="s">
        <v>45</v>
      </c>
      <c r="E5044" s="41" t="s">
        <v>1298</v>
      </c>
      <c r="F5044" s="41" t="s">
        <v>6138</v>
      </c>
      <c r="G5044" s="41" t="s">
        <v>15392</v>
      </c>
      <c r="H5044" s="41" t="s">
        <v>15393</v>
      </c>
      <c r="I5044" s="43">
        <v>12</v>
      </c>
      <c r="J5044" s="44" t="str">
        <f>VLOOKUP(G5044,[1]硬件清单!$F:$F,1,0)</f>
        <v>6CU4421WF2</v>
      </c>
      <c r="K5044" s="43"/>
      <c r="L5044" s="44"/>
      <c r="M5044" s="45" t="s">
        <v>15394</v>
      </c>
    </row>
    <row r="5045" s="26" customFormat="1" ht="31.2" spans="1:13">
      <c r="A5045" s="41">
        <f>IF(C5045="","",SUBTOTAL(103,$C$2:C5045))</f>
        <v>5036</v>
      </c>
      <c r="B5045" s="41">
        <v>3461</v>
      </c>
      <c r="C5045" s="41">
        <v>9698</v>
      </c>
      <c r="D5045" s="41" t="s">
        <v>45</v>
      </c>
      <c r="E5045" s="41" t="s">
        <v>1298</v>
      </c>
      <c r="F5045" s="41" t="s">
        <v>6138</v>
      </c>
      <c r="G5045" s="41" t="s">
        <v>15395</v>
      </c>
      <c r="H5045" s="41" t="s">
        <v>15396</v>
      </c>
      <c r="I5045" s="43">
        <v>12</v>
      </c>
      <c r="J5045" s="44" t="str">
        <f>VLOOKUP(G5045,[1]硬件清单!$F:$F,1,0)</f>
        <v>6CU4421WFE</v>
      </c>
      <c r="K5045" s="43"/>
      <c r="L5045" s="44"/>
      <c r="M5045" s="45" t="s">
        <v>15397</v>
      </c>
    </row>
    <row r="5046" s="26" customFormat="1" ht="30" customHeight="1" spans="1:13">
      <c r="A5046" s="41">
        <f>IF(C5046="","",SUBTOTAL(103,$C$2:C5046))</f>
        <v>5037</v>
      </c>
      <c r="B5046" s="41">
        <v>3462</v>
      </c>
      <c r="C5046" s="41">
        <v>9684</v>
      </c>
      <c r="D5046" s="41" t="s">
        <v>45</v>
      </c>
      <c r="E5046" s="41" t="s">
        <v>1298</v>
      </c>
      <c r="F5046" s="41" t="s">
        <v>6138</v>
      </c>
      <c r="G5046" s="41" t="s">
        <v>15398</v>
      </c>
      <c r="H5046" s="41" t="s">
        <v>15399</v>
      </c>
      <c r="I5046" s="43">
        <v>12</v>
      </c>
      <c r="J5046" s="44" t="str">
        <f>VLOOKUP(G5046,[1]硬件清单!$F:$F,1,0)</f>
        <v>6CU4421WF4</v>
      </c>
      <c r="K5046" s="43"/>
      <c r="L5046" s="44"/>
      <c r="M5046" s="45" t="s">
        <v>15400</v>
      </c>
    </row>
    <row r="5047" s="26" customFormat="1" ht="30" customHeight="1" spans="1:13">
      <c r="A5047" s="41">
        <f>IF(C5047="","",SUBTOTAL(103,$C$2:C5047))</f>
        <v>5038</v>
      </c>
      <c r="B5047" s="41">
        <v>3463</v>
      </c>
      <c r="C5047" s="41">
        <v>9685</v>
      </c>
      <c r="D5047" s="41" t="s">
        <v>45</v>
      </c>
      <c r="E5047" s="41" t="s">
        <v>1298</v>
      </c>
      <c r="F5047" s="41" t="s">
        <v>6138</v>
      </c>
      <c r="G5047" s="41" t="s">
        <v>15401</v>
      </c>
      <c r="H5047" s="41" t="s">
        <v>15402</v>
      </c>
      <c r="I5047" s="43">
        <v>12</v>
      </c>
      <c r="J5047" s="44" t="str">
        <f>VLOOKUP(G5047,[1]硬件清单!$F:$F,1,0)</f>
        <v>6CU4421WF6</v>
      </c>
      <c r="K5047" s="43"/>
      <c r="L5047" s="44"/>
      <c r="M5047" s="45" t="s">
        <v>15403</v>
      </c>
    </row>
    <row r="5048" s="26" customFormat="1" ht="30" customHeight="1" spans="1:13">
      <c r="A5048" s="41">
        <f>IF(C5048="","",SUBTOTAL(103,$C$2:C5048))</f>
        <v>5039</v>
      </c>
      <c r="B5048" s="41">
        <v>3464</v>
      </c>
      <c r="C5048" s="41">
        <v>9686</v>
      </c>
      <c r="D5048" s="41" t="s">
        <v>45</v>
      </c>
      <c r="E5048" s="41" t="s">
        <v>1298</v>
      </c>
      <c r="F5048" s="41" t="s">
        <v>6138</v>
      </c>
      <c r="G5048" s="41" t="s">
        <v>15404</v>
      </c>
      <c r="H5048" s="41" t="s">
        <v>15405</v>
      </c>
      <c r="I5048" s="43">
        <v>12</v>
      </c>
      <c r="J5048" s="44" t="str">
        <f>VLOOKUP(G5048,[1]硬件清单!$F:$F,1,0)</f>
        <v>6CU4421WFK</v>
      </c>
      <c r="K5048" s="43"/>
      <c r="L5048" s="44"/>
      <c r="M5048" s="45" t="s">
        <v>15406</v>
      </c>
    </row>
    <row r="5049" s="26" customFormat="1" ht="30" customHeight="1" spans="1:13">
      <c r="A5049" s="41">
        <f>IF(C5049="","",SUBTOTAL(103,$C$2:C5049))</f>
        <v>5040</v>
      </c>
      <c r="B5049" s="41">
        <v>3465</v>
      </c>
      <c r="C5049" s="41">
        <v>9687</v>
      </c>
      <c r="D5049" s="41" t="s">
        <v>45</v>
      </c>
      <c r="E5049" s="41" t="s">
        <v>1298</v>
      </c>
      <c r="F5049" s="41" t="s">
        <v>6138</v>
      </c>
      <c r="G5049" s="41" t="s">
        <v>15407</v>
      </c>
      <c r="H5049" s="41" t="s">
        <v>15408</v>
      </c>
      <c r="I5049" s="43">
        <v>12</v>
      </c>
      <c r="J5049" s="44" t="str">
        <f>VLOOKUP(G5049,[1]硬件清单!$F:$F,1,0)</f>
        <v>6CU4421WEV</v>
      </c>
      <c r="K5049" s="43"/>
      <c r="L5049" s="44"/>
      <c r="M5049" s="45" t="s">
        <v>15409</v>
      </c>
    </row>
    <row r="5050" s="26" customFormat="1" ht="30" customHeight="1" spans="1:13">
      <c r="A5050" s="41">
        <f>IF(C5050="","",SUBTOTAL(103,$C$2:C5050))</f>
        <v>5041</v>
      </c>
      <c r="B5050" s="41">
        <v>3466</v>
      </c>
      <c r="C5050" s="41">
        <v>9688</v>
      </c>
      <c r="D5050" s="41" t="s">
        <v>45</v>
      </c>
      <c r="E5050" s="41" t="s">
        <v>1298</v>
      </c>
      <c r="F5050" s="41" t="s">
        <v>6138</v>
      </c>
      <c r="G5050" s="41" t="s">
        <v>15410</v>
      </c>
      <c r="H5050" s="41" t="s">
        <v>15411</v>
      </c>
      <c r="I5050" s="43">
        <v>12</v>
      </c>
      <c r="J5050" s="44" t="str">
        <f>VLOOKUP(G5050,[1]硬件清单!$F:$F,1,0)</f>
        <v>6CU4421WFA</v>
      </c>
      <c r="K5050" s="43"/>
      <c r="L5050" s="44"/>
      <c r="M5050" s="45" t="s">
        <v>15412</v>
      </c>
    </row>
    <row r="5051" s="26" customFormat="1" ht="30" customHeight="1" spans="1:13">
      <c r="A5051" s="41">
        <f>IF(C5051="","",SUBTOTAL(103,$C$2:C5051))</f>
        <v>5042</v>
      </c>
      <c r="B5051" s="41">
        <v>3467</v>
      </c>
      <c r="C5051" s="41">
        <v>9689</v>
      </c>
      <c r="D5051" s="41" t="s">
        <v>45</v>
      </c>
      <c r="E5051" s="41" t="s">
        <v>1298</v>
      </c>
      <c r="F5051" s="41" t="s">
        <v>6138</v>
      </c>
      <c r="G5051" s="41" t="s">
        <v>15413</v>
      </c>
      <c r="H5051" s="41" t="s">
        <v>15414</v>
      </c>
      <c r="I5051" s="43">
        <v>12</v>
      </c>
      <c r="J5051" s="44" t="str">
        <f>VLOOKUP(G5051,[1]硬件清单!$F:$F,1,0)</f>
        <v>6CU4421WEM</v>
      </c>
      <c r="K5051" s="43"/>
      <c r="L5051" s="44"/>
      <c r="M5051" s="45" t="s">
        <v>15415</v>
      </c>
    </row>
    <row r="5052" s="26" customFormat="1" ht="30" customHeight="1" spans="1:13">
      <c r="A5052" s="41">
        <f>IF(C5052="","",SUBTOTAL(103,$C$2:C5052))</f>
        <v>5043</v>
      </c>
      <c r="B5052" s="41">
        <v>3468</v>
      </c>
      <c r="C5052" s="41">
        <v>9690</v>
      </c>
      <c r="D5052" s="41" t="s">
        <v>45</v>
      </c>
      <c r="E5052" s="41" t="s">
        <v>1298</v>
      </c>
      <c r="F5052" s="41" t="s">
        <v>6138</v>
      </c>
      <c r="G5052" s="41" t="s">
        <v>15416</v>
      </c>
      <c r="H5052" s="41" t="s">
        <v>15417</v>
      </c>
      <c r="I5052" s="43">
        <v>12</v>
      </c>
      <c r="J5052" s="44" t="str">
        <f>VLOOKUP(G5052,[1]硬件清单!$F:$F,1,0)</f>
        <v>6CU4421WFS</v>
      </c>
      <c r="K5052" s="43"/>
      <c r="L5052" s="44"/>
      <c r="M5052" s="45" t="s">
        <v>15418</v>
      </c>
    </row>
    <row r="5053" s="26" customFormat="1" ht="30" customHeight="1" spans="1:13">
      <c r="A5053" s="41">
        <f>IF(C5053="","",SUBTOTAL(103,$C$2:C5053))</f>
        <v>5044</v>
      </c>
      <c r="B5053" s="41">
        <v>3469</v>
      </c>
      <c r="C5053" s="41">
        <v>9691</v>
      </c>
      <c r="D5053" s="41" t="s">
        <v>45</v>
      </c>
      <c r="E5053" s="41" t="s">
        <v>1298</v>
      </c>
      <c r="F5053" s="41" t="s">
        <v>6138</v>
      </c>
      <c r="G5053" s="41" t="s">
        <v>15419</v>
      </c>
      <c r="H5053" s="41" t="s">
        <v>15420</v>
      </c>
      <c r="I5053" s="43">
        <v>12</v>
      </c>
      <c r="J5053" s="44" t="str">
        <f>VLOOKUP(G5053,[1]硬件清单!$F:$F,1,0)</f>
        <v>6CU4421WFH</v>
      </c>
      <c r="K5053" s="43"/>
      <c r="L5053" s="44"/>
      <c r="M5053" s="45" t="s">
        <v>15421</v>
      </c>
    </row>
    <row r="5054" s="26" customFormat="1" ht="30" customHeight="1" spans="1:13">
      <c r="A5054" s="41">
        <f>IF(C5054="","",SUBTOTAL(103,$C$2:C5054))</f>
        <v>5045</v>
      </c>
      <c r="B5054" s="41">
        <v>3470</v>
      </c>
      <c r="C5054" s="41">
        <v>9815</v>
      </c>
      <c r="D5054" s="41" t="s">
        <v>45</v>
      </c>
      <c r="E5054" s="41" t="s">
        <v>1298</v>
      </c>
      <c r="F5054" s="41" t="s">
        <v>6784</v>
      </c>
      <c r="G5054" s="41" t="s">
        <v>15422</v>
      </c>
      <c r="H5054" s="41" t="s">
        <v>15423</v>
      </c>
      <c r="I5054" s="43">
        <v>12</v>
      </c>
      <c r="J5054" s="44" t="str">
        <f>VLOOKUP(G5054,[1]硬件清单!$F:$F,1,0)</f>
        <v>6CU4421WCA</v>
      </c>
      <c r="K5054" s="43"/>
      <c r="L5054" s="44"/>
      <c r="M5054" s="45" t="s">
        <v>15424</v>
      </c>
    </row>
    <row r="5055" s="26" customFormat="1" ht="30" customHeight="1" spans="1:13">
      <c r="A5055" s="41">
        <f>IF(C5055="","",SUBTOTAL(103,$C$2:C5055))</f>
        <v>5046</v>
      </c>
      <c r="B5055" s="41">
        <v>3471</v>
      </c>
      <c r="C5055" s="41">
        <v>9811</v>
      </c>
      <c r="D5055" s="41" t="s">
        <v>45</v>
      </c>
      <c r="E5055" s="41" t="s">
        <v>1298</v>
      </c>
      <c r="F5055" s="41" t="s">
        <v>1430</v>
      </c>
      <c r="G5055" s="41" t="s">
        <v>15425</v>
      </c>
      <c r="H5055" s="41" t="s">
        <v>15426</v>
      </c>
      <c r="I5055" s="43">
        <v>12</v>
      </c>
      <c r="J5055" s="44" t="str">
        <f>VLOOKUP(G5055,[1]硬件清单!$F:$F,1,0)</f>
        <v>6CU4421WAM</v>
      </c>
      <c r="K5055" s="43"/>
      <c r="L5055" s="44"/>
      <c r="M5055" s="45" t="s">
        <v>15427</v>
      </c>
    </row>
    <row r="5056" s="26" customFormat="1" ht="30" customHeight="1" spans="1:13">
      <c r="A5056" s="41">
        <f>IF(C5056="","",SUBTOTAL(103,$C$2:C5056))</f>
        <v>5047</v>
      </c>
      <c r="B5056" s="41">
        <v>3472</v>
      </c>
      <c r="C5056" s="41">
        <v>9741</v>
      </c>
      <c r="D5056" s="41" t="s">
        <v>45</v>
      </c>
      <c r="E5056" s="41" t="s">
        <v>1298</v>
      </c>
      <c r="F5056" s="41" t="s">
        <v>6138</v>
      </c>
      <c r="G5056" s="41" t="s">
        <v>15428</v>
      </c>
      <c r="H5056" s="41" t="s">
        <v>15429</v>
      </c>
      <c r="I5056" s="43">
        <v>12</v>
      </c>
      <c r="J5056" s="44" t="str">
        <f>VLOOKUP(G5056,[1]硬件清单!$F:$F,1,0)</f>
        <v>6CU4421WF8</v>
      </c>
      <c r="K5056" s="43"/>
      <c r="L5056" s="44"/>
      <c r="M5056" s="45" t="s">
        <v>15430</v>
      </c>
    </row>
    <row r="5057" s="26" customFormat="1" ht="30" customHeight="1" spans="1:13">
      <c r="A5057" s="41">
        <f>IF(C5057="","",SUBTOTAL(103,$C$2:C5057))</f>
        <v>5048</v>
      </c>
      <c r="B5057" s="41">
        <v>3473</v>
      </c>
      <c r="C5057" s="41">
        <v>9750</v>
      </c>
      <c r="D5057" s="41" t="s">
        <v>45</v>
      </c>
      <c r="E5057" s="41" t="s">
        <v>1298</v>
      </c>
      <c r="F5057" s="41" t="s">
        <v>6138</v>
      </c>
      <c r="G5057" s="41" t="s">
        <v>15431</v>
      </c>
      <c r="H5057" s="41" t="s">
        <v>15432</v>
      </c>
      <c r="I5057" s="43">
        <v>12</v>
      </c>
      <c r="J5057" s="44" t="str">
        <f>VLOOKUP(G5057,[1]硬件清单!$F:$F,1,0)</f>
        <v>6CU4421WH0</v>
      </c>
      <c r="K5057" s="43"/>
      <c r="L5057" s="44"/>
      <c r="M5057" s="45" t="s">
        <v>15433</v>
      </c>
    </row>
    <row r="5058" s="26" customFormat="1" ht="30" customHeight="1" spans="1:13">
      <c r="A5058" s="41">
        <f>IF(C5058="","",SUBTOTAL(103,$C$2:C5058))</f>
        <v>5049</v>
      </c>
      <c r="B5058" s="41">
        <v>3474</v>
      </c>
      <c r="C5058" s="41">
        <v>9742</v>
      </c>
      <c r="D5058" s="41" t="s">
        <v>45</v>
      </c>
      <c r="E5058" s="41" t="s">
        <v>1298</v>
      </c>
      <c r="F5058" s="41" t="s">
        <v>6138</v>
      </c>
      <c r="G5058" s="41" t="s">
        <v>15434</v>
      </c>
      <c r="H5058" s="41" t="s">
        <v>15435</v>
      </c>
      <c r="I5058" s="43">
        <v>12</v>
      </c>
      <c r="J5058" s="44" t="str">
        <f>VLOOKUP(G5058,[1]硬件清单!$F:$F,1,0)</f>
        <v>6CU4421WEX</v>
      </c>
      <c r="K5058" s="43"/>
      <c r="L5058" s="44"/>
      <c r="M5058" s="45" t="s">
        <v>15436</v>
      </c>
    </row>
    <row r="5059" s="26" customFormat="1" ht="30" customHeight="1" spans="1:13">
      <c r="A5059" s="41">
        <f>IF(C5059="","",SUBTOTAL(103,$C$2:C5059))</f>
        <v>5050</v>
      </c>
      <c r="B5059" s="41">
        <v>3475</v>
      </c>
      <c r="C5059" s="41">
        <v>9743</v>
      </c>
      <c r="D5059" s="41" t="s">
        <v>45</v>
      </c>
      <c r="E5059" s="41" t="s">
        <v>1298</v>
      </c>
      <c r="F5059" s="41" t="s">
        <v>6138</v>
      </c>
      <c r="G5059" s="41" t="s">
        <v>15437</v>
      </c>
      <c r="H5059" s="41" t="s">
        <v>15438</v>
      </c>
      <c r="I5059" s="43">
        <v>12</v>
      </c>
      <c r="J5059" s="44" t="str">
        <f>VLOOKUP(G5059,[1]硬件清单!$F:$F,1,0)</f>
        <v>6CU4421WFC</v>
      </c>
      <c r="K5059" s="43"/>
      <c r="L5059" s="44"/>
      <c r="M5059" s="45" t="s">
        <v>15439</v>
      </c>
    </row>
    <row r="5060" s="26" customFormat="1" ht="30" customHeight="1" spans="1:13">
      <c r="A5060" s="41">
        <f>IF(C5060="","",SUBTOTAL(103,$C$2:C5060))</f>
        <v>5051</v>
      </c>
      <c r="B5060" s="41">
        <v>3476</v>
      </c>
      <c r="C5060" s="41">
        <v>9744</v>
      </c>
      <c r="D5060" s="41" t="s">
        <v>45</v>
      </c>
      <c r="E5060" s="41" t="s">
        <v>1298</v>
      </c>
      <c r="F5060" s="41" t="s">
        <v>6138</v>
      </c>
      <c r="G5060" s="41" t="s">
        <v>15440</v>
      </c>
      <c r="H5060" s="41" t="s">
        <v>15441</v>
      </c>
      <c r="I5060" s="43">
        <v>12</v>
      </c>
      <c r="J5060" s="44" t="str">
        <f>VLOOKUP(G5060,[1]硬件清单!$F:$F,1,0)</f>
        <v>6CU4421WF0</v>
      </c>
      <c r="K5060" s="43"/>
      <c r="L5060" s="44"/>
      <c r="M5060" s="45" t="s">
        <v>15442</v>
      </c>
    </row>
    <row r="5061" s="26" customFormat="1" ht="30" customHeight="1" spans="1:13">
      <c r="A5061" s="41">
        <f>IF(C5061="","",SUBTOTAL(103,$C$2:C5061))</f>
        <v>5052</v>
      </c>
      <c r="B5061" s="41">
        <v>3477</v>
      </c>
      <c r="C5061" s="41">
        <v>9745</v>
      </c>
      <c r="D5061" s="41" t="s">
        <v>45</v>
      </c>
      <c r="E5061" s="41" t="s">
        <v>1298</v>
      </c>
      <c r="F5061" s="41" t="s">
        <v>6138</v>
      </c>
      <c r="G5061" s="41" t="s">
        <v>15443</v>
      </c>
      <c r="H5061" s="41" t="s">
        <v>15444</v>
      </c>
      <c r="I5061" s="43">
        <v>12</v>
      </c>
      <c r="J5061" s="44" t="str">
        <f>VLOOKUP(G5061,[1]硬件清单!$F:$F,1,0)</f>
        <v>6CU4421WH2</v>
      </c>
      <c r="K5061" s="43"/>
      <c r="L5061" s="44"/>
      <c r="M5061" s="45" t="s">
        <v>15445</v>
      </c>
    </row>
    <row r="5062" s="26" customFormat="1" ht="30" customHeight="1" spans="1:13">
      <c r="A5062" s="41">
        <f>IF(C5062="","",SUBTOTAL(103,$C$2:C5062))</f>
        <v>5053</v>
      </c>
      <c r="B5062" s="41">
        <v>3478</v>
      </c>
      <c r="C5062" s="41">
        <v>9746</v>
      </c>
      <c r="D5062" s="41" t="s">
        <v>45</v>
      </c>
      <c r="E5062" s="41" t="s">
        <v>1298</v>
      </c>
      <c r="F5062" s="41" t="s">
        <v>6138</v>
      </c>
      <c r="G5062" s="41" t="s">
        <v>15446</v>
      </c>
      <c r="H5062" s="41" t="s">
        <v>15447</v>
      </c>
      <c r="I5062" s="43">
        <v>12</v>
      </c>
      <c r="J5062" s="44" t="str">
        <f>VLOOKUP(G5062,[1]硬件清单!$F:$F,1,0)</f>
        <v>6CU4421WH8</v>
      </c>
      <c r="K5062" s="43"/>
      <c r="L5062" s="44"/>
      <c r="M5062" s="45" t="s">
        <v>15448</v>
      </c>
    </row>
    <row r="5063" s="26" customFormat="1" ht="30" customHeight="1" spans="1:13">
      <c r="A5063" s="41">
        <f>IF(C5063="","",SUBTOTAL(103,$C$2:C5063))</f>
        <v>5054</v>
      </c>
      <c r="B5063" s="41">
        <v>3479</v>
      </c>
      <c r="C5063" s="41">
        <v>9747</v>
      </c>
      <c r="D5063" s="41" t="s">
        <v>45</v>
      </c>
      <c r="E5063" s="41" t="s">
        <v>1298</v>
      </c>
      <c r="F5063" s="41" t="s">
        <v>6138</v>
      </c>
      <c r="G5063" s="41" t="s">
        <v>15449</v>
      </c>
      <c r="H5063" s="41" t="s">
        <v>15450</v>
      </c>
      <c r="I5063" s="43">
        <v>12</v>
      </c>
      <c r="J5063" s="44" t="str">
        <f>VLOOKUP(G5063,[1]硬件清单!$F:$F,1,0)</f>
        <v>6CU4421WFP</v>
      </c>
      <c r="K5063" s="43"/>
      <c r="L5063" s="44"/>
      <c r="M5063" s="45" t="s">
        <v>15451</v>
      </c>
    </row>
    <row r="5064" s="26" customFormat="1" ht="30" customHeight="1" spans="1:13">
      <c r="A5064" s="41">
        <f>IF(C5064="","",SUBTOTAL(103,$C$2:C5064))</f>
        <v>5055</v>
      </c>
      <c r="B5064" s="41">
        <v>3480</v>
      </c>
      <c r="C5064" s="41">
        <v>9748</v>
      </c>
      <c r="D5064" s="41" t="s">
        <v>45</v>
      </c>
      <c r="E5064" s="41" t="s">
        <v>1298</v>
      </c>
      <c r="F5064" s="41" t="s">
        <v>6138</v>
      </c>
      <c r="G5064" s="41" t="s">
        <v>15452</v>
      </c>
      <c r="H5064" s="41" t="s">
        <v>15453</v>
      </c>
      <c r="I5064" s="43">
        <v>12</v>
      </c>
      <c r="J5064" s="44" t="str">
        <f>VLOOKUP(G5064,[1]硬件清单!$F:$F,1,0)</f>
        <v>6CU4421WH6</v>
      </c>
      <c r="K5064" s="43"/>
      <c r="L5064" s="44"/>
      <c r="M5064" s="45" t="s">
        <v>15454</v>
      </c>
    </row>
    <row r="5065" s="26" customFormat="1" ht="30" customHeight="1" spans="1:13">
      <c r="A5065" s="41">
        <f>IF(C5065="","",SUBTOTAL(103,$C$2:C5065))</f>
        <v>5056</v>
      </c>
      <c r="B5065" s="41">
        <v>3481</v>
      </c>
      <c r="C5065" s="41">
        <v>9749</v>
      </c>
      <c r="D5065" s="41" t="s">
        <v>45</v>
      </c>
      <c r="E5065" s="41" t="s">
        <v>1298</v>
      </c>
      <c r="F5065" s="41" t="s">
        <v>6138</v>
      </c>
      <c r="G5065" s="41" t="s">
        <v>15455</v>
      </c>
      <c r="H5065" s="41" t="s">
        <v>15456</v>
      </c>
      <c r="I5065" s="43">
        <v>12</v>
      </c>
      <c r="J5065" s="44" t="str">
        <f>VLOOKUP(G5065,[1]硬件清单!$F:$F,1,0)</f>
        <v>6CU4421WES</v>
      </c>
      <c r="K5065" s="43"/>
      <c r="L5065" s="44"/>
      <c r="M5065" s="45" t="s">
        <v>15457</v>
      </c>
    </row>
    <row r="5066" s="26" customFormat="1" ht="30" customHeight="1" spans="1:13">
      <c r="A5066" s="41">
        <f>IF(C5066="","",SUBTOTAL(103,$C$2:C5066))</f>
        <v>5057</v>
      </c>
      <c r="B5066" s="41">
        <v>3482</v>
      </c>
      <c r="C5066" s="41">
        <v>10935</v>
      </c>
      <c r="D5066" s="41" t="s">
        <v>45</v>
      </c>
      <c r="E5066" s="41" t="s">
        <v>1298</v>
      </c>
      <c r="F5066" s="41" t="s">
        <v>10905</v>
      </c>
      <c r="G5066" s="41" t="s">
        <v>15458</v>
      </c>
      <c r="H5066" s="41" t="s">
        <v>15459</v>
      </c>
      <c r="I5066" s="43">
        <v>12</v>
      </c>
      <c r="J5066" s="44" t="str">
        <f>VLOOKUP(G5066,[1]硬件清单!$F:$F,1,0)</f>
        <v>214637686</v>
      </c>
      <c r="K5066" s="43"/>
      <c r="L5066" s="44"/>
      <c r="M5066" s="45" t="s">
        <v>15460</v>
      </c>
    </row>
    <row r="5067" s="26" customFormat="1" ht="30" customHeight="1" spans="1:13">
      <c r="A5067" s="41">
        <f>IF(C5067="","",SUBTOTAL(103,$C$2:C5067))</f>
        <v>5058</v>
      </c>
      <c r="B5067" s="41">
        <v>3484</v>
      </c>
      <c r="C5067" s="41">
        <v>9390</v>
      </c>
      <c r="D5067" s="41" t="s">
        <v>45</v>
      </c>
      <c r="E5067" s="41" t="s">
        <v>1298</v>
      </c>
      <c r="F5067" s="41" t="s">
        <v>8153</v>
      </c>
      <c r="G5067" s="41" t="s">
        <v>15461</v>
      </c>
      <c r="H5067" s="41" t="s">
        <v>15462</v>
      </c>
      <c r="I5067" s="43">
        <v>12</v>
      </c>
      <c r="J5067" s="44" t="str">
        <f>VLOOKUP(G5067,[1]硬件清单!$F:$F,1,0)</f>
        <v>210305485510EA000505</v>
      </c>
      <c r="K5067" s="43"/>
      <c r="L5067" s="44"/>
      <c r="M5067" s="45" t="s">
        <v>15463</v>
      </c>
    </row>
    <row r="5068" s="26" customFormat="1" ht="31.2" spans="1:13">
      <c r="A5068" s="41">
        <f>IF(C5068="","",SUBTOTAL(103,$C$2:C5068))</f>
        <v>5059</v>
      </c>
      <c r="B5068" s="41">
        <v>3492</v>
      </c>
      <c r="C5068" s="41">
        <v>9391</v>
      </c>
      <c r="D5068" s="41" t="s">
        <v>45</v>
      </c>
      <c r="E5068" s="41" t="s">
        <v>1298</v>
      </c>
      <c r="F5068" s="41" t="s">
        <v>8153</v>
      </c>
      <c r="G5068" s="41" t="s">
        <v>15464</v>
      </c>
      <c r="H5068" s="41" t="s">
        <v>15465</v>
      </c>
      <c r="I5068" s="43">
        <v>12</v>
      </c>
      <c r="J5068" s="44" t="str">
        <f>VLOOKUP(G5068,[1]硬件清单!$F:$F,1,0)</f>
        <v>210305485510EA000530</v>
      </c>
      <c r="K5068" s="43"/>
      <c r="L5068" s="44"/>
      <c r="M5068" s="45" t="s">
        <v>15466</v>
      </c>
    </row>
    <row r="5069" s="26" customFormat="1" ht="30" customHeight="1" spans="1:13">
      <c r="A5069" s="41">
        <f>IF(C5069="","",SUBTOTAL(103,$C$2:C5069))</f>
        <v>5060</v>
      </c>
      <c r="B5069" s="41">
        <v>3551</v>
      </c>
      <c r="C5069" s="46">
        <v>11110</v>
      </c>
      <c r="D5069" s="46" t="s">
        <v>19</v>
      </c>
      <c r="E5069" s="46" t="s">
        <v>20</v>
      </c>
      <c r="F5069" s="46" t="s">
        <v>10033</v>
      </c>
      <c r="G5069" s="41" t="s">
        <v>15467</v>
      </c>
      <c r="H5069" s="41" t="s">
        <v>15468</v>
      </c>
      <c r="I5069" s="43">
        <v>12</v>
      </c>
      <c r="J5069" s="44" t="str">
        <f>VLOOKUP(G5069,[1]硬件清单!$F:$F,1,0)</f>
        <v>210235AOHAH14A000399</v>
      </c>
      <c r="K5069" s="43"/>
      <c r="L5069" s="44"/>
      <c r="M5069" s="47" t="s">
        <v>15469</v>
      </c>
    </row>
    <row r="5070" s="26" customFormat="1" ht="30" customHeight="1" spans="1:13">
      <c r="A5070" s="41">
        <f>IF(C5070="","",SUBTOTAL(103,$C$2:C5070))</f>
        <v>5061</v>
      </c>
      <c r="B5070" s="41">
        <v>3552</v>
      </c>
      <c r="C5070" s="41">
        <v>7441</v>
      </c>
      <c r="D5070" s="41" t="s">
        <v>19</v>
      </c>
      <c r="E5070" s="41" t="s">
        <v>20</v>
      </c>
      <c r="F5070" s="41" t="s">
        <v>8893</v>
      </c>
      <c r="G5070" s="41" t="s">
        <v>15470</v>
      </c>
      <c r="H5070" s="41" t="s">
        <v>15471</v>
      </c>
      <c r="I5070" s="43">
        <v>12</v>
      </c>
      <c r="J5070" s="44" t="str">
        <f>VLOOKUP(G5070,[1]硬件清单!$F:$F,1,0)</f>
        <v>210235A0HAH14A000036</v>
      </c>
      <c r="K5070" s="43"/>
      <c r="L5070" s="44"/>
      <c r="M5070" s="45" t="s">
        <v>15472</v>
      </c>
    </row>
    <row r="5071" ht="30" customHeight="1" spans="1:13">
      <c r="A5071" s="41">
        <f>IF(C5071="","",SUBTOTAL(103,$C$2:C5071))</f>
        <v>5062</v>
      </c>
      <c r="B5071" s="41">
        <v>3553</v>
      </c>
      <c r="C5071" s="41">
        <v>7442</v>
      </c>
      <c r="D5071" s="41" t="s">
        <v>19</v>
      </c>
      <c r="E5071" s="41" t="s">
        <v>20</v>
      </c>
      <c r="F5071" s="41" t="s">
        <v>8893</v>
      </c>
      <c r="G5071" s="41" t="s">
        <v>15473</v>
      </c>
      <c r="H5071" s="41" t="s">
        <v>15474</v>
      </c>
      <c r="I5071" s="43">
        <v>12</v>
      </c>
      <c r="J5071" s="44" t="str">
        <f>VLOOKUP(G5071,[1]硬件清单!$F:$F,1,0)</f>
        <v>210235A0HAH14A000170</v>
      </c>
      <c r="K5071" s="43"/>
      <c r="L5071" s="44"/>
      <c r="M5071" s="45" t="s">
        <v>15475</v>
      </c>
    </row>
    <row r="5072" ht="30" customHeight="1" spans="1:13">
      <c r="A5072" s="41">
        <f>IF(C5072="","",SUBTOTAL(103,$C$2:C5072))</f>
        <v>5063</v>
      </c>
      <c r="B5072" s="41">
        <v>3554</v>
      </c>
      <c r="C5072" s="41">
        <v>7443</v>
      </c>
      <c r="D5072" s="41" t="s">
        <v>19</v>
      </c>
      <c r="E5072" s="41" t="s">
        <v>20</v>
      </c>
      <c r="F5072" s="41" t="s">
        <v>8893</v>
      </c>
      <c r="G5072" s="41" t="s">
        <v>15476</v>
      </c>
      <c r="H5072" s="41" t="s">
        <v>15477</v>
      </c>
      <c r="I5072" s="43">
        <v>12</v>
      </c>
      <c r="J5072" s="44" t="str">
        <f>VLOOKUP(G5072,[1]硬件清单!$F:$F,1,0)</f>
        <v>210235A0HAH14A000093</v>
      </c>
      <c r="K5072" s="43"/>
      <c r="L5072" s="44"/>
      <c r="M5072" s="45" t="s">
        <v>15478</v>
      </c>
    </row>
    <row r="5073" ht="30" customHeight="1" spans="1:13">
      <c r="A5073" s="41">
        <f>IF(C5073="","",SUBTOTAL(103,$C$2:C5073))</f>
        <v>5064</v>
      </c>
      <c r="B5073" s="41">
        <v>3555</v>
      </c>
      <c r="C5073" s="41">
        <v>7444</v>
      </c>
      <c r="D5073" s="41" t="s">
        <v>19</v>
      </c>
      <c r="E5073" s="41" t="s">
        <v>20</v>
      </c>
      <c r="F5073" s="41" t="s">
        <v>8893</v>
      </c>
      <c r="G5073" s="41" t="s">
        <v>15479</v>
      </c>
      <c r="H5073" s="41" t="s">
        <v>15480</v>
      </c>
      <c r="I5073" s="43">
        <v>12</v>
      </c>
      <c r="J5073" s="44" t="str">
        <f>VLOOKUP(G5073,[1]硬件清单!$F:$F,1,0)</f>
        <v>210235A0HAH14A000024</v>
      </c>
      <c r="K5073" s="43"/>
      <c r="L5073" s="44"/>
      <c r="M5073" s="45" t="s">
        <v>15481</v>
      </c>
    </row>
    <row r="5074" ht="30" customHeight="1" spans="1:13">
      <c r="A5074" s="41">
        <f>IF(C5074="","",SUBTOTAL(103,$C$2:C5074))</f>
        <v>5065</v>
      </c>
      <c r="B5074" s="41">
        <v>3556</v>
      </c>
      <c r="C5074" s="41">
        <v>11121</v>
      </c>
      <c r="D5074" s="41" t="s">
        <v>19</v>
      </c>
      <c r="E5074" s="41" t="s">
        <v>20</v>
      </c>
      <c r="F5074" s="41" t="s">
        <v>10772</v>
      </c>
      <c r="G5074" s="41" t="s">
        <v>15482</v>
      </c>
      <c r="H5074" s="41" t="s">
        <v>15483</v>
      </c>
      <c r="I5074" s="43">
        <v>12</v>
      </c>
      <c r="J5074" s="44" t="str">
        <f>VLOOKUP(G5074,[1]硬件清单!$F:$F,1,0)</f>
        <v>FDO1833E1PH</v>
      </c>
      <c r="K5074" s="43"/>
      <c r="L5074" s="44"/>
      <c r="M5074" s="45" t="s">
        <v>15484</v>
      </c>
    </row>
    <row r="5075" ht="30" customHeight="1" spans="1:13">
      <c r="A5075" s="41">
        <f>IF(C5075="","",SUBTOTAL(103,$C$2:C5075))</f>
        <v>5066</v>
      </c>
      <c r="B5075" s="41">
        <v>3557</v>
      </c>
      <c r="C5075" s="41">
        <v>11116</v>
      </c>
      <c r="D5075" s="41" t="s">
        <v>19</v>
      </c>
      <c r="E5075" s="41" t="s">
        <v>20</v>
      </c>
      <c r="F5075" s="41" t="s">
        <v>10789</v>
      </c>
      <c r="G5075" s="41" t="s">
        <v>15485</v>
      </c>
      <c r="H5075" s="41" t="s">
        <v>15486</v>
      </c>
      <c r="I5075" s="43">
        <v>12</v>
      </c>
      <c r="J5075" s="44" t="str">
        <f>VLOOKUP(G5075,[1]硬件清单!$F:$F,1,0)</f>
        <v>FOC1838R16B</v>
      </c>
      <c r="K5075" s="43"/>
      <c r="L5075" s="44"/>
      <c r="M5075" s="45" t="s">
        <v>15487</v>
      </c>
    </row>
    <row r="5076" ht="30" customHeight="1" spans="1:13">
      <c r="A5076" s="41">
        <f>IF(C5076="","",SUBTOTAL(103,$C$2:C5076))</f>
        <v>5067</v>
      </c>
      <c r="B5076" s="41">
        <v>3558</v>
      </c>
      <c r="C5076" s="41">
        <v>11117</v>
      </c>
      <c r="D5076" s="41" t="s">
        <v>19</v>
      </c>
      <c r="E5076" s="41" t="s">
        <v>20</v>
      </c>
      <c r="F5076" s="41" t="s">
        <v>10789</v>
      </c>
      <c r="G5076" s="41" t="s">
        <v>15488</v>
      </c>
      <c r="H5076" s="41" t="s">
        <v>15489</v>
      </c>
      <c r="I5076" s="43">
        <v>12</v>
      </c>
      <c r="J5076" s="44" t="str">
        <f>VLOOKUP(G5076,[1]硬件清单!$F:$F,1,0)</f>
        <v>FOC1838R2T6</v>
      </c>
      <c r="K5076" s="43"/>
      <c r="L5076" s="44"/>
      <c r="M5076" s="47" t="s">
        <v>15490</v>
      </c>
    </row>
    <row r="5077" ht="30" customHeight="1" spans="1:13">
      <c r="A5077" s="41">
        <f>IF(C5077="","",SUBTOTAL(103,$C$2:C5077))</f>
        <v>5068</v>
      </c>
      <c r="B5077" s="41">
        <v>3559</v>
      </c>
      <c r="C5077" s="41">
        <v>10488</v>
      </c>
      <c r="D5077" s="41" t="s">
        <v>19</v>
      </c>
      <c r="E5077" s="41" t="s">
        <v>20</v>
      </c>
      <c r="F5077" s="41" t="s">
        <v>15491</v>
      </c>
      <c r="G5077" s="41" t="s">
        <v>15492</v>
      </c>
      <c r="H5077" s="41" t="s">
        <v>15493</v>
      </c>
      <c r="I5077" s="43">
        <v>12</v>
      </c>
      <c r="J5077" s="44" t="str">
        <f>VLOOKUP(G5077,[1]硬件清单!$F:$F,1,0)</f>
        <v>FOC2004R0M4</v>
      </c>
      <c r="K5077" s="43"/>
      <c r="L5077" s="44"/>
      <c r="M5077" s="45" t="s">
        <v>15494</v>
      </c>
    </row>
    <row r="5078" ht="30" customHeight="1" spans="1:13">
      <c r="A5078" s="41">
        <f>IF(C5078="","",SUBTOTAL(103,$C$2:C5078))</f>
        <v>5069</v>
      </c>
      <c r="B5078" s="41">
        <v>3560</v>
      </c>
      <c r="C5078" s="46">
        <v>4973</v>
      </c>
      <c r="D5078" s="46" t="s">
        <v>19</v>
      </c>
      <c r="E5078" s="46" t="s">
        <v>20</v>
      </c>
      <c r="F5078" s="46" t="s">
        <v>10050</v>
      </c>
      <c r="G5078" s="41" t="s">
        <v>15495</v>
      </c>
      <c r="H5078" s="41" t="s">
        <v>15496</v>
      </c>
      <c r="I5078" s="43">
        <v>12</v>
      </c>
      <c r="J5078" s="44" t="str">
        <f>VLOOKUP(G5078,[1]硬件清单!$F:$F,1,0)</f>
        <v>210235A1G9H178000002</v>
      </c>
      <c r="K5078" s="43"/>
      <c r="L5078" s="44"/>
      <c r="M5078" s="47" t="s">
        <v>15497</v>
      </c>
    </row>
    <row r="5079" ht="30" customHeight="1" spans="1:13">
      <c r="A5079" s="41">
        <f>IF(C5079="","",SUBTOTAL(103,$C$2:C5079))</f>
        <v>5070</v>
      </c>
      <c r="B5079" s="41">
        <v>3561</v>
      </c>
      <c r="C5079" s="41">
        <v>11125</v>
      </c>
      <c r="D5079" s="41" t="s">
        <v>19</v>
      </c>
      <c r="E5079" s="41" t="s">
        <v>20</v>
      </c>
      <c r="F5079" s="41" t="s">
        <v>10772</v>
      </c>
      <c r="G5079" s="41" t="s">
        <v>15498</v>
      </c>
      <c r="H5079" s="41" t="s">
        <v>15499</v>
      </c>
      <c r="I5079" s="43">
        <v>12</v>
      </c>
      <c r="J5079" s="44" t="str">
        <f>VLOOKUP(G5079,[1]硬件清单!$F:$F,1,0)</f>
        <v>FDO1837E287</v>
      </c>
      <c r="K5079" s="43"/>
      <c r="L5079" s="44"/>
      <c r="M5079" s="45" t="s">
        <v>15500</v>
      </c>
    </row>
    <row r="5080" ht="30" customHeight="1" spans="1:13">
      <c r="A5080" s="41">
        <f>IF(C5080="","",SUBTOTAL(103,$C$2:C5080))</f>
        <v>5071</v>
      </c>
      <c r="B5080" s="41">
        <v>3562</v>
      </c>
      <c r="C5080" s="41">
        <v>11120</v>
      </c>
      <c r="D5080" s="41" t="s">
        <v>19</v>
      </c>
      <c r="E5080" s="41" t="s">
        <v>20</v>
      </c>
      <c r="F5080" s="41" t="s">
        <v>10772</v>
      </c>
      <c r="G5080" s="41" t="s">
        <v>15501</v>
      </c>
      <c r="H5080" s="41" t="s">
        <v>15502</v>
      </c>
      <c r="I5080" s="43">
        <v>12</v>
      </c>
      <c r="J5080" s="44" t="str">
        <f>VLOOKUP(G5080,[1]硬件清单!$F:$F,1,0)</f>
        <v>FDO1829Q1P3</v>
      </c>
      <c r="K5080" s="43"/>
      <c r="L5080" s="44"/>
      <c r="M5080" s="45" t="s">
        <v>15503</v>
      </c>
    </row>
    <row r="5081" ht="30" customHeight="1" spans="1:13">
      <c r="A5081" s="41">
        <f>IF(C5081="","",SUBTOTAL(103,$C$2:C5081))</f>
        <v>5072</v>
      </c>
      <c r="B5081" s="41">
        <v>3563</v>
      </c>
      <c r="C5081" s="41">
        <v>13614</v>
      </c>
      <c r="D5081" s="41" t="s">
        <v>3602</v>
      </c>
      <c r="E5081" s="41" t="s">
        <v>3603</v>
      </c>
      <c r="F5081" s="41" t="s">
        <v>3604</v>
      </c>
      <c r="G5081" s="41" t="s">
        <v>15504</v>
      </c>
      <c r="H5081" s="41" t="s">
        <v>15505</v>
      </c>
      <c r="I5081" s="43">
        <v>12</v>
      </c>
      <c r="J5081" s="44" t="str">
        <f>VLOOKUP(G5081,[1]硬件清单!$F:$F,1,0)</f>
        <v>0191103201705</v>
      </c>
      <c r="K5081" s="43"/>
      <c r="L5081" s="44"/>
      <c r="M5081" s="45" t="s">
        <v>15506</v>
      </c>
    </row>
    <row r="5082" s="26" customFormat="1" ht="30" customHeight="1" spans="1:13">
      <c r="A5082" s="41">
        <f>IF(C5082="","",SUBTOTAL(103,$C$2:C5082))</f>
        <v>5073</v>
      </c>
      <c r="B5082" s="41">
        <v>3564</v>
      </c>
      <c r="C5082" s="41">
        <v>13137</v>
      </c>
      <c r="D5082" s="41" t="s">
        <v>19</v>
      </c>
      <c r="E5082" s="41" t="s">
        <v>20</v>
      </c>
      <c r="F5082" s="41" t="s">
        <v>3765</v>
      </c>
      <c r="G5082" s="41" t="s">
        <v>15507</v>
      </c>
      <c r="H5082" s="41" t="s">
        <v>15508</v>
      </c>
      <c r="I5082" s="43">
        <v>12</v>
      </c>
      <c r="J5082" s="44" t="str">
        <f>VLOOKUP(G5082,[1]硬件清单!$F:$F,1,0)</f>
        <v>210235A3GLH195000052</v>
      </c>
      <c r="K5082" s="43"/>
      <c r="L5082" s="44"/>
      <c r="M5082" s="45" t="s">
        <v>15509</v>
      </c>
    </row>
    <row r="5083" s="26" customFormat="1" ht="30" customHeight="1" spans="1:13">
      <c r="A5083" s="41">
        <f>IF(C5083="","",SUBTOTAL(103,$C$2:C5083))</f>
        <v>5074</v>
      </c>
      <c r="B5083" s="41">
        <v>3565</v>
      </c>
      <c r="C5083" s="41">
        <v>13136</v>
      </c>
      <c r="D5083" s="41" t="s">
        <v>19</v>
      </c>
      <c r="E5083" s="41" t="s">
        <v>20</v>
      </c>
      <c r="F5083" s="41" t="s">
        <v>3765</v>
      </c>
      <c r="G5083" s="41" t="s">
        <v>15510</v>
      </c>
      <c r="H5083" s="41" t="s">
        <v>15511</v>
      </c>
      <c r="I5083" s="43">
        <v>12</v>
      </c>
      <c r="J5083" s="44" t="str">
        <f>VLOOKUP(G5083,[1]硬件清单!$F:$F,1,0)</f>
        <v>210235A3GLH197000011</v>
      </c>
      <c r="K5083" s="43"/>
      <c r="L5083" s="44"/>
      <c r="M5083" s="45" t="s">
        <v>15512</v>
      </c>
    </row>
    <row r="5084" s="26" customFormat="1" ht="30" customHeight="1" spans="1:13">
      <c r="A5084" s="41">
        <f>IF(C5084="","",SUBTOTAL(103,$C$2:C5084))</f>
        <v>5075</v>
      </c>
      <c r="B5084" s="41">
        <v>3566</v>
      </c>
      <c r="C5084" s="41">
        <v>13181</v>
      </c>
      <c r="D5084" s="41" t="s">
        <v>3602</v>
      </c>
      <c r="E5084" s="41" t="s">
        <v>3603</v>
      </c>
      <c r="F5084" s="41" t="s">
        <v>3604</v>
      </c>
      <c r="G5084" s="41" t="s">
        <v>15513</v>
      </c>
      <c r="H5084" s="41" t="s">
        <v>15514</v>
      </c>
      <c r="I5084" s="43">
        <v>12</v>
      </c>
      <c r="J5084" s="44" t="str">
        <f>VLOOKUP(G5084,[1]硬件清单!$F:$F,1,0)</f>
        <v>0191103201682</v>
      </c>
      <c r="K5084" s="43"/>
      <c r="L5084" s="44"/>
      <c r="M5084" s="45" t="s">
        <v>15515</v>
      </c>
    </row>
    <row r="5085" s="26" customFormat="1" ht="30" customHeight="1" spans="1:13">
      <c r="A5085" s="41">
        <f>IF(C5085="","",SUBTOTAL(103,$C$2:C5085))</f>
        <v>5076</v>
      </c>
      <c r="B5085" s="41">
        <v>3567</v>
      </c>
      <c r="C5085" s="41">
        <v>13138</v>
      </c>
      <c r="D5085" s="41" t="s">
        <v>19</v>
      </c>
      <c r="E5085" s="41" t="s">
        <v>20</v>
      </c>
      <c r="F5085" s="41" t="s">
        <v>3778</v>
      </c>
      <c r="G5085" s="41" t="s">
        <v>15516</v>
      </c>
      <c r="H5085" s="41" t="s">
        <v>15517</v>
      </c>
      <c r="I5085" s="43">
        <v>12</v>
      </c>
      <c r="J5085" s="44" t="str">
        <f>VLOOKUP(G5085,[1]硬件清单!$F:$F,1,0)</f>
        <v>2102350DLVDMK8001534</v>
      </c>
      <c r="K5085" s="43"/>
      <c r="L5085" s="44"/>
      <c r="M5085" s="45" t="s">
        <v>15518</v>
      </c>
    </row>
    <row r="5086" s="26" customFormat="1" ht="30" customHeight="1" spans="1:13">
      <c r="A5086" s="41">
        <f>IF(C5086="","",SUBTOTAL(103,$C$2:C5086))</f>
        <v>5077</v>
      </c>
      <c r="B5086" s="41">
        <v>3568</v>
      </c>
      <c r="C5086" s="41">
        <v>13594</v>
      </c>
      <c r="D5086" s="41" t="s">
        <v>19</v>
      </c>
      <c r="E5086" s="41" t="s">
        <v>20</v>
      </c>
      <c r="F5086" s="41" t="s">
        <v>3765</v>
      </c>
      <c r="G5086" s="41" t="s">
        <v>15519</v>
      </c>
      <c r="H5086" s="41" t="s">
        <v>15520</v>
      </c>
      <c r="I5086" s="43">
        <v>12</v>
      </c>
      <c r="J5086" s="44" t="str">
        <f>VLOOKUP(G5086,[1]硬件清单!$F:$F,1,0)</f>
        <v>210235A3GLH195000038</v>
      </c>
      <c r="K5086" s="43"/>
      <c r="L5086" s="44"/>
      <c r="M5086" s="45" t="s">
        <v>15521</v>
      </c>
    </row>
    <row r="5087" s="26" customFormat="1" ht="30" customHeight="1" spans="1:13">
      <c r="A5087" s="41">
        <f>IF(C5087="","",SUBTOTAL(103,$C$2:C5087))</f>
        <v>5078</v>
      </c>
      <c r="B5087" s="41">
        <v>3569</v>
      </c>
      <c r="C5087" s="41">
        <v>13593</v>
      </c>
      <c r="D5087" s="41" t="s">
        <v>19</v>
      </c>
      <c r="E5087" s="41" t="s">
        <v>20</v>
      </c>
      <c r="F5087" s="41" t="s">
        <v>3765</v>
      </c>
      <c r="G5087" s="41" t="s">
        <v>15522</v>
      </c>
      <c r="H5087" s="41" t="s">
        <v>15523</v>
      </c>
      <c r="I5087" s="43">
        <v>12</v>
      </c>
      <c r="J5087" s="44" t="str">
        <f>VLOOKUP(G5087,[1]硬件清单!$F:$F,1,0)</f>
        <v>210235A3GLH195000028</v>
      </c>
      <c r="K5087" s="43"/>
      <c r="L5087" s="44"/>
      <c r="M5087" s="45" t="s">
        <v>15524</v>
      </c>
    </row>
    <row r="5088" s="26" customFormat="1" ht="30" customHeight="1" spans="1:13">
      <c r="A5088" s="41">
        <f>IF(C5088="","",SUBTOTAL(103,$C$2:C5088))</f>
        <v>5079</v>
      </c>
      <c r="B5088" s="41">
        <v>3570</v>
      </c>
      <c r="C5088" s="41">
        <v>13099</v>
      </c>
      <c r="D5088" s="41" t="s">
        <v>45</v>
      </c>
      <c r="E5088" s="41" t="s">
        <v>1298</v>
      </c>
      <c r="F5088" s="41" t="s">
        <v>3686</v>
      </c>
      <c r="G5088" s="41" t="s">
        <v>15525</v>
      </c>
      <c r="H5088" s="41" t="s">
        <v>15526</v>
      </c>
      <c r="I5088" s="43">
        <v>12</v>
      </c>
      <c r="J5088" s="44" t="str">
        <f>VLOOKUP(G5088,[1]硬件清单!$F:$F,1,0)</f>
        <v>J301DX2H</v>
      </c>
      <c r="K5088" s="43"/>
      <c r="L5088" s="44"/>
      <c r="M5088" s="45" t="s">
        <v>15527</v>
      </c>
    </row>
    <row r="5089" s="26" customFormat="1" ht="30" customHeight="1" spans="1:13">
      <c r="A5089" s="41">
        <f>IF(C5089="","",SUBTOTAL(103,$C$2:C5089))</f>
        <v>5080</v>
      </c>
      <c r="B5089" s="41">
        <v>3571</v>
      </c>
      <c r="C5089" s="41">
        <v>13098</v>
      </c>
      <c r="D5089" s="41" t="s">
        <v>45</v>
      </c>
      <c r="E5089" s="41" t="s">
        <v>1298</v>
      </c>
      <c r="F5089" s="41" t="s">
        <v>3686</v>
      </c>
      <c r="G5089" s="41" t="s">
        <v>15528</v>
      </c>
      <c r="H5089" s="41" t="s">
        <v>15529</v>
      </c>
      <c r="I5089" s="43">
        <v>12</v>
      </c>
      <c r="J5089" s="44" t="str">
        <f>VLOOKUP(G5089,[1]硬件清单!$F:$F,1,0)</f>
        <v>J301DX2P</v>
      </c>
      <c r="K5089" s="43"/>
      <c r="L5089" s="44"/>
      <c r="M5089" s="45" t="s">
        <v>15530</v>
      </c>
    </row>
    <row r="5090" s="26" customFormat="1" ht="30" customHeight="1" spans="1:13">
      <c r="A5090" s="41">
        <f>IF(C5090="","",SUBTOTAL(103,$C$2:C5090))</f>
        <v>5081</v>
      </c>
      <c r="B5090" s="41">
        <v>3572</v>
      </c>
      <c r="C5090" s="41">
        <v>13056</v>
      </c>
      <c r="D5090" s="41" t="s">
        <v>45</v>
      </c>
      <c r="E5090" s="41" t="s">
        <v>1298</v>
      </c>
      <c r="F5090" s="41" t="s">
        <v>3686</v>
      </c>
      <c r="G5090" s="41" t="s">
        <v>15531</v>
      </c>
      <c r="H5090" s="41" t="s">
        <v>15532</v>
      </c>
      <c r="I5090" s="43">
        <v>12</v>
      </c>
      <c r="J5090" s="44" t="str">
        <f>VLOOKUP(G5090,[1]硬件清单!$F:$F,1,0)</f>
        <v>J301DX2N</v>
      </c>
      <c r="K5090" s="43"/>
      <c r="L5090" s="44"/>
      <c r="M5090" s="45" t="s">
        <v>15533</v>
      </c>
    </row>
    <row r="5091" s="26" customFormat="1" ht="30" customHeight="1" spans="1:13">
      <c r="A5091" s="41">
        <f>IF(C5091="","",SUBTOTAL(103,$C$2:C5091))</f>
        <v>5082</v>
      </c>
      <c r="B5091" s="41">
        <v>3573</v>
      </c>
      <c r="C5091" s="41">
        <v>13051</v>
      </c>
      <c r="D5091" s="41" t="s">
        <v>45</v>
      </c>
      <c r="E5091" s="41" t="s">
        <v>1298</v>
      </c>
      <c r="F5091" s="41" t="s">
        <v>3686</v>
      </c>
      <c r="G5091" s="41" t="s">
        <v>15534</v>
      </c>
      <c r="H5091" s="41" t="s">
        <v>15535</v>
      </c>
      <c r="I5091" s="43">
        <v>12</v>
      </c>
      <c r="J5091" s="44" t="str">
        <f>VLOOKUP(G5091,[1]硬件清单!$F:$F,1,0)</f>
        <v>J301DX2F</v>
      </c>
      <c r="K5091" s="43"/>
      <c r="L5091" s="44"/>
      <c r="M5091" s="45" t="s">
        <v>15536</v>
      </c>
    </row>
    <row r="5092" s="26" customFormat="1" ht="30" customHeight="1" spans="1:13">
      <c r="A5092" s="41">
        <f>IF(C5092="","",SUBTOTAL(103,$C$2:C5092))</f>
        <v>5083</v>
      </c>
      <c r="B5092" s="41">
        <v>3574</v>
      </c>
      <c r="C5092" s="41">
        <v>13055</v>
      </c>
      <c r="D5092" s="41" t="s">
        <v>45</v>
      </c>
      <c r="E5092" s="41" t="s">
        <v>1298</v>
      </c>
      <c r="F5092" s="41" t="s">
        <v>3686</v>
      </c>
      <c r="G5092" s="41" t="s">
        <v>15537</v>
      </c>
      <c r="H5092" s="41" t="s">
        <v>15538</v>
      </c>
      <c r="I5092" s="43">
        <v>12</v>
      </c>
      <c r="J5092" s="44" t="str">
        <f>VLOOKUP(G5092,[1]硬件清单!$F:$F,1,0)</f>
        <v>J301DX2C</v>
      </c>
      <c r="K5092" s="43"/>
      <c r="L5092" s="44"/>
      <c r="M5092" s="45" t="s">
        <v>15539</v>
      </c>
    </row>
    <row r="5093" s="26" customFormat="1" ht="30" customHeight="1" spans="1:13">
      <c r="A5093" s="41">
        <f>IF(C5093="","",SUBTOTAL(103,$C$2:C5093))</f>
        <v>5084</v>
      </c>
      <c r="B5093" s="41">
        <v>3575</v>
      </c>
      <c r="C5093" s="41">
        <v>13054</v>
      </c>
      <c r="D5093" s="41" t="s">
        <v>45</v>
      </c>
      <c r="E5093" s="41" t="s">
        <v>1298</v>
      </c>
      <c r="F5093" s="41" t="s">
        <v>3686</v>
      </c>
      <c r="G5093" s="41" t="s">
        <v>15540</v>
      </c>
      <c r="H5093" s="41" t="s">
        <v>15541</v>
      </c>
      <c r="I5093" s="43">
        <v>12</v>
      </c>
      <c r="J5093" s="44" t="str">
        <f>VLOOKUP(G5093,[1]硬件清单!$F:$F,1,0)</f>
        <v>J301DX2D</v>
      </c>
      <c r="K5093" s="43"/>
      <c r="L5093" s="44"/>
      <c r="M5093" s="45" t="s">
        <v>15542</v>
      </c>
    </row>
    <row r="5094" s="26" customFormat="1" ht="30" customHeight="1" spans="1:13">
      <c r="A5094" s="41">
        <f>IF(C5094="","",SUBTOTAL(103,$C$2:C5094))</f>
        <v>5085</v>
      </c>
      <c r="B5094" s="41">
        <v>3576</v>
      </c>
      <c r="C5094" s="41">
        <v>13598</v>
      </c>
      <c r="D5094" s="41" t="s">
        <v>19</v>
      </c>
      <c r="E5094" s="41" t="s">
        <v>20</v>
      </c>
      <c r="F5094" s="41" t="s">
        <v>3765</v>
      </c>
      <c r="G5094" s="41" t="s">
        <v>15543</v>
      </c>
      <c r="H5094" s="41" t="s">
        <v>15544</v>
      </c>
      <c r="I5094" s="43">
        <v>12</v>
      </c>
      <c r="J5094" s="44" t="str">
        <f>VLOOKUP(G5094,[1]硬件清单!$F:$F,1,0)</f>
        <v>210235A3GLH195000010</v>
      </c>
      <c r="K5094" s="43"/>
      <c r="L5094" s="44"/>
      <c r="M5094" s="45" t="s">
        <v>15545</v>
      </c>
    </row>
    <row r="5095" s="26" customFormat="1" ht="30" customHeight="1" spans="1:13">
      <c r="A5095" s="41">
        <f>IF(C5095="","",SUBTOTAL(103,$C$2:C5095))</f>
        <v>5086</v>
      </c>
      <c r="B5095" s="41">
        <v>3577</v>
      </c>
      <c r="C5095" s="41">
        <v>13597</v>
      </c>
      <c r="D5095" s="41" t="s">
        <v>19</v>
      </c>
      <c r="E5095" s="41" t="s">
        <v>20</v>
      </c>
      <c r="F5095" s="41" t="s">
        <v>3765</v>
      </c>
      <c r="G5095" s="41" t="s">
        <v>15546</v>
      </c>
      <c r="H5095" s="41" t="s">
        <v>15547</v>
      </c>
      <c r="I5095" s="43">
        <v>12</v>
      </c>
      <c r="J5095" s="44" t="str">
        <f>VLOOKUP(G5095,[1]硬件清单!$F:$F,1,0)</f>
        <v>210235A3GLH195000024</v>
      </c>
      <c r="K5095" s="43"/>
      <c r="L5095" s="44"/>
      <c r="M5095" s="45" t="s">
        <v>15548</v>
      </c>
    </row>
    <row r="5096" s="26" customFormat="1" ht="30" customHeight="1" spans="1:13">
      <c r="A5096" s="41">
        <f>IF(C5096="","",SUBTOTAL(103,$C$2:C5096))</f>
        <v>5087</v>
      </c>
      <c r="B5096" s="41">
        <v>3578</v>
      </c>
      <c r="C5096" s="41">
        <v>13050</v>
      </c>
      <c r="D5096" s="41" t="s">
        <v>45</v>
      </c>
      <c r="E5096" s="41" t="s">
        <v>1298</v>
      </c>
      <c r="F5096" s="41" t="s">
        <v>3686</v>
      </c>
      <c r="G5096" s="41" t="s">
        <v>15549</v>
      </c>
      <c r="H5096" s="41" t="s">
        <v>15550</v>
      </c>
      <c r="I5096" s="43">
        <v>12</v>
      </c>
      <c r="J5096" s="44" t="str">
        <f>VLOOKUP(G5096,[1]硬件清单!$F:$F,1,0)</f>
        <v>J301DX2T</v>
      </c>
      <c r="K5096" s="43"/>
      <c r="L5096" s="44"/>
      <c r="M5096" s="45" t="s">
        <v>15551</v>
      </c>
    </row>
    <row r="5097" s="26" customFormat="1" ht="30" customHeight="1" spans="1:13">
      <c r="A5097" s="41">
        <f>IF(C5097="","",SUBTOTAL(103,$C$2:C5097))</f>
        <v>5088</v>
      </c>
      <c r="B5097" s="41">
        <v>3579</v>
      </c>
      <c r="C5097" s="41">
        <v>13117</v>
      </c>
      <c r="D5097" s="41" t="s">
        <v>45</v>
      </c>
      <c r="E5097" s="41" t="s">
        <v>1298</v>
      </c>
      <c r="F5097" s="41" t="s">
        <v>3686</v>
      </c>
      <c r="G5097" s="41" t="s">
        <v>15552</v>
      </c>
      <c r="H5097" s="41" t="s">
        <v>15553</v>
      </c>
      <c r="I5097" s="43">
        <v>12</v>
      </c>
      <c r="J5097" s="44" t="str">
        <f>VLOOKUP(G5097,[1]硬件清单!$F:$F,1,0)</f>
        <v>J301DX2R</v>
      </c>
      <c r="K5097" s="43"/>
      <c r="L5097" s="44"/>
      <c r="M5097" s="45" t="s">
        <v>15554</v>
      </c>
    </row>
    <row r="5098" s="26" customFormat="1" ht="30" customHeight="1" spans="1:13">
      <c r="A5098" s="41">
        <f>IF(C5098="","",SUBTOTAL(103,$C$2:C5098))</f>
        <v>5089</v>
      </c>
      <c r="B5098" s="41">
        <v>3580</v>
      </c>
      <c r="C5098" s="41">
        <v>13116</v>
      </c>
      <c r="D5098" s="41" t="s">
        <v>45</v>
      </c>
      <c r="E5098" s="41" t="s">
        <v>1298</v>
      </c>
      <c r="F5098" s="41" t="s">
        <v>3686</v>
      </c>
      <c r="G5098" s="41" t="s">
        <v>15555</v>
      </c>
      <c r="H5098" s="41" t="s">
        <v>15556</v>
      </c>
      <c r="I5098" s="43">
        <v>12</v>
      </c>
      <c r="J5098" s="44" t="str">
        <f>VLOOKUP(G5098,[1]硬件清单!$F:$F,1,0)</f>
        <v>J301DX2L</v>
      </c>
      <c r="K5098" s="43"/>
      <c r="L5098" s="44"/>
      <c r="M5098" s="45" t="s">
        <v>15557</v>
      </c>
    </row>
    <row r="5099" s="26" customFormat="1" ht="30" customHeight="1" spans="1:13">
      <c r="A5099" s="41">
        <f>IF(C5099="","",SUBTOTAL(103,$C$2:C5099))</f>
        <v>5090</v>
      </c>
      <c r="B5099" s="41">
        <v>3581</v>
      </c>
      <c r="C5099" s="41">
        <v>13079</v>
      </c>
      <c r="D5099" s="41" t="s">
        <v>3602</v>
      </c>
      <c r="E5099" s="41" t="s">
        <v>3603</v>
      </c>
      <c r="F5099" s="41" t="s">
        <v>3604</v>
      </c>
      <c r="G5099" s="41" t="s">
        <v>15558</v>
      </c>
      <c r="H5099" s="41" t="s">
        <v>15559</v>
      </c>
      <c r="I5099" s="43">
        <v>12</v>
      </c>
      <c r="J5099" s="44" t="str">
        <f>VLOOKUP(G5099,[1]硬件清单!$F:$F,1,0)</f>
        <v>0191103201675</v>
      </c>
      <c r="K5099" s="43"/>
      <c r="L5099" s="44"/>
      <c r="M5099" s="45" t="s">
        <v>15560</v>
      </c>
    </row>
    <row r="5100" s="26" customFormat="1" ht="30" customHeight="1" spans="1:13">
      <c r="A5100" s="41">
        <f>IF(C5100="","",SUBTOTAL(103,$C$2:C5100))</f>
        <v>5091</v>
      </c>
      <c r="B5100" s="41">
        <v>3582</v>
      </c>
      <c r="C5100" s="41">
        <v>13059</v>
      </c>
      <c r="D5100" s="41" t="s">
        <v>45</v>
      </c>
      <c r="E5100" s="41" t="s">
        <v>1298</v>
      </c>
      <c r="F5100" s="41" t="s">
        <v>3686</v>
      </c>
      <c r="G5100" s="41" t="s">
        <v>15561</v>
      </c>
      <c r="H5100" s="41" t="s">
        <v>15562</v>
      </c>
      <c r="I5100" s="43">
        <v>12</v>
      </c>
      <c r="J5100" s="44" t="str">
        <f>VLOOKUP(G5100,[1]硬件清单!$F:$F,1,0)</f>
        <v>J301DX2V</v>
      </c>
      <c r="K5100" s="43"/>
      <c r="L5100" s="44"/>
      <c r="M5100" s="45" t="s">
        <v>15563</v>
      </c>
    </row>
    <row r="5101" s="26" customFormat="1" ht="30" customHeight="1" spans="1:13">
      <c r="A5101" s="41">
        <f>IF(C5101="","",SUBTOTAL(103,$C$2:C5101))</f>
        <v>5092</v>
      </c>
      <c r="B5101" s="41">
        <v>3583</v>
      </c>
      <c r="C5101" s="41">
        <v>13115</v>
      </c>
      <c r="D5101" s="41" t="s">
        <v>45</v>
      </c>
      <c r="E5101" s="41" t="s">
        <v>1298</v>
      </c>
      <c r="F5101" s="41" t="s">
        <v>3686</v>
      </c>
      <c r="G5101" s="41" t="s">
        <v>15564</v>
      </c>
      <c r="H5101" s="41" t="s">
        <v>15565</v>
      </c>
      <c r="I5101" s="43">
        <v>12</v>
      </c>
      <c r="J5101" s="44" t="str">
        <f>VLOOKUP(G5101,[1]硬件清单!$F:$F,1,0)</f>
        <v>J301DX2M</v>
      </c>
      <c r="K5101" s="43"/>
      <c r="L5101" s="44"/>
      <c r="M5101" s="45" t="s">
        <v>15566</v>
      </c>
    </row>
    <row r="5102" s="26" customFormat="1" ht="30" customHeight="1" spans="1:13">
      <c r="A5102" s="41">
        <f>IF(C5102="","",SUBTOTAL(103,$C$2:C5102))</f>
        <v>5093</v>
      </c>
      <c r="B5102" s="41">
        <v>3584</v>
      </c>
      <c r="C5102" s="41">
        <v>13058</v>
      </c>
      <c r="D5102" s="41" t="s">
        <v>45</v>
      </c>
      <c r="E5102" s="41" t="s">
        <v>1298</v>
      </c>
      <c r="F5102" s="41" t="s">
        <v>3686</v>
      </c>
      <c r="G5102" s="41" t="s">
        <v>15567</v>
      </c>
      <c r="H5102" s="41" t="s">
        <v>15568</v>
      </c>
      <c r="I5102" s="43">
        <v>12</v>
      </c>
      <c r="J5102" s="44" t="str">
        <f>VLOOKUP(G5102,[1]硬件清单!$F:$F,1,0)</f>
        <v>J301DX2E</v>
      </c>
      <c r="K5102" s="43"/>
      <c r="L5102" s="44"/>
      <c r="M5102" s="45" t="s">
        <v>15569</v>
      </c>
    </row>
    <row r="5103" s="26" customFormat="1" ht="30" customHeight="1" spans="1:13">
      <c r="A5103" s="41">
        <f>IF(C5103="","",SUBTOTAL(103,$C$2:C5103))</f>
        <v>5094</v>
      </c>
      <c r="B5103" s="41">
        <v>3585</v>
      </c>
      <c r="C5103" s="41">
        <v>13057</v>
      </c>
      <c r="D5103" s="41" t="s">
        <v>45</v>
      </c>
      <c r="E5103" s="41" t="s">
        <v>1298</v>
      </c>
      <c r="F5103" s="41" t="s">
        <v>3686</v>
      </c>
      <c r="G5103" s="41" t="s">
        <v>15570</v>
      </c>
      <c r="H5103" s="41" t="s">
        <v>15571</v>
      </c>
      <c r="I5103" s="43">
        <v>12</v>
      </c>
      <c r="J5103" s="44" t="str">
        <f>VLOOKUP(G5103,[1]硬件清单!$F:$F,1,0)</f>
        <v>J301DX2K</v>
      </c>
      <c r="K5103" s="43"/>
      <c r="L5103" s="44"/>
      <c r="M5103" s="45" t="s">
        <v>15572</v>
      </c>
    </row>
    <row r="5104" s="26" customFormat="1" ht="30" customHeight="1" spans="1:13">
      <c r="A5104" s="41">
        <f>IF(C5104="","",SUBTOTAL(103,$C$2:C5104))</f>
        <v>5095</v>
      </c>
      <c r="B5104" s="41">
        <v>3586</v>
      </c>
      <c r="C5104" s="41">
        <v>13600</v>
      </c>
      <c r="D5104" s="41" t="s">
        <v>19</v>
      </c>
      <c r="E5104" s="41" t="s">
        <v>20</v>
      </c>
      <c r="F5104" s="41" t="s">
        <v>3765</v>
      </c>
      <c r="G5104" s="41" t="s">
        <v>15573</v>
      </c>
      <c r="H5104" s="41" t="s">
        <v>15574</v>
      </c>
      <c r="I5104" s="43">
        <v>12</v>
      </c>
      <c r="J5104" s="44" t="str">
        <f>VLOOKUP(G5104,[1]硬件清单!$F:$F,1,0)</f>
        <v>210235A3GLH195000055</v>
      </c>
      <c r="K5104" s="43"/>
      <c r="L5104" s="44"/>
      <c r="M5104" s="45" t="s">
        <v>15575</v>
      </c>
    </row>
    <row r="5105" s="26" customFormat="1" ht="30" customHeight="1" spans="1:13">
      <c r="A5105" s="41">
        <f>IF(C5105="","",SUBTOTAL(103,$C$2:C5105))</f>
        <v>5096</v>
      </c>
      <c r="B5105" s="41">
        <v>3587</v>
      </c>
      <c r="C5105" s="41">
        <v>13599</v>
      </c>
      <c r="D5105" s="41" t="s">
        <v>19</v>
      </c>
      <c r="E5105" s="41" t="s">
        <v>20</v>
      </c>
      <c r="F5105" s="41" t="s">
        <v>3765</v>
      </c>
      <c r="G5105" s="41" t="s">
        <v>15576</v>
      </c>
      <c r="H5105" s="41" t="s">
        <v>15577</v>
      </c>
      <c r="I5105" s="43">
        <v>12</v>
      </c>
      <c r="J5105" s="44" t="str">
        <f>VLOOKUP(G5105,[1]硬件清单!$F:$F,1,0)</f>
        <v>210235A3GLH195000007</v>
      </c>
      <c r="K5105" s="43"/>
      <c r="L5105" s="44"/>
      <c r="M5105" s="45" t="s">
        <v>15578</v>
      </c>
    </row>
    <row r="5106" s="26" customFormat="1" ht="30" customHeight="1" spans="1:13">
      <c r="A5106" s="41">
        <f>IF(C5106="","",SUBTOTAL(103,$C$2:C5106))</f>
        <v>5097</v>
      </c>
      <c r="B5106" s="41">
        <v>3588</v>
      </c>
      <c r="C5106" s="41">
        <v>13114</v>
      </c>
      <c r="D5106" s="41" t="s">
        <v>45</v>
      </c>
      <c r="E5106" s="41" t="s">
        <v>1298</v>
      </c>
      <c r="F5106" s="41" t="s">
        <v>3686</v>
      </c>
      <c r="G5106" s="41" t="s">
        <v>15579</v>
      </c>
      <c r="H5106" s="41" t="s">
        <v>15580</v>
      </c>
      <c r="I5106" s="43">
        <v>12</v>
      </c>
      <c r="J5106" s="44" t="str">
        <f>VLOOKUP(G5106,[1]硬件清单!$F:$F,1,0)</f>
        <v>J301DX2G</v>
      </c>
      <c r="K5106" s="43"/>
      <c r="L5106" s="44"/>
      <c r="M5106" s="45" t="s">
        <v>15581</v>
      </c>
    </row>
    <row r="5107" s="26" customFormat="1" ht="30" customHeight="1" spans="1:13">
      <c r="A5107" s="41">
        <f>IF(C5107="","",SUBTOTAL(103,$C$2:C5107))</f>
        <v>5098</v>
      </c>
      <c r="B5107" s="41">
        <v>3589</v>
      </c>
      <c r="C5107" s="41">
        <v>13139</v>
      </c>
      <c r="D5107" s="41" t="s">
        <v>19</v>
      </c>
      <c r="E5107" s="41" t="s">
        <v>20</v>
      </c>
      <c r="F5107" s="41" t="s">
        <v>3778</v>
      </c>
      <c r="G5107" s="41" t="s">
        <v>15582</v>
      </c>
      <c r="H5107" s="41" t="s">
        <v>15583</v>
      </c>
      <c r="I5107" s="43">
        <v>12</v>
      </c>
      <c r="J5107" s="44" t="str">
        <f>VLOOKUP(G5107,[1]硬件清单!$F:$F,1,0)</f>
        <v>2102350DLVDMK8001530</v>
      </c>
      <c r="K5107" s="43"/>
      <c r="L5107" s="44"/>
      <c r="M5107" s="45" t="s">
        <v>15584</v>
      </c>
    </row>
    <row r="5108" s="26" customFormat="1" ht="30" customHeight="1" spans="1:13">
      <c r="A5108" s="41">
        <f>IF(C5108="","",SUBTOTAL(103,$C$2:C5108))</f>
        <v>5099</v>
      </c>
      <c r="B5108" s="41">
        <v>3590</v>
      </c>
      <c r="C5108" s="41">
        <v>13479</v>
      </c>
      <c r="D5108" s="41" t="s">
        <v>45</v>
      </c>
      <c r="E5108" s="41" t="s">
        <v>1298</v>
      </c>
      <c r="F5108" s="41" t="s">
        <v>15585</v>
      </c>
      <c r="G5108" s="41" t="s">
        <v>15586</v>
      </c>
      <c r="H5108" s="41" t="s">
        <v>15587</v>
      </c>
      <c r="I5108" s="43">
        <v>12</v>
      </c>
      <c r="J5108" s="44" t="str">
        <f>VLOOKUP(G5108,[1]硬件清单!$F:$F,1,0)</f>
        <v>819482670</v>
      </c>
      <c r="K5108" s="43"/>
      <c r="L5108" s="44"/>
      <c r="M5108" s="45" t="s">
        <v>15588</v>
      </c>
    </row>
    <row r="5109" s="26" customFormat="1" ht="30" customHeight="1" spans="1:13">
      <c r="A5109" s="41">
        <f>IF(C5109="","",SUBTOTAL(103,$C$2:C5109))</f>
        <v>5100</v>
      </c>
      <c r="B5109" s="41">
        <v>3591</v>
      </c>
      <c r="C5109" s="41">
        <v>13478</v>
      </c>
      <c r="D5109" s="41" t="s">
        <v>45</v>
      </c>
      <c r="E5109" s="41" t="s">
        <v>1298</v>
      </c>
      <c r="F5109" s="41" t="s">
        <v>15585</v>
      </c>
      <c r="G5109" s="41" t="s">
        <v>15589</v>
      </c>
      <c r="H5109" s="41" t="s">
        <v>15590</v>
      </c>
      <c r="I5109" s="43">
        <v>12</v>
      </c>
      <c r="J5109" s="44" t="str">
        <f>VLOOKUP(G5109,[1]硬件清单!$F:$F,1,0)</f>
        <v>819482669</v>
      </c>
      <c r="K5109" s="43"/>
      <c r="L5109" s="44"/>
      <c r="M5109" s="45" t="s">
        <v>15591</v>
      </c>
    </row>
    <row r="5110" s="26" customFormat="1" ht="30" customHeight="1" spans="1:13">
      <c r="A5110" s="41">
        <f>IF(C5110="","",SUBTOTAL(103,$C$2:C5110))</f>
        <v>5101</v>
      </c>
      <c r="B5110" s="41">
        <v>3592</v>
      </c>
      <c r="C5110" s="41">
        <v>13477</v>
      </c>
      <c r="D5110" s="41" t="s">
        <v>45</v>
      </c>
      <c r="E5110" s="41" t="s">
        <v>1298</v>
      </c>
      <c r="F5110" s="41" t="s">
        <v>15585</v>
      </c>
      <c r="G5110" s="41" t="s">
        <v>15592</v>
      </c>
      <c r="H5110" s="41" t="s">
        <v>15593</v>
      </c>
      <c r="I5110" s="43">
        <v>12</v>
      </c>
      <c r="J5110" s="44" t="str">
        <f>VLOOKUP(G5110,[1]硬件清单!$F:$F,1,0)</f>
        <v>819482668</v>
      </c>
      <c r="K5110" s="43"/>
      <c r="L5110" s="44"/>
      <c r="M5110" s="45" t="s">
        <v>15594</v>
      </c>
    </row>
    <row r="5111" s="26" customFormat="1" ht="30" customHeight="1" spans="1:13">
      <c r="A5111" s="41">
        <f>IF(C5111="","",SUBTOTAL(103,$C$2:C5111))</f>
        <v>5102</v>
      </c>
      <c r="B5111" s="41">
        <v>3593</v>
      </c>
      <c r="C5111" s="41">
        <v>13476</v>
      </c>
      <c r="D5111" s="41" t="s">
        <v>45</v>
      </c>
      <c r="E5111" s="41" t="s">
        <v>1298</v>
      </c>
      <c r="F5111" s="41" t="s">
        <v>15585</v>
      </c>
      <c r="G5111" s="41" t="s">
        <v>15595</v>
      </c>
      <c r="H5111" s="41" t="s">
        <v>15596</v>
      </c>
      <c r="I5111" s="43">
        <v>12</v>
      </c>
      <c r="J5111" s="44" t="str">
        <f>VLOOKUP(G5111,[1]硬件清单!$F:$F,1,0)</f>
        <v>819482667</v>
      </c>
      <c r="K5111" s="43"/>
      <c r="L5111" s="44"/>
      <c r="M5111" s="45" t="s">
        <v>15597</v>
      </c>
    </row>
    <row r="5112" s="26" customFormat="1" ht="30" customHeight="1" spans="1:13">
      <c r="A5112" s="41">
        <f>IF(C5112="","",SUBTOTAL(103,$C$2:C5112))</f>
        <v>5103</v>
      </c>
      <c r="B5112" s="41">
        <v>3594</v>
      </c>
      <c r="C5112" s="41">
        <v>13182</v>
      </c>
      <c r="D5112" s="41" t="s">
        <v>3602</v>
      </c>
      <c r="E5112" s="41" t="s">
        <v>3603</v>
      </c>
      <c r="F5112" s="41" t="s">
        <v>3604</v>
      </c>
      <c r="G5112" s="41" t="s">
        <v>15598</v>
      </c>
      <c r="H5112" s="41" t="s">
        <v>15599</v>
      </c>
      <c r="I5112" s="43">
        <v>12</v>
      </c>
      <c r="J5112" s="44" t="str">
        <f>VLOOKUP(G5112,[1]硬件清单!$F:$F,1,0)</f>
        <v>0191103201644</v>
      </c>
      <c r="K5112" s="43"/>
      <c r="L5112" s="44"/>
      <c r="M5112" s="45" t="s">
        <v>15600</v>
      </c>
    </row>
    <row r="5113" s="26" customFormat="1" ht="30" customHeight="1" spans="1:13">
      <c r="A5113" s="41">
        <f>IF(C5113="","",SUBTOTAL(103,$C$2:C5113))</f>
        <v>5104</v>
      </c>
      <c r="B5113" s="41">
        <v>3595</v>
      </c>
      <c r="C5113" s="41">
        <v>13475</v>
      </c>
      <c r="D5113" s="41" t="s">
        <v>45</v>
      </c>
      <c r="E5113" s="41" t="s">
        <v>1298</v>
      </c>
      <c r="F5113" s="41" t="s">
        <v>15585</v>
      </c>
      <c r="G5113" s="41" t="s">
        <v>15601</v>
      </c>
      <c r="H5113" s="41" t="s">
        <v>15602</v>
      </c>
      <c r="I5113" s="43">
        <v>12</v>
      </c>
      <c r="J5113" s="44" t="str">
        <f>VLOOKUP(G5113,[1]硬件清单!$F:$F,1,0)</f>
        <v>819482666</v>
      </c>
      <c r="K5113" s="43"/>
      <c r="L5113" s="44"/>
      <c r="M5113" s="45" t="s">
        <v>15603</v>
      </c>
    </row>
    <row r="5114" s="26" customFormat="1" ht="30" customHeight="1" spans="1:13">
      <c r="A5114" s="41">
        <f>IF(C5114="","",SUBTOTAL(103,$C$2:C5114))</f>
        <v>5105</v>
      </c>
      <c r="B5114" s="41">
        <v>3596</v>
      </c>
      <c r="C5114" s="41">
        <v>13482</v>
      </c>
      <c r="D5114" s="41" t="s">
        <v>45</v>
      </c>
      <c r="E5114" s="41" t="s">
        <v>1298</v>
      </c>
      <c r="F5114" s="41" t="s">
        <v>15585</v>
      </c>
      <c r="G5114" s="41" t="s">
        <v>15604</v>
      </c>
      <c r="H5114" s="41" t="s">
        <v>15605</v>
      </c>
      <c r="I5114" s="43">
        <v>12</v>
      </c>
      <c r="J5114" s="44" t="str">
        <f>VLOOKUP(G5114,[1]硬件清单!$F:$F,1,0)</f>
        <v>819482673</v>
      </c>
      <c r="K5114" s="43"/>
      <c r="L5114" s="44"/>
      <c r="M5114" s="45" t="s">
        <v>15606</v>
      </c>
    </row>
    <row r="5115" s="26" customFormat="1" ht="30" customHeight="1" spans="1:13">
      <c r="A5115" s="41">
        <f>IF(C5115="","",SUBTOTAL(103,$C$2:C5115))</f>
        <v>5106</v>
      </c>
      <c r="B5115" s="41">
        <v>3597</v>
      </c>
      <c r="C5115" s="41">
        <v>13481</v>
      </c>
      <c r="D5115" s="41" t="s">
        <v>45</v>
      </c>
      <c r="E5115" s="41" t="s">
        <v>1298</v>
      </c>
      <c r="F5115" s="41" t="s">
        <v>15585</v>
      </c>
      <c r="G5115" s="41" t="s">
        <v>15607</v>
      </c>
      <c r="H5115" s="41" t="s">
        <v>15608</v>
      </c>
      <c r="I5115" s="43">
        <v>12</v>
      </c>
      <c r="J5115" s="44" t="str">
        <f>VLOOKUP(G5115,[1]硬件清单!$F:$F,1,0)</f>
        <v>819482672</v>
      </c>
      <c r="K5115" s="43"/>
      <c r="L5115" s="44"/>
      <c r="M5115" s="45" t="s">
        <v>15609</v>
      </c>
    </row>
    <row r="5116" s="26" customFormat="1" ht="30" customHeight="1" spans="1:13">
      <c r="A5116" s="41">
        <f>IF(C5116="","",SUBTOTAL(103,$C$2:C5116))</f>
        <v>5107</v>
      </c>
      <c r="B5116" s="41">
        <v>3598</v>
      </c>
      <c r="C5116" s="41">
        <v>13480</v>
      </c>
      <c r="D5116" s="41" t="s">
        <v>45</v>
      </c>
      <c r="E5116" s="41" t="s">
        <v>1298</v>
      </c>
      <c r="F5116" s="41" t="s">
        <v>15585</v>
      </c>
      <c r="G5116" s="41" t="s">
        <v>15610</v>
      </c>
      <c r="H5116" s="41" t="s">
        <v>15611</v>
      </c>
      <c r="I5116" s="43">
        <v>12</v>
      </c>
      <c r="J5116" s="44" t="str">
        <f>VLOOKUP(G5116,[1]硬件清单!$F:$F,1,0)</f>
        <v>819482671</v>
      </c>
      <c r="K5116" s="43"/>
      <c r="L5116" s="44"/>
      <c r="M5116" s="45" t="s">
        <v>15612</v>
      </c>
    </row>
    <row r="5117" s="26" customFormat="1" ht="30" customHeight="1" spans="1:13">
      <c r="A5117" s="41">
        <f>IF(C5117="","",SUBTOTAL(103,$C$2:C5117))</f>
        <v>5108</v>
      </c>
      <c r="B5117" s="41">
        <v>3599</v>
      </c>
      <c r="C5117" s="41">
        <v>13491</v>
      </c>
      <c r="D5117" s="41" t="s">
        <v>45</v>
      </c>
      <c r="E5117" s="41" t="s">
        <v>1298</v>
      </c>
      <c r="F5117" s="41" t="s">
        <v>15613</v>
      </c>
      <c r="G5117" s="41" t="s">
        <v>15614</v>
      </c>
      <c r="H5117" s="41" t="s">
        <v>15615</v>
      </c>
      <c r="I5117" s="43">
        <v>12</v>
      </c>
      <c r="J5117" s="44" t="str">
        <f>VLOOKUP(G5117,[1]硬件清单!$F:$F,1,0)</f>
        <v>219555967</v>
      </c>
      <c r="K5117" s="43"/>
      <c r="L5117" s="44"/>
      <c r="M5117" s="45" t="s">
        <v>15616</v>
      </c>
    </row>
    <row r="5118" s="26" customFormat="1" ht="30" customHeight="1" spans="1:13">
      <c r="A5118" s="41">
        <f>IF(C5118="","",SUBTOTAL(103,$C$2:C5118))</f>
        <v>5109</v>
      </c>
      <c r="B5118" s="41">
        <v>3600</v>
      </c>
      <c r="C5118" s="41">
        <v>13492</v>
      </c>
      <c r="D5118" s="41" t="s">
        <v>45</v>
      </c>
      <c r="E5118" s="41" t="s">
        <v>1298</v>
      </c>
      <c r="F5118" s="41" t="s">
        <v>15613</v>
      </c>
      <c r="G5118" s="41" t="s">
        <v>15617</v>
      </c>
      <c r="H5118" s="41" t="s">
        <v>15618</v>
      </c>
      <c r="I5118" s="43">
        <v>12</v>
      </c>
      <c r="J5118" s="44" t="str">
        <f>VLOOKUP(G5118,[1]硬件清单!$F:$F,1,0)</f>
        <v>219555966</v>
      </c>
      <c r="K5118" s="43"/>
      <c r="L5118" s="44"/>
      <c r="M5118" s="45" t="s">
        <v>15619</v>
      </c>
    </row>
    <row r="5119" s="26" customFormat="1" ht="30" customHeight="1" spans="1:13">
      <c r="A5119" s="41">
        <f>IF(C5119="","",SUBTOTAL(103,$C$2:C5119))</f>
        <v>5110</v>
      </c>
      <c r="B5119" s="41">
        <v>3601</v>
      </c>
      <c r="C5119" s="41">
        <v>13493</v>
      </c>
      <c r="D5119" s="41" t="s">
        <v>45</v>
      </c>
      <c r="E5119" s="41" t="s">
        <v>1298</v>
      </c>
      <c r="F5119" s="41" t="s">
        <v>15613</v>
      </c>
      <c r="G5119" s="41" t="s">
        <v>15620</v>
      </c>
      <c r="H5119" s="41" t="s">
        <v>15621</v>
      </c>
      <c r="I5119" s="43">
        <v>12</v>
      </c>
      <c r="J5119" s="44" t="str">
        <f>VLOOKUP(G5119,[1]硬件清单!$F:$F,1,0)</f>
        <v>219555971</v>
      </c>
      <c r="K5119" s="43"/>
      <c r="L5119" s="44"/>
      <c r="M5119" s="45" t="s">
        <v>15622</v>
      </c>
    </row>
    <row r="5120" s="28" customFormat="1" ht="31" customHeight="1" spans="1:13">
      <c r="A5120" s="41">
        <f>IF(C5120="","",SUBTOTAL(103,$C$2:C5120))</f>
        <v>5111</v>
      </c>
      <c r="B5120" s="41">
        <v>3602</v>
      </c>
      <c r="C5120" s="41">
        <v>13494</v>
      </c>
      <c r="D5120" s="41" t="s">
        <v>45</v>
      </c>
      <c r="E5120" s="41" t="s">
        <v>1298</v>
      </c>
      <c r="F5120" s="41" t="s">
        <v>15613</v>
      </c>
      <c r="G5120" s="41" t="s">
        <v>15623</v>
      </c>
      <c r="H5120" s="41" t="s">
        <v>15624</v>
      </c>
      <c r="I5120" s="43">
        <v>12</v>
      </c>
      <c r="J5120" s="44" t="str">
        <f>VLOOKUP(G5120,[1]硬件清单!$F:$F,1,0)</f>
        <v>219555970</v>
      </c>
      <c r="K5120" s="43"/>
      <c r="L5120" s="44"/>
      <c r="M5120" s="45" t="s">
        <v>15625</v>
      </c>
    </row>
    <row r="5121" s="28" customFormat="1" ht="30" customHeight="1" spans="1:13">
      <c r="A5121" s="41">
        <f>IF(C5121="","",SUBTOTAL(103,$C$2:C5121))</f>
        <v>5112</v>
      </c>
      <c r="B5121" s="41">
        <v>3603</v>
      </c>
      <c r="C5121" s="41">
        <v>13495</v>
      </c>
      <c r="D5121" s="41" t="s">
        <v>45</v>
      </c>
      <c r="E5121" s="41" t="s">
        <v>1298</v>
      </c>
      <c r="F5121" s="41" t="s">
        <v>15613</v>
      </c>
      <c r="G5121" s="41" t="s">
        <v>15626</v>
      </c>
      <c r="H5121" s="41" t="s">
        <v>15627</v>
      </c>
      <c r="I5121" s="43">
        <v>12</v>
      </c>
      <c r="J5121" s="44" t="str">
        <f>VLOOKUP(G5121,[1]硬件清单!$F:$F,1,0)</f>
        <v>219555972</v>
      </c>
      <c r="K5121" s="43"/>
      <c r="L5121" s="44"/>
      <c r="M5121" s="45" t="s">
        <v>15628</v>
      </c>
    </row>
    <row r="5122" s="28" customFormat="1" ht="30" customHeight="1" spans="1:13">
      <c r="A5122" s="41">
        <f>IF(C5122="","",SUBTOTAL(103,$C$2:C5122))</f>
        <v>5113</v>
      </c>
      <c r="B5122" s="41">
        <v>3604</v>
      </c>
      <c r="C5122" s="41">
        <v>13496</v>
      </c>
      <c r="D5122" s="41" t="s">
        <v>45</v>
      </c>
      <c r="E5122" s="41" t="s">
        <v>1298</v>
      </c>
      <c r="F5122" s="41" t="s">
        <v>15613</v>
      </c>
      <c r="G5122" s="41" t="s">
        <v>15629</v>
      </c>
      <c r="H5122" s="41" t="s">
        <v>15630</v>
      </c>
      <c r="I5122" s="43">
        <v>12</v>
      </c>
      <c r="J5122" s="44" t="str">
        <f>VLOOKUP(G5122,[1]硬件清单!$F:$F,1,0)</f>
        <v>219555973</v>
      </c>
      <c r="K5122" s="43"/>
      <c r="L5122" s="44"/>
      <c r="M5122" s="45" t="s">
        <v>15631</v>
      </c>
    </row>
    <row r="5123" s="28" customFormat="1" ht="30" customHeight="1" spans="1:13">
      <c r="A5123" s="41">
        <f>IF(C5123="","",SUBTOTAL(103,$C$2:C5123))</f>
        <v>5114</v>
      </c>
      <c r="B5123" s="41">
        <v>3605</v>
      </c>
      <c r="C5123" s="41">
        <v>13497</v>
      </c>
      <c r="D5123" s="41" t="s">
        <v>45</v>
      </c>
      <c r="E5123" s="41" t="s">
        <v>1298</v>
      </c>
      <c r="F5123" s="41" t="s">
        <v>15613</v>
      </c>
      <c r="G5123" s="41" t="s">
        <v>15632</v>
      </c>
      <c r="H5123" s="41" t="s">
        <v>15633</v>
      </c>
      <c r="I5123" s="43">
        <v>12</v>
      </c>
      <c r="J5123" s="44" t="str">
        <f>VLOOKUP(G5123,[1]硬件清单!$F:$F,1,0)</f>
        <v>219555969</v>
      </c>
      <c r="K5123" s="43"/>
      <c r="L5123" s="44"/>
      <c r="M5123" s="45" t="s">
        <v>15634</v>
      </c>
    </row>
    <row r="5124" s="28" customFormat="1" ht="30" customHeight="1" spans="1:13">
      <c r="A5124" s="41">
        <f>IF(C5124="","",SUBTOTAL(103,$C$2:C5124))</f>
        <v>5115</v>
      </c>
      <c r="B5124" s="41">
        <v>3606</v>
      </c>
      <c r="C5124" s="41">
        <v>13498</v>
      </c>
      <c r="D5124" s="41" t="s">
        <v>45</v>
      </c>
      <c r="E5124" s="41" t="s">
        <v>1298</v>
      </c>
      <c r="F5124" s="41" t="s">
        <v>15613</v>
      </c>
      <c r="G5124" s="41" t="s">
        <v>15635</v>
      </c>
      <c r="H5124" s="41" t="s">
        <v>15636</v>
      </c>
      <c r="I5124" s="43">
        <v>12</v>
      </c>
      <c r="J5124" s="44" t="str">
        <f>VLOOKUP(G5124,[1]硬件清单!$F:$F,1,0)</f>
        <v>219555968</v>
      </c>
      <c r="K5124" s="43"/>
      <c r="L5124" s="44"/>
      <c r="M5124" s="45" t="s">
        <v>15637</v>
      </c>
    </row>
    <row r="5125" s="28" customFormat="1" ht="30" customHeight="1" spans="1:13">
      <c r="A5125" s="41">
        <f>IF(C5125="","",SUBTOTAL(103,$C$2:C5125))</f>
        <v>5116</v>
      </c>
      <c r="B5125" s="41">
        <v>3607</v>
      </c>
      <c r="C5125" s="41">
        <v>13483</v>
      </c>
      <c r="D5125" s="41" t="s">
        <v>45</v>
      </c>
      <c r="E5125" s="41" t="s">
        <v>1298</v>
      </c>
      <c r="F5125" s="41" t="s">
        <v>15613</v>
      </c>
      <c r="G5125" s="41" t="s">
        <v>15638</v>
      </c>
      <c r="H5125" s="41" t="s">
        <v>15639</v>
      </c>
      <c r="I5125" s="43">
        <v>12</v>
      </c>
      <c r="J5125" s="44" t="str">
        <f>VLOOKUP(G5125,[1]硬件清单!$F:$F,1,0)</f>
        <v>219555941</v>
      </c>
      <c r="K5125" s="43"/>
      <c r="L5125" s="44"/>
      <c r="M5125" s="45" t="s">
        <v>15640</v>
      </c>
    </row>
    <row r="5126" s="28" customFormat="1" ht="30" customHeight="1" spans="1:13">
      <c r="A5126" s="41">
        <f>IF(C5126="","",SUBTOTAL(103,$C$2:C5126))</f>
        <v>5117</v>
      </c>
      <c r="B5126" s="41">
        <v>3608</v>
      </c>
      <c r="C5126" s="41">
        <v>13484</v>
      </c>
      <c r="D5126" s="41" t="s">
        <v>45</v>
      </c>
      <c r="E5126" s="41" t="s">
        <v>1298</v>
      </c>
      <c r="F5126" s="41" t="s">
        <v>15613</v>
      </c>
      <c r="G5126" s="41" t="s">
        <v>15641</v>
      </c>
      <c r="H5126" s="41" t="s">
        <v>15642</v>
      </c>
      <c r="I5126" s="43">
        <v>12</v>
      </c>
      <c r="J5126" s="44" t="str">
        <f>VLOOKUP(G5126,[1]硬件清单!$F:$F,1,0)</f>
        <v>219555940</v>
      </c>
      <c r="K5126" s="43"/>
      <c r="L5126" s="44"/>
      <c r="M5126" s="45" t="s">
        <v>15643</v>
      </c>
    </row>
    <row r="5127" s="28" customFormat="1" ht="30" customHeight="1" spans="1:13">
      <c r="A5127" s="41">
        <f>IF(C5127="","",SUBTOTAL(103,$C$2:C5127))</f>
        <v>5118</v>
      </c>
      <c r="B5127" s="41">
        <v>3609</v>
      </c>
      <c r="C5127" s="41">
        <v>13485</v>
      </c>
      <c r="D5127" s="41" t="s">
        <v>45</v>
      </c>
      <c r="E5127" s="41" t="s">
        <v>1298</v>
      </c>
      <c r="F5127" s="41" t="s">
        <v>15613</v>
      </c>
      <c r="G5127" s="41" t="s">
        <v>15644</v>
      </c>
      <c r="H5127" s="41" t="s">
        <v>15645</v>
      </c>
      <c r="I5127" s="43">
        <v>12</v>
      </c>
      <c r="J5127" s="44" t="str">
        <f>VLOOKUP(G5127,[1]硬件清单!$F:$F,1,0)</f>
        <v>219555934</v>
      </c>
      <c r="K5127" s="43"/>
      <c r="L5127" s="44"/>
      <c r="M5127" s="45" t="s">
        <v>15646</v>
      </c>
    </row>
    <row r="5128" s="28" customFormat="1" ht="30" customHeight="1" spans="1:13">
      <c r="A5128" s="41">
        <f>IF(C5128="","",SUBTOTAL(103,$C$2:C5128))</f>
        <v>5119</v>
      </c>
      <c r="B5128" s="41">
        <v>3610</v>
      </c>
      <c r="C5128" s="41">
        <v>13486</v>
      </c>
      <c r="D5128" s="41" t="s">
        <v>45</v>
      </c>
      <c r="E5128" s="41" t="s">
        <v>1298</v>
      </c>
      <c r="F5128" s="41" t="s">
        <v>15613</v>
      </c>
      <c r="G5128" s="41" t="s">
        <v>15647</v>
      </c>
      <c r="H5128" s="41" t="s">
        <v>15648</v>
      </c>
      <c r="I5128" s="43">
        <v>12</v>
      </c>
      <c r="J5128" s="44" t="str">
        <f>VLOOKUP(G5128,[1]硬件清单!$F:$F,1,0)</f>
        <v>219555935</v>
      </c>
      <c r="K5128" s="43"/>
      <c r="L5128" s="44"/>
      <c r="M5128" s="45" t="s">
        <v>15649</v>
      </c>
    </row>
    <row r="5129" s="28" customFormat="1" ht="30" customHeight="1" spans="1:13">
      <c r="A5129" s="41">
        <f>IF(C5129="","",SUBTOTAL(103,$C$2:C5129))</f>
        <v>5120</v>
      </c>
      <c r="B5129" s="41">
        <v>3611</v>
      </c>
      <c r="C5129" s="41">
        <v>13487</v>
      </c>
      <c r="D5129" s="41" t="s">
        <v>45</v>
      </c>
      <c r="E5129" s="41" t="s">
        <v>1298</v>
      </c>
      <c r="F5129" s="41" t="s">
        <v>15613</v>
      </c>
      <c r="G5129" s="41" t="s">
        <v>15650</v>
      </c>
      <c r="H5129" s="41" t="s">
        <v>15651</v>
      </c>
      <c r="I5129" s="43">
        <v>12</v>
      </c>
      <c r="J5129" s="44" t="str">
        <f>VLOOKUP(G5129,[1]硬件清单!$F:$F,1,0)</f>
        <v>219555936</v>
      </c>
      <c r="K5129" s="43"/>
      <c r="L5129" s="44"/>
      <c r="M5129" s="45" t="s">
        <v>15652</v>
      </c>
    </row>
    <row r="5130" s="28" customFormat="1" ht="30" customHeight="1" spans="1:13">
      <c r="A5130" s="41">
        <f>IF(C5130="","",SUBTOTAL(103,$C$2:C5130))</f>
        <v>5121</v>
      </c>
      <c r="B5130" s="41">
        <v>3612</v>
      </c>
      <c r="C5130" s="41">
        <v>13488</v>
      </c>
      <c r="D5130" s="41" t="s">
        <v>45</v>
      </c>
      <c r="E5130" s="41" t="s">
        <v>1298</v>
      </c>
      <c r="F5130" s="41" t="s">
        <v>15613</v>
      </c>
      <c r="G5130" s="41" t="s">
        <v>15653</v>
      </c>
      <c r="H5130" s="41" t="s">
        <v>15654</v>
      </c>
      <c r="I5130" s="43">
        <v>12</v>
      </c>
      <c r="J5130" s="44" t="str">
        <f>VLOOKUP(G5130,[1]硬件清单!$F:$F,1,0)</f>
        <v>219555937</v>
      </c>
      <c r="K5130" s="43"/>
      <c r="L5130" s="44"/>
      <c r="M5130" s="45" t="s">
        <v>15655</v>
      </c>
    </row>
    <row r="5131" s="28" customFormat="1" ht="30" customHeight="1" spans="1:13">
      <c r="A5131" s="41">
        <f>IF(C5131="","",SUBTOTAL(103,$C$2:C5131))</f>
        <v>5122</v>
      </c>
      <c r="B5131" s="41">
        <v>3613</v>
      </c>
      <c r="C5131" s="41">
        <v>13489</v>
      </c>
      <c r="D5131" s="41" t="s">
        <v>45</v>
      </c>
      <c r="E5131" s="41" t="s">
        <v>1298</v>
      </c>
      <c r="F5131" s="41" t="s">
        <v>15613</v>
      </c>
      <c r="G5131" s="41" t="s">
        <v>15656</v>
      </c>
      <c r="H5131" s="41" t="s">
        <v>15657</v>
      </c>
      <c r="I5131" s="43">
        <v>12</v>
      </c>
      <c r="J5131" s="44" t="str">
        <f>VLOOKUP(G5131,[1]硬件清单!$F:$F,1,0)</f>
        <v>219555939</v>
      </c>
      <c r="K5131" s="43"/>
      <c r="L5131" s="44"/>
      <c r="M5131" s="45" t="s">
        <v>15658</v>
      </c>
    </row>
    <row r="5132" s="28" customFormat="1" ht="30" customHeight="1" spans="1:13">
      <c r="A5132" s="41">
        <f>IF(C5132="","",SUBTOTAL(103,$C$2:C5132))</f>
        <v>5123</v>
      </c>
      <c r="B5132" s="41">
        <v>3614</v>
      </c>
      <c r="C5132" s="41">
        <v>13490</v>
      </c>
      <c r="D5132" s="41" t="s">
        <v>45</v>
      </c>
      <c r="E5132" s="41" t="s">
        <v>1298</v>
      </c>
      <c r="F5132" s="41" t="s">
        <v>15613</v>
      </c>
      <c r="G5132" s="41" t="s">
        <v>15659</v>
      </c>
      <c r="H5132" s="41" t="s">
        <v>15660</v>
      </c>
      <c r="I5132" s="43">
        <v>12</v>
      </c>
      <c r="J5132" s="44" t="str">
        <f>VLOOKUP(G5132,[1]硬件清单!$F:$F,1,0)</f>
        <v>219555938</v>
      </c>
      <c r="K5132" s="43"/>
      <c r="L5132" s="44"/>
      <c r="M5132" s="45" t="s">
        <v>15661</v>
      </c>
    </row>
    <row r="5133" s="28" customFormat="1" ht="30" customHeight="1" spans="1:13">
      <c r="A5133" s="41">
        <f>IF(C5133="","",SUBTOTAL(103,$C$2:C5133))</f>
        <v>5124</v>
      </c>
      <c r="B5133" s="41">
        <v>3615</v>
      </c>
      <c r="C5133" s="41">
        <v>13100</v>
      </c>
      <c r="D5133" s="41" t="s">
        <v>45</v>
      </c>
      <c r="E5133" s="41" t="s">
        <v>1298</v>
      </c>
      <c r="F5133" s="41" t="s">
        <v>15613</v>
      </c>
      <c r="G5133" s="41" t="s">
        <v>15662</v>
      </c>
      <c r="H5133" s="41" t="s">
        <v>15663</v>
      </c>
      <c r="I5133" s="43">
        <v>12</v>
      </c>
      <c r="J5133" s="44" t="str">
        <f>VLOOKUP(G5133,[1]硬件清单!$F:$F,1,0)</f>
        <v>219556053</v>
      </c>
      <c r="K5133" s="43"/>
      <c r="L5133" s="44"/>
      <c r="M5133" s="45" t="s">
        <v>15664</v>
      </c>
    </row>
    <row r="5134" s="28" customFormat="1" ht="30" customHeight="1" spans="1:13">
      <c r="A5134" s="41">
        <f>IF(C5134="","",SUBTOTAL(103,$C$2:C5134))</f>
        <v>5125</v>
      </c>
      <c r="B5134" s="41">
        <v>3616</v>
      </c>
      <c r="C5134" s="41">
        <v>13101</v>
      </c>
      <c r="D5134" s="41" t="s">
        <v>45</v>
      </c>
      <c r="E5134" s="41" t="s">
        <v>1298</v>
      </c>
      <c r="F5134" s="41" t="s">
        <v>15613</v>
      </c>
      <c r="G5134" s="41" t="s">
        <v>15665</v>
      </c>
      <c r="H5134" s="41" t="s">
        <v>15666</v>
      </c>
      <c r="I5134" s="43">
        <v>12</v>
      </c>
      <c r="J5134" s="44" t="str">
        <f>VLOOKUP(G5134,[1]硬件清单!$F:$F,1,0)</f>
        <v>219556052</v>
      </c>
      <c r="K5134" s="43"/>
      <c r="L5134" s="44"/>
      <c r="M5134" s="45" t="s">
        <v>15667</v>
      </c>
    </row>
    <row r="5135" s="28" customFormat="1" ht="30" customHeight="1" spans="1:13">
      <c r="A5135" s="41">
        <f>IF(C5135="","",SUBTOTAL(103,$C$2:C5135))</f>
        <v>5126</v>
      </c>
      <c r="B5135" s="41">
        <v>3617</v>
      </c>
      <c r="C5135" s="41">
        <v>13102</v>
      </c>
      <c r="D5135" s="41" t="s">
        <v>45</v>
      </c>
      <c r="E5135" s="41" t="s">
        <v>1298</v>
      </c>
      <c r="F5135" s="41" t="s">
        <v>15613</v>
      </c>
      <c r="G5135" s="41" t="s">
        <v>15668</v>
      </c>
      <c r="H5135" s="41" t="s">
        <v>15669</v>
      </c>
      <c r="I5135" s="43">
        <v>12</v>
      </c>
      <c r="J5135" s="44" t="str">
        <f>VLOOKUP(G5135,[1]硬件清单!$F:$F,1,0)</f>
        <v>219556054</v>
      </c>
      <c r="K5135" s="43"/>
      <c r="L5135" s="44"/>
      <c r="M5135" s="45" t="s">
        <v>15670</v>
      </c>
    </row>
    <row r="5136" s="28" customFormat="1" ht="30" customHeight="1" spans="1:13">
      <c r="A5136" s="41">
        <f>IF(C5136="","",SUBTOTAL(103,$C$2:C5136))</f>
        <v>5127</v>
      </c>
      <c r="B5136" s="41">
        <v>3618</v>
      </c>
      <c r="C5136" s="41">
        <v>13103</v>
      </c>
      <c r="D5136" s="41" t="s">
        <v>45</v>
      </c>
      <c r="E5136" s="41" t="s">
        <v>1298</v>
      </c>
      <c r="F5136" s="41" t="s">
        <v>15613</v>
      </c>
      <c r="G5136" s="41" t="s">
        <v>15671</v>
      </c>
      <c r="H5136" s="41" t="s">
        <v>15672</v>
      </c>
      <c r="I5136" s="43">
        <v>12</v>
      </c>
      <c r="J5136" s="44" t="str">
        <f>VLOOKUP(G5136,[1]硬件清单!$F:$F,1,0)</f>
        <v>219556055</v>
      </c>
      <c r="K5136" s="43"/>
      <c r="L5136" s="44"/>
      <c r="M5136" s="45" t="s">
        <v>15673</v>
      </c>
    </row>
    <row r="5137" s="28" customFormat="1" ht="30" customHeight="1" spans="1:13">
      <c r="A5137" s="41">
        <f>IF(C5137="","",SUBTOTAL(103,$C$2:C5137))</f>
        <v>5128</v>
      </c>
      <c r="B5137" s="41">
        <v>3619</v>
      </c>
      <c r="C5137" s="41">
        <v>13104</v>
      </c>
      <c r="D5137" s="41" t="s">
        <v>45</v>
      </c>
      <c r="E5137" s="41" t="s">
        <v>1298</v>
      </c>
      <c r="F5137" s="41" t="s">
        <v>15613</v>
      </c>
      <c r="G5137" s="41" t="s">
        <v>15674</v>
      </c>
      <c r="H5137" s="41" t="s">
        <v>15675</v>
      </c>
      <c r="I5137" s="43">
        <v>12</v>
      </c>
      <c r="J5137" s="44" t="str">
        <f>VLOOKUP(G5137,[1]硬件清单!$F:$F,1,0)</f>
        <v>219556058</v>
      </c>
      <c r="K5137" s="43"/>
      <c r="L5137" s="44"/>
      <c r="M5137" s="45" t="s">
        <v>15676</v>
      </c>
    </row>
    <row r="5138" s="28" customFormat="1" ht="30" customHeight="1" spans="1:13">
      <c r="A5138" s="41">
        <f>IF(C5138="","",SUBTOTAL(103,$C$2:C5138))</f>
        <v>5129</v>
      </c>
      <c r="B5138" s="41">
        <v>3620</v>
      </c>
      <c r="C5138" s="41">
        <v>13105</v>
      </c>
      <c r="D5138" s="41" t="s">
        <v>45</v>
      </c>
      <c r="E5138" s="41" t="s">
        <v>1298</v>
      </c>
      <c r="F5138" s="41" t="s">
        <v>15613</v>
      </c>
      <c r="G5138" s="41" t="s">
        <v>15677</v>
      </c>
      <c r="H5138" s="41" t="s">
        <v>15678</v>
      </c>
      <c r="I5138" s="43">
        <v>12</v>
      </c>
      <c r="J5138" s="44" t="str">
        <f>VLOOKUP(G5138,[1]硬件清单!$F:$F,1,0)</f>
        <v>219556059</v>
      </c>
      <c r="K5138" s="43"/>
      <c r="L5138" s="44"/>
      <c r="M5138" s="45" t="s">
        <v>15679</v>
      </c>
    </row>
    <row r="5139" s="28" customFormat="1" ht="30" customHeight="1" spans="1:13">
      <c r="A5139" s="41">
        <f>IF(C5139="","",SUBTOTAL(103,$C$2:C5139))</f>
        <v>5130</v>
      </c>
      <c r="B5139" s="41">
        <v>3621</v>
      </c>
      <c r="C5139" s="41">
        <v>13106</v>
      </c>
      <c r="D5139" s="41" t="s">
        <v>45</v>
      </c>
      <c r="E5139" s="41" t="s">
        <v>1298</v>
      </c>
      <c r="F5139" s="41" t="s">
        <v>15613</v>
      </c>
      <c r="G5139" s="41" t="s">
        <v>15680</v>
      </c>
      <c r="H5139" s="41" t="s">
        <v>15681</v>
      </c>
      <c r="I5139" s="43">
        <v>12</v>
      </c>
      <c r="J5139" s="44" t="str">
        <f>VLOOKUP(G5139,[1]硬件清单!$F:$F,1,0)</f>
        <v>219556057</v>
      </c>
      <c r="K5139" s="43"/>
      <c r="L5139" s="44"/>
      <c r="M5139" s="45" t="s">
        <v>15682</v>
      </c>
    </row>
    <row r="5140" s="28" customFormat="1" ht="30" customHeight="1" spans="1:13">
      <c r="A5140" s="41">
        <f>IF(C5140="","",SUBTOTAL(103,$C$2:C5140))</f>
        <v>5131</v>
      </c>
      <c r="B5140" s="41">
        <v>3622</v>
      </c>
      <c r="C5140" s="41">
        <v>13107</v>
      </c>
      <c r="D5140" s="41" t="s">
        <v>45</v>
      </c>
      <c r="E5140" s="41" t="s">
        <v>1298</v>
      </c>
      <c r="F5140" s="41" t="s">
        <v>15613</v>
      </c>
      <c r="G5140" s="41" t="s">
        <v>15683</v>
      </c>
      <c r="H5140" s="41" t="s">
        <v>15684</v>
      </c>
      <c r="I5140" s="43">
        <v>12</v>
      </c>
      <c r="J5140" s="44" t="str">
        <f>VLOOKUP(G5140,[1]硬件清单!$F:$F,1,0)</f>
        <v>219556056</v>
      </c>
      <c r="K5140" s="43"/>
      <c r="L5140" s="44"/>
      <c r="M5140" s="45" t="s">
        <v>15685</v>
      </c>
    </row>
    <row r="5141" s="28" customFormat="1" ht="30" customHeight="1" spans="1:13">
      <c r="A5141" s="41">
        <f>IF(C5141="","",SUBTOTAL(103,$C$2:C5141))</f>
        <v>5132</v>
      </c>
      <c r="B5141" s="41">
        <v>3623</v>
      </c>
      <c r="C5141" s="41">
        <v>13108</v>
      </c>
      <c r="D5141" s="41" t="s">
        <v>45</v>
      </c>
      <c r="E5141" s="41" t="s">
        <v>1298</v>
      </c>
      <c r="F5141" s="41" t="s">
        <v>15613</v>
      </c>
      <c r="G5141" s="41" t="s">
        <v>15686</v>
      </c>
      <c r="H5141" s="41" t="s">
        <v>15687</v>
      </c>
      <c r="I5141" s="43">
        <v>12</v>
      </c>
      <c r="J5141" s="44" t="str">
        <f>VLOOKUP(G5141,[1]硬件清单!$F:$F,1,0)</f>
        <v>219548297</v>
      </c>
      <c r="K5141" s="43"/>
      <c r="L5141" s="44"/>
      <c r="M5141" s="45" t="s">
        <v>15688</v>
      </c>
    </row>
    <row r="5142" s="28" customFormat="1" ht="30" customHeight="1" spans="1:13">
      <c r="A5142" s="41">
        <f>IF(C5142="","",SUBTOTAL(103,$C$2:C5142))</f>
        <v>5133</v>
      </c>
      <c r="B5142" s="41">
        <v>3624</v>
      </c>
      <c r="C5142" s="41">
        <v>13109</v>
      </c>
      <c r="D5142" s="41" t="s">
        <v>45</v>
      </c>
      <c r="E5142" s="41" t="s">
        <v>1298</v>
      </c>
      <c r="F5142" s="41" t="s">
        <v>15613</v>
      </c>
      <c r="G5142" s="41" t="s">
        <v>15689</v>
      </c>
      <c r="H5142" s="41" t="s">
        <v>15690</v>
      </c>
      <c r="I5142" s="43">
        <v>12</v>
      </c>
      <c r="J5142" s="44" t="str">
        <f>VLOOKUP(G5142,[1]硬件清单!$F:$F,1,0)</f>
        <v>219548296</v>
      </c>
      <c r="K5142" s="43"/>
      <c r="L5142" s="44"/>
      <c r="M5142" s="45" t="s">
        <v>15691</v>
      </c>
    </row>
    <row r="5143" s="28" customFormat="1" ht="30" customHeight="1" spans="1:13">
      <c r="A5143" s="41">
        <f>IF(C5143="","",SUBTOTAL(103,$C$2:C5143))</f>
        <v>5134</v>
      </c>
      <c r="B5143" s="41">
        <v>3625</v>
      </c>
      <c r="C5143" s="41">
        <v>13110</v>
      </c>
      <c r="D5143" s="41" t="s">
        <v>45</v>
      </c>
      <c r="E5143" s="41" t="s">
        <v>1298</v>
      </c>
      <c r="F5143" s="41" t="s">
        <v>15613</v>
      </c>
      <c r="G5143" s="41" t="s">
        <v>15692</v>
      </c>
      <c r="H5143" s="41" t="s">
        <v>15693</v>
      </c>
      <c r="I5143" s="43">
        <v>12</v>
      </c>
      <c r="J5143" s="44" t="str">
        <f>VLOOKUP(G5143,[1]硬件清单!$F:$F,1,0)</f>
        <v>219548294</v>
      </c>
      <c r="K5143" s="43"/>
      <c r="L5143" s="44"/>
      <c r="M5143" s="45" t="s">
        <v>15694</v>
      </c>
    </row>
    <row r="5144" s="28" customFormat="1" ht="30" customHeight="1" spans="1:13">
      <c r="A5144" s="41">
        <f>IF(C5144="","",SUBTOTAL(103,$C$2:C5144))</f>
        <v>5135</v>
      </c>
      <c r="B5144" s="41">
        <v>3626</v>
      </c>
      <c r="C5144" s="41">
        <v>13111</v>
      </c>
      <c r="D5144" s="41" t="s">
        <v>45</v>
      </c>
      <c r="E5144" s="41" t="s">
        <v>1298</v>
      </c>
      <c r="F5144" s="41" t="s">
        <v>15613</v>
      </c>
      <c r="G5144" s="41" t="s">
        <v>15695</v>
      </c>
      <c r="H5144" s="41" t="s">
        <v>15696</v>
      </c>
      <c r="I5144" s="43">
        <v>12</v>
      </c>
      <c r="J5144" s="44" t="str">
        <f>VLOOKUP(G5144,[1]硬件清单!$F:$F,1,0)</f>
        <v>219548295</v>
      </c>
      <c r="K5144" s="43"/>
      <c r="L5144" s="44"/>
      <c r="M5144" s="45" t="s">
        <v>15697</v>
      </c>
    </row>
    <row r="5145" s="28" customFormat="1" ht="30" customHeight="1" spans="1:13">
      <c r="A5145" s="41">
        <f>IF(C5145="","",SUBTOTAL(103,$C$2:C5145))</f>
        <v>5136</v>
      </c>
      <c r="B5145" s="41">
        <v>3627</v>
      </c>
      <c r="C5145" s="41">
        <v>13112</v>
      </c>
      <c r="D5145" s="41" t="s">
        <v>45</v>
      </c>
      <c r="E5145" s="41" t="s">
        <v>1298</v>
      </c>
      <c r="F5145" s="41" t="s">
        <v>15613</v>
      </c>
      <c r="G5145" s="41" t="s">
        <v>15698</v>
      </c>
      <c r="H5145" s="41" t="s">
        <v>15699</v>
      </c>
      <c r="I5145" s="43">
        <v>12</v>
      </c>
      <c r="J5145" s="44" t="str">
        <f>VLOOKUP(G5145,[1]硬件清单!$F:$F,1,0)</f>
        <v>219548292</v>
      </c>
      <c r="K5145" s="43"/>
      <c r="L5145" s="44"/>
      <c r="M5145" s="45" t="s">
        <v>15700</v>
      </c>
    </row>
    <row r="5146" s="28" customFormat="1" ht="30" customHeight="1" spans="1:13">
      <c r="A5146" s="41">
        <f>IF(C5146="","",SUBTOTAL(103,$C$2:C5146))</f>
        <v>5137</v>
      </c>
      <c r="B5146" s="41">
        <v>3628</v>
      </c>
      <c r="C5146" s="41">
        <v>13113</v>
      </c>
      <c r="D5146" s="41" t="s">
        <v>45</v>
      </c>
      <c r="E5146" s="41" t="s">
        <v>1298</v>
      </c>
      <c r="F5146" s="41" t="s">
        <v>15613</v>
      </c>
      <c r="G5146" s="41" t="s">
        <v>15701</v>
      </c>
      <c r="H5146" s="41" t="s">
        <v>15702</v>
      </c>
      <c r="I5146" s="43">
        <v>12</v>
      </c>
      <c r="J5146" s="44" t="str">
        <f>VLOOKUP(G5146,[1]硬件清单!$F:$F,1,0)</f>
        <v>219548293</v>
      </c>
      <c r="K5146" s="43"/>
      <c r="L5146" s="44"/>
      <c r="M5146" s="45" t="s">
        <v>15703</v>
      </c>
    </row>
    <row r="5147" s="28" customFormat="1" ht="30" customHeight="1" spans="1:13">
      <c r="A5147" s="41">
        <f>IF(C5147="","",SUBTOTAL(103,$C$2:C5147))</f>
        <v>5138</v>
      </c>
      <c r="B5147" s="41">
        <v>3629</v>
      </c>
      <c r="C5147" s="41">
        <v>13499</v>
      </c>
      <c r="D5147" s="41" t="s">
        <v>45</v>
      </c>
      <c r="E5147" s="41" t="s">
        <v>1298</v>
      </c>
      <c r="F5147" s="41" t="s">
        <v>15613</v>
      </c>
      <c r="G5147" s="41" t="s">
        <v>15704</v>
      </c>
      <c r="H5147" s="41" t="s">
        <v>15705</v>
      </c>
      <c r="I5147" s="43">
        <v>12</v>
      </c>
      <c r="J5147" s="44" t="str">
        <f>VLOOKUP(G5147,[1]硬件清单!$F:$F,1,0)</f>
        <v>219555952</v>
      </c>
      <c r="K5147" s="43"/>
      <c r="L5147" s="44"/>
      <c r="M5147" s="45" t="s">
        <v>15706</v>
      </c>
    </row>
    <row r="5148" s="28" customFormat="1" ht="30" customHeight="1" spans="1:13">
      <c r="A5148" s="41">
        <f>IF(C5148="","",SUBTOTAL(103,$C$2:C5148))</f>
        <v>5139</v>
      </c>
      <c r="B5148" s="41">
        <v>3630</v>
      </c>
      <c r="C5148" s="41">
        <v>13500</v>
      </c>
      <c r="D5148" s="41" t="s">
        <v>45</v>
      </c>
      <c r="E5148" s="41" t="s">
        <v>1298</v>
      </c>
      <c r="F5148" s="41" t="s">
        <v>15613</v>
      </c>
      <c r="G5148" s="41" t="s">
        <v>15707</v>
      </c>
      <c r="H5148" s="41" t="s">
        <v>15708</v>
      </c>
      <c r="I5148" s="43">
        <v>12</v>
      </c>
      <c r="J5148" s="44" t="str">
        <f>VLOOKUP(G5148,[1]硬件清单!$F:$F,1,0)</f>
        <v>219555953</v>
      </c>
      <c r="K5148" s="43"/>
      <c r="L5148" s="44"/>
      <c r="M5148" s="45" t="s">
        <v>15709</v>
      </c>
    </row>
    <row r="5149" s="28" customFormat="1" ht="30" customHeight="1" spans="1:13">
      <c r="A5149" s="41">
        <f>IF(C5149="","",SUBTOTAL(103,$C$2:C5149))</f>
        <v>5140</v>
      </c>
      <c r="B5149" s="41">
        <v>3631</v>
      </c>
      <c r="C5149" s="41">
        <v>13501</v>
      </c>
      <c r="D5149" s="41" t="s">
        <v>45</v>
      </c>
      <c r="E5149" s="41" t="s">
        <v>1298</v>
      </c>
      <c r="F5149" s="41" t="s">
        <v>15613</v>
      </c>
      <c r="G5149" s="41" t="s">
        <v>15710</v>
      </c>
      <c r="H5149" s="41" t="s">
        <v>15711</v>
      </c>
      <c r="I5149" s="43">
        <v>12</v>
      </c>
      <c r="J5149" s="44" t="str">
        <f>VLOOKUP(G5149,[1]硬件清单!$F:$F,1,0)</f>
        <v>219555951</v>
      </c>
      <c r="K5149" s="43"/>
      <c r="L5149" s="44"/>
      <c r="M5149" s="45" t="s">
        <v>15712</v>
      </c>
    </row>
    <row r="5150" s="28" customFormat="1" ht="30" customHeight="1" spans="1:13">
      <c r="A5150" s="41">
        <f>IF(C5150="","",SUBTOTAL(103,$C$2:C5150))</f>
        <v>5141</v>
      </c>
      <c r="B5150" s="41">
        <v>3632</v>
      </c>
      <c r="C5150" s="41">
        <v>13502</v>
      </c>
      <c r="D5150" s="41" t="s">
        <v>45</v>
      </c>
      <c r="E5150" s="41" t="s">
        <v>1298</v>
      </c>
      <c r="F5150" s="41" t="s">
        <v>15613</v>
      </c>
      <c r="G5150" s="41" t="s">
        <v>15713</v>
      </c>
      <c r="H5150" s="41" t="s">
        <v>15714</v>
      </c>
      <c r="I5150" s="43">
        <v>12</v>
      </c>
      <c r="J5150" s="44" t="str">
        <f>VLOOKUP(G5150,[1]硬件清单!$F:$F,1,0)</f>
        <v>219555950</v>
      </c>
      <c r="K5150" s="43"/>
      <c r="L5150" s="44"/>
      <c r="M5150" s="45" t="s">
        <v>15715</v>
      </c>
    </row>
    <row r="5151" s="28" customFormat="1" ht="30" customHeight="1" spans="1:13">
      <c r="A5151" s="41">
        <f>IF(C5151="","",SUBTOTAL(103,$C$2:C5151))</f>
        <v>5142</v>
      </c>
      <c r="B5151" s="41">
        <v>3633</v>
      </c>
      <c r="C5151" s="41">
        <v>13503</v>
      </c>
      <c r="D5151" s="41" t="s">
        <v>45</v>
      </c>
      <c r="E5151" s="41" t="s">
        <v>1298</v>
      </c>
      <c r="F5151" s="41" t="s">
        <v>15613</v>
      </c>
      <c r="G5151" s="41" t="s">
        <v>15716</v>
      </c>
      <c r="H5151" s="41" t="s">
        <v>15717</v>
      </c>
      <c r="I5151" s="43">
        <v>12</v>
      </c>
      <c r="J5151" s="44" t="str">
        <f>VLOOKUP(G5151,[1]硬件清单!$F:$F,1,0)</f>
        <v>219555957</v>
      </c>
      <c r="K5151" s="43"/>
      <c r="L5151" s="44"/>
      <c r="M5151" s="45" t="s">
        <v>15718</v>
      </c>
    </row>
    <row r="5152" s="28" customFormat="1" ht="30" customHeight="1" spans="1:13">
      <c r="A5152" s="41">
        <f>IF(C5152="","",SUBTOTAL(103,$C$2:C5152))</f>
        <v>5143</v>
      </c>
      <c r="B5152" s="41">
        <v>3634</v>
      </c>
      <c r="C5152" s="41">
        <v>13504</v>
      </c>
      <c r="D5152" s="41" t="s">
        <v>45</v>
      </c>
      <c r="E5152" s="41" t="s">
        <v>1298</v>
      </c>
      <c r="F5152" s="41" t="s">
        <v>15613</v>
      </c>
      <c r="G5152" s="41" t="s">
        <v>15719</v>
      </c>
      <c r="H5152" s="41" t="s">
        <v>15720</v>
      </c>
      <c r="I5152" s="43">
        <v>12</v>
      </c>
      <c r="J5152" s="44" t="str">
        <f>VLOOKUP(G5152,[1]硬件清单!$F:$F,1,0)</f>
        <v>219555956</v>
      </c>
      <c r="K5152" s="43"/>
      <c r="L5152" s="44"/>
      <c r="M5152" s="45" t="s">
        <v>15721</v>
      </c>
    </row>
    <row r="5153" s="28" customFormat="1" ht="30" customHeight="1" spans="1:13">
      <c r="A5153" s="41">
        <f>IF(C5153="","",SUBTOTAL(103,$C$2:C5153))</f>
        <v>5144</v>
      </c>
      <c r="B5153" s="41">
        <v>3635</v>
      </c>
      <c r="C5153" s="41">
        <v>13505</v>
      </c>
      <c r="D5153" s="41" t="s">
        <v>45</v>
      </c>
      <c r="E5153" s="41" t="s">
        <v>1298</v>
      </c>
      <c r="F5153" s="41" t="s">
        <v>15613</v>
      </c>
      <c r="G5153" s="41" t="s">
        <v>15722</v>
      </c>
      <c r="H5153" s="41" t="s">
        <v>15723</v>
      </c>
      <c r="I5153" s="43">
        <v>12</v>
      </c>
      <c r="J5153" s="44" t="str">
        <f>VLOOKUP(G5153,[1]硬件清单!$F:$F,1,0)</f>
        <v>219555954</v>
      </c>
      <c r="K5153" s="43"/>
      <c r="L5153" s="44"/>
      <c r="M5153" s="45" t="s">
        <v>15724</v>
      </c>
    </row>
    <row r="5154" s="28" customFormat="1" ht="30" customHeight="1" spans="1:13">
      <c r="A5154" s="41">
        <f>IF(C5154="","",SUBTOTAL(103,$C$2:C5154))</f>
        <v>5145</v>
      </c>
      <c r="B5154" s="41">
        <v>3636</v>
      </c>
      <c r="C5154" s="41">
        <v>13506</v>
      </c>
      <c r="D5154" s="41" t="s">
        <v>45</v>
      </c>
      <c r="E5154" s="41" t="s">
        <v>1298</v>
      </c>
      <c r="F5154" s="41" t="s">
        <v>15613</v>
      </c>
      <c r="G5154" s="41" t="s">
        <v>15725</v>
      </c>
      <c r="H5154" s="41" t="s">
        <v>15726</v>
      </c>
      <c r="I5154" s="43">
        <v>12</v>
      </c>
      <c r="J5154" s="44" t="str">
        <f>VLOOKUP(G5154,[1]硬件清单!$F:$F,1,0)</f>
        <v>219555955</v>
      </c>
      <c r="K5154" s="43"/>
      <c r="L5154" s="44"/>
      <c r="M5154" s="45" t="s">
        <v>15727</v>
      </c>
    </row>
    <row r="5155" s="28" customFormat="1" ht="30" customHeight="1" spans="1:13">
      <c r="A5155" s="41">
        <f>IF(C5155="","",SUBTOTAL(103,$C$2:C5155))</f>
        <v>5146</v>
      </c>
      <c r="B5155" s="41">
        <v>3637</v>
      </c>
      <c r="C5155" s="41">
        <v>13141</v>
      </c>
      <c r="D5155" s="41" t="s">
        <v>19</v>
      </c>
      <c r="E5155" s="41" t="s">
        <v>20</v>
      </c>
      <c r="F5155" s="41" t="s">
        <v>3778</v>
      </c>
      <c r="G5155" s="41" t="s">
        <v>15728</v>
      </c>
      <c r="H5155" s="41" t="s">
        <v>15729</v>
      </c>
      <c r="I5155" s="43">
        <v>12</v>
      </c>
      <c r="J5155" s="44" t="str">
        <f>VLOOKUP(G5155,[1]硬件清单!$F:$F,1,0)</f>
        <v>2102350DLVDMK8001543</v>
      </c>
      <c r="K5155" s="43"/>
      <c r="L5155" s="44"/>
      <c r="M5155" s="45" t="s">
        <v>15730</v>
      </c>
    </row>
    <row r="5156" s="28" customFormat="1" ht="30" customHeight="1" spans="1:13">
      <c r="A5156" s="41">
        <f>IF(C5156="","",SUBTOTAL(103,$C$2:C5156))</f>
        <v>5147</v>
      </c>
      <c r="B5156" s="41">
        <v>3638</v>
      </c>
      <c r="C5156" s="41">
        <v>13140</v>
      </c>
      <c r="D5156" s="41" t="s">
        <v>19</v>
      </c>
      <c r="E5156" s="41" t="s">
        <v>20</v>
      </c>
      <c r="F5156" s="41" t="s">
        <v>3778</v>
      </c>
      <c r="G5156" s="41" t="s">
        <v>15731</v>
      </c>
      <c r="H5156" s="41" t="s">
        <v>15732</v>
      </c>
      <c r="I5156" s="43">
        <v>12</v>
      </c>
      <c r="J5156" s="44" t="str">
        <f>VLOOKUP(G5156,[1]硬件清单!$F:$F,1,0)</f>
        <v>2102350DLVDMK8001528</v>
      </c>
      <c r="K5156" s="43"/>
      <c r="L5156" s="44"/>
      <c r="M5156" s="45" t="s">
        <v>15733</v>
      </c>
    </row>
    <row r="5157" s="28" customFormat="1" ht="30" customHeight="1" spans="1:13">
      <c r="A5157" s="41">
        <f>IF(C5157="","",SUBTOTAL(103,$C$2:C5157))</f>
        <v>5148</v>
      </c>
      <c r="B5157" s="41">
        <v>3639</v>
      </c>
      <c r="C5157" s="41">
        <v>13602</v>
      </c>
      <c r="D5157" s="41" t="s">
        <v>19</v>
      </c>
      <c r="E5157" s="41" t="s">
        <v>20</v>
      </c>
      <c r="F5157" s="41" t="s">
        <v>3765</v>
      </c>
      <c r="G5157" s="41" t="s">
        <v>15734</v>
      </c>
      <c r="H5157" s="41" t="s">
        <v>15735</v>
      </c>
      <c r="I5157" s="43">
        <v>12</v>
      </c>
      <c r="J5157" s="44" t="str">
        <f>VLOOKUP(G5157,[1]硬件清单!$F:$F,1,0)</f>
        <v>210235A3GLH197000010</v>
      </c>
      <c r="K5157" s="43"/>
      <c r="L5157" s="44"/>
      <c r="M5157" s="45" t="s">
        <v>15736</v>
      </c>
    </row>
    <row r="5158" s="28" customFormat="1" ht="30" customHeight="1" spans="1:13">
      <c r="A5158" s="41">
        <f>IF(C5158="","",SUBTOTAL(103,$C$2:C5158))</f>
        <v>5149</v>
      </c>
      <c r="B5158" s="41">
        <v>3640</v>
      </c>
      <c r="C5158" s="41">
        <v>13601</v>
      </c>
      <c r="D5158" s="41" t="s">
        <v>19</v>
      </c>
      <c r="E5158" s="41" t="s">
        <v>20</v>
      </c>
      <c r="F5158" s="41" t="s">
        <v>3765</v>
      </c>
      <c r="G5158" s="41" t="s">
        <v>15737</v>
      </c>
      <c r="H5158" s="41" t="s">
        <v>15738</v>
      </c>
      <c r="I5158" s="43">
        <v>12</v>
      </c>
      <c r="J5158" s="44" t="str">
        <f>VLOOKUP(G5158,[1]硬件清单!$F:$F,1,0)</f>
        <v>210235A3GLH195000057</v>
      </c>
      <c r="K5158" s="43"/>
      <c r="L5158" s="44"/>
      <c r="M5158" s="45" t="s">
        <v>15739</v>
      </c>
    </row>
    <row r="5159" s="28" customFormat="1" ht="30" customHeight="1" spans="1:13">
      <c r="A5159" s="41">
        <f>IF(C5159="","",SUBTOTAL(103,$C$2:C5159))</f>
        <v>5150</v>
      </c>
      <c r="B5159" s="41">
        <v>3641</v>
      </c>
      <c r="C5159" s="41">
        <v>13367</v>
      </c>
      <c r="D5159" s="41" t="s">
        <v>45</v>
      </c>
      <c r="E5159" s="41" t="s">
        <v>1298</v>
      </c>
      <c r="F5159" s="41" t="s">
        <v>15740</v>
      </c>
      <c r="G5159" s="41" t="s">
        <v>15741</v>
      </c>
      <c r="H5159" s="41" t="s">
        <v>15742</v>
      </c>
      <c r="I5159" s="43">
        <v>12</v>
      </c>
      <c r="J5159" s="44" t="str">
        <f>VLOOKUP(G5159,[1]硬件清单!$F:$F,1,0)</f>
        <v>219555732</v>
      </c>
      <c r="K5159" s="43"/>
      <c r="L5159" s="44"/>
      <c r="M5159" s="45" t="s">
        <v>15743</v>
      </c>
    </row>
    <row r="5160" s="28" customFormat="1" ht="30" customHeight="1" spans="1:13">
      <c r="A5160" s="41">
        <f>IF(C5160="","",SUBTOTAL(103,$C$2:C5160))</f>
        <v>5151</v>
      </c>
      <c r="B5160" s="41">
        <v>3642</v>
      </c>
      <c r="C5160" s="41">
        <v>13368</v>
      </c>
      <c r="D5160" s="41" t="s">
        <v>45</v>
      </c>
      <c r="E5160" s="41" t="s">
        <v>1298</v>
      </c>
      <c r="F5160" s="41" t="s">
        <v>15740</v>
      </c>
      <c r="G5160" s="41" t="s">
        <v>15744</v>
      </c>
      <c r="H5160" s="41" t="s">
        <v>15745</v>
      </c>
      <c r="I5160" s="43">
        <v>12</v>
      </c>
      <c r="J5160" s="44" t="str">
        <f>VLOOKUP(G5160,[1]硬件清单!$F:$F,1,0)</f>
        <v>219555731</v>
      </c>
      <c r="K5160" s="43"/>
      <c r="L5160" s="44"/>
      <c r="M5160" s="45" t="s">
        <v>15746</v>
      </c>
    </row>
    <row r="5161" s="28" customFormat="1" ht="30" customHeight="1" spans="1:13">
      <c r="A5161" s="41">
        <f>IF(C5161="","",SUBTOTAL(103,$C$2:C5161))</f>
        <v>5152</v>
      </c>
      <c r="B5161" s="41">
        <v>3643</v>
      </c>
      <c r="C5161" s="41">
        <v>13369</v>
      </c>
      <c r="D5161" s="41" t="s">
        <v>45</v>
      </c>
      <c r="E5161" s="41" t="s">
        <v>1298</v>
      </c>
      <c r="F5161" s="41" t="s">
        <v>15740</v>
      </c>
      <c r="G5161" s="41" t="s">
        <v>15747</v>
      </c>
      <c r="H5161" s="41" t="s">
        <v>15748</v>
      </c>
      <c r="I5161" s="43">
        <v>12</v>
      </c>
      <c r="J5161" s="44" t="str">
        <f>VLOOKUP(G5161,[1]硬件清单!$F:$F,1,0)</f>
        <v>219555730</v>
      </c>
      <c r="K5161" s="43"/>
      <c r="L5161" s="44"/>
      <c r="M5161" s="45" t="s">
        <v>15749</v>
      </c>
    </row>
    <row r="5162" s="28" customFormat="1" ht="30" customHeight="1" spans="1:13">
      <c r="A5162" s="41">
        <f>IF(C5162="","",SUBTOTAL(103,$C$2:C5162))</f>
        <v>5153</v>
      </c>
      <c r="B5162" s="41">
        <v>3644</v>
      </c>
      <c r="C5162" s="41">
        <v>13370</v>
      </c>
      <c r="D5162" s="41" t="s">
        <v>45</v>
      </c>
      <c r="E5162" s="41" t="s">
        <v>1298</v>
      </c>
      <c r="F5162" s="41" t="s">
        <v>15740</v>
      </c>
      <c r="G5162" s="41" t="s">
        <v>15750</v>
      </c>
      <c r="H5162" s="41" t="s">
        <v>15751</v>
      </c>
      <c r="I5162" s="43">
        <v>12</v>
      </c>
      <c r="J5162" s="44" t="str">
        <f>VLOOKUP(G5162,[1]硬件清单!$F:$F,1,0)</f>
        <v>219555729</v>
      </c>
      <c r="K5162" s="43"/>
      <c r="L5162" s="44"/>
      <c r="M5162" s="45" t="s">
        <v>15752</v>
      </c>
    </row>
    <row r="5163" s="28" customFormat="1" ht="30" customHeight="1" spans="1:13">
      <c r="A5163" s="41">
        <f>IF(C5163="","",SUBTOTAL(103,$C$2:C5163))</f>
        <v>5154</v>
      </c>
      <c r="B5163" s="41">
        <v>3645</v>
      </c>
      <c r="C5163" s="41">
        <v>13363</v>
      </c>
      <c r="D5163" s="41" t="s">
        <v>45</v>
      </c>
      <c r="E5163" s="41" t="s">
        <v>1298</v>
      </c>
      <c r="F5163" s="41" t="s">
        <v>15740</v>
      </c>
      <c r="G5163" s="41" t="s">
        <v>15753</v>
      </c>
      <c r="H5163" s="41" t="s">
        <v>15754</v>
      </c>
      <c r="I5163" s="43">
        <v>12</v>
      </c>
      <c r="J5163" s="44" t="str">
        <f>VLOOKUP(G5163,[1]硬件清单!$F:$F,1,0)</f>
        <v>219555763</v>
      </c>
      <c r="K5163" s="43"/>
      <c r="L5163" s="44"/>
      <c r="M5163" s="45" t="s">
        <v>15755</v>
      </c>
    </row>
    <row r="5164" s="28" customFormat="1" ht="30" customHeight="1" spans="1:13">
      <c r="A5164" s="41">
        <f>IF(C5164="","",SUBTOTAL(103,$C$2:C5164))</f>
        <v>5155</v>
      </c>
      <c r="B5164" s="41">
        <v>3646</v>
      </c>
      <c r="C5164" s="41">
        <v>13364</v>
      </c>
      <c r="D5164" s="41" t="s">
        <v>45</v>
      </c>
      <c r="E5164" s="41" t="s">
        <v>1298</v>
      </c>
      <c r="F5164" s="41" t="s">
        <v>15740</v>
      </c>
      <c r="G5164" s="41" t="s">
        <v>15756</v>
      </c>
      <c r="H5164" s="41" t="s">
        <v>15757</v>
      </c>
      <c r="I5164" s="43">
        <v>12</v>
      </c>
      <c r="J5164" s="44" t="str">
        <f>VLOOKUP(G5164,[1]硬件清单!$F:$F,1,0)</f>
        <v>219555764</v>
      </c>
      <c r="K5164" s="43"/>
      <c r="L5164" s="44"/>
      <c r="M5164" s="45" t="s">
        <v>15758</v>
      </c>
    </row>
    <row r="5165" s="28" customFormat="1" ht="30" customHeight="1" spans="1:13">
      <c r="A5165" s="41">
        <f>IF(C5165="","",SUBTOTAL(103,$C$2:C5165))</f>
        <v>5156</v>
      </c>
      <c r="B5165" s="41">
        <v>3647</v>
      </c>
      <c r="C5165" s="41">
        <v>13365</v>
      </c>
      <c r="D5165" s="41" t="s">
        <v>45</v>
      </c>
      <c r="E5165" s="41" t="s">
        <v>1298</v>
      </c>
      <c r="F5165" s="41" t="s">
        <v>15740</v>
      </c>
      <c r="G5165" s="41" t="s">
        <v>15759</v>
      </c>
      <c r="H5165" s="41" t="s">
        <v>15760</v>
      </c>
      <c r="I5165" s="43">
        <v>12</v>
      </c>
      <c r="J5165" s="44" t="str">
        <f>VLOOKUP(G5165,[1]硬件清单!$F:$F,1,0)</f>
        <v>219555761</v>
      </c>
      <c r="K5165" s="43"/>
      <c r="L5165" s="44"/>
      <c r="M5165" s="45" t="s">
        <v>15761</v>
      </c>
    </row>
    <row r="5166" s="28" customFormat="1" ht="30" customHeight="1" spans="1:13">
      <c r="A5166" s="41">
        <f>IF(C5166="","",SUBTOTAL(103,$C$2:C5166))</f>
        <v>5157</v>
      </c>
      <c r="B5166" s="41">
        <v>3648</v>
      </c>
      <c r="C5166" s="41">
        <v>13366</v>
      </c>
      <c r="D5166" s="41" t="s">
        <v>45</v>
      </c>
      <c r="E5166" s="41" t="s">
        <v>1298</v>
      </c>
      <c r="F5166" s="41" t="s">
        <v>15740</v>
      </c>
      <c r="G5166" s="41" t="s">
        <v>15762</v>
      </c>
      <c r="H5166" s="41" t="s">
        <v>15763</v>
      </c>
      <c r="I5166" s="43">
        <v>12</v>
      </c>
      <c r="J5166" s="44" t="str">
        <f>VLOOKUP(G5166,[1]硬件清单!$F:$F,1,0)</f>
        <v>219555762</v>
      </c>
      <c r="K5166" s="43"/>
      <c r="L5166" s="44"/>
      <c r="M5166" s="45" t="s">
        <v>15764</v>
      </c>
    </row>
    <row r="5167" s="28" customFormat="1" ht="30" customHeight="1" spans="1:13">
      <c r="A5167" s="41">
        <f>IF(C5167="","",SUBTOTAL(103,$C$2:C5167))</f>
        <v>5158</v>
      </c>
      <c r="B5167" s="41">
        <v>3649</v>
      </c>
      <c r="C5167" s="41">
        <v>13375</v>
      </c>
      <c r="D5167" s="41" t="s">
        <v>45</v>
      </c>
      <c r="E5167" s="41" t="s">
        <v>1298</v>
      </c>
      <c r="F5167" s="41" t="s">
        <v>15740</v>
      </c>
      <c r="G5167" s="41" t="s">
        <v>15765</v>
      </c>
      <c r="H5167" s="41" t="s">
        <v>15766</v>
      </c>
      <c r="I5167" s="43">
        <v>12</v>
      </c>
      <c r="J5167" s="44" t="str">
        <f>VLOOKUP(G5167,[1]硬件清单!$F:$F,1,0)</f>
        <v>219555756</v>
      </c>
      <c r="K5167" s="43"/>
      <c r="L5167" s="44"/>
      <c r="M5167" s="45" t="s">
        <v>15767</v>
      </c>
    </row>
    <row r="5168" s="28" customFormat="1" ht="30" customHeight="1" spans="1:13">
      <c r="A5168" s="41">
        <f>IF(C5168="","",SUBTOTAL(103,$C$2:C5168))</f>
        <v>5159</v>
      </c>
      <c r="B5168" s="41">
        <v>3650</v>
      </c>
      <c r="C5168" s="41">
        <v>13376</v>
      </c>
      <c r="D5168" s="41" t="s">
        <v>45</v>
      </c>
      <c r="E5168" s="41" t="s">
        <v>1298</v>
      </c>
      <c r="F5168" s="41" t="s">
        <v>15740</v>
      </c>
      <c r="G5168" s="41" t="s">
        <v>15768</v>
      </c>
      <c r="H5168" s="41" t="s">
        <v>15769</v>
      </c>
      <c r="I5168" s="43">
        <v>12</v>
      </c>
      <c r="J5168" s="44" t="str">
        <f>VLOOKUP(G5168,[1]硬件清单!$F:$F,1,0)</f>
        <v>219555755</v>
      </c>
      <c r="K5168" s="43"/>
      <c r="L5168" s="44"/>
      <c r="M5168" s="45" t="s">
        <v>15770</v>
      </c>
    </row>
    <row r="5169" s="28" customFormat="1" ht="30" customHeight="1" spans="1:13">
      <c r="A5169" s="41">
        <f>IF(C5169="","",SUBTOTAL(103,$C$2:C5169))</f>
        <v>5160</v>
      </c>
      <c r="B5169" s="41">
        <v>3651</v>
      </c>
      <c r="C5169" s="41">
        <v>13377</v>
      </c>
      <c r="D5169" s="41" t="s">
        <v>45</v>
      </c>
      <c r="E5169" s="41" t="s">
        <v>1298</v>
      </c>
      <c r="F5169" s="41" t="s">
        <v>15740</v>
      </c>
      <c r="G5169" s="41" t="s">
        <v>15771</v>
      </c>
      <c r="H5169" s="41" t="s">
        <v>15772</v>
      </c>
      <c r="I5169" s="43">
        <v>12</v>
      </c>
      <c r="J5169" s="44" t="str">
        <f>VLOOKUP(G5169,[1]硬件清单!$F:$F,1,0)</f>
        <v>219555753</v>
      </c>
      <c r="K5169" s="43"/>
      <c r="L5169" s="44"/>
      <c r="M5169" s="45" t="s">
        <v>15773</v>
      </c>
    </row>
    <row r="5170" s="28" customFormat="1" ht="30" customHeight="1" spans="1:13">
      <c r="A5170" s="41">
        <f>IF(C5170="","",SUBTOTAL(103,$C$2:C5170))</f>
        <v>5161</v>
      </c>
      <c r="B5170" s="41">
        <v>3652</v>
      </c>
      <c r="C5170" s="41">
        <v>13378</v>
      </c>
      <c r="D5170" s="41" t="s">
        <v>45</v>
      </c>
      <c r="E5170" s="41" t="s">
        <v>1298</v>
      </c>
      <c r="F5170" s="41" t="s">
        <v>15740</v>
      </c>
      <c r="G5170" s="41" t="s">
        <v>15774</v>
      </c>
      <c r="H5170" s="41" t="s">
        <v>15775</v>
      </c>
      <c r="I5170" s="43">
        <v>12</v>
      </c>
      <c r="J5170" s="44" t="str">
        <f>VLOOKUP(G5170,[1]硬件清单!$F:$F,1,0)</f>
        <v>219555754</v>
      </c>
      <c r="K5170" s="43"/>
      <c r="L5170" s="44"/>
      <c r="M5170" s="45" t="s">
        <v>15776</v>
      </c>
    </row>
    <row r="5171" s="28" customFormat="1" ht="30" customHeight="1" spans="1:13">
      <c r="A5171" s="41">
        <f>IF(C5171="","",SUBTOTAL(103,$C$2:C5171))</f>
        <v>5162</v>
      </c>
      <c r="B5171" s="41">
        <v>3653</v>
      </c>
      <c r="C5171" s="41">
        <v>13371</v>
      </c>
      <c r="D5171" s="41" t="s">
        <v>45</v>
      </c>
      <c r="E5171" s="41" t="s">
        <v>1298</v>
      </c>
      <c r="F5171" s="41" t="s">
        <v>15740</v>
      </c>
      <c r="G5171" s="41" t="s">
        <v>15777</v>
      </c>
      <c r="H5171" s="41" t="s">
        <v>15778</v>
      </c>
      <c r="I5171" s="43">
        <v>12</v>
      </c>
      <c r="J5171" s="44" t="str">
        <f>VLOOKUP(G5171,[1]硬件清单!$F:$F,1,0)</f>
        <v>219555726</v>
      </c>
      <c r="K5171" s="43"/>
      <c r="L5171" s="44"/>
      <c r="M5171" s="45" t="s">
        <v>15779</v>
      </c>
    </row>
    <row r="5172" s="28" customFormat="1" ht="30" customHeight="1" spans="1:13">
      <c r="A5172" s="41">
        <f>IF(C5172="","",SUBTOTAL(103,$C$2:C5172))</f>
        <v>5163</v>
      </c>
      <c r="B5172" s="41">
        <v>3654</v>
      </c>
      <c r="C5172" s="41">
        <v>13372</v>
      </c>
      <c r="D5172" s="41" t="s">
        <v>45</v>
      </c>
      <c r="E5172" s="41" t="s">
        <v>1298</v>
      </c>
      <c r="F5172" s="41" t="s">
        <v>15740</v>
      </c>
      <c r="G5172" s="41" t="s">
        <v>15780</v>
      </c>
      <c r="H5172" s="41" t="s">
        <v>15781</v>
      </c>
      <c r="I5172" s="43">
        <v>12</v>
      </c>
      <c r="J5172" s="44" t="str">
        <f>VLOOKUP(G5172,[1]硬件清单!$F:$F,1,0)</f>
        <v>219555725</v>
      </c>
      <c r="K5172" s="43"/>
      <c r="L5172" s="44"/>
      <c r="M5172" s="45" t="s">
        <v>15782</v>
      </c>
    </row>
    <row r="5173" s="28" customFormat="1" ht="30" customHeight="1" spans="1:13">
      <c r="A5173" s="41">
        <f>IF(C5173="","",SUBTOTAL(103,$C$2:C5173))</f>
        <v>5164</v>
      </c>
      <c r="B5173" s="41">
        <v>3655</v>
      </c>
      <c r="C5173" s="41">
        <v>13373</v>
      </c>
      <c r="D5173" s="41" t="s">
        <v>45</v>
      </c>
      <c r="E5173" s="41" t="s">
        <v>1298</v>
      </c>
      <c r="F5173" s="41" t="s">
        <v>15740</v>
      </c>
      <c r="G5173" s="41" t="s">
        <v>15783</v>
      </c>
      <c r="H5173" s="41" t="s">
        <v>15784</v>
      </c>
      <c r="I5173" s="43">
        <v>12</v>
      </c>
      <c r="J5173" s="44" t="str">
        <f>VLOOKUP(G5173,[1]硬件清单!$F:$F,1,0)</f>
        <v>219555728</v>
      </c>
      <c r="K5173" s="43"/>
      <c r="L5173" s="44"/>
      <c r="M5173" s="45" t="s">
        <v>15785</v>
      </c>
    </row>
    <row r="5174" s="28" customFormat="1" ht="30" customHeight="1" spans="1:13">
      <c r="A5174" s="41">
        <f>IF(C5174="","",SUBTOTAL(103,$C$2:C5174))</f>
        <v>5165</v>
      </c>
      <c r="B5174" s="41">
        <v>3656</v>
      </c>
      <c r="C5174" s="41">
        <v>13374</v>
      </c>
      <c r="D5174" s="41" t="s">
        <v>45</v>
      </c>
      <c r="E5174" s="41" t="s">
        <v>1298</v>
      </c>
      <c r="F5174" s="41" t="s">
        <v>15740</v>
      </c>
      <c r="G5174" s="41" t="s">
        <v>15786</v>
      </c>
      <c r="H5174" s="41" t="s">
        <v>15787</v>
      </c>
      <c r="I5174" s="43">
        <v>12</v>
      </c>
      <c r="J5174" s="44" t="str">
        <f>VLOOKUP(G5174,[1]硬件清单!$F:$F,1,0)</f>
        <v>219555727</v>
      </c>
      <c r="K5174" s="43"/>
      <c r="L5174" s="44"/>
      <c r="M5174" s="45" t="s">
        <v>15788</v>
      </c>
    </row>
    <row r="5175" s="28" customFormat="1" ht="30" customHeight="1" spans="1:13">
      <c r="A5175" s="41">
        <f>IF(C5175="","",SUBTOTAL(103,$C$2:C5175))</f>
        <v>5166</v>
      </c>
      <c r="B5175" s="41">
        <v>3657</v>
      </c>
      <c r="C5175" s="41">
        <v>13383</v>
      </c>
      <c r="D5175" s="41" t="s">
        <v>45</v>
      </c>
      <c r="E5175" s="41" t="s">
        <v>1298</v>
      </c>
      <c r="F5175" s="41" t="s">
        <v>15740</v>
      </c>
      <c r="G5175" s="41" t="s">
        <v>15789</v>
      </c>
      <c r="H5175" s="41" t="s">
        <v>15790</v>
      </c>
      <c r="I5175" s="43">
        <v>12</v>
      </c>
      <c r="J5175" s="44" t="str">
        <f>VLOOKUP(G5175,[1]硬件清单!$F:$F,1,0)</f>
        <v>219555745</v>
      </c>
      <c r="K5175" s="43"/>
      <c r="L5175" s="44"/>
      <c r="M5175" s="45" t="s">
        <v>15791</v>
      </c>
    </row>
    <row r="5176" s="28" customFormat="1" ht="30" customHeight="1" spans="1:13">
      <c r="A5176" s="41">
        <f>IF(C5176="","",SUBTOTAL(103,$C$2:C5176))</f>
        <v>5167</v>
      </c>
      <c r="B5176" s="41">
        <v>3658</v>
      </c>
      <c r="C5176" s="41">
        <v>13384</v>
      </c>
      <c r="D5176" s="41" t="s">
        <v>45</v>
      </c>
      <c r="E5176" s="41" t="s">
        <v>1298</v>
      </c>
      <c r="F5176" s="41" t="s">
        <v>15740</v>
      </c>
      <c r="G5176" s="41" t="s">
        <v>15792</v>
      </c>
      <c r="H5176" s="41" t="s">
        <v>15793</v>
      </c>
      <c r="I5176" s="43">
        <v>12</v>
      </c>
      <c r="J5176" s="44" t="str">
        <f>VLOOKUP(G5176,[1]硬件清单!$F:$F,1,0)</f>
        <v>219555746</v>
      </c>
      <c r="K5176" s="43"/>
      <c r="L5176" s="44"/>
      <c r="M5176" s="45" t="s">
        <v>15794</v>
      </c>
    </row>
    <row r="5177" s="28" customFormat="1" ht="30" customHeight="1" spans="1:13">
      <c r="A5177" s="41">
        <f>IF(C5177="","",SUBTOTAL(103,$C$2:C5177))</f>
        <v>5168</v>
      </c>
      <c r="B5177" s="41">
        <v>3659</v>
      </c>
      <c r="C5177" s="41">
        <v>13385</v>
      </c>
      <c r="D5177" s="41" t="s">
        <v>45</v>
      </c>
      <c r="E5177" s="41" t="s">
        <v>1298</v>
      </c>
      <c r="F5177" s="41" t="s">
        <v>15740</v>
      </c>
      <c r="G5177" s="41" t="s">
        <v>15795</v>
      </c>
      <c r="H5177" s="41" t="s">
        <v>15796</v>
      </c>
      <c r="I5177" s="43">
        <v>12</v>
      </c>
      <c r="J5177" s="44" t="str">
        <f>VLOOKUP(G5177,[1]硬件清单!$F:$F,1,0)</f>
        <v>219555748</v>
      </c>
      <c r="K5177" s="43"/>
      <c r="L5177" s="44"/>
      <c r="M5177" s="45" t="s">
        <v>15797</v>
      </c>
    </row>
    <row r="5178" s="28" customFormat="1" ht="30" customHeight="1" spans="1:13">
      <c r="A5178" s="41">
        <f>IF(C5178="","",SUBTOTAL(103,$C$2:C5178))</f>
        <v>5169</v>
      </c>
      <c r="B5178" s="41">
        <v>3660</v>
      </c>
      <c r="C5178" s="41">
        <v>13386</v>
      </c>
      <c r="D5178" s="41" t="s">
        <v>45</v>
      </c>
      <c r="E5178" s="41" t="s">
        <v>1298</v>
      </c>
      <c r="F5178" s="41" t="s">
        <v>15740</v>
      </c>
      <c r="G5178" s="41" t="s">
        <v>15798</v>
      </c>
      <c r="H5178" s="41" t="s">
        <v>15799</v>
      </c>
      <c r="I5178" s="43">
        <v>12</v>
      </c>
      <c r="J5178" s="44" t="str">
        <f>VLOOKUP(G5178,[1]硬件清单!$F:$F,1,0)</f>
        <v>219555747</v>
      </c>
      <c r="K5178" s="43"/>
      <c r="L5178" s="44"/>
      <c r="M5178" s="45" t="s">
        <v>15800</v>
      </c>
    </row>
    <row r="5179" s="28" customFormat="1" ht="30" customHeight="1" spans="1:13">
      <c r="A5179" s="41">
        <f>IF(C5179="","",SUBTOTAL(103,$C$2:C5179))</f>
        <v>5170</v>
      </c>
      <c r="B5179" s="41">
        <v>3661</v>
      </c>
      <c r="C5179" s="41">
        <v>13379</v>
      </c>
      <c r="D5179" s="41" t="s">
        <v>45</v>
      </c>
      <c r="E5179" s="41" t="s">
        <v>1298</v>
      </c>
      <c r="F5179" s="41" t="s">
        <v>15740</v>
      </c>
      <c r="G5179" s="41" t="s">
        <v>15801</v>
      </c>
      <c r="H5179" s="41" t="s">
        <v>15802</v>
      </c>
      <c r="I5179" s="43">
        <v>12</v>
      </c>
      <c r="J5179" s="44" t="str">
        <f>VLOOKUP(G5179,[1]硬件清单!$F:$F,1,0)</f>
        <v>219555752</v>
      </c>
      <c r="K5179" s="43"/>
      <c r="L5179" s="44"/>
      <c r="M5179" s="45" t="s">
        <v>15803</v>
      </c>
    </row>
    <row r="5180" s="28" customFormat="1" ht="30" customHeight="1" spans="1:13">
      <c r="A5180" s="41">
        <f>IF(C5180="","",SUBTOTAL(103,$C$2:C5180))</f>
        <v>5171</v>
      </c>
      <c r="B5180" s="41">
        <v>3662</v>
      </c>
      <c r="C5180" s="41">
        <v>13380</v>
      </c>
      <c r="D5180" s="41" t="s">
        <v>45</v>
      </c>
      <c r="E5180" s="41" t="s">
        <v>1298</v>
      </c>
      <c r="F5180" s="41" t="s">
        <v>15740</v>
      </c>
      <c r="G5180" s="41" t="s">
        <v>15804</v>
      </c>
      <c r="H5180" s="41" t="s">
        <v>15805</v>
      </c>
      <c r="I5180" s="43">
        <v>12</v>
      </c>
      <c r="J5180" s="44" t="str">
        <f>VLOOKUP(G5180,[1]硬件清单!$F:$F,1,0)</f>
        <v>219555751</v>
      </c>
      <c r="K5180" s="43"/>
      <c r="L5180" s="44"/>
      <c r="M5180" s="45" t="s">
        <v>15806</v>
      </c>
    </row>
    <row r="5181" s="28" customFormat="1" ht="30" customHeight="1" spans="1:13">
      <c r="A5181" s="41">
        <f>IF(C5181="","",SUBTOTAL(103,$C$2:C5181))</f>
        <v>5172</v>
      </c>
      <c r="B5181" s="41">
        <v>3663</v>
      </c>
      <c r="C5181" s="41">
        <v>13381</v>
      </c>
      <c r="D5181" s="41" t="s">
        <v>45</v>
      </c>
      <c r="E5181" s="41" t="s">
        <v>1298</v>
      </c>
      <c r="F5181" s="41" t="s">
        <v>15740</v>
      </c>
      <c r="G5181" s="41" t="s">
        <v>15807</v>
      </c>
      <c r="H5181" s="41" t="s">
        <v>15808</v>
      </c>
      <c r="I5181" s="43">
        <v>12</v>
      </c>
      <c r="J5181" s="44" t="str">
        <f>VLOOKUP(G5181,[1]硬件清单!$F:$F,1,0)</f>
        <v>219555749</v>
      </c>
      <c r="K5181" s="43"/>
      <c r="L5181" s="44"/>
      <c r="M5181" s="45" t="s">
        <v>15809</v>
      </c>
    </row>
    <row r="5182" s="28" customFormat="1" ht="30" customHeight="1" spans="1:13">
      <c r="A5182" s="41">
        <f>IF(C5182="","",SUBTOTAL(103,$C$2:C5182))</f>
        <v>5173</v>
      </c>
      <c r="B5182" s="41">
        <v>3664</v>
      </c>
      <c r="C5182" s="41">
        <v>13382</v>
      </c>
      <c r="D5182" s="41" t="s">
        <v>45</v>
      </c>
      <c r="E5182" s="41" t="s">
        <v>1298</v>
      </c>
      <c r="F5182" s="41" t="s">
        <v>15740</v>
      </c>
      <c r="G5182" s="41" t="s">
        <v>15810</v>
      </c>
      <c r="H5182" s="41" t="s">
        <v>15811</v>
      </c>
      <c r="I5182" s="43">
        <v>12</v>
      </c>
      <c r="J5182" s="44" t="str">
        <f>VLOOKUP(G5182,[1]硬件清单!$F:$F,1,0)</f>
        <v>219555750</v>
      </c>
      <c r="K5182" s="43"/>
      <c r="L5182" s="44"/>
      <c r="M5182" s="45" t="s">
        <v>15812</v>
      </c>
    </row>
    <row r="5183" s="28" customFormat="1" ht="30" customHeight="1" spans="1:13">
      <c r="A5183" s="41">
        <f>IF(C5183="","",SUBTOTAL(103,$C$2:C5183))</f>
        <v>5174</v>
      </c>
      <c r="B5183" s="41">
        <v>3665</v>
      </c>
      <c r="C5183" s="41">
        <v>13391</v>
      </c>
      <c r="D5183" s="41" t="s">
        <v>45</v>
      </c>
      <c r="E5183" s="41" t="s">
        <v>1298</v>
      </c>
      <c r="F5183" s="41" t="s">
        <v>15740</v>
      </c>
      <c r="G5183" s="41" t="s">
        <v>15813</v>
      </c>
      <c r="H5183" s="41" t="s">
        <v>15814</v>
      </c>
      <c r="I5183" s="43">
        <v>12</v>
      </c>
      <c r="J5183" s="44" t="str">
        <f>VLOOKUP(G5183,[1]硬件清单!$F:$F,1,0)</f>
        <v>219555734</v>
      </c>
      <c r="K5183" s="43"/>
      <c r="L5183" s="44"/>
      <c r="M5183" s="45" t="s">
        <v>15815</v>
      </c>
    </row>
    <row r="5184" s="28" customFormat="1" ht="30" customHeight="1" spans="1:13">
      <c r="A5184" s="41">
        <f>IF(C5184="","",SUBTOTAL(103,$C$2:C5184))</f>
        <v>5175</v>
      </c>
      <c r="B5184" s="41">
        <v>3666</v>
      </c>
      <c r="C5184" s="41">
        <v>13392</v>
      </c>
      <c r="D5184" s="41" t="s">
        <v>45</v>
      </c>
      <c r="E5184" s="41" t="s">
        <v>1298</v>
      </c>
      <c r="F5184" s="41" t="s">
        <v>15740</v>
      </c>
      <c r="G5184" s="41" t="s">
        <v>15816</v>
      </c>
      <c r="H5184" s="41" t="s">
        <v>15817</v>
      </c>
      <c r="I5184" s="43">
        <v>12</v>
      </c>
      <c r="J5184" s="44" t="str">
        <f>VLOOKUP(G5184,[1]硬件清单!$F:$F,1,0)</f>
        <v>219555733</v>
      </c>
      <c r="K5184" s="43"/>
      <c r="L5184" s="44"/>
      <c r="M5184" s="45" t="s">
        <v>15818</v>
      </c>
    </row>
    <row r="5185" s="28" customFormat="1" ht="30" customHeight="1" spans="1:13">
      <c r="A5185" s="41">
        <f>IF(C5185="","",SUBTOTAL(103,$C$2:C5185))</f>
        <v>5176</v>
      </c>
      <c r="B5185" s="41">
        <v>3667</v>
      </c>
      <c r="C5185" s="41">
        <v>13393</v>
      </c>
      <c r="D5185" s="41" t="s">
        <v>45</v>
      </c>
      <c r="E5185" s="41" t="s">
        <v>1298</v>
      </c>
      <c r="F5185" s="41" t="s">
        <v>15740</v>
      </c>
      <c r="G5185" s="41" t="s">
        <v>15819</v>
      </c>
      <c r="H5185" s="41" t="s">
        <v>15820</v>
      </c>
      <c r="I5185" s="43">
        <v>12</v>
      </c>
      <c r="J5185" s="44" t="str">
        <f>VLOOKUP(G5185,[1]硬件清单!$F:$F,1,0)</f>
        <v>219555736</v>
      </c>
      <c r="K5185" s="43"/>
      <c r="L5185" s="44"/>
      <c r="M5185" s="45" t="s">
        <v>15821</v>
      </c>
    </row>
    <row r="5186" s="28" customFormat="1" ht="30" customHeight="1" spans="1:13">
      <c r="A5186" s="41">
        <f>IF(C5186="","",SUBTOTAL(103,$C$2:C5186))</f>
        <v>5177</v>
      </c>
      <c r="B5186" s="41">
        <v>3668</v>
      </c>
      <c r="C5186" s="41">
        <v>13394</v>
      </c>
      <c r="D5186" s="41" t="s">
        <v>45</v>
      </c>
      <c r="E5186" s="41" t="s">
        <v>1298</v>
      </c>
      <c r="F5186" s="41" t="s">
        <v>15740</v>
      </c>
      <c r="G5186" s="41" t="s">
        <v>15822</v>
      </c>
      <c r="H5186" s="41" t="s">
        <v>15823</v>
      </c>
      <c r="I5186" s="43">
        <v>12</v>
      </c>
      <c r="J5186" s="44" t="str">
        <f>VLOOKUP(G5186,[1]硬件清单!$F:$F,1,0)</f>
        <v>219555735</v>
      </c>
      <c r="K5186" s="43"/>
      <c r="L5186" s="44"/>
      <c r="M5186" s="45" t="s">
        <v>15824</v>
      </c>
    </row>
    <row r="5187" s="28" customFormat="1" ht="30" customHeight="1" spans="1:13">
      <c r="A5187" s="41">
        <f>IF(C5187="","",SUBTOTAL(103,$C$2:C5187))</f>
        <v>5178</v>
      </c>
      <c r="B5187" s="41">
        <v>3669</v>
      </c>
      <c r="C5187" s="41">
        <v>13387</v>
      </c>
      <c r="D5187" s="41" t="s">
        <v>45</v>
      </c>
      <c r="E5187" s="41" t="s">
        <v>1298</v>
      </c>
      <c r="F5187" s="41" t="s">
        <v>15740</v>
      </c>
      <c r="G5187" s="41" t="s">
        <v>15825</v>
      </c>
      <c r="H5187" s="41" t="s">
        <v>15826</v>
      </c>
      <c r="I5187" s="43">
        <v>12</v>
      </c>
      <c r="J5187" s="44" t="str">
        <f>VLOOKUP(G5187,[1]硬件清单!$F:$F,1,0)</f>
        <v>219555767</v>
      </c>
      <c r="K5187" s="43"/>
      <c r="L5187" s="44"/>
      <c r="M5187" s="45" t="s">
        <v>15827</v>
      </c>
    </row>
    <row r="5188" s="28" customFormat="1" ht="30" customHeight="1" spans="1:13">
      <c r="A5188" s="41">
        <f>IF(C5188="","",SUBTOTAL(103,$C$2:C5188))</f>
        <v>5179</v>
      </c>
      <c r="B5188" s="41">
        <v>3670</v>
      </c>
      <c r="C5188" s="41">
        <v>13388</v>
      </c>
      <c r="D5188" s="41" t="s">
        <v>45</v>
      </c>
      <c r="E5188" s="41" t="s">
        <v>1298</v>
      </c>
      <c r="F5188" s="41" t="s">
        <v>15740</v>
      </c>
      <c r="G5188" s="41" t="s">
        <v>15828</v>
      </c>
      <c r="H5188" s="41" t="s">
        <v>15829</v>
      </c>
      <c r="I5188" s="43">
        <v>12</v>
      </c>
      <c r="J5188" s="44" t="str">
        <f>VLOOKUP(G5188,[1]硬件清单!$F:$F,1,0)</f>
        <v>219555768</v>
      </c>
      <c r="K5188" s="43"/>
      <c r="L5188" s="44"/>
      <c r="M5188" s="45" t="s">
        <v>15830</v>
      </c>
    </row>
    <row r="5189" s="28" customFormat="1" ht="30" customHeight="1" spans="1:13">
      <c r="A5189" s="41">
        <f>IF(C5189="","",SUBTOTAL(103,$C$2:C5189))</f>
        <v>5180</v>
      </c>
      <c r="B5189" s="41">
        <v>3671</v>
      </c>
      <c r="C5189" s="41">
        <v>13389</v>
      </c>
      <c r="D5189" s="41" t="s">
        <v>45</v>
      </c>
      <c r="E5189" s="41" t="s">
        <v>1298</v>
      </c>
      <c r="F5189" s="41" t="s">
        <v>15740</v>
      </c>
      <c r="G5189" s="41" t="s">
        <v>15831</v>
      </c>
      <c r="H5189" s="41" t="s">
        <v>15832</v>
      </c>
      <c r="I5189" s="43">
        <v>12</v>
      </c>
      <c r="J5189" s="44" t="str">
        <f>VLOOKUP(G5189,[1]硬件清单!$F:$F,1,0)</f>
        <v>219555766</v>
      </c>
      <c r="K5189" s="43"/>
      <c r="L5189" s="44"/>
      <c r="M5189" s="45" t="s">
        <v>15833</v>
      </c>
    </row>
    <row r="5190" s="28" customFormat="1" ht="30" customHeight="1" spans="1:13">
      <c r="A5190" s="41">
        <f>IF(C5190="","",SUBTOTAL(103,$C$2:C5190))</f>
        <v>5181</v>
      </c>
      <c r="B5190" s="41">
        <v>3672</v>
      </c>
      <c r="C5190" s="41">
        <v>13390</v>
      </c>
      <c r="D5190" s="41" t="s">
        <v>45</v>
      </c>
      <c r="E5190" s="41" t="s">
        <v>1298</v>
      </c>
      <c r="F5190" s="41" t="s">
        <v>15740</v>
      </c>
      <c r="G5190" s="41" t="s">
        <v>15834</v>
      </c>
      <c r="H5190" s="41" t="s">
        <v>15835</v>
      </c>
      <c r="I5190" s="43">
        <v>12</v>
      </c>
      <c r="J5190" s="44" t="str">
        <f>VLOOKUP(G5190,[1]硬件清单!$F:$F,1,0)</f>
        <v>219555765</v>
      </c>
      <c r="K5190" s="43"/>
      <c r="L5190" s="44"/>
      <c r="M5190" s="45" t="s">
        <v>15836</v>
      </c>
    </row>
    <row r="5191" s="28" customFormat="1" ht="30" customHeight="1" spans="1:13">
      <c r="A5191" s="41">
        <f>IF(C5191="","",SUBTOTAL(103,$C$2:C5191))</f>
        <v>5182</v>
      </c>
      <c r="B5191" s="41">
        <v>3673</v>
      </c>
      <c r="C5191" s="41">
        <v>13399</v>
      </c>
      <c r="D5191" s="41" t="s">
        <v>45</v>
      </c>
      <c r="E5191" s="41" t="s">
        <v>1298</v>
      </c>
      <c r="F5191" s="41" t="s">
        <v>15740</v>
      </c>
      <c r="G5191" s="41" t="s">
        <v>15837</v>
      </c>
      <c r="H5191" s="41" t="s">
        <v>15838</v>
      </c>
      <c r="I5191" s="43">
        <v>12</v>
      </c>
      <c r="J5191" s="44" t="str">
        <f>VLOOKUP(G5191,[1]硬件清单!$F:$F,1,0)</f>
        <v>219555741</v>
      </c>
      <c r="K5191" s="43"/>
      <c r="L5191" s="44"/>
      <c r="M5191" s="45" t="s">
        <v>15839</v>
      </c>
    </row>
    <row r="5192" s="28" customFormat="1" ht="30" customHeight="1" spans="1:13">
      <c r="A5192" s="41">
        <f>IF(C5192="","",SUBTOTAL(103,$C$2:C5192))</f>
        <v>5183</v>
      </c>
      <c r="B5192" s="41">
        <v>3674</v>
      </c>
      <c r="C5192" s="41">
        <v>13400</v>
      </c>
      <c r="D5192" s="41" t="s">
        <v>45</v>
      </c>
      <c r="E5192" s="41" t="s">
        <v>1298</v>
      </c>
      <c r="F5192" s="41" t="s">
        <v>15740</v>
      </c>
      <c r="G5192" s="41" t="s">
        <v>15840</v>
      </c>
      <c r="H5192" s="41" t="s">
        <v>15841</v>
      </c>
      <c r="I5192" s="43">
        <v>12</v>
      </c>
      <c r="J5192" s="44" t="str">
        <f>VLOOKUP(G5192,[1]硬件清单!$F:$F,1,0)</f>
        <v>219555742</v>
      </c>
      <c r="K5192" s="43"/>
      <c r="L5192" s="44"/>
      <c r="M5192" s="45" t="s">
        <v>15842</v>
      </c>
    </row>
    <row r="5193" s="28" customFormat="1" ht="30" customHeight="1" spans="1:13">
      <c r="A5193" s="41">
        <f>IF(C5193="","",SUBTOTAL(103,$C$2:C5193))</f>
        <v>5184</v>
      </c>
      <c r="B5193" s="41">
        <v>3675</v>
      </c>
      <c r="C5193" s="41">
        <v>13401</v>
      </c>
      <c r="D5193" s="41" t="s">
        <v>45</v>
      </c>
      <c r="E5193" s="41" t="s">
        <v>1298</v>
      </c>
      <c r="F5193" s="41" t="s">
        <v>15740</v>
      </c>
      <c r="G5193" s="41" t="s">
        <v>15843</v>
      </c>
      <c r="H5193" s="41" t="s">
        <v>15844</v>
      </c>
      <c r="I5193" s="43">
        <v>12</v>
      </c>
      <c r="J5193" s="44" t="str">
        <f>VLOOKUP(G5193,[1]硬件清单!$F:$F,1,0)</f>
        <v>219555744</v>
      </c>
      <c r="K5193" s="43"/>
      <c r="L5193" s="44"/>
      <c r="M5193" s="45" t="s">
        <v>15845</v>
      </c>
    </row>
    <row r="5194" s="28" customFormat="1" ht="30" customHeight="1" spans="1:13">
      <c r="A5194" s="41">
        <f>IF(C5194="","",SUBTOTAL(103,$C$2:C5194))</f>
        <v>5185</v>
      </c>
      <c r="B5194" s="41">
        <v>3676</v>
      </c>
      <c r="C5194" s="41">
        <v>13402</v>
      </c>
      <c r="D5194" s="41" t="s">
        <v>45</v>
      </c>
      <c r="E5194" s="41" t="s">
        <v>1298</v>
      </c>
      <c r="F5194" s="41" t="s">
        <v>15740</v>
      </c>
      <c r="G5194" s="41" t="s">
        <v>15846</v>
      </c>
      <c r="H5194" s="41" t="s">
        <v>15847</v>
      </c>
      <c r="I5194" s="43">
        <v>12</v>
      </c>
      <c r="J5194" s="44" t="str">
        <f>VLOOKUP(G5194,[1]硬件清单!$F:$F,1,0)</f>
        <v>219555743</v>
      </c>
      <c r="K5194" s="43"/>
      <c r="L5194" s="44"/>
      <c r="M5194" s="45" t="s">
        <v>15848</v>
      </c>
    </row>
    <row r="5195" s="28" customFormat="1" ht="30" customHeight="1" spans="1:13">
      <c r="A5195" s="41">
        <f>IF(C5195="","",SUBTOTAL(103,$C$2:C5195))</f>
        <v>5186</v>
      </c>
      <c r="B5195" s="41">
        <v>3677</v>
      </c>
      <c r="C5195" s="41">
        <v>13395</v>
      </c>
      <c r="D5195" s="41" t="s">
        <v>45</v>
      </c>
      <c r="E5195" s="41" t="s">
        <v>1298</v>
      </c>
      <c r="F5195" s="41" t="s">
        <v>15740</v>
      </c>
      <c r="G5195" s="41" t="s">
        <v>15849</v>
      </c>
      <c r="H5195" s="41" t="s">
        <v>15850</v>
      </c>
      <c r="I5195" s="43">
        <v>12</v>
      </c>
      <c r="J5195" s="44" t="str">
        <f>VLOOKUP(G5195,[1]硬件清单!$F:$F,1,0)</f>
        <v>219555770</v>
      </c>
      <c r="K5195" s="43"/>
      <c r="L5195" s="44"/>
      <c r="M5195" s="45" t="s">
        <v>15851</v>
      </c>
    </row>
    <row r="5196" s="28" customFormat="1" ht="30" customHeight="1" spans="1:13">
      <c r="A5196" s="41">
        <f>IF(C5196="","",SUBTOTAL(103,$C$2:C5196))</f>
        <v>5187</v>
      </c>
      <c r="B5196" s="41">
        <v>3678</v>
      </c>
      <c r="C5196" s="41">
        <v>13396</v>
      </c>
      <c r="D5196" s="41" t="s">
        <v>45</v>
      </c>
      <c r="E5196" s="41" t="s">
        <v>1298</v>
      </c>
      <c r="F5196" s="41" t="s">
        <v>15740</v>
      </c>
      <c r="G5196" s="41" t="s">
        <v>15852</v>
      </c>
      <c r="H5196" s="41" t="s">
        <v>15853</v>
      </c>
      <c r="I5196" s="43">
        <v>12</v>
      </c>
      <c r="J5196" s="44" t="str">
        <f>VLOOKUP(G5196,[1]硬件清单!$F:$F,1,0)</f>
        <v>219555769</v>
      </c>
      <c r="K5196" s="43"/>
      <c r="L5196" s="44"/>
      <c r="M5196" s="45" t="s">
        <v>15854</v>
      </c>
    </row>
    <row r="5197" s="28" customFormat="1" ht="30" customHeight="1" spans="1:13">
      <c r="A5197" s="41">
        <f>IF(C5197="","",SUBTOTAL(103,$C$2:C5197))</f>
        <v>5188</v>
      </c>
      <c r="B5197" s="41">
        <v>3679</v>
      </c>
      <c r="C5197" s="41">
        <v>13397</v>
      </c>
      <c r="D5197" s="41" t="s">
        <v>45</v>
      </c>
      <c r="E5197" s="41" t="s">
        <v>1298</v>
      </c>
      <c r="F5197" s="41" t="s">
        <v>15740</v>
      </c>
      <c r="G5197" s="41" t="s">
        <v>15855</v>
      </c>
      <c r="H5197" s="41" t="s">
        <v>15856</v>
      </c>
      <c r="I5197" s="43">
        <v>12</v>
      </c>
      <c r="J5197" s="44" t="str">
        <f>VLOOKUP(G5197,[1]硬件清单!$F:$F,1,0)</f>
        <v>219555771</v>
      </c>
      <c r="K5197" s="43"/>
      <c r="L5197" s="44"/>
      <c r="M5197" s="45" t="s">
        <v>15857</v>
      </c>
    </row>
    <row r="5198" s="28" customFormat="1" ht="30" customHeight="1" spans="1:13">
      <c r="A5198" s="41">
        <f>IF(C5198="","",SUBTOTAL(103,$C$2:C5198))</f>
        <v>5189</v>
      </c>
      <c r="B5198" s="41">
        <v>3680</v>
      </c>
      <c r="C5198" s="41">
        <v>13398</v>
      </c>
      <c r="D5198" s="41" t="s">
        <v>45</v>
      </c>
      <c r="E5198" s="41" t="s">
        <v>1298</v>
      </c>
      <c r="F5198" s="41" t="s">
        <v>15740</v>
      </c>
      <c r="G5198" s="41" t="s">
        <v>15858</v>
      </c>
      <c r="H5198" s="41" t="s">
        <v>15859</v>
      </c>
      <c r="I5198" s="43">
        <v>12</v>
      </c>
      <c r="J5198" s="44" t="str">
        <f>VLOOKUP(G5198,[1]硬件清单!$F:$F,1,0)</f>
        <v>219555772</v>
      </c>
      <c r="K5198" s="43"/>
      <c r="L5198" s="44"/>
      <c r="M5198" s="45" t="s">
        <v>15860</v>
      </c>
    </row>
    <row r="5199" s="28" customFormat="1" ht="30" customHeight="1" spans="1:13">
      <c r="A5199" s="41">
        <f>IF(C5199="","",SUBTOTAL(103,$C$2:C5199))</f>
        <v>5190</v>
      </c>
      <c r="B5199" s="41">
        <v>3681</v>
      </c>
      <c r="C5199" s="41">
        <v>13328</v>
      </c>
      <c r="D5199" s="41" t="s">
        <v>3602</v>
      </c>
      <c r="E5199" s="41" t="s">
        <v>3603</v>
      </c>
      <c r="F5199" s="41" t="s">
        <v>3604</v>
      </c>
      <c r="G5199" s="41" t="s">
        <v>15861</v>
      </c>
      <c r="H5199" s="41" t="s">
        <v>15862</v>
      </c>
      <c r="I5199" s="43">
        <v>12</v>
      </c>
      <c r="J5199" s="44" t="str">
        <f>VLOOKUP(G5199,[1]硬件清单!$F:$F,1,0)</f>
        <v>0191103201637</v>
      </c>
      <c r="K5199" s="43"/>
      <c r="L5199" s="44"/>
      <c r="M5199" s="45" t="s">
        <v>15863</v>
      </c>
    </row>
    <row r="5200" s="28" customFormat="1" ht="30" customHeight="1" spans="1:13">
      <c r="A5200" s="41">
        <f>IF(C5200="","",SUBTOTAL(103,$C$2:C5200))</f>
        <v>5191</v>
      </c>
      <c r="B5200" s="41">
        <v>3682</v>
      </c>
      <c r="C5200" s="41">
        <v>13407</v>
      </c>
      <c r="D5200" s="41" t="s">
        <v>45</v>
      </c>
      <c r="E5200" s="41" t="s">
        <v>1298</v>
      </c>
      <c r="F5200" s="41" t="s">
        <v>15740</v>
      </c>
      <c r="G5200" s="41" t="s">
        <v>15864</v>
      </c>
      <c r="H5200" s="41" t="s">
        <v>15865</v>
      </c>
      <c r="I5200" s="43">
        <v>12</v>
      </c>
      <c r="J5200" s="44" t="str">
        <f>VLOOKUP(G5200,[1]硬件清单!$F:$F,1,0)</f>
        <v>219555758</v>
      </c>
      <c r="K5200" s="43"/>
      <c r="L5200" s="44"/>
      <c r="M5200" s="45" t="s">
        <v>15866</v>
      </c>
    </row>
    <row r="5201" s="28" customFormat="1" ht="30" customHeight="1" spans="1:13">
      <c r="A5201" s="41">
        <f>IF(C5201="","",SUBTOTAL(103,$C$2:C5201))</f>
        <v>5192</v>
      </c>
      <c r="B5201" s="41">
        <v>3683</v>
      </c>
      <c r="C5201" s="41">
        <v>13408</v>
      </c>
      <c r="D5201" s="41" t="s">
        <v>45</v>
      </c>
      <c r="E5201" s="41" t="s">
        <v>1298</v>
      </c>
      <c r="F5201" s="41" t="s">
        <v>15740</v>
      </c>
      <c r="G5201" s="41" t="s">
        <v>15867</v>
      </c>
      <c r="H5201" s="41" t="s">
        <v>15868</v>
      </c>
      <c r="I5201" s="43">
        <v>12</v>
      </c>
      <c r="J5201" s="44" t="str">
        <f>VLOOKUP(G5201,[1]硬件清单!$F:$F,1,0)</f>
        <v>219555757</v>
      </c>
      <c r="K5201" s="43"/>
      <c r="L5201" s="44"/>
      <c r="M5201" s="45" t="s">
        <v>15869</v>
      </c>
    </row>
    <row r="5202" s="28" customFormat="1" ht="30" customHeight="1" spans="1:13">
      <c r="A5202" s="41">
        <f>IF(C5202="","",SUBTOTAL(103,$C$2:C5202))</f>
        <v>5193</v>
      </c>
      <c r="B5202" s="41">
        <v>3684</v>
      </c>
      <c r="C5202" s="41">
        <v>13409</v>
      </c>
      <c r="D5202" s="41" t="s">
        <v>45</v>
      </c>
      <c r="E5202" s="41" t="s">
        <v>1298</v>
      </c>
      <c r="F5202" s="41" t="s">
        <v>15740</v>
      </c>
      <c r="G5202" s="41" t="s">
        <v>15870</v>
      </c>
      <c r="H5202" s="41" t="s">
        <v>15871</v>
      </c>
      <c r="I5202" s="43">
        <v>12</v>
      </c>
      <c r="J5202" s="44" t="str">
        <f>VLOOKUP(G5202,[1]硬件清单!$F:$F,1,0)</f>
        <v>219555759</v>
      </c>
      <c r="K5202" s="43"/>
      <c r="L5202" s="44"/>
      <c r="M5202" s="45" t="s">
        <v>15872</v>
      </c>
    </row>
    <row r="5203" s="28" customFormat="1" ht="30" customHeight="1" spans="1:13">
      <c r="A5203" s="41">
        <f>IF(C5203="","",SUBTOTAL(103,$C$2:C5203))</f>
        <v>5194</v>
      </c>
      <c r="B5203" s="41">
        <v>3685</v>
      </c>
      <c r="C5203" s="41">
        <v>13410</v>
      </c>
      <c r="D5203" s="41" t="s">
        <v>45</v>
      </c>
      <c r="E5203" s="41" t="s">
        <v>1298</v>
      </c>
      <c r="F5203" s="41" t="s">
        <v>15740</v>
      </c>
      <c r="G5203" s="41" t="s">
        <v>15873</v>
      </c>
      <c r="H5203" s="41" t="s">
        <v>15874</v>
      </c>
      <c r="I5203" s="43">
        <v>12</v>
      </c>
      <c r="J5203" s="44" t="str">
        <f>VLOOKUP(G5203,[1]硬件清单!$F:$F,1,0)</f>
        <v>219555760</v>
      </c>
      <c r="K5203" s="43"/>
      <c r="L5203" s="44"/>
      <c r="M5203" s="45" t="s">
        <v>15875</v>
      </c>
    </row>
    <row r="5204" s="28" customFormat="1" ht="30" customHeight="1" spans="1:13">
      <c r="A5204" s="41">
        <f>IF(C5204="","",SUBTOTAL(103,$C$2:C5204))</f>
        <v>5195</v>
      </c>
      <c r="B5204" s="41">
        <v>3686</v>
      </c>
      <c r="C5204" s="41">
        <v>13403</v>
      </c>
      <c r="D5204" s="41" t="s">
        <v>45</v>
      </c>
      <c r="E5204" s="41" t="s">
        <v>1298</v>
      </c>
      <c r="F5204" s="41" t="s">
        <v>15740</v>
      </c>
      <c r="G5204" s="41" t="s">
        <v>15876</v>
      </c>
      <c r="H5204" s="41" t="s">
        <v>15877</v>
      </c>
      <c r="I5204" s="43">
        <v>12</v>
      </c>
      <c r="J5204" s="44" t="str">
        <f>VLOOKUP(G5204,[1]硬件清单!$F:$F,1,0)</f>
        <v>219555738</v>
      </c>
      <c r="K5204" s="43"/>
      <c r="L5204" s="44"/>
      <c r="M5204" s="45" t="s">
        <v>15878</v>
      </c>
    </row>
    <row r="5205" s="28" customFormat="1" ht="30" customHeight="1" spans="1:13">
      <c r="A5205" s="41">
        <f>IF(C5205="","",SUBTOTAL(103,$C$2:C5205))</f>
        <v>5196</v>
      </c>
      <c r="B5205" s="41">
        <v>3687</v>
      </c>
      <c r="C5205" s="41">
        <v>13404</v>
      </c>
      <c r="D5205" s="41" t="s">
        <v>45</v>
      </c>
      <c r="E5205" s="41" t="s">
        <v>1298</v>
      </c>
      <c r="F5205" s="41" t="s">
        <v>15740</v>
      </c>
      <c r="G5205" s="41" t="s">
        <v>15879</v>
      </c>
      <c r="H5205" s="41" t="s">
        <v>15880</v>
      </c>
      <c r="I5205" s="43">
        <v>12</v>
      </c>
      <c r="J5205" s="44" t="str">
        <f>VLOOKUP(G5205,[1]硬件清单!$F:$F,1,0)</f>
        <v>219555737</v>
      </c>
      <c r="K5205" s="43"/>
      <c r="L5205" s="44"/>
      <c r="M5205" s="45" t="s">
        <v>15881</v>
      </c>
    </row>
    <row r="5206" s="28" customFormat="1" ht="30" customHeight="1" spans="1:13">
      <c r="A5206" s="41">
        <f>IF(C5206="","",SUBTOTAL(103,$C$2:C5206))</f>
        <v>5197</v>
      </c>
      <c r="B5206" s="41">
        <v>3688</v>
      </c>
      <c r="C5206" s="41">
        <v>13405</v>
      </c>
      <c r="D5206" s="41" t="s">
        <v>45</v>
      </c>
      <c r="E5206" s="41" t="s">
        <v>1298</v>
      </c>
      <c r="F5206" s="41" t="s">
        <v>15740</v>
      </c>
      <c r="G5206" s="41" t="s">
        <v>15882</v>
      </c>
      <c r="H5206" s="41" t="s">
        <v>15883</v>
      </c>
      <c r="I5206" s="43">
        <v>12</v>
      </c>
      <c r="J5206" s="44" t="str">
        <f>VLOOKUP(G5206,[1]硬件清单!$F:$F,1,0)</f>
        <v>219555739</v>
      </c>
      <c r="K5206" s="43"/>
      <c r="L5206" s="44"/>
      <c r="M5206" s="45" t="s">
        <v>15884</v>
      </c>
    </row>
    <row r="5207" s="28" customFormat="1" ht="30" customHeight="1" spans="1:13">
      <c r="A5207" s="41">
        <f>IF(C5207="","",SUBTOTAL(103,$C$2:C5207))</f>
        <v>5198</v>
      </c>
      <c r="B5207" s="41">
        <v>3689</v>
      </c>
      <c r="C5207" s="41">
        <v>13406</v>
      </c>
      <c r="D5207" s="41" t="s">
        <v>45</v>
      </c>
      <c r="E5207" s="41" t="s">
        <v>1298</v>
      </c>
      <c r="F5207" s="41" t="s">
        <v>15740</v>
      </c>
      <c r="G5207" s="41" t="s">
        <v>15885</v>
      </c>
      <c r="H5207" s="41" t="s">
        <v>15886</v>
      </c>
      <c r="I5207" s="43">
        <v>12</v>
      </c>
      <c r="J5207" s="44" t="str">
        <f>VLOOKUP(G5207,[1]硬件清单!$F:$F,1,0)</f>
        <v>219555740</v>
      </c>
      <c r="K5207" s="43"/>
      <c r="L5207" s="44"/>
      <c r="M5207" s="45" t="s">
        <v>15887</v>
      </c>
    </row>
    <row r="5208" s="28" customFormat="1" ht="30" customHeight="1" spans="1:13">
      <c r="A5208" s="41">
        <f>IF(C5208="","",SUBTOTAL(103,$C$2:C5208))</f>
        <v>5199</v>
      </c>
      <c r="B5208" s="41">
        <v>3690</v>
      </c>
      <c r="C5208" s="41">
        <v>13339</v>
      </c>
      <c r="D5208" s="41" t="s">
        <v>45</v>
      </c>
      <c r="E5208" s="41" t="s">
        <v>1298</v>
      </c>
      <c r="F5208" s="41" t="s">
        <v>15613</v>
      </c>
      <c r="G5208" s="41" t="s">
        <v>15888</v>
      </c>
      <c r="H5208" s="41" t="s">
        <v>15889</v>
      </c>
      <c r="I5208" s="43">
        <v>12</v>
      </c>
      <c r="J5208" s="44" t="str">
        <f>VLOOKUP(G5208,[1]硬件清单!$F:$F,1,0)</f>
        <v>219555829</v>
      </c>
      <c r="K5208" s="43"/>
      <c r="L5208" s="44"/>
      <c r="M5208" s="45" t="s">
        <v>15890</v>
      </c>
    </row>
    <row r="5209" s="28" customFormat="1" ht="30" customHeight="1" spans="1:13">
      <c r="A5209" s="41">
        <f>IF(C5209="","",SUBTOTAL(103,$C$2:C5209))</f>
        <v>5200</v>
      </c>
      <c r="B5209" s="41">
        <v>3691</v>
      </c>
      <c r="C5209" s="41">
        <v>13340</v>
      </c>
      <c r="D5209" s="41" t="s">
        <v>45</v>
      </c>
      <c r="E5209" s="41" t="s">
        <v>1298</v>
      </c>
      <c r="F5209" s="41" t="s">
        <v>15613</v>
      </c>
      <c r="G5209" s="41" t="s">
        <v>15891</v>
      </c>
      <c r="H5209" s="41" t="s">
        <v>15892</v>
      </c>
      <c r="I5209" s="43">
        <v>12</v>
      </c>
      <c r="J5209" s="44" t="str">
        <f>VLOOKUP(G5209,[1]硬件清单!$F:$F,1,0)</f>
        <v>219555830</v>
      </c>
      <c r="K5209" s="43"/>
      <c r="L5209" s="44"/>
      <c r="M5209" s="45" t="s">
        <v>15893</v>
      </c>
    </row>
    <row r="5210" s="28" customFormat="1" ht="30" customHeight="1" spans="1:13">
      <c r="A5210" s="41">
        <f>IF(C5210="","",SUBTOTAL(103,$C$2:C5210))</f>
        <v>5201</v>
      </c>
      <c r="B5210" s="41">
        <v>3692</v>
      </c>
      <c r="C5210" s="41">
        <v>13341</v>
      </c>
      <c r="D5210" s="41" t="s">
        <v>45</v>
      </c>
      <c r="E5210" s="41" t="s">
        <v>1298</v>
      </c>
      <c r="F5210" s="41" t="s">
        <v>15613</v>
      </c>
      <c r="G5210" s="41" t="s">
        <v>15894</v>
      </c>
      <c r="H5210" s="41" t="s">
        <v>15895</v>
      </c>
      <c r="I5210" s="43">
        <v>12</v>
      </c>
      <c r="J5210" s="44" t="str">
        <f>VLOOKUP(G5210,[1]硬件清单!$F:$F,1,0)</f>
        <v>219555831</v>
      </c>
      <c r="K5210" s="43"/>
      <c r="L5210" s="44"/>
      <c r="M5210" s="45" t="s">
        <v>15896</v>
      </c>
    </row>
    <row r="5211" s="28" customFormat="1" ht="30" customHeight="1" spans="1:13">
      <c r="A5211" s="41">
        <f>IF(C5211="","",SUBTOTAL(103,$C$2:C5211))</f>
        <v>5202</v>
      </c>
      <c r="B5211" s="41">
        <v>3693</v>
      </c>
      <c r="C5211" s="41">
        <v>13342</v>
      </c>
      <c r="D5211" s="41" t="s">
        <v>45</v>
      </c>
      <c r="E5211" s="41" t="s">
        <v>1298</v>
      </c>
      <c r="F5211" s="41" t="s">
        <v>15613</v>
      </c>
      <c r="G5211" s="41" t="s">
        <v>15897</v>
      </c>
      <c r="H5211" s="41" t="s">
        <v>15898</v>
      </c>
      <c r="I5211" s="43">
        <v>12</v>
      </c>
      <c r="J5211" s="44" t="str">
        <f>VLOOKUP(G5211,[1]硬件清单!$F:$F,1,0)</f>
        <v>219555832</v>
      </c>
      <c r="K5211" s="43"/>
      <c r="L5211" s="44"/>
      <c r="M5211" s="45" t="s">
        <v>15899</v>
      </c>
    </row>
    <row r="5212" s="28" customFormat="1" ht="30" customHeight="1" spans="1:13">
      <c r="A5212" s="41">
        <f>IF(C5212="","",SUBTOTAL(103,$C$2:C5212))</f>
        <v>5203</v>
      </c>
      <c r="B5212" s="41">
        <v>3694</v>
      </c>
      <c r="C5212" s="41">
        <v>13343</v>
      </c>
      <c r="D5212" s="41" t="s">
        <v>45</v>
      </c>
      <c r="E5212" s="41" t="s">
        <v>1298</v>
      </c>
      <c r="F5212" s="41" t="s">
        <v>15613</v>
      </c>
      <c r="G5212" s="41" t="s">
        <v>15900</v>
      </c>
      <c r="H5212" s="41" t="s">
        <v>15901</v>
      </c>
      <c r="I5212" s="43">
        <v>12</v>
      </c>
      <c r="J5212" s="44" t="str">
        <f>VLOOKUP(G5212,[1]硬件清单!$F:$F,1,0)</f>
        <v>219555833</v>
      </c>
      <c r="K5212" s="43"/>
      <c r="L5212" s="44"/>
      <c r="M5212" s="45" t="s">
        <v>15902</v>
      </c>
    </row>
    <row r="5213" s="28" customFormat="1" ht="30" customHeight="1" spans="1:13">
      <c r="A5213" s="41">
        <f>IF(C5213="","",SUBTOTAL(103,$C$2:C5213))</f>
        <v>5204</v>
      </c>
      <c r="B5213" s="41">
        <v>3695</v>
      </c>
      <c r="C5213" s="41">
        <v>13344</v>
      </c>
      <c r="D5213" s="41" t="s">
        <v>45</v>
      </c>
      <c r="E5213" s="41" t="s">
        <v>1298</v>
      </c>
      <c r="F5213" s="41" t="s">
        <v>15613</v>
      </c>
      <c r="G5213" s="41" t="s">
        <v>15903</v>
      </c>
      <c r="H5213" s="41" t="s">
        <v>15904</v>
      </c>
      <c r="I5213" s="43">
        <v>12</v>
      </c>
      <c r="J5213" s="44" t="str">
        <f>VLOOKUP(G5213,[1]硬件清单!$F:$F,1,0)</f>
        <v>219555834</v>
      </c>
      <c r="K5213" s="43"/>
      <c r="L5213" s="44"/>
      <c r="M5213" s="45" t="s">
        <v>15905</v>
      </c>
    </row>
    <row r="5214" s="28" customFormat="1" ht="30" customHeight="1" spans="1:13">
      <c r="A5214" s="41">
        <f>IF(C5214="","",SUBTOTAL(103,$C$2:C5214))</f>
        <v>5205</v>
      </c>
      <c r="B5214" s="41">
        <v>3696</v>
      </c>
      <c r="C5214" s="41">
        <v>13345</v>
      </c>
      <c r="D5214" s="41" t="s">
        <v>45</v>
      </c>
      <c r="E5214" s="41" t="s">
        <v>1298</v>
      </c>
      <c r="F5214" s="41" t="s">
        <v>15613</v>
      </c>
      <c r="G5214" s="41" t="s">
        <v>15906</v>
      </c>
      <c r="H5214" s="41" t="s">
        <v>15907</v>
      </c>
      <c r="I5214" s="43">
        <v>12</v>
      </c>
      <c r="J5214" s="44" t="str">
        <f>VLOOKUP(G5214,[1]硬件清单!$F:$F,1,0)</f>
        <v>219555835</v>
      </c>
      <c r="K5214" s="43"/>
      <c r="L5214" s="44"/>
      <c r="M5214" s="45" t="s">
        <v>15908</v>
      </c>
    </row>
    <row r="5215" s="28" customFormat="1" ht="30" customHeight="1" spans="1:13">
      <c r="A5215" s="41">
        <f>IF(C5215="","",SUBTOTAL(103,$C$2:C5215))</f>
        <v>5206</v>
      </c>
      <c r="B5215" s="41">
        <v>3697</v>
      </c>
      <c r="C5215" s="41">
        <v>13346</v>
      </c>
      <c r="D5215" s="41" t="s">
        <v>45</v>
      </c>
      <c r="E5215" s="41" t="s">
        <v>1298</v>
      </c>
      <c r="F5215" s="41" t="s">
        <v>15613</v>
      </c>
      <c r="G5215" s="41" t="s">
        <v>15909</v>
      </c>
      <c r="H5215" s="41" t="s">
        <v>15910</v>
      </c>
      <c r="I5215" s="43">
        <v>12</v>
      </c>
      <c r="J5215" s="44" t="str">
        <f>VLOOKUP(G5215,[1]硬件清单!$F:$F,1,0)</f>
        <v>219555836</v>
      </c>
      <c r="K5215" s="43"/>
      <c r="L5215" s="44"/>
      <c r="M5215" s="45" t="s">
        <v>15911</v>
      </c>
    </row>
    <row r="5216" s="28" customFormat="1" ht="30" customHeight="1" spans="1:13">
      <c r="A5216" s="41">
        <f>IF(C5216="","",SUBTOTAL(103,$C$2:C5216))</f>
        <v>5207</v>
      </c>
      <c r="B5216" s="41">
        <v>3698</v>
      </c>
      <c r="C5216" s="41">
        <v>13331</v>
      </c>
      <c r="D5216" s="41" t="s">
        <v>45</v>
      </c>
      <c r="E5216" s="41" t="s">
        <v>1298</v>
      </c>
      <c r="F5216" s="41" t="s">
        <v>15613</v>
      </c>
      <c r="G5216" s="41" t="s">
        <v>15912</v>
      </c>
      <c r="H5216" s="41" t="s">
        <v>15913</v>
      </c>
      <c r="I5216" s="43">
        <v>12</v>
      </c>
      <c r="J5216" s="44" t="str">
        <f>VLOOKUP(G5216,[1]硬件清单!$F:$F,1,0)</f>
        <v>219555861</v>
      </c>
      <c r="K5216" s="43"/>
      <c r="L5216" s="44"/>
      <c r="M5216" s="45" t="s">
        <v>15914</v>
      </c>
    </row>
    <row r="5217" s="28" customFormat="1" ht="30" customHeight="1" spans="1:13">
      <c r="A5217" s="41">
        <f>IF(C5217="","",SUBTOTAL(103,$C$2:C5217))</f>
        <v>5208</v>
      </c>
      <c r="B5217" s="41">
        <v>3699</v>
      </c>
      <c r="C5217" s="41">
        <v>13332</v>
      </c>
      <c r="D5217" s="41" t="s">
        <v>45</v>
      </c>
      <c r="E5217" s="41" t="s">
        <v>1298</v>
      </c>
      <c r="F5217" s="41" t="s">
        <v>15613</v>
      </c>
      <c r="G5217" s="41" t="s">
        <v>15915</v>
      </c>
      <c r="H5217" s="41" t="s">
        <v>15916</v>
      </c>
      <c r="I5217" s="43">
        <v>12</v>
      </c>
      <c r="J5217" s="44" t="str">
        <f>VLOOKUP(G5217,[1]硬件清单!$F:$F,1,0)</f>
        <v>219555862</v>
      </c>
      <c r="K5217" s="43"/>
      <c r="L5217" s="44"/>
      <c r="M5217" s="45" t="s">
        <v>15917</v>
      </c>
    </row>
    <row r="5218" s="28" customFormat="1" ht="30" customHeight="1" spans="1:13">
      <c r="A5218" s="41">
        <f>IF(C5218="","",SUBTOTAL(103,$C$2:C5218))</f>
        <v>5209</v>
      </c>
      <c r="B5218" s="41">
        <v>3700</v>
      </c>
      <c r="C5218" s="41">
        <v>13333</v>
      </c>
      <c r="D5218" s="41" t="s">
        <v>45</v>
      </c>
      <c r="E5218" s="41" t="s">
        <v>1298</v>
      </c>
      <c r="F5218" s="41" t="s">
        <v>15613</v>
      </c>
      <c r="G5218" s="41" t="s">
        <v>15918</v>
      </c>
      <c r="H5218" s="41" t="s">
        <v>15919</v>
      </c>
      <c r="I5218" s="43">
        <v>12</v>
      </c>
      <c r="J5218" s="44" t="str">
        <f>VLOOKUP(G5218,[1]硬件清单!$F:$F,1,0)</f>
        <v>219555863</v>
      </c>
      <c r="K5218" s="43"/>
      <c r="L5218" s="44"/>
      <c r="M5218" s="45" t="s">
        <v>15920</v>
      </c>
    </row>
    <row r="5219" s="28" customFormat="1" ht="30" customHeight="1" spans="1:13">
      <c r="A5219" s="41">
        <f>IF(C5219="","",SUBTOTAL(103,$C$2:C5219))</f>
        <v>5210</v>
      </c>
      <c r="B5219" s="41">
        <v>3701</v>
      </c>
      <c r="C5219" s="41">
        <v>13334</v>
      </c>
      <c r="D5219" s="41" t="s">
        <v>45</v>
      </c>
      <c r="E5219" s="41" t="s">
        <v>1298</v>
      </c>
      <c r="F5219" s="41" t="s">
        <v>15613</v>
      </c>
      <c r="G5219" s="41" t="s">
        <v>15921</v>
      </c>
      <c r="H5219" s="41" t="s">
        <v>15922</v>
      </c>
      <c r="I5219" s="43">
        <v>12</v>
      </c>
      <c r="J5219" s="44" t="str">
        <f>VLOOKUP(G5219,[1]硬件清单!$F:$F,1,0)</f>
        <v>219555864</v>
      </c>
      <c r="K5219" s="43"/>
      <c r="L5219" s="44"/>
      <c r="M5219" s="45" t="s">
        <v>15923</v>
      </c>
    </row>
    <row r="5220" s="28" customFormat="1" ht="30" customHeight="1" spans="1:13">
      <c r="A5220" s="41">
        <f>IF(C5220="","",SUBTOTAL(103,$C$2:C5220))</f>
        <v>5211</v>
      </c>
      <c r="B5220" s="41">
        <v>3702</v>
      </c>
      <c r="C5220" s="41">
        <v>13335</v>
      </c>
      <c r="D5220" s="41" t="s">
        <v>45</v>
      </c>
      <c r="E5220" s="41" t="s">
        <v>1298</v>
      </c>
      <c r="F5220" s="41" t="s">
        <v>15613</v>
      </c>
      <c r="G5220" s="41" t="s">
        <v>15924</v>
      </c>
      <c r="H5220" s="41" t="s">
        <v>15925</v>
      </c>
      <c r="I5220" s="43">
        <v>12</v>
      </c>
      <c r="J5220" s="44" t="str">
        <f>VLOOKUP(G5220,[1]硬件清单!$F:$F,1,0)</f>
        <v>219555865</v>
      </c>
      <c r="K5220" s="43"/>
      <c r="L5220" s="44"/>
      <c r="M5220" s="45" t="s">
        <v>15926</v>
      </c>
    </row>
    <row r="5221" s="28" customFormat="1" ht="30" customHeight="1" spans="1:13">
      <c r="A5221" s="41">
        <f>IF(C5221="","",SUBTOTAL(103,$C$2:C5221))</f>
        <v>5212</v>
      </c>
      <c r="B5221" s="41">
        <v>3703</v>
      </c>
      <c r="C5221" s="41">
        <v>13336</v>
      </c>
      <c r="D5221" s="41" t="s">
        <v>45</v>
      </c>
      <c r="E5221" s="41" t="s">
        <v>1298</v>
      </c>
      <c r="F5221" s="41" t="s">
        <v>15613</v>
      </c>
      <c r="G5221" s="41" t="s">
        <v>15927</v>
      </c>
      <c r="H5221" s="41" t="s">
        <v>15928</v>
      </c>
      <c r="I5221" s="43">
        <v>12</v>
      </c>
      <c r="J5221" s="44" t="str">
        <f>VLOOKUP(G5221,[1]硬件清单!$F:$F,1,0)</f>
        <v>219555866</v>
      </c>
      <c r="K5221" s="43"/>
      <c r="L5221" s="44"/>
      <c r="M5221" s="45" t="s">
        <v>15929</v>
      </c>
    </row>
    <row r="5222" s="28" customFormat="1" ht="30" customHeight="1" spans="1:13">
      <c r="A5222" s="41">
        <f>IF(C5222="","",SUBTOTAL(103,$C$2:C5222))</f>
        <v>5213</v>
      </c>
      <c r="B5222" s="41">
        <v>3704</v>
      </c>
      <c r="C5222" s="41">
        <v>13337</v>
      </c>
      <c r="D5222" s="41" t="s">
        <v>45</v>
      </c>
      <c r="E5222" s="41" t="s">
        <v>1298</v>
      </c>
      <c r="F5222" s="41" t="s">
        <v>15613</v>
      </c>
      <c r="G5222" s="41" t="s">
        <v>15930</v>
      </c>
      <c r="H5222" s="41" t="s">
        <v>15931</v>
      </c>
      <c r="I5222" s="43">
        <v>12</v>
      </c>
      <c r="J5222" s="44" t="str">
        <f>VLOOKUP(G5222,[1]硬件清单!$F:$F,1,0)</f>
        <v>219555867</v>
      </c>
      <c r="K5222" s="43"/>
      <c r="L5222" s="44"/>
      <c r="M5222" s="45" t="s">
        <v>15932</v>
      </c>
    </row>
    <row r="5223" s="28" customFormat="1" ht="30" customHeight="1" spans="1:13">
      <c r="A5223" s="41">
        <f>IF(C5223="","",SUBTOTAL(103,$C$2:C5223))</f>
        <v>5214</v>
      </c>
      <c r="B5223" s="41">
        <v>3705</v>
      </c>
      <c r="C5223" s="41">
        <v>13338</v>
      </c>
      <c r="D5223" s="41" t="s">
        <v>45</v>
      </c>
      <c r="E5223" s="41" t="s">
        <v>1298</v>
      </c>
      <c r="F5223" s="41" t="s">
        <v>15613</v>
      </c>
      <c r="G5223" s="41" t="s">
        <v>15933</v>
      </c>
      <c r="H5223" s="41" t="s">
        <v>15934</v>
      </c>
      <c r="I5223" s="43">
        <v>12</v>
      </c>
      <c r="J5223" s="44" t="str">
        <f>VLOOKUP(G5223,[1]硬件清单!$F:$F,1,0)</f>
        <v>219555868</v>
      </c>
      <c r="K5223" s="43"/>
      <c r="L5223" s="44"/>
      <c r="M5223" s="45" t="s">
        <v>15935</v>
      </c>
    </row>
    <row r="5224" s="28" customFormat="1" ht="30" customHeight="1" spans="1:13">
      <c r="A5224" s="41">
        <f>IF(C5224="","",SUBTOTAL(103,$C$2:C5224))</f>
        <v>5215</v>
      </c>
      <c r="B5224" s="41">
        <v>3706</v>
      </c>
      <c r="C5224" s="41">
        <v>13355</v>
      </c>
      <c r="D5224" s="41" t="s">
        <v>45</v>
      </c>
      <c r="E5224" s="41" t="s">
        <v>1298</v>
      </c>
      <c r="F5224" s="41" t="s">
        <v>15613</v>
      </c>
      <c r="G5224" s="41" t="s">
        <v>15936</v>
      </c>
      <c r="H5224" s="41" t="s">
        <v>15937</v>
      </c>
      <c r="I5224" s="43">
        <v>12</v>
      </c>
      <c r="J5224" s="44" t="str">
        <f>VLOOKUP(G5224,[1]硬件清单!$F:$F,1,0)</f>
        <v>219555813</v>
      </c>
      <c r="K5224" s="43"/>
      <c r="L5224" s="44"/>
      <c r="M5224" s="45" t="s">
        <v>15938</v>
      </c>
    </row>
    <row r="5225" s="28" customFormat="1" ht="30" customHeight="1" spans="1:13">
      <c r="A5225" s="41">
        <f>IF(C5225="","",SUBTOTAL(103,$C$2:C5225))</f>
        <v>5216</v>
      </c>
      <c r="B5225" s="41">
        <v>3707</v>
      </c>
      <c r="C5225" s="41">
        <v>13356</v>
      </c>
      <c r="D5225" s="41" t="s">
        <v>45</v>
      </c>
      <c r="E5225" s="41" t="s">
        <v>1298</v>
      </c>
      <c r="F5225" s="41" t="s">
        <v>15613</v>
      </c>
      <c r="G5225" s="41" t="s">
        <v>15939</v>
      </c>
      <c r="H5225" s="41" t="s">
        <v>15940</v>
      </c>
      <c r="I5225" s="43">
        <v>12</v>
      </c>
      <c r="J5225" s="44" t="str">
        <f>VLOOKUP(G5225,[1]硬件清单!$F:$F,1,0)</f>
        <v>219555814</v>
      </c>
      <c r="K5225" s="43"/>
      <c r="L5225" s="44"/>
      <c r="M5225" s="45" t="s">
        <v>15941</v>
      </c>
    </row>
    <row r="5226" s="28" customFormat="1" ht="30" customHeight="1" spans="1:13">
      <c r="A5226" s="41">
        <f>IF(C5226="","",SUBTOTAL(103,$C$2:C5226))</f>
        <v>5217</v>
      </c>
      <c r="B5226" s="41">
        <v>3708</v>
      </c>
      <c r="C5226" s="41">
        <v>13357</v>
      </c>
      <c r="D5226" s="41" t="s">
        <v>45</v>
      </c>
      <c r="E5226" s="41" t="s">
        <v>1298</v>
      </c>
      <c r="F5226" s="41" t="s">
        <v>15613</v>
      </c>
      <c r="G5226" s="41" t="s">
        <v>15942</v>
      </c>
      <c r="H5226" s="41" t="s">
        <v>15943</v>
      </c>
      <c r="I5226" s="43">
        <v>12</v>
      </c>
      <c r="J5226" s="44" t="str">
        <f>VLOOKUP(G5226,[1]硬件清单!$F:$F,1,0)</f>
        <v>219555815</v>
      </c>
      <c r="K5226" s="43"/>
      <c r="L5226" s="44"/>
      <c r="M5226" s="45" t="s">
        <v>15944</v>
      </c>
    </row>
    <row r="5227" s="28" customFormat="1" ht="30" customHeight="1" spans="1:13">
      <c r="A5227" s="41">
        <f>IF(C5227="","",SUBTOTAL(103,$C$2:C5227))</f>
        <v>5218</v>
      </c>
      <c r="B5227" s="41">
        <v>3709</v>
      </c>
      <c r="C5227" s="41">
        <v>13358</v>
      </c>
      <c r="D5227" s="41" t="s">
        <v>45</v>
      </c>
      <c r="E5227" s="41" t="s">
        <v>1298</v>
      </c>
      <c r="F5227" s="41" t="s">
        <v>15613</v>
      </c>
      <c r="G5227" s="41" t="s">
        <v>15945</v>
      </c>
      <c r="H5227" s="41" t="s">
        <v>15946</v>
      </c>
      <c r="I5227" s="43">
        <v>12</v>
      </c>
      <c r="J5227" s="44" t="str">
        <f>VLOOKUP(G5227,[1]硬件清单!$F:$F,1,0)</f>
        <v>219555816</v>
      </c>
      <c r="K5227" s="43"/>
      <c r="L5227" s="44"/>
      <c r="M5227" s="45" t="s">
        <v>15947</v>
      </c>
    </row>
    <row r="5228" s="28" customFormat="1" ht="30" customHeight="1" spans="1:13">
      <c r="A5228" s="41">
        <f>IF(C5228="","",SUBTOTAL(103,$C$2:C5228))</f>
        <v>5219</v>
      </c>
      <c r="B5228" s="41">
        <v>3710</v>
      </c>
      <c r="C5228" s="41">
        <v>13359</v>
      </c>
      <c r="D5228" s="41" t="s">
        <v>45</v>
      </c>
      <c r="E5228" s="41" t="s">
        <v>1298</v>
      </c>
      <c r="F5228" s="41" t="s">
        <v>15613</v>
      </c>
      <c r="G5228" s="41" t="s">
        <v>15948</v>
      </c>
      <c r="H5228" s="41" t="s">
        <v>15949</v>
      </c>
      <c r="I5228" s="43">
        <v>12</v>
      </c>
      <c r="J5228" s="44" t="str">
        <f>VLOOKUP(G5228,[1]硬件清单!$F:$F,1,0)</f>
        <v>219555817</v>
      </c>
      <c r="K5228" s="43"/>
      <c r="L5228" s="44"/>
      <c r="M5228" s="45" t="s">
        <v>15950</v>
      </c>
    </row>
    <row r="5229" s="28" customFormat="1" ht="30" customHeight="1" spans="1:13">
      <c r="A5229" s="41">
        <f>IF(C5229="","",SUBTOTAL(103,$C$2:C5229))</f>
        <v>5220</v>
      </c>
      <c r="B5229" s="41">
        <v>3711</v>
      </c>
      <c r="C5229" s="41">
        <v>13360</v>
      </c>
      <c r="D5229" s="41" t="s">
        <v>45</v>
      </c>
      <c r="E5229" s="41" t="s">
        <v>1298</v>
      </c>
      <c r="F5229" s="41" t="s">
        <v>15613</v>
      </c>
      <c r="G5229" s="41" t="s">
        <v>15951</v>
      </c>
      <c r="H5229" s="41" t="s">
        <v>15952</v>
      </c>
      <c r="I5229" s="43">
        <v>12</v>
      </c>
      <c r="J5229" s="44" t="str">
        <f>VLOOKUP(G5229,[1]硬件清单!$F:$F,1,0)</f>
        <v>219555818</v>
      </c>
      <c r="K5229" s="43"/>
      <c r="L5229" s="44"/>
      <c r="M5229" s="45" t="s">
        <v>15953</v>
      </c>
    </row>
    <row r="5230" s="28" customFormat="1" ht="30" customHeight="1" spans="1:13">
      <c r="A5230" s="41">
        <f>IF(C5230="","",SUBTOTAL(103,$C$2:C5230))</f>
        <v>5221</v>
      </c>
      <c r="B5230" s="41">
        <v>3712</v>
      </c>
      <c r="C5230" s="41">
        <v>13361</v>
      </c>
      <c r="D5230" s="41" t="s">
        <v>45</v>
      </c>
      <c r="E5230" s="41" t="s">
        <v>1298</v>
      </c>
      <c r="F5230" s="41" t="s">
        <v>15613</v>
      </c>
      <c r="G5230" s="41" t="s">
        <v>15954</v>
      </c>
      <c r="H5230" s="41" t="s">
        <v>15955</v>
      </c>
      <c r="I5230" s="43">
        <v>12</v>
      </c>
      <c r="J5230" s="44" t="str">
        <f>VLOOKUP(G5230,[1]硬件清单!$F:$F,1,0)</f>
        <v>219555819</v>
      </c>
      <c r="K5230" s="43"/>
      <c r="L5230" s="44"/>
      <c r="M5230" s="45" t="s">
        <v>15956</v>
      </c>
    </row>
    <row r="5231" s="28" customFormat="1" ht="30" customHeight="1" spans="1:13">
      <c r="A5231" s="41">
        <f>IF(C5231="","",SUBTOTAL(103,$C$2:C5231))</f>
        <v>5222</v>
      </c>
      <c r="B5231" s="41">
        <v>3713</v>
      </c>
      <c r="C5231" s="41">
        <v>13362</v>
      </c>
      <c r="D5231" s="41" t="s">
        <v>45</v>
      </c>
      <c r="E5231" s="41" t="s">
        <v>1298</v>
      </c>
      <c r="F5231" s="41" t="s">
        <v>15613</v>
      </c>
      <c r="G5231" s="41" t="s">
        <v>15957</v>
      </c>
      <c r="H5231" s="41" t="s">
        <v>15958</v>
      </c>
      <c r="I5231" s="43">
        <v>12</v>
      </c>
      <c r="J5231" s="44" t="str">
        <f>VLOOKUP(G5231,[1]硬件清单!$F:$F,1,0)</f>
        <v>219555820</v>
      </c>
      <c r="K5231" s="43"/>
      <c r="L5231" s="44"/>
      <c r="M5231" s="45" t="s">
        <v>15959</v>
      </c>
    </row>
    <row r="5232" s="28" customFormat="1" ht="30" customHeight="1" spans="1:13">
      <c r="A5232" s="41">
        <f>IF(C5232="","",SUBTOTAL(103,$C$2:C5232))</f>
        <v>5223</v>
      </c>
      <c r="B5232" s="41">
        <v>3714</v>
      </c>
      <c r="C5232" s="41">
        <v>13347</v>
      </c>
      <c r="D5232" s="41" t="s">
        <v>45</v>
      </c>
      <c r="E5232" s="41" t="s">
        <v>1298</v>
      </c>
      <c r="F5232" s="41" t="s">
        <v>15613</v>
      </c>
      <c r="G5232" s="41" t="s">
        <v>15960</v>
      </c>
      <c r="H5232" s="41" t="s">
        <v>15961</v>
      </c>
      <c r="I5232" s="43">
        <v>12</v>
      </c>
      <c r="J5232" s="44" t="str">
        <f>VLOOKUP(G5232,[1]硬件清单!$F:$F,1,0)</f>
        <v>219555821</v>
      </c>
      <c r="K5232" s="43"/>
      <c r="L5232" s="44"/>
      <c r="M5232" s="45" t="s">
        <v>15962</v>
      </c>
    </row>
    <row r="5233" s="28" customFormat="1" ht="30" customHeight="1" spans="1:13">
      <c r="A5233" s="41">
        <f>IF(C5233="","",SUBTOTAL(103,$C$2:C5233))</f>
        <v>5224</v>
      </c>
      <c r="B5233" s="41">
        <v>3715</v>
      </c>
      <c r="C5233" s="41">
        <v>13348</v>
      </c>
      <c r="D5233" s="41" t="s">
        <v>45</v>
      </c>
      <c r="E5233" s="41" t="s">
        <v>1298</v>
      </c>
      <c r="F5233" s="41" t="s">
        <v>15613</v>
      </c>
      <c r="G5233" s="41" t="s">
        <v>15963</v>
      </c>
      <c r="H5233" s="41" t="s">
        <v>15964</v>
      </c>
      <c r="I5233" s="43">
        <v>12</v>
      </c>
      <c r="J5233" s="44" t="str">
        <f>VLOOKUP(G5233,[1]硬件清单!$F:$F,1,0)</f>
        <v>219555822</v>
      </c>
      <c r="K5233" s="43"/>
      <c r="L5233" s="44"/>
      <c r="M5233" s="45" t="s">
        <v>15965</v>
      </c>
    </row>
    <row r="5234" s="28" customFormat="1" ht="30" customHeight="1" spans="1:13">
      <c r="A5234" s="41">
        <f>IF(C5234="","",SUBTOTAL(103,$C$2:C5234))</f>
        <v>5225</v>
      </c>
      <c r="B5234" s="41">
        <v>3716</v>
      </c>
      <c r="C5234" s="41">
        <v>13349</v>
      </c>
      <c r="D5234" s="41" t="s">
        <v>45</v>
      </c>
      <c r="E5234" s="41" t="s">
        <v>1298</v>
      </c>
      <c r="F5234" s="41" t="s">
        <v>15613</v>
      </c>
      <c r="G5234" s="41" t="s">
        <v>15966</v>
      </c>
      <c r="H5234" s="41" t="s">
        <v>15967</v>
      </c>
      <c r="I5234" s="43">
        <v>12</v>
      </c>
      <c r="J5234" s="44" t="str">
        <f>VLOOKUP(G5234,[1]硬件清单!$F:$F,1,0)</f>
        <v>219555823</v>
      </c>
      <c r="K5234" s="43"/>
      <c r="L5234" s="44"/>
      <c r="M5234" s="45" t="s">
        <v>15968</v>
      </c>
    </row>
    <row r="5235" s="28" customFormat="1" ht="30" customHeight="1" spans="1:13">
      <c r="A5235" s="41">
        <f>IF(C5235="","",SUBTOTAL(103,$C$2:C5235))</f>
        <v>5226</v>
      </c>
      <c r="B5235" s="41">
        <v>3717</v>
      </c>
      <c r="C5235" s="41">
        <v>13350</v>
      </c>
      <c r="D5235" s="41" t="s">
        <v>45</v>
      </c>
      <c r="E5235" s="41" t="s">
        <v>1298</v>
      </c>
      <c r="F5235" s="41" t="s">
        <v>15613</v>
      </c>
      <c r="G5235" s="41" t="s">
        <v>15969</v>
      </c>
      <c r="H5235" s="41" t="s">
        <v>15970</v>
      </c>
      <c r="I5235" s="43">
        <v>12</v>
      </c>
      <c r="J5235" s="44" t="str">
        <f>VLOOKUP(G5235,[1]硬件清单!$F:$F,1,0)</f>
        <v>219555824</v>
      </c>
      <c r="K5235" s="43"/>
      <c r="L5235" s="44"/>
      <c r="M5235" s="45" t="s">
        <v>15971</v>
      </c>
    </row>
    <row r="5236" s="28" customFormat="1" ht="30" customHeight="1" spans="1:13">
      <c r="A5236" s="41">
        <f>IF(C5236="","",SUBTOTAL(103,$C$2:C5236))</f>
        <v>5227</v>
      </c>
      <c r="B5236" s="41">
        <v>3718</v>
      </c>
      <c r="C5236" s="41">
        <v>13351</v>
      </c>
      <c r="D5236" s="41" t="s">
        <v>45</v>
      </c>
      <c r="E5236" s="41" t="s">
        <v>1298</v>
      </c>
      <c r="F5236" s="41" t="s">
        <v>15613</v>
      </c>
      <c r="G5236" s="41" t="s">
        <v>15972</v>
      </c>
      <c r="H5236" s="41" t="s">
        <v>15973</v>
      </c>
      <c r="I5236" s="43">
        <v>12</v>
      </c>
      <c r="J5236" s="44" t="str">
        <f>VLOOKUP(G5236,[1]硬件清单!$F:$F,1,0)</f>
        <v>219555825</v>
      </c>
      <c r="K5236" s="43"/>
      <c r="L5236" s="44"/>
      <c r="M5236" s="45" t="s">
        <v>15974</v>
      </c>
    </row>
    <row r="5237" s="28" customFormat="1" ht="30" customHeight="1" spans="1:13">
      <c r="A5237" s="41">
        <f>IF(C5237="","",SUBTOTAL(103,$C$2:C5237))</f>
        <v>5228</v>
      </c>
      <c r="B5237" s="41">
        <v>3719</v>
      </c>
      <c r="C5237" s="41">
        <v>13352</v>
      </c>
      <c r="D5237" s="41" t="s">
        <v>45</v>
      </c>
      <c r="E5237" s="41" t="s">
        <v>1298</v>
      </c>
      <c r="F5237" s="41" t="s">
        <v>15613</v>
      </c>
      <c r="G5237" s="41" t="s">
        <v>15975</v>
      </c>
      <c r="H5237" s="41" t="s">
        <v>15976</v>
      </c>
      <c r="I5237" s="43">
        <v>12</v>
      </c>
      <c r="J5237" s="44" t="str">
        <f>VLOOKUP(G5237,[1]硬件清单!$F:$F,1,0)</f>
        <v>219555826</v>
      </c>
      <c r="K5237" s="43"/>
      <c r="L5237" s="44"/>
      <c r="M5237" s="45" t="s">
        <v>15977</v>
      </c>
    </row>
    <row r="5238" s="28" customFormat="1" ht="30" customHeight="1" spans="1:13">
      <c r="A5238" s="41">
        <f>IF(C5238="","",SUBTOTAL(103,$C$2:C5238))</f>
        <v>5229</v>
      </c>
      <c r="B5238" s="41">
        <v>3720</v>
      </c>
      <c r="C5238" s="41">
        <v>13353</v>
      </c>
      <c r="D5238" s="41" t="s">
        <v>45</v>
      </c>
      <c r="E5238" s="41" t="s">
        <v>1298</v>
      </c>
      <c r="F5238" s="41" t="s">
        <v>15613</v>
      </c>
      <c r="G5238" s="41" t="s">
        <v>15978</v>
      </c>
      <c r="H5238" s="41" t="s">
        <v>15979</v>
      </c>
      <c r="I5238" s="43">
        <v>12</v>
      </c>
      <c r="J5238" s="44" t="str">
        <f>VLOOKUP(G5238,[1]硬件清单!$F:$F,1,0)</f>
        <v>219555827</v>
      </c>
      <c r="K5238" s="43"/>
      <c r="L5238" s="44"/>
      <c r="M5238" s="45" t="s">
        <v>15980</v>
      </c>
    </row>
    <row r="5239" s="28" customFormat="1" ht="30" customHeight="1" spans="1:13">
      <c r="A5239" s="41">
        <f>IF(C5239="","",SUBTOTAL(103,$C$2:C5239))</f>
        <v>5230</v>
      </c>
      <c r="B5239" s="41">
        <v>3721</v>
      </c>
      <c r="C5239" s="41">
        <v>13354</v>
      </c>
      <c r="D5239" s="41" t="s">
        <v>45</v>
      </c>
      <c r="E5239" s="41" t="s">
        <v>1298</v>
      </c>
      <c r="F5239" s="41" t="s">
        <v>15613</v>
      </c>
      <c r="G5239" s="41" t="s">
        <v>15981</v>
      </c>
      <c r="H5239" s="41" t="s">
        <v>15982</v>
      </c>
      <c r="I5239" s="43">
        <v>12</v>
      </c>
      <c r="J5239" s="44" t="str">
        <f>VLOOKUP(G5239,[1]硬件清单!$F:$F,1,0)</f>
        <v>219555828</v>
      </c>
      <c r="K5239" s="43"/>
      <c r="L5239" s="44"/>
      <c r="M5239" s="45" t="s">
        <v>15983</v>
      </c>
    </row>
    <row r="5240" s="28" customFormat="1" ht="30" customHeight="1" spans="1:13">
      <c r="A5240" s="41">
        <f>IF(C5240="","",SUBTOTAL(103,$C$2:C5240))</f>
        <v>5231</v>
      </c>
      <c r="B5240" s="41">
        <v>3722</v>
      </c>
      <c r="C5240" s="41">
        <v>13419</v>
      </c>
      <c r="D5240" s="41" t="s">
        <v>45</v>
      </c>
      <c r="E5240" s="41" t="s">
        <v>1298</v>
      </c>
      <c r="F5240" s="41" t="s">
        <v>15613</v>
      </c>
      <c r="G5240" s="41" t="s">
        <v>15984</v>
      </c>
      <c r="H5240" s="41" t="s">
        <v>15985</v>
      </c>
      <c r="I5240" s="43">
        <v>12</v>
      </c>
      <c r="J5240" s="44" t="str">
        <f>VLOOKUP(G5240,[1]硬件清单!$F:$F,1,0)</f>
        <v>219555802</v>
      </c>
      <c r="K5240" s="43"/>
      <c r="L5240" s="44"/>
      <c r="M5240" s="45" t="s">
        <v>15986</v>
      </c>
    </row>
    <row r="5241" s="28" customFormat="1" ht="30" customHeight="1" spans="1:13">
      <c r="A5241" s="41">
        <f>IF(C5241="","",SUBTOTAL(103,$C$2:C5241))</f>
        <v>5232</v>
      </c>
      <c r="B5241" s="41">
        <v>3723</v>
      </c>
      <c r="C5241" s="41">
        <v>13420</v>
      </c>
      <c r="D5241" s="41" t="s">
        <v>45</v>
      </c>
      <c r="E5241" s="41" t="s">
        <v>1298</v>
      </c>
      <c r="F5241" s="41" t="s">
        <v>15613</v>
      </c>
      <c r="G5241" s="41" t="s">
        <v>15987</v>
      </c>
      <c r="H5241" s="41" t="s">
        <v>15988</v>
      </c>
      <c r="I5241" s="43">
        <v>12</v>
      </c>
      <c r="J5241" s="44" t="str">
        <f>VLOOKUP(G5241,[1]硬件清单!$F:$F,1,0)</f>
        <v>219555801</v>
      </c>
      <c r="K5241" s="43"/>
      <c r="L5241" s="44"/>
      <c r="M5241" s="45" t="s">
        <v>15989</v>
      </c>
    </row>
    <row r="5242" s="28" customFormat="1" ht="30" customHeight="1" spans="1:13">
      <c r="A5242" s="41">
        <f>IF(C5242="","",SUBTOTAL(103,$C$2:C5242))</f>
        <v>5233</v>
      </c>
      <c r="B5242" s="41">
        <v>3724</v>
      </c>
      <c r="C5242" s="41">
        <v>13421</v>
      </c>
      <c r="D5242" s="41" t="s">
        <v>45</v>
      </c>
      <c r="E5242" s="41" t="s">
        <v>1298</v>
      </c>
      <c r="F5242" s="41" t="s">
        <v>15613</v>
      </c>
      <c r="G5242" s="41" t="s">
        <v>15990</v>
      </c>
      <c r="H5242" s="41" t="s">
        <v>15991</v>
      </c>
      <c r="I5242" s="43">
        <v>12</v>
      </c>
      <c r="J5242" s="44" t="str">
        <f>VLOOKUP(G5242,[1]硬件清单!$F:$F,1,0)</f>
        <v>219555797</v>
      </c>
      <c r="K5242" s="43"/>
      <c r="L5242" s="44"/>
      <c r="M5242" s="45" t="s">
        <v>15992</v>
      </c>
    </row>
    <row r="5243" s="28" customFormat="1" ht="30" customHeight="1" spans="1:13">
      <c r="A5243" s="41">
        <f>IF(C5243="","",SUBTOTAL(103,$C$2:C5243))</f>
        <v>5234</v>
      </c>
      <c r="B5243" s="41">
        <v>3725</v>
      </c>
      <c r="C5243" s="41">
        <v>13422</v>
      </c>
      <c r="D5243" s="41" t="s">
        <v>45</v>
      </c>
      <c r="E5243" s="41" t="s">
        <v>1298</v>
      </c>
      <c r="F5243" s="41" t="s">
        <v>15613</v>
      </c>
      <c r="G5243" s="41" t="s">
        <v>15993</v>
      </c>
      <c r="H5243" s="41" t="s">
        <v>15994</v>
      </c>
      <c r="I5243" s="43">
        <v>12</v>
      </c>
      <c r="J5243" s="44" t="str">
        <f>VLOOKUP(G5243,[1]硬件清单!$F:$F,1,0)</f>
        <v>219555798</v>
      </c>
      <c r="K5243" s="43"/>
      <c r="L5243" s="44"/>
      <c r="M5243" s="45" t="s">
        <v>15995</v>
      </c>
    </row>
    <row r="5244" s="28" customFormat="1" ht="30" customHeight="1" spans="1:13">
      <c r="A5244" s="41">
        <f>IF(C5244="","",SUBTOTAL(103,$C$2:C5244))</f>
        <v>5235</v>
      </c>
      <c r="B5244" s="41">
        <v>3726</v>
      </c>
      <c r="C5244" s="41">
        <v>13423</v>
      </c>
      <c r="D5244" s="41" t="s">
        <v>45</v>
      </c>
      <c r="E5244" s="41" t="s">
        <v>1298</v>
      </c>
      <c r="F5244" s="41" t="s">
        <v>15613</v>
      </c>
      <c r="G5244" s="41" t="s">
        <v>15996</v>
      </c>
      <c r="H5244" s="41" t="s">
        <v>15997</v>
      </c>
      <c r="I5244" s="43">
        <v>12</v>
      </c>
      <c r="J5244" s="44" t="str">
        <f>VLOOKUP(G5244,[1]硬件清单!$F:$F,1,0)</f>
        <v>219555799</v>
      </c>
      <c r="K5244" s="43"/>
      <c r="L5244" s="44"/>
      <c r="M5244" s="45" t="s">
        <v>15998</v>
      </c>
    </row>
    <row r="5245" s="28" customFormat="1" ht="30" customHeight="1" spans="1:13">
      <c r="A5245" s="41">
        <f>IF(C5245="","",SUBTOTAL(103,$C$2:C5245))</f>
        <v>5236</v>
      </c>
      <c r="B5245" s="41">
        <v>3727</v>
      </c>
      <c r="C5245" s="41">
        <v>13424</v>
      </c>
      <c r="D5245" s="41" t="s">
        <v>45</v>
      </c>
      <c r="E5245" s="41" t="s">
        <v>1298</v>
      </c>
      <c r="F5245" s="41" t="s">
        <v>15613</v>
      </c>
      <c r="G5245" s="41" t="s">
        <v>15999</v>
      </c>
      <c r="H5245" s="41" t="s">
        <v>16000</v>
      </c>
      <c r="I5245" s="43">
        <v>12</v>
      </c>
      <c r="J5245" s="44" t="str">
        <f>VLOOKUP(G5245,[1]硬件清单!$F:$F,1,0)</f>
        <v>219555803</v>
      </c>
      <c r="K5245" s="43"/>
      <c r="L5245" s="44"/>
      <c r="M5245" s="45" t="s">
        <v>16001</v>
      </c>
    </row>
    <row r="5246" s="28" customFormat="1" ht="30" customHeight="1" spans="1:13">
      <c r="A5246" s="41">
        <f>IF(C5246="","",SUBTOTAL(103,$C$2:C5246))</f>
        <v>5237</v>
      </c>
      <c r="B5246" s="41">
        <v>3728</v>
      </c>
      <c r="C5246" s="41">
        <v>13425</v>
      </c>
      <c r="D5246" s="41" t="s">
        <v>45</v>
      </c>
      <c r="E5246" s="41" t="s">
        <v>1298</v>
      </c>
      <c r="F5246" s="41" t="s">
        <v>15613</v>
      </c>
      <c r="G5246" s="41" t="s">
        <v>16002</v>
      </c>
      <c r="H5246" s="41" t="s">
        <v>16003</v>
      </c>
      <c r="I5246" s="43">
        <v>12</v>
      </c>
      <c r="J5246" s="44" t="str">
        <f>VLOOKUP(G5246,[1]硬件清单!$F:$F,1,0)</f>
        <v>219555804</v>
      </c>
      <c r="K5246" s="43"/>
      <c r="L5246" s="44"/>
      <c r="M5246" s="45" t="s">
        <v>16004</v>
      </c>
    </row>
    <row r="5247" s="28" customFormat="1" ht="30" customHeight="1" spans="1:13">
      <c r="A5247" s="41">
        <f>IF(C5247="","",SUBTOTAL(103,$C$2:C5247))</f>
        <v>5238</v>
      </c>
      <c r="B5247" s="41">
        <v>3729</v>
      </c>
      <c r="C5247" s="41">
        <v>13426</v>
      </c>
      <c r="D5247" s="41" t="s">
        <v>45</v>
      </c>
      <c r="E5247" s="41" t="s">
        <v>1298</v>
      </c>
      <c r="F5247" s="41" t="s">
        <v>15613</v>
      </c>
      <c r="G5247" s="41" t="s">
        <v>16005</v>
      </c>
      <c r="H5247" s="41" t="s">
        <v>16006</v>
      </c>
      <c r="I5247" s="43">
        <v>12</v>
      </c>
      <c r="J5247" s="44" t="str">
        <f>VLOOKUP(G5247,[1]硬件清单!$F:$F,1,0)</f>
        <v>219555800</v>
      </c>
      <c r="K5247" s="43"/>
      <c r="L5247" s="44"/>
      <c r="M5247" s="45" t="s">
        <v>16007</v>
      </c>
    </row>
    <row r="5248" s="28" customFormat="1" ht="30" customHeight="1" spans="1:13">
      <c r="A5248" s="41">
        <f>IF(C5248="","",SUBTOTAL(103,$C$2:C5248))</f>
        <v>5239</v>
      </c>
      <c r="B5248" s="41">
        <v>3730</v>
      </c>
      <c r="C5248" s="41">
        <v>13411</v>
      </c>
      <c r="D5248" s="41" t="s">
        <v>45</v>
      </c>
      <c r="E5248" s="41" t="s">
        <v>1298</v>
      </c>
      <c r="F5248" s="41" t="s">
        <v>15613</v>
      </c>
      <c r="G5248" s="41" t="s">
        <v>16008</v>
      </c>
      <c r="H5248" s="41" t="s">
        <v>16009</v>
      </c>
      <c r="I5248" s="43">
        <v>12</v>
      </c>
      <c r="J5248" s="44" t="str">
        <f>VLOOKUP(G5248,[1]硬件清单!$F:$F,1,0)</f>
        <v>219555858</v>
      </c>
      <c r="K5248" s="43"/>
      <c r="L5248" s="44"/>
      <c r="M5248" s="45" t="s">
        <v>16010</v>
      </c>
    </row>
    <row r="5249" s="28" customFormat="1" ht="30" customHeight="1" spans="1:13">
      <c r="A5249" s="41">
        <f>IF(C5249="","",SUBTOTAL(103,$C$2:C5249))</f>
        <v>5240</v>
      </c>
      <c r="B5249" s="41">
        <v>3731</v>
      </c>
      <c r="C5249" s="41">
        <v>13412</v>
      </c>
      <c r="D5249" s="41" t="s">
        <v>45</v>
      </c>
      <c r="E5249" s="41" t="s">
        <v>1298</v>
      </c>
      <c r="F5249" s="41" t="s">
        <v>15613</v>
      </c>
      <c r="G5249" s="41" t="s">
        <v>16011</v>
      </c>
      <c r="H5249" s="41" t="s">
        <v>16012</v>
      </c>
      <c r="I5249" s="43">
        <v>12</v>
      </c>
      <c r="J5249" s="44" t="str">
        <f>VLOOKUP(G5249,[1]硬件清单!$F:$F,1,0)</f>
        <v>219555855</v>
      </c>
      <c r="K5249" s="43"/>
      <c r="L5249" s="44"/>
      <c r="M5249" s="45" t="s">
        <v>16013</v>
      </c>
    </row>
    <row r="5250" s="28" customFormat="1" ht="30" customHeight="1" spans="1:13">
      <c r="A5250" s="41">
        <f>IF(C5250="","",SUBTOTAL(103,$C$2:C5250))</f>
        <v>5241</v>
      </c>
      <c r="B5250" s="41">
        <v>3732</v>
      </c>
      <c r="C5250" s="41">
        <v>13413</v>
      </c>
      <c r="D5250" s="41" t="s">
        <v>45</v>
      </c>
      <c r="E5250" s="41" t="s">
        <v>1298</v>
      </c>
      <c r="F5250" s="41" t="s">
        <v>15613</v>
      </c>
      <c r="G5250" s="41" t="s">
        <v>16014</v>
      </c>
      <c r="H5250" s="41" t="s">
        <v>16015</v>
      </c>
      <c r="I5250" s="43">
        <v>12</v>
      </c>
      <c r="J5250" s="44" t="str">
        <f>VLOOKUP(G5250,[1]硬件清单!$F:$F,1,0)</f>
        <v>219555856</v>
      </c>
      <c r="K5250" s="43"/>
      <c r="L5250" s="44"/>
      <c r="M5250" s="45" t="s">
        <v>16016</v>
      </c>
    </row>
    <row r="5251" s="28" customFormat="1" ht="30" customHeight="1" spans="1:13">
      <c r="A5251" s="41">
        <f>IF(C5251="","",SUBTOTAL(103,$C$2:C5251))</f>
        <v>5242</v>
      </c>
      <c r="B5251" s="41">
        <v>3733</v>
      </c>
      <c r="C5251" s="41">
        <v>13414</v>
      </c>
      <c r="D5251" s="41" t="s">
        <v>45</v>
      </c>
      <c r="E5251" s="41" t="s">
        <v>1298</v>
      </c>
      <c r="F5251" s="41" t="s">
        <v>15613</v>
      </c>
      <c r="G5251" s="41" t="s">
        <v>16017</v>
      </c>
      <c r="H5251" s="41" t="s">
        <v>16018</v>
      </c>
      <c r="I5251" s="43">
        <v>12</v>
      </c>
      <c r="J5251" s="44" t="str">
        <f>VLOOKUP(G5251,[1]硬件清单!$F:$F,1,0)</f>
        <v>219555857</v>
      </c>
      <c r="K5251" s="43"/>
      <c r="L5251" s="44"/>
      <c r="M5251" s="45" t="s">
        <v>16019</v>
      </c>
    </row>
    <row r="5252" s="28" customFormat="1" ht="30" customHeight="1" spans="1:13">
      <c r="A5252" s="41">
        <f>IF(C5252="","",SUBTOTAL(103,$C$2:C5252))</f>
        <v>5243</v>
      </c>
      <c r="B5252" s="41">
        <v>3734</v>
      </c>
      <c r="C5252" s="41">
        <v>13415</v>
      </c>
      <c r="D5252" s="41" t="s">
        <v>45</v>
      </c>
      <c r="E5252" s="41" t="s">
        <v>1298</v>
      </c>
      <c r="F5252" s="41" t="s">
        <v>15613</v>
      </c>
      <c r="G5252" s="41" t="s">
        <v>16020</v>
      </c>
      <c r="H5252" s="41" t="s">
        <v>16021</v>
      </c>
      <c r="I5252" s="43">
        <v>12</v>
      </c>
      <c r="J5252" s="44" t="str">
        <f>VLOOKUP(G5252,[1]硬件清单!$F:$F,1,0)</f>
        <v>219555860</v>
      </c>
      <c r="K5252" s="43"/>
      <c r="L5252" s="44"/>
      <c r="M5252" s="45" t="s">
        <v>16022</v>
      </c>
    </row>
    <row r="5253" s="28" customFormat="1" ht="30" customHeight="1" spans="1:13">
      <c r="A5253" s="41">
        <f>IF(C5253="","",SUBTOTAL(103,$C$2:C5253))</f>
        <v>5244</v>
      </c>
      <c r="B5253" s="41">
        <v>3735</v>
      </c>
      <c r="C5253" s="41">
        <v>13416</v>
      </c>
      <c r="D5253" s="41" t="s">
        <v>45</v>
      </c>
      <c r="E5253" s="41" t="s">
        <v>1298</v>
      </c>
      <c r="F5253" s="41" t="s">
        <v>15613</v>
      </c>
      <c r="G5253" s="41" t="s">
        <v>16023</v>
      </c>
      <c r="H5253" s="41" t="s">
        <v>16024</v>
      </c>
      <c r="I5253" s="43">
        <v>12</v>
      </c>
      <c r="J5253" s="44" t="str">
        <f>VLOOKUP(G5253,[1]硬件清单!$F:$F,1,0)</f>
        <v>219555859</v>
      </c>
      <c r="K5253" s="43"/>
      <c r="L5253" s="44"/>
      <c r="M5253" s="45" t="s">
        <v>16025</v>
      </c>
    </row>
    <row r="5254" s="28" customFormat="1" ht="30" customHeight="1" spans="1:13">
      <c r="A5254" s="41">
        <f>IF(C5254="","",SUBTOTAL(103,$C$2:C5254))</f>
        <v>5245</v>
      </c>
      <c r="B5254" s="41">
        <v>3736</v>
      </c>
      <c r="C5254" s="41">
        <v>13417</v>
      </c>
      <c r="D5254" s="41" t="s">
        <v>45</v>
      </c>
      <c r="E5254" s="41" t="s">
        <v>1298</v>
      </c>
      <c r="F5254" s="41" t="s">
        <v>15613</v>
      </c>
      <c r="G5254" s="41" t="s">
        <v>16026</v>
      </c>
      <c r="H5254" s="41" t="s">
        <v>16027</v>
      </c>
      <c r="I5254" s="43">
        <v>12</v>
      </c>
      <c r="J5254" s="44" t="str">
        <f>VLOOKUP(G5254,[1]硬件清单!$F:$F,1,0)</f>
        <v>219555853</v>
      </c>
      <c r="K5254" s="43"/>
      <c r="L5254" s="44"/>
      <c r="M5254" s="45" t="s">
        <v>16028</v>
      </c>
    </row>
    <row r="5255" s="28" customFormat="1" ht="30" customHeight="1" spans="1:13">
      <c r="A5255" s="41">
        <f>IF(C5255="","",SUBTOTAL(103,$C$2:C5255))</f>
        <v>5246</v>
      </c>
      <c r="B5255" s="41">
        <v>3737</v>
      </c>
      <c r="C5255" s="41">
        <v>13418</v>
      </c>
      <c r="D5255" s="41" t="s">
        <v>45</v>
      </c>
      <c r="E5255" s="41" t="s">
        <v>1298</v>
      </c>
      <c r="F5255" s="41" t="s">
        <v>15613</v>
      </c>
      <c r="G5255" s="41" t="s">
        <v>16029</v>
      </c>
      <c r="H5255" s="41" t="s">
        <v>16030</v>
      </c>
      <c r="I5255" s="43">
        <v>12</v>
      </c>
      <c r="J5255" s="44" t="str">
        <f>VLOOKUP(G5255,[1]硬件清单!$F:$F,1,0)</f>
        <v>219555854</v>
      </c>
      <c r="K5255" s="43"/>
      <c r="L5255" s="44"/>
      <c r="M5255" s="45" t="s">
        <v>16031</v>
      </c>
    </row>
    <row r="5256" s="28" customFormat="1" ht="30" customHeight="1" spans="1:13">
      <c r="A5256" s="41">
        <f>IF(C5256="","",SUBTOTAL(103,$C$2:C5256))</f>
        <v>5247</v>
      </c>
      <c r="B5256" s="41">
        <v>3738</v>
      </c>
      <c r="C5256" s="41">
        <v>13613</v>
      </c>
      <c r="D5256" s="41" t="s">
        <v>3602</v>
      </c>
      <c r="E5256" s="41" t="s">
        <v>3603</v>
      </c>
      <c r="F5256" s="41" t="s">
        <v>3604</v>
      </c>
      <c r="G5256" s="41" t="s">
        <v>16032</v>
      </c>
      <c r="H5256" s="41" t="s">
        <v>16033</v>
      </c>
      <c r="I5256" s="43">
        <v>12</v>
      </c>
      <c r="J5256" s="44" t="str">
        <f>VLOOKUP(G5256,[1]硬件清单!$F:$F,1,0)</f>
        <v>0191103201668</v>
      </c>
      <c r="K5256" s="43"/>
      <c r="L5256" s="44"/>
      <c r="M5256" s="45" t="s">
        <v>16034</v>
      </c>
    </row>
    <row r="5257" s="28" customFormat="1" ht="30" customHeight="1" spans="1:13">
      <c r="A5257" s="41">
        <f>IF(C5257="","",SUBTOTAL(103,$C$2:C5257))</f>
        <v>5248</v>
      </c>
      <c r="B5257" s="41">
        <v>3739</v>
      </c>
      <c r="C5257" s="41">
        <v>13435</v>
      </c>
      <c r="D5257" s="41" t="s">
        <v>45</v>
      </c>
      <c r="E5257" s="41" t="s">
        <v>1298</v>
      </c>
      <c r="F5257" s="41" t="s">
        <v>15613</v>
      </c>
      <c r="G5257" s="41" t="s">
        <v>16035</v>
      </c>
      <c r="H5257" s="41" t="s">
        <v>16036</v>
      </c>
      <c r="I5257" s="43">
        <v>12</v>
      </c>
      <c r="J5257" s="44" t="str">
        <f>VLOOKUP(G5257,[1]硬件清单!$F:$F,1,0)</f>
        <v>219555841</v>
      </c>
      <c r="K5257" s="43"/>
      <c r="L5257" s="44"/>
      <c r="M5257" s="45" t="s">
        <v>16037</v>
      </c>
    </row>
    <row r="5258" s="28" customFormat="1" ht="30" customHeight="1" spans="1:13">
      <c r="A5258" s="41">
        <f>IF(C5258="","",SUBTOTAL(103,$C$2:C5258))</f>
        <v>5249</v>
      </c>
      <c r="B5258" s="41">
        <v>3740</v>
      </c>
      <c r="C5258" s="41">
        <v>13436</v>
      </c>
      <c r="D5258" s="41" t="s">
        <v>45</v>
      </c>
      <c r="E5258" s="41" t="s">
        <v>1298</v>
      </c>
      <c r="F5258" s="41" t="s">
        <v>15613</v>
      </c>
      <c r="G5258" s="41" t="s">
        <v>16038</v>
      </c>
      <c r="H5258" s="41" t="s">
        <v>16039</v>
      </c>
      <c r="I5258" s="43">
        <v>12</v>
      </c>
      <c r="J5258" s="44" t="str">
        <f>VLOOKUP(G5258,[1]硬件清单!$F:$F,1,0)</f>
        <v>219555842</v>
      </c>
      <c r="K5258" s="43"/>
      <c r="L5258" s="44"/>
      <c r="M5258" s="45" t="s">
        <v>16040</v>
      </c>
    </row>
    <row r="5259" s="28" customFormat="1" ht="30" customHeight="1" spans="1:13">
      <c r="A5259" s="41">
        <f>IF(C5259="","",SUBTOTAL(103,$C$2:C5259))</f>
        <v>5250</v>
      </c>
      <c r="B5259" s="41">
        <v>3741</v>
      </c>
      <c r="C5259" s="41">
        <v>13437</v>
      </c>
      <c r="D5259" s="41" t="s">
        <v>45</v>
      </c>
      <c r="E5259" s="41" t="s">
        <v>1298</v>
      </c>
      <c r="F5259" s="41" t="s">
        <v>15613</v>
      </c>
      <c r="G5259" s="41" t="s">
        <v>16041</v>
      </c>
      <c r="H5259" s="41" t="s">
        <v>16042</v>
      </c>
      <c r="I5259" s="43">
        <v>12</v>
      </c>
      <c r="J5259" s="44" t="str">
        <f>VLOOKUP(G5259,[1]硬件清单!$F:$F,1,0)</f>
        <v>219555839</v>
      </c>
      <c r="K5259" s="43"/>
      <c r="L5259" s="44"/>
      <c r="M5259" s="45" t="s">
        <v>16043</v>
      </c>
    </row>
    <row r="5260" s="28" customFormat="1" ht="30" customHeight="1" spans="1:13">
      <c r="A5260" s="41">
        <f>IF(C5260="","",SUBTOTAL(103,$C$2:C5260))</f>
        <v>5251</v>
      </c>
      <c r="B5260" s="41">
        <v>3742</v>
      </c>
      <c r="C5260" s="41">
        <v>13438</v>
      </c>
      <c r="D5260" s="41" t="s">
        <v>45</v>
      </c>
      <c r="E5260" s="41" t="s">
        <v>1298</v>
      </c>
      <c r="F5260" s="41" t="s">
        <v>15613</v>
      </c>
      <c r="G5260" s="41" t="s">
        <v>16044</v>
      </c>
      <c r="H5260" s="41" t="s">
        <v>16045</v>
      </c>
      <c r="I5260" s="43">
        <v>12</v>
      </c>
      <c r="J5260" s="44" t="str">
        <f>VLOOKUP(G5260,[1]硬件清单!$F:$F,1,0)</f>
        <v>219555840</v>
      </c>
      <c r="K5260" s="43"/>
      <c r="L5260" s="44"/>
      <c r="M5260" s="45" t="s">
        <v>16046</v>
      </c>
    </row>
    <row r="5261" s="28" customFormat="1" ht="30" customHeight="1" spans="1:13">
      <c r="A5261" s="41">
        <f>IF(C5261="","",SUBTOTAL(103,$C$2:C5261))</f>
        <v>5252</v>
      </c>
      <c r="B5261" s="41">
        <v>3743</v>
      </c>
      <c r="C5261" s="41">
        <v>13439</v>
      </c>
      <c r="D5261" s="41" t="s">
        <v>45</v>
      </c>
      <c r="E5261" s="41" t="s">
        <v>1298</v>
      </c>
      <c r="F5261" s="41" t="s">
        <v>15613</v>
      </c>
      <c r="G5261" s="41" t="s">
        <v>16047</v>
      </c>
      <c r="H5261" s="41" t="s">
        <v>16048</v>
      </c>
      <c r="I5261" s="43">
        <v>12</v>
      </c>
      <c r="J5261" s="44" t="str">
        <f>VLOOKUP(G5261,[1]硬件清单!$F:$F,1,0)</f>
        <v>219555838</v>
      </c>
      <c r="K5261" s="43"/>
      <c r="L5261" s="44"/>
      <c r="M5261" s="45" t="s">
        <v>16049</v>
      </c>
    </row>
    <row r="5262" s="28" customFormat="1" ht="30" customHeight="1" spans="1:13">
      <c r="A5262" s="41">
        <f>IF(C5262="","",SUBTOTAL(103,$C$2:C5262))</f>
        <v>5253</v>
      </c>
      <c r="B5262" s="41">
        <v>3744</v>
      </c>
      <c r="C5262" s="41">
        <v>13440</v>
      </c>
      <c r="D5262" s="41" t="s">
        <v>45</v>
      </c>
      <c r="E5262" s="41" t="s">
        <v>1298</v>
      </c>
      <c r="F5262" s="41" t="s">
        <v>15613</v>
      </c>
      <c r="G5262" s="41" t="s">
        <v>16050</v>
      </c>
      <c r="H5262" s="41" t="s">
        <v>16051</v>
      </c>
      <c r="I5262" s="43">
        <v>12</v>
      </c>
      <c r="J5262" s="44" t="str">
        <f>VLOOKUP(G5262,[1]硬件清单!$F:$F,1,0)</f>
        <v>219555837</v>
      </c>
      <c r="K5262" s="43"/>
      <c r="L5262" s="44"/>
      <c r="M5262" s="45" t="s">
        <v>16052</v>
      </c>
    </row>
    <row r="5263" s="28" customFormat="1" ht="30" customHeight="1" spans="1:13">
      <c r="A5263" s="41">
        <f>IF(C5263="","",SUBTOTAL(103,$C$2:C5263))</f>
        <v>5254</v>
      </c>
      <c r="B5263" s="41">
        <v>3745</v>
      </c>
      <c r="C5263" s="41">
        <v>13441</v>
      </c>
      <c r="D5263" s="41" t="s">
        <v>45</v>
      </c>
      <c r="E5263" s="41" t="s">
        <v>1298</v>
      </c>
      <c r="F5263" s="41" t="s">
        <v>15613</v>
      </c>
      <c r="G5263" s="41" t="s">
        <v>16053</v>
      </c>
      <c r="H5263" s="41" t="s">
        <v>16054</v>
      </c>
      <c r="I5263" s="43">
        <v>12</v>
      </c>
      <c r="J5263" s="44" t="str">
        <f>VLOOKUP(G5263,[1]硬件清单!$F:$F,1,0)</f>
        <v>219555844</v>
      </c>
      <c r="K5263" s="43"/>
      <c r="L5263" s="44"/>
      <c r="M5263" s="45" t="s">
        <v>16055</v>
      </c>
    </row>
    <row r="5264" s="28" customFormat="1" ht="30" customHeight="1" spans="1:13">
      <c r="A5264" s="41">
        <f>IF(C5264="","",SUBTOTAL(103,$C$2:C5264))</f>
        <v>5255</v>
      </c>
      <c r="B5264" s="41">
        <v>3746</v>
      </c>
      <c r="C5264" s="41">
        <v>13442</v>
      </c>
      <c r="D5264" s="41" t="s">
        <v>45</v>
      </c>
      <c r="E5264" s="41" t="s">
        <v>1298</v>
      </c>
      <c r="F5264" s="41" t="s">
        <v>15613</v>
      </c>
      <c r="G5264" s="41" t="s">
        <v>16056</v>
      </c>
      <c r="H5264" s="41" t="s">
        <v>16057</v>
      </c>
      <c r="I5264" s="43">
        <v>12</v>
      </c>
      <c r="J5264" s="44" t="str">
        <f>VLOOKUP(G5264,[1]硬件清单!$F:$F,1,0)</f>
        <v>219555843</v>
      </c>
      <c r="K5264" s="43"/>
      <c r="L5264" s="44"/>
      <c r="M5264" s="45" t="s">
        <v>16058</v>
      </c>
    </row>
    <row r="5265" s="28" customFormat="1" ht="30" customHeight="1" spans="1:13">
      <c r="A5265" s="41">
        <f>IF(C5265="","",SUBTOTAL(103,$C$2:C5265))</f>
        <v>5256</v>
      </c>
      <c r="B5265" s="41">
        <v>3747</v>
      </c>
      <c r="C5265" s="41">
        <v>13427</v>
      </c>
      <c r="D5265" s="41" t="s">
        <v>45</v>
      </c>
      <c r="E5265" s="41" t="s">
        <v>1298</v>
      </c>
      <c r="F5265" s="41" t="s">
        <v>15613</v>
      </c>
      <c r="G5265" s="41" t="s">
        <v>16059</v>
      </c>
      <c r="H5265" s="41" t="s">
        <v>16060</v>
      </c>
      <c r="I5265" s="43">
        <v>12</v>
      </c>
      <c r="J5265" s="44" t="str">
        <f>VLOOKUP(G5265,[1]硬件清单!$F:$F,1,0)</f>
        <v>219555794</v>
      </c>
      <c r="K5265" s="43"/>
      <c r="L5265" s="44"/>
      <c r="M5265" s="45" t="s">
        <v>16061</v>
      </c>
    </row>
    <row r="5266" s="28" customFormat="1" ht="30" customHeight="1" spans="1:13">
      <c r="A5266" s="41">
        <f>IF(C5266="","",SUBTOTAL(103,$C$2:C5266))</f>
        <v>5257</v>
      </c>
      <c r="B5266" s="41">
        <v>3748</v>
      </c>
      <c r="C5266" s="41">
        <v>13428</v>
      </c>
      <c r="D5266" s="41" t="s">
        <v>45</v>
      </c>
      <c r="E5266" s="41" t="s">
        <v>1298</v>
      </c>
      <c r="F5266" s="41" t="s">
        <v>15613</v>
      </c>
      <c r="G5266" s="41" t="s">
        <v>16062</v>
      </c>
      <c r="H5266" s="41" t="s">
        <v>16063</v>
      </c>
      <c r="I5266" s="43">
        <v>12</v>
      </c>
      <c r="J5266" s="44" t="str">
        <f>VLOOKUP(G5266,[1]硬件清单!$F:$F,1,0)</f>
        <v>219555793</v>
      </c>
      <c r="K5266" s="43"/>
      <c r="L5266" s="44"/>
      <c r="M5266" s="45" t="s">
        <v>16064</v>
      </c>
    </row>
    <row r="5267" s="28" customFormat="1" ht="30" customHeight="1" spans="1:13">
      <c r="A5267" s="41">
        <f>IF(C5267="","",SUBTOTAL(103,$C$2:C5267))</f>
        <v>5258</v>
      </c>
      <c r="B5267" s="41">
        <v>3749</v>
      </c>
      <c r="C5267" s="41">
        <v>13429</v>
      </c>
      <c r="D5267" s="41" t="s">
        <v>45</v>
      </c>
      <c r="E5267" s="41" t="s">
        <v>1298</v>
      </c>
      <c r="F5267" s="41" t="s">
        <v>15613</v>
      </c>
      <c r="G5267" s="41" t="s">
        <v>16065</v>
      </c>
      <c r="H5267" s="41" t="s">
        <v>16066</v>
      </c>
      <c r="I5267" s="43">
        <v>12</v>
      </c>
      <c r="J5267" s="44" t="str">
        <f>VLOOKUP(G5267,[1]硬件清单!$F:$F,1,0)</f>
        <v>219555789</v>
      </c>
      <c r="K5267" s="43"/>
      <c r="L5267" s="44"/>
      <c r="M5267" s="45" t="s">
        <v>16067</v>
      </c>
    </row>
    <row r="5268" s="28" customFormat="1" ht="30" customHeight="1" spans="1:13">
      <c r="A5268" s="41">
        <f>IF(C5268="","",SUBTOTAL(103,$C$2:C5268))</f>
        <v>5259</v>
      </c>
      <c r="B5268" s="41">
        <v>3750</v>
      </c>
      <c r="C5268" s="41">
        <v>13430</v>
      </c>
      <c r="D5268" s="41" t="s">
        <v>45</v>
      </c>
      <c r="E5268" s="41" t="s">
        <v>1298</v>
      </c>
      <c r="F5268" s="41" t="s">
        <v>15613</v>
      </c>
      <c r="G5268" s="41" t="s">
        <v>16068</v>
      </c>
      <c r="H5268" s="41" t="s">
        <v>16069</v>
      </c>
      <c r="I5268" s="43">
        <v>12</v>
      </c>
      <c r="J5268" s="44" t="str">
        <f>VLOOKUP(G5268,[1]硬件清单!$F:$F,1,0)</f>
        <v>219555790</v>
      </c>
      <c r="K5268" s="43"/>
      <c r="L5268" s="44"/>
      <c r="M5268" s="45" t="s">
        <v>16070</v>
      </c>
    </row>
    <row r="5269" s="28" customFormat="1" ht="30" customHeight="1" spans="1:13">
      <c r="A5269" s="41">
        <f>IF(C5269="","",SUBTOTAL(103,$C$2:C5269))</f>
        <v>5260</v>
      </c>
      <c r="B5269" s="41">
        <v>3751</v>
      </c>
      <c r="C5269" s="41">
        <v>13431</v>
      </c>
      <c r="D5269" s="41" t="s">
        <v>45</v>
      </c>
      <c r="E5269" s="41" t="s">
        <v>1298</v>
      </c>
      <c r="F5269" s="41" t="s">
        <v>15613</v>
      </c>
      <c r="G5269" s="41" t="s">
        <v>16071</v>
      </c>
      <c r="H5269" s="41" t="s">
        <v>16072</v>
      </c>
      <c r="I5269" s="43">
        <v>12</v>
      </c>
      <c r="J5269" s="44" t="str">
        <f>VLOOKUP(G5269,[1]硬件清单!$F:$F,1,0)</f>
        <v>219555792</v>
      </c>
      <c r="K5269" s="43"/>
      <c r="L5269" s="44"/>
      <c r="M5269" s="45" t="s">
        <v>16073</v>
      </c>
    </row>
    <row r="5270" s="28" customFormat="1" ht="30" customHeight="1" spans="1:13">
      <c r="A5270" s="41">
        <f>IF(C5270="","",SUBTOTAL(103,$C$2:C5270))</f>
        <v>5261</v>
      </c>
      <c r="B5270" s="41">
        <v>3752</v>
      </c>
      <c r="C5270" s="41">
        <v>13432</v>
      </c>
      <c r="D5270" s="41" t="s">
        <v>45</v>
      </c>
      <c r="E5270" s="41" t="s">
        <v>1298</v>
      </c>
      <c r="F5270" s="41" t="s">
        <v>15613</v>
      </c>
      <c r="G5270" s="41" t="s">
        <v>16074</v>
      </c>
      <c r="H5270" s="41" t="s">
        <v>16075</v>
      </c>
      <c r="I5270" s="43">
        <v>12</v>
      </c>
      <c r="J5270" s="44" t="str">
        <f>VLOOKUP(G5270,[1]硬件清单!$F:$F,1,0)</f>
        <v>219555795</v>
      </c>
      <c r="K5270" s="43"/>
      <c r="L5270" s="44"/>
      <c r="M5270" s="45" t="s">
        <v>16076</v>
      </c>
    </row>
    <row r="5271" s="28" customFormat="1" ht="30" customHeight="1" spans="1:13">
      <c r="A5271" s="41">
        <f>IF(C5271="","",SUBTOTAL(103,$C$2:C5271))</f>
        <v>5262</v>
      </c>
      <c r="B5271" s="41">
        <v>3753</v>
      </c>
      <c r="C5271" s="41">
        <v>13433</v>
      </c>
      <c r="D5271" s="41" t="s">
        <v>45</v>
      </c>
      <c r="E5271" s="41" t="s">
        <v>1298</v>
      </c>
      <c r="F5271" s="41" t="s">
        <v>15613</v>
      </c>
      <c r="G5271" s="41" t="s">
        <v>16077</v>
      </c>
      <c r="H5271" s="41" t="s">
        <v>16078</v>
      </c>
      <c r="I5271" s="43">
        <v>12</v>
      </c>
      <c r="J5271" s="44" t="str">
        <f>VLOOKUP(G5271,[1]硬件清单!$F:$F,1,0)</f>
        <v>219555796</v>
      </c>
      <c r="K5271" s="43"/>
      <c r="L5271" s="44"/>
      <c r="M5271" s="45" t="s">
        <v>16079</v>
      </c>
    </row>
    <row r="5272" s="28" customFormat="1" ht="30" customHeight="1" spans="1:13">
      <c r="A5272" s="41">
        <f>IF(C5272="","",SUBTOTAL(103,$C$2:C5272))</f>
        <v>5263</v>
      </c>
      <c r="B5272" s="41">
        <v>3754</v>
      </c>
      <c r="C5272" s="41">
        <v>13434</v>
      </c>
      <c r="D5272" s="41" t="s">
        <v>45</v>
      </c>
      <c r="E5272" s="41" t="s">
        <v>1298</v>
      </c>
      <c r="F5272" s="41" t="s">
        <v>15613</v>
      </c>
      <c r="G5272" s="41" t="s">
        <v>16080</v>
      </c>
      <c r="H5272" s="41" t="s">
        <v>16081</v>
      </c>
      <c r="I5272" s="43">
        <v>12</v>
      </c>
      <c r="J5272" s="44" t="str">
        <f>VLOOKUP(G5272,[1]硬件清单!$F:$F,1,0)</f>
        <v>219555791</v>
      </c>
      <c r="K5272" s="43"/>
      <c r="L5272" s="44"/>
      <c r="M5272" s="45" t="s">
        <v>16082</v>
      </c>
    </row>
    <row r="5273" s="28" customFormat="1" ht="30" customHeight="1" spans="1:13">
      <c r="A5273" s="41">
        <f>IF(C5273="","",SUBTOTAL(103,$C$2:C5273))</f>
        <v>5264</v>
      </c>
      <c r="B5273" s="41">
        <v>3755</v>
      </c>
      <c r="C5273" s="41">
        <v>13451</v>
      </c>
      <c r="D5273" s="41" t="s">
        <v>45</v>
      </c>
      <c r="E5273" s="41" t="s">
        <v>1298</v>
      </c>
      <c r="F5273" s="41" t="s">
        <v>15613</v>
      </c>
      <c r="G5273" s="41" t="s">
        <v>16083</v>
      </c>
      <c r="H5273" s="41" t="s">
        <v>16084</v>
      </c>
      <c r="I5273" s="43">
        <v>12</v>
      </c>
      <c r="J5273" s="44" t="str">
        <f>VLOOKUP(G5273,[1]硬件清单!$F:$F,1,0)</f>
        <v>219555845</v>
      </c>
      <c r="K5273" s="43"/>
      <c r="L5273" s="44"/>
      <c r="M5273" s="45" t="s">
        <v>16085</v>
      </c>
    </row>
    <row r="5274" s="28" customFormat="1" ht="30" customHeight="1" spans="1:13">
      <c r="A5274" s="41">
        <f>IF(C5274="","",SUBTOTAL(103,$C$2:C5274))</f>
        <v>5265</v>
      </c>
      <c r="B5274" s="41">
        <v>3756</v>
      </c>
      <c r="C5274" s="41">
        <v>13452</v>
      </c>
      <c r="D5274" s="41" t="s">
        <v>45</v>
      </c>
      <c r="E5274" s="41" t="s">
        <v>1298</v>
      </c>
      <c r="F5274" s="41" t="s">
        <v>15613</v>
      </c>
      <c r="G5274" s="41" t="s">
        <v>16086</v>
      </c>
      <c r="H5274" s="41" t="s">
        <v>16087</v>
      </c>
      <c r="I5274" s="43">
        <v>12</v>
      </c>
      <c r="J5274" s="44" t="str">
        <f>VLOOKUP(G5274,[1]硬件清单!$F:$F,1,0)</f>
        <v>219555846</v>
      </c>
      <c r="K5274" s="43"/>
      <c r="L5274" s="44"/>
      <c r="M5274" s="45" t="s">
        <v>16088</v>
      </c>
    </row>
    <row r="5275" s="28" customFormat="1" ht="30" customHeight="1" spans="1:13">
      <c r="A5275" s="41">
        <f>IF(C5275="","",SUBTOTAL(103,$C$2:C5275))</f>
        <v>5266</v>
      </c>
      <c r="B5275" s="41">
        <v>3757</v>
      </c>
      <c r="C5275" s="41">
        <v>13453</v>
      </c>
      <c r="D5275" s="41" t="s">
        <v>45</v>
      </c>
      <c r="E5275" s="41" t="s">
        <v>1298</v>
      </c>
      <c r="F5275" s="41" t="s">
        <v>15613</v>
      </c>
      <c r="G5275" s="41" t="s">
        <v>16089</v>
      </c>
      <c r="H5275" s="41" t="s">
        <v>16090</v>
      </c>
      <c r="I5275" s="43">
        <v>12</v>
      </c>
      <c r="J5275" s="44" t="str">
        <f>VLOOKUP(G5275,[1]硬件清单!$F:$F,1,0)</f>
        <v>219555847</v>
      </c>
      <c r="K5275" s="43"/>
      <c r="L5275" s="44"/>
      <c r="M5275" s="45" t="s">
        <v>16091</v>
      </c>
    </row>
    <row r="5276" s="28" customFormat="1" ht="30" customHeight="1" spans="1:13">
      <c r="A5276" s="41">
        <f>IF(C5276="","",SUBTOTAL(103,$C$2:C5276))</f>
        <v>5267</v>
      </c>
      <c r="B5276" s="41">
        <v>3758</v>
      </c>
      <c r="C5276" s="41">
        <v>13454</v>
      </c>
      <c r="D5276" s="41" t="s">
        <v>45</v>
      </c>
      <c r="E5276" s="41" t="s">
        <v>1298</v>
      </c>
      <c r="F5276" s="41" t="s">
        <v>15613</v>
      </c>
      <c r="G5276" s="41" t="s">
        <v>16092</v>
      </c>
      <c r="H5276" s="41" t="s">
        <v>16093</v>
      </c>
      <c r="I5276" s="43">
        <v>12</v>
      </c>
      <c r="J5276" s="44" t="str">
        <f>VLOOKUP(G5276,[1]硬件清单!$F:$F,1,0)</f>
        <v>219555850</v>
      </c>
      <c r="K5276" s="43"/>
      <c r="L5276" s="44"/>
      <c r="M5276" s="45" t="s">
        <v>16094</v>
      </c>
    </row>
    <row r="5277" s="28" customFormat="1" ht="30" customHeight="1" spans="1:13">
      <c r="A5277" s="41">
        <f>IF(C5277="","",SUBTOTAL(103,$C$2:C5277))</f>
        <v>5268</v>
      </c>
      <c r="B5277" s="41">
        <v>3759</v>
      </c>
      <c r="C5277" s="41">
        <v>13455</v>
      </c>
      <c r="D5277" s="41" t="s">
        <v>45</v>
      </c>
      <c r="E5277" s="41" t="s">
        <v>1298</v>
      </c>
      <c r="F5277" s="41" t="s">
        <v>15613</v>
      </c>
      <c r="G5277" s="41" t="s">
        <v>16095</v>
      </c>
      <c r="H5277" s="41" t="s">
        <v>16096</v>
      </c>
      <c r="I5277" s="43">
        <v>12</v>
      </c>
      <c r="J5277" s="44" t="str">
        <f>VLOOKUP(G5277,[1]硬件清单!$F:$F,1,0)</f>
        <v>219555849</v>
      </c>
      <c r="K5277" s="43"/>
      <c r="L5277" s="44"/>
      <c r="M5277" s="45" t="s">
        <v>16097</v>
      </c>
    </row>
    <row r="5278" s="28" customFormat="1" ht="30" customHeight="1" spans="1:13">
      <c r="A5278" s="41">
        <f>IF(C5278="","",SUBTOTAL(103,$C$2:C5278))</f>
        <v>5269</v>
      </c>
      <c r="B5278" s="41">
        <v>3760</v>
      </c>
      <c r="C5278" s="41">
        <v>13456</v>
      </c>
      <c r="D5278" s="41" t="s">
        <v>45</v>
      </c>
      <c r="E5278" s="41" t="s">
        <v>1298</v>
      </c>
      <c r="F5278" s="41" t="s">
        <v>15613</v>
      </c>
      <c r="G5278" s="41" t="s">
        <v>16098</v>
      </c>
      <c r="H5278" s="41" t="s">
        <v>16099</v>
      </c>
      <c r="I5278" s="43">
        <v>12</v>
      </c>
      <c r="J5278" s="44" t="str">
        <f>VLOOKUP(G5278,[1]硬件清单!$F:$F,1,0)</f>
        <v>219555851</v>
      </c>
      <c r="K5278" s="43"/>
      <c r="L5278" s="44"/>
      <c r="M5278" s="45" t="s">
        <v>16100</v>
      </c>
    </row>
    <row r="5279" s="28" customFormat="1" ht="30" customHeight="1" spans="1:13">
      <c r="A5279" s="41">
        <f>IF(C5279="","",SUBTOTAL(103,$C$2:C5279))</f>
        <v>5270</v>
      </c>
      <c r="B5279" s="41">
        <v>3761</v>
      </c>
      <c r="C5279" s="41">
        <v>13457</v>
      </c>
      <c r="D5279" s="41" t="s">
        <v>45</v>
      </c>
      <c r="E5279" s="41" t="s">
        <v>1298</v>
      </c>
      <c r="F5279" s="41" t="s">
        <v>15613</v>
      </c>
      <c r="G5279" s="41" t="s">
        <v>16101</v>
      </c>
      <c r="H5279" s="41" t="s">
        <v>16102</v>
      </c>
      <c r="I5279" s="43">
        <v>12</v>
      </c>
      <c r="J5279" s="44" t="str">
        <f>VLOOKUP(G5279,[1]硬件清单!$F:$F,1,0)</f>
        <v>219555852</v>
      </c>
      <c r="K5279" s="43"/>
      <c r="L5279" s="44"/>
      <c r="M5279" s="45" t="s">
        <v>16103</v>
      </c>
    </row>
    <row r="5280" s="28" customFormat="1" ht="30" customHeight="1" spans="1:13">
      <c r="A5280" s="41">
        <f>IF(C5280="","",SUBTOTAL(103,$C$2:C5280))</f>
        <v>5271</v>
      </c>
      <c r="B5280" s="41">
        <v>3762</v>
      </c>
      <c r="C5280" s="41">
        <v>13458</v>
      </c>
      <c r="D5280" s="41" t="s">
        <v>45</v>
      </c>
      <c r="E5280" s="41" t="s">
        <v>1298</v>
      </c>
      <c r="F5280" s="41" t="s">
        <v>15613</v>
      </c>
      <c r="G5280" s="41" t="s">
        <v>16104</v>
      </c>
      <c r="H5280" s="41" t="s">
        <v>16105</v>
      </c>
      <c r="I5280" s="43">
        <v>12</v>
      </c>
      <c r="J5280" s="44" t="str">
        <f>VLOOKUP(G5280,[1]硬件清单!$F:$F,1,0)</f>
        <v>219555848</v>
      </c>
      <c r="K5280" s="43"/>
      <c r="L5280" s="44"/>
      <c r="M5280" s="45" t="s">
        <v>16106</v>
      </c>
    </row>
    <row r="5281" s="28" customFormat="1" ht="30" customHeight="1" spans="1:13">
      <c r="A5281" s="41">
        <f>IF(C5281="","",SUBTOTAL(103,$C$2:C5281))</f>
        <v>5272</v>
      </c>
      <c r="B5281" s="41">
        <v>3763</v>
      </c>
      <c r="C5281" s="41">
        <v>13443</v>
      </c>
      <c r="D5281" s="41" t="s">
        <v>45</v>
      </c>
      <c r="E5281" s="41" t="s">
        <v>1298</v>
      </c>
      <c r="F5281" s="41" t="s">
        <v>15613</v>
      </c>
      <c r="G5281" s="41" t="s">
        <v>16107</v>
      </c>
      <c r="H5281" s="41" t="s">
        <v>16108</v>
      </c>
      <c r="I5281" s="43">
        <v>12</v>
      </c>
      <c r="J5281" s="44" t="str">
        <f>VLOOKUP(G5281,[1]硬件清单!$F:$F,1,0)</f>
        <v>219555784</v>
      </c>
      <c r="K5281" s="43"/>
      <c r="L5281" s="44"/>
      <c r="M5281" s="45" t="s">
        <v>16109</v>
      </c>
    </row>
    <row r="5282" s="28" customFormat="1" ht="30" customHeight="1" spans="1:13">
      <c r="A5282" s="41">
        <f>IF(C5282="","",SUBTOTAL(103,$C$2:C5282))</f>
        <v>5273</v>
      </c>
      <c r="B5282" s="41">
        <v>3764</v>
      </c>
      <c r="C5282" s="41">
        <v>13444</v>
      </c>
      <c r="D5282" s="41" t="s">
        <v>45</v>
      </c>
      <c r="E5282" s="41" t="s">
        <v>1298</v>
      </c>
      <c r="F5282" s="41" t="s">
        <v>15613</v>
      </c>
      <c r="G5282" s="41" t="s">
        <v>16110</v>
      </c>
      <c r="H5282" s="41" t="s">
        <v>16111</v>
      </c>
      <c r="I5282" s="43">
        <v>12</v>
      </c>
      <c r="J5282" s="44" t="str">
        <f>VLOOKUP(G5282,[1]硬件清单!$F:$F,1,0)</f>
        <v>219555783</v>
      </c>
      <c r="K5282" s="43"/>
      <c r="L5282" s="44"/>
      <c r="M5282" s="45" t="s">
        <v>16112</v>
      </c>
    </row>
    <row r="5283" s="28" customFormat="1" ht="30" customHeight="1" spans="1:13">
      <c r="A5283" s="41">
        <f>IF(C5283="","",SUBTOTAL(103,$C$2:C5283))</f>
        <v>5274</v>
      </c>
      <c r="B5283" s="41">
        <v>3765</v>
      </c>
      <c r="C5283" s="41">
        <v>13445</v>
      </c>
      <c r="D5283" s="41" t="s">
        <v>45</v>
      </c>
      <c r="E5283" s="41" t="s">
        <v>1298</v>
      </c>
      <c r="F5283" s="41" t="s">
        <v>15613</v>
      </c>
      <c r="G5283" s="41" t="s">
        <v>16113</v>
      </c>
      <c r="H5283" s="41" t="s">
        <v>16114</v>
      </c>
      <c r="I5283" s="43">
        <v>12</v>
      </c>
      <c r="J5283" s="44" t="str">
        <f>VLOOKUP(G5283,[1]硬件清单!$F:$F,1,0)</f>
        <v>219555788</v>
      </c>
      <c r="K5283" s="43"/>
      <c r="L5283" s="44"/>
      <c r="M5283" s="45" t="s">
        <v>16115</v>
      </c>
    </row>
    <row r="5284" s="28" customFormat="1" ht="30" customHeight="1" spans="1:13">
      <c r="A5284" s="41">
        <f>IF(C5284="","",SUBTOTAL(103,$C$2:C5284))</f>
        <v>5275</v>
      </c>
      <c r="B5284" s="41">
        <v>3766</v>
      </c>
      <c r="C5284" s="41">
        <v>13446</v>
      </c>
      <c r="D5284" s="41" t="s">
        <v>45</v>
      </c>
      <c r="E5284" s="41" t="s">
        <v>1298</v>
      </c>
      <c r="F5284" s="41" t="s">
        <v>15613</v>
      </c>
      <c r="G5284" s="41" t="s">
        <v>16116</v>
      </c>
      <c r="H5284" s="41" t="s">
        <v>16117</v>
      </c>
      <c r="I5284" s="43">
        <v>12</v>
      </c>
      <c r="J5284" s="44" t="str">
        <f>VLOOKUP(G5284,[1]硬件清单!$F:$F,1,0)</f>
        <v>219555787</v>
      </c>
      <c r="K5284" s="43"/>
      <c r="L5284" s="44"/>
      <c r="M5284" s="45" t="s">
        <v>16118</v>
      </c>
    </row>
    <row r="5285" s="28" customFormat="1" ht="30" customHeight="1" spans="1:13">
      <c r="A5285" s="41">
        <f>IF(C5285="","",SUBTOTAL(103,$C$2:C5285))</f>
        <v>5276</v>
      </c>
      <c r="B5285" s="41">
        <v>3767</v>
      </c>
      <c r="C5285" s="41">
        <v>13447</v>
      </c>
      <c r="D5285" s="41" t="s">
        <v>45</v>
      </c>
      <c r="E5285" s="41" t="s">
        <v>1298</v>
      </c>
      <c r="F5285" s="41" t="s">
        <v>15613</v>
      </c>
      <c r="G5285" s="41" t="s">
        <v>16119</v>
      </c>
      <c r="H5285" s="41" t="s">
        <v>16120</v>
      </c>
      <c r="I5285" s="43">
        <v>12</v>
      </c>
      <c r="J5285" s="44" t="str">
        <f>VLOOKUP(G5285,[1]硬件清单!$F:$F,1,0)</f>
        <v>219555781</v>
      </c>
      <c r="K5285" s="43"/>
      <c r="L5285" s="44"/>
      <c r="M5285" s="45" t="s">
        <v>16121</v>
      </c>
    </row>
    <row r="5286" s="28" customFormat="1" ht="30" customHeight="1" spans="1:13">
      <c r="A5286" s="41">
        <f>IF(C5286="","",SUBTOTAL(103,$C$2:C5286))</f>
        <v>5277</v>
      </c>
      <c r="B5286" s="41">
        <v>3768</v>
      </c>
      <c r="C5286" s="41">
        <v>13448</v>
      </c>
      <c r="D5286" s="41" t="s">
        <v>45</v>
      </c>
      <c r="E5286" s="41" t="s">
        <v>1298</v>
      </c>
      <c r="F5286" s="41" t="s">
        <v>15613</v>
      </c>
      <c r="G5286" s="41" t="s">
        <v>16122</v>
      </c>
      <c r="H5286" s="41" t="s">
        <v>16123</v>
      </c>
      <c r="I5286" s="43">
        <v>12</v>
      </c>
      <c r="J5286" s="44" t="str">
        <f>VLOOKUP(G5286,[1]硬件清单!$F:$F,1,0)</f>
        <v>219555782</v>
      </c>
      <c r="K5286" s="43"/>
      <c r="L5286" s="44"/>
      <c r="M5286" s="45" t="s">
        <v>16124</v>
      </c>
    </row>
    <row r="5287" s="28" customFormat="1" ht="30" customHeight="1" spans="1:13">
      <c r="A5287" s="41">
        <f>IF(C5287="","",SUBTOTAL(103,$C$2:C5287))</f>
        <v>5278</v>
      </c>
      <c r="B5287" s="41">
        <v>3769</v>
      </c>
      <c r="C5287" s="41">
        <v>13449</v>
      </c>
      <c r="D5287" s="41" t="s">
        <v>45</v>
      </c>
      <c r="E5287" s="41" t="s">
        <v>1298</v>
      </c>
      <c r="F5287" s="41" t="s">
        <v>15613</v>
      </c>
      <c r="G5287" s="41" t="s">
        <v>16125</v>
      </c>
      <c r="H5287" s="41" t="s">
        <v>16126</v>
      </c>
      <c r="I5287" s="43">
        <v>12</v>
      </c>
      <c r="J5287" s="44" t="str">
        <f>VLOOKUP(G5287,[1]硬件清单!$F:$F,1,0)</f>
        <v>219555785</v>
      </c>
      <c r="K5287" s="43"/>
      <c r="L5287" s="44"/>
      <c r="M5287" s="45" t="s">
        <v>16127</v>
      </c>
    </row>
    <row r="5288" s="28" customFormat="1" ht="30" customHeight="1" spans="1:13">
      <c r="A5288" s="41">
        <f>IF(C5288="","",SUBTOTAL(103,$C$2:C5288))</f>
        <v>5279</v>
      </c>
      <c r="B5288" s="41">
        <v>3770</v>
      </c>
      <c r="C5288" s="41">
        <v>13450</v>
      </c>
      <c r="D5288" s="41" t="s">
        <v>45</v>
      </c>
      <c r="E5288" s="41" t="s">
        <v>1298</v>
      </c>
      <c r="F5288" s="41" t="s">
        <v>15613</v>
      </c>
      <c r="G5288" s="41" t="s">
        <v>16128</v>
      </c>
      <c r="H5288" s="41" t="s">
        <v>16129</v>
      </c>
      <c r="I5288" s="43">
        <v>12</v>
      </c>
      <c r="J5288" s="44" t="str">
        <f>VLOOKUP(G5288,[1]硬件清单!$F:$F,1,0)</f>
        <v>219555786</v>
      </c>
      <c r="K5288" s="43"/>
      <c r="L5288" s="44"/>
      <c r="M5288" s="45" t="s">
        <v>16130</v>
      </c>
    </row>
    <row r="5289" s="28" customFormat="1" ht="30" customHeight="1" spans="1:13">
      <c r="A5289" s="41">
        <f>IF(C5289="","",SUBTOTAL(103,$C$2:C5289))</f>
        <v>5280</v>
      </c>
      <c r="B5289" s="41">
        <v>3771</v>
      </c>
      <c r="C5289" s="41">
        <v>13467</v>
      </c>
      <c r="D5289" s="41" t="s">
        <v>45</v>
      </c>
      <c r="E5289" s="41" t="s">
        <v>1298</v>
      </c>
      <c r="F5289" s="41" t="s">
        <v>15613</v>
      </c>
      <c r="G5289" s="41" t="s">
        <v>16131</v>
      </c>
      <c r="H5289" s="41" t="s">
        <v>16132</v>
      </c>
      <c r="I5289" s="43">
        <v>12</v>
      </c>
      <c r="J5289" s="44" t="str">
        <f>VLOOKUP(G5289,[1]硬件清单!$F:$F,1,0)</f>
        <v>219555870</v>
      </c>
      <c r="K5289" s="43"/>
      <c r="L5289" s="44"/>
      <c r="M5289" s="45" t="s">
        <v>16133</v>
      </c>
    </row>
    <row r="5290" s="28" customFormat="1" ht="30" customHeight="1" spans="1:13">
      <c r="A5290" s="41">
        <f>IF(C5290="","",SUBTOTAL(103,$C$2:C5290))</f>
        <v>5281</v>
      </c>
      <c r="B5290" s="41">
        <v>3772</v>
      </c>
      <c r="C5290" s="41">
        <v>13468</v>
      </c>
      <c r="D5290" s="41" t="s">
        <v>45</v>
      </c>
      <c r="E5290" s="41" t="s">
        <v>1298</v>
      </c>
      <c r="F5290" s="41" t="s">
        <v>15613</v>
      </c>
      <c r="G5290" s="41" t="s">
        <v>16134</v>
      </c>
      <c r="H5290" s="41" t="s">
        <v>16135</v>
      </c>
      <c r="I5290" s="43">
        <v>12</v>
      </c>
      <c r="J5290" s="44" t="str">
        <f>VLOOKUP(G5290,[1]硬件清单!$F:$F,1,0)</f>
        <v>219555869</v>
      </c>
      <c r="K5290" s="43"/>
      <c r="L5290" s="44"/>
      <c r="M5290" s="45" t="s">
        <v>16136</v>
      </c>
    </row>
    <row r="5291" s="28" customFormat="1" ht="30" customHeight="1" spans="1:13">
      <c r="A5291" s="41">
        <f>IF(C5291="","",SUBTOTAL(103,$C$2:C5291))</f>
        <v>5282</v>
      </c>
      <c r="B5291" s="41">
        <v>3773</v>
      </c>
      <c r="C5291" s="41">
        <v>13469</v>
      </c>
      <c r="D5291" s="41" t="s">
        <v>45</v>
      </c>
      <c r="E5291" s="41" t="s">
        <v>1298</v>
      </c>
      <c r="F5291" s="41" t="s">
        <v>15613</v>
      </c>
      <c r="G5291" s="41" t="s">
        <v>16137</v>
      </c>
      <c r="H5291" s="41" t="s">
        <v>16138</v>
      </c>
      <c r="I5291" s="43">
        <v>12</v>
      </c>
      <c r="J5291" s="44" t="str">
        <f>VLOOKUP(G5291,[1]硬件清单!$F:$F,1,0)</f>
        <v>219555872</v>
      </c>
      <c r="K5291" s="43"/>
      <c r="L5291" s="44"/>
      <c r="M5291" s="45" t="s">
        <v>16139</v>
      </c>
    </row>
    <row r="5292" s="28" customFormat="1" ht="30" customHeight="1" spans="1:13">
      <c r="A5292" s="41">
        <f>IF(C5292="","",SUBTOTAL(103,$C$2:C5292))</f>
        <v>5283</v>
      </c>
      <c r="B5292" s="41">
        <v>3774</v>
      </c>
      <c r="C5292" s="41">
        <v>13470</v>
      </c>
      <c r="D5292" s="41" t="s">
        <v>45</v>
      </c>
      <c r="E5292" s="41" t="s">
        <v>1298</v>
      </c>
      <c r="F5292" s="41" t="s">
        <v>15613</v>
      </c>
      <c r="G5292" s="41" t="s">
        <v>16140</v>
      </c>
      <c r="H5292" s="41" t="s">
        <v>16141</v>
      </c>
      <c r="I5292" s="43">
        <v>12</v>
      </c>
      <c r="J5292" s="44" t="str">
        <f>VLOOKUP(G5292,[1]硬件清单!$F:$F,1,0)</f>
        <v>219555871</v>
      </c>
      <c r="K5292" s="43"/>
      <c r="L5292" s="44"/>
      <c r="M5292" s="45" t="s">
        <v>16142</v>
      </c>
    </row>
    <row r="5293" s="28" customFormat="1" ht="30" customHeight="1" spans="1:13">
      <c r="A5293" s="41">
        <f>IF(C5293="","",SUBTOTAL(103,$C$2:C5293))</f>
        <v>5284</v>
      </c>
      <c r="B5293" s="41">
        <v>3775</v>
      </c>
      <c r="C5293" s="41">
        <v>13471</v>
      </c>
      <c r="D5293" s="41" t="s">
        <v>45</v>
      </c>
      <c r="E5293" s="41" t="s">
        <v>1298</v>
      </c>
      <c r="F5293" s="41" t="s">
        <v>15613</v>
      </c>
      <c r="G5293" s="41" t="s">
        <v>16143</v>
      </c>
      <c r="H5293" s="41" t="s">
        <v>16144</v>
      </c>
      <c r="I5293" s="43">
        <v>12</v>
      </c>
      <c r="J5293" s="44" t="str">
        <f>VLOOKUP(G5293,[1]硬件清单!$F:$F,1,0)</f>
        <v>219555876</v>
      </c>
      <c r="K5293" s="43"/>
      <c r="L5293" s="44"/>
      <c r="M5293" s="45" t="s">
        <v>16145</v>
      </c>
    </row>
    <row r="5294" s="28" customFormat="1" ht="30" customHeight="1" spans="1:13">
      <c r="A5294" s="41">
        <f>IF(C5294="","",SUBTOTAL(103,$C$2:C5294))</f>
        <v>5285</v>
      </c>
      <c r="B5294" s="41">
        <v>3776</v>
      </c>
      <c r="C5294" s="41">
        <v>13472</v>
      </c>
      <c r="D5294" s="41" t="s">
        <v>45</v>
      </c>
      <c r="E5294" s="41" t="s">
        <v>1298</v>
      </c>
      <c r="F5294" s="41" t="s">
        <v>15613</v>
      </c>
      <c r="G5294" s="41" t="s">
        <v>16146</v>
      </c>
      <c r="H5294" s="41" t="s">
        <v>16147</v>
      </c>
      <c r="I5294" s="43">
        <v>12</v>
      </c>
      <c r="J5294" s="44" t="str">
        <f>VLOOKUP(G5294,[1]硬件清单!$F:$F,1,0)</f>
        <v>219555875</v>
      </c>
      <c r="K5294" s="43"/>
      <c r="L5294" s="44"/>
      <c r="M5294" s="45" t="s">
        <v>16148</v>
      </c>
    </row>
    <row r="5295" s="28" customFormat="1" ht="30" customHeight="1" spans="1:13">
      <c r="A5295" s="41">
        <f>IF(C5295="","",SUBTOTAL(103,$C$2:C5295))</f>
        <v>5286</v>
      </c>
      <c r="B5295" s="41">
        <v>3777</v>
      </c>
      <c r="C5295" s="41">
        <v>13473</v>
      </c>
      <c r="D5295" s="41" t="s">
        <v>45</v>
      </c>
      <c r="E5295" s="41" t="s">
        <v>1298</v>
      </c>
      <c r="F5295" s="41" t="s">
        <v>15613</v>
      </c>
      <c r="G5295" s="41" t="s">
        <v>16149</v>
      </c>
      <c r="H5295" s="41" t="s">
        <v>16150</v>
      </c>
      <c r="I5295" s="43">
        <v>12</v>
      </c>
      <c r="J5295" s="44" t="str">
        <f>VLOOKUP(G5295,[1]硬件清单!$F:$F,1,0)</f>
        <v>219555874</v>
      </c>
      <c r="K5295" s="43"/>
      <c r="L5295" s="44"/>
      <c r="M5295" s="45" t="s">
        <v>16151</v>
      </c>
    </row>
    <row r="5296" s="28" customFormat="1" ht="30" customHeight="1" spans="1:13">
      <c r="A5296" s="41">
        <f>IF(C5296="","",SUBTOTAL(103,$C$2:C5296))</f>
        <v>5287</v>
      </c>
      <c r="B5296" s="41">
        <v>3778</v>
      </c>
      <c r="C5296" s="41">
        <v>13474</v>
      </c>
      <c r="D5296" s="41" t="s">
        <v>45</v>
      </c>
      <c r="E5296" s="41" t="s">
        <v>1298</v>
      </c>
      <c r="F5296" s="41" t="s">
        <v>15613</v>
      </c>
      <c r="G5296" s="41" t="s">
        <v>16152</v>
      </c>
      <c r="H5296" s="41" t="s">
        <v>16153</v>
      </c>
      <c r="I5296" s="43">
        <v>12</v>
      </c>
      <c r="J5296" s="44" t="str">
        <f>VLOOKUP(G5296,[1]硬件清单!$F:$F,1,0)</f>
        <v>219555873</v>
      </c>
      <c r="K5296" s="43"/>
      <c r="L5296" s="44"/>
      <c r="M5296" s="45" t="s">
        <v>16154</v>
      </c>
    </row>
    <row r="5297" s="28" customFormat="1" ht="30" customHeight="1" spans="1:13">
      <c r="A5297" s="41">
        <f>IF(C5297="","",SUBTOTAL(103,$C$2:C5297))</f>
        <v>5288</v>
      </c>
      <c r="B5297" s="41">
        <v>3779</v>
      </c>
      <c r="C5297" s="41">
        <v>13459</v>
      </c>
      <c r="D5297" s="41" t="s">
        <v>45</v>
      </c>
      <c r="E5297" s="41" t="s">
        <v>1298</v>
      </c>
      <c r="F5297" s="41" t="s">
        <v>15613</v>
      </c>
      <c r="G5297" s="41" t="s">
        <v>16155</v>
      </c>
      <c r="H5297" s="41" t="s">
        <v>16156</v>
      </c>
      <c r="I5297" s="43">
        <v>12</v>
      </c>
      <c r="J5297" s="44" t="str">
        <f>VLOOKUP(G5297,[1]硬件清单!$F:$F,1,0)</f>
        <v>219555808</v>
      </c>
      <c r="K5297" s="43"/>
      <c r="L5297" s="44"/>
      <c r="M5297" s="45" t="s">
        <v>16157</v>
      </c>
    </row>
    <row r="5298" s="28" customFormat="1" ht="30" customHeight="1" spans="1:13">
      <c r="A5298" s="41">
        <f>IF(C5298="","",SUBTOTAL(103,$C$2:C5298))</f>
        <v>5289</v>
      </c>
      <c r="B5298" s="41">
        <v>3780</v>
      </c>
      <c r="C5298" s="41">
        <v>13460</v>
      </c>
      <c r="D5298" s="41" t="s">
        <v>45</v>
      </c>
      <c r="E5298" s="41" t="s">
        <v>1298</v>
      </c>
      <c r="F5298" s="41" t="s">
        <v>15613</v>
      </c>
      <c r="G5298" s="41" t="s">
        <v>16158</v>
      </c>
      <c r="H5298" s="41" t="s">
        <v>16159</v>
      </c>
      <c r="I5298" s="43">
        <v>12</v>
      </c>
      <c r="J5298" s="44" t="str">
        <f>VLOOKUP(G5298,[1]硬件清单!$F:$F,1,0)</f>
        <v>219555807</v>
      </c>
      <c r="K5298" s="43"/>
      <c r="L5298" s="44"/>
      <c r="M5298" s="45" t="s">
        <v>16160</v>
      </c>
    </row>
    <row r="5299" s="28" customFormat="1" ht="30" customHeight="1" spans="1:13">
      <c r="A5299" s="41">
        <f>IF(C5299="","",SUBTOTAL(103,$C$2:C5299))</f>
        <v>5290</v>
      </c>
      <c r="B5299" s="41">
        <v>3781</v>
      </c>
      <c r="C5299" s="41">
        <v>13461</v>
      </c>
      <c r="D5299" s="41" t="s">
        <v>45</v>
      </c>
      <c r="E5299" s="41" t="s">
        <v>1298</v>
      </c>
      <c r="F5299" s="41" t="s">
        <v>15613</v>
      </c>
      <c r="G5299" s="41" t="s">
        <v>16161</v>
      </c>
      <c r="H5299" s="41" t="s">
        <v>16162</v>
      </c>
      <c r="I5299" s="43">
        <v>12</v>
      </c>
      <c r="J5299" s="44" t="str">
        <f>VLOOKUP(G5299,[1]硬件清单!$F:$F,1,0)</f>
        <v>219555811</v>
      </c>
      <c r="K5299" s="43"/>
      <c r="L5299" s="44"/>
      <c r="M5299" s="45" t="s">
        <v>16163</v>
      </c>
    </row>
    <row r="5300" s="28" customFormat="1" ht="30" customHeight="1" spans="1:13">
      <c r="A5300" s="41">
        <f>IF(C5300="","",SUBTOTAL(103,$C$2:C5300))</f>
        <v>5291</v>
      </c>
      <c r="B5300" s="41">
        <v>3782</v>
      </c>
      <c r="C5300" s="41">
        <v>13462</v>
      </c>
      <c r="D5300" s="41" t="s">
        <v>45</v>
      </c>
      <c r="E5300" s="41" t="s">
        <v>1298</v>
      </c>
      <c r="F5300" s="41" t="s">
        <v>15613</v>
      </c>
      <c r="G5300" s="41" t="s">
        <v>16164</v>
      </c>
      <c r="H5300" s="41" t="s">
        <v>16165</v>
      </c>
      <c r="I5300" s="43">
        <v>12</v>
      </c>
      <c r="J5300" s="44" t="str">
        <f>VLOOKUP(G5300,[1]硬件清单!$F:$F,1,0)</f>
        <v>219555812</v>
      </c>
      <c r="K5300" s="43"/>
      <c r="L5300" s="44"/>
      <c r="M5300" s="45" t="s">
        <v>16166</v>
      </c>
    </row>
    <row r="5301" s="28" customFormat="1" ht="30" customHeight="1" spans="1:13">
      <c r="A5301" s="41">
        <f>IF(C5301="","",SUBTOTAL(103,$C$2:C5301))</f>
        <v>5292</v>
      </c>
      <c r="B5301" s="41">
        <v>3783</v>
      </c>
      <c r="C5301" s="41">
        <v>13463</v>
      </c>
      <c r="D5301" s="41" t="s">
        <v>45</v>
      </c>
      <c r="E5301" s="41" t="s">
        <v>1298</v>
      </c>
      <c r="F5301" s="41" t="s">
        <v>15613</v>
      </c>
      <c r="G5301" s="41" t="s">
        <v>16167</v>
      </c>
      <c r="H5301" s="41" t="s">
        <v>16168</v>
      </c>
      <c r="I5301" s="43">
        <v>12</v>
      </c>
      <c r="J5301" s="44" t="str">
        <f>VLOOKUP(G5301,[1]硬件清单!$F:$F,1,0)</f>
        <v>219555810</v>
      </c>
      <c r="K5301" s="43"/>
      <c r="L5301" s="44"/>
      <c r="M5301" s="45" t="s">
        <v>16169</v>
      </c>
    </row>
    <row r="5302" s="28" customFormat="1" ht="30" customHeight="1" spans="1:13">
      <c r="A5302" s="41">
        <f>IF(C5302="","",SUBTOTAL(103,$C$2:C5302))</f>
        <v>5293</v>
      </c>
      <c r="B5302" s="41">
        <v>3784</v>
      </c>
      <c r="C5302" s="41">
        <v>13464</v>
      </c>
      <c r="D5302" s="41" t="s">
        <v>45</v>
      </c>
      <c r="E5302" s="41" t="s">
        <v>1298</v>
      </c>
      <c r="F5302" s="41" t="s">
        <v>15613</v>
      </c>
      <c r="G5302" s="41" t="s">
        <v>16170</v>
      </c>
      <c r="H5302" s="41" t="s">
        <v>16171</v>
      </c>
      <c r="I5302" s="43">
        <v>12</v>
      </c>
      <c r="J5302" s="44" t="str">
        <f>VLOOKUP(G5302,[1]硬件清单!$F:$F,1,0)</f>
        <v>219555809</v>
      </c>
      <c r="K5302" s="43"/>
      <c r="L5302" s="44"/>
      <c r="M5302" s="45" t="s">
        <v>16172</v>
      </c>
    </row>
    <row r="5303" s="28" customFormat="1" ht="30" customHeight="1" spans="1:13">
      <c r="A5303" s="41">
        <f>IF(C5303="","",SUBTOTAL(103,$C$2:C5303))</f>
        <v>5294</v>
      </c>
      <c r="B5303" s="41">
        <v>3785</v>
      </c>
      <c r="C5303" s="41">
        <v>13465</v>
      </c>
      <c r="D5303" s="41" t="s">
        <v>45</v>
      </c>
      <c r="E5303" s="41" t="s">
        <v>1298</v>
      </c>
      <c r="F5303" s="41" t="s">
        <v>15613</v>
      </c>
      <c r="G5303" s="41" t="s">
        <v>16173</v>
      </c>
      <c r="H5303" s="41" t="s">
        <v>16174</v>
      </c>
      <c r="I5303" s="43">
        <v>12</v>
      </c>
      <c r="J5303" s="44" t="str">
        <f>VLOOKUP(G5303,[1]硬件清单!$F:$F,1,0)</f>
        <v>219555806</v>
      </c>
      <c r="K5303" s="43"/>
      <c r="L5303" s="44"/>
      <c r="M5303" s="45" t="s">
        <v>16175</v>
      </c>
    </row>
    <row r="5304" s="28" customFormat="1" ht="30" customHeight="1" spans="1:13">
      <c r="A5304" s="41">
        <f>IF(C5304="","",SUBTOTAL(103,$C$2:C5304))</f>
        <v>5295</v>
      </c>
      <c r="B5304" s="41">
        <v>3786</v>
      </c>
      <c r="C5304" s="41">
        <v>13466</v>
      </c>
      <c r="D5304" s="41" t="s">
        <v>45</v>
      </c>
      <c r="E5304" s="41" t="s">
        <v>1298</v>
      </c>
      <c r="F5304" s="41" t="s">
        <v>15613</v>
      </c>
      <c r="G5304" s="41" t="s">
        <v>16176</v>
      </c>
      <c r="H5304" s="41" t="s">
        <v>16177</v>
      </c>
      <c r="I5304" s="43">
        <v>12</v>
      </c>
      <c r="J5304" s="44" t="str">
        <f>VLOOKUP(G5304,[1]硬件清单!$F:$F,1,0)</f>
        <v>219555805</v>
      </c>
      <c r="K5304" s="43"/>
      <c r="L5304" s="44"/>
      <c r="M5304" s="45" t="s">
        <v>16178</v>
      </c>
    </row>
    <row r="5305" s="28" customFormat="1" ht="30" customHeight="1" spans="1:13">
      <c r="A5305" s="41">
        <f>IF(C5305="","",SUBTOTAL(103,$C$2:C5305))</f>
        <v>5296</v>
      </c>
      <c r="B5305" s="41">
        <v>3787</v>
      </c>
      <c r="C5305" s="41">
        <v>4791</v>
      </c>
      <c r="D5305" s="41" t="s">
        <v>19</v>
      </c>
      <c r="E5305" s="41" t="s">
        <v>20</v>
      </c>
      <c r="F5305" s="41" t="s">
        <v>16179</v>
      </c>
      <c r="G5305" s="41" t="s">
        <v>16180</v>
      </c>
      <c r="H5305" s="41" t="s">
        <v>16181</v>
      </c>
      <c r="I5305" s="43">
        <v>12</v>
      </c>
      <c r="J5305" s="44" t="str">
        <f>VLOOKUP(G5305,[1]硬件清单!$F:$F,1,0)</f>
        <v>FOC21172AF5</v>
      </c>
      <c r="K5305" s="43"/>
      <c r="L5305" s="44"/>
      <c r="M5305" s="45" t="s">
        <v>16182</v>
      </c>
    </row>
    <row r="5306" s="28" customFormat="1" ht="30" customHeight="1" spans="1:13">
      <c r="A5306" s="41">
        <f>IF(C5306="","",SUBTOTAL(103,$C$2:C5306))</f>
        <v>5297</v>
      </c>
      <c r="B5306" s="41">
        <v>3788</v>
      </c>
      <c r="C5306" s="41">
        <v>11141</v>
      </c>
      <c r="D5306" s="41" t="s">
        <v>19</v>
      </c>
      <c r="E5306" s="41" t="s">
        <v>20</v>
      </c>
      <c r="F5306" s="41" t="s">
        <v>10023</v>
      </c>
      <c r="G5306" s="41" t="s">
        <v>16183</v>
      </c>
      <c r="H5306" s="41" t="s">
        <v>16184</v>
      </c>
      <c r="I5306" s="43">
        <v>12</v>
      </c>
      <c r="J5306" s="44" t="str">
        <f>VLOOKUP(G5306,[1]硬件清单!$F:$F,1,0)</f>
        <v>210235A0U0H134000226</v>
      </c>
      <c r="K5306" s="43"/>
      <c r="L5306" s="44"/>
      <c r="M5306" s="45" t="s">
        <v>16185</v>
      </c>
    </row>
    <row r="5307" s="28" customFormat="1" ht="30" customHeight="1" spans="1:13">
      <c r="A5307" s="41">
        <f>IF(C5307="","",SUBTOTAL(103,$C$2:C5307))</f>
        <v>5298</v>
      </c>
      <c r="B5307" s="41">
        <v>3789</v>
      </c>
      <c r="C5307" s="41">
        <v>11140</v>
      </c>
      <c r="D5307" s="41" t="s">
        <v>19</v>
      </c>
      <c r="E5307" s="41" t="s">
        <v>20</v>
      </c>
      <c r="F5307" s="41" t="s">
        <v>10023</v>
      </c>
      <c r="G5307" s="41" t="s">
        <v>16186</v>
      </c>
      <c r="H5307" s="41" t="s">
        <v>16187</v>
      </c>
      <c r="I5307" s="43">
        <v>12</v>
      </c>
      <c r="J5307" s="44" t="str">
        <f>VLOOKUP(G5307,[1]硬件清单!$F:$F,1,0)</f>
        <v>210235A0U0H137000015</v>
      </c>
      <c r="K5307" s="43"/>
      <c r="L5307" s="44"/>
      <c r="M5307" s="45" t="s">
        <v>16188</v>
      </c>
    </row>
    <row r="5308" s="28" customFormat="1" ht="30" customHeight="1" spans="1:13">
      <c r="A5308" s="41">
        <f>IF(C5308="","",SUBTOTAL(103,$C$2:C5308))</f>
        <v>5299</v>
      </c>
      <c r="B5308" s="41">
        <v>3790</v>
      </c>
      <c r="C5308" s="41">
        <v>11139</v>
      </c>
      <c r="D5308" s="41" t="s">
        <v>19</v>
      </c>
      <c r="E5308" s="41" t="s">
        <v>20</v>
      </c>
      <c r="F5308" s="41" t="s">
        <v>10023</v>
      </c>
      <c r="G5308" s="41" t="s">
        <v>16189</v>
      </c>
      <c r="H5308" s="41" t="s">
        <v>16190</v>
      </c>
      <c r="I5308" s="43">
        <v>12</v>
      </c>
      <c r="J5308" s="44" t="str">
        <f>VLOOKUP(G5308,[1]硬件清单!$F:$F,1,0)</f>
        <v>210235A0U0H139000108</v>
      </c>
      <c r="K5308" s="43"/>
      <c r="L5308" s="44"/>
      <c r="M5308" s="45" t="s">
        <v>16191</v>
      </c>
    </row>
    <row r="5309" s="28" customFormat="1" ht="30" customHeight="1" spans="1:13">
      <c r="A5309" s="41">
        <f>IF(C5309="","",SUBTOTAL(103,$C$2:C5309))</f>
        <v>5300</v>
      </c>
      <c r="B5309" s="41">
        <v>3791</v>
      </c>
      <c r="C5309" s="41">
        <v>13133</v>
      </c>
      <c r="D5309" s="41" t="s">
        <v>19</v>
      </c>
      <c r="E5309" s="41" t="s">
        <v>20</v>
      </c>
      <c r="F5309" s="41" t="s">
        <v>11153</v>
      </c>
      <c r="G5309" s="41" t="s">
        <v>16192</v>
      </c>
      <c r="H5309" s="41" t="s">
        <v>16193</v>
      </c>
      <c r="I5309" s="43">
        <v>12</v>
      </c>
      <c r="J5309" s="44" t="str">
        <f>VLOOKUP(G5309,[1]硬件清单!$F:$F,1,0)</f>
        <v>JAE23070N69</v>
      </c>
      <c r="K5309" s="43"/>
      <c r="L5309" s="44"/>
      <c r="M5309" s="45" t="s">
        <v>16194</v>
      </c>
    </row>
    <row r="5310" s="28" customFormat="1" ht="30" customHeight="1" spans="1:13">
      <c r="A5310" s="41">
        <f>IF(C5310="","",SUBTOTAL(103,$C$2:C5310))</f>
        <v>5301</v>
      </c>
      <c r="B5310" s="41">
        <v>3792</v>
      </c>
      <c r="C5310" s="41">
        <v>11138</v>
      </c>
      <c r="D5310" s="41" t="s">
        <v>19</v>
      </c>
      <c r="E5310" s="41" t="s">
        <v>20</v>
      </c>
      <c r="F5310" s="41" t="s">
        <v>10023</v>
      </c>
      <c r="G5310" s="41" t="s">
        <v>16195</v>
      </c>
      <c r="H5310" s="41" t="s">
        <v>16196</v>
      </c>
      <c r="I5310" s="43">
        <v>12</v>
      </c>
      <c r="J5310" s="44" t="str">
        <f>VLOOKUP(G5310,[1]硬件清单!$F:$F,1,0)</f>
        <v>210235A0U0H137000032</v>
      </c>
      <c r="K5310" s="43"/>
      <c r="L5310" s="44"/>
      <c r="M5310" s="45" t="s">
        <v>16197</v>
      </c>
    </row>
    <row r="5311" s="28" customFormat="1" ht="30" customHeight="1" spans="1:13">
      <c r="A5311" s="41">
        <f>IF(C5311="","",SUBTOTAL(103,$C$2:C5311))</f>
        <v>5302</v>
      </c>
      <c r="B5311" s="41">
        <v>3793</v>
      </c>
      <c r="C5311" s="41">
        <v>14316</v>
      </c>
      <c r="D5311" s="41" t="s">
        <v>19</v>
      </c>
      <c r="E5311" s="41" t="s">
        <v>20</v>
      </c>
      <c r="F5311" s="41" t="s">
        <v>16198</v>
      </c>
      <c r="G5311" s="41" t="s">
        <v>16199</v>
      </c>
      <c r="H5311" s="41" t="s">
        <v>16200</v>
      </c>
      <c r="I5311" s="43">
        <v>12</v>
      </c>
      <c r="J5311" s="44" t="str">
        <f>VLOOKUP(G5311,[1]硬件清单!$F:$F,1,0)</f>
        <v>210235A1DWH165000050</v>
      </c>
      <c r="K5311" s="43"/>
      <c r="L5311" s="44"/>
      <c r="M5311" s="45" t="s">
        <v>16201</v>
      </c>
    </row>
    <row r="5312" s="28" customFormat="1" ht="30" customHeight="1" spans="1:13">
      <c r="A5312" s="41">
        <f>IF(C5312="","",SUBTOTAL(103,$C$2:C5312))</f>
        <v>5303</v>
      </c>
      <c r="B5312" s="41">
        <v>3794</v>
      </c>
      <c r="C5312" s="41">
        <v>14315</v>
      </c>
      <c r="D5312" s="41" t="s">
        <v>19</v>
      </c>
      <c r="E5312" s="41" t="s">
        <v>20</v>
      </c>
      <c r="F5312" s="41" t="s">
        <v>16198</v>
      </c>
      <c r="G5312" s="41" t="s">
        <v>16202</v>
      </c>
      <c r="H5312" s="41" t="s">
        <v>16203</v>
      </c>
      <c r="I5312" s="43">
        <v>12</v>
      </c>
      <c r="J5312" s="44" t="str">
        <f>VLOOKUP(G5312,[1]硬件清单!$F:$F,1,0)</f>
        <v>210235A1DWH165000006</v>
      </c>
      <c r="K5312" s="43"/>
      <c r="L5312" s="44"/>
      <c r="M5312" s="45" t="s">
        <v>16204</v>
      </c>
    </row>
    <row r="5313" s="28" customFormat="1" ht="30" customHeight="1" spans="1:13">
      <c r="A5313" s="41">
        <f>IF(C5313="","",SUBTOTAL(103,$C$2:C5313))</f>
        <v>5304</v>
      </c>
      <c r="B5313" s="41">
        <v>3893</v>
      </c>
      <c r="C5313" s="46">
        <v>10489</v>
      </c>
      <c r="D5313" s="46" t="s">
        <v>19</v>
      </c>
      <c r="E5313" s="46" t="s">
        <v>20</v>
      </c>
      <c r="F5313" s="46" t="s">
        <v>15491</v>
      </c>
      <c r="G5313" s="41" t="s">
        <v>16205</v>
      </c>
      <c r="H5313" s="41" t="s">
        <v>16206</v>
      </c>
      <c r="I5313" s="43">
        <v>12</v>
      </c>
      <c r="J5313" s="44" t="str">
        <f>VLOOKUP(G5313,[1]硬件清单!$F:$F,1,0)</f>
        <v>FOC2004R0ZE</v>
      </c>
      <c r="K5313" s="43"/>
      <c r="L5313" s="44"/>
      <c r="M5313" s="45" t="s">
        <v>16207</v>
      </c>
    </row>
    <row r="5314" s="28" customFormat="1" ht="30" customHeight="1" spans="1:13">
      <c r="A5314" s="41">
        <f>IF(C5314="","",SUBTOTAL(103,$C$2:C5314))</f>
        <v>5305</v>
      </c>
      <c r="B5314" s="41">
        <v>3896</v>
      </c>
      <c r="C5314" s="41">
        <v>11167</v>
      </c>
      <c r="D5314" s="41" t="s">
        <v>19</v>
      </c>
      <c r="E5314" s="41" t="s">
        <v>20</v>
      </c>
      <c r="F5314" s="41" t="s">
        <v>10033</v>
      </c>
      <c r="G5314" s="41" t="s">
        <v>16208</v>
      </c>
      <c r="H5314" s="41" t="s">
        <v>16209</v>
      </c>
      <c r="I5314" s="43">
        <v>12</v>
      </c>
      <c r="J5314" s="44" t="str">
        <f>VLOOKUP(G5314,[1]硬件清单!$F:$F,1,0)</f>
        <v>210235AOHAH14A000395</v>
      </c>
      <c r="K5314" s="43"/>
      <c r="L5314" s="44"/>
      <c r="M5314" s="45" t="s">
        <v>16210</v>
      </c>
    </row>
    <row r="5315" s="28" customFormat="1" ht="30" customHeight="1" spans="1:13">
      <c r="A5315" s="41">
        <f>IF(C5315="","",SUBTOTAL(103,$C$2:C5315))</f>
        <v>5306</v>
      </c>
      <c r="B5315" s="41">
        <v>3897</v>
      </c>
      <c r="C5315" s="41">
        <v>11166</v>
      </c>
      <c r="D5315" s="41" t="s">
        <v>19</v>
      </c>
      <c r="E5315" s="41" t="s">
        <v>20</v>
      </c>
      <c r="F5315" s="41" t="s">
        <v>10033</v>
      </c>
      <c r="G5315" s="41" t="s">
        <v>16211</v>
      </c>
      <c r="H5315" s="41" t="s">
        <v>16212</v>
      </c>
      <c r="I5315" s="43">
        <v>12</v>
      </c>
      <c r="J5315" s="44" t="str">
        <f>VLOOKUP(G5315,[1]硬件清单!$F:$F,1,0)</f>
        <v>210235AOHAH14A000310</v>
      </c>
      <c r="K5315" s="43"/>
      <c r="L5315" s="44"/>
      <c r="M5315" s="45" t="s">
        <v>16213</v>
      </c>
    </row>
    <row r="5316" s="28" customFormat="1" ht="30" customHeight="1" spans="1:13">
      <c r="A5316" s="41">
        <f>IF(C5316="","",SUBTOTAL(103,$C$2:C5316))</f>
        <v>5307</v>
      </c>
      <c r="B5316" s="41">
        <v>3898</v>
      </c>
      <c r="C5316" s="41">
        <v>11172</v>
      </c>
      <c r="D5316" s="41" t="s">
        <v>19</v>
      </c>
      <c r="E5316" s="41" t="s">
        <v>20</v>
      </c>
      <c r="F5316" s="41" t="s">
        <v>10033</v>
      </c>
      <c r="G5316" s="41" t="s">
        <v>16214</v>
      </c>
      <c r="H5316" s="41" t="s">
        <v>16215</v>
      </c>
      <c r="I5316" s="43">
        <v>12</v>
      </c>
      <c r="J5316" s="44" t="str">
        <f>VLOOKUP(G5316,[1]硬件清单!$F:$F,1,0)</f>
        <v>210235AOHAH14A000243</v>
      </c>
      <c r="K5316" s="43"/>
      <c r="L5316" s="44"/>
      <c r="M5316" s="45" t="s">
        <v>16216</v>
      </c>
    </row>
    <row r="5317" s="28" customFormat="1" ht="30" customHeight="1" spans="1:13">
      <c r="A5317" s="41">
        <f>IF(C5317="","",SUBTOTAL(103,$C$2:C5317))</f>
        <v>5308</v>
      </c>
      <c r="B5317" s="41">
        <v>3899</v>
      </c>
      <c r="C5317" s="41">
        <v>10107</v>
      </c>
      <c r="D5317" s="41" t="s">
        <v>19</v>
      </c>
      <c r="E5317" s="41" t="s">
        <v>20</v>
      </c>
      <c r="F5317" s="41" t="s">
        <v>11422</v>
      </c>
      <c r="G5317" s="41" t="s">
        <v>16217</v>
      </c>
      <c r="H5317" s="41" t="s">
        <v>16218</v>
      </c>
      <c r="I5317" s="43">
        <v>12</v>
      </c>
      <c r="J5317" s="44" t="str">
        <f>VLOOKUP(G5317,[1]硬件清单!$F:$F,1,0)</f>
        <v>210235AOHAH127000138</v>
      </c>
      <c r="K5317" s="43"/>
      <c r="L5317" s="44"/>
      <c r="M5317" s="45" t="s">
        <v>16219</v>
      </c>
    </row>
    <row r="5318" s="28" customFormat="1" ht="30" customHeight="1" spans="1:13">
      <c r="A5318" s="41">
        <f>IF(C5318="","",SUBTOTAL(103,$C$2:C5318))</f>
        <v>5309</v>
      </c>
      <c r="B5318" s="41">
        <v>3900</v>
      </c>
      <c r="C5318" s="41">
        <v>4803</v>
      </c>
      <c r="D5318" s="41" t="s">
        <v>19</v>
      </c>
      <c r="E5318" s="41" t="s">
        <v>20</v>
      </c>
      <c r="F5318" s="41" t="s">
        <v>10077</v>
      </c>
      <c r="G5318" s="41" t="s">
        <v>16220</v>
      </c>
      <c r="H5318" s="41" t="s">
        <v>16221</v>
      </c>
      <c r="I5318" s="43">
        <v>12</v>
      </c>
      <c r="J5318" s="44" t="str">
        <f>VLOOKUP(G5318,[1]硬件清单!$F:$F,1,0)</f>
        <v>210235A1TXH179000211</v>
      </c>
      <c r="K5318" s="43"/>
      <c r="L5318" s="44"/>
      <c r="M5318" s="45" t="s">
        <v>16222</v>
      </c>
    </row>
    <row r="5319" s="28" customFormat="1" ht="30" customHeight="1" spans="1:13">
      <c r="A5319" s="41">
        <f>IF(C5319="","",SUBTOTAL(103,$C$2:C5319))</f>
        <v>5310</v>
      </c>
      <c r="B5319" s="41">
        <v>3901</v>
      </c>
      <c r="C5319" s="41">
        <v>4804</v>
      </c>
      <c r="D5319" s="41" t="s">
        <v>19</v>
      </c>
      <c r="E5319" s="41" t="s">
        <v>20</v>
      </c>
      <c r="F5319" s="41" t="s">
        <v>10077</v>
      </c>
      <c r="G5319" s="41" t="s">
        <v>16223</v>
      </c>
      <c r="H5319" s="41" t="s">
        <v>16224</v>
      </c>
      <c r="I5319" s="43">
        <v>12</v>
      </c>
      <c r="J5319" s="44" t="str">
        <f>VLOOKUP(G5319,[1]硬件清单!$F:$F,1,0)</f>
        <v>210235A1TXH179000231</v>
      </c>
      <c r="K5319" s="43"/>
      <c r="L5319" s="44"/>
      <c r="M5319" s="45" t="s">
        <v>16225</v>
      </c>
    </row>
    <row r="5320" s="28" customFormat="1" ht="30" customHeight="1" spans="1:13">
      <c r="A5320" s="41">
        <f>IF(C5320="","",SUBTOTAL(103,$C$2:C5320))</f>
        <v>5311</v>
      </c>
      <c r="B5320" s="41">
        <v>3902</v>
      </c>
      <c r="C5320" s="41">
        <v>13130</v>
      </c>
      <c r="D5320" s="41" t="s">
        <v>19</v>
      </c>
      <c r="E5320" s="41" t="s">
        <v>20</v>
      </c>
      <c r="F5320" s="41" t="s">
        <v>11153</v>
      </c>
      <c r="G5320" s="41" t="s">
        <v>16226</v>
      </c>
      <c r="H5320" s="41" t="s">
        <v>16227</v>
      </c>
      <c r="I5320" s="43">
        <v>12</v>
      </c>
      <c r="J5320" s="44" t="str">
        <f>VLOOKUP(G5320,[1]硬件清单!$F:$F,1,0)</f>
        <v>JAE23070N6K</v>
      </c>
      <c r="K5320" s="43"/>
      <c r="L5320" s="44"/>
      <c r="M5320" s="45" t="s">
        <v>16228</v>
      </c>
    </row>
    <row r="5321" s="28" customFormat="1" ht="30" customHeight="1" spans="1:13">
      <c r="A5321" s="41">
        <f>IF(C5321="","",SUBTOTAL(103,$C$2:C5321))</f>
        <v>5312</v>
      </c>
      <c r="B5321" s="41">
        <v>3903</v>
      </c>
      <c r="C5321" s="41">
        <v>13605</v>
      </c>
      <c r="D5321" s="41" t="s">
        <v>19</v>
      </c>
      <c r="E5321" s="41" t="s">
        <v>20</v>
      </c>
      <c r="F5321" s="41" t="s">
        <v>3778</v>
      </c>
      <c r="G5321" s="41" t="s">
        <v>16229</v>
      </c>
      <c r="H5321" s="41" t="s">
        <v>16230</v>
      </c>
      <c r="I5321" s="43">
        <v>12</v>
      </c>
      <c r="J5321" s="44" t="str">
        <f>VLOOKUP(G5321,[1]硬件清单!$F:$F,1,0)</f>
        <v>2102350DLVDMK8000258</v>
      </c>
      <c r="K5321" s="43"/>
      <c r="L5321" s="44"/>
      <c r="M5321" s="45" t="s">
        <v>16231</v>
      </c>
    </row>
    <row r="5322" s="28" customFormat="1" ht="30" customHeight="1" spans="1:13">
      <c r="A5322" s="41">
        <f>IF(C5322="","",SUBTOTAL(103,$C$2:C5322))</f>
        <v>5313</v>
      </c>
      <c r="B5322" s="41">
        <v>3909</v>
      </c>
      <c r="C5322" s="41">
        <v>11174</v>
      </c>
      <c r="D5322" s="41" t="s">
        <v>19</v>
      </c>
      <c r="E5322" s="41" t="s">
        <v>20</v>
      </c>
      <c r="F5322" s="41" t="s">
        <v>10033</v>
      </c>
      <c r="G5322" s="41" t="s">
        <v>16232</v>
      </c>
      <c r="H5322" s="41" t="s">
        <v>16233</v>
      </c>
      <c r="I5322" s="43">
        <v>12</v>
      </c>
      <c r="J5322" s="44" t="str">
        <f>VLOOKUP(G5322,[1]硬件清单!$F:$F,1,0)</f>
        <v>210235a0h9h149000010</v>
      </c>
      <c r="K5322" s="43"/>
      <c r="L5322" s="44"/>
      <c r="M5322" s="45" t="s">
        <v>16234</v>
      </c>
    </row>
    <row r="5323" s="28" customFormat="1" ht="30" customHeight="1" spans="1:13">
      <c r="A5323" s="41">
        <f>IF(C5323="","",SUBTOTAL(103,$C$2:C5323))</f>
        <v>5314</v>
      </c>
      <c r="B5323" s="41">
        <v>3910</v>
      </c>
      <c r="C5323" s="41">
        <v>7448</v>
      </c>
      <c r="D5323" s="41" t="s">
        <v>19</v>
      </c>
      <c r="E5323" s="41" t="s">
        <v>20</v>
      </c>
      <c r="F5323" s="41" t="s">
        <v>16235</v>
      </c>
      <c r="G5323" s="41" t="s">
        <v>16236</v>
      </c>
      <c r="H5323" s="41" t="s">
        <v>16237</v>
      </c>
      <c r="I5323" s="43">
        <v>12</v>
      </c>
      <c r="J5323" s="44" t="str">
        <f>VLOOKUP(G5323,[1]硬件清单!$F:$F,1,0)</f>
        <v>210235A0H9H149000013</v>
      </c>
      <c r="K5323" s="43"/>
      <c r="L5323" s="44"/>
      <c r="M5323" s="45" t="s">
        <v>16238</v>
      </c>
    </row>
    <row r="5324" s="28" customFormat="1" ht="30" customHeight="1" spans="1:13">
      <c r="A5324" s="41">
        <f>IF(C5324="","",SUBTOTAL(103,$C$2:C5324))</f>
        <v>5315</v>
      </c>
      <c r="B5324" s="41">
        <v>3911</v>
      </c>
      <c r="C5324" s="41">
        <v>7449</v>
      </c>
      <c r="D5324" s="41" t="s">
        <v>19</v>
      </c>
      <c r="E5324" s="41" t="s">
        <v>20</v>
      </c>
      <c r="F5324" s="41" t="s">
        <v>8893</v>
      </c>
      <c r="G5324" s="41" t="s">
        <v>16239</v>
      </c>
      <c r="H5324" s="41" t="s">
        <v>16240</v>
      </c>
      <c r="I5324" s="43">
        <v>12</v>
      </c>
      <c r="J5324" s="44" t="str">
        <f>VLOOKUP(G5324,[1]硬件清单!$F:$F,1,0)</f>
        <v>210235A0HAH14A000001</v>
      </c>
      <c r="K5324" s="43"/>
      <c r="L5324" s="44"/>
      <c r="M5324" s="45" t="s">
        <v>16241</v>
      </c>
    </row>
    <row r="5325" s="28" customFormat="1" ht="30" customHeight="1" spans="1:13">
      <c r="A5325" s="41">
        <f>IF(C5325="","",SUBTOTAL(103,$C$2:C5325))</f>
        <v>5316</v>
      </c>
      <c r="B5325" s="41">
        <v>3912</v>
      </c>
      <c r="C5325" s="41">
        <v>7450</v>
      </c>
      <c r="D5325" s="41" t="s">
        <v>19</v>
      </c>
      <c r="E5325" s="41" t="s">
        <v>20</v>
      </c>
      <c r="F5325" s="41" t="s">
        <v>8893</v>
      </c>
      <c r="G5325" s="41" t="s">
        <v>16242</v>
      </c>
      <c r="H5325" s="41" t="s">
        <v>16243</v>
      </c>
      <c r="I5325" s="43">
        <v>12</v>
      </c>
      <c r="J5325" s="44" t="str">
        <f>VLOOKUP(G5325,[1]硬件清单!$F:$F,1,0)</f>
        <v>210235A0HAH14A000022</v>
      </c>
      <c r="K5325" s="43"/>
      <c r="L5325" s="44"/>
      <c r="M5325" s="45" t="s">
        <v>16244</v>
      </c>
    </row>
    <row r="5326" s="28" customFormat="1" ht="30" customHeight="1" spans="1:13">
      <c r="A5326" s="41">
        <f>IF(C5326="","",SUBTOTAL(103,$C$2:C5326))</f>
        <v>5317</v>
      </c>
      <c r="B5326" s="41">
        <v>3913</v>
      </c>
      <c r="C5326" s="41">
        <v>7447</v>
      </c>
      <c r="D5326" s="41" t="s">
        <v>19</v>
      </c>
      <c r="E5326" s="41" t="s">
        <v>20</v>
      </c>
      <c r="F5326" s="41" t="s">
        <v>16235</v>
      </c>
      <c r="G5326" s="41" t="s">
        <v>16245</v>
      </c>
      <c r="H5326" s="41" t="s">
        <v>16246</v>
      </c>
      <c r="I5326" s="43">
        <v>12</v>
      </c>
      <c r="J5326" s="44" t="str">
        <f>VLOOKUP(G5326,[1]硬件清单!$F:$F,1,0)</f>
        <v>210235A0HAH14A000354</v>
      </c>
      <c r="K5326" s="43"/>
      <c r="L5326" s="44"/>
      <c r="M5326" s="45" t="s">
        <v>16247</v>
      </c>
    </row>
    <row r="5327" s="28" customFormat="1" ht="30" customHeight="1" spans="1:13">
      <c r="A5327" s="41">
        <f>IF(C5327="","",SUBTOTAL(103,$C$2:C5327))</f>
        <v>5318</v>
      </c>
      <c r="B5327" s="41">
        <v>3914</v>
      </c>
      <c r="C5327" s="41">
        <v>7440</v>
      </c>
      <c r="D5327" s="41" t="s">
        <v>19</v>
      </c>
      <c r="E5327" s="41" t="s">
        <v>20</v>
      </c>
      <c r="F5327" s="41" t="s">
        <v>8893</v>
      </c>
      <c r="G5327" s="41" t="s">
        <v>16248</v>
      </c>
      <c r="H5327" s="41" t="s">
        <v>16249</v>
      </c>
      <c r="I5327" s="43">
        <v>12</v>
      </c>
      <c r="J5327" s="44" t="str">
        <f>VLOOKUP(G5327,[1]硬件清单!$F:$F,1,0)</f>
        <v>210235A0HAH14A000101</v>
      </c>
      <c r="K5327" s="43"/>
      <c r="L5327" s="44"/>
      <c r="M5327" s="45" t="s">
        <v>16250</v>
      </c>
    </row>
    <row r="5328" s="28" customFormat="1" ht="30" customHeight="1" spans="1:13">
      <c r="A5328" s="41">
        <f>IF(C5328="","",SUBTOTAL(103,$C$2:C5328))</f>
        <v>5319</v>
      </c>
      <c r="B5328" s="41">
        <v>3915</v>
      </c>
      <c r="C5328" s="41">
        <v>7439</v>
      </c>
      <c r="D5328" s="41" t="s">
        <v>19</v>
      </c>
      <c r="E5328" s="41" t="s">
        <v>20</v>
      </c>
      <c r="F5328" s="41" t="s">
        <v>8893</v>
      </c>
      <c r="G5328" s="41" t="s">
        <v>16251</v>
      </c>
      <c r="H5328" s="41" t="s">
        <v>16252</v>
      </c>
      <c r="I5328" s="43">
        <v>12</v>
      </c>
      <c r="J5328" s="44" t="str">
        <f>VLOOKUP(G5328,[1]硬件清单!$F:$F,1,0)</f>
        <v>210235A0HAH14A000110</v>
      </c>
      <c r="K5328" s="43"/>
      <c r="L5328" s="44"/>
      <c r="M5328" s="45" t="s">
        <v>16253</v>
      </c>
    </row>
    <row r="5329" s="28" customFormat="1" ht="30" customHeight="1" spans="1:13">
      <c r="A5329" s="41">
        <f>IF(C5329="","",SUBTOTAL(103,$C$2:C5329))</f>
        <v>5320</v>
      </c>
      <c r="B5329" s="41">
        <v>3916</v>
      </c>
      <c r="C5329" s="41">
        <v>7445</v>
      </c>
      <c r="D5329" s="41" t="s">
        <v>19</v>
      </c>
      <c r="E5329" s="41" t="s">
        <v>20</v>
      </c>
      <c r="F5329" s="41" t="s">
        <v>8893</v>
      </c>
      <c r="G5329" s="41" t="s">
        <v>16254</v>
      </c>
      <c r="H5329" s="41" t="s">
        <v>16255</v>
      </c>
      <c r="I5329" s="43">
        <v>12</v>
      </c>
      <c r="J5329" s="44" t="str">
        <f>VLOOKUP(G5329,[1]硬件清单!$F:$F,1,0)</f>
        <v>210235A0HAH14A000107</v>
      </c>
      <c r="K5329" s="43"/>
      <c r="L5329" s="44"/>
      <c r="M5329" s="45" t="s">
        <v>16256</v>
      </c>
    </row>
    <row r="5330" s="28" customFormat="1" ht="30" customHeight="1" spans="1:13">
      <c r="A5330" s="41">
        <f>IF(C5330="","",SUBTOTAL(103,$C$2:C5330))</f>
        <v>5321</v>
      </c>
      <c r="B5330" s="41">
        <v>3917</v>
      </c>
      <c r="C5330" s="41">
        <v>7446</v>
      </c>
      <c r="D5330" s="41" t="s">
        <v>19</v>
      </c>
      <c r="E5330" s="41" t="s">
        <v>20</v>
      </c>
      <c r="F5330" s="41" t="s">
        <v>8893</v>
      </c>
      <c r="G5330" s="41" t="s">
        <v>16257</v>
      </c>
      <c r="H5330" s="41" t="s">
        <v>16258</v>
      </c>
      <c r="I5330" s="43">
        <v>12</v>
      </c>
      <c r="J5330" s="44" t="str">
        <f>VLOOKUP(G5330,[1]硬件清单!$F:$F,1,0)</f>
        <v>210235A0HAH14A000199</v>
      </c>
      <c r="K5330" s="43"/>
      <c r="L5330" s="44"/>
      <c r="M5330" s="45" t="s">
        <v>16259</v>
      </c>
    </row>
    <row r="5331" s="28" customFormat="1" ht="30" customHeight="1" spans="1:13">
      <c r="A5331" s="41">
        <f>IF(C5331="","",SUBTOTAL(103,$C$2:C5331))</f>
        <v>5322</v>
      </c>
      <c r="B5331" s="41">
        <v>3920</v>
      </c>
      <c r="C5331" s="41">
        <v>11146</v>
      </c>
      <c r="D5331" s="41" t="s">
        <v>19</v>
      </c>
      <c r="E5331" s="41" t="s">
        <v>20</v>
      </c>
      <c r="F5331" s="41" t="s">
        <v>10033</v>
      </c>
      <c r="G5331" s="41" t="s">
        <v>16260</v>
      </c>
      <c r="H5331" s="41" t="s">
        <v>16261</v>
      </c>
      <c r="I5331" s="43">
        <v>12</v>
      </c>
      <c r="J5331" s="44" t="str">
        <f>VLOOKUP(G5331,[1]硬件清单!$F:$F,1,0)</f>
        <v>210235AOHAH14A000368</v>
      </c>
      <c r="K5331" s="43"/>
      <c r="L5331" s="44"/>
      <c r="M5331" s="47" t="s">
        <v>16262</v>
      </c>
    </row>
    <row r="5332" s="28" customFormat="1" ht="30" customHeight="1" spans="1:13">
      <c r="A5332" s="41">
        <f>IF(C5332="","",SUBTOTAL(103,$C$2:C5332))</f>
        <v>5323</v>
      </c>
      <c r="B5332" s="41">
        <v>3921</v>
      </c>
      <c r="C5332" s="41">
        <v>11147</v>
      </c>
      <c r="D5332" s="41" t="s">
        <v>19</v>
      </c>
      <c r="E5332" s="41" t="s">
        <v>20</v>
      </c>
      <c r="F5332" s="41" t="s">
        <v>10033</v>
      </c>
      <c r="G5332" s="41" t="s">
        <v>16263</v>
      </c>
      <c r="H5332" s="41" t="s">
        <v>16264</v>
      </c>
      <c r="I5332" s="43">
        <v>12</v>
      </c>
      <c r="J5332" s="44" t="str">
        <f>VLOOKUP(G5332,[1]硬件清单!$F:$F,1,0)</f>
        <v>210235AOHAH14A000298</v>
      </c>
      <c r="K5332" s="43"/>
      <c r="L5332" s="44"/>
      <c r="M5332" s="45" t="s">
        <v>16265</v>
      </c>
    </row>
    <row r="5333" s="28" customFormat="1" ht="30" customHeight="1" spans="1:13">
      <c r="A5333" s="41">
        <f>IF(C5333="","",SUBTOTAL(103,$C$2:C5333))</f>
        <v>5324</v>
      </c>
      <c r="B5333" s="41">
        <v>3922</v>
      </c>
      <c r="C5333" s="41">
        <v>11145</v>
      </c>
      <c r="D5333" s="41" t="s">
        <v>19</v>
      </c>
      <c r="E5333" s="41" t="s">
        <v>20</v>
      </c>
      <c r="F5333" s="41" t="s">
        <v>10033</v>
      </c>
      <c r="G5333" s="41" t="s">
        <v>16266</v>
      </c>
      <c r="H5333" s="41" t="s">
        <v>16267</v>
      </c>
      <c r="I5333" s="43">
        <v>12</v>
      </c>
      <c r="J5333" s="44" t="str">
        <f>VLOOKUP(G5333,[1]硬件清单!$F:$F,1,0)</f>
        <v>210235AOHAH14A000294</v>
      </c>
      <c r="K5333" s="43"/>
      <c r="L5333" s="44"/>
      <c r="M5333" s="45" t="s">
        <v>16268</v>
      </c>
    </row>
    <row r="5334" s="28" customFormat="1" ht="30" customHeight="1" spans="1:13">
      <c r="A5334" s="41">
        <f>IF(C5334="","",SUBTOTAL(103,$C$2:C5334))</f>
        <v>5325</v>
      </c>
      <c r="B5334" s="41">
        <v>3923</v>
      </c>
      <c r="C5334" s="41">
        <v>11144</v>
      </c>
      <c r="D5334" s="41" t="s">
        <v>19</v>
      </c>
      <c r="E5334" s="41" t="s">
        <v>20</v>
      </c>
      <c r="F5334" s="41" t="s">
        <v>10033</v>
      </c>
      <c r="G5334" s="41" t="s">
        <v>16269</v>
      </c>
      <c r="H5334" s="41" t="s">
        <v>16270</v>
      </c>
      <c r="I5334" s="43">
        <v>12</v>
      </c>
      <c r="J5334" s="44" t="str">
        <f>VLOOKUP(G5334,[1]硬件清单!$F:$F,1,0)</f>
        <v>210235AOHAH14A000309</v>
      </c>
      <c r="K5334" s="43"/>
      <c r="L5334" s="44"/>
      <c r="M5334" s="45" t="s">
        <v>16271</v>
      </c>
    </row>
    <row r="5335" s="28" customFormat="1" ht="30" customHeight="1" spans="1:13">
      <c r="A5335" s="41">
        <f>IF(C5335="","",SUBTOTAL(103,$C$2:C5335))</f>
        <v>5326</v>
      </c>
      <c r="B5335" s="41">
        <v>3938</v>
      </c>
      <c r="C5335" s="41">
        <v>10913</v>
      </c>
      <c r="D5335" s="41" t="s">
        <v>45</v>
      </c>
      <c r="E5335" s="41" t="s">
        <v>1298</v>
      </c>
      <c r="F5335" s="41" t="s">
        <v>6965</v>
      </c>
      <c r="G5335" s="41" t="s">
        <v>16272</v>
      </c>
      <c r="H5335" s="41" t="s">
        <v>16273</v>
      </c>
      <c r="I5335" s="43">
        <v>12</v>
      </c>
      <c r="J5335" s="44" t="str">
        <f>VLOOKUP(G5335,[1]硬件清单!$F:$F,1,0)</f>
        <v>06CT312</v>
      </c>
      <c r="K5335" s="43"/>
      <c r="L5335" s="44"/>
      <c r="M5335" s="45" t="s">
        <v>16274</v>
      </c>
    </row>
    <row r="5336" s="28" customFormat="1" ht="30" customHeight="1" spans="1:13">
      <c r="A5336" s="41">
        <f>IF(C5336="","",SUBTOTAL(103,$C$2:C5336))</f>
        <v>5327</v>
      </c>
      <c r="B5336" s="41">
        <v>3939</v>
      </c>
      <c r="C5336" s="41">
        <v>10912</v>
      </c>
      <c r="D5336" s="41" t="s">
        <v>45</v>
      </c>
      <c r="E5336" s="41" t="s">
        <v>1298</v>
      </c>
      <c r="F5336" s="41" t="s">
        <v>6965</v>
      </c>
      <c r="G5336" s="41" t="s">
        <v>16275</v>
      </c>
      <c r="H5336" s="41" t="s">
        <v>16276</v>
      </c>
      <c r="I5336" s="43">
        <v>12</v>
      </c>
      <c r="J5336" s="44" t="str">
        <f>VLOOKUP(G5336,[1]硬件清单!$F:$F,1,0)</f>
        <v>06CT304</v>
      </c>
      <c r="K5336" s="43"/>
      <c r="L5336" s="44"/>
      <c r="M5336" s="45" t="s">
        <v>16277</v>
      </c>
    </row>
    <row r="5337" s="28" customFormat="1" ht="30" customHeight="1" spans="1:13">
      <c r="A5337" s="41">
        <f>IF(C5337="","",SUBTOTAL(103,$C$2:C5337))</f>
        <v>5328</v>
      </c>
      <c r="B5337" s="41">
        <v>3940</v>
      </c>
      <c r="C5337" s="41">
        <v>10915</v>
      </c>
      <c r="D5337" s="41" t="s">
        <v>45</v>
      </c>
      <c r="E5337" s="41" t="s">
        <v>1298</v>
      </c>
      <c r="F5337" s="41" t="s">
        <v>6965</v>
      </c>
      <c r="G5337" s="41" t="s">
        <v>16278</v>
      </c>
      <c r="H5337" s="41" t="s">
        <v>16279</v>
      </c>
      <c r="I5337" s="43">
        <v>12</v>
      </c>
      <c r="J5337" s="44" t="str">
        <f>VLOOKUP(G5337,[1]硬件清单!$F:$F,1,0)</f>
        <v>06CP863</v>
      </c>
      <c r="K5337" s="43"/>
      <c r="L5337" s="44"/>
      <c r="M5337" s="45" t="s">
        <v>16280</v>
      </c>
    </row>
    <row r="5338" s="28" customFormat="1" ht="30" customHeight="1" spans="1:13">
      <c r="A5338" s="41">
        <f>IF(C5338="","",SUBTOTAL(103,$C$2:C5338))</f>
        <v>5329</v>
      </c>
      <c r="B5338" s="41">
        <v>3941</v>
      </c>
      <c r="C5338" s="41">
        <v>10914</v>
      </c>
      <c r="D5338" s="41" t="s">
        <v>45</v>
      </c>
      <c r="E5338" s="41" t="s">
        <v>1298</v>
      </c>
      <c r="F5338" s="41" t="s">
        <v>6965</v>
      </c>
      <c r="G5338" s="41" t="s">
        <v>16281</v>
      </c>
      <c r="H5338" s="41" t="s">
        <v>16282</v>
      </c>
      <c r="I5338" s="43">
        <v>12</v>
      </c>
      <c r="J5338" s="44" t="str">
        <f>VLOOKUP(G5338,[1]硬件清单!$F:$F,1,0)</f>
        <v>06CT341</v>
      </c>
      <c r="K5338" s="43"/>
      <c r="L5338" s="44"/>
      <c r="M5338" s="45" t="s">
        <v>16283</v>
      </c>
    </row>
    <row r="5339" s="28" customFormat="1" ht="30" customHeight="1" spans="1:13">
      <c r="A5339" s="41">
        <f>IF(C5339="","",SUBTOTAL(103,$C$2:C5339))</f>
        <v>5330</v>
      </c>
      <c r="B5339" s="41">
        <v>3942</v>
      </c>
      <c r="C5339" s="41">
        <v>10888</v>
      </c>
      <c r="D5339" s="41" t="s">
        <v>45</v>
      </c>
      <c r="E5339" s="41" t="s">
        <v>1298</v>
      </c>
      <c r="F5339" s="41" t="s">
        <v>6965</v>
      </c>
      <c r="G5339" s="41" t="s">
        <v>16284</v>
      </c>
      <c r="H5339" s="41" t="s">
        <v>16285</v>
      </c>
      <c r="I5339" s="43">
        <v>12</v>
      </c>
      <c r="J5339" s="44" t="str">
        <f>VLOOKUP(G5339,[1]硬件清单!$F:$F,1,0)</f>
        <v>06CP587</v>
      </c>
      <c r="K5339" s="43"/>
      <c r="L5339" s="44"/>
      <c r="M5339" s="45" t="s">
        <v>16286</v>
      </c>
    </row>
    <row r="5340" s="28" customFormat="1" ht="30" customHeight="1" spans="1:13">
      <c r="A5340" s="41">
        <f>IF(C5340="","",SUBTOTAL(103,$C$2:C5340))</f>
        <v>5331</v>
      </c>
      <c r="B5340" s="41">
        <v>3943</v>
      </c>
      <c r="C5340" s="41">
        <v>10887</v>
      </c>
      <c r="D5340" s="41" t="s">
        <v>45</v>
      </c>
      <c r="E5340" s="41" t="s">
        <v>1298</v>
      </c>
      <c r="F5340" s="41" t="s">
        <v>6965</v>
      </c>
      <c r="G5340" s="41" t="s">
        <v>16287</v>
      </c>
      <c r="H5340" s="41" t="s">
        <v>16288</v>
      </c>
      <c r="I5340" s="43">
        <v>12</v>
      </c>
      <c r="J5340" s="44" t="str">
        <f>VLOOKUP(G5340,[1]硬件清单!$F:$F,1,0)</f>
        <v>06CP591</v>
      </c>
      <c r="K5340" s="43"/>
      <c r="L5340" s="44"/>
      <c r="M5340" s="45" t="s">
        <v>16289</v>
      </c>
    </row>
    <row r="5341" s="28" customFormat="1" ht="30" customHeight="1" spans="1:13">
      <c r="A5341" s="41">
        <f>IF(C5341="","",SUBTOTAL(103,$C$2:C5341))</f>
        <v>5332</v>
      </c>
      <c r="B5341" s="41">
        <v>3944</v>
      </c>
      <c r="C5341" s="41">
        <v>10886</v>
      </c>
      <c r="D5341" s="41" t="s">
        <v>45</v>
      </c>
      <c r="E5341" s="41" t="s">
        <v>1298</v>
      </c>
      <c r="F5341" s="41" t="s">
        <v>6965</v>
      </c>
      <c r="G5341" s="41" t="s">
        <v>16290</v>
      </c>
      <c r="H5341" s="41" t="s">
        <v>16291</v>
      </c>
      <c r="I5341" s="43">
        <v>12</v>
      </c>
      <c r="J5341" s="44" t="str">
        <f>VLOOKUP(G5341,[1]硬件清单!$F:$F,1,0)</f>
        <v>06CP588</v>
      </c>
      <c r="K5341" s="43"/>
      <c r="L5341" s="44"/>
      <c r="M5341" s="45" t="s">
        <v>16292</v>
      </c>
    </row>
    <row r="5342" s="28" customFormat="1" ht="30" customHeight="1" spans="1:13">
      <c r="A5342" s="41">
        <f>IF(C5342="","",SUBTOTAL(103,$C$2:C5342))</f>
        <v>5333</v>
      </c>
      <c r="B5342" s="41">
        <v>3945</v>
      </c>
      <c r="C5342" s="41">
        <v>10885</v>
      </c>
      <c r="D5342" s="41" t="s">
        <v>45</v>
      </c>
      <c r="E5342" s="41" t="s">
        <v>1298</v>
      </c>
      <c r="F5342" s="41" t="s">
        <v>6965</v>
      </c>
      <c r="G5342" s="41" t="s">
        <v>16293</v>
      </c>
      <c r="H5342" s="41" t="s">
        <v>16294</v>
      </c>
      <c r="I5342" s="43">
        <v>12</v>
      </c>
      <c r="J5342" s="44" t="str">
        <f>VLOOKUP(G5342,[1]硬件清单!$F:$F,1,0)</f>
        <v>06CP592</v>
      </c>
      <c r="K5342" s="43"/>
      <c r="L5342" s="44"/>
      <c r="M5342" s="45" t="s">
        <v>16295</v>
      </c>
    </row>
    <row r="5343" s="28" customFormat="1" ht="30" customHeight="1" spans="1:13">
      <c r="A5343" s="41">
        <f>IF(C5343="","",SUBTOTAL(103,$C$2:C5343))</f>
        <v>5334</v>
      </c>
      <c r="B5343" s="41">
        <v>3946</v>
      </c>
      <c r="C5343" s="41">
        <v>10884</v>
      </c>
      <c r="D5343" s="41" t="s">
        <v>45</v>
      </c>
      <c r="E5343" s="41" t="s">
        <v>1298</v>
      </c>
      <c r="F5343" s="41" t="s">
        <v>6965</v>
      </c>
      <c r="G5343" s="41" t="s">
        <v>16296</v>
      </c>
      <c r="H5343" s="41" t="s">
        <v>16297</v>
      </c>
      <c r="I5343" s="43">
        <v>12</v>
      </c>
      <c r="J5343" s="44" t="str">
        <f>VLOOKUP(G5343,[1]硬件清单!$F:$F,1,0)</f>
        <v>06CP582</v>
      </c>
      <c r="K5343" s="43"/>
      <c r="L5343" s="44"/>
      <c r="M5343" s="45" t="s">
        <v>16298</v>
      </c>
    </row>
    <row r="5344" s="28" customFormat="1" ht="30" customHeight="1" spans="1:13">
      <c r="A5344" s="41">
        <f>IF(C5344="","",SUBTOTAL(103,$C$2:C5344))</f>
        <v>5335</v>
      </c>
      <c r="B5344" s="41">
        <v>3947</v>
      </c>
      <c r="C5344" s="41">
        <v>10890</v>
      </c>
      <c r="D5344" s="41" t="s">
        <v>45</v>
      </c>
      <c r="E5344" s="41" t="s">
        <v>1298</v>
      </c>
      <c r="F5344" s="41" t="s">
        <v>6965</v>
      </c>
      <c r="G5344" s="41" t="s">
        <v>16299</v>
      </c>
      <c r="H5344" s="41" t="s">
        <v>16300</v>
      </c>
      <c r="I5344" s="43">
        <v>12</v>
      </c>
      <c r="J5344" s="44" t="str">
        <f>VLOOKUP(G5344,[1]硬件清单!$F:$F,1,0)</f>
        <v>06CT317</v>
      </c>
      <c r="K5344" s="43"/>
      <c r="L5344" s="44"/>
      <c r="M5344" s="45" t="s">
        <v>16301</v>
      </c>
    </row>
    <row r="5345" s="28" customFormat="1" ht="30" customHeight="1" spans="1:13">
      <c r="A5345" s="41">
        <f>IF(C5345="","",SUBTOTAL(103,$C$2:C5345))</f>
        <v>5336</v>
      </c>
      <c r="B5345" s="41">
        <v>3948</v>
      </c>
      <c r="C5345" s="41">
        <v>10889</v>
      </c>
      <c r="D5345" s="41" t="s">
        <v>45</v>
      </c>
      <c r="E5345" s="41" t="s">
        <v>1298</v>
      </c>
      <c r="F5345" s="41" t="s">
        <v>6965</v>
      </c>
      <c r="G5345" s="41" t="s">
        <v>16302</v>
      </c>
      <c r="H5345" s="41" t="s">
        <v>16303</v>
      </c>
      <c r="I5345" s="43">
        <v>12</v>
      </c>
      <c r="J5345" s="44" t="str">
        <f>VLOOKUP(G5345,[1]硬件清单!$F:$F,1,0)</f>
        <v>06CP589</v>
      </c>
      <c r="K5345" s="43"/>
      <c r="L5345" s="44"/>
      <c r="M5345" s="45" t="s">
        <v>16304</v>
      </c>
    </row>
    <row r="5346" s="28" customFormat="1" ht="30" customHeight="1" spans="1:13">
      <c r="A5346" s="41">
        <f>IF(C5346="","",SUBTOTAL(103,$C$2:C5346))</f>
        <v>5337</v>
      </c>
      <c r="B5346" s="41">
        <v>3949</v>
      </c>
      <c r="C5346" s="41">
        <v>10895</v>
      </c>
      <c r="D5346" s="41" t="s">
        <v>45</v>
      </c>
      <c r="E5346" s="41" t="s">
        <v>1298</v>
      </c>
      <c r="F5346" s="41" t="s">
        <v>6965</v>
      </c>
      <c r="G5346" s="41" t="s">
        <v>16305</v>
      </c>
      <c r="H5346" s="41" t="s">
        <v>16306</v>
      </c>
      <c r="I5346" s="43">
        <v>12</v>
      </c>
      <c r="J5346" s="44" t="str">
        <f>VLOOKUP(G5346,[1]硬件清单!$F:$F,1,0)</f>
        <v>06CP581</v>
      </c>
      <c r="K5346" s="43"/>
      <c r="L5346" s="44"/>
      <c r="M5346" s="45" t="s">
        <v>16307</v>
      </c>
    </row>
    <row r="5347" s="28" customFormat="1" ht="30" customHeight="1" spans="1:13">
      <c r="A5347" s="41">
        <f>IF(C5347="","",SUBTOTAL(103,$C$2:C5347))</f>
        <v>5338</v>
      </c>
      <c r="B5347" s="41">
        <v>3950</v>
      </c>
      <c r="C5347" s="41">
        <v>10894</v>
      </c>
      <c r="D5347" s="41" t="s">
        <v>45</v>
      </c>
      <c r="E5347" s="41" t="s">
        <v>1298</v>
      </c>
      <c r="F5347" s="41" t="s">
        <v>6965</v>
      </c>
      <c r="G5347" s="41" t="s">
        <v>16308</v>
      </c>
      <c r="H5347" s="41" t="s">
        <v>16309</v>
      </c>
      <c r="I5347" s="43">
        <v>12</v>
      </c>
      <c r="J5347" s="44" t="str">
        <f>VLOOKUP(G5347,[1]硬件清单!$F:$F,1,0)</f>
        <v>06CP586</v>
      </c>
      <c r="K5347" s="43"/>
      <c r="L5347" s="44"/>
      <c r="M5347" s="45" t="s">
        <v>16310</v>
      </c>
    </row>
    <row r="5348" s="28" customFormat="1" ht="30" customHeight="1" spans="1:13">
      <c r="A5348" s="41">
        <f>IF(C5348="","",SUBTOTAL(103,$C$2:C5348))</f>
        <v>5339</v>
      </c>
      <c r="B5348" s="41">
        <v>3951</v>
      </c>
      <c r="C5348" s="41">
        <v>10893</v>
      </c>
      <c r="D5348" s="41" t="s">
        <v>45</v>
      </c>
      <c r="E5348" s="41" t="s">
        <v>1298</v>
      </c>
      <c r="F5348" s="41" t="s">
        <v>6965</v>
      </c>
      <c r="G5348" s="41" t="s">
        <v>16311</v>
      </c>
      <c r="H5348" s="41" t="s">
        <v>16312</v>
      </c>
      <c r="I5348" s="43">
        <v>12</v>
      </c>
      <c r="J5348" s="44" t="str">
        <f>VLOOKUP(G5348,[1]硬件清单!$F:$F,1,0)</f>
        <v>06CT345</v>
      </c>
      <c r="K5348" s="43"/>
      <c r="L5348" s="44"/>
      <c r="M5348" s="45" t="s">
        <v>16313</v>
      </c>
    </row>
    <row r="5349" s="28" customFormat="1" ht="30" customHeight="1" spans="1:13">
      <c r="A5349" s="41">
        <f>IF(C5349="","",SUBTOTAL(103,$C$2:C5349))</f>
        <v>5340</v>
      </c>
      <c r="B5349" s="41">
        <v>3952</v>
      </c>
      <c r="C5349" s="41">
        <v>10892</v>
      </c>
      <c r="D5349" s="41" t="s">
        <v>45</v>
      </c>
      <c r="E5349" s="41" t="s">
        <v>1298</v>
      </c>
      <c r="F5349" s="41" t="s">
        <v>6965</v>
      </c>
      <c r="G5349" s="41" t="s">
        <v>16314</v>
      </c>
      <c r="H5349" s="41" t="s">
        <v>16315</v>
      </c>
      <c r="I5349" s="43">
        <v>12</v>
      </c>
      <c r="J5349" s="44" t="str">
        <f>VLOOKUP(G5349,[1]硬件清单!$F:$F,1,0)</f>
        <v>06CT285</v>
      </c>
      <c r="K5349" s="43"/>
      <c r="L5349" s="44"/>
      <c r="M5349" s="45" t="s">
        <v>16316</v>
      </c>
    </row>
    <row r="5350" s="28" customFormat="1" ht="30" customHeight="1" spans="1:13">
      <c r="A5350" s="41">
        <f>IF(C5350="","",SUBTOTAL(103,$C$2:C5350))</f>
        <v>5341</v>
      </c>
      <c r="B5350" s="41">
        <v>3953</v>
      </c>
      <c r="C5350" s="41">
        <v>10891</v>
      </c>
      <c r="D5350" s="41" t="s">
        <v>45</v>
      </c>
      <c r="E5350" s="41" t="s">
        <v>1298</v>
      </c>
      <c r="F5350" s="41" t="s">
        <v>6965</v>
      </c>
      <c r="G5350" s="41" t="s">
        <v>16317</v>
      </c>
      <c r="H5350" s="41" t="s">
        <v>16318</v>
      </c>
      <c r="I5350" s="43">
        <v>12</v>
      </c>
      <c r="J5350" s="44" t="str">
        <f>VLOOKUP(G5350,[1]硬件清单!$F:$F,1,0)</f>
        <v>06CT330</v>
      </c>
      <c r="K5350" s="43"/>
      <c r="L5350" s="44"/>
      <c r="M5350" s="45" t="s">
        <v>16319</v>
      </c>
    </row>
    <row r="5351" s="28" customFormat="1" ht="30" customHeight="1" spans="1:13">
      <c r="A5351" s="41">
        <f>IF(C5351="","",SUBTOTAL(103,$C$2:C5351))</f>
        <v>5342</v>
      </c>
      <c r="B5351" s="41">
        <v>3954</v>
      </c>
      <c r="C5351" s="41">
        <v>10897</v>
      </c>
      <c r="D5351" s="41" t="s">
        <v>45</v>
      </c>
      <c r="E5351" s="41" t="s">
        <v>1298</v>
      </c>
      <c r="F5351" s="41" t="s">
        <v>6965</v>
      </c>
      <c r="G5351" s="41" t="s">
        <v>16320</v>
      </c>
      <c r="H5351" s="41" t="s">
        <v>16321</v>
      </c>
      <c r="I5351" s="43">
        <v>12</v>
      </c>
      <c r="J5351" s="44" t="str">
        <f>VLOOKUP(G5351,[1]硬件清单!$F:$F,1,0)</f>
        <v>06CT315</v>
      </c>
      <c r="K5351" s="43"/>
      <c r="L5351" s="44"/>
      <c r="M5351" s="45" t="s">
        <v>16322</v>
      </c>
    </row>
    <row r="5352" s="28" customFormat="1" ht="30" customHeight="1" spans="1:13">
      <c r="A5352" s="41">
        <f>IF(C5352="","",SUBTOTAL(103,$C$2:C5352))</f>
        <v>5343</v>
      </c>
      <c r="B5352" s="41">
        <v>3955</v>
      </c>
      <c r="C5352" s="41">
        <v>10896</v>
      </c>
      <c r="D5352" s="41" t="s">
        <v>45</v>
      </c>
      <c r="E5352" s="41" t="s">
        <v>1298</v>
      </c>
      <c r="F5352" s="41" t="s">
        <v>6965</v>
      </c>
      <c r="G5352" s="41" t="s">
        <v>16323</v>
      </c>
      <c r="H5352" s="41" t="s">
        <v>16324</v>
      </c>
      <c r="I5352" s="43">
        <v>12</v>
      </c>
      <c r="J5352" s="44" t="str">
        <f>VLOOKUP(G5352,[1]硬件清单!$F:$F,1,0)</f>
        <v>06CP861</v>
      </c>
      <c r="K5352" s="43"/>
      <c r="L5352" s="44"/>
      <c r="M5352" s="45" t="s">
        <v>16325</v>
      </c>
    </row>
    <row r="5353" s="28" customFormat="1" ht="30" customHeight="1" spans="1:13">
      <c r="A5353" s="41">
        <f>IF(C5353="","",SUBTOTAL(103,$C$2:C5353))</f>
        <v>5344</v>
      </c>
      <c r="B5353" s="41">
        <v>3956</v>
      </c>
      <c r="C5353" s="41">
        <v>10880</v>
      </c>
      <c r="D5353" s="41" t="s">
        <v>45</v>
      </c>
      <c r="E5353" s="41" t="s">
        <v>1298</v>
      </c>
      <c r="F5353" s="41" t="s">
        <v>1455</v>
      </c>
      <c r="G5353" s="41" t="s">
        <v>16326</v>
      </c>
      <c r="H5353" s="41" t="s">
        <v>16327</v>
      </c>
      <c r="I5353" s="43">
        <v>12</v>
      </c>
      <c r="J5353" s="44" t="str">
        <f>VLOOKUP(G5353,[1]硬件清单!$F:$F,1,0)</f>
        <v>2102300742N0F3000277</v>
      </c>
      <c r="K5353" s="43"/>
      <c r="L5353" s="44"/>
      <c r="M5353" s="45" t="s">
        <v>16328</v>
      </c>
    </row>
    <row r="5354" s="28" customFormat="1" ht="30" customHeight="1" spans="1:13">
      <c r="A5354" s="41">
        <f>IF(C5354="","",SUBTOTAL(103,$C$2:C5354))</f>
        <v>5345</v>
      </c>
      <c r="B5354" s="41">
        <v>3957</v>
      </c>
      <c r="C5354" s="41">
        <v>10808</v>
      </c>
      <c r="D5354" s="41" t="s">
        <v>45</v>
      </c>
      <c r="E5354" s="41" t="s">
        <v>1298</v>
      </c>
      <c r="F5354" s="41" t="s">
        <v>8153</v>
      </c>
      <c r="G5354" s="41" t="s">
        <v>16329</v>
      </c>
      <c r="H5354" s="41" t="s">
        <v>16330</v>
      </c>
      <c r="I5354" s="43">
        <v>12</v>
      </c>
      <c r="J5354" s="44" t="str">
        <f>VLOOKUP(G5354,[1]硬件清单!$F:$F,1,0)</f>
        <v>210305485510F4000998</v>
      </c>
      <c r="K5354" s="43"/>
      <c r="L5354" s="44"/>
      <c r="M5354" s="45" t="s">
        <v>16331</v>
      </c>
    </row>
    <row r="5355" s="28" customFormat="1" ht="30" customHeight="1" spans="1:13">
      <c r="A5355" s="41">
        <f>IF(C5355="","",SUBTOTAL(103,$C$2:C5355))</f>
        <v>5346</v>
      </c>
      <c r="B5355" s="41">
        <v>3958</v>
      </c>
      <c r="C5355" s="41">
        <v>10809</v>
      </c>
      <c r="D5355" s="41" t="s">
        <v>45</v>
      </c>
      <c r="E5355" s="41" t="s">
        <v>1298</v>
      </c>
      <c r="F5355" s="41" t="s">
        <v>8153</v>
      </c>
      <c r="G5355" s="41" t="s">
        <v>16332</v>
      </c>
      <c r="H5355" s="41" t="s">
        <v>16333</v>
      </c>
      <c r="I5355" s="43">
        <v>12</v>
      </c>
      <c r="J5355" s="44" t="str">
        <f>VLOOKUP(G5355,[1]硬件清单!$F:$F,1,0)</f>
        <v>210305485510F4001009</v>
      </c>
      <c r="K5355" s="43"/>
      <c r="L5355" s="44"/>
      <c r="M5355" s="45" t="s">
        <v>16334</v>
      </c>
    </row>
    <row r="5356" s="28" customFormat="1" ht="30" customHeight="1" spans="1:13">
      <c r="A5356" s="41">
        <f>IF(C5356="","",SUBTOTAL(103,$C$2:C5356))</f>
        <v>5347</v>
      </c>
      <c r="B5356" s="41">
        <v>3959</v>
      </c>
      <c r="C5356" s="41">
        <v>10810</v>
      </c>
      <c r="D5356" s="41" t="s">
        <v>45</v>
      </c>
      <c r="E5356" s="41" t="s">
        <v>1298</v>
      </c>
      <c r="F5356" s="41" t="s">
        <v>8153</v>
      </c>
      <c r="G5356" s="41" t="s">
        <v>16335</v>
      </c>
      <c r="H5356" s="41" t="s">
        <v>16336</v>
      </c>
      <c r="I5356" s="43">
        <v>12</v>
      </c>
      <c r="J5356" s="44" t="str">
        <f>VLOOKUP(G5356,[1]硬件清单!$F:$F,1,0)</f>
        <v>210305485510F4001006</v>
      </c>
      <c r="K5356" s="43"/>
      <c r="L5356" s="44"/>
      <c r="M5356" s="45" t="s">
        <v>16337</v>
      </c>
    </row>
    <row r="5357" s="28" customFormat="1" ht="30" customHeight="1" spans="1:13">
      <c r="A5357" s="41">
        <f>IF(C5357="","",SUBTOTAL(103,$C$2:C5357))</f>
        <v>5348</v>
      </c>
      <c r="B5357" s="41">
        <v>3960</v>
      </c>
      <c r="C5357" s="41">
        <v>10811</v>
      </c>
      <c r="D5357" s="41" t="s">
        <v>45</v>
      </c>
      <c r="E5357" s="41" t="s">
        <v>1298</v>
      </c>
      <c r="F5357" s="41" t="s">
        <v>8153</v>
      </c>
      <c r="G5357" s="41" t="s">
        <v>16338</v>
      </c>
      <c r="H5357" s="41" t="s">
        <v>16339</v>
      </c>
      <c r="I5357" s="43">
        <v>12</v>
      </c>
      <c r="J5357" s="44" t="str">
        <f>VLOOKUP(G5357,[1]硬件清单!$F:$F,1,0)</f>
        <v>210305485510F4001012</v>
      </c>
      <c r="K5357" s="43"/>
      <c r="L5357" s="44"/>
      <c r="M5357" s="45" t="s">
        <v>16340</v>
      </c>
    </row>
    <row r="5358" s="28" customFormat="1" ht="30" customHeight="1" spans="1:13">
      <c r="A5358" s="41">
        <f>IF(C5358="","",SUBTOTAL(103,$C$2:C5358))</f>
        <v>5349</v>
      </c>
      <c r="B5358" s="41">
        <v>3961</v>
      </c>
      <c r="C5358" s="41">
        <v>10812</v>
      </c>
      <c r="D5358" s="41" t="s">
        <v>45</v>
      </c>
      <c r="E5358" s="41" t="s">
        <v>1298</v>
      </c>
      <c r="F5358" s="41" t="s">
        <v>8153</v>
      </c>
      <c r="G5358" s="41" t="s">
        <v>16341</v>
      </c>
      <c r="H5358" s="41" t="s">
        <v>16342</v>
      </c>
      <c r="I5358" s="43">
        <v>12</v>
      </c>
      <c r="J5358" s="44" t="str">
        <f>VLOOKUP(G5358,[1]硬件清单!$F:$F,1,0)</f>
        <v>210305485510F4000997</v>
      </c>
      <c r="K5358" s="43"/>
      <c r="L5358" s="44"/>
      <c r="M5358" s="45" t="s">
        <v>16343</v>
      </c>
    </row>
    <row r="5359" s="28" customFormat="1" ht="30" customHeight="1" spans="1:13">
      <c r="A5359" s="41">
        <f>IF(C5359="","",SUBTOTAL(103,$C$2:C5359))</f>
        <v>5350</v>
      </c>
      <c r="B5359" s="41">
        <v>3962</v>
      </c>
      <c r="C5359" s="41">
        <v>10813</v>
      </c>
      <c r="D5359" s="41" t="s">
        <v>45</v>
      </c>
      <c r="E5359" s="41" t="s">
        <v>1298</v>
      </c>
      <c r="F5359" s="41" t="s">
        <v>8153</v>
      </c>
      <c r="G5359" s="41" t="s">
        <v>16344</v>
      </c>
      <c r="H5359" s="41" t="s">
        <v>16345</v>
      </c>
      <c r="I5359" s="43">
        <v>12</v>
      </c>
      <c r="J5359" s="44" t="str">
        <f>VLOOKUP(G5359,[1]硬件清单!$F:$F,1,0)</f>
        <v>210305485510F4001015</v>
      </c>
      <c r="K5359" s="43"/>
      <c r="L5359" s="44"/>
      <c r="M5359" s="45" t="s">
        <v>16346</v>
      </c>
    </row>
    <row r="5360" s="28" customFormat="1" ht="30" customHeight="1" spans="1:13">
      <c r="A5360" s="41">
        <f>IF(C5360="","",SUBTOTAL(103,$C$2:C5360))</f>
        <v>5351</v>
      </c>
      <c r="B5360" s="41">
        <v>3963</v>
      </c>
      <c r="C5360" s="41">
        <v>10814</v>
      </c>
      <c r="D5360" s="41" t="s">
        <v>45</v>
      </c>
      <c r="E5360" s="41" t="s">
        <v>1298</v>
      </c>
      <c r="F5360" s="41" t="s">
        <v>8153</v>
      </c>
      <c r="G5360" s="41" t="s">
        <v>16347</v>
      </c>
      <c r="H5360" s="41" t="s">
        <v>16348</v>
      </c>
      <c r="I5360" s="43">
        <v>12</v>
      </c>
      <c r="J5360" s="44" t="str">
        <f>VLOOKUP(G5360,[1]硬件清单!$F:$F,1,0)</f>
        <v>210305485510F4001008</v>
      </c>
      <c r="K5360" s="43"/>
      <c r="L5360" s="44"/>
      <c r="M5360" s="45" t="s">
        <v>16349</v>
      </c>
    </row>
    <row r="5361" s="28" customFormat="1" ht="30" customHeight="1" spans="1:13">
      <c r="A5361" s="41">
        <f>IF(C5361="","",SUBTOTAL(103,$C$2:C5361))</f>
        <v>5352</v>
      </c>
      <c r="B5361" s="41">
        <v>3964</v>
      </c>
      <c r="C5361" s="41">
        <v>10815</v>
      </c>
      <c r="D5361" s="41" t="s">
        <v>45</v>
      </c>
      <c r="E5361" s="41" t="s">
        <v>1298</v>
      </c>
      <c r="F5361" s="41" t="s">
        <v>8153</v>
      </c>
      <c r="G5361" s="41" t="s">
        <v>16350</v>
      </c>
      <c r="H5361" s="41" t="s">
        <v>16351</v>
      </c>
      <c r="I5361" s="43">
        <v>12</v>
      </c>
      <c r="J5361" s="44" t="str">
        <f>VLOOKUP(G5361,[1]硬件清单!$F:$F,1,0)</f>
        <v>210305485510F4001007</v>
      </c>
      <c r="K5361" s="43"/>
      <c r="L5361" s="44"/>
      <c r="M5361" s="45" t="s">
        <v>16352</v>
      </c>
    </row>
    <row r="5362" s="28" customFormat="1" ht="30" customHeight="1" spans="1:13">
      <c r="A5362" s="41">
        <f>IF(C5362="","",SUBTOTAL(103,$C$2:C5362))</f>
        <v>5353</v>
      </c>
      <c r="B5362" s="41">
        <v>3965</v>
      </c>
      <c r="C5362" s="41">
        <v>10816</v>
      </c>
      <c r="D5362" s="41" t="s">
        <v>45</v>
      </c>
      <c r="E5362" s="41" t="s">
        <v>1298</v>
      </c>
      <c r="F5362" s="41" t="s">
        <v>8153</v>
      </c>
      <c r="G5362" s="41" t="s">
        <v>16353</v>
      </c>
      <c r="H5362" s="41" t="s">
        <v>16354</v>
      </c>
      <c r="I5362" s="43">
        <v>12</v>
      </c>
      <c r="J5362" s="44" t="str">
        <f>VLOOKUP(G5362,[1]硬件清单!$F:$F,1,0)</f>
        <v>210305485510F4000999</v>
      </c>
      <c r="K5362" s="43"/>
      <c r="L5362" s="44"/>
      <c r="M5362" s="45" t="s">
        <v>16355</v>
      </c>
    </row>
    <row r="5363" s="28" customFormat="1" ht="30" customHeight="1" spans="1:13">
      <c r="A5363" s="41">
        <f>IF(C5363="","",SUBTOTAL(103,$C$2:C5363))</f>
        <v>5354</v>
      </c>
      <c r="B5363" s="41">
        <v>3966</v>
      </c>
      <c r="C5363" s="41">
        <v>10817</v>
      </c>
      <c r="D5363" s="41" t="s">
        <v>45</v>
      </c>
      <c r="E5363" s="41" t="s">
        <v>1298</v>
      </c>
      <c r="F5363" s="41" t="s">
        <v>8153</v>
      </c>
      <c r="G5363" s="41" t="s">
        <v>16356</v>
      </c>
      <c r="H5363" s="41" t="s">
        <v>16357</v>
      </c>
      <c r="I5363" s="43">
        <v>12</v>
      </c>
      <c r="J5363" s="44" t="str">
        <f>VLOOKUP(G5363,[1]硬件清单!$F:$F,1,0)</f>
        <v>210305485510F4001000</v>
      </c>
      <c r="K5363" s="43"/>
      <c r="L5363" s="44"/>
      <c r="M5363" s="45" t="s">
        <v>16358</v>
      </c>
    </row>
    <row r="5364" s="28" customFormat="1" ht="30" customHeight="1" spans="1:13">
      <c r="A5364" s="41">
        <f>IF(C5364="","",SUBTOTAL(103,$C$2:C5364))</f>
        <v>5355</v>
      </c>
      <c r="B5364" s="41">
        <v>3967</v>
      </c>
      <c r="C5364" s="41">
        <v>10818</v>
      </c>
      <c r="D5364" s="41" t="s">
        <v>45</v>
      </c>
      <c r="E5364" s="41" t="s">
        <v>1298</v>
      </c>
      <c r="F5364" s="41" t="s">
        <v>8153</v>
      </c>
      <c r="G5364" s="41" t="s">
        <v>16359</v>
      </c>
      <c r="H5364" s="41" t="s">
        <v>16360</v>
      </c>
      <c r="I5364" s="43">
        <v>12</v>
      </c>
      <c r="J5364" s="44" t="str">
        <f>VLOOKUP(G5364,[1]硬件清单!$F:$F,1,0)</f>
        <v>210305485510F4001011</v>
      </c>
      <c r="K5364" s="43"/>
      <c r="L5364" s="44"/>
      <c r="M5364" s="45" t="s">
        <v>16361</v>
      </c>
    </row>
    <row r="5365" s="28" customFormat="1" ht="30" customHeight="1" spans="1:13">
      <c r="A5365" s="41">
        <f>IF(C5365="","",SUBTOTAL(103,$C$2:C5365))</f>
        <v>5356</v>
      </c>
      <c r="B5365" s="41">
        <v>3968</v>
      </c>
      <c r="C5365" s="41">
        <v>10819</v>
      </c>
      <c r="D5365" s="41" t="s">
        <v>45</v>
      </c>
      <c r="E5365" s="41" t="s">
        <v>1298</v>
      </c>
      <c r="F5365" s="41" t="s">
        <v>8153</v>
      </c>
      <c r="G5365" s="41" t="s">
        <v>16362</v>
      </c>
      <c r="H5365" s="41" t="s">
        <v>16363</v>
      </c>
      <c r="I5365" s="43">
        <v>12</v>
      </c>
      <c r="J5365" s="44" t="str">
        <f>VLOOKUP(G5365,[1]硬件清单!$F:$F,1,0)</f>
        <v>210305485510F4001019</v>
      </c>
      <c r="K5365" s="43"/>
      <c r="L5365" s="44"/>
      <c r="M5365" s="45" t="s">
        <v>16364</v>
      </c>
    </row>
    <row r="5366" s="28" customFormat="1" ht="30" customHeight="1" spans="1:13">
      <c r="A5366" s="41">
        <f>IF(C5366="","",SUBTOTAL(103,$C$2:C5366))</f>
        <v>5357</v>
      </c>
      <c r="B5366" s="41">
        <v>3973</v>
      </c>
      <c r="C5366" s="41">
        <v>10881</v>
      </c>
      <c r="D5366" s="41" t="s">
        <v>45</v>
      </c>
      <c r="E5366" s="41" t="s">
        <v>1298</v>
      </c>
      <c r="F5366" s="41" t="s">
        <v>1455</v>
      </c>
      <c r="G5366" s="41" t="s">
        <v>16365</v>
      </c>
      <c r="H5366" s="41" t="s">
        <v>16366</v>
      </c>
      <c r="I5366" s="43">
        <v>12</v>
      </c>
      <c r="J5366" s="44" t="str">
        <f>VLOOKUP(G5366,[1]硬件清单!$F:$F,1,0)</f>
        <v>2102300742N0F4000161</v>
      </c>
      <c r="K5366" s="43"/>
      <c r="L5366" s="44"/>
      <c r="M5366" s="45" t="s">
        <v>16367</v>
      </c>
    </row>
    <row r="5367" s="28" customFormat="1" ht="30" customHeight="1" spans="1:13">
      <c r="A5367" s="41">
        <f>IF(C5367="","",SUBTOTAL(103,$C$2:C5367))</f>
        <v>5358</v>
      </c>
      <c r="B5367" s="41">
        <v>3974</v>
      </c>
      <c r="C5367" s="41">
        <v>10824</v>
      </c>
      <c r="D5367" s="41" t="s">
        <v>45</v>
      </c>
      <c r="E5367" s="41" t="s">
        <v>1298</v>
      </c>
      <c r="F5367" s="41" t="s">
        <v>8153</v>
      </c>
      <c r="G5367" s="41" t="s">
        <v>16368</v>
      </c>
      <c r="H5367" s="41" t="s">
        <v>16369</v>
      </c>
      <c r="I5367" s="43">
        <v>12</v>
      </c>
      <c r="J5367" s="44" t="str">
        <f>VLOOKUP(G5367,[1]硬件清单!$F:$F,1,0)</f>
        <v>210305485510F4001010</v>
      </c>
      <c r="K5367" s="43"/>
      <c r="L5367" s="44"/>
      <c r="M5367" s="45" t="s">
        <v>16370</v>
      </c>
    </row>
    <row r="5368" s="28" customFormat="1" ht="30" customHeight="1" spans="1:13">
      <c r="A5368" s="41">
        <f>IF(C5368="","",SUBTOTAL(103,$C$2:C5368))</f>
        <v>5359</v>
      </c>
      <c r="B5368" s="41">
        <v>3975</v>
      </c>
      <c r="C5368" s="41">
        <v>10825</v>
      </c>
      <c r="D5368" s="41" t="s">
        <v>45</v>
      </c>
      <c r="E5368" s="41" t="s">
        <v>1298</v>
      </c>
      <c r="F5368" s="41" t="s">
        <v>8153</v>
      </c>
      <c r="G5368" s="41" t="s">
        <v>16371</v>
      </c>
      <c r="H5368" s="41" t="s">
        <v>16372</v>
      </c>
      <c r="I5368" s="43">
        <v>12</v>
      </c>
      <c r="J5368" s="44" t="str">
        <f>VLOOKUP(G5368,[1]硬件清单!$F:$F,1,0)</f>
        <v>210305485510F4000992</v>
      </c>
      <c r="K5368" s="43"/>
      <c r="L5368" s="44"/>
      <c r="M5368" s="45" t="s">
        <v>16373</v>
      </c>
    </row>
    <row r="5369" s="28" customFormat="1" ht="30" customHeight="1" spans="1:13">
      <c r="A5369" s="41">
        <f>IF(C5369="","",SUBTOTAL(103,$C$2:C5369))</f>
        <v>5360</v>
      </c>
      <c r="B5369" s="41">
        <v>3976</v>
      </c>
      <c r="C5369" s="41">
        <v>10826</v>
      </c>
      <c r="D5369" s="41" t="s">
        <v>45</v>
      </c>
      <c r="E5369" s="41" t="s">
        <v>1298</v>
      </c>
      <c r="F5369" s="41" t="s">
        <v>8153</v>
      </c>
      <c r="G5369" s="41" t="s">
        <v>16374</v>
      </c>
      <c r="H5369" s="41" t="s">
        <v>16375</v>
      </c>
      <c r="I5369" s="43">
        <v>12</v>
      </c>
      <c r="J5369" s="44" t="str">
        <f>VLOOKUP(G5369,[1]硬件清单!$F:$F,1,0)</f>
        <v>210305485510F4001005</v>
      </c>
      <c r="K5369" s="43"/>
      <c r="L5369" s="44"/>
      <c r="M5369" s="45" t="s">
        <v>16376</v>
      </c>
    </row>
    <row r="5370" s="28" customFormat="1" ht="30" customHeight="1" spans="1:13">
      <c r="A5370" s="41">
        <f>IF(C5370="","",SUBTOTAL(103,$C$2:C5370))</f>
        <v>5361</v>
      </c>
      <c r="B5370" s="41">
        <v>3977</v>
      </c>
      <c r="C5370" s="41">
        <v>10827</v>
      </c>
      <c r="D5370" s="41" t="s">
        <v>45</v>
      </c>
      <c r="E5370" s="41" t="s">
        <v>1298</v>
      </c>
      <c r="F5370" s="41" t="s">
        <v>8153</v>
      </c>
      <c r="G5370" s="41" t="s">
        <v>16377</v>
      </c>
      <c r="H5370" s="41" t="s">
        <v>16378</v>
      </c>
      <c r="I5370" s="43">
        <v>12</v>
      </c>
      <c r="J5370" s="44" t="str">
        <f>VLOOKUP(G5370,[1]硬件清单!$F:$F,1,0)</f>
        <v>210305485510F4001017</v>
      </c>
      <c r="K5370" s="43"/>
      <c r="L5370" s="44"/>
      <c r="M5370" s="45" t="s">
        <v>16379</v>
      </c>
    </row>
    <row r="5371" s="28" customFormat="1" ht="30" customHeight="1" spans="1:13">
      <c r="A5371" s="41">
        <f>IF(C5371="","",SUBTOTAL(103,$C$2:C5371))</f>
        <v>5362</v>
      </c>
      <c r="B5371" s="41">
        <v>3978</v>
      </c>
      <c r="C5371" s="41">
        <v>10828</v>
      </c>
      <c r="D5371" s="41" t="s">
        <v>45</v>
      </c>
      <c r="E5371" s="41" t="s">
        <v>1298</v>
      </c>
      <c r="F5371" s="41" t="s">
        <v>8153</v>
      </c>
      <c r="G5371" s="41" t="s">
        <v>16380</v>
      </c>
      <c r="H5371" s="41" t="s">
        <v>16381</v>
      </c>
      <c r="I5371" s="43">
        <v>12</v>
      </c>
      <c r="J5371" s="44" t="str">
        <f>VLOOKUP(G5371,[1]硬件清单!$F:$F,1,0)</f>
        <v>210305485510F4000996</v>
      </c>
      <c r="K5371" s="43"/>
      <c r="L5371" s="44"/>
      <c r="M5371" s="45" t="s">
        <v>16382</v>
      </c>
    </row>
    <row r="5372" s="28" customFormat="1" ht="30" customHeight="1" spans="1:13">
      <c r="A5372" s="41">
        <f>IF(C5372="","",SUBTOTAL(103,$C$2:C5372))</f>
        <v>5363</v>
      </c>
      <c r="B5372" s="41">
        <v>3979</v>
      </c>
      <c r="C5372" s="41">
        <v>10829</v>
      </c>
      <c r="D5372" s="41" t="s">
        <v>45</v>
      </c>
      <c r="E5372" s="41" t="s">
        <v>1298</v>
      </c>
      <c r="F5372" s="41" t="s">
        <v>8153</v>
      </c>
      <c r="G5372" s="41" t="s">
        <v>16383</v>
      </c>
      <c r="H5372" s="41" t="s">
        <v>16384</v>
      </c>
      <c r="I5372" s="43">
        <v>12</v>
      </c>
      <c r="J5372" s="44" t="str">
        <f>VLOOKUP(G5372,[1]硬件清单!$F:$F,1,0)</f>
        <v>210305485510F4000995</v>
      </c>
      <c r="K5372" s="43"/>
      <c r="L5372" s="44"/>
      <c r="M5372" s="45" t="s">
        <v>16385</v>
      </c>
    </row>
    <row r="5373" s="28" customFormat="1" ht="30" customHeight="1" spans="1:13">
      <c r="A5373" s="41">
        <f>IF(C5373="","",SUBTOTAL(103,$C$2:C5373))</f>
        <v>5364</v>
      </c>
      <c r="B5373" s="41">
        <v>3980</v>
      </c>
      <c r="C5373" s="41">
        <v>10830</v>
      </c>
      <c r="D5373" s="41" t="s">
        <v>45</v>
      </c>
      <c r="E5373" s="41" t="s">
        <v>1298</v>
      </c>
      <c r="F5373" s="41" t="s">
        <v>8153</v>
      </c>
      <c r="G5373" s="41" t="s">
        <v>16386</v>
      </c>
      <c r="H5373" s="41" t="s">
        <v>16387</v>
      </c>
      <c r="I5373" s="43">
        <v>12</v>
      </c>
      <c r="J5373" s="44" t="str">
        <f>VLOOKUP(G5373,[1]硬件清单!$F:$F,1,0)</f>
        <v>210305485510F4001018</v>
      </c>
      <c r="K5373" s="43"/>
      <c r="L5373" s="44"/>
      <c r="M5373" s="45" t="s">
        <v>16388</v>
      </c>
    </row>
    <row r="5374" s="28" customFormat="1" ht="30" customHeight="1" spans="1:13">
      <c r="A5374" s="41">
        <f>IF(C5374="","",SUBTOTAL(103,$C$2:C5374))</f>
        <v>5365</v>
      </c>
      <c r="B5374" s="41">
        <v>3981</v>
      </c>
      <c r="C5374" s="41">
        <v>10831</v>
      </c>
      <c r="D5374" s="41" t="s">
        <v>45</v>
      </c>
      <c r="E5374" s="41" t="s">
        <v>1298</v>
      </c>
      <c r="F5374" s="41" t="s">
        <v>8153</v>
      </c>
      <c r="G5374" s="41" t="s">
        <v>16389</v>
      </c>
      <c r="H5374" s="41" t="s">
        <v>16390</v>
      </c>
      <c r="I5374" s="43">
        <v>12</v>
      </c>
      <c r="J5374" s="44" t="str">
        <f>VLOOKUP(G5374,[1]硬件清单!$F:$F,1,0)</f>
        <v>210305485510F4000994</v>
      </c>
      <c r="K5374" s="43"/>
      <c r="L5374" s="44"/>
      <c r="M5374" s="45" t="s">
        <v>16391</v>
      </c>
    </row>
    <row r="5375" s="28" customFormat="1" ht="30" customHeight="1" spans="1:13">
      <c r="A5375" s="41">
        <f>IF(C5375="","",SUBTOTAL(103,$C$2:C5375))</f>
        <v>5366</v>
      </c>
      <c r="B5375" s="41">
        <v>3982</v>
      </c>
      <c r="C5375" s="41">
        <v>10864</v>
      </c>
      <c r="D5375" s="41" t="s">
        <v>45</v>
      </c>
      <c r="E5375" s="41" t="s">
        <v>1298</v>
      </c>
      <c r="F5375" s="41" t="s">
        <v>8153</v>
      </c>
      <c r="G5375" s="41" t="s">
        <v>16392</v>
      </c>
      <c r="H5375" s="41" t="s">
        <v>16393</v>
      </c>
      <c r="I5375" s="43">
        <v>12</v>
      </c>
      <c r="J5375" s="44" t="str">
        <f>VLOOKUP(G5375,[1]硬件清单!$F:$F,1,0)</f>
        <v>210305485510F4000991</v>
      </c>
      <c r="K5375" s="43"/>
      <c r="L5375" s="44"/>
      <c r="M5375" s="45" t="s">
        <v>16394</v>
      </c>
    </row>
    <row r="5376" s="28" customFormat="1" ht="30" customHeight="1" spans="1:13">
      <c r="A5376" s="41">
        <f>IF(C5376="","",SUBTOTAL(103,$C$2:C5376))</f>
        <v>5367</v>
      </c>
      <c r="B5376" s="41">
        <v>3983</v>
      </c>
      <c r="C5376" s="41">
        <v>10865</v>
      </c>
      <c r="D5376" s="41" t="s">
        <v>45</v>
      </c>
      <c r="E5376" s="41" t="s">
        <v>1298</v>
      </c>
      <c r="F5376" s="41" t="s">
        <v>8153</v>
      </c>
      <c r="G5376" s="41" t="s">
        <v>16395</v>
      </c>
      <c r="H5376" s="41" t="s">
        <v>16396</v>
      </c>
      <c r="I5376" s="43">
        <v>12</v>
      </c>
      <c r="J5376" s="44" t="str">
        <f>VLOOKUP(G5376,[1]硬件清单!$F:$F,1,0)</f>
        <v>210305485510F4000990</v>
      </c>
      <c r="K5376" s="43"/>
      <c r="L5376" s="44"/>
      <c r="M5376" s="45" t="s">
        <v>16397</v>
      </c>
    </row>
    <row r="5377" s="28" customFormat="1" ht="30" customHeight="1" spans="1:13">
      <c r="A5377" s="41">
        <f>IF(C5377="","",SUBTOTAL(103,$C$2:C5377))</f>
        <v>5368</v>
      </c>
      <c r="B5377" s="41">
        <v>3984</v>
      </c>
      <c r="C5377" s="41">
        <v>10866</v>
      </c>
      <c r="D5377" s="41" t="s">
        <v>45</v>
      </c>
      <c r="E5377" s="41" t="s">
        <v>1298</v>
      </c>
      <c r="F5377" s="41" t="s">
        <v>8153</v>
      </c>
      <c r="G5377" s="41" t="s">
        <v>16398</v>
      </c>
      <c r="H5377" s="41" t="s">
        <v>16399</v>
      </c>
      <c r="I5377" s="43">
        <v>12</v>
      </c>
      <c r="J5377" s="44" t="str">
        <f>VLOOKUP(G5377,[1]硬件清单!$F:$F,1,0)</f>
        <v>210305485510F4000988</v>
      </c>
      <c r="K5377" s="43"/>
      <c r="L5377" s="44"/>
      <c r="M5377" s="45" t="s">
        <v>16400</v>
      </c>
    </row>
    <row r="5378" s="28" customFormat="1" ht="30" customHeight="1" spans="1:13">
      <c r="A5378" s="41">
        <f>IF(C5378="","",SUBTOTAL(103,$C$2:C5378))</f>
        <v>5369</v>
      </c>
      <c r="B5378" s="41">
        <v>3985</v>
      </c>
      <c r="C5378" s="41">
        <v>10867</v>
      </c>
      <c r="D5378" s="41" t="s">
        <v>45</v>
      </c>
      <c r="E5378" s="41" t="s">
        <v>1298</v>
      </c>
      <c r="F5378" s="41" t="s">
        <v>8153</v>
      </c>
      <c r="G5378" s="41" t="s">
        <v>16401</v>
      </c>
      <c r="H5378" s="41" t="s">
        <v>16402</v>
      </c>
      <c r="I5378" s="43">
        <v>12</v>
      </c>
      <c r="J5378" s="44" t="str">
        <f>VLOOKUP(G5378,[1]硬件清单!$F:$F,1,0)</f>
        <v>210305485510F4000984</v>
      </c>
      <c r="K5378" s="43"/>
      <c r="L5378" s="44"/>
      <c r="M5378" s="45" t="s">
        <v>16403</v>
      </c>
    </row>
    <row r="5379" s="28" customFormat="1" ht="30" customHeight="1" spans="1:13">
      <c r="A5379" s="41">
        <f>IF(C5379="","",SUBTOTAL(103,$C$2:C5379))</f>
        <v>5370</v>
      </c>
      <c r="B5379" s="41">
        <v>3986</v>
      </c>
      <c r="C5379" s="41">
        <v>10868</v>
      </c>
      <c r="D5379" s="41" t="s">
        <v>45</v>
      </c>
      <c r="E5379" s="41" t="s">
        <v>1298</v>
      </c>
      <c r="F5379" s="41" t="s">
        <v>8153</v>
      </c>
      <c r="G5379" s="41" t="s">
        <v>16404</v>
      </c>
      <c r="H5379" s="41" t="s">
        <v>16405</v>
      </c>
      <c r="I5379" s="43">
        <v>12</v>
      </c>
      <c r="J5379" s="44" t="str">
        <f>VLOOKUP(G5379,[1]硬件清单!$F:$F,1,0)</f>
        <v>210305485510F4000989</v>
      </c>
      <c r="K5379" s="43"/>
      <c r="L5379" s="44"/>
      <c r="M5379" s="45" t="s">
        <v>16406</v>
      </c>
    </row>
    <row r="5380" s="28" customFormat="1" ht="30" customHeight="1" spans="1:13">
      <c r="A5380" s="41">
        <f>IF(C5380="","",SUBTOTAL(103,$C$2:C5380))</f>
        <v>5371</v>
      </c>
      <c r="B5380" s="41">
        <v>3987</v>
      </c>
      <c r="C5380" s="41">
        <v>10869</v>
      </c>
      <c r="D5380" s="41" t="s">
        <v>45</v>
      </c>
      <c r="E5380" s="41" t="s">
        <v>1298</v>
      </c>
      <c r="F5380" s="41" t="s">
        <v>8153</v>
      </c>
      <c r="G5380" s="41" t="s">
        <v>16407</v>
      </c>
      <c r="H5380" s="41" t="s">
        <v>16408</v>
      </c>
      <c r="I5380" s="43">
        <v>12</v>
      </c>
      <c r="J5380" s="44" t="str">
        <f>VLOOKUP(G5380,[1]硬件清单!$F:$F,1,0)</f>
        <v>210305485510F4000985</v>
      </c>
      <c r="K5380" s="43"/>
      <c r="L5380" s="44"/>
      <c r="M5380" s="45" t="s">
        <v>16409</v>
      </c>
    </row>
    <row r="5381" s="28" customFormat="1" ht="30" customHeight="1" spans="1:13">
      <c r="A5381" s="41">
        <f>IF(C5381="","",SUBTOTAL(103,$C$2:C5381))</f>
        <v>5372</v>
      </c>
      <c r="B5381" s="41">
        <v>3988</v>
      </c>
      <c r="C5381" s="41">
        <v>10870</v>
      </c>
      <c r="D5381" s="41" t="s">
        <v>45</v>
      </c>
      <c r="E5381" s="41" t="s">
        <v>1298</v>
      </c>
      <c r="F5381" s="41" t="s">
        <v>8153</v>
      </c>
      <c r="G5381" s="41" t="s">
        <v>16410</v>
      </c>
      <c r="H5381" s="41" t="s">
        <v>16411</v>
      </c>
      <c r="I5381" s="43">
        <v>12</v>
      </c>
      <c r="J5381" s="44" t="str">
        <f>VLOOKUP(G5381,[1]硬件清单!$F:$F,1,0)</f>
        <v>210305485510F4000987</v>
      </c>
      <c r="K5381" s="43"/>
      <c r="L5381" s="44"/>
      <c r="M5381" s="45" t="s">
        <v>16412</v>
      </c>
    </row>
    <row r="5382" s="28" customFormat="1" ht="30" customHeight="1" spans="1:13">
      <c r="A5382" s="41">
        <f>IF(C5382="","",SUBTOTAL(103,$C$2:C5382))</f>
        <v>5373</v>
      </c>
      <c r="B5382" s="41">
        <v>3989</v>
      </c>
      <c r="C5382" s="41">
        <v>10871</v>
      </c>
      <c r="D5382" s="41" t="s">
        <v>45</v>
      </c>
      <c r="E5382" s="41" t="s">
        <v>1298</v>
      </c>
      <c r="F5382" s="41" t="s">
        <v>8153</v>
      </c>
      <c r="G5382" s="41" t="s">
        <v>16413</v>
      </c>
      <c r="H5382" s="41" t="s">
        <v>16414</v>
      </c>
      <c r="I5382" s="43">
        <v>12</v>
      </c>
      <c r="J5382" s="44" t="str">
        <f>VLOOKUP(G5382,[1]硬件清单!$F:$F,1,0)</f>
        <v>210305485510F4000986</v>
      </c>
      <c r="K5382" s="43"/>
      <c r="L5382" s="44"/>
      <c r="M5382" s="45" t="s">
        <v>16415</v>
      </c>
    </row>
    <row r="5383" s="28" customFormat="1" ht="30" customHeight="1" spans="1:13">
      <c r="A5383" s="41">
        <f>IF(C5383="","",SUBTOTAL(103,$C$2:C5383))</f>
        <v>5374</v>
      </c>
      <c r="B5383" s="41">
        <v>4024</v>
      </c>
      <c r="C5383" s="41">
        <v>10932</v>
      </c>
      <c r="D5383" s="41" t="s">
        <v>45</v>
      </c>
      <c r="E5383" s="41" t="s">
        <v>1298</v>
      </c>
      <c r="F5383" s="41" t="s">
        <v>1455</v>
      </c>
      <c r="G5383" s="41" t="s">
        <v>16416</v>
      </c>
      <c r="H5383" s="41" t="s">
        <v>16417</v>
      </c>
      <c r="I5383" s="43">
        <v>12</v>
      </c>
      <c r="J5383" s="44" t="str">
        <f>VLOOKUP(G5383,[1]硬件清单!$F:$F,1,0)</f>
        <v>2102300742N0F4000027</v>
      </c>
      <c r="K5383" s="43"/>
      <c r="L5383" s="44"/>
      <c r="M5383" s="45" t="s">
        <v>16418</v>
      </c>
    </row>
    <row r="5384" s="28" customFormat="1" ht="30" customHeight="1" spans="1:13">
      <c r="A5384" s="41">
        <f>IF(C5384="","",SUBTOTAL(103,$C$2:C5384))</f>
        <v>5375</v>
      </c>
      <c r="B5384" s="41">
        <v>4025</v>
      </c>
      <c r="C5384" s="41">
        <v>10916</v>
      </c>
      <c r="D5384" s="41" t="s">
        <v>45</v>
      </c>
      <c r="E5384" s="41" t="s">
        <v>1298</v>
      </c>
      <c r="F5384" s="41" t="s">
        <v>8153</v>
      </c>
      <c r="G5384" s="41" t="s">
        <v>16419</v>
      </c>
      <c r="H5384" s="41" t="s">
        <v>16420</v>
      </c>
      <c r="I5384" s="43">
        <v>12</v>
      </c>
      <c r="J5384" s="44" t="str">
        <f>VLOOKUP(G5384,[1]硬件清单!$F:$F,1,0)</f>
        <v>210305485510F4000588</v>
      </c>
      <c r="K5384" s="43"/>
      <c r="L5384" s="44"/>
      <c r="M5384" s="45" t="s">
        <v>16421</v>
      </c>
    </row>
    <row r="5385" s="28" customFormat="1" ht="30" customHeight="1" spans="1:13">
      <c r="A5385" s="41">
        <f>IF(C5385="","",SUBTOTAL(103,$C$2:C5385))</f>
        <v>5376</v>
      </c>
      <c r="B5385" s="41">
        <v>4026</v>
      </c>
      <c r="C5385" s="41">
        <v>10917</v>
      </c>
      <c r="D5385" s="41" t="s">
        <v>45</v>
      </c>
      <c r="E5385" s="41" t="s">
        <v>1298</v>
      </c>
      <c r="F5385" s="41" t="s">
        <v>8153</v>
      </c>
      <c r="G5385" s="41" t="s">
        <v>16422</v>
      </c>
      <c r="H5385" s="41" t="s">
        <v>16423</v>
      </c>
      <c r="I5385" s="43">
        <v>12</v>
      </c>
      <c r="J5385" s="44" t="str">
        <f>VLOOKUP(G5385,[1]硬件清单!$F:$F,1,0)</f>
        <v>210305485510F4000587</v>
      </c>
      <c r="K5385" s="43"/>
      <c r="L5385" s="44"/>
      <c r="M5385" s="45" t="s">
        <v>16424</v>
      </c>
    </row>
    <row r="5386" s="28" customFormat="1" ht="30" customHeight="1" spans="1:13">
      <c r="A5386" s="41">
        <f>IF(C5386="","",SUBTOTAL(103,$C$2:C5386))</f>
        <v>5377</v>
      </c>
      <c r="B5386" s="41">
        <v>4027</v>
      </c>
      <c r="C5386" s="41">
        <v>10918</v>
      </c>
      <c r="D5386" s="41" t="s">
        <v>45</v>
      </c>
      <c r="E5386" s="41" t="s">
        <v>1298</v>
      </c>
      <c r="F5386" s="41" t="s">
        <v>8153</v>
      </c>
      <c r="G5386" s="41" t="s">
        <v>16425</v>
      </c>
      <c r="H5386" s="41" t="s">
        <v>16426</v>
      </c>
      <c r="I5386" s="43">
        <v>12</v>
      </c>
      <c r="J5386" s="44" t="str">
        <f>VLOOKUP(G5386,[1]硬件清单!$F:$F,1,0)</f>
        <v>210305485510F4000584</v>
      </c>
      <c r="K5386" s="43"/>
      <c r="L5386" s="44"/>
      <c r="M5386" s="45" t="s">
        <v>16427</v>
      </c>
    </row>
    <row r="5387" s="28" customFormat="1" ht="30" customHeight="1" spans="1:13">
      <c r="A5387" s="41">
        <f>IF(C5387="","",SUBTOTAL(103,$C$2:C5387))</f>
        <v>5378</v>
      </c>
      <c r="B5387" s="41">
        <v>4028</v>
      </c>
      <c r="C5387" s="41">
        <v>10919</v>
      </c>
      <c r="D5387" s="41" t="s">
        <v>45</v>
      </c>
      <c r="E5387" s="41" t="s">
        <v>1298</v>
      </c>
      <c r="F5387" s="41" t="s">
        <v>8153</v>
      </c>
      <c r="G5387" s="41" t="s">
        <v>16428</v>
      </c>
      <c r="H5387" s="41" t="s">
        <v>16429</v>
      </c>
      <c r="I5387" s="43">
        <v>12</v>
      </c>
      <c r="J5387" s="44" t="str">
        <f>VLOOKUP(G5387,[1]硬件清单!$F:$F,1,0)</f>
        <v>210305485510F4000583</v>
      </c>
      <c r="K5387" s="43"/>
      <c r="L5387" s="44"/>
      <c r="M5387" s="45" t="s">
        <v>16430</v>
      </c>
    </row>
    <row r="5388" s="28" customFormat="1" ht="30" customHeight="1" spans="1:13">
      <c r="A5388" s="41">
        <f>IF(C5388="","",SUBTOTAL(103,$C$2:C5388))</f>
        <v>5379</v>
      </c>
      <c r="B5388" s="41">
        <v>4029</v>
      </c>
      <c r="C5388" s="41">
        <v>10920</v>
      </c>
      <c r="D5388" s="41" t="s">
        <v>45</v>
      </c>
      <c r="E5388" s="41" t="s">
        <v>1298</v>
      </c>
      <c r="F5388" s="41" t="s">
        <v>8153</v>
      </c>
      <c r="G5388" s="41" t="s">
        <v>16431</v>
      </c>
      <c r="H5388" s="41" t="s">
        <v>16432</v>
      </c>
      <c r="I5388" s="43">
        <v>12</v>
      </c>
      <c r="J5388" s="44" t="str">
        <f>VLOOKUP(G5388,[1]硬件清单!$F:$F,1,0)</f>
        <v>210305485510F4000582</v>
      </c>
      <c r="K5388" s="43"/>
      <c r="L5388" s="44"/>
      <c r="M5388" s="45" t="s">
        <v>16433</v>
      </c>
    </row>
    <row r="5389" s="28" customFormat="1" ht="30" customHeight="1" spans="1:13">
      <c r="A5389" s="41">
        <f>IF(C5389="","",SUBTOTAL(103,$C$2:C5389))</f>
        <v>5380</v>
      </c>
      <c r="B5389" s="41">
        <v>4030</v>
      </c>
      <c r="C5389" s="41">
        <v>10921</v>
      </c>
      <c r="D5389" s="41" t="s">
        <v>45</v>
      </c>
      <c r="E5389" s="41" t="s">
        <v>1298</v>
      </c>
      <c r="F5389" s="41" t="s">
        <v>8153</v>
      </c>
      <c r="G5389" s="41" t="s">
        <v>16434</v>
      </c>
      <c r="H5389" s="41" t="s">
        <v>16435</v>
      </c>
      <c r="I5389" s="43">
        <v>12</v>
      </c>
      <c r="J5389" s="44" t="str">
        <f>VLOOKUP(G5389,[1]硬件清单!$F:$F,1,0)</f>
        <v>210305485510F4000592</v>
      </c>
      <c r="K5389" s="43"/>
      <c r="L5389" s="44"/>
      <c r="M5389" s="45" t="s">
        <v>16436</v>
      </c>
    </row>
    <row r="5390" s="28" customFormat="1" ht="30" customHeight="1" spans="1:13">
      <c r="A5390" s="41">
        <f>IF(C5390="","",SUBTOTAL(103,$C$2:C5390))</f>
        <v>5381</v>
      </c>
      <c r="B5390" s="41">
        <v>4031</v>
      </c>
      <c r="C5390" s="41">
        <v>10922</v>
      </c>
      <c r="D5390" s="41" t="s">
        <v>45</v>
      </c>
      <c r="E5390" s="41" t="s">
        <v>1298</v>
      </c>
      <c r="F5390" s="41" t="s">
        <v>8153</v>
      </c>
      <c r="G5390" s="41" t="s">
        <v>16437</v>
      </c>
      <c r="H5390" s="41" t="s">
        <v>16438</v>
      </c>
      <c r="I5390" s="43">
        <v>12</v>
      </c>
      <c r="J5390" s="44" t="str">
        <f>VLOOKUP(G5390,[1]硬件清单!$F:$F,1,0)</f>
        <v>210305485510F4000585</v>
      </c>
      <c r="K5390" s="43"/>
      <c r="L5390" s="44"/>
      <c r="M5390" s="45" t="s">
        <v>16439</v>
      </c>
    </row>
    <row r="5391" s="28" customFormat="1" ht="30" customHeight="1" spans="1:13">
      <c r="A5391" s="41">
        <f>IF(C5391="","",SUBTOTAL(103,$C$2:C5391))</f>
        <v>5382</v>
      </c>
      <c r="B5391" s="41">
        <v>4032</v>
      </c>
      <c r="C5391" s="41">
        <v>10923</v>
      </c>
      <c r="D5391" s="41" t="s">
        <v>45</v>
      </c>
      <c r="E5391" s="41" t="s">
        <v>1298</v>
      </c>
      <c r="F5391" s="41" t="s">
        <v>8153</v>
      </c>
      <c r="G5391" s="41" t="s">
        <v>16440</v>
      </c>
      <c r="H5391" s="41" t="s">
        <v>16441</v>
      </c>
      <c r="I5391" s="43">
        <v>12</v>
      </c>
      <c r="J5391" s="44" t="str">
        <f>VLOOKUP(G5391,[1]硬件清单!$F:$F,1,0)</f>
        <v>210305485510F4000579</v>
      </c>
      <c r="K5391" s="43"/>
      <c r="L5391" s="44"/>
      <c r="M5391" s="45" t="s">
        <v>16442</v>
      </c>
    </row>
    <row r="5392" s="28" customFormat="1" ht="30" customHeight="1" spans="1:13">
      <c r="A5392" s="41">
        <f>IF(C5392="","",SUBTOTAL(103,$C$2:C5392))</f>
        <v>5383</v>
      </c>
      <c r="B5392" s="41">
        <v>4033</v>
      </c>
      <c r="C5392" s="41">
        <v>10872</v>
      </c>
      <c r="D5392" s="41" t="s">
        <v>45</v>
      </c>
      <c r="E5392" s="41" t="s">
        <v>1298</v>
      </c>
      <c r="F5392" s="41" t="s">
        <v>8153</v>
      </c>
      <c r="G5392" s="41" t="s">
        <v>16443</v>
      </c>
      <c r="H5392" s="41" t="s">
        <v>16444</v>
      </c>
      <c r="I5392" s="43">
        <v>12</v>
      </c>
      <c r="J5392" s="44" t="str">
        <f>VLOOKUP(G5392,[1]硬件清单!$F:$F,1,0)</f>
        <v>210305485510F4000591</v>
      </c>
      <c r="K5392" s="43"/>
      <c r="L5392" s="44"/>
      <c r="M5392" s="45" t="s">
        <v>16445</v>
      </c>
    </row>
    <row r="5393" s="28" customFormat="1" ht="30" customHeight="1" spans="1:13">
      <c r="A5393" s="41">
        <f>IF(C5393="","",SUBTOTAL(103,$C$2:C5393))</f>
        <v>5384</v>
      </c>
      <c r="B5393" s="41">
        <v>4034</v>
      </c>
      <c r="C5393" s="41">
        <v>10873</v>
      </c>
      <c r="D5393" s="41" t="s">
        <v>45</v>
      </c>
      <c r="E5393" s="41" t="s">
        <v>1298</v>
      </c>
      <c r="F5393" s="41" t="s">
        <v>8153</v>
      </c>
      <c r="G5393" s="41" t="s">
        <v>16446</v>
      </c>
      <c r="H5393" s="41" t="s">
        <v>16447</v>
      </c>
      <c r="I5393" s="43">
        <v>12</v>
      </c>
      <c r="J5393" s="44" t="str">
        <f>VLOOKUP(G5393,[1]硬件清单!$F:$F,1,0)</f>
        <v>210305485510F4000578</v>
      </c>
      <c r="K5393" s="43"/>
      <c r="L5393" s="44"/>
      <c r="M5393" s="45" t="s">
        <v>16448</v>
      </c>
    </row>
    <row r="5394" s="28" customFormat="1" ht="30" customHeight="1" spans="1:13">
      <c r="A5394" s="41">
        <f>IF(C5394="","",SUBTOTAL(103,$C$2:C5394))</f>
        <v>5385</v>
      </c>
      <c r="B5394" s="41">
        <v>4035</v>
      </c>
      <c r="C5394" s="41">
        <v>10874</v>
      </c>
      <c r="D5394" s="41" t="s">
        <v>45</v>
      </c>
      <c r="E5394" s="41" t="s">
        <v>1298</v>
      </c>
      <c r="F5394" s="41" t="s">
        <v>8153</v>
      </c>
      <c r="G5394" s="41" t="s">
        <v>16449</v>
      </c>
      <c r="H5394" s="41" t="s">
        <v>16450</v>
      </c>
      <c r="I5394" s="43">
        <v>12</v>
      </c>
      <c r="J5394" s="44" t="str">
        <f>VLOOKUP(G5394,[1]硬件清单!$F:$F,1,0)</f>
        <v>210305485510F4000593</v>
      </c>
      <c r="K5394" s="43"/>
      <c r="L5394" s="44"/>
      <c r="M5394" s="45" t="s">
        <v>16451</v>
      </c>
    </row>
    <row r="5395" s="28" customFormat="1" ht="30" customHeight="1" spans="1:13">
      <c r="A5395" s="41">
        <f>IF(C5395="","",SUBTOTAL(103,$C$2:C5395))</f>
        <v>5386</v>
      </c>
      <c r="B5395" s="41">
        <v>4036</v>
      </c>
      <c r="C5395" s="41">
        <v>10875</v>
      </c>
      <c r="D5395" s="41" t="s">
        <v>45</v>
      </c>
      <c r="E5395" s="41" t="s">
        <v>1298</v>
      </c>
      <c r="F5395" s="41" t="s">
        <v>8153</v>
      </c>
      <c r="G5395" s="41" t="s">
        <v>16452</v>
      </c>
      <c r="H5395" s="41" t="s">
        <v>16453</v>
      </c>
      <c r="I5395" s="43">
        <v>12</v>
      </c>
      <c r="J5395" s="44" t="str">
        <f>VLOOKUP(G5395,[1]硬件清单!$F:$F,1,0)</f>
        <v>210305485510F4000580</v>
      </c>
      <c r="K5395" s="43"/>
      <c r="L5395" s="44"/>
      <c r="M5395" s="45" t="s">
        <v>16454</v>
      </c>
    </row>
    <row r="5396" s="28" customFormat="1" ht="30" customHeight="1" spans="1:13">
      <c r="A5396" s="41">
        <f>IF(C5396="","",SUBTOTAL(103,$C$2:C5396))</f>
        <v>5387</v>
      </c>
      <c r="B5396" s="41">
        <v>4037</v>
      </c>
      <c r="C5396" s="41">
        <v>10876</v>
      </c>
      <c r="D5396" s="41" t="s">
        <v>45</v>
      </c>
      <c r="E5396" s="41" t="s">
        <v>1298</v>
      </c>
      <c r="F5396" s="41" t="s">
        <v>8153</v>
      </c>
      <c r="G5396" s="41" t="s">
        <v>16455</v>
      </c>
      <c r="H5396" s="41" t="s">
        <v>16456</v>
      </c>
      <c r="I5396" s="43">
        <v>12</v>
      </c>
      <c r="J5396" s="44" t="str">
        <f>VLOOKUP(G5396,[1]硬件清单!$F:$F,1,0)</f>
        <v>210305485510F4000586</v>
      </c>
      <c r="K5396" s="43"/>
      <c r="L5396" s="44"/>
      <c r="M5396" s="45" t="s">
        <v>16457</v>
      </c>
    </row>
    <row r="5397" s="28" customFormat="1" ht="30" customHeight="1" spans="1:13">
      <c r="A5397" s="41">
        <f>IF(C5397="","",SUBTOTAL(103,$C$2:C5397))</f>
        <v>5388</v>
      </c>
      <c r="B5397" s="41">
        <v>4038</v>
      </c>
      <c r="C5397" s="41">
        <v>10877</v>
      </c>
      <c r="D5397" s="41" t="s">
        <v>45</v>
      </c>
      <c r="E5397" s="41" t="s">
        <v>1298</v>
      </c>
      <c r="F5397" s="41" t="s">
        <v>8153</v>
      </c>
      <c r="G5397" s="41" t="s">
        <v>16458</v>
      </c>
      <c r="H5397" s="41" t="s">
        <v>16459</v>
      </c>
      <c r="I5397" s="43">
        <v>12</v>
      </c>
      <c r="J5397" s="44" t="str">
        <f>VLOOKUP(G5397,[1]硬件清单!$F:$F,1,0)</f>
        <v>210305485510F4000581</v>
      </c>
      <c r="K5397" s="43"/>
      <c r="L5397" s="44"/>
      <c r="M5397" s="45" t="s">
        <v>16460</v>
      </c>
    </row>
    <row r="5398" s="28" customFormat="1" ht="30" customHeight="1" spans="1:13">
      <c r="A5398" s="41">
        <f>IF(C5398="","",SUBTOTAL(103,$C$2:C5398))</f>
        <v>5389</v>
      </c>
      <c r="B5398" s="41">
        <v>4039</v>
      </c>
      <c r="C5398" s="41">
        <v>10878</v>
      </c>
      <c r="D5398" s="41" t="s">
        <v>45</v>
      </c>
      <c r="E5398" s="41" t="s">
        <v>1298</v>
      </c>
      <c r="F5398" s="41" t="s">
        <v>8153</v>
      </c>
      <c r="G5398" s="41" t="s">
        <v>16461</v>
      </c>
      <c r="H5398" s="41" t="s">
        <v>16462</v>
      </c>
      <c r="I5398" s="43">
        <v>12</v>
      </c>
      <c r="J5398" s="44" t="str">
        <f>VLOOKUP(G5398,[1]硬件清单!$F:$F,1,0)</f>
        <v>210305485510F4000590</v>
      </c>
      <c r="K5398" s="43"/>
      <c r="L5398" s="44"/>
      <c r="M5398" s="45" t="s">
        <v>16463</v>
      </c>
    </row>
    <row r="5399" s="28" customFormat="1" ht="30" customHeight="1" spans="1:13">
      <c r="A5399" s="41">
        <f>IF(C5399="","",SUBTOTAL(103,$C$2:C5399))</f>
        <v>5390</v>
      </c>
      <c r="B5399" s="41">
        <v>4040</v>
      </c>
      <c r="C5399" s="41">
        <v>10879</v>
      </c>
      <c r="D5399" s="41" t="s">
        <v>45</v>
      </c>
      <c r="E5399" s="41" t="s">
        <v>1298</v>
      </c>
      <c r="F5399" s="41" t="s">
        <v>8153</v>
      </c>
      <c r="G5399" s="41" t="s">
        <v>16464</v>
      </c>
      <c r="H5399" s="41" t="s">
        <v>16465</v>
      </c>
      <c r="I5399" s="43">
        <v>12</v>
      </c>
      <c r="J5399" s="44" t="str">
        <f>VLOOKUP(G5399,[1]硬件清单!$F:$F,1,0)</f>
        <v>210305485510F4000589</v>
      </c>
      <c r="K5399" s="43"/>
      <c r="L5399" s="44"/>
      <c r="M5399" s="45" t="s">
        <v>16466</v>
      </c>
    </row>
    <row r="5400" s="28" customFormat="1" ht="30" customHeight="1" spans="1:13">
      <c r="A5400" s="41">
        <f>IF(C5400="","",SUBTOTAL(103,$C$2:C5400))</f>
        <v>5391</v>
      </c>
      <c r="B5400" s="41">
        <v>4041</v>
      </c>
      <c r="C5400" s="41">
        <v>10933</v>
      </c>
      <c r="D5400" s="41" t="s">
        <v>45</v>
      </c>
      <c r="E5400" s="41" t="s">
        <v>1298</v>
      </c>
      <c r="F5400" s="41" t="s">
        <v>1455</v>
      </c>
      <c r="G5400" s="41" t="s">
        <v>16467</v>
      </c>
      <c r="H5400" s="41" t="s">
        <v>16468</v>
      </c>
      <c r="I5400" s="43">
        <v>12</v>
      </c>
      <c r="J5400" s="44" t="str">
        <f>VLOOKUP(G5400,[1]硬件清单!$F:$F,1,0)</f>
        <v>2102300742N0F4000025</v>
      </c>
      <c r="K5400" s="43"/>
      <c r="L5400" s="44"/>
      <c r="M5400" s="45" t="s">
        <v>16469</v>
      </c>
    </row>
    <row r="5401" s="28" customFormat="1" ht="30" customHeight="1" spans="1:13">
      <c r="A5401" s="41">
        <f>IF(C5401="","",SUBTOTAL(103,$C$2:C5401))</f>
        <v>5392</v>
      </c>
      <c r="B5401" s="41">
        <v>4042</v>
      </c>
      <c r="C5401" s="41">
        <v>10924</v>
      </c>
      <c r="D5401" s="41" t="s">
        <v>45</v>
      </c>
      <c r="E5401" s="41" t="s">
        <v>1298</v>
      </c>
      <c r="F5401" s="41" t="s">
        <v>16470</v>
      </c>
      <c r="G5401" s="41" t="s">
        <v>16471</v>
      </c>
      <c r="H5401" s="41" t="s">
        <v>16472</v>
      </c>
      <c r="I5401" s="43">
        <v>12</v>
      </c>
      <c r="J5401" s="44" t="str">
        <f>VLOOKUP(G5401,[1]硬件清单!$F:$F,1,0)</f>
        <v>210305485210F4000002</v>
      </c>
      <c r="K5401" s="43"/>
      <c r="L5401" s="44"/>
      <c r="M5401" s="45" t="s">
        <v>16473</v>
      </c>
    </row>
    <row r="5402" s="28" customFormat="1" ht="30" customHeight="1" spans="1:13">
      <c r="A5402" s="41">
        <f>IF(C5402="","",SUBTOTAL(103,$C$2:C5402))</f>
        <v>5393</v>
      </c>
      <c r="B5402" s="41">
        <v>4043</v>
      </c>
      <c r="C5402" s="41">
        <v>10925</v>
      </c>
      <c r="D5402" s="41" t="s">
        <v>45</v>
      </c>
      <c r="E5402" s="41" t="s">
        <v>1298</v>
      </c>
      <c r="F5402" s="41" t="s">
        <v>16470</v>
      </c>
      <c r="G5402" s="41" t="s">
        <v>16474</v>
      </c>
      <c r="H5402" s="41" t="s">
        <v>16475</v>
      </c>
      <c r="I5402" s="43">
        <v>12</v>
      </c>
      <c r="J5402" s="44" t="str">
        <f>VLOOKUP(G5402,[1]硬件清单!$F:$F,1,0)</f>
        <v>210305485210F4000005</v>
      </c>
      <c r="K5402" s="43"/>
      <c r="L5402" s="44"/>
      <c r="M5402" s="45" t="s">
        <v>16476</v>
      </c>
    </row>
    <row r="5403" s="28" customFormat="1" ht="30" customHeight="1" spans="1:13">
      <c r="A5403" s="41">
        <f>IF(C5403="","",SUBTOTAL(103,$C$2:C5403))</f>
        <v>5394</v>
      </c>
      <c r="B5403" s="41">
        <v>4044</v>
      </c>
      <c r="C5403" s="41">
        <v>10926</v>
      </c>
      <c r="D5403" s="41" t="s">
        <v>45</v>
      </c>
      <c r="E5403" s="41" t="s">
        <v>1298</v>
      </c>
      <c r="F5403" s="41" t="s">
        <v>16470</v>
      </c>
      <c r="G5403" s="41" t="s">
        <v>16477</v>
      </c>
      <c r="H5403" s="41" t="s">
        <v>16478</v>
      </c>
      <c r="I5403" s="43">
        <v>12</v>
      </c>
      <c r="J5403" s="44" t="str">
        <f>VLOOKUP(G5403,[1]硬件清单!$F:$F,1,0)</f>
        <v>210305485210F4000004</v>
      </c>
      <c r="K5403" s="43"/>
      <c r="L5403" s="44"/>
      <c r="M5403" s="45" t="s">
        <v>16479</v>
      </c>
    </row>
    <row r="5404" s="28" customFormat="1" ht="30" customHeight="1" spans="1:13">
      <c r="A5404" s="41">
        <f>IF(C5404="","",SUBTOTAL(103,$C$2:C5404))</f>
        <v>5395</v>
      </c>
      <c r="B5404" s="41">
        <v>4045</v>
      </c>
      <c r="C5404" s="41">
        <v>10927</v>
      </c>
      <c r="D5404" s="41" t="s">
        <v>45</v>
      </c>
      <c r="E5404" s="41" t="s">
        <v>1298</v>
      </c>
      <c r="F5404" s="41" t="s">
        <v>16470</v>
      </c>
      <c r="G5404" s="41" t="s">
        <v>16480</v>
      </c>
      <c r="H5404" s="41" t="s">
        <v>16481</v>
      </c>
      <c r="I5404" s="43">
        <v>12</v>
      </c>
      <c r="J5404" s="44" t="str">
        <f>VLOOKUP(G5404,[1]硬件清单!$F:$F,1,0)</f>
        <v>210305485210F4000008</v>
      </c>
      <c r="K5404" s="43"/>
      <c r="L5404" s="44"/>
      <c r="M5404" s="45" t="s">
        <v>16482</v>
      </c>
    </row>
    <row r="5405" s="28" customFormat="1" ht="30" customHeight="1" spans="1:13">
      <c r="A5405" s="41">
        <f>IF(C5405="","",SUBTOTAL(103,$C$2:C5405))</f>
        <v>5396</v>
      </c>
      <c r="B5405" s="41">
        <v>4046</v>
      </c>
      <c r="C5405" s="41">
        <v>10928</v>
      </c>
      <c r="D5405" s="41" t="s">
        <v>45</v>
      </c>
      <c r="E5405" s="41" t="s">
        <v>1298</v>
      </c>
      <c r="F5405" s="41" t="s">
        <v>16470</v>
      </c>
      <c r="G5405" s="41" t="s">
        <v>16483</v>
      </c>
      <c r="H5405" s="41" t="s">
        <v>16484</v>
      </c>
      <c r="I5405" s="43">
        <v>12</v>
      </c>
      <c r="J5405" s="44" t="str">
        <f>VLOOKUP(G5405,[1]硬件清单!$F:$F,1,0)</f>
        <v>210305485210F4000001</v>
      </c>
      <c r="K5405" s="43"/>
      <c r="L5405" s="44"/>
      <c r="M5405" s="45" t="s">
        <v>16485</v>
      </c>
    </row>
    <row r="5406" s="28" customFormat="1" ht="30" customHeight="1" spans="1:13">
      <c r="A5406" s="41">
        <f>IF(C5406="","",SUBTOTAL(103,$C$2:C5406))</f>
        <v>5397</v>
      </c>
      <c r="B5406" s="41">
        <v>4047</v>
      </c>
      <c r="C5406" s="41">
        <v>10929</v>
      </c>
      <c r="D5406" s="41" t="s">
        <v>45</v>
      </c>
      <c r="E5406" s="41" t="s">
        <v>1298</v>
      </c>
      <c r="F5406" s="41" t="s">
        <v>16470</v>
      </c>
      <c r="G5406" s="41" t="s">
        <v>16486</v>
      </c>
      <c r="H5406" s="41" t="s">
        <v>16487</v>
      </c>
      <c r="I5406" s="43">
        <v>12</v>
      </c>
      <c r="J5406" s="44" t="str">
        <f>VLOOKUP(G5406,[1]硬件清单!$F:$F,1,0)</f>
        <v>210305485210F4000003</v>
      </c>
      <c r="K5406" s="43"/>
      <c r="L5406" s="44"/>
      <c r="M5406" s="45" t="s">
        <v>16488</v>
      </c>
    </row>
    <row r="5407" s="28" customFormat="1" ht="30" customHeight="1" spans="1:13">
      <c r="A5407" s="41">
        <f>IF(C5407="","",SUBTOTAL(103,$C$2:C5407))</f>
        <v>5398</v>
      </c>
      <c r="B5407" s="41">
        <v>4048</v>
      </c>
      <c r="C5407" s="41">
        <v>10930</v>
      </c>
      <c r="D5407" s="41" t="s">
        <v>45</v>
      </c>
      <c r="E5407" s="41" t="s">
        <v>1298</v>
      </c>
      <c r="F5407" s="41" t="s">
        <v>16470</v>
      </c>
      <c r="G5407" s="41" t="s">
        <v>16489</v>
      </c>
      <c r="H5407" s="41" t="s">
        <v>16490</v>
      </c>
      <c r="I5407" s="43">
        <v>12</v>
      </c>
      <c r="J5407" s="44" t="str">
        <f>VLOOKUP(G5407,[1]硬件清单!$F:$F,1,0)</f>
        <v>210305485210F5000086</v>
      </c>
      <c r="K5407" s="43"/>
      <c r="L5407" s="44"/>
      <c r="M5407" s="45" t="s">
        <v>16491</v>
      </c>
    </row>
    <row r="5408" s="28" customFormat="1" ht="30" customHeight="1" spans="1:13">
      <c r="A5408" s="41">
        <f>IF(C5408="","",SUBTOTAL(103,$C$2:C5408))</f>
        <v>5399</v>
      </c>
      <c r="B5408" s="41">
        <v>4049</v>
      </c>
      <c r="C5408" s="41">
        <v>10931</v>
      </c>
      <c r="D5408" s="41" t="s">
        <v>45</v>
      </c>
      <c r="E5408" s="41" t="s">
        <v>1298</v>
      </c>
      <c r="F5408" s="41" t="s">
        <v>16470</v>
      </c>
      <c r="G5408" s="41" t="s">
        <v>16492</v>
      </c>
      <c r="H5408" s="41" t="s">
        <v>16493</v>
      </c>
      <c r="I5408" s="43">
        <v>12</v>
      </c>
      <c r="J5408" s="44" t="str">
        <f>VLOOKUP(G5408,[1]硬件清单!$F:$F,1,0)</f>
        <v>210305485210F4000006</v>
      </c>
      <c r="K5408" s="43"/>
      <c r="L5408" s="44"/>
      <c r="M5408" s="45" t="s">
        <v>16494</v>
      </c>
    </row>
    <row r="5409" s="28" customFormat="1" ht="30" customHeight="1" spans="1:13">
      <c r="A5409" s="41">
        <f>IF(C5409="","",SUBTOTAL(103,$C$2:C5409))</f>
        <v>5400</v>
      </c>
      <c r="B5409" s="41">
        <v>4050</v>
      </c>
      <c r="C5409" s="41">
        <v>13567</v>
      </c>
      <c r="D5409" s="41" t="s">
        <v>45</v>
      </c>
      <c r="E5409" s="41" t="s">
        <v>1298</v>
      </c>
      <c r="F5409" s="41" t="s">
        <v>15613</v>
      </c>
      <c r="G5409" s="41" t="s">
        <v>16495</v>
      </c>
      <c r="H5409" s="41" t="s">
        <v>16496</v>
      </c>
      <c r="I5409" s="43">
        <v>12</v>
      </c>
      <c r="J5409" s="44" t="str">
        <f>VLOOKUP(G5409,[1]硬件清单!$F:$F,1,0)</f>
        <v>219555960</v>
      </c>
      <c r="K5409" s="43"/>
      <c r="L5409" s="44"/>
      <c r="M5409" s="45" t="s">
        <v>16497</v>
      </c>
    </row>
    <row r="5410" s="28" customFormat="1" ht="30" customHeight="1" spans="1:13">
      <c r="A5410" s="41">
        <f>IF(C5410="","",SUBTOTAL(103,$C$2:C5410))</f>
        <v>5401</v>
      </c>
      <c r="B5410" s="41">
        <v>4051</v>
      </c>
      <c r="C5410" s="41">
        <v>13568</v>
      </c>
      <c r="D5410" s="41" t="s">
        <v>45</v>
      </c>
      <c r="E5410" s="41" t="s">
        <v>1298</v>
      </c>
      <c r="F5410" s="41" t="s">
        <v>15613</v>
      </c>
      <c r="G5410" s="41" t="s">
        <v>16498</v>
      </c>
      <c r="H5410" s="41" t="s">
        <v>16499</v>
      </c>
      <c r="I5410" s="43">
        <v>12</v>
      </c>
      <c r="J5410" s="44" t="str">
        <f>VLOOKUP(G5410,[1]硬件清单!$F:$F,1,0)</f>
        <v>219555961</v>
      </c>
      <c r="K5410" s="43"/>
      <c r="L5410" s="44"/>
      <c r="M5410" s="45" t="s">
        <v>16500</v>
      </c>
    </row>
    <row r="5411" s="28" customFormat="1" ht="30" customHeight="1" spans="1:13">
      <c r="A5411" s="41">
        <f>IF(C5411="","",SUBTOTAL(103,$C$2:C5411))</f>
        <v>5402</v>
      </c>
      <c r="B5411" s="41">
        <v>4052</v>
      </c>
      <c r="C5411" s="41">
        <v>13569</v>
      </c>
      <c r="D5411" s="41" t="s">
        <v>45</v>
      </c>
      <c r="E5411" s="41" t="s">
        <v>1298</v>
      </c>
      <c r="F5411" s="41" t="s">
        <v>15613</v>
      </c>
      <c r="G5411" s="41" t="s">
        <v>16501</v>
      </c>
      <c r="H5411" s="41" t="s">
        <v>16502</v>
      </c>
      <c r="I5411" s="43">
        <v>12</v>
      </c>
      <c r="J5411" s="44" t="str">
        <f>VLOOKUP(G5411,[1]硬件清单!$F:$F,1,0)</f>
        <v>219555964</v>
      </c>
      <c r="K5411" s="43"/>
      <c r="L5411" s="44"/>
      <c r="M5411" s="45" t="s">
        <v>16503</v>
      </c>
    </row>
    <row r="5412" s="28" customFormat="1" ht="30" customHeight="1" spans="1:13">
      <c r="A5412" s="41">
        <f>IF(C5412="","",SUBTOTAL(103,$C$2:C5412))</f>
        <v>5403</v>
      </c>
      <c r="B5412" s="41">
        <v>4053</v>
      </c>
      <c r="C5412" s="41">
        <v>13570</v>
      </c>
      <c r="D5412" s="41" t="s">
        <v>45</v>
      </c>
      <c r="E5412" s="41" t="s">
        <v>1298</v>
      </c>
      <c r="F5412" s="41" t="s">
        <v>15613</v>
      </c>
      <c r="G5412" s="41" t="s">
        <v>16504</v>
      </c>
      <c r="H5412" s="41" t="s">
        <v>16505</v>
      </c>
      <c r="I5412" s="43">
        <v>12</v>
      </c>
      <c r="J5412" s="44" t="str">
        <f>VLOOKUP(G5412,[1]硬件清单!$F:$F,1,0)</f>
        <v>219555965</v>
      </c>
      <c r="K5412" s="43"/>
      <c r="L5412" s="44"/>
      <c r="M5412" s="45" t="s">
        <v>16506</v>
      </c>
    </row>
    <row r="5413" s="28" customFormat="1" ht="30" customHeight="1" spans="1:13">
      <c r="A5413" s="41">
        <f>IF(C5413="","",SUBTOTAL(103,$C$2:C5413))</f>
        <v>5404</v>
      </c>
      <c r="B5413" s="41">
        <v>4054</v>
      </c>
      <c r="C5413" s="41">
        <v>13571</v>
      </c>
      <c r="D5413" s="41" t="s">
        <v>45</v>
      </c>
      <c r="E5413" s="41" t="s">
        <v>1298</v>
      </c>
      <c r="F5413" s="41" t="s">
        <v>15613</v>
      </c>
      <c r="G5413" s="41" t="s">
        <v>16507</v>
      </c>
      <c r="H5413" s="41" t="s">
        <v>16508</v>
      </c>
      <c r="I5413" s="43">
        <v>12</v>
      </c>
      <c r="J5413" s="44" t="str">
        <f>VLOOKUP(G5413,[1]硬件清单!$F:$F,1,0)</f>
        <v>219555963</v>
      </c>
      <c r="K5413" s="43"/>
      <c r="L5413" s="44"/>
      <c r="M5413" s="45" t="s">
        <v>16509</v>
      </c>
    </row>
    <row r="5414" s="28" customFormat="1" ht="30" customHeight="1" spans="1:13">
      <c r="A5414" s="41">
        <f>IF(C5414="","",SUBTOTAL(103,$C$2:C5414))</f>
        <v>5405</v>
      </c>
      <c r="B5414" s="41">
        <v>4055</v>
      </c>
      <c r="C5414" s="41">
        <v>13572</v>
      </c>
      <c r="D5414" s="41" t="s">
        <v>45</v>
      </c>
      <c r="E5414" s="41" t="s">
        <v>1298</v>
      </c>
      <c r="F5414" s="41" t="s">
        <v>15613</v>
      </c>
      <c r="G5414" s="41" t="s">
        <v>16510</v>
      </c>
      <c r="H5414" s="41" t="s">
        <v>16511</v>
      </c>
      <c r="I5414" s="43">
        <v>12</v>
      </c>
      <c r="J5414" s="44" t="str">
        <f>VLOOKUP(G5414,[1]硬件清单!$F:$F,1,0)</f>
        <v>219555962</v>
      </c>
      <c r="K5414" s="43"/>
      <c r="L5414" s="44"/>
      <c r="M5414" s="45" t="s">
        <v>16512</v>
      </c>
    </row>
    <row r="5415" s="28" customFormat="1" ht="30" customHeight="1" spans="1:13">
      <c r="A5415" s="41">
        <f>IF(C5415="","",SUBTOTAL(103,$C$2:C5415))</f>
        <v>5406</v>
      </c>
      <c r="B5415" s="41">
        <v>4056</v>
      </c>
      <c r="C5415" s="41">
        <v>13573</v>
      </c>
      <c r="D5415" s="41" t="s">
        <v>45</v>
      </c>
      <c r="E5415" s="41" t="s">
        <v>1298</v>
      </c>
      <c r="F5415" s="41" t="s">
        <v>15613</v>
      </c>
      <c r="G5415" s="41" t="s">
        <v>16513</v>
      </c>
      <c r="H5415" s="41" t="s">
        <v>16514</v>
      </c>
      <c r="I5415" s="43">
        <v>12</v>
      </c>
      <c r="J5415" s="44" t="str">
        <f>VLOOKUP(G5415,[1]硬件清单!$F:$F,1,0)</f>
        <v>219555958</v>
      </c>
      <c r="K5415" s="43"/>
      <c r="L5415" s="44"/>
      <c r="M5415" s="45" t="s">
        <v>16515</v>
      </c>
    </row>
    <row r="5416" s="28" customFormat="1" ht="30" customHeight="1" spans="1:13">
      <c r="A5416" s="41">
        <f>IF(C5416="","",SUBTOTAL(103,$C$2:C5416))</f>
        <v>5407</v>
      </c>
      <c r="B5416" s="41">
        <v>4057</v>
      </c>
      <c r="C5416" s="41">
        <v>13574</v>
      </c>
      <c r="D5416" s="41" t="s">
        <v>45</v>
      </c>
      <c r="E5416" s="41" t="s">
        <v>1298</v>
      </c>
      <c r="F5416" s="41" t="s">
        <v>15613</v>
      </c>
      <c r="G5416" s="41" t="s">
        <v>16516</v>
      </c>
      <c r="H5416" s="41" t="s">
        <v>16517</v>
      </c>
      <c r="I5416" s="43">
        <v>12</v>
      </c>
      <c r="J5416" s="44" t="str">
        <f>VLOOKUP(G5416,[1]硬件清单!$F:$F,1,0)</f>
        <v>219555959</v>
      </c>
      <c r="K5416" s="43"/>
      <c r="L5416" s="44"/>
      <c r="M5416" s="45" t="s">
        <v>16518</v>
      </c>
    </row>
    <row r="5417" s="28" customFormat="1" ht="30" customHeight="1" spans="1:13">
      <c r="A5417" s="41">
        <f>IF(C5417="","",SUBTOTAL(103,$C$2:C5417))</f>
        <v>5408</v>
      </c>
      <c r="B5417" s="41">
        <v>4058</v>
      </c>
      <c r="C5417" s="41">
        <v>13559</v>
      </c>
      <c r="D5417" s="41" t="s">
        <v>45</v>
      </c>
      <c r="E5417" s="41" t="s">
        <v>1298</v>
      </c>
      <c r="F5417" s="41" t="s">
        <v>15613</v>
      </c>
      <c r="G5417" s="41" t="s">
        <v>16519</v>
      </c>
      <c r="H5417" s="41" t="s">
        <v>16520</v>
      </c>
      <c r="I5417" s="43">
        <v>12</v>
      </c>
      <c r="J5417" s="44" t="str">
        <f>VLOOKUP(G5417,[1]硬件清单!$F:$F,1,0)</f>
        <v>219555927</v>
      </c>
      <c r="K5417" s="43"/>
      <c r="L5417" s="44"/>
      <c r="M5417" s="45" t="s">
        <v>16521</v>
      </c>
    </row>
    <row r="5418" s="28" customFormat="1" ht="30" customHeight="1" spans="1:13">
      <c r="A5418" s="41">
        <f>IF(C5418="","",SUBTOTAL(103,$C$2:C5418))</f>
        <v>5409</v>
      </c>
      <c r="B5418" s="41">
        <v>4059</v>
      </c>
      <c r="C5418" s="41">
        <v>13560</v>
      </c>
      <c r="D5418" s="41" t="s">
        <v>45</v>
      </c>
      <c r="E5418" s="41" t="s">
        <v>1298</v>
      </c>
      <c r="F5418" s="41" t="s">
        <v>15613</v>
      </c>
      <c r="G5418" s="41" t="s">
        <v>16522</v>
      </c>
      <c r="H5418" s="41" t="s">
        <v>16523</v>
      </c>
      <c r="I5418" s="43">
        <v>12</v>
      </c>
      <c r="J5418" s="44" t="str">
        <f>VLOOKUP(G5418,[1]硬件清单!$F:$F,1,0)</f>
        <v>219555926</v>
      </c>
      <c r="K5418" s="43"/>
      <c r="L5418" s="44"/>
      <c r="M5418" s="45" t="s">
        <v>16524</v>
      </c>
    </row>
    <row r="5419" s="28" customFormat="1" ht="30" customHeight="1" spans="1:13">
      <c r="A5419" s="41">
        <f>IF(C5419="","",SUBTOTAL(103,$C$2:C5419))</f>
        <v>5410</v>
      </c>
      <c r="B5419" s="41">
        <v>4060</v>
      </c>
      <c r="C5419" s="41">
        <v>13561</v>
      </c>
      <c r="D5419" s="41" t="s">
        <v>45</v>
      </c>
      <c r="E5419" s="41" t="s">
        <v>1298</v>
      </c>
      <c r="F5419" s="41" t="s">
        <v>15613</v>
      </c>
      <c r="G5419" s="41" t="s">
        <v>16525</v>
      </c>
      <c r="H5419" s="41" t="s">
        <v>16526</v>
      </c>
      <c r="I5419" s="43">
        <v>12</v>
      </c>
      <c r="J5419" s="44" t="str">
        <f>VLOOKUP(G5419,[1]硬件清单!$F:$F,1,0)</f>
        <v>219555933</v>
      </c>
      <c r="K5419" s="43"/>
      <c r="L5419" s="44"/>
      <c r="M5419" s="45" t="s">
        <v>16527</v>
      </c>
    </row>
    <row r="5420" s="28" customFormat="1" ht="30" customHeight="1" spans="1:13">
      <c r="A5420" s="41">
        <f>IF(C5420="","",SUBTOTAL(103,$C$2:C5420))</f>
        <v>5411</v>
      </c>
      <c r="B5420" s="41">
        <v>4061</v>
      </c>
      <c r="C5420" s="41">
        <v>13562</v>
      </c>
      <c r="D5420" s="41" t="s">
        <v>45</v>
      </c>
      <c r="E5420" s="41" t="s">
        <v>1298</v>
      </c>
      <c r="F5420" s="41" t="s">
        <v>15613</v>
      </c>
      <c r="G5420" s="41" t="s">
        <v>16528</v>
      </c>
      <c r="H5420" s="41" t="s">
        <v>16529</v>
      </c>
      <c r="I5420" s="43">
        <v>12</v>
      </c>
      <c r="J5420" s="44" t="str">
        <f>VLOOKUP(G5420,[1]硬件清单!$F:$F,1,0)</f>
        <v>219555932</v>
      </c>
      <c r="K5420" s="43"/>
      <c r="L5420" s="44"/>
      <c r="M5420" s="45" t="s">
        <v>16530</v>
      </c>
    </row>
    <row r="5421" s="28" customFormat="1" ht="30" customHeight="1" spans="1:13">
      <c r="A5421" s="41">
        <f>IF(C5421="","",SUBTOTAL(103,$C$2:C5421))</f>
        <v>5412</v>
      </c>
      <c r="B5421" s="41">
        <v>4062</v>
      </c>
      <c r="C5421" s="41">
        <v>13563</v>
      </c>
      <c r="D5421" s="41" t="s">
        <v>45</v>
      </c>
      <c r="E5421" s="41" t="s">
        <v>1298</v>
      </c>
      <c r="F5421" s="41" t="s">
        <v>15613</v>
      </c>
      <c r="G5421" s="41" t="s">
        <v>16531</v>
      </c>
      <c r="H5421" s="41" t="s">
        <v>16532</v>
      </c>
      <c r="I5421" s="43">
        <v>12</v>
      </c>
      <c r="J5421" s="44" t="str">
        <f>VLOOKUP(G5421,[1]硬件清单!$F:$F,1,0)</f>
        <v>219555929</v>
      </c>
      <c r="K5421" s="43"/>
      <c r="L5421" s="44"/>
      <c r="M5421" s="45" t="s">
        <v>16533</v>
      </c>
    </row>
    <row r="5422" s="28" customFormat="1" ht="30" customHeight="1" spans="1:13">
      <c r="A5422" s="41">
        <f>IF(C5422="","",SUBTOTAL(103,$C$2:C5422))</f>
        <v>5413</v>
      </c>
      <c r="B5422" s="41">
        <v>4063</v>
      </c>
      <c r="C5422" s="41">
        <v>13564</v>
      </c>
      <c r="D5422" s="41" t="s">
        <v>45</v>
      </c>
      <c r="E5422" s="41" t="s">
        <v>1298</v>
      </c>
      <c r="F5422" s="41" t="s">
        <v>15613</v>
      </c>
      <c r="G5422" s="41" t="s">
        <v>16534</v>
      </c>
      <c r="H5422" s="41" t="s">
        <v>16535</v>
      </c>
      <c r="I5422" s="43">
        <v>12</v>
      </c>
      <c r="J5422" s="44" t="str">
        <f>VLOOKUP(G5422,[1]硬件清单!$F:$F,1,0)</f>
        <v>219555928</v>
      </c>
      <c r="K5422" s="43"/>
      <c r="L5422" s="44"/>
      <c r="M5422" s="45" t="s">
        <v>16536</v>
      </c>
    </row>
    <row r="5423" s="28" customFormat="1" ht="30" customHeight="1" spans="1:13">
      <c r="A5423" s="41">
        <f>IF(C5423="","",SUBTOTAL(103,$C$2:C5423))</f>
        <v>5414</v>
      </c>
      <c r="B5423" s="41">
        <v>4064</v>
      </c>
      <c r="C5423" s="41">
        <v>13565</v>
      </c>
      <c r="D5423" s="41" t="s">
        <v>45</v>
      </c>
      <c r="E5423" s="41" t="s">
        <v>1298</v>
      </c>
      <c r="F5423" s="41" t="s">
        <v>15613</v>
      </c>
      <c r="G5423" s="41" t="s">
        <v>16537</v>
      </c>
      <c r="H5423" s="41" t="s">
        <v>16538</v>
      </c>
      <c r="I5423" s="43">
        <v>12</v>
      </c>
      <c r="J5423" s="44" t="str">
        <f>VLOOKUP(G5423,[1]硬件清单!$F:$F,1,0)</f>
        <v>219555930</v>
      </c>
      <c r="K5423" s="43"/>
      <c r="L5423" s="44"/>
      <c r="M5423" s="45" t="s">
        <v>16539</v>
      </c>
    </row>
    <row r="5424" s="28" customFormat="1" ht="30" customHeight="1" spans="1:13">
      <c r="A5424" s="41">
        <f>IF(C5424="","",SUBTOTAL(103,$C$2:C5424))</f>
        <v>5415</v>
      </c>
      <c r="B5424" s="41">
        <v>4065</v>
      </c>
      <c r="C5424" s="41">
        <v>13566</v>
      </c>
      <c r="D5424" s="41" t="s">
        <v>45</v>
      </c>
      <c r="E5424" s="41" t="s">
        <v>1298</v>
      </c>
      <c r="F5424" s="41" t="s">
        <v>15613</v>
      </c>
      <c r="G5424" s="41" t="s">
        <v>16540</v>
      </c>
      <c r="H5424" s="41" t="s">
        <v>16541</v>
      </c>
      <c r="I5424" s="43">
        <v>12</v>
      </c>
      <c r="J5424" s="44" t="str">
        <f>VLOOKUP(G5424,[1]硬件清单!$F:$F,1,0)</f>
        <v>219555931</v>
      </c>
      <c r="K5424" s="43"/>
      <c r="L5424" s="44"/>
      <c r="M5424" s="45" t="s">
        <v>16542</v>
      </c>
    </row>
    <row r="5425" s="28" customFormat="1" ht="30" customHeight="1" spans="1:13">
      <c r="A5425" s="41">
        <f>IF(C5425="","",SUBTOTAL(103,$C$2:C5425))</f>
        <v>5416</v>
      </c>
      <c r="B5425" s="41">
        <v>4066</v>
      </c>
      <c r="C5425" s="41">
        <v>13583</v>
      </c>
      <c r="D5425" s="41" t="s">
        <v>45</v>
      </c>
      <c r="E5425" s="41" t="s">
        <v>1298</v>
      </c>
      <c r="F5425" s="41" t="s">
        <v>15613</v>
      </c>
      <c r="G5425" s="41" t="s">
        <v>16543</v>
      </c>
      <c r="H5425" s="41" t="s">
        <v>16544</v>
      </c>
      <c r="I5425" s="43">
        <v>12</v>
      </c>
      <c r="J5425" s="44" t="str">
        <f>VLOOKUP(G5425,[1]硬件清单!$F:$F,1,0)</f>
        <v>219562811</v>
      </c>
      <c r="K5425" s="43"/>
      <c r="L5425" s="44"/>
      <c r="M5425" s="45" t="s">
        <v>16545</v>
      </c>
    </row>
    <row r="5426" s="28" customFormat="1" ht="30" customHeight="1" spans="1:13">
      <c r="A5426" s="41">
        <f>IF(C5426="","",SUBTOTAL(103,$C$2:C5426))</f>
        <v>5417</v>
      </c>
      <c r="B5426" s="41">
        <v>4067</v>
      </c>
      <c r="C5426" s="41">
        <v>13584</v>
      </c>
      <c r="D5426" s="41" t="s">
        <v>45</v>
      </c>
      <c r="E5426" s="41" t="s">
        <v>1298</v>
      </c>
      <c r="F5426" s="41" t="s">
        <v>15613</v>
      </c>
      <c r="G5426" s="41" t="s">
        <v>16546</v>
      </c>
      <c r="H5426" s="41" t="s">
        <v>16547</v>
      </c>
      <c r="I5426" s="43">
        <v>12</v>
      </c>
      <c r="J5426" s="44" t="str">
        <f>VLOOKUP(G5426,[1]硬件清单!$F:$F,1,0)</f>
        <v>219562810</v>
      </c>
      <c r="K5426" s="43"/>
      <c r="L5426" s="44"/>
      <c r="M5426" s="45" t="s">
        <v>16548</v>
      </c>
    </row>
    <row r="5427" s="28" customFormat="1" ht="30" customHeight="1" spans="1:13">
      <c r="A5427" s="41">
        <f>IF(C5427="","",SUBTOTAL(103,$C$2:C5427))</f>
        <v>5418</v>
      </c>
      <c r="B5427" s="41">
        <v>4068</v>
      </c>
      <c r="C5427" s="41">
        <v>13585</v>
      </c>
      <c r="D5427" s="41" t="s">
        <v>45</v>
      </c>
      <c r="E5427" s="41" t="s">
        <v>1298</v>
      </c>
      <c r="F5427" s="41" t="s">
        <v>15613</v>
      </c>
      <c r="G5427" s="41" t="s">
        <v>16549</v>
      </c>
      <c r="H5427" s="41" t="s">
        <v>16550</v>
      </c>
      <c r="I5427" s="43">
        <v>12</v>
      </c>
      <c r="J5427" s="44" t="str">
        <f>VLOOKUP(G5427,[1]硬件清单!$F:$F,1,0)</f>
        <v>219562813</v>
      </c>
      <c r="K5427" s="43"/>
      <c r="L5427" s="44"/>
      <c r="M5427" s="45" t="s">
        <v>16551</v>
      </c>
    </row>
    <row r="5428" s="28" customFormat="1" ht="30" customHeight="1" spans="1:13">
      <c r="A5428" s="41">
        <f>IF(C5428="","",SUBTOTAL(103,$C$2:C5428))</f>
        <v>5419</v>
      </c>
      <c r="B5428" s="41">
        <v>4069</v>
      </c>
      <c r="C5428" s="41">
        <v>13586</v>
      </c>
      <c r="D5428" s="41" t="s">
        <v>45</v>
      </c>
      <c r="E5428" s="41" t="s">
        <v>1298</v>
      </c>
      <c r="F5428" s="41" t="s">
        <v>15613</v>
      </c>
      <c r="G5428" s="41" t="s">
        <v>16552</v>
      </c>
      <c r="H5428" s="41" t="s">
        <v>16553</v>
      </c>
      <c r="I5428" s="43">
        <v>12</v>
      </c>
      <c r="J5428" s="44" t="str">
        <f>VLOOKUP(G5428,[1]硬件清单!$F:$F,1,0)</f>
        <v>219562812</v>
      </c>
      <c r="K5428" s="43"/>
      <c r="L5428" s="44"/>
      <c r="M5428" s="45" t="s">
        <v>16554</v>
      </c>
    </row>
    <row r="5429" s="28" customFormat="1" ht="30" customHeight="1" spans="1:13">
      <c r="A5429" s="41">
        <f>IF(C5429="","",SUBTOTAL(103,$C$2:C5429))</f>
        <v>5420</v>
      </c>
      <c r="B5429" s="41">
        <v>4070</v>
      </c>
      <c r="C5429" s="41">
        <v>13587</v>
      </c>
      <c r="D5429" s="41" t="s">
        <v>45</v>
      </c>
      <c r="E5429" s="41" t="s">
        <v>1298</v>
      </c>
      <c r="F5429" s="41" t="s">
        <v>15613</v>
      </c>
      <c r="G5429" s="41" t="s">
        <v>16555</v>
      </c>
      <c r="H5429" s="41" t="s">
        <v>16556</v>
      </c>
      <c r="I5429" s="43">
        <v>12</v>
      </c>
      <c r="J5429" s="44" t="str">
        <f>VLOOKUP(G5429,[1]硬件清单!$F:$F,1,0)</f>
        <v>219562809</v>
      </c>
      <c r="K5429" s="43"/>
      <c r="L5429" s="44"/>
      <c r="M5429" s="45" t="s">
        <v>16557</v>
      </c>
    </row>
    <row r="5430" s="28" customFormat="1" ht="30" customHeight="1" spans="1:13">
      <c r="A5430" s="41">
        <f>IF(C5430="","",SUBTOTAL(103,$C$2:C5430))</f>
        <v>5421</v>
      </c>
      <c r="B5430" s="41">
        <v>4071</v>
      </c>
      <c r="C5430" s="41">
        <v>13588</v>
      </c>
      <c r="D5430" s="41" t="s">
        <v>45</v>
      </c>
      <c r="E5430" s="41" t="s">
        <v>1298</v>
      </c>
      <c r="F5430" s="41" t="s">
        <v>15613</v>
      </c>
      <c r="G5430" s="41" t="s">
        <v>16558</v>
      </c>
      <c r="H5430" s="41" t="s">
        <v>16559</v>
      </c>
      <c r="I5430" s="43">
        <v>12</v>
      </c>
      <c r="J5430" s="44" t="str">
        <f>VLOOKUP(G5430,[1]硬件清单!$F:$F,1,0)</f>
        <v>219562808</v>
      </c>
      <c r="K5430" s="43"/>
      <c r="L5430" s="44"/>
      <c r="M5430" s="45" t="s">
        <v>16560</v>
      </c>
    </row>
    <row r="5431" s="28" customFormat="1" ht="30" customHeight="1" spans="1:13">
      <c r="A5431" s="41">
        <f>IF(C5431="","",SUBTOTAL(103,$C$2:C5431))</f>
        <v>5422</v>
      </c>
      <c r="B5431" s="41">
        <v>4072</v>
      </c>
      <c r="C5431" s="41">
        <v>13589</v>
      </c>
      <c r="D5431" s="41" t="s">
        <v>45</v>
      </c>
      <c r="E5431" s="41" t="s">
        <v>1298</v>
      </c>
      <c r="F5431" s="41" t="s">
        <v>15613</v>
      </c>
      <c r="G5431" s="41" t="s">
        <v>16561</v>
      </c>
      <c r="H5431" s="41" t="s">
        <v>16562</v>
      </c>
      <c r="I5431" s="43">
        <v>12</v>
      </c>
      <c r="J5431" s="44" t="str">
        <f>VLOOKUP(G5431,[1]硬件清单!$F:$F,1,0)</f>
        <v>219562815</v>
      </c>
      <c r="K5431" s="43"/>
      <c r="L5431" s="44"/>
      <c r="M5431" s="45" t="s">
        <v>16563</v>
      </c>
    </row>
    <row r="5432" s="28" customFormat="1" ht="30" customHeight="1" spans="1:13">
      <c r="A5432" s="41">
        <f>IF(C5432="","",SUBTOTAL(103,$C$2:C5432))</f>
        <v>5423</v>
      </c>
      <c r="B5432" s="41">
        <v>4073</v>
      </c>
      <c r="C5432" s="41">
        <v>13590</v>
      </c>
      <c r="D5432" s="41" t="s">
        <v>45</v>
      </c>
      <c r="E5432" s="41" t="s">
        <v>1298</v>
      </c>
      <c r="F5432" s="41" t="s">
        <v>15613</v>
      </c>
      <c r="G5432" s="41" t="s">
        <v>16564</v>
      </c>
      <c r="H5432" s="41" t="s">
        <v>16565</v>
      </c>
      <c r="I5432" s="43">
        <v>12</v>
      </c>
      <c r="J5432" s="44" t="str">
        <f>VLOOKUP(G5432,[1]硬件清单!$F:$F,1,0)</f>
        <v>219562814</v>
      </c>
      <c r="K5432" s="43"/>
      <c r="L5432" s="44"/>
      <c r="M5432" s="45" t="s">
        <v>16566</v>
      </c>
    </row>
    <row r="5433" s="28" customFormat="1" ht="30" customHeight="1" spans="1:13">
      <c r="A5433" s="41">
        <f>IF(C5433="","",SUBTOTAL(103,$C$2:C5433))</f>
        <v>5424</v>
      </c>
      <c r="B5433" s="41">
        <v>4074</v>
      </c>
      <c r="C5433" s="41">
        <v>13575</v>
      </c>
      <c r="D5433" s="41" t="s">
        <v>45</v>
      </c>
      <c r="E5433" s="41" t="s">
        <v>1298</v>
      </c>
      <c r="F5433" s="41" t="s">
        <v>15613</v>
      </c>
      <c r="G5433" s="41" t="s">
        <v>16567</v>
      </c>
      <c r="H5433" s="41" t="s">
        <v>16568</v>
      </c>
      <c r="I5433" s="43">
        <v>12</v>
      </c>
      <c r="J5433" s="44" t="str">
        <f>VLOOKUP(G5433,[1]硬件清单!$F:$F,1,0)</f>
        <v>219562807</v>
      </c>
      <c r="K5433" s="43"/>
      <c r="L5433" s="44"/>
      <c r="M5433" s="45" t="s">
        <v>16569</v>
      </c>
    </row>
    <row r="5434" s="28" customFormat="1" ht="30" customHeight="1" spans="1:13">
      <c r="A5434" s="41">
        <f>IF(C5434="","",SUBTOTAL(103,$C$2:C5434))</f>
        <v>5425</v>
      </c>
      <c r="B5434" s="41">
        <v>4075</v>
      </c>
      <c r="C5434" s="41">
        <v>13576</v>
      </c>
      <c r="D5434" s="41" t="s">
        <v>45</v>
      </c>
      <c r="E5434" s="41" t="s">
        <v>1298</v>
      </c>
      <c r="F5434" s="41" t="s">
        <v>15613</v>
      </c>
      <c r="G5434" s="41" t="s">
        <v>16570</v>
      </c>
      <c r="H5434" s="41" t="s">
        <v>16571</v>
      </c>
      <c r="I5434" s="43">
        <v>12</v>
      </c>
      <c r="J5434" s="44" t="str">
        <f>VLOOKUP(G5434,[1]硬件清单!$F:$F,1,0)</f>
        <v>219562806</v>
      </c>
      <c r="K5434" s="43"/>
      <c r="L5434" s="44"/>
      <c r="M5434" s="45" t="s">
        <v>16572</v>
      </c>
    </row>
    <row r="5435" s="28" customFormat="1" ht="30" customHeight="1" spans="1:13">
      <c r="A5435" s="41">
        <f>IF(C5435="","",SUBTOTAL(103,$C$2:C5435))</f>
        <v>5426</v>
      </c>
      <c r="B5435" s="41">
        <v>4076</v>
      </c>
      <c r="C5435" s="41">
        <v>13577</v>
      </c>
      <c r="D5435" s="41" t="s">
        <v>45</v>
      </c>
      <c r="E5435" s="41" t="s">
        <v>1298</v>
      </c>
      <c r="F5435" s="41" t="s">
        <v>15613</v>
      </c>
      <c r="G5435" s="41" t="s">
        <v>16573</v>
      </c>
      <c r="H5435" s="41" t="s">
        <v>16574</v>
      </c>
      <c r="I5435" s="43">
        <v>12</v>
      </c>
      <c r="J5435" s="44" t="str">
        <f>VLOOKUP(G5435,[1]硬件清单!$F:$F,1,0)</f>
        <v>219562803</v>
      </c>
      <c r="K5435" s="43"/>
      <c r="L5435" s="44"/>
      <c r="M5435" s="45" t="s">
        <v>16575</v>
      </c>
    </row>
    <row r="5436" s="28" customFormat="1" ht="30" customHeight="1" spans="1:13">
      <c r="A5436" s="41">
        <f>IF(C5436="","",SUBTOTAL(103,$C$2:C5436))</f>
        <v>5427</v>
      </c>
      <c r="B5436" s="41">
        <v>4077</v>
      </c>
      <c r="C5436" s="41">
        <v>13578</v>
      </c>
      <c r="D5436" s="41" t="s">
        <v>45</v>
      </c>
      <c r="E5436" s="41" t="s">
        <v>1298</v>
      </c>
      <c r="F5436" s="41" t="s">
        <v>15613</v>
      </c>
      <c r="G5436" s="41" t="s">
        <v>16576</v>
      </c>
      <c r="H5436" s="41" t="s">
        <v>16577</v>
      </c>
      <c r="I5436" s="43">
        <v>12</v>
      </c>
      <c r="J5436" s="44" t="str">
        <f>VLOOKUP(G5436,[1]硬件清单!$F:$F,1,0)</f>
        <v>219562802</v>
      </c>
      <c r="K5436" s="43"/>
      <c r="L5436" s="44"/>
      <c r="M5436" s="45" t="s">
        <v>16578</v>
      </c>
    </row>
    <row r="5437" s="28" customFormat="1" ht="30" customHeight="1" spans="1:13">
      <c r="A5437" s="41">
        <f>IF(C5437="","",SUBTOTAL(103,$C$2:C5437))</f>
        <v>5428</v>
      </c>
      <c r="B5437" s="41">
        <v>4078</v>
      </c>
      <c r="C5437" s="41">
        <v>13579</v>
      </c>
      <c r="D5437" s="41" t="s">
        <v>45</v>
      </c>
      <c r="E5437" s="41" t="s">
        <v>1298</v>
      </c>
      <c r="F5437" s="41" t="s">
        <v>15613</v>
      </c>
      <c r="G5437" s="41" t="s">
        <v>16579</v>
      </c>
      <c r="H5437" s="41" t="s">
        <v>16580</v>
      </c>
      <c r="I5437" s="43">
        <v>12</v>
      </c>
      <c r="J5437" s="44" t="str">
        <f>VLOOKUP(G5437,[1]硬件清单!$F:$F,1,0)</f>
        <v>219562804</v>
      </c>
      <c r="K5437" s="43"/>
      <c r="L5437" s="44"/>
      <c r="M5437" s="45" t="s">
        <v>16581</v>
      </c>
    </row>
    <row r="5438" s="28" customFormat="1" ht="30" customHeight="1" spans="1:13">
      <c r="A5438" s="41">
        <f>IF(C5438="","",SUBTOTAL(103,$C$2:C5438))</f>
        <v>5429</v>
      </c>
      <c r="B5438" s="41">
        <v>4079</v>
      </c>
      <c r="C5438" s="41">
        <v>13580</v>
      </c>
      <c r="D5438" s="41" t="s">
        <v>45</v>
      </c>
      <c r="E5438" s="41" t="s">
        <v>1298</v>
      </c>
      <c r="F5438" s="41" t="s">
        <v>15613</v>
      </c>
      <c r="G5438" s="41" t="s">
        <v>16582</v>
      </c>
      <c r="H5438" s="41" t="s">
        <v>16583</v>
      </c>
      <c r="I5438" s="43">
        <v>12</v>
      </c>
      <c r="J5438" s="44" t="str">
        <f>VLOOKUP(G5438,[1]硬件清单!$F:$F,1,0)</f>
        <v>219562805</v>
      </c>
      <c r="K5438" s="43"/>
      <c r="L5438" s="44"/>
      <c r="M5438" s="45" t="s">
        <v>16584</v>
      </c>
    </row>
    <row r="5439" s="28" customFormat="1" ht="30" customHeight="1" spans="1:13">
      <c r="A5439" s="41">
        <f>IF(C5439="","",SUBTOTAL(103,$C$2:C5439))</f>
        <v>5430</v>
      </c>
      <c r="B5439" s="41">
        <v>4080</v>
      </c>
      <c r="C5439" s="41">
        <v>13581</v>
      </c>
      <c r="D5439" s="41" t="s">
        <v>45</v>
      </c>
      <c r="E5439" s="41" t="s">
        <v>1298</v>
      </c>
      <c r="F5439" s="41" t="s">
        <v>15613</v>
      </c>
      <c r="G5439" s="41" t="s">
        <v>16585</v>
      </c>
      <c r="H5439" s="41" t="s">
        <v>16586</v>
      </c>
      <c r="I5439" s="43">
        <v>12</v>
      </c>
      <c r="J5439" s="44" t="str">
        <f>VLOOKUP(G5439,[1]硬件清单!$F:$F,1,0)</f>
        <v>219562800</v>
      </c>
      <c r="K5439" s="43"/>
      <c r="L5439" s="44"/>
      <c r="M5439" s="45" t="s">
        <v>16587</v>
      </c>
    </row>
    <row r="5440" s="28" customFormat="1" ht="30" customHeight="1" spans="1:13">
      <c r="A5440" s="41">
        <f>IF(C5440="","",SUBTOTAL(103,$C$2:C5440))</f>
        <v>5431</v>
      </c>
      <c r="B5440" s="41">
        <v>4081</v>
      </c>
      <c r="C5440" s="41">
        <v>13582</v>
      </c>
      <c r="D5440" s="41" t="s">
        <v>45</v>
      </c>
      <c r="E5440" s="41" t="s">
        <v>1298</v>
      </c>
      <c r="F5440" s="41" t="s">
        <v>15613</v>
      </c>
      <c r="G5440" s="41" t="s">
        <v>16588</v>
      </c>
      <c r="H5440" s="41" t="s">
        <v>16589</v>
      </c>
      <c r="I5440" s="43">
        <v>12</v>
      </c>
      <c r="J5440" s="44" t="str">
        <f>VLOOKUP(G5440,[1]硬件清单!$F:$F,1,0)</f>
        <v>219562801</v>
      </c>
      <c r="K5440" s="43"/>
      <c r="L5440" s="44"/>
      <c r="M5440" s="45" t="s">
        <v>16590</v>
      </c>
    </row>
    <row r="5441" s="28" customFormat="1" ht="30" customHeight="1" spans="1:13">
      <c r="A5441" s="41">
        <f>IF(C5441="","",SUBTOTAL(103,$C$2:C5441))</f>
        <v>5432</v>
      </c>
      <c r="B5441" s="41">
        <v>4082</v>
      </c>
      <c r="C5441" s="41">
        <v>11135</v>
      </c>
      <c r="D5441" s="41" t="s">
        <v>19</v>
      </c>
      <c r="E5441" s="41" t="s">
        <v>20</v>
      </c>
      <c r="F5441" s="41" t="s">
        <v>10023</v>
      </c>
      <c r="G5441" s="41" t="s">
        <v>16591</v>
      </c>
      <c r="H5441" s="41" t="s">
        <v>16592</v>
      </c>
      <c r="I5441" s="43">
        <v>12</v>
      </c>
      <c r="J5441" s="44" t="str">
        <f>VLOOKUP(G5441,[1]硬件清单!$F:$F,1,0)</f>
        <v>210235A1DWH149000055</v>
      </c>
      <c r="K5441" s="43"/>
      <c r="L5441" s="44"/>
      <c r="M5441" s="45" t="s">
        <v>16593</v>
      </c>
    </row>
    <row r="5442" s="28" customFormat="1" ht="30" customHeight="1" spans="1:13">
      <c r="A5442" s="41">
        <f>IF(C5442="","",SUBTOTAL(103,$C$2:C5442))</f>
        <v>5433</v>
      </c>
      <c r="B5442" s="41">
        <v>4083</v>
      </c>
      <c r="C5442" s="41">
        <v>11137</v>
      </c>
      <c r="D5442" s="41" t="s">
        <v>19</v>
      </c>
      <c r="E5442" s="41" t="s">
        <v>20</v>
      </c>
      <c r="F5442" s="41" t="s">
        <v>10023</v>
      </c>
      <c r="G5442" s="41" t="s">
        <v>16594</v>
      </c>
      <c r="H5442" s="41" t="s">
        <v>16595</v>
      </c>
      <c r="I5442" s="43">
        <v>12</v>
      </c>
      <c r="J5442" s="44" t="str">
        <f>VLOOKUP(G5442,[1]硬件清单!$F:$F,1,0)</f>
        <v>210235A1DWH149000088</v>
      </c>
      <c r="K5442" s="43"/>
      <c r="L5442" s="44"/>
      <c r="M5442" s="45" t="s">
        <v>16596</v>
      </c>
    </row>
    <row r="5443" s="28" customFormat="1" ht="30" customHeight="1" spans="1:13">
      <c r="A5443" s="41">
        <f>IF(C5443="","",SUBTOTAL(103,$C$2:C5443))</f>
        <v>5434</v>
      </c>
      <c r="B5443" s="41">
        <v>4084</v>
      </c>
      <c r="C5443" s="41">
        <v>11134</v>
      </c>
      <c r="D5443" s="41" t="s">
        <v>19</v>
      </c>
      <c r="E5443" s="41" t="s">
        <v>20</v>
      </c>
      <c r="F5443" s="41" t="s">
        <v>10023</v>
      </c>
      <c r="G5443" s="41" t="s">
        <v>16597</v>
      </c>
      <c r="H5443" s="41" t="s">
        <v>16598</v>
      </c>
      <c r="I5443" s="43">
        <v>12</v>
      </c>
      <c r="J5443" s="44" t="str">
        <f>VLOOKUP(G5443,[1]硬件清单!$F:$F,1,0)</f>
        <v>210235A1DWH149000072</v>
      </c>
      <c r="K5443" s="43"/>
      <c r="L5443" s="44"/>
      <c r="M5443" s="45" t="s">
        <v>16599</v>
      </c>
    </row>
    <row r="5444" s="28" customFormat="1" ht="30" customHeight="1" spans="1:13">
      <c r="A5444" s="41">
        <f>IF(C5444="","",SUBTOTAL(103,$C$2:C5444))</f>
        <v>5435</v>
      </c>
      <c r="B5444" s="41">
        <v>4085</v>
      </c>
      <c r="C5444" s="41">
        <v>11136</v>
      </c>
      <c r="D5444" s="41" t="s">
        <v>19</v>
      </c>
      <c r="E5444" s="41" t="s">
        <v>20</v>
      </c>
      <c r="F5444" s="41" t="s">
        <v>10023</v>
      </c>
      <c r="G5444" s="41" t="s">
        <v>16600</v>
      </c>
      <c r="H5444" s="41" t="s">
        <v>16601</v>
      </c>
      <c r="I5444" s="43">
        <v>12</v>
      </c>
      <c r="J5444" s="44" t="str">
        <f>VLOOKUP(G5444,[1]硬件清单!$F:$F,1,0)</f>
        <v>210235A1DWH149000073</v>
      </c>
      <c r="K5444" s="43"/>
      <c r="L5444" s="44"/>
      <c r="M5444" s="45" t="s">
        <v>16602</v>
      </c>
    </row>
    <row r="5445" s="28" customFormat="1" ht="30" customHeight="1" spans="1:13">
      <c r="A5445" s="41">
        <f>IF(C5445="","",SUBTOTAL(103,$C$2:C5445))</f>
        <v>5436</v>
      </c>
      <c r="B5445" s="41">
        <v>4086</v>
      </c>
      <c r="C5445" s="46">
        <v>11066</v>
      </c>
      <c r="D5445" s="46" t="s">
        <v>45</v>
      </c>
      <c r="E5445" s="46" t="s">
        <v>46</v>
      </c>
      <c r="F5445" s="46" t="s">
        <v>16603</v>
      </c>
      <c r="G5445" s="41" t="s">
        <v>16604</v>
      </c>
      <c r="H5445" s="41" t="s">
        <v>16605</v>
      </c>
      <c r="I5445" s="43">
        <v>12</v>
      </c>
      <c r="J5445" s="44" t="str">
        <f>VLOOKUP(G5445,[1]硬件清单!$F:$F,1,0)</f>
        <v>BJ201401D1048</v>
      </c>
      <c r="K5445" s="43"/>
      <c r="L5445" s="44"/>
      <c r="M5445" s="45" t="s">
        <v>16606</v>
      </c>
    </row>
    <row r="5446" s="28" customFormat="1" ht="30" customHeight="1" spans="1:13">
      <c r="A5446" s="41">
        <f>IF(C5446="","",SUBTOTAL(103,$C$2:C5446))</f>
        <v>5437</v>
      </c>
      <c r="B5446" s="41">
        <v>4088</v>
      </c>
      <c r="C5446" s="46">
        <v>11112</v>
      </c>
      <c r="D5446" s="46" t="s">
        <v>19</v>
      </c>
      <c r="E5446" s="46" t="s">
        <v>20</v>
      </c>
      <c r="F5446" s="46" t="s">
        <v>10033</v>
      </c>
      <c r="G5446" s="41" t="s">
        <v>16607</v>
      </c>
      <c r="H5446" s="41" t="s">
        <v>16608</v>
      </c>
      <c r="I5446" s="43">
        <v>12</v>
      </c>
      <c r="J5446" s="44" t="str">
        <f>VLOOKUP(G5446,[1]硬件清单!$F:$F,1,0)</f>
        <v>210235AOHAH14A000296</v>
      </c>
      <c r="K5446" s="43"/>
      <c r="L5446" s="44"/>
      <c r="M5446" s="45" t="s">
        <v>16609</v>
      </c>
    </row>
    <row r="5447" s="28" customFormat="1" ht="30" customHeight="1" spans="1:13">
      <c r="A5447" s="41">
        <f>IF(C5447="","",SUBTOTAL(103,$C$2:C5447))</f>
        <v>5438</v>
      </c>
      <c r="B5447" s="41">
        <v>4089</v>
      </c>
      <c r="C5447" s="46">
        <v>10110</v>
      </c>
      <c r="D5447" s="46" t="s">
        <v>19</v>
      </c>
      <c r="E5447" s="46" t="s">
        <v>20</v>
      </c>
      <c r="F5447" s="46" t="s">
        <v>11422</v>
      </c>
      <c r="G5447" s="41" t="s">
        <v>16610</v>
      </c>
      <c r="H5447" s="41" t="s">
        <v>16611</v>
      </c>
      <c r="I5447" s="43">
        <v>12</v>
      </c>
      <c r="J5447" s="44" t="str">
        <f>VLOOKUP(G5447,[1]硬件清单!$F:$F,1,0)</f>
        <v>210235A0HAH14A000250</v>
      </c>
      <c r="K5447" s="43"/>
      <c r="L5447" s="44"/>
      <c r="M5447" s="45" t="s">
        <v>16612</v>
      </c>
    </row>
    <row r="5448" s="28" customFormat="1" ht="30" customHeight="1" spans="1:13">
      <c r="A5448" s="41">
        <f>IF(C5448="","",SUBTOTAL(103,$C$2:C5448))</f>
        <v>5439</v>
      </c>
      <c r="B5448" s="41">
        <v>4090</v>
      </c>
      <c r="C5448" s="46">
        <v>10113</v>
      </c>
      <c r="D5448" s="46" t="s">
        <v>19</v>
      </c>
      <c r="E5448" s="46" t="s">
        <v>20</v>
      </c>
      <c r="F5448" s="46" t="s">
        <v>16235</v>
      </c>
      <c r="G5448" s="41" t="s">
        <v>16613</v>
      </c>
      <c r="H5448" s="41" t="s">
        <v>16614</v>
      </c>
      <c r="I5448" s="43">
        <v>12</v>
      </c>
      <c r="J5448" s="44" t="str">
        <f>VLOOKUP(G5448,[1]硬件清单!$F:$F,1,0)</f>
        <v>210235A0HAH163000002</v>
      </c>
      <c r="K5448" s="43"/>
      <c r="L5448" s="44"/>
      <c r="M5448" s="45" t="s">
        <v>16615</v>
      </c>
    </row>
    <row r="5449" s="28" customFormat="1" ht="30" customHeight="1" spans="1:13">
      <c r="A5449" s="41">
        <f>IF(C5449="","",SUBTOTAL(103,$C$2:C5449))</f>
        <v>5440</v>
      </c>
      <c r="B5449" s="41">
        <v>4094</v>
      </c>
      <c r="C5449" s="41">
        <v>8958</v>
      </c>
      <c r="D5449" s="41" t="s">
        <v>45</v>
      </c>
      <c r="E5449" s="41" t="s">
        <v>1298</v>
      </c>
      <c r="F5449" s="41" t="s">
        <v>6784</v>
      </c>
      <c r="G5449" s="41" t="s">
        <v>16616</v>
      </c>
      <c r="H5449" s="41" t="s">
        <v>16617</v>
      </c>
      <c r="I5449" s="43">
        <v>12</v>
      </c>
      <c r="J5449" s="44" t="str">
        <f>VLOOKUP(G5449,[1]硬件清单!$F:$F,1,0)</f>
        <v>CNG230SHDQ</v>
      </c>
      <c r="K5449" s="43"/>
      <c r="L5449" s="44"/>
      <c r="M5449" s="45" t="s">
        <v>16618</v>
      </c>
    </row>
    <row r="5450" s="28" customFormat="1" ht="30" customHeight="1" spans="1:13">
      <c r="A5450" s="41">
        <f>IF(C5450="","",SUBTOTAL(103,$C$2:C5450))</f>
        <v>5441</v>
      </c>
      <c r="B5450" s="41">
        <v>4095</v>
      </c>
      <c r="C5450" s="41">
        <v>8959</v>
      </c>
      <c r="D5450" s="41" t="s">
        <v>45</v>
      </c>
      <c r="E5450" s="41" t="s">
        <v>1298</v>
      </c>
      <c r="F5450" s="41" t="s">
        <v>6784</v>
      </c>
      <c r="G5450" s="41" t="s">
        <v>16619</v>
      </c>
      <c r="H5450" s="41" t="s">
        <v>16620</v>
      </c>
      <c r="I5450" s="43">
        <v>12</v>
      </c>
      <c r="J5450" s="44" t="str">
        <f>VLOOKUP(G5450,[1]硬件清单!$F:$F,1,0)</f>
        <v>CNG230SHC7</v>
      </c>
      <c r="K5450" s="43"/>
      <c r="L5450" s="44"/>
      <c r="M5450" s="45" t="s">
        <v>16621</v>
      </c>
    </row>
    <row r="5451" s="28" customFormat="1" ht="30" customHeight="1" spans="1:13">
      <c r="A5451" s="41">
        <f>IF(C5451="","",SUBTOTAL(103,$C$2:C5451))</f>
        <v>5442</v>
      </c>
      <c r="B5451" s="41">
        <v>4098</v>
      </c>
      <c r="C5451" s="41">
        <v>10112</v>
      </c>
      <c r="D5451" s="41" t="s">
        <v>19</v>
      </c>
      <c r="E5451" s="41" t="s">
        <v>20</v>
      </c>
      <c r="F5451" s="41" t="s">
        <v>11422</v>
      </c>
      <c r="G5451" s="41" t="s">
        <v>16622</v>
      </c>
      <c r="H5451" s="41" t="s">
        <v>16623</v>
      </c>
      <c r="I5451" s="43">
        <v>12</v>
      </c>
      <c r="J5451" s="44" t="str">
        <f>VLOOKUP(G5451,[1]硬件清单!$F:$F,1,0)</f>
        <v>210235AOHAH127000045</v>
      </c>
      <c r="K5451" s="43"/>
      <c r="L5451" s="44"/>
      <c r="M5451" s="45" t="s">
        <v>16624</v>
      </c>
    </row>
    <row r="5452" s="28" customFormat="1" ht="30" customHeight="1" spans="1:13">
      <c r="A5452" s="41">
        <f>IF(C5452="","",SUBTOTAL(103,$C$2:C5452))</f>
        <v>5443</v>
      </c>
      <c r="B5452" s="41">
        <v>4099</v>
      </c>
      <c r="C5452" s="41">
        <v>4447</v>
      </c>
      <c r="D5452" s="41" t="s">
        <v>45</v>
      </c>
      <c r="E5452" s="41" t="s">
        <v>1298</v>
      </c>
      <c r="F5452" s="41" t="s">
        <v>16625</v>
      </c>
      <c r="G5452" s="41" t="s">
        <v>16626</v>
      </c>
      <c r="H5452" s="41" t="s">
        <v>16627</v>
      </c>
      <c r="I5452" s="43">
        <v>12</v>
      </c>
      <c r="J5452" s="44" t="str">
        <f>VLOOKUP(G5452,[1]硬件清单!$F:$F,1,0)</f>
        <v>6C07422HLW</v>
      </c>
      <c r="K5452" s="43"/>
      <c r="L5452" s="44"/>
      <c r="M5452" s="45" t="s">
        <v>16628</v>
      </c>
    </row>
    <row r="5453" s="28" customFormat="1" ht="30" customHeight="1" spans="1:13">
      <c r="A5453" s="41">
        <f>IF(C5453="","",SUBTOTAL(103,$C$2:C5453))</f>
        <v>5444</v>
      </c>
      <c r="B5453" s="41">
        <v>4100</v>
      </c>
      <c r="C5453" s="41">
        <v>4329</v>
      </c>
      <c r="D5453" s="41" t="s">
        <v>45</v>
      </c>
      <c r="E5453" s="41" t="s">
        <v>1298</v>
      </c>
      <c r="F5453" s="41" t="s">
        <v>16629</v>
      </c>
      <c r="G5453" s="41" t="s">
        <v>16630</v>
      </c>
      <c r="H5453" s="41" t="s">
        <v>16631</v>
      </c>
      <c r="I5453" s="43">
        <v>12</v>
      </c>
      <c r="J5453" s="44" t="str">
        <f>VLOOKUP(G5453,[1]硬件清单!$F:$F,1,0)</f>
        <v>6CU7421X9X</v>
      </c>
      <c r="K5453" s="43"/>
      <c r="L5453" s="44"/>
      <c r="M5453" s="45" t="s">
        <v>16632</v>
      </c>
    </row>
    <row r="5454" s="28" customFormat="1" ht="30" customHeight="1" spans="1:13">
      <c r="A5454" s="41">
        <f>IF(C5454="","",SUBTOTAL(103,$C$2:C5454))</f>
        <v>5445</v>
      </c>
      <c r="B5454" s="41">
        <v>4101</v>
      </c>
      <c r="C5454" s="41">
        <v>4338</v>
      </c>
      <c r="D5454" s="41" t="s">
        <v>45</v>
      </c>
      <c r="E5454" s="41" t="s">
        <v>1298</v>
      </c>
      <c r="F5454" s="41" t="s">
        <v>16629</v>
      </c>
      <c r="G5454" s="41" t="s">
        <v>16633</v>
      </c>
      <c r="H5454" s="41" t="s">
        <v>16634</v>
      </c>
      <c r="I5454" s="43">
        <v>12</v>
      </c>
      <c r="J5454" s="44" t="str">
        <f>VLOOKUP(G5454,[1]硬件清单!$F:$F,1,0)</f>
        <v>6CU7421XAP</v>
      </c>
      <c r="K5454" s="43"/>
      <c r="L5454" s="44"/>
      <c r="M5454" s="45" t="s">
        <v>16635</v>
      </c>
    </row>
    <row r="5455" s="28" customFormat="1" ht="30" customHeight="1" spans="1:13">
      <c r="A5455" s="41">
        <f>IF(C5455="","",SUBTOTAL(103,$C$2:C5455))</f>
        <v>5446</v>
      </c>
      <c r="B5455" s="41">
        <v>4102</v>
      </c>
      <c r="C5455" s="41">
        <v>4339</v>
      </c>
      <c r="D5455" s="41" t="s">
        <v>45</v>
      </c>
      <c r="E5455" s="41" t="s">
        <v>1298</v>
      </c>
      <c r="F5455" s="41" t="s">
        <v>16629</v>
      </c>
      <c r="G5455" s="41" t="s">
        <v>16636</v>
      </c>
      <c r="H5455" s="41" t="s">
        <v>16637</v>
      </c>
      <c r="I5455" s="43">
        <v>12</v>
      </c>
      <c r="J5455" s="44" t="str">
        <f>VLOOKUP(G5455,[1]硬件清单!$F:$F,1,0)</f>
        <v>6CU7421X93</v>
      </c>
      <c r="K5455" s="43"/>
      <c r="L5455" s="44"/>
      <c r="M5455" s="45" t="s">
        <v>16638</v>
      </c>
    </row>
    <row r="5456" s="28" customFormat="1" ht="30" customHeight="1" spans="1:13">
      <c r="A5456" s="41">
        <f>IF(C5456="","",SUBTOTAL(103,$C$2:C5456))</f>
        <v>5447</v>
      </c>
      <c r="B5456" s="41">
        <v>4103</v>
      </c>
      <c r="C5456" s="41">
        <v>4340</v>
      </c>
      <c r="D5456" s="41" t="s">
        <v>45</v>
      </c>
      <c r="E5456" s="41" t="s">
        <v>1298</v>
      </c>
      <c r="F5456" s="41" t="s">
        <v>16629</v>
      </c>
      <c r="G5456" s="41" t="s">
        <v>16639</v>
      </c>
      <c r="H5456" s="41" t="s">
        <v>16640</v>
      </c>
      <c r="I5456" s="43">
        <v>12</v>
      </c>
      <c r="J5456" s="44" t="str">
        <f>VLOOKUP(G5456,[1]硬件清单!$F:$F,1,0)</f>
        <v>6CU7421X9L</v>
      </c>
      <c r="K5456" s="43"/>
      <c r="L5456" s="44"/>
      <c r="M5456" s="45" t="s">
        <v>16641</v>
      </c>
    </row>
    <row r="5457" s="28" customFormat="1" ht="30" customHeight="1" spans="1:13">
      <c r="A5457" s="41">
        <f>IF(C5457="","",SUBTOTAL(103,$C$2:C5457))</f>
        <v>5448</v>
      </c>
      <c r="B5457" s="41">
        <v>4104</v>
      </c>
      <c r="C5457" s="41">
        <v>4341</v>
      </c>
      <c r="D5457" s="41" t="s">
        <v>45</v>
      </c>
      <c r="E5457" s="41" t="s">
        <v>1298</v>
      </c>
      <c r="F5457" s="41" t="s">
        <v>16629</v>
      </c>
      <c r="G5457" s="41" t="s">
        <v>16642</v>
      </c>
      <c r="H5457" s="41" t="s">
        <v>16643</v>
      </c>
      <c r="I5457" s="43">
        <v>12</v>
      </c>
      <c r="J5457" s="44" t="str">
        <f>VLOOKUP(G5457,[1]硬件清单!$F:$F,1,0)</f>
        <v>6CU7421XA2</v>
      </c>
      <c r="K5457" s="43"/>
      <c r="L5457" s="44"/>
      <c r="M5457" s="45" t="s">
        <v>16644</v>
      </c>
    </row>
    <row r="5458" s="28" customFormat="1" ht="30" customHeight="1" spans="1:13">
      <c r="A5458" s="41">
        <f>IF(C5458="","",SUBTOTAL(103,$C$2:C5458))</f>
        <v>5449</v>
      </c>
      <c r="B5458" s="41">
        <v>4105</v>
      </c>
      <c r="C5458" s="41">
        <v>4342</v>
      </c>
      <c r="D5458" s="41" t="s">
        <v>45</v>
      </c>
      <c r="E5458" s="41" t="s">
        <v>1298</v>
      </c>
      <c r="F5458" s="41" t="s">
        <v>16629</v>
      </c>
      <c r="G5458" s="41" t="s">
        <v>16645</v>
      </c>
      <c r="H5458" s="41" t="s">
        <v>16646</v>
      </c>
      <c r="I5458" s="43">
        <v>12</v>
      </c>
      <c r="J5458" s="44" t="str">
        <f>VLOOKUP(G5458,[1]硬件清单!$F:$F,1,0)</f>
        <v>6CU7421XAV</v>
      </c>
      <c r="K5458" s="43"/>
      <c r="L5458" s="44"/>
      <c r="M5458" s="45" t="s">
        <v>16647</v>
      </c>
    </row>
    <row r="5459" s="28" customFormat="1" ht="30" customHeight="1" spans="1:13">
      <c r="A5459" s="41">
        <f>IF(C5459="","",SUBTOTAL(103,$C$2:C5459))</f>
        <v>5450</v>
      </c>
      <c r="B5459" s="41">
        <v>4106</v>
      </c>
      <c r="C5459" s="41">
        <v>4343</v>
      </c>
      <c r="D5459" s="41" t="s">
        <v>45</v>
      </c>
      <c r="E5459" s="41" t="s">
        <v>1298</v>
      </c>
      <c r="F5459" s="41" t="s">
        <v>16629</v>
      </c>
      <c r="G5459" s="41" t="s">
        <v>16648</v>
      </c>
      <c r="H5459" s="41" t="s">
        <v>16649</v>
      </c>
      <c r="I5459" s="43">
        <v>12</v>
      </c>
      <c r="J5459" s="44" t="str">
        <f>VLOOKUP(G5459,[1]硬件清单!$F:$F,1,0)</f>
        <v>6CU7421X9R</v>
      </c>
      <c r="K5459" s="43"/>
      <c r="L5459" s="44"/>
      <c r="M5459" s="45" t="s">
        <v>16650</v>
      </c>
    </row>
    <row r="5460" s="28" customFormat="1" ht="30" customHeight="1" spans="1:13">
      <c r="A5460" s="41">
        <f>IF(C5460="","",SUBTOTAL(103,$C$2:C5460))</f>
        <v>5451</v>
      </c>
      <c r="B5460" s="41">
        <v>4107</v>
      </c>
      <c r="C5460" s="41">
        <v>4344</v>
      </c>
      <c r="D5460" s="41" t="s">
        <v>45</v>
      </c>
      <c r="E5460" s="41" t="s">
        <v>1298</v>
      </c>
      <c r="F5460" s="41" t="s">
        <v>16629</v>
      </c>
      <c r="G5460" s="41" t="s">
        <v>16651</v>
      </c>
      <c r="H5460" s="41" t="s">
        <v>16652</v>
      </c>
      <c r="I5460" s="43">
        <v>12</v>
      </c>
      <c r="J5460" s="44" t="str">
        <f>VLOOKUP(G5460,[1]硬件清单!$F:$F,1,0)</f>
        <v>6CU7421XAA</v>
      </c>
      <c r="K5460" s="43"/>
      <c r="L5460" s="44"/>
      <c r="M5460" s="45" t="s">
        <v>16653</v>
      </c>
    </row>
    <row r="5461" s="28" customFormat="1" ht="30" customHeight="1" spans="1:13">
      <c r="A5461" s="41">
        <f>IF(C5461="","",SUBTOTAL(103,$C$2:C5461))</f>
        <v>5452</v>
      </c>
      <c r="B5461" s="41">
        <v>4108</v>
      </c>
      <c r="C5461" s="41">
        <v>4330</v>
      </c>
      <c r="D5461" s="41" t="s">
        <v>45</v>
      </c>
      <c r="E5461" s="41" t="s">
        <v>1298</v>
      </c>
      <c r="F5461" s="41" t="s">
        <v>16629</v>
      </c>
      <c r="G5461" s="41" t="s">
        <v>16654</v>
      </c>
      <c r="H5461" s="41" t="s">
        <v>16655</v>
      </c>
      <c r="I5461" s="43">
        <v>12</v>
      </c>
      <c r="J5461" s="44" t="str">
        <f>VLOOKUP(G5461,[1]硬件清单!$F:$F,1,0)</f>
        <v>6CU7421XAK</v>
      </c>
      <c r="K5461" s="43"/>
      <c r="L5461" s="44"/>
      <c r="M5461" s="45" t="s">
        <v>16656</v>
      </c>
    </row>
    <row r="5462" s="28" customFormat="1" ht="30" customHeight="1" spans="1:13">
      <c r="A5462" s="41">
        <f>IF(C5462="","",SUBTOTAL(103,$C$2:C5462))</f>
        <v>5453</v>
      </c>
      <c r="B5462" s="41">
        <v>4109</v>
      </c>
      <c r="C5462" s="41">
        <v>4331</v>
      </c>
      <c r="D5462" s="41" t="s">
        <v>45</v>
      </c>
      <c r="E5462" s="41" t="s">
        <v>1298</v>
      </c>
      <c r="F5462" s="41" t="s">
        <v>16629</v>
      </c>
      <c r="G5462" s="41" t="s">
        <v>16657</v>
      </c>
      <c r="H5462" s="41" t="s">
        <v>16658</v>
      </c>
      <c r="I5462" s="43">
        <v>12</v>
      </c>
      <c r="J5462" s="44" t="str">
        <f>VLOOKUP(G5462,[1]硬件清单!$F:$F,1,0)</f>
        <v>6CU7421X9F</v>
      </c>
      <c r="K5462" s="43"/>
      <c r="L5462" s="44"/>
      <c r="M5462" s="45" t="s">
        <v>16659</v>
      </c>
    </row>
    <row r="5463" s="28" customFormat="1" ht="30" customHeight="1" spans="1:13">
      <c r="A5463" s="41">
        <f>IF(C5463="","",SUBTOTAL(103,$C$2:C5463))</f>
        <v>5454</v>
      </c>
      <c r="B5463" s="41">
        <v>4110</v>
      </c>
      <c r="C5463" s="41">
        <v>4332</v>
      </c>
      <c r="D5463" s="41" t="s">
        <v>45</v>
      </c>
      <c r="E5463" s="41" t="s">
        <v>1298</v>
      </c>
      <c r="F5463" s="41" t="s">
        <v>16629</v>
      </c>
      <c r="G5463" s="41" t="s">
        <v>16660</v>
      </c>
      <c r="H5463" s="41" t="s">
        <v>16661</v>
      </c>
      <c r="I5463" s="43">
        <v>12</v>
      </c>
      <c r="J5463" s="44" t="str">
        <f>VLOOKUP(G5463,[1]硬件清单!$F:$F,1,0)</f>
        <v>6CU7421XAE</v>
      </c>
      <c r="K5463" s="43"/>
      <c r="L5463" s="44"/>
      <c r="M5463" s="45" t="s">
        <v>16662</v>
      </c>
    </row>
    <row r="5464" s="28" customFormat="1" ht="30" customHeight="1" spans="1:13">
      <c r="A5464" s="41">
        <f>IF(C5464="","",SUBTOTAL(103,$C$2:C5464))</f>
        <v>5455</v>
      </c>
      <c r="B5464" s="41">
        <v>4111</v>
      </c>
      <c r="C5464" s="41">
        <v>4333</v>
      </c>
      <c r="D5464" s="41" t="s">
        <v>45</v>
      </c>
      <c r="E5464" s="41" t="s">
        <v>1298</v>
      </c>
      <c r="F5464" s="41" t="s">
        <v>16629</v>
      </c>
      <c r="G5464" s="41" t="s">
        <v>16663</v>
      </c>
      <c r="H5464" s="41" t="s">
        <v>16664</v>
      </c>
      <c r="I5464" s="43">
        <v>12</v>
      </c>
      <c r="J5464" s="44" t="str">
        <f>VLOOKUP(G5464,[1]硬件清单!$F:$F,1,0)</f>
        <v>6CU7421XB4</v>
      </c>
      <c r="K5464" s="43"/>
      <c r="L5464" s="44"/>
      <c r="M5464" s="45" t="s">
        <v>16665</v>
      </c>
    </row>
    <row r="5465" s="28" customFormat="1" ht="30" customHeight="1" spans="1:13">
      <c r="A5465" s="41">
        <f>IF(C5465="","",SUBTOTAL(103,$C$2:C5465))</f>
        <v>5456</v>
      </c>
      <c r="B5465" s="41">
        <v>4112</v>
      </c>
      <c r="C5465" s="41">
        <v>4334</v>
      </c>
      <c r="D5465" s="41" t="s">
        <v>45</v>
      </c>
      <c r="E5465" s="41" t="s">
        <v>1298</v>
      </c>
      <c r="F5465" s="41" t="s">
        <v>16629</v>
      </c>
      <c r="G5465" s="41" t="s">
        <v>16666</v>
      </c>
      <c r="H5465" s="41" t="s">
        <v>16667</v>
      </c>
      <c r="I5465" s="43">
        <v>12</v>
      </c>
      <c r="J5465" s="44" t="str">
        <f>VLOOKUP(G5465,[1]硬件清单!$F:$F,1,0)</f>
        <v>6CU7421X97</v>
      </c>
      <c r="K5465" s="43"/>
      <c r="L5465" s="44"/>
      <c r="M5465" s="45" t="s">
        <v>16668</v>
      </c>
    </row>
    <row r="5466" s="28" customFormat="1" ht="30" customHeight="1" spans="1:13">
      <c r="A5466" s="41">
        <f>IF(C5466="","",SUBTOTAL(103,$C$2:C5466))</f>
        <v>5457</v>
      </c>
      <c r="B5466" s="41">
        <v>4113</v>
      </c>
      <c r="C5466" s="41">
        <v>4335</v>
      </c>
      <c r="D5466" s="41" t="s">
        <v>45</v>
      </c>
      <c r="E5466" s="41" t="s">
        <v>1298</v>
      </c>
      <c r="F5466" s="41" t="s">
        <v>16629</v>
      </c>
      <c r="G5466" s="41" t="s">
        <v>16669</v>
      </c>
      <c r="H5466" s="41" t="s">
        <v>16670</v>
      </c>
      <c r="I5466" s="43">
        <v>12</v>
      </c>
      <c r="J5466" s="44" t="str">
        <f>VLOOKUP(G5466,[1]硬件清单!$F:$F,1,0)</f>
        <v>6CU7421X9B</v>
      </c>
      <c r="K5466" s="43"/>
      <c r="L5466" s="44"/>
      <c r="M5466" s="45" t="s">
        <v>16671</v>
      </c>
    </row>
    <row r="5467" s="28" customFormat="1" ht="30" customHeight="1" spans="1:13">
      <c r="A5467" s="41">
        <f>IF(C5467="","",SUBTOTAL(103,$C$2:C5467))</f>
        <v>5458</v>
      </c>
      <c r="B5467" s="41">
        <v>4114</v>
      </c>
      <c r="C5467" s="41">
        <v>4336</v>
      </c>
      <c r="D5467" s="41" t="s">
        <v>45</v>
      </c>
      <c r="E5467" s="41" t="s">
        <v>1298</v>
      </c>
      <c r="F5467" s="41" t="s">
        <v>16629</v>
      </c>
      <c r="G5467" s="41" t="s">
        <v>16672</v>
      </c>
      <c r="H5467" s="41" t="s">
        <v>16673</v>
      </c>
      <c r="I5467" s="43">
        <v>12</v>
      </c>
      <c r="J5467" s="44" t="str">
        <f>VLOOKUP(G5467,[1]硬件清单!$F:$F,1,0)</f>
        <v>6CU7421XA6</v>
      </c>
      <c r="K5467" s="43"/>
      <c r="L5467" s="44"/>
      <c r="M5467" s="45" t="s">
        <v>16674</v>
      </c>
    </row>
    <row r="5468" s="28" customFormat="1" ht="30" customHeight="1" spans="1:13">
      <c r="A5468" s="41">
        <f>IF(C5468="","",SUBTOTAL(103,$C$2:C5468))</f>
        <v>5459</v>
      </c>
      <c r="B5468" s="41">
        <v>4115</v>
      </c>
      <c r="C5468" s="41">
        <v>4337</v>
      </c>
      <c r="D5468" s="41" t="s">
        <v>45</v>
      </c>
      <c r="E5468" s="41" t="s">
        <v>1298</v>
      </c>
      <c r="F5468" s="41" t="s">
        <v>16629</v>
      </c>
      <c r="G5468" s="41" t="s">
        <v>16675</v>
      </c>
      <c r="H5468" s="41" t="s">
        <v>16676</v>
      </c>
      <c r="I5468" s="43">
        <v>12</v>
      </c>
      <c r="J5468" s="44" t="str">
        <f>VLOOKUP(G5468,[1]硬件清单!$F:$F,1,0)</f>
        <v>6CU7421XB0</v>
      </c>
      <c r="K5468" s="43"/>
      <c r="L5468" s="44"/>
      <c r="M5468" s="45" t="s">
        <v>16677</v>
      </c>
    </row>
    <row r="5469" s="28" customFormat="1" ht="30" customHeight="1" spans="1:13">
      <c r="A5469" s="41">
        <f>IF(C5469="","",SUBTOTAL(103,$C$2:C5469))</f>
        <v>5460</v>
      </c>
      <c r="B5469" s="41">
        <v>4117</v>
      </c>
      <c r="C5469" s="41">
        <v>8994</v>
      </c>
      <c r="D5469" s="41" t="s">
        <v>45</v>
      </c>
      <c r="E5469" s="41" t="s">
        <v>1298</v>
      </c>
      <c r="F5469" s="41" t="s">
        <v>11114</v>
      </c>
      <c r="G5469" s="41" t="s">
        <v>16678</v>
      </c>
      <c r="H5469" s="41" t="s">
        <v>16679</v>
      </c>
      <c r="I5469" s="43">
        <v>12</v>
      </c>
      <c r="J5469" s="44" t="str">
        <f>VLOOKUP(G5469,[1]硬件清单!$F:$F,1,0)</f>
        <v>CNG230S9SJ</v>
      </c>
      <c r="K5469" s="43"/>
      <c r="L5469" s="44"/>
      <c r="M5469" s="45" t="s">
        <v>16680</v>
      </c>
    </row>
    <row r="5470" s="28" customFormat="1" ht="30" customHeight="1" spans="1:13">
      <c r="A5470" s="41">
        <f>IF(C5470="","",SUBTOTAL(103,$C$2:C5470))</f>
        <v>5461</v>
      </c>
      <c r="B5470" s="41">
        <v>4119</v>
      </c>
      <c r="C5470" s="41">
        <v>8977</v>
      </c>
      <c r="D5470" s="41" t="s">
        <v>45</v>
      </c>
      <c r="E5470" s="41" t="s">
        <v>1298</v>
      </c>
      <c r="F5470" s="41" t="s">
        <v>6784</v>
      </c>
      <c r="G5470" s="41" t="s">
        <v>16681</v>
      </c>
      <c r="H5470" s="41" t="s">
        <v>16682</v>
      </c>
      <c r="I5470" s="43">
        <v>12</v>
      </c>
      <c r="J5470" s="44" t="str">
        <f>VLOOKUP(G5470,[1]硬件清单!$F:$F,1,0)</f>
        <v>CNG230SHCR</v>
      </c>
      <c r="K5470" s="43"/>
      <c r="L5470" s="44"/>
      <c r="M5470" s="45" t="s">
        <v>16683</v>
      </c>
    </row>
    <row r="5471" s="28" customFormat="1" ht="30" customHeight="1" spans="1:13">
      <c r="A5471" s="41">
        <f>IF(C5471="","",SUBTOTAL(103,$C$2:C5471))</f>
        <v>5462</v>
      </c>
      <c r="B5471" s="41">
        <v>4120</v>
      </c>
      <c r="C5471" s="41">
        <v>8970</v>
      </c>
      <c r="D5471" s="41" t="s">
        <v>45</v>
      </c>
      <c r="E5471" s="41" t="s">
        <v>1298</v>
      </c>
      <c r="F5471" s="41" t="s">
        <v>6784</v>
      </c>
      <c r="G5471" s="41" t="s">
        <v>16684</v>
      </c>
      <c r="H5471" s="41" t="s">
        <v>16685</v>
      </c>
      <c r="I5471" s="43">
        <v>12</v>
      </c>
      <c r="J5471" s="44" t="str">
        <f>VLOOKUP(G5471,[1]硬件清单!$F:$F,1,0)</f>
        <v>CNG230SHDG</v>
      </c>
      <c r="K5471" s="43"/>
      <c r="L5471" s="44"/>
      <c r="M5471" s="45" t="s">
        <v>16686</v>
      </c>
    </row>
    <row r="5472" s="28" customFormat="1" ht="30" customHeight="1" spans="1:13">
      <c r="A5472" s="41">
        <f>IF(C5472="","",SUBTOTAL(103,$C$2:C5472))</f>
        <v>5463</v>
      </c>
      <c r="B5472" s="41">
        <v>4121</v>
      </c>
      <c r="C5472" s="41">
        <v>8971</v>
      </c>
      <c r="D5472" s="41" t="s">
        <v>45</v>
      </c>
      <c r="E5472" s="41" t="s">
        <v>1298</v>
      </c>
      <c r="F5472" s="41" t="s">
        <v>6784</v>
      </c>
      <c r="G5472" s="41" t="s">
        <v>16687</v>
      </c>
      <c r="H5472" s="41" t="s">
        <v>16688</v>
      </c>
      <c r="I5472" s="43">
        <v>12</v>
      </c>
      <c r="J5472" s="44" t="str">
        <f>VLOOKUP(G5472,[1]硬件清单!$F:$F,1,0)</f>
        <v>CNG230SHC5</v>
      </c>
      <c r="K5472" s="43"/>
      <c r="L5472" s="44"/>
      <c r="M5472" s="45" t="s">
        <v>16689</v>
      </c>
    </row>
    <row r="5473" s="28" customFormat="1" ht="30" customHeight="1" spans="1:13">
      <c r="A5473" s="41">
        <f>IF(C5473="","",SUBTOTAL(103,$C$2:C5473))</f>
        <v>5464</v>
      </c>
      <c r="B5473" s="41">
        <v>4122</v>
      </c>
      <c r="C5473" s="41">
        <v>8972</v>
      </c>
      <c r="D5473" s="41" t="s">
        <v>45</v>
      </c>
      <c r="E5473" s="41" t="s">
        <v>1298</v>
      </c>
      <c r="F5473" s="41" t="s">
        <v>6784</v>
      </c>
      <c r="G5473" s="41" t="s">
        <v>16690</v>
      </c>
      <c r="H5473" s="41" t="s">
        <v>16691</v>
      </c>
      <c r="I5473" s="43">
        <v>12</v>
      </c>
      <c r="J5473" s="44" t="str">
        <f>VLOOKUP(G5473,[1]硬件清单!$F:$F,1,0)</f>
        <v>CNG230SHCW</v>
      </c>
      <c r="K5473" s="43"/>
      <c r="L5473" s="44"/>
      <c r="M5473" s="45" t="s">
        <v>16692</v>
      </c>
    </row>
    <row r="5474" s="28" customFormat="1" ht="30" customHeight="1" spans="1:13">
      <c r="A5474" s="41">
        <f>IF(C5474="","",SUBTOTAL(103,$C$2:C5474))</f>
        <v>5465</v>
      </c>
      <c r="B5474" s="41">
        <v>4123</v>
      </c>
      <c r="C5474" s="41">
        <v>8973</v>
      </c>
      <c r="D5474" s="41" t="s">
        <v>45</v>
      </c>
      <c r="E5474" s="41" t="s">
        <v>1298</v>
      </c>
      <c r="F5474" s="41" t="s">
        <v>6784</v>
      </c>
      <c r="G5474" s="41" t="s">
        <v>16693</v>
      </c>
      <c r="H5474" s="41" t="s">
        <v>16694</v>
      </c>
      <c r="I5474" s="43">
        <v>12</v>
      </c>
      <c r="J5474" s="44" t="str">
        <f>VLOOKUP(G5474,[1]硬件清单!$F:$F,1,0)</f>
        <v>CNG230SHC3</v>
      </c>
      <c r="K5474" s="43"/>
      <c r="L5474" s="44"/>
      <c r="M5474" s="45" t="s">
        <v>16695</v>
      </c>
    </row>
    <row r="5475" s="28" customFormat="1" ht="30" customHeight="1" spans="1:13">
      <c r="A5475" s="41">
        <f>IF(C5475="","",SUBTOTAL(103,$C$2:C5475))</f>
        <v>5466</v>
      </c>
      <c r="B5475" s="41">
        <v>4124</v>
      </c>
      <c r="C5475" s="41">
        <v>8966</v>
      </c>
      <c r="D5475" s="41" t="s">
        <v>45</v>
      </c>
      <c r="E5475" s="41" t="s">
        <v>1298</v>
      </c>
      <c r="F5475" s="41" t="s">
        <v>6784</v>
      </c>
      <c r="G5475" s="41" t="s">
        <v>16696</v>
      </c>
      <c r="H5475" s="41" t="s">
        <v>16697</v>
      </c>
      <c r="I5475" s="43">
        <v>12</v>
      </c>
      <c r="J5475" s="44" t="str">
        <f>VLOOKUP(G5475,[1]硬件清单!$F:$F,1,0)</f>
        <v>CNG230SHCC</v>
      </c>
      <c r="K5475" s="43"/>
      <c r="L5475" s="44"/>
      <c r="M5475" s="45" t="s">
        <v>16698</v>
      </c>
    </row>
    <row r="5476" s="28" customFormat="1" ht="30" customHeight="1" spans="1:13">
      <c r="A5476" s="41">
        <f>IF(C5476="","",SUBTOTAL(103,$C$2:C5476))</f>
        <v>5467</v>
      </c>
      <c r="B5476" s="41">
        <v>4125</v>
      </c>
      <c r="C5476" s="41">
        <v>8967</v>
      </c>
      <c r="D5476" s="41" t="s">
        <v>45</v>
      </c>
      <c r="E5476" s="41" t="s">
        <v>1298</v>
      </c>
      <c r="F5476" s="41" t="s">
        <v>6784</v>
      </c>
      <c r="G5476" s="41" t="s">
        <v>16699</v>
      </c>
      <c r="H5476" s="41" t="s">
        <v>16700</v>
      </c>
      <c r="I5476" s="43">
        <v>12</v>
      </c>
      <c r="J5476" s="44" t="str">
        <f>VLOOKUP(G5476,[1]硬件清单!$F:$F,1,0)</f>
        <v>CNG230SHCM</v>
      </c>
      <c r="K5476" s="43"/>
      <c r="L5476" s="44"/>
      <c r="M5476" s="45" t="s">
        <v>16701</v>
      </c>
    </row>
    <row r="5477" s="28" customFormat="1" ht="30" customHeight="1" spans="1:13">
      <c r="A5477" s="41">
        <f>IF(C5477="","",SUBTOTAL(103,$C$2:C5477))</f>
        <v>5468</v>
      </c>
      <c r="B5477" s="41">
        <v>4126</v>
      </c>
      <c r="C5477" s="41">
        <v>8968</v>
      </c>
      <c r="D5477" s="41" t="s">
        <v>45</v>
      </c>
      <c r="E5477" s="41" t="s">
        <v>1298</v>
      </c>
      <c r="F5477" s="41" t="s">
        <v>6784</v>
      </c>
      <c r="G5477" s="41" t="s">
        <v>16702</v>
      </c>
      <c r="H5477" s="41" t="s">
        <v>16703</v>
      </c>
      <c r="I5477" s="43">
        <v>12</v>
      </c>
      <c r="J5477" s="44" t="str">
        <f>VLOOKUP(G5477,[1]硬件清单!$F:$F,1,0)</f>
        <v>CNG230SHD0</v>
      </c>
      <c r="K5477" s="43"/>
      <c r="L5477" s="44"/>
      <c r="M5477" s="45" t="s">
        <v>16704</v>
      </c>
    </row>
    <row r="5478" s="28" customFormat="1" ht="30" customHeight="1" spans="1:13">
      <c r="A5478" s="41">
        <f>IF(C5478="","",SUBTOTAL(103,$C$2:C5478))</f>
        <v>5469</v>
      </c>
      <c r="B5478" s="41">
        <v>4127</v>
      </c>
      <c r="C5478" s="41">
        <v>8976</v>
      </c>
      <c r="D5478" s="41" t="s">
        <v>45</v>
      </c>
      <c r="E5478" s="41" t="s">
        <v>1298</v>
      </c>
      <c r="F5478" s="41" t="s">
        <v>6784</v>
      </c>
      <c r="G5478" s="41" t="s">
        <v>16705</v>
      </c>
      <c r="H5478" s="41" t="s">
        <v>16706</v>
      </c>
      <c r="I5478" s="43">
        <v>12</v>
      </c>
      <c r="J5478" s="44" t="str">
        <f>VLOOKUP(G5478,[1]硬件清单!$F:$F,1,0)</f>
        <v>CNG230SHD4</v>
      </c>
      <c r="K5478" s="43"/>
      <c r="L5478" s="44"/>
      <c r="M5478" s="45" t="s">
        <v>16707</v>
      </c>
    </row>
    <row r="5479" s="28" customFormat="1" ht="30" customHeight="1" spans="1:13">
      <c r="A5479" s="41">
        <f>IF(C5479="","",SUBTOTAL(103,$C$2:C5479))</f>
        <v>5470</v>
      </c>
      <c r="B5479" s="41">
        <v>4128</v>
      </c>
      <c r="C5479" s="41">
        <v>11143</v>
      </c>
      <c r="D5479" s="41" t="s">
        <v>19</v>
      </c>
      <c r="E5479" s="41" t="s">
        <v>20</v>
      </c>
      <c r="F5479" s="41" t="s">
        <v>10033</v>
      </c>
      <c r="G5479" s="41" t="s">
        <v>16708</v>
      </c>
      <c r="H5479" s="41" t="s">
        <v>16709</v>
      </c>
      <c r="I5479" s="43">
        <v>12</v>
      </c>
      <c r="J5479" s="44" t="str">
        <f>VLOOKUP(G5479,[1]硬件清单!$F:$F,1,0)</f>
        <v>210235AOHAH14A000033</v>
      </c>
      <c r="K5479" s="43"/>
      <c r="L5479" s="44"/>
      <c r="M5479" s="45" t="s">
        <v>16710</v>
      </c>
    </row>
    <row r="5480" s="28" customFormat="1" ht="30" customHeight="1" spans="1:13">
      <c r="A5480" s="41">
        <f>IF(C5480="","",SUBTOTAL(103,$C$2:C5480))</f>
        <v>5471</v>
      </c>
      <c r="B5480" s="41">
        <v>4129</v>
      </c>
      <c r="C5480" s="41">
        <v>8974</v>
      </c>
      <c r="D5480" s="41" t="s">
        <v>45</v>
      </c>
      <c r="E5480" s="41" t="s">
        <v>1298</v>
      </c>
      <c r="F5480" s="41" t="s">
        <v>6784</v>
      </c>
      <c r="G5480" s="41" t="s">
        <v>16711</v>
      </c>
      <c r="H5480" s="41" t="s">
        <v>16712</v>
      </c>
      <c r="I5480" s="43">
        <v>12</v>
      </c>
      <c r="J5480" s="44" t="str">
        <f>VLOOKUP(G5480,[1]硬件清单!$F:$F,1,0)</f>
        <v>CNG230SHDL</v>
      </c>
      <c r="K5480" s="43"/>
      <c r="L5480" s="44"/>
      <c r="M5480" s="45" t="s">
        <v>16713</v>
      </c>
    </row>
    <row r="5481" s="28" customFormat="1" ht="30" customHeight="1" spans="1:13">
      <c r="A5481" s="41">
        <f>IF(C5481="","",SUBTOTAL(103,$C$2:C5481))</f>
        <v>5472</v>
      </c>
      <c r="B5481" s="41">
        <v>4130</v>
      </c>
      <c r="C5481" s="41">
        <v>8975</v>
      </c>
      <c r="D5481" s="41" t="s">
        <v>45</v>
      </c>
      <c r="E5481" s="41" t="s">
        <v>1298</v>
      </c>
      <c r="F5481" s="41" t="s">
        <v>6784</v>
      </c>
      <c r="G5481" s="41" t="s">
        <v>16714</v>
      </c>
      <c r="H5481" s="41" t="s">
        <v>16715</v>
      </c>
      <c r="I5481" s="43">
        <v>12</v>
      </c>
      <c r="J5481" s="44" t="str">
        <f>VLOOKUP(G5481,[1]硬件清单!$F:$F,1,0)</f>
        <v>CNG230SHBC</v>
      </c>
      <c r="K5481" s="43"/>
      <c r="L5481" s="44"/>
      <c r="M5481" s="45" t="s">
        <v>16716</v>
      </c>
    </row>
    <row r="5482" s="28" customFormat="1" ht="30" customHeight="1" spans="1:13">
      <c r="A5482" s="41">
        <f>IF(C5482="","",SUBTOTAL(103,$C$2:C5482))</f>
        <v>5473</v>
      </c>
      <c r="B5482" s="41">
        <v>4131</v>
      </c>
      <c r="C5482" s="41">
        <v>8969</v>
      </c>
      <c r="D5482" s="41" t="s">
        <v>45</v>
      </c>
      <c r="E5482" s="41" t="s">
        <v>1298</v>
      </c>
      <c r="F5482" s="41" t="s">
        <v>6784</v>
      </c>
      <c r="G5482" s="41" t="s">
        <v>16717</v>
      </c>
      <c r="H5482" s="41" t="s">
        <v>16718</v>
      </c>
      <c r="I5482" s="43">
        <v>12</v>
      </c>
      <c r="J5482" s="44" t="str">
        <f>VLOOKUP(G5482,[1]硬件清单!$F:$F,1,0)</f>
        <v>CNG230SHCH</v>
      </c>
      <c r="K5482" s="43"/>
      <c r="L5482" s="44"/>
      <c r="M5482" s="45" t="s">
        <v>16719</v>
      </c>
    </row>
    <row r="5483" s="28" customFormat="1" ht="30" customHeight="1" spans="1:13">
      <c r="A5483" s="41">
        <f>IF(C5483="","",SUBTOTAL(103,$C$2:C5483))</f>
        <v>5474</v>
      </c>
      <c r="B5483" s="41">
        <v>4132</v>
      </c>
      <c r="C5483" s="41">
        <v>8965</v>
      </c>
      <c r="D5483" s="41" t="s">
        <v>45</v>
      </c>
      <c r="E5483" s="41" t="s">
        <v>1298</v>
      </c>
      <c r="F5483" s="41" t="s">
        <v>6784</v>
      </c>
      <c r="G5483" s="41" t="s">
        <v>16720</v>
      </c>
      <c r="H5483" s="41" t="s">
        <v>16721</v>
      </c>
      <c r="I5483" s="43">
        <v>12</v>
      </c>
      <c r="J5483" s="44" t="str">
        <f>VLOOKUP(G5483,[1]硬件清单!$F:$F,1,0)</f>
        <v>CNG230SHDV</v>
      </c>
      <c r="K5483" s="43"/>
      <c r="L5483" s="44"/>
      <c r="M5483" s="45" t="s">
        <v>16722</v>
      </c>
    </row>
    <row r="5484" s="28" customFormat="1" ht="30" customHeight="1" spans="1:13">
      <c r="A5484" s="41">
        <f>IF(C5484="","",SUBTOTAL(103,$C$2:C5484))</f>
        <v>5475</v>
      </c>
      <c r="B5484" s="41">
        <v>4142</v>
      </c>
      <c r="C5484" s="41">
        <v>10111</v>
      </c>
      <c r="D5484" s="41" t="s">
        <v>19</v>
      </c>
      <c r="E5484" s="41" t="s">
        <v>20</v>
      </c>
      <c r="F5484" s="41" t="s">
        <v>11422</v>
      </c>
      <c r="G5484" s="41" t="s">
        <v>16723</v>
      </c>
      <c r="H5484" s="41" t="s">
        <v>16724</v>
      </c>
      <c r="I5484" s="43">
        <v>12</v>
      </c>
      <c r="J5484" s="44" t="str">
        <f>VLOOKUP(G5484,[1]硬件清单!$F:$F,1,0)</f>
        <v>210235AOHAH127000097</v>
      </c>
      <c r="K5484" s="43"/>
      <c r="L5484" s="44"/>
      <c r="M5484" s="45" t="s">
        <v>16725</v>
      </c>
    </row>
    <row r="5485" s="28" customFormat="1" ht="30" customHeight="1" spans="1:13">
      <c r="A5485" s="41">
        <f>IF(C5485="","",SUBTOTAL(103,$C$2:C5485))</f>
        <v>5476</v>
      </c>
      <c r="B5485" s="41">
        <v>4148</v>
      </c>
      <c r="C5485" s="41">
        <v>11019</v>
      </c>
      <c r="D5485" s="41" t="s">
        <v>45</v>
      </c>
      <c r="E5485" s="41" t="s">
        <v>1298</v>
      </c>
      <c r="F5485" s="41" t="s">
        <v>6784</v>
      </c>
      <c r="G5485" s="41" t="s">
        <v>16726</v>
      </c>
      <c r="H5485" s="41" t="s">
        <v>16727</v>
      </c>
      <c r="I5485" s="43">
        <v>12</v>
      </c>
      <c r="J5485" s="44" t="str">
        <f>VLOOKUP(G5485,[1]硬件清单!$F:$F,1,0)</f>
        <v>6CU4421WCK</v>
      </c>
      <c r="K5485" s="43"/>
      <c r="L5485" s="44"/>
      <c r="M5485" s="45" t="s">
        <v>16728</v>
      </c>
    </row>
    <row r="5486" s="28" customFormat="1" ht="30" customHeight="1" spans="1:13">
      <c r="A5486" s="41">
        <f>IF(C5486="","",SUBTOTAL(103,$C$2:C5486))</f>
        <v>5477</v>
      </c>
      <c r="B5486" s="41">
        <v>4149</v>
      </c>
      <c r="C5486" s="41">
        <v>11020</v>
      </c>
      <c r="D5486" s="41" t="s">
        <v>45</v>
      </c>
      <c r="E5486" s="41" t="s">
        <v>1298</v>
      </c>
      <c r="F5486" s="41" t="s">
        <v>6784</v>
      </c>
      <c r="G5486" s="41" t="s">
        <v>16729</v>
      </c>
      <c r="H5486" s="41" t="s">
        <v>16730</v>
      </c>
      <c r="I5486" s="43">
        <v>12</v>
      </c>
      <c r="J5486" s="44" t="str">
        <f>VLOOKUP(G5486,[1]硬件清单!$F:$F,1,0)</f>
        <v>6CU4421WCP</v>
      </c>
      <c r="K5486" s="43"/>
      <c r="L5486" s="44"/>
      <c r="M5486" s="45" t="s">
        <v>16731</v>
      </c>
    </row>
    <row r="5487" s="28" customFormat="1" ht="30" customHeight="1" spans="1:13">
      <c r="A5487" s="41">
        <f>IF(C5487="","",SUBTOTAL(103,$C$2:C5487))</f>
        <v>5478</v>
      </c>
      <c r="B5487" s="41">
        <v>4154</v>
      </c>
      <c r="C5487" s="41">
        <v>9028</v>
      </c>
      <c r="D5487" s="41" t="s">
        <v>45</v>
      </c>
      <c r="E5487" s="41" t="s">
        <v>1298</v>
      </c>
      <c r="F5487" s="41" t="s">
        <v>8426</v>
      </c>
      <c r="G5487" s="41" t="s">
        <v>16732</v>
      </c>
      <c r="H5487" s="41" t="s">
        <v>16733</v>
      </c>
      <c r="I5487" s="43">
        <v>12</v>
      </c>
      <c r="J5487" s="44" t="str">
        <f>VLOOKUP(G5487,[1]硬件清单!$F:$F,1,0)</f>
        <v>06ACPP2</v>
      </c>
      <c r="K5487" s="43"/>
      <c r="L5487" s="44"/>
      <c r="M5487" s="45" t="s">
        <v>16734</v>
      </c>
    </row>
    <row r="5488" s="28" customFormat="1" ht="30" customHeight="1" spans="1:13">
      <c r="A5488" s="41">
        <f>IF(C5488="","",SUBTOTAL(103,$C$2:C5488))</f>
        <v>5479</v>
      </c>
      <c r="B5488" s="41">
        <v>4162</v>
      </c>
      <c r="C5488" s="46">
        <v>7133</v>
      </c>
      <c r="D5488" s="46" t="s">
        <v>45</v>
      </c>
      <c r="E5488" s="46" t="s">
        <v>1298</v>
      </c>
      <c r="F5488" s="46" t="s">
        <v>6784</v>
      </c>
      <c r="G5488" s="41" t="s">
        <v>16735</v>
      </c>
      <c r="H5488" s="41" t="s">
        <v>16736</v>
      </c>
      <c r="I5488" s="43">
        <v>12</v>
      </c>
      <c r="J5488" s="44" t="str">
        <f>VLOOKUP(G5488,[1]硬件清单!$F:$F,1,0)</f>
        <v>6CU44945EW</v>
      </c>
      <c r="K5488" s="43"/>
      <c r="L5488" s="44"/>
      <c r="M5488" s="45" t="s">
        <v>16737</v>
      </c>
    </row>
    <row r="5489" s="28" customFormat="1" ht="30" customHeight="1" spans="1:13">
      <c r="A5489" s="41">
        <f>IF(C5489="","",SUBTOTAL(103,$C$2:C5489))</f>
        <v>5480</v>
      </c>
      <c r="B5489" s="41">
        <v>4171</v>
      </c>
      <c r="C5489" s="41">
        <v>8948</v>
      </c>
      <c r="D5489" s="41" t="s">
        <v>45</v>
      </c>
      <c r="E5489" s="41" t="s">
        <v>1298</v>
      </c>
      <c r="F5489" s="41" t="s">
        <v>11418</v>
      </c>
      <c r="G5489" s="41" t="s">
        <v>16738</v>
      </c>
      <c r="H5489" s="41" t="s">
        <v>16739</v>
      </c>
      <c r="I5489" s="43">
        <v>12</v>
      </c>
      <c r="J5489" s="44" t="str">
        <f>VLOOKUP(G5489,[1]硬件清单!$F:$F,1,0)</f>
        <v>06H8419</v>
      </c>
      <c r="K5489" s="43"/>
      <c r="L5489" s="44"/>
      <c r="M5489" s="45" t="s">
        <v>16740</v>
      </c>
    </row>
    <row r="5490" s="28" customFormat="1" ht="30" customHeight="1" spans="1:13">
      <c r="A5490" s="41">
        <f>IF(C5490="","",SUBTOTAL(103,$C$2:C5490))</f>
        <v>5481</v>
      </c>
      <c r="B5490" s="41">
        <v>4179</v>
      </c>
      <c r="C5490" s="41">
        <v>4445</v>
      </c>
      <c r="D5490" s="41" t="s">
        <v>45</v>
      </c>
      <c r="E5490" s="41" t="s">
        <v>1298</v>
      </c>
      <c r="F5490" s="41" t="s">
        <v>16625</v>
      </c>
      <c r="G5490" s="41" t="s">
        <v>16741</v>
      </c>
      <c r="H5490" s="41" t="s">
        <v>16742</v>
      </c>
      <c r="I5490" s="43">
        <v>12</v>
      </c>
      <c r="J5490" s="44" t="str">
        <f>VLOOKUP(G5490,[1]硬件清单!$F:$F,1,0)</f>
        <v>6C07422HLR</v>
      </c>
      <c r="K5490" s="43"/>
      <c r="L5490" s="44"/>
      <c r="M5490" s="45" t="s">
        <v>16743</v>
      </c>
    </row>
    <row r="5491" s="28" customFormat="1" ht="30" customHeight="1" spans="1:13">
      <c r="A5491" s="41">
        <f>IF(C5491="","",SUBTOTAL(103,$C$2:C5491))</f>
        <v>5482</v>
      </c>
      <c r="B5491" s="41">
        <v>4180</v>
      </c>
      <c r="C5491" s="41">
        <v>4425</v>
      </c>
      <c r="D5491" s="41" t="s">
        <v>45</v>
      </c>
      <c r="E5491" s="41" t="s">
        <v>1298</v>
      </c>
      <c r="F5491" s="41" t="s">
        <v>16629</v>
      </c>
      <c r="G5491" s="41" t="s">
        <v>16744</v>
      </c>
      <c r="H5491" s="41" t="s">
        <v>16745</v>
      </c>
      <c r="I5491" s="43">
        <v>12</v>
      </c>
      <c r="J5491" s="44" t="str">
        <f>VLOOKUP(G5491,[1]硬件清单!$F:$F,1,0)</f>
        <v>6CU742XJJH</v>
      </c>
      <c r="K5491" s="43"/>
      <c r="L5491" s="44"/>
      <c r="M5491" s="45" t="s">
        <v>16746</v>
      </c>
    </row>
    <row r="5492" s="28" customFormat="1" ht="30" customHeight="1" spans="1:13">
      <c r="A5492" s="41">
        <f>IF(C5492="","",SUBTOTAL(103,$C$2:C5492))</f>
        <v>5483</v>
      </c>
      <c r="B5492" s="41">
        <v>4181</v>
      </c>
      <c r="C5492" s="41">
        <v>4426</v>
      </c>
      <c r="D5492" s="41" t="s">
        <v>45</v>
      </c>
      <c r="E5492" s="41" t="s">
        <v>1298</v>
      </c>
      <c r="F5492" s="41" t="s">
        <v>16629</v>
      </c>
      <c r="G5492" s="41" t="s">
        <v>16747</v>
      </c>
      <c r="H5492" s="41" t="s">
        <v>16748</v>
      </c>
      <c r="I5492" s="43">
        <v>12</v>
      </c>
      <c r="J5492" s="44" t="str">
        <f>VLOOKUP(G5492,[1]硬件清单!$F:$F,1,0)</f>
        <v>6CU742XJKE</v>
      </c>
      <c r="K5492" s="43"/>
      <c r="L5492" s="44"/>
      <c r="M5492" s="45" t="s">
        <v>16749</v>
      </c>
    </row>
    <row r="5493" s="28" customFormat="1" ht="30" customHeight="1" spans="1:13">
      <c r="A5493" s="41">
        <f>IF(C5493="","",SUBTOTAL(103,$C$2:C5493))</f>
        <v>5484</v>
      </c>
      <c r="B5493" s="41">
        <v>4182</v>
      </c>
      <c r="C5493" s="41">
        <v>4427</v>
      </c>
      <c r="D5493" s="41" t="s">
        <v>45</v>
      </c>
      <c r="E5493" s="41" t="s">
        <v>1298</v>
      </c>
      <c r="F5493" s="41" t="s">
        <v>16629</v>
      </c>
      <c r="G5493" s="41" t="s">
        <v>16750</v>
      </c>
      <c r="H5493" s="41" t="s">
        <v>16751</v>
      </c>
      <c r="I5493" s="43">
        <v>12</v>
      </c>
      <c r="J5493" s="44" t="str">
        <f>VLOOKUP(G5493,[1]硬件清单!$F:$F,1,0)</f>
        <v>6CU742XJKA</v>
      </c>
      <c r="K5493" s="43"/>
      <c r="L5493" s="44"/>
      <c r="M5493" s="45" t="s">
        <v>16752</v>
      </c>
    </row>
    <row r="5494" s="28" customFormat="1" ht="30" customHeight="1" spans="1:13">
      <c r="A5494" s="41">
        <f>IF(C5494="","",SUBTOTAL(103,$C$2:C5494))</f>
        <v>5485</v>
      </c>
      <c r="B5494" s="41">
        <v>4183</v>
      </c>
      <c r="C5494" s="41">
        <v>4428</v>
      </c>
      <c r="D5494" s="41" t="s">
        <v>45</v>
      </c>
      <c r="E5494" s="41" t="s">
        <v>1298</v>
      </c>
      <c r="F5494" s="41" t="s">
        <v>16629</v>
      </c>
      <c r="G5494" s="41" t="s">
        <v>16753</v>
      </c>
      <c r="H5494" s="41" t="s">
        <v>16754</v>
      </c>
      <c r="I5494" s="43">
        <v>12</v>
      </c>
      <c r="J5494" s="44" t="str">
        <f>VLOOKUP(G5494,[1]硬件清单!$F:$F,1,0)</f>
        <v>6CU742XJJM</v>
      </c>
      <c r="K5494" s="43"/>
      <c r="L5494" s="44"/>
      <c r="M5494" s="45" t="s">
        <v>16755</v>
      </c>
    </row>
    <row r="5495" s="28" customFormat="1" ht="30" customHeight="1" spans="1:13">
      <c r="A5495" s="41">
        <f>IF(C5495="","",SUBTOTAL(103,$C$2:C5495))</f>
        <v>5486</v>
      </c>
      <c r="B5495" s="41">
        <v>4184</v>
      </c>
      <c r="C5495" s="41">
        <v>4429</v>
      </c>
      <c r="D5495" s="41" t="s">
        <v>45</v>
      </c>
      <c r="E5495" s="41" t="s">
        <v>1298</v>
      </c>
      <c r="F5495" s="41" t="s">
        <v>16629</v>
      </c>
      <c r="G5495" s="41" t="s">
        <v>16756</v>
      </c>
      <c r="H5495" s="41" t="s">
        <v>16757</v>
      </c>
      <c r="I5495" s="43">
        <v>12</v>
      </c>
      <c r="J5495" s="44" t="str">
        <f>VLOOKUP(G5495,[1]硬件清单!$F:$F,1,0)</f>
        <v>6CU742XJJX</v>
      </c>
      <c r="K5495" s="43"/>
      <c r="L5495" s="44"/>
      <c r="M5495" s="45" t="s">
        <v>16758</v>
      </c>
    </row>
    <row r="5496" s="28" customFormat="1" ht="30" customHeight="1" spans="1:13">
      <c r="A5496" s="41">
        <f>IF(C5496="","",SUBTOTAL(103,$C$2:C5496))</f>
        <v>5487</v>
      </c>
      <c r="B5496" s="41">
        <v>4185</v>
      </c>
      <c r="C5496" s="41">
        <v>4430</v>
      </c>
      <c r="D5496" s="41" t="s">
        <v>45</v>
      </c>
      <c r="E5496" s="41" t="s">
        <v>1298</v>
      </c>
      <c r="F5496" s="41" t="s">
        <v>16629</v>
      </c>
      <c r="G5496" s="41" t="s">
        <v>16759</v>
      </c>
      <c r="H5496" s="41" t="s">
        <v>16760</v>
      </c>
      <c r="I5496" s="43">
        <v>12</v>
      </c>
      <c r="J5496" s="44" t="str">
        <f>VLOOKUP(G5496,[1]硬件清单!$F:$F,1,0)</f>
        <v>6CU742XJK2</v>
      </c>
      <c r="K5496" s="43"/>
      <c r="L5496" s="44"/>
      <c r="M5496" s="45" t="s">
        <v>16761</v>
      </c>
    </row>
    <row r="5497" s="28" customFormat="1" ht="30" customHeight="1" spans="1:13">
      <c r="A5497" s="41">
        <f>IF(C5497="","",SUBTOTAL(103,$C$2:C5497))</f>
        <v>5488</v>
      </c>
      <c r="B5497" s="41">
        <v>4186</v>
      </c>
      <c r="C5497" s="41">
        <v>4431</v>
      </c>
      <c r="D5497" s="41" t="s">
        <v>45</v>
      </c>
      <c r="E5497" s="41" t="s">
        <v>1298</v>
      </c>
      <c r="F5497" s="41" t="s">
        <v>16629</v>
      </c>
      <c r="G5497" s="41" t="s">
        <v>16762</v>
      </c>
      <c r="H5497" s="41" t="s">
        <v>16763</v>
      </c>
      <c r="I5497" s="43">
        <v>12</v>
      </c>
      <c r="J5497" s="44" t="str">
        <f>VLOOKUP(G5497,[1]硬件清单!$F:$F,1,0)</f>
        <v>6CU742XJK6</v>
      </c>
      <c r="K5497" s="43"/>
      <c r="L5497" s="44"/>
      <c r="M5497" s="45" t="s">
        <v>16764</v>
      </c>
    </row>
    <row r="5498" s="28" customFormat="1" ht="30" customHeight="1" spans="1:13">
      <c r="A5498" s="41">
        <f>IF(C5498="","",SUBTOTAL(103,$C$2:C5498))</f>
        <v>5489</v>
      </c>
      <c r="B5498" s="41">
        <v>4187</v>
      </c>
      <c r="C5498" s="41">
        <v>4432</v>
      </c>
      <c r="D5498" s="41" t="s">
        <v>45</v>
      </c>
      <c r="E5498" s="41" t="s">
        <v>1298</v>
      </c>
      <c r="F5498" s="41" t="s">
        <v>16629</v>
      </c>
      <c r="G5498" s="41" t="s">
        <v>16765</v>
      </c>
      <c r="H5498" s="41" t="s">
        <v>16766</v>
      </c>
      <c r="I5498" s="43">
        <v>12</v>
      </c>
      <c r="J5498" s="44" t="str">
        <f>VLOOKUP(G5498,[1]硬件清单!$F:$F,1,0)</f>
        <v>6CU742XJJS</v>
      </c>
      <c r="K5498" s="43"/>
      <c r="L5498" s="44"/>
      <c r="M5498" s="45" t="s">
        <v>16767</v>
      </c>
    </row>
    <row r="5499" s="28" customFormat="1" ht="30" customHeight="1" spans="1:13">
      <c r="A5499" s="41">
        <f>IF(C5499="","",SUBTOTAL(103,$C$2:C5499))</f>
        <v>5490</v>
      </c>
      <c r="B5499" s="41">
        <v>4188</v>
      </c>
      <c r="C5499" s="41">
        <v>4446</v>
      </c>
      <c r="D5499" s="41" t="s">
        <v>45</v>
      </c>
      <c r="E5499" s="41" t="s">
        <v>1298</v>
      </c>
      <c r="F5499" s="41" t="s">
        <v>16625</v>
      </c>
      <c r="G5499" s="41" t="s">
        <v>16768</v>
      </c>
      <c r="H5499" s="41" t="s">
        <v>16769</v>
      </c>
      <c r="I5499" s="43">
        <v>12</v>
      </c>
      <c r="J5499" s="44" t="str">
        <f>VLOOKUP(G5499,[1]硬件清单!$F:$F,1,0)</f>
        <v>6C07422HM6</v>
      </c>
      <c r="K5499" s="43"/>
      <c r="L5499" s="44"/>
      <c r="M5499" s="45" t="s">
        <v>16770</v>
      </c>
    </row>
    <row r="5500" s="28" customFormat="1" ht="30" customHeight="1" spans="1:13">
      <c r="A5500" s="41">
        <f>IF(C5500="","",SUBTOTAL(103,$C$2:C5500))</f>
        <v>5491</v>
      </c>
      <c r="B5500" s="41">
        <v>4189</v>
      </c>
      <c r="C5500" s="41">
        <v>4305</v>
      </c>
      <c r="D5500" s="41" t="s">
        <v>45</v>
      </c>
      <c r="E5500" s="41" t="s">
        <v>1298</v>
      </c>
      <c r="F5500" s="41" t="s">
        <v>16629</v>
      </c>
      <c r="G5500" s="41" t="s">
        <v>16771</v>
      </c>
      <c r="H5500" s="41" t="s">
        <v>16772</v>
      </c>
      <c r="I5500" s="43">
        <v>12</v>
      </c>
      <c r="J5500" s="44" t="str">
        <f>VLOOKUP(G5500,[1]硬件清单!$F:$F,1,0)</f>
        <v>6CU7421XBC</v>
      </c>
      <c r="K5500" s="43"/>
      <c r="L5500" s="44"/>
      <c r="M5500" s="45" t="s">
        <v>16773</v>
      </c>
    </row>
    <row r="5501" s="28" customFormat="1" ht="30" customHeight="1" spans="1:13">
      <c r="A5501" s="41">
        <f>IF(C5501="","",SUBTOTAL(103,$C$2:C5501))</f>
        <v>5492</v>
      </c>
      <c r="B5501" s="41">
        <v>4190</v>
      </c>
      <c r="C5501" s="41">
        <v>5296</v>
      </c>
      <c r="D5501" s="41" t="s">
        <v>45</v>
      </c>
      <c r="E5501" s="41" t="s">
        <v>1298</v>
      </c>
      <c r="F5501" s="41" t="s">
        <v>16629</v>
      </c>
      <c r="G5501" s="41" t="s">
        <v>16774</v>
      </c>
      <c r="H5501" s="41" t="s">
        <v>16775</v>
      </c>
      <c r="I5501" s="43">
        <v>12</v>
      </c>
      <c r="J5501" s="44" t="str">
        <f>VLOOKUP(G5501,[1]硬件清单!$F:$F,1,0)</f>
        <v>6CU7421XBH</v>
      </c>
      <c r="K5501" s="43"/>
      <c r="L5501" s="44"/>
      <c r="M5501" s="45" t="s">
        <v>16776</v>
      </c>
    </row>
    <row r="5502" s="28" customFormat="1" ht="30" customHeight="1" spans="1:13">
      <c r="A5502" s="41">
        <f>IF(C5502="","",SUBTOTAL(103,$C$2:C5502))</f>
        <v>5493</v>
      </c>
      <c r="B5502" s="41">
        <v>4191</v>
      </c>
      <c r="C5502" s="41">
        <v>5335</v>
      </c>
      <c r="D5502" s="41" t="s">
        <v>45</v>
      </c>
      <c r="E5502" s="41" t="s">
        <v>1298</v>
      </c>
      <c r="F5502" s="41" t="s">
        <v>16629</v>
      </c>
      <c r="G5502" s="41" t="s">
        <v>16777</v>
      </c>
      <c r="H5502" s="41" t="s">
        <v>16778</v>
      </c>
      <c r="I5502" s="43">
        <v>12</v>
      </c>
      <c r="J5502" s="44" t="str">
        <f>VLOOKUP(G5502,[1]硬件清单!$F:$F,1,0)</f>
        <v>6CU7421XCP</v>
      </c>
      <c r="K5502" s="43"/>
      <c r="L5502" s="44"/>
      <c r="M5502" s="45" t="s">
        <v>16779</v>
      </c>
    </row>
    <row r="5503" s="28" customFormat="1" ht="30" customHeight="1" spans="1:13">
      <c r="A5503" s="41">
        <f>IF(C5503="","",SUBTOTAL(103,$C$2:C5503))</f>
        <v>5494</v>
      </c>
      <c r="B5503" s="41">
        <v>4192</v>
      </c>
      <c r="C5503" s="41">
        <v>5336</v>
      </c>
      <c r="D5503" s="41" t="s">
        <v>45</v>
      </c>
      <c r="E5503" s="41" t="s">
        <v>1298</v>
      </c>
      <c r="F5503" s="41" t="s">
        <v>16629</v>
      </c>
      <c r="G5503" s="41" t="s">
        <v>16780</v>
      </c>
      <c r="H5503" s="41" t="s">
        <v>16781</v>
      </c>
      <c r="I5503" s="43">
        <v>12</v>
      </c>
      <c r="J5503" s="44" t="str">
        <f>VLOOKUP(G5503,[1]硬件清单!$F:$F,1,0)</f>
        <v>6CU7421XCE</v>
      </c>
      <c r="K5503" s="43"/>
      <c r="L5503" s="44"/>
      <c r="M5503" s="45" t="s">
        <v>16782</v>
      </c>
    </row>
    <row r="5504" s="28" customFormat="1" ht="30" customHeight="1" spans="1:13">
      <c r="A5504" s="41">
        <f>IF(C5504="","",SUBTOTAL(103,$C$2:C5504))</f>
        <v>5495</v>
      </c>
      <c r="B5504" s="41">
        <v>4193</v>
      </c>
      <c r="C5504" s="41">
        <v>5345</v>
      </c>
      <c r="D5504" s="41" t="s">
        <v>45</v>
      </c>
      <c r="E5504" s="41" t="s">
        <v>1298</v>
      </c>
      <c r="F5504" s="41" t="s">
        <v>16629</v>
      </c>
      <c r="G5504" s="41" t="s">
        <v>16783</v>
      </c>
      <c r="H5504" s="41" t="s">
        <v>16784</v>
      </c>
      <c r="I5504" s="43">
        <v>12</v>
      </c>
      <c r="J5504" s="44" t="str">
        <f>VLOOKUP(G5504,[1]硬件清单!$F:$F,1,0)</f>
        <v>6CU7421XC6</v>
      </c>
      <c r="K5504" s="43"/>
      <c r="L5504" s="44"/>
      <c r="M5504" s="45" t="s">
        <v>16785</v>
      </c>
    </row>
    <row r="5505" s="28" customFormat="1" ht="30" customHeight="1" spans="1:13">
      <c r="A5505" s="41">
        <f>IF(C5505="","",SUBTOTAL(103,$C$2:C5505))</f>
        <v>5496</v>
      </c>
      <c r="B5505" s="41">
        <v>4194</v>
      </c>
      <c r="C5505" s="41">
        <v>5346</v>
      </c>
      <c r="D5505" s="41" t="s">
        <v>45</v>
      </c>
      <c r="E5505" s="41" t="s">
        <v>1298</v>
      </c>
      <c r="F5505" s="41" t="s">
        <v>16629</v>
      </c>
      <c r="G5505" s="41" t="s">
        <v>16786</v>
      </c>
      <c r="H5505" s="41" t="s">
        <v>16787</v>
      </c>
      <c r="I5505" s="43">
        <v>12</v>
      </c>
      <c r="J5505" s="44" t="str">
        <f>VLOOKUP(G5505,[1]硬件清单!$F:$F,1,0)</f>
        <v>6CU7421XBX</v>
      </c>
      <c r="K5505" s="43"/>
      <c r="L5505" s="44"/>
      <c r="M5505" s="45" t="s">
        <v>16788</v>
      </c>
    </row>
    <row r="5506" s="28" customFormat="1" ht="30" customHeight="1" spans="1:13">
      <c r="A5506" s="41">
        <f>IF(C5506="","",SUBTOTAL(103,$C$2:C5506))</f>
        <v>5497</v>
      </c>
      <c r="B5506" s="41">
        <v>4195</v>
      </c>
      <c r="C5506" s="41">
        <v>4306</v>
      </c>
      <c r="D5506" s="41" t="s">
        <v>45</v>
      </c>
      <c r="E5506" s="41" t="s">
        <v>1298</v>
      </c>
      <c r="F5506" s="41" t="s">
        <v>16629</v>
      </c>
      <c r="G5506" s="41" t="s">
        <v>16789</v>
      </c>
      <c r="H5506" s="41" t="s">
        <v>16790</v>
      </c>
      <c r="I5506" s="43">
        <v>12</v>
      </c>
      <c r="J5506" s="44" t="str">
        <f>VLOOKUP(G5506,[1]硬件清单!$F:$F,1,0)</f>
        <v>6CU7421XD0</v>
      </c>
      <c r="K5506" s="43"/>
      <c r="L5506" s="44"/>
      <c r="M5506" s="45" t="s">
        <v>16791</v>
      </c>
    </row>
    <row r="5507" s="28" customFormat="1" ht="30" customHeight="1" spans="1:13">
      <c r="A5507" s="41">
        <f>IF(C5507="","",SUBTOTAL(103,$C$2:C5507))</f>
        <v>5498</v>
      </c>
      <c r="B5507" s="41">
        <v>4196</v>
      </c>
      <c r="C5507" s="41">
        <v>4307</v>
      </c>
      <c r="D5507" s="41" t="s">
        <v>45</v>
      </c>
      <c r="E5507" s="41" t="s">
        <v>1298</v>
      </c>
      <c r="F5507" s="41" t="s">
        <v>16629</v>
      </c>
      <c r="G5507" s="41" t="s">
        <v>16792</v>
      </c>
      <c r="H5507" s="41" t="s">
        <v>16793</v>
      </c>
      <c r="I5507" s="43">
        <v>12</v>
      </c>
      <c r="J5507" s="44" t="str">
        <f>VLOOKUP(G5507,[1]硬件清单!$F:$F,1,0)</f>
        <v>6CU7421XCV</v>
      </c>
      <c r="K5507" s="43"/>
      <c r="L5507" s="44"/>
      <c r="M5507" s="45" t="s">
        <v>16794</v>
      </c>
    </row>
    <row r="5508" s="28" customFormat="1" ht="30" customHeight="1" spans="1:13">
      <c r="A5508" s="41">
        <f>IF(C5508="","",SUBTOTAL(103,$C$2:C5508))</f>
        <v>5499</v>
      </c>
      <c r="B5508" s="41">
        <v>4197</v>
      </c>
      <c r="C5508" s="41">
        <v>4308</v>
      </c>
      <c r="D5508" s="41" t="s">
        <v>45</v>
      </c>
      <c r="E5508" s="41" t="s">
        <v>1298</v>
      </c>
      <c r="F5508" s="41" t="s">
        <v>16629</v>
      </c>
      <c r="G5508" s="41" t="s">
        <v>16795</v>
      </c>
      <c r="H5508" s="41" t="s">
        <v>16796</v>
      </c>
      <c r="I5508" s="43">
        <v>12</v>
      </c>
      <c r="J5508" s="44" t="str">
        <f>VLOOKUP(G5508,[1]硬件清单!$F:$F,1,0)</f>
        <v>6CU7421XC2</v>
      </c>
      <c r="K5508" s="43"/>
      <c r="L5508" s="44"/>
      <c r="M5508" s="45" t="s">
        <v>16797</v>
      </c>
    </row>
    <row r="5509" s="28" customFormat="1" ht="30" customHeight="1" spans="1:13">
      <c r="A5509" s="41">
        <f>IF(C5509="","",SUBTOTAL(103,$C$2:C5509))</f>
        <v>5500</v>
      </c>
      <c r="B5509" s="41">
        <v>4198</v>
      </c>
      <c r="C5509" s="41">
        <v>4309</v>
      </c>
      <c r="D5509" s="41" t="s">
        <v>45</v>
      </c>
      <c r="E5509" s="41" t="s">
        <v>1298</v>
      </c>
      <c r="F5509" s="41" t="s">
        <v>16629</v>
      </c>
      <c r="G5509" s="41" t="s">
        <v>16798</v>
      </c>
      <c r="H5509" s="41" t="s">
        <v>16799</v>
      </c>
      <c r="I5509" s="43">
        <v>12</v>
      </c>
      <c r="J5509" s="44" t="str">
        <f>VLOOKUP(G5509,[1]硬件清单!$F:$F,1,0)</f>
        <v>6CU7421XB8</v>
      </c>
      <c r="K5509" s="43"/>
      <c r="L5509" s="44"/>
      <c r="M5509" s="45" t="s">
        <v>16800</v>
      </c>
    </row>
    <row r="5510" s="28" customFormat="1" ht="30" customHeight="1" spans="1:13">
      <c r="A5510" s="41">
        <f>IF(C5510="","",SUBTOTAL(103,$C$2:C5510))</f>
        <v>5501</v>
      </c>
      <c r="B5510" s="41">
        <v>4199</v>
      </c>
      <c r="C5510" s="41">
        <v>4310</v>
      </c>
      <c r="D5510" s="41" t="s">
        <v>45</v>
      </c>
      <c r="E5510" s="41" t="s">
        <v>1298</v>
      </c>
      <c r="F5510" s="41" t="s">
        <v>16629</v>
      </c>
      <c r="G5510" s="41" t="s">
        <v>16801</v>
      </c>
      <c r="H5510" s="41" t="s">
        <v>16802</v>
      </c>
      <c r="I5510" s="43">
        <v>12</v>
      </c>
      <c r="J5510" s="44" t="str">
        <f>VLOOKUP(G5510,[1]硬件清单!$F:$F,1,0)</f>
        <v>6CU7421XBS</v>
      </c>
      <c r="K5510" s="43"/>
      <c r="L5510" s="44"/>
      <c r="M5510" s="45" t="s">
        <v>16803</v>
      </c>
    </row>
    <row r="5511" s="28" customFormat="1" ht="30" customHeight="1" spans="1:13">
      <c r="A5511" s="41">
        <f>IF(C5511="","",SUBTOTAL(103,$C$2:C5511))</f>
        <v>5502</v>
      </c>
      <c r="B5511" s="41">
        <v>4200</v>
      </c>
      <c r="C5511" s="41">
        <v>4311</v>
      </c>
      <c r="D5511" s="41" t="s">
        <v>45</v>
      </c>
      <c r="E5511" s="41" t="s">
        <v>1298</v>
      </c>
      <c r="F5511" s="41" t="s">
        <v>16629</v>
      </c>
      <c r="G5511" s="41" t="s">
        <v>16804</v>
      </c>
      <c r="H5511" s="41" t="s">
        <v>16805</v>
      </c>
      <c r="I5511" s="43">
        <v>12</v>
      </c>
      <c r="J5511" s="44" t="str">
        <f>VLOOKUP(G5511,[1]硬件清单!$F:$F,1,0)</f>
        <v>6CU7421XCA</v>
      </c>
      <c r="K5511" s="43"/>
      <c r="L5511" s="44"/>
      <c r="M5511" s="45" t="s">
        <v>16806</v>
      </c>
    </row>
    <row r="5512" s="28" customFormat="1" ht="30" customHeight="1" spans="1:13">
      <c r="A5512" s="41">
        <f>IF(C5512="","",SUBTOTAL(103,$C$2:C5512))</f>
        <v>5503</v>
      </c>
      <c r="B5512" s="41">
        <v>4201</v>
      </c>
      <c r="C5512" s="41">
        <v>4312</v>
      </c>
      <c r="D5512" s="41" t="s">
        <v>45</v>
      </c>
      <c r="E5512" s="41" t="s">
        <v>1298</v>
      </c>
      <c r="F5512" s="41" t="s">
        <v>16629</v>
      </c>
      <c r="G5512" s="41" t="s">
        <v>16807</v>
      </c>
      <c r="H5512" s="41" t="s">
        <v>16808</v>
      </c>
      <c r="I5512" s="43">
        <v>12</v>
      </c>
      <c r="J5512" s="44" t="str">
        <f>VLOOKUP(G5512,[1]硬件清单!$F:$F,1,0)</f>
        <v>6CU7421XBM</v>
      </c>
      <c r="K5512" s="43"/>
      <c r="L5512" s="44"/>
      <c r="M5512" s="45" t="s">
        <v>16809</v>
      </c>
    </row>
    <row r="5513" s="28" customFormat="1" ht="30" customHeight="1" spans="1:13">
      <c r="A5513" s="41">
        <f>IF(C5513="","",SUBTOTAL(103,$C$2:C5513))</f>
        <v>5504</v>
      </c>
      <c r="B5513" s="41">
        <v>4202</v>
      </c>
      <c r="C5513" s="41">
        <v>5295</v>
      </c>
      <c r="D5513" s="41" t="s">
        <v>45</v>
      </c>
      <c r="E5513" s="41" t="s">
        <v>1298</v>
      </c>
      <c r="F5513" s="41" t="s">
        <v>16629</v>
      </c>
      <c r="G5513" s="41" t="s">
        <v>16810</v>
      </c>
      <c r="H5513" s="41" t="s">
        <v>16811</v>
      </c>
      <c r="I5513" s="43">
        <v>12</v>
      </c>
      <c r="J5513" s="44" t="str">
        <f>VLOOKUP(G5513,[1]硬件清单!$F:$F,1,0)</f>
        <v>6CU7421XCK</v>
      </c>
      <c r="K5513" s="43"/>
      <c r="L5513" s="44"/>
      <c r="M5513" s="45" t="s">
        <v>16812</v>
      </c>
    </row>
    <row r="5514" s="28" customFormat="1" ht="30" customHeight="1" spans="1:13">
      <c r="A5514" s="41">
        <f>IF(C5514="","",SUBTOTAL(103,$C$2:C5514))</f>
        <v>5505</v>
      </c>
      <c r="B5514" s="41">
        <v>4203</v>
      </c>
      <c r="C5514" s="41">
        <v>4795</v>
      </c>
      <c r="D5514" s="41" t="s">
        <v>19</v>
      </c>
      <c r="E5514" s="41" t="s">
        <v>20</v>
      </c>
      <c r="F5514" s="41" t="s">
        <v>10772</v>
      </c>
      <c r="G5514" s="41" t="s">
        <v>16813</v>
      </c>
      <c r="H5514" s="41" t="s">
        <v>16814</v>
      </c>
      <c r="I5514" s="43">
        <v>12</v>
      </c>
      <c r="J5514" s="44" t="str">
        <f>VLOOKUP(G5514,[1]硬件清单!$F:$F,1,0)</f>
        <v>FDO2139Q1KW</v>
      </c>
      <c r="K5514" s="43"/>
      <c r="L5514" s="44"/>
      <c r="M5514" s="45" t="s">
        <v>16815</v>
      </c>
    </row>
    <row r="5515" s="28" customFormat="1" ht="30" customHeight="1" spans="1:13">
      <c r="A5515" s="41">
        <f>IF(C5515="","",SUBTOTAL(103,$C$2:C5515))</f>
        <v>5506</v>
      </c>
      <c r="B5515" s="41">
        <v>4204</v>
      </c>
      <c r="C5515" s="41">
        <v>4794</v>
      </c>
      <c r="D5515" s="41" t="s">
        <v>19</v>
      </c>
      <c r="E5515" s="41" t="s">
        <v>20</v>
      </c>
      <c r="F5515" s="41" t="s">
        <v>10772</v>
      </c>
      <c r="G5515" s="41" t="s">
        <v>16816</v>
      </c>
      <c r="H5515" s="41" t="s">
        <v>16817</v>
      </c>
      <c r="I5515" s="43">
        <v>12</v>
      </c>
      <c r="J5515" s="44" t="str">
        <f>VLOOKUP(G5515,[1]硬件清单!$F:$F,1,0)</f>
        <v>FDO2138Q1T4</v>
      </c>
      <c r="K5515" s="43"/>
      <c r="L5515" s="44"/>
      <c r="M5515" s="45" t="s">
        <v>16818</v>
      </c>
    </row>
    <row r="5516" s="28" customFormat="1" ht="30" customHeight="1" spans="1:13">
      <c r="A5516" s="41">
        <f>IF(C5516="","",SUBTOTAL(103,$C$2:C5516))</f>
        <v>5507</v>
      </c>
      <c r="B5516" s="41">
        <v>4205</v>
      </c>
      <c r="C5516" s="41">
        <v>4793</v>
      </c>
      <c r="D5516" s="41" t="s">
        <v>19</v>
      </c>
      <c r="E5516" s="41" t="s">
        <v>20</v>
      </c>
      <c r="F5516" s="41" t="s">
        <v>10772</v>
      </c>
      <c r="G5516" s="41" t="s">
        <v>16819</v>
      </c>
      <c r="H5516" s="41" t="s">
        <v>16820</v>
      </c>
      <c r="I5516" s="43">
        <v>12</v>
      </c>
      <c r="J5516" s="44" t="str">
        <f>VLOOKUP(G5516,[1]硬件清单!$F:$F,1,0)</f>
        <v>FDO2139Q1KM</v>
      </c>
      <c r="K5516" s="43"/>
      <c r="L5516" s="44"/>
      <c r="M5516" s="45" t="s">
        <v>16821</v>
      </c>
    </row>
    <row r="5517" s="28" customFormat="1" ht="30" customHeight="1" spans="1:13">
      <c r="A5517" s="41">
        <f>IF(C5517="","",SUBTOTAL(103,$C$2:C5517))</f>
        <v>5508</v>
      </c>
      <c r="B5517" s="41">
        <v>4206</v>
      </c>
      <c r="C5517" s="41">
        <v>4790</v>
      </c>
      <c r="D5517" s="41" t="s">
        <v>19</v>
      </c>
      <c r="E5517" s="41" t="s">
        <v>20</v>
      </c>
      <c r="F5517" s="41" t="s">
        <v>16179</v>
      </c>
      <c r="G5517" s="41" t="s">
        <v>16822</v>
      </c>
      <c r="H5517" s="41" t="s">
        <v>16823</v>
      </c>
      <c r="I5517" s="43">
        <v>12</v>
      </c>
      <c r="J5517" s="44" t="str">
        <f>VLOOKUP(G5517,[1]硬件清单!$F:$F,1,0)</f>
        <v>FOC2129R0CU</v>
      </c>
      <c r="K5517" s="43"/>
      <c r="L5517" s="44"/>
      <c r="M5517" s="45" t="s">
        <v>16824</v>
      </c>
    </row>
    <row r="5518" s="28" customFormat="1" ht="30" customHeight="1" spans="1:13">
      <c r="A5518" s="41">
        <f>IF(C5518="","",SUBTOTAL(103,$C$2:C5518))</f>
        <v>5509</v>
      </c>
      <c r="B5518" s="41">
        <v>4207</v>
      </c>
      <c r="C5518" s="41">
        <v>4789</v>
      </c>
      <c r="D5518" s="41" t="s">
        <v>19</v>
      </c>
      <c r="E5518" s="41" t="s">
        <v>20</v>
      </c>
      <c r="F5518" s="41" t="s">
        <v>16179</v>
      </c>
      <c r="G5518" s="41" t="s">
        <v>16825</v>
      </c>
      <c r="H5518" s="41" t="s">
        <v>16826</v>
      </c>
      <c r="I5518" s="43">
        <v>12</v>
      </c>
      <c r="J5518" s="44" t="str">
        <f>VLOOKUP(G5518,[1]硬件清单!$F:$F,1,0)</f>
        <v>FOC2125R0VN</v>
      </c>
      <c r="K5518" s="43"/>
      <c r="L5518" s="44"/>
      <c r="M5518" s="45" t="s">
        <v>16827</v>
      </c>
    </row>
    <row r="5519" s="28" customFormat="1" ht="30" customHeight="1" spans="1:13">
      <c r="A5519" s="41">
        <f>IF(C5519="","",SUBTOTAL(103,$C$2:C5519))</f>
        <v>5510</v>
      </c>
      <c r="B5519" s="41">
        <v>4208</v>
      </c>
      <c r="C5519" s="41">
        <v>4797</v>
      </c>
      <c r="D5519" s="41" t="s">
        <v>19</v>
      </c>
      <c r="E5519" s="41" t="s">
        <v>20</v>
      </c>
      <c r="F5519" s="41" t="s">
        <v>10772</v>
      </c>
      <c r="G5519" s="41" t="s">
        <v>16828</v>
      </c>
      <c r="H5519" s="41" t="s">
        <v>16829</v>
      </c>
      <c r="I5519" s="43">
        <v>12</v>
      </c>
      <c r="J5519" s="44" t="str">
        <f>VLOOKUP(G5519,[1]硬件清单!$F:$F,1,0)</f>
        <v>FDO2138E1ZE</v>
      </c>
      <c r="K5519" s="43"/>
      <c r="L5519" s="44"/>
      <c r="M5519" s="45" t="s">
        <v>16830</v>
      </c>
    </row>
    <row r="5520" s="28" customFormat="1" ht="30" customHeight="1" spans="1:13">
      <c r="A5520" s="41">
        <f>IF(C5520="","",SUBTOTAL(103,$C$2:C5520))</f>
        <v>5511</v>
      </c>
      <c r="B5520" s="41">
        <v>4209</v>
      </c>
      <c r="C5520" s="41">
        <v>4796</v>
      </c>
      <c r="D5520" s="41" t="s">
        <v>19</v>
      </c>
      <c r="E5520" s="41" t="s">
        <v>20</v>
      </c>
      <c r="F5520" s="41" t="s">
        <v>10772</v>
      </c>
      <c r="G5520" s="41" t="s">
        <v>16831</v>
      </c>
      <c r="H5520" s="41" t="s">
        <v>16832</v>
      </c>
      <c r="I5520" s="43">
        <v>12</v>
      </c>
      <c r="J5520" s="44" t="str">
        <f>VLOOKUP(G5520,[1]硬件清单!$F:$F,1,0)</f>
        <v>FDO2138E12Z</v>
      </c>
      <c r="K5520" s="43"/>
      <c r="L5520" s="44"/>
      <c r="M5520" s="45" t="s">
        <v>16833</v>
      </c>
    </row>
    <row r="5521" s="28" customFormat="1" ht="30" customHeight="1" spans="1:13">
      <c r="A5521" s="41">
        <f>IF(C5521="","",SUBTOTAL(103,$C$2:C5521))</f>
        <v>5512</v>
      </c>
      <c r="B5521" s="41">
        <v>4210</v>
      </c>
      <c r="C5521" s="41">
        <v>4448</v>
      </c>
      <c r="D5521" s="41" t="s">
        <v>45</v>
      </c>
      <c r="E5521" s="41" t="s">
        <v>1298</v>
      </c>
      <c r="F5521" s="41" t="s">
        <v>16625</v>
      </c>
      <c r="G5521" s="41" t="s">
        <v>16834</v>
      </c>
      <c r="H5521" s="41" t="s">
        <v>16835</v>
      </c>
      <c r="I5521" s="43">
        <v>12</v>
      </c>
      <c r="J5521" s="44" t="str">
        <f>VLOOKUP(G5521,[1]硬件清单!$F:$F,1,0)</f>
        <v>6C07422HM1</v>
      </c>
      <c r="K5521" s="43"/>
      <c r="L5521" s="44"/>
      <c r="M5521" s="45" t="s">
        <v>16836</v>
      </c>
    </row>
    <row r="5522" s="28" customFormat="1" ht="30" customHeight="1" spans="1:13">
      <c r="A5522" s="41">
        <f>IF(C5522="","",SUBTOTAL(103,$C$2:C5522))</f>
        <v>5513</v>
      </c>
      <c r="B5522" s="41">
        <v>4211</v>
      </c>
      <c r="C5522" s="41">
        <v>4289</v>
      </c>
      <c r="D5522" s="41" t="s">
        <v>45</v>
      </c>
      <c r="E5522" s="41" t="s">
        <v>1298</v>
      </c>
      <c r="F5522" s="41" t="s">
        <v>16629</v>
      </c>
      <c r="G5522" s="41" t="s">
        <v>16837</v>
      </c>
      <c r="H5522" s="41" t="s">
        <v>16838</v>
      </c>
      <c r="I5522" s="43">
        <v>12</v>
      </c>
      <c r="J5522" s="44" t="str">
        <f>VLOOKUP(G5522,[1]硬件清单!$F:$F,1,0)</f>
        <v>6CU7421Y5M</v>
      </c>
      <c r="K5522" s="43"/>
      <c r="L5522" s="44"/>
      <c r="M5522" s="45" t="s">
        <v>16839</v>
      </c>
    </row>
    <row r="5523" s="28" customFormat="1" ht="30" customHeight="1" spans="1:13">
      <c r="A5523" s="41">
        <f>IF(C5523="","",SUBTOTAL(103,$C$2:C5523))</f>
        <v>5514</v>
      </c>
      <c r="B5523" s="41">
        <v>4212</v>
      </c>
      <c r="C5523" s="41">
        <v>4348</v>
      </c>
      <c r="D5523" s="41" t="s">
        <v>45</v>
      </c>
      <c r="E5523" s="41" t="s">
        <v>1298</v>
      </c>
      <c r="F5523" s="41" t="s">
        <v>16629</v>
      </c>
      <c r="G5523" s="41" t="s">
        <v>16840</v>
      </c>
      <c r="H5523" s="41" t="s">
        <v>16841</v>
      </c>
      <c r="I5523" s="43">
        <v>12</v>
      </c>
      <c r="J5523" s="44" t="str">
        <f>VLOOKUP(G5523,[1]硬件清单!$F:$F,1,0)</f>
        <v>6CU7421Y58</v>
      </c>
      <c r="K5523" s="43"/>
      <c r="L5523" s="44"/>
      <c r="M5523" s="45" t="s">
        <v>16842</v>
      </c>
    </row>
    <row r="5524" s="28" customFormat="1" ht="30" customHeight="1" spans="1:13">
      <c r="A5524" s="41">
        <f>IF(C5524="","",SUBTOTAL(103,$C$2:C5524))</f>
        <v>5515</v>
      </c>
      <c r="B5524" s="41">
        <v>4213</v>
      </c>
      <c r="C5524" s="41">
        <v>4722</v>
      </c>
      <c r="D5524" s="41" t="s">
        <v>45</v>
      </c>
      <c r="E5524" s="41" t="s">
        <v>1298</v>
      </c>
      <c r="F5524" s="41" t="s">
        <v>16629</v>
      </c>
      <c r="G5524" s="41" t="s">
        <v>16843</v>
      </c>
      <c r="H5524" s="41" t="s">
        <v>16844</v>
      </c>
      <c r="I5524" s="43">
        <v>12</v>
      </c>
      <c r="J5524" s="44" t="str">
        <f>VLOOKUP(G5524,[1]硬件清单!$F:$F,1,0)</f>
        <v>6CU7421Y98</v>
      </c>
      <c r="K5524" s="43"/>
      <c r="L5524" s="44"/>
      <c r="M5524" s="45" t="s">
        <v>16845</v>
      </c>
    </row>
    <row r="5525" s="28" customFormat="1" ht="30" customHeight="1" spans="1:13">
      <c r="A5525" s="41">
        <f>IF(C5525="","",SUBTOTAL(103,$C$2:C5525))</f>
        <v>5516</v>
      </c>
      <c r="B5525" s="41">
        <v>4214</v>
      </c>
      <c r="C5525" s="41">
        <v>4723</v>
      </c>
      <c r="D5525" s="41" t="s">
        <v>45</v>
      </c>
      <c r="E5525" s="41" t="s">
        <v>1298</v>
      </c>
      <c r="F5525" s="41" t="s">
        <v>16629</v>
      </c>
      <c r="G5525" s="41" t="s">
        <v>16846</v>
      </c>
      <c r="H5525" s="41" t="s">
        <v>16847</v>
      </c>
      <c r="I5525" s="43">
        <v>12</v>
      </c>
      <c r="J5525" s="44" t="str">
        <f>VLOOKUP(G5525,[1]硬件清单!$F:$F,1,0)</f>
        <v>6CU7421YEA</v>
      </c>
      <c r="K5525" s="43"/>
      <c r="L5525" s="44"/>
      <c r="M5525" s="45" t="s">
        <v>16848</v>
      </c>
    </row>
    <row r="5526" s="28" customFormat="1" ht="30" customHeight="1" spans="1:13">
      <c r="A5526" s="41">
        <f>IF(C5526="","",SUBTOTAL(103,$C$2:C5526))</f>
        <v>5517</v>
      </c>
      <c r="B5526" s="41">
        <v>4215</v>
      </c>
      <c r="C5526" s="41">
        <v>4726</v>
      </c>
      <c r="D5526" s="41" t="s">
        <v>45</v>
      </c>
      <c r="E5526" s="41" t="s">
        <v>1298</v>
      </c>
      <c r="F5526" s="41" t="s">
        <v>16629</v>
      </c>
      <c r="G5526" s="41" t="s">
        <v>16849</v>
      </c>
      <c r="H5526" s="41" t="s">
        <v>16850</v>
      </c>
      <c r="I5526" s="43">
        <v>12</v>
      </c>
      <c r="J5526" s="44" t="str">
        <f>VLOOKUP(G5526,[1]硬件清单!$F:$F,1,0)</f>
        <v>6CU7421XTS</v>
      </c>
      <c r="K5526" s="43"/>
      <c r="L5526" s="44"/>
      <c r="M5526" s="45" t="s">
        <v>16851</v>
      </c>
    </row>
    <row r="5527" s="28" customFormat="1" ht="30" customHeight="1" spans="1:13">
      <c r="A5527" s="41">
        <f>IF(C5527="","",SUBTOTAL(103,$C$2:C5527))</f>
        <v>5518</v>
      </c>
      <c r="B5527" s="41">
        <v>4216</v>
      </c>
      <c r="C5527" s="41">
        <v>4727</v>
      </c>
      <c r="D5527" s="41" t="s">
        <v>45</v>
      </c>
      <c r="E5527" s="41" t="s">
        <v>1298</v>
      </c>
      <c r="F5527" s="41" t="s">
        <v>16629</v>
      </c>
      <c r="G5527" s="41" t="s">
        <v>16852</v>
      </c>
      <c r="H5527" s="41" t="s">
        <v>16853</v>
      </c>
      <c r="I5527" s="43">
        <v>12</v>
      </c>
      <c r="J5527" s="44" t="str">
        <f>VLOOKUP(G5527,[1]硬件清单!$F:$F,1,0)</f>
        <v>6CU7421YCK</v>
      </c>
      <c r="K5527" s="43"/>
      <c r="L5527" s="44"/>
      <c r="M5527" s="45" t="s">
        <v>16854</v>
      </c>
    </row>
    <row r="5528" s="28" customFormat="1" ht="30" customHeight="1" spans="1:13">
      <c r="A5528" s="41">
        <f>IF(C5528="","",SUBTOTAL(103,$C$2:C5528))</f>
        <v>5519</v>
      </c>
      <c r="B5528" s="41">
        <v>4217</v>
      </c>
      <c r="C5528" s="41">
        <v>4728</v>
      </c>
      <c r="D5528" s="41" t="s">
        <v>45</v>
      </c>
      <c r="E5528" s="41" t="s">
        <v>1298</v>
      </c>
      <c r="F5528" s="41" t="s">
        <v>16629</v>
      </c>
      <c r="G5528" s="41" t="s">
        <v>16855</v>
      </c>
      <c r="H5528" s="41" t="s">
        <v>16856</v>
      </c>
      <c r="I5528" s="43">
        <v>12</v>
      </c>
      <c r="J5528" s="44" t="str">
        <f>VLOOKUP(G5528,[1]硬件清单!$F:$F,1,0)</f>
        <v>6CU7421XXE</v>
      </c>
      <c r="K5528" s="43"/>
      <c r="L5528" s="44"/>
      <c r="M5528" s="45" t="s">
        <v>16857</v>
      </c>
    </row>
    <row r="5529" s="28" customFormat="1" ht="30" customHeight="1" spans="1:13">
      <c r="A5529" s="41">
        <f>IF(C5529="","",SUBTOTAL(103,$C$2:C5529))</f>
        <v>5520</v>
      </c>
      <c r="B5529" s="41">
        <v>4218</v>
      </c>
      <c r="C5529" s="41">
        <v>4729</v>
      </c>
      <c r="D5529" s="41" t="s">
        <v>45</v>
      </c>
      <c r="E5529" s="41" t="s">
        <v>1298</v>
      </c>
      <c r="F5529" s="41" t="s">
        <v>16629</v>
      </c>
      <c r="G5529" s="41" t="s">
        <v>16858</v>
      </c>
      <c r="H5529" s="41" t="s">
        <v>16859</v>
      </c>
      <c r="I5529" s="43">
        <v>12</v>
      </c>
      <c r="J5529" s="44" t="str">
        <f>VLOOKUP(G5529,[1]硬件清单!$F:$F,1,0)</f>
        <v>6CU7421Y8V</v>
      </c>
      <c r="K5529" s="43"/>
      <c r="L5529" s="44"/>
      <c r="M5529" s="45" t="s">
        <v>16860</v>
      </c>
    </row>
    <row r="5530" s="28" customFormat="1" ht="30" customHeight="1" spans="1:13">
      <c r="A5530" s="41">
        <f>IF(C5530="","",SUBTOTAL(103,$C$2:C5530))</f>
        <v>5521</v>
      </c>
      <c r="B5530" s="41">
        <v>4219</v>
      </c>
      <c r="C5530" s="41">
        <v>4290</v>
      </c>
      <c r="D5530" s="41" t="s">
        <v>45</v>
      </c>
      <c r="E5530" s="41" t="s">
        <v>1298</v>
      </c>
      <c r="F5530" s="41" t="s">
        <v>16629</v>
      </c>
      <c r="G5530" s="41" t="s">
        <v>16861</v>
      </c>
      <c r="H5530" s="41" t="s">
        <v>16862</v>
      </c>
      <c r="I5530" s="43">
        <v>12</v>
      </c>
      <c r="J5530" s="44" t="str">
        <f>VLOOKUP(G5530,[1]硬件清单!$F:$F,1,0)</f>
        <v>6CU7421XVE</v>
      </c>
      <c r="K5530" s="43"/>
      <c r="L5530" s="44"/>
      <c r="M5530" s="45" t="s">
        <v>16863</v>
      </c>
    </row>
    <row r="5531" s="28" customFormat="1" ht="30" customHeight="1" spans="1:13">
      <c r="A5531" s="41">
        <f>IF(C5531="","",SUBTOTAL(103,$C$2:C5531))</f>
        <v>5522</v>
      </c>
      <c r="B5531" s="41">
        <v>4220</v>
      </c>
      <c r="C5531" s="41">
        <v>4291</v>
      </c>
      <c r="D5531" s="41" t="s">
        <v>45</v>
      </c>
      <c r="E5531" s="41" t="s">
        <v>1298</v>
      </c>
      <c r="F5531" s="41" t="s">
        <v>16629</v>
      </c>
      <c r="G5531" s="41" t="s">
        <v>16864</v>
      </c>
      <c r="H5531" s="41" t="s">
        <v>16865</v>
      </c>
      <c r="I5531" s="43">
        <v>12</v>
      </c>
      <c r="J5531" s="44" t="str">
        <f>VLOOKUP(G5531,[1]硬件清单!$F:$F,1,0)</f>
        <v>6CU7421XTX</v>
      </c>
      <c r="K5531" s="43"/>
      <c r="L5531" s="44"/>
      <c r="M5531" s="45" t="s">
        <v>16866</v>
      </c>
    </row>
    <row r="5532" s="28" customFormat="1" ht="30" customHeight="1" spans="1:13">
      <c r="A5532" s="41">
        <f>IF(C5532="","",SUBTOTAL(103,$C$2:C5532))</f>
        <v>5523</v>
      </c>
      <c r="B5532" s="41">
        <v>4221</v>
      </c>
      <c r="C5532" s="41">
        <v>4292</v>
      </c>
      <c r="D5532" s="41" t="s">
        <v>45</v>
      </c>
      <c r="E5532" s="41" t="s">
        <v>1298</v>
      </c>
      <c r="F5532" s="41" t="s">
        <v>16629</v>
      </c>
      <c r="G5532" s="41" t="s">
        <v>16867</v>
      </c>
      <c r="H5532" s="41" t="s">
        <v>16868</v>
      </c>
      <c r="I5532" s="43">
        <v>12</v>
      </c>
      <c r="J5532" s="44" t="str">
        <f>VLOOKUP(G5532,[1]硬件清单!$F:$F,1,0)</f>
        <v>6CU7421YC2</v>
      </c>
      <c r="K5532" s="43"/>
      <c r="L5532" s="44"/>
      <c r="M5532" s="45" t="s">
        <v>16869</v>
      </c>
    </row>
    <row r="5533" s="28" customFormat="1" ht="30" customHeight="1" spans="1:13">
      <c r="A5533" s="41">
        <f>IF(C5533="","",SUBTOTAL(103,$C$2:C5533))</f>
        <v>5524</v>
      </c>
      <c r="B5533" s="41">
        <v>4222</v>
      </c>
      <c r="C5533" s="41">
        <v>4293</v>
      </c>
      <c r="D5533" s="41" t="s">
        <v>45</v>
      </c>
      <c r="E5533" s="41" t="s">
        <v>1298</v>
      </c>
      <c r="F5533" s="41" t="s">
        <v>16629</v>
      </c>
      <c r="G5533" s="41" t="s">
        <v>16870</v>
      </c>
      <c r="H5533" s="41" t="s">
        <v>16871</v>
      </c>
      <c r="I5533" s="43">
        <v>12</v>
      </c>
      <c r="J5533" s="44" t="str">
        <f>VLOOKUP(G5533,[1]硬件清单!$F:$F,1,0)</f>
        <v>6CU7421YAA</v>
      </c>
      <c r="K5533" s="43"/>
      <c r="L5533" s="44"/>
      <c r="M5533" s="45" t="s">
        <v>16872</v>
      </c>
    </row>
    <row r="5534" s="28" customFormat="1" ht="30" customHeight="1" spans="1:13">
      <c r="A5534" s="41">
        <f>IF(C5534="","",SUBTOTAL(103,$C$2:C5534))</f>
        <v>5525</v>
      </c>
      <c r="B5534" s="41">
        <v>4223</v>
      </c>
      <c r="C5534" s="41">
        <v>4294</v>
      </c>
      <c r="D5534" s="41" t="s">
        <v>45</v>
      </c>
      <c r="E5534" s="41" t="s">
        <v>1298</v>
      </c>
      <c r="F5534" s="41" t="s">
        <v>16629</v>
      </c>
      <c r="G5534" s="41" t="s">
        <v>16873</v>
      </c>
      <c r="H5534" s="41" t="s">
        <v>16874</v>
      </c>
      <c r="I5534" s="43">
        <v>12</v>
      </c>
      <c r="J5534" s="44" t="str">
        <f>VLOOKUP(G5534,[1]硬件清单!$F:$F,1,0)</f>
        <v>6CU7421XWX</v>
      </c>
      <c r="K5534" s="43"/>
      <c r="L5534" s="44"/>
      <c r="M5534" s="45" t="s">
        <v>16875</v>
      </c>
    </row>
    <row r="5535" s="28" customFormat="1" ht="30" customHeight="1" spans="1:13">
      <c r="A5535" s="41">
        <f>IF(C5535="","",SUBTOTAL(103,$C$2:C5535))</f>
        <v>5526</v>
      </c>
      <c r="B5535" s="41">
        <v>4224</v>
      </c>
      <c r="C5535" s="41">
        <v>4345</v>
      </c>
      <c r="D5535" s="41" t="s">
        <v>45</v>
      </c>
      <c r="E5535" s="41" t="s">
        <v>1298</v>
      </c>
      <c r="F5535" s="41" t="s">
        <v>16629</v>
      </c>
      <c r="G5535" s="41" t="s">
        <v>16876</v>
      </c>
      <c r="H5535" s="41" t="s">
        <v>16877</v>
      </c>
      <c r="I5535" s="43">
        <v>12</v>
      </c>
      <c r="J5535" s="44" t="str">
        <f>VLOOKUP(G5535,[1]硬件清单!$F:$F,1,0)</f>
        <v>6CU7421Y66</v>
      </c>
      <c r="K5535" s="43"/>
      <c r="L5535" s="44"/>
      <c r="M5535" s="45" t="s">
        <v>16878</v>
      </c>
    </row>
    <row r="5536" s="28" customFormat="1" ht="30" customHeight="1" spans="1:13">
      <c r="A5536" s="41">
        <f>IF(C5536="","",SUBTOTAL(103,$C$2:C5536))</f>
        <v>5527</v>
      </c>
      <c r="B5536" s="41">
        <v>4225</v>
      </c>
      <c r="C5536" s="41">
        <v>4346</v>
      </c>
      <c r="D5536" s="41" t="s">
        <v>45</v>
      </c>
      <c r="E5536" s="41" t="s">
        <v>1298</v>
      </c>
      <c r="F5536" s="41" t="s">
        <v>16629</v>
      </c>
      <c r="G5536" s="41" t="s">
        <v>16879</v>
      </c>
      <c r="H5536" s="41" t="s">
        <v>16880</v>
      </c>
      <c r="I5536" s="43">
        <v>12</v>
      </c>
      <c r="J5536" s="44" t="str">
        <f>VLOOKUP(G5536,[1]硬件清单!$F:$F,1,0)</f>
        <v>6CU7421Y1M</v>
      </c>
      <c r="K5536" s="43"/>
      <c r="L5536" s="44"/>
      <c r="M5536" s="45" t="s">
        <v>16881</v>
      </c>
    </row>
    <row r="5537" s="28" customFormat="1" ht="30" customHeight="1" spans="1:13">
      <c r="A5537" s="41">
        <f>IF(C5537="","",SUBTOTAL(103,$C$2:C5537))</f>
        <v>5528</v>
      </c>
      <c r="B5537" s="41">
        <v>4226</v>
      </c>
      <c r="C5537" s="41">
        <v>4347</v>
      </c>
      <c r="D5537" s="41" t="s">
        <v>45</v>
      </c>
      <c r="E5537" s="41" t="s">
        <v>1298</v>
      </c>
      <c r="F5537" s="41" t="s">
        <v>16629</v>
      </c>
      <c r="G5537" s="41" t="s">
        <v>16882</v>
      </c>
      <c r="H5537" s="41" t="s">
        <v>16883</v>
      </c>
      <c r="I5537" s="43">
        <v>12</v>
      </c>
      <c r="J5537" s="44" t="str">
        <f>VLOOKUP(G5537,[1]硬件清单!$F:$F,1,0)</f>
        <v>6CU7421Y9M</v>
      </c>
      <c r="K5537" s="43"/>
      <c r="L5537" s="44"/>
      <c r="M5537" s="45" t="s">
        <v>16884</v>
      </c>
    </row>
    <row r="5538" s="28" customFormat="1" ht="30" customHeight="1" spans="1:13">
      <c r="A5538" s="41">
        <f>IF(C5538="","",SUBTOTAL(103,$C$2:C5538))</f>
        <v>5529</v>
      </c>
      <c r="B5538" s="41">
        <v>4227</v>
      </c>
      <c r="C5538" s="41">
        <v>10104</v>
      </c>
      <c r="D5538" s="41" t="s">
        <v>19</v>
      </c>
      <c r="E5538" s="41" t="s">
        <v>20</v>
      </c>
      <c r="F5538" s="41" t="s">
        <v>11422</v>
      </c>
      <c r="G5538" s="41" t="s">
        <v>16885</v>
      </c>
      <c r="H5538" s="41" t="s">
        <v>16886</v>
      </c>
      <c r="I5538" s="43">
        <v>12</v>
      </c>
      <c r="J5538" s="44" t="str">
        <f>VLOOKUP(G5538,[1]硬件清单!$F:$F,1,0)</f>
        <v>210235AOHAH127000146</v>
      </c>
      <c r="K5538" s="43"/>
      <c r="L5538" s="44"/>
      <c r="M5538" s="45" t="s">
        <v>16887</v>
      </c>
    </row>
    <row r="5539" s="28" customFormat="1" ht="30" customHeight="1" spans="1:13">
      <c r="A5539" s="41">
        <f>IF(C5539="","",SUBTOTAL(103,$C$2:C5539))</f>
        <v>5530</v>
      </c>
      <c r="B5539" s="41">
        <v>4228</v>
      </c>
      <c r="C5539" s="41">
        <v>4730</v>
      </c>
      <c r="D5539" s="41" t="s">
        <v>45</v>
      </c>
      <c r="E5539" s="41" t="s">
        <v>1298</v>
      </c>
      <c r="F5539" s="41" t="s">
        <v>16625</v>
      </c>
      <c r="G5539" s="41" t="s">
        <v>16888</v>
      </c>
      <c r="H5539" s="41" t="s">
        <v>16889</v>
      </c>
      <c r="I5539" s="43">
        <v>12</v>
      </c>
      <c r="J5539" s="44" t="str">
        <f>VLOOKUP(G5539,[1]硬件清单!$F:$F,1,0)</f>
        <v>6C07422HM2</v>
      </c>
      <c r="K5539" s="43"/>
      <c r="L5539" s="44"/>
      <c r="M5539" s="45" t="s">
        <v>16890</v>
      </c>
    </row>
    <row r="5540" s="28" customFormat="1" ht="30" customHeight="1" spans="1:13">
      <c r="A5540" s="41">
        <f>IF(C5540="","",SUBTOTAL(103,$C$2:C5540))</f>
        <v>5531</v>
      </c>
      <c r="B5540" s="41">
        <v>4229</v>
      </c>
      <c r="C5540" s="41">
        <v>4313</v>
      </c>
      <c r="D5540" s="41" t="s">
        <v>45</v>
      </c>
      <c r="E5540" s="41" t="s">
        <v>1298</v>
      </c>
      <c r="F5540" s="41" t="s">
        <v>16629</v>
      </c>
      <c r="G5540" s="41" t="s">
        <v>16891</v>
      </c>
      <c r="H5540" s="41" t="s">
        <v>16892</v>
      </c>
      <c r="I5540" s="43">
        <v>12</v>
      </c>
      <c r="J5540" s="44" t="str">
        <f>VLOOKUP(G5540,[1]硬件清单!$F:$F,1,0)</f>
        <v>6CU7421Y94</v>
      </c>
      <c r="K5540" s="43"/>
      <c r="L5540" s="44"/>
      <c r="M5540" s="45" t="s">
        <v>16893</v>
      </c>
    </row>
    <row r="5541" s="28" customFormat="1" ht="30" customHeight="1" spans="1:13">
      <c r="A5541" s="41">
        <f>IF(C5541="","",SUBTOTAL(103,$C$2:C5541))</f>
        <v>5532</v>
      </c>
      <c r="B5541" s="41">
        <v>4230</v>
      </c>
      <c r="C5541" s="41">
        <v>4322</v>
      </c>
      <c r="D5541" s="41" t="s">
        <v>45</v>
      </c>
      <c r="E5541" s="41" t="s">
        <v>1298</v>
      </c>
      <c r="F5541" s="41" t="s">
        <v>16629</v>
      </c>
      <c r="G5541" s="41" t="s">
        <v>16894</v>
      </c>
      <c r="H5541" s="41" t="s">
        <v>16895</v>
      </c>
      <c r="I5541" s="43">
        <v>12</v>
      </c>
      <c r="J5541" s="44" t="str">
        <f>VLOOKUP(G5541,[1]硬件清单!$F:$F,1,0)</f>
        <v>6CU7421YCE</v>
      </c>
      <c r="K5541" s="43"/>
      <c r="L5541" s="44"/>
      <c r="M5541" s="45" t="s">
        <v>16896</v>
      </c>
    </row>
    <row r="5542" s="28" customFormat="1" ht="30" customHeight="1" spans="1:13">
      <c r="A5542" s="41">
        <f>IF(C5542="","",SUBTOTAL(103,$C$2:C5542))</f>
        <v>5533</v>
      </c>
      <c r="B5542" s="41">
        <v>4231</v>
      </c>
      <c r="C5542" s="41">
        <v>4323</v>
      </c>
      <c r="D5542" s="41" t="s">
        <v>45</v>
      </c>
      <c r="E5542" s="41" t="s">
        <v>1298</v>
      </c>
      <c r="F5542" s="41" t="s">
        <v>16629</v>
      </c>
      <c r="G5542" s="41" t="s">
        <v>16897</v>
      </c>
      <c r="H5542" s="41" t="s">
        <v>16898</v>
      </c>
      <c r="I5542" s="43">
        <v>12</v>
      </c>
      <c r="J5542" s="44" t="str">
        <f>VLOOKUP(G5542,[1]硬件清单!$F:$F,1,0)</f>
        <v>6CU7421Y5H</v>
      </c>
      <c r="K5542" s="43"/>
      <c r="L5542" s="44"/>
      <c r="M5542" s="45" t="s">
        <v>16899</v>
      </c>
    </row>
    <row r="5543" s="28" customFormat="1" ht="30" customHeight="1" spans="1:13">
      <c r="A5543" s="41">
        <f>IF(C5543="","",SUBTOTAL(103,$C$2:C5543))</f>
        <v>5534</v>
      </c>
      <c r="B5543" s="41">
        <v>4232</v>
      </c>
      <c r="C5543" s="41">
        <v>4324</v>
      </c>
      <c r="D5543" s="41" t="s">
        <v>45</v>
      </c>
      <c r="E5543" s="41" t="s">
        <v>1298</v>
      </c>
      <c r="F5543" s="41" t="s">
        <v>16629</v>
      </c>
      <c r="G5543" s="41" t="s">
        <v>16900</v>
      </c>
      <c r="H5543" s="41" t="s">
        <v>16901</v>
      </c>
      <c r="I5543" s="43">
        <v>12</v>
      </c>
      <c r="J5543" s="44" t="str">
        <f>VLOOKUP(G5543,[1]硬件清单!$F:$F,1,0)</f>
        <v>6CU7421XWS</v>
      </c>
      <c r="K5543" s="43"/>
      <c r="L5543" s="44"/>
      <c r="M5543" s="45" t="s">
        <v>16902</v>
      </c>
    </row>
    <row r="5544" s="28" customFormat="1" ht="30" customHeight="1" spans="1:13">
      <c r="A5544" s="41">
        <f>IF(C5544="","",SUBTOTAL(103,$C$2:C5544))</f>
        <v>5535</v>
      </c>
      <c r="B5544" s="41">
        <v>4233</v>
      </c>
      <c r="C5544" s="41">
        <v>4325</v>
      </c>
      <c r="D5544" s="41" t="s">
        <v>45</v>
      </c>
      <c r="E5544" s="41" t="s">
        <v>1298</v>
      </c>
      <c r="F5544" s="41" t="s">
        <v>16629</v>
      </c>
      <c r="G5544" s="41" t="s">
        <v>16903</v>
      </c>
      <c r="H5544" s="41" t="s">
        <v>16904</v>
      </c>
      <c r="I5544" s="43">
        <v>12</v>
      </c>
      <c r="J5544" s="44" t="str">
        <f>VLOOKUP(G5544,[1]硬件清单!$F:$F,1,0)</f>
        <v>6CU7421XTC</v>
      </c>
      <c r="K5544" s="43"/>
      <c r="L5544" s="44"/>
      <c r="M5544" s="45" t="s">
        <v>16905</v>
      </c>
    </row>
    <row r="5545" s="28" customFormat="1" ht="30" customHeight="1" spans="1:13">
      <c r="A5545" s="41">
        <f>IF(C5545="","",SUBTOTAL(103,$C$2:C5545))</f>
        <v>5536</v>
      </c>
      <c r="B5545" s="41">
        <v>4234</v>
      </c>
      <c r="C5545" s="41">
        <v>4326</v>
      </c>
      <c r="D5545" s="41" t="s">
        <v>45</v>
      </c>
      <c r="E5545" s="41" t="s">
        <v>1298</v>
      </c>
      <c r="F5545" s="41" t="s">
        <v>16629</v>
      </c>
      <c r="G5545" s="41" t="s">
        <v>16906</v>
      </c>
      <c r="H5545" s="41" t="s">
        <v>16907</v>
      </c>
      <c r="I5545" s="43">
        <v>12</v>
      </c>
      <c r="J5545" s="44" t="str">
        <f>VLOOKUP(G5545,[1]硬件清单!$F:$F,1,0)</f>
        <v>6CU7421Y5X</v>
      </c>
      <c r="K5545" s="43"/>
      <c r="L5545" s="44"/>
      <c r="M5545" s="45" t="s">
        <v>16908</v>
      </c>
    </row>
    <row r="5546" s="28" customFormat="1" ht="30" customHeight="1" spans="1:13">
      <c r="A5546" s="41">
        <f>IF(C5546="","",SUBTOTAL(103,$C$2:C5546))</f>
        <v>5537</v>
      </c>
      <c r="B5546" s="41">
        <v>4235</v>
      </c>
      <c r="C5546" s="41">
        <v>4327</v>
      </c>
      <c r="D5546" s="41" t="s">
        <v>45</v>
      </c>
      <c r="E5546" s="41" t="s">
        <v>1298</v>
      </c>
      <c r="F5546" s="41" t="s">
        <v>16629</v>
      </c>
      <c r="G5546" s="41" t="s">
        <v>16909</v>
      </c>
      <c r="H5546" s="41" t="s">
        <v>16910</v>
      </c>
      <c r="I5546" s="43">
        <v>12</v>
      </c>
      <c r="J5546" s="44" t="str">
        <f>VLOOKUP(G5546,[1]硬件清单!$F:$F,1,0)</f>
        <v>6CU7421XYM</v>
      </c>
      <c r="K5546" s="43"/>
      <c r="L5546" s="44"/>
      <c r="M5546" s="45" t="s">
        <v>16911</v>
      </c>
    </row>
    <row r="5547" s="28" customFormat="1" ht="30" customHeight="1" spans="1:13">
      <c r="A5547" s="41">
        <f>IF(C5547="","",SUBTOTAL(103,$C$2:C5547))</f>
        <v>5538</v>
      </c>
      <c r="B5547" s="41">
        <v>4236</v>
      </c>
      <c r="C5547" s="41">
        <v>4328</v>
      </c>
      <c r="D5547" s="41" t="s">
        <v>45</v>
      </c>
      <c r="E5547" s="41" t="s">
        <v>1298</v>
      </c>
      <c r="F5547" s="41" t="s">
        <v>16629</v>
      </c>
      <c r="G5547" s="41" t="s">
        <v>16912</v>
      </c>
      <c r="H5547" s="41" t="s">
        <v>16913</v>
      </c>
      <c r="I5547" s="43">
        <v>12</v>
      </c>
      <c r="J5547" s="44" t="str">
        <f>VLOOKUP(G5547,[1]硬件清单!$F:$F,1,0)</f>
        <v>6CU7421YA2</v>
      </c>
      <c r="K5547" s="43"/>
      <c r="L5547" s="44"/>
      <c r="M5547" s="45" t="s">
        <v>16914</v>
      </c>
    </row>
    <row r="5548" s="28" customFormat="1" ht="30" customHeight="1" spans="1:13">
      <c r="A5548" s="41">
        <f>IF(C5548="","",SUBTOTAL(103,$C$2:C5548))</f>
        <v>5539</v>
      </c>
      <c r="B5548" s="41">
        <v>4237</v>
      </c>
      <c r="C5548" s="41">
        <v>4314</v>
      </c>
      <c r="D5548" s="41" t="s">
        <v>45</v>
      </c>
      <c r="E5548" s="41" t="s">
        <v>1298</v>
      </c>
      <c r="F5548" s="41" t="s">
        <v>16629</v>
      </c>
      <c r="G5548" s="41" t="s">
        <v>16915</v>
      </c>
      <c r="H5548" s="41" t="s">
        <v>16916</v>
      </c>
      <c r="I5548" s="43">
        <v>12</v>
      </c>
      <c r="J5548" s="44" t="str">
        <f>VLOOKUP(G5548,[1]硬件清单!$F:$F,1,0)</f>
        <v>6CU7421XT8</v>
      </c>
      <c r="K5548" s="43"/>
      <c r="L5548" s="44"/>
      <c r="M5548" s="45" t="s">
        <v>16917</v>
      </c>
    </row>
    <row r="5549" s="28" customFormat="1" ht="30" customHeight="1" spans="1:13">
      <c r="A5549" s="41">
        <f>IF(C5549="","",SUBTOTAL(103,$C$2:C5549))</f>
        <v>5540</v>
      </c>
      <c r="B5549" s="41">
        <v>4238</v>
      </c>
      <c r="C5549" s="41">
        <v>4315</v>
      </c>
      <c r="D5549" s="41" t="s">
        <v>45</v>
      </c>
      <c r="E5549" s="41" t="s">
        <v>1298</v>
      </c>
      <c r="F5549" s="41" t="s">
        <v>16629</v>
      </c>
      <c r="G5549" s="41" t="s">
        <v>16918</v>
      </c>
      <c r="H5549" s="41" t="s">
        <v>16919</v>
      </c>
      <c r="I5549" s="43">
        <v>12</v>
      </c>
      <c r="J5549" s="44" t="str">
        <f>VLOOKUP(G5549,[1]硬件清单!$F:$F,1,0)</f>
        <v>6CU7421Y7H</v>
      </c>
      <c r="K5549" s="43"/>
      <c r="L5549" s="44"/>
      <c r="M5549" s="45" t="s">
        <v>16920</v>
      </c>
    </row>
    <row r="5550" s="28" customFormat="1" ht="30" customHeight="1" spans="1:13">
      <c r="A5550" s="41">
        <f>IF(C5550="","",SUBTOTAL(103,$C$2:C5550))</f>
        <v>5541</v>
      </c>
      <c r="B5550" s="41">
        <v>4239</v>
      </c>
      <c r="C5550" s="41">
        <v>4316</v>
      </c>
      <c r="D5550" s="41" t="s">
        <v>45</v>
      </c>
      <c r="E5550" s="41" t="s">
        <v>1298</v>
      </c>
      <c r="F5550" s="41" t="s">
        <v>16629</v>
      </c>
      <c r="G5550" s="41" t="s">
        <v>16921</v>
      </c>
      <c r="H5550" s="41" t="s">
        <v>16922</v>
      </c>
      <c r="I5550" s="43">
        <v>12</v>
      </c>
      <c r="J5550" s="44" t="str">
        <f>VLOOKUP(G5550,[1]硬件清单!$F:$F,1,0)</f>
        <v>6CU7421Y9H</v>
      </c>
      <c r="K5550" s="43"/>
      <c r="L5550" s="44"/>
      <c r="M5550" s="45" t="s">
        <v>16923</v>
      </c>
    </row>
    <row r="5551" s="28" customFormat="1" ht="30" customHeight="1" spans="1:13">
      <c r="A5551" s="41">
        <f>IF(C5551="","",SUBTOTAL(103,$C$2:C5551))</f>
        <v>5542</v>
      </c>
      <c r="B5551" s="41">
        <v>4240</v>
      </c>
      <c r="C5551" s="41">
        <v>4317</v>
      </c>
      <c r="D5551" s="41" t="s">
        <v>45</v>
      </c>
      <c r="E5551" s="41" t="s">
        <v>1298</v>
      </c>
      <c r="F5551" s="41" t="s">
        <v>16629</v>
      </c>
      <c r="G5551" s="41" t="s">
        <v>16924</v>
      </c>
      <c r="H5551" s="41" t="s">
        <v>16925</v>
      </c>
      <c r="I5551" s="43">
        <v>12</v>
      </c>
      <c r="J5551" s="44" t="str">
        <f>VLOOKUP(G5551,[1]硬件清单!$F:$F,1,0)</f>
        <v>6CU7421YDH</v>
      </c>
      <c r="K5551" s="43"/>
      <c r="L5551" s="44"/>
      <c r="M5551" s="45" t="s">
        <v>16926</v>
      </c>
    </row>
    <row r="5552" s="28" customFormat="1" ht="30" customHeight="1" spans="1:13">
      <c r="A5552" s="41">
        <f>IF(C5552="","",SUBTOTAL(103,$C$2:C5552))</f>
        <v>5543</v>
      </c>
      <c r="B5552" s="41">
        <v>4241</v>
      </c>
      <c r="C5552" s="41">
        <v>4318</v>
      </c>
      <c r="D5552" s="41" t="s">
        <v>45</v>
      </c>
      <c r="E5552" s="41" t="s">
        <v>1298</v>
      </c>
      <c r="F5552" s="41" t="s">
        <v>16629</v>
      </c>
      <c r="G5552" s="41" t="s">
        <v>16927</v>
      </c>
      <c r="H5552" s="41" t="s">
        <v>16928</v>
      </c>
      <c r="I5552" s="43">
        <v>12</v>
      </c>
      <c r="J5552" s="44" t="str">
        <f>VLOOKUP(G5552,[1]硬件清单!$F:$F,1,0)</f>
        <v>6CU7421XXA</v>
      </c>
      <c r="K5552" s="43"/>
      <c r="L5552" s="44"/>
      <c r="M5552" s="45" t="s">
        <v>16929</v>
      </c>
    </row>
    <row r="5553" s="28" customFormat="1" ht="30" customHeight="1" spans="1:13">
      <c r="A5553" s="41">
        <f>IF(C5553="","",SUBTOTAL(103,$C$2:C5553))</f>
        <v>5544</v>
      </c>
      <c r="B5553" s="41">
        <v>4242</v>
      </c>
      <c r="C5553" s="41">
        <v>4319</v>
      </c>
      <c r="D5553" s="41" t="s">
        <v>45</v>
      </c>
      <c r="E5553" s="41" t="s">
        <v>1298</v>
      </c>
      <c r="F5553" s="41" t="s">
        <v>16629</v>
      </c>
      <c r="G5553" s="41" t="s">
        <v>16930</v>
      </c>
      <c r="H5553" s="41" t="s">
        <v>16931</v>
      </c>
      <c r="I5553" s="43">
        <v>12</v>
      </c>
      <c r="J5553" s="44" t="str">
        <f>VLOOKUP(G5553,[1]硬件清单!$F:$F,1,0)</f>
        <v>6CU7421YEP</v>
      </c>
      <c r="K5553" s="43"/>
      <c r="L5553" s="44"/>
      <c r="M5553" s="45" t="s">
        <v>16932</v>
      </c>
    </row>
    <row r="5554" s="28" customFormat="1" ht="30" customHeight="1" spans="1:13">
      <c r="A5554" s="41">
        <f>IF(C5554="","",SUBTOTAL(103,$C$2:C5554))</f>
        <v>5545</v>
      </c>
      <c r="B5554" s="41">
        <v>4243</v>
      </c>
      <c r="C5554" s="41">
        <v>4320</v>
      </c>
      <c r="D5554" s="41" t="s">
        <v>45</v>
      </c>
      <c r="E5554" s="41" t="s">
        <v>1298</v>
      </c>
      <c r="F5554" s="41" t="s">
        <v>16629</v>
      </c>
      <c r="G5554" s="41" t="s">
        <v>16933</v>
      </c>
      <c r="H5554" s="41" t="s">
        <v>16934</v>
      </c>
      <c r="I5554" s="43">
        <v>12</v>
      </c>
      <c r="J5554" s="44" t="str">
        <f>VLOOKUP(G5554,[1]硬件清单!$F:$F,1,0)</f>
        <v>6CU7421XTH</v>
      </c>
      <c r="K5554" s="43"/>
      <c r="L5554" s="44"/>
      <c r="M5554" s="45" t="s">
        <v>16935</v>
      </c>
    </row>
    <row r="5555" s="28" customFormat="1" ht="30" customHeight="1" spans="1:13">
      <c r="A5555" s="41">
        <f>IF(C5555="","",SUBTOTAL(103,$C$2:C5555))</f>
        <v>5546</v>
      </c>
      <c r="B5555" s="41">
        <v>4244</v>
      </c>
      <c r="C5555" s="41">
        <v>4321</v>
      </c>
      <c r="D5555" s="41" t="s">
        <v>45</v>
      </c>
      <c r="E5555" s="41" t="s">
        <v>1298</v>
      </c>
      <c r="F5555" s="41" t="s">
        <v>16629</v>
      </c>
      <c r="G5555" s="41" t="s">
        <v>16936</v>
      </c>
      <c r="H5555" s="41" t="s">
        <v>16937</v>
      </c>
      <c r="I5555" s="43">
        <v>12</v>
      </c>
      <c r="J5555" s="44" t="str">
        <f>VLOOKUP(G5555,[1]硬件清单!$F:$F,1,0)</f>
        <v>6CU7421Y0A</v>
      </c>
      <c r="K5555" s="43"/>
      <c r="L5555" s="44"/>
      <c r="M5555" s="45" t="s">
        <v>16938</v>
      </c>
    </row>
    <row r="5556" s="28" customFormat="1" ht="30" customHeight="1" spans="1:13">
      <c r="A5556" s="41">
        <f>IF(C5556="","",SUBTOTAL(103,$C$2:C5556))</f>
        <v>5547</v>
      </c>
      <c r="B5556" s="41">
        <v>4245</v>
      </c>
      <c r="C5556" s="41">
        <v>5260</v>
      </c>
      <c r="D5556" s="41" t="s">
        <v>45</v>
      </c>
      <c r="E5556" s="41" t="s">
        <v>1298</v>
      </c>
      <c r="F5556" s="41" t="s">
        <v>16939</v>
      </c>
      <c r="G5556" s="41" t="s">
        <v>16940</v>
      </c>
      <c r="H5556" s="41" t="s">
        <v>16941</v>
      </c>
      <c r="I5556" s="43">
        <v>12</v>
      </c>
      <c r="J5556" s="44" t="str">
        <f>VLOOKUP(G5556,[1]硬件清单!$F:$F,1,0)</f>
        <v>FCH2142W01D</v>
      </c>
      <c r="K5556" s="43"/>
      <c r="L5556" s="44"/>
      <c r="M5556" s="45" t="s">
        <v>16942</v>
      </c>
    </row>
    <row r="5557" s="28" customFormat="1" ht="30" customHeight="1" spans="1:13">
      <c r="A5557" s="41">
        <f>IF(C5557="","",SUBTOTAL(103,$C$2:C5557))</f>
        <v>5548</v>
      </c>
      <c r="B5557" s="41">
        <v>4246</v>
      </c>
      <c r="C5557" s="41">
        <v>5259</v>
      </c>
      <c r="D5557" s="41" t="s">
        <v>45</v>
      </c>
      <c r="E5557" s="41" t="s">
        <v>1298</v>
      </c>
      <c r="F5557" s="41" t="s">
        <v>16939</v>
      </c>
      <c r="G5557" s="41" t="s">
        <v>16943</v>
      </c>
      <c r="H5557" s="41" t="s">
        <v>16944</v>
      </c>
      <c r="I5557" s="43">
        <v>12</v>
      </c>
      <c r="J5557" s="44" t="str">
        <f>VLOOKUP(G5557,[1]硬件清单!$F:$F,1,0)</f>
        <v>FCH2029W01A</v>
      </c>
      <c r="K5557" s="43"/>
      <c r="L5557" s="44"/>
      <c r="M5557" s="45" t="s">
        <v>16945</v>
      </c>
    </row>
    <row r="5558" s="28" customFormat="1" ht="30" customHeight="1" spans="1:13">
      <c r="A5558" s="41">
        <f>IF(C5558="","",SUBTOTAL(103,$C$2:C5558))</f>
        <v>5549</v>
      </c>
      <c r="B5558" s="41">
        <v>4247</v>
      </c>
      <c r="C5558" s="41">
        <v>5219</v>
      </c>
      <c r="D5558" s="41" t="s">
        <v>45</v>
      </c>
      <c r="E5558" s="41" t="s">
        <v>1298</v>
      </c>
      <c r="F5558" s="41" t="s">
        <v>16939</v>
      </c>
      <c r="G5558" s="41" t="s">
        <v>16946</v>
      </c>
      <c r="H5558" s="41" t="s">
        <v>16947</v>
      </c>
      <c r="I5558" s="43">
        <v>12</v>
      </c>
      <c r="J5558" s="44" t="str">
        <f>VLOOKUP(G5558,[1]硬件清单!$F:$F,1,0)</f>
        <v>FCH2143W014</v>
      </c>
      <c r="K5558" s="43"/>
      <c r="L5558" s="44"/>
      <c r="M5558" s="45" t="s">
        <v>16948</v>
      </c>
    </row>
    <row r="5559" s="28" customFormat="1" ht="30" customHeight="1" spans="1:13">
      <c r="A5559" s="41">
        <f>IF(C5559="","",SUBTOTAL(103,$C$2:C5559))</f>
        <v>5550</v>
      </c>
      <c r="B5559" s="41">
        <v>4249</v>
      </c>
      <c r="C5559" s="41">
        <v>5218</v>
      </c>
      <c r="D5559" s="41" t="s">
        <v>45</v>
      </c>
      <c r="E5559" s="41" t="s">
        <v>1298</v>
      </c>
      <c r="F5559" s="41" t="s">
        <v>16939</v>
      </c>
      <c r="G5559" s="41" t="s">
        <v>16949</v>
      </c>
      <c r="H5559" s="41" t="s">
        <v>16950</v>
      </c>
      <c r="I5559" s="43">
        <v>12</v>
      </c>
      <c r="J5559" s="44" t="str">
        <f>VLOOKUP(G5559,[1]硬件清单!$F:$F,1,0)</f>
        <v>FCH2143W00N</v>
      </c>
      <c r="K5559" s="43"/>
      <c r="L5559" s="44"/>
      <c r="M5559" s="45" t="s">
        <v>16951</v>
      </c>
    </row>
    <row r="5560" s="28" customFormat="1" ht="30" customHeight="1" spans="1:13">
      <c r="A5560" s="41">
        <f>IF(C5560="","",SUBTOTAL(103,$C$2:C5560))</f>
        <v>5551</v>
      </c>
      <c r="B5560" s="41">
        <v>4250</v>
      </c>
      <c r="C5560" s="41">
        <v>5262</v>
      </c>
      <c r="D5560" s="41" t="s">
        <v>45</v>
      </c>
      <c r="E5560" s="41" t="s">
        <v>1298</v>
      </c>
      <c r="F5560" s="41" t="s">
        <v>16939</v>
      </c>
      <c r="G5560" s="41" t="s">
        <v>16952</v>
      </c>
      <c r="H5560" s="41" t="s">
        <v>16953</v>
      </c>
      <c r="I5560" s="43">
        <v>12</v>
      </c>
      <c r="J5560" s="44" t="str">
        <f>VLOOKUP(G5560,[1]硬件清单!$F:$F,1,0)</f>
        <v>FCH2142W01E</v>
      </c>
      <c r="K5560" s="43"/>
      <c r="L5560" s="44"/>
      <c r="M5560" s="45" t="s">
        <v>16954</v>
      </c>
    </row>
    <row r="5561" s="28" customFormat="1" ht="30" customHeight="1" spans="1:13">
      <c r="A5561" s="41">
        <f>IF(C5561="","",SUBTOTAL(103,$C$2:C5561))</f>
        <v>5552</v>
      </c>
      <c r="B5561" s="41">
        <v>4251</v>
      </c>
      <c r="C5561" s="41">
        <v>5217</v>
      </c>
      <c r="D5561" s="41" t="s">
        <v>45</v>
      </c>
      <c r="E5561" s="41" t="s">
        <v>1298</v>
      </c>
      <c r="F5561" s="41" t="s">
        <v>16939</v>
      </c>
      <c r="G5561" s="41" t="s">
        <v>16955</v>
      </c>
      <c r="H5561" s="41" t="s">
        <v>16956</v>
      </c>
      <c r="I5561" s="43">
        <v>12</v>
      </c>
      <c r="J5561" s="44" t="str">
        <f>VLOOKUP(G5561,[1]硬件清单!$F:$F,1,0)</f>
        <v>FCH2130W004</v>
      </c>
      <c r="K5561" s="43"/>
      <c r="L5561" s="44"/>
      <c r="M5561" s="45" t="s">
        <v>16957</v>
      </c>
    </row>
    <row r="5562" s="28" customFormat="1" ht="30" customHeight="1" spans="1:13">
      <c r="A5562" s="41">
        <f>IF(C5562="","",SUBTOTAL(103,$C$2:C5562))</f>
        <v>5553</v>
      </c>
      <c r="B5562" s="41">
        <v>4252</v>
      </c>
      <c r="C5562" s="41">
        <v>5216</v>
      </c>
      <c r="D5562" s="41" t="s">
        <v>45</v>
      </c>
      <c r="E5562" s="41" t="s">
        <v>1298</v>
      </c>
      <c r="F5562" s="41" t="s">
        <v>16939</v>
      </c>
      <c r="G5562" s="41" t="s">
        <v>16958</v>
      </c>
      <c r="H5562" s="41" t="s">
        <v>16959</v>
      </c>
      <c r="I5562" s="43">
        <v>12</v>
      </c>
      <c r="J5562" s="44" t="str">
        <f>VLOOKUP(G5562,[1]硬件清单!$F:$F,1,0)</f>
        <v>FCH2142W01C</v>
      </c>
      <c r="K5562" s="43"/>
      <c r="L5562" s="44"/>
      <c r="M5562" s="45" t="s">
        <v>16960</v>
      </c>
    </row>
    <row r="5563" s="28" customFormat="1" ht="30" customHeight="1" spans="1:13">
      <c r="A5563" s="41">
        <f>IF(C5563="","",SUBTOTAL(103,$C$2:C5563))</f>
        <v>5554</v>
      </c>
      <c r="B5563" s="41">
        <v>4253</v>
      </c>
      <c r="C5563" s="41">
        <v>5261</v>
      </c>
      <c r="D5563" s="41" t="s">
        <v>45</v>
      </c>
      <c r="E5563" s="41" t="s">
        <v>1298</v>
      </c>
      <c r="F5563" s="41" t="s">
        <v>16939</v>
      </c>
      <c r="G5563" s="41" t="s">
        <v>16961</v>
      </c>
      <c r="H5563" s="41" t="s">
        <v>16962</v>
      </c>
      <c r="I5563" s="43">
        <v>12</v>
      </c>
      <c r="J5563" s="44" t="str">
        <f>VLOOKUP(G5563,[1]硬件清单!$F:$F,1,0)</f>
        <v>FCH2139W04B</v>
      </c>
      <c r="K5563" s="43"/>
      <c r="L5563" s="44"/>
      <c r="M5563" s="45" t="s">
        <v>16963</v>
      </c>
    </row>
    <row r="5564" s="28" customFormat="1" ht="30" customHeight="1" spans="1:13">
      <c r="A5564" s="41">
        <f>IF(C5564="","",SUBTOTAL(103,$C$2:C5564))</f>
        <v>5555</v>
      </c>
      <c r="B5564" s="41">
        <v>4254</v>
      </c>
      <c r="C5564" s="41">
        <v>4450</v>
      </c>
      <c r="D5564" s="41" t="s">
        <v>45</v>
      </c>
      <c r="E5564" s="41" t="s">
        <v>1298</v>
      </c>
      <c r="F5564" s="41" t="s">
        <v>16625</v>
      </c>
      <c r="G5564" s="41" t="s">
        <v>16964</v>
      </c>
      <c r="H5564" s="41" t="s">
        <v>16965</v>
      </c>
      <c r="I5564" s="43">
        <v>12</v>
      </c>
      <c r="J5564" s="44" t="str">
        <f>VLOOKUP(G5564,[1]硬件清单!$F:$F,1,0)</f>
        <v>6C07422HM3</v>
      </c>
      <c r="K5564" s="43"/>
      <c r="L5564" s="44"/>
      <c r="M5564" s="45" t="s">
        <v>16966</v>
      </c>
    </row>
    <row r="5565" s="28" customFormat="1" ht="30" customHeight="1" spans="1:13">
      <c r="A5565" s="41">
        <f>IF(C5565="","",SUBTOTAL(103,$C$2:C5565))</f>
        <v>5556</v>
      </c>
      <c r="B5565" s="41">
        <v>4255</v>
      </c>
      <c r="C5565" s="41">
        <v>4389</v>
      </c>
      <c r="D5565" s="41" t="s">
        <v>45</v>
      </c>
      <c r="E5565" s="41" t="s">
        <v>1298</v>
      </c>
      <c r="F5565" s="41" t="s">
        <v>16629</v>
      </c>
      <c r="G5565" s="41" t="s">
        <v>16967</v>
      </c>
      <c r="H5565" s="41" t="s">
        <v>16968</v>
      </c>
      <c r="I5565" s="43">
        <v>12</v>
      </c>
      <c r="J5565" s="44" t="str">
        <f>VLOOKUP(G5565,[1]硬件清单!$F:$F,1,0)</f>
        <v>6CU7421YDM</v>
      </c>
      <c r="K5565" s="43"/>
      <c r="L5565" s="44"/>
      <c r="M5565" s="45" t="s">
        <v>16969</v>
      </c>
    </row>
    <row r="5566" s="28" customFormat="1" ht="30" customHeight="1" spans="1:13">
      <c r="A5566" s="41">
        <f>IF(C5566="","",SUBTOTAL(103,$C$2:C5566))</f>
        <v>5557</v>
      </c>
      <c r="B5566" s="41">
        <v>4256</v>
      </c>
      <c r="C5566" s="41">
        <v>4398</v>
      </c>
      <c r="D5566" s="41" t="s">
        <v>45</v>
      </c>
      <c r="E5566" s="41" t="s">
        <v>1298</v>
      </c>
      <c r="F5566" s="41" t="s">
        <v>16629</v>
      </c>
      <c r="G5566" s="41" t="s">
        <v>16970</v>
      </c>
      <c r="H5566" s="41" t="s">
        <v>16971</v>
      </c>
      <c r="I5566" s="43">
        <v>12</v>
      </c>
      <c r="J5566" s="44" t="str">
        <f>VLOOKUP(G5566,[1]硬件清单!$F:$F,1,0)</f>
        <v>6CU7421YAE</v>
      </c>
      <c r="K5566" s="43"/>
      <c r="L5566" s="44"/>
      <c r="M5566" s="45" t="s">
        <v>16972</v>
      </c>
    </row>
    <row r="5567" s="28" customFormat="1" ht="30" customHeight="1" spans="1:13">
      <c r="A5567" s="41">
        <f>IF(C5567="","",SUBTOTAL(103,$C$2:C5567))</f>
        <v>5558</v>
      </c>
      <c r="B5567" s="41">
        <v>4257</v>
      </c>
      <c r="C5567" s="41">
        <v>4399</v>
      </c>
      <c r="D5567" s="41" t="s">
        <v>45</v>
      </c>
      <c r="E5567" s="41" t="s">
        <v>1298</v>
      </c>
      <c r="F5567" s="41" t="s">
        <v>16629</v>
      </c>
      <c r="G5567" s="41" t="s">
        <v>16973</v>
      </c>
      <c r="H5567" s="41" t="s">
        <v>16974</v>
      </c>
      <c r="I5567" s="43">
        <v>12</v>
      </c>
      <c r="J5567" s="44" t="str">
        <f>VLOOKUP(G5567,[1]硬件清单!$F:$F,1,0)</f>
        <v>6CU7421YEK</v>
      </c>
      <c r="K5567" s="43"/>
      <c r="L5567" s="44"/>
      <c r="M5567" s="45" t="s">
        <v>16975</v>
      </c>
    </row>
    <row r="5568" s="28" customFormat="1" ht="30" customHeight="1" spans="1:13">
      <c r="A5568" s="41">
        <f>IF(C5568="","",SUBTOTAL(103,$C$2:C5568))</f>
        <v>5559</v>
      </c>
      <c r="B5568" s="41">
        <v>4258</v>
      </c>
      <c r="C5568" s="41">
        <v>4400</v>
      </c>
      <c r="D5568" s="41" t="s">
        <v>45</v>
      </c>
      <c r="E5568" s="41" t="s">
        <v>1298</v>
      </c>
      <c r="F5568" s="41" t="s">
        <v>16629</v>
      </c>
      <c r="G5568" s="41" t="s">
        <v>16976</v>
      </c>
      <c r="H5568" s="41" t="s">
        <v>16977</v>
      </c>
      <c r="I5568" s="43">
        <v>12</v>
      </c>
      <c r="J5568" s="44" t="str">
        <f>VLOOKUP(G5568,[1]硬件清单!$F:$F,1,0)</f>
        <v>6CU7421XWC</v>
      </c>
      <c r="K5568" s="43"/>
      <c r="L5568" s="44"/>
      <c r="M5568" s="45" t="s">
        <v>16978</v>
      </c>
    </row>
    <row r="5569" s="28" customFormat="1" ht="30" customHeight="1" spans="1:13">
      <c r="A5569" s="41">
        <f>IF(C5569="","",SUBTOTAL(103,$C$2:C5569))</f>
        <v>5560</v>
      </c>
      <c r="B5569" s="41">
        <v>4259</v>
      </c>
      <c r="C5569" s="41">
        <v>4401</v>
      </c>
      <c r="D5569" s="41" t="s">
        <v>45</v>
      </c>
      <c r="E5569" s="41" t="s">
        <v>1298</v>
      </c>
      <c r="F5569" s="41" t="s">
        <v>16629</v>
      </c>
      <c r="G5569" s="41" t="s">
        <v>16979</v>
      </c>
      <c r="H5569" s="41" t="s">
        <v>16980</v>
      </c>
      <c r="I5569" s="43">
        <v>12</v>
      </c>
      <c r="J5569" s="44" t="str">
        <f>VLOOKUP(G5569,[1]硬件清单!$F:$F,1,0)</f>
        <v>6CU7421XY8</v>
      </c>
      <c r="K5569" s="43"/>
      <c r="L5569" s="44"/>
      <c r="M5569" s="45" t="s">
        <v>16981</v>
      </c>
    </row>
    <row r="5570" s="28" customFormat="1" ht="30" customHeight="1" spans="1:13">
      <c r="A5570" s="41">
        <f>IF(C5570="","",SUBTOTAL(103,$C$2:C5570))</f>
        <v>5561</v>
      </c>
      <c r="B5570" s="41">
        <v>4260</v>
      </c>
      <c r="C5570" s="41">
        <v>4402</v>
      </c>
      <c r="D5570" s="41" t="s">
        <v>45</v>
      </c>
      <c r="E5570" s="41" t="s">
        <v>1298</v>
      </c>
      <c r="F5570" s="41" t="s">
        <v>16629</v>
      </c>
      <c r="G5570" s="41" t="s">
        <v>16982</v>
      </c>
      <c r="H5570" s="41" t="s">
        <v>16983</v>
      </c>
      <c r="I5570" s="43">
        <v>12</v>
      </c>
      <c r="J5570" s="44" t="str">
        <f>VLOOKUP(G5570,[1]硬件清单!$F:$F,1,0)</f>
        <v>6CU7421Y9C</v>
      </c>
      <c r="K5570" s="43"/>
      <c r="L5570" s="44"/>
      <c r="M5570" s="45" t="s">
        <v>16984</v>
      </c>
    </row>
    <row r="5571" s="28" customFormat="1" ht="30" customHeight="1" spans="1:13">
      <c r="A5571" s="41">
        <f>IF(C5571="","",SUBTOTAL(103,$C$2:C5571))</f>
        <v>5562</v>
      </c>
      <c r="B5571" s="41">
        <v>4261</v>
      </c>
      <c r="C5571" s="41">
        <v>4403</v>
      </c>
      <c r="D5571" s="41" t="s">
        <v>45</v>
      </c>
      <c r="E5571" s="41" t="s">
        <v>1298</v>
      </c>
      <c r="F5571" s="41" t="s">
        <v>16629</v>
      </c>
      <c r="G5571" s="41" t="s">
        <v>16985</v>
      </c>
      <c r="H5571" s="41" t="s">
        <v>16986</v>
      </c>
      <c r="I5571" s="43">
        <v>12</v>
      </c>
      <c r="J5571" s="44" t="str">
        <f>VLOOKUP(G5571,[1]硬件清单!$F:$F,1,0)</f>
        <v>6CU7421Y34</v>
      </c>
      <c r="K5571" s="43"/>
      <c r="L5571" s="44"/>
      <c r="M5571" s="45" t="s">
        <v>16987</v>
      </c>
    </row>
    <row r="5572" s="28" customFormat="1" ht="30" customHeight="1" spans="1:13">
      <c r="A5572" s="41">
        <f>IF(C5572="","",SUBTOTAL(103,$C$2:C5572))</f>
        <v>5563</v>
      </c>
      <c r="B5572" s="41">
        <v>4262</v>
      </c>
      <c r="C5572" s="41">
        <v>4404</v>
      </c>
      <c r="D5572" s="41" t="s">
        <v>45</v>
      </c>
      <c r="E5572" s="41" t="s">
        <v>1298</v>
      </c>
      <c r="F5572" s="41" t="s">
        <v>16629</v>
      </c>
      <c r="G5572" s="41" t="s">
        <v>16988</v>
      </c>
      <c r="H5572" s="41" t="s">
        <v>16989</v>
      </c>
      <c r="I5572" s="43">
        <v>12</v>
      </c>
      <c r="J5572" s="44" t="str">
        <f>VLOOKUP(G5572,[1]硬件清单!$F:$F,1,0)</f>
        <v>6CU7421YDS</v>
      </c>
      <c r="K5572" s="43"/>
      <c r="L5572" s="44"/>
      <c r="M5572" s="45" t="s">
        <v>16990</v>
      </c>
    </row>
    <row r="5573" s="28" customFormat="1" ht="30" customHeight="1" spans="1:13">
      <c r="A5573" s="41">
        <f>IF(C5573="","",SUBTOTAL(103,$C$2:C5573))</f>
        <v>5564</v>
      </c>
      <c r="B5573" s="41">
        <v>4263</v>
      </c>
      <c r="C5573" s="41">
        <v>4390</v>
      </c>
      <c r="D5573" s="41" t="s">
        <v>45</v>
      </c>
      <c r="E5573" s="41" t="s">
        <v>1298</v>
      </c>
      <c r="F5573" s="41" t="s">
        <v>16629</v>
      </c>
      <c r="G5573" s="41" t="s">
        <v>16991</v>
      </c>
      <c r="H5573" s="41" t="s">
        <v>16992</v>
      </c>
      <c r="I5573" s="43">
        <v>12</v>
      </c>
      <c r="J5573" s="44" t="str">
        <f>VLOOKUP(G5573,[1]硬件清单!$F:$F,1,0)</f>
        <v>6CU7421XY0</v>
      </c>
      <c r="K5573" s="43"/>
      <c r="L5573" s="44"/>
      <c r="M5573" s="45" t="s">
        <v>16993</v>
      </c>
    </row>
    <row r="5574" s="28" customFormat="1" ht="30" customHeight="1" spans="1:13">
      <c r="A5574" s="41">
        <f>IF(C5574="","",SUBTOTAL(103,$C$2:C5574))</f>
        <v>5565</v>
      </c>
      <c r="B5574" s="41">
        <v>4264</v>
      </c>
      <c r="C5574" s="41">
        <v>4391</v>
      </c>
      <c r="D5574" s="41" t="s">
        <v>45</v>
      </c>
      <c r="E5574" s="41" t="s">
        <v>1298</v>
      </c>
      <c r="F5574" s="41" t="s">
        <v>16629</v>
      </c>
      <c r="G5574" s="41" t="s">
        <v>16994</v>
      </c>
      <c r="H5574" s="41" t="s">
        <v>16995</v>
      </c>
      <c r="I5574" s="43">
        <v>12</v>
      </c>
      <c r="J5574" s="44" t="str">
        <f>VLOOKUP(G5574,[1]硬件清单!$F:$F,1,0)</f>
        <v>6CU7421Y2A</v>
      </c>
      <c r="K5574" s="43"/>
      <c r="L5574" s="44"/>
      <c r="M5574" s="45" t="s">
        <v>16996</v>
      </c>
    </row>
    <row r="5575" s="28" customFormat="1" ht="30" customHeight="1" spans="1:13">
      <c r="A5575" s="41">
        <f>IF(C5575="","",SUBTOTAL(103,$C$2:C5575))</f>
        <v>5566</v>
      </c>
      <c r="B5575" s="41">
        <v>4265</v>
      </c>
      <c r="C5575" s="41">
        <v>4392</v>
      </c>
      <c r="D5575" s="41" t="s">
        <v>45</v>
      </c>
      <c r="E5575" s="41" t="s">
        <v>1298</v>
      </c>
      <c r="F5575" s="41" t="s">
        <v>16629</v>
      </c>
      <c r="G5575" s="41" t="s">
        <v>16997</v>
      </c>
      <c r="H5575" s="41" t="s">
        <v>16998</v>
      </c>
      <c r="I5575" s="43">
        <v>12</v>
      </c>
      <c r="J5575" s="44" t="str">
        <f>VLOOKUP(G5575,[1]硬件清单!$F:$F,1,0)</f>
        <v>6CU7421Y5S</v>
      </c>
      <c r="K5575" s="43"/>
      <c r="L5575" s="44"/>
      <c r="M5575" s="45" t="s">
        <v>16999</v>
      </c>
    </row>
    <row r="5576" s="28" customFormat="1" ht="30" customHeight="1" spans="1:13">
      <c r="A5576" s="41">
        <f>IF(C5576="","",SUBTOTAL(103,$C$2:C5576))</f>
        <v>5567</v>
      </c>
      <c r="B5576" s="41">
        <v>4266</v>
      </c>
      <c r="C5576" s="41">
        <v>4393</v>
      </c>
      <c r="D5576" s="41" t="s">
        <v>45</v>
      </c>
      <c r="E5576" s="41" t="s">
        <v>1298</v>
      </c>
      <c r="F5576" s="41" t="s">
        <v>16629</v>
      </c>
      <c r="G5576" s="41" t="s">
        <v>17000</v>
      </c>
      <c r="H5576" s="41" t="s">
        <v>17001</v>
      </c>
      <c r="I5576" s="43">
        <v>12</v>
      </c>
      <c r="J5576" s="44" t="str">
        <f>VLOOKUP(G5576,[1]硬件清单!$F:$F,1,0)</f>
        <v>6CU7421YB8</v>
      </c>
      <c r="K5576" s="43"/>
      <c r="L5576" s="44"/>
      <c r="M5576" s="45" t="s">
        <v>17002</v>
      </c>
    </row>
    <row r="5577" s="28" customFormat="1" ht="30" customHeight="1" spans="1:13">
      <c r="A5577" s="41">
        <f>IF(C5577="","",SUBTOTAL(103,$C$2:C5577))</f>
        <v>5568</v>
      </c>
      <c r="B5577" s="41">
        <v>4267</v>
      </c>
      <c r="C5577" s="41">
        <v>4394</v>
      </c>
      <c r="D5577" s="41" t="s">
        <v>45</v>
      </c>
      <c r="E5577" s="41" t="s">
        <v>1298</v>
      </c>
      <c r="F5577" s="41" t="s">
        <v>16629</v>
      </c>
      <c r="G5577" s="41" t="s">
        <v>17003</v>
      </c>
      <c r="H5577" s="41" t="s">
        <v>17004</v>
      </c>
      <c r="I5577" s="43">
        <v>12</v>
      </c>
      <c r="J5577" s="44" t="str">
        <f>VLOOKUP(G5577,[1]硬件清单!$F:$F,1,0)</f>
        <v>6CU7421XSV</v>
      </c>
      <c r="K5577" s="43"/>
      <c r="L5577" s="44"/>
      <c r="M5577" s="45" t="s">
        <v>17005</v>
      </c>
    </row>
    <row r="5578" s="28" customFormat="1" ht="30" customHeight="1" spans="1:13">
      <c r="A5578" s="41">
        <f>IF(C5578="","",SUBTOTAL(103,$C$2:C5578))</f>
        <v>5569</v>
      </c>
      <c r="B5578" s="41">
        <v>4268</v>
      </c>
      <c r="C5578" s="41">
        <v>4395</v>
      </c>
      <c r="D5578" s="41" t="s">
        <v>45</v>
      </c>
      <c r="E5578" s="41" t="s">
        <v>1298</v>
      </c>
      <c r="F5578" s="41" t="s">
        <v>16629</v>
      </c>
      <c r="G5578" s="41" t="s">
        <v>17006</v>
      </c>
      <c r="H5578" s="41" t="s">
        <v>17007</v>
      </c>
      <c r="I5578" s="43">
        <v>12</v>
      </c>
      <c r="J5578" s="44" t="str">
        <f>VLOOKUP(G5578,[1]硬件清单!$F:$F,1,0)</f>
        <v>6CU7421Y6K</v>
      </c>
      <c r="K5578" s="43"/>
      <c r="L5578" s="44"/>
      <c r="M5578" s="45" t="s">
        <v>17008</v>
      </c>
    </row>
    <row r="5579" s="28" customFormat="1" ht="30" customHeight="1" spans="1:13">
      <c r="A5579" s="41">
        <f>IF(C5579="","",SUBTOTAL(103,$C$2:C5579))</f>
        <v>5570</v>
      </c>
      <c r="B5579" s="41">
        <v>4269</v>
      </c>
      <c r="C5579" s="41">
        <v>4396</v>
      </c>
      <c r="D5579" s="41" t="s">
        <v>45</v>
      </c>
      <c r="E5579" s="41" t="s">
        <v>1298</v>
      </c>
      <c r="F5579" s="41" t="s">
        <v>16629</v>
      </c>
      <c r="G5579" s="41" t="s">
        <v>17009</v>
      </c>
      <c r="H5579" s="41" t="s">
        <v>17010</v>
      </c>
      <c r="I5579" s="43">
        <v>12</v>
      </c>
      <c r="J5579" s="44" t="str">
        <f>VLOOKUP(G5579,[1]硬件清单!$F:$F,1,0)</f>
        <v>6CU7421YCP</v>
      </c>
      <c r="K5579" s="43"/>
      <c r="L5579" s="44"/>
      <c r="M5579" s="45" t="s">
        <v>17011</v>
      </c>
    </row>
    <row r="5580" s="28" customFormat="1" ht="30" customHeight="1" spans="1:13">
      <c r="A5580" s="41">
        <f>IF(C5580="","",SUBTOTAL(103,$C$2:C5580))</f>
        <v>5571</v>
      </c>
      <c r="B5580" s="41">
        <v>4270</v>
      </c>
      <c r="C5580" s="41">
        <v>4397</v>
      </c>
      <c r="D5580" s="41" t="s">
        <v>45</v>
      </c>
      <c r="E5580" s="41" t="s">
        <v>1298</v>
      </c>
      <c r="F5580" s="41" t="s">
        <v>16629</v>
      </c>
      <c r="G5580" s="41" t="s">
        <v>17012</v>
      </c>
      <c r="H5580" s="41" t="s">
        <v>17013</v>
      </c>
      <c r="I5580" s="43">
        <v>12</v>
      </c>
      <c r="J5580" s="44" t="str">
        <f>VLOOKUP(G5580,[1]硬件清单!$F:$F,1,0)</f>
        <v>6CU7421Y0P</v>
      </c>
      <c r="K5580" s="43"/>
      <c r="L5580" s="44"/>
      <c r="M5580" s="45" t="s">
        <v>17014</v>
      </c>
    </row>
    <row r="5581" s="28" customFormat="1" ht="30" customHeight="1" spans="1:13">
      <c r="A5581" s="41">
        <f>IF(C5581="","",SUBTOTAL(103,$C$2:C5581))</f>
        <v>5572</v>
      </c>
      <c r="B5581" s="41">
        <v>4271</v>
      </c>
      <c r="C5581" s="41">
        <v>4449</v>
      </c>
      <c r="D5581" s="41" t="s">
        <v>45</v>
      </c>
      <c r="E5581" s="41" t="s">
        <v>1298</v>
      </c>
      <c r="F5581" s="41" t="s">
        <v>16625</v>
      </c>
      <c r="G5581" s="41" t="s">
        <v>17015</v>
      </c>
      <c r="H5581" s="41" t="s">
        <v>17016</v>
      </c>
      <c r="I5581" s="43">
        <v>12</v>
      </c>
      <c r="J5581" s="44" t="str">
        <f>VLOOKUP(G5581,[1]硬件清单!$F:$F,1,0)</f>
        <v>6C07422HM4</v>
      </c>
      <c r="K5581" s="43"/>
      <c r="L5581" s="44"/>
      <c r="M5581" s="45" t="s">
        <v>17017</v>
      </c>
    </row>
    <row r="5582" s="28" customFormat="1" ht="30" customHeight="1" spans="1:13">
      <c r="A5582" s="41">
        <f>IF(C5582="","",SUBTOTAL(103,$C$2:C5582))</f>
        <v>5573</v>
      </c>
      <c r="B5582" s="41">
        <v>4272</v>
      </c>
      <c r="C5582" s="41">
        <v>4405</v>
      </c>
      <c r="D5582" s="41" t="s">
        <v>45</v>
      </c>
      <c r="E5582" s="41" t="s">
        <v>1298</v>
      </c>
      <c r="F5582" s="41" t="s">
        <v>16629</v>
      </c>
      <c r="G5582" s="41" t="s">
        <v>17018</v>
      </c>
      <c r="H5582" s="41" t="s">
        <v>17019</v>
      </c>
      <c r="I5582" s="43">
        <v>12</v>
      </c>
      <c r="J5582" s="44" t="str">
        <f>VLOOKUP(G5582,[1]硬件清单!$F:$F,1,0)</f>
        <v>6CU7421XWM</v>
      </c>
      <c r="K5582" s="43"/>
      <c r="L5582" s="44"/>
      <c r="M5582" s="45" t="s">
        <v>17020</v>
      </c>
    </row>
    <row r="5583" s="28" customFormat="1" ht="30" customHeight="1" spans="1:13">
      <c r="A5583" s="41">
        <f>IF(C5583="","",SUBTOTAL(103,$C$2:C5583))</f>
        <v>5574</v>
      </c>
      <c r="B5583" s="41">
        <v>4273</v>
      </c>
      <c r="C5583" s="41">
        <v>4414</v>
      </c>
      <c r="D5583" s="41" t="s">
        <v>45</v>
      </c>
      <c r="E5583" s="41" t="s">
        <v>1298</v>
      </c>
      <c r="F5583" s="41" t="s">
        <v>16629</v>
      </c>
      <c r="G5583" s="41" t="s">
        <v>17021</v>
      </c>
      <c r="H5583" s="41" t="s">
        <v>17022</v>
      </c>
      <c r="I5583" s="43">
        <v>12</v>
      </c>
      <c r="J5583" s="44" t="str">
        <f>VLOOKUP(G5583,[1]硬件清单!$F:$F,1,0)</f>
        <v>6CU7421XV6</v>
      </c>
      <c r="K5583" s="43"/>
      <c r="L5583" s="44"/>
      <c r="M5583" s="45" t="s">
        <v>17023</v>
      </c>
    </row>
    <row r="5584" s="28" customFormat="1" ht="30" customHeight="1" spans="1:13">
      <c r="A5584" s="41">
        <f>IF(C5584="","",SUBTOTAL(103,$C$2:C5584))</f>
        <v>5575</v>
      </c>
      <c r="B5584" s="41">
        <v>4274</v>
      </c>
      <c r="C5584" s="41">
        <v>4415</v>
      </c>
      <c r="D5584" s="41" t="s">
        <v>45</v>
      </c>
      <c r="E5584" s="41" t="s">
        <v>1298</v>
      </c>
      <c r="F5584" s="41" t="s">
        <v>16629</v>
      </c>
      <c r="G5584" s="41" t="s">
        <v>17024</v>
      </c>
      <c r="H5584" s="41" t="s">
        <v>17025</v>
      </c>
      <c r="I5584" s="43">
        <v>12</v>
      </c>
      <c r="J5584" s="44" t="str">
        <f>VLOOKUP(G5584,[1]硬件清单!$F:$F,1,0)</f>
        <v>6CU7421Y7M</v>
      </c>
      <c r="K5584" s="43"/>
      <c r="L5584" s="44"/>
      <c r="M5584" s="45" t="s">
        <v>17026</v>
      </c>
    </row>
    <row r="5585" s="28" customFormat="1" ht="30" customHeight="1" spans="1:13">
      <c r="A5585" s="41">
        <f>IF(C5585="","",SUBTOTAL(103,$C$2:C5585))</f>
        <v>5576</v>
      </c>
      <c r="B5585" s="41">
        <v>4275</v>
      </c>
      <c r="C5585" s="41">
        <v>4416</v>
      </c>
      <c r="D5585" s="41" t="s">
        <v>45</v>
      </c>
      <c r="E5585" s="41" t="s">
        <v>1298</v>
      </c>
      <c r="F5585" s="41" t="s">
        <v>16629</v>
      </c>
      <c r="G5585" s="41" t="s">
        <v>17027</v>
      </c>
      <c r="H5585" s="41" t="s">
        <v>17028</v>
      </c>
      <c r="I5585" s="43">
        <v>12</v>
      </c>
      <c r="J5585" s="44" t="str">
        <f>VLOOKUP(G5585,[1]硬件清单!$F:$F,1,0)</f>
        <v>6CU7421XYS</v>
      </c>
      <c r="K5585" s="43"/>
      <c r="L5585" s="44"/>
      <c r="M5585" s="45" t="s">
        <v>17029</v>
      </c>
    </row>
    <row r="5586" s="28" customFormat="1" ht="30" customHeight="1" spans="1:13">
      <c r="A5586" s="41">
        <f>IF(C5586="","",SUBTOTAL(103,$C$2:C5586))</f>
        <v>5577</v>
      </c>
      <c r="B5586" s="41">
        <v>4276</v>
      </c>
      <c r="C5586" s="41">
        <v>4417</v>
      </c>
      <c r="D5586" s="41" t="s">
        <v>45</v>
      </c>
      <c r="E5586" s="41" t="s">
        <v>1298</v>
      </c>
      <c r="F5586" s="41" t="s">
        <v>16629</v>
      </c>
      <c r="G5586" s="41" t="s">
        <v>17030</v>
      </c>
      <c r="H5586" s="41" t="s">
        <v>17031</v>
      </c>
      <c r="I5586" s="43">
        <v>12</v>
      </c>
      <c r="J5586" s="44" t="str">
        <f>VLOOKUP(G5586,[1]硬件清单!$F:$F,1,0)</f>
        <v>6CU7421Y3H</v>
      </c>
      <c r="K5586" s="43"/>
      <c r="L5586" s="44"/>
      <c r="M5586" s="45" t="s">
        <v>17032</v>
      </c>
    </row>
    <row r="5587" s="28" customFormat="1" ht="30" customHeight="1" spans="1:13">
      <c r="A5587" s="41">
        <f>IF(C5587="","",SUBTOTAL(103,$C$2:C5587))</f>
        <v>5578</v>
      </c>
      <c r="B5587" s="41">
        <v>4277</v>
      </c>
      <c r="C5587" s="41">
        <v>4418</v>
      </c>
      <c r="D5587" s="41" t="s">
        <v>45</v>
      </c>
      <c r="E5587" s="41" t="s">
        <v>1298</v>
      </c>
      <c r="F5587" s="41" t="s">
        <v>16629</v>
      </c>
      <c r="G5587" s="41" t="s">
        <v>17033</v>
      </c>
      <c r="H5587" s="41" t="s">
        <v>17034</v>
      </c>
      <c r="I5587" s="43">
        <v>12</v>
      </c>
      <c r="J5587" s="44" t="str">
        <f>VLOOKUP(G5587,[1]硬件清单!$F:$F,1,0)</f>
        <v>6CU7421Y3X</v>
      </c>
      <c r="K5587" s="43"/>
      <c r="L5587" s="44"/>
      <c r="M5587" s="45" t="s">
        <v>17035</v>
      </c>
    </row>
    <row r="5588" s="28" customFormat="1" ht="30" customHeight="1" spans="1:13">
      <c r="A5588" s="41">
        <f>IF(C5588="","",SUBTOTAL(103,$C$2:C5588))</f>
        <v>5579</v>
      </c>
      <c r="B5588" s="41">
        <v>4278</v>
      </c>
      <c r="C5588" s="41">
        <v>4419</v>
      </c>
      <c r="D5588" s="41" t="s">
        <v>45</v>
      </c>
      <c r="E5588" s="41" t="s">
        <v>1298</v>
      </c>
      <c r="F5588" s="41" t="s">
        <v>16629</v>
      </c>
      <c r="G5588" s="41" t="s">
        <v>17036</v>
      </c>
      <c r="H5588" s="41" t="s">
        <v>17037</v>
      </c>
      <c r="I5588" s="43">
        <v>12</v>
      </c>
      <c r="J5588" s="44" t="str">
        <f>VLOOKUP(G5588,[1]硬件清单!$F:$F,1,0)</f>
        <v>6CU7421YEE</v>
      </c>
      <c r="K5588" s="43"/>
      <c r="L5588" s="44"/>
      <c r="M5588" s="45" t="s">
        <v>17038</v>
      </c>
    </row>
    <row r="5589" s="28" customFormat="1" ht="30" customHeight="1" spans="1:13">
      <c r="A5589" s="41">
        <f>IF(C5589="","",SUBTOTAL(103,$C$2:C5589))</f>
        <v>5580</v>
      </c>
      <c r="B5589" s="41">
        <v>4279</v>
      </c>
      <c r="C5589" s="41">
        <v>4420</v>
      </c>
      <c r="D5589" s="41" t="s">
        <v>45</v>
      </c>
      <c r="E5589" s="41" t="s">
        <v>1298</v>
      </c>
      <c r="F5589" s="41" t="s">
        <v>16629</v>
      </c>
      <c r="G5589" s="41" t="s">
        <v>17039</v>
      </c>
      <c r="H5589" s="41" t="s">
        <v>17040</v>
      </c>
      <c r="I5589" s="43">
        <v>12</v>
      </c>
      <c r="J5589" s="44" t="str">
        <f>VLOOKUP(G5589,[1]硬件清单!$F:$F,1,0)</f>
        <v>6CU7421Y6P</v>
      </c>
      <c r="K5589" s="43"/>
      <c r="L5589" s="44"/>
      <c r="M5589" s="45" t="s">
        <v>17041</v>
      </c>
    </row>
    <row r="5590" s="28" customFormat="1" ht="30" customHeight="1" spans="1:13">
      <c r="A5590" s="41">
        <f>IF(C5590="","",SUBTOTAL(103,$C$2:C5590))</f>
        <v>5581</v>
      </c>
      <c r="B5590" s="41">
        <v>4280</v>
      </c>
      <c r="C5590" s="41">
        <v>4406</v>
      </c>
      <c r="D5590" s="41" t="s">
        <v>45</v>
      </c>
      <c r="E5590" s="41" t="s">
        <v>1298</v>
      </c>
      <c r="F5590" s="41" t="s">
        <v>16629</v>
      </c>
      <c r="G5590" s="41" t="s">
        <v>17042</v>
      </c>
      <c r="H5590" s="41" t="s">
        <v>17043</v>
      </c>
      <c r="I5590" s="43">
        <v>12</v>
      </c>
      <c r="J5590" s="44" t="str">
        <f>VLOOKUP(G5590,[1]硬件清单!$F:$F,1,0)</f>
        <v>6CU7421Y6E</v>
      </c>
      <c r="K5590" s="43"/>
      <c r="L5590" s="44"/>
      <c r="M5590" s="45" t="s">
        <v>17044</v>
      </c>
    </row>
    <row r="5591" s="28" customFormat="1" ht="30" customHeight="1" spans="1:13">
      <c r="A5591" s="41">
        <f>IF(C5591="","",SUBTOTAL(103,$C$2:C5591))</f>
        <v>5582</v>
      </c>
      <c r="B5591" s="41">
        <v>4281</v>
      </c>
      <c r="C5591" s="41">
        <v>4407</v>
      </c>
      <c r="D5591" s="41" t="s">
        <v>45</v>
      </c>
      <c r="E5591" s="41" t="s">
        <v>1298</v>
      </c>
      <c r="F5591" s="41" t="s">
        <v>16629</v>
      </c>
      <c r="G5591" s="41" t="s">
        <v>17045</v>
      </c>
      <c r="H5591" s="41" t="s">
        <v>17046</v>
      </c>
      <c r="I5591" s="43">
        <v>12</v>
      </c>
      <c r="J5591" s="44" t="str">
        <f>VLOOKUP(G5591,[1]硬件清单!$F:$F,1,0)</f>
        <v>6CU7421YC6</v>
      </c>
      <c r="K5591" s="43"/>
      <c r="L5591" s="44"/>
      <c r="M5591" s="45" t="s">
        <v>17047</v>
      </c>
    </row>
    <row r="5592" s="28" customFormat="1" ht="30" customHeight="1" spans="1:13">
      <c r="A5592" s="41">
        <f>IF(C5592="","",SUBTOTAL(103,$C$2:C5592))</f>
        <v>5583</v>
      </c>
      <c r="B5592" s="41">
        <v>4282</v>
      </c>
      <c r="C5592" s="41">
        <v>4408</v>
      </c>
      <c r="D5592" s="41" t="s">
        <v>45</v>
      </c>
      <c r="E5592" s="41" t="s">
        <v>1298</v>
      </c>
      <c r="F5592" s="41" t="s">
        <v>16629</v>
      </c>
      <c r="G5592" s="41" t="s">
        <v>17048</v>
      </c>
      <c r="H5592" s="41" t="s">
        <v>17049</v>
      </c>
      <c r="I5592" s="43">
        <v>12</v>
      </c>
      <c r="J5592" s="44" t="str">
        <f>VLOOKUP(G5592,[1]硬件清单!$F:$F,1,0)</f>
        <v>6CU7421Y8P</v>
      </c>
      <c r="K5592" s="43"/>
      <c r="L5592" s="44"/>
      <c r="M5592" s="45" t="s">
        <v>17050</v>
      </c>
    </row>
    <row r="5593" s="28" customFormat="1" ht="30" customHeight="1" spans="1:13">
      <c r="A5593" s="41">
        <f>IF(C5593="","",SUBTOTAL(103,$C$2:C5593))</f>
        <v>5584</v>
      </c>
      <c r="B5593" s="41">
        <v>4283</v>
      </c>
      <c r="C5593" s="41">
        <v>4409</v>
      </c>
      <c r="D5593" s="41" t="s">
        <v>45</v>
      </c>
      <c r="E5593" s="41" t="s">
        <v>1298</v>
      </c>
      <c r="F5593" s="41" t="s">
        <v>16629</v>
      </c>
      <c r="G5593" s="41" t="s">
        <v>17051</v>
      </c>
      <c r="H5593" s="41" t="s">
        <v>17052</v>
      </c>
      <c r="I5593" s="43">
        <v>12</v>
      </c>
      <c r="J5593" s="44" t="str">
        <f>VLOOKUP(G5593,[1]硬件清单!$F:$F,1,0)</f>
        <v>6CU7421XT4</v>
      </c>
      <c r="K5593" s="43"/>
      <c r="L5593" s="44"/>
      <c r="M5593" s="45" t="s">
        <v>17053</v>
      </c>
    </row>
    <row r="5594" s="28" customFormat="1" ht="30" customHeight="1" spans="1:13">
      <c r="A5594" s="41">
        <f>IF(C5594="","",SUBTOTAL(103,$C$2:C5594))</f>
        <v>5585</v>
      </c>
      <c r="B5594" s="41">
        <v>4284</v>
      </c>
      <c r="C5594" s="41">
        <v>4410</v>
      </c>
      <c r="D5594" s="41" t="s">
        <v>45</v>
      </c>
      <c r="E5594" s="41" t="s">
        <v>1298</v>
      </c>
      <c r="F5594" s="41" t="s">
        <v>16629</v>
      </c>
      <c r="G5594" s="41" t="s">
        <v>17054</v>
      </c>
      <c r="H5594" s="41" t="s">
        <v>17055</v>
      </c>
      <c r="I5594" s="43">
        <v>12</v>
      </c>
      <c r="J5594" s="44" t="str">
        <f>VLOOKUP(G5594,[1]硬件清单!$F:$F,1,0)</f>
        <v>6CU7421XT0</v>
      </c>
      <c r="K5594" s="43"/>
      <c r="L5594" s="44"/>
      <c r="M5594" s="45" t="s">
        <v>17056</v>
      </c>
    </row>
    <row r="5595" s="28" customFormat="1" ht="30" customHeight="1" spans="1:13">
      <c r="A5595" s="41">
        <f>IF(C5595="","",SUBTOTAL(103,$C$2:C5595))</f>
        <v>5586</v>
      </c>
      <c r="B5595" s="41">
        <v>4285</v>
      </c>
      <c r="C5595" s="41">
        <v>4411</v>
      </c>
      <c r="D5595" s="41" t="s">
        <v>45</v>
      </c>
      <c r="E5595" s="41" t="s">
        <v>1298</v>
      </c>
      <c r="F5595" s="41" t="s">
        <v>16629</v>
      </c>
      <c r="G5595" s="41" t="s">
        <v>17057</v>
      </c>
      <c r="H5595" s="41" t="s">
        <v>17058</v>
      </c>
      <c r="I5595" s="43">
        <v>12</v>
      </c>
      <c r="J5595" s="44" t="str">
        <f>VLOOKUP(G5595,[1]硬件清单!$F:$F,1,0)</f>
        <v>6CU7421XXP</v>
      </c>
      <c r="K5595" s="43"/>
      <c r="L5595" s="44"/>
      <c r="M5595" s="45" t="s">
        <v>17059</v>
      </c>
    </row>
    <row r="5596" s="28" customFormat="1" ht="30" customHeight="1" spans="1:13">
      <c r="A5596" s="41">
        <f>IF(C5596="","",SUBTOTAL(103,$C$2:C5596))</f>
        <v>5587</v>
      </c>
      <c r="B5596" s="41">
        <v>4286</v>
      </c>
      <c r="C5596" s="41">
        <v>4412</v>
      </c>
      <c r="D5596" s="41" t="s">
        <v>45</v>
      </c>
      <c r="E5596" s="41" t="s">
        <v>1298</v>
      </c>
      <c r="F5596" s="41" t="s">
        <v>16629</v>
      </c>
      <c r="G5596" s="41" t="s">
        <v>17060</v>
      </c>
      <c r="H5596" s="41" t="s">
        <v>17061</v>
      </c>
      <c r="I5596" s="43">
        <v>12</v>
      </c>
      <c r="J5596" s="44" t="str">
        <f>VLOOKUP(G5596,[1]硬件清单!$F:$F,1,0)</f>
        <v>6CU7421YE2</v>
      </c>
      <c r="K5596" s="43"/>
      <c r="L5596" s="44"/>
      <c r="M5596" s="45" t="s">
        <v>17062</v>
      </c>
    </row>
    <row r="5597" s="28" customFormat="1" ht="30" customHeight="1" spans="1:13">
      <c r="A5597" s="41">
        <f>IF(C5597="","",SUBTOTAL(103,$C$2:C5597))</f>
        <v>5588</v>
      </c>
      <c r="B5597" s="41">
        <v>4287</v>
      </c>
      <c r="C5597" s="41">
        <v>4413</v>
      </c>
      <c r="D5597" s="41" t="s">
        <v>45</v>
      </c>
      <c r="E5597" s="41" t="s">
        <v>1298</v>
      </c>
      <c r="F5597" s="41" t="s">
        <v>16629</v>
      </c>
      <c r="G5597" s="41" t="s">
        <v>17063</v>
      </c>
      <c r="H5597" s="41" t="s">
        <v>17064</v>
      </c>
      <c r="I5597" s="43">
        <v>12</v>
      </c>
      <c r="J5597" s="44" t="str">
        <f>VLOOKUP(G5597,[1]硬件清单!$F:$F,1,0)</f>
        <v>6CU7421XWH</v>
      </c>
      <c r="K5597" s="43"/>
      <c r="L5597" s="44"/>
      <c r="M5597" s="45" t="s">
        <v>17065</v>
      </c>
    </row>
    <row r="5598" s="28" customFormat="1" ht="30" customHeight="1" spans="1:13">
      <c r="A5598" s="41">
        <f>IF(C5598="","",SUBTOTAL(103,$C$2:C5598))</f>
        <v>5589</v>
      </c>
      <c r="B5598" s="41">
        <v>4288</v>
      </c>
      <c r="C5598" s="41">
        <v>4534</v>
      </c>
      <c r="D5598" s="41" t="s">
        <v>45</v>
      </c>
      <c r="E5598" s="41" t="s">
        <v>1298</v>
      </c>
      <c r="F5598" s="41" t="s">
        <v>16625</v>
      </c>
      <c r="G5598" s="41" t="s">
        <v>17066</v>
      </c>
      <c r="H5598" s="41" t="s">
        <v>17067</v>
      </c>
      <c r="I5598" s="43">
        <v>12</v>
      </c>
      <c r="J5598" s="44" t="str">
        <f>VLOOKUP(G5598,[1]硬件清单!$F:$F,1,0)</f>
        <v>6C07422HM9</v>
      </c>
      <c r="K5598" s="43"/>
      <c r="L5598" s="44"/>
      <c r="M5598" s="45" t="s">
        <v>17068</v>
      </c>
    </row>
    <row r="5599" s="28" customFormat="1" ht="30" customHeight="1" spans="1:13">
      <c r="A5599" s="41">
        <f>IF(C5599="","",SUBTOTAL(103,$C$2:C5599))</f>
        <v>5590</v>
      </c>
      <c r="B5599" s="41">
        <v>4289</v>
      </c>
      <c r="C5599" s="41">
        <v>4441</v>
      </c>
      <c r="D5599" s="41" t="s">
        <v>45</v>
      </c>
      <c r="E5599" s="41" t="s">
        <v>1298</v>
      </c>
      <c r="F5599" s="41" t="s">
        <v>16629</v>
      </c>
      <c r="G5599" s="41" t="s">
        <v>17069</v>
      </c>
      <c r="H5599" s="41" t="s">
        <v>17070</v>
      </c>
      <c r="I5599" s="43">
        <v>12</v>
      </c>
      <c r="J5599" s="44" t="str">
        <f>VLOOKUP(G5599,[1]硬件清单!$F:$F,1,0)</f>
        <v>6CU7421YDC</v>
      </c>
      <c r="K5599" s="43"/>
      <c r="L5599" s="44"/>
      <c r="M5599" s="45" t="s">
        <v>17071</v>
      </c>
    </row>
    <row r="5600" s="28" customFormat="1" ht="30" customHeight="1" spans="1:13">
      <c r="A5600" s="41">
        <f>IF(C5600="","",SUBTOTAL(103,$C$2:C5600))</f>
        <v>5591</v>
      </c>
      <c r="B5600" s="41">
        <v>4290</v>
      </c>
      <c r="C5600" s="41">
        <v>4579</v>
      </c>
      <c r="D5600" s="41" t="s">
        <v>45</v>
      </c>
      <c r="E5600" s="41" t="s">
        <v>1298</v>
      </c>
      <c r="F5600" s="41" t="s">
        <v>16629</v>
      </c>
      <c r="G5600" s="41" t="s">
        <v>17072</v>
      </c>
      <c r="H5600" s="41" t="s">
        <v>17073</v>
      </c>
      <c r="I5600" s="43">
        <v>12</v>
      </c>
      <c r="J5600" s="44" t="str">
        <f>VLOOKUP(G5600,[1]硬件清单!$F:$F,1,0)</f>
        <v>6CU7421XY4</v>
      </c>
      <c r="K5600" s="43"/>
      <c r="L5600" s="44"/>
      <c r="M5600" s="45" t="s">
        <v>17074</v>
      </c>
    </row>
    <row r="5601" s="28" customFormat="1" ht="30" customHeight="1" spans="1:13">
      <c r="A5601" s="41">
        <f>IF(C5601="","",SUBTOTAL(103,$C$2:C5601))</f>
        <v>5592</v>
      </c>
      <c r="B5601" s="41">
        <v>4291</v>
      </c>
      <c r="C5601" s="41">
        <v>4580</v>
      </c>
      <c r="D5601" s="41" t="s">
        <v>45</v>
      </c>
      <c r="E5601" s="41" t="s">
        <v>1298</v>
      </c>
      <c r="F5601" s="41" t="s">
        <v>16629</v>
      </c>
      <c r="G5601" s="41" t="s">
        <v>17075</v>
      </c>
      <c r="H5601" s="41" t="s">
        <v>17076</v>
      </c>
      <c r="I5601" s="43">
        <v>12</v>
      </c>
      <c r="J5601" s="44" t="str">
        <f>VLOOKUP(G5601,[1]硬件清单!$F:$F,1,0)</f>
        <v>6CU7421Y62</v>
      </c>
      <c r="K5601" s="43"/>
      <c r="L5601" s="44"/>
      <c r="M5601" s="45" t="s">
        <v>17077</v>
      </c>
    </row>
    <row r="5602" s="28" customFormat="1" ht="30" customHeight="1" spans="1:13">
      <c r="A5602" s="41">
        <f>IF(C5602="","",SUBTOTAL(103,$C$2:C5602))</f>
        <v>5593</v>
      </c>
      <c r="B5602" s="41">
        <v>4292</v>
      </c>
      <c r="C5602" s="41">
        <v>4581</v>
      </c>
      <c r="D5602" s="41" t="s">
        <v>45</v>
      </c>
      <c r="E5602" s="41" t="s">
        <v>1298</v>
      </c>
      <c r="F5602" s="41" t="s">
        <v>16629</v>
      </c>
      <c r="G5602" s="41" t="s">
        <v>17078</v>
      </c>
      <c r="H5602" s="41" t="s">
        <v>17079</v>
      </c>
      <c r="I5602" s="43">
        <v>12</v>
      </c>
      <c r="J5602" s="44" t="str">
        <f>VLOOKUP(G5602,[1]硬件清单!$F:$F,1,0)</f>
        <v>6CU7421Y6A</v>
      </c>
      <c r="K5602" s="43"/>
      <c r="L5602" s="44"/>
      <c r="M5602" s="45" t="s">
        <v>17080</v>
      </c>
    </row>
    <row r="5603" s="28" customFormat="1" ht="30" customHeight="1" spans="1:13">
      <c r="A5603" s="41">
        <f>IF(C5603="","",SUBTOTAL(103,$C$2:C5603))</f>
        <v>5594</v>
      </c>
      <c r="B5603" s="41">
        <v>4293</v>
      </c>
      <c r="C5603" s="41">
        <v>4697</v>
      </c>
      <c r="D5603" s="41" t="s">
        <v>45</v>
      </c>
      <c r="E5603" s="41" t="s">
        <v>1298</v>
      </c>
      <c r="F5603" s="41" t="s">
        <v>16629</v>
      </c>
      <c r="G5603" s="41" t="s">
        <v>17081</v>
      </c>
      <c r="H5603" s="41" t="s">
        <v>17082</v>
      </c>
      <c r="I5603" s="43">
        <v>12</v>
      </c>
      <c r="J5603" s="44" t="str">
        <f>VLOOKUP(G5603,[1]硬件清单!$F:$F,1,0)</f>
        <v>6CU7421Y8A</v>
      </c>
      <c r="K5603" s="43"/>
      <c r="L5603" s="44"/>
      <c r="M5603" s="45" t="s">
        <v>17083</v>
      </c>
    </row>
    <row r="5604" s="28" customFormat="1" ht="30" customHeight="1" spans="1:13">
      <c r="A5604" s="41">
        <f>IF(C5604="","",SUBTOTAL(103,$C$2:C5604))</f>
        <v>5595</v>
      </c>
      <c r="B5604" s="41">
        <v>4294</v>
      </c>
      <c r="C5604" s="41">
        <v>4698</v>
      </c>
      <c r="D5604" s="41" t="s">
        <v>45</v>
      </c>
      <c r="E5604" s="41" t="s">
        <v>1298</v>
      </c>
      <c r="F5604" s="41" t="s">
        <v>16629</v>
      </c>
      <c r="G5604" s="41" t="s">
        <v>17084</v>
      </c>
      <c r="H5604" s="41" t="s">
        <v>17085</v>
      </c>
      <c r="I5604" s="43">
        <v>12</v>
      </c>
      <c r="J5604" s="44" t="str">
        <f>VLOOKUP(G5604,[1]硬件清单!$F:$F,1,0)</f>
        <v>6CU7421XXK</v>
      </c>
      <c r="K5604" s="43"/>
      <c r="L5604" s="44"/>
      <c r="M5604" s="45" t="s">
        <v>17086</v>
      </c>
    </row>
    <row r="5605" s="28" customFormat="1" ht="30" customHeight="1" spans="1:13">
      <c r="A5605" s="41">
        <f>IF(C5605="","",SUBTOTAL(103,$C$2:C5605))</f>
        <v>5596</v>
      </c>
      <c r="B5605" s="41">
        <v>4295</v>
      </c>
      <c r="C5605" s="41">
        <v>4699</v>
      </c>
      <c r="D5605" s="41" t="s">
        <v>45</v>
      </c>
      <c r="E5605" s="41" t="s">
        <v>1298</v>
      </c>
      <c r="F5605" s="41" t="s">
        <v>16629</v>
      </c>
      <c r="G5605" s="41" t="s">
        <v>17087</v>
      </c>
      <c r="H5605" s="41" t="s">
        <v>17088</v>
      </c>
      <c r="I5605" s="43">
        <v>12</v>
      </c>
      <c r="J5605" s="44" t="str">
        <f>VLOOKUP(G5605,[1]硬件清单!$F:$F,1,0)</f>
        <v>6CU7421Y06</v>
      </c>
      <c r="K5605" s="43"/>
      <c r="L5605" s="44"/>
      <c r="M5605" s="45" t="s">
        <v>17089</v>
      </c>
    </row>
    <row r="5606" s="28" customFormat="1" ht="30" customHeight="1" spans="1:13">
      <c r="A5606" s="41">
        <f>IF(C5606="","",SUBTOTAL(103,$C$2:C5606))</f>
        <v>5597</v>
      </c>
      <c r="B5606" s="41">
        <v>4296</v>
      </c>
      <c r="C5606" s="41">
        <v>4700</v>
      </c>
      <c r="D5606" s="41" t="s">
        <v>45</v>
      </c>
      <c r="E5606" s="41" t="s">
        <v>1298</v>
      </c>
      <c r="F5606" s="41" t="s">
        <v>16629</v>
      </c>
      <c r="G5606" s="41" t="s">
        <v>17090</v>
      </c>
      <c r="H5606" s="41" t="s">
        <v>17091</v>
      </c>
      <c r="I5606" s="43">
        <v>12</v>
      </c>
      <c r="J5606" s="44" t="str">
        <f>VLOOKUP(G5606,[1]硬件清单!$F:$F,1,0)</f>
        <v>6CU7421Y7C</v>
      </c>
      <c r="K5606" s="43"/>
      <c r="L5606" s="44"/>
      <c r="M5606" s="45" t="s">
        <v>17092</v>
      </c>
    </row>
    <row r="5607" s="28" customFormat="1" ht="30" customHeight="1" spans="1:13">
      <c r="A5607" s="41">
        <f>IF(C5607="","",SUBTOTAL(103,$C$2:C5607))</f>
        <v>5598</v>
      </c>
      <c r="B5607" s="41">
        <v>4297</v>
      </c>
      <c r="C5607" s="41">
        <v>4442</v>
      </c>
      <c r="D5607" s="41" t="s">
        <v>45</v>
      </c>
      <c r="E5607" s="41" t="s">
        <v>1298</v>
      </c>
      <c r="F5607" s="41" t="s">
        <v>16629</v>
      </c>
      <c r="G5607" s="41" t="s">
        <v>17093</v>
      </c>
      <c r="H5607" s="41" t="s">
        <v>17094</v>
      </c>
      <c r="I5607" s="43">
        <v>12</v>
      </c>
      <c r="J5607" s="44" t="str">
        <f>VLOOKUP(G5607,[1]硬件清单!$F:$F,1,0)</f>
        <v>6CU7421Y2P</v>
      </c>
      <c r="K5607" s="43"/>
      <c r="L5607" s="44"/>
      <c r="M5607" s="45" t="s">
        <v>17095</v>
      </c>
    </row>
    <row r="5608" s="28" customFormat="1" ht="30" customHeight="1" spans="1:13">
      <c r="A5608" s="41">
        <f>IF(C5608="","",SUBTOTAL(103,$C$2:C5608))</f>
        <v>5599</v>
      </c>
      <c r="B5608" s="41">
        <v>4298</v>
      </c>
      <c r="C5608" s="41">
        <v>4443</v>
      </c>
      <c r="D5608" s="41" t="s">
        <v>45</v>
      </c>
      <c r="E5608" s="41" t="s">
        <v>1298</v>
      </c>
      <c r="F5608" s="41" t="s">
        <v>16629</v>
      </c>
      <c r="G5608" s="41" t="s">
        <v>17096</v>
      </c>
      <c r="H5608" s="41" t="s">
        <v>17097</v>
      </c>
      <c r="I5608" s="43">
        <v>12</v>
      </c>
      <c r="J5608" s="44" t="str">
        <f>VLOOKUP(G5608,[1]硬件清单!$F:$F,1,0)</f>
        <v>6CU7421YBM</v>
      </c>
      <c r="K5608" s="43"/>
      <c r="L5608" s="44"/>
      <c r="M5608" s="45" t="s">
        <v>17098</v>
      </c>
    </row>
    <row r="5609" s="28" customFormat="1" ht="30" customHeight="1" spans="1:13">
      <c r="A5609" s="41">
        <f>IF(C5609="","",SUBTOTAL(103,$C$2:C5609))</f>
        <v>5600</v>
      </c>
      <c r="B5609" s="41">
        <v>4299</v>
      </c>
      <c r="C5609" s="41">
        <v>4444</v>
      </c>
      <c r="D5609" s="41" t="s">
        <v>45</v>
      </c>
      <c r="E5609" s="41" t="s">
        <v>1298</v>
      </c>
      <c r="F5609" s="41" t="s">
        <v>16629</v>
      </c>
      <c r="G5609" s="41" t="s">
        <v>17099</v>
      </c>
      <c r="H5609" s="41" t="s">
        <v>17100</v>
      </c>
      <c r="I5609" s="43">
        <v>12</v>
      </c>
      <c r="J5609" s="44" t="str">
        <f>VLOOKUP(G5609,[1]硬件清单!$F:$F,1,0)</f>
        <v>6CU7421XYH</v>
      </c>
      <c r="K5609" s="43"/>
      <c r="L5609" s="44"/>
      <c r="M5609" s="45" t="s">
        <v>17101</v>
      </c>
    </row>
    <row r="5610" s="28" customFormat="1" ht="30" customHeight="1" spans="1:13">
      <c r="A5610" s="41">
        <f>IF(C5610="","",SUBTOTAL(103,$C$2:C5610))</f>
        <v>5601</v>
      </c>
      <c r="B5610" s="41">
        <v>4300</v>
      </c>
      <c r="C5610" s="41">
        <v>4530</v>
      </c>
      <c r="D5610" s="41" t="s">
        <v>45</v>
      </c>
      <c r="E5610" s="41" t="s">
        <v>1298</v>
      </c>
      <c r="F5610" s="41" t="s">
        <v>16629</v>
      </c>
      <c r="G5610" s="41" t="s">
        <v>17102</v>
      </c>
      <c r="H5610" s="41" t="s">
        <v>17103</v>
      </c>
      <c r="I5610" s="43">
        <v>12</v>
      </c>
      <c r="J5610" s="44" t="str">
        <f>VLOOKUP(G5610,[1]硬件清单!$F:$F,1,0)</f>
        <v>6CU7421Y4V</v>
      </c>
      <c r="K5610" s="43"/>
      <c r="L5610" s="44"/>
      <c r="M5610" s="45" t="s">
        <v>17104</v>
      </c>
    </row>
    <row r="5611" s="28" customFormat="1" ht="30" customHeight="1" spans="1:13">
      <c r="A5611" s="41">
        <f>IF(C5611="","",SUBTOTAL(103,$C$2:C5611))</f>
        <v>5602</v>
      </c>
      <c r="B5611" s="41">
        <v>4301</v>
      </c>
      <c r="C5611" s="41">
        <v>4531</v>
      </c>
      <c r="D5611" s="41" t="s">
        <v>45</v>
      </c>
      <c r="E5611" s="41" t="s">
        <v>1298</v>
      </c>
      <c r="F5611" s="41" t="s">
        <v>16629</v>
      </c>
      <c r="G5611" s="41" t="s">
        <v>17105</v>
      </c>
      <c r="H5611" s="41" t="s">
        <v>17106</v>
      </c>
      <c r="I5611" s="43">
        <v>12</v>
      </c>
      <c r="J5611" s="44" t="str">
        <f>VLOOKUP(G5611,[1]硬件清单!$F:$F,1,0)</f>
        <v>6CU7421YCA</v>
      </c>
      <c r="K5611" s="43"/>
      <c r="L5611" s="44"/>
      <c r="M5611" s="45" t="s">
        <v>17107</v>
      </c>
    </row>
    <row r="5612" s="28" customFormat="1" ht="30" customHeight="1" spans="1:13">
      <c r="A5612" s="41">
        <f>IF(C5612="","",SUBTOTAL(103,$C$2:C5612))</f>
        <v>5603</v>
      </c>
      <c r="B5612" s="41">
        <v>4302</v>
      </c>
      <c r="C5612" s="41">
        <v>4532</v>
      </c>
      <c r="D5612" s="41" t="s">
        <v>45</v>
      </c>
      <c r="E5612" s="41" t="s">
        <v>1298</v>
      </c>
      <c r="F5612" s="41" t="s">
        <v>16629</v>
      </c>
      <c r="G5612" s="41" t="s">
        <v>17108</v>
      </c>
      <c r="H5612" s="41" t="s">
        <v>17109</v>
      </c>
      <c r="I5612" s="43">
        <v>12</v>
      </c>
      <c r="J5612" s="44" t="str">
        <f>VLOOKUP(G5612,[1]硬件清单!$F:$F,1,0)</f>
        <v>6CU7421XW8</v>
      </c>
      <c r="K5612" s="43"/>
      <c r="L5612" s="44"/>
      <c r="M5612" s="45" t="s">
        <v>17110</v>
      </c>
    </row>
    <row r="5613" s="28" customFormat="1" ht="30" customHeight="1" spans="1:13">
      <c r="A5613" s="41">
        <f>IF(C5613="","",SUBTOTAL(103,$C$2:C5613))</f>
        <v>5604</v>
      </c>
      <c r="B5613" s="41">
        <v>4303</v>
      </c>
      <c r="C5613" s="41">
        <v>4533</v>
      </c>
      <c r="D5613" s="41" t="s">
        <v>45</v>
      </c>
      <c r="E5613" s="41" t="s">
        <v>1298</v>
      </c>
      <c r="F5613" s="41" t="s">
        <v>16629</v>
      </c>
      <c r="G5613" s="41" t="s">
        <v>17111</v>
      </c>
      <c r="H5613" s="41" t="s">
        <v>17112</v>
      </c>
      <c r="I5613" s="43">
        <v>12</v>
      </c>
      <c r="J5613" s="44" t="str">
        <f>VLOOKUP(G5613,[1]硬件清单!$F:$F,1,0)</f>
        <v>6CU7421YD0</v>
      </c>
      <c r="K5613" s="43"/>
      <c r="L5613" s="44"/>
      <c r="M5613" s="45" t="s">
        <v>17113</v>
      </c>
    </row>
    <row r="5614" s="28" customFormat="1" ht="30" customHeight="1" spans="1:13">
      <c r="A5614" s="41">
        <f>IF(C5614="","",SUBTOTAL(103,$C$2:C5614))</f>
        <v>5605</v>
      </c>
      <c r="B5614" s="41">
        <v>4304</v>
      </c>
      <c r="C5614" s="41">
        <v>4578</v>
      </c>
      <c r="D5614" s="41" t="s">
        <v>45</v>
      </c>
      <c r="E5614" s="41" t="s">
        <v>1298</v>
      </c>
      <c r="F5614" s="41" t="s">
        <v>16629</v>
      </c>
      <c r="G5614" s="41" t="s">
        <v>17114</v>
      </c>
      <c r="H5614" s="41" t="s">
        <v>17115</v>
      </c>
      <c r="I5614" s="43">
        <v>12</v>
      </c>
      <c r="J5614" s="44" t="str">
        <f>VLOOKUP(G5614,[1]硬件清单!$F:$F,1,0)</f>
        <v>6CU7421Y0E</v>
      </c>
      <c r="K5614" s="43"/>
      <c r="L5614" s="44"/>
      <c r="M5614" s="45" t="s">
        <v>17116</v>
      </c>
    </row>
    <row r="5615" s="28" customFormat="1" ht="30" customHeight="1" spans="1:13">
      <c r="A5615" s="41">
        <f>IF(C5615="","",SUBTOTAL(103,$C$2:C5615))</f>
        <v>5606</v>
      </c>
      <c r="B5615" s="41">
        <v>4305</v>
      </c>
      <c r="C5615" s="41">
        <v>5367</v>
      </c>
      <c r="D5615" s="41" t="s">
        <v>45</v>
      </c>
      <c r="E5615" s="41" t="s">
        <v>1298</v>
      </c>
      <c r="F5615" s="41" t="s">
        <v>16625</v>
      </c>
      <c r="G5615" s="41" t="s">
        <v>17117</v>
      </c>
      <c r="H5615" s="41" t="s">
        <v>17118</v>
      </c>
      <c r="I5615" s="43">
        <v>12</v>
      </c>
      <c r="J5615" s="44" t="str">
        <f>VLOOKUP(G5615,[1]硬件清单!$F:$F,1,0)</f>
        <v>6C07422HLV</v>
      </c>
      <c r="K5615" s="43"/>
      <c r="L5615" s="44"/>
      <c r="M5615" s="45" t="s">
        <v>17119</v>
      </c>
    </row>
    <row r="5616" s="28" customFormat="1" ht="30" customHeight="1" spans="1:13">
      <c r="A5616" s="41">
        <f>IF(C5616="","",SUBTOTAL(103,$C$2:C5616))</f>
        <v>5607</v>
      </c>
      <c r="B5616" s="41">
        <v>4306</v>
      </c>
      <c r="C5616" s="41">
        <v>4747</v>
      </c>
      <c r="D5616" s="41" t="s">
        <v>45</v>
      </c>
      <c r="E5616" s="41" t="s">
        <v>1298</v>
      </c>
      <c r="F5616" s="41" t="s">
        <v>16629</v>
      </c>
      <c r="G5616" s="41" t="s">
        <v>17120</v>
      </c>
      <c r="H5616" s="41" t="s">
        <v>17121</v>
      </c>
      <c r="I5616" s="43">
        <v>12</v>
      </c>
      <c r="J5616" s="44" t="str">
        <f>VLOOKUP(G5616,[1]硬件清单!$F:$F,1,0)</f>
        <v>6CU7421YDX</v>
      </c>
      <c r="K5616" s="43"/>
      <c r="L5616" s="44"/>
      <c r="M5616" s="45" t="s">
        <v>17122</v>
      </c>
    </row>
    <row r="5617" s="28" customFormat="1" ht="30" customHeight="1" spans="1:13">
      <c r="A5617" s="41">
        <f>IF(C5617="","",SUBTOTAL(103,$C$2:C5617))</f>
        <v>5608</v>
      </c>
      <c r="B5617" s="41">
        <v>4307</v>
      </c>
      <c r="C5617" s="41">
        <v>5150</v>
      </c>
      <c r="D5617" s="41" t="s">
        <v>45</v>
      </c>
      <c r="E5617" s="41" t="s">
        <v>1298</v>
      </c>
      <c r="F5617" s="41" t="s">
        <v>16629</v>
      </c>
      <c r="G5617" s="41" t="s">
        <v>17123</v>
      </c>
      <c r="H5617" s="41" t="s">
        <v>17124</v>
      </c>
      <c r="I5617" s="43">
        <v>12</v>
      </c>
      <c r="J5617" s="44" t="str">
        <f>VLOOKUP(G5617,[1]硬件清单!$F:$F,1,0)</f>
        <v>6CU7421Y3M</v>
      </c>
      <c r="K5617" s="43"/>
      <c r="L5617" s="44"/>
      <c r="M5617" s="45" t="s">
        <v>17125</v>
      </c>
    </row>
    <row r="5618" s="28" customFormat="1" ht="30" customHeight="1" spans="1:13">
      <c r="A5618" s="41">
        <f>IF(C5618="","",SUBTOTAL(103,$C$2:C5618))</f>
        <v>5609</v>
      </c>
      <c r="B5618" s="41">
        <v>4308</v>
      </c>
      <c r="C5618" s="41">
        <v>5199</v>
      </c>
      <c r="D5618" s="41" t="s">
        <v>45</v>
      </c>
      <c r="E5618" s="41" t="s">
        <v>1298</v>
      </c>
      <c r="F5618" s="41" t="s">
        <v>16629</v>
      </c>
      <c r="G5618" s="41" t="s">
        <v>17126</v>
      </c>
      <c r="H5618" s="41" t="s">
        <v>17127</v>
      </c>
      <c r="I5618" s="43">
        <v>12</v>
      </c>
      <c r="J5618" s="44" t="str">
        <f>VLOOKUP(G5618,[1]硬件清单!$F:$F,1,0)</f>
        <v>6CU7421Y38</v>
      </c>
      <c r="K5618" s="43"/>
      <c r="L5618" s="44"/>
      <c r="M5618" s="45" t="s">
        <v>17128</v>
      </c>
    </row>
    <row r="5619" s="28" customFormat="1" ht="30" customHeight="1" spans="1:13">
      <c r="A5619" s="41">
        <f>IF(C5619="","",SUBTOTAL(103,$C$2:C5619))</f>
        <v>5610</v>
      </c>
      <c r="B5619" s="41">
        <v>4309</v>
      </c>
      <c r="C5619" s="41">
        <v>5200</v>
      </c>
      <c r="D5619" s="41" t="s">
        <v>45</v>
      </c>
      <c r="E5619" s="41" t="s">
        <v>1298</v>
      </c>
      <c r="F5619" s="41" t="s">
        <v>16629</v>
      </c>
      <c r="G5619" s="41" t="s">
        <v>17129</v>
      </c>
      <c r="H5619" s="41" t="s">
        <v>17130</v>
      </c>
      <c r="I5619" s="43">
        <v>12</v>
      </c>
      <c r="J5619" s="44" t="str">
        <f>VLOOKUP(G5619,[1]硬件清单!$F:$F,1,0)</f>
        <v>6CU7421YB4</v>
      </c>
      <c r="K5619" s="43"/>
      <c r="L5619" s="44"/>
      <c r="M5619" s="45" t="s">
        <v>17131</v>
      </c>
    </row>
    <row r="5620" s="28" customFormat="1" ht="30" customHeight="1" spans="1:13">
      <c r="A5620" s="41">
        <f>IF(C5620="","",SUBTOTAL(103,$C$2:C5620))</f>
        <v>5611</v>
      </c>
      <c r="B5620" s="41">
        <v>4310</v>
      </c>
      <c r="C5620" s="41">
        <v>5201</v>
      </c>
      <c r="D5620" s="41" t="s">
        <v>45</v>
      </c>
      <c r="E5620" s="41" t="s">
        <v>1298</v>
      </c>
      <c r="F5620" s="41" t="s">
        <v>16629</v>
      </c>
      <c r="G5620" s="41" t="s">
        <v>17132</v>
      </c>
      <c r="H5620" s="41" t="s">
        <v>17133</v>
      </c>
      <c r="I5620" s="43">
        <v>12</v>
      </c>
      <c r="J5620" s="44" t="str">
        <f>VLOOKUP(G5620,[1]硬件清单!$F:$F,1,0)</f>
        <v>6CU7421Y42</v>
      </c>
      <c r="K5620" s="43"/>
      <c r="L5620" s="44"/>
      <c r="M5620" s="45" t="s">
        <v>17134</v>
      </c>
    </row>
    <row r="5621" s="28" customFormat="1" ht="30" customHeight="1" spans="1:13">
      <c r="A5621" s="41">
        <f>IF(C5621="","",SUBTOTAL(103,$C$2:C5621))</f>
        <v>5612</v>
      </c>
      <c r="B5621" s="41">
        <v>4311</v>
      </c>
      <c r="C5621" s="41">
        <v>5202</v>
      </c>
      <c r="D5621" s="41" t="s">
        <v>45</v>
      </c>
      <c r="E5621" s="41" t="s">
        <v>1298</v>
      </c>
      <c r="F5621" s="41" t="s">
        <v>16629</v>
      </c>
      <c r="G5621" s="41" t="s">
        <v>17135</v>
      </c>
      <c r="H5621" s="41" t="s">
        <v>17136</v>
      </c>
      <c r="I5621" s="43">
        <v>12</v>
      </c>
      <c r="J5621" s="44" t="str">
        <f>VLOOKUP(G5621,[1]硬件清单!$F:$F,1,0)</f>
        <v>6CU7421XX6</v>
      </c>
      <c r="K5621" s="43"/>
      <c r="L5621" s="44"/>
      <c r="M5621" s="45" t="s">
        <v>17137</v>
      </c>
    </row>
    <row r="5622" s="28" customFormat="1" ht="30" customHeight="1" spans="1:13">
      <c r="A5622" s="41">
        <f>IF(C5622="","",SUBTOTAL(103,$C$2:C5622))</f>
        <v>5613</v>
      </c>
      <c r="B5622" s="41">
        <v>4312</v>
      </c>
      <c r="C5622" s="41">
        <v>5203</v>
      </c>
      <c r="D5622" s="41" t="s">
        <v>45</v>
      </c>
      <c r="E5622" s="41" t="s">
        <v>1298</v>
      </c>
      <c r="F5622" s="41" t="s">
        <v>16629</v>
      </c>
      <c r="G5622" s="41" t="s">
        <v>17138</v>
      </c>
      <c r="H5622" s="41" t="s">
        <v>17139</v>
      </c>
      <c r="I5622" s="43">
        <v>12</v>
      </c>
      <c r="J5622" s="44" t="str">
        <f>VLOOKUP(G5622,[1]硬件清单!$F:$F,1,0)</f>
        <v>6CU7421XYC</v>
      </c>
      <c r="K5622" s="43"/>
      <c r="L5622" s="44"/>
      <c r="M5622" s="45" t="s">
        <v>17140</v>
      </c>
    </row>
    <row r="5623" s="28" customFormat="1" ht="30" customHeight="1" spans="1:13">
      <c r="A5623" s="41">
        <f>IF(C5623="","",SUBTOTAL(103,$C$2:C5623))</f>
        <v>5614</v>
      </c>
      <c r="B5623" s="41">
        <v>4313</v>
      </c>
      <c r="C5623" s="41">
        <v>5204</v>
      </c>
      <c r="D5623" s="41" t="s">
        <v>45</v>
      </c>
      <c r="E5623" s="41" t="s">
        <v>1298</v>
      </c>
      <c r="F5623" s="41" t="s">
        <v>16629</v>
      </c>
      <c r="G5623" s="41" t="s">
        <v>17141</v>
      </c>
      <c r="H5623" s="41" t="s">
        <v>17142</v>
      </c>
      <c r="I5623" s="43">
        <v>12</v>
      </c>
      <c r="J5623" s="44" t="str">
        <f>VLOOKUP(G5623,[1]硬件清单!$F:$F,1,0)</f>
        <v>6CU7421XVA</v>
      </c>
      <c r="K5623" s="43"/>
      <c r="L5623" s="44"/>
      <c r="M5623" s="45" t="s">
        <v>17143</v>
      </c>
    </row>
    <row r="5624" s="28" customFormat="1" ht="30" customHeight="1" spans="1:13">
      <c r="A5624" s="41">
        <f>IF(C5624="","",SUBTOTAL(103,$C$2:C5624))</f>
        <v>5615</v>
      </c>
      <c r="B5624" s="41">
        <v>4314</v>
      </c>
      <c r="C5624" s="41">
        <v>4748</v>
      </c>
      <c r="D5624" s="41" t="s">
        <v>45</v>
      </c>
      <c r="E5624" s="41" t="s">
        <v>1298</v>
      </c>
      <c r="F5624" s="41" t="s">
        <v>16629</v>
      </c>
      <c r="G5624" s="41" t="s">
        <v>17144</v>
      </c>
      <c r="H5624" s="41" t="s">
        <v>17145</v>
      </c>
      <c r="I5624" s="43">
        <v>12</v>
      </c>
      <c r="J5624" s="44" t="str">
        <f>VLOOKUP(G5624,[1]硬件清单!$F:$F,1,0)</f>
        <v>6CU7421Y8E</v>
      </c>
      <c r="K5624" s="43"/>
      <c r="L5624" s="44"/>
      <c r="M5624" s="45" t="s">
        <v>17146</v>
      </c>
    </row>
    <row r="5625" s="28" customFormat="1" ht="30" customHeight="1" spans="1:13">
      <c r="A5625" s="41">
        <f>IF(C5625="","",SUBTOTAL(103,$C$2:C5625))</f>
        <v>5616</v>
      </c>
      <c r="B5625" s="41">
        <v>4315</v>
      </c>
      <c r="C5625" s="41">
        <v>5143</v>
      </c>
      <c r="D5625" s="41" t="s">
        <v>45</v>
      </c>
      <c r="E5625" s="41" t="s">
        <v>1298</v>
      </c>
      <c r="F5625" s="41" t="s">
        <v>16629</v>
      </c>
      <c r="G5625" s="41" t="s">
        <v>17147</v>
      </c>
      <c r="H5625" s="41" t="s">
        <v>17148</v>
      </c>
      <c r="I5625" s="43">
        <v>12</v>
      </c>
      <c r="J5625" s="44" t="str">
        <f>VLOOKUP(G5625,[1]硬件清单!$F:$F,1,0)</f>
        <v>6CU7421XW0</v>
      </c>
      <c r="K5625" s="43"/>
      <c r="L5625" s="44"/>
      <c r="M5625" s="45" t="s">
        <v>17149</v>
      </c>
    </row>
    <row r="5626" s="28" customFormat="1" ht="30" customHeight="1" spans="1:13">
      <c r="A5626" s="41">
        <f>IF(C5626="","",SUBTOTAL(103,$C$2:C5626))</f>
        <v>5617</v>
      </c>
      <c r="B5626" s="41">
        <v>4316</v>
      </c>
      <c r="C5626" s="41">
        <v>5144</v>
      </c>
      <c r="D5626" s="41" t="s">
        <v>45</v>
      </c>
      <c r="E5626" s="41" t="s">
        <v>1298</v>
      </c>
      <c r="F5626" s="41" t="s">
        <v>16629</v>
      </c>
      <c r="G5626" s="41" t="s">
        <v>17150</v>
      </c>
      <c r="H5626" s="41" t="s">
        <v>17151</v>
      </c>
      <c r="I5626" s="43">
        <v>12</v>
      </c>
      <c r="J5626" s="44" t="str">
        <f>VLOOKUP(G5626,[1]硬件清单!$F:$F,1,0)</f>
        <v>6CU7421Y2E</v>
      </c>
      <c r="K5626" s="43"/>
      <c r="L5626" s="44"/>
      <c r="M5626" s="45" t="s">
        <v>17152</v>
      </c>
    </row>
    <row r="5627" s="28" customFormat="1" ht="30" customHeight="1" spans="1:13">
      <c r="A5627" s="41">
        <f>IF(C5627="","",SUBTOTAL(103,$C$2:C5627))</f>
        <v>5618</v>
      </c>
      <c r="B5627" s="41">
        <v>4317</v>
      </c>
      <c r="C5627" s="41">
        <v>5145</v>
      </c>
      <c r="D5627" s="41" t="s">
        <v>45</v>
      </c>
      <c r="E5627" s="41" t="s">
        <v>1298</v>
      </c>
      <c r="F5627" s="41" t="s">
        <v>16629</v>
      </c>
      <c r="G5627" s="41" t="s">
        <v>17153</v>
      </c>
      <c r="H5627" s="41" t="s">
        <v>17154</v>
      </c>
      <c r="I5627" s="43">
        <v>12</v>
      </c>
      <c r="J5627" s="44" t="str">
        <f>VLOOKUP(G5627,[1]硬件清单!$F:$F,1,0)</f>
        <v>6CU7421YBH</v>
      </c>
      <c r="K5627" s="43"/>
      <c r="L5627" s="44"/>
      <c r="M5627" s="45" t="s">
        <v>17155</v>
      </c>
    </row>
    <row r="5628" s="28" customFormat="1" ht="30" customHeight="1" spans="1:13">
      <c r="A5628" s="41">
        <f>IF(C5628="","",SUBTOTAL(103,$C$2:C5628))</f>
        <v>5619</v>
      </c>
      <c r="B5628" s="41">
        <v>4318</v>
      </c>
      <c r="C5628" s="41">
        <v>5146</v>
      </c>
      <c r="D5628" s="41" t="s">
        <v>45</v>
      </c>
      <c r="E5628" s="41" t="s">
        <v>1298</v>
      </c>
      <c r="F5628" s="41" t="s">
        <v>16629</v>
      </c>
      <c r="G5628" s="41" t="s">
        <v>17156</v>
      </c>
      <c r="H5628" s="41" t="s">
        <v>17157</v>
      </c>
      <c r="I5628" s="43">
        <v>12</v>
      </c>
      <c r="J5628" s="44" t="str">
        <f>VLOOKUP(G5628,[1]硬件清单!$F:$F,1,0)</f>
        <v>6CU7421Y54</v>
      </c>
      <c r="K5628" s="43"/>
      <c r="L5628" s="44"/>
      <c r="M5628" s="45" t="s">
        <v>17158</v>
      </c>
    </row>
    <row r="5629" s="28" customFormat="1" ht="30" customHeight="1" spans="1:13">
      <c r="A5629" s="41">
        <f>IF(C5629="","",SUBTOTAL(103,$C$2:C5629))</f>
        <v>5620</v>
      </c>
      <c r="B5629" s="41">
        <v>4319</v>
      </c>
      <c r="C5629" s="41">
        <v>5147</v>
      </c>
      <c r="D5629" s="41" t="s">
        <v>45</v>
      </c>
      <c r="E5629" s="41" t="s">
        <v>1298</v>
      </c>
      <c r="F5629" s="41" t="s">
        <v>16629</v>
      </c>
      <c r="G5629" s="41" t="s">
        <v>17159</v>
      </c>
      <c r="H5629" s="41" t="s">
        <v>17160</v>
      </c>
      <c r="I5629" s="43">
        <v>12</v>
      </c>
      <c r="J5629" s="44" t="str">
        <f>VLOOKUP(G5629,[1]硬件清单!$F:$F,1,0)</f>
        <v>6CU7421YBC</v>
      </c>
      <c r="K5629" s="43"/>
      <c r="L5629" s="44"/>
      <c r="M5629" s="45" t="s">
        <v>17161</v>
      </c>
    </row>
    <row r="5630" s="28" customFormat="1" ht="30" customHeight="1" spans="1:13">
      <c r="A5630" s="41">
        <f>IF(C5630="","",SUBTOTAL(103,$C$2:C5630))</f>
        <v>5621</v>
      </c>
      <c r="B5630" s="41">
        <v>4320</v>
      </c>
      <c r="C5630" s="41">
        <v>5148</v>
      </c>
      <c r="D5630" s="41" t="s">
        <v>45</v>
      </c>
      <c r="E5630" s="41" t="s">
        <v>1298</v>
      </c>
      <c r="F5630" s="41" t="s">
        <v>16629</v>
      </c>
      <c r="G5630" s="41" t="s">
        <v>17162</v>
      </c>
      <c r="H5630" s="41" t="s">
        <v>17163</v>
      </c>
      <c r="I5630" s="43">
        <v>12</v>
      </c>
      <c r="J5630" s="44" t="str">
        <f>VLOOKUP(G5630,[1]硬件清单!$F:$F,1,0)</f>
        <v>6CU7421Y0K</v>
      </c>
      <c r="K5630" s="43"/>
      <c r="L5630" s="44"/>
      <c r="M5630" s="45" t="s">
        <v>17164</v>
      </c>
    </row>
    <row r="5631" s="28" customFormat="1" ht="30" customHeight="1" spans="1:13">
      <c r="A5631" s="41">
        <f>IF(C5631="","",SUBTOTAL(103,$C$2:C5631))</f>
        <v>5622</v>
      </c>
      <c r="B5631" s="41">
        <v>4321</v>
      </c>
      <c r="C5631" s="41">
        <v>5149</v>
      </c>
      <c r="D5631" s="41" t="s">
        <v>45</v>
      </c>
      <c r="E5631" s="41" t="s">
        <v>1298</v>
      </c>
      <c r="F5631" s="41" t="s">
        <v>16629</v>
      </c>
      <c r="G5631" s="41" t="s">
        <v>17165</v>
      </c>
      <c r="H5631" s="41" t="s">
        <v>17166</v>
      </c>
      <c r="I5631" s="43">
        <v>12</v>
      </c>
      <c r="J5631" s="44" t="str">
        <f>VLOOKUP(G5631,[1]硬件清单!$F:$F,1,0)</f>
        <v>6CU7421Y1S</v>
      </c>
      <c r="K5631" s="43"/>
      <c r="L5631" s="44"/>
      <c r="M5631" s="45" t="s">
        <v>17167</v>
      </c>
    </row>
    <row r="5632" s="28" customFormat="1" ht="30" customHeight="1" spans="1:13">
      <c r="A5632" s="41">
        <f>IF(C5632="","",SUBTOTAL(103,$C$2:C5632))</f>
        <v>5623</v>
      </c>
      <c r="B5632" s="41">
        <v>4322</v>
      </c>
      <c r="C5632" s="41">
        <v>10418</v>
      </c>
      <c r="D5632" s="41" t="s">
        <v>45</v>
      </c>
      <c r="E5632" s="41" t="s">
        <v>1298</v>
      </c>
      <c r="F5632" s="41" t="s">
        <v>4535</v>
      </c>
      <c r="G5632" s="41" t="s">
        <v>17168</v>
      </c>
      <c r="H5632" s="41" t="s">
        <v>17169</v>
      </c>
      <c r="I5632" s="43">
        <v>12</v>
      </c>
      <c r="J5632" s="44" t="str">
        <f>VLOOKUP(G5632,[1]硬件清单!$F:$F,1,0)</f>
        <v>06HNAVL</v>
      </c>
      <c r="K5632" s="43"/>
      <c r="L5632" s="44"/>
      <c r="M5632" s="45" t="s">
        <v>17170</v>
      </c>
    </row>
    <row r="5633" s="28" customFormat="1" ht="30" customHeight="1" spans="1:13">
      <c r="A5633" s="41">
        <f>IF(C5633="","",SUBTOTAL(103,$C$2:C5633))</f>
        <v>5624</v>
      </c>
      <c r="B5633" s="41">
        <v>4323</v>
      </c>
      <c r="C5633" s="41">
        <v>10419</v>
      </c>
      <c r="D5633" s="41" t="s">
        <v>45</v>
      </c>
      <c r="E5633" s="41" t="s">
        <v>1298</v>
      </c>
      <c r="F5633" s="41" t="s">
        <v>4535</v>
      </c>
      <c r="G5633" s="41" t="s">
        <v>17171</v>
      </c>
      <c r="H5633" s="41" t="s">
        <v>17172</v>
      </c>
      <c r="I5633" s="43">
        <v>12</v>
      </c>
      <c r="J5633" s="44" t="str">
        <f>VLOOKUP(G5633,[1]硬件清单!$F:$F,1,0)</f>
        <v>06HNAWK</v>
      </c>
      <c r="K5633" s="43"/>
      <c r="L5633" s="44"/>
      <c r="M5633" s="45" t="s">
        <v>17173</v>
      </c>
    </row>
    <row r="5634" s="28" customFormat="1" ht="30" customHeight="1" spans="1:13">
      <c r="A5634" s="41">
        <f>IF(C5634="","",SUBTOTAL(103,$C$2:C5634))</f>
        <v>5625</v>
      </c>
      <c r="B5634" s="41">
        <v>4324</v>
      </c>
      <c r="C5634" s="41">
        <v>10420</v>
      </c>
      <c r="D5634" s="41" t="s">
        <v>45</v>
      </c>
      <c r="E5634" s="41" t="s">
        <v>1298</v>
      </c>
      <c r="F5634" s="41" t="s">
        <v>4535</v>
      </c>
      <c r="G5634" s="41" t="s">
        <v>17174</v>
      </c>
      <c r="H5634" s="41" t="s">
        <v>17175</v>
      </c>
      <c r="I5634" s="43">
        <v>12</v>
      </c>
      <c r="J5634" s="44" t="str">
        <f>VLOOKUP(G5634,[1]硬件清单!$F:$F,1,0)</f>
        <v>06HNAWM</v>
      </c>
      <c r="K5634" s="43"/>
      <c r="L5634" s="44"/>
      <c r="M5634" s="45" t="s">
        <v>17176</v>
      </c>
    </row>
    <row r="5635" s="28" customFormat="1" ht="30" customHeight="1" spans="1:13">
      <c r="A5635" s="41">
        <f>IF(C5635="","",SUBTOTAL(103,$C$2:C5635))</f>
        <v>5626</v>
      </c>
      <c r="B5635" s="41">
        <v>4325</v>
      </c>
      <c r="C5635" s="41">
        <v>10421</v>
      </c>
      <c r="D5635" s="41" t="s">
        <v>45</v>
      </c>
      <c r="E5635" s="41" t="s">
        <v>1298</v>
      </c>
      <c r="F5635" s="41" t="s">
        <v>4535</v>
      </c>
      <c r="G5635" s="41" t="s">
        <v>17177</v>
      </c>
      <c r="H5635" s="41" t="s">
        <v>17178</v>
      </c>
      <c r="I5635" s="43">
        <v>12</v>
      </c>
      <c r="J5635" s="44" t="str">
        <f>VLOOKUP(G5635,[1]硬件清单!$F:$F,1,0)</f>
        <v>J302XHE</v>
      </c>
      <c r="K5635" s="43"/>
      <c r="L5635" s="44"/>
      <c r="M5635" s="45" t="s">
        <v>17179</v>
      </c>
    </row>
    <row r="5636" s="28" customFormat="1" ht="30" customHeight="1" spans="1:13">
      <c r="A5636" s="41">
        <f>IF(C5636="","",SUBTOTAL(103,$C$2:C5636))</f>
        <v>5627</v>
      </c>
      <c r="B5636" s="41">
        <v>4326</v>
      </c>
      <c r="C5636" s="41">
        <v>10422</v>
      </c>
      <c r="D5636" s="41" t="s">
        <v>45</v>
      </c>
      <c r="E5636" s="41" t="s">
        <v>1298</v>
      </c>
      <c r="F5636" s="41" t="s">
        <v>4535</v>
      </c>
      <c r="G5636" s="41" t="s">
        <v>17180</v>
      </c>
      <c r="H5636" s="41" t="s">
        <v>17181</v>
      </c>
      <c r="I5636" s="43">
        <v>12</v>
      </c>
      <c r="J5636" s="44" t="str">
        <f>VLOOKUP(G5636,[1]硬件清单!$F:$F,1,0)</f>
        <v>06HNAVD</v>
      </c>
      <c r="K5636" s="43"/>
      <c r="L5636" s="44"/>
      <c r="M5636" s="45" t="s">
        <v>17182</v>
      </c>
    </row>
    <row r="5637" s="28" customFormat="1" ht="30" customHeight="1" spans="1:13">
      <c r="A5637" s="41">
        <f>IF(C5637="","",SUBTOTAL(103,$C$2:C5637))</f>
        <v>5628</v>
      </c>
      <c r="B5637" s="41">
        <v>4327</v>
      </c>
      <c r="C5637" s="41">
        <v>5365</v>
      </c>
      <c r="D5637" s="41" t="s">
        <v>45</v>
      </c>
      <c r="E5637" s="41" t="s">
        <v>1298</v>
      </c>
      <c r="F5637" s="41" t="s">
        <v>16625</v>
      </c>
      <c r="G5637" s="41" t="s">
        <v>17183</v>
      </c>
      <c r="H5637" s="41" t="s">
        <v>17184</v>
      </c>
      <c r="I5637" s="43">
        <v>12</v>
      </c>
      <c r="J5637" s="44" t="str">
        <f>VLOOKUP(G5637,[1]硬件清单!$F:$F,1,0)</f>
        <v>6C07422HM0</v>
      </c>
      <c r="K5637" s="43"/>
      <c r="L5637" s="44"/>
      <c r="M5637" s="45" t="s">
        <v>17185</v>
      </c>
    </row>
    <row r="5638" s="28" customFormat="1" ht="30" customHeight="1" spans="1:13">
      <c r="A5638" s="41">
        <f>IF(C5638="","",SUBTOTAL(103,$C$2:C5638))</f>
        <v>5629</v>
      </c>
      <c r="B5638" s="41">
        <v>4328</v>
      </c>
      <c r="C5638" s="41">
        <v>5151</v>
      </c>
      <c r="D5638" s="41" t="s">
        <v>45</v>
      </c>
      <c r="E5638" s="41" t="s">
        <v>1298</v>
      </c>
      <c r="F5638" s="41" t="s">
        <v>16629</v>
      </c>
      <c r="G5638" s="41" t="s">
        <v>17186</v>
      </c>
      <c r="H5638" s="41" t="s">
        <v>17187</v>
      </c>
      <c r="I5638" s="43">
        <v>12</v>
      </c>
      <c r="J5638" s="44" t="str">
        <f>VLOOKUP(G5638,[1]硬件清单!$F:$F,1,0)</f>
        <v>6CU7421Y0V</v>
      </c>
      <c r="K5638" s="43"/>
      <c r="L5638" s="44"/>
      <c r="M5638" s="45" t="s">
        <v>17188</v>
      </c>
    </row>
    <row r="5639" s="28" customFormat="1" ht="30" customHeight="1" spans="1:13">
      <c r="A5639" s="41">
        <f>IF(C5639="","",SUBTOTAL(103,$C$2:C5639))</f>
        <v>5630</v>
      </c>
      <c r="B5639" s="41">
        <v>4329</v>
      </c>
      <c r="C5639" s="41">
        <v>5207</v>
      </c>
      <c r="D5639" s="41" t="s">
        <v>45</v>
      </c>
      <c r="E5639" s="41" t="s">
        <v>1298</v>
      </c>
      <c r="F5639" s="41" t="s">
        <v>16629</v>
      </c>
      <c r="G5639" s="41" t="s">
        <v>17189</v>
      </c>
      <c r="H5639" s="41" t="s">
        <v>17190</v>
      </c>
      <c r="I5639" s="43">
        <v>12</v>
      </c>
      <c r="J5639" s="44" t="str">
        <f>VLOOKUP(G5639,[1]硬件清单!$F:$F,1,0)</f>
        <v>6CU7421XXV</v>
      </c>
      <c r="K5639" s="43"/>
      <c r="L5639" s="44"/>
      <c r="M5639" s="45" t="s">
        <v>17191</v>
      </c>
    </row>
    <row r="5640" s="28" customFormat="1" ht="30" customHeight="1" spans="1:13">
      <c r="A5640" s="41">
        <f>IF(C5640="","",SUBTOTAL(103,$C$2:C5640))</f>
        <v>5631</v>
      </c>
      <c r="B5640" s="41">
        <v>4330</v>
      </c>
      <c r="C5640" s="41">
        <v>5208</v>
      </c>
      <c r="D5640" s="41" t="s">
        <v>45</v>
      </c>
      <c r="E5640" s="41" t="s">
        <v>1298</v>
      </c>
      <c r="F5640" s="41" t="s">
        <v>16629</v>
      </c>
      <c r="G5640" s="41" t="s">
        <v>17192</v>
      </c>
      <c r="H5640" s="41" t="s">
        <v>17193</v>
      </c>
      <c r="I5640" s="43">
        <v>12</v>
      </c>
      <c r="J5640" s="44" t="str">
        <f>VLOOKUP(G5640,[1]硬件清单!$F:$F,1,0)</f>
        <v>6CU7421Y4K</v>
      </c>
      <c r="K5640" s="43"/>
      <c r="L5640" s="44"/>
      <c r="M5640" s="45" t="s">
        <v>17194</v>
      </c>
    </row>
    <row r="5641" s="28" customFormat="1" ht="30" customHeight="1" spans="1:13">
      <c r="A5641" s="41">
        <f>IF(C5641="","",SUBTOTAL(103,$C$2:C5641))</f>
        <v>5632</v>
      </c>
      <c r="B5641" s="41">
        <v>4331</v>
      </c>
      <c r="C5641" s="41">
        <v>5209</v>
      </c>
      <c r="D5641" s="41" t="s">
        <v>45</v>
      </c>
      <c r="E5641" s="41" t="s">
        <v>1298</v>
      </c>
      <c r="F5641" s="41" t="s">
        <v>16629</v>
      </c>
      <c r="G5641" s="41" t="s">
        <v>17195</v>
      </c>
      <c r="H5641" s="41" t="s">
        <v>17196</v>
      </c>
      <c r="I5641" s="43">
        <v>12</v>
      </c>
      <c r="J5641" s="44" t="str">
        <f>VLOOKUP(G5641,[1]硬件清单!$F:$F,1,0)</f>
        <v>6CU7421Y6V</v>
      </c>
      <c r="K5641" s="43"/>
      <c r="L5641" s="44"/>
      <c r="M5641" s="45" t="s">
        <v>17197</v>
      </c>
    </row>
    <row r="5642" s="28" customFormat="1" ht="30" customHeight="1" spans="1:13">
      <c r="A5642" s="41">
        <f>IF(C5642="","",SUBTOTAL(103,$C$2:C5642))</f>
        <v>5633</v>
      </c>
      <c r="B5642" s="41">
        <v>4332</v>
      </c>
      <c r="C5642" s="41">
        <v>5210</v>
      </c>
      <c r="D5642" s="41" t="s">
        <v>45</v>
      </c>
      <c r="E5642" s="41" t="s">
        <v>1298</v>
      </c>
      <c r="F5642" s="41" t="s">
        <v>16629</v>
      </c>
      <c r="G5642" s="41" t="s">
        <v>17198</v>
      </c>
      <c r="H5642" s="41" t="s">
        <v>17199</v>
      </c>
      <c r="I5642" s="43">
        <v>12</v>
      </c>
      <c r="J5642" s="44" t="str">
        <f>VLOOKUP(G5642,[1]硬件清单!$F:$F,1,0)</f>
        <v>6CU7421XYX</v>
      </c>
      <c r="K5642" s="43"/>
      <c r="L5642" s="44"/>
      <c r="M5642" s="45" t="s">
        <v>17200</v>
      </c>
    </row>
    <row r="5643" s="28" customFormat="1" ht="30" customHeight="1" spans="1:13">
      <c r="A5643" s="41">
        <f>IF(C5643="","",SUBTOTAL(103,$C$2:C5643))</f>
        <v>5634</v>
      </c>
      <c r="B5643" s="41">
        <v>4333</v>
      </c>
      <c r="C5643" s="41">
        <v>5211</v>
      </c>
      <c r="D5643" s="41" t="s">
        <v>45</v>
      </c>
      <c r="E5643" s="41" t="s">
        <v>1298</v>
      </c>
      <c r="F5643" s="41" t="s">
        <v>16629</v>
      </c>
      <c r="G5643" s="41" t="s">
        <v>17201</v>
      </c>
      <c r="H5643" s="41" t="s">
        <v>17202</v>
      </c>
      <c r="I5643" s="43">
        <v>12</v>
      </c>
      <c r="J5643" s="44" t="str">
        <f>VLOOKUP(G5643,[1]硬件清单!$F:$F,1,0)</f>
        <v>6CU7421XW4</v>
      </c>
      <c r="K5643" s="43"/>
      <c r="L5643" s="44"/>
      <c r="M5643" s="45" t="s">
        <v>17203</v>
      </c>
    </row>
    <row r="5644" s="28" customFormat="1" ht="30" customHeight="1" spans="1:13">
      <c r="A5644" s="41">
        <f>IF(C5644="","",SUBTOTAL(103,$C$2:C5644))</f>
        <v>5635</v>
      </c>
      <c r="B5644" s="41">
        <v>4334</v>
      </c>
      <c r="C5644" s="41">
        <v>5212</v>
      </c>
      <c r="D5644" s="41" t="s">
        <v>45</v>
      </c>
      <c r="E5644" s="41" t="s">
        <v>1298</v>
      </c>
      <c r="F5644" s="41" t="s">
        <v>16629</v>
      </c>
      <c r="G5644" s="41" t="s">
        <v>17204</v>
      </c>
      <c r="H5644" s="41" t="s">
        <v>17205</v>
      </c>
      <c r="I5644" s="43">
        <v>12</v>
      </c>
      <c r="J5644" s="44" t="str">
        <f>VLOOKUP(G5644,[1]硬件清单!$F:$F,1,0)</f>
        <v>6CU7421YD8</v>
      </c>
      <c r="K5644" s="43"/>
      <c r="L5644" s="44"/>
      <c r="M5644" s="45" t="s">
        <v>17206</v>
      </c>
    </row>
    <row r="5645" s="28" customFormat="1" ht="30" customHeight="1" spans="1:13">
      <c r="A5645" s="41">
        <f>IF(C5645="","",SUBTOTAL(103,$C$2:C5645))</f>
        <v>5636</v>
      </c>
      <c r="B5645" s="41">
        <v>4335</v>
      </c>
      <c r="C5645" s="41">
        <v>5213</v>
      </c>
      <c r="D5645" s="41" t="s">
        <v>45</v>
      </c>
      <c r="E5645" s="41" t="s">
        <v>1298</v>
      </c>
      <c r="F5645" s="41" t="s">
        <v>16629</v>
      </c>
      <c r="G5645" s="41" t="s">
        <v>17207</v>
      </c>
      <c r="H5645" s="41" t="s">
        <v>17208</v>
      </c>
      <c r="I5645" s="43">
        <v>12</v>
      </c>
      <c r="J5645" s="44" t="str">
        <f>VLOOKUP(G5645,[1]硬件清单!$F:$F,1,0)</f>
        <v>6CU7421YBX</v>
      </c>
      <c r="K5645" s="43"/>
      <c r="L5645" s="44"/>
      <c r="M5645" s="45" t="s">
        <v>17209</v>
      </c>
    </row>
    <row r="5646" s="28" customFormat="1" ht="30" customHeight="1" spans="1:13">
      <c r="A5646" s="41">
        <f>IF(C5646="","",SUBTOTAL(103,$C$2:C5646))</f>
        <v>5637</v>
      </c>
      <c r="B5646" s="41">
        <v>4336</v>
      </c>
      <c r="C5646" s="41">
        <v>5152</v>
      </c>
      <c r="D5646" s="41" t="s">
        <v>45</v>
      </c>
      <c r="E5646" s="41" t="s">
        <v>1298</v>
      </c>
      <c r="F5646" s="41" t="s">
        <v>16629</v>
      </c>
      <c r="G5646" s="41" t="s">
        <v>17210</v>
      </c>
      <c r="H5646" s="41" t="s">
        <v>17211</v>
      </c>
      <c r="I5646" s="43">
        <v>12</v>
      </c>
      <c r="J5646" s="44" t="str">
        <f>VLOOKUP(G5646,[1]硬件清单!$F:$F,1,0)</f>
        <v>6CU7421Y30</v>
      </c>
      <c r="K5646" s="43"/>
      <c r="L5646" s="44"/>
      <c r="M5646" s="45" t="s">
        <v>17212</v>
      </c>
    </row>
    <row r="5647" s="28" customFormat="1" ht="30" customHeight="1" spans="1:13">
      <c r="A5647" s="41">
        <f>IF(C5647="","",SUBTOTAL(103,$C$2:C5647))</f>
        <v>5638</v>
      </c>
      <c r="B5647" s="41">
        <v>4337</v>
      </c>
      <c r="C5647" s="41">
        <v>5153</v>
      </c>
      <c r="D5647" s="41" t="s">
        <v>45</v>
      </c>
      <c r="E5647" s="41" t="s">
        <v>1298</v>
      </c>
      <c r="F5647" s="41" t="s">
        <v>16629</v>
      </c>
      <c r="G5647" s="41" t="s">
        <v>17213</v>
      </c>
      <c r="H5647" s="41" t="s">
        <v>17214</v>
      </c>
      <c r="I5647" s="43">
        <v>12</v>
      </c>
      <c r="J5647" s="44" t="str">
        <f>VLOOKUP(G5647,[1]硬件清单!$F:$F,1,0)</f>
        <v>6CU7421Y10</v>
      </c>
      <c r="K5647" s="43"/>
      <c r="L5647" s="44"/>
      <c r="M5647" s="45" t="s">
        <v>17215</v>
      </c>
    </row>
    <row r="5648" s="28" customFormat="1" ht="30" customHeight="1" spans="1:13">
      <c r="A5648" s="41">
        <f>IF(C5648="","",SUBTOTAL(103,$C$2:C5648))</f>
        <v>5639</v>
      </c>
      <c r="B5648" s="41">
        <v>4338</v>
      </c>
      <c r="C5648" s="41">
        <v>5154</v>
      </c>
      <c r="D5648" s="41" t="s">
        <v>45</v>
      </c>
      <c r="E5648" s="41" t="s">
        <v>1298</v>
      </c>
      <c r="F5648" s="41" t="s">
        <v>16629</v>
      </c>
      <c r="G5648" s="41" t="s">
        <v>17216</v>
      </c>
      <c r="H5648" s="41" t="s">
        <v>17217</v>
      </c>
      <c r="I5648" s="43">
        <v>12</v>
      </c>
      <c r="J5648" s="44" t="str">
        <f>VLOOKUP(G5648,[1]硬件清单!$F:$F,1,0)</f>
        <v>6CU7421XVV</v>
      </c>
      <c r="K5648" s="43"/>
      <c r="L5648" s="44"/>
      <c r="M5648" s="45" t="s">
        <v>17218</v>
      </c>
    </row>
    <row r="5649" s="28" customFormat="1" ht="30" customHeight="1" spans="1:13">
      <c r="A5649" s="41">
        <f>IF(C5649="","",SUBTOTAL(103,$C$2:C5649))</f>
        <v>5640</v>
      </c>
      <c r="B5649" s="41">
        <v>4339</v>
      </c>
      <c r="C5649" s="53">
        <v>5155</v>
      </c>
      <c r="D5649" s="53" t="s">
        <v>45</v>
      </c>
      <c r="E5649" s="53" t="s">
        <v>1298</v>
      </c>
      <c r="F5649" s="53" t="s">
        <v>16629</v>
      </c>
      <c r="G5649" s="53" t="s">
        <v>17219</v>
      </c>
      <c r="H5649" s="53" t="s">
        <v>17220</v>
      </c>
      <c r="I5649" s="43">
        <v>12</v>
      </c>
      <c r="J5649" s="44" t="str">
        <f>VLOOKUP(G5649,[1]硬件清单!$F:$F,1,0)</f>
        <v>6CU7421Y74</v>
      </c>
      <c r="K5649" s="43"/>
      <c r="L5649" s="44"/>
      <c r="M5649" s="45" t="s">
        <v>17221</v>
      </c>
    </row>
    <row r="5650" s="29" customFormat="1" ht="30" customHeight="1" spans="1:13">
      <c r="A5650" s="41">
        <f>IF(C5650="","",SUBTOTAL(103,$C$2:C5650))</f>
        <v>5641</v>
      </c>
      <c r="B5650" s="41">
        <v>4340</v>
      </c>
      <c r="C5650" s="54">
        <v>5156</v>
      </c>
      <c r="D5650" s="54" t="s">
        <v>45</v>
      </c>
      <c r="E5650" s="54" t="s">
        <v>1298</v>
      </c>
      <c r="F5650" s="54" t="s">
        <v>16629</v>
      </c>
      <c r="G5650" s="54" t="s">
        <v>17222</v>
      </c>
      <c r="H5650" s="54" t="s">
        <v>17223</v>
      </c>
      <c r="I5650" s="43">
        <v>12</v>
      </c>
      <c r="J5650" s="44" t="str">
        <f>VLOOKUP(G5650,[1]硬件清单!$F:$F,1,0)</f>
        <v>6CU7421Y2V</v>
      </c>
      <c r="K5650" s="43"/>
      <c r="L5650" s="44"/>
      <c r="M5650" s="45" t="s">
        <v>17224</v>
      </c>
    </row>
    <row r="5651" s="29" customFormat="1" ht="30" customHeight="1" spans="1:13">
      <c r="A5651" s="41">
        <f>IF(C5651="","",SUBTOTAL(103,$C$2:C5651))</f>
        <v>5642</v>
      </c>
      <c r="B5651" s="41">
        <v>4341</v>
      </c>
      <c r="C5651" s="54">
        <v>5157</v>
      </c>
      <c r="D5651" s="54" t="s">
        <v>45</v>
      </c>
      <c r="E5651" s="54" t="s">
        <v>1298</v>
      </c>
      <c r="F5651" s="54" t="s">
        <v>16629</v>
      </c>
      <c r="G5651" s="54" t="s">
        <v>17225</v>
      </c>
      <c r="H5651" s="54" t="s">
        <v>17226</v>
      </c>
      <c r="I5651" s="43">
        <v>12</v>
      </c>
      <c r="J5651" s="44" t="str">
        <f>VLOOKUP(G5651,[1]硬件清单!$F:$F,1,0)</f>
        <v>6CU7421Y4P</v>
      </c>
      <c r="K5651" s="43"/>
      <c r="L5651" s="44"/>
      <c r="M5651" s="45" t="s">
        <v>17227</v>
      </c>
    </row>
    <row r="5652" s="29" customFormat="1" ht="30" customHeight="1" spans="1:13">
      <c r="A5652" s="41">
        <f>IF(C5652="","",SUBTOTAL(103,$C$2:C5652))</f>
        <v>5643</v>
      </c>
      <c r="B5652" s="41">
        <v>4342</v>
      </c>
      <c r="C5652" s="54">
        <v>5205</v>
      </c>
      <c r="D5652" s="54" t="s">
        <v>45</v>
      </c>
      <c r="E5652" s="54" t="s">
        <v>1298</v>
      </c>
      <c r="F5652" s="54" t="s">
        <v>16629</v>
      </c>
      <c r="G5652" s="54" t="s">
        <v>17228</v>
      </c>
      <c r="H5652" s="54" t="s">
        <v>17229</v>
      </c>
      <c r="I5652" s="43">
        <v>12</v>
      </c>
      <c r="J5652" s="44" t="str">
        <f>VLOOKUP(G5652,[1]硬件清单!$F:$F,1,0)</f>
        <v>6CU7421Y78</v>
      </c>
      <c r="K5652" s="43"/>
      <c r="L5652" s="44"/>
      <c r="M5652" s="45" t="s">
        <v>17230</v>
      </c>
    </row>
    <row r="5653" s="29" customFormat="1" ht="30" customHeight="1" spans="1:13">
      <c r="A5653" s="41">
        <f>IF(C5653="","",SUBTOTAL(103,$C$2:C5653))</f>
        <v>5644</v>
      </c>
      <c r="B5653" s="41">
        <v>4343</v>
      </c>
      <c r="C5653" s="54">
        <v>5206</v>
      </c>
      <c r="D5653" s="54" t="s">
        <v>45</v>
      </c>
      <c r="E5653" s="54" t="s">
        <v>1298</v>
      </c>
      <c r="F5653" s="54" t="s">
        <v>16629</v>
      </c>
      <c r="G5653" s="54" t="s">
        <v>17231</v>
      </c>
      <c r="H5653" s="54" t="s">
        <v>17232</v>
      </c>
      <c r="I5653" s="43">
        <v>12</v>
      </c>
      <c r="J5653" s="44" t="str">
        <f>VLOOKUP(G5653,[1]硬件清单!$F:$F,1,0)</f>
        <v>6CU7421Y50</v>
      </c>
      <c r="K5653" s="43"/>
      <c r="L5653" s="44"/>
      <c r="M5653" s="45" t="s">
        <v>17233</v>
      </c>
    </row>
    <row r="5654" s="29" customFormat="1" ht="30" customHeight="1" spans="1:13">
      <c r="A5654" s="41">
        <f>IF(C5654="","",SUBTOTAL(103,$C$2:C5654))</f>
        <v>5645</v>
      </c>
      <c r="B5654" s="41">
        <v>4344</v>
      </c>
      <c r="C5654" s="54">
        <v>5366</v>
      </c>
      <c r="D5654" s="54" t="s">
        <v>45</v>
      </c>
      <c r="E5654" s="54" t="s">
        <v>1298</v>
      </c>
      <c r="F5654" s="54" t="s">
        <v>16625</v>
      </c>
      <c r="G5654" s="54" t="s">
        <v>17234</v>
      </c>
      <c r="H5654" s="54" t="s">
        <v>17235</v>
      </c>
      <c r="I5654" s="43">
        <v>12</v>
      </c>
      <c r="J5654" s="44" t="str">
        <f>VLOOKUP(G5654,[1]硬件清单!$F:$F,1,0)</f>
        <v>6C07422HLX</v>
      </c>
      <c r="K5654" s="43"/>
      <c r="L5654" s="44"/>
      <c r="M5654" s="45" t="s">
        <v>17236</v>
      </c>
    </row>
    <row r="5655" s="29" customFormat="1" ht="30" customHeight="1" spans="1:13">
      <c r="A5655" s="41">
        <f>IF(C5655="","",SUBTOTAL(103,$C$2:C5655))</f>
        <v>5646</v>
      </c>
      <c r="B5655" s="41">
        <v>4345</v>
      </c>
      <c r="C5655" s="54">
        <v>5214</v>
      </c>
      <c r="D5655" s="54" t="s">
        <v>45</v>
      </c>
      <c r="E5655" s="54" t="s">
        <v>1298</v>
      </c>
      <c r="F5655" s="54" t="s">
        <v>16629</v>
      </c>
      <c r="G5655" s="54" t="s">
        <v>17237</v>
      </c>
      <c r="H5655" s="54" t="s">
        <v>17238</v>
      </c>
      <c r="I5655" s="43">
        <v>12</v>
      </c>
      <c r="J5655" s="44" t="str">
        <f>VLOOKUP(G5655,[1]硬件清单!$F:$F,1,0)</f>
        <v>6CU7421Y9X</v>
      </c>
      <c r="K5655" s="43"/>
      <c r="L5655" s="44"/>
      <c r="M5655" s="45" t="s">
        <v>17239</v>
      </c>
    </row>
    <row r="5656" s="29" customFormat="1" ht="30" customHeight="1" spans="1:13">
      <c r="A5656" s="41">
        <f>IF(C5656="","",SUBTOTAL(103,$C$2:C5656))</f>
        <v>5647</v>
      </c>
      <c r="B5656" s="41">
        <v>4346</v>
      </c>
      <c r="C5656" s="54">
        <v>5251</v>
      </c>
      <c r="D5656" s="54" t="s">
        <v>45</v>
      </c>
      <c r="E5656" s="54" t="s">
        <v>1298</v>
      </c>
      <c r="F5656" s="54" t="s">
        <v>16629</v>
      </c>
      <c r="G5656" s="54" t="s">
        <v>17240</v>
      </c>
      <c r="H5656" s="54" t="s">
        <v>17241</v>
      </c>
      <c r="I5656" s="43">
        <v>12</v>
      </c>
      <c r="J5656" s="44" t="str">
        <f>VLOOKUP(G5656,[1]硬件清单!$F:$F,1,0)</f>
        <v>6CU7421Y18</v>
      </c>
      <c r="K5656" s="43"/>
      <c r="L5656" s="44"/>
      <c r="M5656" s="45" t="s">
        <v>17242</v>
      </c>
    </row>
    <row r="5657" s="29" customFormat="1" ht="30" customHeight="1" spans="1:13">
      <c r="A5657" s="41">
        <f>IF(C5657="","",SUBTOTAL(103,$C$2:C5657))</f>
        <v>5648</v>
      </c>
      <c r="B5657" s="41">
        <v>4347</v>
      </c>
      <c r="C5657" s="54">
        <v>5257</v>
      </c>
      <c r="D5657" s="54" t="s">
        <v>45</v>
      </c>
      <c r="E5657" s="54" t="s">
        <v>1298</v>
      </c>
      <c r="F5657" s="54" t="s">
        <v>16629</v>
      </c>
      <c r="G5657" s="54" t="s">
        <v>17243</v>
      </c>
      <c r="H5657" s="54" t="s">
        <v>17244</v>
      </c>
      <c r="I5657" s="43">
        <v>12</v>
      </c>
      <c r="J5657" s="44" t="str">
        <f>VLOOKUP(G5657,[1]硬件清单!$F:$F,1,0)</f>
        <v>6CU7421Y9S</v>
      </c>
      <c r="K5657" s="43"/>
      <c r="L5657" s="44"/>
      <c r="M5657" s="45" t="s">
        <v>17245</v>
      </c>
    </row>
    <row r="5658" s="29" customFormat="1" ht="30" customHeight="1" spans="1:13">
      <c r="A5658" s="41">
        <f>IF(C5658="","",SUBTOTAL(103,$C$2:C5658))</f>
        <v>5649</v>
      </c>
      <c r="B5658" s="41">
        <v>4348</v>
      </c>
      <c r="C5658" s="54">
        <v>5258</v>
      </c>
      <c r="D5658" s="54" t="s">
        <v>45</v>
      </c>
      <c r="E5658" s="54" t="s">
        <v>1298</v>
      </c>
      <c r="F5658" s="54" t="s">
        <v>16629</v>
      </c>
      <c r="G5658" s="54" t="s">
        <v>17246</v>
      </c>
      <c r="H5658" s="54" t="s">
        <v>17247</v>
      </c>
      <c r="I5658" s="43">
        <v>12</v>
      </c>
      <c r="J5658" s="44" t="str">
        <f>VLOOKUP(G5658,[1]硬件清单!$F:$F,1,0)</f>
        <v>6CU7421Y46</v>
      </c>
      <c r="K5658" s="43"/>
      <c r="L5658" s="44"/>
      <c r="M5658" s="45" t="s">
        <v>17248</v>
      </c>
    </row>
    <row r="5659" s="29" customFormat="1" ht="30" customHeight="1" spans="1:13">
      <c r="A5659" s="41">
        <f>IF(C5659="","",SUBTOTAL(103,$C$2:C5659))</f>
        <v>5650</v>
      </c>
      <c r="B5659" s="41">
        <v>4349</v>
      </c>
      <c r="C5659" s="54">
        <v>5291</v>
      </c>
      <c r="D5659" s="54" t="s">
        <v>45</v>
      </c>
      <c r="E5659" s="54" t="s">
        <v>1298</v>
      </c>
      <c r="F5659" s="54" t="s">
        <v>16629</v>
      </c>
      <c r="G5659" s="54" t="s">
        <v>17249</v>
      </c>
      <c r="H5659" s="54" t="s">
        <v>17250</v>
      </c>
      <c r="I5659" s="43">
        <v>12</v>
      </c>
      <c r="J5659" s="44" t="str">
        <f>VLOOKUP(G5659,[1]硬件清单!$F:$F,1,0)</f>
        <v>6CU7421Y8K</v>
      </c>
      <c r="K5659" s="43"/>
      <c r="L5659" s="44"/>
      <c r="M5659" s="45" t="s">
        <v>17251</v>
      </c>
    </row>
    <row r="5660" s="29" customFormat="1" ht="30" customHeight="1" spans="1:13">
      <c r="A5660" s="41">
        <f>IF(C5660="","",SUBTOTAL(103,$C$2:C5660))</f>
        <v>5651</v>
      </c>
      <c r="B5660" s="41">
        <v>4350</v>
      </c>
      <c r="C5660" s="54">
        <v>5292</v>
      </c>
      <c r="D5660" s="54" t="s">
        <v>45</v>
      </c>
      <c r="E5660" s="54" t="s">
        <v>1298</v>
      </c>
      <c r="F5660" s="54" t="s">
        <v>16629</v>
      </c>
      <c r="G5660" s="54" t="s">
        <v>17252</v>
      </c>
      <c r="H5660" s="54" t="s">
        <v>17253</v>
      </c>
      <c r="I5660" s="43">
        <v>12</v>
      </c>
      <c r="J5660" s="44" t="str">
        <f>VLOOKUP(G5660,[1]硬件清单!$F:$F,1,0)</f>
        <v>6CU7421Y26</v>
      </c>
      <c r="K5660" s="43"/>
      <c r="L5660" s="44"/>
      <c r="M5660" s="45" t="s">
        <v>17254</v>
      </c>
    </row>
    <row r="5661" s="29" customFormat="1" ht="30" customHeight="1" spans="1:13">
      <c r="A5661" s="41">
        <f>IF(C5661="","",SUBTOTAL(103,$C$2:C5661))</f>
        <v>5652</v>
      </c>
      <c r="B5661" s="41">
        <v>4351</v>
      </c>
      <c r="C5661" s="54">
        <v>5293</v>
      </c>
      <c r="D5661" s="54" t="s">
        <v>45</v>
      </c>
      <c r="E5661" s="54" t="s">
        <v>1298</v>
      </c>
      <c r="F5661" s="54" t="s">
        <v>16629</v>
      </c>
      <c r="G5661" s="54" t="s">
        <v>17255</v>
      </c>
      <c r="H5661" s="54" t="s">
        <v>17256</v>
      </c>
      <c r="I5661" s="43">
        <v>12</v>
      </c>
      <c r="J5661" s="44" t="str">
        <f>VLOOKUP(G5661,[1]硬件清单!$F:$F,1,0)</f>
        <v>6CU7421Y22</v>
      </c>
      <c r="K5661" s="43"/>
      <c r="L5661" s="44"/>
      <c r="M5661" s="45" t="s">
        <v>17257</v>
      </c>
    </row>
    <row r="5662" s="29" customFormat="1" ht="30" customHeight="1" spans="1:13">
      <c r="A5662" s="41">
        <f>IF(C5662="","",SUBTOTAL(103,$C$2:C5662))</f>
        <v>5653</v>
      </c>
      <c r="B5662" s="41">
        <v>4352</v>
      </c>
      <c r="C5662" s="54">
        <v>5294</v>
      </c>
      <c r="D5662" s="54" t="s">
        <v>45</v>
      </c>
      <c r="E5662" s="54" t="s">
        <v>1298</v>
      </c>
      <c r="F5662" s="54" t="s">
        <v>16629</v>
      </c>
      <c r="G5662" s="54" t="s">
        <v>17258</v>
      </c>
      <c r="H5662" s="54" t="s">
        <v>17259</v>
      </c>
      <c r="I5662" s="43">
        <v>12</v>
      </c>
      <c r="J5662" s="44" t="str">
        <f>VLOOKUP(G5662,[1]硬件清单!$F:$F,1,0)</f>
        <v>6CU7421YD4</v>
      </c>
      <c r="K5662" s="43"/>
      <c r="L5662" s="44"/>
      <c r="M5662" s="45" t="s">
        <v>17260</v>
      </c>
    </row>
    <row r="5663" s="29" customFormat="1" ht="30" customHeight="1" spans="1:13">
      <c r="A5663" s="41">
        <f>IF(C5663="","",SUBTOTAL(103,$C$2:C5663))</f>
        <v>5654</v>
      </c>
      <c r="B5663" s="41">
        <v>4353</v>
      </c>
      <c r="C5663" s="54">
        <v>5215</v>
      </c>
      <c r="D5663" s="54" t="s">
        <v>45</v>
      </c>
      <c r="E5663" s="54" t="s">
        <v>1298</v>
      </c>
      <c r="F5663" s="54" t="s">
        <v>16629</v>
      </c>
      <c r="G5663" s="54" t="s">
        <v>17261</v>
      </c>
      <c r="H5663" s="54" t="s">
        <v>17262</v>
      </c>
      <c r="I5663" s="43">
        <v>12</v>
      </c>
      <c r="J5663" s="44" t="str">
        <f>VLOOKUP(G5663,[1]硬件清单!$F:$F,1,0)</f>
        <v>6CU7421Y5C</v>
      </c>
      <c r="K5663" s="43"/>
      <c r="L5663" s="44"/>
      <c r="M5663" s="45" t="s">
        <v>17263</v>
      </c>
    </row>
    <row r="5664" s="29" customFormat="1" ht="30" customHeight="1" spans="1:13">
      <c r="A5664" s="41">
        <f>IF(C5664="","",SUBTOTAL(103,$C$2:C5664))</f>
        <v>5655</v>
      </c>
      <c r="B5664" s="41">
        <v>4354</v>
      </c>
      <c r="C5664" s="54">
        <v>5244</v>
      </c>
      <c r="D5664" s="54" t="s">
        <v>45</v>
      </c>
      <c r="E5664" s="54" t="s">
        <v>1298</v>
      </c>
      <c r="F5664" s="54" t="s">
        <v>16629</v>
      </c>
      <c r="G5664" s="54" t="s">
        <v>17264</v>
      </c>
      <c r="H5664" s="54" t="s">
        <v>17265</v>
      </c>
      <c r="I5664" s="43">
        <v>12</v>
      </c>
      <c r="J5664" s="44" t="str">
        <f>VLOOKUP(G5664,[1]硬件清单!$F:$F,1,0)</f>
        <v>6CU7421YAP</v>
      </c>
      <c r="K5664" s="43"/>
      <c r="L5664" s="44"/>
      <c r="M5664" s="45" t="s">
        <v>17266</v>
      </c>
    </row>
    <row r="5665" s="29" customFormat="1" ht="30" customHeight="1" spans="1:13">
      <c r="A5665" s="41">
        <f>IF(C5665="","",SUBTOTAL(103,$C$2:C5665))</f>
        <v>5656</v>
      </c>
      <c r="B5665" s="41">
        <v>4355</v>
      </c>
      <c r="C5665" s="54">
        <v>5245</v>
      </c>
      <c r="D5665" s="54" t="s">
        <v>45</v>
      </c>
      <c r="E5665" s="54" t="s">
        <v>1298</v>
      </c>
      <c r="F5665" s="54" t="s">
        <v>16629</v>
      </c>
      <c r="G5665" s="54" t="s">
        <v>17267</v>
      </c>
      <c r="H5665" s="54" t="s">
        <v>17268</v>
      </c>
      <c r="I5665" s="43">
        <v>12</v>
      </c>
      <c r="J5665" s="44" t="str">
        <f>VLOOKUP(G5665,[1]硬件清单!$F:$F,1,0)</f>
        <v>6CU7421XX2</v>
      </c>
      <c r="K5665" s="43"/>
      <c r="L5665" s="44"/>
      <c r="M5665" s="45" t="s">
        <v>17269</v>
      </c>
    </row>
    <row r="5666" s="29" customFormat="1" ht="30" customHeight="1" spans="1:13">
      <c r="A5666" s="41">
        <f>IF(C5666="","",SUBTOTAL(103,$C$2:C5666))</f>
        <v>5657</v>
      </c>
      <c r="B5666" s="41">
        <v>4356</v>
      </c>
      <c r="C5666" s="54">
        <v>5246</v>
      </c>
      <c r="D5666" s="54" t="s">
        <v>45</v>
      </c>
      <c r="E5666" s="54" t="s">
        <v>1298</v>
      </c>
      <c r="F5666" s="54" t="s">
        <v>16629</v>
      </c>
      <c r="G5666" s="54" t="s">
        <v>17270</v>
      </c>
      <c r="H5666" s="54" t="s">
        <v>17271</v>
      </c>
      <c r="I5666" s="43">
        <v>12</v>
      </c>
      <c r="J5666" s="44" t="str">
        <f>VLOOKUP(G5666,[1]硬件清单!$F:$F,1,0)</f>
        <v>6CU7421Y7X</v>
      </c>
      <c r="K5666" s="43"/>
      <c r="L5666" s="44"/>
      <c r="M5666" s="45" t="s">
        <v>17272</v>
      </c>
    </row>
    <row r="5667" s="29" customFormat="1" ht="30" customHeight="1" spans="1:13">
      <c r="A5667" s="41">
        <f>IF(C5667="","",SUBTOTAL(103,$C$2:C5667))</f>
        <v>5658</v>
      </c>
      <c r="B5667" s="41">
        <v>4357</v>
      </c>
      <c r="C5667" s="54">
        <v>5247</v>
      </c>
      <c r="D5667" s="54" t="s">
        <v>45</v>
      </c>
      <c r="E5667" s="54" t="s">
        <v>1298</v>
      </c>
      <c r="F5667" s="54" t="s">
        <v>16629</v>
      </c>
      <c r="G5667" s="54" t="s">
        <v>17273</v>
      </c>
      <c r="H5667" s="54" t="s">
        <v>17274</v>
      </c>
      <c r="I5667" s="43">
        <v>12</v>
      </c>
      <c r="J5667" s="44" t="str">
        <f>VLOOKUP(G5667,[1]硬件清单!$F:$F,1,0)</f>
        <v>6CU7421YBS</v>
      </c>
      <c r="K5667" s="43"/>
      <c r="L5667" s="44"/>
      <c r="M5667" s="45" t="s">
        <v>17275</v>
      </c>
    </row>
    <row r="5668" s="29" customFormat="1" ht="30" customHeight="1" spans="1:13">
      <c r="A5668" s="41">
        <f>IF(C5668="","",SUBTOTAL(103,$C$2:C5668))</f>
        <v>5659</v>
      </c>
      <c r="B5668" s="41">
        <v>4358</v>
      </c>
      <c r="C5668" s="54">
        <v>5248</v>
      </c>
      <c r="D5668" s="54" t="s">
        <v>45</v>
      </c>
      <c r="E5668" s="54" t="s">
        <v>1298</v>
      </c>
      <c r="F5668" s="54" t="s">
        <v>16629</v>
      </c>
      <c r="G5668" s="54" t="s">
        <v>17276</v>
      </c>
      <c r="H5668" s="54" t="s">
        <v>17277</v>
      </c>
      <c r="I5668" s="43">
        <v>12</v>
      </c>
      <c r="J5668" s="44" t="str">
        <f>VLOOKUP(G5668,[1]硬件清单!$F:$F,1,0)</f>
        <v>6CU7421YAV</v>
      </c>
      <c r="K5668" s="43"/>
      <c r="L5668" s="44"/>
      <c r="M5668" s="45" t="s">
        <v>17278</v>
      </c>
    </row>
    <row r="5669" s="29" customFormat="1" ht="30" customHeight="1" spans="1:13">
      <c r="A5669" s="41">
        <f>IF(C5669="","",SUBTOTAL(103,$C$2:C5669))</f>
        <v>5660</v>
      </c>
      <c r="B5669" s="41">
        <v>4359</v>
      </c>
      <c r="C5669" s="54">
        <v>5249</v>
      </c>
      <c r="D5669" s="54" t="s">
        <v>45</v>
      </c>
      <c r="E5669" s="54" t="s">
        <v>1298</v>
      </c>
      <c r="F5669" s="54" t="s">
        <v>16629</v>
      </c>
      <c r="G5669" s="54" t="s">
        <v>17279</v>
      </c>
      <c r="H5669" s="54" t="s">
        <v>17280</v>
      </c>
      <c r="I5669" s="43">
        <v>12</v>
      </c>
      <c r="J5669" s="44" t="str">
        <f>VLOOKUP(G5669,[1]硬件清单!$F:$F,1,0)</f>
        <v>6CU7421Y1H</v>
      </c>
      <c r="K5669" s="43"/>
      <c r="L5669" s="44"/>
      <c r="M5669" s="45" t="s">
        <v>17281</v>
      </c>
    </row>
    <row r="5670" s="29" customFormat="1" ht="30" customHeight="1" spans="1:13">
      <c r="A5670" s="41">
        <f>IF(C5670="","",SUBTOTAL(103,$C$2:C5670))</f>
        <v>5661</v>
      </c>
      <c r="B5670" s="41">
        <v>4360</v>
      </c>
      <c r="C5670" s="54">
        <v>5250</v>
      </c>
      <c r="D5670" s="54" t="s">
        <v>45</v>
      </c>
      <c r="E5670" s="54" t="s">
        <v>1298</v>
      </c>
      <c r="F5670" s="54" t="s">
        <v>16629</v>
      </c>
      <c r="G5670" s="54" t="s">
        <v>17282</v>
      </c>
      <c r="H5670" s="54" t="s">
        <v>17283</v>
      </c>
      <c r="I5670" s="43">
        <v>12</v>
      </c>
      <c r="J5670" s="44" t="str">
        <f>VLOOKUP(G5670,[1]硬件清单!$F:$F,1,0)</f>
        <v>6CU7421YAK</v>
      </c>
      <c r="K5670" s="43"/>
      <c r="L5670" s="44"/>
      <c r="M5670" s="45" t="s">
        <v>17284</v>
      </c>
    </row>
    <row r="5671" s="29" customFormat="1" ht="30" customHeight="1" spans="1:13">
      <c r="A5671" s="41">
        <f>IF(C5671="","",SUBTOTAL(103,$C$2:C5671))</f>
        <v>5662</v>
      </c>
      <c r="B5671" s="41">
        <v>4361</v>
      </c>
      <c r="C5671" s="54">
        <v>10423</v>
      </c>
      <c r="D5671" s="54" t="s">
        <v>45</v>
      </c>
      <c r="E5671" s="54" t="s">
        <v>1298</v>
      </c>
      <c r="F5671" s="54" t="s">
        <v>4535</v>
      </c>
      <c r="G5671" s="54" t="s">
        <v>17285</v>
      </c>
      <c r="H5671" s="54" t="s">
        <v>17286</v>
      </c>
      <c r="I5671" s="43">
        <v>12</v>
      </c>
      <c r="J5671" s="44" t="str">
        <f>VLOOKUP(G5671,[1]硬件清单!$F:$F,1,0)</f>
        <v>J302XHK</v>
      </c>
      <c r="K5671" s="43"/>
      <c r="L5671" s="44"/>
      <c r="M5671" s="45" t="s">
        <v>17287</v>
      </c>
    </row>
    <row r="5672" s="29" customFormat="1" ht="30" customHeight="1" spans="1:13">
      <c r="A5672" s="41">
        <f>IF(C5672="","",SUBTOTAL(103,$C$2:C5672))</f>
        <v>5663</v>
      </c>
      <c r="B5672" s="41">
        <v>4362</v>
      </c>
      <c r="C5672" s="54">
        <v>10424</v>
      </c>
      <c r="D5672" s="54" t="s">
        <v>45</v>
      </c>
      <c r="E5672" s="54" t="s">
        <v>1298</v>
      </c>
      <c r="F5672" s="54" t="s">
        <v>4535</v>
      </c>
      <c r="G5672" s="54" t="s">
        <v>17288</v>
      </c>
      <c r="H5672" s="54" t="s">
        <v>17289</v>
      </c>
      <c r="I5672" s="43">
        <v>12</v>
      </c>
      <c r="J5672" s="44" t="str">
        <f>VLOOKUP(G5672,[1]硬件清单!$F:$F,1,0)</f>
        <v>06HNALV</v>
      </c>
      <c r="K5672" s="43"/>
      <c r="L5672" s="44"/>
      <c r="M5672" s="45" t="s">
        <v>17290</v>
      </c>
    </row>
    <row r="5673" s="29" customFormat="1" ht="30" customHeight="1" spans="1:13">
      <c r="A5673" s="41">
        <f>IF(C5673="","",SUBTOTAL(103,$C$2:C5673))</f>
        <v>5664</v>
      </c>
      <c r="B5673" s="41">
        <v>4363</v>
      </c>
      <c r="C5673" s="54">
        <v>10425</v>
      </c>
      <c r="D5673" s="54" t="s">
        <v>45</v>
      </c>
      <c r="E5673" s="54" t="s">
        <v>1298</v>
      </c>
      <c r="F5673" s="54" t="s">
        <v>4535</v>
      </c>
      <c r="G5673" s="54" t="s">
        <v>17291</v>
      </c>
      <c r="H5673" s="54" t="s">
        <v>17292</v>
      </c>
      <c r="I5673" s="43">
        <v>12</v>
      </c>
      <c r="J5673" s="44" t="str">
        <f>VLOOKUP(G5673,[1]硬件清单!$F:$F,1,0)</f>
        <v>06HNATM</v>
      </c>
      <c r="K5673" s="43"/>
      <c r="L5673" s="44"/>
      <c r="M5673" s="45" t="s">
        <v>17293</v>
      </c>
    </row>
    <row r="5674" s="29" customFormat="1" ht="30" customHeight="1" spans="1:13">
      <c r="A5674" s="41">
        <f>IF(C5674="","",SUBTOTAL(103,$C$2:C5674))</f>
        <v>5665</v>
      </c>
      <c r="B5674" s="41">
        <v>4364</v>
      </c>
      <c r="C5674" s="54">
        <v>10426</v>
      </c>
      <c r="D5674" s="54" t="s">
        <v>45</v>
      </c>
      <c r="E5674" s="54" t="s">
        <v>1298</v>
      </c>
      <c r="F5674" s="54" t="s">
        <v>4535</v>
      </c>
      <c r="G5674" s="54" t="s">
        <v>17294</v>
      </c>
      <c r="H5674" s="54" t="s">
        <v>17295</v>
      </c>
      <c r="I5674" s="43">
        <v>12</v>
      </c>
      <c r="J5674" s="44" t="str">
        <f>VLOOKUP(G5674,[1]硬件清单!$F:$F,1,0)</f>
        <v>J302XK3</v>
      </c>
      <c r="K5674" s="43"/>
      <c r="L5674" s="44"/>
      <c r="M5674" s="45" t="s">
        <v>17296</v>
      </c>
    </row>
    <row r="5675" s="29" customFormat="1" ht="30" customHeight="1" spans="1:13">
      <c r="A5675" s="41">
        <f>IF(C5675="","",SUBTOTAL(103,$C$2:C5675))</f>
        <v>5666</v>
      </c>
      <c r="B5675" s="41">
        <v>4365</v>
      </c>
      <c r="C5675" s="54">
        <v>10427</v>
      </c>
      <c r="D5675" s="54" t="s">
        <v>45</v>
      </c>
      <c r="E5675" s="54" t="s">
        <v>1298</v>
      </c>
      <c r="F5675" s="54" t="s">
        <v>4535</v>
      </c>
      <c r="G5675" s="54" t="s">
        <v>17297</v>
      </c>
      <c r="H5675" s="54" t="s">
        <v>17298</v>
      </c>
      <c r="I5675" s="43">
        <v>12</v>
      </c>
      <c r="J5675" s="44" t="str">
        <f>VLOOKUP(G5675,[1]硬件清单!$F:$F,1,0)</f>
        <v>06HNAVX</v>
      </c>
      <c r="K5675" s="43"/>
      <c r="L5675" s="44"/>
      <c r="M5675" s="45" t="s">
        <v>17299</v>
      </c>
    </row>
    <row r="5676" s="29" customFormat="1" ht="30" customHeight="1" spans="1:13">
      <c r="A5676" s="41">
        <f>IF(C5676="","",SUBTOTAL(103,$C$2:C5676))</f>
        <v>5667</v>
      </c>
      <c r="B5676" s="41">
        <v>4366</v>
      </c>
      <c r="C5676" s="54">
        <v>4703</v>
      </c>
      <c r="D5676" s="54" t="s">
        <v>45</v>
      </c>
      <c r="E5676" s="54" t="s">
        <v>1298</v>
      </c>
      <c r="F5676" s="54" t="s">
        <v>16625</v>
      </c>
      <c r="G5676" s="54" t="s">
        <v>17300</v>
      </c>
      <c r="H5676" s="54" t="s">
        <v>17301</v>
      </c>
      <c r="I5676" s="43">
        <v>12</v>
      </c>
      <c r="J5676" s="44" t="str">
        <f>VLOOKUP(G5676,[1]硬件清单!$F:$F,1,0)</f>
        <v>6CU7422HLS</v>
      </c>
      <c r="K5676" s="43"/>
      <c r="L5676" s="44"/>
      <c r="M5676" s="45" t="s">
        <v>17302</v>
      </c>
    </row>
    <row r="5677" s="29" customFormat="1" ht="30" customHeight="1" spans="1:13">
      <c r="A5677" s="41">
        <f>IF(C5677="","",SUBTOTAL(103,$C$2:C5677))</f>
        <v>5668</v>
      </c>
      <c r="B5677" s="41">
        <v>4367</v>
      </c>
      <c r="C5677" s="54">
        <v>5252</v>
      </c>
      <c r="D5677" s="54" t="s">
        <v>45</v>
      </c>
      <c r="E5677" s="54" t="s">
        <v>1298</v>
      </c>
      <c r="F5677" s="54" t="s">
        <v>16629</v>
      </c>
      <c r="G5677" s="54" t="s">
        <v>17303</v>
      </c>
      <c r="H5677" s="54" t="s">
        <v>17304</v>
      </c>
      <c r="I5677" s="43">
        <v>12</v>
      </c>
      <c r="J5677" s="44" t="str">
        <f>VLOOKUP(G5677,[1]硬件清单!$F:$F,1,0)</f>
        <v>6CU7421XTM</v>
      </c>
      <c r="K5677" s="43"/>
      <c r="L5677" s="44"/>
      <c r="M5677" s="45" t="s">
        <v>17305</v>
      </c>
    </row>
    <row r="5678" s="29" customFormat="1" ht="30" customHeight="1" spans="1:13">
      <c r="A5678" s="41">
        <f>IF(C5678="","",SUBTOTAL(103,$C$2:C5678))</f>
        <v>5669</v>
      </c>
      <c r="B5678" s="41">
        <v>4368</v>
      </c>
      <c r="C5678" s="54">
        <v>5319</v>
      </c>
      <c r="D5678" s="54" t="s">
        <v>45</v>
      </c>
      <c r="E5678" s="54" t="s">
        <v>1298</v>
      </c>
      <c r="F5678" s="54" t="s">
        <v>16629</v>
      </c>
      <c r="G5678" s="54" t="s">
        <v>17306</v>
      </c>
      <c r="H5678" s="54" t="s">
        <v>17307</v>
      </c>
      <c r="I5678" s="43">
        <v>12</v>
      </c>
      <c r="J5678" s="44" t="str">
        <f>VLOOKUP(G5678,[1]硬件清单!$F:$F,1,0)</f>
        <v>6CU7421YE6</v>
      </c>
      <c r="K5678" s="43"/>
      <c r="L5678" s="44"/>
      <c r="M5678" s="45" t="s">
        <v>17308</v>
      </c>
    </row>
    <row r="5679" s="29" customFormat="1" ht="30" customHeight="1" spans="1:13">
      <c r="A5679" s="41">
        <f>IF(C5679="","",SUBTOTAL(103,$C$2:C5679))</f>
        <v>5670</v>
      </c>
      <c r="B5679" s="41">
        <v>4369</v>
      </c>
      <c r="C5679" s="54">
        <v>5320</v>
      </c>
      <c r="D5679" s="54" t="s">
        <v>45</v>
      </c>
      <c r="E5679" s="54" t="s">
        <v>1298</v>
      </c>
      <c r="F5679" s="54" t="s">
        <v>16629</v>
      </c>
      <c r="G5679" s="54" t="s">
        <v>17309</v>
      </c>
      <c r="H5679" s="54" t="s">
        <v>17310</v>
      </c>
      <c r="I5679" s="43">
        <v>12</v>
      </c>
      <c r="J5679" s="44" t="str">
        <f>VLOOKUP(G5679,[1]硬件清单!$F:$F,1,0)</f>
        <v>6CU7421Y02</v>
      </c>
      <c r="K5679" s="43"/>
      <c r="L5679" s="44"/>
      <c r="M5679" s="45" t="s">
        <v>17311</v>
      </c>
    </row>
    <row r="5680" s="29" customFormat="1" ht="30" customHeight="1" spans="1:13">
      <c r="A5680" s="41">
        <f>IF(C5680="","",SUBTOTAL(103,$C$2:C5680))</f>
        <v>5671</v>
      </c>
      <c r="B5680" s="41">
        <v>4370</v>
      </c>
      <c r="C5680" s="54">
        <v>5321</v>
      </c>
      <c r="D5680" s="54" t="s">
        <v>45</v>
      </c>
      <c r="E5680" s="54" t="s">
        <v>1298</v>
      </c>
      <c r="F5680" s="54" t="s">
        <v>16629</v>
      </c>
      <c r="G5680" s="54" t="s">
        <v>17312</v>
      </c>
      <c r="H5680" s="54" t="s">
        <v>17313</v>
      </c>
      <c r="I5680" s="43">
        <v>12</v>
      </c>
      <c r="J5680" s="44" t="str">
        <f>VLOOKUP(G5680,[1]硬件清单!$F:$F,1,0)</f>
        <v>6CU7421Y90</v>
      </c>
      <c r="K5680" s="43"/>
      <c r="L5680" s="44"/>
      <c r="M5680" s="45" t="s">
        <v>17314</v>
      </c>
    </row>
    <row r="5681" s="29" customFormat="1" ht="30" customHeight="1" spans="1:13">
      <c r="A5681" s="41">
        <f>IF(C5681="","",SUBTOTAL(103,$C$2:C5681))</f>
        <v>5672</v>
      </c>
      <c r="B5681" s="41">
        <v>4371</v>
      </c>
      <c r="C5681" s="54">
        <v>5322</v>
      </c>
      <c r="D5681" s="54" t="s">
        <v>45</v>
      </c>
      <c r="E5681" s="54" t="s">
        <v>1298</v>
      </c>
      <c r="F5681" s="54" t="s">
        <v>16629</v>
      </c>
      <c r="G5681" s="54" t="s">
        <v>17315</v>
      </c>
      <c r="H5681" s="54" t="s">
        <v>17316</v>
      </c>
      <c r="I5681" s="43">
        <v>12</v>
      </c>
      <c r="J5681" s="44" t="str">
        <f>VLOOKUP(G5681,[1]硬件清单!$F:$F,1,0)</f>
        <v>6CU7421Y2K</v>
      </c>
      <c r="K5681" s="43"/>
      <c r="L5681" s="44"/>
      <c r="M5681" s="45" t="s">
        <v>17317</v>
      </c>
    </row>
    <row r="5682" s="29" customFormat="1" ht="30" customHeight="1" spans="1:13">
      <c r="A5682" s="41">
        <f>IF(C5682="","",SUBTOTAL(103,$C$2:C5682))</f>
        <v>5673</v>
      </c>
      <c r="B5682" s="41">
        <v>4372</v>
      </c>
      <c r="C5682" s="54">
        <v>5332</v>
      </c>
      <c r="D5682" s="54" t="s">
        <v>45</v>
      </c>
      <c r="E5682" s="54" t="s">
        <v>1298</v>
      </c>
      <c r="F5682" s="54" t="s">
        <v>16629</v>
      </c>
      <c r="G5682" s="54" t="s">
        <v>17318</v>
      </c>
      <c r="H5682" s="54" t="s">
        <v>17319</v>
      </c>
      <c r="I5682" s="43">
        <v>12</v>
      </c>
      <c r="J5682" s="44" t="str">
        <f>VLOOKUP(G5682,[1]硬件清单!$F:$F,1,0)</f>
        <v>6CU7421YA6</v>
      </c>
      <c r="K5682" s="43"/>
      <c r="L5682" s="44"/>
      <c r="M5682" s="45" t="s">
        <v>17320</v>
      </c>
    </row>
    <row r="5683" s="29" customFormat="1" ht="30" customHeight="1" spans="1:13">
      <c r="A5683" s="41">
        <f>IF(C5683="","",SUBTOTAL(103,$C$2:C5683))</f>
        <v>5674</v>
      </c>
      <c r="B5683" s="41">
        <v>4373</v>
      </c>
      <c r="C5683" s="54">
        <v>5333</v>
      </c>
      <c r="D5683" s="54" t="s">
        <v>45</v>
      </c>
      <c r="E5683" s="54" t="s">
        <v>1298</v>
      </c>
      <c r="F5683" s="54" t="s">
        <v>16629</v>
      </c>
      <c r="G5683" s="54" t="s">
        <v>17321</v>
      </c>
      <c r="H5683" s="54" t="s">
        <v>17322</v>
      </c>
      <c r="I5683" s="43">
        <v>12</v>
      </c>
      <c r="J5683" s="44" t="str">
        <f>VLOOKUP(G5683,[1]硬件清单!$F:$F,1,0)</f>
        <v>6CU7421Y4E</v>
      </c>
      <c r="K5683" s="43"/>
      <c r="L5683" s="44"/>
      <c r="M5683" s="45" t="s">
        <v>17323</v>
      </c>
    </row>
    <row r="5684" s="29" customFormat="1" ht="30" customHeight="1" spans="1:13">
      <c r="A5684" s="41">
        <f>IF(C5684="","",SUBTOTAL(103,$C$2:C5684))</f>
        <v>5675</v>
      </c>
      <c r="B5684" s="41">
        <v>4374</v>
      </c>
      <c r="C5684" s="54">
        <v>5334</v>
      </c>
      <c r="D5684" s="54" t="s">
        <v>45</v>
      </c>
      <c r="E5684" s="54" t="s">
        <v>1298</v>
      </c>
      <c r="F5684" s="54" t="s">
        <v>16629</v>
      </c>
      <c r="G5684" s="54" t="s">
        <v>17324</v>
      </c>
      <c r="H5684" s="54" t="s">
        <v>17325</v>
      </c>
      <c r="I5684" s="43">
        <v>12</v>
      </c>
      <c r="J5684" s="44" t="str">
        <f>VLOOKUP(G5684,[1]硬件清单!$F:$F,1,0)</f>
        <v>6CU7421Y7S</v>
      </c>
      <c r="K5684" s="43"/>
      <c r="L5684" s="44"/>
      <c r="M5684" s="45" t="s">
        <v>17326</v>
      </c>
    </row>
    <row r="5685" s="29" customFormat="1" ht="30" customHeight="1" spans="1:13">
      <c r="A5685" s="41">
        <f>IF(C5685="","",SUBTOTAL(103,$C$2:C5685))</f>
        <v>5676</v>
      </c>
      <c r="B5685" s="41">
        <v>4375</v>
      </c>
      <c r="C5685" s="54">
        <v>5253</v>
      </c>
      <c r="D5685" s="54" t="s">
        <v>45</v>
      </c>
      <c r="E5685" s="54" t="s">
        <v>1298</v>
      </c>
      <c r="F5685" s="54" t="s">
        <v>16629</v>
      </c>
      <c r="G5685" s="54" t="s">
        <v>17327</v>
      </c>
      <c r="H5685" s="54" t="s">
        <v>17328</v>
      </c>
      <c r="I5685" s="43">
        <v>12</v>
      </c>
      <c r="J5685" s="44" t="str">
        <f>VLOOKUP(G5685,[1]硬件清单!$F:$F,1,0)</f>
        <v>6CU7421Y86</v>
      </c>
      <c r="K5685" s="43"/>
      <c r="L5685" s="44"/>
      <c r="M5685" s="45" t="s">
        <v>17329</v>
      </c>
    </row>
    <row r="5686" s="29" customFormat="1" ht="30" customHeight="1" spans="1:13">
      <c r="A5686" s="41">
        <f>IF(C5686="","",SUBTOTAL(103,$C$2:C5686))</f>
        <v>5677</v>
      </c>
      <c r="B5686" s="41">
        <v>4376</v>
      </c>
      <c r="C5686" s="54">
        <v>5254</v>
      </c>
      <c r="D5686" s="54" t="s">
        <v>45</v>
      </c>
      <c r="E5686" s="54" t="s">
        <v>1298</v>
      </c>
      <c r="F5686" s="54" t="s">
        <v>16629</v>
      </c>
      <c r="G5686" s="54" t="s">
        <v>17330</v>
      </c>
      <c r="H5686" s="54" t="s">
        <v>17331</v>
      </c>
      <c r="I5686" s="43">
        <v>12</v>
      </c>
      <c r="J5686" s="44" t="str">
        <f>VLOOKUP(G5686,[1]硬件清单!$F:$F,1,0)</f>
        <v>6CU7421Y3C</v>
      </c>
      <c r="K5686" s="43"/>
      <c r="L5686" s="44"/>
      <c r="M5686" s="45" t="s">
        <v>17332</v>
      </c>
    </row>
    <row r="5687" s="29" customFormat="1" ht="30" customHeight="1" spans="1:13">
      <c r="A5687" s="41">
        <f>IF(C5687="","",SUBTOTAL(103,$C$2:C5687))</f>
        <v>5678</v>
      </c>
      <c r="B5687" s="41">
        <v>4377</v>
      </c>
      <c r="C5687" s="54">
        <v>5255</v>
      </c>
      <c r="D5687" s="54" t="s">
        <v>45</v>
      </c>
      <c r="E5687" s="54" t="s">
        <v>1298</v>
      </c>
      <c r="F5687" s="54" t="s">
        <v>16629</v>
      </c>
      <c r="G5687" s="54" t="s">
        <v>17333</v>
      </c>
      <c r="H5687" s="54" t="s">
        <v>17334</v>
      </c>
      <c r="I5687" s="43">
        <v>12</v>
      </c>
      <c r="J5687" s="44" t="str">
        <f>VLOOKUP(G5687,[1]硬件清单!$F:$F,1,0)</f>
        <v>6CU7421Y82</v>
      </c>
      <c r="K5687" s="43"/>
      <c r="L5687" s="44"/>
      <c r="M5687" s="45" t="s">
        <v>17335</v>
      </c>
    </row>
    <row r="5688" s="29" customFormat="1" ht="30" customHeight="1" spans="1:13">
      <c r="A5688" s="41">
        <f>IF(C5688="","",SUBTOTAL(103,$C$2:C5688))</f>
        <v>5679</v>
      </c>
      <c r="B5688" s="41">
        <v>4378</v>
      </c>
      <c r="C5688" s="54">
        <v>5256</v>
      </c>
      <c r="D5688" s="54" t="s">
        <v>45</v>
      </c>
      <c r="E5688" s="54" t="s">
        <v>1298</v>
      </c>
      <c r="F5688" s="54" t="s">
        <v>16629</v>
      </c>
      <c r="G5688" s="54" t="s">
        <v>17336</v>
      </c>
      <c r="H5688" s="54" t="s">
        <v>17337</v>
      </c>
      <c r="I5688" s="43">
        <v>12</v>
      </c>
      <c r="J5688" s="44" t="str">
        <f>VLOOKUP(G5688,[1]硬件清单!$F:$F,1,0)</f>
        <v>6CU7421Y1X</v>
      </c>
      <c r="K5688" s="43"/>
      <c r="L5688" s="44"/>
      <c r="M5688" s="45" t="s">
        <v>17338</v>
      </c>
    </row>
    <row r="5689" s="29" customFormat="1" ht="30" customHeight="1" spans="1:13">
      <c r="A5689" s="41">
        <f>IF(C5689="","",SUBTOTAL(103,$C$2:C5689))</f>
        <v>5680</v>
      </c>
      <c r="B5689" s="41">
        <v>4379</v>
      </c>
      <c r="C5689" s="54">
        <v>5311</v>
      </c>
      <c r="D5689" s="54" t="s">
        <v>45</v>
      </c>
      <c r="E5689" s="54" t="s">
        <v>1298</v>
      </c>
      <c r="F5689" s="54" t="s">
        <v>16629</v>
      </c>
      <c r="G5689" s="54" t="s">
        <v>17339</v>
      </c>
      <c r="H5689" s="54" t="s">
        <v>17340</v>
      </c>
      <c r="I5689" s="43">
        <v>12</v>
      </c>
      <c r="J5689" s="44" t="str">
        <f>VLOOKUP(G5689,[1]硬件清单!$F:$F,1,0)</f>
        <v>6CU7421XVK</v>
      </c>
      <c r="K5689" s="43"/>
      <c r="L5689" s="44"/>
      <c r="M5689" s="45" t="s">
        <v>17341</v>
      </c>
    </row>
    <row r="5690" s="29" customFormat="1" ht="30" customHeight="1" spans="1:13">
      <c r="A5690" s="41">
        <f>IF(C5690="","",SUBTOTAL(103,$C$2:C5690))</f>
        <v>5681</v>
      </c>
      <c r="B5690" s="41">
        <v>4380</v>
      </c>
      <c r="C5690" s="54">
        <v>5312</v>
      </c>
      <c r="D5690" s="54" t="s">
        <v>45</v>
      </c>
      <c r="E5690" s="54" t="s">
        <v>1298</v>
      </c>
      <c r="F5690" s="54" t="s">
        <v>16629</v>
      </c>
      <c r="G5690" s="54" t="s">
        <v>17342</v>
      </c>
      <c r="H5690" s="54" t="s">
        <v>17343</v>
      </c>
      <c r="I5690" s="43">
        <v>12</v>
      </c>
      <c r="J5690" s="44" t="str">
        <f>VLOOKUP(G5690,[1]硬件清单!$F:$F,1,0)</f>
        <v>6CU7421XVP</v>
      </c>
      <c r="K5690" s="43"/>
      <c r="L5690" s="44"/>
      <c r="M5690" s="45" t="s">
        <v>17344</v>
      </c>
    </row>
    <row r="5691" s="29" customFormat="1" ht="30" customHeight="1" spans="1:13">
      <c r="A5691" s="41">
        <f>IF(C5691="","",SUBTOTAL(103,$C$2:C5691))</f>
        <v>5682</v>
      </c>
      <c r="B5691" s="41">
        <v>4381</v>
      </c>
      <c r="C5691" s="54">
        <v>5317</v>
      </c>
      <c r="D5691" s="54" t="s">
        <v>45</v>
      </c>
      <c r="E5691" s="54" t="s">
        <v>1298</v>
      </c>
      <c r="F5691" s="54" t="s">
        <v>16629</v>
      </c>
      <c r="G5691" s="54" t="s">
        <v>17345</v>
      </c>
      <c r="H5691" s="54" t="s">
        <v>17346</v>
      </c>
      <c r="I5691" s="43">
        <v>12</v>
      </c>
      <c r="J5691" s="44" t="str">
        <f>VLOOKUP(G5691,[1]硬件清单!$F:$F,1,0)</f>
        <v>6CU7421XV2</v>
      </c>
      <c r="K5691" s="43"/>
      <c r="L5691" s="44"/>
      <c r="M5691" s="45" t="s">
        <v>17347</v>
      </c>
    </row>
    <row r="5692" s="29" customFormat="1" ht="30" customHeight="1" spans="1:13">
      <c r="A5692" s="41">
        <f>IF(C5692="","",SUBTOTAL(103,$C$2:C5692))</f>
        <v>5683</v>
      </c>
      <c r="B5692" s="41">
        <v>4382</v>
      </c>
      <c r="C5692" s="54">
        <v>5318</v>
      </c>
      <c r="D5692" s="54" t="s">
        <v>45</v>
      </c>
      <c r="E5692" s="54" t="s">
        <v>1298</v>
      </c>
      <c r="F5692" s="54" t="s">
        <v>16629</v>
      </c>
      <c r="G5692" s="54" t="s">
        <v>17348</v>
      </c>
      <c r="H5692" s="54" t="s">
        <v>17349</v>
      </c>
      <c r="I5692" s="43">
        <v>12</v>
      </c>
      <c r="J5692" s="44" t="str">
        <f>VLOOKUP(G5692,[1]硬件清单!$F:$F,1,0)</f>
        <v>6CU7421Y70</v>
      </c>
      <c r="K5692" s="43"/>
      <c r="L5692" s="44"/>
      <c r="M5692" s="45" t="s">
        <v>17350</v>
      </c>
    </row>
    <row r="5693" s="29" customFormat="1" ht="30" customHeight="1" spans="1:13">
      <c r="A5693" s="41">
        <f>IF(C5693="","",SUBTOTAL(103,$C$2:C5693))</f>
        <v>5684</v>
      </c>
      <c r="B5693" s="41">
        <v>4383</v>
      </c>
      <c r="C5693" s="54">
        <v>4454</v>
      </c>
      <c r="D5693" s="54" t="s">
        <v>45</v>
      </c>
      <c r="E5693" s="54" t="s">
        <v>1298</v>
      </c>
      <c r="F5693" s="54" t="s">
        <v>16625</v>
      </c>
      <c r="G5693" s="54" t="s">
        <v>17351</v>
      </c>
      <c r="H5693" s="54" t="s">
        <v>17352</v>
      </c>
      <c r="I5693" s="43">
        <v>12</v>
      </c>
      <c r="J5693" s="44" t="str">
        <f>VLOOKUP(G5693,[1]硬件清单!$F:$F,1,0)</f>
        <v>6C07422HM7</v>
      </c>
      <c r="K5693" s="43"/>
      <c r="L5693" s="44"/>
      <c r="M5693" s="45" t="s">
        <v>17353</v>
      </c>
    </row>
    <row r="5694" s="29" customFormat="1" ht="30" customHeight="1" spans="1:13">
      <c r="A5694" s="41">
        <f>IF(C5694="","",SUBTOTAL(103,$C$2:C5694))</f>
        <v>5685</v>
      </c>
      <c r="B5694" s="41">
        <v>4384</v>
      </c>
      <c r="C5694" s="54">
        <v>5341</v>
      </c>
      <c r="D5694" s="54" t="s">
        <v>45</v>
      </c>
      <c r="E5694" s="54" t="s">
        <v>1298</v>
      </c>
      <c r="F5694" s="54" t="s">
        <v>16629</v>
      </c>
      <c r="G5694" s="54" t="s">
        <v>17354</v>
      </c>
      <c r="H5694" s="54" t="s">
        <v>17355</v>
      </c>
      <c r="I5694" s="43">
        <v>12</v>
      </c>
      <c r="J5694" s="44" t="str">
        <f>VLOOKUP(G5694,[1]硬件清单!$F:$F,1,0)</f>
        <v>6CU7421YB0</v>
      </c>
      <c r="K5694" s="43"/>
      <c r="L5694" s="44"/>
      <c r="M5694" s="45" t="s">
        <v>17356</v>
      </c>
    </row>
    <row r="5695" s="29" customFormat="1" ht="30" customHeight="1" spans="1:13">
      <c r="A5695" s="41">
        <f>IF(C5695="","",SUBTOTAL(103,$C$2:C5695))</f>
        <v>5686</v>
      </c>
      <c r="B5695" s="41">
        <v>4385</v>
      </c>
      <c r="C5695" s="54">
        <v>4300</v>
      </c>
      <c r="D5695" s="54" t="s">
        <v>45</v>
      </c>
      <c r="E5695" s="54" t="s">
        <v>1298</v>
      </c>
      <c r="F5695" s="54" t="s">
        <v>16629</v>
      </c>
      <c r="G5695" s="54" t="s">
        <v>17357</v>
      </c>
      <c r="H5695" s="54" t="s">
        <v>17358</v>
      </c>
      <c r="I5695" s="43">
        <v>12</v>
      </c>
      <c r="J5695" s="44" t="str">
        <f>VLOOKUP(G5695,[1]硬件清单!$F:$F,1,0)</f>
        <v>6CU7421X3Y</v>
      </c>
      <c r="K5695" s="43"/>
      <c r="L5695" s="44"/>
      <c r="M5695" s="45" t="s">
        <v>17359</v>
      </c>
    </row>
    <row r="5696" s="29" customFormat="1" ht="30" customHeight="1" spans="1:13">
      <c r="A5696" s="41">
        <f>IF(C5696="","",SUBTOTAL(103,$C$2:C5696))</f>
        <v>5687</v>
      </c>
      <c r="B5696" s="41">
        <v>4386</v>
      </c>
      <c r="C5696" s="54">
        <v>4301</v>
      </c>
      <c r="D5696" s="54" t="s">
        <v>45</v>
      </c>
      <c r="E5696" s="54" t="s">
        <v>1298</v>
      </c>
      <c r="F5696" s="54" t="s">
        <v>16629</v>
      </c>
      <c r="G5696" s="54" t="s">
        <v>17360</v>
      </c>
      <c r="H5696" s="54" t="s">
        <v>17361</v>
      </c>
      <c r="I5696" s="43">
        <v>12</v>
      </c>
      <c r="J5696" s="44" t="str">
        <f>VLOOKUP(G5696,[1]硬件清单!$F:$F,1,0)</f>
        <v>6CU7421X39</v>
      </c>
      <c r="K5696" s="43"/>
      <c r="L5696" s="44"/>
      <c r="M5696" s="45" t="s">
        <v>17362</v>
      </c>
    </row>
    <row r="5697" s="29" customFormat="1" ht="30" customHeight="1" spans="1:13">
      <c r="A5697" s="41">
        <f>IF(C5697="","",SUBTOTAL(103,$C$2:C5697))</f>
        <v>5688</v>
      </c>
      <c r="B5697" s="41">
        <v>4387</v>
      </c>
      <c r="C5697" s="54">
        <v>4302</v>
      </c>
      <c r="D5697" s="54" t="s">
        <v>45</v>
      </c>
      <c r="E5697" s="54" t="s">
        <v>1298</v>
      </c>
      <c r="F5697" s="54" t="s">
        <v>16629</v>
      </c>
      <c r="G5697" s="54" t="s">
        <v>17363</v>
      </c>
      <c r="H5697" s="54" t="s">
        <v>17364</v>
      </c>
      <c r="I5697" s="43">
        <v>12</v>
      </c>
      <c r="J5697" s="44" t="str">
        <f>VLOOKUP(G5697,[1]硬件清单!$F:$F,1,0)</f>
        <v>6CU7421X3J</v>
      </c>
      <c r="K5697" s="43"/>
      <c r="L5697" s="44"/>
      <c r="M5697" s="45" t="s">
        <v>17365</v>
      </c>
    </row>
    <row r="5698" s="29" customFormat="1" ht="30" customHeight="1" spans="1:13">
      <c r="A5698" s="41">
        <f>IF(C5698="","",SUBTOTAL(103,$C$2:C5698))</f>
        <v>5689</v>
      </c>
      <c r="B5698" s="41">
        <v>4388</v>
      </c>
      <c r="C5698" s="54">
        <v>4303</v>
      </c>
      <c r="D5698" s="54" t="s">
        <v>45</v>
      </c>
      <c r="E5698" s="54" t="s">
        <v>1298</v>
      </c>
      <c r="F5698" s="54" t="s">
        <v>16629</v>
      </c>
      <c r="G5698" s="54" t="s">
        <v>17366</v>
      </c>
      <c r="H5698" s="54" t="s">
        <v>17367</v>
      </c>
      <c r="I5698" s="43">
        <v>12</v>
      </c>
      <c r="J5698" s="44" t="str">
        <f>VLOOKUP(G5698,[1]硬件清单!$F:$F,1,0)</f>
        <v>6CU7421X3T</v>
      </c>
      <c r="K5698" s="43"/>
      <c r="L5698" s="44"/>
      <c r="M5698" s="45" t="s">
        <v>17368</v>
      </c>
    </row>
    <row r="5699" s="29" customFormat="1" ht="30" customHeight="1" spans="1:13">
      <c r="A5699" s="41">
        <f>IF(C5699="","",SUBTOTAL(103,$C$2:C5699))</f>
        <v>5690</v>
      </c>
      <c r="B5699" s="41">
        <v>4389</v>
      </c>
      <c r="C5699" s="54">
        <v>4304</v>
      </c>
      <c r="D5699" s="54" t="s">
        <v>45</v>
      </c>
      <c r="E5699" s="54" t="s">
        <v>1298</v>
      </c>
      <c r="F5699" s="54" t="s">
        <v>16629</v>
      </c>
      <c r="G5699" s="54" t="s">
        <v>17369</v>
      </c>
      <c r="H5699" s="54" t="s">
        <v>17370</v>
      </c>
      <c r="I5699" s="43">
        <v>12</v>
      </c>
      <c r="J5699" s="44" t="str">
        <f>VLOOKUP(G5699,[1]硬件清单!$F:$F,1,0)</f>
        <v>6CU7421X3D</v>
      </c>
      <c r="K5699" s="43"/>
      <c r="L5699" s="44"/>
      <c r="M5699" s="45" t="s">
        <v>17371</v>
      </c>
    </row>
    <row r="5700" s="29" customFormat="1" ht="30" customHeight="1" spans="1:13">
      <c r="A5700" s="41">
        <f>IF(C5700="","",SUBTOTAL(103,$C$2:C5700))</f>
        <v>5691</v>
      </c>
      <c r="B5700" s="41">
        <v>4390</v>
      </c>
      <c r="C5700" s="54">
        <v>4295</v>
      </c>
      <c r="D5700" s="54" t="s">
        <v>45</v>
      </c>
      <c r="E5700" s="54" t="s">
        <v>1298</v>
      </c>
      <c r="F5700" s="54" t="s">
        <v>16629</v>
      </c>
      <c r="G5700" s="54" t="s">
        <v>17372</v>
      </c>
      <c r="H5700" s="54" t="s">
        <v>17373</v>
      </c>
      <c r="I5700" s="43">
        <v>12</v>
      </c>
      <c r="J5700" s="44" t="str">
        <f>VLOOKUP(G5700,[1]硬件清单!$F:$F,1,0)</f>
        <v>6CU7421XE0</v>
      </c>
      <c r="K5700" s="43"/>
      <c r="L5700" s="44"/>
      <c r="M5700" s="45" t="s">
        <v>17374</v>
      </c>
    </row>
    <row r="5701" s="29" customFormat="1" ht="30" customHeight="1" spans="1:13">
      <c r="A5701" s="41">
        <f>IF(C5701="","",SUBTOTAL(103,$C$2:C5701))</f>
        <v>5692</v>
      </c>
      <c r="B5701" s="41">
        <v>4391</v>
      </c>
      <c r="C5701" s="54">
        <v>4296</v>
      </c>
      <c r="D5701" s="54" t="s">
        <v>45</v>
      </c>
      <c r="E5701" s="54" t="s">
        <v>1298</v>
      </c>
      <c r="F5701" s="54" t="s">
        <v>16629</v>
      </c>
      <c r="G5701" s="54" t="s">
        <v>17375</v>
      </c>
      <c r="H5701" s="54" t="s">
        <v>17376</v>
      </c>
      <c r="I5701" s="43">
        <v>12</v>
      </c>
      <c r="J5701" s="44" t="str">
        <f>VLOOKUP(G5701,[1]硬件清单!$F:$F,1,0)</f>
        <v>6CU7421XM9</v>
      </c>
      <c r="K5701" s="43"/>
      <c r="L5701" s="44"/>
      <c r="M5701" s="45" t="s">
        <v>17377</v>
      </c>
    </row>
    <row r="5702" s="29" customFormat="1" ht="30" customHeight="1" spans="1:13">
      <c r="A5702" s="41">
        <f>IF(C5702="","",SUBTOTAL(103,$C$2:C5702))</f>
        <v>5693</v>
      </c>
      <c r="B5702" s="41">
        <v>4392</v>
      </c>
      <c r="C5702" s="54">
        <v>5342</v>
      </c>
      <c r="D5702" s="54" t="s">
        <v>45</v>
      </c>
      <c r="E5702" s="54" t="s">
        <v>1298</v>
      </c>
      <c r="F5702" s="54" t="s">
        <v>16629</v>
      </c>
      <c r="G5702" s="54" t="s">
        <v>17378</v>
      </c>
      <c r="H5702" s="54" t="s">
        <v>17379</v>
      </c>
      <c r="I5702" s="43">
        <v>12</v>
      </c>
      <c r="J5702" s="44" t="str">
        <f>VLOOKUP(G5702,[1]硬件清单!$F:$F,1,0)</f>
        <v>6CU7421YCV</v>
      </c>
      <c r="K5702" s="43"/>
      <c r="L5702" s="44"/>
      <c r="M5702" s="45" t="s">
        <v>17380</v>
      </c>
    </row>
    <row r="5703" s="29" customFormat="1" ht="30" customHeight="1" spans="1:13">
      <c r="A5703" s="41">
        <f>IF(C5703="","",SUBTOTAL(103,$C$2:C5703))</f>
        <v>5694</v>
      </c>
      <c r="B5703" s="41">
        <v>4393</v>
      </c>
      <c r="C5703" s="54">
        <v>5343</v>
      </c>
      <c r="D5703" s="54" t="s">
        <v>45</v>
      </c>
      <c r="E5703" s="54" t="s">
        <v>1298</v>
      </c>
      <c r="F5703" s="54" t="s">
        <v>16629</v>
      </c>
      <c r="G5703" s="54" t="s">
        <v>17381</v>
      </c>
      <c r="H5703" s="54" t="s">
        <v>17382</v>
      </c>
      <c r="I5703" s="43">
        <v>12</v>
      </c>
      <c r="J5703" s="44" t="str">
        <f>VLOOKUP(G5703,[1]硬件清单!$F:$F,1,0)</f>
        <v>6CU7421Y1C</v>
      </c>
      <c r="K5703" s="43"/>
      <c r="L5703" s="44"/>
      <c r="M5703" s="45" t="s">
        <v>17383</v>
      </c>
    </row>
    <row r="5704" s="29" customFormat="1" ht="30" customHeight="1" spans="1:13">
      <c r="A5704" s="41">
        <f>IF(C5704="","",SUBTOTAL(103,$C$2:C5704))</f>
        <v>5695</v>
      </c>
      <c r="B5704" s="41">
        <v>4394</v>
      </c>
      <c r="C5704" s="54">
        <v>5344</v>
      </c>
      <c r="D5704" s="54" t="s">
        <v>45</v>
      </c>
      <c r="E5704" s="54" t="s">
        <v>1298</v>
      </c>
      <c r="F5704" s="54" t="s">
        <v>16629</v>
      </c>
      <c r="G5704" s="54" t="s">
        <v>17384</v>
      </c>
      <c r="H5704" s="54" t="s">
        <v>17385</v>
      </c>
      <c r="I5704" s="43">
        <v>12</v>
      </c>
      <c r="J5704" s="44" t="str">
        <f>VLOOKUP(G5704,[1]硬件清单!$F:$F,1,0)</f>
        <v>6CU7421Y3S</v>
      </c>
      <c r="K5704" s="43"/>
      <c r="L5704" s="44"/>
      <c r="M5704" s="45" t="s">
        <v>17386</v>
      </c>
    </row>
    <row r="5705" s="29" customFormat="1" ht="30" customHeight="1" spans="1:13">
      <c r="A5705" s="41">
        <f>IF(C5705="","",SUBTOTAL(103,$C$2:C5705))</f>
        <v>5696</v>
      </c>
      <c r="B5705" s="41">
        <v>4395</v>
      </c>
      <c r="C5705" s="54">
        <v>5349</v>
      </c>
      <c r="D5705" s="54" t="s">
        <v>45</v>
      </c>
      <c r="E5705" s="54" t="s">
        <v>1298</v>
      </c>
      <c r="F5705" s="54" t="s">
        <v>16629</v>
      </c>
      <c r="G5705" s="54" t="s">
        <v>17387</v>
      </c>
      <c r="H5705" s="54" t="s">
        <v>17388</v>
      </c>
      <c r="I5705" s="43">
        <v>12</v>
      </c>
      <c r="J5705" s="44" t="str">
        <f>VLOOKUP(G5705,[1]硬件清单!$F:$F,1,0)</f>
        <v>6CU7421Y14</v>
      </c>
      <c r="K5705" s="43"/>
      <c r="L5705" s="44"/>
      <c r="M5705" s="45" t="s">
        <v>17389</v>
      </c>
    </row>
    <row r="5706" s="29" customFormat="1" ht="30" customHeight="1" spans="1:13">
      <c r="A5706" s="41">
        <f>IF(C5706="","",SUBTOTAL(103,$C$2:C5706))</f>
        <v>5697</v>
      </c>
      <c r="B5706" s="41">
        <v>4396</v>
      </c>
      <c r="C5706" s="54">
        <v>5350</v>
      </c>
      <c r="D5706" s="54" t="s">
        <v>45</v>
      </c>
      <c r="E5706" s="54" t="s">
        <v>1298</v>
      </c>
      <c r="F5706" s="54" t="s">
        <v>16629</v>
      </c>
      <c r="G5706" s="54" t="s">
        <v>17390</v>
      </c>
      <c r="H5706" s="54" t="s">
        <v>17391</v>
      </c>
      <c r="I5706" s="43">
        <v>12</v>
      </c>
      <c r="J5706" s="44" t="str">
        <f>VLOOKUP(G5706,[1]硬件清单!$F:$F,1,0)</f>
        <v>6CU7421Y4A</v>
      </c>
      <c r="K5706" s="43"/>
      <c r="L5706" s="44"/>
      <c r="M5706" s="45" t="s">
        <v>17392</v>
      </c>
    </row>
    <row r="5707" s="29" customFormat="1" ht="30" customHeight="1" spans="1:13">
      <c r="A5707" s="41">
        <f>IF(C5707="","",SUBTOTAL(103,$C$2:C5707))</f>
        <v>5698</v>
      </c>
      <c r="B5707" s="41">
        <v>4397</v>
      </c>
      <c r="C5707" s="54">
        <v>4297</v>
      </c>
      <c r="D5707" s="54" t="s">
        <v>45</v>
      </c>
      <c r="E5707" s="54" t="s">
        <v>1298</v>
      </c>
      <c r="F5707" s="54" t="s">
        <v>16629</v>
      </c>
      <c r="G5707" s="54" t="s">
        <v>17393</v>
      </c>
      <c r="H5707" s="54" t="s">
        <v>17394</v>
      </c>
      <c r="I5707" s="43">
        <v>12</v>
      </c>
      <c r="J5707" s="44" t="str">
        <f>VLOOKUP(G5707,[1]硬件清单!$F:$F,1,0)</f>
        <v>6CU7421X43</v>
      </c>
      <c r="K5707" s="43"/>
      <c r="L5707" s="44"/>
      <c r="M5707" s="45" t="s">
        <v>17395</v>
      </c>
    </row>
    <row r="5708" s="29" customFormat="1" ht="30" customHeight="1" spans="1:13">
      <c r="A5708" s="41">
        <f>IF(C5708="","",SUBTOTAL(103,$C$2:C5708))</f>
        <v>5699</v>
      </c>
      <c r="B5708" s="41">
        <v>4398</v>
      </c>
      <c r="C5708" s="54">
        <v>4298</v>
      </c>
      <c r="D5708" s="54" t="s">
        <v>45</v>
      </c>
      <c r="E5708" s="54" t="s">
        <v>1298</v>
      </c>
      <c r="F5708" s="54" t="s">
        <v>16629</v>
      </c>
      <c r="G5708" s="54" t="s">
        <v>17396</v>
      </c>
      <c r="H5708" s="54" t="s">
        <v>17397</v>
      </c>
      <c r="I5708" s="43">
        <v>12</v>
      </c>
      <c r="J5708" s="44" t="str">
        <f>VLOOKUP(G5708,[1]硬件清单!$F:$F,1,0)</f>
        <v>6CU7421X47</v>
      </c>
      <c r="K5708" s="43"/>
      <c r="L5708" s="44"/>
      <c r="M5708" s="45" t="s">
        <v>17398</v>
      </c>
    </row>
    <row r="5709" s="29" customFormat="1" ht="30" customHeight="1" spans="1:13">
      <c r="A5709" s="41">
        <f>IF(C5709="","",SUBTOTAL(103,$C$2:C5709))</f>
        <v>5700</v>
      </c>
      <c r="B5709" s="41">
        <v>4399</v>
      </c>
      <c r="C5709" s="54">
        <v>4299</v>
      </c>
      <c r="D5709" s="54" t="s">
        <v>45</v>
      </c>
      <c r="E5709" s="54" t="s">
        <v>1298</v>
      </c>
      <c r="F5709" s="54" t="s">
        <v>16629</v>
      </c>
      <c r="G5709" s="54" t="s">
        <v>17399</v>
      </c>
      <c r="H5709" s="54" t="s">
        <v>17400</v>
      </c>
      <c r="I5709" s="43">
        <v>12</v>
      </c>
      <c r="J5709" s="44" t="str">
        <f>VLOOKUP(G5709,[1]硬件清单!$F:$F,1,0)</f>
        <v>6CU7421X3N</v>
      </c>
      <c r="K5709" s="43"/>
      <c r="L5709" s="44"/>
      <c r="M5709" s="45" t="s">
        <v>17401</v>
      </c>
    </row>
    <row r="5710" s="29" customFormat="1" ht="30" customHeight="1" spans="1:13">
      <c r="A5710" s="41">
        <f>IF(C5710="","",SUBTOTAL(103,$C$2:C5710))</f>
        <v>5701</v>
      </c>
      <c r="B5710" s="41">
        <v>4400</v>
      </c>
      <c r="C5710" s="54">
        <v>10428</v>
      </c>
      <c r="D5710" s="54" t="s">
        <v>45</v>
      </c>
      <c r="E5710" s="54" t="s">
        <v>1298</v>
      </c>
      <c r="F5710" s="54" t="s">
        <v>4535</v>
      </c>
      <c r="G5710" s="54" t="s">
        <v>17402</v>
      </c>
      <c r="H5710" s="54" t="s">
        <v>17403</v>
      </c>
      <c r="I5710" s="43">
        <v>12</v>
      </c>
      <c r="J5710" s="44" t="str">
        <f>VLOOKUP(G5710,[1]硬件清单!$F:$F,1,0)</f>
        <v>J302XHH</v>
      </c>
      <c r="K5710" s="43"/>
      <c r="L5710" s="44"/>
      <c r="M5710" s="45" t="s">
        <v>17404</v>
      </c>
    </row>
    <row r="5711" s="29" customFormat="1" ht="30" customHeight="1" spans="1:13">
      <c r="A5711" s="41">
        <f>IF(C5711="","",SUBTOTAL(103,$C$2:C5711))</f>
        <v>5702</v>
      </c>
      <c r="B5711" s="41">
        <v>4401</v>
      </c>
      <c r="C5711" s="54">
        <v>10429</v>
      </c>
      <c r="D5711" s="54" t="s">
        <v>45</v>
      </c>
      <c r="E5711" s="54" t="s">
        <v>1298</v>
      </c>
      <c r="F5711" s="54" t="s">
        <v>4535</v>
      </c>
      <c r="G5711" s="54" t="s">
        <v>17405</v>
      </c>
      <c r="H5711" s="54" t="s">
        <v>17406</v>
      </c>
      <c r="I5711" s="43">
        <v>12</v>
      </c>
      <c r="J5711" s="44" t="str">
        <f>VLOOKUP(G5711,[1]硬件清单!$F:$F,1,0)</f>
        <v>06HNAVG</v>
      </c>
      <c r="K5711" s="43"/>
      <c r="L5711" s="44"/>
      <c r="M5711" s="45" t="s">
        <v>17407</v>
      </c>
    </row>
    <row r="5712" s="29" customFormat="1" ht="30" customHeight="1" spans="1:13">
      <c r="A5712" s="41">
        <f>IF(C5712="","",SUBTOTAL(103,$C$2:C5712))</f>
        <v>5703</v>
      </c>
      <c r="B5712" s="41">
        <v>4402</v>
      </c>
      <c r="C5712" s="54">
        <v>10430</v>
      </c>
      <c r="D5712" s="54" t="s">
        <v>45</v>
      </c>
      <c r="E5712" s="54" t="s">
        <v>1298</v>
      </c>
      <c r="F5712" s="54" t="s">
        <v>4535</v>
      </c>
      <c r="G5712" s="54" t="s">
        <v>17408</v>
      </c>
      <c r="H5712" s="54" t="s">
        <v>17409</v>
      </c>
      <c r="I5712" s="43">
        <v>12</v>
      </c>
      <c r="J5712" s="44" t="str">
        <f>VLOOKUP(G5712,[1]硬件清单!$F:$F,1,0)</f>
        <v>06HNATA</v>
      </c>
      <c r="K5712" s="43"/>
      <c r="L5712" s="44"/>
      <c r="M5712" s="45" t="s">
        <v>17410</v>
      </c>
    </row>
    <row r="5713" s="29" customFormat="1" ht="30" customHeight="1" spans="1:13">
      <c r="A5713" s="41">
        <f>IF(C5713="","",SUBTOTAL(103,$C$2:C5713))</f>
        <v>5704</v>
      </c>
      <c r="B5713" s="41">
        <v>4403</v>
      </c>
      <c r="C5713" s="54">
        <v>10431</v>
      </c>
      <c r="D5713" s="54" t="s">
        <v>45</v>
      </c>
      <c r="E5713" s="54" t="s">
        <v>1298</v>
      </c>
      <c r="F5713" s="54" t="s">
        <v>4535</v>
      </c>
      <c r="G5713" s="54" t="s">
        <v>17411</v>
      </c>
      <c r="H5713" s="54" t="s">
        <v>17412</v>
      </c>
      <c r="I5713" s="43">
        <v>12</v>
      </c>
      <c r="J5713" s="44" t="str">
        <f>VLOOKUP(G5713,[1]硬件清单!$F:$F,1,0)</f>
        <v>06HNAMD</v>
      </c>
      <c r="K5713" s="43"/>
      <c r="L5713" s="44"/>
      <c r="M5713" s="45" t="s">
        <v>17413</v>
      </c>
    </row>
    <row r="5714" s="29" customFormat="1" ht="30" customHeight="1" spans="1:13">
      <c r="A5714" s="41">
        <f>IF(C5714="","",SUBTOTAL(103,$C$2:C5714))</f>
        <v>5705</v>
      </c>
      <c r="B5714" s="41">
        <v>4404</v>
      </c>
      <c r="C5714" s="54">
        <v>10432</v>
      </c>
      <c r="D5714" s="54" t="s">
        <v>45</v>
      </c>
      <c r="E5714" s="54" t="s">
        <v>1298</v>
      </c>
      <c r="F5714" s="54" t="s">
        <v>4535</v>
      </c>
      <c r="G5714" s="54" t="s">
        <v>17414</v>
      </c>
      <c r="H5714" s="54" t="s">
        <v>17415</v>
      </c>
      <c r="I5714" s="43">
        <v>12</v>
      </c>
      <c r="J5714" s="44" t="str">
        <f>VLOOKUP(G5714,[1]硬件清单!$F:$F,1,0)</f>
        <v>06HNAVF</v>
      </c>
      <c r="K5714" s="43"/>
      <c r="L5714" s="44"/>
      <c r="M5714" s="45" t="s">
        <v>17416</v>
      </c>
    </row>
    <row r="5715" s="29" customFormat="1" ht="30" customHeight="1" spans="1:13">
      <c r="A5715" s="41">
        <f>IF(C5715="","",SUBTOTAL(103,$C$2:C5715))</f>
        <v>5706</v>
      </c>
      <c r="B5715" s="41">
        <v>4405</v>
      </c>
      <c r="C5715" s="54">
        <v>4451</v>
      </c>
      <c r="D5715" s="54" t="s">
        <v>45</v>
      </c>
      <c r="E5715" s="54" t="s">
        <v>1298</v>
      </c>
      <c r="F5715" s="54" t="s">
        <v>16625</v>
      </c>
      <c r="G5715" s="54" t="s">
        <v>17417</v>
      </c>
      <c r="H5715" s="54" t="s">
        <v>17418</v>
      </c>
      <c r="I5715" s="43">
        <v>12</v>
      </c>
      <c r="J5715" s="44" t="str">
        <f>VLOOKUP(G5715,[1]硬件清单!$F:$F,1,0)</f>
        <v>6C07422HM5</v>
      </c>
      <c r="K5715" s="43"/>
      <c r="L5715" s="44"/>
      <c r="M5715" s="45" t="s">
        <v>17419</v>
      </c>
    </row>
    <row r="5716" s="29" customFormat="1" ht="30" customHeight="1" spans="1:13">
      <c r="A5716" s="41">
        <f>IF(C5716="","",SUBTOTAL(103,$C$2:C5716))</f>
        <v>5707</v>
      </c>
      <c r="B5716" s="41">
        <v>4406</v>
      </c>
      <c r="C5716" s="54">
        <v>4349</v>
      </c>
      <c r="D5716" s="54" t="s">
        <v>45</v>
      </c>
      <c r="E5716" s="54" t="s">
        <v>1298</v>
      </c>
      <c r="F5716" s="54" t="s">
        <v>16629</v>
      </c>
      <c r="G5716" s="54" t="s">
        <v>17420</v>
      </c>
      <c r="H5716" s="54" t="s">
        <v>17421</v>
      </c>
      <c r="I5716" s="43">
        <v>12</v>
      </c>
      <c r="J5716" s="44" t="str">
        <f>VLOOKUP(G5716,[1]硬件清单!$F:$F,1,0)</f>
        <v>6CU7421XLL</v>
      </c>
      <c r="K5716" s="43"/>
      <c r="L5716" s="44"/>
      <c r="M5716" s="45" t="s">
        <v>17422</v>
      </c>
    </row>
    <row r="5717" s="29" customFormat="1" ht="30" customHeight="1" spans="1:13">
      <c r="A5717" s="41">
        <f>IF(C5717="","",SUBTOTAL(103,$C$2:C5717))</f>
        <v>5708</v>
      </c>
      <c r="B5717" s="41">
        <v>4407</v>
      </c>
      <c r="C5717" s="54">
        <v>4358</v>
      </c>
      <c r="D5717" s="54" t="s">
        <v>45</v>
      </c>
      <c r="E5717" s="54" t="s">
        <v>1298</v>
      </c>
      <c r="F5717" s="54" t="s">
        <v>16629</v>
      </c>
      <c r="G5717" s="54" t="s">
        <v>17423</v>
      </c>
      <c r="H5717" s="54" t="s">
        <v>17424</v>
      </c>
      <c r="I5717" s="43">
        <v>12</v>
      </c>
      <c r="J5717" s="44" t="str">
        <f>VLOOKUP(G5717,[1]硬件清单!$F:$F,1,0)</f>
        <v>6CU7421XJF</v>
      </c>
      <c r="K5717" s="43"/>
      <c r="L5717" s="44"/>
      <c r="M5717" s="45" t="s">
        <v>17425</v>
      </c>
    </row>
    <row r="5718" s="29" customFormat="1" ht="30" customHeight="1" spans="1:13">
      <c r="A5718" s="41">
        <f>IF(C5718="","",SUBTOTAL(103,$C$2:C5718))</f>
        <v>5709</v>
      </c>
      <c r="B5718" s="41">
        <v>4408</v>
      </c>
      <c r="C5718" s="54">
        <v>4359</v>
      </c>
      <c r="D5718" s="54" t="s">
        <v>45</v>
      </c>
      <c r="E5718" s="54" t="s">
        <v>1298</v>
      </c>
      <c r="F5718" s="54" t="s">
        <v>16629</v>
      </c>
      <c r="G5718" s="54" t="s">
        <v>17426</v>
      </c>
      <c r="H5718" s="54" t="s">
        <v>17427</v>
      </c>
      <c r="I5718" s="43">
        <v>12</v>
      </c>
      <c r="J5718" s="44" t="str">
        <f>VLOOKUP(G5718,[1]硬件清单!$F:$F,1,0)</f>
        <v>6CU7421XEH</v>
      </c>
      <c r="K5718" s="43"/>
      <c r="L5718" s="44"/>
      <c r="M5718" s="45" t="s">
        <v>17428</v>
      </c>
    </row>
    <row r="5719" s="29" customFormat="1" ht="30" customHeight="1" spans="1:13">
      <c r="A5719" s="41">
        <f>IF(C5719="","",SUBTOTAL(103,$C$2:C5719))</f>
        <v>5710</v>
      </c>
      <c r="B5719" s="41">
        <v>4409</v>
      </c>
      <c r="C5719" s="54">
        <v>4360</v>
      </c>
      <c r="D5719" s="54" t="s">
        <v>45</v>
      </c>
      <c r="E5719" s="54" t="s">
        <v>1298</v>
      </c>
      <c r="F5719" s="54" t="s">
        <v>16629</v>
      </c>
      <c r="G5719" s="54" t="s">
        <v>17429</v>
      </c>
      <c r="H5719" s="54" t="s">
        <v>17430</v>
      </c>
      <c r="I5719" s="43">
        <v>12</v>
      </c>
      <c r="J5719" s="44" t="str">
        <f>VLOOKUP(G5719,[1]硬件清单!$F:$F,1,0)</f>
        <v>6CU7421XM5</v>
      </c>
      <c r="K5719" s="43"/>
      <c r="L5719" s="44"/>
      <c r="M5719" s="45" t="s">
        <v>17431</v>
      </c>
    </row>
    <row r="5720" s="29" customFormat="1" ht="30" customHeight="1" spans="1:13">
      <c r="A5720" s="41">
        <f>IF(C5720="","",SUBTOTAL(103,$C$2:C5720))</f>
        <v>5711</v>
      </c>
      <c r="B5720" s="41">
        <v>4410</v>
      </c>
      <c r="C5720" s="54">
        <v>4361</v>
      </c>
      <c r="D5720" s="54" t="s">
        <v>45</v>
      </c>
      <c r="E5720" s="54" t="s">
        <v>1298</v>
      </c>
      <c r="F5720" s="54" t="s">
        <v>16629</v>
      </c>
      <c r="G5720" s="54" t="s">
        <v>17432</v>
      </c>
      <c r="H5720" s="54" t="s">
        <v>17433</v>
      </c>
      <c r="I5720" s="43">
        <v>12</v>
      </c>
      <c r="J5720" s="44" t="str">
        <f>VLOOKUP(G5720,[1]硬件清单!$F:$F,1,0)</f>
        <v>6CU7421XM1</v>
      </c>
      <c r="K5720" s="43"/>
      <c r="L5720" s="44"/>
      <c r="M5720" s="45" t="s">
        <v>17434</v>
      </c>
    </row>
    <row r="5721" s="29" customFormat="1" ht="30" customHeight="1" spans="1:13">
      <c r="A5721" s="41">
        <f>IF(C5721="","",SUBTOTAL(103,$C$2:C5721))</f>
        <v>5712</v>
      </c>
      <c r="B5721" s="41">
        <v>4411</v>
      </c>
      <c r="C5721" s="54">
        <v>4362</v>
      </c>
      <c r="D5721" s="54" t="s">
        <v>45</v>
      </c>
      <c r="E5721" s="54" t="s">
        <v>1298</v>
      </c>
      <c r="F5721" s="54" t="s">
        <v>16629</v>
      </c>
      <c r="G5721" s="54" t="s">
        <v>17435</v>
      </c>
      <c r="H5721" s="54" t="s">
        <v>17436</v>
      </c>
      <c r="I5721" s="43">
        <v>12</v>
      </c>
      <c r="J5721" s="44" t="str">
        <f>VLOOKUP(G5721,[1]硬件清单!$F:$F,1,0)</f>
        <v>6CU7421XLB</v>
      </c>
      <c r="K5721" s="43"/>
      <c r="L5721" s="44"/>
      <c r="M5721" s="45" t="s">
        <v>17437</v>
      </c>
    </row>
    <row r="5722" s="29" customFormat="1" ht="30" customHeight="1" spans="1:13">
      <c r="A5722" s="41">
        <f>IF(C5722="","",SUBTOTAL(103,$C$2:C5722))</f>
        <v>5713</v>
      </c>
      <c r="B5722" s="41">
        <v>4412</v>
      </c>
      <c r="C5722" s="54">
        <v>4363</v>
      </c>
      <c r="D5722" s="54" t="s">
        <v>45</v>
      </c>
      <c r="E5722" s="54" t="s">
        <v>1298</v>
      </c>
      <c r="F5722" s="54" t="s">
        <v>16629</v>
      </c>
      <c r="G5722" s="54" t="s">
        <v>17438</v>
      </c>
      <c r="H5722" s="54" t="s">
        <v>17439</v>
      </c>
      <c r="I5722" s="43">
        <v>12</v>
      </c>
      <c r="J5722" s="44" t="str">
        <f>VLOOKUP(G5722,[1]硬件清单!$F:$F,1,0)</f>
        <v>6CU7421XEM</v>
      </c>
      <c r="K5722" s="43"/>
      <c r="L5722" s="44"/>
      <c r="M5722" s="45" t="s">
        <v>17440</v>
      </c>
    </row>
    <row r="5723" s="29" customFormat="1" ht="30" customHeight="1" spans="1:13">
      <c r="A5723" s="41">
        <f>IF(C5723="","",SUBTOTAL(103,$C$2:C5723))</f>
        <v>5714</v>
      </c>
      <c r="B5723" s="41">
        <v>4413</v>
      </c>
      <c r="C5723" s="54">
        <v>4364</v>
      </c>
      <c r="D5723" s="54" t="s">
        <v>45</v>
      </c>
      <c r="E5723" s="54" t="s">
        <v>1298</v>
      </c>
      <c r="F5723" s="54" t="s">
        <v>16629</v>
      </c>
      <c r="G5723" s="54" t="s">
        <v>17441</v>
      </c>
      <c r="H5723" s="54" t="s">
        <v>17442</v>
      </c>
      <c r="I5723" s="43">
        <v>12</v>
      </c>
      <c r="J5723" s="44" t="str">
        <f>VLOOKUP(G5723,[1]硬件清单!$F:$F,1,0)</f>
        <v>6CU7421XE4</v>
      </c>
      <c r="K5723" s="43"/>
      <c r="L5723" s="44"/>
      <c r="M5723" s="45" t="s">
        <v>17443</v>
      </c>
    </row>
    <row r="5724" s="29" customFormat="1" ht="30" customHeight="1" spans="1:13">
      <c r="A5724" s="41">
        <f>IF(C5724="","",SUBTOTAL(103,$C$2:C5724))</f>
        <v>5715</v>
      </c>
      <c r="B5724" s="41">
        <v>4414</v>
      </c>
      <c r="C5724" s="54">
        <v>4350</v>
      </c>
      <c r="D5724" s="54" t="s">
        <v>45</v>
      </c>
      <c r="E5724" s="54" t="s">
        <v>1298</v>
      </c>
      <c r="F5724" s="54" t="s">
        <v>16629</v>
      </c>
      <c r="G5724" s="54" t="s">
        <v>17444</v>
      </c>
      <c r="H5724" s="54" t="s">
        <v>17445</v>
      </c>
      <c r="I5724" s="43">
        <v>12</v>
      </c>
      <c r="J5724" s="44" t="str">
        <f>VLOOKUP(G5724,[1]硬件清单!$F:$F,1,0)</f>
        <v>6CU7421XHD</v>
      </c>
      <c r="K5724" s="43"/>
      <c r="L5724" s="44"/>
      <c r="M5724" s="45" t="s">
        <v>17446</v>
      </c>
    </row>
    <row r="5725" s="29" customFormat="1" ht="30" customHeight="1" spans="1:13">
      <c r="A5725" s="41">
        <f>IF(C5725="","",SUBTOTAL(103,$C$2:C5725))</f>
        <v>5716</v>
      </c>
      <c r="B5725" s="41">
        <v>4415</v>
      </c>
      <c r="C5725" s="54">
        <v>4351</v>
      </c>
      <c r="D5725" s="54" t="s">
        <v>45</v>
      </c>
      <c r="E5725" s="54" t="s">
        <v>1298</v>
      </c>
      <c r="F5725" s="54" t="s">
        <v>16629</v>
      </c>
      <c r="G5725" s="54" t="s">
        <v>17447</v>
      </c>
      <c r="H5725" s="54" t="s">
        <v>17448</v>
      </c>
      <c r="I5725" s="43">
        <v>12</v>
      </c>
      <c r="J5725" s="44" t="str">
        <f>VLOOKUP(G5725,[1]硬件清单!$F:$F,1,0)</f>
        <v>6CU7421XJW</v>
      </c>
      <c r="K5725" s="43"/>
      <c r="L5725" s="44"/>
      <c r="M5725" s="45" t="s">
        <v>17449</v>
      </c>
    </row>
    <row r="5726" s="29" customFormat="1" ht="30" customHeight="1" spans="1:13">
      <c r="A5726" s="41">
        <f>IF(C5726="","",SUBTOTAL(103,$C$2:C5726))</f>
        <v>5717</v>
      </c>
      <c r="B5726" s="41">
        <v>4416</v>
      </c>
      <c r="C5726" s="54">
        <v>4352</v>
      </c>
      <c r="D5726" s="54" t="s">
        <v>45</v>
      </c>
      <c r="E5726" s="54" t="s">
        <v>1298</v>
      </c>
      <c r="F5726" s="54" t="s">
        <v>16629</v>
      </c>
      <c r="G5726" s="54" t="s">
        <v>17450</v>
      </c>
      <c r="H5726" s="54" t="s">
        <v>17451</v>
      </c>
      <c r="I5726" s="43">
        <v>12</v>
      </c>
      <c r="J5726" s="44" t="str">
        <f>VLOOKUP(G5726,[1]硬件清单!$F:$F,1,0)</f>
        <v>6CU7421XF2</v>
      </c>
      <c r="K5726" s="43"/>
      <c r="L5726" s="44"/>
      <c r="M5726" s="45" t="s">
        <v>17452</v>
      </c>
    </row>
    <row r="5727" s="29" customFormat="1" ht="30" customHeight="1" spans="1:13">
      <c r="A5727" s="41">
        <f>IF(C5727="","",SUBTOTAL(103,$C$2:C5727))</f>
        <v>5718</v>
      </c>
      <c r="B5727" s="41">
        <v>4417</v>
      </c>
      <c r="C5727" s="54">
        <v>4353</v>
      </c>
      <c r="D5727" s="54" t="s">
        <v>45</v>
      </c>
      <c r="E5727" s="54" t="s">
        <v>1298</v>
      </c>
      <c r="F5727" s="54" t="s">
        <v>16629</v>
      </c>
      <c r="G5727" s="54" t="s">
        <v>17453</v>
      </c>
      <c r="H5727" s="54" t="s">
        <v>17454</v>
      </c>
      <c r="I5727" s="43">
        <v>12</v>
      </c>
      <c r="J5727" s="44" t="str">
        <f>VLOOKUP(G5727,[1]硬件清单!$F:$F,1,0)</f>
        <v>6CU7421XH9</v>
      </c>
      <c r="K5727" s="43"/>
      <c r="L5727" s="44"/>
      <c r="M5727" s="45" t="s">
        <v>17455</v>
      </c>
    </row>
    <row r="5728" s="29" customFormat="1" ht="30" customHeight="1" spans="1:13">
      <c r="A5728" s="41">
        <f>IF(C5728="","",SUBTOTAL(103,$C$2:C5728))</f>
        <v>5719</v>
      </c>
      <c r="B5728" s="41">
        <v>4418</v>
      </c>
      <c r="C5728" s="54">
        <v>4354</v>
      </c>
      <c r="D5728" s="54" t="s">
        <v>45</v>
      </c>
      <c r="E5728" s="54" t="s">
        <v>1298</v>
      </c>
      <c r="F5728" s="54" t="s">
        <v>16629</v>
      </c>
      <c r="G5728" s="54" t="s">
        <v>17456</v>
      </c>
      <c r="H5728" s="54" t="s">
        <v>17457</v>
      </c>
      <c r="I5728" s="43">
        <v>12</v>
      </c>
      <c r="J5728" s="44" t="str">
        <f>VLOOKUP(G5728,[1]硬件清单!$F:$F,1,0)</f>
        <v>6CU7421XHN</v>
      </c>
      <c r="K5728" s="43"/>
      <c r="L5728" s="44"/>
      <c r="M5728" s="45" t="s">
        <v>17458</v>
      </c>
    </row>
    <row r="5729" s="29" customFormat="1" ht="30" customHeight="1" spans="1:13">
      <c r="A5729" s="41">
        <f>IF(C5729="","",SUBTOTAL(103,$C$2:C5729))</f>
        <v>5720</v>
      </c>
      <c r="B5729" s="41">
        <v>4419</v>
      </c>
      <c r="C5729" s="54">
        <v>4355</v>
      </c>
      <c r="D5729" s="54" t="s">
        <v>45</v>
      </c>
      <c r="E5729" s="54" t="s">
        <v>1298</v>
      </c>
      <c r="F5729" s="54" t="s">
        <v>16629</v>
      </c>
      <c r="G5729" s="54" t="s">
        <v>17459</v>
      </c>
      <c r="H5729" s="54" t="s">
        <v>17460</v>
      </c>
      <c r="I5729" s="43">
        <v>12</v>
      </c>
      <c r="J5729" s="44" t="str">
        <f>VLOOKUP(G5729,[1]硬件清单!$F:$F,1,0)</f>
        <v>6CU7421XL7</v>
      </c>
      <c r="K5729" s="43"/>
      <c r="L5729" s="44"/>
      <c r="M5729" s="45" t="s">
        <v>17461</v>
      </c>
    </row>
    <row r="5730" s="29" customFormat="1" ht="30" customHeight="1" spans="1:13">
      <c r="A5730" s="41">
        <f>IF(C5730="","",SUBTOTAL(103,$C$2:C5730))</f>
        <v>5721</v>
      </c>
      <c r="B5730" s="41">
        <v>4420</v>
      </c>
      <c r="C5730" s="54">
        <v>4356</v>
      </c>
      <c r="D5730" s="54" t="s">
        <v>45</v>
      </c>
      <c r="E5730" s="54" t="s">
        <v>1298</v>
      </c>
      <c r="F5730" s="54" t="s">
        <v>16629</v>
      </c>
      <c r="G5730" s="54" t="s">
        <v>17462</v>
      </c>
      <c r="H5730" s="54" t="s">
        <v>17463</v>
      </c>
      <c r="I5730" s="43">
        <v>12</v>
      </c>
      <c r="J5730" s="44" t="str">
        <f>VLOOKUP(G5730,[1]硬件清单!$F:$F,1,0)</f>
        <v>6CU7421XES</v>
      </c>
      <c r="K5730" s="43"/>
      <c r="L5730" s="44"/>
      <c r="M5730" s="45" t="s">
        <v>17464</v>
      </c>
    </row>
    <row r="5731" s="29" customFormat="1" ht="30" customHeight="1" spans="1:13">
      <c r="A5731" s="41">
        <f>IF(C5731="","",SUBTOTAL(103,$C$2:C5731))</f>
        <v>5722</v>
      </c>
      <c r="B5731" s="41">
        <v>4421</v>
      </c>
      <c r="C5731" s="54">
        <v>4357</v>
      </c>
      <c r="D5731" s="54" t="s">
        <v>45</v>
      </c>
      <c r="E5731" s="54" t="s">
        <v>1298</v>
      </c>
      <c r="F5731" s="54" t="s">
        <v>16629</v>
      </c>
      <c r="G5731" s="54" t="s">
        <v>17465</v>
      </c>
      <c r="H5731" s="54" t="s">
        <v>17466</v>
      </c>
      <c r="I5731" s="43">
        <v>12</v>
      </c>
      <c r="J5731" s="44" t="str">
        <f>VLOOKUP(G5731,[1]硬件清单!$F:$F,1,0)</f>
        <v>6CU7421XFW</v>
      </c>
      <c r="K5731" s="43"/>
      <c r="L5731" s="44"/>
      <c r="M5731" s="45" t="s">
        <v>17467</v>
      </c>
    </row>
    <row r="5732" s="29" customFormat="1" ht="30" customHeight="1" spans="1:13">
      <c r="A5732" s="41">
        <f>IF(C5732="","",SUBTOTAL(103,$C$2:C5732))</f>
        <v>5723</v>
      </c>
      <c r="B5732" s="41">
        <v>4422</v>
      </c>
      <c r="C5732" s="54">
        <v>4452</v>
      </c>
      <c r="D5732" s="54" t="s">
        <v>45</v>
      </c>
      <c r="E5732" s="54" t="s">
        <v>1298</v>
      </c>
      <c r="F5732" s="54" t="s">
        <v>16625</v>
      </c>
      <c r="G5732" s="54" t="s">
        <v>17468</v>
      </c>
      <c r="H5732" s="54" t="s">
        <v>17469</v>
      </c>
      <c r="I5732" s="43">
        <v>12</v>
      </c>
      <c r="J5732" s="44" t="str">
        <f>VLOOKUP(G5732,[1]硬件清单!$F:$F,1,0)</f>
        <v>6C07422HM8</v>
      </c>
      <c r="K5732" s="43"/>
      <c r="L5732" s="44"/>
      <c r="M5732" s="45" t="s">
        <v>17470</v>
      </c>
    </row>
    <row r="5733" s="29" customFormat="1" ht="30" customHeight="1" spans="1:13">
      <c r="A5733" s="41">
        <f>IF(C5733="","",SUBTOTAL(103,$C$2:C5733))</f>
        <v>5724</v>
      </c>
      <c r="B5733" s="41">
        <v>4423</v>
      </c>
      <c r="C5733" s="54">
        <v>4365</v>
      </c>
      <c r="D5733" s="54" t="s">
        <v>45</v>
      </c>
      <c r="E5733" s="54" t="s">
        <v>1298</v>
      </c>
      <c r="F5733" s="54" t="s">
        <v>16629</v>
      </c>
      <c r="G5733" s="54" t="s">
        <v>17471</v>
      </c>
      <c r="H5733" s="54" t="s">
        <v>17472</v>
      </c>
      <c r="I5733" s="43">
        <v>12</v>
      </c>
      <c r="J5733" s="44" t="str">
        <f>VLOOKUP(G5733,[1]硬件清单!$F:$F,1,0)</f>
        <v>6CU7421XL3</v>
      </c>
      <c r="K5733" s="43"/>
      <c r="L5733" s="44"/>
      <c r="M5733" s="45" t="s">
        <v>17473</v>
      </c>
    </row>
    <row r="5734" s="29" customFormat="1" ht="30" customHeight="1" spans="1:13">
      <c r="A5734" s="41">
        <f>IF(C5734="","",SUBTOTAL(103,$C$2:C5734))</f>
        <v>5725</v>
      </c>
      <c r="B5734" s="41">
        <v>4424</v>
      </c>
      <c r="C5734" s="54">
        <v>4422</v>
      </c>
      <c r="D5734" s="54" t="s">
        <v>45</v>
      </c>
      <c r="E5734" s="54" t="s">
        <v>1298</v>
      </c>
      <c r="F5734" s="54" t="s">
        <v>16629</v>
      </c>
      <c r="G5734" s="54" t="s">
        <v>17474</v>
      </c>
      <c r="H5734" s="54" t="s">
        <v>17475</v>
      </c>
      <c r="I5734" s="43">
        <v>12</v>
      </c>
      <c r="J5734" s="44" t="str">
        <f>VLOOKUP(G5734,[1]硬件清单!$F:$F,1,0)</f>
        <v>6CU7421XKJ</v>
      </c>
      <c r="K5734" s="43"/>
      <c r="L5734" s="44"/>
      <c r="M5734" s="45" t="s">
        <v>17476</v>
      </c>
    </row>
    <row r="5735" s="29" customFormat="1" ht="30" customHeight="1" spans="1:13">
      <c r="A5735" s="41">
        <f>IF(C5735="","",SUBTOTAL(103,$C$2:C5735))</f>
        <v>5726</v>
      </c>
      <c r="B5735" s="41">
        <v>4425</v>
      </c>
      <c r="C5735" s="54">
        <v>4423</v>
      </c>
      <c r="D5735" s="54" t="s">
        <v>45</v>
      </c>
      <c r="E5735" s="54" t="s">
        <v>1298</v>
      </c>
      <c r="F5735" s="54" t="s">
        <v>16629</v>
      </c>
      <c r="G5735" s="54" t="s">
        <v>17477</v>
      </c>
      <c r="H5735" s="54" t="s">
        <v>17478</v>
      </c>
      <c r="I5735" s="43">
        <v>12</v>
      </c>
      <c r="J5735" s="44" t="str">
        <f>VLOOKUP(G5735,[1]硬件清单!$F:$F,1,0)</f>
        <v>6CU7421XEX</v>
      </c>
      <c r="K5735" s="43"/>
      <c r="L5735" s="44"/>
      <c r="M5735" s="45" t="s">
        <v>17479</v>
      </c>
    </row>
    <row r="5736" s="29" customFormat="1" ht="30" customHeight="1" spans="1:13">
      <c r="A5736" s="41">
        <f>IF(C5736="","",SUBTOTAL(103,$C$2:C5736))</f>
        <v>5727</v>
      </c>
      <c r="B5736" s="41">
        <v>4426</v>
      </c>
      <c r="C5736" s="54">
        <v>4424</v>
      </c>
      <c r="D5736" s="54" t="s">
        <v>45</v>
      </c>
      <c r="E5736" s="54" t="s">
        <v>1298</v>
      </c>
      <c r="F5736" s="54" t="s">
        <v>16629</v>
      </c>
      <c r="G5736" s="54" t="s">
        <v>17480</v>
      </c>
      <c r="H5736" s="54" t="s">
        <v>17481</v>
      </c>
      <c r="I5736" s="43">
        <v>12</v>
      </c>
      <c r="J5736" s="44" t="str">
        <f>VLOOKUP(G5736,[1]硬件清单!$F:$F,1,0)</f>
        <v>6CU7421XKT</v>
      </c>
      <c r="K5736" s="43"/>
      <c r="L5736" s="44"/>
      <c r="M5736" s="45" t="s">
        <v>17482</v>
      </c>
    </row>
    <row r="5737" s="29" customFormat="1" ht="30" customHeight="1" spans="1:13">
      <c r="A5737" s="41">
        <f>IF(C5737="","",SUBTOTAL(103,$C$2:C5737))</f>
        <v>5728</v>
      </c>
      <c r="B5737" s="41">
        <v>4427</v>
      </c>
      <c r="C5737" s="54">
        <v>4701</v>
      </c>
      <c r="D5737" s="54" t="s">
        <v>45</v>
      </c>
      <c r="E5737" s="54" t="s">
        <v>1298</v>
      </c>
      <c r="F5737" s="54" t="s">
        <v>16629</v>
      </c>
      <c r="G5737" s="54" t="s">
        <v>17483</v>
      </c>
      <c r="H5737" s="54" t="s">
        <v>17484</v>
      </c>
      <c r="I5737" s="43">
        <v>12</v>
      </c>
      <c r="J5737" s="44" t="str">
        <f>VLOOKUP(G5737,[1]硬件清单!$F:$F,1,0)</f>
        <v>6CU7421XKN</v>
      </c>
      <c r="K5737" s="43"/>
      <c r="L5737" s="44"/>
      <c r="M5737" s="45" t="s">
        <v>17485</v>
      </c>
    </row>
    <row r="5738" s="29" customFormat="1" ht="30" customHeight="1" spans="1:13">
      <c r="A5738" s="41">
        <f>IF(C5738="","",SUBTOTAL(103,$C$2:C5738))</f>
        <v>5729</v>
      </c>
      <c r="B5738" s="41">
        <v>4428</v>
      </c>
      <c r="C5738" s="54">
        <v>4702</v>
      </c>
      <c r="D5738" s="54" t="s">
        <v>45</v>
      </c>
      <c r="E5738" s="54" t="s">
        <v>1298</v>
      </c>
      <c r="F5738" s="54" t="s">
        <v>16629</v>
      </c>
      <c r="G5738" s="54" t="s">
        <v>17486</v>
      </c>
      <c r="H5738" s="54" t="s">
        <v>17487</v>
      </c>
      <c r="I5738" s="43">
        <v>12</v>
      </c>
      <c r="J5738" s="44" t="str">
        <f>VLOOKUP(G5738,[1]硬件清单!$F:$F,1,0)</f>
        <v>6CU7421XFL</v>
      </c>
      <c r="K5738" s="43"/>
      <c r="L5738" s="44"/>
      <c r="M5738" s="45" t="s">
        <v>17488</v>
      </c>
    </row>
    <row r="5739" s="29" customFormat="1" ht="30" customHeight="1" spans="1:13">
      <c r="A5739" s="41">
        <f>IF(C5739="","",SUBTOTAL(103,$C$2:C5739))</f>
        <v>5730</v>
      </c>
      <c r="B5739" s="41">
        <v>4429</v>
      </c>
      <c r="C5739" s="54">
        <v>4724</v>
      </c>
      <c r="D5739" s="54" t="s">
        <v>45</v>
      </c>
      <c r="E5739" s="54" t="s">
        <v>1298</v>
      </c>
      <c r="F5739" s="54" t="s">
        <v>16629</v>
      </c>
      <c r="G5739" s="54" t="s">
        <v>17489</v>
      </c>
      <c r="H5739" s="54" t="s">
        <v>17490</v>
      </c>
      <c r="I5739" s="43">
        <v>12</v>
      </c>
      <c r="J5739" s="44" t="str">
        <f>VLOOKUP(G5739,[1]硬件清单!$F:$F,1,0)</f>
        <v>6CU7421XKY</v>
      </c>
      <c r="K5739" s="43"/>
      <c r="L5739" s="44"/>
      <c r="M5739" s="45" t="s">
        <v>17491</v>
      </c>
    </row>
    <row r="5740" s="29" customFormat="1" ht="30" customHeight="1" spans="1:13">
      <c r="A5740" s="41">
        <f>IF(C5740="","",SUBTOTAL(103,$C$2:C5740))</f>
        <v>5731</v>
      </c>
      <c r="B5740" s="41">
        <v>4430</v>
      </c>
      <c r="C5740" s="54">
        <v>4725</v>
      </c>
      <c r="D5740" s="54" t="s">
        <v>45</v>
      </c>
      <c r="E5740" s="54" t="s">
        <v>1298</v>
      </c>
      <c r="F5740" s="54" t="s">
        <v>16629</v>
      </c>
      <c r="G5740" s="54" t="s">
        <v>17492</v>
      </c>
      <c r="H5740" s="54" t="s">
        <v>17493</v>
      </c>
      <c r="I5740" s="43">
        <v>12</v>
      </c>
      <c r="J5740" s="44" t="str">
        <f>VLOOKUP(G5740,[1]硬件清单!$F:$F,1,0)</f>
        <v>6CU7421XHY</v>
      </c>
      <c r="K5740" s="43"/>
      <c r="L5740" s="44"/>
      <c r="M5740" s="45" t="s">
        <v>17494</v>
      </c>
    </row>
    <row r="5741" s="29" customFormat="1" ht="30" customHeight="1" spans="1:13">
      <c r="A5741" s="41">
        <f>IF(C5741="","",SUBTOTAL(103,$C$2:C5741))</f>
        <v>5732</v>
      </c>
      <c r="B5741" s="41">
        <v>4431</v>
      </c>
      <c r="C5741" s="54">
        <v>4366</v>
      </c>
      <c r="D5741" s="54" t="s">
        <v>45</v>
      </c>
      <c r="E5741" s="54" t="s">
        <v>1298</v>
      </c>
      <c r="F5741" s="54" t="s">
        <v>16629</v>
      </c>
      <c r="G5741" s="54" t="s">
        <v>17495</v>
      </c>
      <c r="H5741" s="54" t="s">
        <v>17496</v>
      </c>
      <c r="I5741" s="43">
        <v>12</v>
      </c>
      <c r="J5741" s="44" t="str">
        <f>VLOOKUP(G5741,[1]硬件清单!$F:$F,1,0)</f>
        <v>6CU7421XLW</v>
      </c>
      <c r="K5741" s="43"/>
      <c r="L5741" s="44"/>
      <c r="M5741" s="45" t="s">
        <v>17497</v>
      </c>
    </row>
    <row r="5742" s="29" customFormat="1" ht="30" customHeight="1" spans="1:13">
      <c r="A5742" s="41">
        <f>IF(C5742="","",SUBTOTAL(103,$C$2:C5742))</f>
        <v>5733</v>
      </c>
      <c r="B5742" s="41">
        <v>4432</v>
      </c>
      <c r="C5742" s="54">
        <v>4367</v>
      </c>
      <c r="D5742" s="54" t="s">
        <v>45</v>
      </c>
      <c r="E5742" s="54" t="s">
        <v>1298</v>
      </c>
      <c r="F5742" s="54" t="s">
        <v>16629</v>
      </c>
      <c r="G5742" s="54" t="s">
        <v>17498</v>
      </c>
      <c r="H5742" s="54" t="s">
        <v>17499</v>
      </c>
      <c r="I5742" s="43">
        <v>12</v>
      </c>
      <c r="J5742" s="44" t="str">
        <f>VLOOKUP(G5742,[1]硬件清单!$F:$F,1,0)</f>
        <v>6CU7421XF6</v>
      </c>
      <c r="K5742" s="43"/>
      <c r="L5742" s="44"/>
      <c r="M5742" s="45" t="s">
        <v>17500</v>
      </c>
    </row>
    <row r="5743" s="29" customFormat="1" ht="30" customHeight="1" spans="1:13">
      <c r="A5743" s="41">
        <f>IF(C5743="","",SUBTOTAL(103,$C$2:C5743))</f>
        <v>5734</v>
      </c>
      <c r="B5743" s="41">
        <v>4433</v>
      </c>
      <c r="C5743" s="54">
        <v>4368</v>
      </c>
      <c r="D5743" s="54" t="s">
        <v>45</v>
      </c>
      <c r="E5743" s="54" t="s">
        <v>1298</v>
      </c>
      <c r="F5743" s="54" t="s">
        <v>16629</v>
      </c>
      <c r="G5743" s="54" t="s">
        <v>17501</v>
      </c>
      <c r="H5743" s="54" t="s">
        <v>17502</v>
      </c>
      <c r="I5743" s="43">
        <v>12</v>
      </c>
      <c r="J5743" s="44" t="str">
        <f>VLOOKUP(G5743,[1]硬件清单!$F:$F,1,0)</f>
        <v>6CU7421XH5</v>
      </c>
      <c r="K5743" s="43"/>
      <c r="L5743" s="44"/>
      <c r="M5743" s="45" t="s">
        <v>17503</v>
      </c>
    </row>
    <row r="5744" s="29" customFormat="1" ht="30" customHeight="1" spans="1:13">
      <c r="A5744" s="41">
        <f>IF(C5744="","",SUBTOTAL(103,$C$2:C5744))</f>
        <v>5735</v>
      </c>
      <c r="B5744" s="41">
        <v>4434</v>
      </c>
      <c r="C5744" s="54">
        <v>4369</v>
      </c>
      <c r="D5744" s="54" t="s">
        <v>45</v>
      </c>
      <c r="E5744" s="54" t="s">
        <v>1298</v>
      </c>
      <c r="F5744" s="54" t="s">
        <v>16629</v>
      </c>
      <c r="G5744" s="54" t="s">
        <v>17504</v>
      </c>
      <c r="H5744" s="54" t="s">
        <v>17505</v>
      </c>
      <c r="I5744" s="43">
        <v>12</v>
      </c>
      <c r="J5744" s="44" t="str">
        <f>VLOOKUP(G5744,[1]硬件清单!$F:$F,1,0)</f>
        <v>6CU7421XK5</v>
      </c>
      <c r="K5744" s="43"/>
      <c r="L5744" s="44"/>
      <c r="M5744" s="45" t="s">
        <v>17506</v>
      </c>
    </row>
    <row r="5745" s="29" customFormat="1" ht="30" customHeight="1" spans="1:13">
      <c r="A5745" s="41">
        <f>IF(C5745="","",SUBTOTAL(103,$C$2:C5745))</f>
        <v>5736</v>
      </c>
      <c r="B5745" s="41">
        <v>4435</v>
      </c>
      <c r="C5745" s="54">
        <v>4370</v>
      </c>
      <c r="D5745" s="54" t="s">
        <v>45</v>
      </c>
      <c r="E5745" s="54" t="s">
        <v>1298</v>
      </c>
      <c r="F5745" s="54" t="s">
        <v>16629</v>
      </c>
      <c r="G5745" s="54" t="s">
        <v>17507</v>
      </c>
      <c r="H5745" s="54" t="s">
        <v>17508</v>
      </c>
      <c r="I5745" s="43">
        <v>12</v>
      </c>
      <c r="J5745" s="44" t="str">
        <f>VLOOKUP(G5745,[1]硬件清单!$F:$F,1,0)</f>
        <v>6CU7421XE8</v>
      </c>
      <c r="K5745" s="43"/>
      <c r="L5745" s="44"/>
      <c r="M5745" s="45" t="s">
        <v>17509</v>
      </c>
    </row>
    <row r="5746" s="29" customFormat="1" ht="30" customHeight="1" spans="1:13">
      <c r="A5746" s="41">
        <f>IF(C5746="","",SUBTOTAL(103,$C$2:C5746))</f>
        <v>5737</v>
      </c>
      <c r="B5746" s="41">
        <v>4436</v>
      </c>
      <c r="C5746" s="54">
        <v>4371</v>
      </c>
      <c r="D5746" s="54" t="s">
        <v>45</v>
      </c>
      <c r="E5746" s="54" t="s">
        <v>1298</v>
      </c>
      <c r="F5746" s="54" t="s">
        <v>16629</v>
      </c>
      <c r="G5746" s="54" t="s">
        <v>17510</v>
      </c>
      <c r="H5746" s="54" t="s">
        <v>17511</v>
      </c>
      <c r="I5746" s="43">
        <v>12</v>
      </c>
      <c r="J5746" s="44" t="str">
        <f>VLOOKUP(G5746,[1]硬件清单!$F:$F,1,0)</f>
        <v>6CU7421XMD</v>
      </c>
      <c r="K5746" s="43"/>
      <c r="L5746" s="44"/>
      <c r="M5746" s="45" t="s">
        <v>17512</v>
      </c>
    </row>
    <row r="5747" s="29" customFormat="1" ht="30" customHeight="1" spans="1:13">
      <c r="A5747" s="41">
        <f>IF(C5747="","",SUBTOTAL(103,$C$2:C5747))</f>
        <v>5738</v>
      </c>
      <c r="B5747" s="41">
        <v>4437</v>
      </c>
      <c r="C5747" s="54">
        <v>4372</v>
      </c>
      <c r="D5747" s="54" t="s">
        <v>45</v>
      </c>
      <c r="E5747" s="54" t="s">
        <v>1298</v>
      </c>
      <c r="F5747" s="54" t="s">
        <v>16629</v>
      </c>
      <c r="G5747" s="54" t="s">
        <v>17513</v>
      </c>
      <c r="H5747" s="54" t="s">
        <v>17514</v>
      </c>
      <c r="I5747" s="43">
        <v>12</v>
      </c>
      <c r="J5747" s="44" t="str">
        <f>VLOOKUP(G5747,[1]硬件清单!$F:$F,1,0)</f>
        <v>6CU7421XLF</v>
      </c>
      <c r="K5747" s="43"/>
      <c r="L5747" s="44"/>
      <c r="M5747" s="45" t="s">
        <v>17515</v>
      </c>
    </row>
    <row r="5748" s="29" customFormat="1" ht="30" customHeight="1" spans="1:13">
      <c r="A5748" s="41">
        <f>IF(C5748="","",SUBTOTAL(103,$C$2:C5748))</f>
        <v>5739</v>
      </c>
      <c r="B5748" s="41">
        <v>4438</v>
      </c>
      <c r="C5748" s="54">
        <v>4421</v>
      </c>
      <c r="D5748" s="54" t="s">
        <v>45</v>
      </c>
      <c r="E5748" s="54" t="s">
        <v>1298</v>
      </c>
      <c r="F5748" s="54" t="s">
        <v>16629</v>
      </c>
      <c r="G5748" s="54" t="s">
        <v>17516</v>
      </c>
      <c r="H5748" s="54" t="s">
        <v>17517</v>
      </c>
      <c r="I5748" s="43">
        <v>12</v>
      </c>
      <c r="J5748" s="44" t="str">
        <f>VLOOKUP(G5748,[1]硬件清单!$F:$F,1,0)</f>
        <v>6CU7421XFA</v>
      </c>
      <c r="K5748" s="43"/>
      <c r="L5748" s="44"/>
      <c r="M5748" s="45" t="s">
        <v>17518</v>
      </c>
    </row>
    <row r="5749" s="29" customFormat="1" ht="30" customHeight="1" spans="1:13">
      <c r="A5749" s="41">
        <f>IF(C5749="","",SUBTOTAL(103,$C$2:C5749))</f>
        <v>5740</v>
      </c>
      <c r="B5749" s="41">
        <v>4439</v>
      </c>
      <c r="C5749" s="54">
        <v>10433</v>
      </c>
      <c r="D5749" s="54" t="s">
        <v>45</v>
      </c>
      <c r="E5749" s="54" t="s">
        <v>1298</v>
      </c>
      <c r="F5749" s="54" t="s">
        <v>4535</v>
      </c>
      <c r="G5749" s="54" t="s">
        <v>17519</v>
      </c>
      <c r="H5749" s="54" t="s">
        <v>17520</v>
      </c>
      <c r="I5749" s="43">
        <v>12</v>
      </c>
      <c r="J5749" s="44" t="str">
        <f>VLOOKUP(G5749,[1]硬件清单!$F:$F,1,0)</f>
        <v>J302XKF</v>
      </c>
      <c r="K5749" s="43"/>
      <c r="L5749" s="44"/>
      <c r="M5749" s="45" t="s">
        <v>17521</v>
      </c>
    </row>
    <row r="5750" s="29" customFormat="1" ht="30" customHeight="1" spans="1:13">
      <c r="A5750" s="41">
        <f>IF(C5750="","",SUBTOTAL(103,$C$2:C5750))</f>
        <v>5741</v>
      </c>
      <c r="B5750" s="41">
        <v>4440</v>
      </c>
      <c r="C5750" s="54">
        <v>10434</v>
      </c>
      <c r="D5750" s="54" t="s">
        <v>45</v>
      </c>
      <c r="E5750" s="54" t="s">
        <v>1298</v>
      </c>
      <c r="F5750" s="54" t="s">
        <v>4535</v>
      </c>
      <c r="G5750" s="54" t="s">
        <v>17522</v>
      </c>
      <c r="H5750" s="54" t="s">
        <v>17523</v>
      </c>
      <c r="I5750" s="43">
        <v>12</v>
      </c>
      <c r="J5750" s="44" t="str">
        <f>VLOOKUP(G5750,[1]硬件清单!$F:$F,1,0)</f>
        <v>J302XK0</v>
      </c>
      <c r="K5750" s="43"/>
      <c r="L5750" s="44"/>
      <c r="M5750" s="45" t="s">
        <v>17524</v>
      </c>
    </row>
    <row r="5751" s="29" customFormat="1" ht="30" customHeight="1" spans="1:13">
      <c r="A5751" s="41">
        <f>IF(C5751="","",SUBTOTAL(103,$C$2:C5751))</f>
        <v>5742</v>
      </c>
      <c r="B5751" s="41">
        <v>4441</v>
      </c>
      <c r="C5751" s="54">
        <v>10435</v>
      </c>
      <c r="D5751" s="54" t="s">
        <v>45</v>
      </c>
      <c r="E5751" s="54" t="s">
        <v>1298</v>
      </c>
      <c r="F5751" s="54" t="s">
        <v>4535</v>
      </c>
      <c r="G5751" s="54" t="s">
        <v>17525</v>
      </c>
      <c r="H5751" s="54" t="s">
        <v>17526</v>
      </c>
      <c r="I5751" s="43">
        <v>12</v>
      </c>
      <c r="J5751" s="44" t="str">
        <f>VLOOKUP(G5751,[1]硬件清单!$F:$F,1,0)</f>
        <v>06HNAKN</v>
      </c>
      <c r="K5751" s="43"/>
      <c r="L5751" s="44"/>
      <c r="M5751" s="45" t="s">
        <v>17527</v>
      </c>
    </row>
    <row r="5752" s="29" customFormat="1" ht="30" customHeight="1" spans="1:13">
      <c r="A5752" s="41">
        <f>IF(C5752="","",SUBTOTAL(103,$C$2:C5752))</f>
        <v>5743</v>
      </c>
      <c r="B5752" s="41">
        <v>4442</v>
      </c>
      <c r="C5752" s="54">
        <v>10436</v>
      </c>
      <c r="D5752" s="54" t="s">
        <v>45</v>
      </c>
      <c r="E5752" s="54" t="s">
        <v>1298</v>
      </c>
      <c r="F5752" s="54" t="s">
        <v>4535</v>
      </c>
      <c r="G5752" s="54" t="s">
        <v>17528</v>
      </c>
      <c r="H5752" s="54" t="s">
        <v>17529</v>
      </c>
      <c r="I5752" s="43">
        <v>12</v>
      </c>
      <c r="J5752" s="44" t="str">
        <f>VLOOKUP(G5752,[1]硬件清单!$F:$F,1,0)</f>
        <v>06HNAVW</v>
      </c>
      <c r="K5752" s="43"/>
      <c r="L5752" s="44"/>
      <c r="M5752" s="45" t="s">
        <v>17530</v>
      </c>
    </row>
    <row r="5753" s="29" customFormat="1" ht="30" customHeight="1" spans="1:13">
      <c r="A5753" s="41">
        <f>IF(C5753="","",SUBTOTAL(103,$C$2:C5753))</f>
        <v>5744</v>
      </c>
      <c r="B5753" s="41">
        <v>4443</v>
      </c>
      <c r="C5753" s="54">
        <v>10437</v>
      </c>
      <c r="D5753" s="54" t="s">
        <v>45</v>
      </c>
      <c r="E5753" s="54" t="s">
        <v>1298</v>
      </c>
      <c r="F5753" s="54" t="s">
        <v>4535</v>
      </c>
      <c r="G5753" s="54" t="s">
        <v>17531</v>
      </c>
      <c r="H5753" s="54" t="s">
        <v>17532</v>
      </c>
      <c r="I5753" s="43">
        <v>12</v>
      </c>
      <c r="J5753" s="44" t="str">
        <f>VLOOKUP(G5753,[1]硬件清单!$F:$F,1,0)</f>
        <v>J302XK1</v>
      </c>
      <c r="K5753" s="43"/>
      <c r="L5753" s="44"/>
      <c r="M5753" s="45" t="s">
        <v>17533</v>
      </c>
    </row>
    <row r="5754" s="29" customFormat="1" ht="30" customHeight="1" spans="1:13">
      <c r="A5754" s="41">
        <f>IF(C5754="","",SUBTOTAL(103,$C$2:C5754))</f>
        <v>5745</v>
      </c>
      <c r="B5754" s="41">
        <v>4444</v>
      </c>
      <c r="C5754" s="54">
        <v>4453</v>
      </c>
      <c r="D5754" s="54" t="s">
        <v>45</v>
      </c>
      <c r="E5754" s="54" t="s">
        <v>1298</v>
      </c>
      <c r="F5754" s="54" t="s">
        <v>16625</v>
      </c>
      <c r="G5754" s="54" t="s">
        <v>17534</v>
      </c>
      <c r="H5754" s="54" t="s">
        <v>17535</v>
      </c>
      <c r="I5754" s="43">
        <v>12</v>
      </c>
      <c r="J5754" s="44" t="str">
        <f>VLOOKUP(G5754,[1]硬件清单!$F:$F,1,0)</f>
        <v>6C07422HLT</v>
      </c>
      <c r="K5754" s="43"/>
      <c r="L5754" s="44"/>
      <c r="M5754" s="45" t="s">
        <v>17536</v>
      </c>
    </row>
    <row r="5755" s="29" customFormat="1" ht="30" customHeight="1" spans="1:13">
      <c r="A5755" s="41">
        <f>IF(C5755="","",SUBTOTAL(103,$C$2:C5755))</f>
        <v>5746</v>
      </c>
      <c r="B5755" s="41">
        <v>4445</v>
      </c>
      <c r="C5755" s="54">
        <v>4373</v>
      </c>
      <c r="D5755" s="54" t="s">
        <v>45</v>
      </c>
      <c r="E5755" s="54" t="s">
        <v>1298</v>
      </c>
      <c r="F5755" s="54" t="s">
        <v>16629</v>
      </c>
      <c r="G5755" s="54" t="s">
        <v>17537</v>
      </c>
      <c r="H5755" s="54" t="s">
        <v>17538</v>
      </c>
      <c r="I5755" s="43">
        <v>12</v>
      </c>
      <c r="J5755" s="44" t="str">
        <f>VLOOKUP(G5755,[1]硬件清单!$F:$F,1,0)</f>
        <v>6CU7421XJL</v>
      </c>
      <c r="K5755" s="43"/>
      <c r="L5755" s="44"/>
      <c r="M5755" s="45" t="s">
        <v>17539</v>
      </c>
    </row>
    <row r="5756" s="29" customFormat="1" ht="30" customHeight="1" spans="1:13">
      <c r="A5756" s="41">
        <f>IF(C5756="","",SUBTOTAL(103,$C$2:C5756))</f>
        <v>5747</v>
      </c>
      <c r="B5756" s="41">
        <v>4446</v>
      </c>
      <c r="C5756" s="54">
        <v>4382</v>
      </c>
      <c r="D5756" s="54" t="s">
        <v>45</v>
      </c>
      <c r="E5756" s="54" t="s">
        <v>1298</v>
      </c>
      <c r="F5756" s="54" t="s">
        <v>16629</v>
      </c>
      <c r="G5756" s="54" t="s">
        <v>17540</v>
      </c>
      <c r="H5756" s="54" t="s">
        <v>17541</v>
      </c>
      <c r="I5756" s="43">
        <v>12</v>
      </c>
      <c r="J5756" s="44" t="str">
        <f>VLOOKUP(G5756,[1]硬件清单!$F:$F,1,0)</f>
        <v>6CU7421XJ3</v>
      </c>
      <c r="K5756" s="43"/>
      <c r="L5756" s="44"/>
      <c r="M5756" s="45" t="s">
        <v>17542</v>
      </c>
    </row>
    <row r="5757" s="29" customFormat="1" ht="30" customHeight="1" spans="1:13">
      <c r="A5757" s="41">
        <f>IF(C5757="","",SUBTOTAL(103,$C$2:C5757))</f>
        <v>5748</v>
      </c>
      <c r="B5757" s="41">
        <v>4447</v>
      </c>
      <c r="C5757" s="54">
        <v>4383</v>
      </c>
      <c r="D5757" s="54" t="s">
        <v>45</v>
      </c>
      <c r="E5757" s="54" t="s">
        <v>1298</v>
      </c>
      <c r="F5757" s="54" t="s">
        <v>16629</v>
      </c>
      <c r="G5757" s="54" t="s">
        <v>17543</v>
      </c>
      <c r="H5757" s="54" t="s">
        <v>17544</v>
      </c>
      <c r="I5757" s="43">
        <v>12</v>
      </c>
      <c r="J5757" s="44" t="str">
        <f>VLOOKUP(G5757,[1]硬件清单!$F:$F,1,0)</f>
        <v>6CU7421XFF</v>
      </c>
      <c r="K5757" s="43"/>
      <c r="L5757" s="44"/>
      <c r="M5757" s="45" t="s">
        <v>17545</v>
      </c>
    </row>
    <row r="5758" s="29" customFormat="1" ht="30" customHeight="1" spans="1:13">
      <c r="A5758" s="41">
        <f>IF(C5758="","",SUBTOTAL(103,$C$2:C5758))</f>
        <v>5749</v>
      </c>
      <c r="B5758" s="41">
        <v>4448</v>
      </c>
      <c r="C5758" s="54">
        <v>4384</v>
      </c>
      <c r="D5758" s="54" t="s">
        <v>45</v>
      </c>
      <c r="E5758" s="54" t="s">
        <v>1298</v>
      </c>
      <c r="F5758" s="54" t="s">
        <v>16629</v>
      </c>
      <c r="G5758" s="54" t="s">
        <v>17546</v>
      </c>
      <c r="H5758" s="54" t="s">
        <v>17547</v>
      </c>
      <c r="I5758" s="43">
        <v>12</v>
      </c>
      <c r="J5758" s="44" t="str">
        <f>VLOOKUP(G5758,[1]硬件清单!$F:$F,1,0)</f>
        <v>6CU7421XJR</v>
      </c>
      <c r="K5758" s="43"/>
      <c r="L5758" s="44"/>
      <c r="M5758" s="45" t="s">
        <v>17548</v>
      </c>
    </row>
    <row r="5759" s="29" customFormat="1" ht="30" customHeight="1" spans="1:13">
      <c r="A5759" s="41">
        <f>IF(C5759="","",SUBTOTAL(103,$C$2:C5759))</f>
        <v>5750</v>
      </c>
      <c r="B5759" s="41">
        <v>4449</v>
      </c>
      <c r="C5759" s="54">
        <v>4385</v>
      </c>
      <c r="D5759" s="54" t="s">
        <v>45</v>
      </c>
      <c r="E5759" s="54" t="s">
        <v>1298</v>
      </c>
      <c r="F5759" s="54" t="s">
        <v>16629</v>
      </c>
      <c r="G5759" s="54" t="s">
        <v>17549</v>
      </c>
      <c r="H5759" s="54" t="s">
        <v>17550</v>
      </c>
      <c r="I5759" s="43">
        <v>12</v>
      </c>
      <c r="J5759" s="44" t="str">
        <f>VLOOKUP(G5759,[1]硬件清单!$F:$F,1,0)</f>
        <v>6CU7421XHT</v>
      </c>
      <c r="K5759" s="43"/>
      <c r="L5759" s="44"/>
      <c r="M5759" s="45" t="s">
        <v>17551</v>
      </c>
    </row>
    <row r="5760" s="29" customFormat="1" ht="30" customHeight="1" spans="1:13">
      <c r="A5760" s="41">
        <f>IF(C5760="","",SUBTOTAL(103,$C$2:C5760))</f>
        <v>5751</v>
      </c>
      <c r="B5760" s="41">
        <v>4450</v>
      </c>
      <c r="C5760" s="54">
        <v>4386</v>
      </c>
      <c r="D5760" s="54" t="s">
        <v>45</v>
      </c>
      <c r="E5760" s="54" t="s">
        <v>1298</v>
      </c>
      <c r="F5760" s="54" t="s">
        <v>16629</v>
      </c>
      <c r="G5760" s="54" t="s">
        <v>17552</v>
      </c>
      <c r="H5760" s="54" t="s">
        <v>17553</v>
      </c>
      <c r="I5760" s="43">
        <v>12</v>
      </c>
      <c r="J5760" s="44" t="str">
        <f>VLOOKUP(G5760,[1]硬件清单!$F:$F,1,0)</f>
        <v>6CU7421XK9</v>
      </c>
      <c r="K5760" s="43"/>
      <c r="L5760" s="44"/>
      <c r="M5760" s="45" t="s">
        <v>17554</v>
      </c>
    </row>
    <row r="5761" s="29" customFormat="1" ht="30" customHeight="1" spans="1:13">
      <c r="A5761" s="41">
        <f>IF(C5761="","",SUBTOTAL(103,$C$2:C5761))</f>
        <v>5752</v>
      </c>
      <c r="B5761" s="41">
        <v>4451</v>
      </c>
      <c r="C5761" s="54">
        <v>4387</v>
      </c>
      <c r="D5761" s="54" t="s">
        <v>45</v>
      </c>
      <c r="E5761" s="54" t="s">
        <v>1298</v>
      </c>
      <c r="F5761" s="54" t="s">
        <v>16629</v>
      </c>
      <c r="G5761" s="54" t="s">
        <v>17555</v>
      </c>
      <c r="H5761" s="54" t="s">
        <v>17556</v>
      </c>
      <c r="I5761" s="43">
        <v>12</v>
      </c>
      <c r="J5761" s="44" t="str">
        <f>VLOOKUP(G5761,[1]硬件清单!$F:$F,1,0)</f>
        <v>6CU7421XJB</v>
      </c>
      <c r="K5761" s="43"/>
      <c r="L5761" s="44"/>
      <c r="M5761" s="45" t="s">
        <v>17557</v>
      </c>
    </row>
    <row r="5762" s="29" customFormat="1" ht="30" customHeight="1" spans="1:13">
      <c r="A5762" s="41">
        <f>IF(C5762="","",SUBTOTAL(103,$C$2:C5762))</f>
        <v>5753</v>
      </c>
      <c r="B5762" s="41">
        <v>4452</v>
      </c>
      <c r="C5762" s="54">
        <v>4388</v>
      </c>
      <c r="D5762" s="54" t="s">
        <v>45</v>
      </c>
      <c r="E5762" s="54" t="s">
        <v>1298</v>
      </c>
      <c r="F5762" s="54" t="s">
        <v>16629</v>
      </c>
      <c r="G5762" s="54" t="s">
        <v>17558</v>
      </c>
      <c r="H5762" s="54" t="s">
        <v>17559</v>
      </c>
      <c r="I5762" s="43">
        <v>12</v>
      </c>
      <c r="J5762" s="44" t="str">
        <f>VLOOKUP(G5762,[1]硬件清单!$F:$F,1,0)</f>
        <v>6CU7421XKD</v>
      </c>
      <c r="K5762" s="43"/>
      <c r="L5762" s="44"/>
      <c r="M5762" s="45" t="s">
        <v>17560</v>
      </c>
    </row>
    <row r="5763" s="29" customFormat="1" ht="30" customHeight="1" spans="1:13">
      <c r="A5763" s="41">
        <f>IF(C5763="","",SUBTOTAL(103,$C$2:C5763))</f>
        <v>5754</v>
      </c>
      <c r="B5763" s="41">
        <v>4453</v>
      </c>
      <c r="C5763" s="54">
        <v>4374</v>
      </c>
      <c r="D5763" s="54" t="s">
        <v>45</v>
      </c>
      <c r="E5763" s="54" t="s">
        <v>1298</v>
      </c>
      <c r="F5763" s="54" t="s">
        <v>16629</v>
      </c>
      <c r="G5763" s="54" t="s">
        <v>17561</v>
      </c>
      <c r="H5763" s="54" t="s">
        <v>17562</v>
      </c>
      <c r="I5763" s="43">
        <v>12</v>
      </c>
      <c r="J5763" s="44" t="str">
        <f>VLOOKUP(G5763,[1]硬件清单!$F:$F,1,0)</f>
        <v>6CU7421XFR</v>
      </c>
      <c r="K5763" s="43"/>
      <c r="L5763" s="44"/>
      <c r="M5763" s="45" t="s">
        <v>17563</v>
      </c>
    </row>
    <row r="5764" s="29" customFormat="1" ht="30" customHeight="1" spans="1:13">
      <c r="A5764" s="41">
        <f>IF(C5764="","",SUBTOTAL(103,$C$2:C5764))</f>
        <v>5755</v>
      </c>
      <c r="B5764" s="41">
        <v>4454</v>
      </c>
      <c r="C5764" s="54">
        <v>4375</v>
      </c>
      <c r="D5764" s="54" t="s">
        <v>45</v>
      </c>
      <c r="E5764" s="54" t="s">
        <v>1298</v>
      </c>
      <c r="F5764" s="54" t="s">
        <v>16629</v>
      </c>
      <c r="G5764" s="54" t="s">
        <v>17564</v>
      </c>
      <c r="H5764" s="54" t="s">
        <v>17565</v>
      </c>
      <c r="I5764" s="43">
        <v>12</v>
      </c>
      <c r="J5764" s="44" t="str">
        <f>VLOOKUP(G5764,[1]硬件清单!$F:$F,1,0)</f>
        <v>6CU7421XLR</v>
      </c>
      <c r="K5764" s="43"/>
      <c r="L5764" s="44"/>
      <c r="M5764" s="45" t="s">
        <v>17566</v>
      </c>
    </row>
    <row r="5765" s="29" customFormat="1" ht="30" customHeight="1" spans="1:13">
      <c r="A5765" s="41">
        <f>IF(C5765="","",SUBTOTAL(103,$C$2:C5765))</f>
        <v>5756</v>
      </c>
      <c r="B5765" s="41">
        <v>4455</v>
      </c>
      <c r="C5765" s="54">
        <v>4376</v>
      </c>
      <c r="D5765" s="54" t="s">
        <v>45</v>
      </c>
      <c r="E5765" s="54" t="s">
        <v>1298</v>
      </c>
      <c r="F5765" s="54" t="s">
        <v>16629</v>
      </c>
      <c r="G5765" s="54" t="s">
        <v>17567</v>
      </c>
      <c r="H5765" s="54" t="s">
        <v>17568</v>
      </c>
      <c r="I5765" s="43">
        <v>12</v>
      </c>
      <c r="J5765" s="44" t="str">
        <f>VLOOKUP(G5765,[1]硬件清单!$F:$F,1,0)</f>
        <v>6CU7421XH1</v>
      </c>
      <c r="K5765" s="43"/>
      <c r="L5765" s="44"/>
      <c r="M5765" s="45" t="s">
        <v>17569</v>
      </c>
    </row>
    <row r="5766" s="29" customFormat="1" ht="30" customHeight="1" spans="1:13">
      <c r="A5766" s="41">
        <f>IF(C5766="","",SUBTOTAL(103,$C$2:C5766))</f>
        <v>5757</v>
      </c>
      <c r="B5766" s="41">
        <v>4456</v>
      </c>
      <c r="C5766" s="54">
        <v>4377</v>
      </c>
      <c r="D5766" s="54" t="s">
        <v>45</v>
      </c>
      <c r="E5766" s="54" t="s">
        <v>1298</v>
      </c>
      <c r="F5766" s="54" t="s">
        <v>16629</v>
      </c>
      <c r="G5766" s="54" t="s">
        <v>17570</v>
      </c>
      <c r="H5766" s="54" t="s">
        <v>17571</v>
      </c>
      <c r="I5766" s="43">
        <v>12</v>
      </c>
      <c r="J5766" s="44" t="str">
        <f>VLOOKUP(G5766,[1]硬件清单!$F:$F,1,0)</f>
        <v>6CU7421XJ7</v>
      </c>
      <c r="K5766" s="43"/>
      <c r="L5766" s="44"/>
      <c r="M5766" s="45" t="s">
        <v>17572</v>
      </c>
    </row>
    <row r="5767" s="29" customFormat="1" ht="30" customHeight="1" spans="1:13">
      <c r="A5767" s="41">
        <f>IF(C5767="","",SUBTOTAL(103,$C$2:C5767))</f>
        <v>5758</v>
      </c>
      <c r="B5767" s="41">
        <v>4457</v>
      </c>
      <c r="C5767" s="54">
        <v>4378</v>
      </c>
      <c r="D5767" s="54" t="s">
        <v>45</v>
      </c>
      <c r="E5767" s="54" t="s">
        <v>1298</v>
      </c>
      <c r="F5767" s="54" t="s">
        <v>16629</v>
      </c>
      <c r="G5767" s="54" t="s">
        <v>17573</v>
      </c>
      <c r="H5767" s="54" t="s">
        <v>17574</v>
      </c>
      <c r="I5767" s="43">
        <v>12</v>
      </c>
      <c r="J5767" s="44" t="str">
        <f>VLOOKUP(G5767,[1]硬件清单!$F:$F,1,0)</f>
        <v>6CU7421XK1</v>
      </c>
      <c r="K5767" s="43"/>
      <c r="L5767" s="44"/>
      <c r="M5767" s="45" t="s">
        <v>17575</v>
      </c>
    </row>
    <row r="5768" s="29" customFormat="1" ht="30" customHeight="1" spans="1:13">
      <c r="A5768" s="41">
        <f>IF(C5768="","",SUBTOTAL(103,$C$2:C5768))</f>
        <v>5759</v>
      </c>
      <c r="B5768" s="41">
        <v>4458</v>
      </c>
      <c r="C5768" s="54">
        <v>4379</v>
      </c>
      <c r="D5768" s="54" t="s">
        <v>45</v>
      </c>
      <c r="E5768" s="54" t="s">
        <v>1298</v>
      </c>
      <c r="F5768" s="54" t="s">
        <v>16629</v>
      </c>
      <c r="G5768" s="54" t="s">
        <v>17576</v>
      </c>
      <c r="H5768" s="54" t="s">
        <v>17577</v>
      </c>
      <c r="I5768" s="43">
        <v>12</v>
      </c>
      <c r="J5768" s="44" t="str">
        <f>VLOOKUP(G5768,[1]硬件清单!$F:$F,1,0)</f>
        <v>6CU7421XEC</v>
      </c>
      <c r="K5768" s="43"/>
      <c r="L5768" s="44"/>
      <c r="M5768" s="45" t="s">
        <v>17578</v>
      </c>
    </row>
    <row r="5769" s="29" customFormat="1" ht="30" customHeight="1" spans="1:13">
      <c r="A5769" s="41">
        <f>IF(C5769="","",SUBTOTAL(103,$C$2:C5769))</f>
        <v>5760</v>
      </c>
      <c r="B5769" s="41">
        <v>4459</v>
      </c>
      <c r="C5769" s="54">
        <v>4380</v>
      </c>
      <c r="D5769" s="54" t="s">
        <v>45</v>
      </c>
      <c r="E5769" s="54" t="s">
        <v>1298</v>
      </c>
      <c r="F5769" s="54" t="s">
        <v>16629</v>
      </c>
      <c r="G5769" s="54" t="s">
        <v>17579</v>
      </c>
      <c r="H5769" s="54" t="s">
        <v>17580</v>
      </c>
      <c r="I5769" s="43">
        <v>12</v>
      </c>
      <c r="J5769" s="44" t="str">
        <f>VLOOKUP(G5769,[1]硬件清单!$F:$F,1,0)</f>
        <v>6CU7421XMJ</v>
      </c>
      <c r="K5769" s="43"/>
      <c r="L5769" s="44"/>
      <c r="M5769" s="45" t="s">
        <v>17581</v>
      </c>
    </row>
    <row r="5770" s="29" customFormat="1" ht="30" customHeight="1" spans="1:13">
      <c r="A5770" s="41">
        <f>IF(C5770="","",SUBTOTAL(103,$C$2:C5770))</f>
        <v>5761</v>
      </c>
      <c r="B5770" s="41">
        <v>4460</v>
      </c>
      <c r="C5770" s="54">
        <v>4381</v>
      </c>
      <c r="D5770" s="54" t="s">
        <v>45</v>
      </c>
      <c r="E5770" s="54" t="s">
        <v>1298</v>
      </c>
      <c r="F5770" s="54" t="s">
        <v>16629</v>
      </c>
      <c r="G5770" s="54" t="s">
        <v>17582</v>
      </c>
      <c r="H5770" s="54" t="s">
        <v>17583</v>
      </c>
      <c r="I5770" s="43">
        <v>12</v>
      </c>
      <c r="J5770" s="44" t="str">
        <f>VLOOKUP(G5770,[1]硬件清单!$F:$F,1,0)</f>
        <v>6CU7421XHJ</v>
      </c>
      <c r="K5770" s="43"/>
      <c r="L5770" s="44"/>
      <c r="M5770" s="45" t="s">
        <v>17584</v>
      </c>
    </row>
    <row r="5771" s="29" customFormat="1" ht="30" customHeight="1" spans="1:13">
      <c r="A5771" s="41">
        <f>IF(C5771="","",SUBTOTAL(103,$C$2:C5771))</f>
        <v>5762</v>
      </c>
      <c r="B5771" s="41">
        <v>4461</v>
      </c>
      <c r="C5771" s="54">
        <v>5018</v>
      </c>
      <c r="D5771" s="54" t="s">
        <v>45</v>
      </c>
      <c r="E5771" s="54" t="s">
        <v>1298</v>
      </c>
      <c r="F5771" s="54" t="s">
        <v>16625</v>
      </c>
      <c r="G5771" s="54" t="s">
        <v>17585</v>
      </c>
      <c r="H5771" s="54" t="s">
        <v>17586</v>
      </c>
      <c r="I5771" s="43">
        <v>12</v>
      </c>
      <c r="J5771" s="44" t="str">
        <f>VLOOKUP(G5771,[1]硬件清单!$F:$F,1,0)</f>
        <v>6C07422HLY</v>
      </c>
      <c r="K5771" s="43"/>
      <c r="L5771" s="44"/>
      <c r="M5771" s="45" t="s">
        <v>17587</v>
      </c>
    </row>
    <row r="5772" s="29" customFormat="1" ht="30" customHeight="1" spans="1:13">
      <c r="A5772" s="41">
        <f>IF(C5772="","",SUBTOTAL(103,$C$2:C5772))</f>
        <v>5763</v>
      </c>
      <c r="B5772" s="41">
        <v>4462</v>
      </c>
      <c r="C5772" s="54">
        <v>5012</v>
      </c>
      <c r="D5772" s="54" t="s">
        <v>45</v>
      </c>
      <c r="E5772" s="54" t="s">
        <v>1298</v>
      </c>
      <c r="F5772" s="54" t="s">
        <v>16629</v>
      </c>
      <c r="G5772" s="54" t="s">
        <v>17588</v>
      </c>
      <c r="H5772" s="54" t="s">
        <v>17589</v>
      </c>
      <c r="I5772" s="43">
        <v>12</v>
      </c>
      <c r="J5772" s="44" t="str">
        <f>VLOOKUP(G5772,[1]硬件清单!$F:$F,1,0)</f>
        <v>6CU7421X2J</v>
      </c>
      <c r="K5772" s="43"/>
      <c r="L5772" s="44"/>
      <c r="M5772" s="45" t="s">
        <v>17590</v>
      </c>
    </row>
    <row r="5773" s="29" customFormat="1" ht="30" customHeight="1" spans="1:13">
      <c r="A5773" s="41">
        <f>IF(C5773="","",SUBTOTAL(103,$C$2:C5773))</f>
        <v>5764</v>
      </c>
      <c r="B5773" s="41">
        <v>4463</v>
      </c>
      <c r="C5773" s="54">
        <v>4436</v>
      </c>
      <c r="D5773" s="54" t="s">
        <v>45</v>
      </c>
      <c r="E5773" s="54" t="s">
        <v>1298</v>
      </c>
      <c r="F5773" s="54" t="s">
        <v>16629</v>
      </c>
      <c r="G5773" s="54" t="s">
        <v>17591</v>
      </c>
      <c r="H5773" s="54" t="s">
        <v>17592</v>
      </c>
      <c r="I5773" s="43">
        <v>12</v>
      </c>
      <c r="J5773" s="44" t="str">
        <f>VLOOKUP(G5773,[1]硬件清单!$F:$F,1,0)</f>
        <v>6CU7421X7D</v>
      </c>
      <c r="K5773" s="43"/>
      <c r="L5773" s="44"/>
      <c r="M5773" s="45" t="s">
        <v>17593</v>
      </c>
    </row>
    <row r="5774" s="29" customFormat="1" ht="30" customHeight="1" spans="1:13">
      <c r="A5774" s="41">
        <f>IF(C5774="","",SUBTOTAL(103,$C$2:C5774))</f>
        <v>5765</v>
      </c>
      <c r="B5774" s="41">
        <v>4464</v>
      </c>
      <c r="C5774" s="54">
        <v>4437</v>
      </c>
      <c r="D5774" s="54" t="s">
        <v>45</v>
      </c>
      <c r="E5774" s="54" t="s">
        <v>1298</v>
      </c>
      <c r="F5774" s="54" t="s">
        <v>16629</v>
      </c>
      <c r="G5774" s="54" t="s">
        <v>17594</v>
      </c>
      <c r="H5774" s="54" t="s">
        <v>17595</v>
      </c>
      <c r="I5774" s="43">
        <v>12</v>
      </c>
      <c r="J5774" s="44" t="str">
        <f>VLOOKUP(G5774,[1]硬件清单!$F:$F,1,0)</f>
        <v>6CU7421X8B</v>
      </c>
      <c r="K5774" s="43"/>
      <c r="L5774" s="44"/>
      <c r="M5774" s="45" t="s">
        <v>17596</v>
      </c>
    </row>
    <row r="5775" s="29" customFormat="1" ht="30" customHeight="1" spans="1:13">
      <c r="A5775" s="41">
        <f>IF(C5775="","",SUBTOTAL(103,$C$2:C5775))</f>
        <v>5766</v>
      </c>
      <c r="B5775" s="41">
        <v>4465</v>
      </c>
      <c r="C5775" s="54">
        <v>4438</v>
      </c>
      <c r="D5775" s="54" t="s">
        <v>45</v>
      </c>
      <c r="E5775" s="54" t="s">
        <v>1298</v>
      </c>
      <c r="F5775" s="54" t="s">
        <v>16629</v>
      </c>
      <c r="G5775" s="54" t="s">
        <v>17597</v>
      </c>
      <c r="H5775" s="54" t="s">
        <v>17598</v>
      </c>
      <c r="I5775" s="43">
        <v>12</v>
      </c>
      <c r="J5775" s="44" t="str">
        <f>VLOOKUP(G5775,[1]硬件清单!$F:$F,1,0)</f>
        <v>6CU7421X7J</v>
      </c>
      <c r="K5775" s="43"/>
      <c r="L5775" s="44"/>
      <c r="M5775" s="45" t="s">
        <v>17599</v>
      </c>
    </row>
    <row r="5776" s="29" customFormat="1" ht="30" customHeight="1" spans="1:13">
      <c r="A5776" s="41">
        <f>IF(C5776="","",SUBTOTAL(103,$C$2:C5776))</f>
        <v>5767</v>
      </c>
      <c r="B5776" s="41">
        <v>4466</v>
      </c>
      <c r="C5776" s="54">
        <v>4439</v>
      </c>
      <c r="D5776" s="54" t="s">
        <v>45</v>
      </c>
      <c r="E5776" s="54" t="s">
        <v>1298</v>
      </c>
      <c r="F5776" s="54" t="s">
        <v>16629</v>
      </c>
      <c r="G5776" s="54" t="s">
        <v>17600</v>
      </c>
      <c r="H5776" s="54" t="s">
        <v>17601</v>
      </c>
      <c r="I5776" s="43">
        <v>12</v>
      </c>
      <c r="J5776" s="44" t="str">
        <f>VLOOKUP(G5776,[1]硬件清单!$F:$F,1,0)</f>
        <v>6CU7421X87</v>
      </c>
      <c r="K5776" s="43"/>
      <c r="L5776" s="44"/>
      <c r="M5776" s="45" t="s">
        <v>17602</v>
      </c>
    </row>
    <row r="5777" s="29" customFormat="1" ht="30" customHeight="1" spans="1:13">
      <c r="A5777" s="41">
        <f>IF(C5777="","",SUBTOTAL(103,$C$2:C5777))</f>
        <v>5768</v>
      </c>
      <c r="B5777" s="41">
        <v>4467</v>
      </c>
      <c r="C5777" s="54">
        <v>4440</v>
      </c>
      <c r="D5777" s="54" t="s">
        <v>45</v>
      </c>
      <c r="E5777" s="54" t="s">
        <v>1298</v>
      </c>
      <c r="F5777" s="54" t="s">
        <v>16629</v>
      </c>
      <c r="G5777" s="54" t="s">
        <v>17603</v>
      </c>
      <c r="H5777" s="54" t="s">
        <v>17604</v>
      </c>
      <c r="I5777" s="43">
        <v>12</v>
      </c>
      <c r="J5777" s="44" t="str">
        <f>VLOOKUP(G5777,[1]硬件清单!$F:$F,1,0)</f>
        <v>6CU7421X8H</v>
      </c>
      <c r="K5777" s="43"/>
      <c r="L5777" s="44"/>
      <c r="M5777" s="45" t="s">
        <v>17605</v>
      </c>
    </row>
    <row r="5778" s="29" customFormat="1" ht="30" customHeight="1" spans="1:13">
      <c r="A5778" s="41">
        <f>IF(C5778="","",SUBTOTAL(103,$C$2:C5778))</f>
        <v>5769</v>
      </c>
      <c r="B5778" s="41">
        <v>4468</v>
      </c>
      <c r="C5778" s="54">
        <v>5309</v>
      </c>
      <c r="D5778" s="54" t="s">
        <v>45</v>
      </c>
      <c r="E5778" s="54" t="s">
        <v>1298</v>
      </c>
      <c r="F5778" s="54" t="s">
        <v>16629</v>
      </c>
      <c r="G5778" s="54" t="s">
        <v>17606</v>
      </c>
      <c r="H5778" s="54" t="s">
        <v>17607</v>
      </c>
      <c r="I5778" s="43">
        <v>12</v>
      </c>
      <c r="J5778" s="44" t="str">
        <f>VLOOKUP(G5778,[1]硬件清单!$F:$F,1,0)</f>
        <v>6CU7421X7N</v>
      </c>
      <c r="K5778" s="43"/>
      <c r="L5778" s="44"/>
      <c r="M5778" s="45" t="s">
        <v>17608</v>
      </c>
    </row>
    <row r="5779" s="29" customFormat="1" ht="30" customHeight="1" spans="1:13">
      <c r="A5779" s="41">
        <f>IF(C5779="","",SUBTOTAL(103,$C$2:C5779))</f>
        <v>5770</v>
      </c>
      <c r="B5779" s="41">
        <v>4469</v>
      </c>
      <c r="C5779" s="54">
        <v>5310</v>
      </c>
      <c r="D5779" s="54" t="s">
        <v>45</v>
      </c>
      <c r="E5779" s="54" t="s">
        <v>1298</v>
      </c>
      <c r="F5779" s="54" t="s">
        <v>16629</v>
      </c>
      <c r="G5779" s="54" t="s">
        <v>17609</v>
      </c>
      <c r="H5779" s="54" t="s">
        <v>17610</v>
      </c>
      <c r="I5779" s="43">
        <v>12</v>
      </c>
      <c r="J5779" s="44" t="str">
        <f>VLOOKUP(G5779,[1]硬件清单!$F:$F,1,0)</f>
        <v>6CU7421X83</v>
      </c>
      <c r="K5779" s="43"/>
      <c r="L5779" s="44"/>
      <c r="M5779" s="45" t="s">
        <v>17611</v>
      </c>
    </row>
    <row r="5780" s="29" customFormat="1" ht="30" customHeight="1" spans="1:13">
      <c r="A5780" s="41">
        <f>IF(C5780="","",SUBTOTAL(103,$C$2:C5780))</f>
        <v>5771</v>
      </c>
      <c r="B5780" s="41">
        <v>4470</v>
      </c>
      <c r="C5780" s="54">
        <v>5013</v>
      </c>
      <c r="D5780" s="54" t="s">
        <v>45</v>
      </c>
      <c r="E5780" s="54" t="s">
        <v>1298</v>
      </c>
      <c r="F5780" s="54" t="s">
        <v>16629</v>
      </c>
      <c r="G5780" s="54" t="s">
        <v>17612</v>
      </c>
      <c r="H5780" s="54" t="s">
        <v>17613</v>
      </c>
      <c r="I5780" s="43">
        <v>12</v>
      </c>
      <c r="J5780" s="44" t="str">
        <f>VLOOKUP(G5780,[1]硬件清单!$F:$F,1,0)</f>
        <v>6CU7421X29</v>
      </c>
      <c r="K5780" s="43"/>
      <c r="L5780" s="44"/>
      <c r="M5780" s="45" t="s">
        <v>17614</v>
      </c>
    </row>
    <row r="5781" s="29" customFormat="1" ht="30" customHeight="1" spans="1:13">
      <c r="A5781" s="41">
        <f>IF(C5781="","",SUBTOTAL(103,$C$2:C5781))</f>
        <v>5772</v>
      </c>
      <c r="B5781" s="41">
        <v>4471</v>
      </c>
      <c r="C5781" s="54">
        <v>5014</v>
      </c>
      <c r="D5781" s="54" t="s">
        <v>45</v>
      </c>
      <c r="E5781" s="54" t="s">
        <v>1298</v>
      </c>
      <c r="F5781" s="54" t="s">
        <v>16629</v>
      </c>
      <c r="G5781" s="54" t="s">
        <v>17615</v>
      </c>
      <c r="H5781" s="54" t="s">
        <v>17616</v>
      </c>
      <c r="I5781" s="43">
        <v>12</v>
      </c>
      <c r="J5781" s="44" t="str">
        <f>VLOOKUP(G5781,[1]硬件清单!$F:$F,1,0)</f>
        <v>6CU7421X25</v>
      </c>
      <c r="K5781" s="43"/>
      <c r="L5781" s="44"/>
      <c r="M5781" s="45" t="s">
        <v>17617</v>
      </c>
    </row>
    <row r="5782" s="29" customFormat="1" ht="30" customHeight="1" spans="1:13">
      <c r="A5782" s="41">
        <f>IF(C5782="","",SUBTOTAL(103,$C$2:C5782))</f>
        <v>5773</v>
      </c>
      <c r="B5782" s="41">
        <v>4472</v>
      </c>
      <c r="C5782" s="54">
        <v>5015</v>
      </c>
      <c r="D5782" s="54" t="s">
        <v>45</v>
      </c>
      <c r="E5782" s="54" t="s">
        <v>1298</v>
      </c>
      <c r="F5782" s="54" t="s">
        <v>16629</v>
      </c>
      <c r="G5782" s="54" t="s">
        <v>17618</v>
      </c>
      <c r="H5782" s="54" t="s">
        <v>17619</v>
      </c>
      <c r="I5782" s="43">
        <v>12</v>
      </c>
      <c r="J5782" s="44" t="str">
        <f>VLOOKUP(G5782,[1]硬件清单!$F:$F,1,0)</f>
        <v>6CU7421X2N</v>
      </c>
      <c r="K5782" s="43"/>
      <c r="L5782" s="44"/>
      <c r="M5782" s="45" t="s">
        <v>17620</v>
      </c>
    </row>
    <row r="5783" s="29" customFormat="1" ht="30" customHeight="1" spans="1:13">
      <c r="A5783" s="41">
        <f>IF(C5783="","",SUBTOTAL(103,$C$2:C5783))</f>
        <v>5774</v>
      </c>
      <c r="B5783" s="41">
        <v>4473</v>
      </c>
      <c r="C5783" s="54">
        <v>5016</v>
      </c>
      <c r="D5783" s="54" t="s">
        <v>45</v>
      </c>
      <c r="E5783" s="54" t="s">
        <v>1298</v>
      </c>
      <c r="F5783" s="54" t="s">
        <v>16629</v>
      </c>
      <c r="G5783" s="54" t="s">
        <v>17621</v>
      </c>
      <c r="H5783" s="54" t="s">
        <v>17622</v>
      </c>
      <c r="I5783" s="43">
        <v>12</v>
      </c>
      <c r="J5783" s="44" t="str">
        <f>VLOOKUP(G5783,[1]硬件清单!$F:$F,1,0)</f>
        <v>6CU7421X2D</v>
      </c>
      <c r="K5783" s="43"/>
      <c r="L5783" s="44"/>
      <c r="M5783" s="45" t="s">
        <v>17623</v>
      </c>
    </row>
    <row r="5784" s="29" customFormat="1" ht="30" customHeight="1" spans="1:13">
      <c r="A5784" s="41">
        <f>IF(C5784="","",SUBTOTAL(103,$C$2:C5784))</f>
        <v>5775</v>
      </c>
      <c r="B5784" s="41">
        <v>4474</v>
      </c>
      <c r="C5784" s="54">
        <v>5017</v>
      </c>
      <c r="D5784" s="54" t="s">
        <v>45</v>
      </c>
      <c r="E5784" s="54" t="s">
        <v>1298</v>
      </c>
      <c r="F5784" s="54" t="s">
        <v>16629</v>
      </c>
      <c r="G5784" s="54" t="s">
        <v>17624</v>
      </c>
      <c r="H5784" s="54" t="s">
        <v>17625</v>
      </c>
      <c r="I5784" s="43">
        <v>12</v>
      </c>
      <c r="J5784" s="44" t="str">
        <f>VLOOKUP(G5784,[1]硬件清单!$F:$F,1,0)</f>
        <v>6CU7421X2T</v>
      </c>
      <c r="K5784" s="43"/>
      <c r="L5784" s="44"/>
      <c r="M5784" s="45" t="s">
        <v>17626</v>
      </c>
    </row>
    <row r="5785" s="29" customFormat="1" ht="30" customHeight="1" spans="1:13">
      <c r="A5785" s="41">
        <f>IF(C5785="","",SUBTOTAL(103,$C$2:C5785))</f>
        <v>5776</v>
      </c>
      <c r="B5785" s="41">
        <v>4475</v>
      </c>
      <c r="C5785" s="54">
        <v>4433</v>
      </c>
      <c r="D5785" s="54" t="s">
        <v>45</v>
      </c>
      <c r="E5785" s="54" t="s">
        <v>1298</v>
      </c>
      <c r="F5785" s="54" t="s">
        <v>16629</v>
      </c>
      <c r="G5785" s="54" t="s">
        <v>17627</v>
      </c>
      <c r="H5785" s="54" t="s">
        <v>17628</v>
      </c>
      <c r="I5785" s="43">
        <v>12</v>
      </c>
      <c r="J5785" s="44" t="str">
        <f>VLOOKUP(G5785,[1]硬件清单!$F:$F,1,0)</f>
        <v>6CU7421X79</v>
      </c>
      <c r="K5785" s="43"/>
      <c r="L5785" s="44"/>
      <c r="M5785" s="45" t="s">
        <v>17629</v>
      </c>
    </row>
    <row r="5786" s="29" customFormat="1" ht="30" customHeight="1" spans="1:13">
      <c r="A5786" s="41">
        <f>IF(C5786="","",SUBTOTAL(103,$C$2:C5786))</f>
        <v>5777</v>
      </c>
      <c r="B5786" s="41">
        <v>4476</v>
      </c>
      <c r="C5786" s="54">
        <v>4434</v>
      </c>
      <c r="D5786" s="54" t="s">
        <v>45</v>
      </c>
      <c r="E5786" s="54" t="s">
        <v>1298</v>
      </c>
      <c r="F5786" s="54" t="s">
        <v>16629</v>
      </c>
      <c r="G5786" s="54" t="s">
        <v>17630</v>
      </c>
      <c r="H5786" s="54" t="s">
        <v>17631</v>
      </c>
      <c r="I5786" s="43">
        <v>12</v>
      </c>
      <c r="J5786" s="44" t="str">
        <f>VLOOKUP(G5786,[1]硬件清单!$F:$F,1,0)</f>
        <v>6CU7421X7Y</v>
      </c>
      <c r="K5786" s="43"/>
      <c r="L5786" s="44"/>
      <c r="M5786" s="45" t="s">
        <v>17632</v>
      </c>
    </row>
    <row r="5787" s="29" customFormat="1" ht="30" customHeight="1" spans="1:13">
      <c r="A5787" s="41">
        <f>IF(C5787="","",SUBTOTAL(103,$C$2:C5787))</f>
        <v>5778</v>
      </c>
      <c r="B5787" s="41">
        <v>4477</v>
      </c>
      <c r="C5787" s="54">
        <v>4435</v>
      </c>
      <c r="D5787" s="54" t="s">
        <v>45</v>
      </c>
      <c r="E5787" s="54" t="s">
        <v>1298</v>
      </c>
      <c r="F5787" s="54" t="s">
        <v>16629</v>
      </c>
      <c r="G5787" s="54" t="s">
        <v>17633</v>
      </c>
      <c r="H5787" s="54" t="s">
        <v>17634</v>
      </c>
      <c r="I5787" s="43">
        <v>12</v>
      </c>
      <c r="J5787" s="44" t="str">
        <f>VLOOKUP(G5787,[1]硬件清单!$F:$F,1,0)</f>
        <v>6CU7421X7T</v>
      </c>
      <c r="K5787" s="43"/>
      <c r="L5787" s="44"/>
      <c r="M5787" s="45" t="s">
        <v>17635</v>
      </c>
    </row>
    <row r="5788" s="29" customFormat="1" ht="30" customHeight="1" spans="1:13">
      <c r="A5788" s="41">
        <f>IF(C5788="","",SUBTOTAL(103,$C$2:C5788))</f>
        <v>5779</v>
      </c>
      <c r="B5788" s="41">
        <v>4478</v>
      </c>
      <c r="C5788" s="54">
        <v>10438</v>
      </c>
      <c r="D5788" s="54" t="s">
        <v>45</v>
      </c>
      <c r="E5788" s="54" t="s">
        <v>1298</v>
      </c>
      <c r="F5788" s="54" t="s">
        <v>4535</v>
      </c>
      <c r="G5788" s="54" t="s">
        <v>17636</v>
      </c>
      <c r="H5788" s="54" t="s">
        <v>17637</v>
      </c>
      <c r="I5788" s="43">
        <v>12</v>
      </c>
      <c r="J5788" s="44" t="str">
        <f>VLOOKUP(G5788,[1]硬件清单!$F:$F,1,0)</f>
        <v>06HNATL</v>
      </c>
      <c r="K5788" s="43"/>
      <c r="L5788" s="44"/>
      <c r="M5788" s="45" t="s">
        <v>17638</v>
      </c>
    </row>
    <row r="5789" s="29" customFormat="1" ht="30" customHeight="1" spans="1:13">
      <c r="A5789" s="41">
        <f>IF(C5789="","",SUBTOTAL(103,$C$2:C5789))</f>
        <v>5780</v>
      </c>
      <c r="B5789" s="41">
        <v>4479</v>
      </c>
      <c r="C5789" s="54">
        <v>10439</v>
      </c>
      <c r="D5789" s="54" t="s">
        <v>45</v>
      </c>
      <c r="E5789" s="54" t="s">
        <v>1298</v>
      </c>
      <c r="F5789" s="54" t="s">
        <v>4535</v>
      </c>
      <c r="G5789" s="54" t="s">
        <v>17639</v>
      </c>
      <c r="H5789" s="54" t="s">
        <v>17640</v>
      </c>
      <c r="I5789" s="43">
        <v>12</v>
      </c>
      <c r="J5789" s="44" t="str">
        <f>VLOOKUP(G5789,[1]硬件清单!$F:$F,1,0)</f>
        <v>J302XHG</v>
      </c>
      <c r="K5789" s="43"/>
      <c r="L5789" s="44"/>
      <c r="M5789" s="45" t="s">
        <v>17641</v>
      </c>
    </row>
    <row r="5790" s="29" customFormat="1" ht="30" customHeight="1" spans="1:13">
      <c r="A5790" s="41">
        <f>IF(C5790="","",SUBTOTAL(103,$C$2:C5790))</f>
        <v>5781</v>
      </c>
      <c r="B5790" s="41">
        <v>4480</v>
      </c>
      <c r="C5790" s="54">
        <v>10440</v>
      </c>
      <c r="D5790" s="54" t="s">
        <v>45</v>
      </c>
      <c r="E5790" s="54" t="s">
        <v>1298</v>
      </c>
      <c r="F5790" s="54" t="s">
        <v>4535</v>
      </c>
      <c r="G5790" s="54" t="s">
        <v>17642</v>
      </c>
      <c r="H5790" s="54" t="s">
        <v>17643</v>
      </c>
      <c r="I5790" s="43">
        <v>12</v>
      </c>
      <c r="J5790" s="44" t="str">
        <f>VLOOKUP(G5790,[1]硬件清单!$F:$F,1,0)</f>
        <v>06HNAVR</v>
      </c>
      <c r="K5790" s="43"/>
      <c r="L5790" s="44"/>
      <c r="M5790" s="45" t="s">
        <v>17644</v>
      </c>
    </row>
    <row r="5791" s="29" customFormat="1" ht="30" customHeight="1" spans="1:13">
      <c r="A5791" s="41">
        <f>IF(C5791="","",SUBTOTAL(103,$C$2:C5791))</f>
        <v>5782</v>
      </c>
      <c r="B5791" s="41">
        <v>4481</v>
      </c>
      <c r="C5791" s="54">
        <v>10441</v>
      </c>
      <c r="D5791" s="54" t="s">
        <v>45</v>
      </c>
      <c r="E5791" s="54" t="s">
        <v>1298</v>
      </c>
      <c r="F5791" s="54" t="s">
        <v>4535</v>
      </c>
      <c r="G5791" s="54" t="s">
        <v>17645</v>
      </c>
      <c r="H5791" s="54" t="s">
        <v>17646</v>
      </c>
      <c r="I5791" s="43">
        <v>12</v>
      </c>
      <c r="J5791" s="44" t="str">
        <f>VLOOKUP(G5791,[1]硬件清单!$F:$F,1,0)</f>
        <v>06HNAWN</v>
      </c>
      <c r="K5791" s="43"/>
      <c r="L5791" s="44"/>
      <c r="M5791" s="45" t="s">
        <v>17647</v>
      </c>
    </row>
    <row r="5792" s="29" customFormat="1" ht="30" customHeight="1" spans="1:13">
      <c r="A5792" s="41">
        <f>IF(C5792="","",SUBTOTAL(103,$C$2:C5792))</f>
        <v>5783</v>
      </c>
      <c r="B5792" s="41">
        <v>4482</v>
      </c>
      <c r="C5792" s="54">
        <v>4277</v>
      </c>
      <c r="D5792" s="54" t="s">
        <v>45</v>
      </c>
      <c r="E5792" s="54" t="s">
        <v>1298</v>
      </c>
      <c r="F5792" s="54" t="s">
        <v>4485</v>
      </c>
      <c r="G5792" s="54" t="s">
        <v>17648</v>
      </c>
      <c r="H5792" s="54" t="s">
        <v>17649</v>
      </c>
      <c r="I5792" s="43">
        <v>12</v>
      </c>
      <c r="J5792" s="44" t="str">
        <f>VLOOKUP(G5792,[1]硬件清单!$F:$F,1,0)</f>
        <v>FCH2138V1VG</v>
      </c>
      <c r="K5792" s="43"/>
      <c r="L5792" s="44"/>
      <c r="M5792" s="45" t="s">
        <v>17650</v>
      </c>
    </row>
    <row r="5793" s="29" customFormat="1" ht="30" customHeight="1" spans="1:13">
      <c r="A5793" s="41">
        <f>IF(C5793="","",SUBTOTAL(103,$C$2:C5793))</f>
        <v>5784</v>
      </c>
      <c r="B5793" s="41">
        <v>4483</v>
      </c>
      <c r="C5793" s="54">
        <v>4276</v>
      </c>
      <c r="D5793" s="54" t="s">
        <v>45</v>
      </c>
      <c r="E5793" s="54" t="s">
        <v>1298</v>
      </c>
      <c r="F5793" s="54" t="s">
        <v>4485</v>
      </c>
      <c r="G5793" s="54" t="s">
        <v>17651</v>
      </c>
      <c r="H5793" s="54" t="s">
        <v>17652</v>
      </c>
      <c r="I5793" s="43">
        <v>12</v>
      </c>
      <c r="J5793" s="44" t="str">
        <f>VLOOKUP(G5793,[1]硬件清单!$F:$F,1,0)</f>
        <v>FCH2138V1VJ</v>
      </c>
      <c r="K5793" s="43"/>
      <c r="L5793" s="44"/>
      <c r="M5793" s="45" t="s">
        <v>17653</v>
      </c>
    </row>
    <row r="5794" s="29" customFormat="1" ht="30" customHeight="1" spans="1:13">
      <c r="A5794" s="41">
        <f>IF(C5794="","",SUBTOTAL(103,$C$2:C5794))</f>
        <v>5785</v>
      </c>
      <c r="B5794" s="41">
        <v>4484</v>
      </c>
      <c r="C5794" s="54">
        <v>4275</v>
      </c>
      <c r="D5794" s="54" t="s">
        <v>45</v>
      </c>
      <c r="E5794" s="54" t="s">
        <v>1298</v>
      </c>
      <c r="F5794" s="54" t="s">
        <v>4485</v>
      </c>
      <c r="G5794" s="54" t="s">
        <v>17654</v>
      </c>
      <c r="H5794" s="54" t="s">
        <v>17655</v>
      </c>
      <c r="I5794" s="43">
        <v>12</v>
      </c>
      <c r="J5794" s="44" t="str">
        <f>VLOOKUP(G5794,[1]硬件清单!$F:$F,1,0)</f>
        <v>FCH2138V1SV</v>
      </c>
      <c r="K5794" s="43"/>
      <c r="L5794" s="44"/>
      <c r="M5794" s="45" t="s">
        <v>17656</v>
      </c>
    </row>
    <row r="5795" s="29" customFormat="1" ht="30" customHeight="1" spans="1:13">
      <c r="A5795" s="41">
        <f>IF(C5795="","",SUBTOTAL(103,$C$2:C5795))</f>
        <v>5786</v>
      </c>
      <c r="B5795" s="41">
        <v>4485</v>
      </c>
      <c r="C5795" s="54">
        <v>4274</v>
      </c>
      <c r="D5795" s="54" t="s">
        <v>45</v>
      </c>
      <c r="E5795" s="54" t="s">
        <v>1298</v>
      </c>
      <c r="F5795" s="54" t="s">
        <v>4485</v>
      </c>
      <c r="G5795" s="54" t="s">
        <v>17657</v>
      </c>
      <c r="H5795" s="54" t="s">
        <v>17658</v>
      </c>
      <c r="I5795" s="43">
        <v>12</v>
      </c>
      <c r="J5795" s="44" t="str">
        <f>VLOOKUP(G5795,[1]硬件清单!$F:$F,1,0)</f>
        <v>FCH2138V1VK</v>
      </c>
      <c r="K5795" s="43"/>
      <c r="L5795" s="44"/>
      <c r="M5795" s="45" t="s">
        <v>17659</v>
      </c>
    </row>
    <row r="5796" s="29" customFormat="1" ht="30" customHeight="1" spans="1:13">
      <c r="A5796" s="41">
        <f>IF(C5796="","",SUBTOTAL(103,$C$2:C5796))</f>
        <v>5787</v>
      </c>
      <c r="B5796" s="41">
        <v>4486</v>
      </c>
      <c r="C5796" s="54">
        <v>4273</v>
      </c>
      <c r="D5796" s="54" t="s">
        <v>45</v>
      </c>
      <c r="E5796" s="54" t="s">
        <v>1298</v>
      </c>
      <c r="F5796" s="54" t="s">
        <v>4485</v>
      </c>
      <c r="G5796" s="54" t="s">
        <v>17660</v>
      </c>
      <c r="H5796" s="54" t="s">
        <v>17661</v>
      </c>
      <c r="I5796" s="43">
        <v>12</v>
      </c>
      <c r="J5796" s="44" t="str">
        <f>VLOOKUP(G5796,[1]硬件清单!$F:$F,1,0)</f>
        <v>FCH2138V1UQ</v>
      </c>
      <c r="K5796" s="43"/>
      <c r="L5796" s="44"/>
      <c r="M5796" s="45" t="s">
        <v>17662</v>
      </c>
    </row>
    <row r="5797" s="29" customFormat="1" ht="30" customHeight="1" spans="1:13">
      <c r="A5797" s="41">
        <f>IF(C5797="","",SUBTOTAL(103,$C$2:C5797))</f>
        <v>5788</v>
      </c>
      <c r="B5797" s="41">
        <v>4487</v>
      </c>
      <c r="C5797" s="54">
        <v>4272</v>
      </c>
      <c r="D5797" s="54" t="s">
        <v>45</v>
      </c>
      <c r="E5797" s="54" t="s">
        <v>1298</v>
      </c>
      <c r="F5797" s="54" t="s">
        <v>4485</v>
      </c>
      <c r="G5797" s="54" t="s">
        <v>17663</v>
      </c>
      <c r="H5797" s="54" t="s">
        <v>17664</v>
      </c>
      <c r="I5797" s="43">
        <v>12</v>
      </c>
      <c r="J5797" s="44" t="str">
        <f>VLOOKUP(G5797,[1]硬件清单!$F:$F,1,0)</f>
        <v>FCH2138V1UR</v>
      </c>
      <c r="K5797" s="43"/>
      <c r="L5797" s="44"/>
      <c r="M5797" s="45" t="s">
        <v>17665</v>
      </c>
    </row>
    <row r="5798" s="29" customFormat="1" ht="30" customHeight="1" spans="1:13">
      <c r="A5798" s="41">
        <f>IF(C5798="","",SUBTOTAL(103,$C$2:C5798))</f>
        <v>5789</v>
      </c>
      <c r="B5798" s="41">
        <v>4489</v>
      </c>
      <c r="C5798" s="54">
        <v>4281</v>
      </c>
      <c r="D5798" s="54" t="s">
        <v>45</v>
      </c>
      <c r="E5798" s="54" t="s">
        <v>1298</v>
      </c>
      <c r="F5798" s="54" t="s">
        <v>4485</v>
      </c>
      <c r="G5798" s="54" t="s">
        <v>17666</v>
      </c>
      <c r="H5798" s="54" t="s">
        <v>17667</v>
      </c>
      <c r="I5798" s="43">
        <v>12</v>
      </c>
      <c r="J5798" s="44" t="str">
        <f>VLOOKUP(G5798,[1]硬件清单!$F:$F,1,0)</f>
        <v>FCH2138V1UX</v>
      </c>
      <c r="K5798" s="43"/>
      <c r="L5798" s="44"/>
      <c r="M5798" s="45" t="s">
        <v>17668</v>
      </c>
    </row>
    <row r="5799" s="29" customFormat="1" ht="30" customHeight="1" spans="1:13">
      <c r="A5799" s="41">
        <f>IF(C5799="","",SUBTOTAL(103,$C$2:C5799))</f>
        <v>5790</v>
      </c>
      <c r="B5799" s="41">
        <v>4490</v>
      </c>
      <c r="C5799" s="54">
        <v>4271</v>
      </c>
      <c r="D5799" s="54" t="s">
        <v>45</v>
      </c>
      <c r="E5799" s="54" t="s">
        <v>1298</v>
      </c>
      <c r="F5799" s="54" t="s">
        <v>4485</v>
      </c>
      <c r="G5799" s="54" t="s">
        <v>17669</v>
      </c>
      <c r="H5799" s="54" t="s">
        <v>17670</v>
      </c>
      <c r="I5799" s="43">
        <v>12</v>
      </c>
      <c r="J5799" s="44" t="str">
        <f>VLOOKUP(G5799,[1]硬件清单!$F:$F,1,0)</f>
        <v>FCH2138V1UT</v>
      </c>
      <c r="K5799" s="43"/>
      <c r="L5799" s="44"/>
      <c r="M5799" s="45" t="s">
        <v>17671</v>
      </c>
    </row>
    <row r="5800" s="29" customFormat="1" ht="30" customHeight="1" spans="1:13">
      <c r="A5800" s="41">
        <f>IF(C5800="","",SUBTOTAL(103,$C$2:C5800))</f>
        <v>5791</v>
      </c>
      <c r="B5800" s="41">
        <v>4491</v>
      </c>
      <c r="C5800" s="54">
        <v>4461</v>
      </c>
      <c r="D5800" s="54" t="s">
        <v>45</v>
      </c>
      <c r="E5800" s="54" t="s">
        <v>1298</v>
      </c>
      <c r="F5800" s="54" t="s">
        <v>4485</v>
      </c>
      <c r="G5800" s="54" t="s">
        <v>17672</v>
      </c>
      <c r="H5800" s="54" t="s">
        <v>17673</v>
      </c>
      <c r="I5800" s="43">
        <v>12</v>
      </c>
      <c r="J5800" s="44" t="str">
        <f>VLOOKUP(G5800,[1]硬件清单!$F:$F,1,0)</f>
        <v>FCH2132V1FE</v>
      </c>
      <c r="K5800" s="43"/>
      <c r="L5800" s="44"/>
      <c r="M5800" s="45" t="s">
        <v>17674</v>
      </c>
    </row>
    <row r="5801" s="29" customFormat="1" ht="30" customHeight="1" spans="1:13">
      <c r="A5801" s="41">
        <f>IF(C5801="","",SUBTOTAL(103,$C$2:C5801))</f>
        <v>5792</v>
      </c>
      <c r="B5801" s="41">
        <v>4492</v>
      </c>
      <c r="C5801" s="54">
        <v>4460</v>
      </c>
      <c r="D5801" s="54" t="s">
        <v>45</v>
      </c>
      <c r="E5801" s="54" t="s">
        <v>1298</v>
      </c>
      <c r="F5801" s="54" t="s">
        <v>4485</v>
      </c>
      <c r="G5801" s="54" t="s">
        <v>17675</v>
      </c>
      <c r="H5801" s="54" t="s">
        <v>17676</v>
      </c>
      <c r="I5801" s="43">
        <v>12</v>
      </c>
      <c r="J5801" s="44" t="str">
        <f>VLOOKUP(G5801,[1]硬件清单!$F:$F,1,0)</f>
        <v>FCH2132V0ZT</v>
      </c>
      <c r="K5801" s="43"/>
      <c r="L5801" s="44"/>
      <c r="M5801" s="45" t="s">
        <v>17677</v>
      </c>
    </row>
    <row r="5802" s="29" customFormat="1" ht="30" customHeight="1" spans="1:13">
      <c r="A5802" s="41">
        <f>IF(C5802="","",SUBTOTAL(103,$C$2:C5802))</f>
        <v>5793</v>
      </c>
      <c r="B5802" s="41">
        <v>4493</v>
      </c>
      <c r="C5802" s="54">
        <v>4280</v>
      </c>
      <c r="D5802" s="54" t="s">
        <v>45</v>
      </c>
      <c r="E5802" s="54" t="s">
        <v>1298</v>
      </c>
      <c r="F5802" s="54" t="s">
        <v>4485</v>
      </c>
      <c r="G5802" s="54" t="s">
        <v>17678</v>
      </c>
      <c r="H5802" s="54" t="s">
        <v>17679</v>
      </c>
      <c r="I5802" s="43">
        <v>12</v>
      </c>
      <c r="J5802" s="44" t="str">
        <f>VLOOKUP(G5802,[1]硬件清单!$F:$F,1,0)</f>
        <v>FCH2138V1U0</v>
      </c>
      <c r="K5802" s="43"/>
      <c r="L5802" s="44"/>
      <c r="M5802" s="45" t="s">
        <v>17680</v>
      </c>
    </row>
    <row r="5803" s="29" customFormat="1" ht="30" customHeight="1" spans="1:13">
      <c r="A5803" s="41">
        <f>IF(C5803="","",SUBTOTAL(103,$C$2:C5803))</f>
        <v>5794</v>
      </c>
      <c r="B5803" s="41">
        <v>4494</v>
      </c>
      <c r="C5803" s="54">
        <v>4279</v>
      </c>
      <c r="D5803" s="54" t="s">
        <v>45</v>
      </c>
      <c r="E5803" s="54" t="s">
        <v>1298</v>
      </c>
      <c r="F5803" s="54" t="s">
        <v>4485</v>
      </c>
      <c r="G5803" s="54" t="s">
        <v>17681</v>
      </c>
      <c r="H5803" s="54" t="s">
        <v>17682</v>
      </c>
      <c r="I5803" s="43">
        <v>12</v>
      </c>
      <c r="J5803" s="44" t="str">
        <f>VLOOKUP(G5803,[1]硬件清单!$F:$F,1,0)</f>
        <v>FCH2138V1SY</v>
      </c>
      <c r="K5803" s="43"/>
      <c r="L5803" s="44"/>
      <c r="M5803" s="45" t="s">
        <v>17683</v>
      </c>
    </row>
    <row r="5804" s="29" customFormat="1" ht="30" customHeight="1" spans="1:13">
      <c r="A5804" s="41">
        <f>IF(C5804="","",SUBTOTAL(103,$C$2:C5804))</f>
        <v>5795</v>
      </c>
      <c r="B5804" s="41">
        <v>4495</v>
      </c>
      <c r="C5804" s="54">
        <v>4278</v>
      </c>
      <c r="D5804" s="54" t="s">
        <v>45</v>
      </c>
      <c r="E5804" s="54" t="s">
        <v>1298</v>
      </c>
      <c r="F5804" s="54" t="s">
        <v>4485</v>
      </c>
      <c r="G5804" s="54" t="s">
        <v>17684</v>
      </c>
      <c r="H5804" s="54" t="s">
        <v>17685</v>
      </c>
      <c r="I5804" s="43">
        <v>12</v>
      </c>
      <c r="J5804" s="44" t="str">
        <f>VLOOKUP(G5804,[1]硬件清单!$F:$F,1,0)</f>
        <v>FCH2138V1SX</v>
      </c>
      <c r="K5804" s="43"/>
      <c r="L5804" s="44"/>
      <c r="M5804" s="45" t="s">
        <v>17686</v>
      </c>
    </row>
    <row r="5805" s="29" customFormat="1" ht="30" customHeight="1" spans="1:13">
      <c r="A5805" s="41">
        <f>IF(C5805="","",SUBTOTAL(103,$C$2:C5805))</f>
        <v>5796</v>
      </c>
      <c r="B5805" s="41">
        <v>4496</v>
      </c>
      <c r="C5805" s="54">
        <v>5159</v>
      </c>
      <c r="D5805" s="54" t="s">
        <v>45</v>
      </c>
      <c r="E5805" s="54" t="s">
        <v>1298</v>
      </c>
      <c r="F5805" s="54" t="s">
        <v>16939</v>
      </c>
      <c r="G5805" s="54" t="s">
        <v>17687</v>
      </c>
      <c r="H5805" s="54" t="s">
        <v>17688</v>
      </c>
      <c r="I5805" s="43">
        <v>12</v>
      </c>
      <c r="J5805" s="44" t="str">
        <f>VLOOKUP(G5805,[1]硬件清单!$F:$F,1,0)</f>
        <v>FCH2142W019</v>
      </c>
      <c r="K5805" s="43"/>
      <c r="L5805" s="44"/>
      <c r="M5805" s="45" t="s">
        <v>17689</v>
      </c>
    </row>
    <row r="5806" s="29" customFormat="1" ht="30" customHeight="1" spans="1:13">
      <c r="A5806" s="41">
        <f>IF(C5806="","",SUBTOTAL(103,$C$2:C5806))</f>
        <v>5797</v>
      </c>
      <c r="B5806" s="41">
        <v>4497</v>
      </c>
      <c r="C5806" s="54">
        <v>5158</v>
      </c>
      <c r="D5806" s="54" t="s">
        <v>45</v>
      </c>
      <c r="E5806" s="54" t="s">
        <v>1298</v>
      </c>
      <c r="F5806" s="54" t="s">
        <v>16939</v>
      </c>
      <c r="G5806" s="54" t="s">
        <v>17690</v>
      </c>
      <c r="H5806" s="54" t="s">
        <v>17691</v>
      </c>
      <c r="I5806" s="43">
        <v>12</v>
      </c>
      <c r="J5806" s="44" t="str">
        <f>VLOOKUP(G5806,[1]硬件清单!$F:$F,1,0)</f>
        <v>FCH2139W01Y</v>
      </c>
      <c r="K5806" s="43"/>
      <c r="L5806" s="44"/>
      <c r="M5806" s="45" t="s">
        <v>17692</v>
      </c>
    </row>
    <row r="5807" s="29" customFormat="1" ht="30" customHeight="1" spans="1:13">
      <c r="A5807" s="41">
        <f>IF(C5807="","",SUBTOTAL(103,$C$2:C5807))</f>
        <v>5798</v>
      </c>
      <c r="B5807" s="41">
        <v>4498</v>
      </c>
      <c r="C5807" s="54">
        <v>4286</v>
      </c>
      <c r="D5807" s="54" t="s">
        <v>45</v>
      </c>
      <c r="E5807" s="54" t="s">
        <v>1298</v>
      </c>
      <c r="F5807" s="54" t="s">
        <v>4485</v>
      </c>
      <c r="G5807" s="54" t="s">
        <v>17693</v>
      </c>
      <c r="H5807" s="54" t="s">
        <v>17694</v>
      </c>
      <c r="I5807" s="43">
        <v>12</v>
      </c>
      <c r="J5807" s="44" t="str">
        <f>VLOOKUP(G5807,[1]硬件清单!$F:$F,1,0)</f>
        <v>FCH2138V1US</v>
      </c>
      <c r="K5807" s="43"/>
      <c r="L5807" s="44"/>
      <c r="M5807" s="45" t="s">
        <v>17695</v>
      </c>
    </row>
    <row r="5808" s="29" customFormat="1" ht="30" customHeight="1" spans="1:13">
      <c r="A5808" s="41">
        <f>IF(C5808="","",SUBTOTAL(103,$C$2:C5808))</f>
        <v>5799</v>
      </c>
      <c r="B5808" s="41">
        <v>4499</v>
      </c>
      <c r="C5808" s="54">
        <v>4285</v>
      </c>
      <c r="D5808" s="54" t="s">
        <v>45</v>
      </c>
      <c r="E5808" s="54" t="s">
        <v>1298</v>
      </c>
      <c r="F5808" s="54" t="s">
        <v>4485</v>
      </c>
      <c r="G5808" s="54" t="s">
        <v>17696</v>
      </c>
      <c r="H5808" s="54" t="s">
        <v>17697</v>
      </c>
      <c r="I5808" s="43">
        <v>12</v>
      </c>
      <c r="J5808" s="44" t="str">
        <f>VLOOKUP(G5808,[1]硬件清单!$F:$F,1,0)</f>
        <v>FCH2138V1UW</v>
      </c>
      <c r="K5808" s="43"/>
      <c r="L5808" s="44"/>
      <c r="M5808" s="45" t="s">
        <v>17698</v>
      </c>
    </row>
    <row r="5809" s="29" customFormat="1" ht="30" customHeight="1" spans="1:13">
      <c r="A5809" s="41">
        <f>IF(C5809="","",SUBTOTAL(103,$C$2:C5809))</f>
        <v>5800</v>
      </c>
      <c r="B5809" s="41">
        <v>4501</v>
      </c>
      <c r="C5809" s="54">
        <v>4284</v>
      </c>
      <c r="D5809" s="54" t="s">
        <v>45</v>
      </c>
      <c r="E5809" s="54" t="s">
        <v>1298</v>
      </c>
      <c r="F5809" s="54" t="s">
        <v>4485</v>
      </c>
      <c r="G5809" s="54" t="s">
        <v>17699</v>
      </c>
      <c r="H5809" s="54" t="s">
        <v>17700</v>
      </c>
      <c r="I5809" s="43">
        <v>12</v>
      </c>
      <c r="J5809" s="44" t="str">
        <f>VLOOKUP(G5809,[1]硬件清单!$F:$F,1,0)</f>
        <v>FCH2138V1UY</v>
      </c>
      <c r="K5809" s="43"/>
      <c r="L5809" s="44"/>
      <c r="M5809" s="45" t="s">
        <v>17701</v>
      </c>
    </row>
    <row r="5810" s="29" customFormat="1" ht="30" customHeight="1" spans="1:13">
      <c r="A5810" s="41">
        <f>IF(C5810="","",SUBTOTAL(103,$C$2:C5810))</f>
        <v>5801</v>
      </c>
      <c r="B5810" s="41">
        <v>4502</v>
      </c>
      <c r="C5810" s="54">
        <v>5161</v>
      </c>
      <c r="D5810" s="54" t="s">
        <v>45</v>
      </c>
      <c r="E5810" s="54" t="s">
        <v>1298</v>
      </c>
      <c r="F5810" s="54" t="s">
        <v>16939</v>
      </c>
      <c r="G5810" s="54" t="s">
        <v>17702</v>
      </c>
      <c r="H5810" s="54" t="s">
        <v>17703</v>
      </c>
      <c r="I5810" s="43">
        <v>12</v>
      </c>
      <c r="J5810" s="44" t="str">
        <f>VLOOKUP(G5810,[1]硬件清单!$F:$F,1,0)</f>
        <v>FCH2142W01K</v>
      </c>
      <c r="K5810" s="43"/>
      <c r="L5810" s="44"/>
      <c r="M5810" s="45" t="s">
        <v>17704</v>
      </c>
    </row>
    <row r="5811" s="29" customFormat="1" ht="30" customHeight="1" spans="1:13">
      <c r="A5811" s="41">
        <f>IF(C5811="","",SUBTOTAL(103,$C$2:C5811))</f>
        <v>5802</v>
      </c>
      <c r="B5811" s="41">
        <v>4503</v>
      </c>
      <c r="C5811" s="54">
        <v>4283</v>
      </c>
      <c r="D5811" s="54" t="s">
        <v>45</v>
      </c>
      <c r="E5811" s="54" t="s">
        <v>1298</v>
      </c>
      <c r="F5811" s="54" t="s">
        <v>4485</v>
      </c>
      <c r="G5811" s="54" t="s">
        <v>17705</v>
      </c>
      <c r="H5811" s="54" t="s">
        <v>17706</v>
      </c>
      <c r="I5811" s="43">
        <v>12</v>
      </c>
      <c r="J5811" s="44" t="str">
        <f>VLOOKUP(G5811,[1]硬件清单!$F:$F,1,0)</f>
        <v>FCH2138V1AS</v>
      </c>
      <c r="K5811" s="43"/>
      <c r="L5811" s="44"/>
      <c r="M5811" s="45" t="s">
        <v>17707</v>
      </c>
    </row>
    <row r="5812" s="29" customFormat="1" ht="30" customHeight="1" spans="1:13">
      <c r="A5812" s="41">
        <f>IF(C5812="","",SUBTOTAL(103,$C$2:C5812))</f>
        <v>5803</v>
      </c>
      <c r="B5812" s="41">
        <v>4504</v>
      </c>
      <c r="C5812" s="54">
        <v>4282</v>
      </c>
      <c r="D5812" s="54" t="s">
        <v>45</v>
      </c>
      <c r="E5812" s="54" t="s">
        <v>1298</v>
      </c>
      <c r="F5812" s="54" t="s">
        <v>4485</v>
      </c>
      <c r="G5812" s="54" t="s">
        <v>17708</v>
      </c>
      <c r="H5812" s="54" t="s">
        <v>17709</v>
      </c>
      <c r="I5812" s="43">
        <v>12</v>
      </c>
      <c r="J5812" s="44" t="str">
        <f>VLOOKUP(G5812,[1]硬件清单!$F:$F,1,0)</f>
        <v>FCH2014V12P</v>
      </c>
      <c r="K5812" s="43"/>
      <c r="L5812" s="44"/>
      <c r="M5812" s="45" t="s">
        <v>17710</v>
      </c>
    </row>
    <row r="5813" s="29" customFormat="1" ht="30" customHeight="1" spans="1:13">
      <c r="A5813" s="41">
        <f>IF(C5813="","",SUBTOTAL(103,$C$2:C5813))</f>
        <v>5804</v>
      </c>
      <c r="B5813" s="41">
        <v>4505</v>
      </c>
      <c r="C5813" s="54">
        <v>4798</v>
      </c>
      <c r="D5813" s="54" t="s">
        <v>19</v>
      </c>
      <c r="E5813" s="54" t="s">
        <v>20</v>
      </c>
      <c r="F5813" s="54" t="s">
        <v>10772</v>
      </c>
      <c r="G5813" s="54" t="s">
        <v>17711</v>
      </c>
      <c r="H5813" s="54" t="s">
        <v>17712</v>
      </c>
      <c r="I5813" s="43">
        <v>12</v>
      </c>
      <c r="J5813" s="44" t="str">
        <f>VLOOKUP(G5813,[1]硬件清单!$F:$F,1,0)</f>
        <v>FDO2138Q1SV</v>
      </c>
      <c r="K5813" s="43"/>
      <c r="L5813" s="44"/>
      <c r="M5813" s="45" t="s">
        <v>17713</v>
      </c>
    </row>
    <row r="5814" s="29" customFormat="1" ht="30" customHeight="1" spans="1:13">
      <c r="A5814" s="41">
        <f>IF(C5814="","",SUBTOTAL(103,$C$2:C5814))</f>
        <v>5805</v>
      </c>
      <c r="B5814" s="41">
        <v>4506</v>
      </c>
      <c r="C5814" s="54">
        <v>4792</v>
      </c>
      <c r="D5814" s="54" t="s">
        <v>19</v>
      </c>
      <c r="E5814" s="54" t="s">
        <v>20</v>
      </c>
      <c r="F5814" s="54" t="s">
        <v>16179</v>
      </c>
      <c r="G5814" s="54" t="s">
        <v>17714</v>
      </c>
      <c r="H5814" s="54" t="s">
        <v>17715</v>
      </c>
      <c r="I5814" s="43">
        <v>12</v>
      </c>
      <c r="J5814" s="44" t="str">
        <f>VLOOKUP(G5814,[1]硬件清单!$F:$F,1,0)</f>
        <v>F0C21211SYG</v>
      </c>
      <c r="K5814" s="43"/>
      <c r="L5814" s="44"/>
      <c r="M5814" s="45" t="s">
        <v>17716</v>
      </c>
    </row>
    <row r="5815" s="29" customFormat="1" ht="30" customHeight="1" spans="1:13">
      <c r="A5815" s="41">
        <f>IF(C5815="","",SUBTOTAL(103,$C$2:C5815))</f>
        <v>5806</v>
      </c>
      <c r="B5815" s="41">
        <v>4507</v>
      </c>
      <c r="C5815" s="54">
        <v>5160</v>
      </c>
      <c r="D5815" s="54" t="s">
        <v>45</v>
      </c>
      <c r="E5815" s="54" t="s">
        <v>1298</v>
      </c>
      <c r="F5815" s="54" t="s">
        <v>16939</v>
      </c>
      <c r="G5815" s="54" t="s">
        <v>17717</v>
      </c>
      <c r="H5815" s="54" t="s">
        <v>17718</v>
      </c>
      <c r="I5815" s="43">
        <v>12</v>
      </c>
      <c r="J5815" s="44" t="str">
        <f>VLOOKUP(G5815,[1]硬件清单!$F:$F,1,0)</f>
        <v>FCH2139W046</v>
      </c>
      <c r="K5815" s="43"/>
      <c r="L5815" s="44"/>
      <c r="M5815" s="45" t="s">
        <v>17719</v>
      </c>
    </row>
    <row r="5816" s="29" customFormat="1" ht="30" customHeight="1" spans="1:13">
      <c r="A5816" s="41">
        <f>IF(C5816="","",SUBTOTAL(103,$C$2:C5816))</f>
        <v>5807</v>
      </c>
      <c r="B5816" s="41">
        <v>4508</v>
      </c>
      <c r="C5816" s="54">
        <v>13135</v>
      </c>
      <c r="D5816" s="54" t="s">
        <v>19</v>
      </c>
      <c r="E5816" s="54" t="s">
        <v>20</v>
      </c>
      <c r="F5816" s="54" t="s">
        <v>3765</v>
      </c>
      <c r="G5816" s="54" t="s">
        <v>17720</v>
      </c>
      <c r="H5816" s="54" t="s">
        <v>17721</v>
      </c>
      <c r="I5816" s="43">
        <v>12</v>
      </c>
      <c r="J5816" s="44" t="str">
        <f>VLOOKUP(G5816,[1]硬件清单!$F:$F,1,0)</f>
        <v>210235A3GLH195000015</v>
      </c>
      <c r="K5816" s="43"/>
      <c r="L5816" s="44"/>
      <c r="M5816" s="45" t="s">
        <v>17722</v>
      </c>
    </row>
    <row r="5817" s="29" customFormat="1" ht="30" customHeight="1" spans="1:13">
      <c r="A5817" s="41">
        <f>IF(C5817="","",SUBTOTAL(103,$C$2:C5817))</f>
        <v>5808</v>
      </c>
      <c r="B5817" s="41">
        <v>4509</v>
      </c>
      <c r="C5817" s="54">
        <v>13134</v>
      </c>
      <c r="D5817" s="54" t="s">
        <v>19</v>
      </c>
      <c r="E5817" s="54" t="s">
        <v>20</v>
      </c>
      <c r="F5817" s="54" t="s">
        <v>3765</v>
      </c>
      <c r="G5817" s="54" t="s">
        <v>17723</v>
      </c>
      <c r="H5817" s="54" t="s">
        <v>17724</v>
      </c>
      <c r="I5817" s="43">
        <v>12</v>
      </c>
      <c r="J5817" s="44" t="str">
        <f>VLOOKUP(G5817,[1]硬件清单!$F:$F,1,0)</f>
        <v>210235A3GLH195000014</v>
      </c>
      <c r="K5817" s="43"/>
      <c r="L5817" s="44"/>
      <c r="M5817" s="45" t="s">
        <v>17725</v>
      </c>
    </row>
    <row r="5818" s="29" customFormat="1" ht="30" customHeight="1" spans="1:13">
      <c r="A5818" s="41">
        <f>IF(C5818="","",SUBTOTAL(103,$C$2:C5818))</f>
        <v>5809</v>
      </c>
      <c r="B5818" s="41">
        <v>4510</v>
      </c>
      <c r="C5818" s="54">
        <v>13596</v>
      </c>
      <c r="D5818" s="54" t="s">
        <v>19</v>
      </c>
      <c r="E5818" s="54" t="s">
        <v>20</v>
      </c>
      <c r="F5818" s="54" t="s">
        <v>17726</v>
      </c>
      <c r="G5818" s="54" t="s">
        <v>17727</v>
      </c>
      <c r="H5818" s="54" t="s">
        <v>17728</v>
      </c>
      <c r="I5818" s="43">
        <v>12</v>
      </c>
      <c r="J5818" s="44" t="str">
        <f>VLOOKUP(G5818,[1]硬件清单!$F:$F,1,0)</f>
        <v>FOC2207R09X</v>
      </c>
      <c r="K5818" s="43"/>
      <c r="L5818" s="44"/>
      <c r="M5818" s="45" t="s">
        <v>17729</v>
      </c>
    </row>
    <row r="5819" s="29" customFormat="1" ht="30" customHeight="1" spans="1:13">
      <c r="A5819" s="41">
        <f>IF(C5819="","",SUBTOTAL(103,$C$2:C5819))</f>
        <v>5810</v>
      </c>
      <c r="B5819" s="41">
        <v>4511</v>
      </c>
      <c r="C5819" s="54">
        <v>13595</v>
      </c>
      <c r="D5819" s="54" t="s">
        <v>19</v>
      </c>
      <c r="E5819" s="54" t="s">
        <v>20</v>
      </c>
      <c r="F5819" s="54" t="s">
        <v>17726</v>
      </c>
      <c r="G5819" s="54" t="s">
        <v>17730</v>
      </c>
      <c r="H5819" s="54" t="s">
        <v>17731</v>
      </c>
      <c r="I5819" s="43">
        <v>12</v>
      </c>
      <c r="J5819" s="44" t="str">
        <f>VLOOKUP(G5819,[1]硬件清单!$F:$F,1,0)</f>
        <v>FOC2301R0NW</v>
      </c>
      <c r="K5819" s="43"/>
      <c r="L5819" s="44"/>
      <c r="M5819" s="45" t="s">
        <v>17732</v>
      </c>
    </row>
    <row r="5820" s="29" customFormat="1" ht="30" customHeight="1" spans="1:13">
      <c r="A5820" s="41">
        <f>IF(C5820="","",SUBTOTAL(103,$C$2:C5820))</f>
        <v>5811</v>
      </c>
      <c r="B5820" s="41">
        <v>4512</v>
      </c>
      <c r="C5820" s="54">
        <v>13119</v>
      </c>
      <c r="D5820" s="54" t="s">
        <v>19</v>
      </c>
      <c r="E5820" s="54" t="s">
        <v>20</v>
      </c>
      <c r="F5820" s="54" t="s">
        <v>3765</v>
      </c>
      <c r="G5820" s="54" t="s">
        <v>17733</v>
      </c>
      <c r="H5820" s="54" t="s">
        <v>17734</v>
      </c>
      <c r="I5820" s="43">
        <v>12</v>
      </c>
      <c r="J5820" s="44" t="str">
        <f>VLOOKUP(G5820,[1]硬件清单!$F:$F,1,0)</f>
        <v>210235A3GLH195000045</v>
      </c>
      <c r="K5820" s="43"/>
      <c r="L5820" s="44"/>
      <c r="M5820" s="45" t="s">
        <v>17735</v>
      </c>
    </row>
    <row r="5821" s="29" customFormat="1" ht="30" customHeight="1" spans="1:13">
      <c r="A5821" s="41">
        <f>IF(C5821="","",SUBTOTAL(103,$C$2:C5821))</f>
        <v>5812</v>
      </c>
      <c r="B5821" s="41">
        <v>4513</v>
      </c>
      <c r="C5821" s="54">
        <v>13118</v>
      </c>
      <c r="D5821" s="54" t="s">
        <v>19</v>
      </c>
      <c r="E5821" s="54" t="s">
        <v>20</v>
      </c>
      <c r="F5821" s="54" t="s">
        <v>3765</v>
      </c>
      <c r="G5821" s="54" t="s">
        <v>17736</v>
      </c>
      <c r="H5821" s="54" t="s">
        <v>17737</v>
      </c>
      <c r="I5821" s="43">
        <v>12</v>
      </c>
      <c r="J5821" s="44" t="str">
        <f>VLOOKUP(G5821,[1]硬件清单!$F:$F,1,0)</f>
        <v>210235A3GLH195000023</v>
      </c>
      <c r="K5821" s="43"/>
      <c r="L5821" s="44"/>
      <c r="M5821" s="45" t="s">
        <v>17738</v>
      </c>
    </row>
    <row r="5822" s="29" customFormat="1" ht="30" customHeight="1" spans="1:13">
      <c r="A5822" s="41">
        <f>IF(C5822="","",SUBTOTAL(103,$C$2:C5822))</f>
        <v>5813</v>
      </c>
      <c r="B5822" s="41">
        <v>4514</v>
      </c>
      <c r="C5822" s="54">
        <v>13127</v>
      </c>
      <c r="D5822" s="54" t="s">
        <v>19</v>
      </c>
      <c r="E5822" s="54" t="s">
        <v>20</v>
      </c>
      <c r="F5822" s="54" t="s">
        <v>17726</v>
      </c>
      <c r="G5822" s="54" t="s">
        <v>17739</v>
      </c>
      <c r="H5822" s="54" t="s">
        <v>17740</v>
      </c>
      <c r="I5822" s="43">
        <v>12</v>
      </c>
      <c r="J5822" s="44" t="str">
        <f>VLOOKUP(G5822,[1]硬件清单!$F:$F,1,0)</f>
        <v>FOC2109R1HZ</v>
      </c>
      <c r="K5822" s="43"/>
      <c r="L5822" s="44"/>
      <c r="M5822" s="45" t="s">
        <v>17741</v>
      </c>
    </row>
    <row r="5823" s="29" customFormat="1" ht="30" customHeight="1" spans="1:13">
      <c r="A5823" s="41">
        <f>IF(C5823="","",SUBTOTAL(103,$C$2:C5823))</f>
        <v>5814</v>
      </c>
      <c r="B5823" s="41">
        <v>4515</v>
      </c>
      <c r="C5823" s="54">
        <v>13126</v>
      </c>
      <c r="D5823" s="54" t="s">
        <v>19</v>
      </c>
      <c r="E5823" s="54" t="s">
        <v>20</v>
      </c>
      <c r="F5823" s="54" t="s">
        <v>17726</v>
      </c>
      <c r="G5823" s="54" t="s">
        <v>17742</v>
      </c>
      <c r="H5823" s="54" t="s">
        <v>17743</v>
      </c>
      <c r="I5823" s="43">
        <v>12</v>
      </c>
      <c r="J5823" s="44" t="str">
        <f>VLOOKUP(G5823,[1]硬件清单!$F:$F,1,0)</f>
        <v>FOC2302R0P9</v>
      </c>
      <c r="K5823" s="43"/>
      <c r="L5823" s="44"/>
      <c r="M5823" s="45" t="s">
        <v>17744</v>
      </c>
    </row>
    <row r="5824" s="29" customFormat="1" ht="30" customHeight="1" spans="1:13">
      <c r="A5824" s="41">
        <f>IF(C5824="","",SUBTOTAL(103,$C$2:C5824))</f>
        <v>5815</v>
      </c>
      <c r="B5824" s="41">
        <v>4516</v>
      </c>
      <c r="C5824" s="54">
        <v>13120</v>
      </c>
      <c r="D5824" s="54" t="s">
        <v>19</v>
      </c>
      <c r="E5824" s="54" t="s">
        <v>20</v>
      </c>
      <c r="F5824" s="54" t="s">
        <v>3778</v>
      </c>
      <c r="G5824" s="54" t="s">
        <v>17745</v>
      </c>
      <c r="H5824" s="54" t="s">
        <v>17746</v>
      </c>
      <c r="I5824" s="43">
        <v>12</v>
      </c>
      <c r="J5824" s="44" t="str">
        <f>VLOOKUP(G5824,[1]硬件清单!$F:$F,1,0)</f>
        <v>2102350DLVDMK8001548</v>
      </c>
      <c r="K5824" s="43"/>
      <c r="L5824" s="44"/>
      <c r="M5824" s="45" t="s">
        <v>17747</v>
      </c>
    </row>
    <row r="5825" s="29" customFormat="1" ht="30" customHeight="1" spans="1:13">
      <c r="A5825" s="41">
        <f>IF(C5825="","",SUBTOTAL(103,$C$2:C5825))</f>
        <v>5816</v>
      </c>
      <c r="B5825" s="41">
        <v>4517</v>
      </c>
      <c r="C5825" s="54">
        <v>13132</v>
      </c>
      <c r="D5825" s="54" t="s">
        <v>19</v>
      </c>
      <c r="E5825" s="54" t="s">
        <v>20</v>
      </c>
      <c r="F5825" s="54" t="s">
        <v>11153</v>
      </c>
      <c r="G5825" s="54" t="s">
        <v>17748</v>
      </c>
      <c r="H5825" s="54" t="s">
        <v>17749</v>
      </c>
      <c r="I5825" s="43">
        <v>12</v>
      </c>
      <c r="J5825" s="44" t="str">
        <f>VLOOKUP(G5825,[1]硬件清单!$F:$F,1,0)</f>
        <v>JAE23070N5G</v>
      </c>
      <c r="K5825" s="43"/>
      <c r="L5825" s="44"/>
      <c r="M5825" s="45" t="s">
        <v>17750</v>
      </c>
    </row>
    <row r="5826" s="29" customFormat="1" ht="30" customHeight="1" spans="1:13">
      <c r="A5826" s="41">
        <f>IF(C5826="","",SUBTOTAL(103,$C$2:C5826))</f>
        <v>5817</v>
      </c>
      <c r="B5826" s="41">
        <v>4518</v>
      </c>
      <c r="C5826" s="54">
        <v>13535</v>
      </c>
      <c r="D5826" s="54" t="s">
        <v>45</v>
      </c>
      <c r="E5826" s="54" t="s">
        <v>1298</v>
      </c>
      <c r="F5826" s="54" t="s">
        <v>15613</v>
      </c>
      <c r="G5826" s="54" t="s">
        <v>17751</v>
      </c>
      <c r="H5826" s="54" t="s">
        <v>17752</v>
      </c>
      <c r="I5826" s="43">
        <v>12</v>
      </c>
      <c r="J5826" s="44" t="str">
        <f>VLOOKUP(G5826,[1]硬件清单!$F:$F,1,0)</f>
        <v>219555924</v>
      </c>
      <c r="K5826" s="43"/>
      <c r="L5826" s="44"/>
      <c r="M5826" s="45" t="s">
        <v>17753</v>
      </c>
    </row>
    <row r="5827" s="29" customFormat="1" ht="30" customHeight="1" spans="1:13">
      <c r="A5827" s="41">
        <f>IF(C5827="","",SUBTOTAL(103,$C$2:C5827))</f>
        <v>5818</v>
      </c>
      <c r="B5827" s="41">
        <v>4519</v>
      </c>
      <c r="C5827" s="54">
        <v>13536</v>
      </c>
      <c r="D5827" s="54" t="s">
        <v>45</v>
      </c>
      <c r="E5827" s="54" t="s">
        <v>1298</v>
      </c>
      <c r="F5827" s="54" t="s">
        <v>15613</v>
      </c>
      <c r="G5827" s="54" t="s">
        <v>17754</v>
      </c>
      <c r="H5827" s="54" t="s">
        <v>17755</v>
      </c>
      <c r="I5827" s="43">
        <v>12</v>
      </c>
      <c r="J5827" s="44" t="str">
        <f>VLOOKUP(G5827,[1]硬件清单!$F:$F,1,0)</f>
        <v>219555925</v>
      </c>
      <c r="K5827" s="43"/>
      <c r="L5827" s="44"/>
      <c r="M5827" s="45" t="s">
        <v>17756</v>
      </c>
    </row>
    <row r="5828" s="29" customFormat="1" ht="30" customHeight="1" spans="1:13">
      <c r="A5828" s="41">
        <f>IF(C5828="","",SUBTOTAL(103,$C$2:C5828))</f>
        <v>5819</v>
      </c>
      <c r="B5828" s="41">
        <v>4520</v>
      </c>
      <c r="C5828" s="54">
        <v>13537</v>
      </c>
      <c r="D5828" s="54" t="s">
        <v>45</v>
      </c>
      <c r="E5828" s="54" t="s">
        <v>1298</v>
      </c>
      <c r="F5828" s="54" t="s">
        <v>15613</v>
      </c>
      <c r="G5828" s="54" t="s">
        <v>17757</v>
      </c>
      <c r="H5828" s="54" t="s">
        <v>17758</v>
      </c>
      <c r="I5828" s="43">
        <v>12</v>
      </c>
      <c r="J5828" s="44" t="str">
        <f>VLOOKUP(G5828,[1]硬件清单!$F:$F,1,0)</f>
        <v>219555923</v>
      </c>
      <c r="K5828" s="43"/>
      <c r="L5828" s="44"/>
      <c r="M5828" s="45" t="s">
        <v>17759</v>
      </c>
    </row>
    <row r="5829" s="29" customFormat="1" ht="30" customHeight="1" spans="1:13">
      <c r="A5829" s="41">
        <f>IF(C5829="","",SUBTOTAL(103,$C$2:C5829))</f>
        <v>5820</v>
      </c>
      <c r="B5829" s="41">
        <v>4521</v>
      </c>
      <c r="C5829" s="54">
        <v>13538</v>
      </c>
      <c r="D5829" s="54" t="s">
        <v>45</v>
      </c>
      <c r="E5829" s="54" t="s">
        <v>1298</v>
      </c>
      <c r="F5829" s="54" t="s">
        <v>15613</v>
      </c>
      <c r="G5829" s="54" t="s">
        <v>17760</v>
      </c>
      <c r="H5829" s="54" t="s">
        <v>17761</v>
      </c>
      <c r="I5829" s="43">
        <v>12</v>
      </c>
      <c r="J5829" s="44" t="str">
        <f>VLOOKUP(G5829,[1]硬件清单!$F:$F,1,0)</f>
        <v>219555922</v>
      </c>
      <c r="K5829" s="43"/>
      <c r="L5829" s="44"/>
      <c r="M5829" s="45" t="s">
        <v>17762</v>
      </c>
    </row>
    <row r="5830" s="29" customFormat="1" ht="30" customHeight="1" spans="1:13">
      <c r="A5830" s="41">
        <f>IF(C5830="","",SUBTOTAL(103,$C$2:C5830))</f>
        <v>5821</v>
      </c>
      <c r="B5830" s="41">
        <v>4522</v>
      </c>
      <c r="C5830" s="54">
        <v>13539</v>
      </c>
      <c r="D5830" s="54" t="s">
        <v>45</v>
      </c>
      <c r="E5830" s="54" t="s">
        <v>1298</v>
      </c>
      <c r="F5830" s="54" t="s">
        <v>15613</v>
      </c>
      <c r="G5830" s="54" t="s">
        <v>17763</v>
      </c>
      <c r="H5830" s="54" t="s">
        <v>17764</v>
      </c>
      <c r="I5830" s="43">
        <v>12</v>
      </c>
      <c r="J5830" s="44" t="str">
        <f>VLOOKUP(G5830,[1]硬件清单!$F:$F,1,0)</f>
        <v>219555921</v>
      </c>
      <c r="K5830" s="43"/>
      <c r="L5830" s="44"/>
      <c r="M5830" s="45" t="s">
        <v>17765</v>
      </c>
    </row>
    <row r="5831" s="29" customFormat="1" ht="30" customHeight="1" spans="1:13">
      <c r="A5831" s="41">
        <f>IF(C5831="","",SUBTOTAL(103,$C$2:C5831))</f>
        <v>5822</v>
      </c>
      <c r="B5831" s="41">
        <v>4523</v>
      </c>
      <c r="C5831" s="54">
        <v>13540</v>
      </c>
      <c r="D5831" s="54" t="s">
        <v>45</v>
      </c>
      <c r="E5831" s="54" t="s">
        <v>1298</v>
      </c>
      <c r="F5831" s="54" t="s">
        <v>15613</v>
      </c>
      <c r="G5831" s="54" t="s">
        <v>17766</v>
      </c>
      <c r="H5831" s="54" t="s">
        <v>17767</v>
      </c>
      <c r="I5831" s="43">
        <v>12</v>
      </c>
      <c r="J5831" s="44" t="str">
        <f>VLOOKUP(G5831,[1]硬件清单!$F:$F,1,0)</f>
        <v>219555920</v>
      </c>
      <c r="K5831" s="43"/>
      <c r="L5831" s="44"/>
      <c r="M5831" s="45" t="s">
        <v>17768</v>
      </c>
    </row>
    <row r="5832" s="29" customFormat="1" ht="30" customHeight="1" spans="1:13">
      <c r="A5832" s="41">
        <f>IF(C5832="","",SUBTOTAL(103,$C$2:C5832))</f>
        <v>5823</v>
      </c>
      <c r="B5832" s="41">
        <v>4524</v>
      </c>
      <c r="C5832" s="54">
        <v>13541</v>
      </c>
      <c r="D5832" s="54" t="s">
        <v>45</v>
      </c>
      <c r="E5832" s="54" t="s">
        <v>1298</v>
      </c>
      <c r="F5832" s="54" t="s">
        <v>15613</v>
      </c>
      <c r="G5832" s="54" t="s">
        <v>17769</v>
      </c>
      <c r="H5832" s="54" t="s">
        <v>17770</v>
      </c>
      <c r="I5832" s="43">
        <v>12</v>
      </c>
      <c r="J5832" s="44" t="str">
        <f>VLOOKUP(G5832,[1]硬件清单!$F:$F,1,0)</f>
        <v>219555919</v>
      </c>
      <c r="K5832" s="43"/>
      <c r="L5832" s="44"/>
      <c r="M5832" s="45" t="s">
        <v>17771</v>
      </c>
    </row>
    <row r="5833" s="29" customFormat="1" ht="30" customHeight="1" spans="1:13">
      <c r="A5833" s="41">
        <f>IF(C5833="","",SUBTOTAL(103,$C$2:C5833))</f>
        <v>5824</v>
      </c>
      <c r="B5833" s="41">
        <v>4525</v>
      </c>
      <c r="C5833" s="54">
        <v>13542</v>
      </c>
      <c r="D5833" s="54" t="s">
        <v>45</v>
      </c>
      <c r="E5833" s="54" t="s">
        <v>1298</v>
      </c>
      <c r="F5833" s="54" t="s">
        <v>15613</v>
      </c>
      <c r="G5833" s="54" t="s">
        <v>17772</v>
      </c>
      <c r="H5833" s="54" t="s">
        <v>17773</v>
      </c>
      <c r="I5833" s="43">
        <v>12</v>
      </c>
      <c r="J5833" s="44" t="str">
        <f>VLOOKUP(G5833,[1]硬件清单!$F:$F,1,0)</f>
        <v>219555918</v>
      </c>
      <c r="K5833" s="43"/>
      <c r="L5833" s="44"/>
      <c r="M5833" s="45" t="s">
        <v>17774</v>
      </c>
    </row>
    <row r="5834" s="29" customFormat="1" ht="30" customHeight="1" spans="1:13">
      <c r="A5834" s="41">
        <f>IF(C5834="","",SUBTOTAL(103,$C$2:C5834))</f>
        <v>5825</v>
      </c>
      <c r="B5834" s="41">
        <v>4526</v>
      </c>
      <c r="C5834" s="54">
        <v>13527</v>
      </c>
      <c r="D5834" s="54" t="s">
        <v>45</v>
      </c>
      <c r="E5834" s="54" t="s">
        <v>1298</v>
      </c>
      <c r="F5834" s="54" t="s">
        <v>15613</v>
      </c>
      <c r="G5834" s="54" t="s">
        <v>17775</v>
      </c>
      <c r="H5834" s="54" t="s">
        <v>17776</v>
      </c>
      <c r="I5834" s="43">
        <v>12</v>
      </c>
      <c r="J5834" s="44" t="str">
        <f>VLOOKUP(G5834,[1]硬件清单!$F:$F,1,0)</f>
        <v>219555946</v>
      </c>
      <c r="K5834" s="43"/>
      <c r="L5834" s="44"/>
      <c r="M5834" s="45" t="s">
        <v>17777</v>
      </c>
    </row>
    <row r="5835" s="29" customFormat="1" ht="30" customHeight="1" spans="1:13">
      <c r="A5835" s="41">
        <f>IF(C5835="","",SUBTOTAL(103,$C$2:C5835))</f>
        <v>5826</v>
      </c>
      <c r="B5835" s="41">
        <v>4527</v>
      </c>
      <c r="C5835" s="54">
        <v>13528</v>
      </c>
      <c r="D5835" s="54" t="s">
        <v>45</v>
      </c>
      <c r="E5835" s="54" t="s">
        <v>1298</v>
      </c>
      <c r="F5835" s="54" t="s">
        <v>15613</v>
      </c>
      <c r="G5835" s="54" t="s">
        <v>17778</v>
      </c>
      <c r="H5835" s="54" t="s">
        <v>17779</v>
      </c>
      <c r="I5835" s="43">
        <v>12</v>
      </c>
      <c r="J5835" s="44" t="str">
        <f>VLOOKUP(G5835,[1]硬件清单!$F:$F,1,0)</f>
        <v>219555947</v>
      </c>
      <c r="K5835" s="43"/>
      <c r="L5835" s="44"/>
      <c r="M5835" s="45" t="s">
        <v>17780</v>
      </c>
    </row>
    <row r="5836" s="29" customFormat="1" ht="30" customHeight="1" spans="1:13">
      <c r="A5836" s="41">
        <f>IF(C5836="","",SUBTOTAL(103,$C$2:C5836))</f>
        <v>5827</v>
      </c>
      <c r="B5836" s="41">
        <v>4528</v>
      </c>
      <c r="C5836" s="54">
        <v>13529</v>
      </c>
      <c r="D5836" s="54" t="s">
        <v>45</v>
      </c>
      <c r="E5836" s="54" t="s">
        <v>1298</v>
      </c>
      <c r="F5836" s="54" t="s">
        <v>15613</v>
      </c>
      <c r="G5836" s="54" t="s">
        <v>17781</v>
      </c>
      <c r="H5836" s="54" t="s">
        <v>17782</v>
      </c>
      <c r="I5836" s="43">
        <v>12</v>
      </c>
      <c r="J5836" s="44" t="str">
        <f>VLOOKUP(G5836,[1]硬件清单!$F:$F,1,0)</f>
        <v>219555948</v>
      </c>
      <c r="K5836" s="43"/>
      <c r="L5836" s="44"/>
      <c r="M5836" s="45" t="s">
        <v>17783</v>
      </c>
    </row>
    <row r="5837" s="29" customFormat="1" ht="30" customHeight="1" spans="1:13">
      <c r="A5837" s="41">
        <f>IF(C5837="","",SUBTOTAL(103,$C$2:C5837))</f>
        <v>5828</v>
      </c>
      <c r="B5837" s="41">
        <v>4529</v>
      </c>
      <c r="C5837" s="54">
        <v>13530</v>
      </c>
      <c r="D5837" s="54" t="s">
        <v>45</v>
      </c>
      <c r="E5837" s="54" t="s">
        <v>1298</v>
      </c>
      <c r="F5837" s="54" t="s">
        <v>15613</v>
      </c>
      <c r="G5837" s="54" t="s">
        <v>17784</v>
      </c>
      <c r="H5837" s="54" t="s">
        <v>17785</v>
      </c>
      <c r="I5837" s="43">
        <v>12</v>
      </c>
      <c r="J5837" s="44" t="str">
        <f>VLOOKUP(G5837,[1]硬件清单!$F:$F,1,0)</f>
        <v>219555949</v>
      </c>
      <c r="K5837" s="43"/>
      <c r="L5837" s="44"/>
      <c r="M5837" s="45" t="s">
        <v>17786</v>
      </c>
    </row>
    <row r="5838" s="29" customFormat="1" ht="30" customHeight="1" spans="1:13">
      <c r="A5838" s="41">
        <f>IF(C5838="","",SUBTOTAL(103,$C$2:C5838))</f>
        <v>5829</v>
      </c>
      <c r="B5838" s="41">
        <v>4530</v>
      </c>
      <c r="C5838" s="54">
        <v>13531</v>
      </c>
      <c r="D5838" s="54" t="s">
        <v>45</v>
      </c>
      <c r="E5838" s="54" t="s">
        <v>1298</v>
      </c>
      <c r="F5838" s="54" t="s">
        <v>15613</v>
      </c>
      <c r="G5838" s="54" t="s">
        <v>17787</v>
      </c>
      <c r="H5838" s="54" t="s">
        <v>17788</v>
      </c>
      <c r="I5838" s="43">
        <v>12</v>
      </c>
      <c r="J5838" s="44" t="str">
        <f>VLOOKUP(G5838,[1]硬件清单!$F:$F,1,0)</f>
        <v>219555942</v>
      </c>
      <c r="K5838" s="43"/>
      <c r="L5838" s="44"/>
      <c r="M5838" s="45" t="s">
        <v>17789</v>
      </c>
    </row>
    <row r="5839" s="29" customFormat="1" ht="30" customHeight="1" spans="1:13">
      <c r="A5839" s="41">
        <f>IF(C5839="","",SUBTOTAL(103,$C$2:C5839))</f>
        <v>5830</v>
      </c>
      <c r="B5839" s="41">
        <v>4531</v>
      </c>
      <c r="C5839" s="54">
        <v>13532</v>
      </c>
      <c r="D5839" s="54" t="s">
        <v>45</v>
      </c>
      <c r="E5839" s="54" t="s">
        <v>1298</v>
      </c>
      <c r="F5839" s="54" t="s">
        <v>15613</v>
      </c>
      <c r="G5839" s="54" t="s">
        <v>17790</v>
      </c>
      <c r="H5839" s="54" t="s">
        <v>17791</v>
      </c>
      <c r="I5839" s="43">
        <v>12</v>
      </c>
      <c r="J5839" s="44" t="str">
        <f>VLOOKUP(G5839,[1]硬件清单!$F:$F,1,0)</f>
        <v>219555944</v>
      </c>
      <c r="K5839" s="43"/>
      <c r="L5839" s="44"/>
      <c r="M5839" s="45" t="s">
        <v>17792</v>
      </c>
    </row>
    <row r="5840" s="29" customFormat="1" ht="30" customHeight="1" spans="1:13">
      <c r="A5840" s="41">
        <f>IF(C5840="","",SUBTOTAL(103,$C$2:C5840))</f>
        <v>5831</v>
      </c>
      <c r="B5840" s="41">
        <v>4532</v>
      </c>
      <c r="C5840" s="54">
        <v>13533</v>
      </c>
      <c r="D5840" s="54" t="s">
        <v>45</v>
      </c>
      <c r="E5840" s="54" t="s">
        <v>1298</v>
      </c>
      <c r="F5840" s="54" t="s">
        <v>15613</v>
      </c>
      <c r="G5840" s="54" t="s">
        <v>17793</v>
      </c>
      <c r="H5840" s="54" t="s">
        <v>17794</v>
      </c>
      <c r="I5840" s="43">
        <v>12</v>
      </c>
      <c r="J5840" s="44" t="str">
        <f>VLOOKUP(G5840,[1]硬件清单!$F:$F,1,0)</f>
        <v>219555945</v>
      </c>
      <c r="K5840" s="43"/>
      <c r="L5840" s="44"/>
      <c r="M5840" s="45" t="s">
        <v>17795</v>
      </c>
    </row>
    <row r="5841" s="29" customFormat="1" ht="30" customHeight="1" spans="1:13">
      <c r="A5841" s="41">
        <f>IF(C5841="","",SUBTOTAL(103,$C$2:C5841))</f>
        <v>5832</v>
      </c>
      <c r="B5841" s="41">
        <v>4533</v>
      </c>
      <c r="C5841" s="54">
        <v>13534</v>
      </c>
      <c r="D5841" s="54" t="s">
        <v>45</v>
      </c>
      <c r="E5841" s="54" t="s">
        <v>1298</v>
      </c>
      <c r="F5841" s="54" t="s">
        <v>15613</v>
      </c>
      <c r="G5841" s="54" t="s">
        <v>17796</v>
      </c>
      <c r="H5841" s="54" t="s">
        <v>17797</v>
      </c>
      <c r="I5841" s="43">
        <v>12</v>
      </c>
      <c r="J5841" s="44" t="str">
        <f>VLOOKUP(G5841,[1]硬件清单!$F:$F,1,0)</f>
        <v>219555943</v>
      </c>
      <c r="K5841" s="43"/>
      <c r="L5841" s="44"/>
      <c r="M5841" s="45" t="s">
        <v>17798</v>
      </c>
    </row>
    <row r="5842" s="29" customFormat="1" ht="30" customHeight="1" spans="1:13">
      <c r="A5842" s="41">
        <f>IF(C5842="","",SUBTOTAL(103,$C$2:C5842))</f>
        <v>5833</v>
      </c>
      <c r="B5842" s="41">
        <v>4534</v>
      </c>
      <c r="C5842" s="54">
        <v>13036</v>
      </c>
      <c r="D5842" s="54" t="s">
        <v>45</v>
      </c>
      <c r="E5842" s="54" t="s">
        <v>1298</v>
      </c>
      <c r="F5842" s="54" t="s">
        <v>15613</v>
      </c>
      <c r="G5842" s="54" t="s">
        <v>17799</v>
      </c>
      <c r="H5842" s="54" t="s">
        <v>17800</v>
      </c>
      <c r="I5842" s="43">
        <v>12</v>
      </c>
      <c r="J5842" s="44" t="str">
        <f>VLOOKUP(G5842,[1]硬件清单!$F:$F,1,0)</f>
        <v>219556065</v>
      </c>
      <c r="K5842" s="43"/>
      <c r="L5842" s="44"/>
      <c r="M5842" s="45" t="s">
        <v>17801</v>
      </c>
    </row>
    <row r="5843" s="29" customFormat="1" ht="30" customHeight="1" spans="1:13">
      <c r="A5843" s="41">
        <f>IF(C5843="","",SUBTOTAL(103,$C$2:C5843))</f>
        <v>5834</v>
      </c>
      <c r="B5843" s="41">
        <v>4535</v>
      </c>
      <c r="C5843" s="54">
        <v>13084</v>
      </c>
      <c r="D5843" s="54" t="s">
        <v>45</v>
      </c>
      <c r="E5843" s="54" t="s">
        <v>1298</v>
      </c>
      <c r="F5843" s="54" t="s">
        <v>15613</v>
      </c>
      <c r="G5843" s="54" t="s">
        <v>17802</v>
      </c>
      <c r="H5843" s="54" t="s">
        <v>17803</v>
      </c>
      <c r="I5843" s="43">
        <v>12</v>
      </c>
      <c r="J5843" s="44" t="str">
        <f>VLOOKUP(G5843,[1]硬件清单!$F:$F,1,0)</f>
        <v>219556064</v>
      </c>
      <c r="K5843" s="43"/>
      <c r="L5843" s="44"/>
      <c r="M5843" s="45" t="s">
        <v>17804</v>
      </c>
    </row>
    <row r="5844" s="29" customFormat="1" ht="30" customHeight="1" spans="1:13">
      <c r="A5844" s="41">
        <f>IF(C5844="","",SUBTOTAL(103,$C$2:C5844))</f>
        <v>5835</v>
      </c>
      <c r="B5844" s="41">
        <v>4536</v>
      </c>
      <c r="C5844" s="54">
        <v>13085</v>
      </c>
      <c r="D5844" s="54" t="s">
        <v>45</v>
      </c>
      <c r="E5844" s="54" t="s">
        <v>1298</v>
      </c>
      <c r="F5844" s="54" t="s">
        <v>15613</v>
      </c>
      <c r="G5844" s="54" t="s">
        <v>17805</v>
      </c>
      <c r="H5844" s="54" t="s">
        <v>17806</v>
      </c>
      <c r="I5844" s="43">
        <v>12</v>
      </c>
      <c r="J5844" s="44" t="str">
        <f>VLOOKUP(G5844,[1]硬件清单!$F:$F,1,0)</f>
        <v>219556066</v>
      </c>
      <c r="K5844" s="43"/>
      <c r="L5844" s="44"/>
      <c r="M5844" s="45" t="s">
        <v>17807</v>
      </c>
    </row>
    <row r="5845" s="29" customFormat="1" ht="30" customHeight="1" spans="1:13">
      <c r="A5845" s="41">
        <f>IF(C5845="","",SUBTOTAL(103,$C$2:C5845))</f>
        <v>5836</v>
      </c>
      <c r="B5845" s="41">
        <v>4537</v>
      </c>
      <c r="C5845" s="54">
        <v>13086</v>
      </c>
      <c r="D5845" s="54" t="s">
        <v>45</v>
      </c>
      <c r="E5845" s="54" t="s">
        <v>1298</v>
      </c>
      <c r="F5845" s="54" t="s">
        <v>15613</v>
      </c>
      <c r="G5845" s="54" t="s">
        <v>17808</v>
      </c>
      <c r="H5845" s="54" t="s">
        <v>17809</v>
      </c>
      <c r="I5845" s="43">
        <v>12</v>
      </c>
      <c r="J5845" s="44" t="str">
        <f>VLOOKUP(G5845,[1]硬件清单!$F:$F,1,0)</f>
        <v>219556067</v>
      </c>
      <c r="K5845" s="43"/>
      <c r="L5845" s="44"/>
      <c r="M5845" s="45" t="s">
        <v>17810</v>
      </c>
    </row>
    <row r="5846" s="29" customFormat="1" ht="30" customHeight="1" spans="1:13">
      <c r="A5846" s="41">
        <f>IF(C5846="","",SUBTOTAL(103,$C$2:C5846))</f>
        <v>5837</v>
      </c>
      <c r="B5846" s="41">
        <v>4538</v>
      </c>
      <c r="C5846" s="54">
        <v>13087</v>
      </c>
      <c r="D5846" s="54" t="s">
        <v>45</v>
      </c>
      <c r="E5846" s="54" t="s">
        <v>1298</v>
      </c>
      <c r="F5846" s="54" t="s">
        <v>15613</v>
      </c>
      <c r="G5846" s="54" t="s">
        <v>17811</v>
      </c>
      <c r="H5846" s="54" t="s">
        <v>17812</v>
      </c>
      <c r="I5846" s="43">
        <v>12</v>
      </c>
      <c r="J5846" s="44" t="str">
        <f>VLOOKUP(G5846,[1]硬件清单!$F:$F,1,0)</f>
        <v>219556061</v>
      </c>
      <c r="K5846" s="43"/>
      <c r="L5846" s="44"/>
      <c r="M5846" s="45" t="s">
        <v>17813</v>
      </c>
    </row>
    <row r="5847" s="29" customFormat="1" ht="30" customHeight="1" spans="1:13">
      <c r="A5847" s="41">
        <f>IF(C5847="","",SUBTOTAL(103,$C$2:C5847))</f>
        <v>5838</v>
      </c>
      <c r="B5847" s="41">
        <v>4539</v>
      </c>
      <c r="C5847" s="54">
        <v>13088</v>
      </c>
      <c r="D5847" s="54" t="s">
        <v>45</v>
      </c>
      <c r="E5847" s="54" t="s">
        <v>1298</v>
      </c>
      <c r="F5847" s="54" t="s">
        <v>15613</v>
      </c>
      <c r="G5847" s="54" t="s">
        <v>17814</v>
      </c>
      <c r="H5847" s="54" t="s">
        <v>17815</v>
      </c>
      <c r="I5847" s="43">
        <v>12</v>
      </c>
      <c r="J5847" s="44" t="str">
        <f>VLOOKUP(G5847,[1]硬件清单!$F:$F,1,0)</f>
        <v>219556060</v>
      </c>
      <c r="K5847" s="43"/>
      <c r="L5847" s="44"/>
      <c r="M5847" s="45" t="s">
        <v>17816</v>
      </c>
    </row>
    <row r="5848" s="29" customFormat="1" ht="30" customHeight="1" spans="1:13">
      <c r="A5848" s="41">
        <f>IF(C5848="","",SUBTOTAL(103,$C$2:C5848))</f>
        <v>5839</v>
      </c>
      <c r="B5848" s="41">
        <v>4540</v>
      </c>
      <c r="C5848" s="54">
        <v>13089</v>
      </c>
      <c r="D5848" s="54" t="s">
        <v>45</v>
      </c>
      <c r="E5848" s="54" t="s">
        <v>1298</v>
      </c>
      <c r="F5848" s="54" t="s">
        <v>15613</v>
      </c>
      <c r="G5848" s="54" t="s">
        <v>17817</v>
      </c>
      <c r="H5848" s="54" t="s">
        <v>17818</v>
      </c>
      <c r="I5848" s="43">
        <v>12</v>
      </c>
      <c r="J5848" s="44" t="str">
        <f>VLOOKUP(G5848,[1]硬件清单!$F:$F,1,0)</f>
        <v>219556062</v>
      </c>
      <c r="K5848" s="43"/>
      <c r="L5848" s="44"/>
      <c r="M5848" s="45" t="s">
        <v>17819</v>
      </c>
    </row>
    <row r="5849" s="29" customFormat="1" ht="30" customHeight="1" spans="1:13">
      <c r="A5849" s="41">
        <f>IF(C5849="","",SUBTOTAL(103,$C$2:C5849))</f>
        <v>5840</v>
      </c>
      <c r="B5849" s="41">
        <v>4541</v>
      </c>
      <c r="C5849" s="54">
        <v>13090</v>
      </c>
      <c r="D5849" s="54" t="s">
        <v>45</v>
      </c>
      <c r="E5849" s="54" t="s">
        <v>1298</v>
      </c>
      <c r="F5849" s="54" t="s">
        <v>15613</v>
      </c>
      <c r="G5849" s="54" t="s">
        <v>17820</v>
      </c>
      <c r="H5849" s="54" t="s">
        <v>17821</v>
      </c>
      <c r="I5849" s="43">
        <v>12</v>
      </c>
      <c r="J5849" s="44" t="str">
        <f>VLOOKUP(G5849,[1]硬件清单!$F:$F,1,0)</f>
        <v>219556063</v>
      </c>
      <c r="K5849" s="43"/>
      <c r="L5849" s="44"/>
      <c r="M5849" s="45" t="s">
        <v>17822</v>
      </c>
    </row>
    <row r="5850" s="29" customFormat="1" ht="30" customHeight="1" spans="1:13">
      <c r="A5850" s="41">
        <f>IF(C5850="","",SUBTOTAL(103,$C$2:C5850))</f>
        <v>5841</v>
      </c>
      <c r="B5850" s="41">
        <v>4542</v>
      </c>
      <c r="C5850" s="54">
        <v>13028</v>
      </c>
      <c r="D5850" s="54" t="s">
        <v>45</v>
      </c>
      <c r="E5850" s="54" t="s">
        <v>1298</v>
      </c>
      <c r="F5850" s="54" t="s">
        <v>15613</v>
      </c>
      <c r="G5850" s="54" t="s">
        <v>17823</v>
      </c>
      <c r="H5850" s="54" t="s">
        <v>17824</v>
      </c>
      <c r="I5850" s="43">
        <v>12</v>
      </c>
      <c r="J5850" s="44" t="str">
        <f>VLOOKUP(G5850,[1]硬件清单!$F:$F,1,0)</f>
        <v>219556046</v>
      </c>
      <c r="K5850" s="43"/>
      <c r="L5850" s="44"/>
      <c r="M5850" s="45" t="s">
        <v>17825</v>
      </c>
    </row>
    <row r="5851" s="29" customFormat="1" ht="30" customHeight="1" spans="1:13">
      <c r="A5851" s="41">
        <f>IF(C5851="","",SUBTOTAL(103,$C$2:C5851))</f>
        <v>5842</v>
      </c>
      <c r="B5851" s="41">
        <v>4543</v>
      </c>
      <c r="C5851" s="54">
        <v>13029</v>
      </c>
      <c r="D5851" s="54" t="s">
        <v>45</v>
      </c>
      <c r="E5851" s="54" t="s">
        <v>1298</v>
      </c>
      <c r="F5851" s="54" t="s">
        <v>15613</v>
      </c>
      <c r="G5851" s="54" t="s">
        <v>17826</v>
      </c>
      <c r="H5851" s="54" t="s">
        <v>17827</v>
      </c>
      <c r="I5851" s="43">
        <v>12</v>
      </c>
      <c r="J5851" s="44" t="str">
        <f>VLOOKUP(G5851,[1]硬件清单!$F:$F,1,0)</f>
        <v>219556047</v>
      </c>
      <c r="K5851" s="43"/>
      <c r="L5851" s="44"/>
      <c r="M5851" s="45" t="s">
        <v>17828</v>
      </c>
    </row>
    <row r="5852" s="29" customFormat="1" ht="30" customHeight="1" spans="1:13">
      <c r="A5852" s="41">
        <f>IF(C5852="","",SUBTOTAL(103,$C$2:C5852))</f>
        <v>5843</v>
      </c>
      <c r="B5852" s="41">
        <v>4544</v>
      </c>
      <c r="C5852" s="54">
        <v>13030</v>
      </c>
      <c r="D5852" s="54" t="s">
        <v>45</v>
      </c>
      <c r="E5852" s="54" t="s">
        <v>1298</v>
      </c>
      <c r="F5852" s="54" t="s">
        <v>15613</v>
      </c>
      <c r="G5852" s="54" t="s">
        <v>17829</v>
      </c>
      <c r="H5852" s="54" t="s">
        <v>17830</v>
      </c>
      <c r="I5852" s="43">
        <v>12</v>
      </c>
      <c r="J5852" s="44" t="str">
        <f>VLOOKUP(G5852,[1]硬件清单!$F:$F,1,0)</f>
        <v>219556048</v>
      </c>
      <c r="K5852" s="43"/>
      <c r="L5852" s="44"/>
      <c r="M5852" s="45" t="s">
        <v>17831</v>
      </c>
    </row>
    <row r="5853" s="29" customFormat="1" ht="30" customHeight="1" spans="1:13">
      <c r="A5853" s="41">
        <f>IF(C5853="","",SUBTOTAL(103,$C$2:C5853))</f>
        <v>5844</v>
      </c>
      <c r="B5853" s="41">
        <v>4545</v>
      </c>
      <c r="C5853" s="54">
        <v>13031</v>
      </c>
      <c r="D5853" s="54" t="s">
        <v>45</v>
      </c>
      <c r="E5853" s="54" t="s">
        <v>1298</v>
      </c>
      <c r="F5853" s="54" t="s">
        <v>15613</v>
      </c>
      <c r="G5853" s="54" t="s">
        <v>17832</v>
      </c>
      <c r="H5853" s="54" t="s">
        <v>17833</v>
      </c>
      <c r="I5853" s="43">
        <v>12</v>
      </c>
      <c r="J5853" s="44" t="str">
        <f>VLOOKUP(G5853,[1]硬件清单!$F:$F,1,0)</f>
        <v>219556049</v>
      </c>
      <c r="K5853" s="43"/>
      <c r="L5853" s="44"/>
      <c r="M5853" s="45" t="s">
        <v>17834</v>
      </c>
    </row>
    <row r="5854" s="29" customFormat="1" ht="30" customHeight="1" spans="1:13">
      <c r="A5854" s="41">
        <f>IF(C5854="","",SUBTOTAL(103,$C$2:C5854))</f>
        <v>5845</v>
      </c>
      <c r="B5854" s="41">
        <v>4546</v>
      </c>
      <c r="C5854" s="54">
        <v>13032</v>
      </c>
      <c r="D5854" s="54" t="s">
        <v>45</v>
      </c>
      <c r="E5854" s="54" t="s">
        <v>1298</v>
      </c>
      <c r="F5854" s="54" t="s">
        <v>15613</v>
      </c>
      <c r="G5854" s="54" t="s">
        <v>17835</v>
      </c>
      <c r="H5854" s="54" t="s">
        <v>17836</v>
      </c>
      <c r="I5854" s="43">
        <v>12</v>
      </c>
      <c r="J5854" s="44" t="str">
        <f>VLOOKUP(G5854,[1]硬件清单!$F:$F,1,0)</f>
        <v>219556044</v>
      </c>
      <c r="K5854" s="43"/>
      <c r="L5854" s="44"/>
      <c r="M5854" s="45" t="s">
        <v>17837</v>
      </c>
    </row>
    <row r="5855" s="29" customFormat="1" ht="30" customHeight="1" spans="1:13">
      <c r="A5855" s="41">
        <f>IF(C5855="","",SUBTOTAL(103,$C$2:C5855))</f>
        <v>5846</v>
      </c>
      <c r="B5855" s="41">
        <v>4547</v>
      </c>
      <c r="C5855" s="54">
        <v>13033</v>
      </c>
      <c r="D5855" s="54" t="s">
        <v>45</v>
      </c>
      <c r="E5855" s="54" t="s">
        <v>1298</v>
      </c>
      <c r="F5855" s="54" t="s">
        <v>15613</v>
      </c>
      <c r="G5855" s="54" t="s">
        <v>17838</v>
      </c>
      <c r="H5855" s="54" t="s">
        <v>17839</v>
      </c>
      <c r="I5855" s="43">
        <v>12</v>
      </c>
      <c r="J5855" s="44" t="str">
        <f>VLOOKUP(G5855,[1]硬件清单!$F:$F,1,0)</f>
        <v>219556045</v>
      </c>
      <c r="K5855" s="43"/>
      <c r="L5855" s="44"/>
      <c r="M5855" s="45" t="s">
        <v>17840</v>
      </c>
    </row>
    <row r="5856" s="29" customFormat="1" ht="30" customHeight="1" spans="1:13">
      <c r="A5856" s="41">
        <f>IF(C5856="","",SUBTOTAL(103,$C$2:C5856))</f>
        <v>5847</v>
      </c>
      <c r="B5856" s="41">
        <v>4548</v>
      </c>
      <c r="C5856" s="54">
        <v>13034</v>
      </c>
      <c r="D5856" s="54" t="s">
        <v>45</v>
      </c>
      <c r="E5856" s="54" t="s">
        <v>1298</v>
      </c>
      <c r="F5856" s="54" t="s">
        <v>15613</v>
      </c>
      <c r="G5856" s="54" t="s">
        <v>17841</v>
      </c>
      <c r="H5856" s="54" t="s">
        <v>17842</v>
      </c>
      <c r="I5856" s="43">
        <v>12</v>
      </c>
      <c r="J5856" s="44" t="str">
        <f>VLOOKUP(G5856,[1]硬件清单!$F:$F,1,0)</f>
        <v>219556050</v>
      </c>
      <c r="K5856" s="43"/>
      <c r="L5856" s="44"/>
      <c r="M5856" s="45" t="s">
        <v>17843</v>
      </c>
    </row>
    <row r="5857" s="29" customFormat="1" ht="30" customHeight="1" spans="1:13">
      <c r="A5857" s="41">
        <f>IF(C5857="","",SUBTOTAL(103,$C$2:C5857))</f>
        <v>5848</v>
      </c>
      <c r="B5857" s="41">
        <v>4549</v>
      </c>
      <c r="C5857" s="54">
        <v>13035</v>
      </c>
      <c r="D5857" s="54" t="s">
        <v>45</v>
      </c>
      <c r="E5857" s="54" t="s">
        <v>1298</v>
      </c>
      <c r="F5857" s="54" t="s">
        <v>15613</v>
      </c>
      <c r="G5857" s="54" t="s">
        <v>17844</v>
      </c>
      <c r="H5857" s="54" t="s">
        <v>17845</v>
      </c>
      <c r="I5857" s="43">
        <v>12</v>
      </c>
      <c r="J5857" s="44" t="str">
        <f>VLOOKUP(G5857,[1]硬件清单!$F:$F,1,0)</f>
        <v>219556051</v>
      </c>
      <c r="K5857" s="43"/>
      <c r="L5857" s="44"/>
      <c r="M5857" s="45" t="s">
        <v>17846</v>
      </c>
    </row>
    <row r="5858" s="29" customFormat="1" ht="30" customHeight="1" spans="1:13">
      <c r="A5858" s="41">
        <f>IF(C5858="","",SUBTOTAL(103,$C$2:C5858))</f>
        <v>5849</v>
      </c>
      <c r="B5858" s="41">
        <v>4550</v>
      </c>
      <c r="C5858" s="54">
        <v>13192</v>
      </c>
      <c r="D5858" s="54" t="s">
        <v>45</v>
      </c>
      <c r="E5858" s="54" t="s">
        <v>1298</v>
      </c>
      <c r="F5858" s="54" t="s">
        <v>15613</v>
      </c>
      <c r="G5858" s="54" t="s">
        <v>17847</v>
      </c>
      <c r="H5858" s="54" t="s">
        <v>17848</v>
      </c>
      <c r="I5858" s="43">
        <v>12</v>
      </c>
      <c r="J5858" s="44" t="str">
        <f>VLOOKUP(G5858,[1]硬件清单!$F:$F,1,0)</f>
        <v>219556019</v>
      </c>
      <c r="K5858" s="43"/>
      <c r="L5858" s="44"/>
      <c r="M5858" s="45" t="s">
        <v>17849</v>
      </c>
    </row>
    <row r="5859" s="29" customFormat="1" ht="30" customHeight="1" spans="1:13">
      <c r="A5859" s="41">
        <f>IF(C5859="","",SUBTOTAL(103,$C$2:C5859))</f>
        <v>5850</v>
      </c>
      <c r="B5859" s="41">
        <v>4551</v>
      </c>
      <c r="C5859" s="54">
        <v>13195</v>
      </c>
      <c r="D5859" s="54" t="s">
        <v>45</v>
      </c>
      <c r="E5859" s="54" t="s">
        <v>1298</v>
      </c>
      <c r="F5859" s="54" t="s">
        <v>15613</v>
      </c>
      <c r="G5859" s="54" t="s">
        <v>17850</v>
      </c>
      <c r="H5859" s="54" t="s">
        <v>17851</v>
      </c>
      <c r="I5859" s="43">
        <v>12</v>
      </c>
      <c r="J5859" s="44" t="str">
        <f>VLOOKUP(G5859,[1]硬件清单!$F:$F,1,0)</f>
        <v>219556018</v>
      </c>
      <c r="K5859" s="43"/>
      <c r="L5859" s="44"/>
      <c r="M5859" s="45" t="s">
        <v>17852</v>
      </c>
    </row>
    <row r="5860" s="29" customFormat="1" ht="30" customHeight="1" spans="1:13">
      <c r="A5860" s="41">
        <f>IF(C5860="","",SUBTOTAL(103,$C$2:C5860))</f>
        <v>5851</v>
      </c>
      <c r="B5860" s="41">
        <v>4552</v>
      </c>
      <c r="C5860" s="54">
        <v>13196</v>
      </c>
      <c r="D5860" s="54" t="s">
        <v>45</v>
      </c>
      <c r="E5860" s="54" t="s">
        <v>1298</v>
      </c>
      <c r="F5860" s="54" t="s">
        <v>15613</v>
      </c>
      <c r="G5860" s="54" t="s">
        <v>17853</v>
      </c>
      <c r="H5860" s="54" t="s">
        <v>17854</v>
      </c>
      <c r="I5860" s="43">
        <v>12</v>
      </c>
      <c r="J5860" s="44" t="str">
        <f>VLOOKUP(G5860,[1]硬件清单!$F:$F,1,0)</f>
        <v>219556017</v>
      </c>
      <c r="K5860" s="43"/>
      <c r="L5860" s="44"/>
      <c r="M5860" s="45" t="s">
        <v>17855</v>
      </c>
    </row>
    <row r="5861" s="29" customFormat="1" ht="30" customHeight="1" spans="1:13">
      <c r="A5861" s="41">
        <f>IF(C5861="","",SUBTOTAL(103,$C$2:C5861))</f>
        <v>5852</v>
      </c>
      <c r="B5861" s="41">
        <v>4553</v>
      </c>
      <c r="C5861" s="54">
        <v>13197</v>
      </c>
      <c r="D5861" s="54" t="s">
        <v>45</v>
      </c>
      <c r="E5861" s="54" t="s">
        <v>1298</v>
      </c>
      <c r="F5861" s="54" t="s">
        <v>15613</v>
      </c>
      <c r="G5861" s="54" t="s">
        <v>17856</v>
      </c>
      <c r="H5861" s="54" t="s">
        <v>17857</v>
      </c>
      <c r="I5861" s="43">
        <v>12</v>
      </c>
      <c r="J5861" s="44" t="str">
        <f>VLOOKUP(G5861,[1]硬件清单!$F:$F,1,0)</f>
        <v>219556016</v>
      </c>
      <c r="K5861" s="43"/>
      <c r="L5861" s="44"/>
      <c r="M5861" s="45" t="s">
        <v>17858</v>
      </c>
    </row>
    <row r="5862" s="29" customFormat="1" ht="30" customHeight="1" spans="1:13">
      <c r="A5862" s="41">
        <f>IF(C5862="","",SUBTOTAL(103,$C$2:C5862))</f>
        <v>5853</v>
      </c>
      <c r="B5862" s="41">
        <v>4554</v>
      </c>
      <c r="C5862" s="54">
        <v>13198</v>
      </c>
      <c r="D5862" s="54" t="s">
        <v>45</v>
      </c>
      <c r="E5862" s="54" t="s">
        <v>1298</v>
      </c>
      <c r="F5862" s="54" t="s">
        <v>15613</v>
      </c>
      <c r="G5862" s="54" t="s">
        <v>17859</v>
      </c>
      <c r="H5862" s="54" t="s">
        <v>17860</v>
      </c>
      <c r="I5862" s="43">
        <v>12</v>
      </c>
      <c r="J5862" s="44" t="str">
        <f>VLOOKUP(G5862,[1]硬件清单!$F:$F,1,0)</f>
        <v>219556014</v>
      </c>
      <c r="K5862" s="43"/>
      <c r="L5862" s="44"/>
      <c r="M5862" s="45" t="s">
        <v>17861</v>
      </c>
    </row>
    <row r="5863" s="29" customFormat="1" ht="30" customHeight="1" spans="1:13">
      <c r="A5863" s="41">
        <f>IF(C5863="","",SUBTOTAL(103,$C$2:C5863))</f>
        <v>5854</v>
      </c>
      <c r="B5863" s="41">
        <v>4555</v>
      </c>
      <c r="C5863" s="54">
        <v>13199</v>
      </c>
      <c r="D5863" s="54" t="s">
        <v>45</v>
      </c>
      <c r="E5863" s="54" t="s">
        <v>1298</v>
      </c>
      <c r="F5863" s="54" t="s">
        <v>15613</v>
      </c>
      <c r="G5863" s="54" t="s">
        <v>17862</v>
      </c>
      <c r="H5863" s="54" t="s">
        <v>17863</v>
      </c>
      <c r="I5863" s="43">
        <v>12</v>
      </c>
      <c r="J5863" s="44" t="str">
        <f>VLOOKUP(G5863,[1]硬件清单!$F:$F,1,0)</f>
        <v>219556013</v>
      </c>
      <c r="K5863" s="43"/>
      <c r="L5863" s="44"/>
      <c r="M5863" s="45" t="s">
        <v>17864</v>
      </c>
    </row>
    <row r="5864" s="29" customFormat="1" ht="30" customHeight="1" spans="1:13">
      <c r="A5864" s="41">
        <f>IF(C5864="","",SUBTOTAL(103,$C$2:C5864))</f>
        <v>5855</v>
      </c>
      <c r="B5864" s="41">
        <v>4556</v>
      </c>
      <c r="C5864" s="54">
        <v>13200</v>
      </c>
      <c r="D5864" s="54" t="s">
        <v>45</v>
      </c>
      <c r="E5864" s="54" t="s">
        <v>1298</v>
      </c>
      <c r="F5864" s="54" t="s">
        <v>15613</v>
      </c>
      <c r="G5864" s="54" t="s">
        <v>17865</v>
      </c>
      <c r="H5864" s="54" t="s">
        <v>17866</v>
      </c>
      <c r="I5864" s="43">
        <v>12</v>
      </c>
      <c r="J5864" s="44" t="str">
        <f>VLOOKUP(G5864,[1]硬件清单!$F:$F,1,0)</f>
        <v>219556012</v>
      </c>
      <c r="K5864" s="43"/>
      <c r="L5864" s="44"/>
      <c r="M5864" s="45" t="s">
        <v>17867</v>
      </c>
    </row>
    <row r="5865" s="29" customFormat="1" ht="30" customHeight="1" spans="1:13">
      <c r="A5865" s="41">
        <f>IF(C5865="","",SUBTOTAL(103,$C$2:C5865))</f>
        <v>5856</v>
      </c>
      <c r="B5865" s="41">
        <v>4557</v>
      </c>
      <c r="C5865" s="54">
        <v>13201</v>
      </c>
      <c r="D5865" s="54" t="s">
        <v>45</v>
      </c>
      <c r="E5865" s="54" t="s">
        <v>1298</v>
      </c>
      <c r="F5865" s="54" t="s">
        <v>15613</v>
      </c>
      <c r="G5865" s="54" t="s">
        <v>17868</v>
      </c>
      <c r="H5865" s="54" t="s">
        <v>17869</v>
      </c>
      <c r="I5865" s="43">
        <v>12</v>
      </c>
      <c r="J5865" s="44" t="str">
        <f>VLOOKUP(G5865,[1]硬件清单!$F:$F,1,0)</f>
        <v>219556015</v>
      </c>
      <c r="K5865" s="43"/>
      <c r="L5865" s="44"/>
      <c r="M5865" s="45" t="s">
        <v>17870</v>
      </c>
    </row>
    <row r="5866" s="29" customFormat="1" ht="30" customHeight="1" spans="1:13">
      <c r="A5866" s="41">
        <f>IF(C5866="","",SUBTOTAL(103,$C$2:C5866))</f>
        <v>5857</v>
      </c>
      <c r="B5866" s="41">
        <v>4558</v>
      </c>
      <c r="C5866" s="54">
        <v>13091</v>
      </c>
      <c r="D5866" s="54" t="s">
        <v>45</v>
      </c>
      <c r="E5866" s="54" t="s">
        <v>1298</v>
      </c>
      <c r="F5866" s="54" t="s">
        <v>15613</v>
      </c>
      <c r="G5866" s="54" t="s">
        <v>17871</v>
      </c>
      <c r="H5866" s="54" t="s">
        <v>17872</v>
      </c>
      <c r="I5866" s="43">
        <v>12</v>
      </c>
      <c r="J5866" s="44" t="str">
        <f>VLOOKUP(G5866,[1]硬件清单!$F:$F,1,0)</f>
        <v>219556038</v>
      </c>
      <c r="K5866" s="43"/>
      <c r="L5866" s="44"/>
      <c r="M5866" s="45" t="s">
        <v>17873</v>
      </c>
    </row>
    <row r="5867" s="29" customFormat="1" ht="30" customHeight="1" spans="1:13">
      <c r="A5867" s="41">
        <f>IF(C5867="","",SUBTOTAL(103,$C$2:C5867))</f>
        <v>5858</v>
      </c>
      <c r="B5867" s="41">
        <v>4559</v>
      </c>
      <c r="C5867" s="54">
        <v>13092</v>
      </c>
      <c r="D5867" s="54" t="s">
        <v>45</v>
      </c>
      <c r="E5867" s="54" t="s">
        <v>1298</v>
      </c>
      <c r="F5867" s="54" t="s">
        <v>15613</v>
      </c>
      <c r="G5867" s="54" t="s">
        <v>17874</v>
      </c>
      <c r="H5867" s="54" t="s">
        <v>17875</v>
      </c>
      <c r="I5867" s="43">
        <v>12</v>
      </c>
      <c r="J5867" s="44" t="str">
        <f>VLOOKUP(G5867,[1]硬件清单!$F:$F,1,0)</f>
        <v>219556039</v>
      </c>
      <c r="K5867" s="43"/>
      <c r="L5867" s="44"/>
      <c r="M5867" s="45" t="s">
        <v>17876</v>
      </c>
    </row>
    <row r="5868" s="29" customFormat="1" ht="30" customHeight="1" spans="1:13">
      <c r="A5868" s="41">
        <f>IF(C5868="","",SUBTOTAL(103,$C$2:C5868))</f>
        <v>5859</v>
      </c>
      <c r="B5868" s="41">
        <v>4560</v>
      </c>
      <c r="C5868" s="54">
        <v>13093</v>
      </c>
      <c r="D5868" s="54" t="s">
        <v>45</v>
      </c>
      <c r="E5868" s="54" t="s">
        <v>1298</v>
      </c>
      <c r="F5868" s="54" t="s">
        <v>15613</v>
      </c>
      <c r="G5868" s="54" t="s">
        <v>17877</v>
      </c>
      <c r="H5868" s="54" t="s">
        <v>17878</v>
      </c>
      <c r="I5868" s="43">
        <v>12</v>
      </c>
      <c r="J5868" s="44" t="str">
        <f>VLOOKUP(G5868,[1]硬件清单!$F:$F,1,0)</f>
        <v>219556037</v>
      </c>
      <c r="K5868" s="43"/>
      <c r="L5868" s="44"/>
      <c r="M5868" s="45" t="s">
        <v>17879</v>
      </c>
    </row>
    <row r="5869" s="29" customFormat="1" ht="30" customHeight="1" spans="1:13">
      <c r="A5869" s="41">
        <f>IF(C5869="","",SUBTOTAL(103,$C$2:C5869))</f>
        <v>5860</v>
      </c>
      <c r="B5869" s="41">
        <v>4561</v>
      </c>
      <c r="C5869" s="54">
        <v>13094</v>
      </c>
      <c r="D5869" s="54" t="s">
        <v>45</v>
      </c>
      <c r="E5869" s="54" t="s">
        <v>1298</v>
      </c>
      <c r="F5869" s="54" t="s">
        <v>15613</v>
      </c>
      <c r="G5869" s="54" t="s">
        <v>17880</v>
      </c>
      <c r="H5869" s="54" t="s">
        <v>17881</v>
      </c>
      <c r="I5869" s="43">
        <v>12</v>
      </c>
      <c r="J5869" s="44" t="str">
        <f>VLOOKUP(G5869,[1]硬件清单!$F:$F,1,0)</f>
        <v>219556036</v>
      </c>
      <c r="K5869" s="43"/>
      <c r="L5869" s="44"/>
      <c r="M5869" s="45" t="s">
        <v>17882</v>
      </c>
    </row>
    <row r="5870" s="29" customFormat="1" ht="30" customHeight="1" spans="1:13">
      <c r="A5870" s="41">
        <f>IF(C5870="","",SUBTOTAL(103,$C$2:C5870))</f>
        <v>5861</v>
      </c>
      <c r="B5870" s="41">
        <v>4562</v>
      </c>
      <c r="C5870" s="54">
        <v>13095</v>
      </c>
      <c r="D5870" s="54" t="s">
        <v>45</v>
      </c>
      <c r="E5870" s="54" t="s">
        <v>1298</v>
      </c>
      <c r="F5870" s="54" t="s">
        <v>15613</v>
      </c>
      <c r="G5870" s="54" t="s">
        <v>17883</v>
      </c>
      <c r="H5870" s="54" t="s">
        <v>17884</v>
      </c>
      <c r="I5870" s="43">
        <v>12</v>
      </c>
      <c r="J5870" s="44" t="str">
        <f>VLOOKUP(G5870,[1]硬件清单!$F:$F,1,0)</f>
        <v>219556043</v>
      </c>
      <c r="K5870" s="43"/>
      <c r="L5870" s="44"/>
      <c r="M5870" s="45" t="s">
        <v>17885</v>
      </c>
    </row>
    <row r="5871" s="29" customFormat="1" ht="30" customHeight="1" spans="1:13">
      <c r="A5871" s="41">
        <f>IF(C5871="","",SUBTOTAL(103,$C$2:C5871))</f>
        <v>5862</v>
      </c>
      <c r="B5871" s="41">
        <v>4563</v>
      </c>
      <c r="C5871" s="54">
        <v>13096</v>
      </c>
      <c r="D5871" s="54" t="s">
        <v>45</v>
      </c>
      <c r="E5871" s="54" t="s">
        <v>1298</v>
      </c>
      <c r="F5871" s="54" t="s">
        <v>15613</v>
      </c>
      <c r="G5871" s="54" t="s">
        <v>17886</v>
      </c>
      <c r="H5871" s="54" t="s">
        <v>17887</v>
      </c>
      <c r="I5871" s="43">
        <v>12</v>
      </c>
      <c r="J5871" s="44" t="str">
        <f>VLOOKUP(G5871,[1]硬件清单!$F:$F,1,0)</f>
        <v>219556042</v>
      </c>
      <c r="K5871" s="43"/>
      <c r="L5871" s="44"/>
      <c r="M5871" s="45" t="s">
        <v>17888</v>
      </c>
    </row>
    <row r="5872" s="29" customFormat="1" ht="30" customHeight="1" spans="1:13">
      <c r="A5872" s="41">
        <f>IF(C5872="","",SUBTOTAL(103,$C$2:C5872))</f>
        <v>5863</v>
      </c>
      <c r="B5872" s="41">
        <v>4564</v>
      </c>
      <c r="C5872" s="54">
        <v>13097</v>
      </c>
      <c r="D5872" s="54" t="s">
        <v>45</v>
      </c>
      <c r="E5872" s="54" t="s">
        <v>1298</v>
      </c>
      <c r="F5872" s="54" t="s">
        <v>15613</v>
      </c>
      <c r="G5872" s="54" t="s">
        <v>17889</v>
      </c>
      <c r="H5872" s="54" t="s">
        <v>17890</v>
      </c>
      <c r="I5872" s="43">
        <v>12</v>
      </c>
      <c r="J5872" s="44" t="str">
        <f>VLOOKUP(G5872,[1]硬件清单!$F:$F,1,0)</f>
        <v>219556041</v>
      </c>
      <c r="K5872" s="43"/>
      <c r="L5872" s="44"/>
      <c r="M5872" s="45" t="s">
        <v>17891</v>
      </c>
    </row>
    <row r="5873" s="29" customFormat="1" ht="30" customHeight="1" spans="1:13">
      <c r="A5873" s="41">
        <f>IF(C5873="","",SUBTOTAL(103,$C$2:C5873))</f>
        <v>5864</v>
      </c>
      <c r="B5873" s="41">
        <v>4565</v>
      </c>
      <c r="C5873" s="54">
        <v>13191</v>
      </c>
      <c r="D5873" s="54" t="s">
        <v>45</v>
      </c>
      <c r="E5873" s="54" t="s">
        <v>1298</v>
      </c>
      <c r="F5873" s="54" t="s">
        <v>15613</v>
      </c>
      <c r="G5873" s="54" t="s">
        <v>17892</v>
      </c>
      <c r="H5873" s="54" t="s">
        <v>17893</v>
      </c>
      <c r="I5873" s="43">
        <v>12</v>
      </c>
      <c r="J5873" s="44" t="str">
        <f>VLOOKUP(G5873,[1]硬件清单!$F:$F,1,0)</f>
        <v>219556040</v>
      </c>
      <c r="K5873" s="43"/>
      <c r="L5873" s="44"/>
      <c r="M5873" s="47" t="s">
        <v>17894</v>
      </c>
    </row>
    <row r="5874" s="29" customFormat="1" ht="30" customHeight="1" spans="1:13">
      <c r="A5874" s="41">
        <f>IF(C5874="","",SUBTOTAL(103,$C$2:C5874))</f>
        <v>5865</v>
      </c>
      <c r="B5874" s="41">
        <v>4566</v>
      </c>
      <c r="C5874" s="54">
        <v>13077</v>
      </c>
      <c r="D5874" s="54" t="s">
        <v>3602</v>
      </c>
      <c r="E5874" s="54" t="s">
        <v>3603</v>
      </c>
      <c r="F5874" s="54" t="s">
        <v>3604</v>
      </c>
      <c r="G5874" s="54" t="s">
        <v>17895</v>
      </c>
      <c r="H5874" s="54" t="s">
        <v>17896</v>
      </c>
      <c r="I5874" s="43">
        <v>12</v>
      </c>
      <c r="J5874" s="44" t="str">
        <f>VLOOKUP(G5874,[1]硬件清单!$F:$F,1,0)</f>
        <v>0191103201651</v>
      </c>
      <c r="K5874" s="43"/>
      <c r="L5874" s="44"/>
      <c r="M5874" s="45" t="s">
        <v>17897</v>
      </c>
    </row>
    <row r="5875" s="29" customFormat="1" ht="30" customHeight="1" spans="1:13">
      <c r="A5875" s="41">
        <f>IF(C5875="","",SUBTOTAL(103,$C$2:C5875))</f>
        <v>5866</v>
      </c>
      <c r="B5875" s="41">
        <v>4567</v>
      </c>
      <c r="C5875" s="54">
        <v>13289</v>
      </c>
      <c r="D5875" s="54" t="s">
        <v>45</v>
      </c>
      <c r="E5875" s="54" t="s">
        <v>1298</v>
      </c>
      <c r="F5875" s="54" t="s">
        <v>15613</v>
      </c>
      <c r="G5875" s="54" t="s">
        <v>17898</v>
      </c>
      <c r="H5875" s="54" t="s">
        <v>17899</v>
      </c>
      <c r="I5875" s="43">
        <v>12</v>
      </c>
      <c r="J5875" s="44" t="str">
        <f>VLOOKUP(G5875,[1]硬件清单!$F:$F,1,0)</f>
        <v>219556033</v>
      </c>
      <c r="K5875" s="43"/>
      <c r="L5875" s="44"/>
      <c r="M5875" s="45" t="s">
        <v>17900</v>
      </c>
    </row>
    <row r="5876" s="29" customFormat="1" ht="30" customHeight="1" spans="1:13">
      <c r="A5876" s="41">
        <f>IF(C5876="","",SUBTOTAL(103,$C$2:C5876))</f>
        <v>5867</v>
      </c>
      <c r="B5876" s="41">
        <v>4568</v>
      </c>
      <c r="C5876" s="54">
        <v>13290</v>
      </c>
      <c r="D5876" s="54" t="s">
        <v>45</v>
      </c>
      <c r="E5876" s="54" t="s">
        <v>1298</v>
      </c>
      <c r="F5876" s="54" t="s">
        <v>15613</v>
      </c>
      <c r="G5876" s="54" t="s">
        <v>17901</v>
      </c>
      <c r="H5876" s="54" t="s">
        <v>17902</v>
      </c>
      <c r="I5876" s="43">
        <v>12</v>
      </c>
      <c r="J5876" s="44" t="str">
        <f>VLOOKUP(G5876,[1]硬件清单!$F:$F,1,0)</f>
        <v>219556032</v>
      </c>
      <c r="K5876" s="43"/>
      <c r="L5876" s="44"/>
      <c r="M5876" s="45" t="s">
        <v>17903</v>
      </c>
    </row>
    <row r="5877" s="29" customFormat="1" ht="30" customHeight="1" spans="1:13">
      <c r="A5877" s="41">
        <f>IF(C5877="","",SUBTOTAL(103,$C$2:C5877))</f>
        <v>5868</v>
      </c>
      <c r="B5877" s="41">
        <v>4569</v>
      </c>
      <c r="C5877" s="54">
        <v>13291</v>
      </c>
      <c r="D5877" s="54" t="s">
        <v>45</v>
      </c>
      <c r="E5877" s="54" t="s">
        <v>1298</v>
      </c>
      <c r="F5877" s="54" t="s">
        <v>15613</v>
      </c>
      <c r="G5877" s="54" t="s">
        <v>17904</v>
      </c>
      <c r="H5877" s="54" t="s">
        <v>17905</v>
      </c>
      <c r="I5877" s="43">
        <v>12</v>
      </c>
      <c r="J5877" s="44" t="str">
        <f>VLOOKUP(G5877,[1]硬件清单!$F:$F,1,0)</f>
        <v>219556031</v>
      </c>
      <c r="K5877" s="43"/>
      <c r="L5877" s="44"/>
      <c r="M5877" s="45" t="s">
        <v>17906</v>
      </c>
    </row>
    <row r="5878" s="29" customFormat="1" ht="30" customHeight="1" spans="1:13">
      <c r="A5878" s="41">
        <f>IF(C5878="","",SUBTOTAL(103,$C$2:C5878))</f>
        <v>5869</v>
      </c>
      <c r="B5878" s="41">
        <v>4570</v>
      </c>
      <c r="C5878" s="54">
        <v>13292</v>
      </c>
      <c r="D5878" s="54" t="s">
        <v>45</v>
      </c>
      <c r="E5878" s="54" t="s">
        <v>1298</v>
      </c>
      <c r="F5878" s="54" t="s">
        <v>15613</v>
      </c>
      <c r="G5878" s="54" t="s">
        <v>17907</v>
      </c>
      <c r="H5878" s="54" t="s">
        <v>17908</v>
      </c>
      <c r="I5878" s="43">
        <v>12</v>
      </c>
      <c r="J5878" s="44" t="str">
        <f>VLOOKUP(G5878,[1]硬件清单!$F:$F,1,0)</f>
        <v>219556030</v>
      </c>
      <c r="K5878" s="43"/>
      <c r="L5878" s="44"/>
      <c r="M5878" s="45" t="s">
        <v>17909</v>
      </c>
    </row>
    <row r="5879" s="29" customFormat="1" ht="30" customHeight="1" spans="1:13">
      <c r="A5879" s="41">
        <f>IF(C5879="","",SUBTOTAL(103,$C$2:C5879))</f>
        <v>5870</v>
      </c>
      <c r="B5879" s="41">
        <v>4571</v>
      </c>
      <c r="C5879" s="54">
        <v>13293</v>
      </c>
      <c r="D5879" s="54" t="s">
        <v>45</v>
      </c>
      <c r="E5879" s="54" t="s">
        <v>1298</v>
      </c>
      <c r="F5879" s="54" t="s">
        <v>15613</v>
      </c>
      <c r="G5879" s="54" t="s">
        <v>17910</v>
      </c>
      <c r="H5879" s="54" t="s">
        <v>17911</v>
      </c>
      <c r="I5879" s="43">
        <v>12</v>
      </c>
      <c r="J5879" s="44" t="str">
        <f>VLOOKUP(G5879,[1]硬件清单!$F:$F,1,0)</f>
        <v>219556035</v>
      </c>
      <c r="K5879" s="43"/>
      <c r="L5879" s="44"/>
      <c r="M5879" s="45" t="s">
        <v>17912</v>
      </c>
    </row>
    <row r="5880" s="29" customFormat="1" ht="30" customHeight="1" spans="1:13">
      <c r="A5880" s="41">
        <f>IF(C5880="","",SUBTOTAL(103,$C$2:C5880))</f>
        <v>5871</v>
      </c>
      <c r="B5880" s="41">
        <v>4572</v>
      </c>
      <c r="C5880" s="54">
        <v>13294</v>
      </c>
      <c r="D5880" s="54" t="s">
        <v>45</v>
      </c>
      <c r="E5880" s="54" t="s">
        <v>1298</v>
      </c>
      <c r="F5880" s="54" t="s">
        <v>15613</v>
      </c>
      <c r="G5880" s="54" t="s">
        <v>17913</v>
      </c>
      <c r="H5880" s="54" t="s">
        <v>17914</v>
      </c>
      <c r="I5880" s="43">
        <v>12</v>
      </c>
      <c r="J5880" s="44" t="str">
        <f>VLOOKUP(G5880,[1]硬件清单!$F:$F,1,0)</f>
        <v>219556034</v>
      </c>
      <c r="K5880" s="43"/>
      <c r="L5880" s="44"/>
      <c r="M5880" s="45" t="s">
        <v>17915</v>
      </c>
    </row>
    <row r="5881" s="29" customFormat="1" ht="30" customHeight="1" spans="1:13">
      <c r="A5881" s="41">
        <f>IF(C5881="","",SUBTOTAL(103,$C$2:C5881))</f>
        <v>5872</v>
      </c>
      <c r="B5881" s="41">
        <v>4573</v>
      </c>
      <c r="C5881" s="54">
        <v>13295</v>
      </c>
      <c r="D5881" s="54" t="s">
        <v>45</v>
      </c>
      <c r="E5881" s="54" t="s">
        <v>1298</v>
      </c>
      <c r="F5881" s="54" t="s">
        <v>15613</v>
      </c>
      <c r="G5881" s="54" t="s">
        <v>17916</v>
      </c>
      <c r="H5881" s="54" t="s">
        <v>17917</v>
      </c>
      <c r="I5881" s="43">
        <v>12</v>
      </c>
      <c r="J5881" s="44" t="str">
        <f>VLOOKUP(G5881,[1]硬件清单!$F:$F,1,0)</f>
        <v>219556028</v>
      </c>
      <c r="K5881" s="43"/>
      <c r="L5881" s="44"/>
      <c r="M5881" s="45" t="s">
        <v>17918</v>
      </c>
    </row>
    <row r="5882" s="29" customFormat="1" ht="30" customHeight="1" spans="1:13">
      <c r="A5882" s="41">
        <f>IF(C5882="","",SUBTOTAL(103,$C$2:C5882))</f>
        <v>5873</v>
      </c>
      <c r="B5882" s="41">
        <v>4574</v>
      </c>
      <c r="C5882" s="54">
        <v>13296</v>
      </c>
      <c r="D5882" s="54" t="s">
        <v>45</v>
      </c>
      <c r="E5882" s="54" t="s">
        <v>1298</v>
      </c>
      <c r="F5882" s="54" t="s">
        <v>15613</v>
      </c>
      <c r="G5882" s="54" t="s">
        <v>17919</v>
      </c>
      <c r="H5882" s="54" t="s">
        <v>17920</v>
      </c>
      <c r="I5882" s="43">
        <v>12</v>
      </c>
      <c r="J5882" s="44" t="str">
        <f>VLOOKUP(G5882,[1]硬件清单!$F:$F,1,0)</f>
        <v>219556029</v>
      </c>
      <c r="K5882" s="43"/>
      <c r="L5882" s="44"/>
      <c r="M5882" s="45" t="s">
        <v>17921</v>
      </c>
    </row>
    <row r="5883" s="29" customFormat="1" ht="30" customHeight="1" spans="1:13">
      <c r="A5883" s="41">
        <f>IF(C5883="","",SUBTOTAL(103,$C$2:C5883))</f>
        <v>5874</v>
      </c>
      <c r="B5883" s="41">
        <v>4575</v>
      </c>
      <c r="C5883" s="54">
        <v>13202</v>
      </c>
      <c r="D5883" s="54" t="s">
        <v>45</v>
      </c>
      <c r="E5883" s="54" t="s">
        <v>1298</v>
      </c>
      <c r="F5883" s="54" t="s">
        <v>15613</v>
      </c>
      <c r="G5883" s="54" t="s">
        <v>17922</v>
      </c>
      <c r="H5883" s="54" t="s">
        <v>17923</v>
      </c>
      <c r="I5883" s="43">
        <v>12</v>
      </c>
      <c r="J5883" s="44" t="str">
        <f>VLOOKUP(G5883,[1]硬件清单!$F:$F,1,0)</f>
        <v>219556074</v>
      </c>
      <c r="K5883" s="43"/>
      <c r="L5883" s="44"/>
      <c r="M5883" s="45" t="s">
        <v>17924</v>
      </c>
    </row>
    <row r="5884" s="29" customFormat="1" ht="30" customHeight="1" spans="1:13">
      <c r="A5884" s="41">
        <f>IF(C5884="","",SUBTOTAL(103,$C$2:C5884))</f>
        <v>5875</v>
      </c>
      <c r="B5884" s="41">
        <v>4576</v>
      </c>
      <c r="C5884" s="54">
        <v>13278</v>
      </c>
      <c r="D5884" s="54" t="s">
        <v>45</v>
      </c>
      <c r="E5884" s="54" t="s">
        <v>1298</v>
      </c>
      <c r="F5884" s="54" t="s">
        <v>15613</v>
      </c>
      <c r="G5884" s="54" t="s">
        <v>17925</v>
      </c>
      <c r="H5884" s="54" t="s">
        <v>17926</v>
      </c>
      <c r="I5884" s="43">
        <v>12</v>
      </c>
      <c r="J5884" s="44" t="str">
        <f>VLOOKUP(G5884,[1]硬件清单!$F:$F,1,0)</f>
        <v>219556075</v>
      </c>
      <c r="K5884" s="43"/>
      <c r="L5884" s="44"/>
      <c r="M5884" s="45" t="s">
        <v>17927</v>
      </c>
    </row>
    <row r="5885" s="29" customFormat="1" ht="30" customHeight="1" spans="1:13">
      <c r="A5885" s="41">
        <f>IF(C5885="","",SUBTOTAL(103,$C$2:C5885))</f>
        <v>5876</v>
      </c>
      <c r="B5885" s="41">
        <v>4577</v>
      </c>
      <c r="C5885" s="54">
        <v>13279</v>
      </c>
      <c r="D5885" s="54" t="s">
        <v>45</v>
      </c>
      <c r="E5885" s="54" t="s">
        <v>1298</v>
      </c>
      <c r="F5885" s="54" t="s">
        <v>15613</v>
      </c>
      <c r="G5885" s="54" t="s">
        <v>17928</v>
      </c>
      <c r="H5885" s="54" t="s">
        <v>17929</v>
      </c>
      <c r="I5885" s="43">
        <v>12</v>
      </c>
      <c r="J5885" s="44" t="str">
        <f>VLOOKUP(G5885,[1]硬件清单!$F:$F,1,0)</f>
        <v>219556069</v>
      </c>
      <c r="K5885" s="43"/>
      <c r="L5885" s="44"/>
      <c r="M5885" s="45" t="s">
        <v>17930</v>
      </c>
    </row>
    <row r="5886" s="29" customFormat="1" ht="30" customHeight="1" spans="1:13">
      <c r="A5886" s="41">
        <f>IF(C5886="","",SUBTOTAL(103,$C$2:C5886))</f>
        <v>5877</v>
      </c>
      <c r="B5886" s="41">
        <v>4578</v>
      </c>
      <c r="C5886" s="54">
        <v>13280</v>
      </c>
      <c r="D5886" s="54" t="s">
        <v>45</v>
      </c>
      <c r="E5886" s="54" t="s">
        <v>1298</v>
      </c>
      <c r="F5886" s="54" t="s">
        <v>15613</v>
      </c>
      <c r="G5886" s="54" t="s">
        <v>17931</v>
      </c>
      <c r="H5886" s="54" t="s">
        <v>17932</v>
      </c>
      <c r="I5886" s="43">
        <v>12</v>
      </c>
      <c r="J5886" s="44" t="str">
        <f>VLOOKUP(G5886,[1]硬件清单!$F:$F,1,0)</f>
        <v>219556068</v>
      </c>
      <c r="K5886" s="43"/>
      <c r="L5886" s="44"/>
      <c r="M5886" s="45" t="s">
        <v>17933</v>
      </c>
    </row>
    <row r="5887" s="29" customFormat="1" ht="30" customHeight="1" spans="1:13">
      <c r="A5887" s="41">
        <f>IF(C5887="","",SUBTOTAL(103,$C$2:C5887))</f>
        <v>5878</v>
      </c>
      <c r="B5887" s="41">
        <v>4579</v>
      </c>
      <c r="C5887" s="54">
        <v>13281</v>
      </c>
      <c r="D5887" s="54" t="s">
        <v>45</v>
      </c>
      <c r="E5887" s="54" t="s">
        <v>1298</v>
      </c>
      <c r="F5887" s="54" t="s">
        <v>15613</v>
      </c>
      <c r="G5887" s="54" t="s">
        <v>17934</v>
      </c>
      <c r="H5887" s="54" t="s">
        <v>17935</v>
      </c>
      <c r="I5887" s="43">
        <v>12</v>
      </c>
      <c r="J5887" s="44" t="str">
        <f>VLOOKUP(G5887,[1]硬件清单!$F:$F,1,0)</f>
        <v>219556071</v>
      </c>
      <c r="K5887" s="43"/>
      <c r="L5887" s="44"/>
      <c r="M5887" s="45" t="s">
        <v>17936</v>
      </c>
    </row>
    <row r="5888" s="29" customFormat="1" ht="30" customHeight="1" spans="1:13">
      <c r="A5888" s="41">
        <f>IF(C5888="","",SUBTOTAL(103,$C$2:C5888))</f>
        <v>5879</v>
      </c>
      <c r="B5888" s="41">
        <v>4580</v>
      </c>
      <c r="C5888" s="54">
        <v>13282</v>
      </c>
      <c r="D5888" s="54" t="s">
        <v>45</v>
      </c>
      <c r="E5888" s="54" t="s">
        <v>1298</v>
      </c>
      <c r="F5888" s="54" t="s">
        <v>15613</v>
      </c>
      <c r="G5888" s="54" t="s">
        <v>17937</v>
      </c>
      <c r="H5888" s="54" t="s">
        <v>17938</v>
      </c>
      <c r="I5888" s="43">
        <v>12</v>
      </c>
      <c r="J5888" s="44" t="str">
        <f>VLOOKUP(G5888,[1]硬件清单!$F:$F,1,0)</f>
        <v>219556070</v>
      </c>
      <c r="K5888" s="43"/>
      <c r="L5888" s="44"/>
      <c r="M5888" s="45" t="s">
        <v>17939</v>
      </c>
    </row>
    <row r="5889" s="29" customFormat="1" ht="30" customHeight="1" spans="1:13">
      <c r="A5889" s="41">
        <f>IF(C5889="","",SUBTOTAL(103,$C$2:C5889))</f>
        <v>5880</v>
      </c>
      <c r="B5889" s="41">
        <v>4581</v>
      </c>
      <c r="C5889" s="54">
        <v>13283</v>
      </c>
      <c r="D5889" s="54" t="s">
        <v>45</v>
      </c>
      <c r="E5889" s="54" t="s">
        <v>1298</v>
      </c>
      <c r="F5889" s="54" t="s">
        <v>15613</v>
      </c>
      <c r="G5889" s="54" t="s">
        <v>17940</v>
      </c>
      <c r="H5889" s="54" t="s">
        <v>17941</v>
      </c>
      <c r="I5889" s="43">
        <v>12</v>
      </c>
      <c r="J5889" s="44" t="str">
        <f>VLOOKUP(G5889,[1]硬件清单!$F:$F,1,0)</f>
        <v>219556073</v>
      </c>
      <c r="K5889" s="43"/>
      <c r="L5889" s="44"/>
      <c r="M5889" s="45" t="s">
        <v>17942</v>
      </c>
    </row>
    <row r="5890" s="29" customFormat="1" ht="30" customHeight="1" spans="1:13">
      <c r="A5890" s="41">
        <f>IF(C5890="","",SUBTOTAL(103,$C$2:C5890))</f>
        <v>5881</v>
      </c>
      <c r="B5890" s="41">
        <v>4582</v>
      </c>
      <c r="C5890" s="54">
        <v>13288</v>
      </c>
      <c r="D5890" s="54" t="s">
        <v>45</v>
      </c>
      <c r="E5890" s="54" t="s">
        <v>1298</v>
      </c>
      <c r="F5890" s="54" t="s">
        <v>15613</v>
      </c>
      <c r="G5890" s="54" t="s">
        <v>17943</v>
      </c>
      <c r="H5890" s="54" t="s">
        <v>17944</v>
      </c>
      <c r="I5890" s="43">
        <v>12</v>
      </c>
      <c r="J5890" s="44" t="str">
        <f>VLOOKUP(G5890,[1]硬件清单!$F:$F,1,0)</f>
        <v>219556072</v>
      </c>
      <c r="K5890" s="43"/>
      <c r="L5890" s="44"/>
      <c r="M5890" s="45" t="s">
        <v>17945</v>
      </c>
    </row>
    <row r="5891" s="29" customFormat="1" ht="30" customHeight="1" spans="1:13">
      <c r="A5891" s="41">
        <f>IF(C5891="","",SUBTOTAL(103,$C$2:C5891))</f>
        <v>5882</v>
      </c>
      <c r="B5891" s="41">
        <v>4583</v>
      </c>
      <c r="C5891" s="55">
        <v>11142</v>
      </c>
      <c r="D5891" s="55" t="s">
        <v>19</v>
      </c>
      <c r="E5891" s="55" t="s">
        <v>20</v>
      </c>
      <c r="F5891" s="55" t="s">
        <v>10033</v>
      </c>
      <c r="G5891" s="54" t="s">
        <v>17946</v>
      </c>
      <c r="H5891" s="54" t="s">
        <v>17947</v>
      </c>
      <c r="I5891" s="43">
        <v>12</v>
      </c>
      <c r="J5891" s="44" t="str">
        <f>VLOOKUP(G5891,[1]硬件清单!$F:$F,1,0)</f>
        <v>210235AOHAH14A000026</v>
      </c>
      <c r="K5891" s="43"/>
      <c r="L5891" s="44"/>
      <c r="M5891" s="47" t="s">
        <v>17948</v>
      </c>
    </row>
    <row r="5892" s="29" customFormat="1" ht="30" customHeight="1" spans="1:13">
      <c r="A5892" s="41">
        <f>IF(C5892="","",SUBTOTAL(103,$C$2:C5892))</f>
        <v>5883</v>
      </c>
      <c r="B5892" s="41">
        <v>4584</v>
      </c>
      <c r="C5892" s="54">
        <v>13194</v>
      </c>
      <c r="D5892" s="54" t="s">
        <v>45</v>
      </c>
      <c r="E5892" s="54" t="s">
        <v>1298</v>
      </c>
      <c r="F5892" s="54" t="s">
        <v>2308</v>
      </c>
      <c r="G5892" s="54" t="s">
        <v>17949</v>
      </c>
      <c r="H5892" s="54" t="s">
        <v>17950</v>
      </c>
      <c r="I5892" s="43">
        <v>12</v>
      </c>
      <c r="J5892" s="44" t="str">
        <f>VLOOKUP(G5892,[1]硬件清单!$F:$F,1,0)</f>
        <v>J301D83W</v>
      </c>
      <c r="K5892" s="43"/>
      <c r="L5892" s="44"/>
      <c r="M5892" s="45" t="s">
        <v>17951</v>
      </c>
    </row>
    <row r="5893" s="29" customFormat="1" ht="30" customHeight="1" spans="1:13">
      <c r="A5893" s="41">
        <f>IF(C5893="","",SUBTOTAL(103,$C$2:C5893))</f>
        <v>5884</v>
      </c>
      <c r="B5893" s="41">
        <v>4585</v>
      </c>
      <c r="C5893" s="54">
        <v>13193</v>
      </c>
      <c r="D5893" s="54" t="s">
        <v>45</v>
      </c>
      <c r="E5893" s="54" t="s">
        <v>1298</v>
      </c>
      <c r="F5893" s="54" t="s">
        <v>2308</v>
      </c>
      <c r="G5893" s="54" t="s">
        <v>17952</v>
      </c>
      <c r="H5893" s="54" t="s">
        <v>17953</v>
      </c>
      <c r="I5893" s="43">
        <v>12</v>
      </c>
      <c r="J5893" s="44" t="str">
        <f>VLOOKUP(G5893,[1]硬件清单!$F:$F,1,0)</f>
        <v>J301D83X</v>
      </c>
      <c r="K5893" s="43"/>
      <c r="L5893" s="44"/>
      <c r="M5893" s="45" t="s">
        <v>17954</v>
      </c>
    </row>
    <row r="5894" s="29" customFormat="1" ht="30" customHeight="1" spans="1:13">
      <c r="A5894" s="41">
        <f>IF(C5894="","",SUBTOTAL(103,$C$2:C5894))</f>
        <v>5885</v>
      </c>
      <c r="B5894" s="41">
        <v>4586</v>
      </c>
      <c r="C5894" s="54">
        <v>13183</v>
      </c>
      <c r="D5894" s="54" t="s">
        <v>45</v>
      </c>
      <c r="E5894" s="54" t="s">
        <v>1298</v>
      </c>
      <c r="F5894" s="54" t="s">
        <v>15613</v>
      </c>
      <c r="G5894" s="54" t="s">
        <v>17955</v>
      </c>
      <c r="H5894" s="54" t="s">
        <v>17956</v>
      </c>
      <c r="I5894" s="43">
        <v>12</v>
      </c>
      <c r="J5894" s="44" t="str">
        <f>VLOOKUP(G5894,[1]硬件清单!$F:$F,1,0)</f>
        <v>219556010</v>
      </c>
      <c r="K5894" s="43"/>
      <c r="L5894" s="44"/>
      <c r="M5894" s="45" t="s">
        <v>17957</v>
      </c>
    </row>
    <row r="5895" s="29" customFormat="1" ht="30" customHeight="1" spans="1:13">
      <c r="A5895" s="41">
        <f>IF(C5895="","",SUBTOTAL(103,$C$2:C5895))</f>
        <v>5886</v>
      </c>
      <c r="B5895" s="41">
        <v>4587</v>
      </c>
      <c r="C5895" s="54">
        <v>13184</v>
      </c>
      <c r="D5895" s="54" t="s">
        <v>45</v>
      </c>
      <c r="E5895" s="54" t="s">
        <v>1298</v>
      </c>
      <c r="F5895" s="54" t="s">
        <v>15613</v>
      </c>
      <c r="G5895" s="54" t="s">
        <v>17958</v>
      </c>
      <c r="H5895" s="54" t="s">
        <v>17959</v>
      </c>
      <c r="I5895" s="43">
        <v>12</v>
      </c>
      <c r="J5895" s="44" t="str">
        <f>VLOOKUP(G5895,[1]硬件清单!$F:$F,1,0)</f>
        <v>219556011</v>
      </c>
      <c r="K5895" s="43"/>
      <c r="L5895" s="44"/>
      <c r="M5895" s="45" t="s">
        <v>17960</v>
      </c>
    </row>
    <row r="5896" s="29" customFormat="1" ht="30" customHeight="1" spans="1:13">
      <c r="A5896" s="41">
        <f>IF(C5896="","",SUBTOTAL(103,$C$2:C5896))</f>
        <v>5887</v>
      </c>
      <c r="B5896" s="41">
        <v>4588</v>
      </c>
      <c r="C5896" s="54">
        <v>13185</v>
      </c>
      <c r="D5896" s="54" t="s">
        <v>45</v>
      </c>
      <c r="E5896" s="54" t="s">
        <v>1298</v>
      </c>
      <c r="F5896" s="54" t="s">
        <v>15613</v>
      </c>
      <c r="G5896" s="54" t="s">
        <v>17961</v>
      </c>
      <c r="H5896" s="54" t="s">
        <v>17962</v>
      </c>
      <c r="I5896" s="43">
        <v>12</v>
      </c>
      <c r="J5896" s="44" t="str">
        <f>VLOOKUP(G5896,[1]硬件清单!$F:$F,1,0)</f>
        <v>219556007</v>
      </c>
      <c r="K5896" s="43"/>
      <c r="L5896" s="44"/>
      <c r="M5896" s="45" t="s">
        <v>17963</v>
      </c>
    </row>
    <row r="5897" s="29" customFormat="1" ht="30" customHeight="1" spans="1:13">
      <c r="A5897" s="41">
        <f>IF(C5897="","",SUBTOTAL(103,$C$2:C5897))</f>
        <v>5888</v>
      </c>
      <c r="B5897" s="41">
        <v>4589</v>
      </c>
      <c r="C5897" s="54">
        <v>13186</v>
      </c>
      <c r="D5897" s="54" t="s">
        <v>45</v>
      </c>
      <c r="E5897" s="54" t="s">
        <v>1298</v>
      </c>
      <c r="F5897" s="54" t="s">
        <v>15613</v>
      </c>
      <c r="G5897" s="54" t="s">
        <v>17964</v>
      </c>
      <c r="H5897" s="54" t="s">
        <v>17965</v>
      </c>
      <c r="I5897" s="43">
        <v>12</v>
      </c>
      <c r="J5897" s="44" t="str">
        <f>VLOOKUP(G5897,[1]硬件清单!$F:$F,1,0)</f>
        <v>219556006</v>
      </c>
      <c r="K5897" s="43"/>
      <c r="L5897" s="44"/>
      <c r="M5897" s="45" t="s">
        <v>17966</v>
      </c>
    </row>
    <row r="5898" s="29" customFormat="1" ht="30" customHeight="1" spans="1:13">
      <c r="A5898" s="41">
        <f>IF(C5898="","",SUBTOTAL(103,$C$2:C5898))</f>
        <v>5889</v>
      </c>
      <c r="B5898" s="41">
        <v>4590</v>
      </c>
      <c r="C5898" s="54">
        <v>13187</v>
      </c>
      <c r="D5898" s="54" t="s">
        <v>45</v>
      </c>
      <c r="E5898" s="54" t="s">
        <v>1298</v>
      </c>
      <c r="F5898" s="54" t="s">
        <v>15613</v>
      </c>
      <c r="G5898" s="54" t="s">
        <v>17967</v>
      </c>
      <c r="H5898" s="54" t="s">
        <v>17968</v>
      </c>
      <c r="I5898" s="43">
        <v>12</v>
      </c>
      <c r="J5898" s="44" t="str">
        <f>VLOOKUP(G5898,[1]硬件清单!$F:$F,1,0)</f>
        <v>219556009</v>
      </c>
      <c r="K5898" s="43"/>
      <c r="L5898" s="44"/>
      <c r="M5898" s="45" t="s">
        <v>17969</v>
      </c>
    </row>
    <row r="5899" s="29" customFormat="1" ht="30" customHeight="1" spans="1:13">
      <c r="A5899" s="41">
        <f>IF(C5899="","",SUBTOTAL(103,$C$2:C5899))</f>
        <v>5890</v>
      </c>
      <c r="B5899" s="41">
        <v>4591</v>
      </c>
      <c r="C5899" s="54">
        <v>13188</v>
      </c>
      <c r="D5899" s="54" t="s">
        <v>45</v>
      </c>
      <c r="E5899" s="54" t="s">
        <v>1298</v>
      </c>
      <c r="F5899" s="54" t="s">
        <v>15613</v>
      </c>
      <c r="G5899" s="54" t="s">
        <v>17970</v>
      </c>
      <c r="H5899" s="54" t="s">
        <v>17971</v>
      </c>
      <c r="I5899" s="43">
        <v>12</v>
      </c>
      <c r="J5899" s="44" t="str">
        <f>VLOOKUP(G5899,[1]硬件清单!$F:$F,1,0)</f>
        <v>219556008</v>
      </c>
      <c r="K5899" s="43"/>
      <c r="L5899" s="44"/>
      <c r="M5899" s="45" t="s">
        <v>17972</v>
      </c>
    </row>
    <row r="5900" s="29" customFormat="1" ht="30" customHeight="1" spans="1:13">
      <c r="A5900" s="41">
        <f>IF(C5900="","",SUBTOTAL(103,$C$2:C5900))</f>
        <v>5891</v>
      </c>
      <c r="B5900" s="41">
        <v>4592</v>
      </c>
      <c r="C5900" s="54">
        <v>13189</v>
      </c>
      <c r="D5900" s="54" t="s">
        <v>45</v>
      </c>
      <c r="E5900" s="54" t="s">
        <v>1298</v>
      </c>
      <c r="F5900" s="54" t="s">
        <v>15613</v>
      </c>
      <c r="G5900" s="54" t="s">
        <v>17973</v>
      </c>
      <c r="H5900" s="54" t="s">
        <v>17974</v>
      </c>
      <c r="I5900" s="43">
        <v>12</v>
      </c>
      <c r="J5900" s="44" t="str">
        <f>VLOOKUP(G5900,[1]硬件清单!$F:$F,1,0)</f>
        <v>219556005</v>
      </c>
      <c r="K5900" s="43"/>
      <c r="L5900" s="44"/>
      <c r="M5900" s="45" t="s">
        <v>17975</v>
      </c>
    </row>
    <row r="5901" s="29" customFormat="1" ht="30" customHeight="1" spans="1:13">
      <c r="A5901" s="41">
        <f>IF(C5901="","",SUBTOTAL(103,$C$2:C5901))</f>
        <v>5892</v>
      </c>
      <c r="B5901" s="41">
        <v>4593</v>
      </c>
      <c r="C5901" s="54">
        <v>13190</v>
      </c>
      <c r="D5901" s="54" t="s">
        <v>45</v>
      </c>
      <c r="E5901" s="54" t="s">
        <v>1298</v>
      </c>
      <c r="F5901" s="54" t="s">
        <v>15613</v>
      </c>
      <c r="G5901" s="54" t="s">
        <v>17976</v>
      </c>
      <c r="H5901" s="54" t="s">
        <v>17977</v>
      </c>
      <c r="I5901" s="43">
        <v>12</v>
      </c>
      <c r="J5901" s="44" t="str">
        <f>VLOOKUP(G5901,[1]硬件清单!$F:$F,1,0)</f>
        <v>219556004</v>
      </c>
      <c r="K5901" s="43"/>
      <c r="L5901" s="44"/>
      <c r="M5901" s="45" t="s">
        <v>17978</v>
      </c>
    </row>
    <row r="5902" s="29" customFormat="1" ht="30" customHeight="1" spans="1:13">
      <c r="A5902" s="41">
        <f>IF(C5902="","",SUBTOTAL(103,$C$2:C5902))</f>
        <v>5893</v>
      </c>
      <c r="B5902" s="41">
        <v>4594</v>
      </c>
      <c r="C5902" s="55">
        <v>10115</v>
      </c>
      <c r="D5902" s="55" t="s">
        <v>19</v>
      </c>
      <c r="E5902" s="55" t="s">
        <v>20</v>
      </c>
      <c r="F5902" s="55" t="s">
        <v>16235</v>
      </c>
      <c r="G5902" s="54" t="s">
        <v>17979</v>
      </c>
      <c r="H5902" s="54" t="s">
        <v>17980</v>
      </c>
      <c r="I5902" s="43">
        <v>12</v>
      </c>
      <c r="J5902" s="44" t="str">
        <f>VLOOKUP(G5902,[1]硬件清单!$F:$F,1,0)</f>
        <v>210235A0HAH14A000026</v>
      </c>
      <c r="K5902" s="43"/>
      <c r="L5902" s="44"/>
      <c r="M5902" s="47" t="s">
        <v>17981</v>
      </c>
    </row>
    <row r="5903" s="29" customFormat="1" ht="30" customHeight="1" spans="1:13">
      <c r="A5903" s="41">
        <f>IF(C5903="","",SUBTOTAL(103,$C$2:C5903))</f>
        <v>5894</v>
      </c>
      <c r="B5903" s="41">
        <v>4595</v>
      </c>
      <c r="C5903" s="54">
        <v>13123</v>
      </c>
      <c r="D5903" s="54" t="s">
        <v>19</v>
      </c>
      <c r="E5903" s="54" t="s">
        <v>20</v>
      </c>
      <c r="F5903" s="54" t="s">
        <v>3778</v>
      </c>
      <c r="G5903" s="54" t="s">
        <v>17982</v>
      </c>
      <c r="H5903" s="54" t="s">
        <v>17983</v>
      </c>
      <c r="I5903" s="43">
        <v>12</v>
      </c>
      <c r="J5903" s="44" t="str">
        <f>VLOOKUP(G5903,[1]硬件清单!$F:$F,1,0)</f>
        <v>2102350DLVDMK8001512</v>
      </c>
      <c r="K5903" s="43"/>
      <c r="L5903" s="44"/>
      <c r="M5903" s="45" t="s">
        <v>17984</v>
      </c>
    </row>
    <row r="5904" s="29" customFormat="1" ht="30" customHeight="1" spans="1:13">
      <c r="A5904" s="41">
        <f>IF(C5904="","",SUBTOTAL(103,$C$2:C5904))</f>
        <v>5895</v>
      </c>
      <c r="B5904" s="41">
        <v>4596</v>
      </c>
      <c r="C5904" s="54">
        <v>13121</v>
      </c>
      <c r="D5904" s="54" t="s">
        <v>19</v>
      </c>
      <c r="E5904" s="54" t="s">
        <v>20</v>
      </c>
      <c r="F5904" s="54" t="s">
        <v>3778</v>
      </c>
      <c r="G5904" s="54" t="s">
        <v>17985</v>
      </c>
      <c r="H5904" s="54" t="s">
        <v>17986</v>
      </c>
      <c r="I5904" s="43">
        <v>12</v>
      </c>
      <c r="J5904" s="44" t="str">
        <f>VLOOKUP(G5904,[1]硬件清单!$F:$F,1,0)</f>
        <v>2102350DLVDMK8000274</v>
      </c>
      <c r="K5904" s="43"/>
      <c r="L5904" s="44"/>
      <c r="M5904" s="45" t="s">
        <v>17987</v>
      </c>
    </row>
    <row r="5905" s="29" customFormat="1" ht="30" customHeight="1" spans="1:13">
      <c r="A5905" s="41">
        <f>IF(C5905="","",SUBTOTAL(103,$C$2:C5905))</f>
        <v>5896</v>
      </c>
      <c r="B5905" s="41">
        <v>4597</v>
      </c>
      <c r="C5905" s="54">
        <v>13297</v>
      </c>
      <c r="D5905" s="54" t="s">
        <v>45</v>
      </c>
      <c r="E5905" s="54" t="s">
        <v>1298</v>
      </c>
      <c r="F5905" s="54" t="s">
        <v>15613</v>
      </c>
      <c r="G5905" s="54" t="s">
        <v>17988</v>
      </c>
      <c r="H5905" s="54" t="s">
        <v>17989</v>
      </c>
      <c r="I5905" s="43">
        <v>12</v>
      </c>
      <c r="J5905" s="44" t="str">
        <f>VLOOKUP(G5905,[1]硬件清单!$F:$F,1,0)</f>
        <v>219556020</v>
      </c>
      <c r="K5905" s="43"/>
      <c r="L5905" s="44"/>
      <c r="M5905" s="45" t="s">
        <v>17990</v>
      </c>
    </row>
    <row r="5906" s="29" customFormat="1" ht="30" customHeight="1" spans="1:13">
      <c r="A5906" s="41">
        <f>IF(C5906="","",SUBTOTAL(103,$C$2:C5906))</f>
        <v>5897</v>
      </c>
      <c r="B5906" s="41">
        <v>4598</v>
      </c>
      <c r="C5906" s="54">
        <v>13298</v>
      </c>
      <c r="D5906" s="54" t="s">
        <v>45</v>
      </c>
      <c r="E5906" s="54" t="s">
        <v>1298</v>
      </c>
      <c r="F5906" s="54" t="s">
        <v>15613</v>
      </c>
      <c r="G5906" s="54" t="s">
        <v>17991</v>
      </c>
      <c r="H5906" s="54" t="s">
        <v>17992</v>
      </c>
      <c r="I5906" s="43">
        <v>12</v>
      </c>
      <c r="J5906" s="44" t="str">
        <f>VLOOKUP(G5906,[1]硬件清单!$F:$F,1,0)</f>
        <v>219556021</v>
      </c>
      <c r="K5906" s="43"/>
      <c r="L5906" s="44"/>
      <c r="M5906" s="45" t="s">
        <v>17993</v>
      </c>
    </row>
    <row r="5907" s="29" customFormat="1" ht="30" customHeight="1" spans="1:13">
      <c r="A5907" s="41">
        <f>IF(C5907="","",SUBTOTAL(103,$C$2:C5907))</f>
        <v>5898</v>
      </c>
      <c r="B5907" s="41">
        <v>4599</v>
      </c>
      <c r="C5907" s="54">
        <v>13299</v>
      </c>
      <c r="D5907" s="54" t="s">
        <v>45</v>
      </c>
      <c r="E5907" s="54" t="s">
        <v>1298</v>
      </c>
      <c r="F5907" s="54" t="s">
        <v>15613</v>
      </c>
      <c r="G5907" s="54" t="s">
        <v>17994</v>
      </c>
      <c r="H5907" s="54" t="s">
        <v>17995</v>
      </c>
      <c r="I5907" s="43">
        <v>12</v>
      </c>
      <c r="J5907" s="44" t="str">
        <f>VLOOKUP(G5907,[1]硬件清单!$F:$F,1,0)</f>
        <v>219556022</v>
      </c>
      <c r="K5907" s="43"/>
      <c r="L5907" s="44"/>
      <c r="M5907" s="45" t="s">
        <v>17996</v>
      </c>
    </row>
    <row r="5908" s="29" customFormat="1" ht="30" customHeight="1" spans="1:13">
      <c r="A5908" s="41">
        <f>IF(C5908="","",SUBTOTAL(103,$C$2:C5908))</f>
        <v>5899</v>
      </c>
      <c r="B5908" s="41">
        <v>4600</v>
      </c>
      <c r="C5908" s="54">
        <v>13300</v>
      </c>
      <c r="D5908" s="54" t="s">
        <v>45</v>
      </c>
      <c r="E5908" s="54" t="s">
        <v>1298</v>
      </c>
      <c r="F5908" s="54" t="s">
        <v>15613</v>
      </c>
      <c r="G5908" s="54" t="s">
        <v>17997</v>
      </c>
      <c r="H5908" s="54" t="s">
        <v>17998</v>
      </c>
      <c r="I5908" s="43">
        <v>12</v>
      </c>
      <c r="J5908" s="44" t="str">
        <f>VLOOKUP(G5908,[1]硬件清单!$F:$F,1,0)</f>
        <v>219556023</v>
      </c>
      <c r="K5908" s="43"/>
      <c r="L5908" s="44"/>
      <c r="M5908" s="45" t="s">
        <v>17999</v>
      </c>
    </row>
    <row r="5909" s="29" customFormat="1" ht="30" customHeight="1" spans="1:13">
      <c r="A5909" s="41">
        <f>IF(C5909="","",SUBTOTAL(103,$C$2:C5909))</f>
        <v>5900</v>
      </c>
      <c r="B5909" s="41">
        <v>4601</v>
      </c>
      <c r="C5909" s="54">
        <v>13301</v>
      </c>
      <c r="D5909" s="54" t="s">
        <v>45</v>
      </c>
      <c r="E5909" s="54" t="s">
        <v>1298</v>
      </c>
      <c r="F5909" s="54" t="s">
        <v>15613</v>
      </c>
      <c r="G5909" s="54" t="s">
        <v>18000</v>
      </c>
      <c r="H5909" s="54" t="s">
        <v>18001</v>
      </c>
      <c r="I5909" s="43">
        <v>12</v>
      </c>
      <c r="J5909" s="44" t="str">
        <f>VLOOKUP(G5909,[1]硬件清单!$F:$F,1,0)</f>
        <v>219556024</v>
      </c>
      <c r="K5909" s="43"/>
      <c r="L5909" s="44"/>
      <c r="M5909" s="45" t="s">
        <v>18002</v>
      </c>
    </row>
    <row r="5910" s="29" customFormat="1" ht="30" customHeight="1" spans="1:13">
      <c r="A5910" s="41">
        <f>IF(C5910="","",SUBTOTAL(103,$C$2:C5910))</f>
        <v>5901</v>
      </c>
      <c r="B5910" s="41">
        <v>4602</v>
      </c>
      <c r="C5910" s="54">
        <v>13314</v>
      </c>
      <c r="D5910" s="54" t="s">
        <v>45</v>
      </c>
      <c r="E5910" s="54" t="s">
        <v>1298</v>
      </c>
      <c r="F5910" s="54" t="s">
        <v>15613</v>
      </c>
      <c r="G5910" s="54" t="s">
        <v>18003</v>
      </c>
      <c r="H5910" s="54" t="s">
        <v>18004</v>
      </c>
      <c r="I5910" s="43">
        <v>12</v>
      </c>
      <c r="J5910" s="44" t="str">
        <f>VLOOKUP(G5910,[1]硬件清单!$F:$F,1,0)</f>
        <v>219556025</v>
      </c>
      <c r="K5910" s="43"/>
      <c r="L5910" s="44"/>
      <c r="M5910" s="45" t="s">
        <v>18005</v>
      </c>
    </row>
    <row r="5911" s="29" customFormat="1" ht="30" customHeight="1" spans="1:13">
      <c r="A5911" s="41">
        <f>IF(C5911="","",SUBTOTAL(103,$C$2:C5911))</f>
        <v>5902</v>
      </c>
      <c r="B5911" s="41">
        <v>4603</v>
      </c>
      <c r="C5911" s="54">
        <v>13315</v>
      </c>
      <c r="D5911" s="54" t="s">
        <v>45</v>
      </c>
      <c r="E5911" s="54" t="s">
        <v>1298</v>
      </c>
      <c r="F5911" s="54" t="s">
        <v>15613</v>
      </c>
      <c r="G5911" s="54" t="s">
        <v>18006</v>
      </c>
      <c r="H5911" s="54" t="s">
        <v>18007</v>
      </c>
      <c r="I5911" s="43">
        <v>12</v>
      </c>
      <c r="J5911" s="44" t="str">
        <f>VLOOKUP(G5911,[1]硬件清单!$F:$F,1,0)</f>
        <v>219556026</v>
      </c>
      <c r="K5911" s="43"/>
      <c r="L5911" s="44"/>
      <c r="M5911" s="45" t="s">
        <v>18008</v>
      </c>
    </row>
    <row r="5912" s="29" customFormat="1" ht="30" customHeight="1" spans="1:13">
      <c r="A5912" s="41">
        <f>IF(C5912="","",SUBTOTAL(103,$C$2:C5912))</f>
        <v>5903</v>
      </c>
      <c r="B5912" s="41">
        <v>4604</v>
      </c>
      <c r="C5912" s="54">
        <v>13316</v>
      </c>
      <c r="D5912" s="54" t="s">
        <v>45</v>
      </c>
      <c r="E5912" s="54" t="s">
        <v>1298</v>
      </c>
      <c r="F5912" s="54" t="s">
        <v>15613</v>
      </c>
      <c r="G5912" s="54" t="s">
        <v>18009</v>
      </c>
      <c r="H5912" s="54" t="s">
        <v>18010</v>
      </c>
      <c r="I5912" s="43">
        <v>12</v>
      </c>
      <c r="J5912" s="44" t="str">
        <f>VLOOKUP(G5912,[1]硬件清单!$F:$F,1,0)</f>
        <v>219556027</v>
      </c>
      <c r="K5912" s="43"/>
      <c r="L5912" s="44"/>
      <c r="M5912" s="45" t="s">
        <v>18011</v>
      </c>
    </row>
    <row r="5913" s="29" customFormat="1" ht="30" customHeight="1" spans="1:13">
      <c r="A5913" s="41">
        <f>IF(C5913="","",SUBTOTAL(103,$C$2:C5913))</f>
        <v>5904</v>
      </c>
      <c r="B5913" s="41">
        <v>4605</v>
      </c>
      <c r="C5913" s="54">
        <v>13547</v>
      </c>
      <c r="D5913" s="54" t="s">
        <v>45</v>
      </c>
      <c r="E5913" s="54" t="s">
        <v>1298</v>
      </c>
      <c r="F5913" s="54" t="s">
        <v>15740</v>
      </c>
      <c r="G5913" s="54" t="s">
        <v>18012</v>
      </c>
      <c r="H5913" s="54" t="s">
        <v>18013</v>
      </c>
      <c r="I5913" s="43">
        <v>12</v>
      </c>
      <c r="J5913" s="44" t="str">
        <f>VLOOKUP(G5913,[1]硬件清单!$F:$F,1,0)</f>
        <v>219562786</v>
      </c>
      <c r="K5913" s="43"/>
      <c r="L5913" s="44"/>
      <c r="M5913" s="45" t="s">
        <v>18014</v>
      </c>
    </row>
    <row r="5914" s="29" customFormat="1" ht="30" customHeight="1" spans="1:13">
      <c r="A5914" s="41">
        <f>IF(C5914="","",SUBTOTAL(103,$C$2:C5914))</f>
        <v>5905</v>
      </c>
      <c r="B5914" s="41">
        <v>4606</v>
      </c>
      <c r="C5914" s="54">
        <v>13548</v>
      </c>
      <c r="D5914" s="54" t="s">
        <v>45</v>
      </c>
      <c r="E5914" s="54" t="s">
        <v>1298</v>
      </c>
      <c r="F5914" s="54" t="s">
        <v>15740</v>
      </c>
      <c r="G5914" s="54" t="s">
        <v>18015</v>
      </c>
      <c r="H5914" s="54" t="s">
        <v>18016</v>
      </c>
      <c r="I5914" s="43">
        <v>12</v>
      </c>
      <c r="J5914" s="44" t="str">
        <f>VLOOKUP(G5914,[1]硬件清单!$F:$F,1,0)</f>
        <v>219562787</v>
      </c>
      <c r="K5914" s="43"/>
      <c r="L5914" s="44"/>
      <c r="M5914" s="45" t="s">
        <v>18017</v>
      </c>
    </row>
    <row r="5915" s="29" customFormat="1" ht="30" customHeight="1" spans="1:13">
      <c r="A5915" s="41">
        <f>IF(C5915="","",SUBTOTAL(103,$C$2:C5915))</f>
        <v>5906</v>
      </c>
      <c r="B5915" s="41">
        <v>4607</v>
      </c>
      <c r="C5915" s="54">
        <v>13549</v>
      </c>
      <c r="D5915" s="54" t="s">
        <v>45</v>
      </c>
      <c r="E5915" s="54" t="s">
        <v>1298</v>
      </c>
      <c r="F5915" s="54" t="s">
        <v>15740</v>
      </c>
      <c r="G5915" s="54" t="s">
        <v>18018</v>
      </c>
      <c r="H5915" s="54" t="s">
        <v>18019</v>
      </c>
      <c r="I5915" s="43">
        <v>12</v>
      </c>
      <c r="J5915" s="44" t="str">
        <f>VLOOKUP(G5915,[1]硬件清单!$F:$F,1,0)</f>
        <v>219562788</v>
      </c>
      <c r="K5915" s="43"/>
      <c r="L5915" s="44"/>
      <c r="M5915" s="45" t="s">
        <v>18020</v>
      </c>
    </row>
    <row r="5916" s="29" customFormat="1" ht="30" customHeight="1" spans="1:13">
      <c r="A5916" s="41">
        <f>IF(C5916="","",SUBTOTAL(103,$C$2:C5916))</f>
        <v>5907</v>
      </c>
      <c r="B5916" s="41">
        <v>4608</v>
      </c>
      <c r="C5916" s="54">
        <v>13550</v>
      </c>
      <c r="D5916" s="54" t="s">
        <v>45</v>
      </c>
      <c r="E5916" s="54" t="s">
        <v>1298</v>
      </c>
      <c r="F5916" s="54" t="s">
        <v>15740</v>
      </c>
      <c r="G5916" s="54" t="s">
        <v>18021</v>
      </c>
      <c r="H5916" s="54" t="s">
        <v>18022</v>
      </c>
      <c r="I5916" s="43">
        <v>12</v>
      </c>
      <c r="J5916" s="44" t="str">
        <f>VLOOKUP(G5916,[1]硬件清单!$F:$F,1,0)</f>
        <v>219562789</v>
      </c>
      <c r="K5916" s="43"/>
      <c r="L5916" s="44"/>
      <c r="M5916" s="45" t="s">
        <v>18023</v>
      </c>
    </row>
    <row r="5917" s="29" customFormat="1" ht="30" customHeight="1" spans="1:13">
      <c r="A5917" s="41">
        <f>IF(C5917="","",SUBTOTAL(103,$C$2:C5917))</f>
        <v>5908</v>
      </c>
      <c r="B5917" s="41">
        <v>4609</v>
      </c>
      <c r="C5917" s="54">
        <v>13543</v>
      </c>
      <c r="D5917" s="54" t="s">
        <v>45</v>
      </c>
      <c r="E5917" s="54" t="s">
        <v>1298</v>
      </c>
      <c r="F5917" s="54" t="s">
        <v>15740</v>
      </c>
      <c r="G5917" s="54" t="s">
        <v>18024</v>
      </c>
      <c r="H5917" s="54" t="s">
        <v>18025</v>
      </c>
      <c r="I5917" s="43">
        <v>12</v>
      </c>
      <c r="J5917" s="44" t="str">
        <f>VLOOKUP(G5917,[1]硬件清单!$F:$F,1,0)</f>
        <v>219562785</v>
      </c>
      <c r="K5917" s="43"/>
      <c r="L5917" s="44"/>
      <c r="M5917" s="45" t="s">
        <v>18026</v>
      </c>
    </row>
    <row r="5918" s="29" customFormat="1" ht="30" customHeight="1" spans="1:13">
      <c r="A5918" s="41">
        <f>IF(C5918="","",SUBTOTAL(103,$C$2:C5918))</f>
        <v>5909</v>
      </c>
      <c r="B5918" s="41">
        <v>4610</v>
      </c>
      <c r="C5918" s="54">
        <v>13544</v>
      </c>
      <c r="D5918" s="54" t="s">
        <v>45</v>
      </c>
      <c r="E5918" s="54" t="s">
        <v>1298</v>
      </c>
      <c r="F5918" s="54" t="s">
        <v>15740</v>
      </c>
      <c r="G5918" s="54" t="s">
        <v>18027</v>
      </c>
      <c r="H5918" s="54" t="s">
        <v>18028</v>
      </c>
      <c r="I5918" s="43">
        <v>12</v>
      </c>
      <c r="J5918" s="44" t="str">
        <f>VLOOKUP(G5918,[1]硬件清单!$F:$F,1,0)</f>
        <v>219562784</v>
      </c>
      <c r="K5918" s="43"/>
      <c r="L5918" s="44"/>
      <c r="M5918" s="45" t="s">
        <v>18029</v>
      </c>
    </row>
    <row r="5919" s="29" customFormat="1" ht="30" customHeight="1" spans="1:13">
      <c r="A5919" s="41">
        <f>IF(C5919="","",SUBTOTAL(103,$C$2:C5919))</f>
        <v>5910</v>
      </c>
      <c r="B5919" s="41">
        <v>4611</v>
      </c>
      <c r="C5919" s="54">
        <v>13545</v>
      </c>
      <c r="D5919" s="54" t="s">
        <v>45</v>
      </c>
      <c r="E5919" s="54" t="s">
        <v>1298</v>
      </c>
      <c r="F5919" s="54" t="s">
        <v>15740</v>
      </c>
      <c r="G5919" s="54" t="s">
        <v>18030</v>
      </c>
      <c r="H5919" s="54" t="s">
        <v>18031</v>
      </c>
      <c r="I5919" s="43">
        <v>12</v>
      </c>
      <c r="J5919" s="44" t="str">
        <f>VLOOKUP(G5919,[1]硬件清单!$F:$F,1,0)</f>
        <v>219562783</v>
      </c>
      <c r="K5919" s="43"/>
      <c r="L5919" s="44"/>
      <c r="M5919" s="45" t="s">
        <v>18032</v>
      </c>
    </row>
    <row r="5920" s="29" customFormat="1" ht="30" customHeight="1" spans="1:13">
      <c r="A5920" s="41">
        <f>IF(C5920="","",SUBTOTAL(103,$C$2:C5920))</f>
        <v>5911</v>
      </c>
      <c r="B5920" s="41">
        <v>4612</v>
      </c>
      <c r="C5920" s="54">
        <v>13546</v>
      </c>
      <c r="D5920" s="54" t="s">
        <v>45</v>
      </c>
      <c r="E5920" s="54" t="s">
        <v>1298</v>
      </c>
      <c r="F5920" s="54" t="s">
        <v>15740</v>
      </c>
      <c r="G5920" s="54" t="s">
        <v>18033</v>
      </c>
      <c r="H5920" s="54" t="s">
        <v>18034</v>
      </c>
      <c r="I5920" s="43">
        <v>12</v>
      </c>
      <c r="J5920" s="44" t="str">
        <f>VLOOKUP(G5920,[1]硬件清单!$F:$F,1,0)</f>
        <v>219562782</v>
      </c>
      <c r="K5920" s="43"/>
      <c r="L5920" s="44"/>
      <c r="M5920" s="45" t="s">
        <v>18035</v>
      </c>
    </row>
    <row r="5921" s="29" customFormat="1" ht="30" customHeight="1" spans="1:13">
      <c r="A5921" s="41">
        <f>IF(C5921="","",SUBTOTAL(103,$C$2:C5921))</f>
        <v>5912</v>
      </c>
      <c r="B5921" s="41">
        <v>4613</v>
      </c>
      <c r="C5921" s="54">
        <v>13555</v>
      </c>
      <c r="D5921" s="54" t="s">
        <v>45</v>
      </c>
      <c r="E5921" s="54" t="s">
        <v>1298</v>
      </c>
      <c r="F5921" s="54" t="s">
        <v>15740</v>
      </c>
      <c r="G5921" s="54" t="s">
        <v>18036</v>
      </c>
      <c r="H5921" s="54" t="s">
        <v>18037</v>
      </c>
      <c r="I5921" s="43">
        <v>12</v>
      </c>
      <c r="J5921" s="44" t="str">
        <f>VLOOKUP(G5921,[1]硬件清单!$F:$F,1,0)</f>
        <v>219562794</v>
      </c>
      <c r="K5921" s="43"/>
      <c r="L5921" s="44"/>
      <c r="M5921" s="45" t="s">
        <v>18038</v>
      </c>
    </row>
    <row r="5922" s="29" customFormat="1" ht="30" customHeight="1" spans="1:13">
      <c r="A5922" s="41">
        <f>IF(C5922="","",SUBTOTAL(103,$C$2:C5922))</f>
        <v>5913</v>
      </c>
      <c r="B5922" s="41">
        <v>4614</v>
      </c>
      <c r="C5922" s="54">
        <v>13556</v>
      </c>
      <c r="D5922" s="54" t="s">
        <v>45</v>
      </c>
      <c r="E5922" s="54" t="s">
        <v>1298</v>
      </c>
      <c r="F5922" s="54" t="s">
        <v>15740</v>
      </c>
      <c r="G5922" s="54" t="s">
        <v>18039</v>
      </c>
      <c r="H5922" s="54" t="s">
        <v>18040</v>
      </c>
      <c r="I5922" s="43">
        <v>12</v>
      </c>
      <c r="J5922" s="44" t="str">
        <f>VLOOKUP(G5922,[1]硬件清单!$F:$F,1,0)</f>
        <v>219562795</v>
      </c>
      <c r="K5922" s="43"/>
      <c r="L5922" s="44"/>
      <c r="M5922" s="45" t="s">
        <v>18041</v>
      </c>
    </row>
    <row r="5923" s="29" customFormat="1" ht="30" customHeight="1" spans="1:13">
      <c r="A5923" s="41">
        <f>IF(C5923="","",SUBTOTAL(103,$C$2:C5923))</f>
        <v>5914</v>
      </c>
      <c r="B5923" s="41">
        <v>4615</v>
      </c>
      <c r="C5923" s="54">
        <v>13557</v>
      </c>
      <c r="D5923" s="54" t="s">
        <v>45</v>
      </c>
      <c r="E5923" s="54" t="s">
        <v>1298</v>
      </c>
      <c r="F5923" s="54" t="s">
        <v>15740</v>
      </c>
      <c r="G5923" s="54" t="s">
        <v>18042</v>
      </c>
      <c r="H5923" s="54" t="s">
        <v>18043</v>
      </c>
      <c r="I5923" s="43">
        <v>12</v>
      </c>
      <c r="J5923" s="44" t="str">
        <f>VLOOKUP(G5923,[1]硬件清单!$F:$F,1,0)</f>
        <v>219562796</v>
      </c>
      <c r="K5923" s="43"/>
      <c r="L5923" s="44"/>
      <c r="M5923" s="45" t="s">
        <v>18044</v>
      </c>
    </row>
    <row r="5924" s="29" customFormat="1" ht="30" customHeight="1" spans="1:13">
      <c r="A5924" s="41">
        <f>IF(C5924="","",SUBTOTAL(103,$C$2:C5924))</f>
        <v>5915</v>
      </c>
      <c r="B5924" s="41">
        <v>4616</v>
      </c>
      <c r="C5924" s="54">
        <v>13558</v>
      </c>
      <c r="D5924" s="54" t="s">
        <v>45</v>
      </c>
      <c r="E5924" s="54" t="s">
        <v>1298</v>
      </c>
      <c r="F5924" s="54" t="s">
        <v>15740</v>
      </c>
      <c r="G5924" s="54" t="s">
        <v>18045</v>
      </c>
      <c r="H5924" s="54" t="s">
        <v>18046</v>
      </c>
      <c r="I5924" s="43">
        <v>12</v>
      </c>
      <c r="J5924" s="44" t="str">
        <f>VLOOKUP(G5924,[1]硬件清单!$F:$F,1,0)</f>
        <v>219562797</v>
      </c>
      <c r="K5924" s="43"/>
      <c r="L5924" s="44"/>
      <c r="M5924" s="45" t="s">
        <v>18047</v>
      </c>
    </row>
    <row r="5925" s="29" customFormat="1" ht="30" customHeight="1" spans="1:13">
      <c r="A5925" s="41">
        <f>IF(C5925="","",SUBTOTAL(103,$C$2:C5925))</f>
        <v>5916</v>
      </c>
      <c r="B5925" s="41">
        <v>4617</v>
      </c>
      <c r="C5925" s="54">
        <v>13551</v>
      </c>
      <c r="D5925" s="54" t="s">
        <v>45</v>
      </c>
      <c r="E5925" s="54" t="s">
        <v>1298</v>
      </c>
      <c r="F5925" s="54" t="s">
        <v>15740</v>
      </c>
      <c r="G5925" s="54" t="s">
        <v>18048</v>
      </c>
      <c r="H5925" s="54" t="s">
        <v>18049</v>
      </c>
      <c r="I5925" s="43">
        <v>12</v>
      </c>
      <c r="J5925" s="44" t="str">
        <f>VLOOKUP(G5925,[1]硬件清单!$F:$F,1,0)</f>
        <v>219562792</v>
      </c>
      <c r="K5925" s="43"/>
      <c r="L5925" s="44"/>
      <c r="M5925" s="45" t="s">
        <v>18050</v>
      </c>
    </row>
    <row r="5926" s="29" customFormat="1" ht="30" customHeight="1" spans="1:13">
      <c r="A5926" s="41">
        <f>IF(C5926="","",SUBTOTAL(103,$C$2:C5926))</f>
        <v>5917</v>
      </c>
      <c r="B5926" s="41">
        <v>4618</v>
      </c>
      <c r="C5926" s="54">
        <v>13552</v>
      </c>
      <c r="D5926" s="54" t="s">
        <v>45</v>
      </c>
      <c r="E5926" s="54" t="s">
        <v>1298</v>
      </c>
      <c r="F5926" s="54" t="s">
        <v>15740</v>
      </c>
      <c r="G5926" s="54" t="s">
        <v>18051</v>
      </c>
      <c r="H5926" s="54" t="s">
        <v>18052</v>
      </c>
      <c r="I5926" s="43">
        <v>12</v>
      </c>
      <c r="J5926" s="44" t="str">
        <f>VLOOKUP(G5926,[1]硬件清单!$F:$F,1,0)</f>
        <v>219562793</v>
      </c>
      <c r="K5926" s="43"/>
      <c r="L5926" s="44"/>
      <c r="M5926" s="45" t="s">
        <v>18053</v>
      </c>
    </row>
    <row r="5927" s="29" customFormat="1" ht="30" customHeight="1" spans="1:13">
      <c r="A5927" s="41">
        <f>IF(C5927="","",SUBTOTAL(103,$C$2:C5927))</f>
        <v>5918</v>
      </c>
      <c r="B5927" s="41">
        <v>4619</v>
      </c>
      <c r="C5927" s="54">
        <v>13553</v>
      </c>
      <c r="D5927" s="54" t="s">
        <v>45</v>
      </c>
      <c r="E5927" s="54" t="s">
        <v>1298</v>
      </c>
      <c r="F5927" s="54" t="s">
        <v>15740</v>
      </c>
      <c r="G5927" s="54" t="s">
        <v>18054</v>
      </c>
      <c r="H5927" s="54" t="s">
        <v>18055</v>
      </c>
      <c r="I5927" s="43">
        <v>12</v>
      </c>
      <c r="J5927" s="44" t="str">
        <f>VLOOKUP(G5927,[1]硬件清单!$F:$F,1,0)</f>
        <v>219562791</v>
      </c>
      <c r="K5927" s="43"/>
      <c r="L5927" s="44"/>
      <c r="M5927" s="45" t="s">
        <v>18056</v>
      </c>
    </row>
    <row r="5928" s="29" customFormat="1" ht="30" customHeight="1" spans="1:13">
      <c r="A5928" s="41">
        <f>IF(C5928="","",SUBTOTAL(103,$C$2:C5928))</f>
        <v>5919</v>
      </c>
      <c r="B5928" s="41">
        <v>4620</v>
      </c>
      <c r="C5928" s="54">
        <v>13554</v>
      </c>
      <c r="D5928" s="54" t="s">
        <v>45</v>
      </c>
      <c r="E5928" s="54" t="s">
        <v>1298</v>
      </c>
      <c r="F5928" s="54" t="s">
        <v>15740</v>
      </c>
      <c r="G5928" s="54" t="s">
        <v>18057</v>
      </c>
      <c r="H5928" s="54" t="s">
        <v>18058</v>
      </c>
      <c r="I5928" s="43">
        <v>12</v>
      </c>
      <c r="J5928" s="44" t="str">
        <f>VLOOKUP(G5928,[1]硬件清单!$F:$F,1,0)</f>
        <v>219562790</v>
      </c>
      <c r="K5928" s="43"/>
      <c r="L5928" s="44"/>
      <c r="M5928" s="45" t="s">
        <v>18059</v>
      </c>
    </row>
    <row r="5929" s="29" customFormat="1" ht="30" customHeight="1" spans="1:13">
      <c r="A5929" s="41">
        <f>IF(C5929="","",SUBTOTAL(103,$C$2:C5929))</f>
        <v>5920</v>
      </c>
      <c r="B5929" s="41">
        <v>4621</v>
      </c>
      <c r="C5929" s="54">
        <v>13325</v>
      </c>
      <c r="D5929" s="54" t="s">
        <v>45</v>
      </c>
      <c r="E5929" s="54" t="s">
        <v>1298</v>
      </c>
      <c r="F5929" s="54" t="s">
        <v>3686</v>
      </c>
      <c r="G5929" s="54" t="s">
        <v>18060</v>
      </c>
      <c r="H5929" s="54" t="s">
        <v>18061</v>
      </c>
      <c r="I5929" s="43">
        <v>12</v>
      </c>
      <c r="J5929" s="44" t="str">
        <f>VLOOKUP(G5929,[1]硬件清单!$F:$F,1,0)</f>
        <v>J301DX2X</v>
      </c>
      <c r="K5929" s="43"/>
      <c r="L5929" s="44"/>
      <c r="M5929" s="45" t="s">
        <v>18062</v>
      </c>
    </row>
    <row r="5930" s="29" customFormat="1" ht="30" customHeight="1" spans="1:13">
      <c r="A5930" s="41">
        <f>IF(C5930="","",SUBTOTAL(103,$C$2:C5930))</f>
        <v>5921</v>
      </c>
      <c r="B5930" s="41">
        <v>4622</v>
      </c>
      <c r="C5930" s="54">
        <v>13324</v>
      </c>
      <c r="D5930" s="54" t="s">
        <v>45</v>
      </c>
      <c r="E5930" s="54" t="s">
        <v>1298</v>
      </c>
      <c r="F5930" s="54" t="s">
        <v>3686</v>
      </c>
      <c r="G5930" s="54" t="s">
        <v>18063</v>
      </c>
      <c r="H5930" s="54" t="s">
        <v>18064</v>
      </c>
      <c r="I5930" s="43">
        <v>12</v>
      </c>
      <c r="J5930" s="44" t="str">
        <f>VLOOKUP(G5930,[1]硬件清单!$F:$F,1,0)</f>
        <v>J301DX2W</v>
      </c>
      <c r="K5930" s="43"/>
      <c r="L5930" s="44"/>
      <c r="M5930" s="45" t="s">
        <v>18065</v>
      </c>
    </row>
    <row r="5931" s="29" customFormat="1" ht="30" customHeight="1" spans="1:13">
      <c r="A5931" s="41">
        <f>IF(C5931="","",SUBTOTAL(103,$C$2:C5931))</f>
        <v>5922</v>
      </c>
      <c r="B5931" s="41">
        <v>4623</v>
      </c>
      <c r="C5931" s="54">
        <v>13078</v>
      </c>
      <c r="D5931" s="54" t="s">
        <v>3602</v>
      </c>
      <c r="E5931" s="54" t="s">
        <v>3603</v>
      </c>
      <c r="F5931" s="54" t="s">
        <v>3604</v>
      </c>
      <c r="G5931" s="54" t="s">
        <v>18066</v>
      </c>
      <c r="H5931" s="54" t="s">
        <v>18067</v>
      </c>
      <c r="I5931" s="43">
        <v>12</v>
      </c>
      <c r="J5931" s="44" t="str">
        <f>VLOOKUP(G5931,[1]硬件清单!$F:$F,1,0)</f>
        <v>0191103201699</v>
      </c>
      <c r="K5931" s="43"/>
      <c r="L5931" s="44"/>
      <c r="M5931" s="45" t="s">
        <v>18068</v>
      </c>
    </row>
    <row r="5932" s="29" customFormat="1" ht="30" customHeight="1" spans="1:13">
      <c r="A5932" s="41">
        <f>IF(C5932="","",SUBTOTAL(103,$C$2:C5932))</f>
        <v>5923</v>
      </c>
      <c r="B5932" s="41">
        <v>4624</v>
      </c>
      <c r="C5932" s="54">
        <v>13320</v>
      </c>
      <c r="D5932" s="54" t="s">
        <v>45</v>
      </c>
      <c r="E5932" s="54" t="s">
        <v>1298</v>
      </c>
      <c r="F5932" s="54" t="s">
        <v>15613</v>
      </c>
      <c r="G5932" s="54" t="s">
        <v>18069</v>
      </c>
      <c r="H5932" s="54" t="s">
        <v>18070</v>
      </c>
      <c r="I5932" s="43">
        <v>12</v>
      </c>
      <c r="J5932" s="44" t="str">
        <f>VLOOKUP(G5932,[1]硬件清单!$F:$F,1,0)</f>
        <v>219556000</v>
      </c>
      <c r="K5932" s="43"/>
      <c r="L5932" s="44"/>
      <c r="M5932" s="45" t="s">
        <v>18071</v>
      </c>
    </row>
    <row r="5933" s="29" customFormat="1" ht="30" customHeight="1" spans="1:13">
      <c r="A5933" s="41">
        <f>IF(C5933="","",SUBTOTAL(103,$C$2:C5933))</f>
        <v>5924</v>
      </c>
      <c r="B5933" s="41">
        <v>4625</v>
      </c>
      <c r="C5933" s="54">
        <v>13321</v>
      </c>
      <c r="D5933" s="54" t="s">
        <v>45</v>
      </c>
      <c r="E5933" s="54" t="s">
        <v>1298</v>
      </c>
      <c r="F5933" s="54" t="s">
        <v>15613</v>
      </c>
      <c r="G5933" s="54" t="s">
        <v>18072</v>
      </c>
      <c r="H5933" s="54" t="s">
        <v>18073</v>
      </c>
      <c r="I5933" s="43">
        <v>12</v>
      </c>
      <c r="J5933" s="44" t="str">
        <f>VLOOKUP(G5933,[1]硬件清单!$F:$F,1,0)</f>
        <v>219556001</v>
      </c>
      <c r="K5933" s="43"/>
      <c r="L5933" s="44"/>
      <c r="M5933" s="45" t="s">
        <v>18074</v>
      </c>
    </row>
    <row r="5934" s="29" customFormat="1" ht="30" customHeight="1" spans="1:13">
      <c r="A5934" s="41">
        <f>IF(C5934="","",SUBTOTAL(103,$C$2:C5934))</f>
        <v>5925</v>
      </c>
      <c r="B5934" s="41">
        <v>4626</v>
      </c>
      <c r="C5934" s="54">
        <v>13322</v>
      </c>
      <c r="D5934" s="54" t="s">
        <v>45</v>
      </c>
      <c r="E5934" s="54" t="s">
        <v>1298</v>
      </c>
      <c r="F5934" s="54" t="s">
        <v>15613</v>
      </c>
      <c r="G5934" s="54" t="s">
        <v>18075</v>
      </c>
      <c r="H5934" s="54" t="s">
        <v>18076</v>
      </c>
      <c r="I5934" s="43">
        <v>12</v>
      </c>
      <c r="J5934" s="44" t="str">
        <f>VLOOKUP(G5934,[1]硬件清单!$F:$F,1,0)</f>
        <v>219555996</v>
      </c>
      <c r="K5934" s="43"/>
      <c r="L5934" s="44"/>
      <c r="M5934" s="45" t="s">
        <v>18077</v>
      </c>
    </row>
    <row r="5935" s="29" customFormat="1" ht="30" customHeight="1" spans="1:13">
      <c r="A5935" s="41">
        <f>IF(C5935="","",SUBTOTAL(103,$C$2:C5935))</f>
        <v>5926</v>
      </c>
      <c r="B5935" s="41">
        <v>4627</v>
      </c>
      <c r="C5935" s="54">
        <v>13323</v>
      </c>
      <c r="D5935" s="54" t="s">
        <v>45</v>
      </c>
      <c r="E5935" s="54" t="s">
        <v>1298</v>
      </c>
      <c r="F5935" s="54" t="s">
        <v>15613</v>
      </c>
      <c r="G5935" s="54" t="s">
        <v>18078</v>
      </c>
      <c r="H5935" s="54" t="s">
        <v>18079</v>
      </c>
      <c r="I5935" s="43">
        <v>12</v>
      </c>
      <c r="J5935" s="44" t="str">
        <f>VLOOKUP(G5935,[1]硬件清单!$F:$F,1,0)</f>
        <v>219555997</v>
      </c>
      <c r="K5935" s="43"/>
      <c r="L5935" s="44"/>
      <c r="M5935" s="45" t="s">
        <v>18080</v>
      </c>
    </row>
    <row r="5936" s="29" customFormat="1" ht="30" customHeight="1" spans="1:13">
      <c r="A5936" s="41">
        <f>IF(C5936="","",SUBTOTAL(103,$C$2:C5936))</f>
        <v>5927</v>
      </c>
      <c r="B5936" s="41">
        <v>4628</v>
      </c>
      <c r="C5936" s="54">
        <v>13037</v>
      </c>
      <c r="D5936" s="54" t="s">
        <v>45</v>
      </c>
      <c r="E5936" s="54" t="s">
        <v>1298</v>
      </c>
      <c r="F5936" s="54" t="s">
        <v>15613</v>
      </c>
      <c r="G5936" s="54" t="s">
        <v>18081</v>
      </c>
      <c r="H5936" s="54" t="s">
        <v>18082</v>
      </c>
      <c r="I5936" s="43">
        <v>12</v>
      </c>
      <c r="J5936" s="44" t="str">
        <f>VLOOKUP(G5936,[1]硬件清单!$F:$F,1,0)</f>
        <v>219555998</v>
      </c>
      <c r="K5936" s="43"/>
      <c r="L5936" s="44"/>
      <c r="M5936" s="45" t="s">
        <v>18083</v>
      </c>
    </row>
    <row r="5937" s="29" customFormat="1" ht="30" customHeight="1" spans="1:13">
      <c r="A5937" s="41">
        <f>IF(C5937="","",SUBTOTAL(103,$C$2:C5937))</f>
        <v>5928</v>
      </c>
      <c r="B5937" s="41">
        <v>4629</v>
      </c>
      <c r="C5937" s="54">
        <v>13038</v>
      </c>
      <c r="D5937" s="54" t="s">
        <v>45</v>
      </c>
      <c r="E5937" s="54" t="s">
        <v>1298</v>
      </c>
      <c r="F5937" s="54" t="s">
        <v>15613</v>
      </c>
      <c r="G5937" s="54" t="s">
        <v>18084</v>
      </c>
      <c r="H5937" s="54" t="s">
        <v>18085</v>
      </c>
      <c r="I5937" s="43">
        <v>12</v>
      </c>
      <c r="J5937" s="44" t="str">
        <f>VLOOKUP(G5937,[1]硬件清单!$F:$F,1,0)</f>
        <v>219555999</v>
      </c>
      <c r="K5937" s="43"/>
      <c r="L5937" s="44"/>
      <c r="M5937" s="45" t="s">
        <v>18086</v>
      </c>
    </row>
    <row r="5938" s="29" customFormat="1" ht="30" customHeight="1" spans="1:13">
      <c r="A5938" s="41">
        <f>IF(C5938="","",SUBTOTAL(103,$C$2:C5938))</f>
        <v>5929</v>
      </c>
      <c r="B5938" s="41">
        <v>4630</v>
      </c>
      <c r="C5938" s="54">
        <v>13039</v>
      </c>
      <c r="D5938" s="54" t="s">
        <v>45</v>
      </c>
      <c r="E5938" s="54" t="s">
        <v>1298</v>
      </c>
      <c r="F5938" s="54" t="s">
        <v>15613</v>
      </c>
      <c r="G5938" s="54" t="s">
        <v>18087</v>
      </c>
      <c r="H5938" s="54" t="s">
        <v>18088</v>
      </c>
      <c r="I5938" s="43">
        <v>12</v>
      </c>
      <c r="J5938" s="44" t="str">
        <f>VLOOKUP(G5938,[1]硬件清单!$F:$F,1,0)</f>
        <v>219556002</v>
      </c>
      <c r="K5938" s="43"/>
      <c r="L5938" s="44"/>
      <c r="M5938" s="45" t="s">
        <v>18089</v>
      </c>
    </row>
    <row r="5939" s="29" customFormat="1" ht="30" customHeight="1" spans="1:13">
      <c r="A5939" s="41">
        <f>IF(C5939="","",SUBTOTAL(103,$C$2:C5939))</f>
        <v>5930</v>
      </c>
      <c r="B5939" s="41">
        <v>4631</v>
      </c>
      <c r="C5939" s="54">
        <v>13040</v>
      </c>
      <c r="D5939" s="54" t="s">
        <v>45</v>
      </c>
      <c r="E5939" s="54" t="s">
        <v>1298</v>
      </c>
      <c r="F5939" s="54" t="s">
        <v>15613</v>
      </c>
      <c r="G5939" s="54" t="s">
        <v>18090</v>
      </c>
      <c r="H5939" s="54" t="s">
        <v>18091</v>
      </c>
      <c r="I5939" s="43">
        <v>12</v>
      </c>
      <c r="J5939" s="44" t="str">
        <f>VLOOKUP(G5939,[1]硬件清单!$F:$F,1,0)</f>
        <v>219556003</v>
      </c>
      <c r="K5939" s="43"/>
      <c r="L5939" s="44"/>
      <c r="M5939" s="45" t="s">
        <v>18092</v>
      </c>
    </row>
    <row r="5940" s="29" customFormat="1" ht="30" customHeight="1" spans="1:13">
      <c r="A5940" s="41">
        <f>IF(C5940="","",SUBTOTAL(103,$C$2:C5940))</f>
        <v>5931</v>
      </c>
      <c r="B5940" s="41">
        <v>4632</v>
      </c>
      <c r="C5940" s="54">
        <v>13312</v>
      </c>
      <c r="D5940" s="54" t="s">
        <v>45</v>
      </c>
      <c r="E5940" s="54" t="s">
        <v>1298</v>
      </c>
      <c r="F5940" s="54" t="s">
        <v>15613</v>
      </c>
      <c r="G5940" s="54" t="s">
        <v>18093</v>
      </c>
      <c r="H5940" s="54" t="s">
        <v>18094</v>
      </c>
      <c r="I5940" s="43">
        <v>12</v>
      </c>
      <c r="J5940" s="44" t="str">
        <f>VLOOKUP(G5940,[1]硬件清单!$F:$F,1,0)</f>
        <v>219555773</v>
      </c>
      <c r="K5940" s="43"/>
      <c r="L5940" s="44"/>
      <c r="M5940" s="45" t="s">
        <v>18095</v>
      </c>
    </row>
    <row r="5941" s="29" customFormat="1" ht="30" customHeight="1" spans="1:13">
      <c r="A5941" s="41">
        <f>IF(C5941="","",SUBTOTAL(103,$C$2:C5941))</f>
        <v>5932</v>
      </c>
      <c r="B5941" s="41">
        <v>4633</v>
      </c>
      <c r="C5941" s="54">
        <v>13313</v>
      </c>
      <c r="D5941" s="54" t="s">
        <v>45</v>
      </c>
      <c r="E5941" s="54" t="s">
        <v>1298</v>
      </c>
      <c r="F5941" s="54" t="s">
        <v>15613</v>
      </c>
      <c r="G5941" s="54" t="s">
        <v>18096</v>
      </c>
      <c r="H5941" s="54" t="s">
        <v>18097</v>
      </c>
      <c r="I5941" s="43">
        <v>12</v>
      </c>
      <c r="J5941" s="44" t="str">
        <f>VLOOKUP(G5941,[1]硬件清单!$F:$F,1,0)</f>
        <v>219555774</v>
      </c>
      <c r="K5941" s="43"/>
      <c r="L5941" s="44"/>
      <c r="M5941" s="45" t="s">
        <v>18098</v>
      </c>
    </row>
    <row r="5942" s="29" customFormat="1" ht="30" customHeight="1" spans="1:13">
      <c r="A5942" s="41">
        <f>IF(C5942="","",SUBTOTAL(103,$C$2:C5942))</f>
        <v>5933</v>
      </c>
      <c r="B5942" s="41">
        <v>4634</v>
      </c>
      <c r="C5942" s="54">
        <v>13317</v>
      </c>
      <c r="D5942" s="54" t="s">
        <v>45</v>
      </c>
      <c r="E5942" s="54" t="s">
        <v>1298</v>
      </c>
      <c r="F5942" s="54" t="s">
        <v>15613</v>
      </c>
      <c r="G5942" s="54" t="s">
        <v>18099</v>
      </c>
      <c r="H5942" s="54" t="s">
        <v>18100</v>
      </c>
      <c r="I5942" s="43">
        <v>12</v>
      </c>
      <c r="J5942" s="44" t="str">
        <f>VLOOKUP(G5942,[1]硬件清单!$F:$F,1,0)</f>
        <v>219555775</v>
      </c>
      <c r="K5942" s="43"/>
      <c r="L5942" s="44"/>
      <c r="M5942" s="45" t="s">
        <v>18101</v>
      </c>
    </row>
    <row r="5943" s="29" customFormat="1" ht="30" customHeight="1" spans="1:13">
      <c r="A5943" s="41">
        <f>IF(C5943="","",SUBTOTAL(103,$C$2:C5943))</f>
        <v>5934</v>
      </c>
      <c r="B5943" s="41">
        <v>4635</v>
      </c>
      <c r="C5943" s="54">
        <v>13318</v>
      </c>
      <c r="D5943" s="54" t="s">
        <v>45</v>
      </c>
      <c r="E5943" s="54" t="s">
        <v>1298</v>
      </c>
      <c r="F5943" s="54" t="s">
        <v>15613</v>
      </c>
      <c r="G5943" s="54" t="s">
        <v>18102</v>
      </c>
      <c r="H5943" s="54" t="s">
        <v>18103</v>
      </c>
      <c r="I5943" s="43">
        <v>12</v>
      </c>
      <c r="J5943" s="44" t="str">
        <f>VLOOKUP(G5943,[1]硬件清单!$F:$F,1,0)</f>
        <v>219555776</v>
      </c>
      <c r="K5943" s="43"/>
      <c r="L5943" s="44"/>
      <c r="M5943" s="45" t="s">
        <v>18104</v>
      </c>
    </row>
    <row r="5944" s="29" customFormat="1" ht="30" customHeight="1" spans="1:13">
      <c r="A5944" s="41">
        <f>IF(C5944="","",SUBTOTAL(103,$C$2:C5944))</f>
        <v>5935</v>
      </c>
      <c r="B5944" s="41">
        <v>4636</v>
      </c>
      <c r="C5944" s="54">
        <v>13319</v>
      </c>
      <c r="D5944" s="54" t="s">
        <v>45</v>
      </c>
      <c r="E5944" s="54" t="s">
        <v>1298</v>
      </c>
      <c r="F5944" s="54" t="s">
        <v>15613</v>
      </c>
      <c r="G5944" s="54" t="s">
        <v>18105</v>
      </c>
      <c r="H5944" s="54" t="s">
        <v>18106</v>
      </c>
      <c r="I5944" s="43">
        <v>12</v>
      </c>
      <c r="J5944" s="44" t="str">
        <f>VLOOKUP(G5944,[1]硬件清单!$F:$F,1,0)</f>
        <v>219555777</v>
      </c>
      <c r="K5944" s="43"/>
      <c r="L5944" s="44"/>
      <c r="M5944" s="45" t="s">
        <v>18107</v>
      </c>
    </row>
    <row r="5945" s="29" customFormat="1" ht="30" customHeight="1" spans="1:13">
      <c r="A5945" s="41">
        <f>IF(C5945="","",SUBTOTAL(103,$C$2:C5945))</f>
        <v>5936</v>
      </c>
      <c r="B5945" s="41">
        <v>4637</v>
      </c>
      <c r="C5945" s="54">
        <v>13203</v>
      </c>
      <c r="D5945" s="54" t="s">
        <v>45</v>
      </c>
      <c r="E5945" s="54" t="s">
        <v>1298</v>
      </c>
      <c r="F5945" s="54" t="s">
        <v>15613</v>
      </c>
      <c r="G5945" s="54" t="s">
        <v>18108</v>
      </c>
      <c r="H5945" s="54" t="s">
        <v>18109</v>
      </c>
      <c r="I5945" s="43">
        <v>12</v>
      </c>
      <c r="J5945" s="44" t="str">
        <f>VLOOKUP(G5945,[1]硬件清单!$F:$F,1,0)</f>
        <v>219555778</v>
      </c>
      <c r="K5945" s="43"/>
      <c r="L5945" s="44"/>
      <c r="M5945" s="45" t="s">
        <v>18110</v>
      </c>
    </row>
    <row r="5946" s="29" customFormat="1" ht="30" customHeight="1" spans="1:13">
      <c r="A5946" s="41">
        <f>IF(C5946="","",SUBTOTAL(103,$C$2:C5946))</f>
        <v>5937</v>
      </c>
      <c r="B5946" s="41">
        <v>4638</v>
      </c>
      <c r="C5946" s="54">
        <v>13204</v>
      </c>
      <c r="D5946" s="54" t="s">
        <v>45</v>
      </c>
      <c r="E5946" s="54" t="s">
        <v>1298</v>
      </c>
      <c r="F5946" s="54" t="s">
        <v>15613</v>
      </c>
      <c r="G5946" s="54" t="s">
        <v>18111</v>
      </c>
      <c r="H5946" s="54" t="s">
        <v>18112</v>
      </c>
      <c r="I5946" s="43">
        <v>12</v>
      </c>
      <c r="J5946" s="44" t="str">
        <f>VLOOKUP(G5946,[1]硬件清单!$F:$F,1,0)</f>
        <v>219555779</v>
      </c>
      <c r="K5946" s="43"/>
      <c r="L5946" s="44"/>
      <c r="M5946" s="45" t="s">
        <v>18113</v>
      </c>
    </row>
    <row r="5947" s="29" customFormat="1" ht="30" customHeight="1" spans="1:13">
      <c r="A5947" s="41">
        <f>IF(C5947="","",SUBTOTAL(103,$C$2:C5947))</f>
        <v>5938</v>
      </c>
      <c r="B5947" s="41">
        <v>4639</v>
      </c>
      <c r="C5947" s="54">
        <v>13205</v>
      </c>
      <c r="D5947" s="54" t="s">
        <v>45</v>
      </c>
      <c r="E5947" s="54" t="s">
        <v>1298</v>
      </c>
      <c r="F5947" s="54" t="s">
        <v>15613</v>
      </c>
      <c r="G5947" s="54" t="s">
        <v>18114</v>
      </c>
      <c r="H5947" s="54" t="s">
        <v>18115</v>
      </c>
      <c r="I5947" s="43">
        <v>12</v>
      </c>
      <c r="J5947" s="44" t="str">
        <f>VLOOKUP(G5947,[1]硬件清单!$F:$F,1,0)</f>
        <v>219555780</v>
      </c>
      <c r="K5947" s="43"/>
      <c r="L5947" s="44"/>
      <c r="M5947" s="45" t="s">
        <v>18116</v>
      </c>
    </row>
    <row r="5948" s="29" customFormat="1" ht="30" customHeight="1" spans="1:13">
      <c r="A5948" s="41">
        <f>IF(C5948="","",SUBTOTAL(103,$C$2:C5948))</f>
        <v>5939</v>
      </c>
      <c r="B5948" s="41">
        <v>4640</v>
      </c>
      <c r="C5948" s="54">
        <v>11107</v>
      </c>
      <c r="D5948" s="54" t="s">
        <v>19</v>
      </c>
      <c r="E5948" s="54" t="s">
        <v>20</v>
      </c>
      <c r="F5948" s="54" t="s">
        <v>10023</v>
      </c>
      <c r="G5948" s="54" t="s">
        <v>18117</v>
      </c>
      <c r="H5948" s="54" t="s">
        <v>18118</v>
      </c>
      <c r="I5948" s="43">
        <v>12</v>
      </c>
      <c r="J5948" s="44" t="str">
        <f>VLOOKUP(G5948,[1]硬件清单!$F:$F,1,0)</f>
        <v>210235A1DWH149000155</v>
      </c>
      <c r="K5948" s="43"/>
      <c r="L5948" s="44"/>
      <c r="M5948" s="47" t="s">
        <v>18119</v>
      </c>
    </row>
    <row r="5949" s="29" customFormat="1" ht="30" customHeight="1" spans="1:13">
      <c r="A5949" s="41">
        <f>IF(C5949="","",SUBTOTAL(103,$C$2:C5949))</f>
        <v>5940</v>
      </c>
      <c r="B5949" s="41">
        <v>4641</v>
      </c>
      <c r="C5949" s="54">
        <v>11106</v>
      </c>
      <c r="D5949" s="54" t="s">
        <v>19</v>
      </c>
      <c r="E5949" s="54" t="s">
        <v>20</v>
      </c>
      <c r="F5949" s="54" t="s">
        <v>10023</v>
      </c>
      <c r="G5949" s="54" t="s">
        <v>18120</v>
      </c>
      <c r="H5949" s="54" t="s">
        <v>18121</v>
      </c>
      <c r="I5949" s="43">
        <v>12</v>
      </c>
      <c r="J5949" s="44" t="str">
        <f>VLOOKUP(G5949,[1]硬件清单!$F:$F,1,0)</f>
        <v>210235A1DWH149000097</v>
      </c>
      <c r="K5949" s="43"/>
      <c r="L5949" s="44"/>
      <c r="M5949" s="45" t="s">
        <v>18122</v>
      </c>
    </row>
    <row r="5950" s="29" customFormat="1" ht="30" customHeight="1" spans="1:13">
      <c r="A5950" s="41">
        <f>IF(C5950="","",SUBTOTAL(103,$C$2:C5950))</f>
        <v>5941</v>
      </c>
      <c r="B5950" s="41">
        <v>4642</v>
      </c>
      <c r="C5950" s="54">
        <v>4668</v>
      </c>
      <c r="D5950" s="54" t="s">
        <v>3602</v>
      </c>
      <c r="E5950" s="54" t="s">
        <v>3603</v>
      </c>
      <c r="F5950" s="42" t="s">
        <v>9498</v>
      </c>
      <c r="G5950" s="54" t="s">
        <v>18123</v>
      </c>
      <c r="H5950" s="54" t="s">
        <v>18124</v>
      </c>
      <c r="I5950" s="43">
        <v>12</v>
      </c>
      <c r="J5950" s="44" t="str">
        <f>VLOOKUP(G5950,[1]硬件清单!$F:$F,1,0)</f>
        <v>170902201574</v>
      </c>
      <c r="K5950" s="43"/>
      <c r="L5950" s="44"/>
      <c r="M5950" s="45" t="s">
        <v>18125</v>
      </c>
    </row>
    <row r="5951" s="29" customFormat="1" ht="30" customHeight="1" spans="1:13">
      <c r="A5951" s="41">
        <f>IF(C5951="","",SUBTOTAL(103,$C$2:C5951))</f>
        <v>5942</v>
      </c>
      <c r="B5951" s="41">
        <v>4643</v>
      </c>
      <c r="C5951" s="54">
        <v>4972</v>
      </c>
      <c r="D5951" s="54" t="s">
        <v>3602</v>
      </c>
      <c r="E5951" s="54" t="s">
        <v>3603</v>
      </c>
      <c r="F5951" s="42" t="s">
        <v>9498</v>
      </c>
      <c r="G5951" s="54" t="s">
        <v>18126</v>
      </c>
      <c r="H5951" s="54" t="s">
        <v>18127</v>
      </c>
      <c r="I5951" s="43">
        <v>12</v>
      </c>
      <c r="J5951" s="44" t="str">
        <f>VLOOKUP(G5951,[1]硬件清单!$F:$F,1,0)</f>
        <v>170902201758</v>
      </c>
      <c r="K5951" s="43"/>
      <c r="L5951" s="44"/>
      <c r="M5951" s="45" t="s">
        <v>18128</v>
      </c>
    </row>
    <row r="5952" s="29" customFormat="1" ht="30" customHeight="1" spans="1:13">
      <c r="A5952" s="41">
        <f>IF(C5952="","",SUBTOTAL(103,$C$2:C5952))</f>
        <v>5943</v>
      </c>
      <c r="B5952" s="41">
        <v>4644</v>
      </c>
      <c r="C5952" s="54">
        <v>5379</v>
      </c>
      <c r="D5952" s="54" t="s">
        <v>12</v>
      </c>
      <c r="E5952" s="54" t="s">
        <v>779</v>
      </c>
      <c r="F5952" s="42" t="s">
        <v>12419</v>
      </c>
      <c r="G5952" s="54" t="s">
        <v>776</v>
      </c>
      <c r="H5952" s="54" t="s">
        <v>18129</v>
      </c>
      <c r="I5952" s="43">
        <v>12</v>
      </c>
      <c r="J5952" s="44" t="str">
        <f>VLOOKUP(G5952,[1]硬件清单!$F:$F,1,0)</f>
        <v>无</v>
      </c>
      <c r="K5952" s="43"/>
      <c r="L5952" s="44"/>
      <c r="M5952" s="45" t="s">
        <v>18130</v>
      </c>
    </row>
    <row r="5953" s="29" customFormat="1" ht="30" customHeight="1" spans="1:13">
      <c r="A5953" s="41">
        <f>IF(C5953="","",SUBTOTAL(103,$C$2:C5953))</f>
        <v>5944</v>
      </c>
      <c r="B5953" s="41">
        <v>4645</v>
      </c>
      <c r="C5953" s="54">
        <v>4975</v>
      </c>
      <c r="D5953" s="54" t="s">
        <v>19</v>
      </c>
      <c r="E5953" s="54" t="s">
        <v>20</v>
      </c>
      <c r="F5953" s="54" t="s">
        <v>10050</v>
      </c>
      <c r="G5953" s="54" t="s">
        <v>18131</v>
      </c>
      <c r="H5953" s="54" t="s">
        <v>18132</v>
      </c>
      <c r="I5953" s="43">
        <v>12</v>
      </c>
      <c r="J5953" s="44" t="str">
        <f>VLOOKUP(G5953,[1]硬件清单!$F:$F,1,0)</f>
        <v>210235A1G9H178000006</v>
      </c>
      <c r="K5953" s="43"/>
      <c r="L5953" s="44"/>
      <c r="M5953" s="45" t="s">
        <v>18133</v>
      </c>
    </row>
    <row r="5954" s="29" customFormat="1" ht="30" customHeight="1" spans="1:13">
      <c r="A5954" s="41">
        <f>IF(C5954="","",SUBTOTAL(103,$C$2:C5954))</f>
        <v>5945</v>
      </c>
      <c r="B5954" s="41">
        <v>4646</v>
      </c>
      <c r="C5954" s="54">
        <v>4974</v>
      </c>
      <c r="D5954" s="54" t="s">
        <v>19</v>
      </c>
      <c r="E5954" s="54" t="s">
        <v>20</v>
      </c>
      <c r="F5954" s="54" t="s">
        <v>10050</v>
      </c>
      <c r="G5954" s="54" t="s">
        <v>18131</v>
      </c>
      <c r="H5954" s="54" t="s">
        <v>18134</v>
      </c>
      <c r="I5954" s="43">
        <v>12</v>
      </c>
      <c r="J5954" s="44" t="str">
        <f>VLOOKUP(G5954,[1]硬件清单!$F:$F,1,0)</f>
        <v>210235A1G9H178000006</v>
      </c>
      <c r="K5954" s="43"/>
      <c r="L5954" s="44"/>
      <c r="M5954" s="45" t="s">
        <v>18135</v>
      </c>
    </row>
    <row r="5955" s="29" customFormat="1" ht="30" customHeight="1" spans="1:13">
      <c r="A5955" s="41">
        <f>IF(C5955="","",SUBTOTAL(103,$C$2:C5955))</f>
        <v>5946</v>
      </c>
      <c r="B5955" s="41">
        <v>4647</v>
      </c>
      <c r="C5955" s="54">
        <v>4976</v>
      </c>
      <c r="D5955" s="54" t="s">
        <v>19</v>
      </c>
      <c r="E5955" s="54" t="s">
        <v>20</v>
      </c>
      <c r="F5955" s="54" t="s">
        <v>10050</v>
      </c>
      <c r="G5955" s="54" t="s">
        <v>18136</v>
      </c>
      <c r="H5955" s="54" t="s">
        <v>18137</v>
      </c>
      <c r="I5955" s="43">
        <v>12</v>
      </c>
      <c r="J5955" s="44" t="str">
        <f>VLOOKUP(G5955,[1]硬件清单!$F:$F,1,0)</f>
        <v>210235A1G9H178000038</v>
      </c>
      <c r="K5955" s="43"/>
      <c r="L5955" s="44"/>
      <c r="M5955" s="45" t="s">
        <v>18133</v>
      </c>
    </row>
    <row r="5956" s="29" customFormat="1" ht="30" customHeight="1" spans="1:13">
      <c r="A5956" s="41">
        <f>IF(C5956="","",SUBTOTAL(103,$C$2:C5956))</f>
        <v>5947</v>
      </c>
      <c r="B5956" s="41">
        <v>4648</v>
      </c>
      <c r="C5956" s="54">
        <v>4978</v>
      </c>
      <c r="D5956" s="54" t="s">
        <v>19</v>
      </c>
      <c r="E5956" s="54" t="s">
        <v>20</v>
      </c>
      <c r="F5956" s="54" t="s">
        <v>18138</v>
      </c>
      <c r="G5956" s="54" t="s">
        <v>18139</v>
      </c>
      <c r="H5956" s="54" t="s">
        <v>18140</v>
      </c>
      <c r="I5956" s="43">
        <v>12</v>
      </c>
      <c r="J5956" s="44" t="str">
        <f>VLOOKUP(G5956,[1]硬件清单!$F:$F,1,0)</f>
        <v>210235A1XCH178000186</v>
      </c>
      <c r="K5956" s="43"/>
      <c r="L5956" s="44"/>
      <c r="M5956" s="45" t="s">
        <v>18141</v>
      </c>
    </row>
    <row r="5957" s="29" customFormat="1" ht="30" customHeight="1" spans="1:13">
      <c r="A5957" s="41">
        <f>IF(C5957="","",SUBTOTAL(103,$C$2:C5957))</f>
        <v>5948</v>
      </c>
      <c r="B5957" s="41">
        <v>4649</v>
      </c>
      <c r="C5957" s="54">
        <v>4977</v>
      </c>
      <c r="D5957" s="54" t="s">
        <v>19</v>
      </c>
      <c r="E5957" s="54" t="s">
        <v>20</v>
      </c>
      <c r="F5957" s="54" t="s">
        <v>18138</v>
      </c>
      <c r="G5957" s="54" t="s">
        <v>18142</v>
      </c>
      <c r="H5957" s="54" t="s">
        <v>18143</v>
      </c>
      <c r="I5957" s="43">
        <v>12</v>
      </c>
      <c r="J5957" s="44" t="str">
        <f>VLOOKUP(G5957,[1]硬件清单!$F:$F,1,0)</f>
        <v>210235A1XCH178000194</v>
      </c>
      <c r="K5957" s="43"/>
      <c r="L5957" s="44"/>
      <c r="M5957" s="45" t="s">
        <v>18133</v>
      </c>
    </row>
    <row r="5958" s="29" customFormat="1" ht="30" customHeight="1" spans="1:13">
      <c r="A5958" s="41">
        <f>IF(C5958="","",SUBTOTAL(103,$C$2:C5958))</f>
        <v>5949</v>
      </c>
      <c r="B5958" s="41">
        <v>4650</v>
      </c>
      <c r="C5958" s="54">
        <v>10116</v>
      </c>
      <c r="D5958" s="54" t="s">
        <v>19</v>
      </c>
      <c r="E5958" s="54" t="s">
        <v>20</v>
      </c>
      <c r="F5958" s="54" t="s">
        <v>16235</v>
      </c>
      <c r="G5958" s="54" t="s">
        <v>18144</v>
      </c>
      <c r="H5958" s="54" t="s">
        <v>18145</v>
      </c>
      <c r="I5958" s="43">
        <v>12</v>
      </c>
      <c r="J5958" s="44" t="str">
        <f>VLOOKUP(G5958,[1]硬件清单!$F:$F,1,0)</f>
        <v>210235AOH9H119000168</v>
      </c>
      <c r="K5958" s="43"/>
      <c r="L5958" s="44"/>
      <c r="M5958" s="45" t="s">
        <v>18146</v>
      </c>
    </row>
    <row r="5959" s="29" customFormat="1" ht="30" customHeight="1" spans="1:13">
      <c r="A5959" s="41">
        <f>IF(C5959="","",SUBTOTAL(103,$C$2:C5959))</f>
        <v>5950</v>
      </c>
      <c r="B5959" s="41">
        <v>4651</v>
      </c>
      <c r="C5959" s="54">
        <v>10108</v>
      </c>
      <c r="D5959" s="54" t="s">
        <v>19</v>
      </c>
      <c r="E5959" s="54" t="s">
        <v>20</v>
      </c>
      <c r="F5959" s="54" t="s">
        <v>11422</v>
      </c>
      <c r="G5959" s="54" t="s">
        <v>18147</v>
      </c>
      <c r="H5959" s="54" t="s">
        <v>18148</v>
      </c>
      <c r="I5959" s="43">
        <v>12</v>
      </c>
      <c r="J5959" s="44" t="str">
        <f>VLOOKUP(G5959,[1]硬件清单!$F:$F,1,0)</f>
        <v>210235AOHAH127000069</v>
      </c>
      <c r="K5959" s="43"/>
      <c r="L5959" s="44"/>
      <c r="M5959" s="45" t="s">
        <v>18149</v>
      </c>
    </row>
    <row r="5960" s="29" customFormat="1" ht="30" customHeight="1" spans="1:13">
      <c r="A5960" s="41">
        <f>IF(C5960="","",SUBTOTAL(103,$C$2:C5960))</f>
        <v>5951</v>
      </c>
      <c r="B5960" s="41">
        <v>4652</v>
      </c>
      <c r="C5960" s="54">
        <v>11122</v>
      </c>
      <c r="D5960" s="54" t="s">
        <v>19</v>
      </c>
      <c r="E5960" s="54" t="s">
        <v>20</v>
      </c>
      <c r="F5960" s="54" t="s">
        <v>10772</v>
      </c>
      <c r="G5960" s="54" t="s">
        <v>18150</v>
      </c>
      <c r="H5960" s="54" t="s">
        <v>18151</v>
      </c>
      <c r="I5960" s="43">
        <v>12</v>
      </c>
      <c r="J5960" s="44" t="str">
        <f>VLOOKUP(G5960,[1]硬件清单!$F:$F,1,0)</f>
        <v>FDO1838E09J</v>
      </c>
      <c r="K5960" s="43"/>
      <c r="L5960" s="44"/>
      <c r="M5960" s="45" t="s">
        <v>18152</v>
      </c>
    </row>
    <row r="5961" s="29" customFormat="1" ht="30" customHeight="1" spans="1:13">
      <c r="A5961" s="41">
        <f>IF(C5961="","",SUBTOTAL(103,$C$2:C5961))</f>
        <v>5952</v>
      </c>
      <c r="B5961" s="41">
        <v>4653</v>
      </c>
      <c r="C5961" s="54">
        <v>11123</v>
      </c>
      <c r="D5961" s="54" t="s">
        <v>19</v>
      </c>
      <c r="E5961" s="54" t="s">
        <v>20</v>
      </c>
      <c r="F5961" s="54" t="s">
        <v>10772</v>
      </c>
      <c r="G5961" s="54" t="s">
        <v>18153</v>
      </c>
      <c r="H5961" s="54" t="s">
        <v>18154</v>
      </c>
      <c r="I5961" s="43">
        <v>12</v>
      </c>
      <c r="J5961" s="44" t="str">
        <f>VLOOKUP(G5961,[1]硬件清单!$F:$F,1,0)</f>
        <v>FDO1837E0ZE</v>
      </c>
      <c r="K5961" s="43"/>
      <c r="L5961" s="44"/>
      <c r="M5961" s="47" t="s">
        <v>18155</v>
      </c>
    </row>
    <row r="5962" s="29" customFormat="1" ht="30" customHeight="1" spans="1:13">
      <c r="A5962" s="41">
        <f>IF(C5962="","",SUBTOTAL(103,$C$2:C5962))</f>
        <v>5953</v>
      </c>
      <c r="B5962" s="41">
        <v>4654</v>
      </c>
      <c r="C5962" s="54">
        <v>5376</v>
      </c>
      <c r="D5962" s="54" t="s">
        <v>12</v>
      </c>
      <c r="E5962" s="54" t="s">
        <v>779</v>
      </c>
      <c r="F5962" s="42" t="s">
        <v>12419</v>
      </c>
      <c r="G5962" s="54" t="s">
        <v>776</v>
      </c>
      <c r="H5962" s="54" t="s">
        <v>18156</v>
      </c>
      <c r="I5962" s="43">
        <v>12</v>
      </c>
      <c r="J5962" s="44" t="str">
        <f>VLOOKUP(G5962,[1]硬件清单!$F:$F,1,0)</f>
        <v>无</v>
      </c>
      <c r="K5962" s="43"/>
      <c r="L5962" s="44"/>
      <c r="M5962" s="45" t="s">
        <v>18157</v>
      </c>
    </row>
    <row r="5963" s="29" customFormat="1" ht="30" customHeight="1" spans="1:13">
      <c r="A5963" s="41">
        <f>IF(C5963="","",SUBTOTAL(103,$C$2:C5963))</f>
        <v>5954</v>
      </c>
      <c r="B5963" s="41">
        <v>4655</v>
      </c>
      <c r="C5963" s="54">
        <v>10109</v>
      </c>
      <c r="D5963" s="54" t="s">
        <v>19</v>
      </c>
      <c r="E5963" s="54" t="s">
        <v>20</v>
      </c>
      <c r="F5963" s="54" t="s">
        <v>11422</v>
      </c>
      <c r="G5963" s="54" t="s">
        <v>18158</v>
      </c>
      <c r="H5963" s="54" t="s">
        <v>18159</v>
      </c>
      <c r="I5963" s="43">
        <v>12</v>
      </c>
      <c r="J5963" s="44" t="str">
        <f>VLOOKUP(G5963,[1]硬件清单!$F:$F,1,0)</f>
        <v>210235AOHAH127000105</v>
      </c>
      <c r="K5963" s="43"/>
      <c r="L5963" s="44"/>
      <c r="M5963" s="45" t="s">
        <v>18160</v>
      </c>
    </row>
    <row r="5964" s="29" customFormat="1" ht="30" customHeight="1" spans="1:13">
      <c r="A5964" s="41">
        <f>IF(C5964="","",SUBTOTAL(103,$C$2:C5964))</f>
        <v>5955</v>
      </c>
      <c r="B5964" s="41">
        <v>4656</v>
      </c>
      <c r="C5964" s="55">
        <v>5371</v>
      </c>
      <c r="D5964" s="55" t="s">
        <v>3602</v>
      </c>
      <c r="E5964" s="55" t="s">
        <v>3603</v>
      </c>
      <c r="F5964" s="42" t="s">
        <v>9498</v>
      </c>
      <c r="G5964" s="54" t="s">
        <v>18161</v>
      </c>
      <c r="H5964" s="54" t="s">
        <v>18162</v>
      </c>
      <c r="I5964" s="43">
        <v>12</v>
      </c>
      <c r="J5964" s="44" t="str">
        <f>VLOOKUP(G5964,[1]硬件清单!$F:$F,1,0)</f>
        <v>170902202076</v>
      </c>
      <c r="K5964" s="43"/>
      <c r="L5964" s="44"/>
      <c r="M5964" s="45" t="s">
        <v>18163</v>
      </c>
    </row>
    <row r="5965" s="29" customFormat="1" ht="30" customHeight="1" spans="1:13">
      <c r="A5965" s="41">
        <f>IF(C5965="","",SUBTOTAL(103,$C$2:C5965))</f>
        <v>5956</v>
      </c>
      <c r="B5965" s="41">
        <v>4657</v>
      </c>
      <c r="C5965" s="54">
        <v>4669</v>
      </c>
      <c r="D5965" s="54" t="s">
        <v>3602</v>
      </c>
      <c r="E5965" s="54" t="s">
        <v>3603</v>
      </c>
      <c r="F5965" s="42" t="s">
        <v>9498</v>
      </c>
      <c r="G5965" s="54" t="s">
        <v>18164</v>
      </c>
      <c r="H5965" s="54" t="s">
        <v>18165</v>
      </c>
      <c r="I5965" s="43">
        <v>12</v>
      </c>
      <c r="J5965" s="44" t="str">
        <f>VLOOKUP(G5965,[1]硬件清单!$F:$F,1,0)</f>
        <v>170902202182</v>
      </c>
      <c r="K5965" s="43"/>
      <c r="L5965" s="44"/>
      <c r="M5965" s="45" t="s">
        <v>18163</v>
      </c>
    </row>
    <row r="5966" s="29" customFormat="1" ht="30" customHeight="1" spans="1:13">
      <c r="A5966" s="41">
        <f>IF(C5966="","",SUBTOTAL(103,$C$2:C5966))</f>
        <v>5957</v>
      </c>
      <c r="B5966" s="41">
        <v>4658</v>
      </c>
      <c r="C5966" s="54">
        <v>10118</v>
      </c>
      <c r="D5966" s="54" t="s">
        <v>19</v>
      </c>
      <c r="E5966" s="54" t="s">
        <v>20</v>
      </c>
      <c r="F5966" s="54" t="s">
        <v>16235</v>
      </c>
      <c r="G5966" s="54" t="s">
        <v>18166</v>
      </c>
      <c r="H5966" s="54" t="s">
        <v>18167</v>
      </c>
      <c r="I5966" s="43">
        <v>12</v>
      </c>
      <c r="J5966" s="44" t="str">
        <f>VLOOKUP(G5966,[1]硬件清单!$F:$F,1,0)</f>
        <v>210235AOH9H11A000156</v>
      </c>
      <c r="K5966" s="43"/>
      <c r="L5966" s="44"/>
      <c r="M5966" s="45" t="s">
        <v>18168</v>
      </c>
    </row>
    <row r="5967" s="29" customFormat="1" ht="30" customHeight="1" spans="1:13">
      <c r="A5967" s="41">
        <f>IF(C5967="","",SUBTOTAL(103,$C$2:C5967))</f>
        <v>5958</v>
      </c>
      <c r="B5967" s="41">
        <v>4659</v>
      </c>
      <c r="C5967" s="55">
        <v>10117</v>
      </c>
      <c r="D5967" s="55" t="s">
        <v>19</v>
      </c>
      <c r="E5967" s="55" t="s">
        <v>20</v>
      </c>
      <c r="F5967" s="55" t="s">
        <v>16235</v>
      </c>
      <c r="G5967" s="54" t="s">
        <v>18169</v>
      </c>
      <c r="H5967" s="54" t="s">
        <v>18170</v>
      </c>
      <c r="I5967" s="43">
        <v>12</v>
      </c>
      <c r="J5967" s="44" t="str">
        <f>VLOOKUP(G5967,[1]硬件清单!$F:$F,1,0)</f>
        <v>210235A0HAH163000218</v>
      </c>
      <c r="K5967" s="43"/>
      <c r="L5967" s="44"/>
      <c r="M5967" s="47" t="s">
        <v>18171</v>
      </c>
    </row>
    <row r="5968" s="29" customFormat="1" ht="30" customHeight="1" spans="1:13">
      <c r="A5968" s="41">
        <f>IF(C5968="","",SUBTOTAL(103,$C$2:C5968))</f>
        <v>5959</v>
      </c>
      <c r="B5968" s="41">
        <v>4660</v>
      </c>
      <c r="C5968" s="54">
        <v>5377</v>
      </c>
      <c r="D5968" s="54" t="s">
        <v>12</v>
      </c>
      <c r="E5968" s="54" t="s">
        <v>779</v>
      </c>
      <c r="F5968" s="42" t="s">
        <v>12419</v>
      </c>
      <c r="G5968" s="54" t="s">
        <v>776</v>
      </c>
      <c r="H5968" s="54" t="s">
        <v>18172</v>
      </c>
      <c r="I5968" s="43">
        <v>12</v>
      </c>
      <c r="J5968" s="44" t="str">
        <f>VLOOKUP(G5968,[1]硬件清单!$F:$F,1,0)</f>
        <v>无</v>
      </c>
      <c r="K5968" s="43"/>
      <c r="L5968" s="44"/>
      <c r="M5968" s="45" t="s">
        <v>18173</v>
      </c>
    </row>
    <row r="5969" s="29" customFormat="1" ht="30" customHeight="1" spans="1:13">
      <c r="A5969" s="41">
        <f>IF(C5969="","",SUBTOTAL(103,$C$2:C5969))</f>
        <v>5960</v>
      </c>
      <c r="B5969" s="41">
        <v>4662</v>
      </c>
      <c r="C5969" s="54">
        <v>5105</v>
      </c>
      <c r="D5969" s="54" t="s">
        <v>3602</v>
      </c>
      <c r="E5969" s="54" t="s">
        <v>3603</v>
      </c>
      <c r="F5969" s="42" t="s">
        <v>9498</v>
      </c>
      <c r="G5969" s="54" t="s">
        <v>18174</v>
      </c>
      <c r="H5969" s="54" t="s">
        <v>18175</v>
      </c>
      <c r="I5969" s="43">
        <v>12</v>
      </c>
      <c r="J5969" s="44" t="str">
        <f>VLOOKUP(G5969,[1]硬件清单!$F:$F,1,0)</f>
        <v>170902201635</v>
      </c>
      <c r="K5969" s="43"/>
      <c r="L5969" s="44"/>
      <c r="M5969" s="45" t="s">
        <v>18176</v>
      </c>
    </row>
    <row r="5970" s="29" customFormat="1" ht="30" customHeight="1" spans="1:13">
      <c r="A5970" s="41">
        <f>IF(C5970="","",SUBTOTAL(103,$C$2:C5970))</f>
        <v>5961</v>
      </c>
      <c r="B5970" s="41">
        <v>4663</v>
      </c>
      <c r="C5970" s="54">
        <v>5378</v>
      </c>
      <c r="D5970" s="54" t="s">
        <v>12</v>
      </c>
      <c r="E5970" s="54" t="s">
        <v>779</v>
      </c>
      <c r="F5970" s="42" t="s">
        <v>12419</v>
      </c>
      <c r="G5970" s="54" t="s">
        <v>776</v>
      </c>
      <c r="H5970" s="54" t="s">
        <v>18177</v>
      </c>
      <c r="I5970" s="43">
        <v>12</v>
      </c>
      <c r="J5970" s="44" t="str">
        <f>VLOOKUP(G5970,[1]硬件清单!$F:$F,1,0)</f>
        <v>无</v>
      </c>
      <c r="K5970" s="43"/>
      <c r="L5970" s="44"/>
      <c r="M5970" s="45" t="s">
        <v>18178</v>
      </c>
    </row>
    <row r="5971" s="29" customFormat="1" ht="30" customHeight="1" spans="1:13">
      <c r="A5971" s="41">
        <f>IF(C5971="","",SUBTOTAL(103,$C$2:C5971))</f>
        <v>5962</v>
      </c>
      <c r="B5971" s="41">
        <v>4664</v>
      </c>
      <c r="C5971" s="55">
        <v>12571</v>
      </c>
      <c r="D5971" s="55" t="s">
        <v>45</v>
      </c>
      <c r="E5971" s="55" t="s">
        <v>1298</v>
      </c>
      <c r="F5971" s="55" t="s">
        <v>18179</v>
      </c>
      <c r="G5971" s="54" t="s">
        <v>18180</v>
      </c>
      <c r="H5971" s="54" t="s">
        <v>18181</v>
      </c>
      <c r="I5971" s="43">
        <v>12</v>
      </c>
      <c r="J5971" s="44" t="str">
        <f>VLOOKUP(G5971,[1]硬件清单!$F:$F,1,0)</f>
        <v>3837I01-06EH077</v>
      </c>
      <c r="K5971" s="43"/>
      <c r="L5971" s="44"/>
      <c r="M5971" s="45" t="s">
        <v>18182</v>
      </c>
    </row>
    <row r="5972" s="29" customFormat="1" ht="30" customHeight="1" spans="1:13">
      <c r="A5972" s="41">
        <f>IF(C5972="","",SUBTOTAL(103,$C$2:C5972))</f>
        <v>5963</v>
      </c>
      <c r="B5972" s="41">
        <v>4665</v>
      </c>
      <c r="C5972" s="55">
        <v>12570</v>
      </c>
      <c r="D5972" s="55" t="s">
        <v>45</v>
      </c>
      <c r="E5972" s="55" t="s">
        <v>1298</v>
      </c>
      <c r="F5972" s="55" t="s">
        <v>18179</v>
      </c>
      <c r="G5972" s="54" t="s">
        <v>18183</v>
      </c>
      <c r="H5972" s="54" t="s">
        <v>18184</v>
      </c>
      <c r="I5972" s="43">
        <v>12</v>
      </c>
      <c r="J5972" s="44" t="str">
        <f>VLOOKUP(G5972,[1]硬件清单!$F:$F,1,0)</f>
        <v>3837I01-06EH132</v>
      </c>
      <c r="K5972" s="43"/>
      <c r="L5972" s="44"/>
      <c r="M5972" s="45" t="s">
        <v>18185</v>
      </c>
    </row>
    <row r="5973" s="29" customFormat="1" ht="30" customHeight="1" spans="1:13">
      <c r="A5973" s="41">
        <f>IF(C5973="","",SUBTOTAL(103,$C$2:C5973))</f>
        <v>5964</v>
      </c>
      <c r="B5973" s="41">
        <v>4666</v>
      </c>
      <c r="C5973" s="55">
        <v>11411</v>
      </c>
      <c r="D5973" s="55" t="s">
        <v>12</v>
      </c>
      <c r="E5973" s="55" t="s">
        <v>13</v>
      </c>
      <c r="F5973" s="55" t="s">
        <v>18186</v>
      </c>
      <c r="G5973" s="54" t="s">
        <v>18187</v>
      </c>
      <c r="H5973" s="54" t="s">
        <v>18188</v>
      </c>
      <c r="I5973" s="43">
        <v>12</v>
      </c>
      <c r="J5973" s="44" t="str">
        <f>VLOOKUP(G5973,[1]硬件清单!$F:$F,1,0)</f>
        <v>BK-F01-PD-DC01</v>
      </c>
      <c r="K5973" s="44"/>
      <c r="L5973" s="44"/>
      <c r="M5973" s="45" t="s">
        <v>18189</v>
      </c>
    </row>
    <row r="5974" s="29" customFormat="1" ht="30" customHeight="1" spans="1:13">
      <c r="A5974" s="41">
        <f>IF(C5974="","",SUBTOTAL(103,$C$2:C5974))</f>
        <v>5965</v>
      </c>
      <c r="B5974" s="41">
        <v>4667</v>
      </c>
      <c r="C5974" s="55">
        <v>11412</v>
      </c>
      <c r="D5974" s="55" t="s">
        <v>12</v>
      </c>
      <c r="E5974" s="55" t="s">
        <v>13</v>
      </c>
      <c r="F5974" s="55" t="s">
        <v>18186</v>
      </c>
      <c r="G5974" s="54" t="s">
        <v>18190</v>
      </c>
      <c r="H5974" s="54" t="s">
        <v>18191</v>
      </c>
      <c r="I5974" s="43">
        <v>12</v>
      </c>
      <c r="J5974" s="44" t="str">
        <f>VLOOKUP(G5974,[1]硬件清单!$F:$F,1,0)</f>
        <v>BK-F01-PD-DC02</v>
      </c>
      <c r="K5974" s="44"/>
      <c r="L5974" s="44"/>
      <c r="M5974" s="45" t="s">
        <v>18192</v>
      </c>
    </row>
    <row r="5975" s="29" customFormat="1" ht="30" customHeight="1" spans="1:13">
      <c r="A5975" s="41">
        <f>IF(C5975="","",SUBTOTAL(103,$C$2:C5975))</f>
        <v>5966</v>
      </c>
      <c r="B5975" s="41">
        <v>4668</v>
      </c>
      <c r="C5975" s="54">
        <v>11587</v>
      </c>
      <c r="D5975" s="54" t="s">
        <v>887</v>
      </c>
      <c r="E5975" s="54" t="s">
        <v>888</v>
      </c>
      <c r="F5975" s="54" t="s">
        <v>18193</v>
      </c>
      <c r="G5975" s="54" t="s">
        <v>776</v>
      </c>
      <c r="H5975" s="54" t="s">
        <v>18194</v>
      </c>
      <c r="I5975" s="43">
        <v>12</v>
      </c>
      <c r="J5975" s="44" t="str">
        <f>VLOOKUP(G5975,[1]硬件清单!$F:$F,1,0)</f>
        <v>无</v>
      </c>
      <c r="K5975" s="43"/>
      <c r="L5975" s="44"/>
      <c r="M5975" s="45" t="s">
        <v>9497</v>
      </c>
    </row>
    <row r="5976" s="29" customFormat="1" ht="30" customHeight="1" spans="1:13">
      <c r="A5976" s="41">
        <f>IF(C5976="","",SUBTOTAL(103,$C$2:C5976))</f>
        <v>5967</v>
      </c>
      <c r="B5976" s="41">
        <v>4670</v>
      </c>
      <c r="C5976" s="54">
        <v>1177</v>
      </c>
      <c r="D5976" s="54" t="s">
        <v>45</v>
      </c>
      <c r="E5976" s="54" t="s">
        <v>1298</v>
      </c>
      <c r="F5976" s="54" t="s">
        <v>4197</v>
      </c>
      <c r="G5976" s="54" t="s">
        <v>18195</v>
      </c>
      <c r="H5976" s="54" t="s">
        <v>18196</v>
      </c>
      <c r="I5976" s="43">
        <v>12</v>
      </c>
      <c r="J5976" s="44" t="str">
        <f>VLOOKUP(G5976,[1]硬件清单!$F:$F,1,0)</f>
        <v>J320P3F</v>
      </c>
      <c r="K5976" s="43"/>
      <c r="L5976" s="44"/>
      <c r="M5976" s="45" t="s">
        <v>18197</v>
      </c>
    </row>
    <row r="5977" s="29" customFormat="1" ht="30" customHeight="1" spans="1:13">
      <c r="A5977" s="41">
        <f>IF(C5977="","",SUBTOTAL(103,$C$2:C5977))</f>
        <v>5968</v>
      </c>
      <c r="B5977" s="41">
        <v>4671</v>
      </c>
      <c r="C5977" s="54">
        <v>8905</v>
      </c>
      <c r="D5977" s="54" t="s">
        <v>45</v>
      </c>
      <c r="E5977" s="54" t="s">
        <v>1298</v>
      </c>
      <c r="F5977" s="54" t="s">
        <v>8426</v>
      </c>
      <c r="G5977" s="54" t="s">
        <v>18198</v>
      </c>
      <c r="H5977" s="54" t="s">
        <v>18199</v>
      </c>
      <c r="I5977" s="43">
        <v>12</v>
      </c>
      <c r="J5977" s="44" t="str">
        <f>VLOOKUP(G5977,[1]硬件清单!$F:$F,1,0)</f>
        <v>06ACPE6</v>
      </c>
      <c r="K5977" s="43"/>
      <c r="L5977" s="44"/>
      <c r="M5977" s="45" t="s">
        <v>18200</v>
      </c>
    </row>
    <row r="5978" s="29" customFormat="1" ht="30" customHeight="1" spans="1:13">
      <c r="A5978" s="41">
        <f>IF(C5978="","",SUBTOTAL(103,$C$2:C5978))</f>
        <v>5969</v>
      </c>
      <c r="B5978" s="41">
        <v>4672</v>
      </c>
      <c r="C5978" s="54">
        <v>8906</v>
      </c>
      <c r="D5978" s="54" t="s">
        <v>45</v>
      </c>
      <c r="E5978" s="54" t="s">
        <v>1298</v>
      </c>
      <c r="F5978" s="54" t="s">
        <v>8426</v>
      </c>
      <c r="G5978" s="54" t="s">
        <v>18201</v>
      </c>
      <c r="H5978" s="54" t="s">
        <v>18202</v>
      </c>
      <c r="I5978" s="43">
        <v>12</v>
      </c>
      <c r="J5978" s="44" t="str">
        <f>VLOOKUP(G5978,[1]硬件清单!$F:$F,1,0)</f>
        <v>06ACPX2</v>
      </c>
      <c r="K5978" s="43"/>
      <c r="L5978" s="44"/>
      <c r="M5978" s="45" t="s">
        <v>18203</v>
      </c>
    </row>
    <row r="5979" s="29" customFormat="1" ht="30" customHeight="1" spans="1:13">
      <c r="A5979" s="41">
        <f>IF(C5979="","",SUBTOTAL(103,$C$2:C5979))</f>
        <v>5970</v>
      </c>
      <c r="B5979" s="41">
        <v>4673</v>
      </c>
      <c r="C5979" s="54">
        <v>8907</v>
      </c>
      <c r="D5979" s="54" t="s">
        <v>45</v>
      </c>
      <c r="E5979" s="54" t="s">
        <v>1298</v>
      </c>
      <c r="F5979" s="54" t="s">
        <v>8426</v>
      </c>
      <c r="G5979" s="54" t="s">
        <v>18204</v>
      </c>
      <c r="H5979" s="54" t="s">
        <v>18205</v>
      </c>
      <c r="I5979" s="43">
        <v>12</v>
      </c>
      <c r="J5979" s="44" t="str">
        <f>VLOOKUP(G5979,[1]硬件清单!$F:$F,1,0)</f>
        <v>06ACPH3</v>
      </c>
      <c r="K5979" s="43"/>
      <c r="L5979" s="44"/>
      <c r="M5979" s="45" t="s">
        <v>18206</v>
      </c>
    </row>
    <row r="5980" s="29" customFormat="1" ht="30" customHeight="1" spans="1:13">
      <c r="A5980" s="41">
        <f>IF(C5980="","",SUBTOTAL(103,$C$2:C5980))</f>
        <v>5971</v>
      </c>
      <c r="B5980" s="41">
        <v>4674</v>
      </c>
      <c r="C5980" s="54">
        <v>8908</v>
      </c>
      <c r="D5980" s="54" t="s">
        <v>45</v>
      </c>
      <c r="E5980" s="54" t="s">
        <v>1298</v>
      </c>
      <c r="F5980" s="54" t="s">
        <v>8426</v>
      </c>
      <c r="G5980" s="54" t="s">
        <v>18207</v>
      </c>
      <c r="H5980" s="54" t="s">
        <v>18208</v>
      </c>
      <c r="I5980" s="43">
        <v>12</v>
      </c>
      <c r="J5980" s="44" t="str">
        <f>VLOOKUP(G5980,[1]硬件清单!$F:$F,1,0)</f>
        <v>06ACNZ2</v>
      </c>
      <c r="K5980" s="43"/>
      <c r="L5980" s="44"/>
      <c r="M5980" s="45" t="s">
        <v>18209</v>
      </c>
    </row>
    <row r="5981" s="29" customFormat="1" ht="30" customHeight="1" spans="1:13">
      <c r="A5981" s="41">
        <f>IF(C5981="","",SUBTOTAL(103,$C$2:C5981))</f>
        <v>5972</v>
      </c>
      <c r="B5981" s="41">
        <v>4675</v>
      </c>
      <c r="C5981" s="54">
        <v>8909</v>
      </c>
      <c r="D5981" s="54" t="s">
        <v>45</v>
      </c>
      <c r="E5981" s="54" t="s">
        <v>1298</v>
      </c>
      <c r="F5981" s="54" t="s">
        <v>8426</v>
      </c>
      <c r="G5981" s="54" t="s">
        <v>18210</v>
      </c>
      <c r="H5981" s="54" t="s">
        <v>18211</v>
      </c>
      <c r="I5981" s="43">
        <v>12</v>
      </c>
      <c r="J5981" s="44" t="str">
        <f>VLOOKUP(G5981,[1]硬件清单!$F:$F,1,0)</f>
        <v>06ACNW5</v>
      </c>
      <c r="K5981" s="43"/>
      <c r="L5981" s="44"/>
      <c r="M5981" s="45" t="s">
        <v>18212</v>
      </c>
    </row>
    <row r="5982" s="29" customFormat="1" ht="30" customHeight="1" spans="1:13">
      <c r="A5982" s="41">
        <f>IF(C5982="","",SUBTOTAL(103,$C$2:C5982))</f>
        <v>5973</v>
      </c>
      <c r="B5982" s="41">
        <v>4676</v>
      </c>
      <c r="C5982" s="54">
        <v>8910</v>
      </c>
      <c r="D5982" s="54" t="s">
        <v>45</v>
      </c>
      <c r="E5982" s="54" t="s">
        <v>1298</v>
      </c>
      <c r="F5982" s="54" t="s">
        <v>8426</v>
      </c>
      <c r="G5982" s="54" t="s">
        <v>18213</v>
      </c>
      <c r="H5982" s="54" t="s">
        <v>18214</v>
      </c>
      <c r="I5982" s="43">
        <v>12</v>
      </c>
      <c r="J5982" s="44" t="str">
        <f>VLOOKUP(G5982,[1]硬件清单!$F:$F,1,0)</f>
        <v>06ACPE8</v>
      </c>
      <c r="K5982" s="43"/>
      <c r="L5982" s="44"/>
      <c r="M5982" s="45" t="s">
        <v>18215</v>
      </c>
    </row>
    <row r="5983" s="29" customFormat="1" ht="30" customHeight="1" spans="1:13">
      <c r="A5983" s="41">
        <f>IF(C5983="","",SUBTOTAL(103,$C$2:C5983))</f>
        <v>5974</v>
      </c>
      <c r="B5983" s="41">
        <v>4677</v>
      </c>
      <c r="C5983" s="54">
        <v>8911</v>
      </c>
      <c r="D5983" s="54" t="s">
        <v>45</v>
      </c>
      <c r="E5983" s="54" t="s">
        <v>1298</v>
      </c>
      <c r="F5983" s="54" t="s">
        <v>8426</v>
      </c>
      <c r="G5983" s="54" t="s">
        <v>18216</v>
      </c>
      <c r="H5983" s="54" t="s">
        <v>18217</v>
      </c>
      <c r="I5983" s="43">
        <v>12</v>
      </c>
      <c r="J5983" s="44" t="str">
        <f>VLOOKUP(G5983,[1]硬件清单!$F:$F,1,0)</f>
        <v>06ACPD1</v>
      </c>
      <c r="K5983" s="43"/>
      <c r="L5983" s="44"/>
      <c r="M5983" s="45" t="s">
        <v>18218</v>
      </c>
    </row>
    <row r="5984" s="29" customFormat="1" ht="30" customHeight="1" spans="1:13">
      <c r="A5984" s="41">
        <f>IF(C5984="","",SUBTOTAL(103,$C$2:C5984))</f>
        <v>5975</v>
      </c>
      <c r="B5984" s="41">
        <v>4678</v>
      </c>
      <c r="C5984" s="54">
        <v>8912</v>
      </c>
      <c r="D5984" s="54" t="s">
        <v>45</v>
      </c>
      <c r="E5984" s="54" t="s">
        <v>1298</v>
      </c>
      <c r="F5984" s="54" t="s">
        <v>8426</v>
      </c>
      <c r="G5984" s="54" t="s">
        <v>18219</v>
      </c>
      <c r="H5984" s="54" t="s">
        <v>18220</v>
      </c>
      <c r="I5984" s="43">
        <v>12</v>
      </c>
      <c r="J5984" s="44" t="str">
        <f>VLOOKUP(G5984,[1]硬件清单!$F:$F,1,0)</f>
        <v>06ACPW7</v>
      </c>
      <c r="K5984" s="43"/>
      <c r="L5984" s="44"/>
      <c r="M5984" s="45" t="s">
        <v>18221</v>
      </c>
    </row>
    <row r="5985" s="29" customFormat="1" ht="30" customHeight="1" spans="1:13">
      <c r="A5985" s="41">
        <f>IF(C5985="","",SUBTOTAL(103,$C$2:C5985))</f>
        <v>5976</v>
      </c>
      <c r="B5985" s="41">
        <v>4679</v>
      </c>
      <c r="C5985" s="54">
        <v>8897</v>
      </c>
      <c r="D5985" s="54" t="s">
        <v>45</v>
      </c>
      <c r="E5985" s="54" t="s">
        <v>1298</v>
      </c>
      <c r="F5985" s="54" t="s">
        <v>8426</v>
      </c>
      <c r="G5985" s="54" t="s">
        <v>18222</v>
      </c>
      <c r="H5985" s="54" t="s">
        <v>18223</v>
      </c>
      <c r="I5985" s="43">
        <v>12</v>
      </c>
      <c r="J5985" s="44" t="str">
        <f>VLOOKUP(G5985,[1]硬件清单!$F:$F,1,0)</f>
        <v>06ACNV5</v>
      </c>
      <c r="K5985" s="43"/>
      <c r="L5985" s="44"/>
      <c r="M5985" s="45" t="s">
        <v>18224</v>
      </c>
    </row>
    <row r="5986" s="29" customFormat="1" ht="30" customHeight="1" spans="1:13">
      <c r="A5986" s="41">
        <f>IF(C5986="","",SUBTOTAL(103,$C$2:C5986))</f>
        <v>5977</v>
      </c>
      <c r="B5986" s="41">
        <v>4680</v>
      </c>
      <c r="C5986" s="54">
        <v>8898</v>
      </c>
      <c r="D5986" s="54" t="s">
        <v>45</v>
      </c>
      <c r="E5986" s="54" t="s">
        <v>1298</v>
      </c>
      <c r="F5986" s="54" t="s">
        <v>8426</v>
      </c>
      <c r="G5986" s="54" t="s">
        <v>18225</v>
      </c>
      <c r="H5986" s="54" t="s">
        <v>18226</v>
      </c>
      <c r="I5986" s="43">
        <v>12</v>
      </c>
      <c r="J5986" s="44" t="str">
        <f>VLOOKUP(G5986,[1]硬件清单!$F:$F,1,0)</f>
        <v>06ACPB1</v>
      </c>
      <c r="K5986" s="43"/>
      <c r="L5986" s="44"/>
      <c r="M5986" s="45" t="s">
        <v>18227</v>
      </c>
    </row>
    <row r="5987" s="29" customFormat="1" ht="30" customHeight="1" spans="1:13">
      <c r="A5987" s="41">
        <f>IF(C5987="","",SUBTOTAL(103,$C$2:C5987))</f>
        <v>5978</v>
      </c>
      <c r="B5987" s="41">
        <v>4681</v>
      </c>
      <c r="C5987" s="54">
        <v>8899</v>
      </c>
      <c r="D5987" s="54" t="s">
        <v>45</v>
      </c>
      <c r="E5987" s="54" t="s">
        <v>1298</v>
      </c>
      <c r="F5987" s="54" t="s">
        <v>8426</v>
      </c>
      <c r="G5987" s="54" t="s">
        <v>18228</v>
      </c>
      <c r="H5987" s="54" t="s">
        <v>18229</v>
      </c>
      <c r="I5987" s="43">
        <v>12</v>
      </c>
      <c r="J5987" s="44" t="str">
        <f>VLOOKUP(G5987,[1]硬件清单!$F:$F,1,0)</f>
        <v>06ACPD9</v>
      </c>
      <c r="K5987" s="43"/>
      <c r="L5987" s="44"/>
      <c r="M5987" s="45" t="s">
        <v>18230</v>
      </c>
    </row>
    <row r="5988" s="29" customFormat="1" ht="30" customHeight="1" spans="1:13">
      <c r="A5988" s="41">
        <f>IF(C5988="","",SUBTOTAL(103,$C$2:C5988))</f>
        <v>5979</v>
      </c>
      <c r="B5988" s="41">
        <v>4682</v>
      </c>
      <c r="C5988" s="54">
        <v>8900</v>
      </c>
      <c r="D5988" s="54" t="s">
        <v>45</v>
      </c>
      <c r="E5988" s="54" t="s">
        <v>1298</v>
      </c>
      <c r="F5988" s="54" t="s">
        <v>8426</v>
      </c>
      <c r="G5988" s="54" t="s">
        <v>18231</v>
      </c>
      <c r="H5988" s="54" t="s">
        <v>18232</v>
      </c>
      <c r="I5988" s="43">
        <v>12</v>
      </c>
      <c r="J5988" s="44" t="str">
        <f>VLOOKUP(G5988,[1]硬件清单!$F:$F,1,0)</f>
        <v>06ACPR8</v>
      </c>
      <c r="K5988" s="43"/>
      <c r="L5988" s="44"/>
      <c r="M5988" s="45" t="s">
        <v>18233</v>
      </c>
    </row>
    <row r="5989" s="29" customFormat="1" ht="30" customHeight="1" spans="1:13">
      <c r="A5989" s="41">
        <f>IF(C5989="","",SUBTOTAL(103,$C$2:C5989))</f>
        <v>5980</v>
      </c>
      <c r="B5989" s="41">
        <v>4683</v>
      </c>
      <c r="C5989" s="54">
        <v>8901</v>
      </c>
      <c r="D5989" s="54" t="s">
        <v>45</v>
      </c>
      <c r="E5989" s="54" t="s">
        <v>1298</v>
      </c>
      <c r="F5989" s="54" t="s">
        <v>8426</v>
      </c>
      <c r="G5989" s="54" t="s">
        <v>18234</v>
      </c>
      <c r="H5989" s="54" t="s">
        <v>18235</v>
      </c>
      <c r="I5989" s="43">
        <v>12</v>
      </c>
      <c r="J5989" s="44" t="str">
        <f>VLOOKUP(G5989,[1]硬件清单!$F:$F,1,0)</f>
        <v>06ACNV6</v>
      </c>
      <c r="K5989" s="43"/>
      <c r="L5989" s="44"/>
      <c r="M5989" s="45" t="s">
        <v>18236</v>
      </c>
    </row>
    <row r="5990" s="29" customFormat="1" ht="30" customHeight="1" spans="1:13">
      <c r="A5990" s="41">
        <f>IF(C5990="","",SUBTOTAL(103,$C$2:C5990))</f>
        <v>5981</v>
      </c>
      <c r="B5990" s="41">
        <v>4684</v>
      </c>
      <c r="C5990" s="54">
        <v>8902</v>
      </c>
      <c r="D5990" s="54" t="s">
        <v>45</v>
      </c>
      <c r="E5990" s="54" t="s">
        <v>1298</v>
      </c>
      <c r="F5990" s="54" t="s">
        <v>8426</v>
      </c>
      <c r="G5990" s="54" t="s">
        <v>18237</v>
      </c>
      <c r="H5990" s="54" t="s">
        <v>18238</v>
      </c>
      <c r="I5990" s="43">
        <v>12</v>
      </c>
      <c r="J5990" s="44" t="str">
        <f>VLOOKUP(G5990,[1]硬件清单!$F:$F,1,0)</f>
        <v>06ACNZ3</v>
      </c>
      <c r="K5990" s="43"/>
      <c r="L5990" s="44"/>
      <c r="M5990" s="45" t="s">
        <v>18239</v>
      </c>
    </row>
    <row r="5991" s="29" customFormat="1" ht="30" customHeight="1" spans="1:13">
      <c r="A5991" s="41">
        <f>IF(C5991="","",SUBTOTAL(103,$C$2:C5991))</f>
        <v>5982</v>
      </c>
      <c r="B5991" s="41">
        <v>4685</v>
      </c>
      <c r="C5991" s="54">
        <v>8903</v>
      </c>
      <c r="D5991" s="54" t="s">
        <v>45</v>
      </c>
      <c r="E5991" s="54" t="s">
        <v>1298</v>
      </c>
      <c r="F5991" s="54" t="s">
        <v>8426</v>
      </c>
      <c r="G5991" s="54" t="s">
        <v>18240</v>
      </c>
      <c r="H5991" s="54" t="s">
        <v>18241</v>
      </c>
      <c r="I5991" s="43">
        <v>12</v>
      </c>
      <c r="J5991" s="44" t="str">
        <f>VLOOKUP(G5991,[1]硬件清单!$F:$F,1,0)</f>
        <v>06ACPN2</v>
      </c>
      <c r="K5991" s="43"/>
      <c r="L5991" s="44"/>
      <c r="M5991" s="45" t="s">
        <v>18242</v>
      </c>
    </row>
    <row r="5992" s="29" customFormat="1" ht="30" customHeight="1" spans="1:13">
      <c r="A5992" s="41">
        <f>IF(C5992="","",SUBTOTAL(103,$C$2:C5992))</f>
        <v>5983</v>
      </c>
      <c r="B5992" s="41">
        <v>4686</v>
      </c>
      <c r="C5992" s="54">
        <v>8904</v>
      </c>
      <c r="D5992" s="54" t="s">
        <v>45</v>
      </c>
      <c r="E5992" s="54" t="s">
        <v>1298</v>
      </c>
      <c r="F5992" s="54" t="s">
        <v>8426</v>
      </c>
      <c r="G5992" s="54" t="s">
        <v>18243</v>
      </c>
      <c r="H5992" s="54" t="s">
        <v>18244</v>
      </c>
      <c r="I5992" s="43">
        <v>12</v>
      </c>
      <c r="J5992" s="44" t="str">
        <f>VLOOKUP(G5992,[1]硬件清单!$F:$F,1,0)</f>
        <v>06ACNP4</v>
      </c>
      <c r="K5992" s="43"/>
      <c r="L5992" s="44"/>
      <c r="M5992" s="45" t="s">
        <v>18245</v>
      </c>
    </row>
    <row r="5993" s="29" customFormat="1" ht="30" customHeight="1" spans="1:13">
      <c r="A5993" s="41">
        <f>IF(C5993="","",SUBTOTAL(103,$C$2:C5993))</f>
        <v>5984</v>
      </c>
      <c r="B5993" s="41">
        <v>4687</v>
      </c>
      <c r="C5993" s="54">
        <v>9014</v>
      </c>
      <c r="D5993" s="54" t="s">
        <v>45</v>
      </c>
      <c r="E5993" s="54" t="s">
        <v>1298</v>
      </c>
      <c r="F5993" s="54" t="s">
        <v>8426</v>
      </c>
      <c r="G5993" s="54" t="s">
        <v>18246</v>
      </c>
      <c r="H5993" s="54" t="s">
        <v>18247</v>
      </c>
      <c r="I5993" s="43">
        <v>12</v>
      </c>
      <c r="J5993" s="44" t="str">
        <f>VLOOKUP(G5993,[1]硬件清单!$F:$F,1,0)</f>
        <v>06ACPY7</v>
      </c>
      <c r="K5993" s="43"/>
      <c r="L5993" s="44"/>
      <c r="M5993" s="45" t="s">
        <v>18248</v>
      </c>
    </row>
    <row r="5994" s="29" customFormat="1" ht="30" customHeight="1" spans="1:13">
      <c r="A5994" s="41">
        <f>IF(C5994="","",SUBTOTAL(103,$C$2:C5994))</f>
        <v>5985</v>
      </c>
      <c r="B5994" s="41">
        <v>4688</v>
      </c>
      <c r="C5994" s="54">
        <v>9023</v>
      </c>
      <c r="D5994" s="54" t="s">
        <v>45</v>
      </c>
      <c r="E5994" s="54" t="s">
        <v>1298</v>
      </c>
      <c r="F5994" s="54" t="s">
        <v>8426</v>
      </c>
      <c r="G5994" s="54" t="s">
        <v>18249</v>
      </c>
      <c r="H5994" s="54" t="s">
        <v>18250</v>
      </c>
      <c r="I5994" s="43">
        <v>12</v>
      </c>
      <c r="J5994" s="44" t="str">
        <f>VLOOKUP(G5994,[1]硬件清单!$F:$F,1,0)</f>
        <v>06ACNX3</v>
      </c>
      <c r="K5994" s="43"/>
      <c r="L5994" s="44"/>
      <c r="M5994" s="45" t="s">
        <v>18251</v>
      </c>
    </row>
    <row r="5995" s="29" customFormat="1" ht="30" customHeight="1" spans="1:13">
      <c r="A5995" s="41">
        <f>IF(C5995="","",SUBTOTAL(103,$C$2:C5995))</f>
        <v>5986</v>
      </c>
      <c r="B5995" s="41">
        <v>4689</v>
      </c>
      <c r="C5995" s="54">
        <v>9024</v>
      </c>
      <c r="D5995" s="54" t="s">
        <v>45</v>
      </c>
      <c r="E5995" s="54" t="s">
        <v>1298</v>
      </c>
      <c r="F5995" s="54" t="s">
        <v>8426</v>
      </c>
      <c r="G5995" s="54" t="s">
        <v>18252</v>
      </c>
      <c r="H5995" s="54" t="s">
        <v>18253</v>
      </c>
      <c r="I5995" s="43">
        <v>12</v>
      </c>
      <c r="J5995" s="44" t="str">
        <f>VLOOKUP(G5995,[1]硬件清单!$F:$F,1,0)</f>
        <v>06ACNW6</v>
      </c>
      <c r="K5995" s="43"/>
      <c r="L5995" s="44"/>
      <c r="M5995" s="45" t="s">
        <v>18254</v>
      </c>
    </row>
    <row r="5996" s="29" customFormat="1" ht="30" customHeight="1" spans="1:13">
      <c r="A5996" s="41">
        <f>IF(C5996="","",SUBTOTAL(103,$C$2:C5996))</f>
        <v>5987</v>
      </c>
      <c r="B5996" s="41">
        <v>4690</v>
      </c>
      <c r="C5996" s="54">
        <v>9025</v>
      </c>
      <c r="D5996" s="54" t="s">
        <v>45</v>
      </c>
      <c r="E5996" s="54" t="s">
        <v>1298</v>
      </c>
      <c r="F5996" s="54" t="s">
        <v>8426</v>
      </c>
      <c r="G5996" s="54" t="s">
        <v>18255</v>
      </c>
      <c r="H5996" s="54" t="s">
        <v>18256</v>
      </c>
      <c r="I5996" s="43">
        <v>12</v>
      </c>
      <c r="J5996" s="44" t="str">
        <f>VLOOKUP(G5996,[1]硬件清单!$F:$F,1,0)</f>
        <v>06ACPV3</v>
      </c>
      <c r="K5996" s="43"/>
      <c r="L5996" s="44"/>
      <c r="M5996" s="45" t="s">
        <v>18257</v>
      </c>
    </row>
    <row r="5997" s="29" customFormat="1" ht="30" customHeight="1" spans="1:13">
      <c r="A5997" s="41">
        <f>IF(C5997="","",SUBTOTAL(103,$C$2:C5997))</f>
        <v>5988</v>
      </c>
      <c r="B5997" s="41">
        <v>4691</v>
      </c>
      <c r="C5997" s="54">
        <v>9026</v>
      </c>
      <c r="D5997" s="54" t="s">
        <v>45</v>
      </c>
      <c r="E5997" s="54" t="s">
        <v>1298</v>
      </c>
      <c r="F5997" s="54" t="s">
        <v>8426</v>
      </c>
      <c r="G5997" s="54" t="s">
        <v>18258</v>
      </c>
      <c r="H5997" s="54" t="s">
        <v>18259</v>
      </c>
      <c r="I5997" s="43">
        <v>12</v>
      </c>
      <c r="J5997" s="44" t="str">
        <f>VLOOKUP(G5997,[1]硬件清单!$F:$F,1,0)</f>
        <v>06ACNY2</v>
      </c>
      <c r="K5997" s="43"/>
      <c r="L5997" s="44"/>
      <c r="M5997" s="45" t="s">
        <v>18260</v>
      </c>
    </row>
    <row r="5998" s="29" customFormat="1" ht="30" customHeight="1" spans="1:13">
      <c r="A5998" s="41">
        <f>IF(C5998="","",SUBTOTAL(103,$C$2:C5998))</f>
        <v>5989</v>
      </c>
      <c r="B5998" s="41">
        <v>4692</v>
      </c>
      <c r="C5998" s="54">
        <v>9027</v>
      </c>
      <c r="D5998" s="54" t="s">
        <v>45</v>
      </c>
      <c r="E5998" s="54" t="s">
        <v>1298</v>
      </c>
      <c r="F5998" s="54" t="s">
        <v>8426</v>
      </c>
      <c r="G5998" s="54" t="s">
        <v>18261</v>
      </c>
      <c r="H5998" s="54" t="s">
        <v>18262</v>
      </c>
      <c r="I5998" s="43">
        <v>12</v>
      </c>
      <c r="J5998" s="44" t="str">
        <f>VLOOKUP(G5998,[1]硬件清单!$F:$F,1,0)</f>
        <v>06ACNN6</v>
      </c>
      <c r="K5998" s="43"/>
      <c r="L5998" s="44"/>
      <c r="M5998" s="45" t="s">
        <v>18263</v>
      </c>
    </row>
    <row r="5999" s="29" customFormat="1" ht="30" customHeight="1" spans="1:13">
      <c r="A5999" s="41">
        <f>IF(C5999="","",SUBTOTAL(103,$C$2:C5999))</f>
        <v>5990</v>
      </c>
      <c r="B5999" s="41">
        <v>4693</v>
      </c>
      <c r="C5999" s="54">
        <v>9015</v>
      </c>
      <c r="D5999" s="54" t="s">
        <v>45</v>
      </c>
      <c r="E5999" s="54" t="s">
        <v>1298</v>
      </c>
      <c r="F5999" s="54" t="s">
        <v>8426</v>
      </c>
      <c r="G5999" s="54" t="s">
        <v>18264</v>
      </c>
      <c r="H5999" s="54" t="s">
        <v>18265</v>
      </c>
      <c r="I5999" s="43">
        <v>12</v>
      </c>
      <c r="J5999" s="44" t="str">
        <f>VLOOKUP(G5999,[1]硬件清单!$F:$F,1,0)</f>
        <v>06ACNN5</v>
      </c>
      <c r="K5999" s="43"/>
      <c r="L5999" s="44"/>
      <c r="M5999" s="45" t="s">
        <v>18266</v>
      </c>
    </row>
    <row r="6000" s="29" customFormat="1" ht="30" customHeight="1" spans="1:13">
      <c r="A6000" s="41">
        <f>IF(C6000="","",SUBTOTAL(103,$C$2:C6000))</f>
        <v>5991</v>
      </c>
      <c r="B6000" s="41">
        <v>4694</v>
      </c>
      <c r="C6000" s="54">
        <v>9016</v>
      </c>
      <c r="D6000" s="54" t="s">
        <v>45</v>
      </c>
      <c r="E6000" s="54" t="s">
        <v>1298</v>
      </c>
      <c r="F6000" s="54" t="s">
        <v>8426</v>
      </c>
      <c r="G6000" s="54" t="s">
        <v>18267</v>
      </c>
      <c r="H6000" s="54" t="s">
        <v>18268</v>
      </c>
      <c r="I6000" s="43">
        <v>12</v>
      </c>
      <c r="J6000" s="44" t="str">
        <f>VLOOKUP(G6000,[1]硬件清单!$F:$F,1,0)</f>
        <v>06ACPN8</v>
      </c>
      <c r="K6000" s="43"/>
      <c r="L6000" s="44"/>
      <c r="M6000" s="45" t="s">
        <v>18269</v>
      </c>
    </row>
    <row r="6001" s="29" customFormat="1" ht="30" customHeight="1" spans="1:13">
      <c r="A6001" s="41">
        <f>IF(C6001="","",SUBTOTAL(103,$C$2:C6001))</f>
        <v>5992</v>
      </c>
      <c r="B6001" s="41">
        <v>4695</v>
      </c>
      <c r="C6001" s="54">
        <v>9017</v>
      </c>
      <c r="D6001" s="54" t="s">
        <v>45</v>
      </c>
      <c r="E6001" s="54" t="s">
        <v>1298</v>
      </c>
      <c r="F6001" s="54" t="s">
        <v>8426</v>
      </c>
      <c r="G6001" s="54" t="s">
        <v>18270</v>
      </c>
      <c r="H6001" s="54" t="s">
        <v>18271</v>
      </c>
      <c r="I6001" s="43">
        <v>12</v>
      </c>
      <c r="J6001" s="44" t="str">
        <f>VLOOKUP(G6001,[1]硬件清单!$F:$F,1,0)</f>
        <v>06ACPW8</v>
      </c>
      <c r="K6001" s="43"/>
      <c r="L6001" s="44"/>
      <c r="M6001" s="45" t="s">
        <v>18272</v>
      </c>
    </row>
    <row r="6002" s="29" customFormat="1" ht="30" customHeight="1" spans="1:13">
      <c r="A6002" s="41">
        <f>IF(C6002="","",SUBTOTAL(103,$C$2:C6002))</f>
        <v>5993</v>
      </c>
      <c r="B6002" s="41">
        <v>4696</v>
      </c>
      <c r="C6002" s="54">
        <v>9018</v>
      </c>
      <c r="D6002" s="54" t="s">
        <v>45</v>
      </c>
      <c r="E6002" s="54" t="s">
        <v>1298</v>
      </c>
      <c r="F6002" s="54" t="s">
        <v>8426</v>
      </c>
      <c r="G6002" s="54" t="s">
        <v>18273</v>
      </c>
      <c r="H6002" s="54" t="s">
        <v>18274</v>
      </c>
      <c r="I6002" s="43">
        <v>12</v>
      </c>
      <c r="J6002" s="44" t="str">
        <f>VLOOKUP(G6002,[1]硬件清单!$F:$F,1,0)</f>
        <v>06ACPC2</v>
      </c>
      <c r="K6002" s="43"/>
      <c r="L6002" s="44"/>
      <c r="M6002" s="45" t="s">
        <v>18275</v>
      </c>
    </row>
    <row r="6003" s="29" customFormat="1" ht="30" customHeight="1" spans="1:13">
      <c r="A6003" s="41">
        <f>IF(C6003="","",SUBTOTAL(103,$C$2:C6003))</f>
        <v>5994</v>
      </c>
      <c r="B6003" s="41">
        <v>4697</v>
      </c>
      <c r="C6003" s="54">
        <v>9019</v>
      </c>
      <c r="D6003" s="54" t="s">
        <v>45</v>
      </c>
      <c r="E6003" s="54" t="s">
        <v>1298</v>
      </c>
      <c r="F6003" s="54" t="s">
        <v>8426</v>
      </c>
      <c r="G6003" s="54" t="s">
        <v>18276</v>
      </c>
      <c r="H6003" s="54" t="s">
        <v>18277</v>
      </c>
      <c r="I6003" s="43">
        <v>12</v>
      </c>
      <c r="J6003" s="44" t="str">
        <f>VLOOKUP(G6003,[1]硬件清单!$F:$F,1,0)</f>
        <v>06ACPD4</v>
      </c>
      <c r="K6003" s="43"/>
      <c r="L6003" s="44"/>
      <c r="M6003" s="45" t="s">
        <v>18278</v>
      </c>
    </row>
    <row r="6004" s="29" customFormat="1" ht="30" customHeight="1" spans="1:13">
      <c r="A6004" s="41">
        <f>IF(C6004="","",SUBTOTAL(103,$C$2:C6004))</f>
        <v>5995</v>
      </c>
      <c r="B6004" s="41">
        <v>4698</v>
      </c>
      <c r="C6004" s="54">
        <v>9020</v>
      </c>
      <c r="D6004" s="54" t="s">
        <v>45</v>
      </c>
      <c r="E6004" s="54" t="s">
        <v>1298</v>
      </c>
      <c r="F6004" s="54" t="s">
        <v>8426</v>
      </c>
      <c r="G6004" s="54" t="s">
        <v>18279</v>
      </c>
      <c r="H6004" s="54" t="s">
        <v>18280</v>
      </c>
      <c r="I6004" s="43">
        <v>12</v>
      </c>
      <c r="J6004" s="44" t="str">
        <f>VLOOKUP(G6004,[1]硬件清单!$F:$F,1,0)</f>
        <v>06ACPB9</v>
      </c>
      <c r="K6004" s="43"/>
      <c r="L6004" s="44"/>
      <c r="M6004" s="45" t="s">
        <v>18281</v>
      </c>
    </row>
    <row r="6005" s="29" customFormat="1" ht="30" customHeight="1" spans="1:13">
      <c r="A6005" s="41">
        <f>IF(C6005="","",SUBTOTAL(103,$C$2:C6005))</f>
        <v>5996</v>
      </c>
      <c r="B6005" s="41">
        <v>4699</v>
      </c>
      <c r="C6005" s="54">
        <v>9021</v>
      </c>
      <c r="D6005" s="54" t="s">
        <v>45</v>
      </c>
      <c r="E6005" s="54" t="s">
        <v>1298</v>
      </c>
      <c r="F6005" s="54" t="s">
        <v>8426</v>
      </c>
      <c r="G6005" s="54" t="s">
        <v>18282</v>
      </c>
      <c r="H6005" s="54" t="s">
        <v>18283</v>
      </c>
      <c r="I6005" s="43">
        <v>12</v>
      </c>
      <c r="J6005" s="44" t="str">
        <f>VLOOKUP(G6005,[1]硬件清单!$F:$F,1,0)</f>
        <v>06ACPP3</v>
      </c>
      <c r="K6005" s="43"/>
      <c r="L6005" s="44"/>
      <c r="M6005" s="45" t="s">
        <v>18284</v>
      </c>
    </row>
    <row r="6006" s="29" customFormat="1" ht="30" customHeight="1" spans="1:13">
      <c r="A6006" s="41">
        <f>IF(C6006="","",SUBTOTAL(103,$C$2:C6006))</f>
        <v>5997</v>
      </c>
      <c r="B6006" s="41">
        <v>4700</v>
      </c>
      <c r="C6006" s="54">
        <v>9022</v>
      </c>
      <c r="D6006" s="54" t="s">
        <v>45</v>
      </c>
      <c r="E6006" s="54" t="s">
        <v>1298</v>
      </c>
      <c r="F6006" s="54" t="s">
        <v>8426</v>
      </c>
      <c r="G6006" s="54" t="s">
        <v>18285</v>
      </c>
      <c r="H6006" s="54" t="s">
        <v>18286</v>
      </c>
      <c r="I6006" s="43">
        <v>12</v>
      </c>
      <c r="J6006" s="44" t="str">
        <f>VLOOKUP(G6006,[1]硬件清单!$F:$F,1,0)</f>
        <v>06ACPK3</v>
      </c>
      <c r="K6006" s="43"/>
      <c r="L6006" s="44"/>
      <c r="M6006" s="45" t="s">
        <v>18287</v>
      </c>
    </row>
    <row r="6007" s="29" customFormat="1" ht="30" customHeight="1" spans="1:13">
      <c r="A6007" s="41">
        <f>IF(C6007="","",SUBTOTAL(103,$C$2:C6007))</f>
        <v>5998</v>
      </c>
      <c r="B6007" s="41">
        <v>4701</v>
      </c>
      <c r="C6007" s="54">
        <v>9000</v>
      </c>
      <c r="D6007" s="54" t="s">
        <v>45</v>
      </c>
      <c r="E6007" s="54" t="s">
        <v>1298</v>
      </c>
      <c r="F6007" s="54" t="s">
        <v>8426</v>
      </c>
      <c r="G6007" s="54" t="s">
        <v>18288</v>
      </c>
      <c r="H6007" s="54" t="s">
        <v>18289</v>
      </c>
      <c r="I6007" s="43">
        <v>12</v>
      </c>
      <c r="J6007" s="44" t="str">
        <f>VLOOKUP(G6007,[1]硬件清单!$F:$F,1,0)</f>
        <v>06ACNX2</v>
      </c>
      <c r="K6007" s="43"/>
      <c r="L6007" s="44"/>
      <c r="M6007" s="45" t="s">
        <v>18290</v>
      </c>
    </row>
    <row r="6008" s="29" customFormat="1" ht="30" customHeight="1" spans="1:13">
      <c r="A6008" s="41">
        <f>IF(C6008="","",SUBTOTAL(103,$C$2:C6008))</f>
        <v>5999</v>
      </c>
      <c r="B6008" s="41">
        <v>4702</v>
      </c>
      <c r="C6008" s="54">
        <v>9009</v>
      </c>
      <c r="D6008" s="54" t="s">
        <v>45</v>
      </c>
      <c r="E6008" s="54" t="s">
        <v>1298</v>
      </c>
      <c r="F6008" s="54" t="s">
        <v>8426</v>
      </c>
      <c r="G6008" s="54" t="s">
        <v>18291</v>
      </c>
      <c r="H6008" s="54" t="s">
        <v>18292</v>
      </c>
      <c r="I6008" s="43">
        <v>12</v>
      </c>
      <c r="J6008" s="44" t="str">
        <f>VLOOKUP(G6008,[1]硬件清单!$F:$F,1,0)</f>
        <v>06ACPC9</v>
      </c>
      <c r="K6008" s="43"/>
      <c r="L6008" s="44"/>
      <c r="M6008" s="45" t="s">
        <v>18293</v>
      </c>
    </row>
    <row r="6009" s="29" customFormat="1" ht="30" customHeight="1" spans="1:13">
      <c r="A6009" s="41">
        <f>IF(C6009="","",SUBTOTAL(103,$C$2:C6009))</f>
        <v>6000</v>
      </c>
      <c r="B6009" s="41">
        <v>4703</v>
      </c>
      <c r="C6009" s="54">
        <v>9010</v>
      </c>
      <c r="D6009" s="54" t="s">
        <v>45</v>
      </c>
      <c r="E6009" s="54" t="s">
        <v>1298</v>
      </c>
      <c r="F6009" s="54" t="s">
        <v>8426</v>
      </c>
      <c r="G6009" s="54" t="s">
        <v>18294</v>
      </c>
      <c r="H6009" s="54" t="s">
        <v>18295</v>
      </c>
      <c r="I6009" s="43">
        <v>12</v>
      </c>
      <c r="J6009" s="44" t="str">
        <f>VLOOKUP(G6009,[1]硬件清单!$F:$F,1,0)</f>
        <v>06ACPC3</v>
      </c>
      <c r="K6009" s="43"/>
      <c r="L6009" s="44"/>
      <c r="M6009" s="45" t="s">
        <v>18296</v>
      </c>
    </row>
    <row r="6010" s="29" customFormat="1" ht="30" customHeight="1" spans="1:13">
      <c r="A6010" s="41">
        <f>IF(C6010="","",SUBTOTAL(103,$C$2:C6010))</f>
        <v>6001</v>
      </c>
      <c r="B6010" s="41">
        <v>4704</v>
      </c>
      <c r="C6010" s="54">
        <v>9011</v>
      </c>
      <c r="D6010" s="54" t="s">
        <v>45</v>
      </c>
      <c r="E6010" s="54" t="s">
        <v>1298</v>
      </c>
      <c r="F6010" s="54" t="s">
        <v>8426</v>
      </c>
      <c r="G6010" s="54" t="s">
        <v>18297</v>
      </c>
      <c r="H6010" s="54" t="s">
        <v>18298</v>
      </c>
      <c r="I6010" s="43">
        <v>12</v>
      </c>
      <c r="J6010" s="44" t="str">
        <f>VLOOKUP(G6010,[1]硬件清单!$F:$F,1,0)</f>
        <v>06ACNN4</v>
      </c>
      <c r="K6010" s="43"/>
      <c r="L6010" s="44"/>
      <c r="M6010" s="45" t="s">
        <v>18299</v>
      </c>
    </row>
    <row r="6011" s="29" customFormat="1" ht="30" customHeight="1" spans="1:13">
      <c r="A6011" s="41">
        <f>IF(C6011="","",SUBTOTAL(103,$C$2:C6011))</f>
        <v>6002</v>
      </c>
      <c r="B6011" s="41">
        <v>4705</v>
      </c>
      <c r="C6011" s="54">
        <v>9012</v>
      </c>
      <c r="D6011" s="54" t="s">
        <v>45</v>
      </c>
      <c r="E6011" s="54" t="s">
        <v>1298</v>
      </c>
      <c r="F6011" s="54" t="s">
        <v>8426</v>
      </c>
      <c r="G6011" s="54" t="s">
        <v>18300</v>
      </c>
      <c r="H6011" s="54" t="s">
        <v>18301</v>
      </c>
      <c r="I6011" s="43">
        <v>12</v>
      </c>
      <c r="J6011" s="44" t="str">
        <f>VLOOKUP(G6011,[1]硬件清单!$F:$F,1,0)</f>
        <v>06ACPN6</v>
      </c>
      <c r="K6011" s="43"/>
      <c r="L6011" s="44"/>
      <c r="M6011" s="45" t="s">
        <v>18302</v>
      </c>
    </row>
    <row r="6012" s="29" customFormat="1" ht="30" customHeight="1" spans="1:13">
      <c r="A6012" s="41">
        <f>IF(C6012="","",SUBTOTAL(103,$C$2:C6012))</f>
        <v>6003</v>
      </c>
      <c r="B6012" s="41">
        <v>4706</v>
      </c>
      <c r="C6012" s="54">
        <v>9013</v>
      </c>
      <c r="D6012" s="54" t="s">
        <v>45</v>
      </c>
      <c r="E6012" s="54" t="s">
        <v>1298</v>
      </c>
      <c r="F6012" s="54" t="s">
        <v>8426</v>
      </c>
      <c r="G6012" s="54" t="s">
        <v>18303</v>
      </c>
      <c r="H6012" s="54" t="s">
        <v>18304</v>
      </c>
      <c r="I6012" s="43">
        <v>12</v>
      </c>
      <c r="J6012" s="44" t="str">
        <f>VLOOKUP(G6012,[1]硬件清单!$F:$F,1,0)</f>
        <v>06ACPE4</v>
      </c>
      <c r="K6012" s="43"/>
      <c r="L6012" s="44"/>
      <c r="M6012" s="45" t="s">
        <v>18305</v>
      </c>
    </row>
    <row r="6013" s="29" customFormat="1" ht="30" customHeight="1" spans="1:13">
      <c r="A6013" s="41">
        <f>IF(C6013="","",SUBTOTAL(103,$C$2:C6013))</f>
        <v>6004</v>
      </c>
      <c r="B6013" s="41">
        <v>4707</v>
      </c>
      <c r="C6013" s="54">
        <v>9001</v>
      </c>
      <c r="D6013" s="54" t="s">
        <v>45</v>
      </c>
      <c r="E6013" s="54" t="s">
        <v>1298</v>
      </c>
      <c r="F6013" s="54" t="s">
        <v>8426</v>
      </c>
      <c r="G6013" s="54" t="s">
        <v>18306</v>
      </c>
      <c r="H6013" s="54" t="s">
        <v>18307</v>
      </c>
      <c r="I6013" s="43">
        <v>12</v>
      </c>
      <c r="J6013" s="44" t="str">
        <f>VLOOKUP(G6013,[1]硬件清单!$F:$F,1,0)</f>
        <v>06ACPD8</v>
      </c>
      <c r="K6013" s="43"/>
      <c r="L6013" s="44"/>
      <c r="M6013" s="45" t="s">
        <v>18308</v>
      </c>
    </row>
    <row r="6014" s="29" customFormat="1" ht="30" customHeight="1" spans="1:13">
      <c r="A6014" s="41">
        <f>IF(C6014="","",SUBTOTAL(103,$C$2:C6014))</f>
        <v>6005</v>
      </c>
      <c r="B6014" s="41">
        <v>4708</v>
      </c>
      <c r="C6014" s="54">
        <v>9002</v>
      </c>
      <c r="D6014" s="54" t="s">
        <v>45</v>
      </c>
      <c r="E6014" s="54" t="s">
        <v>1298</v>
      </c>
      <c r="F6014" s="54" t="s">
        <v>8426</v>
      </c>
      <c r="G6014" s="54" t="s">
        <v>18309</v>
      </c>
      <c r="H6014" s="54" t="s">
        <v>18310</v>
      </c>
      <c r="I6014" s="43">
        <v>12</v>
      </c>
      <c r="J6014" s="44" t="str">
        <f>VLOOKUP(G6014,[1]硬件清单!$F:$F,1,0)</f>
        <v>06ACPX0</v>
      </c>
      <c r="K6014" s="43"/>
      <c r="L6014" s="44"/>
      <c r="M6014" s="45" t="s">
        <v>18311</v>
      </c>
    </row>
    <row r="6015" s="29" customFormat="1" ht="30" customHeight="1" spans="1:13">
      <c r="A6015" s="41">
        <f>IF(C6015="","",SUBTOTAL(103,$C$2:C6015))</f>
        <v>6006</v>
      </c>
      <c r="B6015" s="41">
        <v>4709</v>
      </c>
      <c r="C6015" s="54">
        <v>9003</v>
      </c>
      <c r="D6015" s="54" t="s">
        <v>45</v>
      </c>
      <c r="E6015" s="54" t="s">
        <v>1298</v>
      </c>
      <c r="F6015" s="54" t="s">
        <v>8426</v>
      </c>
      <c r="G6015" s="54" t="s">
        <v>18312</v>
      </c>
      <c r="H6015" s="54" t="s">
        <v>18313</v>
      </c>
      <c r="I6015" s="43">
        <v>12</v>
      </c>
      <c r="J6015" s="44" t="str">
        <f>VLOOKUP(G6015,[1]硬件清单!$F:$F,1,0)</f>
        <v>06ACPL2</v>
      </c>
      <c r="K6015" s="43"/>
      <c r="L6015" s="44"/>
      <c r="M6015" s="45" t="s">
        <v>18314</v>
      </c>
    </row>
    <row r="6016" s="29" customFormat="1" ht="30" customHeight="1" spans="1:13">
      <c r="A6016" s="41">
        <f>IF(C6016="","",SUBTOTAL(103,$C$2:C6016))</f>
        <v>6007</v>
      </c>
      <c r="B6016" s="41">
        <v>4710</v>
      </c>
      <c r="C6016" s="54">
        <v>9004</v>
      </c>
      <c r="D6016" s="54" t="s">
        <v>45</v>
      </c>
      <c r="E6016" s="54" t="s">
        <v>1298</v>
      </c>
      <c r="F6016" s="54" t="s">
        <v>8426</v>
      </c>
      <c r="G6016" s="54" t="s">
        <v>18315</v>
      </c>
      <c r="H6016" s="54" t="s">
        <v>18316</v>
      </c>
      <c r="I6016" s="43">
        <v>12</v>
      </c>
      <c r="J6016" s="44" t="str">
        <f>VLOOKUP(G6016,[1]硬件清单!$F:$F,1,0)</f>
        <v>06ACNW1</v>
      </c>
      <c r="K6016" s="43"/>
      <c r="L6016" s="44"/>
      <c r="M6016" s="45" t="s">
        <v>18317</v>
      </c>
    </row>
    <row r="6017" s="29" customFormat="1" ht="30" customHeight="1" spans="1:13">
      <c r="A6017" s="41">
        <f>IF(C6017="","",SUBTOTAL(103,$C$2:C6017))</f>
        <v>6008</v>
      </c>
      <c r="B6017" s="41">
        <v>4711</v>
      </c>
      <c r="C6017" s="54">
        <v>9005</v>
      </c>
      <c r="D6017" s="54" t="s">
        <v>45</v>
      </c>
      <c r="E6017" s="54" t="s">
        <v>1298</v>
      </c>
      <c r="F6017" s="54" t="s">
        <v>8426</v>
      </c>
      <c r="G6017" s="54" t="s">
        <v>18318</v>
      </c>
      <c r="H6017" s="54" t="s">
        <v>18319</v>
      </c>
      <c r="I6017" s="43">
        <v>12</v>
      </c>
      <c r="J6017" s="44" t="str">
        <f>VLOOKUP(G6017,[1]硬件清单!$F:$F,1,0)</f>
        <v>06ACPK2</v>
      </c>
      <c r="K6017" s="43"/>
      <c r="L6017" s="44"/>
      <c r="M6017" s="45" t="s">
        <v>18320</v>
      </c>
    </row>
    <row r="6018" s="29" customFormat="1" ht="30" customHeight="1" spans="1:13">
      <c r="A6018" s="41">
        <f>IF(C6018="","",SUBTOTAL(103,$C$2:C6018))</f>
        <v>6009</v>
      </c>
      <c r="B6018" s="41">
        <v>4712</v>
      </c>
      <c r="C6018" s="54">
        <v>9006</v>
      </c>
      <c r="D6018" s="54" t="s">
        <v>45</v>
      </c>
      <c r="E6018" s="54" t="s">
        <v>1298</v>
      </c>
      <c r="F6018" s="54" t="s">
        <v>8426</v>
      </c>
      <c r="G6018" s="54" t="s">
        <v>18321</v>
      </c>
      <c r="H6018" s="54" t="s">
        <v>18322</v>
      </c>
      <c r="I6018" s="43">
        <v>12</v>
      </c>
      <c r="J6018" s="44" t="str">
        <f>VLOOKUP(G6018,[1]硬件清单!$F:$F,1,0)</f>
        <v>06ACNM0</v>
      </c>
      <c r="K6018" s="43"/>
      <c r="L6018" s="44"/>
      <c r="M6018" s="45" t="s">
        <v>18323</v>
      </c>
    </row>
    <row r="6019" s="29" customFormat="1" ht="30" customHeight="1" spans="1:13">
      <c r="A6019" s="41">
        <f>IF(C6019="","",SUBTOTAL(103,$C$2:C6019))</f>
        <v>6010</v>
      </c>
      <c r="B6019" s="41">
        <v>4713</v>
      </c>
      <c r="C6019" s="54">
        <v>9007</v>
      </c>
      <c r="D6019" s="54" t="s">
        <v>45</v>
      </c>
      <c r="E6019" s="54" t="s">
        <v>1298</v>
      </c>
      <c r="F6019" s="54" t="s">
        <v>8426</v>
      </c>
      <c r="G6019" s="54" t="s">
        <v>18324</v>
      </c>
      <c r="H6019" s="54" t="s">
        <v>18325</v>
      </c>
      <c r="I6019" s="43">
        <v>12</v>
      </c>
      <c r="J6019" s="44" t="str">
        <f>VLOOKUP(G6019,[1]硬件清单!$F:$F,1,0)</f>
        <v>10C32CB</v>
      </c>
      <c r="K6019" s="43"/>
      <c r="L6019" s="44"/>
      <c r="M6019" s="45" t="s">
        <v>18326</v>
      </c>
    </row>
    <row r="6020" s="29" customFormat="1" ht="30" customHeight="1" spans="1:13">
      <c r="A6020" s="41">
        <f>IF(C6020="","",SUBTOTAL(103,$C$2:C6020))</f>
        <v>6011</v>
      </c>
      <c r="B6020" s="41">
        <v>4714</v>
      </c>
      <c r="C6020" s="54">
        <v>9008</v>
      </c>
      <c r="D6020" s="54" t="s">
        <v>45</v>
      </c>
      <c r="E6020" s="54" t="s">
        <v>1298</v>
      </c>
      <c r="F6020" s="54" t="s">
        <v>8426</v>
      </c>
      <c r="G6020" s="54" t="s">
        <v>18327</v>
      </c>
      <c r="H6020" s="54" t="s">
        <v>18328</v>
      </c>
      <c r="I6020" s="43">
        <v>12</v>
      </c>
      <c r="J6020" s="44" t="str">
        <f>VLOOKUP(G6020,[1]硬件清单!$F:$F,1,0)</f>
        <v>06ACPD7</v>
      </c>
      <c r="K6020" s="43"/>
      <c r="L6020" s="44"/>
      <c r="M6020" s="45" t="s">
        <v>18329</v>
      </c>
    </row>
    <row r="6021" s="29" customFormat="1" ht="30" customHeight="1" spans="1:13">
      <c r="A6021" s="41">
        <f>IF(C6021="","",SUBTOTAL(103,$C$2:C6021))</f>
        <v>6012</v>
      </c>
      <c r="B6021" s="41">
        <v>4715</v>
      </c>
      <c r="C6021" s="55">
        <v>7719</v>
      </c>
      <c r="D6021" s="55" t="s">
        <v>65</v>
      </c>
      <c r="E6021" s="55" t="s">
        <v>220</v>
      </c>
      <c r="F6021" s="55" t="s">
        <v>18330</v>
      </c>
      <c r="G6021" s="54" t="s">
        <v>18331</v>
      </c>
      <c r="H6021" s="54" t="s">
        <v>18332</v>
      </c>
      <c r="I6021" s="43">
        <v>12</v>
      </c>
      <c r="J6021" s="44" t="str">
        <f>VLOOKUP(G6021,[1]硬件清单!$F:$F,1,0)</f>
        <v>YD-SW1G-242EE51B0995</v>
      </c>
      <c r="K6021" s="43"/>
      <c r="L6021" s="44"/>
      <c r="M6021" s="45" t="s">
        <v>18333</v>
      </c>
    </row>
    <row r="6022" s="29" customFormat="1" ht="30" customHeight="1" spans="1:13">
      <c r="A6022" s="41">
        <f>IF(C6022="","",SUBTOTAL(103,$C$2:C6022))</f>
        <v>6013</v>
      </c>
      <c r="B6022" s="41">
        <v>4716</v>
      </c>
      <c r="C6022" s="55">
        <v>7722</v>
      </c>
      <c r="D6022" s="55" t="s">
        <v>65</v>
      </c>
      <c r="E6022" s="55" t="s">
        <v>220</v>
      </c>
      <c r="F6022" s="55" t="s">
        <v>18330</v>
      </c>
      <c r="G6022" s="54" t="s">
        <v>18334</v>
      </c>
      <c r="H6022" s="54" t="s">
        <v>18335</v>
      </c>
      <c r="I6022" s="43">
        <v>12</v>
      </c>
      <c r="J6022" s="44" t="str">
        <f>VLOOKUP(G6022,[1]硬件清单!$F:$F,1,0)</f>
        <v>YD-SW1G-242EE51B0998</v>
      </c>
      <c r="K6022" s="43"/>
      <c r="L6022" s="44"/>
      <c r="M6022" s="45" t="s">
        <v>18336</v>
      </c>
    </row>
    <row r="6023" s="29" customFormat="1" ht="30" customHeight="1" spans="1:13">
      <c r="A6023" s="41">
        <f>IF(C6023="","",SUBTOTAL(103,$C$2:C6023))</f>
        <v>6014</v>
      </c>
      <c r="B6023" s="41">
        <v>4717</v>
      </c>
      <c r="C6023" s="55">
        <v>7717</v>
      </c>
      <c r="D6023" s="55" t="s">
        <v>65</v>
      </c>
      <c r="E6023" s="55" t="s">
        <v>220</v>
      </c>
      <c r="F6023" s="55" t="s">
        <v>18330</v>
      </c>
      <c r="G6023" s="54" t="s">
        <v>18337</v>
      </c>
      <c r="H6023" s="54" t="s">
        <v>18338</v>
      </c>
      <c r="I6023" s="43">
        <v>12</v>
      </c>
      <c r="J6023" s="44" t="str">
        <f>VLOOKUP(G6023,[1]硬件清单!$F:$F,1,0)</f>
        <v>YD-SW1G-242EE51B0993</v>
      </c>
      <c r="K6023" s="43"/>
      <c r="L6023" s="44"/>
      <c r="M6023" s="45" t="s">
        <v>18339</v>
      </c>
    </row>
    <row r="6024" s="29" customFormat="1" ht="30" customHeight="1" spans="1:13">
      <c r="A6024" s="41">
        <f>IF(C6024="","",SUBTOTAL(103,$C$2:C6024))</f>
        <v>6015</v>
      </c>
      <c r="B6024" s="41">
        <v>4718</v>
      </c>
      <c r="C6024" s="55">
        <v>7716</v>
      </c>
      <c r="D6024" s="55" t="s">
        <v>65</v>
      </c>
      <c r="E6024" s="55" t="s">
        <v>220</v>
      </c>
      <c r="F6024" s="55" t="s">
        <v>18330</v>
      </c>
      <c r="G6024" s="54" t="s">
        <v>18340</v>
      </c>
      <c r="H6024" s="54" t="s">
        <v>18341</v>
      </c>
      <c r="I6024" s="43">
        <v>12</v>
      </c>
      <c r="J6024" s="44" t="str">
        <f>VLOOKUP(G6024,[1]硬件清单!$F:$F,1,0)</f>
        <v>YD-SW1G-242EE51B0992</v>
      </c>
      <c r="K6024" s="43"/>
      <c r="L6024" s="44"/>
      <c r="M6024" s="45" t="s">
        <v>18342</v>
      </c>
    </row>
    <row r="6025" s="29" customFormat="1" ht="30" customHeight="1" spans="1:13">
      <c r="A6025" s="41">
        <f>IF(C6025="","",SUBTOTAL(103,$C$2:C6025))</f>
        <v>6016</v>
      </c>
      <c r="B6025" s="41">
        <v>4719</v>
      </c>
      <c r="C6025" s="54">
        <v>11060</v>
      </c>
      <c r="D6025" s="54" t="s">
        <v>45</v>
      </c>
      <c r="E6025" s="54" t="s">
        <v>1298</v>
      </c>
      <c r="F6025" s="54" t="s">
        <v>10905</v>
      </c>
      <c r="G6025" s="54" t="s">
        <v>18343</v>
      </c>
      <c r="H6025" s="54" t="s">
        <v>18344</v>
      </c>
      <c r="I6025" s="43">
        <v>12</v>
      </c>
      <c r="J6025" s="44" t="str">
        <f>VLOOKUP(G6025,[1]硬件清单!$F:$F,1,0)</f>
        <v>214637677</v>
      </c>
      <c r="K6025" s="43"/>
      <c r="L6025" s="44"/>
      <c r="M6025" s="45" t="s">
        <v>18345</v>
      </c>
    </row>
    <row r="6026" s="29" customFormat="1" ht="30" customHeight="1" spans="1:13">
      <c r="A6026" s="41">
        <f>IF(C6026="","",SUBTOTAL(103,$C$2:C6026))</f>
        <v>6017</v>
      </c>
      <c r="B6026" s="41">
        <v>4720</v>
      </c>
      <c r="C6026" s="54">
        <v>11058</v>
      </c>
      <c r="D6026" s="54" t="s">
        <v>45</v>
      </c>
      <c r="E6026" s="54" t="s">
        <v>1298</v>
      </c>
      <c r="F6026" s="54" t="s">
        <v>10905</v>
      </c>
      <c r="G6026" s="54" t="s">
        <v>18346</v>
      </c>
      <c r="H6026" s="54" t="s">
        <v>18347</v>
      </c>
      <c r="I6026" s="43">
        <v>12</v>
      </c>
      <c r="J6026" s="44" t="str">
        <f>VLOOKUP(G6026,[1]硬件清单!$F:$F,1,0)</f>
        <v>214637689</v>
      </c>
      <c r="K6026" s="43"/>
      <c r="L6026" s="44"/>
      <c r="M6026" s="45" t="s">
        <v>18348</v>
      </c>
    </row>
    <row r="6027" s="29" customFormat="1" ht="30" customHeight="1" spans="1:13">
      <c r="A6027" s="41">
        <f>IF(C6027="","",SUBTOTAL(103,$C$2:C6027))</f>
        <v>6018</v>
      </c>
      <c r="B6027" s="41">
        <v>4721</v>
      </c>
      <c r="C6027" s="54">
        <v>11059</v>
      </c>
      <c r="D6027" s="54" t="s">
        <v>45</v>
      </c>
      <c r="E6027" s="54" t="s">
        <v>1298</v>
      </c>
      <c r="F6027" s="54" t="s">
        <v>10905</v>
      </c>
      <c r="G6027" s="54" t="s">
        <v>18349</v>
      </c>
      <c r="H6027" s="54" t="s">
        <v>18350</v>
      </c>
      <c r="I6027" s="43">
        <v>12</v>
      </c>
      <c r="J6027" s="44" t="str">
        <f>VLOOKUP(G6027,[1]硬件清单!$F:$F,1,0)</f>
        <v>214637688</v>
      </c>
      <c r="K6027" s="43"/>
      <c r="L6027" s="44"/>
      <c r="M6027" s="45" t="s">
        <v>18351</v>
      </c>
    </row>
    <row r="6028" s="29" customFormat="1" ht="30" customHeight="1" spans="1:13">
      <c r="A6028" s="41">
        <f>IF(C6028="","",SUBTOTAL(103,$C$2:C6028))</f>
        <v>6019</v>
      </c>
      <c r="B6028" s="41">
        <v>4722</v>
      </c>
      <c r="C6028" s="55">
        <v>10746</v>
      </c>
      <c r="D6028" s="55" t="s">
        <v>19</v>
      </c>
      <c r="E6028" s="55" t="s">
        <v>20</v>
      </c>
      <c r="F6028" s="55" t="s">
        <v>10016</v>
      </c>
      <c r="G6028" s="54" t="s">
        <v>18352</v>
      </c>
      <c r="H6028" s="54" t="s">
        <v>18353</v>
      </c>
      <c r="I6028" s="43">
        <v>12</v>
      </c>
      <c r="J6028" s="44" t="str">
        <f>VLOOKUP(G6028,[1]硬件清单!$F:$F,1,0)</f>
        <v>2102350DLUDMGB000206</v>
      </c>
      <c r="K6028" s="43"/>
      <c r="L6028" s="44"/>
      <c r="M6028" s="45" t="s">
        <v>18354</v>
      </c>
    </row>
    <row r="6029" s="29" customFormat="1" ht="30" customHeight="1" spans="1:13">
      <c r="A6029" s="41">
        <f>IF(C6029="","",SUBTOTAL(103,$C$2:C6029))</f>
        <v>6020</v>
      </c>
      <c r="B6029" s="41">
        <v>4723</v>
      </c>
      <c r="C6029" s="55">
        <v>10718</v>
      </c>
      <c r="D6029" s="55" t="s">
        <v>19</v>
      </c>
      <c r="E6029" s="55" t="s">
        <v>20</v>
      </c>
      <c r="F6029" s="55" t="s">
        <v>18355</v>
      </c>
      <c r="G6029" s="54" t="s">
        <v>18356</v>
      </c>
      <c r="H6029" s="54" t="s">
        <v>18357</v>
      </c>
      <c r="I6029" s="43">
        <v>12</v>
      </c>
      <c r="J6029" s="44" t="str">
        <f>VLOOKUP(G6029,[1]硬件清单!$F:$F,1,0)</f>
        <v>2102350DLUDMGB000221</v>
      </c>
      <c r="K6029" s="43"/>
      <c r="L6029" s="44"/>
      <c r="M6029" s="45" t="s">
        <v>18358</v>
      </c>
    </row>
    <row r="6030" s="29" customFormat="1" ht="30" customHeight="1" spans="1:13">
      <c r="A6030" s="41">
        <f>IF(C6030="","",SUBTOTAL(103,$C$2:C6030))</f>
        <v>6021</v>
      </c>
      <c r="B6030" s="41">
        <v>4724</v>
      </c>
      <c r="C6030" s="54">
        <v>3538</v>
      </c>
      <c r="D6030" s="54" t="s">
        <v>19</v>
      </c>
      <c r="E6030" s="54" t="s">
        <v>113</v>
      </c>
      <c r="F6030" s="54" t="s">
        <v>18359</v>
      </c>
      <c r="G6030" s="54" t="s">
        <v>18360</v>
      </c>
      <c r="H6030" s="54" t="s">
        <v>18361</v>
      </c>
      <c r="I6030" s="43">
        <v>12</v>
      </c>
      <c r="J6030" s="44" t="str">
        <f>VLOOKUP(G6030,[1]硬件清单!$F:$F,1,0)</f>
        <v>FOX2137P7S0</v>
      </c>
      <c r="K6030" s="44"/>
      <c r="L6030" s="44" t="s">
        <v>17</v>
      </c>
      <c r="M6030" s="45" t="s">
        <v>18362</v>
      </c>
    </row>
    <row r="6031" s="29" customFormat="1" ht="30" customHeight="1" spans="1:13">
      <c r="A6031" s="41">
        <f>IF(C6031="","",SUBTOTAL(103,$C$2:C6031))</f>
        <v>6022</v>
      </c>
      <c r="B6031" s="41">
        <v>4725</v>
      </c>
      <c r="C6031" s="54">
        <v>3539</v>
      </c>
      <c r="D6031" s="54" t="s">
        <v>19</v>
      </c>
      <c r="E6031" s="54" t="s">
        <v>113</v>
      </c>
      <c r="F6031" s="54" t="s">
        <v>18359</v>
      </c>
      <c r="G6031" s="54" t="s">
        <v>18363</v>
      </c>
      <c r="H6031" s="54" t="s">
        <v>18364</v>
      </c>
      <c r="I6031" s="43">
        <v>12</v>
      </c>
      <c r="J6031" s="44" t="str">
        <f>VLOOKUP(G6031,[1]硬件清单!$F:$F,1,0)</f>
        <v>FOX2137P7S4</v>
      </c>
      <c r="K6031" s="44"/>
      <c r="L6031" s="44" t="s">
        <v>17</v>
      </c>
      <c r="M6031" s="45" t="s">
        <v>18365</v>
      </c>
    </row>
    <row r="6032" s="29" customFormat="1" ht="30" customHeight="1" spans="1:13">
      <c r="A6032" s="41">
        <f>IF(C6032="","",SUBTOTAL(103,$C$2:C6032))</f>
        <v>6023</v>
      </c>
      <c r="B6032" s="41">
        <v>4726</v>
      </c>
      <c r="C6032" s="55">
        <v>3413</v>
      </c>
      <c r="D6032" s="55" t="s">
        <v>3602</v>
      </c>
      <c r="E6032" s="55" t="s">
        <v>3603</v>
      </c>
      <c r="F6032" s="55" t="s">
        <v>3604</v>
      </c>
      <c r="G6032" s="54" t="s">
        <v>18366</v>
      </c>
      <c r="H6032" s="54" t="s">
        <v>18367</v>
      </c>
      <c r="I6032" s="43">
        <v>12</v>
      </c>
      <c r="J6032" s="44" t="str">
        <f>VLOOKUP(G6032,[1]硬件清单!$F:$F,1,0)</f>
        <v>180103201112</v>
      </c>
      <c r="K6032" s="43"/>
      <c r="L6032" s="44"/>
      <c r="M6032" s="45" t="s">
        <v>18368</v>
      </c>
    </row>
    <row r="6033" s="29" customFormat="1" ht="30" customHeight="1" spans="1:13">
      <c r="A6033" s="41">
        <f>IF(C6033="","",SUBTOTAL(103,$C$2:C6033))</f>
        <v>6024</v>
      </c>
      <c r="B6033" s="41">
        <v>4727</v>
      </c>
      <c r="C6033" s="55">
        <v>5715</v>
      </c>
      <c r="D6033" s="55" t="s">
        <v>19</v>
      </c>
      <c r="E6033" s="55" t="s">
        <v>20</v>
      </c>
      <c r="F6033" s="55" t="s">
        <v>18369</v>
      </c>
      <c r="G6033" s="54" t="s">
        <v>18370</v>
      </c>
      <c r="H6033" s="54" t="s">
        <v>18371</v>
      </c>
      <c r="I6033" s="43">
        <v>12</v>
      </c>
      <c r="J6033" s="44" t="str">
        <f>VLOOKUP(G6033,[1]硬件清单!$F:$F,1,0)</f>
        <v>2102350RTC6TH9001182</v>
      </c>
      <c r="K6033" s="43"/>
      <c r="L6033" s="44"/>
      <c r="M6033" s="45" t="s">
        <v>18372</v>
      </c>
    </row>
    <row r="6034" s="29" customFormat="1" ht="30" customHeight="1" spans="1:13">
      <c r="A6034" s="41">
        <f>IF(C6034="","",SUBTOTAL(103,$C$2:C6034))</f>
        <v>6025</v>
      </c>
      <c r="B6034" s="41">
        <v>4728</v>
      </c>
      <c r="C6034" s="55">
        <v>3414</v>
      </c>
      <c r="D6034" s="55" t="s">
        <v>3602</v>
      </c>
      <c r="E6034" s="55" t="s">
        <v>3603</v>
      </c>
      <c r="F6034" s="55" t="s">
        <v>3604</v>
      </c>
      <c r="G6034" s="54" t="s">
        <v>18373</v>
      </c>
      <c r="H6034" s="54" t="s">
        <v>18374</v>
      </c>
      <c r="I6034" s="43">
        <v>12</v>
      </c>
      <c r="J6034" s="44" t="str">
        <f>VLOOKUP(G6034,[1]硬件清单!$F:$F,1,0)</f>
        <v>180103201136</v>
      </c>
      <c r="K6034" s="43"/>
      <c r="L6034" s="44"/>
      <c r="M6034" s="45" t="s">
        <v>18375</v>
      </c>
    </row>
    <row r="6035" s="29" customFormat="1" ht="30" customHeight="1" spans="1:13">
      <c r="A6035" s="41">
        <f>IF(C6035="","",SUBTOTAL(103,$C$2:C6035))</f>
        <v>6026</v>
      </c>
      <c r="B6035" s="41">
        <v>4729</v>
      </c>
      <c r="C6035" s="55">
        <v>5718</v>
      </c>
      <c r="D6035" s="55" t="s">
        <v>19</v>
      </c>
      <c r="E6035" s="55" t="s">
        <v>20</v>
      </c>
      <c r="F6035" s="56" t="s">
        <v>18376</v>
      </c>
      <c r="G6035" s="54" t="s">
        <v>18377</v>
      </c>
      <c r="H6035" s="54" t="s">
        <v>18378</v>
      </c>
      <c r="I6035" s="43">
        <v>12</v>
      </c>
      <c r="J6035" s="44" t="str">
        <f>VLOOKUP(G6035,[1]硬件清单!$F:$F,1,0)</f>
        <v>2102350RTC6TH9001185</v>
      </c>
      <c r="K6035" s="43"/>
      <c r="L6035" s="44"/>
      <c r="M6035" s="45" t="s">
        <v>18379</v>
      </c>
    </row>
    <row r="6036" s="29" customFormat="1" ht="30" customHeight="1" spans="1:13">
      <c r="A6036" s="41">
        <f>IF(C6036="","",SUBTOTAL(103,$C$2:C6036))</f>
        <v>6027</v>
      </c>
      <c r="B6036" s="41">
        <v>4730</v>
      </c>
      <c r="C6036" s="54">
        <v>5890</v>
      </c>
      <c r="D6036" s="54" t="s">
        <v>3602</v>
      </c>
      <c r="E6036" s="54" t="s">
        <v>3603</v>
      </c>
      <c r="F6036" s="42" t="s">
        <v>9498</v>
      </c>
      <c r="G6036" s="54" t="s">
        <v>18380</v>
      </c>
      <c r="H6036" s="54" t="s">
        <v>18381</v>
      </c>
      <c r="I6036" s="43">
        <v>12</v>
      </c>
      <c r="J6036" s="44" t="str">
        <f>VLOOKUP(G6036,[1]硬件清单!$F:$F,1,0)</f>
        <v>171003201050</v>
      </c>
      <c r="K6036" s="43"/>
      <c r="L6036" s="44"/>
      <c r="M6036" s="45" t="s">
        <v>18382</v>
      </c>
    </row>
    <row r="6037" s="29" customFormat="1" ht="30" customHeight="1" spans="1:13">
      <c r="A6037" s="41">
        <f>IF(C6037="","",SUBTOTAL(103,$C$2:C6037))</f>
        <v>6028</v>
      </c>
      <c r="B6037" s="41">
        <v>4731</v>
      </c>
      <c r="C6037" s="55">
        <v>3415</v>
      </c>
      <c r="D6037" s="55" t="s">
        <v>3602</v>
      </c>
      <c r="E6037" s="55" t="s">
        <v>3603</v>
      </c>
      <c r="F6037" s="55" t="s">
        <v>3604</v>
      </c>
      <c r="G6037" s="54" t="s">
        <v>18383</v>
      </c>
      <c r="H6037" s="54" t="s">
        <v>18384</v>
      </c>
      <c r="I6037" s="43">
        <v>12</v>
      </c>
      <c r="J6037" s="44" t="str">
        <f>VLOOKUP(G6037,[1]硬件清单!$F:$F,1,0)</f>
        <v>180103201198</v>
      </c>
      <c r="K6037" s="43"/>
      <c r="L6037" s="44"/>
      <c r="M6037" s="45" t="s">
        <v>18385</v>
      </c>
    </row>
    <row r="6038" s="29" customFormat="1" ht="30" customHeight="1" spans="1:13">
      <c r="A6038" s="41">
        <f>IF(C6038="","",SUBTOTAL(103,$C$2:C6038))</f>
        <v>6029</v>
      </c>
      <c r="B6038" s="41">
        <v>4732</v>
      </c>
      <c r="C6038" s="54">
        <v>14207</v>
      </c>
      <c r="D6038" s="54" t="s">
        <v>19</v>
      </c>
      <c r="E6038" s="54" t="s">
        <v>20</v>
      </c>
      <c r="F6038" s="54" t="s">
        <v>18386</v>
      </c>
      <c r="G6038" s="54" t="s">
        <v>18387</v>
      </c>
      <c r="H6038" s="54" t="s">
        <v>18388</v>
      </c>
      <c r="I6038" s="43">
        <v>12</v>
      </c>
      <c r="J6038" s="44" t="str">
        <f>VLOOKUP(G6038,[1]硬件清单!$F:$F,1,0)</f>
        <v>210235A1LTH169000410</v>
      </c>
      <c r="K6038" s="43"/>
      <c r="L6038" s="44"/>
      <c r="M6038" s="45" t="s">
        <v>18389</v>
      </c>
    </row>
    <row r="6039" s="29" customFormat="1" ht="30" customHeight="1" spans="1:13">
      <c r="A6039" s="41">
        <f>IF(C6039="","",SUBTOTAL(103,$C$2:C6039))</f>
        <v>6030</v>
      </c>
      <c r="B6039" s="41">
        <v>4733</v>
      </c>
      <c r="C6039" s="54">
        <v>14206</v>
      </c>
      <c r="D6039" s="54" t="s">
        <v>19</v>
      </c>
      <c r="E6039" s="54" t="s">
        <v>20</v>
      </c>
      <c r="F6039" s="54" t="s">
        <v>18386</v>
      </c>
      <c r="G6039" s="54" t="s">
        <v>18390</v>
      </c>
      <c r="H6039" s="54" t="s">
        <v>18391</v>
      </c>
      <c r="I6039" s="43">
        <v>12</v>
      </c>
      <c r="J6039" s="44" t="str">
        <f>VLOOKUP(G6039,[1]硬件清单!$F:$F,1,0)</f>
        <v>210235A1LTH169000414</v>
      </c>
      <c r="K6039" s="43"/>
      <c r="L6039" s="44"/>
      <c r="M6039" s="45" t="s">
        <v>18392</v>
      </c>
    </row>
    <row r="6040" s="29" customFormat="1" ht="30" customHeight="1" spans="1:13">
      <c r="A6040" s="41">
        <f>IF(C6040="","",SUBTOTAL(103,$C$2:C6040))</f>
        <v>6031</v>
      </c>
      <c r="B6040" s="41">
        <v>4734</v>
      </c>
      <c r="C6040" s="55">
        <v>7718</v>
      </c>
      <c r="D6040" s="55" t="s">
        <v>65</v>
      </c>
      <c r="E6040" s="55" t="s">
        <v>220</v>
      </c>
      <c r="F6040" s="55" t="s">
        <v>18330</v>
      </c>
      <c r="G6040" s="54" t="s">
        <v>18393</v>
      </c>
      <c r="H6040" s="54" t="s">
        <v>18394</v>
      </c>
      <c r="I6040" s="43">
        <v>12</v>
      </c>
      <c r="J6040" s="44" t="str">
        <f>VLOOKUP(G6040,[1]硬件清单!$F:$F,1,0)</f>
        <v>YD-SW1G-242EE51B0994</v>
      </c>
      <c r="K6040" s="43"/>
      <c r="L6040" s="44"/>
      <c r="M6040" s="45" t="s">
        <v>18395</v>
      </c>
    </row>
    <row r="6041" s="29" customFormat="1" ht="30" customHeight="1" spans="1:13">
      <c r="A6041" s="41">
        <f>IF(C6041="","",SUBTOTAL(103,$C$2:C6041))</f>
        <v>6032</v>
      </c>
      <c r="B6041" s="41">
        <v>4735</v>
      </c>
      <c r="C6041" s="54">
        <v>3540</v>
      </c>
      <c r="D6041" s="54" t="s">
        <v>19</v>
      </c>
      <c r="E6041" s="54" t="s">
        <v>113</v>
      </c>
      <c r="F6041" s="54" t="s">
        <v>18396</v>
      </c>
      <c r="G6041" s="54" t="s">
        <v>18397</v>
      </c>
      <c r="H6041" s="54" t="s">
        <v>18398</v>
      </c>
      <c r="I6041" s="43">
        <v>12</v>
      </c>
      <c r="J6041" s="44" t="str">
        <f>VLOOKUP(G6041,[1]硬件清单!$F:$F,1,0)</f>
        <v>FXS2139Q1PZ</v>
      </c>
      <c r="K6041" s="44"/>
      <c r="L6041" s="44" t="s">
        <v>17</v>
      </c>
      <c r="M6041" s="45" t="s">
        <v>18399</v>
      </c>
    </row>
    <row r="6042" s="29" customFormat="1" ht="30" customHeight="1" spans="1:13">
      <c r="A6042" s="41">
        <f>IF(C6042="","",SUBTOTAL(103,$C$2:C6042))</f>
        <v>6033</v>
      </c>
      <c r="B6042" s="41">
        <v>4736</v>
      </c>
      <c r="C6042" s="54">
        <v>3541</v>
      </c>
      <c r="D6042" s="54" t="s">
        <v>19</v>
      </c>
      <c r="E6042" s="54" t="s">
        <v>113</v>
      </c>
      <c r="F6042" s="54" t="s">
        <v>18396</v>
      </c>
      <c r="G6042" s="54" t="s">
        <v>18400</v>
      </c>
      <c r="H6042" s="54" t="s">
        <v>18401</v>
      </c>
      <c r="I6042" s="43">
        <v>12</v>
      </c>
      <c r="J6042" s="44" t="str">
        <f>VLOOKUP(G6042,[1]硬件清单!$F:$F,1,0)</f>
        <v>FXS2139Q1PM</v>
      </c>
      <c r="K6042" s="44"/>
      <c r="L6042" s="44" t="s">
        <v>17</v>
      </c>
      <c r="M6042" s="45" t="s">
        <v>18402</v>
      </c>
    </row>
    <row r="6043" s="29" customFormat="1" ht="30" customHeight="1" spans="1:13">
      <c r="A6043" s="41">
        <f>IF(C6043="","",SUBTOTAL(103,$C$2:C6043))</f>
        <v>6034</v>
      </c>
      <c r="B6043" s="41">
        <v>4737</v>
      </c>
      <c r="C6043" s="54">
        <v>7350</v>
      </c>
      <c r="D6043" s="54" t="s">
        <v>19</v>
      </c>
      <c r="E6043" s="54" t="s">
        <v>20</v>
      </c>
      <c r="F6043" s="54" t="s">
        <v>7253</v>
      </c>
      <c r="G6043" s="54" t="s">
        <v>18403</v>
      </c>
      <c r="H6043" s="54" t="s">
        <v>18404</v>
      </c>
      <c r="I6043" s="43">
        <v>12</v>
      </c>
      <c r="J6043" s="44" t="str">
        <f>VLOOKUP(G6043,[1]硬件清单!$F:$F,1,0)</f>
        <v>210235AOHAH127000033</v>
      </c>
      <c r="K6043" s="43"/>
      <c r="L6043" s="44"/>
      <c r="M6043" s="45" t="s">
        <v>18405</v>
      </c>
    </row>
    <row r="6044" s="29" customFormat="1" ht="30" customHeight="1" spans="1:13">
      <c r="A6044" s="41">
        <f>IF(C6044="","",SUBTOTAL(103,$C$2:C6044))</f>
        <v>6035</v>
      </c>
      <c r="B6044" s="41">
        <v>4738</v>
      </c>
      <c r="C6044" s="54">
        <v>7353</v>
      </c>
      <c r="D6044" s="54" t="s">
        <v>19</v>
      </c>
      <c r="E6044" s="54" t="s">
        <v>20</v>
      </c>
      <c r="F6044" s="54" t="s">
        <v>6538</v>
      </c>
      <c r="G6044" s="54" t="s">
        <v>18406</v>
      </c>
      <c r="H6044" s="54" t="s">
        <v>18407</v>
      </c>
      <c r="I6044" s="43">
        <v>12</v>
      </c>
      <c r="J6044" s="44" t="str">
        <f>VLOOKUP(G6044,[1]硬件清单!$F:$F,1,0)</f>
        <v>210235A0H9H11A000110</v>
      </c>
      <c r="K6044" s="43"/>
      <c r="L6044" s="44"/>
      <c r="M6044" s="45" t="s">
        <v>18408</v>
      </c>
    </row>
    <row r="6045" s="29" customFormat="1" ht="30" customHeight="1" spans="1:13">
      <c r="A6045" s="41">
        <f>IF(C6045="","",SUBTOTAL(103,$C$2:C6045))</f>
        <v>6036</v>
      </c>
      <c r="B6045" s="41">
        <v>4739</v>
      </c>
      <c r="C6045" s="54">
        <v>7354</v>
      </c>
      <c r="D6045" s="54" t="s">
        <v>19</v>
      </c>
      <c r="E6045" s="54" t="s">
        <v>20</v>
      </c>
      <c r="F6045" s="54" t="s">
        <v>6538</v>
      </c>
      <c r="G6045" s="54" t="s">
        <v>18409</v>
      </c>
      <c r="H6045" s="54" t="s">
        <v>18410</v>
      </c>
      <c r="I6045" s="43">
        <v>12</v>
      </c>
      <c r="J6045" s="44" t="str">
        <f>VLOOKUP(G6045,[1]硬件清单!$F:$F,1,0)</f>
        <v>210235A0H9H11A000117</v>
      </c>
      <c r="K6045" s="43"/>
      <c r="L6045" s="44"/>
      <c r="M6045" s="45" t="s">
        <v>18411</v>
      </c>
    </row>
    <row r="6046" s="29" customFormat="1" ht="30" customHeight="1" spans="1:13">
      <c r="A6046" s="41">
        <f>IF(C6046="","",SUBTOTAL(103,$C$2:C6046))</f>
        <v>6037</v>
      </c>
      <c r="B6046" s="41">
        <v>4740</v>
      </c>
      <c r="C6046" s="55">
        <v>17278</v>
      </c>
      <c r="D6046" s="55" t="s">
        <v>19</v>
      </c>
      <c r="E6046" s="55" t="s">
        <v>20</v>
      </c>
      <c r="F6046" s="55" t="s">
        <v>18412</v>
      </c>
      <c r="G6046" s="54" t="s">
        <v>18413</v>
      </c>
      <c r="H6046" s="54" t="s">
        <v>18414</v>
      </c>
      <c r="I6046" s="43">
        <v>12</v>
      </c>
      <c r="J6046" s="44" t="str">
        <f>VLOOKUP(G6046,[1]硬件清单!$F:$F,1,0)</f>
        <v>210235A24WH119000320</v>
      </c>
      <c r="K6046" s="43"/>
      <c r="L6046" s="44"/>
      <c r="M6046" s="45" t="s">
        <v>18415</v>
      </c>
    </row>
    <row r="6047" s="29" customFormat="1" ht="30" customHeight="1" spans="1:13">
      <c r="A6047" s="41">
        <f>IF(C6047="","",SUBTOTAL(103,$C$2:C6047))</f>
        <v>6038</v>
      </c>
      <c r="B6047" s="41">
        <v>4741</v>
      </c>
      <c r="C6047" s="55">
        <v>7715</v>
      </c>
      <c r="D6047" s="55" t="s">
        <v>65</v>
      </c>
      <c r="E6047" s="55" t="s">
        <v>220</v>
      </c>
      <c r="F6047" s="55" t="s">
        <v>18330</v>
      </c>
      <c r="G6047" s="54" t="s">
        <v>18416</v>
      </c>
      <c r="H6047" s="54" t="s">
        <v>18417</v>
      </c>
      <c r="I6047" s="43">
        <v>12</v>
      </c>
      <c r="J6047" s="44" t="str">
        <f>VLOOKUP(G6047,[1]硬件清单!$F:$F,1,0)</f>
        <v>YD-SW1G-242EE51B0991</v>
      </c>
      <c r="K6047" s="43"/>
      <c r="L6047" s="44"/>
      <c r="M6047" s="45" t="s">
        <v>18418</v>
      </c>
    </row>
    <row r="6048" s="29" customFormat="1" ht="30" customHeight="1" spans="1:13">
      <c r="A6048" s="41">
        <f>IF(C6048="","",SUBTOTAL(103,$C$2:C6048))</f>
        <v>6039</v>
      </c>
      <c r="B6048" s="41">
        <v>4742</v>
      </c>
      <c r="C6048" s="55">
        <v>7724</v>
      </c>
      <c r="D6048" s="55" t="s">
        <v>65</v>
      </c>
      <c r="E6048" s="55" t="s">
        <v>220</v>
      </c>
      <c r="F6048" s="55" t="s">
        <v>18330</v>
      </c>
      <c r="G6048" s="54" t="s">
        <v>18419</v>
      </c>
      <c r="H6048" s="54" t="s">
        <v>18420</v>
      </c>
      <c r="I6048" s="43">
        <v>12</v>
      </c>
      <c r="J6048" s="44" t="str">
        <f>VLOOKUP(G6048,[1]硬件清单!$F:$F,1,0)</f>
        <v>YD-SW1G-242EE51B199A</v>
      </c>
      <c r="K6048" s="43"/>
      <c r="L6048" s="44"/>
      <c r="M6048" s="45" t="s">
        <v>18421</v>
      </c>
    </row>
    <row r="6049" s="29" customFormat="1" ht="30" customHeight="1" spans="1:13">
      <c r="A6049" s="41">
        <f>IF(C6049="","",SUBTOTAL(103,$C$2:C6049))</f>
        <v>6040</v>
      </c>
      <c r="B6049" s="41">
        <v>4743</v>
      </c>
      <c r="C6049" s="55">
        <v>17200</v>
      </c>
      <c r="D6049" s="55" t="s">
        <v>19</v>
      </c>
      <c r="E6049" s="55" t="s">
        <v>20</v>
      </c>
      <c r="F6049" s="55" t="s">
        <v>18422</v>
      </c>
      <c r="G6049" s="54" t="s">
        <v>18423</v>
      </c>
      <c r="H6049" s="54" t="s">
        <v>18424</v>
      </c>
      <c r="I6049" s="43">
        <v>12</v>
      </c>
      <c r="J6049" s="44" t="str">
        <f>VLOOKUP(G6049,[1]硬件清单!$F:$F,1,0)</f>
        <v>210235A24WH113000499</v>
      </c>
      <c r="K6049" s="43"/>
      <c r="L6049" s="44"/>
      <c r="M6049" s="45" t="s">
        <v>18425</v>
      </c>
    </row>
    <row r="6050" s="29" customFormat="1" ht="30" customHeight="1" spans="1:13">
      <c r="A6050" s="41">
        <f>IF(C6050="","",SUBTOTAL(103,$C$2:C6050))</f>
        <v>6041</v>
      </c>
      <c r="B6050" s="41">
        <v>4744</v>
      </c>
      <c r="C6050" s="55">
        <v>7723</v>
      </c>
      <c r="D6050" s="55" t="s">
        <v>65</v>
      </c>
      <c r="E6050" s="55" t="s">
        <v>220</v>
      </c>
      <c r="F6050" s="55" t="s">
        <v>18330</v>
      </c>
      <c r="G6050" s="54" t="s">
        <v>18426</v>
      </c>
      <c r="H6050" s="54" t="s">
        <v>18427</v>
      </c>
      <c r="I6050" s="43">
        <v>12</v>
      </c>
      <c r="J6050" s="44" t="str">
        <f>VLOOKUP(G6050,[1]硬件清单!$F:$F,1,0)</f>
        <v>YD-SW1G-242EE51B0999</v>
      </c>
      <c r="K6050" s="43"/>
      <c r="L6050" s="44"/>
      <c r="M6050" s="45" t="s">
        <v>18428</v>
      </c>
    </row>
    <row r="6051" s="29" customFormat="1" ht="30" customHeight="1" spans="1:13">
      <c r="A6051" s="41">
        <f>IF(C6051="","",SUBTOTAL(103,$C$2:C6051))</f>
        <v>6042</v>
      </c>
      <c r="B6051" s="41">
        <v>4745</v>
      </c>
      <c r="C6051" s="54">
        <v>1922</v>
      </c>
      <c r="D6051" s="54" t="s">
        <v>45</v>
      </c>
      <c r="E6051" s="54" t="s">
        <v>1298</v>
      </c>
      <c r="F6051" s="54" t="s">
        <v>5887</v>
      </c>
      <c r="G6051" s="54" t="s">
        <v>18429</v>
      </c>
      <c r="H6051" s="54" t="s">
        <v>18430</v>
      </c>
      <c r="I6051" s="43">
        <v>12</v>
      </c>
      <c r="J6051" s="44" t="str">
        <f>VLOOKUP(G6051,[1]硬件清单!$F:$F,1,0)</f>
        <v>JG9VVL2</v>
      </c>
      <c r="K6051" s="43"/>
      <c r="L6051" s="44"/>
      <c r="M6051" s="45" t="s">
        <v>18431</v>
      </c>
    </row>
    <row r="6052" s="29" customFormat="1" ht="30" customHeight="1" spans="1:13">
      <c r="A6052" s="41">
        <f>IF(C6052="","",SUBTOTAL(103,$C$2:C6052))</f>
        <v>6043</v>
      </c>
      <c r="B6052" s="41">
        <v>4746</v>
      </c>
      <c r="C6052" s="54">
        <v>1920</v>
      </c>
      <c r="D6052" s="54" t="s">
        <v>45</v>
      </c>
      <c r="E6052" s="54" t="s">
        <v>1298</v>
      </c>
      <c r="F6052" s="54" t="s">
        <v>5887</v>
      </c>
      <c r="G6052" s="54" t="s">
        <v>18432</v>
      </c>
      <c r="H6052" s="54" t="s">
        <v>18433</v>
      </c>
      <c r="I6052" s="43">
        <v>12</v>
      </c>
      <c r="J6052" s="44" t="str">
        <f>VLOOKUP(G6052,[1]硬件清单!$F:$F,1,0)</f>
        <v>JG9ZXL2</v>
      </c>
      <c r="K6052" s="43"/>
      <c r="L6052" s="44"/>
      <c r="M6052" s="45" t="s">
        <v>18434</v>
      </c>
    </row>
    <row r="6053" s="29" customFormat="1" ht="30" customHeight="1" spans="1:13">
      <c r="A6053" s="41">
        <f>IF(C6053="","",SUBTOTAL(103,$C$2:C6053))</f>
        <v>6044</v>
      </c>
      <c r="B6053" s="41">
        <v>4747</v>
      </c>
      <c r="C6053" s="54">
        <v>1919</v>
      </c>
      <c r="D6053" s="54" t="s">
        <v>45</v>
      </c>
      <c r="E6053" s="54" t="s">
        <v>1298</v>
      </c>
      <c r="F6053" s="54" t="s">
        <v>5887</v>
      </c>
      <c r="G6053" s="54" t="s">
        <v>18435</v>
      </c>
      <c r="H6053" s="54" t="s">
        <v>18436</v>
      </c>
      <c r="I6053" s="43">
        <v>12</v>
      </c>
      <c r="J6053" s="44" t="str">
        <f>VLOOKUP(G6053,[1]硬件清单!$F:$F,1,0)</f>
        <v>JGB0YL2</v>
      </c>
      <c r="K6053" s="43"/>
      <c r="L6053" s="44"/>
      <c r="M6053" s="45" t="s">
        <v>18437</v>
      </c>
    </row>
    <row r="6054" s="29" customFormat="1" ht="30" customHeight="1" spans="1:13">
      <c r="A6054" s="41">
        <f>IF(C6054="","",SUBTOTAL(103,$C$2:C6054))</f>
        <v>6045</v>
      </c>
      <c r="B6054" s="41">
        <v>4748</v>
      </c>
      <c r="C6054" s="54">
        <v>1916</v>
      </c>
      <c r="D6054" s="54" t="s">
        <v>45</v>
      </c>
      <c r="E6054" s="54" t="s">
        <v>1298</v>
      </c>
      <c r="F6054" s="54" t="s">
        <v>5887</v>
      </c>
      <c r="G6054" s="54" t="s">
        <v>18438</v>
      </c>
      <c r="H6054" s="54" t="s">
        <v>18439</v>
      </c>
      <c r="I6054" s="43">
        <v>12</v>
      </c>
      <c r="J6054" s="44" t="str">
        <f>VLOOKUP(G6054,[1]硬件清单!$F:$F,1,0)</f>
        <v>JGB3KL2</v>
      </c>
      <c r="K6054" s="43"/>
      <c r="L6054" s="44"/>
      <c r="M6054" s="45" t="s">
        <v>18440</v>
      </c>
    </row>
    <row r="6055" s="29" customFormat="1" ht="30" customHeight="1" spans="1:13">
      <c r="A6055" s="41">
        <f>IF(C6055="","",SUBTOTAL(103,$C$2:C6055))</f>
        <v>6046</v>
      </c>
      <c r="B6055" s="41">
        <v>4749</v>
      </c>
      <c r="C6055" s="54">
        <v>1911</v>
      </c>
      <c r="D6055" s="54" t="s">
        <v>45</v>
      </c>
      <c r="E6055" s="54" t="s">
        <v>1298</v>
      </c>
      <c r="F6055" s="54" t="s">
        <v>5887</v>
      </c>
      <c r="G6055" s="54" t="s">
        <v>18441</v>
      </c>
      <c r="H6055" s="54" t="s">
        <v>18442</v>
      </c>
      <c r="I6055" s="43">
        <v>12</v>
      </c>
      <c r="J6055" s="44" t="str">
        <f>VLOOKUP(G6055,[1]硬件清单!$F:$F,1,0)</f>
        <v>JGB5KL2</v>
      </c>
      <c r="K6055" s="43"/>
      <c r="L6055" s="44"/>
      <c r="M6055" s="45" t="s">
        <v>18443</v>
      </c>
    </row>
    <row r="6056" s="29" customFormat="1" ht="30" customHeight="1" spans="1:13">
      <c r="A6056" s="41">
        <f>IF(C6056="","",SUBTOTAL(103,$C$2:C6056))</f>
        <v>6047</v>
      </c>
      <c r="B6056" s="41">
        <v>4750</v>
      </c>
      <c r="C6056" s="54">
        <v>1924</v>
      </c>
      <c r="D6056" s="54" t="s">
        <v>45</v>
      </c>
      <c r="E6056" s="54" t="s">
        <v>1298</v>
      </c>
      <c r="F6056" s="54" t="s">
        <v>5887</v>
      </c>
      <c r="G6056" s="54" t="s">
        <v>18444</v>
      </c>
      <c r="H6056" s="54" t="s">
        <v>18445</v>
      </c>
      <c r="I6056" s="43">
        <v>12</v>
      </c>
      <c r="J6056" s="44" t="str">
        <f>VLOOKUP(G6056,[1]硬件清单!$F:$F,1,0)</f>
        <v>JGB6YL2</v>
      </c>
      <c r="K6056" s="43"/>
      <c r="L6056" s="44"/>
      <c r="M6056" s="45" t="s">
        <v>18446</v>
      </c>
    </row>
    <row r="6057" s="29" customFormat="1" ht="30" customHeight="1" spans="1:13">
      <c r="A6057" s="41">
        <f>IF(C6057="","",SUBTOTAL(103,$C$2:C6057))</f>
        <v>6048</v>
      </c>
      <c r="B6057" s="41">
        <v>4751</v>
      </c>
      <c r="C6057" s="54">
        <v>1923</v>
      </c>
      <c r="D6057" s="54" t="s">
        <v>45</v>
      </c>
      <c r="E6057" s="54" t="s">
        <v>1298</v>
      </c>
      <c r="F6057" s="54" t="s">
        <v>5887</v>
      </c>
      <c r="G6057" s="54" t="s">
        <v>18447</v>
      </c>
      <c r="H6057" s="54" t="s">
        <v>18448</v>
      </c>
      <c r="I6057" s="43">
        <v>12</v>
      </c>
      <c r="J6057" s="44" t="str">
        <f>VLOOKUP(G6057,[1]硬件清单!$F:$F,1,0)</f>
        <v>JGBSVL2</v>
      </c>
      <c r="K6057" s="43"/>
      <c r="L6057" s="44"/>
      <c r="M6057" s="45" t="s">
        <v>18449</v>
      </c>
    </row>
    <row r="6058" s="29" customFormat="1" ht="30" customHeight="1" spans="1:13">
      <c r="A6058" s="41">
        <f>IF(C6058="","",SUBTOTAL(103,$C$2:C6058))</f>
        <v>6049</v>
      </c>
      <c r="B6058" s="41">
        <v>4752</v>
      </c>
      <c r="C6058" s="54">
        <v>1909</v>
      </c>
      <c r="D6058" s="54" t="s">
        <v>45</v>
      </c>
      <c r="E6058" s="54" t="s">
        <v>1298</v>
      </c>
      <c r="F6058" s="54" t="s">
        <v>5887</v>
      </c>
      <c r="G6058" s="54" t="s">
        <v>18450</v>
      </c>
      <c r="H6058" s="54" t="s">
        <v>18451</v>
      </c>
      <c r="I6058" s="43">
        <v>12</v>
      </c>
      <c r="J6058" s="44" t="str">
        <f>VLOOKUP(G6058,[1]硬件清单!$F:$F,1,0)</f>
        <v>JGBWVL2</v>
      </c>
      <c r="K6058" s="43"/>
      <c r="L6058" s="44"/>
      <c r="M6058" s="45" t="s">
        <v>18452</v>
      </c>
    </row>
    <row r="6059" s="29" customFormat="1" ht="30" customHeight="1" spans="1:13">
      <c r="A6059" s="41">
        <f>IF(C6059="","",SUBTOTAL(103,$C$2:C6059))</f>
        <v>6050</v>
      </c>
      <c r="B6059" s="41">
        <v>4753</v>
      </c>
      <c r="C6059" s="54">
        <v>1917</v>
      </c>
      <c r="D6059" s="54" t="s">
        <v>45</v>
      </c>
      <c r="E6059" s="54" t="s">
        <v>1298</v>
      </c>
      <c r="F6059" s="54" t="s">
        <v>5887</v>
      </c>
      <c r="G6059" s="54" t="s">
        <v>18453</v>
      </c>
      <c r="H6059" s="54" t="s">
        <v>18454</v>
      </c>
      <c r="I6059" s="43">
        <v>12</v>
      </c>
      <c r="J6059" s="44" t="str">
        <f>VLOOKUP(G6059,[1]硬件清单!$F:$F,1,0)</f>
        <v>JGBYJL2</v>
      </c>
      <c r="K6059" s="43"/>
      <c r="L6059" s="44"/>
      <c r="M6059" s="45" t="s">
        <v>18455</v>
      </c>
    </row>
    <row r="6060" s="29" customFormat="1" ht="30" customHeight="1" spans="1:13">
      <c r="A6060" s="41">
        <f>IF(C6060="","",SUBTOTAL(103,$C$2:C6060))</f>
        <v>6051</v>
      </c>
      <c r="B6060" s="41">
        <v>4754</v>
      </c>
      <c r="C6060" s="54">
        <v>1921</v>
      </c>
      <c r="D6060" s="54" t="s">
        <v>45</v>
      </c>
      <c r="E6060" s="54" t="s">
        <v>1298</v>
      </c>
      <c r="F6060" s="54" t="s">
        <v>5887</v>
      </c>
      <c r="G6060" s="54" t="s">
        <v>18456</v>
      </c>
      <c r="H6060" s="54" t="s">
        <v>18457</v>
      </c>
      <c r="I6060" s="43">
        <v>12</v>
      </c>
      <c r="J6060" s="44" t="str">
        <f>VLOOKUP(G6060,[1]硬件清单!$F:$F,1,0)</f>
        <v>JGC0KL2</v>
      </c>
      <c r="K6060" s="43"/>
      <c r="L6060" s="44"/>
      <c r="M6060" s="45" t="s">
        <v>18458</v>
      </c>
    </row>
    <row r="6061" s="29" customFormat="1" ht="30" customHeight="1" spans="1:13">
      <c r="A6061" s="41">
        <f>IF(C6061="","",SUBTOTAL(103,$C$2:C6061))</f>
        <v>6052</v>
      </c>
      <c r="B6061" s="41">
        <v>4755</v>
      </c>
      <c r="C6061" s="54">
        <v>1912</v>
      </c>
      <c r="D6061" s="54" t="s">
        <v>45</v>
      </c>
      <c r="E6061" s="54" t="s">
        <v>1298</v>
      </c>
      <c r="F6061" s="54" t="s">
        <v>5887</v>
      </c>
      <c r="G6061" s="54" t="s">
        <v>18459</v>
      </c>
      <c r="H6061" s="54" t="s">
        <v>18460</v>
      </c>
      <c r="I6061" s="43">
        <v>12</v>
      </c>
      <c r="J6061" s="44" t="str">
        <f>VLOOKUP(G6061,[1]硬件清单!$F:$F,1,0)</f>
        <v>JGC2KL2</v>
      </c>
      <c r="K6061" s="43"/>
      <c r="L6061" s="44"/>
      <c r="M6061" s="45" t="s">
        <v>18461</v>
      </c>
    </row>
    <row r="6062" s="29" customFormat="1" ht="30" customHeight="1" spans="1:13">
      <c r="A6062" s="41">
        <f>IF(C6062="","",SUBTOTAL(103,$C$2:C6062))</f>
        <v>6053</v>
      </c>
      <c r="B6062" s="41">
        <v>4756</v>
      </c>
      <c r="C6062" s="54">
        <v>1918</v>
      </c>
      <c r="D6062" s="54" t="s">
        <v>45</v>
      </c>
      <c r="E6062" s="54" t="s">
        <v>1298</v>
      </c>
      <c r="F6062" s="54" t="s">
        <v>5887</v>
      </c>
      <c r="G6062" s="54" t="s">
        <v>18462</v>
      </c>
      <c r="H6062" s="54" t="s">
        <v>18463</v>
      </c>
      <c r="I6062" s="43">
        <v>12</v>
      </c>
      <c r="J6062" s="44" t="str">
        <f>VLOOKUP(G6062,[1]硬件清单!$F:$F,1,0)</f>
        <v>JGC4KL2</v>
      </c>
      <c r="K6062" s="43"/>
      <c r="L6062" s="44"/>
      <c r="M6062" s="45" t="s">
        <v>18464</v>
      </c>
    </row>
    <row r="6063" s="29" customFormat="1" ht="30" customHeight="1" spans="1:13">
      <c r="A6063" s="41">
        <f>IF(C6063="","",SUBTOTAL(103,$C$2:C6063))</f>
        <v>6054</v>
      </c>
      <c r="B6063" s="41">
        <v>4757</v>
      </c>
      <c r="C6063" s="54">
        <v>1910</v>
      </c>
      <c r="D6063" s="54" t="s">
        <v>45</v>
      </c>
      <c r="E6063" s="54" t="s">
        <v>1298</v>
      </c>
      <c r="F6063" s="54" t="s">
        <v>5887</v>
      </c>
      <c r="G6063" s="54" t="s">
        <v>18465</v>
      </c>
      <c r="H6063" s="54" t="s">
        <v>18466</v>
      </c>
      <c r="I6063" s="43">
        <v>12</v>
      </c>
      <c r="J6063" s="44" t="str">
        <f>VLOOKUP(G6063,[1]硬件清单!$F:$F,1,0)</f>
        <v>JGC5YL2</v>
      </c>
      <c r="K6063" s="43"/>
      <c r="L6063" s="44"/>
      <c r="M6063" s="45" t="s">
        <v>18467</v>
      </c>
    </row>
    <row r="6064" s="29" customFormat="1" ht="30" customHeight="1" spans="1:13">
      <c r="A6064" s="41">
        <f>IF(C6064="","",SUBTOTAL(103,$C$2:C6064))</f>
        <v>6055</v>
      </c>
      <c r="B6064" s="41">
        <v>4758</v>
      </c>
      <c r="C6064" s="54">
        <v>1913</v>
      </c>
      <c r="D6064" s="54" t="s">
        <v>45</v>
      </c>
      <c r="E6064" s="54" t="s">
        <v>1298</v>
      </c>
      <c r="F6064" s="54" t="s">
        <v>5887</v>
      </c>
      <c r="G6064" s="54" t="s">
        <v>18468</v>
      </c>
      <c r="H6064" s="54" t="s">
        <v>18469</v>
      </c>
      <c r="I6064" s="43">
        <v>12</v>
      </c>
      <c r="J6064" s="44" t="str">
        <f>VLOOKUP(G6064,[1]硬件清单!$F:$F,1,0)</f>
        <v>JGC7YL2</v>
      </c>
      <c r="K6064" s="43"/>
      <c r="L6064" s="44"/>
      <c r="M6064" s="45" t="s">
        <v>18470</v>
      </c>
    </row>
    <row r="6065" s="29" customFormat="1" ht="30" customHeight="1" spans="1:13">
      <c r="A6065" s="41">
        <f>IF(C6065="","",SUBTOTAL(103,$C$2:C6065))</f>
        <v>6056</v>
      </c>
      <c r="B6065" s="41">
        <v>4759</v>
      </c>
      <c r="C6065" s="54">
        <v>1915</v>
      </c>
      <c r="D6065" s="54" t="s">
        <v>45</v>
      </c>
      <c r="E6065" s="54" t="s">
        <v>1298</v>
      </c>
      <c r="F6065" s="54" t="s">
        <v>5887</v>
      </c>
      <c r="G6065" s="54" t="s">
        <v>18471</v>
      </c>
      <c r="H6065" s="54" t="s">
        <v>18472</v>
      </c>
      <c r="I6065" s="43">
        <v>12</v>
      </c>
      <c r="J6065" s="44" t="str">
        <f>VLOOKUP(G6065,[1]硬件清单!$F:$F,1,0)</f>
        <v>JGCTVL2</v>
      </c>
      <c r="K6065" s="43"/>
      <c r="L6065" s="44"/>
      <c r="M6065" s="45" t="s">
        <v>18473</v>
      </c>
    </row>
    <row r="6066" s="29" customFormat="1" ht="30" customHeight="1" spans="1:13">
      <c r="A6066" s="41">
        <f>IF(C6066="","",SUBTOTAL(103,$C$2:C6066))</f>
        <v>6057</v>
      </c>
      <c r="B6066" s="41">
        <v>4760</v>
      </c>
      <c r="C6066" s="54">
        <v>1914</v>
      </c>
      <c r="D6066" s="54" t="s">
        <v>45</v>
      </c>
      <c r="E6066" s="54" t="s">
        <v>1298</v>
      </c>
      <c r="F6066" s="54" t="s">
        <v>5887</v>
      </c>
      <c r="G6066" s="54" t="s">
        <v>18474</v>
      </c>
      <c r="H6066" s="54" t="s">
        <v>18475</v>
      </c>
      <c r="I6066" s="43">
        <v>12</v>
      </c>
      <c r="J6066" s="44" t="str">
        <f>VLOOKUP(G6066,[1]硬件清单!$F:$F,1,0)</f>
        <v>JGCYJL2</v>
      </c>
      <c r="K6066" s="43"/>
      <c r="L6066" s="44"/>
      <c r="M6066" s="45" t="s">
        <v>18476</v>
      </c>
    </row>
    <row r="6067" s="29" customFormat="1" ht="30" customHeight="1" spans="1:13">
      <c r="A6067" s="41">
        <f>IF(C6067="","",SUBTOTAL(103,$C$2:C6067))</f>
        <v>6058</v>
      </c>
      <c r="B6067" s="41">
        <v>4761</v>
      </c>
      <c r="C6067" s="54">
        <v>2600</v>
      </c>
      <c r="D6067" s="54" t="s">
        <v>45</v>
      </c>
      <c r="E6067" s="54" t="s">
        <v>1298</v>
      </c>
      <c r="F6067" s="54" t="s">
        <v>5883</v>
      </c>
      <c r="G6067" s="54" t="s">
        <v>18477</v>
      </c>
      <c r="H6067" s="54" t="s">
        <v>18478</v>
      </c>
      <c r="I6067" s="43">
        <v>12</v>
      </c>
      <c r="J6067" s="44" t="str">
        <f>VLOOKUP(G6067,[1]硬件清单!$F:$F,1,0)</f>
        <v>JGFSVL2</v>
      </c>
      <c r="K6067" s="43"/>
      <c r="L6067" s="44"/>
      <c r="M6067" s="45" t="s">
        <v>18479</v>
      </c>
    </row>
    <row r="6068" s="29" customFormat="1" ht="30" customHeight="1" spans="1:13">
      <c r="A6068" s="41">
        <f>IF(C6068="","",SUBTOTAL(103,$C$2:C6068))</f>
        <v>6059</v>
      </c>
      <c r="B6068" s="41">
        <v>4762</v>
      </c>
      <c r="C6068" s="54">
        <v>1932</v>
      </c>
      <c r="D6068" s="54" t="s">
        <v>45</v>
      </c>
      <c r="E6068" s="54" t="s">
        <v>1298</v>
      </c>
      <c r="F6068" s="54" t="s">
        <v>5887</v>
      </c>
      <c r="G6068" s="54" t="s">
        <v>18480</v>
      </c>
      <c r="H6068" s="54" t="s">
        <v>18481</v>
      </c>
      <c r="I6068" s="43">
        <v>12</v>
      </c>
      <c r="J6068" s="44" t="str">
        <f>VLOOKUP(G6068,[1]硬件清单!$F:$F,1,0)</f>
        <v>JG8WVL2</v>
      </c>
      <c r="K6068" s="43"/>
      <c r="L6068" s="44"/>
      <c r="M6068" s="45" t="s">
        <v>18482</v>
      </c>
    </row>
    <row r="6069" s="29" customFormat="1" ht="30" customHeight="1" spans="1:13">
      <c r="A6069" s="41">
        <f>IF(C6069="","",SUBTOTAL(103,$C$2:C6069))</f>
        <v>6060</v>
      </c>
      <c r="B6069" s="41">
        <v>4763</v>
      </c>
      <c r="C6069" s="54">
        <v>1926</v>
      </c>
      <c r="D6069" s="54" t="s">
        <v>45</v>
      </c>
      <c r="E6069" s="54" t="s">
        <v>1298</v>
      </c>
      <c r="F6069" s="54" t="s">
        <v>5887</v>
      </c>
      <c r="G6069" s="54" t="s">
        <v>18483</v>
      </c>
      <c r="H6069" s="54" t="s">
        <v>18484</v>
      </c>
      <c r="I6069" s="43">
        <v>12</v>
      </c>
      <c r="J6069" s="44" t="str">
        <f>VLOOKUP(G6069,[1]硬件清单!$F:$F,1,0)</f>
        <v>JG8ZXL2</v>
      </c>
      <c r="K6069" s="43"/>
      <c r="L6069" s="44"/>
      <c r="M6069" s="45" t="s">
        <v>18485</v>
      </c>
    </row>
    <row r="6070" s="29" customFormat="1" ht="30" customHeight="1" spans="1:13">
      <c r="A6070" s="41">
        <f>IF(C6070="","",SUBTOTAL(103,$C$2:C6070))</f>
        <v>6061</v>
      </c>
      <c r="B6070" s="41">
        <v>4764</v>
      </c>
      <c r="C6070" s="54">
        <v>2418</v>
      </c>
      <c r="D6070" s="54" t="s">
        <v>45</v>
      </c>
      <c r="E6070" s="54" t="s">
        <v>1298</v>
      </c>
      <c r="F6070" s="54" t="s">
        <v>5887</v>
      </c>
      <c r="G6070" s="54" t="s">
        <v>18486</v>
      </c>
      <c r="H6070" s="54" t="s">
        <v>18487</v>
      </c>
      <c r="I6070" s="43">
        <v>12</v>
      </c>
      <c r="J6070" s="44" t="str">
        <f>VLOOKUP(G6070,[1]硬件清单!$F:$F,1,0)</f>
        <v>JG90KL2</v>
      </c>
      <c r="K6070" s="43"/>
      <c r="L6070" s="44"/>
      <c r="M6070" s="45" t="s">
        <v>18488</v>
      </c>
    </row>
    <row r="6071" s="29" customFormat="1" ht="30" customHeight="1" spans="1:13">
      <c r="A6071" s="41">
        <f>IF(C6071="","",SUBTOTAL(103,$C$2:C6071))</f>
        <v>6062</v>
      </c>
      <c r="B6071" s="41">
        <v>4765</v>
      </c>
      <c r="C6071" s="54">
        <v>1929</v>
      </c>
      <c r="D6071" s="54" t="s">
        <v>45</v>
      </c>
      <c r="E6071" s="54" t="s">
        <v>1298</v>
      </c>
      <c r="F6071" s="54" t="s">
        <v>5887</v>
      </c>
      <c r="G6071" s="54" t="s">
        <v>18489</v>
      </c>
      <c r="H6071" s="54" t="s">
        <v>18490</v>
      </c>
      <c r="I6071" s="43">
        <v>12</v>
      </c>
      <c r="J6071" s="44" t="str">
        <f>VLOOKUP(G6071,[1]硬件清单!$F:$F,1,0)</f>
        <v>JG91YL2</v>
      </c>
      <c r="K6071" s="43"/>
      <c r="L6071" s="44"/>
      <c r="M6071" s="45" t="s">
        <v>18491</v>
      </c>
    </row>
    <row r="6072" s="29" customFormat="1" ht="30" customHeight="1" spans="1:13">
      <c r="A6072" s="41">
        <f>IF(C6072="","",SUBTOTAL(103,$C$2:C6072))</f>
        <v>6063</v>
      </c>
      <c r="B6072" s="41">
        <v>4766</v>
      </c>
      <c r="C6072" s="54">
        <v>1927</v>
      </c>
      <c r="D6072" s="54" t="s">
        <v>45</v>
      </c>
      <c r="E6072" s="54" t="s">
        <v>1298</v>
      </c>
      <c r="F6072" s="54" t="s">
        <v>5887</v>
      </c>
      <c r="G6072" s="54" t="s">
        <v>18492</v>
      </c>
      <c r="H6072" s="54" t="s">
        <v>18493</v>
      </c>
      <c r="I6072" s="43">
        <v>12</v>
      </c>
      <c r="J6072" s="44" t="str">
        <f>VLOOKUP(G6072,[1]硬件清单!$F:$F,1,0)</f>
        <v>JG92YL2</v>
      </c>
      <c r="K6072" s="43"/>
      <c r="L6072" s="44"/>
      <c r="M6072" s="45" t="s">
        <v>18494</v>
      </c>
    </row>
    <row r="6073" s="29" customFormat="1" ht="30" customHeight="1" spans="1:13">
      <c r="A6073" s="41">
        <f>IF(C6073="","",SUBTOTAL(103,$C$2:C6073))</f>
        <v>6064</v>
      </c>
      <c r="B6073" s="41">
        <v>4767</v>
      </c>
      <c r="C6073" s="54">
        <v>2417</v>
      </c>
      <c r="D6073" s="54" t="s">
        <v>45</v>
      </c>
      <c r="E6073" s="54" t="s">
        <v>1298</v>
      </c>
      <c r="F6073" s="54" t="s">
        <v>5887</v>
      </c>
      <c r="G6073" s="54" t="s">
        <v>18495</v>
      </c>
      <c r="H6073" s="54" t="s">
        <v>18496</v>
      </c>
      <c r="I6073" s="43">
        <v>12</v>
      </c>
      <c r="J6073" s="44" t="str">
        <f>VLOOKUP(G6073,[1]硬件清单!$F:$F,1,0)</f>
        <v>JG94KL2</v>
      </c>
      <c r="K6073" s="43"/>
      <c r="L6073" s="44"/>
      <c r="M6073" s="45" t="s">
        <v>18497</v>
      </c>
    </row>
    <row r="6074" s="29" customFormat="1" ht="30" customHeight="1" spans="1:13">
      <c r="A6074" s="41">
        <f>IF(C6074="","",SUBTOTAL(103,$C$2:C6074))</f>
        <v>6065</v>
      </c>
      <c r="B6074" s="41">
        <v>4768</v>
      </c>
      <c r="C6074" s="54">
        <v>1928</v>
      </c>
      <c r="D6074" s="54" t="s">
        <v>45</v>
      </c>
      <c r="E6074" s="54" t="s">
        <v>1298</v>
      </c>
      <c r="F6074" s="54" t="s">
        <v>5887</v>
      </c>
      <c r="G6074" s="54" t="s">
        <v>18498</v>
      </c>
      <c r="H6074" s="54" t="s">
        <v>18499</v>
      </c>
      <c r="I6074" s="43">
        <v>12</v>
      </c>
      <c r="J6074" s="44" t="str">
        <f>VLOOKUP(G6074,[1]硬件清单!$F:$F,1,0)</f>
        <v>JG95YL2</v>
      </c>
      <c r="K6074" s="43"/>
      <c r="L6074" s="44"/>
      <c r="M6074" s="45" t="s">
        <v>18500</v>
      </c>
    </row>
    <row r="6075" s="29" customFormat="1" ht="30" customHeight="1" spans="1:13">
      <c r="A6075" s="41">
        <f>IF(C6075="","",SUBTOTAL(103,$C$2:C6075))</f>
        <v>6066</v>
      </c>
      <c r="B6075" s="41">
        <v>4769</v>
      </c>
      <c r="C6075" s="54">
        <v>2421</v>
      </c>
      <c r="D6075" s="54" t="s">
        <v>45</v>
      </c>
      <c r="E6075" s="54" t="s">
        <v>1298</v>
      </c>
      <c r="F6075" s="54" t="s">
        <v>5887</v>
      </c>
      <c r="G6075" s="54" t="s">
        <v>18501</v>
      </c>
      <c r="H6075" s="54" t="s">
        <v>18502</v>
      </c>
      <c r="I6075" s="43">
        <v>12</v>
      </c>
      <c r="J6075" s="44" t="str">
        <f>VLOOKUP(G6075,[1]硬件清单!$F:$F,1,0)</f>
        <v>JG96YL2</v>
      </c>
      <c r="K6075" s="43"/>
      <c r="L6075" s="44"/>
      <c r="M6075" s="45" t="s">
        <v>18503</v>
      </c>
    </row>
    <row r="6076" s="29" customFormat="1" ht="30" customHeight="1" spans="1:13">
      <c r="A6076" s="41">
        <f>IF(C6076="","",SUBTOTAL(103,$C$2:C6076))</f>
        <v>6067</v>
      </c>
      <c r="B6076" s="41">
        <v>4770</v>
      </c>
      <c r="C6076" s="54">
        <v>1930</v>
      </c>
      <c r="D6076" s="54" t="s">
        <v>45</v>
      </c>
      <c r="E6076" s="54" t="s">
        <v>1298</v>
      </c>
      <c r="F6076" s="54" t="s">
        <v>5887</v>
      </c>
      <c r="G6076" s="54" t="s">
        <v>18504</v>
      </c>
      <c r="H6076" s="54" t="s">
        <v>18505</v>
      </c>
      <c r="I6076" s="43">
        <v>12</v>
      </c>
      <c r="J6076" s="44" t="str">
        <f>VLOOKUP(G6076,[1]硬件清单!$F:$F,1,0)</f>
        <v>JG9SVL2</v>
      </c>
      <c r="K6076" s="43"/>
      <c r="L6076" s="44"/>
      <c r="M6076" s="45" t="s">
        <v>18506</v>
      </c>
    </row>
    <row r="6077" s="29" customFormat="1" ht="30" customHeight="1" spans="1:13">
      <c r="A6077" s="41">
        <f>IF(C6077="","",SUBTOTAL(103,$C$2:C6077))</f>
        <v>6068</v>
      </c>
      <c r="B6077" s="41">
        <v>4771</v>
      </c>
      <c r="C6077" s="54">
        <v>1931</v>
      </c>
      <c r="D6077" s="54" t="s">
        <v>45</v>
      </c>
      <c r="E6077" s="54" t="s">
        <v>1298</v>
      </c>
      <c r="F6077" s="54" t="s">
        <v>5887</v>
      </c>
      <c r="G6077" s="54" t="s">
        <v>18507</v>
      </c>
      <c r="H6077" s="54" t="s">
        <v>18508</v>
      </c>
      <c r="I6077" s="43">
        <v>12</v>
      </c>
      <c r="J6077" s="44" t="str">
        <f>VLOOKUP(G6077,[1]硬件清单!$F:$F,1,0)</f>
        <v>JG9XVL2</v>
      </c>
      <c r="K6077" s="43"/>
      <c r="L6077" s="44"/>
      <c r="M6077" s="45" t="s">
        <v>18509</v>
      </c>
    </row>
    <row r="6078" s="29" customFormat="1" ht="30" customHeight="1" spans="1:13">
      <c r="A6078" s="41">
        <f>IF(C6078="","",SUBTOTAL(103,$C$2:C6078))</f>
        <v>6069</v>
      </c>
      <c r="B6078" s="41">
        <v>4772</v>
      </c>
      <c r="C6078" s="54">
        <v>1925</v>
      </c>
      <c r="D6078" s="54" t="s">
        <v>45</v>
      </c>
      <c r="E6078" s="54" t="s">
        <v>1298</v>
      </c>
      <c r="F6078" s="54" t="s">
        <v>5887</v>
      </c>
      <c r="G6078" s="54" t="s">
        <v>18510</v>
      </c>
      <c r="H6078" s="54" t="s">
        <v>18511</v>
      </c>
      <c r="I6078" s="43">
        <v>12</v>
      </c>
      <c r="J6078" s="44" t="str">
        <f>VLOOKUP(G6078,[1]硬件清单!$F:$F,1,0)</f>
        <v>JG9ZJL2</v>
      </c>
      <c r="K6078" s="43"/>
      <c r="L6078" s="44"/>
      <c r="M6078" s="45" t="s">
        <v>18512</v>
      </c>
    </row>
    <row r="6079" s="29" customFormat="1" ht="30" customHeight="1" spans="1:13">
      <c r="A6079" s="41">
        <f>IF(C6079="","",SUBTOTAL(103,$C$2:C6079))</f>
        <v>6070</v>
      </c>
      <c r="B6079" s="41">
        <v>4773</v>
      </c>
      <c r="C6079" s="54">
        <v>2415</v>
      </c>
      <c r="D6079" s="54" t="s">
        <v>45</v>
      </c>
      <c r="E6079" s="54" t="s">
        <v>1298</v>
      </c>
      <c r="F6079" s="54" t="s">
        <v>5887</v>
      </c>
      <c r="G6079" s="54" t="s">
        <v>18513</v>
      </c>
      <c r="H6079" s="54" t="s">
        <v>18514</v>
      </c>
      <c r="I6079" s="43">
        <v>12</v>
      </c>
      <c r="J6079" s="44" t="str">
        <f>VLOOKUP(G6079,[1]硬件清单!$F:$F,1,0)</f>
        <v>JGB1YL2</v>
      </c>
      <c r="K6079" s="43"/>
      <c r="L6079" s="44"/>
      <c r="M6079" s="45" t="s">
        <v>18515</v>
      </c>
    </row>
    <row r="6080" s="29" customFormat="1" ht="30" customHeight="1" spans="1:13">
      <c r="A6080" s="41">
        <f>IF(C6080="","",SUBTOTAL(103,$C$2:C6080))</f>
        <v>6071</v>
      </c>
      <c r="B6080" s="41">
        <v>4774</v>
      </c>
      <c r="C6080" s="54">
        <v>2419</v>
      </c>
      <c r="D6080" s="54" t="s">
        <v>45</v>
      </c>
      <c r="E6080" s="54" t="s">
        <v>1298</v>
      </c>
      <c r="F6080" s="54" t="s">
        <v>5887</v>
      </c>
      <c r="G6080" s="54" t="s">
        <v>18516</v>
      </c>
      <c r="H6080" s="54" t="s">
        <v>18517</v>
      </c>
      <c r="I6080" s="43">
        <v>12</v>
      </c>
      <c r="J6080" s="44" t="str">
        <f>VLOOKUP(G6080,[1]硬件清单!$F:$F,1,0)</f>
        <v>JGB3YL2</v>
      </c>
      <c r="K6080" s="43"/>
      <c r="L6080" s="44"/>
      <c r="M6080" s="45" t="s">
        <v>18518</v>
      </c>
    </row>
    <row r="6081" s="29" customFormat="1" ht="30" customHeight="1" spans="1:13">
      <c r="A6081" s="41">
        <f>IF(C6081="","",SUBTOTAL(103,$C$2:C6081))</f>
        <v>6072</v>
      </c>
      <c r="B6081" s="41">
        <v>4775</v>
      </c>
      <c r="C6081" s="54">
        <v>2422</v>
      </c>
      <c r="D6081" s="54" t="s">
        <v>45</v>
      </c>
      <c r="E6081" s="54" t="s">
        <v>1298</v>
      </c>
      <c r="F6081" s="54" t="s">
        <v>5887</v>
      </c>
      <c r="G6081" s="54" t="s">
        <v>18519</v>
      </c>
      <c r="H6081" s="54" t="s">
        <v>18520</v>
      </c>
      <c r="I6081" s="43">
        <v>12</v>
      </c>
      <c r="J6081" s="44" t="str">
        <f>VLOOKUP(G6081,[1]硬件清单!$F:$F,1,0)</f>
        <v>JGB5YL2</v>
      </c>
      <c r="K6081" s="43"/>
      <c r="L6081" s="44"/>
      <c r="M6081" s="45" t="s">
        <v>18521</v>
      </c>
    </row>
    <row r="6082" s="29" customFormat="1" ht="30" customHeight="1" spans="1:13">
      <c r="A6082" s="41">
        <f>IF(C6082="","",SUBTOTAL(103,$C$2:C6082))</f>
        <v>6073</v>
      </c>
      <c r="B6082" s="41">
        <v>4776</v>
      </c>
      <c r="C6082" s="54">
        <v>2420</v>
      </c>
      <c r="D6082" s="54" t="s">
        <v>45</v>
      </c>
      <c r="E6082" s="54" t="s">
        <v>1298</v>
      </c>
      <c r="F6082" s="54" t="s">
        <v>5887</v>
      </c>
      <c r="G6082" s="54" t="s">
        <v>18522</v>
      </c>
      <c r="H6082" s="54" t="s">
        <v>18523</v>
      </c>
      <c r="I6082" s="43">
        <v>12</v>
      </c>
      <c r="J6082" s="44" t="str">
        <f>VLOOKUP(G6082,[1]硬件清单!$F:$F,1,0)</f>
        <v>JGB7YL2</v>
      </c>
      <c r="K6082" s="43"/>
      <c r="L6082" s="44"/>
      <c r="M6082" s="45" t="s">
        <v>18524</v>
      </c>
    </row>
    <row r="6083" s="29" customFormat="1" ht="30" customHeight="1" spans="1:13">
      <c r="A6083" s="41">
        <f>IF(C6083="","",SUBTOTAL(103,$C$2:C6083))</f>
        <v>6074</v>
      </c>
      <c r="B6083" s="41">
        <v>4777</v>
      </c>
      <c r="C6083" s="54">
        <v>2416</v>
      </c>
      <c r="D6083" s="54" t="s">
        <v>45</v>
      </c>
      <c r="E6083" s="54" t="s">
        <v>1298</v>
      </c>
      <c r="F6083" s="54" t="s">
        <v>5887</v>
      </c>
      <c r="G6083" s="54" t="s">
        <v>18525</v>
      </c>
      <c r="H6083" s="54" t="s">
        <v>18526</v>
      </c>
      <c r="I6083" s="43">
        <v>12</v>
      </c>
      <c r="J6083" s="44" t="str">
        <f>VLOOKUP(G6083,[1]硬件清单!$F:$F,1,0)</f>
        <v>JGBTVL2</v>
      </c>
      <c r="K6083" s="43"/>
      <c r="L6083" s="44"/>
      <c r="M6083" s="45" t="s">
        <v>18527</v>
      </c>
    </row>
    <row r="6084" s="29" customFormat="1" ht="30" customHeight="1" spans="1:13">
      <c r="A6084" s="41">
        <f>IF(C6084="","",SUBTOTAL(103,$C$2:C6084))</f>
        <v>6075</v>
      </c>
      <c r="B6084" s="41">
        <v>4778</v>
      </c>
      <c r="C6084" s="54">
        <v>2601</v>
      </c>
      <c r="D6084" s="54" t="s">
        <v>45</v>
      </c>
      <c r="E6084" s="54" t="s">
        <v>1298</v>
      </c>
      <c r="F6084" s="54" t="s">
        <v>5883</v>
      </c>
      <c r="G6084" s="54" t="s">
        <v>18528</v>
      </c>
      <c r="H6084" s="54" t="s">
        <v>18529</v>
      </c>
      <c r="I6084" s="43">
        <v>12</v>
      </c>
      <c r="J6084" s="44" t="str">
        <f>VLOOKUP(G6084,[1]硬件清单!$F:$F,1,0)</f>
        <v>JGFZJL2</v>
      </c>
      <c r="K6084" s="43"/>
      <c r="L6084" s="44"/>
      <c r="M6084" s="45" t="s">
        <v>18530</v>
      </c>
    </row>
    <row r="6085" s="29" customFormat="1" ht="30" customHeight="1" spans="1:13">
      <c r="A6085" s="41">
        <f>IF(C6085="","",SUBTOTAL(103,$C$2:C6085))</f>
        <v>6076</v>
      </c>
      <c r="B6085" s="41">
        <v>4812</v>
      </c>
      <c r="C6085" s="54">
        <v>6450</v>
      </c>
      <c r="D6085" s="54" t="s">
        <v>45</v>
      </c>
      <c r="E6085" s="54" t="s">
        <v>1298</v>
      </c>
      <c r="F6085" s="54" t="s">
        <v>4201</v>
      </c>
      <c r="G6085" s="54" t="s">
        <v>18531</v>
      </c>
      <c r="H6085" s="54" t="s">
        <v>18532</v>
      </c>
      <c r="I6085" s="43">
        <v>12</v>
      </c>
      <c r="J6085" s="44" t="str">
        <f>VLOOKUP(G6085,[1]硬件清单!$F:$F,1,0)</f>
        <v>2PPDF3X</v>
      </c>
      <c r="K6085" s="43"/>
      <c r="L6085" s="44"/>
      <c r="M6085" s="45" t="s">
        <v>18533</v>
      </c>
    </row>
    <row r="6086" s="29" customFormat="1" ht="30" customHeight="1" spans="1:13">
      <c r="A6086" s="41">
        <f>IF(C6086="","",SUBTOTAL(103,$C$2:C6086))</f>
        <v>6077</v>
      </c>
      <c r="B6086" s="41">
        <v>4813</v>
      </c>
      <c r="C6086" s="54">
        <v>6458</v>
      </c>
      <c r="D6086" s="54" t="s">
        <v>45</v>
      </c>
      <c r="E6086" s="54" t="s">
        <v>1298</v>
      </c>
      <c r="F6086" s="54" t="s">
        <v>4201</v>
      </c>
      <c r="G6086" s="54" t="s">
        <v>18534</v>
      </c>
      <c r="H6086" s="54" t="s">
        <v>18535</v>
      </c>
      <c r="I6086" s="43">
        <v>12</v>
      </c>
      <c r="J6086" s="44" t="str">
        <f>VLOOKUP(G6086,[1]硬件清单!$F:$F,1,0)</f>
        <v>4PPDF3X</v>
      </c>
      <c r="K6086" s="43"/>
      <c r="L6086" s="44"/>
      <c r="M6086" s="45" t="s">
        <v>18536</v>
      </c>
    </row>
    <row r="6087" s="29" customFormat="1" ht="30" customHeight="1" spans="1:13">
      <c r="A6087" s="41">
        <f>IF(C6087="","",SUBTOTAL(103,$C$2:C6087))</f>
        <v>6078</v>
      </c>
      <c r="B6087" s="41">
        <v>4815</v>
      </c>
      <c r="C6087" s="54">
        <v>6949</v>
      </c>
      <c r="D6087" s="54" t="s">
        <v>45</v>
      </c>
      <c r="E6087" s="54" t="s">
        <v>1298</v>
      </c>
      <c r="F6087" s="54" t="s">
        <v>7517</v>
      </c>
      <c r="G6087" s="54" t="s">
        <v>18537</v>
      </c>
      <c r="H6087" s="54" t="s">
        <v>18538</v>
      </c>
      <c r="I6087" s="43">
        <v>12</v>
      </c>
      <c r="J6087" s="44" t="str">
        <f>VLOOKUP(G6087,[1]硬件清单!$F:$F,1,0)</f>
        <v>JX3JZZ1</v>
      </c>
      <c r="K6087" s="43"/>
      <c r="L6087" s="44"/>
      <c r="M6087" s="45" t="s">
        <v>18539</v>
      </c>
    </row>
    <row r="6088" s="29" customFormat="1" ht="30" customHeight="1" spans="1:13">
      <c r="A6088" s="41">
        <f>IF(C6088="","",SUBTOTAL(103,$C$2:C6088))</f>
        <v>6079</v>
      </c>
      <c r="B6088" s="41">
        <v>4816</v>
      </c>
      <c r="C6088" s="54">
        <v>6950</v>
      </c>
      <c r="D6088" s="54" t="s">
        <v>45</v>
      </c>
      <c r="E6088" s="54" t="s">
        <v>1298</v>
      </c>
      <c r="F6088" s="54" t="s">
        <v>7517</v>
      </c>
      <c r="G6088" s="54" t="s">
        <v>18540</v>
      </c>
      <c r="H6088" s="54" t="s">
        <v>18541</v>
      </c>
      <c r="I6088" s="43">
        <v>12</v>
      </c>
      <c r="J6088" s="44" t="str">
        <f>VLOOKUP(G6088,[1]硬件清单!$F:$F,1,0)</f>
        <v>DY3JZZ1</v>
      </c>
      <c r="K6088" s="43"/>
      <c r="L6088" s="44"/>
      <c r="M6088" s="45" t="s">
        <v>18542</v>
      </c>
    </row>
    <row r="6089" s="29" customFormat="1" ht="30" customHeight="1" spans="1:13">
      <c r="A6089" s="41">
        <f>IF(C6089="","",SUBTOTAL(103,$C$2:C6089))</f>
        <v>6080</v>
      </c>
      <c r="B6089" s="41">
        <v>4817</v>
      </c>
      <c r="C6089" s="54">
        <v>6951</v>
      </c>
      <c r="D6089" s="54" t="s">
        <v>45</v>
      </c>
      <c r="E6089" s="54" t="s">
        <v>1298</v>
      </c>
      <c r="F6089" s="54" t="s">
        <v>7517</v>
      </c>
      <c r="G6089" s="54" t="s">
        <v>18543</v>
      </c>
      <c r="H6089" s="54" t="s">
        <v>18544</v>
      </c>
      <c r="I6089" s="43">
        <v>12</v>
      </c>
      <c r="J6089" s="44" t="str">
        <f>VLOOKUP(G6089,[1]硬件清单!$F:$F,1,0)</f>
        <v>CX3JZZ1</v>
      </c>
      <c r="K6089" s="43"/>
      <c r="L6089" s="44"/>
      <c r="M6089" s="45" t="s">
        <v>18545</v>
      </c>
    </row>
    <row r="6090" s="29" customFormat="1" ht="30" customHeight="1" spans="1:13">
      <c r="A6090" s="41">
        <f>IF(C6090="","",SUBTOTAL(103,$C$2:C6090))</f>
        <v>6081</v>
      </c>
      <c r="B6090" s="41">
        <v>4818</v>
      </c>
      <c r="C6090" s="54">
        <v>6952</v>
      </c>
      <c r="D6090" s="54" t="s">
        <v>45</v>
      </c>
      <c r="E6090" s="54" t="s">
        <v>1298</v>
      </c>
      <c r="F6090" s="54" t="s">
        <v>7517</v>
      </c>
      <c r="G6090" s="54" t="s">
        <v>18546</v>
      </c>
      <c r="H6090" s="54" t="s">
        <v>18547</v>
      </c>
      <c r="I6090" s="43">
        <v>12</v>
      </c>
      <c r="J6090" s="44" t="str">
        <f>VLOOKUP(G6090,[1]硬件清单!$F:$F,1,0)</f>
        <v>6Y3JZZ1</v>
      </c>
      <c r="K6090" s="43"/>
      <c r="L6090" s="44"/>
      <c r="M6090" s="45" t="s">
        <v>18548</v>
      </c>
    </row>
    <row r="6091" s="29" customFormat="1" ht="30" customHeight="1" spans="1:13">
      <c r="A6091" s="41">
        <f>IF(C6091="","",SUBTOTAL(103,$C$2:C6091))</f>
        <v>6082</v>
      </c>
      <c r="B6091" s="41">
        <v>4819</v>
      </c>
      <c r="C6091" s="54">
        <v>6452</v>
      </c>
      <c r="D6091" s="54" t="s">
        <v>45</v>
      </c>
      <c r="E6091" s="54" t="s">
        <v>1298</v>
      </c>
      <c r="F6091" s="54" t="s">
        <v>4201</v>
      </c>
      <c r="G6091" s="54" t="s">
        <v>18549</v>
      </c>
      <c r="H6091" s="54" t="s">
        <v>18550</v>
      </c>
      <c r="I6091" s="43">
        <v>12</v>
      </c>
      <c r="J6091" s="44" t="str">
        <f>VLOOKUP(G6091,[1]硬件清单!$F:$F,1,0)</f>
        <v>5PPDF3X</v>
      </c>
      <c r="K6091" s="43"/>
      <c r="L6091" s="44"/>
      <c r="M6091" s="45" t="s">
        <v>18551</v>
      </c>
    </row>
    <row r="6092" s="29" customFormat="1" ht="30" customHeight="1" spans="1:13">
      <c r="A6092" s="41">
        <f>IF(C6092="","",SUBTOTAL(103,$C$2:C6092))</f>
        <v>6083</v>
      </c>
      <c r="B6092" s="41">
        <v>4820</v>
      </c>
      <c r="C6092" s="54">
        <v>6451</v>
      </c>
      <c r="D6092" s="54" t="s">
        <v>45</v>
      </c>
      <c r="E6092" s="54" t="s">
        <v>1298</v>
      </c>
      <c r="F6092" s="54" t="s">
        <v>4201</v>
      </c>
      <c r="G6092" s="54" t="s">
        <v>18552</v>
      </c>
      <c r="H6092" s="54" t="s">
        <v>18553</v>
      </c>
      <c r="I6092" s="43">
        <v>12</v>
      </c>
      <c r="J6092" s="44" t="str">
        <f>VLOOKUP(G6092,[1]硬件清单!$F:$F,1,0)</f>
        <v>GNPDF3X</v>
      </c>
      <c r="K6092" s="43"/>
      <c r="L6092" s="44"/>
      <c r="M6092" s="45" t="s">
        <v>18554</v>
      </c>
    </row>
    <row r="6093" s="29" customFormat="1" ht="30" customHeight="1" spans="1:13">
      <c r="A6093" s="41">
        <f>IF(C6093="","",SUBTOTAL(103,$C$2:C6093))</f>
        <v>6084</v>
      </c>
      <c r="B6093" s="41">
        <v>4821</v>
      </c>
      <c r="C6093" s="54">
        <v>6454</v>
      </c>
      <c r="D6093" s="54" t="s">
        <v>45</v>
      </c>
      <c r="E6093" s="54" t="s">
        <v>1298</v>
      </c>
      <c r="F6093" s="54" t="s">
        <v>4201</v>
      </c>
      <c r="G6093" s="54" t="s">
        <v>18555</v>
      </c>
      <c r="H6093" s="54" t="s">
        <v>18556</v>
      </c>
      <c r="I6093" s="43">
        <v>12</v>
      </c>
      <c r="J6093" s="44" t="str">
        <f>VLOOKUP(G6093,[1]硬件清单!$F:$F,1,0)</f>
        <v>1PPDF3X</v>
      </c>
      <c r="K6093" s="43"/>
      <c r="L6093" s="44"/>
      <c r="M6093" s="45" t="s">
        <v>18557</v>
      </c>
    </row>
    <row r="6094" s="29" customFormat="1" ht="30" customHeight="1" spans="1:13">
      <c r="A6094" s="41">
        <f>IF(C6094="","",SUBTOTAL(103,$C$2:C6094))</f>
        <v>6085</v>
      </c>
      <c r="B6094" s="41">
        <v>4822</v>
      </c>
      <c r="C6094" s="54">
        <v>6453</v>
      </c>
      <c r="D6094" s="54" t="s">
        <v>45</v>
      </c>
      <c r="E6094" s="54" t="s">
        <v>1298</v>
      </c>
      <c r="F6094" s="54" t="s">
        <v>4201</v>
      </c>
      <c r="G6094" s="54" t="s">
        <v>18558</v>
      </c>
      <c r="H6094" s="54" t="s">
        <v>18559</v>
      </c>
      <c r="I6094" s="43">
        <v>12</v>
      </c>
      <c r="J6094" s="44" t="str">
        <f>VLOOKUP(G6094,[1]硬件清单!$F:$F,1,0)</f>
        <v>JNPDF3X</v>
      </c>
      <c r="K6094" s="43"/>
      <c r="L6094" s="44"/>
      <c r="M6094" s="45" t="s">
        <v>18560</v>
      </c>
    </row>
    <row r="6095" s="29" customFormat="1" ht="30" customHeight="1" spans="1:13">
      <c r="A6095" s="41">
        <f>IF(C6095="","",SUBTOTAL(103,$C$2:C6095))</f>
        <v>6086</v>
      </c>
      <c r="B6095" s="41">
        <v>4823</v>
      </c>
      <c r="C6095" s="54">
        <v>6455</v>
      </c>
      <c r="D6095" s="54" t="s">
        <v>45</v>
      </c>
      <c r="E6095" s="54" t="s">
        <v>1298</v>
      </c>
      <c r="F6095" s="54" t="s">
        <v>4201</v>
      </c>
      <c r="G6095" s="54" t="s">
        <v>18561</v>
      </c>
      <c r="H6095" s="54" t="s">
        <v>18562</v>
      </c>
      <c r="I6095" s="43">
        <v>12</v>
      </c>
      <c r="J6095" s="44" t="str">
        <f>VLOOKUP(G6095,[1]硬件清单!$F:$F,1,0)</f>
        <v>3PPDF3X</v>
      </c>
      <c r="K6095" s="43"/>
      <c r="L6095" s="44"/>
      <c r="M6095" s="45" t="s">
        <v>18563</v>
      </c>
    </row>
    <row r="6096" s="29" customFormat="1" ht="30" customHeight="1" spans="1:13">
      <c r="A6096" s="41">
        <f>IF(C6096="","",SUBTOTAL(103,$C$2:C6096))</f>
        <v>6087</v>
      </c>
      <c r="B6096" s="41">
        <v>4824</v>
      </c>
      <c r="C6096" s="54">
        <v>6456</v>
      </c>
      <c r="D6096" s="54" t="s">
        <v>45</v>
      </c>
      <c r="E6096" s="54" t="s">
        <v>1298</v>
      </c>
      <c r="F6096" s="54" t="s">
        <v>4201</v>
      </c>
      <c r="G6096" s="54" t="s">
        <v>18564</v>
      </c>
      <c r="H6096" s="54" t="s">
        <v>18565</v>
      </c>
      <c r="I6096" s="43">
        <v>12</v>
      </c>
      <c r="J6096" s="44" t="str">
        <f>VLOOKUP(G6096,[1]硬件清单!$F:$F,1,0)</f>
        <v>HNPDF3X</v>
      </c>
      <c r="K6096" s="43"/>
      <c r="L6096" s="44"/>
      <c r="M6096" s="45" t="s">
        <v>18566</v>
      </c>
    </row>
    <row r="6097" s="29" customFormat="1" ht="30" customHeight="1" spans="1:13">
      <c r="A6097" s="41">
        <f>IF(C6097="","",SUBTOTAL(103,$C$2:C6097))</f>
        <v>6088</v>
      </c>
      <c r="B6097" s="41">
        <v>4825</v>
      </c>
      <c r="C6097" s="54">
        <v>6457</v>
      </c>
      <c r="D6097" s="54" t="s">
        <v>45</v>
      </c>
      <c r="E6097" s="54" t="s">
        <v>1298</v>
      </c>
      <c r="F6097" s="54" t="s">
        <v>4201</v>
      </c>
      <c r="G6097" s="54" t="s">
        <v>10013</v>
      </c>
      <c r="H6097" s="54" t="s">
        <v>18567</v>
      </c>
      <c r="I6097" s="43">
        <v>12</v>
      </c>
      <c r="J6097" s="44" t="str">
        <f>VLOOKUP(G6097,[1]硬件清单!$F:$F,1,0)</f>
        <v>FNPDF3X</v>
      </c>
      <c r="K6097" s="43"/>
      <c r="L6097" s="44"/>
      <c r="M6097" s="45" t="s">
        <v>18568</v>
      </c>
    </row>
    <row r="6098" s="29" customFormat="1" ht="30" customHeight="1" spans="1:13">
      <c r="A6098" s="41">
        <f>IF(C6098="","",SUBTOTAL(103,$C$2:C6098))</f>
        <v>6089</v>
      </c>
      <c r="B6098" s="41">
        <v>4826</v>
      </c>
      <c r="C6098" s="54">
        <v>6459</v>
      </c>
      <c r="D6098" s="54" t="s">
        <v>45</v>
      </c>
      <c r="E6098" s="54" t="s">
        <v>1298</v>
      </c>
      <c r="F6098" s="54" t="s">
        <v>4201</v>
      </c>
      <c r="G6098" s="54" t="s">
        <v>18569</v>
      </c>
      <c r="H6098" s="54" t="s">
        <v>18570</v>
      </c>
      <c r="I6098" s="43">
        <v>12</v>
      </c>
      <c r="J6098" s="44" t="str">
        <f>VLOOKUP(G6098,[1]硬件清单!$F:$F,1,0)</f>
        <v>6PPDF3X</v>
      </c>
      <c r="K6098" s="43"/>
      <c r="L6098" s="44"/>
      <c r="M6098" s="45" t="s">
        <v>18571</v>
      </c>
    </row>
    <row r="6099" s="29" customFormat="1" ht="30" customHeight="1" spans="1:13">
      <c r="A6099" s="41">
        <f>IF(C6099="","",SUBTOTAL(103,$C$2:C6099))</f>
        <v>6090</v>
      </c>
      <c r="B6099" s="41">
        <v>4827</v>
      </c>
      <c r="C6099" s="54">
        <v>7347</v>
      </c>
      <c r="D6099" s="54" t="s">
        <v>19</v>
      </c>
      <c r="E6099" s="54" t="s">
        <v>20</v>
      </c>
      <c r="F6099" s="54" t="s">
        <v>7253</v>
      </c>
      <c r="G6099" s="54" t="s">
        <v>18572</v>
      </c>
      <c r="H6099" s="54" t="s">
        <v>18573</v>
      </c>
      <c r="I6099" s="43">
        <v>12</v>
      </c>
      <c r="J6099" s="44" t="str">
        <f>VLOOKUP(G6099,[1]硬件清单!$F:$F,1,0)</f>
        <v>210235A0HAH126000163</v>
      </c>
      <c r="K6099" s="43"/>
      <c r="L6099" s="44"/>
      <c r="M6099" s="45" t="s">
        <v>18574</v>
      </c>
    </row>
    <row r="6100" s="29" customFormat="1" ht="30" customHeight="1" spans="1:13">
      <c r="A6100" s="41">
        <f>IF(C6100="","",SUBTOTAL(103,$C$2:C6100))</f>
        <v>6091</v>
      </c>
      <c r="B6100" s="41">
        <v>4828</v>
      </c>
      <c r="C6100" s="54">
        <v>7348</v>
      </c>
      <c r="D6100" s="54" t="s">
        <v>19</v>
      </c>
      <c r="E6100" s="54" t="s">
        <v>20</v>
      </c>
      <c r="F6100" s="54" t="s">
        <v>7253</v>
      </c>
      <c r="G6100" s="54" t="s">
        <v>18575</v>
      </c>
      <c r="H6100" s="54" t="s">
        <v>18576</v>
      </c>
      <c r="I6100" s="43">
        <v>12</v>
      </c>
      <c r="J6100" s="44" t="str">
        <f>VLOOKUP(G6100,[1]硬件清单!$F:$F,1,0)</f>
        <v>210235AOHAH127000001</v>
      </c>
      <c r="K6100" s="43"/>
      <c r="L6100" s="44"/>
      <c r="M6100" s="45" t="s">
        <v>18577</v>
      </c>
    </row>
    <row r="6101" s="29" customFormat="1" ht="30" customHeight="1" spans="1:13">
      <c r="A6101" s="41">
        <f>IF(C6101="","",SUBTOTAL(103,$C$2:C6101))</f>
        <v>6092</v>
      </c>
      <c r="B6101" s="41">
        <v>4829</v>
      </c>
      <c r="C6101" s="54">
        <v>7351</v>
      </c>
      <c r="D6101" s="54" t="s">
        <v>19</v>
      </c>
      <c r="E6101" s="54" t="s">
        <v>20</v>
      </c>
      <c r="F6101" s="54" t="s">
        <v>6538</v>
      </c>
      <c r="G6101" s="54" t="s">
        <v>18578</v>
      </c>
      <c r="H6101" s="54" t="s">
        <v>18579</v>
      </c>
      <c r="I6101" s="43">
        <v>12</v>
      </c>
      <c r="J6101" s="44" t="str">
        <f>VLOOKUP(G6101,[1]硬件清单!$F:$F,1,0)</f>
        <v>210235A0H9H11A000233</v>
      </c>
      <c r="K6101" s="43"/>
      <c r="L6101" s="44"/>
      <c r="M6101" s="45" t="s">
        <v>18580</v>
      </c>
    </row>
    <row r="6102" s="29" customFormat="1" ht="30" customHeight="1" spans="1:13">
      <c r="A6102" s="41">
        <f>IF(C6102="","",SUBTOTAL(103,$C$2:C6102))</f>
        <v>6093</v>
      </c>
      <c r="B6102" s="41">
        <v>4830</v>
      </c>
      <c r="C6102" s="54">
        <v>7352</v>
      </c>
      <c r="D6102" s="54" t="s">
        <v>19</v>
      </c>
      <c r="E6102" s="54" t="s">
        <v>20</v>
      </c>
      <c r="F6102" s="54" t="s">
        <v>6538</v>
      </c>
      <c r="G6102" s="54" t="s">
        <v>18581</v>
      </c>
      <c r="H6102" s="54" t="s">
        <v>18582</v>
      </c>
      <c r="I6102" s="43">
        <v>12</v>
      </c>
      <c r="J6102" s="44" t="str">
        <f>VLOOKUP(G6102,[1]硬件清单!$F:$F,1,0)</f>
        <v>210235A0H9H11A000103</v>
      </c>
      <c r="K6102" s="43"/>
      <c r="L6102" s="44"/>
      <c r="M6102" s="45" t="s">
        <v>18583</v>
      </c>
    </row>
    <row r="6103" s="29" customFormat="1" ht="30" customHeight="1" spans="1:13">
      <c r="A6103" s="41">
        <f>IF(C6103="","",SUBTOTAL(103,$C$2:C6103))</f>
        <v>6094</v>
      </c>
      <c r="B6103" s="41">
        <v>4831</v>
      </c>
      <c r="C6103" s="54">
        <v>7349</v>
      </c>
      <c r="D6103" s="54" t="s">
        <v>19</v>
      </c>
      <c r="E6103" s="54" t="s">
        <v>20</v>
      </c>
      <c r="F6103" s="54" t="s">
        <v>7253</v>
      </c>
      <c r="G6103" s="54" t="s">
        <v>18584</v>
      </c>
      <c r="H6103" s="54" t="s">
        <v>18585</v>
      </c>
      <c r="I6103" s="43">
        <v>12</v>
      </c>
      <c r="J6103" s="44" t="str">
        <f>VLOOKUP(G6103,[1]硬件清单!$F:$F,1,0)</f>
        <v>210235AOHAH126000125</v>
      </c>
      <c r="K6103" s="43"/>
      <c r="L6103" s="44"/>
      <c r="M6103" s="45" t="s">
        <v>18586</v>
      </c>
    </row>
    <row r="6104" s="29" customFormat="1" ht="30" customHeight="1" spans="1:13">
      <c r="A6104" s="41">
        <f>IF(C6104="","",SUBTOTAL(103,$C$2:C6104))</f>
        <v>6095</v>
      </c>
      <c r="B6104" s="41">
        <v>4832</v>
      </c>
      <c r="C6104" s="54">
        <v>5917</v>
      </c>
      <c r="D6104" s="54" t="s">
        <v>45</v>
      </c>
      <c r="E6104" s="54" t="s">
        <v>246</v>
      </c>
      <c r="F6104" s="54" t="s">
        <v>6531</v>
      </c>
      <c r="G6104" s="54" t="s">
        <v>18587</v>
      </c>
      <c r="H6104" s="54" t="s">
        <v>18588</v>
      </c>
      <c r="I6104" s="43">
        <v>12</v>
      </c>
      <c r="J6104" s="44" t="str">
        <f>VLOOKUP(G6104,[1]硬件清单!$F:$F,1,0)</f>
        <v>06C5D7R</v>
      </c>
      <c r="K6104" s="43"/>
      <c r="L6104" s="44"/>
      <c r="M6104" s="45" t="s">
        <v>18589</v>
      </c>
    </row>
    <row r="6105" s="29" customFormat="1" ht="30" customHeight="1" spans="1:13">
      <c r="A6105" s="41">
        <f>IF(C6105="","",SUBTOTAL(103,$C$2:C6105))</f>
        <v>6096</v>
      </c>
      <c r="B6105" s="41">
        <v>4833</v>
      </c>
      <c r="C6105" s="54">
        <v>8146</v>
      </c>
      <c r="D6105" s="54" t="s">
        <v>887</v>
      </c>
      <c r="E6105" s="54" t="s">
        <v>888</v>
      </c>
      <c r="F6105" s="54" t="s">
        <v>9633</v>
      </c>
      <c r="G6105" s="54" t="s">
        <v>18590</v>
      </c>
      <c r="H6105" s="54" t="s">
        <v>18591</v>
      </c>
      <c r="I6105" s="43">
        <v>12</v>
      </c>
      <c r="J6105" s="44" t="str">
        <f>VLOOKUP(G6105,[1]硬件清单!$F:$F,1,0)</f>
        <v>MM11299</v>
      </c>
      <c r="K6105" s="43"/>
      <c r="L6105" s="44"/>
      <c r="M6105" s="45" t="s">
        <v>18592</v>
      </c>
    </row>
    <row r="6106" s="29" customFormat="1" ht="30" customHeight="1" spans="1:13">
      <c r="A6106" s="41">
        <f>IF(C6106="","",SUBTOTAL(103,$C$2:C6106))</f>
        <v>6097</v>
      </c>
      <c r="B6106" s="41">
        <v>4834</v>
      </c>
      <c r="C6106" s="54">
        <v>6384</v>
      </c>
      <c r="D6106" s="54" t="s">
        <v>45</v>
      </c>
      <c r="E6106" s="54" t="s">
        <v>1298</v>
      </c>
      <c r="F6106" s="54" t="s">
        <v>7734</v>
      </c>
      <c r="G6106" s="54" t="s">
        <v>18593</v>
      </c>
      <c r="H6106" s="54" t="s">
        <v>18594</v>
      </c>
      <c r="I6106" s="43">
        <v>12</v>
      </c>
      <c r="J6106" s="44" t="str">
        <f>VLOOKUP(G6106,[1]硬件清单!$F:$F,1,0)</f>
        <v>06ACPR3</v>
      </c>
      <c r="K6106" s="43"/>
      <c r="L6106" s="44"/>
      <c r="M6106" s="45" t="s">
        <v>18595</v>
      </c>
    </row>
    <row r="6107" s="29" customFormat="1" ht="30" customHeight="1" spans="1:13">
      <c r="A6107" s="41">
        <f>IF(C6107="","",SUBTOTAL(103,$C$2:C6107))</f>
        <v>6098</v>
      </c>
      <c r="B6107" s="41">
        <v>4836</v>
      </c>
      <c r="C6107" s="54">
        <v>6393</v>
      </c>
      <c r="D6107" s="54" t="s">
        <v>45</v>
      </c>
      <c r="E6107" s="54" t="s">
        <v>1298</v>
      </c>
      <c r="F6107" s="54" t="s">
        <v>7734</v>
      </c>
      <c r="G6107" s="54" t="s">
        <v>18596</v>
      </c>
      <c r="H6107" s="54" t="s">
        <v>18597</v>
      </c>
      <c r="I6107" s="43">
        <v>12</v>
      </c>
      <c r="J6107" s="44" t="str">
        <f>VLOOKUP(G6107,[1]硬件清单!$F:$F,1,0)</f>
        <v>06ACPA9</v>
      </c>
      <c r="K6107" s="43"/>
      <c r="L6107" s="44"/>
      <c r="M6107" s="45" t="s">
        <v>18598</v>
      </c>
    </row>
    <row r="6108" s="29" customFormat="1" ht="30" customHeight="1" spans="1:13">
      <c r="A6108" s="41">
        <f>IF(C6108="","",SUBTOTAL(103,$C$2:C6108))</f>
        <v>6099</v>
      </c>
      <c r="B6108" s="41">
        <v>4838</v>
      </c>
      <c r="C6108" s="54">
        <v>6394</v>
      </c>
      <c r="D6108" s="54" t="s">
        <v>45</v>
      </c>
      <c r="E6108" s="54" t="s">
        <v>1298</v>
      </c>
      <c r="F6108" s="54" t="s">
        <v>7734</v>
      </c>
      <c r="G6108" s="54" t="s">
        <v>18599</v>
      </c>
      <c r="H6108" s="54" t="s">
        <v>18600</v>
      </c>
      <c r="I6108" s="43">
        <v>12</v>
      </c>
      <c r="J6108" s="44" t="str">
        <f>VLOOKUP(G6108,[1]硬件清单!$F:$F,1,0)</f>
        <v>06ACPA8</v>
      </c>
      <c r="K6108" s="43"/>
      <c r="L6108" s="44"/>
      <c r="M6108" s="45" t="s">
        <v>18601</v>
      </c>
    </row>
    <row r="6109" s="29" customFormat="1" ht="30" customHeight="1" spans="1:13">
      <c r="A6109" s="41">
        <f>IF(C6109="","",SUBTOTAL(103,$C$2:C6109))</f>
        <v>6100</v>
      </c>
      <c r="B6109" s="41">
        <v>4840</v>
      </c>
      <c r="C6109" s="54">
        <v>6395</v>
      </c>
      <c r="D6109" s="54" t="s">
        <v>45</v>
      </c>
      <c r="E6109" s="54" t="s">
        <v>1298</v>
      </c>
      <c r="F6109" s="54" t="s">
        <v>7734</v>
      </c>
      <c r="G6109" s="54" t="s">
        <v>18602</v>
      </c>
      <c r="H6109" s="54" t="s">
        <v>18603</v>
      </c>
      <c r="I6109" s="43">
        <v>12</v>
      </c>
      <c r="J6109" s="44" t="str">
        <f>VLOOKUP(G6109,[1]硬件清单!$F:$F,1,0)</f>
        <v>06ACNY8</v>
      </c>
      <c r="K6109" s="43"/>
      <c r="L6109" s="44"/>
      <c r="M6109" s="45" t="s">
        <v>18604</v>
      </c>
    </row>
    <row r="6110" s="29" customFormat="1" ht="30" customHeight="1" spans="1:13">
      <c r="A6110" s="41">
        <f>IF(C6110="","",SUBTOTAL(103,$C$2:C6110))</f>
        <v>6101</v>
      </c>
      <c r="B6110" s="41">
        <v>4842</v>
      </c>
      <c r="C6110" s="54">
        <v>6396</v>
      </c>
      <c r="D6110" s="54" t="s">
        <v>45</v>
      </c>
      <c r="E6110" s="54" t="s">
        <v>1298</v>
      </c>
      <c r="F6110" s="54" t="s">
        <v>7734</v>
      </c>
      <c r="G6110" s="54" t="s">
        <v>18605</v>
      </c>
      <c r="H6110" s="54" t="s">
        <v>18606</v>
      </c>
      <c r="I6110" s="43">
        <v>12</v>
      </c>
      <c r="J6110" s="44" t="str">
        <f>VLOOKUP(G6110,[1]硬件清单!$F:$F,1,0)</f>
        <v>06ACNX9</v>
      </c>
      <c r="K6110" s="43"/>
      <c r="L6110" s="44"/>
      <c r="M6110" s="45" t="s">
        <v>18607</v>
      </c>
    </row>
    <row r="6111" s="29" customFormat="1" ht="30" customHeight="1" spans="1:13">
      <c r="A6111" s="41">
        <f>IF(C6111="","",SUBTOTAL(103,$C$2:C6111))</f>
        <v>6102</v>
      </c>
      <c r="B6111" s="41">
        <v>4844</v>
      </c>
      <c r="C6111" s="54">
        <v>6397</v>
      </c>
      <c r="D6111" s="54" t="s">
        <v>45</v>
      </c>
      <c r="E6111" s="54" t="s">
        <v>1298</v>
      </c>
      <c r="F6111" s="54" t="s">
        <v>7734</v>
      </c>
      <c r="G6111" s="54" t="s">
        <v>18608</v>
      </c>
      <c r="H6111" s="54" t="s">
        <v>18609</v>
      </c>
      <c r="I6111" s="43">
        <v>12</v>
      </c>
      <c r="J6111" s="44" t="str">
        <f>VLOOKUP(G6111,[1]硬件清单!$F:$F,1,0)</f>
        <v>06ACNV8</v>
      </c>
      <c r="K6111" s="43"/>
      <c r="L6111" s="44"/>
      <c r="M6111" s="45" t="s">
        <v>18610</v>
      </c>
    </row>
    <row r="6112" s="29" customFormat="1" ht="30" customHeight="1" spans="1:13">
      <c r="A6112" s="41">
        <f>IF(C6112="","",SUBTOTAL(103,$C$2:C6112))</f>
        <v>6103</v>
      </c>
      <c r="B6112" s="41">
        <v>4846</v>
      </c>
      <c r="C6112" s="54">
        <v>6385</v>
      </c>
      <c r="D6112" s="54" t="s">
        <v>45</v>
      </c>
      <c r="E6112" s="54" t="s">
        <v>1298</v>
      </c>
      <c r="F6112" s="54" t="s">
        <v>7734</v>
      </c>
      <c r="G6112" s="54" t="s">
        <v>18611</v>
      </c>
      <c r="H6112" s="54" t="s">
        <v>18612</v>
      </c>
      <c r="I6112" s="43">
        <v>12</v>
      </c>
      <c r="J6112" s="44" t="str">
        <f>VLOOKUP(G6112,[1]硬件清单!$F:$F,1,0)</f>
        <v>06ACPG5</v>
      </c>
      <c r="K6112" s="43"/>
      <c r="L6112" s="44"/>
      <c r="M6112" s="45" t="s">
        <v>18613</v>
      </c>
    </row>
    <row r="6113" s="29" customFormat="1" ht="30" customHeight="1" spans="1:13">
      <c r="A6113" s="41">
        <f>IF(C6113="","",SUBTOTAL(103,$C$2:C6113))</f>
        <v>6104</v>
      </c>
      <c r="B6113" s="41">
        <v>4848</v>
      </c>
      <c r="C6113" s="54">
        <v>6386</v>
      </c>
      <c r="D6113" s="54" t="s">
        <v>45</v>
      </c>
      <c r="E6113" s="54" t="s">
        <v>1298</v>
      </c>
      <c r="F6113" s="54" t="s">
        <v>7734</v>
      </c>
      <c r="G6113" s="54" t="s">
        <v>18614</v>
      </c>
      <c r="H6113" s="54" t="s">
        <v>18615</v>
      </c>
      <c r="I6113" s="43">
        <v>12</v>
      </c>
      <c r="J6113" s="44" t="str">
        <f>VLOOKUP(G6113,[1]硬件清单!$F:$F,1,0)</f>
        <v>06ACNZ4</v>
      </c>
      <c r="K6113" s="43"/>
      <c r="L6113" s="44"/>
      <c r="M6113" s="45" t="s">
        <v>18616</v>
      </c>
    </row>
    <row r="6114" s="29" customFormat="1" ht="30" customHeight="1" spans="1:13">
      <c r="A6114" s="41">
        <f>IF(C6114="","",SUBTOTAL(103,$C$2:C6114))</f>
        <v>6105</v>
      </c>
      <c r="B6114" s="41">
        <v>4850</v>
      </c>
      <c r="C6114" s="54">
        <v>6387</v>
      </c>
      <c r="D6114" s="54" t="s">
        <v>45</v>
      </c>
      <c r="E6114" s="54" t="s">
        <v>1298</v>
      </c>
      <c r="F6114" s="54" t="s">
        <v>7734</v>
      </c>
      <c r="G6114" s="54" t="s">
        <v>18617</v>
      </c>
      <c r="H6114" s="54" t="s">
        <v>18618</v>
      </c>
      <c r="I6114" s="43">
        <v>12</v>
      </c>
      <c r="J6114" s="44" t="str">
        <f>VLOOKUP(G6114,[1]硬件清单!$F:$F,1,0)</f>
        <v>06ACPK8</v>
      </c>
      <c r="K6114" s="43"/>
      <c r="L6114" s="44"/>
      <c r="M6114" s="45" t="s">
        <v>18619</v>
      </c>
    </row>
    <row r="6115" s="29" customFormat="1" ht="30" customHeight="1" spans="1:13">
      <c r="A6115" s="41">
        <f>IF(C6115="","",SUBTOTAL(103,$C$2:C6115))</f>
        <v>6106</v>
      </c>
      <c r="B6115" s="41">
        <v>4852</v>
      </c>
      <c r="C6115" s="55">
        <v>6388</v>
      </c>
      <c r="D6115" s="55" t="s">
        <v>45</v>
      </c>
      <c r="E6115" s="55" t="s">
        <v>1298</v>
      </c>
      <c r="F6115" s="55" t="s">
        <v>7734</v>
      </c>
      <c r="G6115" s="54" t="s">
        <v>18620</v>
      </c>
      <c r="H6115" s="54" t="s">
        <v>18621</v>
      </c>
      <c r="I6115" s="43">
        <v>12</v>
      </c>
      <c r="J6115" s="44" t="str">
        <f>VLOOKUP(G6115,[1]硬件清单!$F:$F,1,0)</f>
        <v>102415B</v>
      </c>
      <c r="K6115" s="43"/>
      <c r="L6115" s="44"/>
      <c r="M6115" s="45" t="s">
        <v>18622</v>
      </c>
    </row>
    <row r="6116" s="29" customFormat="1" ht="30" customHeight="1" spans="1:13">
      <c r="A6116" s="41">
        <f>IF(C6116="","",SUBTOTAL(103,$C$2:C6116))</f>
        <v>6107</v>
      </c>
      <c r="B6116" s="41">
        <v>4854</v>
      </c>
      <c r="C6116" s="54">
        <v>6389</v>
      </c>
      <c r="D6116" s="54" t="s">
        <v>45</v>
      </c>
      <c r="E6116" s="54" t="s">
        <v>1298</v>
      </c>
      <c r="F6116" s="54" t="s">
        <v>7734</v>
      </c>
      <c r="G6116" s="54" t="s">
        <v>18623</v>
      </c>
      <c r="H6116" s="54" t="s">
        <v>18624</v>
      </c>
      <c r="I6116" s="43">
        <v>12</v>
      </c>
      <c r="J6116" s="44" t="str">
        <f>VLOOKUP(G6116,[1]硬件清单!$F:$F,1,0)</f>
        <v>06ACPV6</v>
      </c>
      <c r="K6116" s="43"/>
      <c r="L6116" s="44"/>
      <c r="M6116" s="45" t="s">
        <v>18625</v>
      </c>
    </row>
    <row r="6117" s="29" customFormat="1" ht="30" customHeight="1" spans="1:13">
      <c r="A6117" s="41">
        <f>IF(C6117="","",SUBTOTAL(103,$C$2:C6117))</f>
        <v>6108</v>
      </c>
      <c r="B6117" s="41">
        <v>4856</v>
      </c>
      <c r="C6117" s="54">
        <v>6390</v>
      </c>
      <c r="D6117" s="54" t="s">
        <v>45</v>
      </c>
      <c r="E6117" s="54" t="s">
        <v>1298</v>
      </c>
      <c r="F6117" s="54" t="s">
        <v>7734</v>
      </c>
      <c r="G6117" s="54" t="s">
        <v>18626</v>
      </c>
      <c r="H6117" s="54" t="s">
        <v>18627</v>
      </c>
      <c r="I6117" s="43">
        <v>12</v>
      </c>
      <c r="J6117" s="44" t="str">
        <f>VLOOKUP(G6117,[1]硬件清单!$F:$F,1,0)</f>
        <v>06ACPR0</v>
      </c>
      <c r="K6117" s="43"/>
      <c r="L6117" s="44"/>
      <c r="M6117" s="45" t="s">
        <v>18628</v>
      </c>
    </row>
    <row r="6118" s="29" customFormat="1" ht="30" customHeight="1" spans="1:13">
      <c r="A6118" s="41">
        <f>IF(C6118="","",SUBTOTAL(103,$C$2:C6118))</f>
        <v>6109</v>
      </c>
      <c r="B6118" s="41">
        <v>4858</v>
      </c>
      <c r="C6118" s="54">
        <v>6391</v>
      </c>
      <c r="D6118" s="54" t="s">
        <v>45</v>
      </c>
      <c r="E6118" s="54" t="s">
        <v>1298</v>
      </c>
      <c r="F6118" s="54" t="s">
        <v>7734</v>
      </c>
      <c r="G6118" s="54" t="s">
        <v>18629</v>
      </c>
      <c r="H6118" s="54" t="s">
        <v>18630</v>
      </c>
      <c r="I6118" s="43">
        <v>12</v>
      </c>
      <c r="J6118" s="44" t="str">
        <f>VLOOKUP(G6118,[1]硬件清单!$F:$F,1,0)</f>
        <v>06ACNY3</v>
      </c>
      <c r="K6118" s="43"/>
      <c r="L6118" s="44"/>
      <c r="M6118" s="45" t="s">
        <v>18631</v>
      </c>
    </row>
    <row r="6119" s="29" customFormat="1" ht="30" customHeight="1" spans="1:13">
      <c r="A6119" s="41">
        <f>IF(C6119="","",SUBTOTAL(103,$C$2:C6119))</f>
        <v>6110</v>
      </c>
      <c r="B6119" s="41">
        <v>4860</v>
      </c>
      <c r="C6119" s="54">
        <v>6392</v>
      </c>
      <c r="D6119" s="54" t="s">
        <v>45</v>
      </c>
      <c r="E6119" s="54" t="s">
        <v>1298</v>
      </c>
      <c r="F6119" s="54" t="s">
        <v>7734</v>
      </c>
      <c r="G6119" s="54" t="s">
        <v>18632</v>
      </c>
      <c r="H6119" s="54" t="s">
        <v>18633</v>
      </c>
      <c r="I6119" s="43">
        <v>12</v>
      </c>
      <c r="J6119" s="44" t="str">
        <f>VLOOKUP(G6119,[1]硬件清单!$F:$F,1,0)</f>
        <v>06ACPG1</v>
      </c>
      <c r="K6119" s="43"/>
      <c r="L6119" s="44"/>
      <c r="M6119" s="45" t="s">
        <v>18634</v>
      </c>
    </row>
    <row r="6120" s="29" customFormat="1" ht="30" customHeight="1" spans="1:13">
      <c r="A6120" s="41">
        <f>IF(C6120="","",SUBTOTAL(103,$C$2:C6120))</f>
        <v>6111</v>
      </c>
      <c r="B6120" s="41">
        <v>4862</v>
      </c>
      <c r="C6120" s="54">
        <v>6412</v>
      </c>
      <c r="D6120" s="54" t="s">
        <v>45</v>
      </c>
      <c r="E6120" s="54" t="s">
        <v>1298</v>
      </c>
      <c r="F6120" s="54" t="s">
        <v>7734</v>
      </c>
      <c r="G6120" s="54" t="s">
        <v>18635</v>
      </c>
      <c r="H6120" s="54" t="s">
        <v>18636</v>
      </c>
      <c r="I6120" s="43">
        <v>12</v>
      </c>
      <c r="J6120" s="44" t="str">
        <f>VLOOKUP(G6120,[1]硬件清单!$F:$F,1,0)</f>
        <v>06ACNZ9</v>
      </c>
      <c r="K6120" s="43"/>
      <c r="L6120" s="44"/>
      <c r="M6120" s="45" t="s">
        <v>18637</v>
      </c>
    </row>
    <row r="6121" s="29" customFormat="1" ht="30" customHeight="1" spans="1:13">
      <c r="A6121" s="41">
        <f>IF(C6121="","",SUBTOTAL(103,$C$2:C6121))</f>
        <v>6112</v>
      </c>
      <c r="B6121" s="41">
        <v>4864</v>
      </c>
      <c r="C6121" s="54">
        <v>6421</v>
      </c>
      <c r="D6121" s="54" t="s">
        <v>45</v>
      </c>
      <c r="E6121" s="54" t="s">
        <v>1298</v>
      </c>
      <c r="F6121" s="54" t="s">
        <v>7734</v>
      </c>
      <c r="G6121" s="54" t="s">
        <v>18638</v>
      </c>
      <c r="H6121" s="54" t="s">
        <v>18639</v>
      </c>
      <c r="I6121" s="43">
        <v>12</v>
      </c>
      <c r="J6121" s="44" t="str">
        <f>VLOOKUP(G6121,[1]硬件清单!$F:$F,1,0)</f>
        <v>06ACPT6</v>
      </c>
      <c r="K6121" s="43"/>
      <c r="L6121" s="44"/>
      <c r="M6121" s="45" t="s">
        <v>18640</v>
      </c>
    </row>
    <row r="6122" s="29" customFormat="1" ht="30" customHeight="1" spans="1:13">
      <c r="A6122" s="41">
        <f>IF(C6122="","",SUBTOTAL(103,$C$2:C6122))</f>
        <v>6113</v>
      </c>
      <c r="B6122" s="41">
        <v>4866</v>
      </c>
      <c r="C6122" s="54">
        <v>6422</v>
      </c>
      <c r="D6122" s="54" t="s">
        <v>45</v>
      </c>
      <c r="E6122" s="54" t="s">
        <v>1298</v>
      </c>
      <c r="F6122" s="54" t="s">
        <v>7734</v>
      </c>
      <c r="G6122" s="54" t="s">
        <v>18641</v>
      </c>
      <c r="H6122" s="54" t="s">
        <v>18642</v>
      </c>
      <c r="I6122" s="43">
        <v>12</v>
      </c>
      <c r="J6122" s="44" t="str">
        <f>VLOOKUP(G6122,[1]硬件清单!$F:$F,1,0)</f>
        <v>06ACPF1</v>
      </c>
      <c r="K6122" s="43"/>
      <c r="L6122" s="44"/>
      <c r="M6122" s="45" t="s">
        <v>18643</v>
      </c>
    </row>
    <row r="6123" s="29" customFormat="1" ht="30" customHeight="1" spans="1:13">
      <c r="A6123" s="41">
        <f>IF(C6123="","",SUBTOTAL(103,$C$2:C6123))</f>
        <v>6114</v>
      </c>
      <c r="B6123" s="41">
        <v>4868</v>
      </c>
      <c r="C6123" s="54">
        <v>6423</v>
      </c>
      <c r="D6123" s="54" t="s">
        <v>45</v>
      </c>
      <c r="E6123" s="54" t="s">
        <v>1298</v>
      </c>
      <c r="F6123" s="54" t="s">
        <v>7734</v>
      </c>
      <c r="G6123" s="54" t="s">
        <v>18644</v>
      </c>
      <c r="H6123" s="54" t="s">
        <v>18645</v>
      </c>
      <c r="I6123" s="43">
        <v>12</v>
      </c>
      <c r="J6123" s="44" t="str">
        <f>VLOOKUP(G6123,[1]硬件清单!$F:$F,1,0)</f>
        <v>06ACNR7</v>
      </c>
      <c r="K6123" s="43"/>
      <c r="L6123" s="44"/>
      <c r="M6123" s="45" t="s">
        <v>18646</v>
      </c>
    </row>
    <row r="6124" s="29" customFormat="1" ht="30" customHeight="1" spans="1:13">
      <c r="A6124" s="41">
        <f>IF(C6124="","",SUBTOTAL(103,$C$2:C6124))</f>
        <v>6115</v>
      </c>
      <c r="B6124" s="41">
        <v>4870</v>
      </c>
      <c r="C6124" s="54">
        <v>6413</v>
      </c>
      <c r="D6124" s="54" t="s">
        <v>45</v>
      </c>
      <c r="E6124" s="54" t="s">
        <v>1298</v>
      </c>
      <c r="F6124" s="54" t="s">
        <v>7734</v>
      </c>
      <c r="G6124" s="54" t="s">
        <v>18647</v>
      </c>
      <c r="H6124" s="54" t="s">
        <v>18648</v>
      </c>
      <c r="I6124" s="43">
        <v>12</v>
      </c>
      <c r="J6124" s="44" t="str">
        <f>VLOOKUP(G6124,[1]硬件清单!$F:$F,1,0)</f>
        <v>06ACPD0</v>
      </c>
      <c r="K6124" s="43"/>
      <c r="L6124" s="44"/>
      <c r="M6124" s="45" t="s">
        <v>18649</v>
      </c>
    </row>
    <row r="6125" s="29" customFormat="1" ht="30" customHeight="1" spans="1:13">
      <c r="A6125" s="41">
        <f>IF(C6125="","",SUBTOTAL(103,$C$2:C6125))</f>
        <v>6116</v>
      </c>
      <c r="B6125" s="41">
        <v>4872</v>
      </c>
      <c r="C6125" s="54">
        <v>6414</v>
      </c>
      <c r="D6125" s="54" t="s">
        <v>45</v>
      </c>
      <c r="E6125" s="54" t="s">
        <v>1298</v>
      </c>
      <c r="F6125" s="54" t="s">
        <v>7734</v>
      </c>
      <c r="G6125" s="54" t="s">
        <v>18650</v>
      </c>
      <c r="H6125" s="54" t="s">
        <v>18651</v>
      </c>
      <c r="I6125" s="43">
        <v>12</v>
      </c>
      <c r="J6125" s="44" t="str">
        <f>VLOOKUP(G6125,[1]硬件清单!$F:$F,1,0)</f>
        <v>06ACNZ6</v>
      </c>
      <c r="K6125" s="43"/>
      <c r="L6125" s="44"/>
      <c r="M6125" s="45" t="s">
        <v>18652</v>
      </c>
    </row>
    <row r="6126" s="29" customFormat="1" ht="30" customHeight="1" spans="1:13">
      <c r="A6126" s="41">
        <f>IF(C6126="","",SUBTOTAL(103,$C$2:C6126))</f>
        <v>6117</v>
      </c>
      <c r="B6126" s="41">
        <v>4874</v>
      </c>
      <c r="C6126" s="54">
        <v>6415</v>
      </c>
      <c r="D6126" s="54" t="s">
        <v>45</v>
      </c>
      <c r="E6126" s="54" t="s">
        <v>1298</v>
      </c>
      <c r="F6126" s="54" t="s">
        <v>7734</v>
      </c>
      <c r="G6126" s="54" t="s">
        <v>18653</v>
      </c>
      <c r="H6126" s="54" t="s">
        <v>18654</v>
      </c>
      <c r="I6126" s="43">
        <v>12</v>
      </c>
      <c r="J6126" s="44" t="str">
        <f>VLOOKUP(G6126,[1]硬件清单!$F:$F,1,0)</f>
        <v>06ACNV1</v>
      </c>
      <c r="K6126" s="43"/>
      <c r="L6126" s="44"/>
      <c r="M6126" s="45" t="s">
        <v>18655</v>
      </c>
    </row>
    <row r="6127" s="29" customFormat="1" ht="30" customHeight="1" spans="1:13">
      <c r="A6127" s="41">
        <f>IF(C6127="","",SUBTOTAL(103,$C$2:C6127))</f>
        <v>6118</v>
      </c>
      <c r="B6127" s="41">
        <v>4876</v>
      </c>
      <c r="C6127" s="54">
        <v>6416</v>
      </c>
      <c r="D6127" s="54" t="s">
        <v>45</v>
      </c>
      <c r="E6127" s="54" t="s">
        <v>1298</v>
      </c>
      <c r="F6127" s="54" t="s">
        <v>7734</v>
      </c>
      <c r="G6127" s="54" t="s">
        <v>18656</v>
      </c>
      <c r="H6127" s="54" t="s">
        <v>18657</v>
      </c>
      <c r="I6127" s="43">
        <v>12</v>
      </c>
      <c r="J6127" s="44" t="str">
        <f>VLOOKUP(G6127,[1]硬件清单!$F:$F,1,0)</f>
        <v>06ACPH8</v>
      </c>
      <c r="K6127" s="43"/>
      <c r="L6127" s="44"/>
      <c r="M6127" s="45" t="s">
        <v>18658</v>
      </c>
    </row>
    <row r="6128" s="29" customFormat="1" ht="30" customHeight="1" spans="1:13">
      <c r="A6128" s="41">
        <f>IF(C6128="","",SUBTOTAL(103,$C$2:C6128))</f>
        <v>6119</v>
      </c>
      <c r="B6128" s="41">
        <v>4878</v>
      </c>
      <c r="C6128" s="54">
        <v>6417</v>
      </c>
      <c r="D6128" s="54" t="s">
        <v>45</v>
      </c>
      <c r="E6128" s="54" t="s">
        <v>1298</v>
      </c>
      <c r="F6128" s="54" t="s">
        <v>7734</v>
      </c>
      <c r="G6128" s="54" t="s">
        <v>18659</v>
      </c>
      <c r="H6128" s="54" t="s">
        <v>18660</v>
      </c>
      <c r="I6128" s="43">
        <v>12</v>
      </c>
      <c r="J6128" s="44" t="str">
        <f>VLOOKUP(G6128,[1]硬件清单!$F:$F,1,0)</f>
        <v>06ACPX5</v>
      </c>
      <c r="K6128" s="43"/>
      <c r="L6128" s="44"/>
      <c r="M6128" s="45" t="s">
        <v>18661</v>
      </c>
    </row>
    <row r="6129" s="29" customFormat="1" ht="30" customHeight="1" spans="1:13">
      <c r="A6129" s="41">
        <f>IF(C6129="","",SUBTOTAL(103,$C$2:C6129))</f>
        <v>6120</v>
      </c>
      <c r="B6129" s="41">
        <v>4880</v>
      </c>
      <c r="C6129" s="54">
        <v>6418</v>
      </c>
      <c r="D6129" s="54" t="s">
        <v>45</v>
      </c>
      <c r="E6129" s="54" t="s">
        <v>1298</v>
      </c>
      <c r="F6129" s="54" t="s">
        <v>7734</v>
      </c>
      <c r="G6129" s="54" t="s">
        <v>18662</v>
      </c>
      <c r="H6129" s="54" t="s">
        <v>18663</v>
      </c>
      <c r="I6129" s="43">
        <v>12</v>
      </c>
      <c r="J6129" s="44" t="str">
        <f>VLOOKUP(G6129,[1]硬件清单!$F:$F,1,0)</f>
        <v>06ACPB6</v>
      </c>
      <c r="K6129" s="43"/>
      <c r="L6129" s="44"/>
      <c r="M6129" s="45" t="s">
        <v>18664</v>
      </c>
    </row>
    <row r="6130" s="29" customFormat="1" ht="30" customHeight="1" spans="1:13">
      <c r="A6130" s="41">
        <f>IF(C6130="","",SUBTOTAL(103,$C$2:C6130))</f>
        <v>6121</v>
      </c>
      <c r="B6130" s="41">
        <v>4882</v>
      </c>
      <c r="C6130" s="54">
        <v>6419</v>
      </c>
      <c r="D6130" s="54" t="s">
        <v>45</v>
      </c>
      <c r="E6130" s="54" t="s">
        <v>1298</v>
      </c>
      <c r="F6130" s="54" t="s">
        <v>7734</v>
      </c>
      <c r="G6130" s="54" t="s">
        <v>18665</v>
      </c>
      <c r="H6130" s="54" t="s">
        <v>18666</v>
      </c>
      <c r="I6130" s="43">
        <v>12</v>
      </c>
      <c r="J6130" s="44" t="str">
        <f>VLOOKUP(G6130,[1]硬件清单!$F:$F,1,0)</f>
        <v>06ACPW4</v>
      </c>
      <c r="K6130" s="43"/>
      <c r="L6130" s="44"/>
      <c r="M6130" s="45" t="s">
        <v>18667</v>
      </c>
    </row>
    <row r="6131" s="29" customFormat="1" ht="30" customHeight="1" spans="1:13">
      <c r="A6131" s="41">
        <f>IF(C6131="","",SUBTOTAL(103,$C$2:C6131))</f>
        <v>6122</v>
      </c>
      <c r="B6131" s="41">
        <v>4884</v>
      </c>
      <c r="C6131" s="54">
        <v>6420</v>
      </c>
      <c r="D6131" s="54" t="s">
        <v>45</v>
      </c>
      <c r="E6131" s="54" t="s">
        <v>1298</v>
      </c>
      <c r="F6131" s="54" t="s">
        <v>7734</v>
      </c>
      <c r="G6131" s="54" t="s">
        <v>18668</v>
      </c>
      <c r="H6131" s="54" t="s">
        <v>18669</v>
      </c>
      <c r="I6131" s="43">
        <v>12</v>
      </c>
      <c r="J6131" s="44" t="str">
        <f>VLOOKUP(G6131,[1]硬件清单!$F:$F,1,0)</f>
        <v>06ACPV7</v>
      </c>
      <c r="K6131" s="43"/>
      <c r="L6131" s="44"/>
      <c r="M6131" s="45" t="s">
        <v>18670</v>
      </c>
    </row>
    <row r="6132" s="29" customFormat="1" ht="30" customHeight="1" spans="1:13">
      <c r="A6132" s="41">
        <f>IF(C6132="","",SUBTOTAL(103,$C$2:C6132))</f>
        <v>6123</v>
      </c>
      <c r="B6132" s="41">
        <v>4886</v>
      </c>
      <c r="C6132" s="54">
        <v>5918</v>
      </c>
      <c r="D6132" s="54" t="s">
        <v>45</v>
      </c>
      <c r="E6132" s="54" t="s">
        <v>246</v>
      </c>
      <c r="F6132" s="54" t="s">
        <v>6531</v>
      </c>
      <c r="G6132" s="54" t="s">
        <v>18671</v>
      </c>
      <c r="H6132" s="54" t="s">
        <v>18672</v>
      </c>
      <c r="I6132" s="43">
        <v>12</v>
      </c>
      <c r="J6132" s="44" t="str">
        <f>VLOOKUP(G6132,[1]硬件清单!$F:$F,1,0)</f>
        <v>06C5DCR</v>
      </c>
      <c r="K6132" s="43"/>
      <c r="L6132" s="44"/>
      <c r="M6132" s="45" t="s">
        <v>18673</v>
      </c>
    </row>
    <row r="6133" s="29" customFormat="1" ht="30" customHeight="1" spans="1:13">
      <c r="A6133" s="41">
        <f>IF(C6133="","",SUBTOTAL(103,$C$2:C6133))</f>
        <v>6124</v>
      </c>
      <c r="B6133" s="41">
        <v>4887</v>
      </c>
      <c r="C6133" s="54">
        <v>8150</v>
      </c>
      <c r="D6133" s="54" t="s">
        <v>887</v>
      </c>
      <c r="E6133" s="54" t="s">
        <v>888</v>
      </c>
      <c r="F6133" s="54" t="s">
        <v>9633</v>
      </c>
      <c r="G6133" s="54" t="s">
        <v>18674</v>
      </c>
      <c r="H6133" s="54" t="s">
        <v>18675</v>
      </c>
      <c r="I6133" s="43">
        <v>12</v>
      </c>
      <c r="J6133" s="44" t="str">
        <f>VLOOKUP(G6133,[1]硬件清单!$F:$F,1,0)</f>
        <v>2639311</v>
      </c>
      <c r="K6133" s="43"/>
      <c r="L6133" s="44"/>
      <c r="M6133" s="45" t="s">
        <v>18676</v>
      </c>
    </row>
    <row r="6134" s="29" customFormat="1" ht="30" customHeight="1" spans="1:13">
      <c r="A6134" s="41">
        <f>IF(C6134="","",SUBTOTAL(103,$C$2:C6134))</f>
        <v>6125</v>
      </c>
      <c r="B6134" s="41">
        <v>4888</v>
      </c>
      <c r="C6134" s="54">
        <v>5921</v>
      </c>
      <c r="D6134" s="54" t="s">
        <v>45</v>
      </c>
      <c r="E6134" s="54" t="s">
        <v>246</v>
      </c>
      <c r="F6134" s="54" t="s">
        <v>4478</v>
      </c>
      <c r="G6134" s="54" t="s">
        <v>18677</v>
      </c>
      <c r="H6134" s="54" t="s">
        <v>18678</v>
      </c>
      <c r="I6134" s="43">
        <v>12</v>
      </c>
      <c r="J6134" s="44" t="str">
        <f>VLOOKUP(G6134,[1]硬件清单!$F:$F,1,0)</f>
        <v>06C68CR</v>
      </c>
      <c r="K6134" s="43"/>
      <c r="L6134" s="44"/>
      <c r="M6134" s="45" t="s">
        <v>18679</v>
      </c>
    </row>
    <row r="6135" s="29" customFormat="1" ht="30" customHeight="1" spans="1:13">
      <c r="A6135" s="41">
        <f>IF(C6135="","",SUBTOTAL(103,$C$2:C6135))</f>
        <v>6126</v>
      </c>
      <c r="B6135" s="41">
        <v>4889</v>
      </c>
      <c r="C6135" s="54">
        <v>10799</v>
      </c>
      <c r="D6135" s="54" t="s">
        <v>45</v>
      </c>
      <c r="E6135" s="54" t="s">
        <v>1298</v>
      </c>
      <c r="F6135" s="54" t="s">
        <v>4201</v>
      </c>
      <c r="G6135" s="54" t="s">
        <v>18680</v>
      </c>
      <c r="H6135" s="54" t="s">
        <v>18681</v>
      </c>
      <c r="I6135" s="43">
        <v>12</v>
      </c>
      <c r="J6135" s="44" t="str">
        <f>VLOOKUP(G6135,[1]硬件清单!$F:$F,1,0)</f>
        <v>348HF3X</v>
      </c>
      <c r="K6135" s="43"/>
      <c r="L6135" s="44"/>
      <c r="M6135" s="45" t="s">
        <v>18682</v>
      </c>
    </row>
    <row r="6136" s="29" customFormat="1" ht="30" customHeight="1" spans="1:13">
      <c r="A6136" s="41">
        <f>IF(C6136="","",SUBTOTAL(103,$C$2:C6136))</f>
        <v>6127</v>
      </c>
      <c r="B6136" s="41">
        <v>4890</v>
      </c>
      <c r="C6136" s="54">
        <v>10798</v>
      </c>
      <c r="D6136" s="54" t="s">
        <v>45</v>
      </c>
      <c r="E6136" s="54" t="s">
        <v>1298</v>
      </c>
      <c r="F6136" s="54" t="s">
        <v>4201</v>
      </c>
      <c r="G6136" s="54" t="s">
        <v>18683</v>
      </c>
      <c r="H6136" s="54" t="s">
        <v>18684</v>
      </c>
      <c r="I6136" s="43">
        <v>12</v>
      </c>
      <c r="J6136" s="44" t="str">
        <f>VLOOKUP(G6136,[1]硬件清单!$F:$F,1,0)</f>
        <v>548HF3X</v>
      </c>
      <c r="K6136" s="43"/>
      <c r="L6136" s="44"/>
      <c r="M6136" s="45" t="s">
        <v>18685</v>
      </c>
    </row>
    <row r="6137" s="29" customFormat="1" ht="30" customHeight="1" spans="1:13">
      <c r="A6137" s="41">
        <f>IF(C6137="","",SUBTOTAL(103,$C$2:C6137))</f>
        <v>6128</v>
      </c>
      <c r="B6137" s="41">
        <v>4891</v>
      </c>
      <c r="C6137" s="54">
        <v>10800</v>
      </c>
      <c r="D6137" s="54" t="s">
        <v>45</v>
      </c>
      <c r="E6137" s="54" t="s">
        <v>1298</v>
      </c>
      <c r="F6137" s="54" t="s">
        <v>4201</v>
      </c>
      <c r="G6137" s="54" t="s">
        <v>18686</v>
      </c>
      <c r="H6137" s="54" t="s">
        <v>18687</v>
      </c>
      <c r="I6137" s="43">
        <v>12</v>
      </c>
      <c r="J6137" s="44" t="str">
        <f>VLOOKUP(G6137,[1]硬件清单!$F:$F,1,0)</f>
        <v>448HF3X</v>
      </c>
      <c r="K6137" s="43"/>
      <c r="L6137" s="44"/>
      <c r="M6137" s="45" t="s">
        <v>18688</v>
      </c>
    </row>
    <row r="6138" s="29" customFormat="1" ht="30" customHeight="1" spans="1:13">
      <c r="A6138" s="41">
        <f>IF(C6138="","",SUBTOTAL(103,$C$2:C6138))</f>
        <v>6129</v>
      </c>
      <c r="B6138" s="41">
        <v>4892</v>
      </c>
      <c r="C6138" s="54">
        <v>10801</v>
      </c>
      <c r="D6138" s="54" t="s">
        <v>45</v>
      </c>
      <c r="E6138" s="54" t="s">
        <v>1298</v>
      </c>
      <c r="F6138" s="54" t="s">
        <v>4201</v>
      </c>
      <c r="G6138" s="54" t="s">
        <v>18689</v>
      </c>
      <c r="H6138" s="54" t="s">
        <v>18690</v>
      </c>
      <c r="I6138" s="43">
        <v>12</v>
      </c>
      <c r="J6138" s="44" t="str">
        <f>VLOOKUP(G6138,[1]硬件清单!$F:$F,1,0)</f>
        <v>C48HF3X</v>
      </c>
      <c r="K6138" s="43"/>
      <c r="L6138" s="44"/>
      <c r="M6138" s="45" t="s">
        <v>18691</v>
      </c>
    </row>
    <row r="6139" s="29" customFormat="1" ht="30" customHeight="1" spans="1:13">
      <c r="A6139" s="41">
        <f>IF(C6139="","",SUBTOTAL(103,$C$2:C6139))</f>
        <v>6130</v>
      </c>
      <c r="B6139" s="41">
        <v>4893</v>
      </c>
      <c r="C6139" s="54">
        <v>10802</v>
      </c>
      <c r="D6139" s="54" t="s">
        <v>45</v>
      </c>
      <c r="E6139" s="54" t="s">
        <v>1298</v>
      </c>
      <c r="F6139" s="54" t="s">
        <v>4201</v>
      </c>
      <c r="G6139" s="54" t="s">
        <v>18692</v>
      </c>
      <c r="H6139" s="54" t="s">
        <v>18693</v>
      </c>
      <c r="I6139" s="43">
        <v>12</v>
      </c>
      <c r="J6139" s="44" t="str">
        <f>VLOOKUP(G6139,[1]硬件清单!$F:$F,1,0)</f>
        <v>648HF3X</v>
      </c>
      <c r="K6139" s="43"/>
      <c r="L6139" s="44"/>
      <c r="M6139" s="45" t="s">
        <v>18694</v>
      </c>
    </row>
    <row r="6140" s="29" customFormat="1" ht="30" customHeight="1" spans="1:13">
      <c r="A6140" s="41">
        <f>IF(C6140="","",SUBTOTAL(103,$C$2:C6140))</f>
        <v>6131</v>
      </c>
      <c r="B6140" s="41">
        <v>4894</v>
      </c>
      <c r="C6140" s="54">
        <v>10803</v>
      </c>
      <c r="D6140" s="54" t="s">
        <v>45</v>
      </c>
      <c r="E6140" s="54" t="s">
        <v>1298</v>
      </c>
      <c r="F6140" s="54" t="s">
        <v>4201</v>
      </c>
      <c r="G6140" s="54" t="s">
        <v>18695</v>
      </c>
      <c r="H6140" s="54" t="s">
        <v>18696</v>
      </c>
      <c r="I6140" s="43">
        <v>12</v>
      </c>
      <c r="J6140" s="44" t="str">
        <f>VLOOKUP(G6140,[1]硬件清单!$F:$F,1,0)</f>
        <v>748HF3X</v>
      </c>
      <c r="K6140" s="43"/>
      <c r="L6140" s="44"/>
      <c r="M6140" s="45" t="s">
        <v>18697</v>
      </c>
    </row>
    <row r="6141" s="29" customFormat="1" ht="30" customHeight="1" spans="1:13">
      <c r="A6141" s="41">
        <f>IF(C6141="","",SUBTOTAL(103,$C$2:C6141))</f>
        <v>6132</v>
      </c>
      <c r="B6141" s="41">
        <v>4895</v>
      </c>
      <c r="C6141" s="54">
        <v>10804</v>
      </c>
      <c r="D6141" s="54" t="s">
        <v>45</v>
      </c>
      <c r="E6141" s="54" t="s">
        <v>1298</v>
      </c>
      <c r="F6141" s="54" t="s">
        <v>4201</v>
      </c>
      <c r="G6141" s="54" t="s">
        <v>18698</v>
      </c>
      <c r="H6141" s="54" t="s">
        <v>18699</v>
      </c>
      <c r="I6141" s="43">
        <v>12</v>
      </c>
      <c r="J6141" s="44" t="str">
        <f>VLOOKUP(G6141,[1]硬件清单!$F:$F,1,0)</f>
        <v>B48HF3X</v>
      </c>
      <c r="K6141" s="43"/>
      <c r="L6141" s="44"/>
      <c r="M6141" s="45" t="s">
        <v>18700</v>
      </c>
    </row>
    <row r="6142" s="29" customFormat="1" ht="30" customHeight="1" spans="1:13">
      <c r="A6142" s="41">
        <f>IF(C6142="","",SUBTOTAL(103,$C$2:C6142))</f>
        <v>6133</v>
      </c>
      <c r="B6142" s="41">
        <v>4896</v>
      </c>
      <c r="C6142" s="54">
        <v>10805</v>
      </c>
      <c r="D6142" s="54" t="s">
        <v>45</v>
      </c>
      <c r="E6142" s="54" t="s">
        <v>1298</v>
      </c>
      <c r="F6142" s="54" t="s">
        <v>4201</v>
      </c>
      <c r="G6142" s="54" t="s">
        <v>18701</v>
      </c>
      <c r="H6142" s="54" t="s">
        <v>18702</v>
      </c>
      <c r="I6142" s="43">
        <v>12</v>
      </c>
      <c r="J6142" s="44" t="str">
        <f>VLOOKUP(G6142,[1]硬件清单!$F:$F,1,0)</f>
        <v>D48HF3X</v>
      </c>
      <c r="K6142" s="43"/>
      <c r="L6142" s="44"/>
      <c r="M6142" s="45" t="s">
        <v>18703</v>
      </c>
    </row>
    <row r="6143" s="29" customFormat="1" ht="30" customHeight="1" spans="1:13">
      <c r="A6143" s="41">
        <f>IF(C6143="","",SUBTOTAL(103,$C$2:C6143))</f>
        <v>6134</v>
      </c>
      <c r="B6143" s="41">
        <v>4897</v>
      </c>
      <c r="C6143" s="54">
        <v>10806</v>
      </c>
      <c r="D6143" s="54" t="s">
        <v>45</v>
      </c>
      <c r="E6143" s="54" t="s">
        <v>1298</v>
      </c>
      <c r="F6143" s="54" t="s">
        <v>4201</v>
      </c>
      <c r="G6143" s="54" t="s">
        <v>18704</v>
      </c>
      <c r="H6143" s="54" t="s">
        <v>18705</v>
      </c>
      <c r="I6143" s="43">
        <v>12</v>
      </c>
      <c r="J6143" s="44" t="str">
        <f>VLOOKUP(G6143,[1]硬件清单!$F:$F,1,0)</f>
        <v>948HF3X</v>
      </c>
      <c r="K6143" s="43"/>
      <c r="L6143" s="44"/>
      <c r="M6143" s="45" t="s">
        <v>18706</v>
      </c>
    </row>
    <row r="6144" s="29" customFormat="1" ht="30" customHeight="1" spans="1:13">
      <c r="A6144" s="41">
        <f>IF(C6144="","",SUBTOTAL(103,$C$2:C6144))</f>
        <v>6135</v>
      </c>
      <c r="B6144" s="41">
        <v>4898</v>
      </c>
      <c r="C6144" s="54">
        <v>10797</v>
      </c>
      <c r="D6144" s="54" t="s">
        <v>45</v>
      </c>
      <c r="E6144" s="54" t="s">
        <v>1298</v>
      </c>
      <c r="F6144" s="54" t="s">
        <v>4201</v>
      </c>
      <c r="G6144" s="54" t="s">
        <v>18707</v>
      </c>
      <c r="H6144" s="54" t="s">
        <v>18708</v>
      </c>
      <c r="I6144" s="43">
        <v>12</v>
      </c>
      <c r="J6144" s="44" t="str">
        <f>VLOOKUP(G6144,[1]硬件清单!$F:$F,1,0)</f>
        <v>848HF3X</v>
      </c>
      <c r="K6144" s="43"/>
      <c r="L6144" s="44"/>
      <c r="M6144" s="45" t="s">
        <v>18709</v>
      </c>
    </row>
    <row r="6145" s="29" customFormat="1" ht="30" customHeight="1" spans="1:13">
      <c r="A6145" s="41">
        <f>IF(C6145="","",SUBTOTAL(103,$C$2:C6145))</f>
        <v>6136</v>
      </c>
      <c r="B6145" s="41">
        <v>4899</v>
      </c>
      <c r="C6145" s="54">
        <v>10807</v>
      </c>
      <c r="D6145" s="54" t="s">
        <v>45</v>
      </c>
      <c r="E6145" s="54" t="s">
        <v>1298</v>
      </c>
      <c r="F6145" s="54" t="s">
        <v>1513</v>
      </c>
      <c r="G6145" s="54" t="s">
        <v>18710</v>
      </c>
      <c r="H6145" s="54" t="s">
        <v>18711</v>
      </c>
      <c r="I6145" s="43">
        <v>12</v>
      </c>
      <c r="J6145" s="44" t="str">
        <f>VLOOKUP(G6145,[1]硬件清单!$F:$F,1,0)</f>
        <v>248HF3X</v>
      </c>
      <c r="K6145" s="43"/>
      <c r="L6145" s="44"/>
      <c r="M6145" s="45" t="s">
        <v>18712</v>
      </c>
    </row>
    <row r="6146" s="29" customFormat="1" ht="30" customHeight="1" spans="1:13">
      <c r="A6146" s="41">
        <f>IF(C6146="","",SUBTOTAL(103,$C$2:C6146))</f>
        <v>6137</v>
      </c>
      <c r="B6146" s="41">
        <v>4900</v>
      </c>
      <c r="C6146" s="54">
        <v>6288</v>
      </c>
      <c r="D6146" s="54" t="s">
        <v>45</v>
      </c>
      <c r="E6146" s="54" t="s">
        <v>1298</v>
      </c>
      <c r="F6146" s="54" t="s">
        <v>7272</v>
      </c>
      <c r="G6146" s="54" t="s">
        <v>18713</v>
      </c>
      <c r="H6146" s="54" t="s">
        <v>18714</v>
      </c>
      <c r="I6146" s="43">
        <v>12</v>
      </c>
      <c r="J6146" s="44" t="str">
        <f>VLOOKUP(G6146,[1]硬件清单!$F:$F,1,0)</f>
        <v>CNG230S9MC</v>
      </c>
      <c r="K6146" s="43"/>
      <c r="L6146" s="44"/>
      <c r="M6146" s="45" t="s">
        <v>18715</v>
      </c>
    </row>
    <row r="6147" s="29" customFormat="1" ht="30" customHeight="1" spans="1:13">
      <c r="A6147" s="41">
        <f>IF(C6147="","",SUBTOTAL(103,$C$2:C6147))</f>
        <v>6138</v>
      </c>
      <c r="B6147" s="41">
        <v>4901</v>
      </c>
      <c r="C6147" s="54">
        <v>6297</v>
      </c>
      <c r="D6147" s="54" t="s">
        <v>45</v>
      </c>
      <c r="E6147" s="54" t="s">
        <v>1298</v>
      </c>
      <c r="F6147" s="54" t="s">
        <v>7272</v>
      </c>
      <c r="G6147" s="54" t="s">
        <v>18716</v>
      </c>
      <c r="H6147" s="54" t="s">
        <v>18717</v>
      </c>
      <c r="I6147" s="43">
        <v>12</v>
      </c>
      <c r="J6147" s="44" t="str">
        <f>VLOOKUP(G6147,[1]硬件清单!$F:$F,1,0)</f>
        <v>CNG230S9J8</v>
      </c>
      <c r="K6147" s="43"/>
      <c r="L6147" s="44"/>
      <c r="M6147" s="45" t="s">
        <v>18718</v>
      </c>
    </row>
    <row r="6148" s="29" customFormat="1" ht="30" customHeight="1" spans="1:13">
      <c r="A6148" s="41">
        <f>IF(C6148="","",SUBTOTAL(103,$C$2:C6148))</f>
        <v>6139</v>
      </c>
      <c r="B6148" s="41">
        <v>4902</v>
      </c>
      <c r="C6148" s="54">
        <v>6298</v>
      </c>
      <c r="D6148" s="54" t="s">
        <v>45</v>
      </c>
      <c r="E6148" s="54" t="s">
        <v>1298</v>
      </c>
      <c r="F6148" s="54" t="s">
        <v>7272</v>
      </c>
      <c r="G6148" s="54" t="s">
        <v>18719</v>
      </c>
      <c r="H6148" s="54" t="s">
        <v>18720</v>
      </c>
      <c r="I6148" s="43">
        <v>12</v>
      </c>
      <c r="J6148" s="44" t="str">
        <f>VLOOKUP(G6148,[1]硬件清单!$F:$F,1,0)</f>
        <v>CNG230S9GQ</v>
      </c>
      <c r="K6148" s="43"/>
      <c r="L6148" s="44"/>
      <c r="M6148" s="45" t="s">
        <v>18721</v>
      </c>
    </row>
    <row r="6149" s="29" customFormat="1" ht="30" customHeight="1" spans="1:13">
      <c r="A6149" s="41">
        <f>IF(C6149="","",SUBTOTAL(103,$C$2:C6149))</f>
        <v>6140</v>
      </c>
      <c r="B6149" s="41">
        <v>4903</v>
      </c>
      <c r="C6149" s="54">
        <v>6299</v>
      </c>
      <c r="D6149" s="54" t="s">
        <v>45</v>
      </c>
      <c r="E6149" s="54" t="s">
        <v>1298</v>
      </c>
      <c r="F6149" s="54" t="s">
        <v>7272</v>
      </c>
      <c r="G6149" s="54" t="s">
        <v>18722</v>
      </c>
      <c r="H6149" s="54" t="s">
        <v>18723</v>
      </c>
      <c r="I6149" s="43">
        <v>12</v>
      </c>
      <c r="J6149" s="44" t="str">
        <f>VLOOKUP(G6149,[1]硬件清单!$F:$F,1,0)</f>
        <v>CNG230S9GJ</v>
      </c>
      <c r="K6149" s="43"/>
      <c r="L6149" s="44"/>
      <c r="M6149" s="45" t="s">
        <v>18724</v>
      </c>
    </row>
    <row r="6150" s="29" customFormat="1" ht="30" customHeight="1" spans="1:13">
      <c r="A6150" s="41">
        <f>IF(C6150="","",SUBTOTAL(103,$C$2:C6150))</f>
        <v>6141</v>
      </c>
      <c r="B6150" s="41">
        <v>4904</v>
      </c>
      <c r="C6150" s="54">
        <v>6300</v>
      </c>
      <c r="D6150" s="54" t="s">
        <v>45</v>
      </c>
      <c r="E6150" s="54" t="s">
        <v>1298</v>
      </c>
      <c r="F6150" s="54" t="s">
        <v>7272</v>
      </c>
      <c r="G6150" s="54" t="s">
        <v>18725</v>
      </c>
      <c r="H6150" s="54" t="s">
        <v>18726</v>
      </c>
      <c r="I6150" s="43">
        <v>12</v>
      </c>
      <c r="J6150" s="44" t="str">
        <f>VLOOKUP(G6150,[1]硬件清单!$F:$F,1,0)</f>
        <v>CNG230S9PM</v>
      </c>
      <c r="K6150" s="43"/>
      <c r="L6150" s="44"/>
      <c r="M6150" s="45" t="s">
        <v>18727</v>
      </c>
    </row>
    <row r="6151" s="29" customFormat="1" ht="30" customHeight="1" spans="1:13">
      <c r="A6151" s="41">
        <f>IF(C6151="","",SUBTOTAL(103,$C$2:C6151))</f>
        <v>6142</v>
      </c>
      <c r="B6151" s="41">
        <v>4905</v>
      </c>
      <c r="C6151" s="54">
        <v>6301</v>
      </c>
      <c r="D6151" s="54" t="s">
        <v>45</v>
      </c>
      <c r="E6151" s="54" t="s">
        <v>1298</v>
      </c>
      <c r="F6151" s="54" t="s">
        <v>7272</v>
      </c>
      <c r="G6151" s="54" t="s">
        <v>18728</v>
      </c>
      <c r="H6151" s="54" t="s">
        <v>18729</v>
      </c>
      <c r="I6151" s="43">
        <v>12</v>
      </c>
      <c r="J6151" s="44" t="str">
        <f>VLOOKUP(G6151,[1]硬件清单!$F:$F,1,0)</f>
        <v>CNG230S9MW</v>
      </c>
      <c r="K6151" s="43"/>
      <c r="L6151" s="44"/>
      <c r="M6151" s="45" t="s">
        <v>18730</v>
      </c>
    </row>
    <row r="6152" s="29" customFormat="1" ht="30" customHeight="1" spans="1:13">
      <c r="A6152" s="41">
        <f>IF(C6152="","",SUBTOTAL(103,$C$2:C6152))</f>
        <v>6143</v>
      </c>
      <c r="B6152" s="41">
        <v>4906</v>
      </c>
      <c r="C6152" s="54">
        <v>6302</v>
      </c>
      <c r="D6152" s="54" t="s">
        <v>45</v>
      </c>
      <c r="E6152" s="54" t="s">
        <v>1298</v>
      </c>
      <c r="F6152" s="54" t="s">
        <v>7272</v>
      </c>
      <c r="G6152" s="54" t="s">
        <v>18731</v>
      </c>
      <c r="H6152" s="54" t="s">
        <v>18732</v>
      </c>
      <c r="I6152" s="43">
        <v>12</v>
      </c>
      <c r="J6152" s="44" t="str">
        <f>VLOOKUP(G6152,[1]硬件清单!$F:$F,1,0)</f>
        <v>CNG230S9QX</v>
      </c>
      <c r="K6152" s="43"/>
      <c r="L6152" s="44"/>
      <c r="M6152" s="45" t="s">
        <v>18733</v>
      </c>
    </row>
    <row r="6153" s="29" customFormat="1" ht="30" customHeight="1" spans="1:13">
      <c r="A6153" s="41">
        <f>IF(C6153="","",SUBTOTAL(103,$C$2:C6153))</f>
        <v>6144</v>
      </c>
      <c r="B6153" s="41">
        <v>4907</v>
      </c>
      <c r="C6153" s="54">
        <v>6303</v>
      </c>
      <c r="D6153" s="54" t="s">
        <v>45</v>
      </c>
      <c r="E6153" s="54" t="s">
        <v>1298</v>
      </c>
      <c r="F6153" s="54" t="s">
        <v>7272</v>
      </c>
      <c r="G6153" s="54" t="s">
        <v>18734</v>
      </c>
      <c r="H6153" s="54" t="s">
        <v>18735</v>
      </c>
      <c r="I6153" s="43">
        <v>12</v>
      </c>
      <c r="J6153" s="44" t="str">
        <f>VLOOKUP(G6153,[1]硬件清单!$F:$F,1,0)</f>
        <v>CNG230S9HF</v>
      </c>
      <c r="K6153" s="43"/>
      <c r="L6153" s="44"/>
      <c r="M6153" s="45" t="s">
        <v>18736</v>
      </c>
    </row>
    <row r="6154" s="29" customFormat="1" ht="30" customHeight="1" spans="1:13">
      <c r="A6154" s="41">
        <f>IF(C6154="","",SUBTOTAL(103,$C$2:C6154))</f>
        <v>6145</v>
      </c>
      <c r="B6154" s="41">
        <v>4908</v>
      </c>
      <c r="C6154" s="54">
        <v>6289</v>
      </c>
      <c r="D6154" s="54" t="s">
        <v>45</v>
      </c>
      <c r="E6154" s="54" t="s">
        <v>1298</v>
      </c>
      <c r="F6154" s="54" t="s">
        <v>7272</v>
      </c>
      <c r="G6154" s="54" t="s">
        <v>18737</v>
      </c>
      <c r="H6154" s="54" t="s">
        <v>18738</v>
      </c>
      <c r="I6154" s="43">
        <v>12</v>
      </c>
      <c r="J6154" s="44" t="str">
        <f>VLOOKUP(G6154,[1]硬件清单!$F:$F,1,0)</f>
        <v>CNG230S9QQ</v>
      </c>
      <c r="K6154" s="43"/>
      <c r="L6154" s="44"/>
      <c r="M6154" s="45" t="s">
        <v>18739</v>
      </c>
    </row>
    <row r="6155" s="29" customFormat="1" ht="30" customHeight="1" spans="1:13">
      <c r="A6155" s="41">
        <f>IF(C6155="","",SUBTOTAL(103,$C$2:C6155))</f>
        <v>6146</v>
      </c>
      <c r="B6155" s="41">
        <v>4909</v>
      </c>
      <c r="C6155" s="54">
        <v>6290</v>
      </c>
      <c r="D6155" s="54" t="s">
        <v>45</v>
      </c>
      <c r="E6155" s="54" t="s">
        <v>1298</v>
      </c>
      <c r="F6155" s="54" t="s">
        <v>7272</v>
      </c>
      <c r="G6155" s="54" t="s">
        <v>18740</v>
      </c>
      <c r="H6155" s="54" t="s">
        <v>18741</v>
      </c>
      <c r="I6155" s="43">
        <v>12</v>
      </c>
      <c r="J6155" s="44" t="str">
        <f>VLOOKUP(G6155,[1]硬件清单!$F:$F,1,0)</f>
        <v>CNG230S9LL</v>
      </c>
      <c r="K6155" s="43"/>
      <c r="L6155" s="44"/>
      <c r="M6155" s="45" t="s">
        <v>18742</v>
      </c>
    </row>
    <row r="6156" s="29" customFormat="1" ht="30" customHeight="1" spans="1:13">
      <c r="A6156" s="41">
        <f>IF(C6156="","",SUBTOTAL(103,$C$2:C6156))</f>
        <v>6147</v>
      </c>
      <c r="B6156" s="41">
        <v>4910</v>
      </c>
      <c r="C6156" s="54">
        <v>6291</v>
      </c>
      <c r="D6156" s="54" t="s">
        <v>45</v>
      </c>
      <c r="E6156" s="54" t="s">
        <v>1298</v>
      </c>
      <c r="F6156" s="54" t="s">
        <v>7272</v>
      </c>
      <c r="G6156" s="54" t="s">
        <v>18743</v>
      </c>
      <c r="H6156" s="54" t="s">
        <v>18744</v>
      </c>
      <c r="I6156" s="43">
        <v>12</v>
      </c>
      <c r="J6156" s="44" t="str">
        <f>VLOOKUP(G6156,[1]硬件清单!$F:$F,1,0)</f>
        <v>CNG230S9HY</v>
      </c>
      <c r="K6156" s="43"/>
      <c r="L6156" s="44"/>
      <c r="M6156" s="45" t="s">
        <v>18745</v>
      </c>
    </row>
    <row r="6157" s="29" customFormat="1" ht="30" customHeight="1" spans="1:13">
      <c r="A6157" s="41">
        <f>IF(C6157="","",SUBTOTAL(103,$C$2:C6157))</f>
        <v>6148</v>
      </c>
      <c r="B6157" s="41">
        <v>4911</v>
      </c>
      <c r="C6157" s="54">
        <v>6292</v>
      </c>
      <c r="D6157" s="54" t="s">
        <v>45</v>
      </c>
      <c r="E6157" s="54" t="s">
        <v>1298</v>
      </c>
      <c r="F6157" s="54" t="s">
        <v>7272</v>
      </c>
      <c r="G6157" s="54" t="s">
        <v>18746</v>
      </c>
      <c r="H6157" s="54" t="s">
        <v>18747</v>
      </c>
      <c r="I6157" s="43">
        <v>12</v>
      </c>
      <c r="J6157" s="44" t="str">
        <f>VLOOKUP(G6157,[1]硬件清单!$F:$F,1,0)</f>
        <v>CNG230S9JL</v>
      </c>
      <c r="K6157" s="43"/>
      <c r="L6157" s="44"/>
      <c r="M6157" s="45" t="s">
        <v>18748</v>
      </c>
    </row>
    <row r="6158" s="29" customFormat="1" ht="30" customHeight="1" spans="1:13">
      <c r="A6158" s="41">
        <f>IF(C6158="","",SUBTOTAL(103,$C$2:C6158))</f>
        <v>6149</v>
      </c>
      <c r="B6158" s="41">
        <v>4912</v>
      </c>
      <c r="C6158" s="54">
        <v>6293</v>
      </c>
      <c r="D6158" s="54" t="s">
        <v>45</v>
      </c>
      <c r="E6158" s="54" t="s">
        <v>1298</v>
      </c>
      <c r="F6158" s="54" t="s">
        <v>7272</v>
      </c>
      <c r="G6158" s="54" t="s">
        <v>18749</v>
      </c>
      <c r="H6158" s="54" t="s">
        <v>18750</v>
      </c>
      <c r="I6158" s="43">
        <v>12</v>
      </c>
      <c r="J6158" s="44" t="str">
        <f>VLOOKUP(G6158,[1]硬件清单!$F:$F,1,0)</f>
        <v>CNG230S9JD</v>
      </c>
      <c r="K6158" s="43"/>
      <c r="L6158" s="44"/>
      <c r="M6158" s="45" t="s">
        <v>18751</v>
      </c>
    </row>
    <row r="6159" s="29" customFormat="1" ht="30" customHeight="1" spans="1:13">
      <c r="A6159" s="41">
        <f>IF(C6159="","",SUBTOTAL(103,$C$2:C6159))</f>
        <v>6150</v>
      </c>
      <c r="B6159" s="41">
        <v>4913</v>
      </c>
      <c r="C6159" s="54">
        <v>6294</v>
      </c>
      <c r="D6159" s="54" t="s">
        <v>45</v>
      </c>
      <c r="E6159" s="54" t="s">
        <v>1298</v>
      </c>
      <c r="F6159" s="54" t="s">
        <v>7272</v>
      </c>
      <c r="G6159" s="54" t="s">
        <v>18752</v>
      </c>
      <c r="H6159" s="54" t="s">
        <v>18753</v>
      </c>
      <c r="I6159" s="43">
        <v>12</v>
      </c>
      <c r="J6159" s="44" t="str">
        <f>VLOOKUP(G6159,[1]硬件清单!$F:$F,1,0)</f>
        <v>CNG230S9GV</v>
      </c>
      <c r="K6159" s="43"/>
      <c r="L6159" s="44"/>
      <c r="M6159" s="45" t="s">
        <v>18754</v>
      </c>
    </row>
    <row r="6160" s="29" customFormat="1" ht="30" customHeight="1" spans="1:13">
      <c r="A6160" s="41">
        <f>IF(C6160="","",SUBTOTAL(103,$C$2:C6160))</f>
        <v>6151</v>
      </c>
      <c r="B6160" s="41">
        <v>4914</v>
      </c>
      <c r="C6160" s="54">
        <v>6295</v>
      </c>
      <c r="D6160" s="54" t="s">
        <v>45</v>
      </c>
      <c r="E6160" s="54" t="s">
        <v>1298</v>
      </c>
      <c r="F6160" s="54" t="s">
        <v>7272</v>
      </c>
      <c r="G6160" s="54" t="s">
        <v>18755</v>
      </c>
      <c r="H6160" s="54" t="s">
        <v>18756</v>
      </c>
      <c r="I6160" s="43">
        <v>12</v>
      </c>
      <c r="J6160" s="44" t="str">
        <f>VLOOKUP(G6160,[1]硬件清单!$F:$F,1,0)</f>
        <v>CNG230S9K1</v>
      </c>
      <c r="K6160" s="43"/>
      <c r="L6160" s="44"/>
      <c r="M6160" s="45" t="s">
        <v>18757</v>
      </c>
    </row>
    <row r="6161" s="29" customFormat="1" ht="30" customHeight="1" spans="1:13">
      <c r="A6161" s="41">
        <f>IF(C6161="","",SUBTOTAL(103,$C$2:C6161))</f>
        <v>6152</v>
      </c>
      <c r="B6161" s="41">
        <v>4915</v>
      </c>
      <c r="C6161" s="54">
        <v>6296</v>
      </c>
      <c r="D6161" s="54" t="s">
        <v>45</v>
      </c>
      <c r="E6161" s="54" t="s">
        <v>1298</v>
      </c>
      <c r="F6161" s="54" t="s">
        <v>7272</v>
      </c>
      <c r="G6161" s="54" t="s">
        <v>18758</v>
      </c>
      <c r="H6161" s="54" t="s">
        <v>18759</v>
      </c>
      <c r="I6161" s="43">
        <v>12</v>
      </c>
      <c r="J6161" s="44" t="str">
        <f>VLOOKUP(G6161,[1]硬件清单!$F:$F,1,0)</f>
        <v>CNG230S9KT</v>
      </c>
      <c r="K6161" s="43"/>
      <c r="L6161" s="44"/>
      <c r="M6161" s="45" t="s">
        <v>18760</v>
      </c>
    </row>
    <row r="6162" s="29" customFormat="1" ht="30" customHeight="1" spans="1:13">
      <c r="A6162" s="41">
        <f>IF(C6162="","",SUBTOTAL(103,$C$2:C6162))</f>
        <v>6153</v>
      </c>
      <c r="B6162" s="41">
        <v>4916</v>
      </c>
      <c r="C6162" s="54">
        <v>8145</v>
      </c>
      <c r="D6162" s="54" t="s">
        <v>887</v>
      </c>
      <c r="E6162" s="54" t="s">
        <v>888</v>
      </c>
      <c r="F6162" s="54" t="s">
        <v>9629</v>
      </c>
      <c r="G6162" s="54" t="s">
        <v>18761</v>
      </c>
      <c r="H6162" s="54" t="s">
        <v>18762</v>
      </c>
      <c r="I6162" s="43">
        <v>12</v>
      </c>
      <c r="J6162" s="44" t="str">
        <f>VLOOKUP(G6162,[1]硬件清单!$F:$F,1,0)</f>
        <v>2C42144YDY</v>
      </c>
      <c r="K6162" s="43"/>
      <c r="L6162" s="44"/>
      <c r="M6162" s="45" t="s">
        <v>18763</v>
      </c>
    </row>
    <row r="6163" s="29" customFormat="1" ht="30" customHeight="1" spans="1:13">
      <c r="A6163" s="41">
        <f>IF(C6163="","",SUBTOTAL(103,$C$2:C6163))</f>
        <v>6154</v>
      </c>
      <c r="B6163" s="41">
        <v>4950</v>
      </c>
      <c r="C6163" s="54">
        <v>6398</v>
      </c>
      <c r="D6163" s="54" t="s">
        <v>45</v>
      </c>
      <c r="E6163" s="54" t="s">
        <v>1298</v>
      </c>
      <c r="F6163" s="54" t="s">
        <v>7734</v>
      </c>
      <c r="G6163" s="54" t="s">
        <v>18764</v>
      </c>
      <c r="H6163" s="54" t="s">
        <v>18765</v>
      </c>
      <c r="I6163" s="43">
        <v>12</v>
      </c>
      <c r="J6163" s="44" t="str">
        <f>VLOOKUP(G6163,[1]硬件清单!$F:$F,1,0)</f>
        <v>06ACPY6</v>
      </c>
      <c r="K6163" s="43"/>
      <c r="L6163" s="44"/>
      <c r="M6163" s="45" t="s">
        <v>18766</v>
      </c>
    </row>
    <row r="6164" s="29" customFormat="1" ht="30" customHeight="1" spans="1:13">
      <c r="A6164" s="41">
        <f>IF(C6164="","",SUBTOTAL(103,$C$2:C6164))</f>
        <v>6155</v>
      </c>
      <c r="B6164" s="41">
        <v>4952</v>
      </c>
      <c r="C6164" s="54">
        <v>6407</v>
      </c>
      <c r="D6164" s="54" t="s">
        <v>45</v>
      </c>
      <c r="E6164" s="54" t="s">
        <v>1298</v>
      </c>
      <c r="F6164" s="54" t="s">
        <v>7734</v>
      </c>
      <c r="G6164" s="54" t="s">
        <v>18767</v>
      </c>
      <c r="H6164" s="54" t="s">
        <v>18768</v>
      </c>
      <c r="I6164" s="43">
        <v>12</v>
      </c>
      <c r="J6164" s="44" t="str">
        <f>VLOOKUP(G6164,[1]硬件清单!$F:$F,1,0)</f>
        <v>06ACNN7</v>
      </c>
      <c r="K6164" s="43"/>
      <c r="L6164" s="44"/>
      <c r="M6164" s="45" t="s">
        <v>18769</v>
      </c>
    </row>
    <row r="6165" s="29" customFormat="1" ht="30" customHeight="1" spans="1:13">
      <c r="A6165" s="41">
        <f>IF(C6165="","",SUBTOTAL(103,$C$2:C6165))</f>
        <v>6156</v>
      </c>
      <c r="B6165" s="41">
        <v>4954</v>
      </c>
      <c r="C6165" s="54">
        <v>6408</v>
      </c>
      <c r="D6165" s="54" t="s">
        <v>45</v>
      </c>
      <c r="E6165" s="54" t="s">
        <v>1298</v>
      </c>
      <c r="F6165" s="54" t="s">
        <v>7734</v>
      </c>
      <c r="G6165" s="54" t="s">
        <v>18770</v>
      </c>
      <c r="H6165" s="54" t="s">
        <v>18771</v>
      </c>
      <c r="I6165" s="43">
        <v>12</v>
      </c>
      <c r="J6165" s="44" t="str">
        <f>VLOOKUP(G6165,[1]硬件清单!$F:$F,1,0)</f>
        <v>06ACNV9</v>
      </c>
      <c r="K6165" s="43"/>
      <c r="L6165" s="44"/>
      <c r="M6165" s="45" t="s">
        <v>18772</v>
      </c>
    </row>
    <row r="6166" s="29" customFormat="1" ht="30" customHeight="1" spans="1:13">
      <c r="A6166" s="41">
        <f>IF(C6166="","",SUBTOTAL(103,$C$2:C6166))</f>
        <v>6157</v>
      </c>
      <c r="B6166" s="41">
        <v>4956</v>
      </c>
      <c r="C6166" s="54">
        <v>6409</v>
      </c>
      <c r="D6166" s="54" t="s">
        <v>45</v>
      </c>
      <c r="E6166" s="54" t="s">
        <v>1298</v>
      </c>
      <c r="F6166" s="54" t="s">
        <v>7734</v>
      </c>
      <c r="G6166" s="54" t="s">
        <v>18773</v>
      </c>
      <c r="H6166" s="54" t="s">
        <v>18774</v>
      </c>
      <c r="I6166" s="43">
        <v>12</v>
      </c>
      <c r="J6166" s="44" t="str">
        <f>VLOOKUP(G6166,[1]硬件清单!$F:$F,1,0)</f>
        <v>06ACPM0</v>
      </c>
      <c r="K6166" s="43"/>
      <c r="L6166" s="44"/>
      <c r="M6166" s="45" t="s">
        <v>18775</v>
      </c>
    </row>
    <row r="6167" s="29" customFormat="1" ht="30" customHeight="1" spans="1:13">
      <c r="A6167" s="41">
        <f>IF(C6167="","",SUBTOTAL(103,$C$2:C6167))</f>
        <v>6158</v>
      </c>
      <c r="B6167" s="41">
        <v>4958</v>
      </c>
      <c r="C6167" s="54">
        <v>6410</v>
      </c>
      <c r="D6167" s="54" t="s">
        <v>45</v>
      </c>
      <c r="E6167" s="54" t="s">
        <v>1298</v>
      </c>
      <c r="F6167" s="54" t="s">
        <v>7734</v>
      </c>
      <c r="G6167" s="54" t="s">
        <v>18776</v>
      </c>
      <c r="H6167" s="54" t="s">
        <v>18777</v>
      </c>
      <c r="I6167" s="43">
        <v>12</v>
      </c>
      <c r="J6167" s="44" t="str">
        <f>VLOOKUP(G6167,[1]硬件清单!$F:$F,1,0)</f>
        <v>06ACPA3</v>
      </c>
      <c r="K6167" s="43"/>
      <c r="L6167" s="44"/>
      <c r="M6167" s="45" t="s">
        <v>18778</v>
      </c>
    </row>
    <row r="6168" s="29" customFormat="1" ht="30" customHeight="1" spans="1:13">
      <c r="A6168" s="41">
        <f>IF(C6168="","",SUBTOTAL(103,$C$2:C6168))</f>
        <v>6159</v>
      </c>
      <c r="B6168" s="41">
        <v>4960</v>
      </c>
      <c r="C6168" s="54">
        <v>6411</v>
      </c>
      <c r="D6168" s="54" t="s">
        <v>45</v>
      </c>
      <c r="E6168" s="54" t="s">
        <v>1298</v>
      </c>
      <c r="F6168" s="54" t="s">
        <v>7734</v>
      </c>
      <c r="G6168" s="54" t="s">
        <v>18779</v>
      </c>
      <c r="H6168" s="54" t="s">
        <v>18780</v>
      </c>
      <c r="I6168" s="43">
        <v>12</v>
      </c>
      <c r="J6168" s="44" t="str">
        <f>VLOOKUP(G6168,[1]硬件清单!$F:$F,1,0)</f>
        <v>06ACPG4</v>
      </c>
      <c r="K6168" s="43"/>
      <c r="L6168" s="44"/>
      <c r="M6168" s="45" t="s">
        <v>18781</v>
      </c>
    </row>
    <row r="6169" s="29" customFormat="1" ht="30" customHeight="1" spans="1:13">
      <c r="A6169" s="41">
        <f>IF(C6169="","",SUBTOTAL(103,$C$2:C6169))</f>
        <v>6160</v>
      </c>
      <c r="B6169" s="41">
        <v>4962</v>
      </c>
      <c r="C6169" s="54">
        <v>6399</v>
      </c>
      <c r="D6169" s="54" t="s">
        <v>45</v>
      </c>
      <c r="E6169" s="54" t="s">
        <v>1298</v>
      </c>
      <c r="F6169" s="54" t="s">
        <v>7734</v>
      </c>
      <c r="G6169" s="54" t="s">
        <v>18782</v>
      </c>
      <c r="H6169" s="54" t="s">
        <v>18783</v>
      </c>
      <c r="I6169" s="43">
        <v>12</v>
      </c>
      <c r="J6169" s="44" t="str">
        <f>VLOOKUP(G6169,[1]硬件清单!$F:$F,1,0)</f>
        <v>06ACPR5</v>
      </c>
      <c r="K6169" s="43"/>
      <c r="L6169" s="44"/>
      <c r="M6169" s="45" t="s">
        <v>18784</v>
      </c>
    </row>
    <row r="6170" s="29" customFormat="1" ht="30" customHeight="1" spans="1:13">
      <c r="A6170" s="41">
        <f>IF(C6170="","",SUBTOTAL(103,$C$2:C6170))</f>
        <v>6161</v>
      </c>
      <c r="B6170" s="41">
        <v>4964</v>
      </c>
      <c r="C6170" s="54">
        <v>6400</v>
      </c>
      <c r="D6170" s="54" t="s">
        <v>45</v>
      </c>
      <c r="E6170" s="54" t="s">
        <v>1298</v>
      </c>
      <c r="F6170" s="54" t="s">
        <v>7734</v>
      </c>
      <c r="G6170" s="54" t="s">
        <v>18785</v>
      </c>
      <c r="H6170" s="54" t="s">
        <v>18786</v>
      </c>
      <c r="I6170" s="43">
        <v>12</v>
      </c>
      <c r="J6170" s="44" t="str">
        <f>VLOOKUP(G6170,[1]硬件清单!$F:$F,1,0)</f>
        <v>06ACNZ8</v>
      </c>
      <c r="K6170" s="43"/>
      <c r="L6170" s="44"/>
      <c r="M6170" s="45" t="s">
        <v>18787</v>
      </c>
    </row>
    <row r="6171" s="29" customFormat="1" ht="30" customHeight="1" spans="1:13">
      <c r="A6171" s="41">
        <f>IF(C6171="","",SUBTOTAL(103,$C$2:C6171))</f>
        <v>6162</v>
      </c>
      <c r="B6171" s="41">
        <v>4966</v>
      </c>
      <c r="C6171" s="54">
        <v>6401</v>
      </c>
      <c r="D6171" s="54" t="s">
        <v>45</v>
      </c>
      <c r="E6171" s="54" t="s">
        <v>1298</v>
      </c>
      <c r="F6171" s="54" t="s">
        <v>7734</v>
      </c>
      <c r="G6171" s="54" t="s">
        <v>18788</v>
      </c>
      <c r="H6171" s="54" t="s">
        <v>18789</v>
      </c>
      <c r="I6171" s="43">
        <v>12</v>
      </c>
      <c r="J6171" s="44" t="str">
        <f>VLOOKUP(G6171,[1]硬件清单!$F:$F,1,0)</f>
        <v>06ACPA2</v>
      </c>
      <c r="K6171" s="43"/>
      <c r="L6171" s="44"/>
      <c r="M6171" s="45" t="s">
        <v>18790</v>
      </c>
    </row>
    <row r="6172" s="29" customFormat="1" ht="30" customHeight="1" spans="1:13">
      <c r="A6172" s="41">
        <f>IF(C6172="","",SUBTOTAL(103,$C$2:C6172))</f>
        <v>6163</v>
      </c>
      <c r="B6172" s="41">
        <v>4968</v>
      </c>
      <c r="C6172" s="54">
        <v>6402</v>
      </c>
      <c r="D6172" s="54" t="s">
        <v>45</v>
      </c>
      <c r="E6172" s="54" t="s">
        <v>1298</v>
      </c>
      <c r="F6172" s="54" t="s">
        <v>7734</v>
      </c>
      <c r="G6172" s="54" t="s">
        <v>18791</v>
      </c>
      <c r="H6172" s="54" t="s">
        <v>18792</v>
      </c>
      <c r="I6172" s="43">
        <v>12</v>
      </c>
      <c r="J6172" s="44" t="str">
        <f>VLOOKUP(G6172,[1]硬件清单!$F:$F,1,0)</f>
        <v>06ACPY8</v>
      </c>
      <c r="K6172" s="43"/>
      <c r="L6172" s="44"/>
      <c r="M6172" s="45" t="s">
        <v>18793</v>
      </c>
    </row>
    <row r="6173" s="29" customFormat="1" ht="30" customHeight="1" spans="1:13">
      <c r="A6173" s="41">
        <f>IF(C6173="","",SUBTOTAL(103,$C$2:C6173))</f>
        <v>6164</v>
      </c>
      <c r="B6173" s="41">
        <v>4970</v>
      </c>
      <c r="C6173" s="54">
        <v>6403</v>
      </c>
      <c r="D6173" s="54" t="s">
        <v>45</v>
      </c>
      <c r="E6173" s="54" t="s">
        <v>1298</v>
      </c>
      <c r="F6173" s="54" t="s">
        <v>7734</v>
      </c>
      <c r="G6173" s="54" t="s">
        <v>18794</v>
      </c>
      <c r="H6173" s="54" t="s">
        <v>18795</v>
      </c>
      <c r="I6173" s="43">
        <v>12</v>
      </c>
      <c r="J6173" s="44" t="str">
        <f>VLOOKUP(G6173,[1]硬件清单!$F:$F,1,0)</f>
        <v>06ACNT6</v>
      </c>
      <c r="K6173" s="43"/>
      <c r="L6173" s="44"/>
      <c r="M6173" s="45" t="s">
        <v>18796</v>
      </c>
    </row>
    <row r="6174" s="29" customFormat="1" ht="30" customHeight="1" spans="1:13">
      <c r="A6174" s="41">
        <f>IF(C6174="","",SUBTOTAL(103,$C$2:C6174))</f>
        <v>6165</v>
      </c>
      <c r="B6174" s="41">
        <v>4972</v>
      </c>
      <c r="C6174" s="54">
        <v>6404</v>
      </c>
      <c r="D6174" s="54" t="s">
        <v>45</v>
      </c>
      <c r="E6174" s="54" t="s">
        <v>1298</v>
      </c>
      <c r="F6174" s="54" t="s">
        <v>7734</v>
      </c>
      <c r="G6174" s="54" t="s">
        <v>18797</v>
      </c>
      <c r="H6174" s="54" t="s">
        <v>18798</v>
      </c>
      <c r="I6174" s="43">
        <v>12</v>
      </c>
      <c r="J6174" s="44" t="str">
        <f>VLOOKUP(G6174,[1]硬件清单!$F:$F,1,0)</f>
        <v>06ACNR9</v>
      </c>
      <c r="K6174" s="43"/>
      <c r="L6174" s="44"/>
      <c r="M6174" s="45" t="s">
        <v>18799</v>
      </c>
    </row>
    <row r="6175" s="29" customFormat="1" ht="30" customHeight="1" spans="1:13">
      <c r="A6175" s="41">
        <f>IF(C6175="","",SUBTOTAL(103,$C$2:C6175))</f>
        <v>6166</v>
      </c>
      <c r="B6175" s="41">
        <v>4974</v>
      </c>
      <c r="C6175" s="54">
        <v>6405</v>
      </c>
      <c r="D6175" s="54" t="s">
        <v>45</v>
      </c>
      <c r="E6175" s="54" t="s">
        <v>1298</v>
      </c>
      <c r="F6175" s="54" t="s">
        <v>7734</v>
      </c>
      <c r="G6175" s="54" t="s">
        <v>18800</v>
      </c>
      <c r="H6175" s="54" t="s">
        <v>18801</v>
      </c>
      <c r="I6175" s="43">
        <v>12</v>
      </c>
      <c r="J6175" s="44" t="str">
        <f>VLOOKUP(G6175,[1]硬件清单!$F:$F,1,0)</f>
        <v>06ACNX1</v>
      </c>
      <c r="K6175" s="43"/>
      <c r="L6175" s="44"/>
      <c r="M6175" s="45" t="s">
        <v>18802</v>
      </c>
    </row>
    <row r="6176" s="29" customFormat="1" ht="30" customHeight="1" spans="1:13">
      <c r="A6176" s="41">
        <f>IF(C6176="","",SUBTOTAL(103,$C$2:C6176))</f>
        <v>6167</v>
      </c>
      <c r="B6176" s="41">
        <v>4976</v>
      </c>
      <c r="C6176" s="54">
        <v>6406</v>
      </c>
      <c r="D6176" s="54" t="s">
        <v>45</v>
      </c>
      <c r="E6176" s="54" t="s">
        <v>1298</v>
      </c>
      <c r="F6176" s="54" t="s">
        <v>7734</v>
      </c>
      <c r="G6176" s="54" t="s">
        <v>18803</v>
      </c>
      <c r="H6176" s="54" t="s">
        <v>18804</v>
      </c>
      <c r="I6176" s="43">
        <v>12</v>
      </c>
      <c r="J6176" s="44" t="str">
        <f>VLOOKUP(G6176,[1]硬件清单!$F:$F,1,0)</f>
        <v>06ACNZ7</v>
      </c>
      <c r="K6176" s="43"/>
      <c r="L6176" s="44"/>
      <c r="M6176" s="45" t="s">
        <v>18805</v>
      </c>
    </row>
    <row r="6177" s="29" customFormat="1" ht="30" customHeight="1" spans="1:13">
      <c r="A6177" s="41">
        <f>IF(C6177="","",SUBTOTAL(103,$C$2:C6177))</f>
        <v>6168</v>
      </c>
      <c r="B6177" s="41">
        <v>4978</v>
      </c>
      <c r="C6177" s="54">
        <v>15786</v>
      </c>
      <c r="D6177" s="54" t="s">
        <v>45</v>
      </c>
      <c r="E6177" s="54" t="s">
        <v>1298</v>
      </c>
      <c r="F6177" s="54" t="s">
        <v>6965</v>
      </c>
      <c r="G6177" s="54" t="s">
        <v>18806</v>
      </c>
      <c r="H6177" s="54" t="s">
        <v>18807</v>
      </c>
      <c r="I6177" s="43">
        <v>12</v>
      </c>
      <c r="J6177" s="44" t="str">
        <f>VLOOKUP(G6177,[1]硬件清单!$F:$F,1,0)</f>
        <v>99C6575</v>
      </c>
      <c r="K6177" s="43"/>
      <c r="L6177" s="44"/>
      <c r="M6177" s="45" t="s">
        <v>18808</v>
      </c>
    </row>
    <row r="6178" s="29" customFormat="1" ht="30" customHeight="1" spans="1:13">
      <c r="A6178" s="41">
        <f>IF(C6178="","",SUBTOTAL(103,$C$2:C6178))</f>
        <v>6169</v>
      </c>
      <c r="B6178" s="41">
        <v>4979</v>
      </c>
      <c r="C6178" s="54">
        <v>7453</v>
      </c>
      <c r="D6178" s="54" t="s">
        <v>19</v>
      </c>
      <c r="E6178" s="54" t="s">
        <v>20</v>
      </c>
      <c r="F6178" s="54" t="s">
        <v>8893</v>
      </c>
      <c r="G6178" s="54" t="s">
        <v>18809</v>
      </c>
      <c r="H6178" s="54" t="s">
        <v>18810</v>
      </c>
      <c r="I6178" s="43">
        <v>12</v>
      </c>
      <c r="J6178" s="44" t="str">
        <f>VLOOKUP(G6178,[1]硬件清单!$F:$F,1,0)</f>
        <v>210235A0HAH14A000035</v>
      </c>
      <c r="K6178" s="43"/>
      <c r="L6178" s="44"/>
      <c r="M6178" s="45" t="s">
        <v>18811</v>
      </c>
    </row>
    <row r="6179" s="29" customFormat="1" ht="30" customHeight="1" spans="1:13">
      <c r="A6179" s="41">
        <f>IF(C6179="","",SUBTOTAL(103,$C$2:C6179))</f>
        <v>6170</v>
      </c>
      <c r="B6179" s="41">
        <v>4980</v>
      </c>
      <c r="C6179" s="54">
        <v>7452</v>
      </c>
      <c r="D6179" s="54" t="s">
        <v>19</v>
      </c>
      <c r="E6179" s="54" t="s">
        <v>20</v>
      </c>
      <c r="F6179" s="54" t="s">
        <v>8893</v>
      </c>
      <c r="G6179" s="54" t="s">
        <v>18812</v>
      </c>
      <c r="H6179" s="54" t="s">
        <v>18813</v>
      </c>
      <c r="I6179" s="43">
        <v>12</v>
      </c>
      <c r="J6179" s="44" t="str">
        <f>VLOOKUP(G6179,[1]硬件清单!$F:$F,1,0)</f>
        <v>210235A0HAH14A000182</v>
      </c>
      <c r="K6179" s="43"/>
      <c r="L6179" s="44"/>
      <c r="M6179" s="45" t="s">
        <v>18814</v>
      </c>
    </row>
    <row r="6180" s="29" customFormat="1" ht="30" customHeight="1" spans="1:13">
      <c r="A6180" s="41">
        <f>IF(C6180="","",SUBTOTAL(103,$C$2:C6180))</f>
        <v>6171</v>
      </c>
      <c r="B6180" s="41">
        <v>4981</v>
      </c>
      <c r="C6180" s="54">
        <v>17198</v>
      </c>
      <c r="D6180" s="54" t="s">
        <v>19</v>
      </c>
      <c r="E6180" s="54" t="s">
        <v>20</v>
      </c>
      <c r="F6180" s="54" t="s">
        <v>18422</v>
      </c>
      <c r="G6180" s="54" t="s">
        <v>18815</v>
      </c>
      <c r="H6180" s="54" t="s">
        <v>18816</v>
      </c>
      <c r="I6180" s="43">
        <v>12</v>
      </c>
      <c r="J6180" s="44" t="str">
        <f>VLOOKUP(G6180,[1]硬件清单!$F:$F,1,0)</f>
        <v>210235A24WH113000385</v>
      </c>
      <c r="K6180" s="43"/>
      <c r="L6180" s="44"/>
      <c r="M6180" s="45" t="s">
        <v>18817</v>
      </c>
    </row>
    <row r="6181" s="29" customFormat="1" ht="30" customHeight="1" spans="1:13">
      <c r="A6181" s="41">
        <f>IF(C6181="","",SUBTOTAL(103,$C$2:C6181))</f>
        <v>6172</v>
      </c>
      <c r="B6181" s="41">
        <v>4982</v>
      </c>
      <c r="C6181" s="54">
        <v>17176</v>
      </c>
      <c r="D6181" s="54" t="s">
        <v>19</v>
      </c>
      <c r="E6181" s="54" t="s">
        <v>20</v>
      </c>
      <c r="F6181" s="54" t="s">
        <v>18818</v>
      </c>
      <c r="G6181" s="54" t="s">
        <v>18819</v>
      </c>
      <c r="H6181" s="54" t="s">
        <v>18820</v>
      </c>
      <c r="I6181" s="43">
        <v>12</v>
      </c>
      <c r="J6181" s="44" t="str">
        <f>VLOOKUP(G6181,[1]硬件清单!$F:$F,1,0)</f>
        <v>210235A24WH113000059</v>
      </c>
      <c r="K6181" s="43"/>
      <c r="L6181" s="44"/>
      <c r="M6181" s="45" t="s">
        <v>18821</v>
      </c>
    </row>
    <row r="6182" s="29" customFormat="1" ht="30" customHeight="1" spans="1:13">
      <c r="A6182" s="41">
        <f>IF(C6182="","",SUBTOTAL(103,$C$2:C6182))</f>
        <v>6173</v>
      </c>
      <c r="B6182" s="41">
        <v>4983</v>
      </c>
      <c r="C6182" s="55">
        <v>17175</v>
      </c>
      <c r="D6182" s="55" t="s">
        <v>19</v>
      </c>
      <c r="E6182" s="55" t="s">
        <v>20</v>
      </c>
      <c r="F6182" s="55" t="s">
        <v>18818</v>
      </c>
      <c r="G6182" s="54" t="s">
        <v>18822</v>
      </c>
      <c r="H6182" s="54" t="s">
        <v>18823</v>
      </c>
      <c r="I6182" s="43">
        <v>12</v>
      </c>
      <c r="J6182" s="44" t="str">
        <f>VLOOKUP(G6182,[1]硬件清单!$F:$F,1,0)</f>
        <v>210235A24WH113000158</v>
      </c>
      <c r="K6182" s="43"/>
      <c r="L6182" s="44"/>
      <c r="M6182" s="45" t="s">
        <v>18824</v>
      </c>
    </row>
    <row r="6183" s="29" customFormat="1" ht="30" customHeight="1" spans="1:13">
      <c r="A6183" s="41">
        <f>IF(C6183="","",SUBTOTAL(103,$C$2:C6183))</f>
        <v>6174</v>
      </c>
      <c r="B6183" s="41">
        <v>4984</v>
      </c>
      <c r="C6183" s="54">
        <v>17199</v>
      </c>
      <c r="D6183" s="54" t="s">
        <v>19</v>
      </c>
      <c r="E6183" s="54" t="s">
        <v>20</v>
      </c>
      <c r="F6183" s="54" t="s">
        <v>18422</v>
      </c>
      <c r="G6183" s="54" t="s">
        <v>18825</v>
      </c>
      <c r="H6183" s="54" t="s">
        <v>18826</v>
      </c>
      <c r="I6183" s="43">
        <v>12</v>
      </c>
      <c r="J6183" s="44" t="str">
        <f>VLOOKUP(G6183,[1]硬件清单!$F:$F,1,0)</f>
        <v>210235A24WH113000512</v>
      </c>
      <c r="K6183" s="43"/>
      <c r="L6183" s="44"/>
      <c r="M6183" s="45" t="s">
        <v>18827</v>
      </c>
    </row>
    <row r="6184" s="29" customFormat="1" ht="30" customHeight="1" spans="1:13">
      <c r="A6184" s="41">
        <f>IF(C6184="","",SUBTOTAL(103,$C$2:C6184))</f>
        <v>6175</v>
      </c>
      <c r="B6184" s="41">
        <v>4985</v>
      </c>
      <c r="C6184" s="55">
        <v>17128</v>
      </c>
      <c r="D6184" s="55" t="s">
        <v>19</v>
      </c>
      <c r="E6184" s="55" t="s">
        <v>113</v>
      </c>
      <c r="F6184" s="55" t="s">
        <v>18828</v>
      </c>
      <c r="G6184" s="54" t="s">
        <v>18829</v>
      </c>
      <c r="H6184" s="54" t="s">
        <v>18830</v>
      </c>
      <c r="I6184" s="43">
        <v>12</v>
      </c>
      <c r="J6184" s="44" t="str">
        <f>VLOOKUP(G6184,[1]硬件清单!$F:$F,1,0)</f>
        <v>2102312066N04B000063</v>
      </c>
      <c r="K6184" s="43"/>
      <c r="L6184" s="44"/>
      <c r="M6184" s="45" t="s">
        <v>18831</v>
      </c>
    </row>
    <row r="6185" s="29" customFormat="1" ht="30" customHeight="1" spans="1:13">
      <c r="A6185" s="41">
        <f>IF(C6185="","",SUBTOTAL(103,$C$2:C6185))</f>
        <v>6176</v>
      </c>
      <c r="B6185" s="41">
        <v>4986</v>
      </c>
      <c r="C6185" s="54">
        <v>15431</v>
      </c>
      <c r="D6185" s="54" t="s">
        <v>45</v>
      </c>
      <c r="E6185" s="54" t="s">
        <v>246</v>
      </c>
      <c r="F6185" s="54" t="s">
        <v>18832</v>
      </c>
      <c r="G6185" s="54" t="s">
        <v>18833</v>
      </c>
      <c r="H6185" s="54" t="s">
        <v>18834</v>
      </c>
      <c r="I6185" s="43">
        <v>12</v>
      </c>
      <c r="J6185" s="44" t="str">
        <f>VLOOKUP(G6185,[1]硬件清单!$F:$F,1,0)</f>
        <v>06C39CA</v>
      </c>
      <c r="K6185" s="43"/>
      <c r="L6185" s="44"/>
      <c r="M6185" s="45" t="s">
        <v>18835</v>
      </c>
    </row>
    <row r="6186" s="29" customFormat="1" ht="30" customHeight="1" spans="1:13">
      <c r="A6186" s="41">
        <f>IF(C6186="","",SUBTOTAL(103,$C$2:C6186))</f>
        <v>6177</v>
      </c>
      <c r="B6186" s="41">
        <v>4987</v>
      </c>
      <c r="C6186" s="54">
        <v>15440</v>
      </c>
      <c r="D6186" s="54" t="s">
        <v>45</v>
      </c>
      <c r="E6186" s="54" t="s">
        <v>246</v>
      </c>
      <c r="F6186" s="54" t="s">
        <v>18832</v>
      </c>
      <c r="G6186" s="54" t="s">
        <v>18836</v>
      </c>
      <c r="H6186" s="54" t="s">
        <v>18837</v>
      </c>
      <c r="I6186" s="43">
        <v>12</v>
      </c>
      <c r="J6186" s="44" t="str">
        <f>VLOOKUP(G6186,[1]硬件清单!$F:$F,1,0)</f>
        <v>06C3D0A</v>
      </c>
      <c r="K6186" s="43"/>
      <c r="L6186" s="44"/>
      <c r="M6186" s="45" t="s">
        <v>18838</v>
      </c>
    </row>
    <row r="6187" s="29" customFormat="1" ht="30" customHeight="1" spans="1:13">
      <c r="A6187" s="41">
        <f>IF(C6187="","",SUBTOTAL(103,$C$2:C6187))</f>
        <v>6178</v>
      </c>
      <c r="B6187" s="41">
        <v>4988</v>
      </c>
      <c r="C6187" s="54">
        <v>15441</v>
      </c>
      <c r="D6187" s="54" t="s">
        <v>45</v>
      </c>
      <c r="E6187" s="54" t="s">
        <v>246</v>
      </c>
      <c r="F6187" s="54" t="s">
        <v>18832</v>
      </c>
      <c r="G6187" s="54" t="s">
        <v>18839</v>
      </c>
      <c r="H6187" s="54" t="s">
        <v>18840</v>
      </c>
      <c r="I6187" s="43">
        <v>12</v>
      </c>
      <c r="J6187" s="44" t="str">
        <f>VLOOKUP(G6187,[1]硬件清单!$F:$F,1,0)</f>
        <v>06C399A</v>
      </c>
      <c r="K6187" s="43"/>
      <c r="L6187" s="44"/>
      <c r="M6187" s="45" t="s">
        <v>18841</v>
      </c>
    </row>
    <row r="6188" s="29" customFormat="1" ht="30" customHeight="1" spans="1:13">
      <c r="A6188" s="41">
        <f>IF(C6188="","",SUBTOTAL(103,$C$2:C6188))</f>
        <v>6179</v>
      </c>
      <c r="B6188" s="41">
        <v>4989</v>
      </c>
      <c r="C6188" s="54">
        <v>15442</v>
      </c>
      <c r="D6188" s="54" t="s">
        <v>45</v>
      </c>
      <c r="E6188" s="54" t="s">
        <v>246</v>
      </c>
      <c r="F6188" s="54" t="s">
        <v>18832</v>
      </c>
      <c r="G6188" s="54" t="s">
        <v>18842</v>
      </c>
      <c r="H6188" s="54" t="s">
        <v>18843</v>
      </c>
      <c r="I6188" s="43">
        <v>12</v>
      </c>
      <c r="J6188" s="44" t="str">
        <f>VLOOKUP(G6188,[1]硬件清单!$F:$F,1,0)</f>
        <v>06C39AA</v>
      </c>
      <c r="K6188" s="43"/>
      <c r="L6188" s="44"/>
      <c r="M6188" s="45" t="s">
        <v>18844</v>
      </c>
    </row>
    <row r="6189" s="29" customFormat="1" ht="30" customHeight="1" spans="1:13">
      <c r="A6189" s="41">
        <f>IF(C6189="","",SUBTOTAL(103,$C$2:C6189))</f>
        <v>6180</v>
      </c>
      <c r="B6189" s="41">
        <v>4990</v>
      </c>
      <c r="C6189" s="54">
        <v>15443</v>
      </c>
      <c r="D6189" s="54" t="s">
        <v>45</v>
      </c>
      <c r="E6189" s="54" t="s">
        <v>246</v>
      </c>
      <c r="F6189" s="54" t="s">
        <v>18832</v>
      </c>
      <c r="G6189" s="54" t="s">
        <v>18845</v>
      </c>
      <c r="H6189" s="54" t="s">
        <v>18846</v>
      </c>
      <c r="I6189" s="43">
        <v>12</v>
      </c>
      <c r="J6189" s="44" t="str">
        <f>VLOOKUP(G6189,[1]硬件清单!$F:$F,1,0)</f>
        <v>06C38DA</v>
      </c>
      <c r="K6189" s="43"/>
      <c r="L6189" s="44"/>
      <c r="M6189" s="45" t="s">
        <v>18847</v>
      </c>
    </row>
    <row r="6190" s="29" customFormat="1" ht="30" customHeight="1" spans="1:13">
      <c r="A6190" s="41">
        <f>IF(C6190="","",SUBTOTAL(103,$C$2:C6190))</f>
        <v>6181</v>
      </c>
      <c r="B6190" s="41">
        <v>4991</v>
      </c>
      <c r="C6190" s="54">
        <v>15444</v>
      </c>
      <c r="D6190" s="54" t="s">
        <v>45</v>
      </c>
      <c r="E6190" s="54" t="s">
        <v>246</v>
      </c>
      <c r="F6190" s="54" t="s">
        <v>18832</v>
      </c>
      <c r="G6190" s="54" t="s">
        <v>18848</v>
      </c>
      <c r="H6190" s="54" t="s">
        <v>18849</v>
      </c>
      <c r="I6190" s="43">
        <v>12</v>
      </c>
      <c r="J6190" s="44" t="str">
        <f>VLOOKUP(G6190,[1]硬件清单!$F:$F,1,0)</f>
        <v>06C38BA</v>
      </c>
      <c r="K6190" s="43"/>
      <c r="L6190" s="44"/>
      <c r="M6190" s="45" t="s">
        <v>18850</v>
      </c>
    </row>
    <row r="6191" s="29" customFormat="1" ht="30" customHeight="1" spans="1:13">
      <c r="A6191" s="41">
        <f>IF(C6191="","",SUBTOTAL(103,$C$2:C6191))</f>
        <v>6182</v>
      </c>
      <c r="B6191" s="41">
        <v>4992</v>
      </c>
      <c r="C6191" s="54">
        <v>15432</v>
      </c>
      <c r="D6191" s="54" t="s">
        <v>45</v>
      </c>
      <c r="E6191" s="54" t="s">
        <v>246</v>
      </c>
      <c r="F6191" s="54" t="s">
        <v>18832</v>
      </c>
      <c r="G6191" s="54" t="s">
        <v>18851</v>
      </c>
      <c r="H6191" s="54" t="s">
        <v>18852</v>
      </c>
      <c r="I6191" s="43">
        <v>12</v>
      </c>
      <c r="J6191" s="44" t="str">
        <f>VLOOKUP(G6191,[1]硬件清单!$F:$F,1,0)</f>
        <v>06C396A</v>
      </c>
      <c r="K6191" s="43"/>
      <c r="L6191" s="44"/>
      <c r="M6191" s="45" t="s">
        <v>18853</v>
      </c>
    </row>
    <row r="6192" s="29" customFormat="1" ht="30" customHeight="1" spans="1:13">
      <c r="A6192" s="41">
        <f>IF(C6192="","",SUBTOTAL(103,$C$2:C6192))</f>
        <v>6183</v>
      </c>
      <c r="B6192" s="41">
        <v>4993</v>
      </c>
      <c r="C6192" s="54">
        <v>15433</v>
      </c>
      <c r="D6192" s="54" t="s">
        <v>45</v>
      </c>
      <c r="E6192" s="54" t="s">
        <v>246</v>
      </c>
      <c r="F6192" s="54" t="s">
        <v>18832</v>
      </c>
      <c r="G6192" s="54" t="s">
        <v>18854</v>
      </c>
      <c r="H6192" s="54" t="s">
        <v>18855</v>
      </c>
      <c r="I6192" s="43">
        <v>12</v>
      </c>
      <c r="J6192" s="44" t="str">
        <f>VLOOKUP(G6192,[1]硬件清单!$F:$F,1,0)</f>
        <v>06C38AA</v>
      </c>
      <c r="K6192" s="43"/>
      <c r="L6192" s="44"/>
      <c r="M6192" s="45" t="s">
        <v>18856</v>
      </c>
    </row>
    <row r="6193" s="29" customFormat="1" ht="30" customHeight="1" spans="1:13">
      <c r="A6193" s="41">
        <f>IF(C6193="","",SUBTOTAL(103,$C$2:C6193))</f>
        <v>6184</v>
      </c>
      <c r="B6193" s="41">
        <v>4994</v>
      </c>
      <c r="C6193" s="54">
        <v>15434</v>
      </c>
      <c r="D6193" s="54" t="s">
        <v>45</v>
      </c>
      <c r="E6193" s="54" t="s">
        <v>246</v>
      </c>
      <c r="F6193" s="54" t="s">
        <v>18832</v>
      </c>
      <c r="G6193" s="54" t="s">
        <v>18857</v>
      </c>
      <c r="H6193" s="54" t="s">
        <v>18858</v>
      </c>
      <c r="I6193" s="43">
        <v>12</v>
      </c>
      <c r="J6193" s="44" t="str">
        <f>VLOOKUP(G6193,[1]硬件清单!$F:$F,1,0)</f>
        <v>06C393A</v>
      </c>
      <c r="K6193" s="43"/>
      <c r="L6193" s="44"/>
      <c r="M6193" s="45" t="s">
        <v>18859</v>
      </c>
    </row>
    <row r="6194" s="29" customFormat="1" ht="30" customHeight="1" spans="1:13">
      <c r="A6194" s="41">
        <f>IF(C6194="","",SUBTOTAL(103,$C$2:C6194))</f>
        <v>6185</v>
      </c>
      <c r="B6194" s="41">
        <v>4995</v>
      </c>
      <c r="C6194" s="54">
        <v>15435</v>
      </c>
      <c r="D6194" s="54" t="s">
        <v>45</v>
      </c>
      <c r="E6194" s="54" t="s">
        <v>246</v>
      </c>
      <c r="F6194" s="54" t="s">
        <v>18832</v>
      </c>
      <c r="G6194" s="54" t="s">
        <v>18860</v>
      </c>
      <c r="H6194" s="54" t="s">
        <v>18861</v>
      </c>
      <c r="I6194" s="43">
        <v>12</v>
      </c>
      <c r="J6194" s="44" t="str">
        <f>VLOOKUP(G6194,[1]硬件清单!$F:$F,1,0)</f>
        <v>06C3F0A</v>
      </c>
      <c r="K6194" s="43"/>
      <c r="L6194" s="44"/>
      <c r="M6194" s="45" t="s">
        <v>18862</v>
      </c>
    </row>
    <row r="6195" s="29" customFormat="1" ht="30" customHeight="1" spans="1:13">
      <c r="A6195" s="41">
        <f>IF(C6195="","",SUBTOTAL(103,$C$2:C6195))</f>
        <v>6186</v>
      </c>
      <c r="B6195" s="41">
        <v>4996</v>
      </c>
      <c r="C6195" s="54">
        <v>15436</v>
      </c>
      <c r="D6195" s="54" t="s">
        <v>45</v>
      </c>
      <c r="E6195" s="54" t="s">
        <v>246</v>
      </c>
      <c r="F6195" s="54" t="s">
        <v>18832</v>
      </c>
      <c r="G6195" s="54" t="s">
        <v>18863</v>
      </c>
      <c r="H6195" s="54" t="s">
        <v>18864</v>
      </c>
      <c r="I6195" s="43">
        <v>12</v>
      </c>
      <c r="J6195" s="44" t="str">
        <f>VLOOKUP(G6195,[1]硬件清单!$F:$F,1,0)</f>
        <v>06C394A</v>
      </c>
      <c r="K6195" s="43"/>
      <c r="L6195" s="44"/>
      <c r="M6195" s="45" t="s">
        <v>18865</v>
      </c>
    </row>
    <row r="6196" s="29" customFormat="1" ht="30" customHeight="1" spans="1:13">
      <c r="A6196" s="41">
        <f>IF(C6196="","",SUBTOTAL(103,$C$2:C6196))</f>
        <v>6187</v>
      </c>
      <c r="B6196" s="41">
        <v>4997</v>
      </c>
      <c r="C6196" s="54">
        <v>15437</v>
      </c>
      <c r="D6196" s="54" t="s">
        <v>45</v>
      </c>
      <c r="E6196" s="54" t="s">
        <v>246</v>
      </c>
      <c r="F6196" s="54" t="s">
        <v>18832</v>
      </c>
      <c r="G6196" s="54" t="s">
        <v>18866</v>
      </c>
      <c r="H6196" s="54" t="s">
        <v>18867</v>
      </c>
      <c r="I6196" s="43">
        <v>12</v>
      </c>
      <c r="J6196" s="44" t="str">
        <f>VLOOKUP(G6196,[1]硬件清单!$F:$F,1,0)</f>
        <v>06C39DA</v>
      </c>
      <c r="K6196" s="43"/>
      <c r="L6196" s="44"/>
      <c r="M6196" s="45" t="s">
        <v>18868</v>
      </c>
    </row>
    <row r="6197" s="29" customFormat="1" ht="30" customHeight="1" spans="1:13">
      <c r="A6197" s="41">
        <f>IF(C6197="","",SUBTOTAL(103,$C$2:C6197))</f>
        <v>6188</v>
      </c>
      <c r="B6197" s="41">
        <v>4998</v>
      </c>
      <c r="C6197" s="54">
        <v>15438</v>
      </c>
      <c r="D6197" s="54" t="s">
        <v>45</v>
      </c>
      <c r="E6197" s="54" t="s">
        <v>246</v>
      </c>
      <c r="F6197" s="54" t="s">
        <v>18832</v>
      </c>
      <c r="G6197" s="54" t="s">
        <v>18869</v>
      </c>
      <c r="H6197" s="54" t="s">
        <v>18870</v>
      </c>
      <c r="I6197" s="43">
        <v>12</v>
      </c>
      <c r="J6197" s="44" t="str">
        <f>VLOOKUP(G6197,[1]硬件清单!$F:$F,1,0)</f>
        <v>06C3C5A</v>
      </c>
      <c r="K6197" s="43"/>
      <c r="L6197" s="44"/>
      <c r="M6197" s="45" t="s">
        <v>18871</v>
      </c>
    </row>
    <row r="6198" s="29" customFormat="1" ht="30" customHeight="1" spans="1:13">
      <c r="A6198" s="41">
        <f>IF(C6198="","",SUBTOTAL(103,$C$2:C6198))</f>
        <v>6189</v>
      </c>
      <c r="B6198" s="41">
        <v>4999</v>
      </c>
      <c r="C6198" s="54">
        <v>15439</v>
      </c>
      <c r="D6198" s="54" t="s">
        <v>45</v>
      </c>
      <c r="E6198" s="54" t="s">
        <v>246</v>
      </c>
      <c r="F6198" s="54" t="s">
        <v>18832</v>
      </c>
      <c r="G6198" s="54" t="s">
        <v>18872</v>
      </c>
      <c r="H6198" s="54" t="s">
        <v>18873</v>
      </c>
      <c r="I6198" s="43">
        <v>12</v>
      </c>
      <c r="J6198" s="44" t="str">
        <f>VLOOKUP(G6198,[1]硬件清单!$F:$F,1,0)</f>
        <v>06C39EA</v>
      </c>
      <c r="K6198" s="43"/>
      <c r="L6198" s="44"/>
      <c r="M6198" s="45" t="s">
        <v>18874</v>
      </c>
    </row>
    <row r="6199" s="29" customFormat="1" ht="30" customHeight="1" spans="1:13">
      <c r="A6199" s="41">
        <f>IF(C6199="","",SUBTOTAL(103,$C$2:C6199))</f>
        <v>6190</v>
      </c>
      <c r="B6199" s="41">
        <v>5000</v>
      </c>
      <c r="C6199" s="54">
        <v>16600</v>
      </c>
      <c r="D6199" s="54" t="s">
        <v>161</v>
      </c>
      <c r="E6199" s="54" t="s">
        <v>18875</v>
      </c>
      <c r="F6199" s="54" t="s">
        <v>18876</v>
      </c>
      <c r="G6199" s="54" t="s">
        <v>18877</v>
      </c>
      <c r="H6199" s="54" t="s">
        <v>18878</v>
      </c>
      <c r="I6199" s="43">
        <v>12</v>
      </c>
      <c r="J6199" s="44" t="str">
        <f>VLOOKUP(G6199,[1]硬件清单!$F:$F,1,0)</f>
        <v>1FZ0415007</v>
      </c>
      <c r="K6199" s="43"/>
      <c r="L6199" s="44"/>
      <c r="M6199" s="45" t="s">
        <v>18879</v>
      </c>
    </row>
    <row r="6200" s="29" customFormat="1" ht="30" customHeight="1" spans="1:13">
      <c r="A6200" s="41">
        <f>IF(C6200="","",SUBTOTAL(103,$C$2:C6200))</f>
        <v>6191</v>
      </c>
      <c r="B6200" s="41">
        <v>5001</v>
      </c>
      <c r="C6200" s="54">
        <v>15843</v>
      </c>
      <c r="D6200" s="54" t="s">
        <v>45</v>
      </c>
      <c r="E6200" s="54" t="s">
        <v>1298</v>
      </c>
      <c r="F6200" s="54" t="s">
        <v>18880</v>
      </c>
      <c r="G6200" s="54" t="s">
        <v>18881</v>
      </c>
      <c r="H6200" s="54" t="s">
        <v>18882</v>
      </c>
      <c r="I6200" s="43">
        <v>12</v>
      </c>
      <c r="J6200" s="44" t="str">
        <f>VLOOKUP(G6200,[1]硬件清单!$F:$F,1,0)</f>
        <v>99E3618</v>
      </c>
      <c r="K6200" s="43"/>
      <c r="L6200" s="44"/>
      <c r="M6200" s="45" t="s">
        <v>18883</v>
      </c>
    </row>
    <row r="6201" s="29" customFormat="1" ht="30" customHeight="1" spans="1:13">
      <c r="A6201" s="41">
        <f>IF(C6201="","",SUBTOTAL(103,$C$2:C6201))</f>
        <v>6192</v>
      </c>
      <c r="B6201" s="41">
        <v>5002</v>
      </c>
      <c r="C6201" s="54">
        <v>15835</v>
      </c>
      <c r="D6201" s="54" t="s">
        <v>45</v>
      </c>
      <c r="E6201" s="54" t="s">
        <v>1298</v>
      </c>
      <c r="F6201" s="54" t="s">
        <v>6424</v>
      </c>
      <c r="G6201" s="54" t="s">
        <v>18884</v>
      </c>
      <c r="H6201" s="54" t="s">
        <v>18885</v>
      </c>
      <c r="I6201" s="43">
        <v>12</v>
      </c>
      <c r="J6201" s="44" t="str">
        <f>VLOOKUP(G6201,[1]硬件清单!$F:$F,1,0)</f>
        <v>06YW847</v>
      </c>
      <c r="K6201" s="43"/>
      <c r="L6201" s="44"/>
      <c r="M6201" s="45" t="s">
        <v>18886</v>
      </c>
    </row>
    <row r="6202" s="29" customFormat="1" ht="30" customHeight="1" spans="1:13">
      <c r="A6202" s="41">
        <f>IF(C6202="","",SUBTOTAL(103,$C$2:C6202))</f>
        <v>6193</v>
      </c>
      <c r="B6202" s="41">
        <v>5003</v>
      </c>
      <c r="C6202" s="54">
        <v>15836</v>
      </c>
      <c r="D6202" s="54" t="s">
        <v>45</v>
      </c>
      <c r="E6202" s="54" t="s">
        <v>1298</v>
      </c>
      <c r="F6202" s="54" t="s">
        <v>6424</v>
      </c>
      <c r="G6202" s="54" t="s">
        <v>18887</v>
      </c>
      <c r="H6202" s="54" t="s">
        <v>18888</v>
      </c>
      <c r="I6202" s="43">
        <v>12</v>
      </c>
      <c r="J6202" s="44" t="str">
        <f>VLOOKUP(G6202,[1]硬件清单!$F:$F,1,0)</f>
        <v>06YW879</v>
      </c>
      <c r="K6202" s="43"/>
      <c r="L6202" s="44"/>
      <c r="M6202" s="45" t="s">
        <v>18889</v>
      </c>
    </row>
    <row r="6203" s="29" customFormat="1" ht="30" customHeight="1" spans="1:13">
      <c r="A6203" s="41">
        <f>IF(C6203="","",SUBTOTAL(103,$C$2:C6203))</f>
        <v>6194</v>
      </c>
      <c r="B6203" s="41">
        <v>5004</v>
      </c>
      <c r="C6203" s="54">
        <v>15845</v>
      </c>
      <c r="D6203" s="54" t="s">
        <v>45</v>
      </c>
      <c r="E6203" s="54" t="s">
        <v>1298</v>
      </c>
      <c r="F6203" s="54" t="s">
        <v>18880</v>
      </c>
      <c r="G6203" s="54" t="s">
        <v>18890</v>
      </c>
      <c r="H6203" s="54" t="s">
        <v>18891</v>
      </c>
      <c r="I6203" s="43">
        <v>12</v>
      </c>
      <c r="J6203" s="44" t="str">
        <f>VLOOKUP(G6203,[1]硬件清单!$F:$F,1,0)</f>
        <v>99E3623</v>
      </c>
      <c r="K6203" s="43"/>
      <c r="L6203" s="44"/>
      <c r="M6203" s="45" t="s">
        <v>18892</v>
      </c>
    </row>
    <row r="6204" s="29" customFormat="1" ht="30" customHeight="1" spans="1:13">
      <c r="A6204" s="41">
        <f>IF(C6204="","",SUBTOTAL(103,$C$2:C6204))</f>
        <v>6195</v>
      </c>
      <c r="B6204" s="41">
        <v>5005</v>
      </c>
      <c r="C6204" s="54">
        <v>15797</v>
      </c>
      <c r="D6204" s="54" t="s">
        <v>45</v>
      </c>
      <c r="E6204" s="54" t="s">
        <v>1298</v>
      </c>
      <c r="F6204" s="54" t="s">
        <v>6424</v>
      </c>
      <c r="G6204" s="54" t="s">
        <v>18893</v>
      </c>
      <c r="H6204" s="54" t="s">
        <v>18894</v>
      </c>
      <c r="I6204" s="43">
        <v>12</v>
      </c>
      <c r="J6204" s="44" t="str">
        <f>VLOOKUP(G6204,[1]硬件清单!$F:$F,1,0)</f>
        <v>06YW867</v>
      </c>
      <c r="K6204" s="43"/>
      <c r="L6204" s="44"/>
      <c r="M6204" s="45" t="s">
        <v>18895</v>
      </c>
    </row>
    <row r="6205" s="29" customFormat="1" ht="30" customHeight="1" spans="1:13">
      <c r="A6205" s="41">
        <f>IF(C6205="","",SUBTOTAL(103,$C$2:C6205))</f>
        <v>6196</v>
      </c>
      <c r="B6205" s="41">
        <v>5006</v>
      </c>
      <c r="C6205" s="54">
        <v>15806</v>
      </c>
      <c r="D6205" s="54" t="s">
        <v>45</v>
      </c>
      <c r="E6205" s="54" t="s">
        <v>1298</v>
      </c>
      <c r="F6205" s="54" t="s">
        <v>6424</v>
      </c>
      <c r="G6205" s="54" t="s">
        <v>18896</v>
      </c>
      <c r="H6205" s="54" t="s">
        <v>18897</v>
      </c>
      <c r="I6205" s="43">
        <v>12</v>
      </c>
      <c r="J6205" s="44" t="str">
        <f>VLOOKUP(G6205,[1]硬件清单!$F:$F,1,0)</f>
        <v>06YW872</v>
      </c>
      <c r="K6205" s="43"/>
      <c r="L6205" s="44"/>
      <c r="M6205" s="45" t="s">
        <v>18898</v>
      </c>
    </row>
    <row r="6206" s="29" customFormat="1" ht="30" customHeight="1" spans="1:13">
      <c r="A6206" s="41">
        <f>IF(C6206="","",SUBTOTAL(103,$C$2:C6206))</f>
        <v>6197</v>
      </c>
      <c r="B6206" s="41">
        <v>5007</v>
      </c>
      <c r="C6206" s="54">
        <v>15807</v>
      </c>
      <c r="D6206" s="54" t="s">
        <v>45</v>
      </c>
      <c r="E6206" s="54" t="s">
        <v>1298</v>
      </c>
      <c r="F6206" s="54" t="s">
        <v>6424</v>
      </c>
      <c r="G6206" s="54" t="s">
        <v>18899</v>
      </c>
      <c r="H6206" s="54" t="s">
        <v>18900</v>
      </c>
      <c r="I6206" s="43">
        <v>12</v>
      </c>
      <c r="J6206" s="44" t="str">
        <f>VLOOKUP(G6206,[1]硬件清单!$F:$F,1,0)</f>
        <v>06YW884</v>
      </c>
      <c r="K6206" s="43"/>
      <c r="L6206" s="44"/>
      <c r="M6206" s="45" t="s">
        <v>18901</v>
      </c>
    </row>
    <row r="6207" s="29" customFormat="1" ht="30" customHeight="1" spans="1:13">
      <c r="A6207" s="41">
        <f>IF(C6207="","",SUBTOTAL(103,$C$2:C6207))</f>
        <v>6198</v>
      </c>
      <c r="B6207" s="41">
        <v>5008</v>
      </c>
      <c r="C6207" s="54">
        <v>15808</v>
      </c>
      <c r="D6207" s="54" t="s">
        <v>45</v>
      </c>
      <c r="E6207" s="54" t="s">
        <v>1298</v>
      </c>
      <c r="F6207" s="54" t="s">
        <v>6424</v>
      </c>
      <c r="G6207" s="54" t="s">
        <v>18902</v>
      </c>
      <c r="H6207" s="54" t="s">
        <v>18903</v>
      </c>
      <c r="I6207" s="43">
        <v>12</v>
      </c>
      <c r="J6207" s="44" t="str">
        <f>VLOOKUP(G6207,[1]硬件清单!$F:$F,1,0)</f>
        <v>06YW870</v>
      </c>
      <c r="K6207" s="43"/>
      <c r="L6207" s="44"/>
      <c r="M6207" s="45" t="s">
        <v>18904</v>
      </c>
    </row>
    <row r="6208" s="29" customFormat="1" ht="30" customHeight="1" spans="1:13">
      <c r="A6208" s="41">
        <f>IF(C6208="","",SUBTOTAL(103,$C$2:C6208))</f>
        <v>6199</v>
      </c>
      <c r="B6208" s="41">
        <v>5009</v>
      </c>
      <c r="C6208" s="54">
        <v>15809</v>
      </c>
      <c r="D6208" s="54" t="s">
        <v>45</v>
      </c>
      <c r="E6208" s="54" t="s">
        <v>1298</v>
      </c>
      <c r="F6208" s="54" t="s">
        <v>6424</v>
      </c>
      <c r="G6208" s="54" t="s">
        <v>18905</v>
      </c>
      <c r="H6208" s="54" t="s">
        <v>18906</v>
      </c>
      <c r="I6208" s="43">
        <v>12</v>
      </c>
      <c r="J6208" s="44" t="str">
        <f>VLOOKUP(G6208,[1]硬件清单!$F:$F,1,0)</f>
        <v>06YW866</v>
      </c>
      <c r="K6208" s="43"/>
      <c r="L6208" s="44"/>
      <c r="M6208" s="45" t="s">
        <v>18907</v>
      </c>
    </row>
    <row r="6209" s="29" customFormat="1" ht="30" customHeight="1" spans="1:13">
      <c r="A6209" s="41">
        <f>IF(C6209="","",SUBTOTAL(103,$C$2:C6209))</f>
        <v>6200</v>
      </c>
      <c r="B6209" s="41">
        <v>5010</v>
      </c>
      <c r="C6209" s="54">
        <v>15810</v>
      </c>
      <c r="D6209" s="54" t="s">
        <v>45</v>
      </c>
      <c r="E6209" s="54" t="s">
        <v>1298</v>
      </c>
      <c r="F6209" s="54" t="s">
        <v>6424</v>
      </c>
      <c r="G6209" s="54" t="s">
        <v>18908</v>
      </c>
      <c r="H6209" s="54" t="s">
        <v>18909</v>
      </c>
      <c r="I6209" s="43">
        <v>12</v>
      </c>
      <c r="J6209" s="44" t="str">
        <f>VLOOKUP(G6209,[1]硬件清单!$F:$F,1,0)</f>
        <v>06YW857</v>
      </c>
      <c r="K6209" s="43"/>
      <c r="L6209" s="44"/>
      <c r="M6209" s="45" t="s">
        <v>18910</v>
      </c>
    </row>
    <row r="6210" s="29" customFormat="1" ht="30" customHeight="1" spans="1:13">
      <c r="A6210" s="41">
        <f>IF(C6210="","",SUBTOTAL(103,$C$2:C6210))</f>
        <v>6201</v>
      </c>
      <c r="B6210" s="41">
        <v>5011</v>
      </c>
      <c r="C6210" s="54">
        <v>15798</v>
      </c>
      <c r="D6210" s="54" t="s">
        <v>45</v>
      </c>
      <c r="E6210" s="54" t="s">
        <v>1298</v>
      </c>
      <c r="F6210" s="54" t="s">
        <v>6424</v>
      </c>
      <c r="G6210" s="54" t="s">
        <v>18911</v>
      </c>
      <c r="H6210" s="54" t="s">
        <v>18912</v>
      </c>
      <c r="I6210" s="43">
        <v>12</v>
      </c>
      <c r="J6210" s="44" t="str">
        <f>VLOOKUP(G6210,[1]硬件清单!$F:$F,1,0)</f>
        <v>06YW835</v>
      </c>
      <c r="K6210" s="43"/>
      <c r="L6210" s="44"/>
      <c r="M6210" s="45" t="s">
        <v>18913</v>
      </c>
    </row>
    <row r="6211" s="29" customFormat="1" ht="30" customHeight="1" spans="1:13">
      <c r="A6211" s="41">
        <f>IF(C6211="","",SUBTOTAL(103,$C$2:C6211))</f>
        <v>6202</v>
      </c>
      <c r="B6211" s="41">
        <v>5012</v>
      </c>
      <c r="C6211" s="54">
        <v>15799</v>
      </c>
      <c r="D6211" s="54" t="s">
        <v>45</v>
      </c>
      <c r="E6211" s="54" t="s">
        <v>1298</v>
      </c>
      <c r="F6211" s="54" t="s">
        <v>6424</v>
      </c>
      <c r="G6211" s="54" t="s">
        <v>18914</v>
      </c>
      <c r="H6211" s="54" t="s">
        <v>18915</v>
      </c>
      <c r="I6211" s="43">
        <v>12</v>
      </c>
      <c r="J6211" s="44" t="str">
        <f>VLOOKUP(G6211,[1]硬件清单!$F:$F,1,0)</f>
        <v>06YW859</v>
      </c>
      <c r="K6211" s="43"/>
      <c r="L6211" s="44"/>
      <c r="M6211" s="45" t="s">
        <v>18916</v>
      </c>
    </row>
    <row r="6212" s="29" customFormat="1" ht="30" customHeight="1" spans="1:13">
      <c r="A6212" s="41">
        <f>IF(C6212="","",SUBTOTAL(103,$C$2:C6212))</f>
        <v>6203</v>
      </c>
      <c r="B6212" s="41">
        <v>5013</v>
      </c>
      <c r="C6212" s="54">
        <v>15800</v>
      </c>
      <c r="D6212" s="54" t="s">
        <v>45</v>
      </c>
      <c r="E6212" s="54" t="s">
        <v>1298</v>
      </c>
      <c r="F6212" s="54" t="s">
        <v>6424</v>
      </c>
      <c r="G6212" s="54" t="s">
        <v>18917</v>
      </c>
      <c r="H6212" s="54" t="s">
        <v>18918</v>
      </c>
      <c r="I6212" s="43">
        <v>12</v>
      </c>
      <c r="J6212" s="44" t="str">
        <f>VLOOKUP(G6212,[1]硬件清单!$F:$F,1,0)</f>
        <v>06YW852</v>
      </c>
      <c r="K6212" s="43"/>
      <c r="L6212" s="44"/>
      <c r="M6212" s="45" t="s">
        <v>18919</v>
      </c>
    </row>
    <row r="6213" s="29" customFormat="1" ht="30" customHeight="1" spans="1:13">
      <c r="A6213" s="41">
        <f>IF(C6213="","",SUBTOTAL(103,$C$2:C6213))</f>
        <v>6204</v>
      </c>
      <c r="B6213" s="41">
        <v>5014</v>
      </c>
      <c r="C6213" s="54">
        <v>15801</v>
      </c>
      <c r="D6213" s="54" t="s">
        <v>45</v>
      </c>
      <c r="E6213" s="54" t="s">
        <v>1298</v>
      </c>
      <c r="F6213" s="54" t="s">
        <v>6424</v>
      </c>
      <c r="G6213" s="54" t="s">
        <v>18920</v>
      </c>
      <c r="H6213" s="54" t="s">
        <v>18921</v>
      </c>
      <c r="I6213" s="43">
        <v>12</v>
      </c>
      <c r="J6213" s="44" t="str">
        <f>VLOOKUP(G6213,[1]硬件清单!$F:$F,1,0)</f>
        <v>06YW849</v>
      </c>
      <c r="K6213" s="43"/>
      <c r="L6213" s="44"/>
      <c r="M6213" s="45" t="s">
        <v>18922</v>
      </c>
    </row>
    <row r="6214" s="29" customFormat="1" ht="30" customHeight="1" spans="1:13">
      <c r="A6214" s="41">
        <f>IF(C6214="","",SUBTOTAL(103,$C$2:C6214))</f>
        <v>6205</v>
      </c>
      <c r="B6214" s="41">
        <v>5015</v>
      </c>
      <c r="C6214" s="54">
        <v>15802</v>
      </c>
      <c r="D6214" s="54" t="s">
        <v>45</v>
      </c>
      <c r="E6214" s="54" t="s">
        <v>1298</v>
      </c>
      <c r="F6214" s="54" t="s">
        <v>6424</v>
      </c>
      <c r="G6214" s="54" t="s">
        <v>18923</v>
      </c>
      <c r="H6214" s="54" t="s">
        <v>18924</v>
      </c>
      <c r="I6214" s="43">
        <v>12</v>
      </c>
      <c r="J6214" s="44" t="str">
        <f>VLOOKUP(G6214,[1]硬件清单!$F:$F,1,0)</f>
        <v>06YW871</v>
      </c>
      <c r="K6214" s="43"/>
      <c r="L6214" s="44"/>
      <c r="M6214" s="45" t="s">
        <v>18925</v>
      </c>
    </row>
    <row r="6215" s="29" customFormat="1" ht="30" customHeight="1" spans="1:13">
      <c r="A6215" s="41">
        <f>IF(C6215="","",SUBTOTAL(103,$C$2:C6215))</f>
        <v>6206</v>
      </c>
      <c r="B6215" s="41">
        <v>5016</v>
      </c>
      <c r="C6215" s="54">
        <v>15803</v>
      </c>
      <c r="D6215" s="54" t="s">
        <v>45</v>
      </c>
      <c r="E6215" s="54" t="s">
        <v>1298</v>
      </c>
      <c r="F6215" s="54" t="s">
        <v>6424</v>
      </c>
      <c r="G6215" s="54" t="s">
        <v>18926</v>
      </c>
      <c r="H6215" s="54" t="s">
        <v>18927</v>
      </c>
      <c r="I6215" s="43">
        <v>12</v>
      </c>
      <c r="J6215" s="44" t="str">
        <f>VLOOKUP(G6215,[1]硬件清单!$F:$F,1,0)</f>
        <v>06YW886</v>
      </c>
      <c r="K6215" s="43"/>
      <c r="L6215" s="44"/>
      <c r="M6215" s="45" t="s">
        <v>18928</v>
      </c>
    </row>
    <row r="6216" s="29" customFormat="1" ht="30" customHeight="1" spans="1:13">
      <c r="A6216" s="41">
        <f>IF(C6216="","",SUBTOTAL(103,$C$2:C6216))</f>
        <v>6207</v>
      </c>
      <c r="B6216" s="41">
        <v>5017</v>
      </c>
      <c r="C6216" s="54">
        <v>15804</v>
      </c>
      <c r="D6216" s="54" t="s">
        <v>45</v>
      </c>
      <c r="E6216" s="54" t="s">
        <v>1298</v>
      </c>
      <c r="F6216" s="54" t="s">
        <v>6424</v>
      </c>
      <c r="G6216" s="54" t="s">
        <v>18929</v>
      </c>
      <c r="H6216" s="54" t="s">
        <v>18930</v>
      </c>
      <c r="I6216" s="43">
        <v>12</v>
      </c>
      <c r="J6216" s="44" t="str">
        <f>VLOOKUP(G6216,[1]硬件清单!$F:$F,1,0)</f>
        <v>06YW868</v>
      </c>
      <c r="K6216" s="43"/>
      <c r="L6216" s="44"/>
      <c r="M6216" s="45" t="s">
        <v>18931</v>
      </c>
    </row>
    <row r="6217" s="29" customFormat="1" ht="30" customHeight="1" spans="1:13">
      <c r="A6217" s="41">
        <f>IF(C6217="","",SUBTOTAL(103,$C$2:C6217))</f>
        <v>6208</v>
      </c>
      <c r="B6217" s="41">
        <v>5018</v>
      </c>
      <c r="C6217" s="54">
        <v>15805</v>
      </c>
      <c r="D6217" s="54" t="s">
        <v>45</v>
      </c>
      <c r="E6217" s="54" t="s">
        <v>1298</v>
      </c>
      <c r="F6217" s="54" t="s">
        <v>6424</v>
      </c>
      <c r="G6217" s="54" t="s">
        <v>18932</v>
      </c>
      <c r="H6217" s="54" t="s">
        <v>18933</v>
      </c>
      <c r="I6217" s="43">
        <v>12</v>
      </c>
      <c r="J6217" s="44" t="str">
        <f>VLOOKUP(G6217,[1]硬件清单!$F:$F,1,0)</f>
        <v>06YW882</v>
      </c>
      <c r="K6217" s="43"/>
      <c r="L6217" s="44"/>
      <c r="M6217" s="45" t="s">
        <v>18934</v>
      </c>
    </row>
    <row r="6218" s="29" customFormat="1" ht="30" customHeight="1" spans="1:13">
      <c r="A6218" s="41">
        <f>IF(C6218="","",SUBTOTAL(103,$C$2:C6218))</f>
        <v>6209</v>
      </c>
      <c r="B6218" s="41">
        <v>5019</v>
      </c>
      <c r="C6218" s="54">
        <v>15811</v>
      </c>
      <c r="D6218" s="54" t="s">
        <v>45</v>
      </c>
      <c r="E6218" s="54" t="s">
        <v>1298</v>
      </c>
      <c r="F6218" s="54" t="s">
        <v>6424</v>
      </c>
      <c r="G6218" s="54" t="s">
        <v>18935</v>
      </c>
      <c r="H6218" s="54" t="s">
        <v>18936</v>
      </c>
      <c r="I6218" s="43">
        <v>12</v>
      </c>
      <c r="J6218" s="44" t="str">
        <f>VLOOKUP(G6218,[1]硬件清单!$F:$F,1,0)</f>
        <v>06YW883</v>
      </c>
      <c r="K6218" s="43"/>
      <c r="L6218" s="44"/>
      <c r="M6218" s="45" t="s">
        <v>18937</v>
      </c>
    </row>
    <row r="6219" s="29" customFormat="1" ht="30" customHeight="1" spans="1:13">
      <c r="A6219" s="41">
        <f>IF(C6219="","",SUBTOTAL(103,$C$2:C6219))</f>
        <v>6210</v>
      </c>
      <c r="B6219" s="41">
        <v>5020</v>
      </c>
      <c r="C6219" s="54">
        <v>15820</v>
      </c>
      <c r="D6219" s="54" t="s">
        <v>45</v>
      </c>
      <c r="E6219" s="54" t="s">
        <v>1298</v>
      </c>
      <c r="F6219" s="54" t="s">
        <v>6424</v>
      </c>
      <c r="G6219" s="54" t="s">
        <v>18938</v>
      </c>
      <c r="H6219" s="54" t="s">
        <v>18939</v>
      </c>
      <c r="I6219" s="43">
        <v>12</v>
      </c>
      <c r="J6219" s="44" t="str">
        <f>VLOOKUP(G6219,[1]硬件清单!$F:$F,1,0)</f>
        <v>99V4413</v>
      </c>
      <c r="K6219" s="43"/>
      <c r="L6219" s="44"/>
      <c r="M6219" s="45" t="s">
        <v>18940</v>
      </c>
    </row>
    <row r="6220" s="29" customFormat="1" ht="30" customHeight="1" spans="1:13">
      <c r="A6220" s="41">
        <f>IF(C6220="","",SUBTOTAL(103,$C$2:C6220))</f>
        <v>6211</v>
      </c>
      <c r="B6220" s="41">
        <v>5021</v>
      </c>
      <c r="C6220" s="54">
        <v>15821</v>
      </c>
      <c r="D6220" s="54" t="s">
        <v>45</v>
      </c>
      <c r="E6220" s="54" t="s">
        <v>1298</v>
      </c>
      <c r="F6220" s="54" t="s">
        <v>6424</v>
      </c>
      <c r="G6220" s="54" t="s">
        <v>18941</v>
      </c>
      <c r="H6220" s="54" t="s">
        <v>18942</v>
      </c>
      <c r="I6220" s="43">
        <v>12</v>
      </c>
      <c r="J6220" s="44" t="str">
        <f>VLOOKUP(G6220,[1]硬件清单!$F:$F,1,0)</f>
        <v>06YW875</v>
      </c>
      <c r="K6220" s="43"/>
      <c r="L6220" s="44"/>
      <c r="M6220" s="45" t="s">
        <v>18943</v>
      </c>
    </row>
    <row r="6221" s="29" customFormat="1" ht="30" customHeight="1" spans="1:13">
      <c r="A6221" s="41">
        <f>IF(C6221="","",SUBTOTAL(103,$C$2:C6221))</f>
        <v>6212</v>
      </c>
      <c r="B6221" s="41">
        <v>5022</v>
      </c>
      <c r="C6221" s="54">
        <v>15822</v>
      </c>
      <c r="D6221" s="54" t="s">
        <v>45</v>
      </c>
      <c r="E6221" s="54" t="s">
        <v>1298</v>
      </c>
      <c r="F6221" s="54" t="s">
        <v>6424</v>
      </c>
      <c r="G6221" s="54" t="s">
        <v>18944</v>
      </c>
      <c r="H6221" s="54" t="s">
        <v>18945</v>
      </c>
      <c r="I6221" s="43">
        <v>12</v>
      </c>
      <c r="J6221" s="44" t="str">
        <f>VLOOKUP(G6221,[1]硬件清单!$F:$F,1,0)</f>
        <v>06YW873</v>
      </c>
      <c r="K6221" s="43"/>
      <c r="L6221" s="44"/>
      <c r="M6221" s="45" t="s">
        <v>18946</v>
      </c>
    </row>
    <row r="6222" s="29" customFormat="1" ht="30" customHeight="1" spans="1:13">
      <c r="A6222" s="41">
        <f>IF(C6222="","",SUBTOTAL(103,$C$2:C6222))</f>
        <v>6213</v>
      </c>
      <c r="B6222" s="41">
        <v>5023</v>
      </c>
      <c r="C6222" s="54">
        <v>15833</v>
      </c>
      <c r="D6222" s="54" t="s">
        <v>45</v>
      </c>
      <c r="E6222" s="54" t="s">
        <v>1298</v>
      </c>
      <c r="F6222" s="54" t="s">
        <v>6424</v>
      </c>
      <c r="G6222" s="54" t="s">
        <v>18947</v>
      </c>
      <c r="H6222" s="54" t="s">
        <v>18948</v>
      </c>
      <c r="I6222" s="43">
        <v>12</v>
      </c>
      <c r="J6222" s="44" t="str">
        <f>VLOOKUP(G6222,[1]硬件清单!$F:$F,1,0)</f>
        <v>06YW865</v>
      </c>
      <c r="K6222" s="43"/>
      <c r="L6222" s="44"/>
      <c r="M6222" s="45" t="s">
        <v>18949</v>
      </c>
    </row>
    <row r="6223" s="29" customFormat="1" ht="30" customHeight="1" spans="1:13">
      <c r="A6223" s="41">
        <f>IF(C6223="","",SUBTOTAL(103,$C$2:C6223))</f>
        <v>6214</v>
      </c>
      <c r="B6223" s="41">
        <v>5024</v>
      </c>
      <c r="C6223" s="54">
        <v>15834</v>
      </c>
      <c r="D6223" s="54" t="s">
        <v>45</v>
      </c>
      <c r="E6223" s="54" t="s">
        <v>1298</v>
      </c>
      <c r="F6223" s="54" t="s">
        <v>6424</v>
      </c>
      <c r="G6223" s="54" t="s">
        <v>18950</v>
      </c>
      <c r="H6223" s="54" t="s">
        <v>18951</v>
      </c>
      <c r="I6223" s="43">
        <v>12</v>
      </c>
      <c r="J6223" s="44" t="str">
        <f>VLOOKUP(G6223,[1]硬件清单!$F:$F,1,0)</f>
        <v>06YW881</v>
      </c>
      <c r="K6223" s="43"/>
      <c r="L6223" s="44"/>
      <c r="M6223" s="45" t="s">
        <v>18952</v>
      </c>
    </row>
    <row r="6224" s="29" customFormat="1" ht="30" customHeight="1" spans="1:13">
      <c r="A6224" s="41">
        <f>IF(C6224="","",SUBTOTAL(103,$C$2:C6224))</f>
        <v>6215</v>
      </c>
      <c r="B6224" s="41">
        <v>5025</v>
      </c>
      <c r="C6224" s="54">
        <v>15812</v>
      </c>
      <c r="D6224" s="54" t="s">
        <v>45</v>
      </c>
      <c r="E6224" s="54" t="s">
        <v>1298</v>
      </c>
      <c r="F6224" s="54" t="s">
        <v>6424</v>
      </c>
      <c r="G6224" s="54" t="s">
        <v>18953</v>
      </c>
      <c r="H6224" s="54" t="s">
        <v>18954</v>
      </c>
      <c r="I6224" s="43">
        <v>12</v>
      </c>
      <c r="J6224" s="44" t="str">
        <f>VLOOKUP(G6224,[1]硬件清单!$F:$F,1,0)</f>
        <v>06YW831</v>
      </c>
      <c r="K6224" s="43"/>
      <c r="L6224" s="44"/>
      <c r="M6224" s="45" t="s">
        <v>18955</v>
      </c>
    </row>
    <row r="6225" s="29" customFormat="1" ht="30" customHeight="1" spans="1:13">
      <c r="A6225" s="41">
        <f>IF(C6225="","",SUBTOTAL(103,$C$2:C6225))</f>
        <v>6216</v>
      </c>
      <c r="B6225" s="41">
        <v>5026</v>
      </c>
      <c r="C6225" s="54">
        <v>15813</v>
      </c>
      <c r="D6225" s="54" t="s">
        <v>45</v>
      </c>
      <c r="E6225" s="54" t="s">
        <v>1298</v>
      </c>
      <c r="F6225" s="54" t="s">
        <v>6424</v>
      </c>
      <c r="G6225" s="54" t="s">
        <v>18956</v>
      </c>
      <c r="H6225" s="54" t="s">
        <v>18957</v>
      </c>
      <c r="I6225" s="43">
        <v>12</v>
      </c>
      <c r="J6225" s="44" t="str">
        <f>VLOOKUP(G6225,[1]硬件清单!$F:$F,1,0)</f>
        <v>06YW880</v>
      </c>
      <c r="K6225" s="43"/>
      <c r="L6225" s="44"/>
      <c r="M6225" s="45" t="s">
        <v>18958</v>
      </c>
    </row>
    <row r="6226" s="29" customFormat="1" ht="30" customHeight="1" spans="1:13">
      <c r="A6226" s="41">
        <f>IF(C6226="","",SUBTOTAL(103,$C$2:C6226))</f>
        <v>6217</v>
      </c>
      <c r="B6226" s="41">
        <v>5027</v>
      </c>
      <c r="C6226" s="54">
        <v>15814</v>
      </c>
      <c r="D6226" s="54" t="s">
        <v>45</v>
      </c>
      <c r="E6226" s="54" t="s">
        <v>1298</v>
      </c>
      <c r="F6226" s="54" t="s">
        <v>6424</v>
      </c>
      <c r="G6226" s="54" t="s">
        <v>18959</v>
      </c>
      <c r="H6226" s="54" t="s">
        <v>18960</v>
      </c>
      <c r="I6226" s="43">
        <v>12</v>
      </c>
      <c r="J6226" s="44" t="str">
        <f>VLOOKUP(G6226,[1]硬件清单!$F:$F,1,0)</f>
        <v>06YW864</v>
      </c>
      <c r="K6226" s="43"/>
      <c r="L6226" s="44"/>
      <c r="M6226" s="45" t="s">
        <v>18961</v>
      </c>
    </row>
    <row r="6227" s="29" customFormat="1" ht="30" customHeight="1" spans="1:13">
      <c r="A6227" s="41">
        <f>IF(C6227="","",SUBTOTAL(103,$C$2:C6227))</f>
        <v>6218</v>
      </c>
      <c r="B6227" s="41">
        <v>5028</v>
      </c>
      <c r="C6227" s="54">
        <v>15815</v>
      </c>
      <c r="D6227" s="54" t="s">
        <v>45</v>
      </c>
      <c r="E6227" s="54" t="s">
        <v>1298</v>
      </c>
      <c r="F6227" s="54" t="s">
        <v>6424</v>
      </c>
      <c r="G6227" s="54" t="s">
        <v>18962</v>
      </c>
      <c r="H6227" s="54" t="s">
        <v>18963</v>
      </c>
      <c r="I6227" s="43">
        <v>12</v>
      </c>
      <c r="J6227" s="44" t="str">
        <f>VLOOKUP(G6227,[1]硬件清单!$F:$F,1,0)</f>
        <v>06YW840</v>
      </c>
      <c r="K6227" s="43"/>
      <c r="L6227" s="44"/>
      <c r="M6227" s="45" t="s">
        <v>18964</v>
      </c>
    </row>
    <row r="6228" s="29" customFormat="1" ht="30" customHeight="1" spans="1:13">
      <c r="A6228" s="41">
        <f>IF(C6228="","",SUBTOTAL(103,$C$2:C6228))</f>
        <v>6219</v>
      </c>
      <c r="B6228" s="41">
        <v>5029</v>
      </c>
      <c r="C6228" s="54">
        <v>15816</v>
      </c>
      <c r="D6228" s="54" t="s">
        <v>45</v>
      </c>
      <c r="E6228" s="54" t="s">
        <v>1298</v>
      </c>
      <c r="F6228" s="54" t="s">
        <v>6424</v>
      </c>
      <c r="G6228" s="54" t="s">
        <v>18965</v>
      </c>
      <c r="H6228" s="54" t="s">
        <v>18966</v>
      </c>
      <c r="I6228" s="43">
        <v>12</v>
      </c>
      <c r="J6228" s="44" t="str">
        <f>VLOOKUP(G6228,[1]硬件清单!$F:$F,1,0)</f>
        <v>06YW845</v>
      </c>
      <c r="K6228" s="43"/>
      <c r="L6228" s="44"/>
      <c r="M6228" s="45" t="s">
        <v>18967</v>
      </c>
    </row>
    <row r="6229" s="29" customFormat="1" ht="30" customHeight="1" spans="1:13">
      <c r="A6229" s="41">
        <f>IF(C6229="","",SUBTOTAL(103,$C$2:C6229))</f>
        <v>6220</v>
      </c>
      <c r="B6229" s="41">
        <v>5030</v>
      </c>
      <c r="C6229" s="54">
        <v>15817</v>
      </c>
      <c r="D6229" s="54" t="s">
        <v>45</v>
      </c>
      <c r="E6229" s="54" t="s">
        <v>1298</v>
      </c>
      <c r="F6229" s="54" t="s">
        <v>6424</v>
      </c>
      <c r="G6229" s="54" t="s">
        <v>18968</v>
      </c>
      <c r="H6229" s="54" t="s">
        <v>18969</v>
      </c>
      <c r="I6229" s="43">
        <v>12</v>
      </c>
      <c r="J6229" s="44" t="str">
        <f>VLOOKUP(G6229,[1]硬件清单!$F:$F,1,0)</f>
        <v>06YW843</v>
      </c>
      <c r="K6229" s="43"/>
      <c r="L6229" s="44"/>
      <c r="M6229" s="45" t="s">
        <v>18970</v>
      </c>
    </row>
    <row r="6230" s="29" customFormat="1" ht="30" customHeight="1" spans="1:13">
      <c r="A6230" s="41">
        <f>IF(C6230="","",SUBTOTAL(103,$C$2:C6230))</f>
        <v>6221</v>
      </c>
      <c r="B6230" s="41">
        <v>5031</v>
      </c>
      <c r="C6230" s="54">
        <v>15818</v>
      </c>
      <c r="D6230" s="54" t="s">
        <v>45</v>
      </c>
      <c r="E6230" s="54" t="s">
        <v>1298</v>
      </c>
      <c r="F6230" s="54" t="s">
        <v>6424</v>
      </c>
      <c r="G6230" s="54" t="s">
        <v>18971</v>
      </c>
      <c r="H6230" s="54" t="s">
        <v>18972</v>
      </c>
      <c r="I6230" s="43">
        <v>12</v>
      </c>
      <c r="J6230" s="44" t="str">
        <f>VLOOKUP(G6230,[1]硬件清单!$F:$F,1,0)</f>
        <v>06YW851</v>
      </c>
      <c r="K6230" s="43"/>
      <c r="L6230" s="44"/>
      <c r="M6230" s="45" t="s">
        <v>18973</v>
      </c>
    </row>
    <row r="6231" s="29" customFormat="1" ht="30" customHeight="1" spans="1:13">
      <c r="A6231" s="41">
        <f>IF(C6231="","",SUBTOTAL(103,$C$2:C6231))</f>
        <v>6222</v>
      </c>
      <c r="B6231" s="41">
        <v>5032</v>
      </c>
      <c r="C6231" s="54">
        <v>15819</v>
      </c>
      <c r="D6231" s="54" t="s">
        <v>45</v>
      </c>
      <c r="E6231" s="54" t="s">
        <v>1298</v>
      </c>
      <c r="F6231" s="54" t="s">
        <v>6424</v>
      </c>
      <c r="G6231" s="54" t="s">
        <v>18974</v>
      </c>
      <c r="H6231" s="54" t="s">
        <v>18975</v>
      </c>
      <c r="I6231" s="43">
        <v>12</v>
      </c>
      <c r="J6231" s="44" t="str">
        <f>VLOOKUP(G6231,[1]硬件清单!$F:$F,1,0)</f>
        <v>06YW838</v>
      </c>
      <c r="K6231" s="43"/>
      <c r="L6231" s="44"/>
      <c r="M6231" s="45" t="s">
        <v>18976</v>
      </c>
    </row>
    <row r="6232" s="29" customFormat="1" ht="30" customHeight="1" spans="1:13">
      <c r="A6232" s="41">
        <f>IF(C6232="","",SUBTOTAL(103,$C$2:C6232))</f>
        <v>6223</v>
      </c>
      <c r="B6232" s="41">
        <v>5033</v>
      </c>
      <c r="C6232" s="54">
        <v>15844</v>
      </c>
      <c r="D6232" s="54" t="s">
        <v>45</v>
      </c>
      <c r="E6232" s="54" t="s">
        <v>1298</v>
      </c>
      <c r="F6232" s="54" t="s">
        <v>18880</v>
      </c>
      <c r="G6232" s="54" t="s">
        <v>18977</v>
      </c>
      <c r="H6232" s="54" t="s">
        <v>18978</v>
      </c>
      <c r="I6232" s="43">
        <v>12</v>
      </c>
      <c r="J6232" s="44" t="str">
        <f>VLOOKUP(G6232,[1]硬件清单!$F:$F,1,0)</f>
        <v>99E3622</v>
      </c>
      <c r="K6232" s="43"/>
      <c r="L6232" s="44"/>
      <c r="M6232" s="45" t="s">
        <v>18979</v>
      </c>
    </row>
    <row r="6233" s="29" customFormat="1" ht="30" customHeight="1" spans="1:13">
      <c r="A6233" s="41">
        <f>IF(C6233="","",SUBTOTAL(103,$C$2:C6233))</f>
        <v>6224</v>
      </c>
      <c r="B6233" s="41">
        <v>5034</v>
      </c>
      <c r="C6233" s="54">
        <v>15559</v>
      </c>
      <c r="D6233" s="54" t="s">
        <v>45</v>
      </c>
      <c r="E6233" s="54" t="s">
        <v>246</v>
      </c>
      <c r="F6233" s="54" t="s">
        <v>4478</v>
      </c>
      <c r="G6233" s="54" t="s">
        <v>18980</v>
      </c>
      <c r="H6233" s="54" t="s">
        <v>18981</v>
      </c>
      <c r="I6233" s="43">
        <v>12</v>
      </c>
      <c r="J6233" s="44" t="str">
        <f>VLOOKUP(G6233,[1]硬件清单!$F:$F,1,0)</f>
        <v>06A74CP</v>
      </c>
      <c r="K6233" s="43"/>
      <c r="L6233" s="44"/>
      <c r="M6233" s="45" t="s">
        <v>18982</v>
      </c>
    </row>
    <row r="6234" s="29" customFormat="1" ht="30" customHeight="1" spans="1:13">
      <c r="A6234" s="41">
        <f>IF(C6234="","",SUBTOTAL(103,$C$2:C6234))</f>
        <v>6225</v>
      </c>
      <c r="B6234" s="41">
        <v>5035</v>
      </c>
      <c r="C6234" s="54">
        <v>15558</v>
      </c>
      <c r="D6234" s="54" t="s">
        <v>45</v>
      </c>
      <c r="E6234" s="54" t="s">
        <v>246</v>
      </c>
      <c r="F6234" s="54" t="s">
        <v>4478</v>
      </c>
      <c r="G6234" s="54" t="s">
        <v>18983</v>
      </c>
      <c r="H6234" s="54" t="s">
        <v>18984</v>
      </c>
      <c r="I6234" s="43">
        <v>12</v>
      </c>
      <c r="J6234" s="44" t="str">
        <f>VLOOKUP(G6234,[1]硬件清单!$F:$F,1,0)</f>
        <v>06A74FP</v>
      </c>
      <c r="K6234" s="43"/>
      <c r="L6234" s="44"/>
      <c r="M6234" s="45" t="s">
        <v>18985</v>
      </c>
    </row>
    <row r="6235" s="29" customFormat="1" ht="30" customHeight="1" spans="1:13">
      <c r="A6235" s="41">
        <f>IF(C6235="","",SUBTOTAL(103,$C$2:C6235))</f>
        <v>6226</v>
      </c>
      <c r="B6235" s="41">
        <v>5036</v>
      </c>
      <c r="C6235" s="54">
        <v>17180</v>
      </c>
      <c r="D6235" s="54" t="s">
        <v>19</v>
      </c>
      <c r="E6235" s="54" t="s">
        <v>20</v>
      </c>
      <c r="F6235" s="54" t="s">
        <v>18422</v>
      </c>
      <c r="G6235" s="54" t="s">
        <v>18986</v>
      </c>
      <c r="H6235" s="54" t="s">
        <v>18987</v>
      </c>
      <c r="I6235" s="43">
        <v>12</v>
      </c>
      <c r="J6235" s="44" t="str">
        <f>VLOOKUP(G6235,[1]硬件清单!$F:$F,1,0)</f>
        <v>210235A24WH113000323</v>
      </c>
      <c r="K6235" s="43"/>
      <c r="L6235" s="44"/>
      <c r="M6235" s="45" t="s">
        <v>18988</v>
      </c>
    </row>
    <row r="6236" s="29" customFormat="1" ht="30" customHeight="1" spans="1:13">
      <c r="A6236" s="41">
        <f>IF(C6236="","",SUBTOTAL(103,$C$2:C6236))</f>
        <v>6227</v>
      </c>
      <c r="B6236" s="41">
        <v>5037</v>
      </c>
      <c r="C6236" s="54">
        <v>17177</v>
      </c>
      <c r="D6236" s="54" t="s">
        <v>19</v>
      </c>
      <c r="E6236" s="54" t="s">
        <v>20</v>
      </c>
      <c r="F6236" s="54" t="s">
        <v>18818</v>
      </c>
      <c r="G6236" s="54" t="s">
        <v>18989</v>
      </c>
      <c r="H6236" s="54" t="s">
        <v>18990</v>
      </c>
      <c r="I6236" s="43">
        <v>12</v>
      </c>
      <c r="J6236" s="44" t="str">
        <f>VLOOKUP(G6236,[1]硬件清单!$F:$F,1,0)</f>
        <v>210235A24WH113000061</v>
      </c>
      <c r="K6236" s="43"/>
      <c r="L6236" s="44"/>
      <c r="M6236" s="45" t="s">
        <v>18991</v>
      </c>
    </row>
    <row r="6237" s="29" customFormat="1" ht="30" customHeight="1" spans="1:13">
      <c r="A6237" s="41">
        <f>IF(C6237="","",SUBTOTAL(103,$C$2:C6237))</f>
        <v>6228</v>
      </c>
      <c r="B6237" s="41">
        <v>5038</v>
      </c>
      <c r="C6237" s="54">
        <v>17181</v>
      </c>
      <c r="D6237" s="54" t="s">
        <v>19</v>
      </c>
      <c r="E6237" s="54" t="s">
        <v>20</v>
      </c>
      <c r="F6237" s="54" t="s">
        <v>18422</v>
      </c>
      <c r="G6237" s="54" t="s">
        <v>18992</v>
      </c>
      <c r="H6237" s="54" t="s">
        <v>18993</v>
      </c>
      <c r="I6237" s="43">
        <v>12</v>
      </c>
      <c r="J6237" s="44" t="str">
        <f>VLOOKUP(G6237,[1]硬件清单!$F:$F,1,0)</f>
        <v>210235A24WH113000330</v>
      </c>
      <c r="K6237" s="43"/>
      <c r="L6237" s="44"/>
      <c r="M6237" s="45" t="s">
        <v>18994</v>
      </c>
    </row>
    <row r="6238" s="29" customFormat="1" ht="30" customHeight="1" spans="1:13">
      <c r="A6238" s="41">
        <f>IF(C6238="","",SUBTOTAL(103,$C$2:C6238))</f>
        <v>6229</v>
      </c>
      <c r="B6238" s="41">
        <v>5039</v>
      </c>
      <c r="C6238" s="54">
        <v>6934</v>
      </c>
      <c r="D6238" s="54" t="s">
        <v>45</v>
      </c>
      <c r="E6238" s="54" t="s">
        <v>1298</v>
      </c>
      <c r="F6238" s="54" t="s">
        <v>1481</v>
      </c>
      <c r="G6238" s="54" t="s">
        <v>18995</v>
      </c>
      <c r="H6238" s="54" t="s">
        <v>18996</v>
      </c>
      <c r="I6238" s="43">
        <v>12</v>
      </c>
      <c r="J6238" s="44" t="str">
        <f>VLOOKUP(G6238,[1]硬件清单!$F:$F,1,0)</f>
        <v>06ZPHT7</v>
      </c>
      <c r="K6238" s="43"/>
      <c r="L6238" s="44"/>
      <c r="M6238" s="45" t="s">
        <v>18997</v>
      </c>
    </row>
    <row r="6239" s="29" customFormat="1" ht="30" customHeight="1" spans="1:13">
      <c r="A6239" s="41">
        <f>IF(C6239="","",SUBTOTAL(103,$C$2:C6239))</f>
        <v>6230</v>
      </c>
      <c r="B6239" s="41">
        <v>5040</v>
      </c>
      <c r="C6239" s="54">
        <v>6925</v>
      </c>
      <c r="D6239" s="54" t="s">
        <v>45</v>
      </c>
      <c r="E6239" s="54" t="s">
        <v>1298</v>
      </c>
      <c r="F6239" s="54" t="s">
        <v>8426</v>
      </c>
      <c r="G6239" s="54" t="s">
        <v>18998</v>
      </c>
      <c r="H6239" s="54" t="s">
        <v>18999</v>
      </c>
      <c r="I6239" s="43">
        <v>12</v>
      </c>
      <c r="J6239" s="44" t="str">
        <f>VLOOKUP(G6239,[1]硬件清单!$F:$F,1,0)</f>
        <v>06AAFCP</v>
      </c>
      <c r="K6239" s="43"/>
      <c r="L6239" s="44"/>
      <c r="M6239" s="45" t="s">
        <v>19000</v>
      </c>
    </row>
    <row r="6240" s="29" customFormat="1" ht="30" customHeight="1" spans="1:13">
      <c r="A6240" s="41">
        <f>IF(C6240="","",SUBTOTAL(103,$C$2:C6240))</f>
        <v>6231</v>
      </c>
      <c r="B6240" s="41">
        <v>5041</v>
      </c>
      <c r="C6240" s="54">
        <v>6926</v>
      </c>
      <c r="D6240" s="54" t="s">
        <v>45</v>
      </c>
      <c r="E6240" s="54" t="s">
        <v>1298</v>
      </c>
      <c r="F6240" s="54" t="s">
        <v>8426</v>
      </c>
      <c r="G6240" s="54" t="s">
        <v>19001</v>
      </c>
      <c r="H6240" s="54" t="s">
        <v>19002</v>
      </c>
      <c r="I6240" s="43">
        <v>12</v>
      </c>
      <c r="J6240" s="44" t="str">
        <f>VLOOKUP(G6240,[1]硬件清单!$F:$F,1,0)</f>
        <v>06AAFCR</v>
      </c>
      <c r="K6240" s="43"/>
      <c r="L6240" s="44"/>
      <c r="M6240" s="45" t="s">
        <v>19003</v>
      </c>
    </row>
    <row r="6241" s="29" customFormat="1" ht="30" customHeight="1" spans="1:13">
      <c r="A6241" s="41">
        <f>IF(C6241="","",SUBTOTAL(103,$C$2:C6241))</f>
        <v>6232</v>
      </c>
      <c r="B6241" s="41">
        <v>5042</v>
      </c>
      <c r="C6241" s="54">
        <v>6927</v>
      </c>
      <c r="D6241" s="54" t="s">
        <v>45</v>
      </c>
      <c r="E6241" s="54" t="s">
        <v>1298</v>
      </c>
      <c r="F6241" s="54" t="s">
        <v>8426</v>
      </c>
      <c r="G6241" s="54" t="s">
        <v>19004</v>
      </c>
      <c r="H6241" s="54" t="s">
        <v>19005</v>
      </c>
      <c r="I6241" s="43">
        <v>12</v>
      </c>
      <c r="J6241" s="44" t="str">
        <f>VLOOKUP(G6241,[1]硬件清单!$F:$F,1,0)</f>
        <v>06AAFDA</v>
      </c>
      <c r="K6241" s="43"/>
      <c r="L6241" s="44"/>
      <c r="M6241" s="45" t="s">
        <v>19006</v>
      </c>
    </row>
    <row r="6242" s="29" customFormat="1" ht="30" customHeight="1" spans="1:13">
      <c r="A6242" s="41">
        <f>IF(C6242="","",SUBTOTAL(103,$C$2:C6242))</f>
        <v>6233</v>
      </c>
      <c r="B6242" s="41">
        <v>5043</v>
      </c>
      <c r="C6242" s="54">
        <v>6928</v>
      </c>
      <c r="D6242" s="54" t="s">
        <v>45</v>
      </c>
      <c r="E6242" s="54" t="s">
        <v>1298</v>
      </c>
      <c r="F6242" s="54" t="s">
        <v>8426</v>
      </c>
      <c r="G6242" s="54" t="s">
        <v>19007</v>
      </c>
      <c r="H6242" s="54" t="s">
        <v>19008</v>
      </c>
      <c r="I6242" s="43">
        <v>12</v>
      </c>
      <c r="J6242" s="44" t="str">
        <f>VLOOKUP(G6242,[1]硬件清单!$F:$F,1,0)</f>
        <v>06LXHC9</v>
      </c>
      <c r="K6242" s="43"/>
      <c r="L6242" s="44"/>
      <c r="M6242" s="45" t="s">
        <v>19009</v>
      </c>
    </row>
    <row r="6243" s="29" customFormat="1" ht="30" customHeight="1" spans="1:13">
      <c r="A6243" s="41">
        <f>IF(C6243="","",SUBTOTAL(103,$C$2:C6243))</f>
        <v>6234</v>
      </c>
      <c r="B6243" s="41">
        <v>5044</v>
      </c>
      <c r="C6243" s="54">
        <v>6929</v>
      </c>
      <c r="D6243" s="54" t="s">
        <v>45</v>
      </c>
      <c r="E6243" s="54" t="s">
        <v>1298</v>
      </c>
      <c r="F6243" s="54" t="s">
        <v>8426</v>
      </c>
      <c r="G6243" s="54" t="s">
        <v>19010</v>
      </c>
      <c r="H6243" s="54" t="s">
        <v>19011</v>
      </c>
      <c r="I6243" s="43">
        <v>12</v>
      </c>
      <c r="J6243" s="44" t="str">
        <f>VLOOKUP(G6243,[1]硬件清单!$F:$F,1,0)</f>
        <v>06AAFDC</v>
      </c>
      <c r="K6243" s="43"/>
      <c r="L6243" s="44"/>
      <c r="M6243" s="45" t="s">
        <v>19012</v>
      </c>
    </row>
    <row r="6244" s="29" customFormat="1" ht="30" customHeight="1" spans="1:13">
      <c r="A6244" s="41">
        <f>IF(C6244="","",SUBTOTAL(103,$C$2:C6244))</f>
        <v>6235</v>
      </c>
      <c r="B6244" s="41">
        <v>5045</v>
      </c>
      <c r="C6244" s="54">
        <v>6930</v>
      </c>
      <c r="D6244" s="54" t="s">
        <v>45</v>
      </c>
      <c r="E6244" s="54" t="s">
        <v>1298</v>
      </c>
      <c r="F6244" s="54" t="s">
        <v>8426</v>
      </c>
      <c r="G6244" s="54" t="s">
        <v>19013</v>
      </c>
      <c r="H6244" s="54" t="s">
        <v>19014</v>
      </c>
      <c r="I6244" s="43">
        <v>12</v>
      </c>
      <c r="J6244" s="44" t="str">
        <f>VLOOKUP(G6244,[1]硬件清单!$F:$F,1,0)</f>
        <v>06AAFCV</v>
      </c>
      <c r="K6244" s="43"/>
      <c r="L6244" s="44"/>
      <c r="M6244" s="45" t="s">
        <v>19015</v>
      </c>
    </row>
    <row r="6245" s="29" customFormat="1" ht="30" customHeight="1" spans="1:13">
      <c r="A6245" s="41">
        <f>IF(C6245="","",SUBTOTAL(103,$C$2:C6245))</f>
        <v>6236</v>
      </c>
      <c r="B6245" s="41">
        <v>5046</v>
      </c>
      <c r="C6245" s="54">
        <v>6931</v>
      </c>
      <c r="D6245" s="54" t="s">
        <v>45</v>
      </c>
      <c r="E6245" s="54" t="s">
        <v>1298</v>
      </c>
      <c r="F6245" s="54" t="s">
        <v>8426</v>
      </c>
      <c r="G6245" s="54" t="s">
        <v>19016</v>
      </c>
      <c r="H6245" s="54" t="s">
        <v>19017</v>
      </c>
      <c r="I6245" s="43">
        <v>12</v>
      </c>
      <c r="J6245" s="44" t="str">
        <f>VLOOKUP(G6245,[1]硬件清单!$F:$F,1,0)</f>
        <v>06AAFCL</v>
      </c>
      <c r="K6245" s="43"/>
      <c r="L6245" s="44"/>
      <c r="M6245" s="45" t="s">
        <v>19018</v>
      </c>
    </row>
    <row r="6246" s="29" customFormat="1" ht="30" customHeight="1" spans="1:13">
      <c r="A6246" s="41">
        <f>IF(C6246="","",SUBTOTAL(103,$C$2:C6246))</f>
        <v>6237</v>
      </c>
      <c r="B6246" s="41">
        <v>5047</v>
      </c>
      <c r="C6246" s="54">
        <v>6932</v>
      </c>
      <c r="D6246" s="54" t="s">
        <v>45</v>
      </c>
      <c r="E6246" s="54" t="s">
        <v>1298</v>
      </c>
      <c r="F6246" s="54" t="s">
        <v>8426</v>
      </c>
      <c r="G6246" s="54" t="s">
        <v>19019</v>
      </c>
      <c r="H6246" s="54" t="s">
        <v>19020</v>
      </c>
      <c r="I6246" s="43">
        <v>12</v>
      </c>
      <c r="J6246" s="44" t="str">
        <f>VLOOKUP(G6246,[1]硬件清单!$F:$F,1,0)</f>
        <v>06AAFCT</v>
      </c>
      <c r="K6246" s="43"/>
      <c r="L6246" s="44"/>
      <c r="M6246" s="45" t="s">
        <v>19021</v>
      </c>
    </row>
    <row r="6247" s="29" customFormat="1" ht="30" customHeight="1" spans="1:13">
      <c r="A6247" s="41">
        <f>IF(C6247="","",SUBTOTAL(103,$C$2:C6247))</f>
        <v>6238</v>
      </c>
      <c r="B6247" s="41">
        <v>5048</v>
      </c>
      <c r="C6247" s="54">
        <v>6933</v>
      </c>
      <c r="D6247" s="54" t="s">
        <v>45</v>
      </c>
      <c r="E6247" s="54" t="s">
        <v>1298</v>
      </c>
      <c r="F6247" s="54" t="s">
        <v>7465</v>
      </c>
      <c r="G6247" s="54" t="s">
        <v>19022</v>
      </c>
      <c r="H6247" s="54" t="s">
        <v>19023</v>
      </c>
      <c r="I6247" s="43">
        <v>12</v>
      </c>
      <c r="J6247" s="44" t="str">
        <f>VLOOKUP(G6247,[1]硬件清单!$F:$F,1,0)</f>
        <v>3TB1132</v>
      </c>
      <c r="K6247" s="43"/>
      <c r="L6247" s="44"/>
      <c r="M6247" s="45" t="s">
        <v>19024</v>
      </c>
    </row>
    <row r="6248" s="29" customFormat="1" ht="30" customHeight="1" spans="1:13">
      <c r="A6248" s="41">
        <f>IF(C6248="","",SUBTOTAL(103,$C$2:C6248))</f>
        <v>6239</v>
      </c>
      <c r="B6248" s="41">
        <v>5049</v>
      </c>
      <c r="C6248" s="54">
        <v>6917</v>
      </c>
      <c r="D6248" s="54" t="s">
        <v>45</v>
      </c>
      <c r="E6248" s="54" t="s">
        <v>1298</v>
      </c>
      <c r="F6248" s="54" t="s">
        <v>7517</v>
      </c>
      <c r="G6248" s="54" t="s">
        <v>19025</v>
      </c>
      <c r="H6248" s="54" t="s">
        <v>19026</v>
      </c>
      <c r="I6248" s="43">
        <v>12</v>
      </c>
      <c r="J6248" s="44" t="str">
        <f>VLOOKUP(G6248,[1]硬件清单!$F:$F,1,0)</f>
        <v>9V00132</v>
      </c>
      <c r="K6248" s="43"/>
      <c r="L6248" s="44"/>
      <c r="M6248" s="45" t="s">
        <v>19027</v>
      </c>
    </row>
    <row r="6249" s="29" customFormat="1" ht="30" customHeight="1" spans="1:13">
      <c r="A6249" s="41">
        <f>IF(C6249="","",SUBTOTAL(103,$C$2:C6249))</f>
        <v>6240</v>
      </c>
      <c r="B6249" s="41">
        <v>5050</v>
      </c>
      <c r="C6249" s="54">
        <v>6918</v>
      </c>
      <c r="D6249" s="54" t="s">
        <v>45</v>
      </c>
      <c r="E6249" s="54" t="s">
        <v>1298</v>
      </c>
      <c r="F6249" s="54" t="s">
        <v>7517</v>
      </c>
      <c r="G6249" s="54" t="s">
        <v>19028</v>
      </c>
      <c r="H6249" s="54" t="s">
        <v>19029</v>
      </c>
      <c r="I6249" s="43">
        <v>12</v>
      </c>
      <c r="J6249" s="44" t="str">
        <f>VLOOKUP(G6249,[1]硬件清单!$F:$F,1,0)</f>
        <v>GFZZ032</v>
      </c>
      <c r="K6249" s="43"/>
      <c r="L6249" s="44"/>
      <c r="M6249" s="45" t="s">
        <v>19030</v>
      </c>
    </row>
    <row r="6250" s="29" customFormat="1" ht="30" customHeight="1" spans="1:13">
      <c r="A6250" s="41">
        <f>IF(C6250="","",SUBTOTAL(103,$C$2:C6250))</f>
        <v>6241</v>
      </c>
      <c r="B6250" s="41">
        <v>5051</v>
      </c>
      <c r="C6250" s="54">
        <v>6919</v>
      </c>
      <c r="D6250" s="54" t="s">
        <v>45</v>
      </c>
      <c r="E6250" s="54" t="s">
        <v>1298</v>
      </c>
      <c r="F6250" s="54" t="s">
        <v>7517</v>
      </c>
      <c r="G6250" s="54" t="s">
        <v>19031</v>
      </c>
      <c r="H6250" s="54" t="s">
        <v>19032</v>
      </c>
      <c r="I6250" s="43">
        <v>12</v>
      </c>
      <c r="J6250" s="44" t="str">
        <f>VLOOKUP(G6250,[1]硬件清单!$F:$F,1,0)</f>
        <v>9DZZ032</v>
      </c>
      <c r="K6250" s="43"/>
      <c r="L6250" s="44"/>
      <c r="M6250" s="45" t="s">
        <v>19033</v>
      </c>
    </row>
    <row r="6251" s="29" customFormat="1" ht="30" customHeight="1" spans="1:13">
      <c r="A6251" s="41">
        <f>IF(C6251="","",SUBTOTAL(103,$C$2:C6251))</f>
        <v>6242</v>
      </c>
      <c r="B6251" s="41">
        <v>5052</v>
      </c>
      <c r="C6251" s="54">
        <v>6920</v>
      </c>
      <c r="D6251" s="54" t="s">
        <v>45</v>
      </c>
      <c r="E6251" s="54" t="s">
        <v>1298</v>
      </c>
      <c r="F6251" s="54" t="s">
        <v>7517</v>
      </c>
      <c r="G6251" s="54" t="s">
        <v>19034</v>
      </c>
      <c r="H6251" s="54" t="s">
        <v>19035</v>
      </c>
      <c r="I6251" s="43">
        <v>12</v>
      </c>
      <c r="J6251" s="44" t="str">
        <f>VLOOKUP(G6251,[1]硬件清单!$F:$F,1,0)</f>
        <v>4NC6132</v>
      </c>
      <c r="K6251" s="43"/>
      <c r="L6251" s="44"/>
      <c r="M6251" s="45" t="s">
        <v>19036</v>
      </c>
    </row>
    <row r="6252" s="29" customFormat="1" ht="30" customHeight="1" spans="1:13">
      <c r="A6252" s="41">
        <f>IF(C6252="","",SUBTOTAL(103,$C$2:C6252))</f>
        <v>6243</v>
      </c>
      <c r="B6252" s="41">
        <v>5053</v>
      </c>
      <c r="C6252" s="54">
        <v>6921</v>
      </c>
      <c r="D6252" s="54" t="s">
        <v>45</v>
      </c>
      <c r="E6252" s="54" t="s">
        <v>1298</v>
      </c>
      <c r="F6252" s="54" t="s">
        <v>7517</v>
      </c>
      <c r="G6252" s="54" t="s">
        <v>19037</v>
      </c>
      <c r="H6252" s="54" t="s">
        <v>19038</v>
      </c>
      <c r="I6252" s="43">
        <v>12</v>
      </c>
      <c r="J6252" s="44" t="str">
        <f>VLOOKUP(G6252,[1]硬件清单!$F:$F,1,0)</f>
        <v>2V00132</v>
      </c>
      <c r="K6252" s="43"/>
      <c r="L6252" s="44"/>
      <c r="M6252" s="45" t="s">
        <v>19039</v>
      </c>
    </row>
    <row r="6253" s="29" customFormat="1" ht="30" customHeight="1" spans="1:13">
      <c r="A6253" s="41">
        <f>IF(C6253="","",SUBTOTAL(103,$C$2:C6253))</f>
        <v>6244</v>
      </c>
      <c r="B6253" s="41">
        <v>5054</v>
      </c>
      <c r="C6253" s="54">
        <v>6922</v>
      </c>
      <c r="D6253" s="54" t="s">
        <v>45</v>
      </c>
      <c r="E6253" s="54" t="s">
        <v>1298</v>
      </c>
      <c r="F6253" s="54" t="s">
        <v>7517</v>
      </c>
      <c r="G6253" s="54" t="s">
        <v>19040</v>
      </c>
      <c r="H6253" s="54" t="s">
        <v>19041</v>
      </c>
      <c r="I6253" s="43">
        <v>12</v>
      </c>
      <c r="J6253" s="44" t="str">
        <f>VLOOKUP(G6253,[1]硬件清单!$F:$F,1,0)</f>
        <v>4T00132</v>
      </c>
      <c r="K6253" s="43"/>
      <c r="L6253" s="44"/>
      <c r="M6253" s="45" t="s">
        <v>19042</v>
      </c>
    </row>
    <row r="6254" s="29" customFormat="1" ht="30" customHeight="1" spans="1:13">
      <c r="A6254" s="41">
        <f>IF(C6254="","",SUBTOTAL(103,$C$2:C6254))</f>
        <v>6245</v>
      </c>
      <c r="B6254" s="41">
        <v>5055</v>
      </c>
      <c r="C6254" s="54">
        <v>6923</v>
      </c>
      <c r="D6254" s="54" t="s">
        <v>45</v>
      </c>
      <c r="E6254" s="54" t="s">
        <v>1298</v>
      </c>
      <c r="F6254" s="54" t="s">
        <v>7517</v>
      </c>
      <c r="G6254" s="54" t="s">
        <v>19043</v>
      </c>
      <c r="H6254" s="54" t="s">
        <v>19044</v>
      </c>
      <c r="I6254" s="43">
        <v>12</v>
      </c>
      <c r="J6254" s="44" t="str">
        <f>VLOOKUP(G6254,[1]硬件清单!$F:$F,1,0)</f>
        <v>BT00132</v>
      </c>
      <c r="K6254" s="43"/>
      <c r="L6254" s="44"/>
      <c r="M6254" s="45" t="s">
        <v>19045</v>
      </c>
    </row>
    <row r="6255" s="29" customFormat="1" ht="30" customHeight="1" spans="1:13">
      <c r="A6255" s="41">
        <f>IF(C6255="","",SUBTOTAL(103,$C$2:C6255))</f>
        <v>6246</v>
      </c>
      <c r="B6255" s="41">
        <v>5056</v>
      </c>
      <c r="C6255" s="54">
        <v>6924</v>
      </c>
      <c r="D6255" s="54" t="s">
        <v>45</v>
      </c>
      <c r="E6255" s="54" t="s">
        <v>1298</v>
      </c>
      <c r="F6255" s="54" t="s">
        <v>7517</v>
      </c>
      <c r="G6255" s="54" t="s">
        <v>19046</v>
      </c>
      <c r="H6255" s="54" t="s">
        <v>19047</v>
      </c>
      <c r="I6255" s="43">
        <v>12</v>
      </c>
      <c r="J6255" s="44" t="str">
        <f>VLOOKUP(G6255,[1]硬件清单!$F:$F,1,0)</f>
        <v>8CZZ032</v>
      </c>
      <c r="K6255" s="43"/>
      <c r="L6255" s="44"/>
      <c r="M6255" s="45" t="s">
        <v>19048</v>
      </c>
    </row>
    <row r="6256" s="29" customFormat="1" ht="30" customHeight="1" spans="1:13">
      <c r="A6256" s="41">
        <f>IF(C6256="","",SUBTOTAL(103,$C$2:C6256))</f>
        <v>6247</v>
      </c>
      <c r="B6256" s="41">
        <v>5057</v>
      </c>
      <c r="C6256" s="54">
        <v>6936</v>
      </c>
      <c r="D6256" s="54" t="s">
        <v>45</v>
      </c>
      <c r="E6256" s="54" t="s">
        <v>1298</v>
      </c>
      <c r="F6256" s="54" t="s">
        <v>6965</v>
      </c>
      <c r="G6256" s="54" t="s">
        <v>19049</v>
      </c>
      <c r="H6256" s="54" t="s">
        <v>19050</v>
      </c>
      <c r="I6256" s="43">
        <v>12</v>
      </c>
      <c r="J6256" s="44" t="str">
        <f>VLOOKUP(G6256,[1]硬件清单!$F:$F,1,0)</f>
        <v>06CP601</v>
      </c>
      <c r="K6256" s="43"/>
      <c r="L6256" s="44"/>
      <c r="M6256" s="45" t="s">
        <v>19051</v>
      </c>
    </row>
    <row r="6257" s="29" customFormat="1" ht="30" customHeight="1" spans="1:13">
      <c r="A6257" s="41">
        <f>IF(C6257="","",SUBTOTAL(103,$C$2:C6257))</f>
        <v>6248</v>
      </c>
      <c r="B6257" s="41">
        <v>5058</v>
      </c>
      <c r="C6257" s="54">
        <v>6935</v>
      </c>
      <c r="D6257" s="54" t="s">
        <v>45</v>
      </c>
      <c r="E6257" s="54" t="s">
        <v>1298</v>
      </c>
      <c r="F6257" s="54" t="s">
        <v>6965</v>
      </c>
      <c r="G6257" s="54" t="s">
        <v>19052</v>
      </c>
      <c r="H6257" s="54" t="s">
        <v>19053</v>
      </c>
      <c r="I6257" s="43">
        <v>12</v>
      </c>
      <c r="J6257" s="44" t="str">
        <f>VLOOKUP(G6257,[1]硬件清单!$F:$F,1,0)</f>
        <v>06CP593</v>
      </c>
      <c r="K6257" s="43"/>
      <c r="L6257" s="44"/>
      <c r="M6257" s="45" t="s">
        <v>19054</v>
      </c>
    </row>
    <row r="6258" s="29" customFormat="1" ht="30" customHeight="1" spans="1:13">
      <c r="A6258" s="41">
        <f>IF(C6258="","",SUBTOTAL(103,$C$2:C6258))</f>
        <v>6249</v>
      </c>
      <c r="B6258" s="41">
        <v>5059</v>
      </c>
      <c r="C6258" s="54">
        <v>6954</v>
      </c>
      <c r="D6258" s="54" t="s">
        <v>45</v>
      </c>
      <c r="E6258" s="54" t="s">
        <v>1298</v>
      </c>
      <c r="F6258" s="54" t="s">
        <v>6784</v>
      </c>
      <c r="G6258" s="54" t="s">
        <v>19055</v>
      </c>
      <c r="H6258" s="54" t="s">
        <v>19056</v>
      </c>
      <c r="I6258" s="43">
        <v>12</v>
      </c>
      <c r="J6258" s="44" t="str">
        <f>VLOOKUP(G6258,[1]硬件清单!$F:$F,1,0)</f>
        <v>6cu4421wcm</v>
      </c>
      <c r="K6258" s="43"/>
      <c r="L6258" s="44"/>
      <c r="M6258" s="45" t="s">
        <v>19057</v>
      </c>
    </row>
    <row r="6259" s="29" customFormat="1" ht="30" customHeight="1" spans="1:13">
      <c r="A6259" s="41">
        <f>IF(C6259="","",SUBTOTAL(103,$C$2:C6259))</f>
        <v>6250</v>
      </c>
      <c r="B6259" s="41">
        <v>5060</v>
      </c>
      <c r="C6259" s="54">
        <v>6955</v>
      </c>
      <c r="D6259" s="54" t="s">
        <v>45</v>
      </c>
      <c r="E6259" s="54" t="s">
        <v>1298</v>
      </c>
      <c r="F6259" s="54" t="s">
        <v>6784</v>
      </c>
      <c r="G6259" s="54" t="s">
        <v>19058</v>
      </c>
      <c r="H6259" s="54" t="s">
        <v>19059</v>
      </c>
      <c r="I6259" s="43">
        <v>12</v>
      </c>
      <c r="J6259" s="44" t="str">
        <f>VLOOKUP(G6259,[1]硬件清单!$F:$F,1,0)</f>
        <v>6cu4421wch</v>
      </c>
      <c r="K6259" s="43"/>
      <c r="L6259" s="44"/>
      <c r="M6259" s="45" t="s">
        <v>19060</v>
      </c>
    </row>
    <row r="6260" s="29" customFormat="1" ht="30" customHeight="1" spans="1:13">
      <c r="A6260" s="41">
        <f>IF(C6260="","",SUBTOTAL(103,$C$2:C6260))</f>
        <v>6251</v>
      </c>
      <c r="B6260" s="41">
        <v>5061</v>
      </c>
      <c r="C6260" s="54">
        <v>7333</v>
      </c>
      <c r="D6260" s="54" t="s">
        <v>19</v>
      </c>
      <c r="E6260" s="54" t="s">
        <v>20</v>
      </c>
      <c r="F6260" s="54" t="s">
        <v>7249</v>
      </c>
      <c r="G6260" s="54" t="s">
        <v>19061</v>
      </c>
      <c r="H6260" s="54" t="s">
        <v>19062</v>
      </c>
      <c r="I6260" s="43">
        <v>12</v>
      </c>
      <c r="J6260" s="44" t="str">
        <f>VLOOKUP(G6260,[1]硬件清单!$F:$F,1,0)</f>
        <v>FD01630R14F</v>
      </c>
      <c r="K6260" s="43"/>
      <c r="L6260" s="44"/>
      <c r="M6260" s="45" t="s">
        <v>19063</v>
      </c>
    </row>
    <row r="6261" s="29" customFormat="1" ht="30" customHeight="1" spans="1:13">
      <c r="A6261" s="41">
        <f>IF(C6261="","",SUBTOTAL(103,$C$2:C6261))</f>
        <v>6252</v>
      </c>
      <c r="B6261" s="41">
        <v>5064</v>
      </c>
      <c r="C6261" s="54">
        <v>7275</v>
      </c>
      <c r="D6261" s="54" t="s">
        <v>161</v>
      </c>
      <c r="E6261" s="54" t="s">
        <v>238</v>
      </c>
      <c r="F6261" s="54" t="s">
        <v>2046</v>
      </c>
      <c r="G6261" s="54" t="s">
        <v>19064</v>
      </c>
      <c r="H6261" s="54" t="s">
        <v>19065</v>
      </c>
      <c r="I6261" s="43">
        <v>12</v>
      </c>
      <c r="J6261" s="44" t="str">
        <f>VLOOKUP(G6261,[1]硬件清单!$F:$F,1,0)</f>
        <v>AMS16030997</v>
      </c>
      <c r="K6261" s="43"/>
      <c r="L6261" s="44"/>
      <c r="M6261" s="45" t="s">
        <v>19066</v>
      </c>
    </row>
    <row r="6262" s="29" customFormat="1" ht="30" customHeight="1" spans="1:13">
      <c r="A6262" s="41">
        <f>IF(C6262="","",SUBTOTAL(103,$C$2:C6262))</f>
        <v>6253</v>
      </c>
      <c r="B6262" s="41">
        <v>5065</v>
      </c>
      <c r="C6262" s="54">
        <v>7276</v>
      </c>
      <c r="D6262" s="54" t="s">
        <v>161</v>
      </c>
      <c r="E6262" s="54" t="s">
        <v>238</v>
      </c>
      <c r="F6262" s="54" t="s">
        <v>2046</v>
      </c>
      <c r="G6262" s="54" t="s">
        <v>19067</v>
      </c>
      <c r="H6262" s="54" t="s">
        <v>19068</v>
      </c>
      <c r="I6262" s="43">
        <v>12</v>
      </c>
      <c r="J6262" s="44" t="str">
        <f>VLOOKUP(G6262,[1]硬件清单!$F:$F,1,0)</f>
        <v>AMS15470269</v>
      </c>
      <c r="K6262" s="43"/>
      <c r="L6262" s="44"/>
      <c r="M6262" s="45" t="s">
        <v>19069</v>
      </c>
    </row>
    <row r="6263" s="29" customFormat="1" ht="30" customHeight="1" spans="1:13">
      <c r="A6263" s="41">
        <f>IF(C6263="","",SUBTOTAL(103,$C$2:C6263))</f>
        <v>6254</v>
      </c>
      <c r="B6263" s="41">
        <v>5066</v>
      </c>
      <c r="C6263" s="54">
        <v>7292</v>
      </c>
      <c r="D6263" s="54" t="s">
        <v>161</v>
      </c>
      <c r="E6263" s="54" t="s">
        <v>19070</v>
      </c>
      <c r="F6263" s="54" t="s">
        <v>19071</v>
      </c>
      <c r="G6263" s="54" t="s">
        <v>19072</v>
      </c>
      <c r="H6263" s="54" t="s">
        <v>19073</v>
      </c>
      <c r="I6263" s="43">
        <v>12</v>
      </c>
      <c r="J6263" s="44" t="str">
        <f>VLOOKUP(G6263,[1]硬件清单!$F:$F,1,0)</f>
        <v>FCN00122600085</v>
      </c>
      <c r="K6263" s="43"/>
      <c r="L6263" s="44"/>
      <c r="M6263" s="45" t="s">
        <v>19074</v>
      </c>
    </row>
    <row r="6264" s="29" customFormat="1" ht="30" customHeight="1" spans="1:13">
      <c r="A6264" s="41">
        <f>IF(C6264="","",SUBTOTAL(103,$C$2:C6264))</f>
        <v>6255</v>
      </c>
      <c r="B6264" s="41">
        <v>5067</v>
      </c>
      <c r="C6264" s="54">
        <v>8138</v>
      </c>
      <c r="D6264" s="54" t="s">
        <v>887</v>
      </c>
      <c r="E6264" s="54" t="s">
        <v>888</v>
      </c>
      <c r="F6264" s="54" t="s">
        <v>9629</v>
      </c>
      <c r="G6264" s="54" t="s">
        <v>19075</v>
      </c>
      <c r="H6264" s="54" t="s">
        <v>19076</v>
      </c>
      <c r="I6264" s="43">
        <v>12</v>
      </c>
      <c r="J6264" s="44" t="str">
        <f>VLOOKUP(G6264,[1]硬件清单!$F:$F,1,0)</f>
        <v>2C42144YEE</v>
      </c>
      <c r="K6264" s="43"/>
      <c r="L6264" s="44"/>
      <c r="M6264" s="45" t="s">
        <v>19077</v>
      </c>
    </row>
    <row r="6265" s="29" customFormat="1" ht="30" customHeight="1" spans="1:13">
      <c r="A6265" s="41">
        <f>IF(C6265="","",SUBTOTAL(103,$C$2:C6265))</f>
        <v>6256</v>
      </c>
      <c r="B6265" s="41">
        <v>5068</v>
      </c>
      <c r="C6265" s="54">
        <v>3351</v>
      </c>
      <c r="D6265" s="54" t="s">
        <v>45</v>
      </c>
      <c r="E6265" s="54" t="s">
        <v>1298</v>
      </c>
      <c r="F6265" s="54" t="s">
        <v>5883</v>
      </c>
      <c r="G6265" s="54" t="s">
        <v>19078</v>
      </c>
      <c r="H6265" s="54" t="s">
        <v>19079</v>
      </c>
      <c r="I6265" s="43">
        <v>12</v>
      </c>
      <c r="J6265" s="44" t="str">
        <f>VLOOKUP(G6265,[1]硬件清单!$F:$F,1,0)</f>
        <v>JB15YL2</v>
      </c>
      <c r="K6265" s="43"/>
      <c r="L6265" s="44"/>
      <c r="M6265" s="45" t="s">
        <v>19080</v>
      </c>
    </row>
    <row r="6266" s="29" customFormat="1" ht="30" customHeight="1" spans="1:13">
      <c r="A6266" s="41">
        <f>IF(C6266="","",SUBTOTAL(103,$C$2:C6266))</f>
        <v>6257</v>
      </c>
      <c r="B6266" s="41">
        <v>5069</v>
      </c>
      <c r="C6266" s="54">
        <v>115</v>
      </c>
      <c r="D6266" s="54" t="s">
        <v>45</v>
      </c>
      <c r="E6266" s="54" t="s">
        <v>1298</v>
      </c>
      <c r="F6266" s="54" t="s">
        <v>5887</v>
      </c>
      <c r="G6266" s="54" t="s">
        <v>19081</v>
      </c>
      <c r="H6266" s="54" t="s">
        <v>19082</v>
      </c>
      <c r="I6266" s="43">
        <v>12</v>
      </c>
      <c r="J6266" s="44" t="str">
        <f>VLOOKUP(G6266,[1]硬件清单!$F:$F,1,0)</f>
        <v>JB4YVL2</v>
      </c>
      <c r="K6266" s="43"/>
      <c r="L6266" s="44"/>
      <c r="M6266" s="45" t="s">
        <v>19083</v>
      </c>
    </row>
    <row r="6267" s="29" customFormat="1" ht="30" customHeight="1" spans="1:13">
      <c r="A6267" s="41">
        <f>IF(C6267="","",SUBTOTAL(103,$C$2:C6267))</f>
        <v>6258</v>
      </c>
      <c r="B6267" s="41">
        <v>5070</v>
      </c>
      <c r="C6267" s="54">
        <v>124</v>
      </c>
      <c r="D6267" s="54" t="s">
        <v>45</v>
      </c>
      <c r="E6267" s="54" t="s">
        <v>1298</v>
      </c>
      <c r="F6267" s="54" t="s">
        <v>5887</v>
      </c>
      <c r="G6267" s="54" t="s">
        <v>19084</v>
      </c>
      <c r="H6267" s="54" t="s">
        <v>19085</v>
      </c>
      <c r="I6267" s="43">
        <v>12</v>
      </c>
      <c r="J6267" s="44" t="str">
        <f>VLOOKUP(G6267,[1]硬件清单!$F:$F,1,0)</f>
        <v>JB55KL2</v>
      </c>
      <c r="K6267" s="43"/>
      <c r="L6267" s="44"/>
      <c r="M6267" s="45" t="s">
        <v>19086</v>
      </c>
    </row>
    <row r="6268" s="29" customFormat="1" ht="30" customHeight="1" spans="1:13">
      <c r="A6268" s="41">
        <f>IF(C6268="","",SUBTOTAL(103,$C$2:C6268))</f>
        <v>6259</v>
      </c>
      <c r="B6268" s="41">
        <v>5071</v>
      </c>
      <c r="C6268" s="54">
        <v>123</v>
      </c>
      <c r="D6268" s="54" t="s">
        <v>45</v>
      </c>
      <c r="E6268" s="54" t="s">
        <v>1298</v>
      </c>
      <c r="F6268" s="54" t="s">
        <v>5887</v>
      </c>
      <c r="G6268" s="54" t="s">
        <v>19087</v>
      </c>
      <c r="H6268" s="54" t="s">
        <v>19088</v>
      </c>
      <c r="I6268" s="43">
        <v>12</v>
      </c>
      <c r="J6268" s="44" t="str">
        <f>VLOOKUP(G6268,[1]硬件清单!$F:$F,1,0)</f>
        <v>JB57YL2</v>
      </c>
      <c r="K6268" s="43"/>
      <c r="L6268" s="44"/>
      <c r="M6268" s="45" t="s">
        <v>19089</v>
      </c>
    </row>
    <row r="6269" s="29" customFormat="1" ht="30" customHeight="1" spans="1:13">
      <c r="A6269" s="41">
        <f>IF(C6269="","",SUBTOTAL(103,$C$2:C6269))</f>
        <v>6260</v>
      </c>
      <c r="B6269" s="41">
        <v>5072</v>
      </c>
      <c r="C6269" s="54">
        <v>120</v>
      </c>
      <c r="D6269" s="54" t="s">
        <v>45</v>
      </c>
      <c r="E6269" s="54" t="s">
        <v>1298</v>
      </c>
      <c r="F6269" s="54" t="s">
        <v>5887</v>
      </c>
      <c r="G6269" s="54" t="s">
        <v>19090</v>
      </c>
      <c r="H6269" s="54" t="s">
        <v>19091</v>
      </c>
      <c r="I6269" s="43">
        <v>12</v>
      </c>
      <c r="J6269" s="44" t="str">
        <f>VLOOKUP(G6269,[1]硬件清单!$F:$F,1,0)</f>
        <v>JB5VVL2</v>
      </c>
      <c r="K6269" s="43"/>
      <c r="L6269" s="44"/>
      <c r="M6269" s="45" t="s">
        <v>19092</v>
      </c>
    </row>
    <row r="6270" s="29" customFormat="1" ht="30" customHeight="1" spans="1:13">
      <c r="A6270" s="41">
        <f>IF(C6270="","",SUBTOTAL(103,$C$2:C6270))</f>
        <v>6261</v>
      </c>
      <c r="B6270" s="41">
        <v>5073</v>
      </c>
      <c r="C6270" s="54">
        <v>121</v>
      </c>
      <c r="D6270" s="54" t="s">
        <v>45</v>
      </c>
      <c r="E6270" s="54" t="s">
        <v>1298</v>
      </c>
      <c r="F6270" s="54" t="s">
        <v>5887</v>
      </c>
      <c r="G6270" s="54" t="s">
        <v>19093</v>
      </c>
      <c r="H6270" s="54" t="s">
        <v>19094</v>
      </c>
      <c r="I6270" s="43">
        <v>12</v>
      </c>
      <c r="J6270" s="44" t="str">
        <f>VLOOKUP(G6270,[1]硬件清单!$F:$F,1,0)</f>
        <v>JB5YVL2</v>
      </c>
      <c r="K6270" s="43"/>
      <c r="L6270" s="44"/>
      <c r="M6270" s="45" t="s">
        <v>19095</v>
      </c>
    </row>
    <row r="6271" s="29" customFormat="1" ht="30" customHeight="1" spans="1:13">
      <c r="A6271" s="41">
        <f>IF(C6271="","",SUBTOTAL(103,$C$2:C6271))</f>
        <v>6262</v>
      </c>
      <c r="B6271" s="41">
        <v>5074</v>
      </c>
      <c r="C6271" s="54">
        <v>125</v>
      </c>
      <c r="D6271" s="54" t="s">
        <v>45</v>
      </c>
      <c r="E6271" s="54" t="s">
        <v>1298</v>
      </c>
      <c r="F6271" s="54" t="s">
        <v>5887</v>
      </c>
      <c r="G6271" s="54" t="s">
        <v>19096</v>
      </c>
      <c r="H6271" s="54" t="s">
        <v>19097</v>
      </c>
      <c r="I6271" s="43">
        <v>12</v>
      </c>
      <c r="J6271" s="44" t="str">
        <f>VLOOKUP(G6271,[1]硬件清单!$F:$F,1,0)</f>
        <v>JB60WL2</v>
      </c>
      <c r="K6271" s="43"/>
      <c r="L6271" s="44"/>
      <c r="M6271" s="45" t="s">
        <v>19098</v>
      </c>
    </row>
    <row r="6272" s="29" customFormat="1" ht="30" customHeight="1" spans="1:13">
      <c r="A6272" s="41">
        <f>IF(C6272="","",SUBTOTAL(103,$C$2:C6272))</f>
        <v>6263</v>
      </c>
      <c r="B6272" s="41">
        <v>5075</v>
      </c>
      <c r="C6272" s="54">
        <v>122</v>
      </c>
      <c r="D6272" s="54" t="s">
        <v>45</v>
      </c>
      <c r="E6272" s="54" t="s">
        <v>1298</v>
      </c>
      <c r="F6272" s="54" t="s">
        <v>5887</v>
      </c>
      <c r="G6272" s="54" t="s">
        <v>19099</v>
      </c>
      <c r="H6272" s="54" t="s">
        <v>19100</v>
      </c>
      <c r="I6272" s="43">
        <v>12</v>
      </c>
      <c r="J6272" s="44" t="str">
        <f>VLOOKUP(G6272,[1]硬件清单!$F:$F,1,0)</f>
        <v>JB60YL2</v>
      </c>
      <c r="K6272" s="43"/>
      <c r="L6272" s="44"/>
      <c r="M6272" s="45" t="s">
        <v>19101</v>
      </c>
    </row>
    <row r="6273" s="29" customFormat="1" ht="30" customHeight="1" spans="1:13">
      <c r="A6273" s="41">
        <f>IF(C6273="","",SUBTOTAL(103,$C$2:C6273))</f>
        <v>6264</v>
      </c>
      <c r="B6273" s="41">
        <v>5076</v>
      </c>
      <c r="C6273" s="54">
        <v>116</v>
      </c>
      <c r="D6273" s="54" t="s">
        <v>45</v>
      </c>
      <c r="E6273" s="54" t="s">
        <v>1298</v>
      </c>
      <c r="F6273" s="54" t="s">
        <v>5887</v>
      </c>
      <c r="G6273" s="54" t="s">
        <v>19102</v>
      </c>
      <c r="H6273" s="54" t="s">
        <v>19103</v>
      </c>
      <c r="I6273" s="43">
        <v>12</v>
      </c>
      <c r="J6273" s="44" t="str">
        <f>VLOOKUP(G6273,[1]硬件清单!$F:$F,1,0)</f>
        <v>JB62KL2</v>
      </c>
      <c r="K6273" s="43"/>
      <c r="L6273" s="44"/>
      <c r="M6273" s="45" t="s">
        <v>19104</v>
      </c>
    </row>
    <row r="6274" s="29" customFormat="1" ht="30" customHeight="1" spans="1:13">
      <c r="A6274" s="41">
        <f>IF(C6274="","",SUBTOTAL(103,$C$2:C6274))</f>
        <v>6265</v>
      </c>
      <c r="B6274" s="41">
        <v>5077</v>
      </c>
      <c r="C6274" s="54">
        <v>118</v>
      </c>
      <c r="D6274" s="54" t="s">
        <v>45</v>
      </c>
      <c r="E6274" s="54" t="s">
        <v>1298</v>
      </c>
      <c r="F6274" s="54" t="s">
        <v>5887</v>
      </c>
      <c r="G6274" s="54" t="s">
        <v>19105</v>
      </c>
      <c r="H6274" s="54" t="s">
        <v>19106</v>
      </c>
      <c r="I6274" s="43">
        <v>12</v>
      </c>
      <c r="J6274" s="44" t="str">
        <f>VLOOKUP(G6274,[1]硬件清单!$F:$F,1,0)</f>
        <v>JB63YL2</v>
      </c>
      <c r="K6274" s="43"/>
      <c r="L6274" s="44"/>
      <c r="M6274" s="45" t="s">
        <v>19107</v>
      </c>
    </row>
    <row r="6275" s="29" customFormat="1" ht="30" customHeight="1" spans="1:13">
      <c r="A6275" s="41">
        <f>IF(C6275="","",SUBTOTAL(103,$C$2:C6275))</f>
        <v>6266</v>
      </c>
      <c r="B6275" s="41">
        <v>5078</v>
      </c>
      <c r="C6275" s="54">
        <v>119</v>
      </c>
      <c r="D6275" s="54" t="s">
        <v>45</v>
      </c>
      <c r="E6275" s="54" t="s">
        <v>1298</v>
      </c>
      <c r="F6275" s="54" t="s">
        <v>5887</v>
      </c>
      <c r="G6275" s="54" t="s">
        <v>19108</v>
      </c>
      <c r="H6275" s="54" t="s">
        <v>19109</v>
      </c>
      <c r="I6275" s="43">
        <v>12</v>
      </c>
      <c r="J6275" s="44" t="str">
        <f>VLOOKUP(G6275,[1]硬件清单!$F:$F,1,0)</f>
        <v>JB65YL2</v>
      </c>
      <c r="K6275" s="43"/>
      <c r="L6275" s="44"/>
      <c r="M6275" s="45" t="s">
        <v>19110</v>
      </c>
    </row>
    <row r="6276" s="29" customFormat="1" ht="30" customHeight="1" spans="1:13">
      <c r="A6276" s="41">
        <f>IF(C6276="","",SUBTOTAL(103,$C$2:C6276))</f>
        <v>6267</v>
      </c>
      <c r="B6276" s="41">
        <v>5079</v>
      </c>
      <c r="C6276" s="54">
        <v>117</v>
      </c>
      <c r="D6276" s="54" t="s">
        <v>45</v>
      </c>
      <c r="E6276" s="54" t="s">
        <v>1298</v>
      </c>
      <c r="F6276" s="54" t="s">
        <v>5887</v>
      </c>
      <c r="G6276" s="54" t="s">
        <v>19111</v>
      </c>
      <c r="H6276" s="54" t="s">
        <v>19112</v>
      </c>
      <c r="I6276" s="43">
        <v>12</v>
      </c>
      <c r="J6276" s="44" t="str">
        <f>VLOOKUP(G6276,[1]硬件清单!$F:$F,1,0)</f>
        <v>JB6SVL2</v>
      </c>
      <c r="K6276" s="43"/>
      <c r="L6276" s="44"/>
      <c r="M6276" s="45" t="s">
        <v>19113</v>
      </c>
    </row>
    <row r="6277" s="29" customFormat="1" ht="30" customHeight="1" spans="1:13">
      <c r="A6277" s="41">
        <f>IF(C6277="","",SUBTOTAL(103,$C$2:C6277))</f>
        <v>6268</v>
      </c>
      <c r="B6277" s="41">
        <v>5080</v>
      </c>
      <c r="C6277" s="54">
        <v>126</v>
      </c>
      <c r="D6277" s="54" t="s">
        <v>45</v>
      </c>
      <c r="E6277" s="54" t="s">
        <v>1298</v>
      </c>
      <c r="F6277" s="54" t="s">
        <v>5887</v>
      </c>
      <c r="G6277" s="54" t="s">
        <v>19114</v>
      </c>
      <c r="H6277" s="54" t="s">
        <v>19115</v>
      </c>
      <c r="I6277" s="43">
        <v>12</v>
      </c>
      <c r="J6277" s="44" t="str">
        <f>VLOOKUP(G6277,[1]硬件清单!$F:$F,1,0)</f>
        <v>JB6XVL2</v>
      </c>
      <c r="K6277" s="43"/>
      <c r="L6277" s="44"/>
      <c r="M6277" s="45" t="s">
        <v>19116</v>
      </c>
    </row>
    <row r="6278" s="29" customFormat="1" ht="30" customHeight="1" spans="1:13">
      <c r="A6278" s="41">
        <f>IF(C6278="","",SUBTOTAL(103,$C$2:C6278))</f>
        <v>6269</v>
      </c>
      <c r="B6278" s="41">
        <v>5081</v>
      </c>
      <c r="C6278" s="54">
        <v>3573</v>
      </c>
      <c r="D6278" s="54" t="s">
        <v>19</v>
      </c>
      <c r="E6278" s="54" t="s">
        <v>20</v>
      </c>
      <c r="F6278" s="54" t="s">
        <v>19117</v>
      </c>
      <c r="G6278" s="54" t="s">
        <v>19118</v>
      </c>
      <c r="H6278" s="54" t="s">
        <v>19119</v>
      </c>
      <c r="I6278" s="43">
        <v>12</v>
      </c>
      <c r="J6278" s="44" t="str">
        <f>VLOOKUP(G6278,[1]硬件清单!$F:$F,1,0)</f>
        <v>2100235A1XCH178000011</v>
      </c>
      <c r="K6278" s="43"/>
      <c r="L6278" s="44"/>
      <c r="M6278" s="45" t="s">
        <v>19120</v>
      </c>
    </row>
    <row r="6279" s="29" customFormat="1" ht="30" customHeight="1" spans="1:13">
      <c r="A6279" s="41">
        <f>IF(C6279="","",SUBTOTAL(103,$C$2:C6279))</f>
        <v>6270</v>
      </c>
      <c r="B6279" s="41">
        <v>5082</v>
      </c>
      <c r="C6279" s="54">
        <v>3572</v>
      </c>
      <c r="D6279" s="54" t="s">
        <v>19</v>
      </c>
      <c r="E6279" s="54" t="s">
        <v>20</v>
      </c>
      <c r="F6279" s="54" t="s">
        <v>19117</v>
      </c>
      <c r="G6279" s="54" t="s">
        <v>19121</v>
      </c>
      <c r="H6279" s="54" t="s">
        <v>19122</v>
      </c>
      <c r="I6279" s="43">
        <v>12</v>
      </c>
      <c r="J6279" s="44" t="str">
        <f>VLOOKUP(G6279,[1]硬件清单!$F:$F,1,0)</f>
        <v>2100235A1XCH178000079</v>
      </c>
      <c r="K6279" s="43"/>
      <c r="L6279" s="44"/>
      <c r="M6279" s="45" t="s">
        <v>19123</v>
      </c>
    </row>
    <row r="6280" s="29" customFormat="1" ht="30" customHeight="1" spans="1:13">
      <c r="A6280" s="41">
        <f>IF(C6280="","",SUBTOTAL(103,$C$2:C6280))</f>
        <v>6271</v>
      </c>
      <c r="B6280" s="41">
        <v>5083</v>
      </c>
      <c r="C6280" s="54">
        <v>8139</v>
      </c>
      <c r="D6280" s="54" t="s">
        <v>887</v>
      </c>
      <c r="E6280" s="54" t="s">
        <v>888</v>
      </c>
      <c r="F6280" s="54" t="s">
        <v>9629</v>
      </c>
      <c r="G6280" s="54" t="s">
        <v>19124</v>
      </c>
      <c r="H6280" s="54" t="s">
        <v>19125</v>
      </c>
      <c r="I6280" s="43">
        <v>12</v>
      </c>
      <c r="J6280" s="44" t="str">
        <f>VLOOKUP(G6280,[1]硬件清单!$F:$F,1,0)</f>
        <v>2C42144YHH</v>
      </c>
      <c r="K6280" s="43"/>
      <c r="L6280" s="44"/>
      <c r="M6280" s="45" t="s">
        <v>19126</v>
      </c>
    </row>
    <row r="6281" s="29" customFormat="1" ht="30" customHeight="1" spans="1:13">
      <c r="A6281" s="41">
        <f>IF(C6281="","",SUBTOTAL(103,$C$2:C6281))</f>
        <v>6272</v>
      </c>
      <c r="B6281" s="41">
        <v>5084</v>
      </c>
      <c r="C6281" s="54">
        <v>6889</v>
      </c>
      <c r="D6281" s="54" t="s">
        <v>45</v>
      </c>
      <c r="E6281" s="54" t="s">
        <v>1298</v>
      </c>
      <c r="F6281" s="54" t="s">
        <v>6965</v>
      </c>
      <c r="G6281" s="54" t="s">
        <v>19127</v>
      </c>
      <c r="H6281" s="54" t="s">
        <v>19128</v>
      </c>
      <c r="I6281" s="43">
        <v>12</v>
      </c>
      <c r="J6281" s="44" t="str">
        <f>VLOOKUP(G6281,[1]硬件清单!$F:$F,1,0)</f>
        <v>06CT299</v>
      </c>
      <c r="K6281" s="43"/>
      <c r="L6281" s="44"/>
      <c r="M6281" s="45" t="s">
        <v>19129</v>
      </c>
    </row>
    <row r="6282" s="29" customFormat="1" ht="30" customHeight="1" spans="1:13">
      <c r="A6282" s="41">
        <f>IF(C6282="","",SUBTOTAL(103,$C$2:C6282))</f>
        <v>6273</v>
      </c>
      <c r="B6282" s="41">
        <v>5085</v>
      </c>
      <c r="C6282" s="54">
        <v>6890</v>
      </c>
      <c r="D6282" s="54" t="s">
        <v>45</v>
      </c>
      <c r="E6282" s="54" t="s">
        <v>1298</v>
      </c>
      <c r="F6282" s="54" t="s">
        <v>6965</v>
      </c>
      <c r="G6282" s="54" t="s">
        <v>19130</v>
      </c>
      <c r="H6282" s="54" t="s">
        <v>19131</v>
      </c>
      <c r="I6282" s="43">
        <v>12</v>
      </c>
      <c r="J6282" s="44" t="str">
        <f>VLOOKUP(G6282,[1]硬件清单!$F:$F,1,0)</f>
        <v>06CP875</v>
      </c>
      <c r="K6282" s="43"/>
      <c r="L6282" s="44"/>
      <c r="M6282" s="45" t="s">
        <v>19132</v>
      </c>
    </row>
    <row r="6283" s="29" customFormat="1" ht="30" customHeight="1" spans="1:13">
      <c r="A6283" s="41">
        <f>IF(C6283="","",SUBTOTAL(103,$C$2:C6283))</f>
        <v>6274</v>
      </c>
      <c r="B6283" s="41">
        <v>5086</v>
      </c>
      <c r="C6283" s="54">
        <v>6891</v>
      </c>
      <c r="D6283" s="54" t="s">
        <v>45</v>
      </c>
      <c r="E6283" s="54" t="s">
        <v>1298</v>
      </c>
      <c r="F6283" s="54" t="s">
        <v>6965</v>
      </c>
      <c r="G6283" s="54" t="s">
        <v>19133</v>
      </c>
      <c r="H6283" s="54" t="s">
        <v>19134</v>
      </c>
      <c r="I6283" s="43">
        <v>12</v>
      </c>
      <c r="J6283" s="44" t="str">
        <f>VLOOKUP(G6283,[1]硬件清单!$F:$F,1,0)</f>
        <v>06CP871</v>
      </c>
      <c r="K6283" s="43"/>
      <c r="L6283" s="44"/>
      <c r="M6283" s="45" t="s">
        <v>19135</v>
      </c>
    </row>
    <row r="6284" s="29" customFormat="1" ht="30" customHeight="1" spans="1:13">
      <c r="A6284" s="41">
        <f>IF(C6284="","",SUBTOTAL(103,$C$2:C6284))</f>
        <v>6275</v>
      </c>
      <c r="B6284" s="41">
        <v>5087</v>
      </c>
      <c r="C6284" s="54">
        <v>6887</v>
      </c>
      <c r="D6284" s="54" t="s">
        <v>45</v>
      </c>
      <c r="E6284" s="54" t="s">
        <v>1298</v>
      </c>
      <c r="F6284" s="54" t="s">
        <v>6965</v>
      </c>
      <c r="G6284" s="54" t="s">
        <v>19136</v>
      </c>
      <c r="H6284" s="54" t="s">
        <v>19137</v>
      </c>
      <c r="I6284" s="43">
        <v>12</v>
      </c>
      <c r="J6284" s="44" t="str">
        <f>VLOOKUP(G6284,[1]硬件清单!$F:$F,1,0)</f>
        <v>06CT280</v>
      </c>
      <c r="K6284" s="43"/>
      <c r="L6284" s="44"/>
      <c r="M6284" s="45" t="s">
        <v>19138</v>
      </c>
    </row>
    <row r="6285" s="29" customFormat="1" ht="30" customHeight="1" spans="1:13">
      <c r="A6285" s="41">
        <f>IF(C6285="","",SUBTOTAL(103,$C$2:C6285))</f>
        <v>6276</v>
      </c>
      <c r="B6285" s="41">
        <v>5088</v>
      </c>
      <c r="C6285" s="54">
        <v>6892</v>
      </c>
      <c r="D6285" s="54" t="s">
        <v>45</v>
      </c>
      <c r="E6285" s="54" t="s">
        <v>1298</v>
      </c>
      <c r="F6285" s="54" t="s">
        <v>6965</v>
      </c>
      <c r="G6285" s="54" t="s">
        <v>19139</v>
      </c>
      <c r="H6285" s="54" t="s">
        <v>19140</v>
      </c>
      <c r="I6285" s="43">
        <v>12</v>
      </c>
      <c r="J6285" s="44" t="str">
        <f>VLOOKUP(G6285,[1]硬件清单!$F:$F,1,0)</f>
        <v>06CT344</v>
      </c>
      <c r="K6285" s="43"/>
      <c r="L6285" s="44"/>
      <c r="M6285" s="45" t="s">
        <v>19141</v>
      </c>
    </row>
    <row r="6286" s="29" customFormat="1" ht="30" customHeight="1" spans="1:13">
      <c r="A6286" s="41">
        <f>IF(C6286="","",SUBTOTAL(103,$C$2:C6286))</f>
        <v>6277</v>
      </c>
      <c r="B6286" s="41">
        <v>5089</v>
      </c>
      <c r="C6286" s="54">
        <v>6893</v>
      </c>
      <c r="D6286" s="54" t="s">
        <v>45</v>
      </c>
      <c r="E6286" s="54" t="s">
        <v>1298</v>
      </c>
      <c r="F6286" s="54" t="s">
        <v>6965</v>
      </c>
      <c r="G6286" s="54" t="s">
        <v>19142</v>
      </c>
      <c r="H6286" s="54" t="s">
        <v>19143</v>
      </c>
      <c r="I6286" s="43">
        <v>12</v>
      </c>
      <c r="J6286" s="44" t="str">
        <f>VLOOKUP(G6286,[1]硬件清单!$F:$F,1,0)</f>
        <v>06CT311</v>
      </c>
      <c r="K6286" s="43"/>
      <c r="L6286" s="44"/>
      <c r="M6286" s="45" t="s">
        <v>19144</v>
      </c>
    </row>
    <row r="6287" s="29" customFormat="1" ht="30" customHeight="1" spans="1:13">
      <c r="A6287" s="41">
        <f>IF(C6287="","",SUBTOTAL(103,$C$2:C6287))</f>
        <v>6278</v>
      </c>
      <c r="B6287" s="41">
        <v>5090</v>
      </c>
      <c r="C6287" s="54">
        <v>6894</v>
      </c>
      <c r="D6287" s="54" t="s">
        <v>45</v>
      </c>
      <c r="E6287" s="54" t="s">
        <v>1298</v>
      </c>
      <c r="F6287" s="54" t="s">
        <v>6965</v>
      </c>
      <c r="G6287" s="54" t="s">
        <v>19145</v>
      </c>
      <c r="H6287" s="54" t="s">
        <v>19146</v>
      </c>
      <c r="I6287" s="43">
        <v>12</v>
      </c>
      <c r="J6287" s="44" t="str">
        <f>VLOOKUP(G6287,[1]硬件清单!$F:$F,1,0)</f>
        <v>06CT291</v>
      </c>
      <c r="K6287" s="43"/>
      <c r="L6287" s="44"/>
      <c r="M6287" s="45" t="s">
        <v>19147</v>
      </c>
    </row>
    <row r="6288" s="29" customFormat="1" ht="30" customHeight="1" spans="1:13">
      <c r="A6288" s="41">
        <f>IF(C6288="","",SUBTOTAL(103,$C$2:C6288))</f>
        <v>6279</v>
      </c>
      <c r="B6288" s="41">
        <v>5091</v>
      </c>
      <c r="C6288" s="54">
        <v>6888</v>
      </c>
      <c r="D6288" s="54" t="s">
        <v>45</v>
      </c>
      <c r="E6288" s="54" t="s">
        <v>1298</v>
      </c>
      <c r="F6288" s="54" t="s">
        <v>6965</v>
      </c>
      <c r="G6288" s="54" t="s">
        <v>19148</v>
      </c>
      <c r="H6288" s="54" t="s">
        <v>19149</v>
      </c>
      <c r="I6288" s="43">
        <v>12</v>
      </c>
      <c r="J6288" s="44" t="str">
        <f>VLOOKUP(G6288,[1]硬件清单!$F:$F,1,0)</f>
        <v>06CT338</v>
      </c>
      <c r="K6288" s="43"/>
      <c r="L6288" s="44"/>
      <c r="M6288" s="45" t="s">
        <v>19150</v>
      </c>
    </row>
    <row r="6289" s="29" customFormat="1" ht="30" customHeight="1" spans="1:13">
      <c r="A6289" s="41">
        <f>IF(C6289="","",SUBTOTAL(103,$C$2:C6289))</f>
        <v>6280</v>
      </c>
      <c r="B6289" s="41">
        <v>5092</v>
      </c>
      <c r="C6289" s="54">
        <v>6897</v>
      </c>
      <c r="D6289" s="54" t="s">
        <v>45</v>
      </c>
      <c r="E6289" s="54" t="s">
        <v>1298</v>
      </c>
      <c r="F6289" s="54" t="s">
        <v>6965</v>
      </c>
      <c r="G6289" s="54" t="s">
        <v>19151</v>
      </c>
      <c r="H6289" s="54" t="s">
        <v>19152</v>
      </c>
      <c r="I6289" s="43">
        <v>12</v>
      </c>
      <c r="J6289" s="44" t="str">
        <f>VLOOKUP(G6289,[1]硬件清单!$F:$F,1,0)</f>
        <v>06CT332</v>
      </c>
      <c r="K6289" s="43"/>
      <c r="L6289" s="44"/>
      <c r="M6289" s="45" t="s">
        <v>19153</v>
      </c>
    </row>
    <row r="6290" s="29" customFormat="1" ht="30" customHeight="1" spans="1:13">
      <c r="A6290" s="41">
        <f>IF(C6290="","",SUBTOTAL(103,$C$2:C6290))</f>
        <v>6281</v>
      </c>
      <c r="B6290" s="41">
        <v>5093</v>
      </c>
      <c r="C6290" s="54">
        <v>6898</v>
      </c>
      <c r="D6290" s="54" t="s">
        <v>45</v>
      </c>
      <c r="E6290" s="54" t="s">
        <v>1298</v>
      </c>
      <c r="F6290" s="54" t="s">
        <v>6965</v>
      </c>
      <c r="G6290" s="54" t="s">
        <v>19154</v>
      </c>
      <c r="H6290" s="54" t="s">
        <v>19155</v>
      </c>
      <c r="I6290" s="43">
        <v>12</v>
      </c>
      <c r="J6290" s="44" t="str">
        <f>VLOOKUP(G6290,[1]硬件清单!$F:$F,1,0)</f>
        <v>06CT303</v>
      </c>
      <c r="K6290" s="43"/>
      <c r="L6290" s="44"/>
      <c r="M6290" s="45" t="s">
        <v>19156</v>
      </c>
    </row>
    <row r="6291" s="29" customFormat="1" ht="30" customHeight="1" spans="1:13">
      <c r="A6291" s="41">
        <f>IF(C6291="","",SUBTOTAL(103,$C$2:C6291))</f>
        <v>6282</v>
      </c>
      <c r="B6291" s="41">
        <v>5094</v>
      </c>
      <c r="C6291" s="54">
        <v>6899</v>
      </c>
      <c r="D6291" s="54" t="s">
        <v>45</v>
      </c>
      <c r="E6291" s="54" t="s">
        <v>1298</v>
      </c>
      <c r="F6291" s="54" t="s">
        <v>6965</v>
      </c>
      <c r="G6291" s="54" t="s">
        <v>19157</v>
      </c>
      <c r="H6291" s="54" t="s">
        <v>19158</v>
      </c>
      <c r="I6291" s="43">
        <v>12</v>
      </c>
      <c r="J6291" s="44" t="str">
        <f>VLOOKUP(G6291,[1]硬件清单!$F:$F,1,0)</f>
        <v>06CT287</v>
      </c>
      <c r="K6291" s="43"/>
      <c r="L6291" s="44"/>
      <c r="M6291" s="45" t="s">
        <v>19159</v>
      </c>
    </row>
    <row r="6292" s="29" customFormat="1" ht="30" customHeight="1" spans="1:13">
      <c r="A6292" s="41">
        <f>IF(C6292="","",SUBTOTAL(103,$C$2:C6292))</f>
        <v>6283</v>
      </c>
      <c r="B6292" s="41">
        <v>5095</v>
      </c>
      <c r="C6292" s="54">
        <v>6895</v>
      </c>
      <c r="D6292" s="54" t="s">
        <v>45</v>
      </c>
      <c r="E6292" s="54" t="s">
        <v>1298</v>
      </c>
      <c r="F6292" s="54" t="s">
        <v>6965</v>
      </c>
      <c r="G6292" s="54" t="s">
        <v>19160</v>
      </c>
      <c r="H6292" s="54" t="s">
        <v>19161</v>
      </c>
      <c r="I6292" s="43">
        <v>12</v>
      </c>
      <c r="J6292" s="44" t="str">
        <f>VLOOKUP(G6292,[1]硬件清单!$F:$F,1,0)</f>
        <v>06CT289</v>
      </c>
      <c r="K6292" s="43"/>
      <c r="L6292" s="44"/>
      <c r="M6292" s="45" t="s">
        <v>19162</v>
      </c>
    </row>
    <row r="6293" s="29" customFormat="1" ht="30" customHeight="1" spans="1:13">
      <c r="A6293" s="41">
        <f>IF(C6293="","",SUBTOTAL(103,$C$2:C6293))</f>
        <v>6284</v>
      </c>
      <c r="B6293" s="41">
        <v>5096</v>
      </c>
      <c r="C6293" s="54">
        <v>6900</v>
      </c>
      <c r="D6293" s="54" t="s">
        <v>45</v>
      </c>
      <c r="E6293" s="54" t="s">
        <v>1298</v>
      </c>
      <c r="F6293" s="54" t="s">
        <v>6965</v>
      </c>
      <c r="G6293" s="54" t="s">
        <v>19163</v>
      </c>
      <c r="H6293" s="54" t="s">
        <v>19164</v>
      </c>
      <c r="I6293" s="43">
        <v>12</v>
      </c>
      <c r="J6293" s="44" t="str">
        <f>VLOOKUP(G6293,[1]硬件清单!$F:$F,1,0)</f>
        <v>06CT296</v>
      </c>
      <c r="K6293" s="43"/>
      <c r="L6293" s="44"/>
      <c r="M6293" s="45" t="s">
        <v>19165</v>
      </c>
    </row>
    <row r="6294" s="29" customFormat="1" ht="30" customHeight="1" spans="1:13">
      <c r="A6294" s="41">
        <f>IF(C6294="","",SUBTOTAL(103,$C$2:C6294))</f>
        <v>6285</v>
      </c>
      <c r="B6294" s="41">
        <v>5097</v>
      </c>
      <c r="C6294" s="54">
        <v>6901</v>
      </c>
      <c r="D6294" s="54" t="s">
        <v>45</v>
      </c>
      <c r="E6294" s="54" t="s">
        <v>1298</v>
      </c>
      <c r="F6294" s="54" t="s">
        <v>6965</v>
      </c>
      <c r="G6294" s="54" t="s">
        <v>19166</v>
      </c>
      <c r="H6294" s="54" t="s">
        <v>19167</v>
      </c>
      <c r="I6294" s="43">
        <v>12</v>
      </c>
      <c r="J6294" s="44" t="str">
        <f>VLOOKUP(G6294,[1]硬件清单!$F:$F,1,0)</f>
        <v>06CT294</v>
      </c>
      <c r="K6294" s="43"/>
      <c r="L6294" s="44"/>
      <c r="M6294" s="45" t="s">
        <v>19168</v>
      </c>
    </row>
    <row r="6295" s="29" customFormat="1" ht="30" customHeight="1" spans="1:13">
      <c r="A6295" s="41">
        <f>IF(C6295="","",SUBTOTAL(103,$C$2:C6295))</f>
        <v>6286</v>
      </c>
      <c r="B6295" s="41">
        <v>5098</v>
      </c>
      <c r="C6295" s="54">
        <v>6902</v>
      </c>
      <c r="D6295" s="54" t="s">
        <v>45</v>
      </c>
      <c r="E6295" s="54" t="s">
        <v>1298</v>
      </c>
      <c r="F6295" s="54" t="s">
        <v>6965</v>
      </c>
      <c r="G6295" s="54" t="s">
        <v>19169</v>
      </c>
      <c r="H6295" s="54" t="s">
        <v>19170</v>
      </c>
      <c r="I6295" s="43">
        <v>12</v>
      </c>
      <c r="J6295" s="44" t="str">
        <f>VLOOKUP(G6295,[1]硬件清单!$F:$F,1,0)</f>
        <v>06CP860</v>
      </c>
      <c r="K6295" s="43"/>
      <c r="L6295" s="44"/>
      <c r="M6295" s="45" t="s">
        <v>19171</v>
      </c>
    </row>
    <row r="6296" s="29" customFormat="1" ht="30" customHeight="1" spans="1:13">
      <c r="A6296" s="41">
        <f>IF(C6296="","",SUBTOTAL(103,$C$2:C6296))</f>
        <v>6287</v>
      </c>
      <c r="B6296" s="41">
        <v>5099</v>
      </c>
      <c r="C6296" s="54">
        <v>6896</v>
      </c>
      <c r="D6296" s="54" t="s">
        <v>45</v>
      </c>
      <c r="E6296" s="54" t="s">
        <v>1298</v>
      </c>
      <c r="F6296" s="54" t="s">
        <v>6965</v>
      </c>
      <c r="G6296" s="54" t="s">
        <v>19172</v>
      </c>
      <c r="H6296" s="54" t="s">
        <v>19173</v>
      </c>
      <c r="I6296" s="43">
        <v>12</v>
      </c>
      <c r="J6296" s="44" t="str">
        <f>VLOOKUP(G6296,[1]硬件清单!$F:$F,1,0)</f>
        <v>06CP874</v>
      </c>
      <c r="K6296" s="43"/>
      <c r="L6296" s="44"/>
      <c r="M6296" s="45" t="s">
        <v>19174</v>
      </c>
    </row>
    <row r="6297" s="29" customFormat="1" ht="30" customHeight="1" spans="1:13">
      <c r="A6297" s="41">
        <f>IF(C6297="","",SUBTOTAL(103,$C$2:C6297))</f>
        <v>6288</v>
      </c>
      <c r="B6297" s="41">
        <v>5100</v>
      </c>
      <c r="C6297" s="54">
        <v>6905</v>
      </c>
      <c r="D6297" s="54" t="s">
        <v>45</v>
      </c>
      <c r="E6297" s="54" t="s">
        <v>1298</v>
      </c>
      <c r="F6297" s="54" t="s">
        <v>6965</v>
      </c>
      <c r="G6297" s="54" t="s">
        <v>19175</v>
      </c>
      <c r="H6297" s="54" t="s">
        <v>19176</v>
      </c>
      <c r="I6297" s="43">
        <v>12</v>
      </c>
      <c r="J6297" s="44" t="str">
        <f>VLOOKUP(G6297,[1]硬件清单!$F:$F,1,0)</f>
        <v>06CT340</v>
      </c>
      <c r="K6297" s="43"/>
      <c r="L6297" s="44"/>
      <c r="M6297" s="45" t="s">
        <v>19177</v>
      </c>
    </row>
    <row r="6298" s="29" customFormat="1" ht="30" customHeight="1" spans="1:13">
      <c r="A6298" s="41">
        <f>IF(C6298="","",SUBTOTAL(103,$C$2:C6298))</f>
        <v>6289</v>
      </c>
      <c r="B6298" s="41">
        <v>5101</v>
      </c>
      <c r="C6298" s="54">
        <v>6906</v>
      </c>
      <c r="D6298" s="54" t="s">
        <v>45</v>
      </c>
      <c r="E6298" s="54" t="s">
        <v>1298</v>
      </c>
      <c r="F6298" s="54" t="s">
        <v>6965</v>
      </c>
      <c r="G6298" s="54" t="s">
        <v>19178</v>
      </c>
      <c r="H6298" s="54" t="s">
        <v>19179</v>
      </c>
      <c r="I6298" s="43">
        <v>12</v>
      </c>
      <c r="J6298" s="44" t="str">
        <f>VLOOKUP(G6298,[1]硬件清单!$F:$F,1,0)</f>
        <v>06CT286</v>
      </c>
      <c r="K6298" s="43"/>
      <c r="L6298" s="44"/>
      <c r="M6298" s="45" t="s">
        <v>19180</v>
      </c>
    </row>
    <row r="6299" s="29" customFormat="1" ht="30" customHeight="1" spans="1:13">
      <c r="A6299" s="41">
        <f>IF(C6299="","",SUBTOTAL(103,$C$2:C6299))</f>
        <v>6290</v>
      </c>
      <c r="B6299" s="41">
        <v>5102</v>
      </c>
      <c r="C6299" s="54">
        <v>6907</v>
      </c>
      <c r="D6299" s="54" t="s">
        <v>45</v>
      </c>
      <c r="E6299" s="54" t="s">
        <v>1298</v>
      </c>
      <c r="F6299" s="54" t="s">
        <v>6965</v>
      </c>
      <c r="G6299" s="54" t="s">
        <v>19181</v>
      </c>
      <c r="H6299" s="54" t="s">
        <v>19182</v>
      </c>
      <c r="I6299" s="43">
        <v>12</v>
      </c>
      <c r="J6299" s="44" t="str">
        <f>VLOOKUP(G6299,[1]硬件清单!$F:$F,1,0)</f>
        <v>06CT297</v>
      </c>
      <c r="K6299" s="43"/>
      <c r="L6299" s="44"/>
      <c r="M6299" s="45" t="s">
        <v>19183</v>
      </c>
    </row>
    <row r="6300" s="29" customFormat="1" ht="30" customHeight="1" spans="1:13">
      <c r="A6300" s="41">
        <f>IF(C6300="","",SUBTOTAL(103,$C$2:C6300))</f>
        <v>6291</v>
      </c>
      <c r="B6300" s="41">
        <v>5103</v>
      </c>
      <c r="C6300" s="54">
        <v>6903</v>
      </c>
      <c r="D6300" s="54" t="s">
        <v>45</v>
      </c>
      <c r="E6300" s="54" t="s">
        <v>1298</v>
      </c>
      <c r="F6300" s="54" t="s">
        <v>6965</v>
      </c>
      <c r="G6300" s="54" t="s">
        <v>19184</v>
      </c>
      <c r="H6300" s="54" t="s">
        <v>19185</v>
      </c>
      <c r="I6300" s="43">
        <v>12</v>
      </c>
      <c r="J6300" s="44" t="str">
        <f>VLOOKUP(G6300,[1]硬件清单!$F:$F,1,0)</f>
        <v>06CT290</v>
      </c>
      <c r="K6300" s="43"/>
      <c r="L6300" s="44"/>
      <c r="M6300" s="45" t="s">
        <v>19186</v>
      </c>
    </row>
    <row r="6301" s="29" customFormat="1" ht="30" customHeight="1" spans="1:13">
      <c r="A6301" s="41">
        <f>IF(C6301="","",SUBTOTAL(103,$C$2:C6301))</f>
        <v>6292</v>
      </c>
      <c r="B6301" s="41">
        <v>5104</v>
      </c>
      <c r="C6301" s="54">
        <v>6908</v>
      </c>
      <c r="D6301" s="54" t="s">
        <v>45</v>
      </c>
      <c r="E6301" s="54" t="s">
        <v>1298</v>
      </c>
      <c r="F6301" s="54" t="s">
        <v>6965</v>
      </c>
      <c r="G6301" s="54" t="s">
        <v>19187</v>
      </c>
      <c r="H6301" s="54" t="s">
        <v>19188</v>
      </c>
      <c r="I6301" s="43">
        <v>12</v>
      </c>
      <c r="J6301" s="44" t="str">
        <f>VLOOKUP(G6301,[1]硬件清单!$F:$F,1,0)</f>
        <v>06CT323</v>
      </c>
      <c r="K6301" s="43"/>
      <c r="L6301" s="44"/>
      <c r="M6301" s="45" t="s">
        <v>19189</v>
      </c>
    </row>
    <row r="6302" s="29" customFormat="1" ht="30" customHeight="1" spans="1:13">
      <c r="A6302" s="41">
        <f>IF(C6302="","",SUBTOTAL(103,$C$2:C6302))</f>
        <v>6293</v>
      </c>
      <c r="B6302" s="41">
        <v>5105</v>
      </c>
      <c r="C6302" s="54">
        <v>6909</v>
      </c>
      <c r="D6302" s="54" t="s">
        <v>45</v>
      </c>
      <c r="E6302" s="54" t="s">
        <v>1298</v>
      </c>
      <c r="F6302" s="54" t="s">
        <v>6965</v>
      </c>
      <c r="G6302" s="54" t="s">
        <v>19190</v>
      </c>
      <c r="H6302" s="54" t="s">
        <v>19191</v>
      </c>
      <c r="I6302" s="43">
        <v>12</v>
      </c>
      <c r="J6302" s="44" t="str">
        <f>VLOOKUP(G6302,[1]硬件清单!$F:$F,1,0)</f>
        <v>06CT301</v>
      </c>
      <c r="K6302" s="43"/>
      <c r="L6302" s="44"/>
      <c r="M6302" s="45" t="s">
        <v>19192</v>
      </c>
    </row>
    <row r="6303" s="29" customFormat="1" ht="30" customHeight="1" spans="1:13">
      <c r="A6303" s="41">
        <f>IF(C6303="","",SUBTOTAL(103,$C$2:C6303))</f>
        <v>6294</v>
      </c>
      <c r="B6303" s="41">
        <v>5106</v>
      </c>
      <c r="C6303" s="54">
        <v>6904</v>
      </c>
      <c r="D6303" s="54" t="s">
        <v>45</v>
      </c>
      <c r="E6303" s="54" t="s">
        <v>1298</v>
      </c>
      <c r="F6303" s="54" t="s">
        <v>6965</v>
      </c>
      <c r="G6303" s="54" t="s">
        <v>19193</v>
      </c>
      <c r="H6303" s="54" t="s">
        <v>19194</v>
      </c>
      <c r="I6303" s="43">
        <v>12</v>
      </c>
      <c r="J6303" s="44" t="str">
        <f>VLOOKUP(G6303,[1]硬件清单!$F:$F,1,0)</f>
        <v>06CT319</v>
      </c>
      <c r="K6303" s="43"/>
      <c r="L6303" s="44"/>
      <c r="M6303" s="45" t="s">
        <v>19195</v>
      </c>
    </row>
    <row r="6304" s="29" customFormat="1" ht="30" customHeight="1" spans="1:13">
      <c r="A6304" s="41">
        <f>IF(C6304="","",SUBTOTAL(103,$C$2:C6304))</f>
        <v>6295</v>
      </c>
      <c r="B6304" s="41">
        <v>5107</v>
      </c>
      <c r="C6304" s="54">
        <v>6912</v>
      </c>
      <c r="D6304" s="54" t="s">
        <v>45</v>
      </c>
      <c r="E6304" s="54" t="s">
        <v>1298</v>
      </c>
      <c r="F6304" s="54" t="s">
        <v>6965</v>
      </c>
      <c r="G6304" s="54" t="s">
        <v>19196</v>
      </c>
      <c r="H6304" s="54" t="s">
        <v>19197</v>
      </c>
      <c r="I6304" s="43">
        <v>12</v>
      </c>
      <c r="J6304" s="44" t="str">
        <f>VLOOKUP(G6304,[1]硬件清单!$F:$F,1,0)</f>
        <v>06CT325</v>
      </c>
      <c r="K6304" s="43"/>
      <c r="L6304" s="44"/>
      <c r="M6304" s="45" t="s">
        <v>19198</v>
      </c>
    </row>
    <row r="6305" s="29" customFormat="1" ht="30" customHeight="1" spans="1:13">
      <c r="A6305" s="41">
        <f>IF(C6305="","",SUBTOTAL(103,$C$2:C6305))</f>
        <v>6296</v>
      </c>
      <c r="B6305" s="41">
        <v>5108</v>
      </c>
      <c r="C6305" s="54">
        <v>6913</v>
      </c>
      <c r="D6305" s="54" t="s">
        <v>45</v>
      </c>
      <c r="E6305" s="54" t="s">
        <v>1298</v>
      </c>
      <c r="F6305" s="54" t="s">
        <v>6965</v>
      </c>
      <c r="G6305" s="54" t="s">
        <v>19199</v>
      </c>
      <c r="H6305" s="54" t="s">
        <v>19200</v>
      </c>
      <c r="I6305" s="43">
        <v>12</v>
      </c>
      <c r="J6305" s="44" t="str">
        <f>VLOOKUP(G6305,[1]硬件清单!$F:$F,1,0)</f>
        <v>06CT298</v>
      </c>
      <c r="K6305" s="43"/>
      <c r="L6305" s="44"/>
      <c r="M6305" s="45" t="s">
        <v>19201</v>
      </c>
    </row>
    <row r="6306" s="29" customFormat="1" ht="30" customHeight="1" spans="1:13">
      <c r="A6306" s="41">
        <f>IF(C6306="","",SUBTOTAL(103,$C$2:C6306))</f>
        <v>6297</v>
      </c>
      <c r="B6306" s="41">
        <v>5109</v>
      </c>
      <c r="C6306" s="54">
        <v>6914</v>
      </c>
      <c r="D6306" s="54" t="s">
        <v>45</v>
      </c>
      <c r="E6306" s="54" t="s">
        <v>1298</v>
      </c>
      <c r="F6306" s="54" t="s">
        <v>6965</v>
      </c>
      <c r="G6306" s="54" t="s">
        <v>19202</v>
      </c>
      <c r="H6306" s="54" t="s">
        <v>19203</v>
      </c>
      <c r="I6306" s="43">
        <v>12</v>
      </c>
      <c r="J6306" s="44" t="str">
        <f>VLOOKUP(G6306,[1]硬件清单!$F:$F,1,0)</f>
        <v>06CT306</v>
      </c>
      <c r="K6306" s="43"/>
      <c r="L6306" s="44"/>
      <c r="M6306" s="45" t="s">
        <v>19204</v>
      </c>
    </row>
    <row r="6307" s="29" customFormat="1" ht="30" customHeight="1" spans="1:13">
      <c r="A6307" s="41">
        <f>IF(C6307="","",SUBTOTAL(103,$C$2:C6307))</f>
        <v>6298</v>
      </c>
      <c r="B6307" s="41">
        <v>5110</v>
      </c>
      <c r="C6307" s="54">
        <v>6910</v>
      </c>
      <c r="D6307" s="54" t="s">
        <v>45</v>
      </c>
      <c r="E6307" s="54" t="s">
        <v>1298</v>
      </c>
      <c r="F6307" s="54" t="s">
        <v>6965</v>
      </c>
      <c r="G6307" s="54" t="s">
        <v>19205</v>
      </c>
      <c r="H6307" s="54" t="s">
        <v>19206</v>
      </c>
      <c r="I6307" s="43">
        <v>12</v>
      </c>
      <c r="J6307" s="44" t="str">
        <f>VLOOKUP(G6307,[1]硬件清单!$F:$F,1,0)</f>
        <v>06CT302</v>
      </c>
      <c r="K6307" s="43"/>
      <c r="L6307" s="44"/>
      <c r="M6307" s="45" t="s">
        <v>19207</v>
      </c>
    </row>
    <row r="6308" s="29" customFormat="1" ht="30" customHeight="1" spans="1:13">
      <c r="A6308" s="41">
        <f>IF(C6308="","",SUBTOTAL(103,$C$2:C6308))</f>
        <v>6299</v>
      </c>
      <c r="B6308" s="41">
        <v>5111</v>
      </c>
      <c r="C6308" s="54">
        <v>6915</v>
      </c>
      <c r="D6308" s="54" t="s">
        <v>45</v>
      </c>
      <c r="E6308" s="54" t="s">
        <v>1298</v>
      </c>
      <c r="F6308" s="54" t="s">
        <v>6965</v>
      </c>
      <c r="G6308" s="54" t="s">
        <v>19208</v>
      </c>
      <c r="H6308" s="54" t="s">
        <v>19209</v>
      </c>
      <c r="I6308" s="43">
        <v>12</v>
      </c>
      <c r="J6308" s="44" t="str">
        <f>VLOOKUP(G6308,[1]硬件清单!$F:$F,1,0)</f>
        <v>06CT337</v>
      </c>
      <c r="K6308" s="43"/>
      <c r="L6308" s="44"/>
      <c r="M6308" s="45" t="s">
        <v>19210</v>
      </c>
    </row>
    <row r="6309" s="29" customFormat="1" ht="30" customHeight="1" spans="1:13">
      <c r="A6309" s="41">
        <f>IF(C6309="","",SUBTOTAL(103,$C$2:C6309))</f>
        <v>6300</v>
      </c>
      <c r="B6309" s="41">
        <v>5112</v>
      </c>
      <c r="C6309" s="54">
        <v>6916</v>
      </c>
      <c r="D6309" s="54" t="s">
        <v>45</v>
      </c>
      <c r="E6309" s="54" t="s">
        <v>1298</v>
      </c>
      <c r="F6309" s="54" t="s">
        <v>6965</v>
      </c>
      <c r="G6309" s="54" t="s">
        <v>19211</v>
      </c>
      <c r="H6309" s="54" t="s">
        <v>19212</v>
      </c>
      <c r="I6309" s="43">
        <v>12</v>
      </c>
      <c r="J6309" s="44" t="str">
        <f>VLOOKUP(G6309,[1]硬件清单!$F:$F,1,0)</f>
        <v>06CP862</v>
      </c>
      <c r="K6309" s="43"/>
      <c r="L6309" s="44"/>
      <c r="M6309" s="45" t="s">
        <v>19213</v>
      </c>
    </row>
    <row r="6310" s="29" customFormat="1" ht="30" customHeight="1" spans="1:13">
      <c r="A6310" s="41">
        <f>IF(C6310="","",SUBTOTAL(103,$C$2:C6310))</f>
        <v>6301</v>
      </c>
      <c r="B6310" s="41">
        <v>5113</v>
      </c>
      <c r="C6310" s="54">
        <v>6911</v>
      </c>
      <c r="D6310" s="54" t="s">
        <v>45</v>
      </c>
      <c r="E6310" s="54" t="s">
        <v>1298</v>
      </c>
      <c r="F6310" s="54" t="s">
        <v>6965</v>
      </c>
      <c r="G6310" s="54" t="s">
        <v>19214</v>
      </c>
      <c r="H6310" s="54" t="s">
        <v>19215</v>
      </c>
      <c r="I6310" s="43">
        <v>12</v>
      </c>
      <c r="J6310" s="44" t="str">
        <f>VLOOKUP(G6310,[1]硬件清单!$F:$F,1,0)</f>
        <v>06CT335</v>
      </c>
      <c r="K6310" s="43"/>
      <c r="L6310" s="44"/>
      <c r="M6310" s="45" t="s">
        <v>19216</v>
      </c>
    </row>
    <row r="6311" s="29" customFormat="1" ht="30" customHeight="1" spans="1:13">
      <c r="A6311" s="41">
        <f>IF(C6311="","",SUBTOTAL(103,$C$2:C6311))</f>
        <v>6302</v>
      </c>
      <c r="B6311" s="41">
        <v>5114</v>
      </c>
      <c r="C6311" s="54">
        <v>2760</v>
      </c>
      <c r="D6311" s="54" t="s">
        <v>45</v>
      </c>
      <c r="E6311" s="54" t="s">
        <v>1298</v>
      </c>
      <c r="F6311" s="54" t="s">
        <v>11676</v>
      </c>
      <c r="G6311" s="54" t="s">
        <v>19217</v>
      </c>
      <c r="H6311" s="54" t="s">
        <v>19218</v>
      </c>
      <c r="I6311" s="43">
        <v>12</v>
      </c>
      <c r="J6311" s="44" t="str">
        <f>VLOOKUP(G6311,[1]硬件清单!$F:$F,1,0)</f>
        <v>J33GL8B</v>
      </c>
      <c r="K6311" s="43"/>
      <c r="L6311" s="44"/>
      <c r="M6311" s="45" t="s">
        <v>19219</v>
      </c>
    </row>
    <row r="6312" s="29" customFormat="1" ht="30" customHeight="1" spans="1:13">
      <c r="A6312" s="41">
        <f>IF(C6312="","",SUBTOTAL(103,$C$2:C6312))</f>
        <v>6303</v>
      </c>
      <c r="B6312" s="41">
        <v>5115</v>
      </c>
      <c r="C6312" s="54">
        <v>2759</v>
      </c>
      <c r="D6312" s="54" t="s">
        <v>45</v>
      </c>
      <c r="E6312" s="54" t="s">
        <v>1298</v>
      </c>
      <c r="F6312" s="54" t="s">
        <v>11676</v>
      </c>
      <c r="G6312" s="54" t="s">
        <v>19220</v>
      </c>
      <c r="H6312" s="54" t="s">
        <v>19221</v>
      </c>
      <c r="I6312" s="43">
        <v>12</v>
      </c>
      <c r="J6312" s="44" t="str">
        <f>VLOOKUP(G6312,[1]硬件清单!$F:$F,1,0)</f>
        <v>J33GL8F</v>
      </c>
      <c r="K6312" s="43"/>
      <c r="L6312" s="44"/>
      <c r="M6312" s="45" t="s">
        <v>19222</v>
      </c>
    </row>
    <row r="6313" s="29" customFormat="1" ht="30" customHeight="1" spans="1:13">
      <c r="A6313" s="41">
        <f>IF(C6313="","",SUBTOTAL(103,$C$2:C6313))</f>
        <v>6304</v>
      </c>
      <c r="B6313" s="41">
        <v>5116</v>
      </c>
      <c r="C6313" s="54">
        <v>2762</v>
      </c>
      <c r="D6313" s="54" t="s">
        <v>45</v>
      </c>
      <c r="E6313" s="54" t="s">
        <v>1298</v>
      </c>
      <c r="F6313" s="54" t="s">
        <v>11676</v>
      </c>
      <c r="G6313" s="54" t="s">
        <v>19223</v>
      </c>
      <c r="H6313" s="54" t="s">
        <v>19224</v>
      </c>
      <c r="I6313" s="43">
        <v>12</v>
      </c>
      <c r="J6313" s="44" t="str">
        <f>VLOOKUP(G6313,[1]硬件清单!$F:$F,1,0)</f>
        <v>J33GL8E</v>
      </c>
      <c r="K6313" s="43"/>
      <c r="L6313" s="44"/>
      <c r="M6313" s="45" t="s">
        <v>19225</v>
      </c>
    </row>
    <row r="6314" s="29" customFormat="1" ht="30" customHeight="1" spans="1:13">
      <c r="A6314" s="41">
        <f>IF(C6314="","",SUBTOTAL(103,$C$2:C6314))</f>
        <v>6305</v>
      </c>
      <c r="B6314" s="41">
        <v>5117</v>
      </c>
      <c r="C6314" s="54">
        <v>2761</v>
      </c>
      <c r="D6314" s="54" t="s">
        <v>45</v>
      </c>
      <c r="E6314" s="54" t="s">
        <v>1298</v>
      </c>
      <c r="F6314" s="54" t="s">
        <v>11676</v>
      </c>
      <c r="G6314" s="54" t="s">
        <v>19226</v>
      </c>
      <c r="H6314" s="54" t="s">
        <v>19227</v>
      </c>
      <c r="I6314" s="43">
        <v>12</v>
      </c>
      <c r="J6314" s="44" t="str">
        <f>VLOOKUP(G6314,[1]硬件清单!$F:$F,1,0)</f>
        <v>J33GL8G</v>
      </c>
      <c r="K6314" s="43"/>
      <c r="L6314" s="44"/>
      <c r="M6314" s="45" t="s">
        <v>19228</v>
      </c>
    </row>
    <row r="6315" s="29" customFormat="1" ht="30" customHeight="1" spans="1:13">
      <c r="A6315" s="41">
        <f>IF(C6315="","",SUBTOTAL(103,$C$2:C6315))</f>
        <v>6306</v>
      </c>
      <c r="B6315" s="41">
        <v>5122</v>
      </c>
      <c r="C6315" s="54">
        <v>2764</v>
      </c>
      <c r="D6315" s="54" t="s">
        <v>45</v>
      </c>
      <c r="E6315" s="54" t="s">
        <v>1298</v>
      </c>
      <c r="F6315" s="54" t="s">
        <v>11676</v>
      </c>
      <c r="G6315" s="54" t="s">
        <v>19229</v>
      </c>
      <c r="H6315" s="54" t="s">
        <v>19230</v>
      </c>
      <c r="I6315" s="43">
        <v>12</v>
      </c>
      <c r="J6315" s="44" t="str">
        <f>VLOOKUP(G6315,[1]硬件清单!$F:$F,1,0)</f>
        <v>J33GL8H</v>
      </c>
      <c r="K6315" s="43"/>
      <c r="L6315" s="44"/>
      <c r="M6315" s="45" t="s">
        <v>19231</v>
      </c>
    </row>
    <row r="6316" s="29" customFormat="1" ht="30" customHeight="1" spans="1:13">
      <c r="A6316" s="41">
        <f>IF(C6316="","",SUBTOTAL(103,$C$2:C6316))</f>
        <v>6307</v>
      </c>
      <c r="B6316" s="41">
        <v>5123</v>
      </c>
      <c r="C6316" s="54">
        <v>2763</v>
      </c>
      <c r="D6316" s="54" t="s">
        <v>45</v>
      </c>
      <c r="E6316" s="54" t="s">
        <v>1298</v>
      </c>
      <c r="F6316" s="54" t="s">
        <v>11676</v>
      </c>
      <c r="G6316" s="54" t="s">
        <v>19232</v>
      </c>
      <c r="H6316" s="54" t="s">
        <v>19233</v>
      </c>
      <c r="I6316" s="43">
        <v>12</v>
      </c>
      <c r="J6316" s="44" t="str">
        <f>VLOOKUP(G6316,[1]硬件清单!$F:$F,1,0)</f>
        <v>J33GL8C</v>
      </c>
      <c r="K6316" s="43"/>
      <c r="L6316" s="44"/>
      <c r="M6316" s="45" t="s">
        <v>19234</v>
      </c>
    </row>
    <row r="6317" s="29" customFormat="1" ht="30" customHeight="1" spans="1:13">
      <c r="A6317" s="41">
        <f>IF(C6317="","",SUBTOTAL(103,$C$2:C6317))</f>
        <v>6308</v>
      </c>
      <c r="B6317" s="41">
        <v>5124</v>
      </c>
      <c r="C6317" s="54">
        <v>2602</v>
      </c>
      <c r="D6317" s="54" t="s">
        <v>45</v>
      </c>
      <c r="E6317" s="54" t="s">
        <v>1298</v>
      </c>
      <c r="F6317" s="54" t="s">
        <v>5883</v>
      </c>
      <c r="G6317" s="54" t="s">
        <v>19235</v>
      </c>
      <c r="H6317" s="54" t="s">
        <v>19236</v>
      </c>
      <c r="I6317" s="43">
        <v>12</v>
      </c>
      <c r="J6317" s="44" t="str">
        <f>VLOOKUP(G6317,[1]硬件清单!$F:$F,1,0)</f>
        <v>JG8XVL2</v>
      </c>
      <c r="K6317" s="43"/>
      <c r="L6317" s="44"/>
      <c r="M6317" s="45" t="s">
        <v>19237</v>
      </c>
    </row>
    <row r="6318" s="29" customFormat="1" ht="30" customHeight="1" spans="1:13">
      <c r="A6318" s="41">
        <f>IF(C6318="","",SUBTOTAL(103,$C$2:C6318))</f>
        <v>6309</v>
      </c>
      <c r="B6318" s="41">
        <v>5125</v>
      </c>
      <c r="C6318" s="54">
        <v>2433</v>
      </c>
      <c r="D6318" s="54" t="s">
        <v>45</v>
      </c>
      <c r="E6318" s="54" t="s">
        <v>1298</v>
      </c>
      <c r="F6318" s="54" t="s">
        <v>5887</v>
      </c>
      <c r="G6318" s="54" t="s">
        <v>19238</v>
      </c>
      <c r="H6318" s="54" t="s">
        <v>19239</v>
      </c>
      <c r="I6318" s="43">
        <v>12</v>
      </c>
      <c r="J6318" s="44" t="str">
        <f>VLOOKUP(G6318,[1]硬件清单!$F:$F,1,0)</f>
        <v>JGCVVL2</v>
      </c>
      <c r="K6318" s="43"/>
      <c r="L6318" s="44"/>
      <c r="M6318" s="45" t="s">
        <v>19240</v>
      </c>
    </row>
    <row r="6319" s="29" customFormat="1" ht="30" customHeight="1" spans="1:13">
      <c r="A6319" s="41">
        <f>IF(C6319="","",SUBTOTAL(103,$C$2:C6319))</f>
        <v>6310</v>
      </c>
      <c r="B6319" s="41">
        <v>5126</v>
      </c>
      <c r="C6319" s="54">
        <v>2432</v>
      </c>
      <c r="D6319" s="54" t="s">
        <v>45</v>
      </c>
      <c r="E6319" s="54" t="s">
        <v>1298</v>
      </c>
      <c r="F6319" s="54" t="s">
        <v>5887</v>
      </c>
      <c r="G6319" s="54" t="s">
        <v>19241</v>
      </c>
      <c r="H6319" s="54" t="s">
        <v>19242</v>
      </c>
      <c r="I6319" s="43">
        <v>12</v>
      </c>
      <c r="J6319" s="44" t="str">
        <f>VLOOKUP(G6319,[1]硬件清单!$F:$F,1,0)</f>
        <v>JGCZJL2</v>
      </c>
      <c r="K6319" s="43"/>
      <c r="L6319" s="44"/>
      <c r="M6319" s="45" t="s">
        <v>19243</v>
      </c>
    </row>
    <row r="6320" s="29" customFormat="1" ht="30" customHeight="1" spans="1:13">
      <c r="A6320" s="41">
        <f>IF(C6320="","",SUBTOTAL(103,$C$2:C6320))</f>
        <v>6311</v>
      </c>
      <c r="B6320" s="41">
        <v>5127</v>
      </c>
      <c r="C6320" s="54">
        <v>2424</v>
      </c>
      <c r="D6320" s="54" t="s">
        <v>45</v>
      </c>
      <c r="E6320" s="54" t="s">
        <v>1298</v>
      </c>
      <c r="F6320" s="54" t="s">
        <v>5887</v>
      </c>
      <c r="G6320" s="54" t="s">
        <v>19244</v>
      </c>
      <c r="H6320" s="54" t="s">
        <v>19245</v>
      </c>
      <c r="I6320" s="43">
        <v>12</v>
      </c>
      <c r="J6320" s="44" t="str">
        <f>VLOOKUP(G6320,[1]硬件清单!$F:$F,1,0)</f>
        <v>JGD0KL2</v>
      </c>
      <c r="K6320" s="43"/>
      <c r="L6320" s="44"/>
      <c r="M6320" s="45" t="s">
        <v>19246</v>
      </c>
    </row>
    <row r="6321" s="29" customFormat="1" ht="30" customHeight="1" spans="1:13">
      <c r="A6321" s="41">
        <f>IF(C6321="","",SUBTOTAL(103,$C$2:C6321))</f>
        <v>6312</v>
      </c>
      <c r="B6321" s="41">
        <v>5128</v>
      </c>
      <c r="C6321" s="54">
        <v>2426</v>
      </c>
      <c r="D6321" s="54" t="s">
        <v>45</v>
      </c>
      <c r="E6321" s="54" t="s">
        <v>1298</v>
      </c>
      <c r="F6321" s="54" t="s">
        <v>5887</v>
      </c>
      <c r="G6321" s="54" t="s">
        <v>19247</v>
      </c>
      <c r="H6321" s="54" t="s">
        <v>19248</v>
      </c>
      <c r="I6321" s="43">
        <v>12</v>
      </c>
      <c r="J6321" s="44" t="str">
        <f>VLOOKUP(G6321,[1]硬件清单!$F:$F,1,0)</f>
        <v>JGD1YL2</v>
      </c>
      <c r="K6321" s="43"/>
      <c r="L6321" s="44"/>
      <c r="M6321" s="45" t="s">
        <v>19249</v>
      </c>
    </row>
    <row r="6322" s="29" customFormat="1" ht="30" customHeight="1" spans="1:13">
      <c r="A6322" s="41">
        <f>IF(C6322="","",SUBTOTAL(103,$C$2:C6322))</f>
        <v>6313</v>
      </c>
      <c r="B6322" s="41">
        <v>5129</v>
      </c>
      <c r="C6322" s="54">
        <v>2434</v>
      </c>
      <c r="D6322" s="54" t="s">
        <v>45</v>
      </c>
      <c r="E6322" s="54" t="s">
        <v>1298</v>
      </c>
      <c r="F6322" s="54" t="s">
        <v>5887</v>
      </c>
      <c r="G6322" s="54" t="s">
        <v>19250</v>
      </c>
      <c r="H6322" s="54" t="s">
        <v>19251</v>
      </c>
      <c r="I6322" s="43">
        <v>12</v>
      </c>
      <c r="J6322" s="44" t="str">
        <f>VLOOKUP(G6322,[1]硬件清单!$F:$F,1,0)</f>
        <v>JGD3KL2</v>
      </c>
      <c r="K6322" s="43"/>
      <c r="L6322" s="44"/>
      <c r="M6322" s="45" t="s">
        <v>19252</v>
      </c>
    </row>
    <row r="6323" s="29" customFormat="1" ht="30" customHeight="1" spans="1:13">
      <c r="A6323" s="41">
        <f>IF(C6323="","",SUBTOTAL(103,$C$2:C6323))</f>
        <v>6314</v>
      </c>
      <c r="B6323" s="41">
        <v>5130</v>
      </c>
      <c r="C6323" s="54">
        <v>2427</v>
      </c>
      <c r="D6323" s="54" t="s">
        <v>45</v>
      </c>
      <c r="E6323" s="54" t="s">
        <v>1298</v>
      </c>
      <c r="F6323" s="54" t="s">
        <v>5887</v>
      </c>
      <c r="G6323" s="54" t="s">
        <v>19253</v>
      </c>
      <c r="H6323" s="54" t="s">
        <v>19254</v>
      </c>
      <c r="I6323" s="43">
        <v>12</v>
      </c>
      <c r="J6323" s="44" t="str">
        <f>VLOOKUP(G6323,[1]硬件清单!$F:$F,1,0)</f>
        <v>JGD5KL2</v>
      </c>
      <c r="K6323" s="43"/>
      <c r="L6323" s="44"/>
      <c r="M6323" s="45" t="s">
        <v>19255</v>
      </c>
    </row>
    <row r="6324" s="29" customFormat="1" ht="30" customHeight="1" spans="1:13">
      <c r="A6324" s="41">
        <f>IF(C6324="","",SUBTOTAL(103,$C$2:C6324))</f>
        <v>6315</v>
      </c>
      <c r="B6324" s="41">
        <v>5131</v>
      </c>
      <c r="C6324" s="54">
        <v>2428</v>
      </c>
      <c r="D6324" s="54" t="s">
        <v>45</v>
      </c>
      <c r="E6324" s="54" t="s">
        <v>1298</v>
      </c>
      <c r="F6324" s="54" t="s">
        <v>5887</v>
      </c>
      <c r="G6324" s="54" t="s">
        <v>19256</v>
      </c>
      <c r="H6324" s="54" t="s">
        <v>19257</v>
      </c>
      <c r="I6324" s="43">
        <v>12</v>
      </c>
      <c r="J6324" s="44" t="str">
        <f>VLOOKUP(G6324,[1]硬件清单!$F:$F,1,0)</f>
        <v>JGDRVL2</v>
      </c>
      <c r="K6324" s="43"/>
      <c r="L6324" s="44"/>
      <c r="M6324" s="45" t="s">
        <v>19258</v>
      </c>
    </row>
    <row r="6325" s="29" customFormat="1" ht="30" customHeight="1" spans="1:13">
      <c r="A6325" s="41">
        <f>IF(C6325="","",SUBTOTAL(103,$C$2:C6325))</f>
        <v>6316</v>
      </c>
      <c r="B6325" s="41">
        <v>5132</v>
      </c>
      <c r="C6325" s="54">
        <v>2423</v>
      </c>
      <c r="D6325" s="54" t="s">
        <v>45</v>
      </c>
      <c r="E6325" s="54" t="s">
        <v>1298</v>
      </c>
      <c r="F6325" s="54" t="s">
        <v>5887</v>
      </c>
      <c r="G6325" s="54" t="s">
        <v>19259</v>
      </c>
      <c r="H6325" s="54" t="s">
        <v>19260</v>
      </c>
      <c r="I6325" s="43">
        <v>12</v>
      </c>
      <c r="J6325" s="44" t="str">
        <f>VLOOKUP(G6325,[1]硬件清单!$F:$F,1,0)</f>
        <v>JGDVVL2</v>
      </c>
      <c r="K6325" s="43"/>
      <c r="L6325" s="44"/>
      <c r="M6325" s="45" t="s">
        <v>19261</v>
      </c>
    </row>
    <row r="6326" s="29" customFormat="1" ht="30" customHeight="1" spans="1:13">
      <c r="A6326" s="41">
        <f>IF(C6326="","",SUBTOTAL(103,$C$2:C6326))</f>
        <v>6317</v>
      </c>
      <c r="B6326" s="41">
        <v>5133</v>
      </c>
      <c r="C6326" s="54">
        <v>2437</v>
      </c>
      <c r="D6326" s="54" t="s">
        <v>45</v>
      </c>
      <c r="E6326" s="54" t="s">
        <v>1298</v>
      </c>
      <c r="F6326" s="54" t="s">
        <v>5887</v>
      </c>
      <c r="G6326" s="54" t="s">
        <v>19262</v>
      </c>
      <c r="H6326" s="54" t="s">
        <v>19263</v>
      </c>
      <c r="I6326" s="43">
        <v>12</v>
      </c>
      <c r="J6326" s="44" t="str">
        <f>VLOOKUP(G6326,[1]硬件清单!$F:$F,1,0)</f>
        <v>JGDYJL2</v>
      </c>
      <c r="K6326" s="43"/>
      <c r="L6326" s="44"/>
      <c r="M6326" s="45" t="s">
        <v>19264</v>
      </c>
    </row>
    <row r="6327" s="29" customFormat="1" ht="30" customHeight="1" spans="1:13">
      <c r="A6327" s="41">
        <f>IF(C6327="","",SUBTOTAL(103,$C$2:C6327))</f>
        <v>6318</v>
      </c>
      <c r="B6327" s="41">
        <v>5134</v>
      </c>
      <c r="C6327" s="54">
        <v>2438</v>
      </c>
      <c r="D6327" s="54" t="s">
        <v>45</v>
      </c>
      <c r="E6327" s="54" t="s">
        <v>1298</v>
      </c>
      <c r="F6327" s="54" t="s">
        <v>5887</v>
      </c>
      <c r="G6327" s="54" t="s">
        <v>19265</v>
      </c>
      <c r="H6327" s="54" t="s">
        <v>19266</v>
      </c>
      <c r="I6327" s="43">
        <v>12</v>
      </c>
      <c r="J6327" s="44" t="str">
        <f>VLOOKUP(G6327,[1]硬件清单!$F:$F,1,0)</f>
        <v>JGDZVL2</v>
      </c>
      <c r="K6327" s="43"/>
      <c r="L6327" s="44"/>
      <c r="M6327" s="45" t="s">
        <v>19267</v>
      </c>
    </row>
    <row r="6328" s="29" customFormat="1" ht="30" customHeight="1" spans="1:13">
      <c r="A6328" s="41">
        <f>IF(C6328="","",SUBTOTAL(103,$C$2:C6328))</f>
        <v>6319</v>
      </c>
      <c r="B6328" s="41">
        <v>5135</v>
      </c>
      <c r="C6328" s="54">
        <v>2430</v>
      </c>
      <c r="D6328" s="54" t="s">
        <v>45</v>
      </c>
      <c r="E6328" s="54" t="s">
        <v>1298</v>
      </c>
      <c r="F6328" s="54" t="s">
        <v>5887</v>
      </c>
      <c r="G6328" s="54" t="s">
        <v>19268</v>
      </c>
      <c r="H6328" s="54" t="s">
        <v>19269</v>
      </c>
      <c r="I6328" s="43">
        <v>12</v>
      </c>
      <c r="J6328" s="44" t="str">
        <f>VLOOKUP(G6328,[1]硬件清单!$F:$F,1,0)</f>
        <v>JGF0WL2</v>
      </c>
      <c r="K6328" s="43"/>
      <c r="L6328" s="44"/>
      <c r="M6328" s="45" t="s">
        <v>19270</v>
      </c>
    </row>
    <row r="6329" s="29" customFormat="1" ht="30" customHeight="1" spans="1:13">
      <c r="A6329" s="41">
        <f>IF(C6329="","",SUBTOTAL(103,$C$2:C6329))</f>
        <v>6320</v>
      </c>
      <c r="B6329" s="41">
        <v>5136</v>
      </c>
      <c r="C6329" s="54">
        <v>2436</v>
      </c>
      <c r="D6329" s="54" t="s">
        <v>45</v>
      </c>
      <c r="E6329" s="54" t="s">
        <v>1298</v>
      </c>
      <c r="F6329" s="54" t="s">
        <v>5887</v>
      </c>
      <c r="G6329" s="54" t="s">
        <v>19271</v>
      </c>
      <c r="H6329" s="54" t="s">
        <v>19272</v>
      </c>
      <c r="I6329" s="43">
        <v>12</v>
      </c>
      <c r="J6329" s="44" t="str">
        <f>VLOOKUP(G6329,[1]硬件清单!$F:$F,1,0)</f>
        <v>JGF0YL2</v>
      </c>
      <c r="K6329" s="43"/>
      <c r="L6329" s="44"/>
      <c r="M6329" s="45" t="s">
        <v>19273</v>
      </c>
    </row>
    <row r="6330" s="29" customFormat="1" ht="30" customHeight="1" spans="1:13">
      <c r="A6330" s="41">
        <f>IF(C6330="","",SUBTOTAL(103,$C$2:C6330))</f>
        <v>6321</v>
      </c>
      <c r="B6330" s="41">
        <v>5137</v>
      </c>
      <c r="C6330" s="54">
        <v>2429</v>
      </c>
      <c r="D6330" s="54" t="s">
        <v>45</v>
      </c>
      <c r="E6330" s="54" t="s">
        <v>1298</v>
      </c>
      <c r="F6330" s="54" t="s">
        <v>5887</v>
      </c>
      <c r="G6330" s="54" t="s">
        <v>19274</v>
      </c>
      <c r="H6330" s="54" t="s">
        <v>19275</v>
      </c>
      <c r="I6330" s="43">
        <v>12</v>
      </c>
      <c r="J6330" s="44" t="str">
        <f>VLOOKUP(G6330,[1]硬件清单!$F:$F,1,0)</f>
        <v>JGF1YL2</v>
      </c>
      <c r="K6330" s="43"/>
      <c r="L6330" s="44"/>
      <c r="M6330" s="45" t="s">
        <v>19276</v>
      </c>
    </row>
    <row r="6331" s="29" customFormat="1" ht="30" customHeight="1" spans="1:13">
      <c r="A6331" s="41">
        <f>IF(C6331="","",SUBTOTAL(103,$C$2:C6331))</f>
        <v>6322</v>
      </c>
      <c r="B6331" s="41">
        <v>5138</v>
      </c>
      <c r="C6331" s="54">
        <v>2431</v>
      </c>
      <c r="D6331" s="54" t="s">
        <v>45</v>
      </c>
      <c r="E6331" s="54" t="s">
        <v>1298</v>
      </c>
      <c r="F6331" s="54" t="s">
        <v>5887</v>
      </c>
      <c r="G6331" s="54" t="s">
        <v>19277</v>
      </c>
      <c r="H6331" s="54" t="s">
        <v>19278</v>
      </c>
      <c r="I6331" s="43">
        <v>12</v>
      </c>
      <c r="J6331" s="44" t="str">
        <f>VLOOKUP(G6331,[1]硬件清单!$F:$F,1,0)</f>
        <v>JGF2YL2</v>
      </c>
      <c r="K6331" s="43"/>
      <c r="L6331" s="44"/>
      <c r="M6331" s="45" t="s">
        <v>19279</v>
      </c>
    </row>
    <row r="6332" s="29" customFormat="1" ht="30" customHeight="1" spans="1:13">
      <c r="A6332" s="41">
        <f>IF(C6332="","",SUBTOTAL(103,$C$2:C6332))</f>
        <v>6323</v>
      </c>
      <c r="B6332" s="41">
        <v>5139</v>
      </c>
      <c r="C6332" s="54">
        <v>2425</v>
      </c>
      <c r="D6332" s="54" t="s">
        <v>45</v>
      </c>
      <c r="E6332" s="54" t="s">
        <v>1298</v>
      </c>
      <c r="F6332" s="54" t="s">
        <v>5887</v>
      </c>
      <c r="G6332" s="54" t="s">
        <v>19280</v>
      </c>
      <c r="H6332" s="54" t="s">
        <v>19281</v>
      </c>
      <c r="I6332" s="43">
        <v>12</v>
      </c>
      <c r="J6332" s="44" t="str">
        <f>VLOOKUP(G6332,[1]硬件清单!$F:$F,1,0)</f>
        <v>JGF3YL2</v>
      </c>
      <c r="K6332" s="43"/>
      <c r="L6332" s="44"/>
      <c r="M6332" s="45" t="s">
        <v>19282</v>
      </c>
    </row>
    <row r="6333" s="29" customFormat="1" ht="30" customHeight="1" spans="1:13">
      <c r="A6333" s="41">
        <f>IF(C6333="","",SUBTOTAL(103,$C$2:C6333))</f>
        <v>6324</v>
      </c>
      <c r="B6333" s="41">
        <v>5140</v>
      </c>
      <c r="C6333" s="54">
        <v>2435</v>
      </c>
      <c r="D6333" s="54" t="s">
        <v>45</v>
      </c>
      <c r="E6333" s="54" t="s">
        <v>1298</v>
      </c>
      <c r="F6333" s="54" t="s">
        <v>5887</v>
      </c>
      <c r="G6333" s="54" t="s">
        <v>19283</v>
      </c>
      <c r="H6333" s="54" t="s">
        <v>19284</v>
      </c>
      <c r="I6333" s="43">
        <v>12</v>
      </c>
      <c r="J6333" s="44" t="str">
        <f>VLOOKUP(G6333,[1]硬件清单!$F:$F,1,0)</f>
        <v>JGF4YL2</v>
      </c>
      <c r="K6333" s="43"/>
      <c r="L6333" s="44"/>
      <c r="M6333" s="45" t="s">
        <v>19285</v>
      </c>
    </row>
    <row r="6334" s="29" customFormat="1" ht="30" customHeight="1" spans="1:13">
      <c r="A6334" s="41">
        <f>IF(C6334="","",SUBTOTAL(103,$C$2:C6334))</f>
        <v>6325</v>
      </c>
      <c r="B6334" s="41">
        <v>5141</v>
      </c>
      <c r="C6334" s="54">
        <v>2441</v>
      </c>
      <c r="D6334" s="54" t="s">
        <v>45</v>
      </c>
      <c r="E6334" s="54" t="s">
        <v>1298</v>
      </c>
      <c r="F6334" s="54" t="s">
        <v>5887</v>
      </c>
      <c r="G6334" s="54" t="s">
        <v>19286</v>
      </c>
      <c r="H6334" s="54" t="s">
        <v>19287</v>
      </c>
      <c r="I6334" s="43">
        <v>12</v>
      </c>
      <c r="J6334" s="44" t="str">
        <f>VLOOKUP(G6334,[1]硬件清单!$F:$F,1,0)</f>
        <v>J2M0WL2</v>
      </c>
      <c r="K6334" s="43"/>
      <c r="L6334" s="44"/>
      <c r="M6334" s="45" t="s">
        <v>19288</v>
      </c>
    </row>
    <row r="6335" s="29" customFormat="1" ht="30" customHeight="1" spans="1:13">
      <c r="A6335" s="41">
        <f>IF(C6335="","",SUBTOTAL(103,$C$2:C6335))</f>
        <v>6326</v>
      </c>
      <c r="B6335" s="41">
        <v>5142</v>
      </c>
      <c r="C6335" s="54">
        <v>2443</v>
      </c>
      <c r="D6335" s="54" t="s">
        <v>45</v>
      </c>
      <c r="E6335" s="54" t="s">
        <v>1298</v>
      </c>
      <c r="F6335" s="54" t="s">
        <v>5887</v>
      </c>
      <c r="G6335" s="54" t="s">
        <v>19289</v>
      </c>
      <c r="H6335" s="54" t="s">
        <v>19290</v>
      </c>
      <c r="I6335" s="43">
        <v>12</v>
      </c>
      <c r="J6335" s="44" t="str">
        <f>VLOOKUP(G6335,[1]硬件清单!$F:$F,1,0)</f>
        <v>J2MYJL2</v>
      </c>
      <c r="K6335" s="43"/>
      <c r="L6335" s="44"/>
      <c r="M6335" s="45" t="s">
        <v>19291</v>
      </c>
    </row>
    <row r="6336" s="29" customFormat="1" ht="30" customHeight="1" spans="1:13">
      <c r="A6336" s="41">
        <f>IF(C6336="","",SUBTOTAL(103,$C$2:C6336))</f>
        <v>6327</v>
      </c>
      <c r="B6336" s="41">
        <v>5143</v>
      </c>
      <c r="C6336" s="54">
        <v>2440</v>
      </c>
      <c r="D6336" s="54" t="s">
        <v>45</v>
      </c>
      <c r="E6336" s="54" t="s">
        <v>1298</v>
      </c>
      <c r="F6336" s="54" t="s">
        <v>5887</v>
      </c>
      <c r="G6336" s="54" t="s">
        <v>19292</v>
      </c>
      <c r="H6336" s="54" t="s">
        <v>19293</v>
      </c>
      <c r="I6336" s="43">
        <v>12</v>
      </c>
      <c r="J6336" s="44" t="str">
        <f>VLOOKUP(G6336,[1]硬件清单!$F:$F,1,0)</f>
        <v>J2N0YL2</v>
      </c>
      <c r="K6336" s="43"/>
      <c r="L6336" s="44"/>
      <c r="M6336" s="45" t="s">
        <v>19294</v>
      </c>
    </row>
    <row r="6337" s="29" customFormat="1" ht="30" customHeight="1" spans="1:13">
      <c r="A6337" s="41">
        <f>IF(C6337="","",SUBTOTAL(103,$C$2:C6337))</f>
        <v>6328</v>
      </c>
      <c r="B6337" s="41">
        <v>5144</v>
      </c>
      <c r="C6337" s="54">
        <v>2444</v>
      </c>
      <c r="D6337" s="54" t="s">
        <v>45</v>
      </c>
      <c r="E6337" s="54" t="s">
        <v>1298</v>
      </c>
      <c r="F6337" s="54" t="s">
        <v>5887</v>
      </c>
      <c r="G6337" s="54" t="s">
        <v>19295</v>
      </c>
      <c r="H6337" s="54" t="s">
        <v>19296</v>
      </c>
      <c r="I6337" s="43">
        <v>12</v>
      </c>
      <c r="J6337" s="44" t="str">
        <f>VLOOKUP(G6337,[1]硬件清单!$F:$F,1,0)</f>
        <v>J2N4YL2</v>
      </c>
      <c r="K6337" s="43"/>
      <c r="L6337" s="44"/>
      <c r="M6337" s="45" t="s">
        <v>19297</v>
      </c>
    </row>
    <row r="6338" s="29" customFormat="1" ht="30" customHeight="1" spans="1:13">
      <c r="A6338" s="41">
        <f>IF(C6338="","",SUBTOTAL(103,$C$2:C6338))</f>
        <v>6329</v>
      </c>
      <c r="B6338" s="41">
        <v>5145</v>
      </c>
      <c r="C6338" s="54">
        <v>2454</v>
      </c>
      <c r="D6338" s="54" t="s">
        <v>45</v>
      </c>
      <c r="E6338" s="54" t="s">
        <v>1298</v>
      </c>
      <c r="F6338" s="54" t="s">
        <v>5887</v>
      </c>
      <c r="G6338" s="54" t="s">
        <v>19298</v>
      </c>
      <c r="H6338" s="54" t="s">
        <v>19299</v>
      </c>
      <c r="I6338" s="43">
        <v>12</v>
      </c>
      <c r="J6338" s="44" t="str">
        <f>VLOOKUP(G6338,[1]硬件清单!$F:$F,1,0)</f>
        <v>J2NVVL2</v>
      </c>
      <c r="K6338" s="43"/>
      <c r="L6338" s="44"/>
      <c r="M6338" s="45" t="s">
        <v>19300</v>
      </c>
    </row>
    <row r="6339" s="29" customFormat="1" ht="30" customHeight="1" spans="1:13">
      <c r="A6339" s="41">
        <f>IF(C6339="","",SUBTOTAL(103,$C$2:C6339))</f>
        <v>6330</v>
      </c>
      <c r="B6339" s="41">
        <v>5146</v>
      </c>
      <c r="C6339" s="54">
        <v>2442</v>
      </c>
      <c r="D6339" s="54" t="s">
        <v>45</v>
      </c>
      <c r="E6339" s="54" t="s">
        <v>1298</v>
      </c>
      <c r="F6339" s="54" t="s">
        <v>5887</v>
      </c>
      <c r="G6339" s="54" t="s">
        <v>19301</v>
      </c>
      <c r="H6339" s="54" t="s">
        <v>19302</v>
      </c>
      <c r="I6339" s="43">
        <v>12</v>
      </c>
      <c r="J6339" s="44" t="str">
        <f>VLOOKUP(G6339,[1]硬件清单!$F:$F,1,0)</f>
        <v>J2NZVL2</v>
      </c>
      <c r="K6339" s="43"/>
      <c r="L6339" s="44"/>
      <c r="M6339" s="45" t="s">
        <v>19303</v>
      </c>
    </row>
    <row r="6340" s="29" customFormat="1" ht="30" customHeight="1" spans="1:13">
      <c r="A6340" s="41">
        <f>IF(C6340="","",SUBTOTAL(103,$C$2:C6340))</f>
        <v>6331</v>
      </c>
      <c r="B6340" s="41">
        <v>5147</v>
      </c>
      <c r="C6340" s="54">
        <v>2439</v>
      </c>
      <c r="D6340" s="54" t="s">
        <v>45</v>
      </c>
      <c r="E6340" s="54" t="s">
        <v>1298</v>
      </c>
      <c r="F6340" s="54" t="s">
        <v>5887</v>
      </c>
      <c r="G6340" s="54" t="s">
        <v>19304</v>
      </c>
      <c r="H6340" s="54" t="s">
        <v>19305</v>
      </c>
      <c r="I6340" s="43">
        <v>12</v>
      </c>
      <c r="J6340" s="44" t="str">
        <f>VLOOKUP(G6340,[1]硬件清单!$F:$F,1,0)</f>
        <v>J2P1YL2</v>
      </c>
      <c r="K6340" s="43"/>
      <c r="L6340" s="44"/>
      <c r="M6340" s="45" t="s">
        <v>19306</v>
      </c>
    </row>
    <row r="6341" s="29" customFormat="1" ht="30" customHeight="1" spans="1:13">
      <c r="A6341" s="41">
        <f>IF(C6341="","",SUBTOTAL(103,$C$2:C6341))</f>
        <v>6332</v>
      </c>
      <c r="B6341" s="41">
        <v>5148</v>
      </c>
      <c r="C6341" s="54">
        <v>2445</v>
      </c>
      <c r="D6341" s="54" t="s">
        <v>45</v>
      </c>
      <c r="E6341" s="54" t="s">
        <v>1298</v>
      </c>
      <c r="F6341" s="54" t="s">
        <v>5887</v>
      </c>
      <c r="G6341" s="54" t="s">
        <v>19307</v>
      </c>
      <c r="H6341" s="54" t="s">
        <v>19308</v>
      </c>
      <c r="I6341" s="43">
        <v>12</v>
      </c>
      <c r="J6341" s="44" t="str">
        <f>VLOOKUP(G6341,[1]硬件清单!$F:$F,1,0)</f>
        <v>J2P4KL2</v>
      </c>
      <c r="K6341" s="43"/>
      <c r="L6341" s="44"/>
      <c r="M6341" s="45" t="s">
        <v>19309</v>
      </c>
    </row>
    <row r="6342" s="29" customFormat="1" ht="30" customHeight="1" spans="1:13">
      <c r="A6342" s="41">
        <f>IF(C6342="","",SUBTOTAL(103,$C$2:C6342))</f>
        <v>6333</v>
      </c>
      <c r="B6342" s="41">
        <v>5149</v>
      </c>
      <c r="C6342" s="54">
        <v>2450</v>
      </c>
      <c r="D6342" s="54" t="s">
        <v>45</v>
      </c>
      <c r="E6342" s="54" t="s">
        <v>1298</v>
      </c>
      <c r="F6342" s="54" t="s">
        <v>5887</v>
      </c>
      <c r="G6342" s="54" t="s">
        <v>19310</v>
      </c>
      <c r="H6342" s="54" t="s">
        <v>19311</v>
      </c>
      <c r="I6342" s="43">
        <v>12</v>
      </c>
      <c r="J6342" s="44" t="str">
        <f>VLOOKUP(G6342,[1]硬件清单!$F:$F,1,0)</f>
        <v>J2P6YL2</v>
      </c>
      <c r="K6342" s="43"/>
      <c r="L6342" s="44"/>
      <c r="M6342" s="45" t="s">
        <v>19312</v>
      </c>
    </row>
    <row r="6343" s="29" customFormat="1" ht="30" customHeight="1" spans="1:13">
      <c r="A6343" s="41">
        <f>IF(C6343="","",SUBTOTAL(103,$C$2:C6343))</f>
        <v>6334</v>
      </c>
      <c r="B6343" s="41">
        <v>5150</v>
      </c>
      <c r="C6343" s="54">
        <v>2451</v>
      </c>
      <c r="D6343" s="54" t="s">
        <v>45</v>
      </c>
      <c r="E6343" s="54" t="s">
        <v>1298</v>
      </c>
      <c r="F6343" s="54" t="s">
        <v>5887</v>
      </c>
      <c r="G6343" s="54" t="s">
        <v>19313</v>
      </c>
      <c r="H6343" s="54" t="s">
        <v>19314</v>
      </c>
      <c r="I6343" s="43">
        <v>12</v>
      </c>
      <c r="J6343" s="44" t="str">
        <f>VLOOKUP(G6343,[1]硬件清单!$F:$F,1,0)</f>
        <v>J2PWVL2</v>
      </c>
      <c r="K6343" s="43"/>
      <c r="L6343" s="44"/>
      <c r="M6343" s="45" t="s">
        <v>19315</v>
      </c>
    </row>
    <row r="6344" s="29" customFormat="1" ht="30" customHeight="1" spans="1:13">
      <c r="A6344" s="41">
        <f>IF(C6344="","",SUBTOTAL(103,$C$2:C6344))</f>
        <v>6335</v>
      </c>
      <c r="B6344" s="41">
        <v>5151</v>
      </c>
      <c r="C6344" s="54">
        <v>2453</v>
      </c>
      <c r="D6344" s="54" t="s">
        <v>45</v>
      </c>
      <c r="E6344" s="54" t="s">
        <v>1298</v>
      </c>
      <c r="F6344" s="54" t="s">
        <v>5887</v>
      </c>
      <c r="G6344" s="54" t="s">
        <v>19316</v>
      </c>
      <c r="H6344" s="54" t="s">
        <v>19317</v>
      </c>
      <c r="I6344" s="43">
        <v>12</v>
      </c>
      <c r="J6344" s="44" t="str">
        <f>VLOOKUP(G6344,[1]硬件清单!$F:$F,1,0)</f>
        <v>J2PZJL2</v>
      </c>
      <c r="K6344" s="43"/>
      <c r="L6344" s="44"/>
      <c r="M6344" s="45" t="s">
        <v>19318</v>
      </c>
    </row>
    <row r="6345" s="29" customFormat="1" ht="30" customHeight="1" spans="1:13">
      <c r="A6345" s="41">
        <f>IF(C6345="","",SUBTOTAL(103,$C$2:C6345))</f>
        <v>6336</v>
      </c>
      <c r="B6345" s="41">
        <v>5152</v>
      </c>
      <c r="C6345" s="54">
        <v>2452</v>
      </c>
      <c r="D6345" s="54" t="s">
        <v>45</v>
      </c>
      <c r="E6345" s="54" t="s">
        <v>1298</v>
      </c>
      <c r="F6345" s="54" t="s">
        <v>5887</v>
      </c>
      <c r="G6345" s="54" t="s">
        <v>19319</v>
      </c>
      <c r="H6345" s="54" t="s">
        <v>19320</v>
      </c>
      <c r="I6345" s="43">
        <v>12</v>
      </c>
      <c r="J6345" s="44" t="str">
        <f>VLOOKUP(G6345,[1]硬件清单!$F:$F,1,0)</f>
        <v>J2Q0KL2</v>
      </c>
      <c r="K6345" s="43"/>
      <c r="L6345" s="44"/>
      <c r="M6345" s="45" t="s">
        <v>19321</v>
      </c>
    </row>
    <row r="6346" s="29" customFormat="1" ht="30" customHeight="1" spans="1:13">
      <c r="A6346" s="41">
        <f>IF(C6346="","",SUBTOTAL(103,$C$2:C6346))</f>
        <v>6337</v>
      </c>
      <c r="B6346" s="41">
        <v>5153</v>
      </c>
      <c r="C6346" s="54">
        <v>2447</v>
      </c>
      <c r="D6346" s="54" t="s">
        <v>45</v>
      </c>
      <c r="E6346" s="54" t="s">
        <v>1298</v>
      </c>
      <c r="F6346" s="54" t="s">
        <v>5887</v>
      </c>
      <c r="G6346" s="54" t="s">
        <v>19322</v>
      </c>
      <c r="H6346" s="54" t="s">
        <v>19323</v>
      </c>
      <c r="I6346" s="43">
        <v>12</v>
      </c>
      <c r="J6346" s="44" t="str">
        <f>VLOOKUP(G6346,[1]硬件清单!$F:$F,1,0)</f>
        <v>J2Q1KL2</v>
      </c>
      <c r="K6346" s="43"/>
      <c r="L6346" s="44"/>
      <c r="M6346" s="45" t="s">
        <v>19324</v>
      </c>
    </row>
    <row r="6347" s="29" customFormat="1" ht="30" customHeight="1" spans="1:13">
      <c r="A6347" s="41">
        <f>IF(C6347="","",SUBTOTAL(103,$C$2:C6347))</f>
        <v>6338</v>
      </c>
      <c r="B6347" s="41">
        <v>5154</v>
      </c>
      <c r="C6347" s="54">
        <v>2446</v>
      </c>
      <c r="D6347" s="54" t="s">
        <v>45</v>
      </c>
      <c r="E6347" s="54" t="s">
        <v>1298</v>
      </c>
      <c r="F6347" s="54" t="s">
        <v>5887</v>
      </c>
      <c r="G6347" s="54" t="s">
        <v>19325</v>
      </c>
      <c r="H6347" s="54" t="s">
        <v>19326</v>
      </c>
      <c r="I6347" s="43">
        <v>12</v>
      </c>
      <c r="J6347" s="44" t="str">
        <f>VLOOKUP(G6347,[1]硬件清单!$F:$F,1,0)</f>
        <v>J2Q4KL2</v>
      </c>
      <c r="K6347" s="43"/>
      <c r="L6347" s="44"/>
      <c r="M6347" s="45" t="s">
        <v>19327</v>
      </c>
    </row>
    <row r="6348" s="29" customFormat="1" ht="30" customHeight="1" spans="1:13">
      <c r="A6348" s="41">
        <f>IF(C6348="","",SUBTOTAL(103,$C$2:C6348))</f>
        <v>6339</v>
      </c>
      <c r="B6348" s="41">
        <v>5155</v>
      </c>
      <c r="C6348" s="54">
        <v>2449</v>
      </c>
      <c r="D6348" s="54" t="s">
        <v>45</v>
      </c>
      <c r="E6348" s="54" t="s">
        <v>1298</v>
      </c>
      <c r="F6348" s="54" t="s">
        <v>5887</v>
      </c>
      <c r="G6348" s="54" t="s">
        <v>19328</v>
      </c>
      <c r="H6348" s="54" t="s">
        <v>19329</v>
      </c>
      <c r="I6348" s="43">
        <v>12</v>
      </c>
      <c r="J6348" s="44" t="str">
        <f>VLOOKUP(G6348,[1]硬件清单!$F:$F,1,0)</f>
        <v>J2Q6YL2</v>
      </c>
      <c r="K6348" s="43"/>
      <c r="L6348" s="44"/>
      <c r="M6348" s="45" t="s">
        <v>19330</v>
      </c>
    </row>
    <row r="6349" s="29" customFormat="1" ht="30" customHeight="1" spans="1:13">
      <c r="A6349" s="41">
        <f>IF(C6349="","",SUBTOTAL(103,$C$2:C6349))</f>
        <v>6340</v>
      </c>
      <c r="B6349" s="41">
        <v>5156</v>
      </c>
      <c r="C6349" s="54">
        <v>2448</v>
      </c>
      <c r="D6349" s="54" t="s">
        <v>45</v>
      </c>
      <c r="E6349" s="54" t="s">
        <v>1298</v>
      </c>
      <c r="F6349" s="54" t="s">
        <v>5887</v>
      </c>
      <c r="G6349" s="54" t="s">
        <v>19331</v>
      </c>
      <c r="H6349" s="54" t="s">
        <v>19332</v>
      </c>
      <c r="I6349" s="43">
        <v>12</v>
      </c>
      <c r="J6349" s="44" t="str">
        <f>VLOOKUP(G6349,[1]硬件清单!$F:$F,1,0)</f>
        <v>J2QVVL2</v>
      </c>
      <c r="K6349" s="43"/>
      <c r="L6349" s="44"/>
      <c r="M6349" s="45" t="s">
        <v>19333</v>
      </c>
    </row>
    <row r="6350" s="29" customFormat="1" ht="30" customHeight="1" spans="1:13">
      <c r="A6350" s="41">
        <f>IF(C6350="","",SUBTOTAL(103,$C$2:C6350))</f>
        <v>6341</v>
      </c>
      <c r="B6350" s="41">
        <v>5157</v>
      </c>
      <c r="C6350" s="54">
        <v>2603</v>
      </c>
      <c r="D6350" s="54" t="s">
        <v>45</v>
      </c>
      <c r="E6350" s="54" t="s">
        <v>1298</v>
      </c>
      <c r="F6350" s="54" t="s">
        <v>5883</v>
      </c>
      <c r="G6350" s="54" t="s">
        <v>19334</v>
      </c>
      <c r="H6350" s="54" t="s">
        <v>19335</v>
      </c>
      <c r="I6350" s="43">
        <v>12</v>
      </c>
      <c r="J6350" s="44" t="str">
        <f>VLOOKUP(G6350,[1]硬件清单!$F:$F,1,0)</f>
        <v>J2S2KL2</v>
      </c>
      <c r="K6350" s="43"/>
      <c r="L6350" s="44"/>
      <c r="M6350" s="45" t="s">
        <v>19336</v>
      </c>
    </row>
    <row r="6351" s="29" customFormat="1" ht="30" customHeight="1" spans="1:13">
      <c r="A6351" s="41">
        <f>IF(C6351="","",SUBTOTAL(103,$C$2:C6351))</f>
        <v>6342</v>
      </c>
      <c r="B6351" s="41">
        <v>5158</v>
      </c>
      <c r="C6351" s="54">
        <v>2766</v>
      </c>
      <c r="D6351" s="54" t="s">
        <v>45</v>
      </c>
      <c r="E6351" s="54" t="s">
        <v>1298</v>
      </c>
      <c r="F6351" s="54" t="s">
        <v>11676</v>
      </c>
      <c r="G6351" s="54" t="s">
        <v>19337</v>
      </c>
      <c r="H6351" s="54" t="s">
        <v>19338</v>
      </c>
      <c r="I6351" s="43">
        <v>12</v>
      </c>
      <c r="J6351" s="44" t="str">
        <f>VLOOKUP(G6351,[1]硬件清单!$F:$F,1,0)</f>
        <v>J33GL8D</v>
      </c>
      <c r="K6351" s="43"/>
      <c r="L6351" s="44"/>
      <c r="M6351" s="45" t="s">
        <v>19339</v>
      </c>
    </row>
    <row r="6352" s="29" customFormat="1" ht="30" customHeight="1" spans="1:13">
      <c r="A6352" s="41">
        <f>IF(C6352="","",SUBTOTAL(103,$C$2:C6352))</f>
        <v>6343</v>
      </c>
      <c r="B6352" s="41">
        <v>5159</v>
      </c>
      <c r="C6352" s="54">
        <v>2765</v>
      </c>
      <c r="D6352" s="54" t="s">
        <v>45</v>
      </c>
      <c r="E6352" s="54" t="s">
        <v>1298</v>
      </c>
      <c r="F6352" s="54" t="s">
        <v>11676</v>
      </c>
      <c r="G6352" s="54" t="s">
        <v>19340</v>
      </c>
      <c r="H6352" s="54" t="s">
        <v>19341</v>
      </c>
      <c r="I6352" s="43">
        <v>12</v>
      </c>
      <c r="J6352" s="44" t="str">
        <f>VLOOKUP(G6352,[1]硬件清单!$F:$F,1,0)</f>
        <v>J33GL8K</v>
      </c>
      <c r="K6352" s="43"/>
      <c r="L6352" s="44"/>
      <c r="M6352" s="45" t="s">
        <v>19342</v>
      </c>
    </row>
    <row r="6353" s="29" customFormat="1" ht="30" customHeight="1" spans="1:13">
      <c r="A6353" s="41">
        <f>IF(C6353="","",SUBTOTAL(103,$C$2:C6353))</f>
        <v>6344</v>
      </c>
      <c r="B6353" s="41">
        <v>5160</v>
      </c>
      <c r="C6353" s="54">
        <v>7421</v>
      </c>
      <c r="D6353" s="54" t="s">
        <v>19</v>
      </c>
      <c r="E6353" s="54" t="s">
        <v>20</v>
      </c>
      <c r="F6353" s="54" t="s">
        <v>8893</v>
      </c>
      <c r="G6353" s="54" t="s">
        <v>19343</v>
      </c>
      <c r="H6353" s="54" t="s">
        <v>19344</v>
      </c>
      <c r="I6353" s="43">
        <v>12</v>
      </c>
      <c r="J6353" s="44" t="str">
        <f>VLOOKUP(G6353,[1]硬件清单!$F:$F,1,0)</f>
        <v>210235A0HAH14A000177</v>
      </c>
      <c r="K6353" s="43"/>
      <c r="L6353" s="44"/>
      <c r="M6353" s="45" t="s">
        <v>19345</v>
      </c>
    </row>
    <row r="6354" s="29" customFormat="1" ht="30" customHeight="1" spans="1:13">
      <c r="A6354" s="41">
        <f>IF(C6354="","",SUBTOTAL(103,$C$2:C6354))</f>
        <v>6345</v>
      </c>
      <c r="B6354" s="41">
        <v>5161</v>
      </c>
      <c r="C6354" s="54">
        <v>7419</v>
      </c>
      <c r="D6354" s="54" t="s">
        <v>19</v>
      </c>
      <c r="E6354" s="54" t="s">
        <v>20</v>
      </c>
      <c r="F6354" s="54" t="s">
        <v>7727</v>
      </c>
      <c r="G6354" s="54" t="s">
        <v>19346</v>
      </c>
      <c r="H6354" s="54" t="s">
        <v>19347</v>
      </c>
      <c r="I6354" s="43">
        <v>12</v>
      </c>
      <c r="J6354" s="44" t="str">
        <f>VLOOKUP(G6354,[1]硬件清单!$F:$F,1,0)</f>
        <v>210235A1DWH149000093</v>
      </c>
      <c r="K6354" s="43"/>
      <c r="L6354" s="44"/>
      <c r="M6354" s="45" t="s">
        <v>19348</v>
      </c>
    </row>
    <row r="6355" s="29" customFormat="1" ht="30" customHeight="1" spans="1:13">
      <c r="A6355" s="41">
        <f>IF(C6355="","",SUBTOTAL(103,$C$2:C6355))</f>
        <v>6346</v>
      </c>
      <c r="B6355" s="41">
        <v>5162</v>
      </c>
      <c r="C6355" s="54">
        <v>7418</v>
      </c>
      <c r="D6355" s="54" t="s">
        <v>19</v>
      </c>
      <c r="E6355" s="54" t="s">
        <v>20</v>
      </c>
      <c r="F6355" s="54" t="s">
        <v>7727</v>
      </c>
      <c r="G6355" s="54" t="s">
        <v>19349</v>
      </c>
      <c r="H6355" s="54" t="s">
        <v>19350</v>
      </c>
      <c r="I6355" s="43">
        <v>12</v>
      </c>
      <c r="J6355" s="44" t="str">
        <f>VLOOKUP(G6355,[1]硬件清单!$F:$F,1,0)</f>
        <v>210235A1DWH149000108</v>
      </c>
      <c r="K6355" s="43"/>
      <c r="L6355" s="44"/>
      <c r="M6355" s="45" t="s">
        <v>19351</v>
      </c>
    </row>
    <row r="6356" s="29" customFormat="1" ht="30" customHeight="1" spans="1:13">
      <c r="A6356" s="41">
        <f>IF(C6356="","",SUBTOTAL(103,$C$2:C6356))</f>
        <v>6347</v>
      </c>
      <c r="B6356" s="41">
        <v>5163</v>
      </c>
      <c r="C6356" s="54">
        <v>7417</v>
      </c>
      <c r="D6356" s="54" t="s">
        <v>19</v>
      </c>
      <c r="E6356" s="54" t="s">
        <v>20</v>
      </c>
      <c r="F6356" s="54" t="s">
        <v>7727</v>
      </c>
      <c r="G6356" s="54" t="s">
        <v>19352</v>
      </c>
      <c r="H6356" s="54" t="s">
        <v>19353</v>
      </c>
      <c r="I6356" s="43">
        <v>12</v>
      </c>
      <c r="J6356" s="44" t="str">
        <f>VLOOKUP(G6356,[1]硬件清单!$F:$F,1,0)</f>
        <v>210235A1DWH149000117</v>
      </c>
      <c r="K6356" s="43"/>
      <c r="L6356" s="44"/>
      <c r="M6356" s="45" t="s">
        <v>19354</v>
      </c>
    </row>
    <row r="6357" s="29" customFormat="1" ht="30" customHeight="1" spans="1:13">
      <c r="A6357" s="41">
        <f>IF(C6357="","",SUBTOTAL(103,$C$2:C6357))</f>
        <v>6348</v>
      </c>
      <c r="B6357" s="41">
        <v>5164</v>
      </c>
      <c r="C6357" s="54">
        <v>7416</v>
      </c>
      <c r="D6357" s="54" t="s">
        <v>19</v>
      </c>
      <c r="E6357" s="54" t="s">
        <v>20</v>
      </c>
      <c r="F6357" s="54" t="s">
        <v>7727</v>
      </c>
      <c r="G6357" s="54" t="s">
        <v>19355</v>
      </c>
      <c r="H6357" s="54" t="s">
        <v>19356</v>
      </c>
      <c r="I6357" s="43">
        <v>12</v>
      </c>
      <c r="J6357" s="44" t="str">
        <f>VLOOKUP(G6357,[1]硬件清单!$F:$F,1,0)</f>
        <v>210235A1DWH149000106</v>
      </c>
      <c r="K6357" s="43"/>
      <c r="L6357" s="44"/>
      <c r="M6357" s="45" t="s">
        <v>19357</v>
      </c>
    </row>
    <row r="6358" s="29" customFormat="1" ht="30" customHeight="1" spans="1:13">
      <c r="A6358" s="41">
        <f>IF(C6358="","",SUBTOTAL(103,$C$2:C6358))</f>
        <v>6349</v>
      </c>
      <c r="B6358" s="41">
        <v>5165</v>
      </c>
      <c r="C6358" s="54">
        <v>7451</v>
      </c>
      <c r="D6358" s="54" t="s">
        <v>19</v>
      </c>
      <c r="E6358" s="54" t="s">
        <v>20</v>
      </c>
      <c r="F6358" s="54" t="s">
        <v>8893</v>
      </c>
      <c r="G6358" s="54" t="s">
        <v>19358</v>
      </c>
      <c r="H6358" s="54" t="s">
        <v>19359</v>
      </c>
      <c r="I6358" s="43">
        <v>12</v>
      </c>
      <c r="J6358" s="44" t="str">
        <f>VLOOKUP(G6358,[1]硬件清单!$F:$F,1,0)</f>
        <v>210235A0HAH14A000187</v>
      </c>
      <c r="K6358" s="43"/>
      <c r="L6358" s="44"/>
      <c r="M6358" s="45" t="s">
        <v>19360</v>
      </c>
    </row>
    <row r="6359" s="29" customFormat="1" ht="30" customHeight="1" spans="1:13">
      <c r="A6359" s="41">
        <f>IF(C6359="","",SUBTOTAL(103,$C$2:C6359))</f>
        <v>6350</v>
      </c>
      <c r="B6359" s="41">
        <v>5166</v>
      </c>
      <c r="C6359" s="54">
        <v>7420</v>
      </c>
      <c r="D6359" s="54" t="s">
        <v>19</v>
      </c>
      <c r="E6359" s="54" t="s">
        <v>20</v>
      </c>
      <c r="F6359" s="54" t="s">
        <v>8893</v>
      </c>
      <c r="G6359" s="54" t="s">
        <v>19361</v>
      </c>
      <c r="H6359" s="54" t="s">
        <v>19362</v>
      </c>
      <c r="I6359" s="43">
        <v>12</v>
      </c>
      <c r="J6359" s="44" t="str">
        <f>VLOOKUP(G6359,[1]硬件清单!$F:$F,1,0)</f>
        <v>210235A0HAH14A000039</v>
      </c>
      <c r="K6359" s="43"/>
      <c r="L6359" s="44"/>
      <c r="M6359" s="45" t="s">
        <v>19363</v>
      </c>
    </row>
    <row r="6360" s="29" customFormat="1" ht="30" customHeight="1" spans="1:13">
      <c r="A6360" s="41">
        <f>IF(C6360="","",SUBTOTAL(103,$C$2:C6360))</f>
        <v>6351</v>
      </c>
      <c r="B6360" s="41">
        <v>5167</v>
      </c>
      <c r="C6360" s="54">
        <v>11022</v>
      </c>
      <c r="D6360" s="54" t="s">
        <v>45</v>
      </c>
      <c r="E6360" s="54" t="s">
        <v>1298</v>
      </c>
      <c r="F6360" s="54" t="s">
        <v>6965</v>
      </c>
      <c r="G6360" s="54" t="s">
        <v>19364</v>
      </c>
      <c r="H6360" s="54" t="s">
        <v>19365</v>
      </c>
      <c r="I6360" s="43">
        <v>12</v>
      </c>
      <c r="J6360" s="44" t="str">
        <f>VLOOKUP(G6360,[1]硬件清单!$F:$F,1,0)</f>
        <v>06CT309</v>
      </c>
      <c r="K6360" s="43"/>
      <c r="L6360" s="44"/>
      <c r="M6360" s="45" t="s">
        <v>19366</v>
      </c>
    </row>
    <row r="6361" s="29" customFormat="1" ht="30" customHeight="1" spans="1:13">
      <c r="A6361" s="41">
        <f>IF(C6361="","",SUBTOTAL(103,$C$2:C6361))</f>
        <v>6352</v>
      </c>
      <c r="B6361" s="41">
        <v>5168</v>
      </c>
      <c r="C6361" s="54">
        <v>11023</v>
      </c>
      <c r="D6361" s="54" t="s">
        <v>45</v>
      </c>
      <c r="E6361" s="54" t="s">
        <v>1298</v>
      </c>
      <c r="F6361" s="54" t="s">
        <v>6965</v>
      </c>
      <c r="G6361" s="54" t="s">
        <v>19367</v>
      </c>
      <c r="H6361" s="54" t="s">
        <v>19368</v>
      </c>
      <c r="I6361" s="43">
        <v>12</v>
      </c>
      <c r="J6361" s="44" t="str">
        <f>VLOOKUP(G6361,[1]硬件清单!$F:$F,1,0)</f>
        <v>06CT293</v>
      </c>
      <c r="K6361" s="43"/>
      <c r="L6361" s="44"/>
      <c r="M6361" s="45" t="s">
        <v>19369</v>
      </c>
    </row>
    <row r="6362" s="29" customFormat="1" ht="30" customHeight="1" spans="1:13">
      <c r="A6362" s="41">
        <f>IF(C6362="","",SUBTOTAL(103,$C$2:C6362))</f>
        <v>6353</v>
      </c>
      <c r="B6362" s="41">
        <v>5169</v>
      </c>
      <c r="C6362" s="54">
        <v>11024</v>
      </c>
      <c r="D6362" s="54" t="s">
        <v>45</v>
      </c>
      <c r="E6362" s="54" t="s">
        <v>1298</v>
      </c>
      <c r="F6362" s="54" t="s">
        <v>6965</v>
      </c>
      <c r="G6362" s="54" t="s">
        <v>19370</v>
      </c>
      <c r="H6362" s="54" t="s">
        <v>19371</v>
      </c>
      <c r="I6362" s="43">
        <v>12</v>
      </c>
      <c r="J6362" s="44" t="str">
        <f>VLOOKUP(G6362,[1]硬件清单!$F:$F,1,0)</f>
        <v>06CT305</v>
      </c>
      <c r="K6362" s="43"/>
      <c r="L6362" s="44"/>
      <c r="M6362" s="45" t="s">
        <v>19372</v>
      </c>
    </row>
    <row r="6363" s="29" customFormat="1" ht="30" customHeight="1" spans="1:13">
      <c r="A6363" s="41">
        <f>IF(C6363="","",SUBTOTAL(103,$C$2:C6363))</f>
        <v>6354</v>
      </c>
      <c r="B6363" s="41">
        <v>5170</v>
      </c>
      <c r="C6363" s="54">
        <v>11021</v>
      </c>
      <c r="D6363" s="54" t="s">
        <v>45</v>
      </c>
      <c r="E6363" s="54" t="s">
        <v>1298</v>
      </c>
      <c r="F6363" s="54" t="s">
        <v>6965</v>
      </c>
      <c r="G6363" s="54" t="s">
        <v>19373</v>
      </c>
      <c r="H6363" s="54" t="s">
        <v>19374</v>
      </c>
      <c r="I6363" s="43">
        <v>12</v>
      </c>
      <c r="J6363" s="44" t="str">
        <f>VLOOKUP(G6363,[1]硬件清单!$F:$F,1,0)</f>
        <v>06CT278</v>
      </c>
      <c r="K6363" s="43"/>
      <c r="L6363" s="44"/>
      <c r="M6363" s="45" t="s">
        <v>19375</v>
      </c>
    </row>
    <row r="6364" s="29" customFormat="1" ht="30" customHeight="1" spans="1:13">
      <c r="A6364" s="41">
        <f>IF(C6364="","",SUBTOTAL(103,$C$2:C6364))</f>
        <v>6355</v>
      </c>
      <c r="B6364" s="41">
        <v>5171</v>
      </c>
      <c r="C6364" s="54">
        <v>3147</v>
      </c>
      <c r="D6364" s="54" t="s">
        <v>45</v>
      </c>
      <c r="E6364" s="54" t="s">
        <v>1298</v>
      </c>
      <c r="F6364" s="54" t="s">
        <v>5887</v>
      </c>
      <c r="G6364" s="54" t="s">
        <v>19376</v>
      </c>
      <c r="H6364" s="54" t="s">
        <v>19377</v>
      </c>
      <c r="I6364" s="43">
        <v>12</v>
      </c>
      <c r="J6364" s="44" t="str">
        <f>VLOOKUP(G6364,[1]硬件清单!$F:$F,1,0)</f>
        <v>J3NZVL2</v>
      </c>
      <c r="K6364" s="43"/>
      <c r="L6364" s="44"/>
      <c r="M6364" s="45" t="s">
        <v>19378</v>
      </c>
    </row>
    <row r="6365" s="29" customFormat="1" ht="30" customHeight="1" spans="1:13">
      <c r="A6365" s="41">
        <f>IF(C6365="","",SUBTOTAL(103,$C$2:C6365))</f>
        <v>6356</v>
      </c>
      <c r="B6365" s="41">
        <v>5172</v>
      </c>
      <c r="C6365" s="54">
        <v>3140</v>
      </c>
      <c r="D6365" s="54" t="s">
        <v>45</v>
      </c>
      <c r="E6365" s="54" t="s">
        <v>1298</v>
      </c>
      <c r="F6365" s="54" t="s">
        <v>5887</v>
      </c>
      <c r="G6365" s="54" t="s">
        <v>19379</v>
      </c>
      <c r="H6365" s="54" t="s">
        <v>19380</v>
      </c>
      <c r="I6365" s="43">
        <v>12</v>
      </c>
      <c r="J6365" s="44" t="str">
        <f>VLOOKUP(G6365,[1]硬件清单!$F:$F,1,0)</f>
        <v>J3P1KL2</v>
      </c>
      <c r="K6365" s="43"/>
      <c r="L6365" s="44"/>
      <c r="M6365" s="45" t="s">
        <v>19381</v>
      </c>
    </row>
    <row r="6366" s="29" customFormat="1" ht="30" customHeight="1" spans="1:13">
      <c r="A6366" s="41">
        <f>IF(C6366="","",SUBTOTAL(103,$C$2:C6366))</f>
        <v>6357</v>
      </c>
      <c r="B6366" s="41">
        <v>5173</v>
      </c>
      <c r="C6366" s="54">
        <v>3151</v>
      </c>
      <c r="D6366" s="54" t="s">
        <v>45</v>
      </c>
      <c r="E6366" s="54" t="s">
        <v>1298</v>
      </c>
      <c r="F6366" s="54" t="s">
        <v>5887</v>
      </c>
      <c r="G6366" s="54" t="s">
        <v>19382</v>
      </c>
      <c r="H6366" s="54" t="s">
        <v>19383</v>
      </c>
      <c r="I6366" s="43">
        <v>12</v>
      </c>
      <c r="J6366" s="44" t="str">
        <f>VLOOKUP(G6366,[1]硬件清单!$F:$F,1,0)</f>
        <v>J3P3KL2</v>
      </c>
      <c r="K6366" s="43"/>
      <c r="L6366" s="44"/>
      <c r="M6366" s="45" t="s">
        <v>19384</v>
      </c>
    </row>
    <row r="6367" s="29" customFormat="1" ht="30" customHeight="1" spans="1:13">
      <c r="A6367" s="41">
        <f>IF(C6367="","",SUBTOTAL(103,$C$2:C6367))</f>
        <v>6358</v>
      </c>
      <c r="B6367" s="41">
        <v>5174</v>
      </c>
      <c r="C6367" s="54">
        <v>3139</v>
      </c>
      <c r="D6367" s="54" t="s">
        <v>45</v>
      </c>
      <c r="E6367" s="54" t="s">
        <v>1298</v>
      </c>
      <c r="F6367" s="54" t="s">
        <v>5887</v>
      </c>
      <c r="G6367" s="54" t="s">
        <v>19385</v>
      </c>
      <c r="H6367" s="54" t="s">
        <v>19386</v>
      </c>
      <c r="I6367" s="43">
        <v>12</v>
      </c>
      <c r="J6367" s="44" t="str">
        <f>VLOOKUP(G6367,[1]硬件清单!$F:$F,1,0)</f>
        <v>J3P5YL2</v>
      </c>
      <c r="K6367" s="43"/>
      <c r="L6367" s="44"/>
      <c r="M6367" s="45" t="s">
        <v>19387</v>
      </c>
    </row>
    <row r="6368" s="29" customFormat="1" ht="30" customHeight="1" spans="1:13">
      <c r="A6368" s="41">
        <f>IF(C6368="","",SUBTOTAL(103,$C$2:C6368))</f>
        <v>6359</v>
      </c>
      <c r="B6368" s="41">
        <v>5175</v>
      </c>
      <c r="C6368" s="54">
        <v>3148</v>
      </c>
      <c r="D6368" s="54" t="s">
        <v>45</v>
      </c>
      <c r="E6368" s="54" t="s">
        <v>1298</v>
      </c>
      <c r="F6368" s="54" t="s">
        <v>5887</v>
      </c>
      <c r="G6368" s="54" t="s">
        <v>19388</v>
      </c>
      <c r="H6368" s="54" t="s">
        <v>19389</v>
      </c>
      <c r="I6368" s="43">
        <v>12</v>
      </c>
      <c r="J6368" s="44" t="str">
        <f>VLOOKUP(G6368,[1]硬件清单!$F:$F,1,0)</f>
        <v>J3PSVL2</v>
      </c>
      <c r="K6368" s="43"/>
      <c r="L6368" s="44"/>
      <c r="M6368" s="45" t="s">
        <v>19390</v>
      </c>
    </row>
    <row r="6369" s="29" customFormat="1" ht="30" customHeight="1" spans="1:13">
      <c r="A6369" s="41">
        <f>IF(C6369="","",SUBTOTAL(103,$C$2:C6369))</f>
        <v>6360</v>
      </c>
      <c r="B6369" s="41">
        <v>5176</v>
      </c>
      <c r="C6369" s="54">
        <v>3138</v>
      </c>
      <c r="D6369" s="54" t="s">
        <v>45</v>
      </c>
      <c r="E6369" s="54" t="s">
        <v>1298</v>
      </c>
      <c r="F6369" s="54" t="s">
        <v>5887</v>
      </c>
      <c r="G6369" s="54" t="s">
        <v>19391</v>
      </c>
      <c r="H6369" s="54" t="s">
        <v>19392</v>
      </c>
      <c r="I6369" s="43">
        <v>12</v>
      </c>
      <c r="J6369" s="44" t="str">
        <f>VLOOKUP(G6369,[1]硬件清单!$F:$F,1,0)</f>
        <v>J3PXVL2</v>
      </c>
      <c r="K6369" s="43"/>
      <c r="L6369" s="44"/>
      <c r="M6369" s="45" t="s">
        <v>19393</v>
      </c>
    </row>
    <row r="6370" s="29" customFormat="1" ht="30" customHeight="1" spans="1:13">
      <c r="A6370" s="41">
        <f>IF(C6370="","",SUBTOTAL(103,$C$2:C6370))</f>
        <v>6361</v>
      </c>
      <c r="B6370" s="41">
        <v>5177</v>
      </c>
      <c r="C6370" s="54">
        <v>3146</v>
      </c>
      <c r="D6370" s="54" t="s">
        <v>45</v>
      </c>
      <c r="E6370" s="54" t="s">
        <v>1298</v>
      </c>
      <c r="F6370" s="54" t="s">
        <v>5887</v>
      </c>
      <c r="G6370" s="54" t="s">
        <v>19394</v>
      </c>
      <c r="H6370" s="54" t="s">
        <v>19395</v>
      </c>
      <c r="I6370" s="43">
        <v>12</v>
      </c>
      <c r="J6370" s="44" t="str">
        <f>VLOOKUP(G6370,[1]硬件清单!$F:$F,1,0)</f>
        <v>J3PZJL2</v>
      </c>
      <c r="K6370" s="43"/>
      <c r="L6370" s="44"/>
      <c r="M6370" s="45" t="s">
        <v>19396</v>
      </c>
    </row>
    <row r="6371" s="29" customFormat="1" ht="30" customHeight="1" spans="1:13">
      <c r="A6371" s="41">
        <f>IF(C6371="","",SUBTOTAL(103,$C$2:C6371))</f>
        <v>6362</v>
      </c>
      <c r="B6371" s="41">
        <v>5178</v>
      </c>
      <c r="C6371" s="54">
        <v>3137</v>
      </c>
      <c r="D6371" s="54" t="s">
        <v>45</v>
      </c>
      <c r="E6371" s="54" t="s">
        <v>1298</v>
      </c>
      <c r="F6371" s="54" t="s">
        <v>5887</v>
      </c>
      <c r="G6371" s="54" t="s">
        <v>19397</v>
      </c>
      <c r="H6371" s="54" t="s">
        <v>19398</v>
      </c>
      <c r="I6371" s="43">
        <v>12</v>
      </c>
      <c r="J6371" s="44" t="str">
        <f>VLOOKUP(G6371,[1]硬件清单!$F:$F,1,0)</f>
        <v>J3Q0KL2</v>
      </c>
      <c r="K6371" s="43"/>
      <c r="L6371" s="44"/>
      <c r="M6371" s="45" t="s">
        <v>19399</v>
      </c>
    </row>
    <row r="6372" s="29" customFormat="1" ht="30" customHeight="1" spans="1:13">
      <c r="A6372" s="41">
        <f>IF(C6372="","",SUBTOTAL(103,$C$2:C6372))</f>
        <v>6363</v>
      </c>
      <c r="B6372" s="41">
        <v>5179</v>
      </c>
      <c r="C6372" s="54">
        <v>3145</v>
      </c>
      <c r="D6372" s="54" t="s">
        <v>45</v>
      </c>
      <c r="E6372" s="54" t="s">
        <v>1298</v>
      </c>
      <c r="F6372" s="54" t="s">
        <v>5887</v>
      </c>
      <c r="G6372" s="54" t="s">
        <v>19400</v>
      </c>
      <c r="H6372" s="54" t="s">
        <v>19401</v>
      </c>
      <c r="I6372" s="43">
        <v>12</v>
      </c>
      <c r="J6372" s="44" t="str">
        <f>VLOOKUP(G6372,[1]硬件清单!$F:$F,1,0)</f>
        <v>J3Q2YL2</v>
      </c>
      <c r="K6372" s="43"/>
      <c r="L6372" s="44"/>
      <c r="M6372" s="45" t="s">
        <v>19402</v>
      </c>
    </row>
    <row r="6373" s="29" customFormat="1" ht="30" customHeight="1" spans="1:13">
      <c r="A6373" s="41">
        <f>IF(C6373="","",SUBTOTAL(103,$C$2:C6373))</f>
        <v>6364</v>
      </c>
      <c r="B6373" s="41">
        <v>5180</v>
      </c>
      <c r="C6373" s="54">
        <v>3149</v>
      </c>
      <c r="D6373" s="54" t="s">
        <v>45</v>
      </c>
      <c r="E6373" s="54" t="s">
        <v>1298</v>
      </c>
      <c r="F6373" s="54" t="s">
        <v>5887</v>
      </c>
      <c r="G6373" s="54" t="s">
        <v>19403</v>
      </c>
      <c r="H6373" s="54" t="s">
        <v>19404</v>
      </c>
      <c r="I6373" s="43">
        <v>12</v>
      </c>
      <c r="J6373" s="44" t="str">
        <f>VLOOKUP(G6373,[1]硬件清单!$F:$F,1,0)</f>
        <v>J3Q3YL2</v>
      </c>
      <c r="K6373" s="43"/>
      <c r="L6373" s="44"/>
      <c r="M6373" s="45" t="s">
        <v>19405</v>
      </c>
    </row>
    <row r="6374" s="29" customFormat="1" ht="30" customHeight="1" spans="1:13">
      <c r="A6374" s="41">
        <f>IF(C6374="","",SUBTOTAL(103,$C$2:C6374))</f>
        <v>6365</v>
      </c>
      <c r="B6374" s="41">
        <v>5181</v>
      </c>
      <c r="C6374" s="54">
        <v>3141</v>
      </c>
      <c r="D6374" s="54" t="s">
        <v>45</v>
      </c>
      <c r="E6374" s="54" t="s">
        <v>1298</v>
      </c>
      <c r="F6374" s="54" t="s">
        <v>5887</v>
      </c>
      <c r="G6374" s="54" t="s">
        <v>19406</v>
      </c>
      <c r="H6374" s="54" t="s">
        <v>19407</v>
      </c>
      <c r="I6374" s="43">
        <v>12</v>
      </c>
      <c r="J6374" s="44" t="str">
        <f>VLOOKUP(G6374,[1]硬件清单!$F:$F,1,0)</f>
        <v>J3Q5YL2</v>
      </c>
      <c r="K6374" s="43"/>
      <c r="L6374" s="44"/>
      <c r="M6374" s="45" t="s">
        <v>19408</v>
      </c>
    </row>
    <row r="6375" s="29" customFormat="1" ht="30" customHeight="1" spans="1:13">
      <c r="A6375" s="41">
        <f>IF(C6375="","",SUBTOTAL(103,$C$2:C6375))</f>
        <v>6366</v>
      </c>
      <c r="B6375" s="41">
        <v>5182</v>
      </c>
      <c r="C6375" s="54">
        <v>3143</v>
      </c>
      <c r="D6375" s="54" t="s">
        <v>45</v>
      </c>
      <c r="E6375" s="54" t="s">
        <v>1298</v>
      </c>
      <c r="F6375" s="54" t="s">
        <v>5887</v>
      </c>
      <c r="G6375" s="54" t="s">
        <v>19409</v>
      </c>
      <c r="H6375" s="54" t="s">
        <v>19410</v>
      </c>
      <c r="I6375" s="43">
        <v>12</v>
      </c>
      <c r="J6375" s="44" t="str">
        <f>VLOOKUP(G6375,[1]硬件清单!$F:$F,1,0)</f>
        <v>J3QTVL2</v>
      </c>
      <c r="K6375" s="43"/>
      <c r="L6375" s="44"/>
      <c r="M6375" s="45" t="s">
        <v>19411</v>
      </c>
    </row>
    <row r="6376" s="29" customFormat="1" ht="30" customHeight="1" spans="1:13">
      <c r="A6376" s="41">
        <f>IF(C6376="","",SUBTOTAL(103,$C$2:C6376))</f>
        <v>6367</v>
      </c>
      <c r="B6376" s="41">
        <v>5183</v>
      </c>
      <c r="C6376" s="54">
        <v>3144</v>
      </c>
      <c r="D6376" s="54" t="s">
        <v>45</v>
      </c>
      <c r="E6376" s="54" t="s">
        <v>1298</v>
      </c>
      <c r="F6376" s="54" t="s">
        <v>5887</v>
      </c>
      <c r="G6376" s="54" t="s">
        <v>19412</v>
      </c>
      <c r="H6376" s="54" t="s">
        <v>19413</v>
      </c>
      <c r="I6376" s="43">
        <v>12</v>
      </c>
      <c r="J6376" s="44" t="str">
        <f>VLOOKUP(G6376,[1]硬件清单!$F:$F,1,0)</f>
        <v>J3QWVL2</v>
      </c>
      <c r="K6376" s="43"/>
      <c r="L6376" s="44"/>
      <c r="M6376" s="45" t="s">
        <v>19414</v>
      </c>
    </row>
    <row r="6377" s="29" customFormat="1" ht="30" customHeight="1" spans="1:13">
      <c r="A6377" s="41">
        <f>IF(C6377="","",SUBTOTAL(103,$C$2:C6377))</f>
        <v>6368</v>
      </c>
      <c r="B6377" s="41">
        <v>5184</v>
      </c>
      <c r="C6377" s="54">
        <v>3142</v>
      </c>
      <c r="D6377" s="54" t="s">
        <v>45</v>
      </c>
      <c r="E6377" s="54" t="s">
        <v>1298</v>
      </c>
      <c r="F6377" s="54" t="s">
        <v>5887</v>
      </c>
      <c r="G6377" s="54" t="s">
        <v>19415</v>
      </c>
      <c r="H6377" s="54" t="s">
        <v>19416</v>
      </c>
      <c r="I6377" s="43">
        <v>12</v>
      </c>
      <c r="J6377" s="44" t="str">
        <f>VLOOKUP(G6377,[1]硬件清单!$F:$F,1,0)</f>
        <v>J3QYVL2</v>
      </c>
      <c r="K6377" s="43"/>
      <c r="L6377" s="44"/>
      <c r="M6377" s="45" t="s">
        <v>19417</v>
      </c>
    </row>
    <row r="6378" s="29" customFormat="1" ht="30" customHeight="1" spans="1:13">
      <c r="A6378" s="41">
        <f>IF(C6378="","",SUBTOTAL(103,$C$2:C6378))</f>
        <v>6369</v>
      </c>
      <c r="B6378" s="41">
        <v>5185</v>
      </c>
      <c r="C6378" s="54">
        <v>3150</v>
      </c>
      <c r="D6378" s="54" t="s">
        <v>45</v>
      </c>
      <c r="E6378" s="54" t="s">
        <v>1298</v>
      </c>
      <c r="F6378" s="54" t="s">
        <v>5887</v>
      </c>
      <c r="G6378" s="54" t="s">
        <v>19418</v>
      </c>
      <c r="H6378" s="54" t="s">
        <v>19419</v>
      </c>
      <c r="I6378" s="43">
        <v>12</v>
      </c>
      <c r="J6378" s="44" t="str">
        <f>VLOOKUP(G6378,[1]硬件清单!$F:$F,1,0)</f>
        <v>J3R0WL2</v>
      </c>
      <c r="K6378" s="43"/>
      <c r="L6378" s="44"/>
      <c r="M6378" s="45" t="s">
        <v>19420</v>
      </c>
    </row>
    <row r="6379" s="29" customFormat="1" ht="30" customHeight="1" spans="1:13">
      <c r="A6379" s="41">
        <f>IF(C6379="","",SUBTOTAL(103,$C$2:C6379))</f>
        <v>6370</v>
      </c>
      <c r="B6379" s="41">
        <v>5186</v>
      </c>
      <c r="C6379" s="54">
        <v>3152</v>
      </c>
      <c r="D6379" s="54" t="s">
        <v>45</v>
      </c>
      <c r="E6379" s="54" t="s">
        <v>1298</v>
      </c>
      <c r="F6379" s="54" t="s">
        <v>5887</v>
      </c>
      <c r="G6379" s="54" t="s">
        <v>19421</v>
      </c>
      <c r="H6379" s="54" t="s">
        <v>19422</v>
      </c>
      <c r="I6379" s="43">
        <v>12</v>
      </c>
      <c r="J6379" s="44" t="str">
        <f>VLOOKUP(G6379,[1]硬件清单!$F:$F,1,0)</f>
        <v>J3R1YL2</v>
      </c>
      <c r="K6379" s="43"/>
      <c r="L6379" s="44"/>
      <c r="M6379" s="45" t="s">
        <v>19423</v>
      </c>
    </row>
    <row r="6380" s="29" customFormat="1" ht="30" customHeight="1" spans="1:13">
      <c r="A6380" s="41">
        <f>IF(C6380="","",SUBTOTAL(103,$C$2:C6380))</f>
        <v>6371</v>
      </c>
      <c r="B6380" s="41">
        <v>5187</v>
      </c>
      <c r="C6380" s="54">
        <v>3193</v>
      </c>
      <c r="D6380" s="54" t="s">
        <v>45</v>
      </c>
      <c r="E6380" s="54" t="s">
        <v>1298</v>
      </c>
      <c r="F6380" s="54" t="s">
        <v>5883</v>
      </c>
      <c r="G6380" s="54" t="s">
        <v>19424</v>
      </c>
      <c r="H6380" s="54" t="s">
        <v>19425</v>
      </c>
      <c r="I6380" s="43">
        <v>12</v>
      </c>
      <c r="J6380" s="44" t="str">
        <f>VLOOKUP(G6380,[1]硬件清单!$F:$F,1,0)</f>
        <v>J3W4KL2</v>
      </c>
      <c r="K6380" s="43"/>
      <c r="L6380" s="44"/>
      <c r="M6380" s="45" t="s">
        <v>19426</v>
      </c>
    </row>
    <row r="6381" s="29" customFormat="1" ht="30" customHeight="1" spans="1:13">
      <c r="A6381" s="41">
        <f>IF(C6381="","",SUBTOTAL(103,$C$2:C6381))</f>
        <v>6372</v>
      </c>
      <c r="B6381" s="41">
        <v>5188</v>
      </c>
      <c r="C6381" s="54">
        <v>3344</v>
      </c>
      <c r="D6381" s="54" t="s">
        <v>45</v>
      </c>
      <c r="E6381" s="54" t="s">
        <v>1298</v>
      </c>
      <c r="F6381" s="54" t="s">
        <v>5883</v>
      </c>
      <c r="G6381" s="54" t="s">
        <v>19427</v>
      </c>
      <c r="H6381" s="54" t="s">
        <v>19428</v>
      </c>
      <c r="I6381" s="43">
        <v>12</v>
      </c>
      <c r="J6381" s="44" t="str">
        <f>VLOOKUP(G6381,[1]硬件清单!$F:$F,1,0)</f>
        <v>JB94KL2</v>
      </c>
      <c r="K6381" s="43"/>
      <c r="L6381" s="44"/>
      <c r="M6381" s="45" t="s">
        <v>19429</v>
      </c>
    </row>
    <row r="6382" s="29" customFormat="1" ht="30" customHeight="1" spans="1:13">
      <c r="A6382" s="41">
        <f>IF(C6382="","",SUBTOTAL(103,$C$2:C6382))</f>
        <v>6373</v>
      </c>
      <c r="B6382" s="41">
        <v>5189</v>
      </c>
      <c r="C6382" s="54">
        <v>128</v>
      </c>
      <c r="D6382" s="54" t="s">
        <v>45</v>
      </c>
      <c r="E6382" s="54" t="s">
        <v>1298</v>
      </c>
      <c r="F6382" s="54" t="s">
        <v>5887</v>
      </c>
      <c r="G6382" s="54" t="s">
        <v>19430</v>
      </c>
      <c r="H6382" s="54" t="s">
        <v>19431</v>
      </c>
      <c r="I6382" s="43">
        <v>12</v>
      </c>
      <c r="J6382" s="44" t="str">
        <f>VLOOKUP(G6382,[1]硬件清单!$F:$F,1,0)</f>
        <v>JBB5YL2</v>
      </c>
      <c r="K6382" s="43"/>
      <c r="L6382" s="44"/>
      <c r="M6382" s="45" t="s">
        <v>19432</v>
      </c>
    </row>
    <row r="6383" s="29" customFormat="1" ht="30" customHeight="1" spans="1:13">
      <c r="A6383" s="41">
        <f>IF(C6383="","",SUBTOTAL(103,$C$2:C6383))</f>
        <v>6374</v>
      </c>
      <c r="B6383" s="41">
        <v>5190</v>
      </c>
      <c r="C6383" s="54">
        <v>132</v>
      </c>
      <c r="D6383" s="54" t="s">
        <v>45</v>
      </c>
      <c r="E6383" s="54" t="s">
        <v>1298</v>
      </c>
      <c r="F6383" s="54" t="s">
        <v>5887</v>
      </c>
      <c r="G6383" s="54" t="s">
        <v>19433</v>
      </c>
      <c r="H6383" s="54" t="s">
        <v>19434</v>
      </c>
      <c r="I6383" s="43">
        <v>12</v>
      </c>
      <c r="J6383" s="44" t="str">
        <f>VLOOKUP(G6383,[1]硬件清单!$F:$F,1,0)</f>
        <v>JBBWVL2</v>
      </c>
      <c r="K6383" s="43"/>
      <c r="L6383" s="44"/>
      <c r="M6383" s="45" t="s">
        <v>19435</v>
      </c>
    </row>
    <row r="6384" s="29" customFormat="1" ht="30" customHeight="1" spans="1:13">
      <c r="A6384" s="41">
        <f>IF(C6384="","",SUBTOTAL(103,$C$2:C6384))</f>
        <v>6375</v>
      </c>
      <c r="B6384" s="41">
        <v>5191</v>
      </c>
      <c r="C6384" s="54">
        <v>134</v>
      </c>
      <c r="D6384" s="54" t="s">
        <v>45</v>
      </c>
      <c r="E6384" s="54" t="s">
        <v>1298</v>
      </c>
      <c r="F6384" s="54" t="s">
        <v>5887</v>
      </c>
      <c r="G6384" s="54" t="s">
        <v>19436</v>
      </c>
      <c r="H6384" s="54" t="s">
        <v>19437</v>
      </c>
      <c r="I6384" s="43">
        <v>12</v>
      </c>
      <c r="J6384" s="44" t="str">
        <f>VLOOKUP(G6384,[1]硬件清单!$F:$F,1,0)</f>
        <v>JBC0KL2</v>
      </c>
      <c r="K6384" s="43"/>
      <c r="L6384" s="44"/>
      <c r="M6384" s="45" t="s">
        <v>19438</v>
      </c>
    </row>
    <row r="6385" s="29" customFormat="1" ht="30" customHeight="1" spans="1:13">
      <c r="A6385" s="41">
        <f>IF(C6385="","",SUBTOTAL(103,$C$2:C6385))</f>
        <v>6376</v>
      </c>
      <c r="B6385" s="41">
        <v>5192</v>
      </c>
      <c r="C6385" s="54">
        <v>133</v>
      </c>
      <c r="D6385" s="54" t="s">
        <v>45</v>
      </c>
      <c r="E6385" s="54" t="s">
        <v>1298</v>
      </c>
      <c r="F6385" s="54" t="s">
        <v>5887</v>
      </c>
      <c r="G6385" s="54" t="s">
        <v>19439</v>
      </c>
      <c r="H6385" s="54" t="s">
        <v>19440</v>
      </c>
      <c r="I6385" s="43">
        <v>12</v>
      </c>
      <c r="J6385" s="44" t="str">
        <f>VLOOKUP(G6385,[1]硬件清单!$F:$F,1,0)</f>
        <v>JBC3KL2</v>
      </c>
      <c r="K6385" s="43"/>
      <c r="L6385" s="44"/>
      <c r="M6385" s="45" t="s">
        <v>19441</v>
      </c>
    </row>
    <row r="6386" s="29" customFormat="1" ht="30" customHeight="1" spans="1:13">
      <c r="A6386" s="41">
        <f>IF(C6386="","",SUBTOTAL(103,$C$2:C6386))</f>
        <v>6377</v>
      </c>
      <c r="B6386" s="41">
        <v>5193</v>
      </c>
      <c r="C6386" s="54">
        <v>131</v>
      </c>
      <c r="D6386" s="54" t="s">
        <v>45</v>
      </c>
      <c r="E6386" s="54" t="s">
        <v>1298</v>
      </c>
      <c r="F6386" s="54" t="s">
        <v>5887</v>
      </c>
      <c r="G6386" s="54" t="s">
        <v>19442</v>
      </c>
      <c r="H6386" s="54" t="s">
        <v>19443</v>
      </c>
      <c r="I6386" s="43">
        <v>12</v>
      </c>
      <c r="J6386" s="44" t="str">
        <f>VLOOKUP(G6386,[1]硬件清单!$F:$F,1,0)</f>
        <v>JBC5YL2</v>
      </c>
      <c r="K6386" s="43"/>
      <c r="L6386" s="44"/>
      <c r="M6386" s="45" t="s">
        <v>19444</v>
      </c>
    </row>
    <row r="6387" s="29" customFormat="1" ht="30" customHeight="1" spans="1:13">
      <c r="A6387" s="41">
        <f>IF(C6387="","",SUBTOTAL(103,$C$2:C6387))</f>
        <v>6378</v>
      </c>
      <c r="B6387" s="41">
        <v>5194</v>
      </c>
      <c r="C6387" s="54">
        <v>127</v>
      </c>
      <c r="D6387" s="54" t="s">
        <v>45</v>
      </c>
      <c r="E6387" s="54" t="s">
        <v>1298</v>
      </c>
      <c r="F6387" s="54" t="s">
        <v>5887</v>
      </c>
      <c r="G6387" s="54" t="s">
        <v>19445</v>
      </c>
      <c r="H6387" s="54" t="s">
        <v>19446</v>
      </c>
      <c r="I6387" s="43">
        <v>12</v>
      </c>
      <c r="J6387" s="44" t="str">
        <f>VLOOKUP(G6387,[1]硬件清单!$F:$F,1,0)</f>
        <v>JBC7YL2</v>
      </c>
      <c r="K6387" s="43"/>
      <c r="L6387" s="44"/>
      <c r="M6387" s="45" t="s">
        <v>19447</v>
      </c>
    </row>
    <row r="6388" s="29" customFormat="1" ht="30" customHeight="1" spans="1:13">
      <c r="A6388" s="41">
        <f>IF(C6388="","",SUBTOTAL(103,$C$2:C6388))</f>
        <v>6379</v>
      </c>
      <c r="B6388" s="41">
        <v>5195</v>
      </c>
      <c r="C6388" s="54">
        <v>129</v>
      </c>
      <c r="D6388" s="54" t="s">
        <v>45</v>
      </c>
      <c r="E6388" s="54" t="s">
        <v>1298</v>
      </c>
      <c r="F6388" s="54" t="s">
        <v>5887</v>
      </c>
      <c r="G6388" s="54" t="s">
        <v>19448</v>
      </c>
      <c r="H6388" s="54" t="s">
        <v>19449</v>
      </c>
      <c r="I6388" s="43">
        <v>12</v>
      </c>
      <c r="J6388" s="44" t="str">
        <f>VLOOKUP(G6388,[1]硬件清单!$F:$F,1,0)</f>
        <v>JBCYVL2</v>
      </c>
      <c r="K6388" s="43"/>
      <c r="L6388" s="44"/>
      <c r="M6388" s="45" t="s">
        <v>19450</v>
      </c>
    </row>
    <row r="6389" s="29" customFormat="1" ht="30" customHeight="1" spans="1:13">
      <c r="A6389" s="41">
        <f>IF(C6389="","",SUBTOTAL(103,$C$2:C6389))</f>
        <v>6380</v>
      </c>
      <c r="B6389" s="41">
        <v>5196</v>
      </c>
      <c r="C6389" s="54">
        <v>130</v>
      </c>
      <c r="D6389" s="54" t="s">
        <v>45</v>
      </c>
      <c r="E6389" s="54" t="s">
        <v>1298</v>
      </c>
      <c r="F6389" s="54" t="s">
        <v>5887</v>
      </c>
      <c r="G6389" s="54" t="s">
        <v>19451</v>
      </c>
      <c r="H6389" s="54" t="s">
        <v>19452</v>
      </c>
      <c r="I6389" s="43">
        <v>12</v>
      </c>
      <c r="J6389" s="44" t="str">
        <f>VLOOKUP(G6389,[1]硬件清单!$F:$F,1,0)</f>
        <v>JBD0WL2</v>
      </c>
      <c r="K6389" s="43"/>
      <c r="L6389" s="44"/>
      <c r="M6389" s="45" t="s">
        <v>19453</v>
      </c>
    </row>
    <row r="6390" s="29" customFormat="1" ht="30" customHeight="1" spans="1:13">
      <c r="A6390" s="41">
        <f>IF(C6390="","",SUBTOTAL(103,$C$2:C6390))</f>
        <v>6381</v>
      </c>
      <c r="B6390" s="41">
        <v>5197</v>
      </c>
      <c r="C6390" s="54">
        <v>3559</v>
      </c>
      <c r="D6390" s="54" t="s">
        <v>19</v>
      </c>
      <c r="E6390" s="54" t="s">
        <v>20</v>
      </c>
      <c r="F6390" s="54" t="s">
        <v>19117</v>
      </c>
      <c r="G6390" s="54" t="s">
        <v>19454</v>
      </c>
      <c r="H6390" s="54" t="s">
        <v>19455</v>
      </c>
      <c r="I6390" s="43">
        <v>12</v>
      </c>
      <c r="J6390" s="44" t="str">
        <f>VLOOKUP(G6390,[1]硬件清单!$F:$F,1,0)</f>
        <v>210235A1XCH178000008</v>
      </c>
      <c r="K6390" s="43"/>
      <c r="L6390" s="44"/>
      <c r="M6390" s="45" t="s">
        <v>19456</v>
      </c>
    </row>
    <row r="6391" s="29" customFormat="1" ht="30" customHeight="1" spans="1:13">
      <c r="A6391" s="41">
        <f>IF(C6391="","",SUBTOTAL(103,$C$2:C6391))</f>
        <v>6382</v>
      </c>
      <c r="B6391" s="41">
        <v>5198</v>
      </c>
      <c r="C6391" s="54">
        <v>3558</v>
      </c>
      <c r="D6391" s="54" t="s">
        <v>19</v>
      </c>
      <c r="E6391" s="54" t="s">
        <v>20</v>
      </c>
      <c r="F6391" s="54" t="s">
        <v>19117</v>
      </c>
      <c r="G6391" s="54" t="s">
        <v>19457</v>
      </c>
      <c r="H6391" s="54" t="s">
        <v>19458</v>
      </c>
      <c r="I6391" s="43">
        <v>12</v>
      </c>
      <c r="J6391" s="44" t="str">
        <f>VLOOKUP(G6391,[1]硬件清单!$F:$F,1,0)</f>
        <v>210235A1XCH178000014</v>
      </c>
      <c r="K6391" s="43"/>
      <c r="L6391" s="44"/>
      <c r="M6391" s="45" t="s">
        <v>19459</v>
      </c>
    </row>
    <row r="6392" s="29" customFormat="1" ht="30" customHeight="1" spans="1:13">
      <c r="A6392" s="41">
        <f>IF(C6392="","",SUBTOTAL(103,$C$2:C6392))</f>
        <v>6383</v>
      </c>
      <c r="B6392" s="41">
        <v>5199</v>
      </c>
      <c r="C6392" s="54">
        <v>3555</v>
      </c>
      <c r="D6392" s="54" t="s">
        <v>19</v>
      </c>
      <c r="E6392" s="54" t="s">
        <v>20</v>
      </c>
      <c r="F6392" s="54" t="s">
        <v>19460</v>
      </c>
      <c r="G6392" s="54" t="s">
        <v>19461</v>
      </c>
      <c r="H6392" s="54" t="s">
        <v>19462</v>
      </c>
      <c r="I6392" s="43">
        <v>12</v>
      </c>
      <c r="J6392" s="44" t="str">
        <f>VLOOKUP(G6392,[1]硬件清单!$F:$F,1,0)</f>
        <v>210235A2D4H177000115</v>
      </c>
      <c r="K6392" s="43"/>
      <c r="L6392" s="44"/>
      <c r="M6392" s="45" t="s">
        <v>19463</v>
      </c>
    </row>
    <row r="6393" s="29" customFormat="1" ht="30" customHeight="1" spans="1:13">
      <c r="A6393" s="41">
        <f>IF(C6393="","",SUBTOTAL(103,$C$2:C6393))</f>
        <v>6384</v>
      </c>
      <c r="B6393" s="41">
        <v>5200</v>
      </c>
      <c r="C6393" s="54">
        <v>3554</v>
      </c>
      <c r="D6393" s="54" t="s">
        <v>19</v>
      </c>
      <c r="E6393" s="54" t="s">
        <v>20</v>
      </c>
      <c r="F6393" s="54" t="s">
        <v>19460</v>
      </c>
      <c r="G6393" s="54" t="s">
        <v>19464</v>
      </c>
      <c r="H6393" s="54" t="s">
        <v>19465</v>
      </c>
      <c r="I6393" s="43">
        <v>12</v>
      </c>
      <c r="J6393" s="44" t="str">
        <f>VLOOKUP(G6393,[1]硬件清单!$F:$F,1,0)</f>
        <v>210235A2D4H178000127</v>
      </c>
      <c r="K6393" s="43"/>
      <c r="L6393" s="44"/>
      <c r="M6393" s="45" t="s">
        <v>19466</v>
      </c>
    </row>
    <row r="6394" s="29" customFormat="1" ht="30" customHeight="1" spans="1:13">
      <c r="A6394" s="41">
        <f>IF(C6394="","",SUBTOTAL(103,$C$2:C6394))</f>
        <v>6385</v>
      </c>
      <c r="B6394" s="41">
        <v>5202</v>
      </c>
      <c r="C6394" s="55">
        <v>1194</v>
      </c>
      <c r="D6394" s="55" t="s">
        <v>45</v>
      </c>
      <c r="E6394" s="55" t="s">
        <v>1298</v>
      </c>
      <c r="F6394" s="55" t="s">
        <v>4197</v>
      </c>
      <c r="G6394" s="54" t="s">
        <v>19467</v>
      </c>
      <c r="H6394" s="54" t="s">
        <v>19468</v>
      </c>
      <c r="I6394" s="43">
        <v>12</v>
      </c>
      <c r="J6394" s="44" t="str">
        <f>VLOOKUP(G6394,[1]硬件清单!$F:$F,1,0)</f>
        <v>J320P3B</v>
      </c>
      <c r="K6394" s="43"/>
      <c r="L6394" s="44"/>
      <c r="M6394" s="45" t="s">
        <v>19469</v>
      </c>
    </row>
    <row r="6395" s="29" customFormat="1" ht="30" customHeight="1" spans="1:13">
      <c r="A6395" s="41">
        <f>IF(C6395="","",SUBTOTAL(103,$C$2:C6395))</f>
        <v>6386</v>
      </c>
      <c r="B6395" s="41">
        <v>5203</v>
      </c>
      <c r="C6395" s="55">
        <v>1192</v>
      </c>
      <c r="D6395" s="55" t="s">
        <v>45</v>
      </c>
      <c r="E6395" s="55" t="s">
        <v>1298</v>
      </c>
      <c r="F6395" s="55" t="s">
        <v>4197</v>
      </c>
      <c r="G6395" s="54" t="s">
        <v>19470</v>
      </c>
      <c r="H6395" s="54" t="s">
        <v>19471</v>
      </c>
      <c r="I6395" s="43">
        <v>12</v>
      </c>
      <c r="J6395" s="44" t="str">
        <f>VLOOKUP(G6395,[1]硬件清单!$F:$F,1,0)</f>
        <v>J320P3W</v>
      </c>
      <c r="K6395" s="43"/>
      <c r="L6395" s="44"/>
      <c r="M6395" s="45" t="s">
        <v>19472</v>
      </c>
    </row>
    <row r="6396" s="29" customFormat="1" ht="30" customHeight="1" spans="1:13">
      <c r="A6396" s="41">
        <f>IF(C6396="","",SUBTOTAL(103,$C$2:C6396))</f>
        <v>6387</v>
      </c>
      <c r="B6396" s="41">
        <v>5204</v>
      </c>
      <c r="C6396" s="55">
        <v>75</v>
      </c>
      <c r="D6396" s="55" t="s">
        <v>45</v>
      </c>
      <c r="E6396" s="55" t="s">
        <v>1298</v>
      </c>
      <c r="F6396" s="55" t="s">
        <v>4197</v>
      </c>
      <c r="G6396" s="54" t="s">
        <v>19473</v>
      </c>
      <c r="H6396" s="54" t="s">
        <v>19474</v>
      </c>
      <c r="I6396" s="43">
        <v>12</v>
      </c>
      <c r="J6396" s="44" t="str">
        <f>VLOOKUP(G6396,[1]硬件清单!$F:$F,1,0)</f>
        <v>J325T76</v>
      </c>
      <c r="K6396" s="43"/>
      <c r="L6396" s="44"/>
      <c r="M6396" s="45" t="s">
        <v>19475</v>
      </c>
    </row>
    <row r="6397" s="29" customFormat="1" ht="30" customHeight="1" spans="1:13">
      <c r="A6397" s="41">
        <f>IF(C6397="","",SUBTOTAL(103,$C$2:C6397))</f>
        <v>6388</v>
      </c>
      <c r="B6397" s="41">
        <v>5205</v>
      </c>
      <c r="C6397" s="55">
        <v>76</v>
      </c>
      <c r="D6397" s="55" t="s">
        <v>45</v>
      </c>
      <c r="E6397" s="55" t="s">
        <v>1298</v>
      </c>
      <c r="F6397" s="55" t="s">
        <v>4197</v>
      </c>
      <c r="G6397" s="54" t="s">
        <v>19476</v>
      </c>
      <c r="H6397" s="54" t="s">
        <v>19477</v>
      </c>
      <c r="I6397" s="43">
        <v>12</v>
      </c>
      <c r="J6397" s="44" t="str">
        <f>VLOOKUP(G6397,[1]硬件清单!$F:$F,1,0)</f>
        <v>J325T9L</v>
      </c>
      <c r="K6397" s="43"/>
      <c r="L6397" s="44"/>
      <c r="M6397" s="45" t="s">
        <v>19478</v>
      </c>
    </row>
    <row r="6398" s="29" customFormat="1" ht="30" customHeight="1" spans="1:13">
      <c r="A6398" s="41">
        <f>IF(C6398="","",SUBTOTAL(103,$C$2:C6398))</f>
        <v>6389</v>
      </c>
      <c r="B6398" s="41">
        <v>5206</v>
      </c>
      <c r="C6398" s="55">
        <v>7720</v>
      </c>
      <c r="D6398" s="55" t="s">
        <v>65</v>
      </c>
      <c r="E6398" s="55" t="s">
        <v>220</v>
      </c>
      <c r="F6398" s="55" t="s">
        <v>18330</v>
      </c>
      <c r="G6398" s="54" t="s">
        <v>19479</v>
      </c>
      <c r="H6398" s="54" t="s">
        <v>19480</v>
      </c>
      <c r="I6398" s="43">
        <v>12</v>
      </c>
      <c r="J6398" s="44" t="str">
        <f>VLOOKUP(G6398,[1]硬件清单!$F:$F,1,0)</f>
        <v>YD-SW1G-242EE51B0996</v>
      </c>
      <c r="K6398" s="43"/>
      <c r="L6398" s="44"/>
      <c r="M6398" s="45" t="s">
        <v>19481</v>
      </c>
    </row>
    <row r="6399" s="29" customFormat="1" ht="30" customHeight="1" spans="1:13">
      <c r="A6399" s="41">
        <f>IF(C6399="","",SUBTOTAL(103,$C$2:C6399))</f>
        <v>6390</v>
      </c>
      <c r="B6399" s="41">
        <v>5207</v>
      </c>
      <c r="C6399" s="55">
        <v>7721</v>
      </c>
      <c r="D6399" s="55" t="s">
        <v>65</v>
      </c>
      <c r="E6399" s="55" t="s">
        <v>220</v>
      </c>
      <c r="F6399" s="55" t="s">
        <v>18330</v>
      </c>
      <c r="G6399" s="54" t="s">
        <v>19482</v>
      </c>
      <c r="H6399" s="54" t="s">
        <v>19483</v>
      </c>
      <c r="I6399" s="43">
        <v>12</v>
      </c>
      <c r="J6399" s="44" t="str">
        <f>VLOOKUP(G6399,[1]硬件清单!$F:$F,1,0)</f>
        <v>YD-SW1G-242EE51B0997</v>
      </c>
      <c r="K6399" s="43"/>
      <c r="L6399" s="44"/>
      <c r="M6399" s="45" t="s">
        <v>19484</v>
      </c>
    </row>
    <row r="6400" s="29" customFormat="1" ht="30" customHeight="1" spans="1:13">
      <c r="A6400" s="41">
        <f>IF(C6400="","",SUBTOTAL(103,$C$2:C6400))</f>
        <v>6391</v>
      </c>
      <c r="B6400" s="41">
        <v>5208</v>
      </c>
      <c r="C6400" s="55">
        <v>10103</v>
      </c>
      <c r="D6400" s="55" t="s">
        <v>19</v>
      </c>
      <c r="E6400" s="55" t="s">
        <v>20</v>
      </c>
      <c r="F6400" s="55" t="s">
        <v>11422</v>
      </c>
      <c r="G6400" s="54" t="s">
        <v>19485</v>
      </c>
      <c r="H6400" s="54" t="s">
        <v>19486</v>
      </c>
      <c r="I6400" s="43">
        <v>12</v>
      </c>
      <c r="J6400" s="44" t="str">
        <f>VLOOKUP(G6400,[1]硬件清单!$F:$F,1,0)</f>
        <v>210235AOHAH127000043</v>
      </c>
      <c r="K6400" s="43"/>
      <c r="L6400" s="44"/>
      <c r="M6400" s="45" t="s">
        <v>19487</v>
      </c>
    </row>
    <row r="6401" s="29" customFormat="1" ht="30" customHeight="1" spans="1:13">
      <c r="A6401" s="41">
        <f>IF(C6401="","",SUBTOTAL(103,$C$2:C6401))</f>
        <v>6392</v>
      </c>
      <c r="B6401" s="41">
        <v>5209</v>
      </c>
      <c r="C6401" s="55">
        <v>10106</v>
      </c>
      <c r="D6401" s="55" t="s">
        <v>19</v>
      </c>
      <c r="E6401" s="55" t="s">
        <v>20</v>
      </c>
      <c r="F6401" s="55" t="s">
        <v>11422</v>
      </c>
      <c r="G6401" s="54" t="s">
        <v>19488</v>
      </c>
      <c r="H6401" s="54" t="s">
        <v>19489</v>
      </c>
      <c r="I6401" s="43">
        <v>12</v>
      </c>
      <c r="J6401" s="44" t="str">
        <f>VLOOKUP(G6401,[1]硬件清单!$F:$F,1,0)</f>
        <v>210235AOHAH127000073</v>
      </c>
      <c r="K6401" s="43"/>
      <c r="L6401" s="44"/>
      <c r="M6401" s="45" t="s">
        <v>19487</v>
      </c>
    </row>
    <row r="6402" s="29" customFormat="1" ht="30" customHeight="1" spans="1:13">
      <c r="A6402" s="41">
        <f>IF(C6402="","",SUBTOTAL(103,$C$2:C6402))</f>
        <v>6393</v>
      </c>
      <c r="B6402" s="41">
        <v>5210</v>
      </c>
      <c r="C6402" s="55">
        <v>5939</v>
      </c>
      <c r="D6402" s="55" t="s">
        <v>45</v>
      </c>
      <c r="E6402" s="55" t="s">
        <v>246</v>
      </c>
      <c r="F6402" s="55" t="s">
        <v>4478</v>
      </c>
      <c r="G6402" s="54" t="s">
        <v>19490</v>
      </c>
      <c r="H6402" s="54" t="s">
        <v>19491</v>
      </c>
      <c r="I6402" s="43">
        <v>12</v>
      </c>
      <c r="J6402" s="44" t="str">
        <f>VLOOKUP(G6402,[1]硬件清单!$F:$F,1,0)</f>
        <v>21156dv</v>
      </c>
      <c r="K6402" s="43"/>
      <c r="L6402" s="44"/>
      <c r="M6402" s="45" t="s">
        <v>19492</v>
      </c>
    </row>
    <row r="6403" s="29" customFormat="1" ht="30" customHeight="1" spans="1:13">
      <c r="A6403" s="41">
        <f>IF(C6403="","",SUBTOTAL(103,$C$2:C6403))</f>
        <v>6394</v>
      </c>
      <c r="B6403" s="41">
        <v>5211</v>
      </c>
      <c r="C6403" s="55">
        <v>7415</v>
      </c>
      <c r="D6403" s="55" t="s">
        <v>19</v>
      </c>
      <c r="E6403" s="55" t="s">
        <v>20</v>
      </c>
      <c r="F6403" s="55" t="s">
        <v>19493</v>
      </c>
      <c r="G6403" s="54" t="s">
        <v>19494</v>
      </c>
      <c r="H6403" s="54" t="s">
        <v>19495</v>
      </c>
      <c r="I6403" s="43">
        <v>12</v>
      </c>
      <c r="J6403" s="44" t="str">
        <f>VLOOKUP(G6403,[1]硬件清单!$F:$F,1,0)</f>
        <v>210235A0BJH13C000558</v>
      </c>
      <c r="K6403" s="43"/>
      <c r="L6403" s="44"/>
      <c r="M6403" s="45" t="s">
        <v>19496</v>
      </c>
    </row>
    <row r="6404" s="29" customFormat="1" ht="30" customHeight="1" spans="1:13">
      <c r="A6404" s="41">
        <f>IF(C6404="","",SUBTOTAL(103,$C$2:C6404))</f>
        <v>6395</v>
      </c>
      <c r="B6404" s="41">
        <v>5212</v>
      </c>
      <c r="C6404" s="55">
        <v>11065</v>
      </c>
      <c r="D6404" s="55" t="s">
        <v>45</v>
      </c>
      <c r="E6404" s="55" t="s">
        <v>46</v>
      </c>
      <c r="F6404" s="55" t="s">
        <v>19497</v>
      </c>
      <c r="G6404" s="54" t="s">
        <v>19498</v>
      </c>
      <c r="H6404" s="54" t="s">
        <v>19499</v>
      </c>
      <c r="I6404" s="43">
        <v>12</v>
      </c>
      <c r="J6404" s="44" t="str">
        <f>VLOOKUP(G6404,[1]硬件清单!$F:$F,1,0)</f>
        <v>2-1</v>
      </c>
      <c r="K6404" s="43"/>
      <c r="L6404" s="44"/>
      <c r="M6404" s="45" t="s">
        <v>19500</v>
      </c>
    </row>
    <row r="6405" s="29" customFormat="1" ht="30" customHeight="1" spans="1:13">
      <c r="A6405" s="41">
        <f>IF(C6405="","",SUBTOTAL(103,$C$2:C6405))</f>
        <v>6396</v>
      </c>
      <c r="B6405" s="41">
        <v>5213</v>
      </c>
      <c r="C6405" s="55">
        <v>7414</v>
      </c>
      <c r="D6405" s="55" t="s">
        <v>19</v>
      </c>
      <c r="E6405" s="55" t="s">
        <v>20</v>
      </c>
      <c r="F6405" s="55" t="s">
        <v>19493</v>
      </c>
      <c r="G6405" s="54" t="s">
        <v>19501</v>
      </c>
      <c r="H6405" s="54" t="s">
        <v>19502</v>
      </c>
      <c r="I6405" s="43">
        <v>12</v>
      </c>
      <c r="J6405" s="44" t="str">
        <f>VLOOKUP(G6405,[1]硬件清单!$F:$F,1,0)</f>
        <v>210235A0BJH13C000145</v>
      </c>
      <c r="K6405" s="43"/>
      <c r="L6405" s="44"/>
      <c r="M6405" s="45" t="s">
        <v>19503</v>
      </c>
    </row>
    <row r="6406" s="29" customFormat="1" ht="30" customHeight="1" spans="1:13">
      <c r="A6406" s="41">
        <f>IF(C6406="","",SUBTOTAL(103,$C$2:C6406))</f>
        <v>6397</v>
      </c>
      <c r="B6406" s="41">
        <v>5214</v>
      </c>
      <c r="C6406" s="54">
        <v>11077</v>
      </c>
      <c r="D6406" s="54" t="s">
        <v>161</v>
      </c>
      <c r="E6406" s="54" t="s">
        <v>162</v>
      </c>
      <c r="F6406" s="54" t="s">
        <v>19504</v>
      </c>
      <c r="G6406" s="54" t="s">
        <v>19505</v>
      </c>
      <c r="H6406" s="54" t="s">
        <v>19506</v>
      </c>
      <c r="I6406" s="43">
        <v>12</v>
      </c>
      <c r="J6406" s="44" t="str">
        <f>VLOOKUP(G6406,[1]硬件清单!$F:$F,1,0)</f>
        <v>212997</v>
      </c>
      <c r="K6406" s="43"/>
      <c r="L6406" s="44"/>
      <c r="M6406" s="45" t="s">
        <v>19507</v>
      </c>
    </row>
    <row r="6407" s="29" customFormat="1" ht="30" customHeight="1" spans="1:13">
      <c r="A6407" s="41">
        <f>IF(C6407="","",SUBTOTAL(103,$C$2:C6407))</f>
        <v>6398</v>
      </c>
      <c r="B6407" s="41">
        <v>12581</v>
      </c>
      <c r="C6407" s="54">
        <v>5912</v>
      </c>
      <c r="D6407" s="54" t="s">
        <v>19</v>
      </c>
      <c r="E6407" s="54" t="s">
        <v>20</v>
      </c>
      <c r="F6407" s="54" t="s">
        <v>19508</v>
      </c>
      <c r="G6407" s="54" t="s">
        <v>19509</v>
      </c>
      <c r="H6407" s="54" t="s">
        <v>19510</v>
      </c>
      <c r="I6407" s="43">
        <v>12</v>
      </c>
      <c r="J6407" s="44" t="str">
        <f>VLOOKUP(G6407,[1]硬件清单!$F:$F,1,0)</f>
        <v>210235A1QQX179000061</v>
      </c>
      <c r="K6407" s="42"/>
      <c r="L6407" s="44"/>
      <c r="M6407" s="45" t="s">
        <v>19511</v>
      </c>
    </row>
    <row r="6408" s="29" customFormat="1" ht="30" customHeight="1" spans="1:13">
      <c r="A6408" s="41">
        <f>IF(C6408="","",SUBTOTAL(103,$C$2:C6408))</f>
        <v>6399</v>
      </c>
      <c r="B6408" s="41">
        <v>12582</v>
      </c>
      <c r="C6408" s="54">
        <v>5911</v>
      </c>
      <c r="D6408" s="54" t="s">
        <v>19</v>
      </c>
      <c r="E6408" s="54" t="s">
        <v>20</v>
      </c>
      <c r="F6408" s="54" t="s">
        <v>19508</v>
      </c>
      <c r="G6408" s="54" t="s">
        <v>19512</v>
      </c>
      <c r="H6408" s="54" t="s">
        <v>19513</v>
      </c>
      <c r="I6408" s="43">
        <v>12</v>
      </c>
      <c r="J6408" s="44" t="str">
        <f>VLOOKUP(G6408,[1]硬件清单!$F:$F,1,0)</f>
        <v>210235A1QQX179000067</v>
      </c>
      <c r="K6408" s="42"/>
      <c r="L6408" s="44"/>
      <c r="M6408" s="45" t="s">
        <v>19514</v>
      </c>
    </row>
    <row r="6409" s="29" customFormat="1" ht="30" customHeight="1" spans="1:13">
      <c r="A6409" s="41">
        <f>IF(C6409="","",SUBTOTAL(103,$C$2:C6409))</f>
        <v>6400</v>
      </c>
      <c r="B6409" s="41">
        <v>12583</v>
      </c>
      <c r="C6409" s="54">
        <v>5910</v>
      </c>
      <c r="D6409" s="54" t="s">
        <v>19</v>
      </c>
      <c r="E6409" s="54" t="s">
        <v>113</v>
      </c>
      <c r="F6409" s="54" t="s">
        <v>19515</v>
      </c>
      <c r="G6409" s="54" t="s">
        <v>19516</v>
      </c>
      <c r="H6409" s="54" t="s">
        <v>19517</v>
      </c>
      <c r="I6409" s="43">
        <v>12</v>
      </c>
      <c r="J6409" s="44" t="str">
        <f>VLOOKUP(G6409,[1]硬件清单!$F:$F,1,0)</f>
        <v>210235A0F2X179000017</v>
      </c>
      <c r="K6409" s="42"/>
      <c r="L6409" s="44"/>
      <c r="M6409" s="45" t="s">
        <v>19518</v>
      </c>
    </row>
    <row r="6410" s="29" customFormat="1" ht="30" customHeight="1" spans="1:13">
      <c r="A6410" s="41">
        <f>IF(C6410="","",SUBTOTAL(103,$C$2:C6410))</f>
        <v>6401</v>
      </c>
      <c r="B6410" s="41">
        <v>12584</v>
      </c>
      <c r="C6410" s="54">
        <v>5895</v>
      </c>
      <c r="D6410" s="54" t="s">
        <v>19</v>
      </c>
      <c r="E6410" s="54" t="s">
        <v>20</v>
      </c>
      <c r="F6410" s="54" t="s">
        <v>10050</v>
      </c>
      <c r="G6410" s="54" t="s">
        <v>19519</v>
      </c>
      <c r="H6410" s="54" t="s">
        <v>19520</v>
      </c>
      <c r="I6410" s="43">
        <v>12</v>
      </c>
      <c r="J6410" s="44" t="str">
        <f>VLOOKUP(G6410,[1]硬件清单!$F:$F,1,0)</f>
        <v>210235A1G9H178000039</v>
      </c>
      <c r="K6410" s="42"/>
      <c r="L6410" s="44"/>
      <c r="M6410" s="45" t="s">
        <v>19521</v>
      </c>
    </row>
    <row r="6411" s="29" customFormat="1" ht="30" customHeight="1" spans="1:13">
      <c r="A6411" s="41">
        <f>IF(C6411="","",SUBTOTAL(103,$C$2:C6411))</f>
        <v>6402</v>
      </c>
      <c r="B6411" s="41">
        <v>12585</v>
      </c>
      <c r="C6411" s="54">
        <v>5896</v>
      </c>
      <c r="D6411" s="54" t="s">
        <v>19</v>
      </c>
      <c r="E6411" s="54" t="s">
        <v>20</v>
      </c>
      <c r="F6411" s="54" t="s">
        <v>10050</v>
      </c>
      <c r="G6411" s="54" t="s">
        <v>19522</v>
      </c>
      <c r="H6411" s="54" t="s">
        <v>19523</v>
      </c>
      <c r="I6411" s="43">
        <v>12</v>
      </c>
      <c r="J6411" s="44" t="str">
        <f>VLOOKUP(G6411,[1]硬件清单!$F:$F,1,0)</f>
        <v>210235A1G9H178000045</v>
      </c>
      <c r="K6411" s="42"/>
      <c r="L6411" s="44"/>
      <c r="M6411" s="45" t="s">
        <v>19524</v>
      </c>
    </row>
    <row r="6412" s="29" customFormat="1" ht="30" customHeight="1" spans="1:13">
      <c r="A6412" s="41">
        <f>IF(C6412="","",SUBTOTAL(103,$C$2:C6412))</f>
        <v>6403</v>
      </c>
      <c r="B6412" s="41">
        <v>12586</v>
      </c>
      <c r="C6412" s="54">
        <v>5799</v>
      </c>
      <c r="D6412" s="54" t="s">
        <v>45</v>
      </c>
      <c r="E6412" s="54" t="s">
        <v>1298</v>
      </c>
      <c r="F6412" s="54" t="s">
        <v>19525</v>
      </c>
      <c r="G6412" s="54" t="s">
        <v>19526</v>
      </c>
      <c r="H6412" s="54" t="s">
        <v>19527</v>
      </c>
      <c r="I6412" s="43">
        <v>12</v>
      </c>
      <c r="J6412" s="44" t="str">
        <f>VLOOKUP(G6412,[1]硬件清单!$F:$F,1,0)</f>
        <v>9800106400931436</v>
      </c>
      <c r="K6412" s="44" t="s">
        <v>250</v>
      </c>
      <c r="L6412" s="44"/>
      <c r="M6412" s="45" t="s">
        <v>19528</v>
      </c>
    </row>
    <row r="6413" s="29" customFormat="1" ht="30" customHeight="1" spans="1:13">
      <c r="A6413" s="41">
        <f>IF(C6413="","",SUBTOTAL(103,$C$2:C6413))</f>
        <v>6404</v>
      </c>
      <c r="B6413" s="41">
        <v>12587</v>
      </c>
      <c r="C6413" s="54">
        <v>5798</v>
      </c>
      <c r="D6413" s="54" t="s">
        <v>45</v>
      </c>
      <c r="E6413" s="54" t="s">
        <v>1298</v>
      </c>
      <c r="F6413" s="54" t="s">
        <v>19525</v>
      </c>
      <c r="G6413" s="54" t="s">
        <v>19529</v>
      </c>
      <c r="H6413" s="54" t="s">
        <v>19530</v>
      </c>
      <c r="I6413" s="43">
        <v>12</v>
      </c>
      <c r="J6413" s="44" t="str">
        <f>VLOOKUP(G6413,[1]硬件清单!$F:$F,1,0)</f>
        <v>9800106400931427</v>
      </c>
      <c r="K6413" s="44" t="s">
        <v>250</v>
      </c>
      <c r="L6413" s="44"/>
      <c r="M6413" s="45" t="s">
        <v>19531</v>
      </c>
    </row>
    <row r="6414" s="29" customFormat="1" ht="30" customHeight="1" spans="1:13">
      <c r="A6414" s="41">
        <f>IF(C6414="","",SUBTOTAL(103,$C$2:C6414))</f>
        <v>6405</v>
      </c>
      <c r="B6414" s="41">
        <v>12588</v>
      </c>
      <c r="C6414" s="54">
        <v>5797</v>
      </c>
      <c r="D6414" s="54" t="s">
        <v>45</v>
      </c>
      <c r="E6414" s="54" t="s">
        <v>1298</v>
      </c>
      <c r="F6414" s="54" t="s">
        <v>19525</v>
      </c>
      <c r="G6414" s="54" t="s">
        <v>19532</v>
      </c>
      <c r="H6414" s="54" t="s">
        <v>19533</v>
      </c>
      <c r="I6414" s="43">
        <v>12</v>
      </c>
      <c r="J6414" s="44" t="str">
        <f>VLOOKUP(G6414,[1]硬件清单!$F:$F,1,0)</f>
        <v>9800106400931453</v>
      </c>
      <c r="K6414" s="44" t="s">
        <v>250</v>
      </c>
      <c r="L6414" s="44"/>
      <c r="M6414" s="45" t="s">
        <v>19534</v>
      </c>
    </row>
    <row r="6415" s="29" customFormat="1" ht="30" customHeight="1" spans="1:13">
      <c r="A6415" s="41">
        <f>IF(C6415="","",SUBTOTAL(103,$C$2:C6415))</f>
        <v>6406</v>
      </c>
      <c r="B6415" s="41">
        <v>12589</v>
      </c>
      <c r="C6415" s="54">
        <v>5869</v>
      </c>
      <c r="D6415" s="54" t="s">
        <v>45</v>
      </c>
      <c r="E6415" s="54" t="s">
        <v>1298</v>
      </c>
      <c r="F6415" s="54" t="s">
        <v>4535</v>
      </c>
      <c r="G6415" s="54" t="s">
        <v>19535</v>
      </c>
      <c r="H6415" s="54" t="s">
        <v>19536</v>
      </c>
      <c r="I6415" s="43">
        <v>12</v>
      </c>
      <c r="J6415" s="44" t="str">
        <f>VLOOKUP(G6415,[1]硬件清单!$F:$F,1,0)</f>
        <v>J33GTT3</v>
      </c>
      <c r="K6415" s="44" t="s">
        <v>250</v>
      </c>
      <c r="L6415" s="44"/>
      <c r="M6415" s="45" t="s">
        <v>19537</v>
      </c>
    </row>
    <row r="6416" s="29" customFormat="1" ht="30" customHeight="1" spans="1:13">
      <c r="A6416" s="41">
        <f>IF(C6416="","",SUBTOTAL(103,$C$2:C6416))</f>
        <v>6407</v>
      </c>
      <c r="B6416" s="41">
        <v>12590</v>
      </c>
      <c r="C6416" s="54">
        <v>5868</v>
      </c>
      <c r="D6416" s="54" t="s">
        <v>45</v>
      </c>
      <c r="E6416" s="54" t="s">
        <v>1298</v>
      </c>
      <c r="F6416" s="54" t="s">
        <v>4535</v>
      </c>
      <c r="G6416" s="54" t="s">
        <v>19538</v>
      </c>
      <c r="H6416" s="54" t="s">
        <v>19539</v>
      </c>
      <c r="I6416" s="43">
        <v>12</v>
      </c>
      <c r="J6416" s="44" t="str">
        <f>VLOOKUP(G6416,[1]硬件清单!$F:$F,1,0)</f>
        <v>J33GTTL</v>
      </c>
      <c r="K6416" s="44" t="s">
        <v>250</v>
      </c>
      <c r="L6416" s="44"/>
      <c r="M6416" s="45" t="s">
        <v>19540</v>
      </c>
    </row>
    <row r="6417" s="29" customFormat="1" ht="30" customHeight="1" spans="1:13">
      <c r="A6417" s="41">
        <f>IF(C6417="","",SUBTOTAL(103,$C$2:C6417))</f>
        <v>6408</v>
      </c>
      <c r="B6417" s="41">
        <v>12591</v>
      </c>
      <c r="C6417" s="54">
        <v>5867</v>
      </c>
      <c r="D6417" s="54" t="s">
        <v>45</v>
      </c>
      <c r="E6417" s="54" t="s">
        <v>1298</v>
      </c>
      <c r="F6417" s="54" t="s">
        <v>4535</v>
      </c>
      <c r="G6417" s="54" t="s">
        <v>19541</v>
      </c>
      <c r="H6417" s="54" t="s">
        <v>19542</v>
      </c>
      <c r="I6417" s="43">
        <v>12</v>
      </c>
      <c r="J6417" s="44" t="str">
        <f>VLOOKUP(G6417,[1]硬件清单!$F:$F,1,0)</f>
        <v>J33GTTK</v>
      </c>
      <c r="K6417" s="44" t="s">
        <v>250</v>
      </c>
      <c r="L6417" s="44"/>
      <c r="M6417" s="45" t="s">
        <v>19543</v>
      </c>
    </row>
    <row r="6418" s="29" customFormat="1" ht="30" customHeight="1" spans="1:13">
      <c r="A6418" s="41">
        <f>IF(C6418="","",SUBTOTAL(103,$C$2:C6418))</f>
        <v>6409</v>
      </c>
      <c r="B6418" s="41">
        <v>12592</v>
      </c>
      <c r="C6418" s="54">
        <v>5866</v>
      </c>
      <c r="D6418" s="54" t="s">
        <v>45</v>
      </c>
      <c r="E6418" s="54" t="s">
        <v>1298</v>
      </c>
      <c r="F6418" s="54" t="s">
        <v>4535</v>
      </c>
      <c r="G6418" s="54" t="s">
        <v>19544</v>
      </c>
      <c r="H6418" s="54" t="s">
        <v>19545</v>
      </c>
      <c r="I6418" s="43">
        <v>12</v>
      </c>
      <c r="J6418" s="44" t="str">
        <f>VLOOKUP(G6418,[1]硬件清单!$F:$F,1,0)</f>
        <v>J33GTTB</v>
      </c>
      <c r="K6418" s="44" t="s">
        <v>250</v>
      </c>
      <c r="L6418" s="44"/>
      <c r="M6418" s="45" t="s">
        <v>19546</v>
      </c>
    </row>
    <row r="6419" s="29" customFormat="1" ht="30" customHeight="1" spans="1:13">
      <c r="A6419" s="41">
        <f>IF(C6419="","",SUBTOTAL(103,$C$2:C6419))</f>
        <v>6410</v>
      </c>
      <c r="B6419" s="41">
        <v>12593</v>
      </c>
      <c r="C6419" s="54">
        <v>5865</v>
      </c>
      <c r="D6419" s="54" t="s">
        <v>45</v>
      </c>
      <c r="E6419" s="54" t="s">
        <v>1298</v>
      </c>
      <c r="F6419" s="54" t="s">
        <v>4535</v>
      </c>
      <c r="G6419" s="54" t="s">
        <v>19547</v>
      </c>
      <c r="H6419" s="54" t="s">
        <v>19548</v>
      </c>
      <c r="I6419" s="43">
        <v>12</v>
      </c>
      <c r="J6419" s="44" t="str">
        <f>VLOOKUP(G6419,[1]硬件清单!$F:$F,1,0)</f>
        <v>J33GTTT</v>
      </c>
      <c r="K6419" s="44" t="s">
        <v>250</v>
      </c>
      <c r="L6419" s="44"/>
      <c r="M6419" s="45" t="s">
        <v>19549</v>
      </c>
    </row>
    <row r="6420" s="29" customFormat="1" ht="30" customHeight="1" spans="1:13">
      <c r="A6420" s="41">
        <f>IF(C6420="","",SUBTOTAL(103,$C$2:C6420))</f>
        <v>6411</v>
      </c>
      <c r="B6420" s="41">
        <v>12594</v>
      </c>
      <c r="C6420" s="54">
        <v>5864</v>
      </c>
      <c r="D6420" s="54" t="s">
        <v>45</v>
      </c>
      <c r="E6420" s="54" t="s">
        <v>1298</v>
      </c>
      <c r="F6420" s="54" t="s">
        <v>4535</v>
      </c>
      <c r="G6420" s="54" t="s">
        <v>19550</v>
      </c>
      <c r="H6420" s="54" t="s">
        <v>19551</v>
      </c>
      <c r="I6420" s="43">
        <v>12</v>
      </c>
      <c r="J6420" s="44" t="str">
        <f>VLOOKUP(G6420,[1]硬件清单!$F:$F,1,0)</f>
        <v>J33GTTC</v>
      </c>
      <c r="K6420" s="44" t="s">
        <v>250</v>
      </c>
      <c r="L6420" s="44"/>
      <c r="M6420" s="45" t="s">
        <v>19552</v>
      </c>
    </row>
    <row r="6421" s="29" customFormat="1" ht="30" customHeight="1" spans="1:13">
      <c r="A6421" s="41">
        <f>IF(C6421="","",SUBTOTAL(103,$C$2:C6421))</f>
        <v>6412</v>
      </c>
      <c r="B6421" s="41">
        <v>12595</v>
      </c>
      <c r="C6421" s="54">
        <v>5863</v>
      </c>
      <c r="D6421" s="54" t="s">
        <v>45</v>
      </c>
      <c r="E6421" s="54" t="s">
        <v>1298</v>
      </c>
      <c r="F6421" s="54" t="s">
        <v>4535</v>
      </c>
      <c r="G6421" s="54" t="s">
        <v>19553</v>
      </c>
      <c r="H6421" s="54" t="s">
        <v>19554</v>
      </c>
      <c r="I6421" s="43">
        <v>12</v>
      </c>
      <c r="J6421" s="44" t="str">
        <f>VLOOKUP(G6421,[1]硬件清单!$F:$F,1,0)</f>
        <v>J33GTRR</v>
      </c>
      <c r="K6421" s="44" t="s">
        <v>250</v>
      </c>
      <c r="L6421" s="44"/>
      <c r="M6421" s="45" t="s">
        <v>19555</v>
      </c>
    </row>
    <row r="6422" s="29" customFormat="1" ht="30" customHeight="1" spans="1:13">
      <c r="A6422" s="41">
        <f>IF(C6422="","",SUBTOTAL(103,$C$2:C6422))</f>
        <v>6413</v>
      </c>
      <c r="B6422" s="41">
        <v>12596</v>
      </c>
      <c r="C6422" s="54">
        <v>5862</v>
      </c>
      <c r="D6422" s="54" t="s">
        <v>45</v>
      </c>
      <c r="E6422" s="54" t="s">
        <v>1298</v>
      </c>
      <c r="F6422" s="54" t="s">
        <v>4535</v>
      </c>
      <c r="G6422" s="54" t="s">
        <v>19556</v>
      </c>
      <c r="H6422" s="54" t="s">
        <v>19557</v>
      </c>
      <c r="I6422" s="43">
        <v>12</v>
      </c>
      <c r="J6422" s="44" t="str">
        <f>VLOOKUP(G6422,[1]硬件清单!$F:$F,1,0)</f>
        <v>J33GTT5</v>
      </c>
      <c r="K6422" s="44" t="s">
        <v>250</v>
      </c>
      <c r="L6422" s="44"/>
      <c r="M6422" s="45" t="s">
        <v>19558</v>
      </c>
    </row>
    <row r="6423" s="29" customFormat="1" ht="30" customHeight="1" spans="1:13">
      <c r="A6423" s="41">
        <f>IF(C6423="","",SUBTOTAL(103,$C$2:C6423))</f>
        <v>6414</v>
      </c>
      <c r="B6423" s="41">
        <v>12597</v>
      </c>
      <c r="C6423" s="54">
        <v>5861</v>
      </c>
      <c r="D6423" s="54" t="s">
        <v>45</v>
      </c>
      <c r="E6423" s="54" t="s">
        <v>1298</v>
      </c>
      <c r="F6423" s="54" t="s">
        <v>4535</v>
      </c>
      <c r="G6423" s="54" t="s">
        <v>19559</v>
      </c>
      <c r="H6423" s="54" t="s">
        <v>19560</v>
      </c>
      <c r="I6423" s="43">
        <v>12</v>
      </c>
      <c r="J6423" s="44" t="str">
        <f>VLOOKUP(G6423,[1]硬件清单!$F:$F,1,0)</f>
        <v>J33GTRW</v>
      </c>
      <c r="K6423" s="44" t="s">
        <v>250</v>
      </c>
      <c r="L6423" s="44"/>
      <c r="M6423" s="45" t="s">
        <v>19561</v>
      </c>
    </row>
    <row r="6424" s="29" customFormat="1" ht="30" customHeight="1" spans="1:13">
      <c r="A6424" s="41">
        <f>IF(C6424="","",SUBTOTAL(103,$C$2:C6424))</f>
        <v>6415</v>
      </c>
      <c r="B6424" s="41">
        <v>12598</v>
      </c>
      <c r="C6424" s="54">
        <v>5860</v>
      </c>
      <c r="D6424" s="54" t="s">
        <v>45</v>
      </c>
      <c r="E6424" s="54" t="s">
        <v>1298</v>
      </c>
      <c r="F6424" s="54" t="s">
        <v>4535</v>
      </c>
      <c r="G6424" s="54" t="s">
        <v>19562</v>
      </c>
      <c r="H6424" s="54" t="s">
        <v>19563</v>
      </c>
      <c r="I6424" s="43">
        <v>12</v>
      </c>
      <c r="J6424" s="44" t="str">
        <f>VLOOKUP(G6424,[1]硬件清单!$F:$F,1,0)</f>
        <v>J33GTTD</v>
      </c>
      <c r="K6424" s="44" t="s">
        <v>250</v>
      </c>
      <c r="L6424" s="44"/>
      <c r="M6424" s="45" t="s">
        <v>19564</v>
      </c>
    </row>
    <row r="6425" s="29" customFormat="1" ht="30" customHeight="1" spans="1:13">
      <c r="A6425" s="41">
        <f>IF(C6425="","",SUBTOTAL(103,$C$2:C6425))</f>
        <v>6416</v>
      </c>
      <c r="B6425" s="41">
        <v>12599</v>
      </c>
      <c r="C6425" s="54">
        <v>5902</v>
      </c>
      <c r="D6425" s="54" t="s">
        <v>19</v>
      </c>
      <c r="E6425" s="54" t="s">
        <v>20</v>
      </c>
      <c r="F6425" s="54" t="s">
        <v>10050</v>
      </c>
      <c r="G6425" s="54" t="s">
        <v>19565</v>
      </c>
      <c r="H6425" s="54" t="s">
        <v>19566</v>
      </c>
      <c r="I6425" s="43">
        <v>12</v>
      </c>
      <c r="J6425" s="44" t="str">
        <f>VLOOKUP(G6425,[1]硬件清单!$F:$F,1,0)</f>
        <v>210235A1G9H178000034</v>
      </c>
      <c r="K6425" s="42"/>
      <c r="L6425" s="44"/>
      <c r="M6425" s="45" t="s">
        <v>19567</v>
      </c>
    </row>
    <row r="6426" s="29" customFormat="1" ht="30" customHeight="1" spans="1:13">
      <c r="A6426" s="41">
        <f>IF(C6426="","",SUBTOTAL(103,$C$2:C6426))</f>
        <v>6417</v>
      </c>
      <c r="B6426" s="41">
        <v>12600</v>
      </c>
      <c r="C6426" s="54">
        <v>5818</v>
      </c>
      <c r="D6426" s="54" t="s">
        <v>45</v>
      </c>
      <c r="E6426" s="54" t="s">
        <v>1298</v>
      </c>
      <c r="F6426" s="54" t="s">
        <v>19525</v>
      </c>
      <c r="G6426" s="54" t="s">
        <v>19568</v>
      </c>
      <c r="H6426" s="54" t="s">
        <v>19569</v>
      </c>
      <c r="I6426" s="43">
        <v>12</v>
      </c>
      <c r="J6426" s="44" t="str">
        <f>VLOOKUP(G6426,[1]硬件清单!$F:$F,1,0)</f>
        <v>9800106400931446</v>
      </c>
      <c r="K6426" s="44" t="s">
        <v>250</v>
      </c>
      <c r="L6426" s="44"/>
      <c r="M6426" s="45" t="s">
        <v>19570</v>
      </c>
    </row>
    <row r="6427" s="29" customFormat="1" ht="30" customHeight="1" spans="1:13">
      <c r="A6427" s="41">
        <f>IF(C6427="","",SUBTOTAL(103,$C$2:C6427))</f>
        <v>6418</v>
      </c>
      <c r="B6427" s="41">
        <v>12601</v>
      </c>
      <c r="C6427" s="54">
        <v>5817</v>
      </c>
      <c r="D6427" s="54" t="s">
        <v>45</v>
      </c>
      <c r="E6427" s="54" t="s">
        <v>1298</v>
      </c>
      <c r="F6427" s="54" t="s">
        <v>19525</v>
      </c>
      <c r="G6427" s="54" t="s">
        <v>19571</v>
      </c>
      <c r="H6427" s="54" t="s">
        <v>19572</v>
      </c>
      <c r="I6427" s="43">
        <v>12</v>
      </c>
      <c r="J6427" s="44" t="str">
        <f>VLOOKUP(G6427,[1]硬件清单!$F:$F,1,0)</f>
        <v>9800106400931463</v>
      </c>
      <c r="K6427" s="44" t="s">
        <v>250</v>
      </c>
      <c r="L6427" s="44"/>
      <c r="M6427" s="45" t="s">
        <v>19573</v>
      </c>
    </row>
    <row r="6428" s="29" customFormat="1" ht="30" customHeight="1" spans="1:13">
      <c r="A6428" s="41">
        <f>IF(C6428="","",SUBTOTAL(103,$C$2:C6428))</f>
        <v>6419</v>
      </c>
      <c r="B6428" s="41">
        <v>12602</v>
      </c>
      <c r="C6428" s="54">
        <v>5816</v>
      </c>
      <c r="D6428" s="54" t="s">
        <v>45</v>
      </c>
      <c r="E6428" s="54" t="s">
        <v>1298</v>
      </c>
      <c r="F6428" s="54" t="s">
        <v>19525</v>
      </c>
      <c r="G6428" s="54" t="s">
        <v>19574</v>
      </c>
      <c r="H6428" s="54" t="s">
        <v>19575</v>
      </c>
      <c r="I6428" s="43">
        <v>12</v>
      </c>
      <c r="J6428" s="44" t="str">
        <f>VLOOKUP(G6428,[1]硬件清单!$F:$F,1,0)</f>
        <v>9800106400931421</v>
      </c>
      <c r="K6428" s="44" t="s">
        <v>250</v>
      </c>
      <c r="L6428" s="44"/>
      <c r="M6428" s="45" t="s">
        <v>19576</v>
      </c>
    </row>
    <row r="6429" s="29" customFormat="1" ht="30" customHeight="1" spans="1:13">
      <c r="A6429" s="41">
        <f>IF(C6429="","",SUBTOTAL(103,$C$2:C6429))</f>
        <v>6420</v>
      </c>
      <c r="B6429" s="41">
        <v>12603</v>
      </c>
      <c r="C6429" s="54">
        <v>5815</v>
      </c>
      <c r="D6429" s="54" t="s">
        <v>45</v>
      </c>
      <c r="E6429" s="54" t="s">
        <v>1298</v>
      </c>
      <c r="F6429" s="54" t="s">
        <v>19525</v>
      </c>
      <c r="G6429" s="54" t="s">
        <v>19577</v>
      </c>
      <c r="H6429" s="54" t="s">
        <v>19578</v>
      </c>
      <c r="I6429" s="43">
        <v>12</v>
      </c>
      <c r="J6429" s="44" t="str">
        <f>VLOOKUP(G6429,[1]硬件清单!$F:$F,1,0)</f>
        <v>9800106400931457</v>
      </c>
      <c r="K6429" s="44" t="s">
        <v>250</v>
      </c>
      <c r="L6429" s="44"/>
      <c r="M6429" s="45" t="s">
        <v>19579</v>
      </c>
    </row>
    <row r="6430" s="29" customFormat="1" ht="30" customHeight="1" spans="1:13">
      <c r="A6430" s="41">
        <f>IF(C6430="","",SUBTOTAL(103,$C$2:C6430))</f>
        <v>6421</v>
      </c>
      <c r="B6430" s="41">
        <v>12604</v>
      </c>
      <c r="C6430" s="54">
        <v>5814</v>
      </c>
      <c r="D6430" s="54" t="s">
        <v>45</v>
      </c>
      <c r="E6430" s="54" t="s">
        <v>1298</v>
      </c>
      <c r="F6430" s="54" t="s">
        <v>19525</v>
      </c>
      <c r="G6430" s="54" t="s">
        <v>19580</v>
      </c>
      <c r="H6430" s="54" t="s">
        <v>19581</v>
      </c>
      <c r="I6430" s="43">
        <v>12</v>
      </c>
      <c r="J6430" s="44" t="str">
        <f>VLOOKUP(G6430,[1]硬件清单!$F:$F,1,0)</f>
        <v>9800106400931420</v>
      </c>
      <c r="K6430" s="44" t="s">
        <v>250</v>
      </c>
      <c r="L6430" s="44"/>
      <c r="M6430" s="45" t="s">
        <v>19582</v>
      </c>
    </row>
    <row r="6431" s="29" customFormat="1" ht="30" customHeight="1" spans="1:13">
      <c r="A6431" s="41">
        <f>IF(C6431="","",SUBTOTAL(103,$C$2:C6431))</f>
        <v>6422</v>
      </c>
      <c r="B6431" s="41">
        <v>12605</v>
      </c>
      <c r="C6431" s="54">
        <v>5859</v>
      </c>
      <c r="D6431" s="54" t="s">
        <v>45</v>
      </c>
      <c r="E6431" s="54" t="s">
        <v>1298</v>
      </c>
      <c r="F6431" s="54" t="s">
        <v>4535</v>
      </c>
      <c r="G6431" s="54" t="s">
        <v>19583</v>
      </c>
      <c r="H6431" s="54" t="s">
        <v>19584</v>
      </c>
      <c r="I6431" s="43">
        <v>12</v>
      </c>
      <c r="J6431" s="44" t="str">
        <f>VLOOKUP(G6431,[1]硬件清单!$F:$F,1,0)</f>
        <v>J33GTT0</v>
      </c>
      <c r="K6431" s="44" t="s">
        <v>250</v>
      </c>
      <c r="L6431" s="44"/>
      <c r="M6431" s="45" t="s">
        <v>19585</v>
      </c>
    </row>
    <row r="6432" s="29" customFormat="1" ht="30" customHeight="1" spans="1:13">
      <c r="A6432" s="41">
        <f>IF(C6432="","",SUBTOTAL(103,$C$2:C6432))</f>
        <v>6423</v>
      </c>
      <c r="B6432" s="41">
        <v>12606</v>
      </c>
      <c r="C6432" s="54">
        <v>5858</v>
      </c>
      <c r="D6432" s="54" t="s">
        <v>45</v>
      </c>
      <c r="E6432" s="54" t="s">
        <v>1298</v>
      </c>
      <c r="F6432" s="54" t="s">
        <v>4535</v>
      </c>
      <c r="G6432" s="54" t="s">
        <v>19586</v>
      </c>
      <c r="H6432" s="54" t="s">
        <v>19587</v>
      </c>
      <c r="I6432" s="43">
        <v>12</v>
      </c>
      <c r="J6432" s="44" t="str">
        <f>VLOOKUP(G6432,[1]硬件清单!$F:$F,1,0)</f>
        <v>J33GTT4</v>
      </c>
      <c r="K6432" s="44" t="s">
        <v>250</v>
      </c>
      <c r="L6432" s="44"/>
      <c r="M6432" s="45" t="s">
        <v>19588</v>
      </c>
    </row>
    <row r="6433" s="29" customFormat="1" ht="30" customHeight="1" spans="1:13">
      <c r="A6433" s="41">
        <f>IF(C6433="","",SUBTOTAL(103,$C$2:C6433))</f>
        <v>6424</v>
      </c>
      <c r="B6433" s="41">
        <v>12607</v>
      </c>
      <c r="C6433" s="54">
        <v>5875</v>
      </c>
      <c r="D6433" s="54" t="s">
        <v>45</v>
      </c>
      <c r="E6433" s="54" t="s">
        <v>1298</v>
      </c>
      <c r="F6433" s="54" t="s">
        <v>4535</v>
      </c>
      <c r="G6433" s="54" t="s">
        <v>19589</v>
      </c>
      <c r="H6433" s="54" t="s">
        <v>19590</v>
      </c>
      <c r="I6433" s="43">
        <v>12</v>
      </c>
      <c r="J6433" s="44" t="str">
        <f>VLOOKUP(G6433,[1]硬件清单!$F:$F,1,0)</f>
        <v>J33GTTA</v>
      </c>
      <c r="K6433" s="44" t="s">
        <v>250</v>
      </c>
      <c r="L6433" s="44"/>
      <c r="M6433" s="45" t="s">
        <v>19591</v>
      </c>
    </row>
    <row r="6434" s="29" customFormat="1" ht="30" customHeight="1" spans="1:13">
      <c r="A6434" s="41">
        <f>IF(C6434="","",SUBTOTAL(103,$C$2:C6434))</f>
        <v>6425</v>
      </c>
      <c r="B6434" s="41">
        <v>12608</v>
      </c>
      <c r="C6434" s="54">
        <v>5874</v>
      </c>
      <c r="D6434" s="54" t="s">
        <v>45</v>
      </c>
      <c r="E6434" s="54" t="s">
        <v>1298</v>
      </c>
      <c r="F6434" s="54" t="s">
        <v>4535</v>
      </c>
      <c r="G6434" s="54" t="s">
        <v>19592</v>
      </c>
      <c r="H6434" s="54" t="s">
        <v>19593</v>
      </c>
      <c r="I6434" s="43">
        <v>12</v>
      </c>
      <c r="J6434" s="44" t="str">
        <f>VLOOKUP(G6434,[1]硬件清单!$F:$F,1,0)</f>
        <v>J33GTRY</v>
      </c>
      <c r="K6434" s="44" t="s">
        <v>250</v>
      </c>
      <c r="L6434" s="44"/>
      <c r="M6434" s="45" t="s">
        <v>19594</v>
      </c>
    </row>
    <row r="6435" s="29" customFormat="1" ht="30" customHeight="1" spans="1:13">
      <c r="A6435" s="41">
        <f>IF(C6435="","",SUBTOTAL(103,$C$2:C6435))</f>
        <v>6426</v>
      </c>
      <c r="B6435" s="41">
        <v>12609</v>
      </c>
      <c r="C6435" s="54">
        <v>5877</v>
      </c>
      <c r="D6435" s="54" t="s">
        <v>45</v>
      </c>
      <c r="E6435" s="54" t="s">
        <v>1298</v>
      </c>
      <c r="F6435" s="54" t="s">
        <v>4535</v>
      </c>
      <c r="G6435" s="54" t="s">
        <v>19595</v>
      </c>
      <c r="H6435" s="54" t="s">
        <v>19596</v>
      </c>
      <c r="I6435" s="43">
        <v>12</v>
      </c>
      <c r="J6435" s="44" t="str">
        <f>VLOOKUP(G6435,[1]硬件清单!$F:$F,1,0)</f>
        <v>J33GTT1</v>
      </c>
      <c r="K6435" s="44" t="s">
        <v>250</v>
      </c>
      <c r="L6435" s="44"/>
      <c r="M6435" s="45" t="s">
        <v>19597</v>
      </c>
    </row>
    <row r="6436" s="29" customFormat="1" ht="30" customHeight="1" spans="1:13">
      <c r="A6436" s="41">
        <f>IF(C6436="","",SUBTOTAL(103,$C$2:C6436))</f>
        <v>6427</v>
      </c>
      <c r="B6436" s="41">
        <v>12610</v>
      </c>
      <c r="C6436" s="54">
        <v>5876</v>
      </c>
      <c r="D6436" s="54" t="s">
        <v>45</v>
      </c>
      <c r="E6436" s="54" t="s">
        <v>1298</v>
      </c>
      <c r="F6436" s="54" t="s">
        <v>4535</v>
      </c>
      <c r="G6436" s="54" t="s">
        <v>19598</v>
      </c>
      <c r="H6436" s="54" t="s">
        <v>19599</v>
      </c>
      <c r="I6436" s="43">
        <v>12</v>
      </c>
      <c r="J6436" s="44" t="str">
        <f>VLOOKUP(G6436,[1]硬件清单!$F:$F,1,0)</f>
        <v>J33GTRT</v>
      </c>
      <c r="K6436" s="44" t="s">
        <v>250</v>
      </c>
      <c r="L6436" s="44"/>
      <c r="M6436" s="45" t="s">
        <v>19600</v>
      </c>
    </row>
    <row r="6437" s="29" customFormat="1" ht="30" customHeight="1" spans="1:13">
      <c r="A6437" s="41">
        <f>IF(C6437="","",SUBTOTAL(103,$C$2:C6437))</f>
        <v>6428</v>
      </c>
      <c r="B6437" s="41">
        <v>12611</v>
      </c>
      <c r="C6437" s="54">
        <v>5813</v>
      </c>
      <c r="D6437" s="54" t="s">
        <v>45</v>
      </c>
      <c r="E6437" s="54" t="s">
        <v>1298</v>
      </c>
      <c r="F6437" s="54" t="s">
        <v>19525</v>
      </c>
      <c r="G6437" s="54" t="s">
        <v>19601</v>
      </c>
      <c r="H6437" s="54" t="s">
        <v>19602</v>
      </c>
      <c r="I6437" s="43">
        <v>12</v>
      </c>
      <c r="J6437" s="44" t="str">
        <f>VLOOKUP(G6437,[1]硬件清单!$F:$F,1,0)</f>
        <v>9800106400931422</v>
      </c>
      <c r="K6437" s="44" t="s">
        <v>250</v>
      </c>
      <c r="L6437" s="44"/>
      <c r="M6437" s="45" t="s">
        <v>19603</v>
      </c>
    </row>
    <row r="6438" s="29" customFormat="1" ht="30" customHeight="1" spans="1:13">
      <c r="A6438" s="41">
        <f>IF(C6438="","",SUBTOTAL(103,$C$2:C6438))</f>
        <v>6429</v>
      </c>
      <c r="B6438" s="41">
        <v>12612</v>
      </c>
      <c r="C6438" s="54">
        <v>5812</v>
      </c>
      <c r="D6438" s="54" t="s">
        <v>45</v>
      </c>
      <c r="E6438" s="54" t="s">
        <v>1298</v>
      </c>
      <c r="F6438" s="54" t="s">
        <v>19525</v>
      </c>
      <c r="G6438" s="54" t="s">
        <v>19604</v>
      </c>
      <c r="H6438" s="54" t="s">
        <v>19605</v>
      </c>
      <c r="I6438" s="43">
        <v>12</v>
      </c>
      <c r="J6438" s="44" t="str">
        <f>VLOOKUP(G6438,[1]硬件清单!$F:$F,1,0)</f>
        <v>9800106400931466</v>
      </c>
      <c r="K6438" s="44" t="s">
        <v>250</v>
      </c>
      <c r="L6438" s="44"/>
      <c r="M6438" s="45" t="s">
        <v>19606</v>
      </c>
    </row>
    <row r="6439" s="29" customFormat="1" ht="30" customHeight="1" spans="1:13">
      <c r="A6439" s="41">
        <f>IF(C6439="","",SUBTOTAL(103,$C$2:C6439))</f>
        <v>6430</v>
      </c>
      <c r="B6439" s="41">
        <v>12613</v>
      </c>
      <c r="C6439" s="54">
        <v>5802</v>
      </c>
      <c r="D6439" s="54" t="s">
        <v>45</v>
      </c>
      <c r="E6439" s="54" t="s">
        <v>1298</v>
      </c>
      <c r="F6439" s="54" t="s">
        <v>19525</v>
      </c>
      <c r="G6439" s="54" t="s">
        <v>19607</v>
      </c>
      <c r="H6439" s="54" t="s">
        <v>19608</v>
      </c>
      <c r="I6439" s="43">
        <v>12</v>
      </c>
      <c r="J6439" s="44" t="str">
        <f>VLOOKUP(G6439,[1]硬件清单!$F:$F,1,0)</f>
        <v>9800106400931425</v>
      </c>
      <c r="K6439" s="44" t="s">
        <v>250</v>
      </c>
      <c r="L6439" s="44"/>
      <c r="M6439" s="45" t="s">
        <v>19609</v>
      </c>
    </row>
    <row r="6440" s="29" customFormat="1" ht="30" customHeight="1" spans="1:13">
      <c r="A6440" s="41">
        <f>IF(C6440="","",SUBTOTAL(103,$C$2:C6440))</f>
        <v>6431</v>
      </c>
      <c r="B6440" s="41">
        <v>12614</v>
      </c>
      <c r="C6440" s="54">
        <v>5801</v>
      </c>
      <c r="D6440" s="54" t="s">
        <v>45</v>
      </c>
      <c r="E6440" s="54" t="s">
        <v>1298</v>
      </c>
      <c r="F6440" s="54" t="s">
        <v>19525</v>
      </c>
      <c r="G6440" s="54" t="s">
        <v>19610</v>
      </c>
      <c r="H6440" s="54" t="s">
        <v>19611</v>
      </c>
      <c r="I6440" s="43">
        <v>12</v>
      </c>
      <c r="J6440" s="44" t="str">
        <f>VLOOKUP(G6440,[1]硬件清单!$F:$F,1,0)</f>
        <v>9800106400931423</v>
      </c>
      <c r="K6440" s="44" t="s">
        <v>250</v>
      </c>
      <c r="L6440" s="44"/>
      <c r="M6440" s="45" t="s">
        <v>19612</v>
      </c>
    </row>
    <row r="6441" s="29" customFormat="1" ht="30" customHeight="1" spans="1:13">
      <c r="A6441" s="41">
        <f>IF(C6441="","",SUBTOTAL(103,$C$2:C6441))</f>
        <v>6432</v>
      </c>
      <c r="B6441" s="41">
        <v>12615</v>
      </c>
      <c r="C6441" s="54">
        <v>5800</v>
      </c>
      <c r="D6441" s="54" t="s">
        <v>45</v>
      </c>
      <c r="E6441" s="54" t="s">
        <v>1298</v>
      </c>
      <c r="F6441" s="54" t="s">
        <v>19525</v>
      </c>
      <c r="G6441" s="54" t="s">
        <v>19613</v>
      </c>
      <c r="H6441" s="54" t="s">
        <v>19614</v>
      </c>
      <c r="I6441" s="43">
        <v>12</v>
      </c>
      <c r="J6441" s="44" t="str">
        <f>VLOOKUP(G6441,[1]硬件清单!$F:$F,1,0)</f>
        <v>9800106400931433</v>
      </c>
      <c r="K6441" s="44" t="s">
        <v>250</v>
      </c>
      <c r="L6441" s="44"/>
      <c r="M6441" s="45" t="s">
        <v>19615</v>
      </c>
    </row>
    <row r="6442" s="29" customFormat="1" ht="30" customHeight="1" spans="1:13">
      <c r="A6442" s="41">
        <f>IF(C6442="","",SUBTOTAL(103,$C$2:C6442))</f>
        <v>6433</v>
      </c>
      <c r="B6442" s="41">
        <v>12616</v>
      </c>
      <c r="C6442" s="54">
        <v>5901</v>
      </c>
      <c r="D6442" s="54" t="s">
        <v>19</v>
      </c>
      <c r="E6442" s="54" t="s">
        <v>20</v>
      </c>
      <c r="F6442" s="54" t="s">
        <v>10050</v>
      </c>
      <c r="G6442" s="54" t="s">
        <v>19616</v>
      </c>
      <c r="H6442" s="54" t="s">
        <v>19617</v>
      </c>
      <c r="I6442" s="43">
        <v>12</v>
      </c>
      <c r="J6442" s="44" t="str">
        <f>VLOOKUP(G6442,[1]硬件清单!$F:$F,1,0)</f>
        <v>210235A1G9H178000001</v>
      </c>
      <c r="K6442" s="42"/>
      <c r="L6442" s="44"/>
      <c r="M6442" s="45" t="s">
        <v>19618</v>
      </c>
    </row>
    <row r="6443" s="29" customFormat="1" ht="30" customHeight="1" spans="1:13">
      <c r="A6443" s="41">
        <f>IF(C6443="","",SUBTOTAL(103,$C$2:C6443))</f>
        <v>6434</v>
      </c>
      <c r="B6443" s="41">
        <v>12617</v>
      </c>
      <c r="C6443" s="54">
        <v>5821</v>
      </c>
      <c r="D6443" s="54" t="s">
        <v>45</v>
      </c>
      <c r="E6443" s="54" t="s">
        <v>1298</v>
      </c>
      <c r="F6443" s="54" t="s">
        <v>19525</v>
      </c>
      <c r="G6443" s="54" t="s">
        <v>19619</v>
      </c>
      <c r="H6443" s="54" t="s">
        <v>19620</v>
      </c>
      <c r="I6443" s="43">
        <v>12</v>
      </c>
      <c r="J6443" s="44" t="str">
        <f>VLOOKUP(G6443,[1]硬件清单!$F:$F,1,0)</f>
        <v>9800106400931439</v>
      </c>
      <c r="K6443" s="44" t="s">
        <v>250</v>
      </c>
      <c r="L6443" s="44"/>
      <c r="M6443" s="45" t="s">
        <v>19621</v>
      </c>
    </row>
    <row r="6444" s="29" customFormat="1" ht="30" customHeight="1" spans="1:13">
      <c r="A6444" s="41">
        <f>IF(C6444="","",SUBTOTAL(103,$C$2:C6444))</f>
        <v>6435</v>
      </c>
      <c r="B6444" s="41">
        <v>12618</v>
      </c>
      <c r="C6444" s="54">
        <v>5820</v>
      </c>
      <c r="D6444" s="54" t="s">
        <v>45</v>
      </c>
      <c r="E6444" s="54" t="s">
        <v>1298</v>
      </c>
      <c r="F6444" s="54" t="s">
        <v>19525</v>
      </c>
      <c r="G6444" s="54" t="s">
        <v>19622</v>
      </c>
      <c r="H6444" s="54" t="s">
        <v>19623</v>
      </c>
      <c r="I6444" s="43">
        <v>12</v>
      </c>
      <c r="J6444" s="44" t="str">
        <f>VLOOKUP(G6444,[1]硬件清单!$F:$F,1,0)</f>
        <v>9800106400931432</v>
      </c>
      <c r="K6444" s="44" t="s">
        <v>250</v>
      </c>
      <c r="L6444" s="44"/>
      <c r="M6444" s="45" t="s">
        <v>19624</v>
      </c>
    </row>
    <row r="6445" s="29" customFormat="1" ht="30" customHeight="1" spans="1:13">
      <c r="A6445" s="41">
        <f>IF(C6445="","",SUBTOTAL(103,$C$2:C6445))</f>
        <v>6436</v>
      </c>
      <c r="B6445" s="41">
        <v>12619</v>
      </c>
      <c r="C6445" s="54">
        <v>5844</v>
      </c>
      <c r="D6445" s="54" t="s">
        <v>45</v>
      </c>
      <c r="E6445" s="54" t="s">
        <v>1298</v>
      </c>
      <c r="F6445" s="54" t="s">
        <v>4535</v>
      </c>
      <c r="G6445" s="54" t="s">
        <v>19625</v>
      </c>
      <c r="H6445" s="54" t="s">
        <v>19626</v>
      </c>
      <c r="I6445" s="43">
        <v>12</v>
      </c>
      <c r="J6445" s="44" t="str">
        <f>VLOOKUP(G6445,[1]硬件清单!$F:$F,1,0)</f>
        <v>J33GTTF</v>
      </c>
      <c r="K6445" s="44" t="s">
        <v>250</v>
      </c>
      <c r="L6445" s="44"/>
      <c r="M6445" s="45" t="s">
        <v>19627</v>
      </c>
    </row>
    <row r="6446" s="29" customFormat="1" ht="30" customHeight="1" spans="1:13">
      <c r="A6446" s="41">
        <f>IF(C6446="","",SUBTOTAL(103,$C$2:C6446))</f>
        <v>6437</v>
      </c>
      <c r="B6446" s="41">
        <v>12620</v>
      </c>
      <c r="C6446" s="54">
        <v>5843</v>
      </c>
      <c r="D6446" s="54" t="s">
        <v>45</v>
      </c>
      <c r="E6446" s="54" t="s">
        <v>1298</v>
      </c>
      <c r="F6446" s="54" t="s">
        <v>4535</v>
      </c>
      <c r="G6446" s="54" t="s">
        <v>19628</v>
      </c>
      <c r="H6446" s="54" t="s">
        <v>19629</v>
      </c>
      <c r="I6446" s="43">
        <v>12</v>
      </c>
      <c r="J6446" s="44" t="str">
        <f>VLOOKUP(G6446,[1]硬件清单!$F:$F,1,0)</f>
        <v>J33GTRX</v>
      </c>
      <c r="K6446" s="44" t="s">
        <v>250</v>
      </c>
      <c r="L6446" s="44"/>
      <c r="M6446" s="45" t="s">
        <v>19630</v>
      </c>
    </row>
    <row r="6447" s="29" customFormat="1" ht="30" customHeight="1" spans="1:13">
      <c r="A6447" s="41">
        <f>IF(C6447="","",SUBTOTAL(103,$C$2:C6447))</f>
        <v>6438</v>
      </c>
      <c r="B6447" s="41">
        <v>12621</v>
      </c>
      <c r="C6447" s="54">
        <v>5842</v>
      </c>
      <c r="D6447" s="54" t="s">
        <v>45</v>
      </c>
      <c r="E6447" s="54" t="s">
        <v>1298</v>
      </c>
      <c r="F6447" s="54" t="s">
        <v>4535</v>
      </c>
      <c r="G6447" s="54" t="s">
        <v>19631</v>
      </c>
      <c r="H6447" s="54" t="s">
        <v>19632</v>
      </c>
      <c r="I6447" s="43">
        <v>12</v>
      </c>
      <c r="J6447" s="44" t="str">
        <f>VLOOKUP(G6447,[1]硬件清单!$F:$F,1,0)</f>
        <v>J33GTT6</v>
      </c>
      <c r="K6447" s="44" t="s">
        <v>250</v>
      </c>
      <c r="L6447" s="44"/>
      <c r="M6447" s="45" t="s">
        <v>19633</v>
      </c>
    </row>
    <row r="6448" s="29" customFormat="1" ht="30" customHeight="1" spans="1:13">
      <c r="A6448" s="41">
        <f>IF(C6448="","",SUBTOTAL(103,$C$2:C6448))</f>
        <v>6439</v>
      </c>
      <c r="B6448" s="41">
        <v>12622</v>
      </c>
      <c r="C6448" s="54">
        <v>5841</v>
      </c>
      <c r="D6448" s="54" t="s">
        <v>45</v>
      </c>
      <c r="E6448" s="54" t="s">
        <v>1298</v>
      </c>
      <c r="F6448" s="54" t="s">
        <v>4535</v>
      </c>
      <c r="G6448" s="54" t="s">
        <v>19634</v>
      </c>
      <c r="H6448" s="54" t="s">
        <v>19635</v>
      </c>
      <c r="I6448" s="43">
        <v>12</v>
      </c>
      <c r="J6448" s="44" t="str">
        <f>VLOOKUP(G6448,[1]硬件清单!$F:$F,1,0)</f>
        <v>J33GTTM</v>
      </c>
      <c r="K6448" s="44" t="s">
        <v>250</v>
      </c>
      <c r="L6448" s="44"/>
      <c r="M6448" s="45" t="s">
        <v>19636</v>
      </c>
    </row>
    <row r="6449" s="29" customFormat="1" ht="30" customHeight="1" spans="1:13">
      <c r="A6449" s="41">
        <f>IF(C6449="","",SUBTOTAL(103,$C$2:C6449))</f>
        <v>6440</v>
      </c>
      <c r="B6449" s="41">
        <v>12623</v>
      </c>
      <c r="C6449" s="54">
        <v>5840</v>
      </c>
      <c r="D6449" s="54" t="s">
        <v>45</v>
      </c>
      <c r="E6449" s="54" t="s">
        <v>1298</v>
      </c>
      <c r="F6449" s="54" t="s">
        <v>4535</v>
      </c>
      <c r="G6449" s="54" t="s">
        <v>19637</v>
      </c>
      <c r="H6449" s="54" t="s">
        <v>19638</v>
      </c>
      <c r="I6449" s="43">
        <v>12</v>
      </c>
      <c r="J6449" s="44" t="str">
        <f>VLOOKUP(G6449,[1]硬件清单!$F:$F,1,0)</f>
        <v>J33GTTG</v>
      </c>
      <c r="K6449" s="44" t="s">
        <v>250</v>
      </c>
      <c r="L6449" s="44"/>
      <c r="M6449" s="45" t="s">
        <v>19639</v>
      </c>
    </row>
    <row r="6450" s="29" customFormat="1" ht="30" customHeight="1" spans="1:13">
      <c r="A6450" s="41">
        <f>IF(C6450="","",SUBTOTAL(103,$C$2:C6450))</f>
        <v>6441</v>
      </c>
      <c r="B6450" s="41">
        <v>12624</v>
      </c>
      <c r="C6450" s="54">
        <v>5839</v>
      </c>
      <c r="D6450" s="54" t="s">
        <v>45</v>
      </c>
      <c r="E6450" s="54" t="s">
        <v>1298</v>
      </c>
      <c r="F6450" s="54" t="s">
        <v>4535</v>
      </c>
      <c r="G6450" s="54" t="s">
        <v>19640</v>
      </c>
      <c r="H6450" s="54" t="s">
        <v>19641</v>
      </c>
      <c r="I6450" s="43">
        <v>12</v>
      </c>
      <c r="J6450" s="44" t="str">
        <f>VLOOKUP(G6450,[1]硬件清单!$F:$F,1,0)</f>
        <v>J33GTRV</v>
      </c>
      <c r="K6450" s="44" t="s">
        <v>250</v>
      </c>
      <c r="L6450" s="44"/>
      <c r="M6450" s="45" t="s">
        <v>19642</v>
      </c>
    </row>
    <row r="6451" s="29" customFormat="1" ht="30" customHeight="1" spans="1:13">
      <c r="A6451" s="41">
        <f>IF(C6451="","",SUBTOTAL(103,$C$2:C6451))</f>
        <v>6442</v>
      </c>
      <c r="B6451" s="41">
        <v>12625</v>
      </c>
      <c r="C6451" s="54">
        <v>5847</v>
      </c>
      <c r="D6451" s="54" t="s">
        <v>45</v>
      </c>
      <c r="E6451" s="54" t="s">
        <v>1298</v>
      </c>
      <c r="F6451" s="54" t="s">
        <v>4535</v>
      </c>
      <c r="G6451" s="54" t="s">
        <v>19643</v>
      </c>
      <c r="H6451" s="54" t="s">
        <v>19644</v>
      </c>
      <c r="I6451" s="43">
        <v>12</v>
      </c>
      <c r="J6451" s="44" t="str">
        <f>VLOOKUP(G6451,[1]硬件清单!$F:$F,1,0)</f>
        <v>J33GRZ3</v>
      </c>
      <c r="K6451" s="44" t="s">
        <v>250</v>
      </c>
      <c r="L6451" s="44"/>
      <c r="M6451" s="45" t="s">
        <v>19645</v>
      </c>
    </row>
    <row r="6452" s="29" customFormat="1" ht="30" customHeight="1" spans="1:13">
      <c r="A6452" s="41">
        <f>IF(C6452="","",SUBTOTAL(103,$C$2:C6452))</f>
        <v>6443</v>
      </c>
      <c r="B6452" s="41">
        <v>12626</v>
      </c>
      <c r="C6452" s="54">
        <v>5846</v>
      </c>
      <c r="D6452" s="54" t="s">
        <v>45</v>
      </c>
      <c r="E6452" s="54" t="s">
        <v>1298</v>
      </c>
      <c r="F6452" s="54" t="s">
        <v>4535</v>
      </c>
      <c r="G6452" s="54" t="s">
        <v>19646</v>
      </c>
      <c r="H6452" s="54" t="s">
        <v>19647</v>
      </c>
      <c r="I6452" s="43">
        <v>12</v>
      </c>
      <c r="J6452" s="44" t="str">
        <f>VLOOKUP(G6452,[1]硬件清单!$F:$F,1,0)</f>
        <v>J33GRZ2</v>
      </c>
      <c r="K6452" s="44" t="s">
        <v>250</v>
      </c>
      <c r="L6452" s="44"/>
      <c r="M6452" s="45" t="s">
        <v>19648</v>
      </c>
    </row>
    <row r="6453" s="29" customFormat="1" ht="30" customHeight="1" spans="1:13">
      <c r="A6453" s="41">
        <f>IF(C6453="","",SUBTOTAL(103,$C$2:C6453))</f>
        <v>6444</v>
      </c>
      <c r="B6453" s="41">
        <v>12627</v>
      </c>
      <c r="C6453" s="54">
        <v>5845</v>
      </c>
      <c r="D6453" s="54" t="s">
        <v>45</v>
      </c>
      <c r="E6453" s="54" t="s">
        <v>1298</v>
      </c>
      <c r="F6453" s="54" t="s">
        <v>4535</v>
      </c>
      <c r="G6453" s="54" t="s">
        <v>19649</v>
      </c>
      <c r="H6453" s="54" t="s">
        <v>19650</v>
      </c>
      <c r="I6453" s="43">
        <v>12</v>
      </c>
      <c r="J6453" s="44" t="str">
        <f>VLOOKUP(G6453,[1]硬件清单!$F:$F,1,0)</f>
        <v>J33GRZ4</v>
      </c>
      <c r="K6453" s="44" t="s">
        <v>250</v>
      </c>
      <c r="L6453" s="44"/>
      <c r="M6453" s="45" t="s">
        <v>19651</v>
      </c>
    </row>
    <row r="6454" s="29" customFormat="1" ht="30" customHeight="1" spans="1:13">
      <c r="A6454" s="41">
        <f>IF(C6454="","",SUBTOTAL(103,$C$2:C6454))</f>
        <v>6445</v>
      </c>
      <c r="B6454" s="41">
        <v>12628</v>
      </c>
      <c r="C6454" s="54">
        <v>5851</v>
      </c>
      <c r="D6454" s="54" t="s">
        <v>45</v>
      </c>
      <c r="E6454" s="54" t="s">
        <v>1298</v>
      </c>
      <c r="F6454" s="54" t="s">
        <v>4535</v>
      </c>
      <c r="G6454" s="54" t="s">
        <v>19652</v>
      </c>
      <c r="H6454" s="54" t="s">
        <v>19653</v>
      </c>
      <c r="I6454" s="43">
        <v>12</v>
      </c>
      <c r="J6454" s="44" t="str">
        <f>VLOOKUP(G6454,[1]硬件清单!$F:$F,1,0)</f>
        <v>J33GTT9</v>
      </c>
      <c r="K6454" s="44" t="s">
        <v>250</v>
      </c>
      <c r="L6454" s="44"/>
      <c r="M6454" s="45" t="s">
        <v>19654</v>
      </c>
    </row>
    <row r="6455" s="29" customFormat="1" ht="30" customHeight="1" spans="1:13">
      <c r="A6455" s="41">
        <f>IF(C6455="","",SUBTOTAL(103,$C$2:C6455))</f>
        <v>6446</v>
      </c>
      <c r="B6455" s="41">
        <v>12629</v>
      </c>
      <c r="C6455" s="54">
        <v>5850</v>
      </c>
      <c r="D6455" s="54" t="s">
        <v>45</v>
      </c>
      <c r="E6455" s="54" t="s">
        <v>1298</v>
      </c>
      <c r="F6455" s="54" t="s">
        <v>4535</v>
      </c>
      <c r="G6455" s="54" t="s">
        <v>19655</v>
      </c>
      <c r="H6455" s="54" t="s">
        <v>19656</v>
      </c>
      <c r="I6455" s="43">
        <v>12</v>
      </c>
      <c r="J6455" s="44" t="str">
        <f>VLOOKUP(G6455,[1]硬件清单!$F:$F,1,0)</f>
        <v>J33GTT2</v>
      </c>
      <c r="K6455" s="44" t="s">
        <v>250</v>
      </c>
      <c r="L6455" s="44"/>
      <c r="M6455" s="45" t="s">
        <v>19657</v>
      </c>
    </row>
    <row r="6456" s="29" customFormat="1" ht="30" customHeight="1" spans="1:13">
      <c r="A6456" s="41">
        <f>IF(C6456="","",SUBTOTAL(103,$C$2:C6456))</f>
        <v>6447</v>
      </c>
      <c r="B6456" s="41">
        <v>12630</v>
      </c>
      <c r="C6456" s="54">
        <v>5849</v>
      </c>
      <c r="D6456" s="54" t="s">
        <v>45</v>
      </c>
      <c r="E6456" s="54" t="s">
        <v>1298</v>
      </c>
      <c r="F6456" s="54" t="s">
        <v>4535</v>
      </c>
      <c r="G6456" s="54" t="s">
        <v>19658</v>
      </c>
      <c r="H6456" s="54" t="s">
        <v>19659</v>
      </c>
      <c r="I6456" s="43">
        <v>12</v>
      </c>
      <c r="J6456" s="44" t="str">
        <f>VLOOKUP(G6456,[1]硬件清单!$F:$F,1,0)</f>
        <v>J33GTTN</v>
      </c>
      <c r="K6456" s="44" t="s">
        <v>250</v>
      </c>
      <c r="L6456" s="44"/>
      <c r="M6456" s="45" t="s">
        <v>19660</v>
      </c>
    </row>
    <row r="6457" s="29" customFormat="1" ht="30" customHeight="1" spans="1:13">
      <c r="A6457" s="41">
        <f>IF(C6457="","",SUBTOTAL(103,$C$2:C6457))</f>
        <v>6448</v>
      </c>
      <c r="B6457" s="41">
        <v>12631</v>
      </c>
      <c r="C6457" s="54">
        <v>5848</v>
      </c>
      <c r="D6457" s="54" t="s">
        <v>45</v>
      </c>
      <c r="E6457" s="54" t="s">
        <v>1298</v>
      </c>
      <c r="F6457" s="54" t="s">
        <v>4535</v>
      </c>
      <c r="G6457" s="54" t="s">
        <v>19661</v>
      </c>
      <c r="H6457" s="54" t="s">
        <v>19662</v>
      </c>
      <c r="I6457" s="43">
        <v>12</v>
      </c>
      <c r="J6457" s="44" t="str">
        <f>VLOOKUP(G6457,[1]硬件清单!$F:$F,1,0)</f>
        <v>J33GTTP</v>
      </c>
      <c r="K6457" s="44" t="s">
        <v>250</v>
      </c>
      <c r="L6457" s="44"/>
      <c r="M6457" s="45" t="s">
        <v>19663</v>
      </c>
    </row>
    <row r="6458" s="29" customFormat="1" ht="30" customHeight="1" spans="1:13">
      <c r="A6458" s="41">
        <f>IF(C6458="","",SUBTOTAL(103,$C$2:C6458))</f>
        <v>6449</v>
      </c>
      <c r="B6458" s="41">
        <v>12632</v>
      </c>
      <c r="C6458" s="54">
        <v>5819</v>
      </c>
      <c r="D6458" s="54" t="s">
        <v>45</v>
      </c>
      <c r="E6458" s="54" t="s">
        <v>1298</v>
      </c>
      <c r="F6458" s="54" t="s">
        <v>19525</v>
      </c>
      <c r="G6458" s="54" t="s">
        <v>19664</v>
      </c>
      <c r="H6458" s="54" t="s">
        <v>19665</v>
      </c>
      <c r="I6458" s="43">
        <v>12</v>
      </c>
      <c r="J6458" s="44" t="str">
        <f>VLOOKUP(G6458,[1]硬件清单!$F:$F,1,0)</f>
        <v>9800106400931452</v>
      </c>
      <c r="K6458" s="44" t="s">
        <v>250</v>
      </c>
      <c r="L6458" s="44"/>
      <c r="M6458" s="45" t="s">
        <v>19666</v>
      </c>
    </row>
    <row r="6459" s="29" customFormat="1" ht="30" customHeight="1" spans="1:13">
      <c r="A6459" s="41">
        <f>IF(C6459="","",SUBTOTAL(103,$C$2:C6459))</f>
        <v>6450</v>
      </c>
      <c r="B6459" s="41">
        <v>12633</v>
      </c>
      <c r="C6459" s="54">
        <v>5900</v>
      </c>
      <c r="D6459" s="54" t="s">
        <v>19</v>
      </c>
      <c r="E6459" s="54" t="s">
        <v>20</v>
      </c>
      <c r="F6459" s="54" t="s">
        <v>10050</v>
      </c>
      <c r="G6459" s="54" t="s">
        <v>19667</v>
      </c>
      <c r="H6459" s="54" t="s">
        <v>19668</v>
      </c>
      <c r="I6459" s="43">
        <v>12</v>
      </c>
      <c r="J6459" s="44" t="str">
        <f>VLOOKUP(G6459,[1]硬件清单!$F:$F,1,0)</f>
        <v>210235A1G9H178000058</v>
      </c>
      <c r="K6459" s="42"/>
      <c r="L6459" s="44"/>
      <c r="M6459" s="45" t="s">
        <v>19669</v>
      </c>
    </row>
    <row r="6460" s="29" customFormat="1" ht="30" customHeight="1" spans="1:13">
      <c r="A6460" s="41">
        <f>IF(C6460="","",SUBTOTAL(103,$C$2:C6460))</f>
        <v>6451</v>
      </c>
      <c r="B6460" s="41">
        <v>12634</v>
      </c>
      <c r="C6460" s="54">
        <v>5837</v>
      </c>
      <c r="D6460" s="54" t="s">
        <v>45</v>
      </c>
      <c r="E6460" s="54" t="s">
        <v>1298</v>
      </c>
      <c r="F6460" s="54" t="s">
        <v>19525</v>
      </c>
      <c r="G6460" s="54" t="s">
        <v>19670</v>
      </c>
      <c r="H6460" s="54" t="s">
        <v>19671</v>
      </c>
      <c r="I6460" s="43">
        <v>12</v>
      </c>
      <c r="J6460" s="44" t="str">
        <f>VLOOKUP(G6460,[1]硬件清单!$F:$F,1,0)</f>
        <v>9800106400931451</v>
      </c>
      <c r="K6460" s="44" t="s">
        <v>250</v>
      </c>
      <c r="L6460" s="44"/>
      <c r="M6460" s="45" t="s">
        <v>19672</v>
      </c>
    </row>
    <row r="6461" s="29" customFormat="1" ht="30" customHeight="1" spans="1:13">
      <c r="A6461" s="41">
        <f>IF(C6461="","",SUBTOTAL(103,$C$2:C6461))</f>
        <v>6452</v>
      </c>
      <c r="B6461" s="41">
        <v>12635</v>
      </c>
      <c r="C6461" s="54">
        <v>5836</v>
      </c>
      <c r="D6461" s="54" t="s">
        <v>45</v>
      </c>
      <c r="E6461" s="54" t="s">
        <v>1298</v>
      </c>
      <c r="F6461" s="54" t="s">
        <v>19525</v>
      </c>
      <c r="G6461" s="54" t="s">
        <v>19673</v>
      </c>
      <c r="H6461" s="54" t="s">
        <v>19674</v>
      </c>
      <c r="I6461" s="43">
        <v>12</v>
      </c>
      <c r="J6461" s="44" t="str">
        <f>VLOOKUP(G6461,[1]硬件清单!$F:$F,1,0)</f>
        <v>9800106400931426</v>
      </c>
      <c r="K6461" s="44" t="s">
        <v>250</v>
      </c>
      <c r="L6461" s="44"/>
      <c r="M6461" s="45" t="s">
        <v>19675</v>
      </c>
    </row>
    <row r="6462" s="29" customFormat="1" ht="30" customHeight="1" spans="1:13">
      <c r="A6462" s="41">
        <f>IF(C6462="","",SUBTOTAL(103,$C$2:C6462))</f>
        <v>6453</v>
      </c>
      <c r="B6462" s="41">
        <v>12636</v>
      </c>
      <c r="C6462" s="54">
        <v>5835</v>
      </c>
      <c r="D6462" s="54" t="s">
        <v>45</v>
      </c>
      <c r="E6462" s="54" t="s">
        <v>1298</v>
      </c>
      <c r="F6462" s="54" t="s">
        <v>19525</v>
      </c>
      <c r="G6462" s="54" t="s">
        <v>19676</v>
      </c>
      <c r="H6462" s="54" t="s">
        <v>19677</v>
      </c>
      <c r="I6462" s="43">
        <v>12</v>
      </c>
      <c r="J6462" s="44" t="str">
        <f>VLOOKUP(G6462,[1]硬件清单!$F:$F,1,0)</f>
        <v>9800106400931448</v>
      </c>
      <c r="K6462" s="44" t="s">
        <v>250</v>
      </c>
      <c r="L6462" s="44"/>
      <c r="M6462" s="45" t="s">
        <v>19678</v>
      </c>
    </row>
    <row r="6463" s="29" customFormat="1" ht="30" customHeight="1" spans="1:13">
      <c r="A6463" s="41">
        <f>IF(C6463="","",SUBTOTAL(103,$C$2:C6463))</f>
        <v>6454</v>
      </c>
      <c r="B6463" s="41">
        <v>12637</v>
      </c>
      <c r="C6463" s="54">
        <v>5834</v>
      </c>
      <c r="D6463" s="54" t="s">
        <v>45</v>
      </c>
      <c r="E6463" s="54" t="s">
        <v>1298</v>
      </c>
      <c r="F6463" s="54" t="s">
        <v>19525</v>
      </c>
      <c r="G6463" s="54" t="s">
        <v>19679</v>
      </c>
      <c r="H6463" s="54" t="s">
        <v>19680</v>
      </c>
      <c r="I6463" s="43">
        <v>12</v>
      </c>
      <c r="J6463" s="44" t="str">
        <f>VLOOKUP(G6463,[1]硬件清单!$F:$F,1,0)</f>
        <v>9800106400931465</v>
      </c>
      <c r="K6463" s="44" t="s">
        <v>250</v>
      </c>
      <c r="L6463" s="44"/>
      <c r="M6463" s="45" t="s">
        <v>19681</v>
      </c>
    </row>
    <row r="6464" s="29" customFormat="1" ht="30" customHeight="1" spans="1:13">
      <c r="A6464" s="41">
        <f>IF(C6464="","",SUBTOTAL(103,$C$2:C6464))</f>
        <v>6455</v>
      </c>
      <c r="B6464" s="41">
        <v>12638</v>
      </c>
      <c r="C6464" s="54">
        <v>5833</v>
      </c>
      <c r="D6464" s="54" t="s">
        <v>45</v>
      </c>
      <c r="E6464" s="54" t="s">
        <v>1298</v>
      </c>
      <c r="F6464" s="54" t="s">
        <v>19525</v>
      </c>
      <c r="G6464" s="54" t="s">
        <v>19682</v>
      </c>
      <c r="H6464" s="54" t="s">
        <v>19683</v>
      </c>
      <c r="I6464" s="43">
        <v>12</v>
      </c>
      <c r="J6464" s="44" t="str">
        <f>VLOOKUP(G6464,[1]硬件清单!$F:$F,1,0)</f>
        <v>9800106400931461</v>
      </c>
      <c r="K6464" s="44" t="s">
        <v>250</v>
      </c>
      <c r="L6464" s="44"/>
      <c r="M6464" s="45" t="s">
        <v>19684</v>
      </c>
    </row>
    <row r="6465" s="29" customFormat="1" ht="30" customHeight="1" spans="1:13">
      <c r="A6465" s="41">
        <f>IF(C6465="","",SUBTOTAL(103,$C$2:C6465))</f>
        <v>6456</v>
      </c>
      <c r="B6465" s="41">
        <v>12639</v>
      </c>
      <c r="C6465" s="54">
        <v>5832</v>
      </c>
      <c r="D6465" s="54" t="s">
        <v>45</v>
      </c>
      <c r="E6465" s="54" t="s">
        <v>1298</v>
      </c>
      <c r="F6465" s="54" t="s">
        <v>19525</v>
      </c>
      <c r="G6465" s="54" t="s">
        <v>19685</v>
      </c>
      <c r="H6465" s="54" t="s">
        <v>19686</v>
      </c>
      <c r="I6465" s="43">
        <v>12</v>
      </c>
      <c r="J6465" s="44" t="str">
        <f>VLOOKUP(G6465,[1]硬件清单!$F:$F,1,0)</f>
        <v>9800106400931440</v>
      </c>
      <c r="K6465" s="44" t="s">
        <v>250</v>
      </c>
      <c r="L6465" s="44"/>
      <c r="M6465" s="45" t="s">
        <v>19687</v>
      </c>
    </row>
    <row r="6466" s="29" customFormat="1" ht="30" customHeight="1" spans="1:13">
      <c r="A6466" s="41">
        <f>IF(C6466="","",SUBTOTAL(103,$C$2:C6466))</f>
        <v>6457</v>
      </c>
      <c r="B6466" s="41">
        <v>12640</v>
      </c>
      <c r="C6466" s="54">
        <v>5831</v>
      </c>
      <c r="D6466" s="54" t="s">
        <v>45</v>
      </c>
      <c r="E6466" s="54" t="s">
        <v>1298</v>
      </c>
      <c r="F6466" s="54" t="s">
        <v>19525</v>
      </c>
      <c r="G6466" s="54" t="s">
        <v>19688</v>
      </c>
      <c r="H6466" s="54" t="s">
        <v>19689</v>
      </c>
      <c r="I6466" s="43">
        <v>12</v>
      </c>
      <c r="J6466" s="44" t="str">
        <f>VLOOKUP(G6466,[1]硬件清单!$F:$F,1,0)</f>
        <v>9800106400931441</v>
      </c>
      <c r="K6466" s="44" t="s">
        <v>250</v>
      </c>
      <c r="L6466" s="44"/>
      <c r="M6466" s="45" t="s">
        <v>19690</v>
      </c>
    </row>
    <row r="6467" s="29" customFormat="1" ht="30" customHeight="1" spans="1:13">
      <c r="A6467" s="41">
        <f>IF(C6467="","",SUBTOTAL(103,$C$2:C6467))</f>
        <v>6458</v>
      </c>
      <c r="B6467" s="41">
        <v>12641</v>
      </c>
      <c r="C6467" s="54">
        <v>5830</v>
      </c>
      <c r="D6467" s="54" t="s">
        <v>45</v>
      </c>
      <c r="E6467" s="54" t="s">
        <v>1298</v>
      </c>
      <c r="F6467" s="54" t="s">
        <v>19525</v>
      </c>
      <c r="G6467" s="54" t="s">
        <v>19691</v>
      </c>
      <c r="H6467" s="54" t="s">
        <v>19692</v>
      </c>
      <c r="I6467" s="43">
        <v>12</v>
      </c>
      <c r="J6467" s="44" t="str">
        <f>VLOOKUP(G6467,[1]硬件清单!$F:$F,1,0)</f>
        <v>9800106400931462</v>
      </c>
      <c r="K6467" s="44" t="s">
        <v>250</v>
      </c>
      <c r="L6467" s="44"/>
      <c r="M6467" s="45" t="s">
        <v>19693</v>
      </c>
    </row>
    <row r="6468" s="29" customFormat="1" ht="30" customHeight="1" spans="1:13">
      <c r="A6468" s="41">
        <f>IF(C6468="","",SUBTOTAL(103,$C$2:C6468))</f>
        <v>6459</v>
      </c>
      <c r="B6468" s="41">
        <v>12642</v>
      </c>
      <c r="C6468" s="54">
        <v>5829</v>
      </c>
      <c r="D6468" s="54" t="s">
        <v>45</v>
      </c>
      <c r="E6468" s="54" t="s">
        <v>1298</v>
      </c>
      <c r="F6468" s="54" t="s">
        <v>19525</v>
      </c>
      <c r="G6468" s="54" t="s">
        <v>19694</v>
      </c>
      <c r="H6468" s="54" t="s">
        <v>19695</v>
      </c>
      <c r="I6468" s="43">
        <v>12</v>
      </c>
      <c r="J6468" s="44" t="str">
        <f>VLOOKUP(G6468,[1]硬件清单!$F:$F,1,0)</f>
        <v>9800106400931428</v>
      </c>
      <c r="K6468" s="44" t="s">
        <v>250</v>
      </c>
      <c r="L6468" s="44"/>
      <c r="M6468" s="45" t="s">
        <v>19696</v>
      </c>
    </row>
    <row r="6469" s="29" customFormat="1" ht="30" customHeight="1" spans="1:13">
      <c r="A6469" s="41">
        <f>IF(C6469="","",SUBTOTAL(103,$C$2:C6469))</f>
        <v>6460</v>
      </c>
      <c r="B6469" s="41">
        <v>12643</v>
      </c>
      <c r="C6469" s="54">
        <v>5828</v>
      </c>
      <c r="D6469" s="54" t="s">
        <v>45</v>
      </c>
      <c r="E6469" s="54" t="s">
        <v>1298</v>
      </c>
      <c r="F6469" s="54" t="s">
        <v>19525</v>
      </c>
      <c r="G6469" s="54" t="s">
        <v>19697</v>
      </c>
      <c r="H6469" s="54" t="s">
        <v>19698</v>
      </c>
      <c r="I6469" s="43">
        <v>12</v>
      </c>
      <c r="J6469" s="44" t="str">
        <f>VLOOKUP(G6469,[1]硬件清单!$F:$F,1,0)</f>
        <v>9800106400931449</v>
      </c>
      <c r="K6469" s="44" t="s">
        <v>250</v>
      </c>
      <c r="L6469" s="44"/>
      <c r="M6469" s="45" t="s">
        <v>19699</v>
      </c>
    </row>
    <row r="6470" s="29" customFormat="1" ht="30" customHeight="1" spans="1:13">
      <c r="A6470" s="41">
        <f>IF(C6470="","",SUBTOTAL(103,$C$2:C6470))</f>
        <v>6461</v>
      </c>
      <c r="B6470" s="41">
        <v>12644</v>
      </c>
      <c r="C6470" s="54">
        <v>5827</v>
      </c>
      <c r="D6470" s="54" t="s">
        <v>45</v>
      </c>
      <c r="E6470" s="54" t="s">
        <v>1298</v>
      </c>
      <c r="F6470" s="54" t="s">
        <v>19525</v>
      </c>
      <c r="G6470" s="54" t="s">
        <v>19700</v>
      </c>
      <c r="H6470" s="54" t="s">
        <v>19701</v>
      </c>
      <c r="I6470" s="43">
        <v>12</v>
      </c>
      <c r="J6470" s="44" t="str">
        <f>VLOOKUP(G6470,[1]硬件清单!$F:$F,1,0)</f>
        <v>9800106400931444</v>
      </c>
      <c r="K6470" s="44" t="s">
        <v>250</v>
      </c>
      <c r="L6470" s="44"/>
      <c r="M6470" s="45" t="s">
        <v>19702</v>
      </c>
    </row>
    <row r="6471" s="29" customFormat="1" ht="30" customHeight="1" spans="1:13">
      <c r="A6471" s="41">
        <f>IF(C6471="","",SUBTOTAL(103,$C$2:C6471))</f>
        <v>6462</v>
      </c>
      <c r="B6471" s="41">
        <v>12645</v>
      </c>
      <c r="C6471" s="54">
        <v>5826</v>
      </c>
      <c r="D6471" s="54" t="s">
        <v>45</v>
      </c>
      <c r="E6471" s="54" t="s">
        <v>1298</v>
      </c>
      <c r="F6471" s="54" t="s">
        <v>19525</v>
      </c>
      <c r="G6471" s="54" t="s">
        <v>19703</v>
      </c>
      <c r="H6471" s="54" t="s">
        <v>19704</v>
      </c>
      <c r="I6471" s="43">
        <v>12</v>
      </c>
      <c r="J6471" s="44" t="str">
        <f>VLOOKUP(G6471,[1]硬件清单!$F:$F,1,0)</f>
        <v>9800106400931442</v>
      </c>
      <c r="K6471" s="44" t="s">
        <v>250</v>
      </c>
      <c r="L6471" s="44"/>
      <c r="M6471" s="45" t="s">
        <v>19705</v>
      </c>
    </row>
    <row r="6472" s="29" customFormat="1" ht="30" customHeight="1" spans="1:13">
      <c r="A6472" s="41">
        <f>IF(C6472="","",SUBTOTAL(103,$C$2:C6472))</f>
        <v>6463</v>
      </c>
      <c r="B6472" s="41">
        <v>12646</v>
      </c>
      <c r="C6472" s="54">
        <v>5825</v>
      </c>
      <c r="D6472" s="54" t="s">
        <v>45</v>
      </c>
      <c r="E6472" s="54" t="s">
        <v>1298</v>
      </c>
      <c r="F6472" s="54" t="s">
        <v>19525</v>
      </c>
      <c r="G6472" s="54" t="s">
        <v>19706</v>
      </c>
      <c r="H6472" s="54" t="s">
        <v>19707</v>
      </c>
      <c r="I6472" s="43">
        <v>12</v>
      </c>
      <c r="J6472" s="44" t="str">
        <f>VLOOKUP(G6472,[1]硬件清单!$F:$F,1,0)</f>
        <v>9800106400931456</v>
      </c>
      <c r="K6472" s="44" t="s">
        <v>250</v>
      </c>
      <c r="L6472" s="44"/>
      <c r="M6472" s="45" t="s">
        <v>19708</v>
      </c>
    </row>
    <row r="6473" s="29" customFormat="1" ht="30" customHeight="1" spans="1:13">
      <c r="A6473" s="41">
        <f>IF(C6473="","",SUBTOTAL(103,$C$2:C6473))</f>
        <v>6464</v>
      </c>
      <c r="B6473" s="41">
        <v>12647</v>
      </c>
      <c r="C6473" s="54">
        <v>5824</v>
      </c>
      <c r="D6473" s="54" t="s">
        <v>45</v>
      </c>
      <c r="E6473" s="54" t="s">
        <v>1298</v>
      </c>
      <c r="F6473" s="54" t="s">
        <v>19525</v>
      </c>
      <c r="G6473" s="54" t="s">
        <v>19709</v>
      </c>
      <c r="H6473" s="54" t="s">
        <v>19710</v>
      </c>
      <c r="I6473" s="43">
        <v>12</v>
      </c>
      <c r="J6473" s="44" t="str">
        <f>VLOOKUP(G6473,[1]硬件清单!$F:$F,1,0)</f>
        <v>9800106400931445</v>
      </c>
      <c r="K6473" s="44" t="s">
        <v>250</v>
      </c>
      <c r="L6473" s="44"/>
      <c r="M6473" s="45" t="s">
        <v>19711</v>
      </c>
    </row>
    <row r="6474" s="29" customFormat="1" ht="30" customHeight="1" spans="1:13">
      <c r="A6474" s="41">
        <f>IF(C6474="","",SUBTOTAL(103,$C$2:C6474))</f>
        <v>6465</v>
      </c>
      <c r="B6474" s="41">
        <v>12648</v>
      </c>
      <c r="C6474" s="54">
        <v>5823</v>
      </c>
      <c r="D6474" s="54" t="s">
        <v>45</v>
      </c>
      <c r="E6474" s="54" t="s">
        <v>1298</v>
      </c>
      <c r="F6474" s="54" t="s">
        <v>19525</v>
      </c>
      <c r="G6474" s="54" t="s">
        <v>19712</v>
      </c>
      <c r="H6474" s="54" t="s">
        <v>19713</v>
      </c>
      <c r="I6474" s="43">
        <v>12</v>
      </c>
      <c r="J6474" s="44" t="str">
        <f>VLOOKUP(G6474,[1]硬件清单!$F:$F,1,0)</f>
        <v>9800106400931435</v>
      </c>
      <c r="K6474" s="44" t="s">
        <v>250</v>
      </c>
      <c r="L6474" s="44"/>
      <c r="M6474" s="45" t="s">
        <v>19714</v>
      </c>
    </row>
    <row r="6475" s="29" customFormat="1" ht="30" customHeight="1" spans="1:13">
      <c r="A6475" s="41">
        <f>IF(C6475="","",SUBTOTAL(103,$C$2:C6475))</f>
        <v>6466</v>
      </c>
      <c r="B6475" s="41">
        <v>12649</v>
      </c>
      <c r="C6475" s="54">
        <v>5822</v>
      </c>
      <c r="D6475" s="54" t="s">
        <v>45</v>
      </c>
      <c r="E6475" s="54" t="s">
        <v>1298</v>
      </c>
      <c r="F6475" s="54" t="s">
        <v>19525</v>
      </c>
      <c r="G6475" s="54" t="s">
        <v>19715</v>
      </c>
      <c r="H6475" s="54" t="s">
        <v>19716</v>
      </c>
      <c r="I6475" s="43">
        <v>12</v>
      </c>
      <c r="J6475" s="44" t="str">
        <f>VLOOKUP(G6475,[1]硬件清单!$F:$F,1,0)</f>
        <v>9800106400931434</v>
      </c>
      <c r="K6475" s="44" t="s">
        <v>250</v>
      </c>
      <c r="L6475" s="44"/>
      <c r="M6475" s="45" t="s">
        <v>19717</v>
      </c>
    </row>
    <row r="6476" s="29" customFormat="1" ht="30" customHeight="1" spans="1:13">
      <c r="A6476" s="41">
        <f>IF(C6476="","",SUBTOTAL(103,$C$2:C6476))</f>
        <v>6467</v>
      </c>
      <c r="B6476" s="41">
        <v>12650</v>
      </c>
      <c r="C6476" s="54">
        <v>5899</v>
      </c>
      <c r="D6476" s="54" t="s">
        <v>19</v>
      </c>
      <c r="E6476" s="54" t="s">
        <v>20</v>
      </c>
      <c r="F6476" s="54" t="s">
        <v>10050</v>
      </c>
      <c r="G6476" s="54" t="s">
        <v>19718</v>
      </c>
      <c r="H6476" s="54" t="s">
        <v>19719</v>
      </c>
      <c r="I6476" s="43">
        <v>12</v>
      </c>
      <c r="J6476" s="44" t="str">
        <f>VLOOKUP(G6476,[1]硬件清单!$F:$F,1,0)</f>
        <v>210235A1G9H178000043</v>
      </c>
      <c r="K6476" s="42"/>
      <c r="L6476" s="44"/>
      <c r="M6476" s="45" t="s">
        <v>19720</v>
      </c>
    </row>
    <row r="6477" s="29" customFormat="1" ht="30" customHeight="1" spans="1:13">
      <c r="A6477" s="41">
        <f>IF(C6477="","",SUBTOTAL(103,$C$2:C6477))</f>
        <v>6468</v>
      </c>
      <c r="B6477" s="41">
        <v>12651</v>
      </c>
      <c r="C6477" s="54">
        <v>5806</v>
      </c>
      <c r="D6477" s="54" t="s">
        <v>45</v>
      </c>
      <c r="E6477" s="54" t="s">
        <v>1298</v>
      </c>
      <c r="F6477" s="54" t="s">
        <v>4535</v>
      </c>
      <c r="G6477" s="54" t="s">
        <v>19721</v>
      </c>
      <c r="H6477" s="54" t="s">
        <v>19722</v>
      </c>
      <c r="I6477" s="43">
        <v>12</v>
      </c>
      <c r="J6477" s="44" t="str">
        <f>VLOOKUP(G6477,[1]硬件清单!$F:$F,1,0)</f>
        <v>J33GTT8</v>
      </c>
      <c r="K6477" s="44" t="s">
        <v>250</v>
      </c>
      <c r="L6477" s="44"/>
      <c r="M6477" s="45" t="s">
        <v>19723</v>
      </c>
    </row>
    <row r="6478" s="29" customFormat="1" ht="30" customHeight="1" spans="1:13">
      <c r="A6478" s="41">
        <f>IF(C6478="","",SUBTOTAL(103,$C$2:C6478))</f>
        <v>6469</v>
      </c>
      <c r="B6478" s="41">
        <v>12652</v>
      </c>
      <c r="C6478" s="54">
        <v>5805</v>
      </c>
      <c r="D6478" s="54" t="s">
        <v>45</v>
      </c>
      <c r="E6478" s="54" t="s">
        <v>1298</v>
      </c>
      <c r="F6478" s="54" t="s">
        <v>4535</v>
      </c>
      <c r="G6478" s="54" t="s">
        <v>19724</v>
      </c>
      <c r="H6478" s="54" t="s">
        <v>19725</v>
      </c>
      <c r="I6478" s="43">
        <v>12</v>
      </c>
      <c r="J6478" s="44" t="str">
        <f>VLOOKUP(G6478,[1]硬件清单!$F:$F,1,0)</f>
        <v>J33GTTH</v>
      </c>
      <c r="K6478" s="44" t="s">
        <v>250</v>
      </c>
      <c r="L6478" s="44"/>
      <c r="M6478" s="45" t="s">
        <v>19726</v>
      </c>
    </row>
    <row r="6479" s="29" customFormat="1" ht="30" customHeight="1" spans="1:13">
      <c r="A6479" s="41">
        <f>IF(C6479="","",SUBTOTAL(103,$C$2:C6479))</f>
        <v>6470</v>
      </c>
      <c r="B6479" s="41">
        <v>12653</v>
      </c>
      <c r="C6479" s="54">
        <v>5811</v>
      </c>
      <c r="D6479" s="54" t="s">
        <v>45</v>
      </c>
      <c r="E6479" s="54" t="s">
        <v>1298</v>
      </c>
      <c r="F6479" s="54" t="s">
        <v>4535</v>
      </c>
      <c r="G6479" s="54" t="s">
        <v>19727</v>
      </c>
      <c r="H6479" s="54" t="s">
        <v>19728</v>
      </c>
      <c r="I6479" s="43">
        <v>12</v>
      </c>
      <c r="J6479" s="44" t="str">
        <f>VLOOKUP(G6479,[1]硬件清单!$F:$F,1,0)</f>
        <v>J33GRX1</v>
      </c>
      <c r="K6479" s="44" t="s">
        <v>250</v>
      </c>
      <c r="L6479" s="44"/>
      <c r="M6479" s="45" t="s">
        <v>19729</v>
      </c>
    </row>
    <row r="6480" s="29" customFormat="1" ht="30" customHeight="1" spans="1:13">
      <c r="A6480" s="41">
        <f>IF(C6480="","",SUBTOTAL(103,$C$2:C6480))</f>
        <v>6471</v>
      </c>
      <c r="B6480" s="41">
        <v>12654</v>
      </c>
      <c r="C6480" s="54">
        <v>5810</v>
      </c>
      <c r="D6480" s="54" t="s">
        <v>45</v>
      </c>
      <c r="E6480" s="54" t="s">
        <v>1298</v>
      </c>
      <c r="F6480" s="54" t="s">
        <v>4535</v>
      </c>
      <c r="G6480" s="54" t="s">
        <v>19730</v>
      </c>
      <c r="H6480" s="54" t="s">
        <v>19731</v>
      </c>
      <c r="I6480" s="43">
        <v>12</v>
      </c>
      <c r="J6480" s="44" t="str">
        <f>VLOOKUP(G6480,[1]硬件清单!$F:$F,1,0)</f>
        <v>J33GTRM</v>
      </c>
      <c r="K6480" s="44" t="s">
        <v>250</v>
      </c>
      <c r="L6480" s="44"/>
      <c r="M6480" s="45" t="s">
        <v>19732</v>
      </c>
    </row>
    <row r="6481" s="29" customFormat="1" ht="30" customHeight="1" spans="1:13">
      <c r="A6481" s="41">
        <f>IF(C6481="","",SUBTOTAL(103,$C$2:C6481))</f>
        <v>6472</v>
      </c>
      <c r="B6481" s="41">
        <v>12655</v>
      </c>
      <c r="C6481" s="54">
        <v>5809</v>
      </c>
      <c r="D6481" s="54" t="s">
        <v>45</v>
      </c>
      <c r="E6481" s="54" t="s">
        <v>1298</v>
      </c>
      <c r="F6481" s="54" t="s">
        <v>4535</v>
      </c>
      <c r="G6481" s="54" t="s">
        <v>19733</v>
      </c>
      <c r="H6481" s="54" t="s">
        <v>19734</v>
      </c>
      <c r="I6481" s="43">
        <v>12</v>
      </c>
      <c r="J6481" s="44" t="str">
        <f>VLOOKUP(G6481,[1]硬件清单!$F:$F,1,0)</f>
        <v>J33GRX2</v>
      </c>
      <c r="K6481" s="44" t="s">
        <v>250</v>
      </c>
      <c r="L6481" s="44"/>
      <c r="M6481" s="45" t="s">
        <v>19735</v>
      </c>
    </row>
    <row r="6482" s="29" customFormat="1" ht="30" customHeight="1" spans="1:13">
      <c r="A6482" s="41">
        <f>IF(C6482="","",SUBTOTAL(103,$C$2:C6482))</f>
        <v>6473</v>
      </c>
      <c r="B6482" s="41">
        <v>12656</v>
      </c>
      <c r="C6482" s="54">
        <v>5808</v>
      </c>
      <c r="D6482" s="54" t="s">
        <v>45</v>
      </c>
      <c r="E6482" s="54" t="s">
        <v>1298</v>
      </c>
      <c r="F6482" s="54" t="s">
        <v>4535</v>
      </c>
      <c r="G6482" s="54" t="s">
        <v>19736</v>
      </c>
      <c r="H6482" s="54" t="s">
        <v>19737</v>
      </c>
      <c r="I6482" s="43">
        <v>12</v>
      </c>
      <c r="J6482" s="44" t="str">
        <f>VLOOKUP(G6482,[1]硬件清单!$F:$F,1,0)</f>
        <v>J33GTRL</v>
      </c>
      <c r="K6482" s="44" t="s">
        <v>250</v>
      </c>
      <c r="L6482" s="44"/>
      <c r="M6482" s="45" t="s">
        <v>19738</v>
      </c>
    </row>
    <row r="6483" s="29" customFormat="1" ht="30" customHeight="1" spans="1:13">
      <c r="A6483" s="41">
        <f>IF(C6483="","",SUBTOTAL(103,$C$2:C6483))</f>
        <v>6474</v>
      </c>
      <c r="B6483" s="41">
        <v>12657</v>
      </c>
      <c r="C6483" s="54">
        <v>5807</v>
      </c>
      <c r="D6483" s="54" t="s">
        <v>45</v>
      </c>
      <c r="E6483" s="54" t="s">
        <v>1298</v>
      </c>
      <c r="F6483" s="54" t="s">
        <v>4535</v>
      </c>
      <c r="G6483" s="54" t="s">
        <v>19739</v>
      </c>
      <c r="H6483" s="54" t="s">
        <v>19740</v>
      </c>
      <c r="I6483" s="43">
        <v>12</v>
      </c>
      <c r="J6483" s="44" t="str">
        <f>VLOOKUP(G6483,[1]硬件清单!$F:$F,1,0)</f>
        <v>J33GTZ0</v>
      </c>
      <c r="K6483" s="44" t="s">
        <v>250</v>
      </c>
      <c r="L6483" s="44"/>
      <c r="M6483" s="45" t="s">
        <v>19741</v>
      </c>
    </row>
    <row r="6484" s="29" customFormat="1" ht="30" customHeight="1" spans="1:13">
      <c r="A6484" s="41">
        <f>IF(C6484="","",SUBTOTAL(103,$C$2:C6484))</f>
        <v>6475</v>
      </c>
      <c r="B6484" s="41">
        <v>12658</v>
      </c>
      <c r="C6484" s="54">
        <v>5879</v>
      </c>
      <c r="D6484" s="54" t="s">
        <v>45</v>
      </c>
      <c r="E6484" s="54" t="s">
        <v>1298</v>
      </c>
      <c r="F6484" s="54" t="s">
        <v>19525</v>
      </c>
      <c r="G6484" s="54" t="s">
        <v>19742</v>
      </c>
      <c r="H6484" s="54" t="s">
        <v>19743</v>
      </c>
      <c r="I6484" s="43">
        <v>12</v>
      </c>
      <c r="J6484" s="44" t="str">
        <f>VLOOKUP(G6484,[1]硬件清单!$F:$F,1,0)</f>
        <v>9800106400931443</v>
      </c>
      <c r="K6484" s="44" t="s">
        <v>250</v>
      </c>
      <c r="L6484" s="44"/>
      <c r="M6484" s="45" t="s">
        <v>19744</v>
      </c>
    </row>
    <row r="6485" s="29" customFormat="1" ht="30" customHeight="1" spans="1:13">
      <c r="A6485" s="41">
        <f>IF(C6485="","",SUBTOTAL(103,$C$2:C6485))</f>
        <v>6476</v>
      </c>
      <c r="B6485" s="41">
        <v>12659</v>
      </c>
      <c r="C6485" s="54">
        <v>5878</v>
      </c>
      <c r="D6485" s="54" t="s">
        <v>45</v>
      </c>
      <c r="E6485" s="54" t="s">
        <v>1298</v>
      </c>
      <c r="F6485" s="54" t="s">
        <v>19525</v>
      </c>
      <c r="G6485" s="54" t="s">
        <v>19745</v>
      </c>
      <c r="H6485" s="54" t="s">
        <v>19746</v>
      </c>
      <c r="I6485" s="43">
        <v>12</v>
      </c>
      <c r="J6485" s="44" t="str">
        <f>VLOOKUP(G6485,[1]硬件清单!$F:$F,1,0)</f>
        <v>9800106400931460</v>
      </c>
      <c r="K6485" s="44" t="s">
        <v>250</v>
      </c>
      <c r="L6485" s="44"/>
      <c r="M6485" s="45" t="s">
        <v>19747</v>
      </c>
    </row>
    <row r="6486" s="29" customFormat="1" ht="30" customHeight="1" spans="1:13">
      <c r="A6486" s="41">
        <f>IF(C6486="","",SUBTOTAL(103,$C$2:C6486))</f>
        <v>6477</v>
      </c>
      <c r="B6486" s="41">
        <v>12660</v>
      </c>
      <c r="C6486" s="54">
        <v>5857</v>
      </c>
      <c r="D6486" s="54" t="s">
        <v>45</v>
      </c>
      <c r="E6486" s="54" t="s">
        <v>1298</v>
      </c>
      <c r="F6486" s="54" t="s">
        <v>19525</v>
      </c>
      <c r="G6486" s="54" t="s">
        <v>19748</v>
      </c>
      <c r="H6486" s="54" t="s">
        <v>19749</v>
      </c>
      <c r="I6486" s="43">
        <v>12</v>
      </c>
      <c r="J6486" s="44" t="str">
        <f>VLOOKUP(G6486,[1]硬件清单!$F:$F,1,0)</f>
        <v>9800106400931437</v>
      </c>
      <c r="K6486" s="44" t="s">
        <v>250</v>
      </c>
      <c r="L6486" s="44"/>
      <c r="M6486" s="45" t="s">
        <v>19750</v>
      </c>
    </row>
    <row r="6487" s="29" customFormat="1" ht="30" customHeight="1" spans="1:13">
      <c r="A6487" s="41">
        <f>IF(C6487="","",SUBTOTAL(103,$C$2:C6487))</f>
        <v>6478</v>
      </c>
      <c r="B6487" s="41">
        <v>12661</v>
      </c>
      <c r="C6487" s="54">
        <v>5856</v>
      </c>
      <c r="D6487" s="54" t="s">
        <v>45</v>
      </c>
      <c r="E6487" s="54" t="s">
        <v>1298</v>
      </c>
      <c r="F6487" s="54" t="s">
        <v>19525</v>
      </c>
      <c r="G6487" s="54" t="s">
        <v>19751</v>
      </c>
      <c r="H6487" s="54" t="s">
        <v>19752</v>
      </c>
      <c r="I6487" s="43">
        <v>12</v>
      </c>
      <c r="J6487" s="44" t="str">
        <f>VLOOKUP(G6487,[1]硬件清单!$F:$F,1,0)</f>
        <v>9800106400931438</v>
      </c>
      <c r="K6487" s="44" t="s">
        <v>250</v>
      </c>
      <c r="L6487" s="44"/>
      <c r="M6487" s="45" t="s">
        <v>19753</v>
      </c>
    </row>
    <row r="6488" s="29" customFormat="1" ht="30" customHeight="1" spans="1:13">
      <c r="A6488" s="41">
        <f>IF(C6488="","",SUBTOTAL(103,$C$2:C6488))</f>
        <v>6479</v>
      </c>
      <c r="B6488" s="41">
        <v>12662</v>
      </c>
      <c r="C6488" s="54">
        <v>5855</v>
      </c>
      <c r="D6488" s="54" t="s">
        <v>45</v>
      </c>
      <c r="E6488" s="54" t="s">
        <v>1298</v>
      </c>
      <c r="F6488" s="54" t="s">
        <v>19525</v>
      </c>
      <c r="G6488" s="54" t="s">
        <v>19754</v>
      </c>
      <c r="H6488" s="54" t="s">
        <v>19755</v>
      </c>
      <c r="I6488" s="43">
        <v>12</v>
      </c>
      <c r="J6488" s="44" t="str">
        <f>VLOOKUP(G6488,[1]硬件清单!$F:$F,1,0)</f>
        <v>9800106400931447</v>
      </c>
      <c r="K6488" s="44" t="s">
        <v>250</v>
      </c>
      <c r="L6488" s="44"/>
      <c r="M6488" s="45" t="s">
        <v>19756</v>
      </c>
    </row>
    <row r="6489" s="29" customFormat="1" ht="30" customHeight="1" spans="1:13">
      <c r="A6489" s="41">
        <f>IF(C6489="","",SUBTOTAL(103,$C$2:C6489))</f>
        <v>6480</v>
      </c>
      <c r="B6489" s="41">
        <v>12663</v>
      </c>
      <c r="C6489" s="54">
        <v>5854</v>
      </c>
      <c r="D6489" s="54" t="s">
        <v>45</v>
      </c>
      <c r="E6489" s="54" t="s">
        <v>1298</v>
      </c>
      <c r="F6489" s="54" t="s">
        <v>19525</v>
      </c>
      <c r="G6489" s="54" t="s">
        <v>19757</v>
      </c>
      <c r="H6489" s="54" t="s">
        <v>19758</v>
      </c>
      <c r="I6489" s="43">
        <v>12</v>
      </c>
      <c r="J6489" s="44" t="str">
        <f>VLOOKUP(G6489,[1]硬件清单!$F:$F,1,0)</f>
        <v>9800106400931430</v>
      </c>
      <c r="K6489" s="44" t="s">
        <v>250</v>
      </c>
      <c r="L6489" s="44"/>
      <c r="M6489" s="45" t="s">
        <v>19759</v>
      </c>
    </row>
    <row r="6490" s="29" customFormat="1" ht="30" customHeight="1" spans="1:13">
      <c r="A6490" s="41">
        <f>IF(C6490="","",SUBTOTAL(103,$C$2:C6490))</f>
        <v>6481</v>
      </c>
      <c r="B6490" s="41">
        <v>12664</v>
      </c>
      <c r="C6490" s="54">
        <v>5853</v>
      </c>
      <c r="D6490" s="54" t="s">
        <v>45</v>
      </c>
      <c r="E6490" s="54" t="s">
        <v>1298</v>
      </c>
      <c r="F6490" s="54" t="s">
        <v>19525</v>
      </c>
      <c r="G6490" s="54" t="s">
        <v>19760</v>
      </c>
      <c r="H6490" s="54" t="s">
        <v>19761</v>
      </c>
      <c r="I6490" s="43">
        <v>12</v>
      </c>
      <c r="J6490" s="44" t="str">
        <f>VLOOKUP(G6490,[1]硬件清单!$F:$F,1,0)</f>
        <v>9800106400931458</v>
      </c>
      <c r="K6490" s="44" t="s">
        <v>250</v>
      </c>
      <c r="L6490" s="44"/>
      <c r="M6490" s="45" t="s">
        <v>19762</v>
      </c>
    </row>
    <row r="6491" s="29" customFormat="1" ht="30" customHeight="1" spans="1:13">
      <c r="A6491" s="41">
        <f>IF(C6491="","",SUBTOTAL(103,$C$2:C6491))</f>
        <v>6482</v>
      </c>
      <c r="B6491" s="41">
        <v>12665</v>
      </c>
      <c r="C6491" s="54">
        <v>5852</v>
      </c>
      <c r="D6491" s="54" t="s">
        <v>45</v>
      </c>
      <c r="E6491" s="54" t="s">
        <v>1298</v>
      </c>
      <c r="F6491" s="54" t="s">
        <v>19525</v>
      </c>
      <c r="G6491" s="54" t="s">
        <v>19763</v>
      </c>
      <c r="H6491" s="54" t="s">
        <v>19764</v>
      </c>
      <c r="I6491" s="43">
        <v>12</v>
      </c>
      <c r="J6491" s="44" t="str">
        <f>VLOOKUP(G6491,[1]硬件清单!$F:$F,1,0)</f>
        <v>9800106400931464</v>
      </c>
      <c r="K6491" s="44" t="s">
        <v>250</v>
      </c>
      <c r="L6491" s="44"/>
      <c r="M6491" s="45" t="s">
        <v>19765</v>
      </c>
    </row>
    <row r="6492" s="29" customFormat="1" ht="30" customHeight="1" spans="1:13">
      <c r="A6492" s="41">
        <f>IF(C6492="","",SUBTOTAL(103,$C$2:C6492))</f>
        <v>6483</v>
      </c>
      <c r="B6492" s="41">
        <v>12666</v>
      </c>
      <c r="C6492" s="54">
        <v>5838</v>
      </c>
      <c r="D6492" s="54" t="s">
        <v>45</v>
      </c>
      <c r="E6492" s="54" t="s">
        <v>1298</v>
      </c>
      <c r="F6492" s="54" t="s">
        <v>19525</v>
      </c>
      <c r="G6492" s="54" t="s">
        <v>19766</v>
      </c>
      <c r="H6492" s="54" t="s">
        <v>19767</v>
      </c>
      <c r="I6492" s="43">
        <v>12</v>
      </c>
      <c r="J6492" s="44" t="str">
        <f>VLOOKUP(G6492,[1]硬件清单!$F:$F,1,0)</f>
        <v>9800106400931454</v>
      </c>
      <c r="K6492" s="44" t="s">
        <v>250</v>
      </c>
      <c r="L6492" s="44"/>
      <c r="M6492" s="45" t="s">
        <v>19768</v>
      </c>
    </row>
    <row r="6493" s="29" customFormat="1" ht="30" customHeight="1" spans="1:13">
      <c r="A6493" s="41">
        <f>IF(C6493="","",SUBTOTAL(103,$C$2:C6493))</f>
        <v>6484</v>
      </c>
      <c r="B6493" s="41">
        <v>12667</v>
      </c>
      <c r="C6493" s="54">
        <v>5898</v>
      </c>
      <c r="D6493" s="54" t="s">
        <v>19</v>
      </c>
      <c r="E6493" s="54" t="s">
        <v>20</v>
      </c>
      <c r="F6493" s="54" t="s">
        <v>10050</v>
      </c>
      <c r="G6493" s="54" t="s">
        <v>19769</v>
      </c>
      <c r="H6493" s="54" t="s">
        <v>19770</v>
      </c>
      <c r="I6493" s="43">
        <v>12</v>
      </c>
      <c r="J6493" s="44" t="str">
        <f>VLOOKUP(G6493,[1]硬件清单!$F:$F,1,0)</f>
        <v>210235A1G9H178000003</v>
      </c>
      <c r="K6493" s="42"/>
      <c r="L6493" s="44"/>
      <c r="M6493" s="45" t="s">
        <v>19771</v>
      </c>
    </row>
    <row r="6494" s="29" customFormat="1" ht="30" customHeight="1" spans="1:13">
      <c r="A6494" s="41">
        <f>IF(C6494="","",SUBTOTAL(103,$C$2:C6494))</f>
        <v>6485</v>
      </c>
      <c r="B6494" s="41">
        <v>12668</v>
      </c>
      <c r="C6494" s="54">
        <v>5777</v>
      </c>
      <c r="D6494" s="54" t="s">
        <v>45</v>
      </c>
      <c r="E6494" s="54" t="s">
        <v>1298</v>
      </c>
      <c r="F6494" s="54" t="s">
        <v>19525</v>
      </c>
      <c r="G6494" s="54" t="s">
        <v>19772</v>
      </c>
      <c r="H6494" s="54" t="s">
        <v>19773</v>
      </c>
      <c r="I6494" s="43">
        <v>12</v>
      </c>
      <c r="J6494" s="44" t="str">
        <f>VLOOKUP(G6494,[1]硬件清单!$F:$F,1,0)</f>
        <v>9800106400931418</v>
      </c>
      <c r="K6494" s="44" t="s">
        <v>250</v>
      </c>
      <c r="L6494" s="44"/>
      <c r="M6494" s="45" t="s">
        <v>19774</v>
      </c>
    </row>
    <row r="6495" s="29" customFormat="1" ht="30" customHeight="1" spans="1:13">
      <c r="A6495" s="41">
        <f>IF(C6495="","",SUBTOTAL(103,$C$2:C6495))</f>
        <v>6486</v>
      </c>
      <c r="B6495" s="41">
        <v>12669</v>
      </c>
      <c r="C6495" s="54">
        <v>5794</v>
      </c>
      <c r="D6495" s="54" t="s">
        <v>45</v>
      </c>
      <c r="E6495" s="54" t="s">
        <v>1298</v>
      </c>
      <c r="F6495" s="54" t="s">
        <v>4535</v>
      </c>
      <c r="G6495" s="54" t="s">
        <v>19775</v>
      </c>
      <c r="H6495" s="54" t="s">
        <v>19776</v>
      </c>
      <c r="I6495" s="43">
        <v>12</v>
      </c>
      <c r="J6495" s="44" t="str">
        <f>VLOOKUP(G6495,[1]硬件清单!$F:$F,1,0)</f>
        <v>J33GHKW</v>
      </c>
      <c r="K6495" s="44" t="s">
        <v>250</v>
      </c>
      <c r="L6495" s="44"/>
      <c r="M6495" s="45" t="s">
        <v>19777</v>
      </c>
    </row>
    <row r="6496" s="29" customFormat="1" ht="30" customHeight="1" spans="1:13">
      <c r="A6496" s="41">
        <f>IF(C6496="","",SUBTOTAL(103,$C$2:C6496))</f>
        <v>6487</v>
      </c>
      <c r="B6496" s="41">
        <v>12670</v>
      </c>
      <c r="C6496" s="54">
        <v>5793</v>
      </c>
      <c r="D6496" s="54" t="s">
        <v>45</v>
      </c>
      <c r="E6496" s="54" t="s">
        <v>1298</v>
      </c>
      <c r="F6496" s="54" t="s">
        <v>4535</v>
      </c>
      <c r="G6496" s="54" t="s">
        <v>19778</v>
      </c>
      <c r="H6496" s="54" t="s">
        <v>19779</v>
      </c>
      <c r="I6496" s="43">
        <v>12</v>
      </c>
      <c r="J6496" s="44" t="str">
        <f>VLOOKUP(G6496,[1]硬件清单!$F:$F,1,0)</f>
        <v>J33GRYW</v>
      </c>
      <c r="K6496" s="44" t="s">
        <v>250</v>
      </c>
      <c r="L6496" s="44"/>
      <c r="M6496" s="45" t="s">
        <v>19780</v>
      </c>
    </row>
    <row r="6497" s="29" customFormat="1" ht="30" customHeight="1" spans="1:13">
      <c r="A6497" s="41">
        <f>IF(C6497="","",SUBTOTAL(103,$C$2:C6497))</f>
        <v>6488</v>
      </c>
      <c r="B6497" s="41">
        <v>12671</v>
      </c>
      <c r="C6497" s="54">
        <v>5792</v>
      </c>
      <c r="D6497" s="54" t="s">
        <v>45</v>
      </c>
      <c r="E6497" s="54" t="s">
        <v>1298</v>
      </c>
      <c r="F6497" s="54" t="s">
        <v>4535</v>
      </c>
      <c r="G6497" s="54" t="s">
        <v>19781</v>
      </c>
      <c r="H6497" s="54" t="s">
        <v>19782</v>
      </c>
      <c r="I6497" s="43">
        <v>12</v>
      </c>
      <c r="J6497" s="44" t="str">
        <f>VLOOKUP(G6497,[1]硬件清单!$F:$F,1,0)</f>
        <v>J33GRYX</v>
      </c>
      <c r="K6497" s="44" t="s">
        <v>250</v>
      </c>
      <c r="L6497" s="44"/>
      <c r="M6497" s="45" t="s">
        <v>19783</v>
      </c>
    </row>
    <row r="6498" s="29" customFormat="1" ht="30" customHeight="1" spans="1:13">
      <c r="A6498" s="41">
        <f>IF(C6498="","",SUBTOTAL(103,$C$2:C6498))</f>
        <v>6489</v>
      </c>
      <c r="B6498" s="41">
        <v>12672</v>
      </c>
      <c r="C6498" s="54">
        <v>5804</v>
      </c>
      <c r="D6498" s="54" t="s">
        <v>45</v>
      </c>
      <c r="E6498" s="54" t="s">
        <v>1298</v>
      </c>
      <c r="F6498" s="54" t="s">
        <v>4535</v>
      </c>
      <c r="G6498" s="54" t="s">
        <v>19784</v>
      </c>
      <c r="H6498" s="54" t="s">
        <v>19785</v>
      </c>
      <c r="I6498" s="43">
        <v>12</v>
      </c>
      <c r="J6498" s="44" t="str">
        <f>VLOOKUP(G6498,[1]硬件清单!$F:$F,1,0)</f>
        <v>J33GTTE</v>
      </c>
      <c r="K6498" s="44" t="s">
        <v>250</v>
      </c>
      <c r="L6498" s="44"/>
      <c r="M6498" s="45" t="s">
        <v>19786</v>
      </c>
    </row>
    <row r="6499" s="29" customFormat="1" ht="30" customHeight="1" spans="1:13">
      <c r="A6499" s="41">
        <f>IF(C6499="","",SUBTOTAL(103,$C$2:C6499))</f>
        <v>6490</v>
      </c>
      <c r="B6499" s="41">
        <v>12673</v>
      </c>
      <c r="C6499" s="54">
        <v>5803</v>
      </c>
      <c r="D6499" s="54" t="s">
        <v>45</v>
      </c>
      <c r="E6499" s="54" t="s">
        <v>1298</v>
      </c>
      <c r="F6499" s="54" t="s">
        <v>4535</v>
      </c>
      <c r="G6499" s="54" t="s">
        <v>19787</v>
      </c>
      <c r="H6499" s="54" t="s">
        <v>19788</v>
      </c>
      <c r="I6499" s="43">
        <v>12</v>
      </c>
      <c r="J6499" s="44" t="str">
        <f>VLOOKUP(G6499,[1]硬件清单!$F:$F,1,0)</f>
        <v>J33GTTR</v>
      </c>
      <c r="K6499" s="44" t="s">
        <v>250</v>
      </c>
      <c r="L6499" s="44"/>
      <c r="M6499" s="45" t="s">
        <v>19789</v>
      </c>
    </row>
    <row r="6500" s="29" customFormat="1" ht="30" customHeight="1" spans="1:13">
      <c r="A6500" s="41">
        <f>IF(C6500="","",SUBTOTAL(103,$C$2:C6500))</f>
        <v>6491</v>
      </c>
      <c r="B6500" s="41">
        <v>12674</v>
      </c>
      <c r="C6500" s="54">
        <v>5796</v>
      </c>
      <c r="D6500" s="54" t="s">
        <v>45</v>
      </c>
      <c r="E6500" s="54" t="s">
        <v>1298</v>
      </c>
      <c r="F6500" s="54" t="s">
        <v>4535</v>
      </c>
      <c r="G6500" s="54" t="s">
        <v>19790</v>
      </c>
      <c r="H6500" s="54" t="s">
        <v>19791</v>
      </c>
      <c r="I6500" s="43">
        <v>12</v>
      </c>
      <c r="J6500" s="44" t="str">
        <f>VLOOKUP(G6500,[1]硬件清单!$F:$F,1,0)</f>
        <v>J33GTT7</v>
      </c>
      <c r="K6500" s="44" t="s">
        <v>250</v>
      </c>
      <c r="L6500" s="44"/>
      <c r="M6500" s="45" t="s">
        <v>19792</v>
      </c>
    </row>
    <row r="6501" s="29" customFormat="1" ht="30" customHeight="1" spans="1:13">
      <c r="A6501" s="41">
        <f>IF(C6501="","",SUBTOTAL(103,$C$2:C6501))</f>
        <v>6492</v>
      </c>
      <c r="B6501" s="41">
        <v>12675</v>
      </c>
      <c r="C6501" s="54">
        <v>5795</v>
      </c>
      <c r="D6501" s="54" t="s">
        <v>45</v>
      </c>
      <c r="E6501" s="54" t="s">
        <v>1298</v>
      </c>
      <c r="F6501" s="54" t="s">
        <v>4535</v>
      </c>
      <c r="G6501" s="54" t="s">
        <v>19793</v>
      </c>
      <c r="H6501" s="54" t="s">
        <v>19794</v>
      </c>
      <c r="I6501" s="43">
        <v>12</v>
      </c>
      <c r="J6501" s="44" t="str">
        <f>VLOOKUP(G6501,[1]硬件清单!$F:$F,1,0)</f>
        <v>J33GTRZ</v>
      </c>
      <c r="K6501" s="44" t="s">
        <v>250</v>
      </c>
      <c r="L6501" s="44"/>
      <c r="M6501" s="45" t="s">
        <v>19795</v>
      </c>
    </row>
    <row r="6502" s="29" customFormat="1" ht="30" customHeight="1" spans="1:13">
      <c r="A6502" s="41">
        <f>IF(C6502="","",SUBTOTAL(103,$C$2:C6502))</f>
        <v>6493</v>
      </c>
      <c r="B6502" s="41">
        <v>12676</v>
      </c>
      <c r="C6502" s="54">
        <v>5885</v>
      </c>
      <c r="D6502" s="54" t="s">
        <v>45</v>
      </c>
      <c r="E6502" s="54" t="s">
        <v>1298</v>
      </c>
      <c r="F6502" s="54" t="s">
        <v>19525</v>
      </c>
      <c r="G6502" s="54" t="s">
        <v>19796</v>
      </c>
      <c r="H6502" s="54" t="s">
        <v>19797</v>
      </c>
      <c r="I6502" s="43">
        <v>12</v>
      </c>
      <c r="J6502" s="44" t="str">
        <f>VLOOKUP(G6502,[1]硬件清单!$F:$F,1,0)</f>
        <v>9800106400931450</v>
      </c>
      <c r="K6502" s="44" t="s">
        <v>250</v>
      </c>
      <c r="L6502" s="44"/>
      <c r="M6502" s="45" t="s">
        <v>19798</v>
      </c>
    </row>
    <row r="6503" s="29" customFormat="1" ht="30" customHeight="1" spans="1:13">
      <c r="A6503" s="41">
        <f>IF(C6503="","",SUBTOTAL(103,$C$2:C6503))</f>
        <v>6494</v>
      </c>
      <c r="B6503" s="41">
        <v>12677</v>
      </c>
      <c r="C6503" s="54">
        <v>5884</v>
      </c>
      <c r="D6503" s="54" t="s">
        <v>45</v>
      </c>
      <c r="E6503" s="54" t="s">
        <v>1298</v>
      </c>
      <c r="F6503" s="54" t="s">
        <v>19525</v>
      </c>
      <c r="G6503" s="54" t="s">
        <v>19799</v>
      </c>
      <c r="H6503" s="54" t="s">
        <v>19800</v>
      </c>
      <c r="I6503" s="43">
        <v>12</v>
      </c>
      <c r="J6503" s="44" t="str">
        <f>VLOOKUP(G6503,[1]硬件清单!$F:$F,1,0)</f>
        <v>9800106400931431</v>
      </c>
      <c r="K6503" s="44" t="s">
        <v>250</v>
      </c>
      <c r="L6503" s="44"/>
      <c r="M6503" s="45" t="s">
        <v>19801</v>
      </c>
    </row>
    <row r="6504" s="29" customFormat="1" ht="30" customHeight="1" spans="1:13">
      <c r="A6504" s="41">
        <f>IF(C6504="","",SUBTOTAL(103,$C$2:C6504))</f>
        <v>6495</v>
      </c>
      <c r="B6504" s="41">
        <v>12678</v>
      </c>
      <c r="C6504" s="54">
        <v>5883</v>
      </c>
      <c r="D6504" s="54" t="s">
        <v>45</v>
      </c>
      <c r="E6504" s="54" t="s">
        <v>1298</v>
      </c>
      <c r="F6504" s="54" t="s">
        <v>19525</v>
      </c>
      <c r="G6504" s="54" t="s">
        <v>19802</v>
      </c>
      <c r="H6504" s="54" t="s">
        <v>19803</v>
      </c>
      <c r="I6504" s="43">
        <v>12</v>
      </c>
      <c r="J6504" s="44" t="str">
        <f>VLOOKUP(G6504,[1]硬件清单!$F:$F,1,0)</f>
        <v>9800106400931424</v>
      </c>
      <c r="K6504" s="44" t="s">
        <v>250</v>
      </c>
      <c r="L6504" s="44"/>
      <c r="M6504" s="45" t="s">
        <v>19804</v>
      </c>
    </row>
    <row r="6505" s="29" customFormat="1" ht="30" customHeight="1" spans="1:13">
      <c r="A6505" s="41">
        <f>IF(C6505="","",SUBTOTAL(103,$C$2:C6505))</f>
        <v>6496</v>
      </c>
      <c r="B6505" s="41">
        <v>12679</v>
      </c>
      <c r="C6505" s="54">
        <v>5882</v>
      </c>
      <c r="D6505" s="54" t="s">
        <v>45</v>
      </c>
      <c r="E6505" s="54" t="s">
        <v>1298</v>
      </c>
      <c r="F6505" s="54" t="s">
        <v>19525</v>
      </c>
      <c r="G6505" s="54" t="s">
        <v>19805</v>
      </c>
      <c r="H6505" s="54" t="s">
        <v>19806</v>
      </c>
      <c r="I6505" s="43">
        <v>12</v>
      </c>
      <c r="J6505" s="44" t="str">
        <f>VLOOKUP(G6505,[1]硬件清单!$F:$F,1,0)</f>
        <v>9800106400931455</v>
      </c>
      <c r="K6505" s="44" t="s">
        <v>250</v>
      </c>
      <c r="L6505" s="44"/>
      <c r="M6505" s="45" t="s">
        <v>19807</v>
      </c>
    </row>
    <row r="6506" s="29" customFormat="1" ht="30" customHeight="1" spans="1:13">
      <c r="A6506" s="41">
        <f>IF(C6506="","",SUBTOTAL(103,$C$2:C6506))</f>
        <v>6497</v>
      </c>
      <c r="B6506" s="41">
        <v>12680</v>
      </c>
      <c r="C6506" s="54">
        <v>5881</v>
      </c>
      <c r="D6506" s="54" t="s">
        <v>45</v>
      </c>
      <c r="E6506" s="54" t="s">
        <v>1298</v>
      </c>
      <c r="F6506" s="54" t="s">
        <v>19525</v>
      </c>
      <c r="G6506" s="54" t="s">
        <v>19808</v>
      </c>
      <c r="H6506" s="54" t="s">
        <v>19809</v>
      </c>
      <c r="I6506" s="43">
        <v>12</v>
      </c>
      <c r="J6506" s="44" t="str">
        <f>VLOOKUP(G6506,[1]硬件清单!$F:$F,1,0)</f>
        <v>9800106400931429</v>
      </c>
      <c r="K6506" s="44" t="s">
        <v>250</v>
      </c>
      <c r="L6506" s="44"/>
      <c r="M6506" s="45" t="s">
        <v>19810</v>
      </c>
    </row>
    <row r="6507" s="29" customFormat="1" ht="30" customHeight="1" spans="1:13">
      <c r="A6507" s="41">
        <f>IF(C6507="","",SUBTOTAL(103,$C$2:C6507))</f>
        <v>6498</v>
      </c>
      <c r="B6507" s="41">
        <v>12681</v>
      </c>
      <c r="C6507" s="54">
        <v>5880</v>
      </c>
      <c r="D6507" s="54" t="s">
        <v>45</v>
      </c>
      <c r="E6507" s="54" t="s">
        <v>1298</v>
      </c>
      <c r="F6507" s="54" t="s">
        <v>19525</v>
      </c>
      <c r="G6507" s="54" t="s">
        <v>19811</v>
      </c>
      <c r="H6507" s="54" t="s">
        <v>19812</v>
      </c>
      <c r="I6507" s="43">
        <v>12</v>
      </c>
      <c r="J6507" s="44" t="str">
        <f>VLOOKUP(G6507,[1]硬件清单!$F:$F,1,0)</f>
        <v>9800106400931459</v>
      </c>
      <c r="K6507" s="44" t="s">
        <v>250</v>
      </c>
      <c r="L6507" s="44"/>
      <c r="M6507" s="45" t="s">
        <v>19813</v>
      </c>
    </row>
    <row r="6508" s="29" customFormat="1" ht="30" customHeight="1" spans="1:13">
      <c r="A6508" s="41">
        <f>IF(C6508="","",SUBTOTAL(103,$C$2:C6508))</f>
        <v>6499</v>
      </c>
      <c r="B6508" s="41">
        <v>12682</v>
      </c>
      <c r="C6508" s="54">
        <v>5897</v>
      </c>
      <c r="D6508" s="54" t="s">
        <v>19</v>
      </c>
      <c r="E6508" s="54" t="s">
        <v>20</v>
      </c>
      <c r="F6508" s="54" t="s">
        <v>10050</v>
      </c>
      <c r="G6508" s="54" t="s">
        <v>19814</v>
      </c>
      <c r="H6508" s="54" t="s">
        <v>19815</v>
      </c>
      <c r="I6508" s="43">
        <v>12</v>
      </c>
      <c r="J6508" s="44" t="str">
        <f>VLOOKUP(G6508,[1]硬件清单!$F:$F,1,0)</f>
        <v>210235A1G9H178000005</v>
      </c>
      <c r="K6508" s="42"/>
      <c r="L6508" s="44"/>
      <c r="M6508" s="45" t="s">
        <v>19816</v>
      </c>
    </row>
    <row r="6509" s="29" customFormat="1" ht="30" customHeight="1" spans="1:13">
      <c r="A6509" s="41">
        <f>IF(C6509="","",SUBTOTAL(103,$C$2:C6509))</f>
        <v>6500</v>
      </c>
      <c r="B6509" s="41">
        <v>12683</v>
      </c>
      <c r="C6509" s="54">
        <v>5785</v>
      </c>
      <c r="D6509" s="54" t="s">
        <v>45</v>
      </c>
      <c r="E6509" s="54" t="s">
        <v>1298</v>
      </c>
      <c r="F6509" s="54" t="s">
        <v>4535</v>
      </c>
      <c r="G6509" s="54" t="s">
        <v>19817</v>
      </c>
      <c r="H6509" s="54" t="s">
        <v>19818</v>
      </c>
      <c r="I6509" s="43">
        <v>12</v>
      </c>
      <c r="J6509" s="44" t="str">
        <f>VLOOKUP(G6509,[1]硬件清单!$F:$F,1,0)</f>
        <v>J33GRX4</v>
      </c>
      <c r="K6509" s="44" t="s">
        <v>250</v>
      </c>
      <c r="L6509" s="44"/>
      <c r="M6509" s="45" t="s">
        <v>19819</v>
      </c>
    </row>
    <row r="6510" s="29" customFormat="1" ht="30" customHeight="1" spans="1:13">
      <c r="A6510" s="41">
        <f>IF(C6510="","",SUBTOTAL(103,$C$2:C6510))</f>
        <v>6501</v>
      </c>
      <c r="B6510" s="41">
        <v>12684</v>
      </c>
      <c r="C6510" s="54">
        <v>5784</v>
      </c>
      <c r="D6510" s="54" t="s">
        <v>45</v>
      </c>
      <c r="E6510" s="54" t="s">
        <v>1298</v>
      </c>
      <c r="F6510" s="54" t="s">
        <v>4535</v>
      </c>
      <c r="G6510" s="54" t="s">
        <v>19820</v>
      </c>
      <c r="H6510" s="54" t="s">
        <v>19821</v>
      </c>
      <c r="I6510" s="43">
        <v>12</v>
      </c>
      <c r="J6510" s="44" t="str">
        <f>VLOOKUP(G6510,[1]硬件清单!$F:$F,1,0)</f>
        <v>J33GRX3</v>
      </c>
      <c r="K6510" s="44" t="s">
        <v>250</v>
      </c>
      <c r="L6510" s="44"/>
      <c r="M6510" s="45" t="s">
        <v>19822</v>
      </c>
    </row>
    <row r="6511" s="29" customFormat="1" ht="30" customHeight="1" spans="1:13">
      <c r="A6511" s="41">
        <f>IF(C6511="","",SUBTOTAL(103,$C$2:C6511))</f>
        <v>6502</v>
      </c>
      <c r="B6511" s="41">
        <v>12685</v>
      </c>
      <c r="C6511" s="54">
        <v>5791</v>
      </c>
      <c r="D6511" s="54" t="s">
        <v>45</v>
      </c>
      <c r="E6511" s="54" t="s">
        <v>1298</v>
      </c>
      <c r="F6511" s="54" t="s">
        <v>4535</v>
      </c>
      <c r="G6511" s="54" t="s">
        <v>19823</v>
      </c>
      <c r="H6511" s="54" t="s">
        <v>19824</v>
      </c>
      <c r="I6511" s="43">
        <v>12</v>
      </c>
      <c r="J6511" s="44" t="str">
        <f>VLOOKUP(G6511,[1]硬件清单!$F:$F,1,0)</f>
        <v>J33GRX0</v>
      </c>
      <c r="K6511" s="44" t="s">
        <v>250</v>
      </c>
      <c r="L6511" s="44"/>
      <c r="M6511" s="45" t="s">
        <v>19825</v>
      </c>
    </row>
    <row r="6512" s="29" customFormat="1" ht="30" customHeight="1" spans="1:13">
      <c r="A6512" s="41">
        <f>IF(C6512="","",SUBTOTAL(103,$C$2:C6512))</f>
        <v>6503</v>
      </c>
      <c r="B6512" s="41">
        <v>12686</v>
      </c>
      <c r="C6512" s="54">
        <v>5790</v>
      </c>
      <c r="D6512" s="54" t="s">
        <v>45</v>
      </c>
      <c r="E6512" s="54" t="s">
        <v>1298</v>
      </c>
      <c r="F6512" s="54" t="s">
        <v>4535</v>
      </c>
      <c r="G6512" s="54" t="s">
        <v>19826</v>
      </c>
      <c r="H6512" s="54" t="s">
        <v>19827</v>
      </c>
      <c r="I6512" s="43">
        <v>12</v>
      </c>
      <c r="J6512" s="44" t="str">
        <f>VLOOKUP(G6512,[1]硬件清单!$F:$F,1,0)</f>
        <v>J33GRWV</v>
      </c>
      <c r="K6512" s="44" t="s">
        <v>250</v>
      </c>
      <c r="L6512" s="44"/>
      <c r="M6512" s="45" t="s">
        <v>19828</v>
      </c>
    </row>
    <row r="6513" s="29" customFormat="1" ht="30" customHeight="1" spans="1:13">
      <c r="A6513" s="41">
        <f>IF(C6513="","",SUBTOTAL(103,$C$2:C6513))</f>
        <v>6504</v>
      </c>
      <c r="B6513" s="41">
        <v>12687</v>
      </c>
      <c r="C6513" s="54">
        <v>5789</v>
      </c>
      <c r="D6513" s="54" t="s">
        <v>45</v>
      </c>
      <c r="E6513" s="54" t="s">
        <v>1298</v>
      </c>
      <c r="F6513" s="54" t="s">
        <v>4535</v>
      </c>
      <c r="G6513" s="54" t="s">
        <v>19829</v>
      </c>
      <c r="H6513" s="54" t="s">
        <v>19830</v>
      </c>
      <c r="I6513" s="43">
        <v>12</v>
      </c>
      <c r="J6513" s="44" t="str">
        <f>VLOOKUP(G6513,[1]硬件清单!$F:$F,1,0)</f>
        <v>J33GRWY</v>
      </c>
      <c r="K6513" s="44" t="s">
        <v>250</v>
      </c>
      <c r="L6513" s="44"/>
      <c r="M6513" s="45" t="s">
        <v>19831</v>
      </c>
    </row>
    <row r="6514" s="29" customFormat="1" ht="30" customHeight="1" spans="1:13">
      <c r="A6514" s="41">
        <f>IF(C6514="","",SUBTOTAL(103,$C$2:C6514))</f>
        <v>6505</v>
      </c>
      <c r="B6514" s="41">
        <v>12688</v>
      </c>
      <c r="C6514" s="54">
        <v>5788</v>
      </c>
      <c r="D6514" s="54" t="s">
        <v>45</v>
      </c>
      <c r="E6514" s="54" t="s">
        <v>1298</v>
      </c>
      <c r="F6514" s="54" t="s">
        <v>4535</v>
      </c>
      <c r="G6514" s="54" t="s">
        <v>19832</v>
      </c>
      <c r="H6514" s="54" t="s">
        <v>19833</v>
      </c>
      <c r="I6514" s="43">
        <v>12</v>
      </c>
      <c r="J6514" s="44" t="str">
        <f>VLOOKUP(G6514,[1]硬件清单!$F:$F,1,0)</f>
        <v>J33GRWZ</v>
      </c>
      <c r="K6514" s="44" t="s">
        <v>250</v>
      </c>
      <c r="L6514" s="44"/>
      <c r="M6514" s="45" t="s">
        <v>19834</v>
      </c>
    </row>
    <row r="6515" s="29" customFormat="1" ht="30" customHeight="1" spans="1:13">
      <c r="A6515" s="41">
        <f>IF(C6515="","",SUBTOTAL(103,$C$2:C6515))</f>
        <v>6506</v>
      </c>
      <c r="B6515" s="41">
        <v>12689</v>
      </c>
      <c r="C6515" s="54">
        <v>5787</v>
      </c>
      <c r="D6515" s="54" t="s">
        <v>45</v>
      </c>
      <c r="E6515" s="54" t="s">
        <v>1298</v>
      </c>
      <c r="F6515" s="54" t="s">
        <v>4535</v>
      </c>
      <c r="G6515" s="54" t="s">
        <v>19835</v>
      </c>
      <c r="H6515" s="54" t="s">
        <v>19836</v>
      </c>
      <c r="I6515" s="43">
        <v>12</v>
      </c>
      <c r="J6515" s="44" t="str">
        <f>VLOOKUP(G6515,[1]硬件清单!$F:$F,1,0)</f>
        <v>J33GRWW</v>
      </c>
      <c r="K6515" s="44" t="s">
        <v>250</v>
      </c>
      <c r="L6515" s="44"/>
      <c r="M6515" s="45" t="s">
        <v>19837</v>
      </c>
    </row>
    <row r="6516" s="29" customFormat="1" ht="30" customHeight="1" spans="1:13">
      <c r="A6516" s="41">
        <f>IF(C6516="","",SUBTOTAL(103,$C$2:C6516))</f>
        <v>6507</v>
      </c>
      <c r="B6516" s="41">
        <v>12690</v>
      </c>
      <c r="C6516" s="54">
        <v>5786</v>
      </c>
      <c r="D6516" s="54" t="s">
        <v>45</v>
      </c>
      <c r="E6516" s="54" t="s">
        <v>1298</v>
      </c>
      <c r="F6516" s="54" t="s">
        <v>4535</v>
      </c>
      <c r="G6516" s="54" t="s">
        <v>19838</v>
      </c>
      <c r="H6516" s="54" t="s">
        <v>19839</v>
      </c>
      <c r="I6516" s="43">
        <v>12</v>
      </c>
      <c r="J6516" s="44" t="str">
        <f>VLOOKUP(G6516,[1]硬件清单!$F:$F,1,0)</f>
        <v>J33GRWX</v>
      </c>
      <c r="K6516" s="44" t="s">
        <v>250</v>
      </c>
      <c r="L6516" s="44"/>
      <c r="M6516" s="45" t="s">
        <v>19840</v>
      </c>
    </row>
    <row r="6517" s="29" customFormat="1" ht="30" customHeight="1" spans="1:13">
      <c r="A6517" s="41">
        <f>IF(C6517="","",SUBTOTAL(103,$C$2:C6517))</f>
        <v>6508</v>
      </c>
      <c r="B6517" s="41">
        <v>12691</v>
      </c>
      <c r="C6517" s="54">
        <v>5873</v>
      </c>
      <c r="D6517" s="54" t="s">
        <v>45</v>
      </c>
      <c r="E6517" s="54" t="s">
        <v>1298</v>
      </c>
      <c r="F6517" s="54" t="s">
        <v>4535</v>
      </c>
      <c r="G6517" s="54" t="s">
        <v>19841</v>
      </c>
      <c r="H6517" s="54" t="s">
        <v>19842</v>
      </c>
      <c r="I6517" s="43">
        <v>12</v>
      </c>
      <c r="J6517" s="44" t="str">
        <f>VLOOKUP(G6517,[1]硬件清单!$F:$F,1,0)</f>
        <v>J33GRYY</v>
      </c>
      <c r="K6517" s="44" t="s">
        <v>250</v>
      </c>
      <c r="L6517" s="44"/>
      <c r="M6517" s="45" t="s">
        <v>19843</v>
      </c>
    </row>
    <row r="6518" s="29" customFormat="1" ht="30" customHeight="1" spans="1:13">
      <c r="A6518" s="41">
        <f>IF(C6518="","",SUBTOTAL(103,$C$2:C6518))</f>
        <v>6509</v>
      </c>
      <c r="B6518" s="41">
        <v>12692</v>
      </c>
      <c r="C6518" s="54">
        <v>5872</v>
      </c>
      <c r="D6518" s="54" t="s">
        <v>45</v>
      </c>
      <c r="E6518" s="54" t="s">
        <v>1298</v>
      </c>
      <c r="F6518" s="54" t="s">
        <v>4535</v>
      </c>
      <c r="G6518" s="54" t="s">
        <v>19844</v>
      </c>
      <c r="H6518" s="54" t="s">
        <v>19845</v>
      </c>
      <c r="I6518" s="43">
        <v>12</v>
      </c>
      <c r="J6518" s="44" t="str">
        <f>VLOOKUP(G6518,[1]硬件清单!$F:$F,1,0)</f>
        <v>J33GRYZ</v>
      </c>
      <c r="K6518" s="44" t="s">
        <v>250</v>
      </c>
      <c r="L6518" s="44"/>
      <c r="M6518" s="45" t="s">
        <v>19846</v>
      </c>
    </row>
    <row r="6519" s="29" customFormat="1" ht="30" customHeight="1" spans="1:13">
      <c r="A6519" s="41">
        <f>IF(C6519="","",SUBTOTAL(103,$C$2:C6519))</f>
        <v>6510</v>
      </c>
      <c r="B6519" s="41">
        <v>12693</v>
      </c>
      <c r="C6519" s="54">
        <v>5871</v>
      </c>
      <c r="D6519" s="54" t="s">
        <v>45</v>
      </c>
      <c r="E6519" s="54" t="s">
        <v>1298</v>
      </c>
      <c r="F6519" s="54" t="s">
        <v>4535</v>
      </c>
      <c r="G6519" s="54" t="s">
        <v>19847</v>
      </c>
      <c r="H6519" s="54" t="s">
        <v>19848</v>
      </c>
      <c r="I6519" s="43">
        <v>12</v>
      </c>
      <c r="J6519" s="44" t="str">
        <f>VLOOKUP(G6519,[1]硬件清单!$F:$F,1,0)</f>
        <v>J33GRZ1</v>
      </c>
      <c r="K6519" s="44" t="s">
        <v>250</v>
      </c>
      <c r="L6519" s="44"/>
      <c r="M6519" s="45" t="s">
        <v>19849</v>
      </c>
    </row>
    <row r="6520" s="29" customFormat="1" ht="30" customHeight="1" spans="1:13">
      <c r="A6520" s="41">
        <f>IF(C6520="","",SUBTOTAL(103,$C$2:C6520))</f>
        <v>6511</v>
      </c>
      <c r="B6520" s="41">
        <v>12694</v>
      </c>
      <c r="C6520" s="54">
        <v>5870</v>
      </c>
      <c r="D6520" s="54" t="s">
        <v>45</v>
      </c>
      <c r="E6520" s="54" t="s">
        <v>1298</v>
      </c>
      <c r="F6520" s="54" t="s">
        <v>4535</v>
      </c>
      <c r="G6520" s="54" t="s">
        <v>19850</v>
      </c>
      <c r="H6520" s="54" t="s">
        <v>19851</v>
      </c>
      <c r="I6520" s="43">
        <v>12</v>
      </c>
      <c r="J6520" s="44" t="str">
        <f>VLOOKUP(G6520,[1]硬件清单!$F:$F,1,0)</f>
        <v>J33GRZ0</v>
      </c>
      <c r="K6520" s="44" t="s">
        <v>250</v>
      </c>
      <c r="L6520" s="44"/>
      <c r="M6520" s="45" t="s">
        <v>19852</v>
      </c>
    </row>
    <row r="6521" s="29" customFormat="1" ht="30" customHeight="1" spans="1:13">
      <c r="A6521" s="41">
        <f>IF(C6521="","",SUBTOTAL(103,$C$2:C6521))</f>
        <v>6512</v>
      </c>
      <c r="B6521" s="41">
        <v>12695</v>
      </c>
      <c r="C6521" s="54">
        <v>5894</v>
      </c>
      <c r="D6521" s="54" t="s">
        <v>19</v>
      </c>
      <c r="E6521" s="54" t="s">
        <v>20</v>
      </c>
      <c r="F6521" s="54" t="s">
        <v>10077</v>
      </c>
      <c r="G6521" s="54" t="s">
        <v>19853</v>
      </c>
      <c r="H6521" s="54" t="s">
        <v>19854</v>
      </c>
      <c r="I6521" s="43">
        <v>12</v>
      </c>
      <c r="J6521" s="44" t="str">
        <f>VLOOKUP(G6521,[1]硬件清单!$F:$F,1,0)</f>
        <v>210235A1MKH176000020</v>
      </c>
      <c r="K6521" s="42"/>
      <c r="L6521" s="44"/>
      <c r="M6521" s="45" t="s">
        <v>19855</v>
      </c>
    </row>
    <row r="6522" s="29" customFormat="1" ht="30" customHeight="1" spans="1:13">
      <c r="A6522" s="41">
        <f>IF(C6522="","",SUBTOTAL(103,$C$2:C6522))</f>
        <v>6513</v>
      </c>
      <c r="B6522" s="41">
        <v>12696</v>
      </c>
      <c r="C6522" s="54">
        <v>5893</v>
      </c>
      <c r="D6522" s="54" t="s">
        <v>19</v>
      </c>
      <c r="E6522" s="54" t="s">
        <v>20</v>
      </c>
      <c r="F6522" s="54" t="s">
        <v>10077</v>
      </c>
      <c r="G6522" s="54" t="s">
        <v>19856</v>
      </c>
      <c r="H6522" s="54" t="s">
        <v>19857</v>
      </c>
      <c r="I6522" s="43">
        <v>12</v>
      </c>
      <c r="J6522" s="44" t="str">
        <f>VLOOKUP(G6522,[1]硬件清单!$F:$F,1,0)</f>
        <v>210235A1MKH176000057</v>
      </c>
      <c r="K6522" s="42"/>
      <c r="L6522" s="44"/>
      <c r="M6522" s="45" t="s">
        <v>19858</v>
      </c>
    </row>
    <row r="6523" s="29" customFormat="1" ht="30" customHeight="1" spans="1:13">
      <c r="A6523" s="41">
        <f>IF(C6523="","",SUBTOTAL(103,$C$2:C6523))</f>
        <v>6514</v>
      </c>
      <c r="B6523" s="41">
        <v>12697</v>
      </c>
      <c r="C6523" s="54">
        <v>5779</v>
      </c>
      <c r="D6523" s="54" t="s">
        <v>45</v>
      </c>
      <c r="E6523" s="54" t="s">
        <v>1298</v>
      </c>
      <c r="F6523" s="54" t="s">
        <v>19859</v>
      </c>
      <c r="G6523" s="54" t="s">
        <v>19860</v>
      </c>
      <c r="H6523" s="54" t="s">
        <v>19861</v>
      </c>
      <c r="I6523" s="43">
        <v>12</v>
      </c>
      <c r="J6523" s="44" t="str">
        <f>VLOOKUP(G6523,[1]硬件清单!$F:$F,1,0)</f>
        <v>9800106600931680</v>
      </c>
      <c r="K6523" s="44" t="s">
        <v>250</v>
      </c>
      <c r="L6523" s="44"/>
      <c r="M6523" s="45" t="s">
        <v>19862</v>
      </c>
    </row>
    <row r="6524" s="29" customFormat="1" ht="30" customHeight="1" spans="1:13">
      <c r="A6524" s="41">
        <f>IF(C6524="","",SUBTOTAL(103,$C$2:C6524))</f>
        <v>6515</v>
      </c>
      <c r="B6524" s="41">
        <v>12698</v>
      </c>
      <c r="C6524" s="54">
        <v>5778</v>
      </c>
      <c r="D6524" s="54" t="s">
        <v>45</v>
      </c>
      <c r="E6524" s="54" t="s">
        <v>1298</v>
      </c>
      <c r="F6524" s="54" t="s">
        <v>19859</v>
      </c>
      <c r="G6524" s="54" t="s">
        <v>19863</v>
      </c>
      <c r="H6524" s="54" t="s">
        <v>19864</v>
      </c>
      <c r="I6524" s="43">
        <v>12</v>
      </c>
      <c r="J6524" s="44" t="str">
        <f>VLOOKUP(G6524,[1]硬件清单!$F:$F,1,0)</f>
        <v>9800106600931681</v>
      </c>
      <c r="K6524" s="44" t="s">
        <v>250</v>
      </c>
      <c r="L6524" s="44"/>
      <c r="M6524" s="45" t="s">
        <v>19865</v>
      </c>
    </row>
    <row r="6525" s="29" customFormat="1" ht="30" customHeight="1" spans="1:13">
      <c r="A6525" s="41">
        <f>IF(C6525="","",SUBTOTAL(103,$C$2:C6525))</f>
        <v>6516</v>
      </c>
      <c r="B6525" s="41">
        <v>12699</v>
      </c>
      <c r="C6525" s="54">
        <v>5781</v>
      </c>
      <c r="D6525" s="54" t="s">
        <v>45</v>
      </c>
      <c r="E6525" s="54" t="s">
        <v>1298</v>
      </c>
      <c r="F6525" s="54" t="s">
        <v>19859</v>
      </c>
      <c r="G6525" s="54" t="s">
        <v>19866</v>
      </c>
      <c r="H6525" s="54" t="s">
        <v>19867</v>
      </c>
      <c r="I6525" s="43">
        <v>12</v>
      </c>
      <c r="J6525" s="44" t="str">
        <f>VLOOKUP(G6525,[1]硬件清单!$F:$F,1,0)</f>
        <v>9800106600931683</v>
      </c>
      <c r="K6525" s="44" t="s">
        <v>250</v>
      </c>
      <c r="L6525" s="44"/>
      <c r="M6525" s="45" t="s">
        <v>19868</v>
      </c>
    </row>
    <row r="6526" s="29" customFormat="1" ht="30" customHeight="1" spans="1:13">
      <c r="A6526" s="41">
        <f>IF(C6526="","",SUBTOTAL(103,$C$2:C6526))</f>
        <v>6517</v>
      </c>
      <c r="B6526" s="41">
        <v>12700</v>
      </c>
      <c r="C6526" s="54">
        <v>5780</v>
      </c>
      <c r="D6526" s="54" t="s">
        <v>45</v>
      </c>
      <c r="E6526" s="54" t="s">
        <v>1298</v>
      </c>
      <c r="F6526" s="54" t="s">
        <v>19859</v>
      </c>
      <c r="G6526" s="54" t="s">
        <v>19869</v>
      </c>
      <c r="H6526" s="54" t="s">
        <v>19870</v>
      </c>
      <c r="I6526" s="43">
        <v>12</v>
      </c>
      <c r="J6526" s="44" t="str">
        <f>VLOOKUP(G6526,[1]硬件清单!$F:$F,1,0)</f>
        <v>9800106600931682</v>
      </c>
      <c r="K6526" s="44" t="s">
        <v>250</v>
      </c>
      <c r="L6526" s="44"/>
      <c r="M6526" s="45" t="s">
        <v>19871</v>
      </c>
    </row>
    <row r="6527" s="29" customFormat="1" ht="30" customHeight="1" spans="1:13">
      <c r="A6527" s="41">
        <f>IF(C6527="","",SUBTOTAL(103,$C$2:C6527))</f>
        <v>6518</v>
      </c>
      <c r="B6527" s="41">
        <v>12701</v>
      </c>
      <c r="C6527" s="54">
        <v>5783</v>
      </c>
      <c r="D6527" s="54" t="s">
        <v>45</v>
      </c>
      <c r="E6527" s="54" t="s">
        <v>1298</v>
      </c>
      <c r="F6527" s="54" t="s">
        <v>19872</v>
      </c>
      <c r="G6527" s="54" t="s">
        <v>19873</v>
      </c>
      <c r="H6527" s="54" t="s">
        <v>19874</v>
      </c>
      <c r="I6527" s="43">
        <v>12</v>
      </c>
      <c r="J6527" s="44" t="str">
        <f>VLOOKUP(G6527,[1]硬件清单!$F:$F,1,0)</f>
        <v>9800075800932174</v>
      </c>
      <c r="K6527" s="44" t="s">
        <v>250</v>
      </c>
      <c r="L6527" s="44"/>
      <c r="M6527" s="45" t="s">
        <v>19875</v>
      </c>
    </row>
    <row r="6528" s="29" customFormat="1" ht="30" customHeight="1" spans="1:13">
      <c r="A6528" s="41">
        <f>IF(C6528="","",SUBTOTAL(103,$C$2:C6528))</f>
        <v>6519</v>
      </c>
      <c r="B6528" s="41">
        <v>12702</v>
      </c>
      <c r="C6528" s="54">
        <v>5782</v>
      </c>
      <c r="D6528" s="54" t="s">
        <v>45</v>
      </c>
      <c r="E6528" s="54" t="s">
        <v>1298</v>
      </c>
      <c r="F6528" s="54" t="s">
        <v>19872</v>
      </c>
      <c r="G6528" s="54" t="s">
        <v>19876</v>
      </c>
      <c r="H6528" s="54" t="s">
        <v>19877</v>
      </c>
      <c r="I6528" s="43">
        <v>12</v>
      </c>
      <c r="J6528" s="44" t="str">
        <f>VLOOKUP(G6528,[1]硬件清单!$F:$F,1,0)</f>
        <v>9800075800932175</v>
      </c>
      <c r="K6528" s="44" t="s">
        <v>250</v>
      </c>
      <c r="L6528" s="44"/>
      <c r="M6528" s="45" t="s">
        <v>19878</v>
      </c>
    </row>
    <row r="6529" s="29" customFormat="1" ht="30" customHeight="1" spans="1:13">
      <c r="A6529" s="41">
        <f>IF(C6529="","",SUBTOTAL(103,$C$2:C6529))</f>
        <v>6520</v>
      </c>
      <c r="B6529" s="41">
        <v>5711</v>
      </c>
      <c r="C6529" s="55">
        <v>13071</v>
      </c>
      <c r="D6529" s="55" t="s">
        <v>65</v>
      </c>
      <c r="E6529" s="55" t="s">
        <v>901</v>
      </c>
      <c r="F6529" s="56" t="s">
        <v>19879</v>
      </c>
      <c r="G6529" s="54" t="s">
        <v>19880</v>
      </c>
      <c r="H6529" s="54" t="s">
        <v>19881</v>
      </c>
      <c r="I6529" s="43">
        <v>12</v>
      </c>
      <c r="J6529" s="44" t="str">
        <f>VLOOKUP(G6529,[1]硬件清单!$F:$F,1,0)</f>
        <v>0010F37F2DE0</v>
      </c>
      <c r="K6529" s="43"/>
      <c r="L6529" s="44"/>
      <c r="M6529" s="45" t="s">
        <v>19882</v>
      </c>
    </row>
    <row r="6530" s="29" customFormat="1" ht="30" customHeight="1" spans="1:13">
      <c r="A6530" s="41">
        <f>IF(C6530="","",SUBTOTAL(103,$C$2:C6530))</f>
        <v>6521</v>
      </c>
      <c r="B6530" s="41">
        <v>5712</v>
      </c>
      <c r="C6530" s="55">
        <v>13072</v>
      </c>
      <c r="D6530" s="55" t="s">
        <v>65</v>
      </c>
      <c r="E6530" s="55" t="s">
        <v>901</v>
      </c>
      <c r="F6530" s="55" t="s">
        <v>19883</v>
      </c>
      <c r="G6530" s="54" t="s">
        <v>19884</v>
      </c>
      <c r="H6530" s="54" t="s">
        <v>19885</v>
      </c>
      <c r="I6530" s="43">
        <v>12</v>
      </c>
      <c r="J6530" s="44" t="str">
        <f>VLOOKUP(G6530,[1]硬件清单!$F:$F,1,0)</f>
        <v>0010F371C26C</v>
      </c>
      <c r="K6530" s="43"/>
      <c r="L6530" s="44"/>
      <c r="M6530" s="45" t="s">
        <v>19886</v>
      </c>
    </row>
    <row r="6531" s="29" customFormat="1" ht="30" customHeight="1" spans="1:13">
      <c r="A6531" s="41">
        <f>IF(C6531="","",SUBTOTAL(103,$C$2:C6531))</f>
        <v>6522</v>
      </c>
      <c r="B6531" s="41">
        <v>5713</v>
      </c>
      <c r="C6531" s="55">
        <v>13052</v>
      </c>
      <c r="D6531" s="55" t="s">
        <v>65</v>
      </c>
      <c r="E6531" s="55" t="s">
        <v>96</v>
      </c>
      <c r="F6531" s="56" t="s">
        <v>19887</v>
      </c>
      <c r="G6531" s="54" t="s">
        <v>19888</v>
      </c>
      <c r="H6531" s="54" t="s">
        <v>19889</v>
      </c>
      <c r="I6531" s="43">
        <v>12</v>
      </c>
      <c r="J6531" s="44" t="str">
        <f>VLOOKUP(G6531,[1]硬件清单!$F:$F,1,0)</f>
        <v>0010F36FBAD82800</v>
      </c>
      <c r="K6531" s="43"/>
      <c r="L6531" s="44"/>
      <c r="M6531" s="45" t="s">
        <v>19890</v>
      </c>
    </row>
    <row r="6532" s="29" customFormat="1" ht="30" customHeight="1" spans="1:13">
      <c r="A6532" s="41">
        <f>IF(C6532="","",SUBTOTAL(103,$C$2:C6532))</f>
        <v>6523</v>
      </c>
      <c r="B6532" s="41">
        <v>5714</v>
      </c>
      <c r="C6532" s="55">
        <v>13053</v>
      </c>
      <c r="D6532" s="55" t="s">
        <v>65</v>
      </c>
      <c r="E6532" s="55" t="s">
        <v>96</v>
      </c>
      <c r="F6532" s="55" t="s">
        <v>19891</v>
      </c>
      <c r="G6532" s="54" t="s">
        <v>19892</v>
      </c>
      <c r="H6532" s="54" t="s">
        <v>19893</v>
      </c>
      <c r="I6532" s="43">
        <v>12</v>
      </c>
      <c r="J6532" s="44" t="str">
        <f>VLOOKUP(G6532,[1]硬件清单!$F:$F,1,0)</f>
        <v>0010F36FBAD42800</v>
      </c>
      <c r="K6532" s="43"/>
      <c r="L6532" s="44"/>
      <c r="M6532" s="45" t="s">
        <v>19894</v>
      </c>
    </row>
    <row r="6533" s="29" customFormat="1" ht="30" customHeight="1" spans="1:13">
      <c r="A6533" s="41">
        <f>IF(C6533="","",SUBTOTAL(103,$C$2:C6533))</f>
        <v>6524</v>
      </c>
      <c r="B6533" s="41">
        <v>6099</v>
      </c>
      <c r="C6533" s="55">
        <v>7632</v>
      </c>
      <c r="D6533" s="55" t="s">
        <v>19</v>
      </c>
      <c r="E6533" s="55" t="s">
        <v>34</v>
      </c>
      <c r="F6533" s="56" t="s">
        <v>19895</v>
      </c>
      <c r="G6533" s="54" t="s">
        <v>19896</v>
      </c>
      <c r="H6533" s="54" t="s">
        <v>19897</v>
      </c>
      <c r="I6533" s="43">
        <v>12</v>
      </c>
      <c r="J6533" s="44" t="str">
        <f>VLOOKUP(G6533,[1]硬件清单!$F:$F,1,0)</f>
        <v>SM2014050037</v>
      </c>
      <c r="K6533" s="44"/>
      <c r="L6533" s="44"/>
      <c r="M6533" s="45" t="s">
        <v>19898</v>
      </c>
    </row>
    <row r="6534" s="29" customFormat="1" ht="30" customHeight="1" spans="1:13">
      <c r="A6534" s="41">
        <f>IF(C6534="","",SUBTOTAL(103,$C$2:C6534))</f>
        <v>6525</v>
      </c>
      <c r="B6534" s="41">
        <v>6249</v>
      </c>
      <c r="C6534" s="55">
        <v>7114</v>
      </c>
      <c r="D6534" s="55" t="s">
        <v>45</v>
      </c>
      <c r="E6534" s="55" t="s">
        <v>1298</v>
      </c>
      <c r="F6534" s="55" t="s">
        <v>19899</v>
      </c>
      <c r="G6534" s="54" t="s">
        <v>19900</v>
      </c>
      <c r="H6534" s="54" t="s">
        <v>19901</v>
      </c>
      <c r="I6534" s="43">
        <v>12</v>
      </c>
      <c r="J6534" s="44" t="str">
        <f>VLOOKUP(G6534,[1]硬件清单!$F:$F,1,0)</f>
        <v>2102310NPS10F2000001/21S401736010F2000004</v>
      </c>
      <c r="K6534" s="43"/>
      <c r="L6534" s="44"/>
      <c r="M6534" s="45" t="s">
        <v>19902</v>
      </c>
    </row>
    <row r="6535" ht="30" customHeight="1" spans="1:13">
      <c r="A6535" s="41">
        <f>IF(C6535="","",SUBTOTAL(103,$C$2:C6535))</f>
        <v>6526</v>
      </c>
      <c r="B6535" s="57">
        <v>61</v>
      </c>
      <c r="C6535" s="58" t="s">
        <v>19903</v>
      </c>
      <c r="D6535" s="59" t="s">
        <v>45</v>
      </c>
      <c r="E6535" s="55" t="s">
        <v>19904</v>
      </c>
      <c r="F6535" s="55" t="s">
        <v>19905</v>
      </c>
      <c r="G6535" s="54" t="s">
        <v>19906</v>
      </c>
      <c r="H6535" s="54" t="s">
        <v>19907</v>
      </c>
      <c r="I6535" s="43">
        <v>12</v>
      </c>
      <c r="J6535" s="44" t="str">
        <f>VLOOKUP(G6535,[1]硬件清单!$F:$F,1,0)</f>
        <v>210235A2CR6211F000CV</v>
      </c>
      <c r="K6535" s="60"/>
      <c r="L6535" s="44"/>
      <c r="M6535" s="45" t="s">
        <v>19908</v>
      </c>
    </row>
    <row r="6536" ht="30" customHeight="1" spans="1:13">
      <c r="A6536" s="41">
        <f>IF(C6536="","",SUBTOTAL(103,$C$2:C6536))</f>
        <v>6527</v>
      </c>
      <c r="B6536" s="57">
        <v>62</v>
      </c>
      <c r="C6536" s="58" t="s">
        <v>19909</v>
      </c>
      <c r="D6536" s="59" t="s">
        <v>45</v>
      </c>
      <c r="E6536" s="55" t="s">
        <v>19904</v>
      </c>
      <c r="F6536" s="55" t="s">
        <v>19905</v>
      </c>
      <c r="G6536" s="54" t="s">
        <v>19910</v>
      </c>
      <c r="H6536" s="54" t="s">
        <v>19911</v>
      </c>
      <c r="I6536" s="43">
        <v>12</v>
      </c>
      <c r="J6536" s="44" t="str">
        <f>VLOOKUP(G6536,[1]硬件清单!$F:$F,1,0)</f>
        <v>210235A2CR6211F000D4</v>
      </c>
      <c r="K6536" s="60"/>
      <c r="L6536" s="44"/>
      <c r="M6536" s="45" t="s">
        <v>19912</v>
      </c>
    </row>
    <row r="6537" ht="30" customHeight="1" spans="1:13">
      <c r="A6537" s="41">
        <f>IF(C6537="","",SUBTOTAL(103,$C$2:C6537))</f>
        <v>6528</v>
      </c>
      <c r="B6537" s="57">
        <v>63</v>
      </c>
      <c r="C6537" s="58" t="s">
        <v>19913</v>
      </c>
      <c r="D6537" s="59" t="s">
        <v>45</v>
      </c>
      <c r="E6537" s="55" t="s">
        <v>19904</v>
      </c>
      <c r="F6537" s="55" t="s">
        <v>19905</v>
      </c>
      <c r="G6537" s="54" t="s">
        <v>19914</v>
      </c>
      <c r="H6537" s="54" t="s">
        <v>19915</v>
      </c>
      <c r="I6537" s="43">
        <v>12</v>
      </c>
      <c r="J6537" s="44" t="str">
        <f>VLOOKUP(G6537,[1]硬件清单!$F:$F,1,0)</f>
        <v>210235A2CR6211F000D3</v>
      </c>
      <c r="K6537" s="60"/>
      <c r="L6537" s="44"/>
      <c r="M6537" s="45" t="s">
        <v>19916</v>
      </c>
    </row>
    <row r="6538" ht="30" customHeight="1" spans="1:13">
      <c r="A6538" s="41">
        <f>IF(C6538="","",SUBTOTAL(103,$C$2:C6538))</f>
        <v>6529</v>
      </c>
      <c r="B6538" s="57">
        <v>64</v>
      </c>
      <c r="C6538" s="58" t="s">
        <v>19917</v>
      </c>
      <c r="D6538" s="59" t="s">
        <v>45</v>
      </c>
      <c r="E6538" s="55" t="s">
        <v>19904</v>
      </c>
      <c r="F6538" s="55" t="s">
        <v>19905</v>
      </c>
      <c r="G6538" s="54" t="s">
        <v>19918</v>
      </c>
      <c r="H6538" s="54" t="s">
        <v>19919</v>
      </c>
      <c r="I6538" s="43">
        <v>12</v>
      </c>
      <c r="J6538" s="44" t="str">
        <f>VLOOKUP(G6538,[1]硬件清单!$F:$F,1,0)</f>
        <v>210235A2CR6211F000C2</v>
      </c>
      <c r="K6538" s="60"/>
      <c r="L6538" s="44"/>
      <c r="M6538" s="45" t="s">
        <v>19920</v>
      </c>
    </row>
    <row r="6539" ht="30" customHeight="1" spans="1:13">
      <c r="A6539" s="41">
        <f>IF(C6539="","",SUBTOTAL(103,$C$2:C6539))</f>
        <v>6530</v>
      </c>
      <c r="B6539" s="57">
        <v>65</v>
      </c>
      <c r="C6539" s="58" t="s">
        <v>19921</v>
      </c>
      <c r="D6539" s="59" t="s">
        <v>45</v>
      </c>
      <c r="E6539" s="55" t="s">
        <v>19904</v>
      </c>
      <c r="F6539" s="55" t="s">
        <v>19905</v>
      </c>
      <c r="G6539" s="54" t="s">
        <v>19922</v>
      </c>
      <c r="H6539" s="54" t="s">
        <v>19923</v>
      </c>
      <c r="I6539" s="43">
        <v>12</v>
      </c>
      <c r="J6539" s="44" t="str">
        <f>VLOOKUP(G6539,[1]硬件清单!$F:$F,1,0)</f>
        <v>210235A2CR6211F000D2</v>
      </c>
      <c r="K6539" s="60"/>
      <c r="L6539" s="44"/>
      <c r="M6539" s="45" t="s">
        <v>19924</v>
      </c>
    </row>
    <row r="6540" ht="30" customHeight="1" spans="1:13">
      <c r="A6540" s="41">
        <f>IF(C6540="","",SUBTOTAL(103,$C$2:C6540))</f>
        <v>6531</v>
      </c>
      <c r="B6540" s="57">
        <v>66</v>
      </c>
      <c r="C6540" s="58" t="s">
        <v>19925</v>
      </c>
      <c r="D6540" s="59" t="s">
        <v>45</v>
      </c>
      <c r="E6540" s="55" t="s">
        <v>19904</v>
      </c>
      <c r="F6540" s="55" t="s">
        <v>19905</v>
      </c>
      <c r="G6540" s="54" t="s">
        <v>19926</v>
      </c>
      <c r="H6540" s="54" t="s">
        <v>19927</v>
      </c>
      <c r="I6540" s="43">
        <v>12</v>
      </c>
      <c r="J6540" s="44" t="str">
        <f>VLOOKUP(G6540,[1]硬件清单!$F:$F,1,0)</f>
        <v>210235A2CR6211F000D1</v>
      </c>
      <c r="K6540" s="60"/>
      <c r="L6540" s="44"/>
      <c r="M6540" s="45" t="s">
        <v>19928</v>
      </c>
    </row>
    <row r="6541" ht="30" customHeight="1" spans="1:13">
      <c r="A6541" s="41">
        <f>IF(C6541="","",SUBTOTAL(103,$C$2:C6541))</f>
        <v>6532</v>
      </c>
      <c r="B6541" s="57">
        <v>67</v>
      </c>
      <c r="C6541" s="58" t="s">
        <v>19929</v>
      </c>
      <c r="D6541" s="59" t="s">
        <v>45</v>
      </c>
      <c r="E6541" s="55" t="s">
        <v>19904</v>
      </c>
      <c r="F6541" s="55" t="s">
        <v>19905</v>
      </c>
      <c r="G6541" s="54" t="s">
        <v>19930</v>
      </c>
      <c r="H6541" s="54" t="s">
        <v>19931</v>
      </c>
      <c r="I6541" s="43">
        <v>12</v>
      </c>
      <c r="J6541" s="44" t="str">
        <f>VLOOKUP(G6541,[1]硬件清单!$F:$F,1,0)</f>
        <v>210235A2CR6211F000CK</v>
      </c>
      <c r="K6541" s="60"/>
      <c r="L6541" s="44"/>
      <c r="M6541" s="45" t="s">
        <v>19932</v>
      </c>
    </row>
    <row r="6542" ht="30" customHeight="1" spans="1:13">
      <c r="A6542" s="41">
        <f>IF(C6542="","",SUBTOTAL(103,$C$2:C6542))</f>
        <v>6533</v>
      </c>
      <c r="B6542" s="57">
        <v>68</v>
      </c>
      <c r="C6542" s="58" t="s">
        <v>19933</v>
      </c>
      <c r="D6542" s="59" t="s">
        <v>45</v>
      </c>
      <c r="E6542" s="55" t="s">
        <v>19904</v>
      </c>
      <c r="F6542" s="55" t="s">
        <v>19905</v>
      </c>
      <c r="G6542" s="54" t="s">
        <v>19934</v>
      </c>
      <c r="H6542" s="54" t="s">
        <v>19935</v>
      </c>
      <c r="I6542" s="43">
        <v>12</v>
      </c>
      <c r="J6542" s="44" t="str">
        <f>VLOOKUP(G6542,[1]硬件清单!$F:$F,1,0)</f>
        <v>210235A2CR6211F000C6</v>
      </c>
      <c r="K6542" s="60"/>
      <c r="L6542" s="44"/>
      <c r="M6542" s="45" t="s">
        <v>19936</v>
      </c>
    </row>
    <row r="6543" ht="30" customHeight="1" spans="1:13">
      <c r="A6543" s="41">
        <f>IF(C6543="","",SUBTOTAL(103,$C$2:C6543))</f>
        <v>6534</v>
      </c>
      <c r="B6543" s="57">
        <v>69</v>
      </c>
      <c r="C6543" s="58" t="s">
        <v>19937</v>
      </c>
      <c r="D6543" s="59" t="s">
        <v>45</v>
      </c>
      <c r="E6543" s="55" t="s">
        <v>19904</v>
      </c>
      <c r="F6543" s="55" t="s">
        <v>19905</v>
      </c>
      <c r="G6543" s="54" t="s">
        <v>19938</v>
      </c>
      <c r="H6543" s="54" t="s">
        <v>19939</v>
      </c>
      <c r="I6543" s="43">
        <v>12</v>
      </c>
      <c r="J6543" s="44" t="str">
        <f>VLOOKUP(G6543,[1]硬件清单!$F:$F,1,0)</f>
        <v>210235A2CR6211F000D5</v>
      </c>
      <c r="K6543" s="60"/>
      <c r="L6543" s="44"/>
      <c r="M6543" s="45" t="s">
        <v>19940</v>
      </c>
    </row>
    <row r="6544" ht="30" customHeight="1" spans="1:13">
      <c r="A6544" s="41">
        <f>IF(C6544="","",SUBTOTAL(103,$C$2:C6544))</f>
        <v>6535</v>
      </c>
      <c r="B6544" s="57">
        <v>70</v>
      </c>
      <c r="C6544" s="58" t="s">
        <v>19941</v>
      </c>
      <c r="D6544" s="59" t="s">
        <v>45</v>
      </c>
      <c r="E6544" s="55" t="s">
        <v>19904</v>
      </c>
      <c r="F6544" s="55" t="s">
        <v>19905</v>
      </c>
      <c r="G6544" s="54" t="s">
        <v>19942</v>
      </c>
      <c r="H6544" s="54" t="s">
        <v>19943</v>
      </c>
      <c r="I6544" s="43">
        <v>12</v>
      </c>
      <c r="J6544" s="44" t="str">
        <f>VLOOKUP(G6544,[1]硬件清单!$F:$F,1,0)</f>
        <v>210235A2CR6211F000C7</v>
      </c>
      <c r="K6544" s="60"/>
      <c r="L6544" s="44"/>
      <c r="M6544" s="45" t="s">
        <v>19944</v>
      </c>
    </row>
    <row r="6545" ht="30" customHeight="1" spans="1:13">
      <c r="A6545" s="41">
        <f>IF(C6545="","",SUBTOTAL(103,$C$2:C6545))</f>
        <v>6536</v>
      </c>
      <c r="B6545" s="57">
        <v>71</v>
      </c>
      <c r="C6545" s="58" t="s">
        <v>19945</v>
      </c>
      <c r="D6545" s="59" t="s">
        <v>45</v>
      </c>
      <c r="E6545" s="55" t="s">
        <v>19904</v>
      </c>
      <c r="F6545" s="55" t="s">
        <v>19905</v>
      </c>
      <c r="G6545" s="54" t="s">
        <v>19946</v>
      </c>
      <c r="H6545" s="54" t="s">
        <v>19947</v>
      </c>
      <c r="I6545" s="43">
        <v>12</v>
      </c>
      <c r="J6545" s="44" t="str">
        <f>VLOOKUP(G6545,[1]硬件清单!$F:$F,1,0)</f>
        <v>210235A2CR6211F000CM</v>
      </c>
      <c r="K6545" s="60"/>
      <c r="L6545" s="44"/>
      <c r="M6545" s="45" t="s">
        <v>19948</v>
      </c>
    </row>
    <row r="6546" ht="30" customHeight="1" spans="1:13">
      <c r="A6546" s="41">
        <f>IF(C6546="","",SUBTOTAL(103,$C$2:C6546))</f>
        <v>6537</v>
      </c>
      <c r="B6546" s="57">
        <v>72</v>
      </c>
      <c r="C6546" s="58" t="s">
        <v>19949</v>
      </c>
      <c r="D6546" s="59" t="s">
        <v>45</v>
      </c>
      <c r="E6546" s="55" t="s">
        <v>19904</v>
      </c>
      <c r="F6546" s="55" t="s">
        <v>19905</v>
      </c>
      <c r="G6546" s="54" t="s">
        <v>19950</v>
      </c>
      <c r="H6546" s="54" t="s">
        <v>19951</v>
      </c>
      <c r="I6546" s="43">
        <v>12</v>
      </c>
      <c r="J6546" s="44" t="str">
        <f>VLOOKUP(G6546,[1]硬件清单!$F:$F,1,0)</f>
        <v>210235A2CR6211F000CN</v>
      </c>
      <c r="K6546" s="60"/>
      <c r="L6546" s="44"/>
      <c r="M6546" s="45" t="s">
        <v>19952</v>
      </c>
    </row>
    <row r="6547" ht="30" customHeight="1" spans="1:13">
      <c r="A6547" s="41">
        <f>IF(C6547="","",SUBTOTAL(103,$C$2:C6547))</f>
        <v>6538</v>
      </c>
      <c r="B6547" s="57">
        <v>73</v>
      </c>
      <c r="C6547" s="58" t="s">
        <v>19953</v>
      </c>
      <c r="D6547" s="59" t="s">
        <v>45</v>
      </c>
      <c r="E6547" s="55" t="s">
        <v>19904</v>
      </c>
      <c r="F6547" s="55" t="s">
        <v>19905</v>
      </c>
      <c r="G6547" s="54" t="s">
        <v>19954</v>
      </c>
      <c r="H6547" s="54" t="s">
        <v>19955</v>
      </c>
      <c r="I6547" s="43">
        <v>12</v>
      </c>
      <c r="J6547" s="44" t="str">
        <f>VLOOKUP(G6547,[1]硬件清单!$F:$F,1,0)</f>
        <v>210235A2CR6211F000C3</v>
      </c>
      <c r="K6547" s="60"/>
      <c r="L6547" s="44"/>
      <c r="M6547" s="45" t="s">
        <v>19956</v>
      </c>
    </row>
    <row r="6548" ht="30" customHeight="1" spans="1:13">
      <c r="A6548" s="41">
        <f>IF(C6548="","",SUBTOTAL(103,$C$2:C6548))</f>
        <v>6539</v>
      </c>
      <c r="B6548" s="57">
        <v>74</v>
      </c>
      <c r="C6548" s="58" t="s">
        <v>19957</v>
      </c>
      <c r="D6548" s="59" t="s">
        <v>45</v>
      </c>
      <c r="E6548" s="55" t="s">
        <v>19904</v>
      </c>
      <c r="F6548" s="55" t="s">
        <v>19905</v>
      </c>
      <c r="G6548" s="54" t="s">
        <v>19958</v>
      </c>
      <c r="H6548" s="54" t="s">
        <v>19959</v>
      </c>
      <c r="I6548" s="43">
        <v>12</v>
      </c>
      <c r="J6548" s="44" t="str">
        <f>VLOOKUP(G6548,[1]硬件清单!$F:$F,1,0)</f>
        <v>210235A2CR6211F000BZ</v>
      </c>
      <c r="K6548" s="60"/>
      <c r="L6548" s="44"/>
      <c r="M6548" s="45" t="s">
        <v>19960</v>
      </c>
    </row>
    <row r="6549" ht="30" customHeight="1" spans="1:13">
      <c r="A6549" s="41">
        <f>IF(C6549="","",SUBTOTAL(103,$C$2:C6549))</f>
        <v>6540</v>
      </c>
      <c r="B6549" s="57">
        <v>75</v>
      </c>
      <c r="C6549" s="58" t="s">
        <v>19961</v>
      </c>
      <c r="D6549" s="59" t="s">
        <v>45</v>
      </c>
      <c r="E6549" s="55" t="s">
        <v>19904</v>
      </c>
      <c r="F6549" s="55" t="s">
        <v>19905</v>
      </c>
      <c r="G6549" s="54" t="s">
        <v>19962</v>
      </c>
      <c r="H6549" s="54" t="s">
        <v>19963</v>
      </c>
      <c r="I6549" s="43">
        <v>12</v>
      </c>
      <c r="J6549" s="44" t="str">
        <f>VLOOKUP(G6549,[1]硬件清单!$F:$F,1,0)</f>
        <v>210235A2CR6211F000C4</v>
      </c>
      <c r="K6549" s="60"/>
      <c r="L6549" s="44"/>
      <c r="M6549" s="45" t="s">
        <v>19964</v>
      </c>
    </row>
    <row r="6550" ht="30" customHeight="1" spans="1:13">
      <c r="A6550" s="41">
        <f>IF(C6550="","",SUBTOTAL(103,$C$2:C6550))</f>
        <v>6541</v>
      </c>
      <c r="B6550" s="57">
        <v>76</v>
      </c>
      <c r="C6550" s="58" t="s">
        <v>19965</v>
      </c>
      <c r="D6550" s="59" t="s">
        <v>45</v>
      </c>
      <c r="E6550" s="55" t="s">
        <v>19904</v>
      </c>
      <c r="F6550" s="55" t="s">
        <v>19905</v>
      </c>
      <c r="G6550" s="54" t="s">
        <v>19966</v>
      </c>
      <c r="H6550" s="54" t="s">
        <v>19967</v>
      </c>
      <c r="I6550" s="43">
        <v>12</v>
      </c>
      <c r="J6550" s="44" t="str">
        <f>VLOOKUP(G6550,[1]硬件清单!$F:$F,1,0)</f>
        <v>210235A2CR6211F000CR</v>
      </c>
      <c r="K6550" s="60"/>
      <c r="L6550" s="44"/>
      <c r="M6550" s="45" t="s">
        <v>19968</v>
      </c>
    </row>
    <row r="6551" ht="30" customHeight="1" spans="1:13">
      <c r="A6551" s="41">
        <f>IF(C6551="","",SUBTOTAL(103,$C$2:C6551))</f>
        <v>6542</v>
      </c>
      <c r="B6551" s="57">
        <v>77</v>
      </c>
      <c r="C6551" s="58" t="s">
        <v>19969</v>
      </c>
      <c r="D6551" s="59" t="s">
        <v>45</v>
      </c>
      <c r="E6551" s="55" t="s">
        <v>19904</v>
      </c>
      <c r="F6551" s="55" t="s">
        <v>19905</v>
      </c>
      <c r="G6551" s="54" t="s">
        <v>19970</v>
      </c>
      <c r="H6551" s="54" t="s">
        <v>19971</v>
      </c>
      <c r="I6551" s="43">
        <v>12</v>
      </c>
      <c r="J6551" s="44" t="str">
        <f>VLOOKUP(G6551,[1]硬件清单!$F:$F,1,0)</f>
        <v>210235A2CR6211F000BQ</v>
      </c>
      <c r="K6551" s="60"/>
      <c r="L6551" s="44"/>
      <c r="M6551" s="45" t="s">
        <v>19972</v>
      </c>
    </row>
    <row r="6552" ht="30" customHeight="1" spans="1:13">
      <c r="A6552" s="41">
        <f>IF(C6552="","",SUBTOTAL(103,$C$2:C6552))</f>
        <v>6543</v>
      </c>
      <c r="B6552" s="57">
        <v>78</v>
      </c>
      <c r="C6552" s="58" t="s">
        <v>19973</v>
      </c>
      <c r="D6552" s="59" t="s">
        <v>45</v>
      </c>
      <c r="E6552" s="55" t="s">
        <v>19904</v>
      </c>
      <c r="F6552" s="55" t="s">
        <v>19905</v>
      </c>
      <c r="G6552" s="54" t="s">
        <v>19974</v>
      </c>
      <c r="H6552" s="54" t="s">
        <v>19975</v>
      </c>
      <c r="I6552" s="43">
        <v>12</v>
      </c>
      <c r="J6552" s="44" t="str">
        <f>VLOOKUP(G6552,[1]硬件清单!$F:$F,1,0)</f>
        <v>210235A2CR6211F000CW</v>
      </c>
      <c r="K6552" s="60"/>
      <c r="L6552" s="44"/>
      <c r="M6552" s="45" t="s">
        <v>19976</v>
      </c>
    </row>
    <row r="6553" ht="30" customHeight="1" spans="1:13">
      <c r="A6553" s="41">
        <f>IF(C6553="","",SUBTOTAL(103,$C$2:C6553))</f>
        <v>6544</v>
      </c>
      <c r="B6553" s="57">
        <v>79</v>
      </c>
      <c r="C6553" s="58" t="s">
        <v>19977</v>
      </c>
      <c r="D6553" s="59" t="s">
        <v>45</v>
      </c>
      <c r="E6553" s="55" t="s">
        <v>19904</v>
      </c>
      <c r="F6553" s="55" t="s">
        <v>19905</v>
      </c>
      <c r="G6553" s="54" t="s">
        <v>19978</v>
      </c>
      <c r="H6553" s="54" t="s">
        <v>19979</v>
      </c>
      <c r="I6553" s="43">
        <v>12</v>
      </c>
      <c r="J6553" s="44" t="str">
        <f>VLOOKUP(G6553,[1]硬件清单!$F:$F,1,0)</f>
        <v>210235A2CR6211F000CJ</v>
      </c>
      <c r="K6553" s="60"/>
      <c r="L6553" s="44"/>
      <c r="M6553" s="45" t="s">
        <v>19980</v>
      </c>
    </row>
    <row r="6554" ht="30" customHeight="1" spans="1:13">
      <c r="A6554" s="41">
        <f>IF(C6554="","",SUBTOTAL(103,$C$2:C6554))</f>
        <v>6545</v>
      </c>
      <c r="B6554" s="57">
        <v>80</v>
      </c>
      <c r="C6554" s="58" t="s">
        <v>19981</v>
      </c>
      <c r="D6554" s="59" t="s">
        <v>45</v>
      </c>
      <c r="E6554" s="55" t="s">
        <v>19904</v>
      </c>
      <c r="F6554" s="55" t="s">
        <v>19905</v>
      </c>
      <c r="G6554" s="54" t="s">
        <v>19982</v>
      </c>
      <c r="H6554" s="54" t="s">
        <v>19983</v>
      </c>
      <c r="I6554" s="43">
        <v>12</v>
      </c>
      <c r="J6554" s="44" t="str">
        <f>VLOOKUP(G6554,[1]硬件清单!$F:$F,1,0)</f>
        <v>210235A2CR6211F000C5</v>
      </c>
      <c r="K6554" s="60"/>
      <c r="L6554" s="44"/>
      <c r="M6554" s="45" t="s">
        <v>19984</v>
      </c>
    </row>
    <row r="6555" ht="30" customHeight="1" spans="1:13">
      <c r="A6555" s="41">
        <f>IF(C6555="","",SUBTOTAL(103,$C$2:C6555))</f>
        <v>6546</v>
      </c>
      <c r="B6555" s="57">
        <v>81</v>
      </c>
      <c r="C6555" s="58" t="s">
        <v>19985</v>
      </c>
      <c r="D6555" s="59" t="s">
        <v>45</v>
      </c>
      <c r="E6555" s="55" t="s">
        <v>19904</v>
      </c>
      <c r="F6555" s="55" t="s">
        <v>19905</v>
      </c>
      <c r="G6555" s="54" t="s">
        <v>19986</v>
      </c>
      <c r="H6555" s="54" t="s">
        <v>19987</v>
      </c>
      <c r="I6555" s="43">
        <v>12</v>
      </c>
      <c r="J6555" s="44" t="str">
        <f>VLOOKUP(G6555,[1]硬件清单!$F:$F,1,0)</f>
        <v>210235A2CR6211F000CT</v>
      </c>
      <c r="K6555" s="60"/>
      <c r="L6555" s="44"/>
      <c r="M6555" s="45" t="s">
        <v>19988</v>
      </c>
    </row>
    <row r="6556" ht="30" customHeight="1" spans="1:13">
      <c r="A6556" s="41">
        <f>IF(C6556="","",SUBTOTAL(103,$C$2:C6556))</f>
        <v>6547</v>
      </c>
      <c r="B6556" s="57">
        <v>82</v>
      </c>
      <c r="C6556" s="58" t="s">
        <v>19989</v>
      </c>
      <c r="D6556" s="59" t="s">
        <v>45</v>
      </c>
      <c r="E6556" s="55" t="s">
        <v>19904</v>
      </c>
      <c r="F6556" s="55" t="s">
        <v>19905</v>
      </c>
      <c r="G6556" s="54" t="s">
        <v>19990</v>
      </c>
      <c r="H6556" s="54" t="s">
        <v>19991</v>
      </c>
      <c r="I6556" s="43">
        <v>12</v>
      </c>
      <c r="J6556" s="44" t="str">
        <f>VLOOKUP(G6556,[1]硬件清单!$F:$F,1,0)</f>
        <v>210235A2CR6211F000BW</v>
      </c>
      <c r="K6556" s="60"/>
      <c r="L6556" s="44"/>
      <c r="M6556" s="45" t="s">
        <v>19992</v>
      </c>
    </row>
    <row r="6557" ht="30" customHeight="1" spans="1:13">
      <c r="A6557" s="41">
        <f>IF(C6557="","",SUBTOTAL(103,$C$2:C6557))</f>
        <v>6548</v>
      </c>
      <c r="B6557" s="57">
        <v>83</v>
      </c>
      <c r="C6557" s="58" t="s">
        <v>19993</v>
      </c>
      <c r="D6557" s="59" t="s">
        <v>45</v>
      </c>
      <c r="E6557" s="55" t="s">
        <v>19904</v>
      </c>
      <c r="F6557" s="55" t="s">
        <v>19905</v>
      </c>
      <c r="G6557" s="54" t="s">
        <v>19994</v>
      </c>
      <c r="H6557" s="54" t="s">
        <v>19995</v>
      </c>
      <c r="I6557" s="43">
        <v>12</v>
      </c>
      <c r="J6557" s="44" t="str">
        <f>VLOOKUP(G6557,[1]硬件清单!$F:$F,1,0)</f>
        <v>210235A2CR6211F000CP</v>
      </c>
      <c r="K6557" s="60"/>
      <c r="L6557" s="44"/>
      <c r="M6557" s="45" t="s">
        <v>19996</v>
      </c>
    </row>
    <row r="6558" ht="30" customHeight="1" spans="1:13">
      <c r="A6558" s="41">
        <f>IF(C6558="","",SUBTOTAL(103,$C$2:C6558))</f>
        <v>6549</v>
      </c>
      <c r="B6558" s="57">
        <v>84</v>
      </c>
      <c r="C6558" s="58" t="s">
        <v>19997</v>
      </c>
      <c r="D6558" s="59" t="s">
        <v>45</v>
      </c>
      <c r="E6558" s="55" t="s">
        <v>19904</v>
      </c>
      <c r="F6558" s="55" t="s">
        <v>19905</v>
      </c>
      <c r="G6558" s="54" t="s">
        <v>19998</v>
      </c>
      <c r="H6558" s="54" t="s">
        <v>19999</v>
      </c>
      <c r="I6558" s="43">
        <v>12</v>
      </c>
      <c r="J6558" s="44" t="str">
        <f>VLOOKUP(G6558,[1]硬件清单!$F:$F,1,0)</f>
        <v>210235A2CR6211F000BT</v>
      </c>
      <c r="K6558" s="60"/>
      <c r="L6558" s="44"/>
      <c r="M6558" s="45" t="s">
        <v>20000</v>
      </c>
    </row>
    <row r="6559" ht="30" customHeight="1" spans="1:13">
      <c r="A6559" s="41">
        <f>IF(C6559="","",SUBTOTAL(103,$C$2:C6559))</f>
        <v>6550</v>
      </c>
      <c r="B6559" s="57">
        <v>85</v>
      </c>
      <c r="C6559" s="58" t="s">
        <v>20001</v>
      </c>
      <c r="D6559" s="59" t="s">
        <v>45</v>
      </c>
      <c r="E6559" s="55" t="s">
        <v>19904</v>
      </c>
      <c r="F6559" s="55" t="s">
        <v>19905</v>
      </c>
      <c r="G6559" s="54" t="s">
        <v>20002</v>
      </c>
      <c r="H6559" s="54" t="s">
        <v>20003</v>
      </c>
      <c r="I6559" s="43">
        <v>12</v>
      </c>
      <c r="J6559" s="44" t="str">
        <f>VLOOKUP(G6559,[1]硬件清单!$F:$F,1,0)</f>
        <v>210235A2CR6211F000CS</v>
      </c>
      <c r="K6559" s="60"/>
      <c r="L6559" s="44"/>
      <c r="M6559" s="45" t="s">
        <v>20004</v>
      </c>
    </row>
    <row r="6560" ht="30" customHeight="1" spans="1:13">
      <c r="A6560" s="41">
        <f>IF(C6560="","",SUBTOTAL(103,$C$2:C6560))</f>
        <v>6551</v>
      </c>
      <c r="B6560" s="57">
        <v>86</v>
      </c>
      <c r="C6560" s="58" t="s">
        <v>20005</v>
      </c>
      <c r="D6560" s="59" t="s">
        <v>45</v>
      </c>
      <c r="E6560" s="55" t="s">
        <v>19904</v>
      </c>
      <c r="F6560" s="55" t="s">
        <v>19905</v>
      </c>
      <c r="G6560" s="54" t="s">
        <v>20006</v>
      </c>
      <c r="H6560" s="54" t="s">
        <v>20007</v>
      </c>
      <c r="I6560" s="43">
        <v>12</v>
      </c>
      <c r="J6560" s="44" t="str">
        <f>VLOOKUP(G6560,[1]硬件清单!$F:$F,1,0)</f>
        <v>210235A2CR6211F000BV</v>
      </c>
      <c r="K6560" s="60"/>
      <c r="L6560" s="44"/>
      <c r="M6560" s="45" t="s">
        <v>20008</v>
      </c>
    </row>
    <row r="6561" ht="30" customHeight="1" spans="1:13">
      <c r="A6561" s="41">
        <f>IF(C6561="","",SUBTOTAL(103,$C$2:C6561))</f>
        <v>6552</v>
      </c>
      <c r="B6561" s="57">
        <v>87</v>
      </c>
      <c r="C6561" s="58" t="s">
        <v>20009</v>
      </c>
      <c r="D6561" s="59" t="s">
        <v>45</v>
      </c>
      <c r="E6561" s="55" t="s">
        <v>19904</v>
      </c>
      <c r="F6561" s="55" t="s">
        <v>19905</v>
      </c>
      <c r="G6561" s="54" t="s">
        <v>20010</v>
      </c>
      <c r="H6561" s="54" t="s">
        <v>20011</v>
      </c>
      <c r="I6561" s="43">
        <v>12</v>
      </c>
      <c r="J6561" s="44" t="str">
        <f>VLOOKUP(G6561,[1]硬件清单!$F:$F,1,0)</f>
        <v>210235A2CR6211F000CQ</v>
      </c>
      <c r="K6561" s="60"/>
      <c r="L6561" s="44"/>
      <c r="M6561" s="45" t="s">
        <v>20012</v>
      </c>
    </row>
    <row r="6562" ht="30" customHeight="1" spans="1:13">
      <c r="A6562" s="41">
        <f>IF(C6562="","",SUBTOTAL(103,$C$2:C6562))</f>
        <v>6553</v>
      </c>
      <c r="B6562" s="57">
        <v>88</v>
      </c>
      <c r="C6562" s="58" t="s">
        <v>20013</v>
      </c>
      <c r="D6562" s="59" t="s">
        <v>45</v>
      </c>
      <c r="E6562" s="55" t="s">
        <v>19904</v>
      </c>
      <c r="F6562" s="55" t="s">
        <v>19905</v>
      </c>
      <c r="G6562" s="54" t="s">
        <v>20014</v>
      </c>
      <c r="H6562" s="54" t="s">
        <v>20015</v>
      </c>
      <c r="I6562" s="43">
        <v>12</v>
      </c>
      <c r="J6562" s="44" t="str">
        <f>VLOOKUP(G6562,[1]硬件清单!$F:$F,1,0)</f>
        <v>210235A2CR6211F000BS</v>
      </c>
      <c r="K6562" s="60"/>
      <c r="L6562" s="44"/>
      <c r="M6562" s="45" t="s">
        <v>20016</v>
      </c>
    </row>
    <row r="6563" ht="30" customHeight="1" spans="1:13">
      <c r="A6563" s="41">
        <f>IF(C6563="","",SUBTOTAL(103,$C$2:C6563))</f>
        <v>6554</v>
      </c>
      <c r="B6563" s="57">
        <v>89</v>
      </c>
      <c r="C6563" s="58" t="s">
        <v>20017</v>
      </c>
      <c r="D6563" s="59" t="s">
        <v>45</v>
      </c>
      <c r="E6563" s="55" t="s">
        <v>19904</v>
      </c>
      <c r="F6563" s="55" t="s">
        <v>19905</v>
      </c>
      <c r="G6563" s="54" t="s">
        <v>20018</v>
      </c>
      <c r="H6563" s="54" t="s">
        <v>20019</v>
      </c>
      <c r="I6563" s="43">
        <v>12</v>
      </c>
      <c r="J6563" s="44" t="str">
        <f>VLOOKUP(G6563,[1]硬件清单!$F:$F,1,0)</f>
        <v>210235A2CR6211F000BN</v>
      </c>
      <c r="K6563" s="60"/>
      <c r="L6563" s="44"/>
      <c r="M6563" s="45" t="s">
        <v>20020</v>
      </c>
    </row>
    <row r="6564" ht="30" customHeight="1" spans="1:13">
      <c r="A6564" s="41">
        <f>IF(C6564="","",SUBTOTAL(103,$C$2:C6564))</f>
        <v>6555</v>
      </c>
      <c r="B6564" s="57">
        <v>90</v>
      </c>
      <c r="C6564" s="58" t="s">
        <v>20021</v>
      </c>
      <c r="D6564" s="59" t="s">
        <v>45</v>
      </c>
      <c r="E6564" s="55" t="s">
        <v>19904</v>
      </c>
      <c r="F6564" s="55" t="s">
        <v>19905</v>
      </c>
      <c r="G6564" s="54" t="s">
        <v>20022</v>
      </c>
      <c r="H6564" s="54" t="s">
        <v>20023</v>
      </c>
      <c r="I6564" s="43">
        <v>12</v>
      </c>
      <c r="J6564" s="44" t="str">
        <f>VLOOKUP(G6564,[1]硬件清单!$F:$F,1,0)</f>
        <v>210235A2CR6211F000BR</v>
      </c>
      <c r="K6564" s="60"/>
      <c r="L6564" s="44"/>
      <c r="M6564" s="45" t="s">
        <v>20024</v>
      </c>
    </row>
    <row r="6565" ht="30" customHeight="1" spans="1:13">
      <c r="A6565" s="41">
        <f>IF(C6565="","",SUBTOTAL(103,$C$2:C6565))</f>
        <v>6556</v>
      </c>
      <c r="B6565" s="57">
        <v>91</v>
      </c>
      <c r="C6565" s="58" t="s">
        <v>20025</v>
      </c>
      <c r="D6565" s="59" t="s">
        <v>45</v>
      </c>
      <c r="E6565" s="55" t="s">
        <v>19904</v>
      </c>
      <c r="F6565" s="55" t="s">
        <v>19905</v>
      </c>
      <c r="G6565" s="54" t="s">
        <v>20026</v>
      </c>
      <c r="H6565" s="54" t="s">
        <v>20027</v>
      </c>
      <c r="I6565" s="43">
        <v>12</v>
      </c>
      <c r="J6565" s="44" t="str">
        <f>VLOOKUP(G6565,[1]硬件清单!$F:$F,1,0)</f>
        <v>210235A2CR6211F000BL</v>
      </c>
      <c r="K6565" s="60"/>
      <c r="L6565" s="44"/>
      <c r="M6565" s="45" t="s">
        <v>20028</v>
      </c>
    </row>
    <row r="6566" ht="30" customHeight="1" spans="1:13">
      <c r="A6566" s="41">
        <f>IF(C6566="","",SUBTOTAL(103,$C$2:C6566))</f>
        <v>6557</v>
      </c>
      <c r="B6566" s="57">
        <v>92</v>
      </c>
      <c r="C6566" s="58" t="s">
        <v>20029</v>
      </c>
      <c r="D6566" s="59" t="s">
        <v>45</v>
      </c>
      <c r="E6566" s="55" t="s">
        <v>19904</v>
      </c>
      <c r="F6566" s="55" t="s">
        <v>19905</v>
      </c>
      <c r="G6566" s="54" t="s">
        <v>20030</v>
      </c>
      <c r="H6566" s="54" t="s">
        <v>20031</v>
      </c>
      <c r="I6566" s="43">
        <v>12</v>
      </c>
      <c r="J6566" s="44" t="str">
        <f>VLOOKUP(G6566,[1]硬件清单!$F:$F,1,0)</f>
        <v>210235A2CR6211F000CF</v>
      </c>
      <c r="K6566" s="60"/>
      <c r="L6566" s="44"/>
      <c r="M6566" s="45" t="s">
        <v>20032</v>
      </c>
    </row>
    <row r="6567" ht="30" customHeight="1" spans="1:13">
      <c r="A6567" s="41">
        <f>IF(C6567="","",SUBTOTAL(103,$C$2:C6567))</f>
        <v>6558</v>
      </c>
      <c r="B6567" s="57">
        <v>93</v>
      </c>
      <c r="C6567" s="58" t="s">
        <v>20033</v>
      </c>
      <c r="D6567" s="59" t="s">
        <v>45</v>
      </c>
      <c r="E6567" s="55" t="s">
        <v>19904</v>
      </c>
      <c r="F6567" s="55" t="s">
        <v>19905</v>
      </c>
      <c r="G6567" s="54" t="s">
        <v>20034</v>
      </c>
      <c r="H6567" s="54" t="s">
        <v>20035</v>
      </c>
      <c r="I6567" s="43">
        <v>12</v>
      </c>
      <c r="J6567" s="44" t="str">
        <f>VLOOKUP(G6567,[1]硬件清单!$F:$F,1,0)</f>
        <v>210235A2CR6211F000BX</v>
      </c>
      <c r="K6567" s="60"/>
      <c r="L6567" s="44"/>
      <c r="M6567" s="45" t="s">
        <v>20036</v>
      </c>
    </row>
    <row r="6568" ht="30" customHeight="1" spans="1:13">
      <c r="A6568" s="41">
        <f>IF(C6568="","",SUBTOTAL(103,$C$2:C6568))</f>
        <v>6559</v>
      </c>
      <c r="B6568" s="57">
        <v>94</v>
      </c>
      <c r="C6568" s="58" t="s">
        <v>20037</v>
      </c>
      <c r="D6568" s="59" t="s">
        <v>45</v>
      </c>
      <c r="E6568" s="55" t="s">
        <v>19904</v>
      </c>
      <c r="F6568" s="55" t="s">
        <v>19905</v>
      </c>
      <c r="G6568" s="54" t="s">
        <v>20038</v>
      </c>
      <c r="H6568" s="54" t="s">
        <v>20039</v>
      </c>
      <c r="I6568" s="43">
        <v>12</v>
      </c>
      <c r="J6568" s="44" t="str">
        <f>VLOOKUP(G6568,[1]硬件清单!$F:$F,1,0)</f>
        <v>210235A2CR6211F000CB</v>
      </c>
      <c r="K6568" s="60"/>
      <c r="L6568" s="44"/>
      <c r="M6568" s="45" t="s">
        <v>20040</v>
      </c>
    </row>
    <row r="6569" ht="30" customHeight="1" spans="1:13">
      <c r="A6569" s="41">
        <f>IF(C6569="","",SUBTOTAL(103,$C$2:C6569))</f>
        <v>6560</v>
      </c>
      <c r="B6569" s="57">
        <v>95</v>
      </c>
      <c r="C6569" s="58" t="s">
        <v>20041</v>
      </c>
      <c r="D6569" s="59" t="s">
        <v>45</v>
      </c>
      <c r="E6569" s="55" t="s">
        <v>19904</v>
      </c>
      <c r="F6569" s="55" t="s">
        <v>19905</v>
      </c>
      <c r="G6569" s="54" t="s">
        <v>20042</v>
      </c>
      <c r="H6569" s="54" t="s">
        <v>20043</v>
      </c>
      <c r="I6569" s="43">
        <v>12</v>
      </c>
      <c r="J6569" s="44" t="str">
        <f>VLOOKUP(G6569,[1]硬件清单!$F:$F,1,0)</f>
        <v>210235A2CR6211F000C0</v>
      </c>
      <c r="K6569" s="60"/>
      <c r="L6569" s="44"/>
      <c r="M6569" s="45" t="s">
        <v>20044</v>
      </c>
    </row>
    <row r="6570" ht="30" customHeight="1" spans="1:13">
      <c r="A6570" s="41">
        <f>IF(C6570="","",SUBTOTAL(103,$C$2:C6570))</f>
        <v>6561</v>
      </c>
      <c r="B6570" s="57">
        <v>96</v>
      </c>
      <c r="C6570" s="58" t="s">
        <v>20045</v>
      </c>
      <c r="D6570" s="59" t="s">
        <v>45</v>
      </c>
      <c r="E6570" s="55" t="s">
        <v>19904</v>
      </c>
      <c r="F6570" s="55" t="s">
        <v>19905</v>
      </c>
      <c r="G6570" s="54" t="s">
        <v>20046</v>
      </c>
      <c r="H6570" s="54" t="s">
        <v>20047</v>
      </c>
      <c r="I6570" s="43">
        <v>12</v>
      </c>
      <c r="J6570" s="44" t="str">
        <f>VLOOKUP(G6570,[1]硬件清单!$F:$F,1,0)</f>
        <v>210235A2CR6211F000C1</v>
      </c>
      <c r="K6570" s="60"/>
      <c r="L6570" s="44"/>
      <c r="M6570" s="45" t="s">
        <v>20048</v>
      </c>
    </row>
    <row r="6571" ht="30" customHeight="1" spans="1:13">
      <c r="A6571" s="41">
        <f>IF(C6571="","",SUBTOTAL(103,$C$2:C6571))</f>
        <v>6562</v>
      </c>
      <c r="B6571" s="57">
        <v>97</v>
      </c>
      <c r="C6571" s="58" t="s">
        <v>20049</v>
      </c>
      <c r="D6571" s="59" t="s">
        <v>45</v>
      </c>
      <c r="E6571" s="55" t="s">
        <v>19904</v>
      </c>
      <c r="F6571" s="55" t="s">
        <v>19905</v>
      </c>
      <c r="G6571" s="54" t="s">
        <v>20050</v>
      </c>
      <c r="H6571" s="54" t="s">
        <v>20051</v>
      </c>
      <c r="I6571" s="43">
        <v>12</v>
      </c>
      <c r="J6571" s="44" t="str">
        <f>VLOOKUP(G6571,[1]硬件清单!$F:$F,1,0)</f>
        <v>210235A2CR6211F000CX</v>
      </c>
      <c r="K6571" s="60"/>
      <c r="L6571" s="44"/>
      <c r="M6571" s="45" t="s">
        <v>20052</v>
      </c>
    </row>
    <row r="6572" ht="30" customHeight="1" spans="1:13">
      <c r="A6572" s="41">
        <f>IF(C6572="","",SUBTOTAL(103,$C$2:C6572))</f>
        <v>6563</v>
      </c>
      <c r="B6572" s="57">
        <v>98</v>
      </c>
      <c r="C6572" s="58" t="s">
        <v>20053</v>
      </c>
      <c r="D6572" s="59" t="s">
        <v>45</v>
      </c>
      <c r="E6572" s="55" t="s">
        <v>19904</v>
      </c>
      <c r="F6572" s="55" t="s">
        <v>19905</v>
      </c>
      <c r="G6572" s="54" t="s">
        <v>20054</v>
      </c>
      <c r="H6572" s="54" t="s">
        <v>20055</v>
      </c>
      <c r="I6572" s="43">
        <v>12</v>
      </c>
      <c r="J6572" s="44" t="str">
        <f>VLOOKUP(G6572,[1]硬件清单!$F:$F,1,0)</f>
        <v>210235A2CR6211F000CG</v>
      </c>
      <c r="K6572" s="60"/>
      <c r="L6572" s="44"/>
      <c r="M6572" s="45" t="s">
        <v>20056</v>
      </c>
    </row>
    <row r="6573" ht="30" customHeight="1" spans="1:13">
      <c r="A6573" s="41">
        <f>IF(C6573="","",SUBTOTAL(103,$C$2:C6573))</f>
        <v>6564</v>
      </c>
      <c r="B6573" s="57">
        <v>99</v>
      </c>
      <c r="C6573" s="58" t="s">
        <v>20057</v>
      </c>
      <c r="D6573" s="59" t="s">
        <v>45</v>
      </c>
      <c r="E6573" s="55" t="s">
        <v>19904</v>
      </c>
      <c r="F6573" s="55" t="s">
        <v>19905</v>
      </c>
      <c r="G6573" s="54" t="s">
        <v>20058</v>
      </c>
      <c r="H6573" s="54" t="s">
        <v>20059</v>
      </c>
      <c r="I6573" s="43">
        <v>12</v>
      </c>
      <c r="J6573" s="44" t="str">
        <f>VLOOKUP(G6573,[1]硬件清单!$F:$F,1,0)</f>
        <v>210235A2CR6211F000C9</v>
      </c>
      <c r="K6573" s="60"/>
      <c r="L6573" s="44"/>
      <c r="M6573" s="45" t="s">
        <v>20060</v>
      </c>
    </row>
    <row r="6574" ht="30" customHeight="1" spans="1:13">
      <c r="A6574" s="41">
        <f>IF(C6574="","",SUBTOTAL(103,$C$2:C6574))</f>
        <v>6565</v>
      </c>
      <c r="B6574" s="57">
        <v>100</v>
      </c>
      <c r="C6574" s="58" t="s">
        <v>20061</v>
      </c>
      <c r="D6574" s="59" t="s">
        <v>45</v>
      </c>
      <c r="E6574" s="55" t="s">
        <v>19904</v>
      </c>
      <c r="F6574" s="55" t="s">
        <v>19905</v>
      </c>
      <c r="G6574" s="54" t="s">
        <v>20062</v>
      </c>
      <c r="H6574" s="54" t="s">
        <v>20063</v>
      </c>
      <c r="I6574" s="43">
        <v>12</v>
      </c>
      <c r="J6574" s="44" t="str">
        <f>VLOOKUP(G6574,[1]硬件清单!$F:$F,1,0)</f>
        <v>210235A2CR6211F000C8</v>
      </c>
      <c r="K6574" s="60"/>
      <c r="L6574" s="44"/>
      <c r="M6574" s="45" t="s">
        <v>20064</v>
      </c>
    </row>
    <row r="6575" ht="30" customHeight="1" spans="1:13">
      <c r="A6575" s="41">
        <f>IF(C6575="","",SUBTOTAL(103,$C$2:C6575))</f>
        <v>6566</v>
      </c>
      <c r="B6575" s="57">
        <v>101</v>
      </c>
      <c r="C6575" s="58" t="s">
        <v>20065</v>
      </c>
      <c r="D6575" s="59" t="s">
        <v>45</v>
      </c>
      <c r="E6575" s="55" t="s">
        <v>19904</v>
      </c>
      <c r="F6575" s="55" t="s">
        <v>19905</v>
      </c>
      <c r="G6575" s="54" t="s">
        <v>20034</v>
      </c>
      <c r="H6575" s="54" t="s">
        <v>20066</v>
      </c>
      <c r="I6575" s="43">
        <v>12</v>
      </c>
      <c r="J6575" s="44" t="str">
        <f>VLOOKUP(G6575,[1]硬件清单!$F:$F,1,0)</f>
        <v>210235A2CR6211F000BX</v>
      </c>
      <c r="K6575" s="60"/>
      <c r="L6575" s="44"/>
      <c r="M6575" s="45" t="s">
        <v>20067</v>
      </c>
    </row>
    <row r="6576" ht="30" customHeight="1" spans="1:13">
      <c r="A6576" s="41">
        <f>IF(C6576="","",SUBTOTAL(103,$C$2:C6576))</f>
        <v>6567</v>
      </c>
      <c r="B6576" s="57">
        <v>102</v>
      </c>
      <c r="C6576" s="58" t="s">
        <v>20068</v>
      </c>
      <c r="D6576" s="59" t="s">
        <v>45</v>
      </c>
      <c r="E6576" s="55" t="s">
        <v>19904</v>
      </c>
      <c r="F6576" s="55" t="s">
        <v>19905</v>
      </c>
      <c r="G6576" s="54" t="s">
        <v>20069</v>
      </c>
      <c r="H6576" s="54" t="s">
        <v>20070</v>
      </c>
      <c r="I6576" s="43">
        <v>12</v>
      </c>
      <c r="J6576" s="44" t="str">
        <f>VLOOKUP(G6576,[1]硬件清单!$F:$F,1,0)</f>
        <v>210235A2CR6211F000D6</v>
      </c>
      <c r="K6576" s="60"/>
      <c r="L6576" s="44"/>
      <c r="M6576" s="45" t="s">
        <v>20071</v>
      </c>
    </row>
    <row r="6577" ht="30" customHeight="1" spans="1:13">
      <c r="A6577" s="41">
        <f>IF(C6577="","",SUBTOTAL(103,$C$2:C6577))</f>
        <v>6568</v>
      </c>
      <c r="B6577" s="57">
        <v>103</v>
      </c>
      <c r="C6577" s="58" t="s">
        <v>20072</v>
      </c>
      <c r="D6577" s="59" t="s">
        <v>45</v>
      </c>
      <c r="E6577" s="55" t="s">
        <v>19904</v>
      </c>
      <c r="F6577" s="55" t="s">
        <v>19905</v>
      </c>
      <c r="G6577" s="54" t="s">
        <v>20073</v>
      </c>
      <c r="H6577" s="54" t="s">
        <v>20074</v>
      </c>
      <c r="I6577" s="43">
        <v>12</v>
      </c>
      <c r="J6577" s="44" t="str">
        <f>VLOOKUP(G6577,[1]硬件清单!$F:$F,1,0)</f>
        <v>210235A2CR6211F000BY</v>
      </c>
      <c r="K6577" s="60"/>
      <c r="L6577" s="44"/>
      <c r="M6577" s="45" t="s">
        <v>20075</v>
      </c>
    </row>
    <row r="6578" ht="30" customHeight="1" spans="1:13">
      <c r="A6578" s="41">
        <f>IF(C6578="","",SUBTOTAL(103,$C$2:C6578))</f>
        <v>6569</v>
      </c>
      <c r="B6578" s="57">
        <v>104</v>
      </c>
      <c r="C6578" s="58" t="s">
        <v>20076</v>
      </c>
      <c r="D6578" s="59" t="s">
        <v>45</v>
      </c>
      <c r="E6578" s="55" t="s">
        <v>19904</v>
      </c>
      <c r="F6578" s="55" t="s">
        <v>19905</v>
      </c>
      <c r="G6578" s="54" t="s">
        <v>20077</v>
      </c>
      <c r="H6578" s="54" t="s">
        <v>20078</v>
      </c>
      <c r="I6578" s="43">
        <v>12</v>
      </c>
      <c r="J6578" s="44" t="str">
        <f>VLOOKUP(G6578,[1]硬件清单!$F:$F,1,0)</f>
        <v>210235A2CR6211F000D0</v>
      </c>
      <c r="K6578" s="60"/>
      <c r="L6578" s="44"/>
      <c r="M6578" s="45" t="s">
        <v>20079</v>
      </c>
    </row>
    <row r="6579" ht="30" customHeight="1" spans="1:13">
      <c r="A6579" s="41">
        <f>IF(C6579="","",SUBTOTAL(103,$C$2:C6579))</f>
        <v>6570</v>
      </c>
      <c r="B6579" s="57">
        <v>105</v>
      </c>
      <c r="C6579" s="58" t="s">
        <v>20080</v>
      </c>
      <c r="D6579" s="59" t="s">
        <v>45</v>
      </c>
      <c r="E6579" s="55" t="s">
        <v>19904</v>
      </c>
      <c r="F6579" s="55" t="s">
        <v>19905</v>
      </c>
      <c r="G6579" s="54" t="s">
        <v>20081</v>
      </c>
      <c r="H6579" s="54" t="s">
        <v>20082</v>
      </c>
      <c r="I6579" s="43">
        <v>12</v>
      </c>
      <c r="J6579" s="44" t="str">
        <f>VLOOKUP(G6579,[1]硬件清单!$F:$F,1,0)</f>
        <v>210235A2CR6211F000CZ</v>
      </c>
      <c r="K6579" s="60"/>
      <c r="L6579" s="44"/>
      <c r="M6579" s="45" t="s">
        <v>20083</v>
      </c>
    </row>
    <row r="6580" ht="30" customHeight="1" spans="1:13">
      <c r="A6580" s="41">
        <f>IF(C6580="","",SUBTOTAL(103,$C$2:C6580))</f>
        <v>6571</v>
      </c>
      <c r="B6580" s="57">
        <v>106</v>
      </c>
      <c r="C6580" s="58" t="s">
        <v>20084</v>
      </c>
      <c r="D6580" s="59" t="s">
        <v>45</v>
      </c>
      <c r="E6580" s="55" t="s">
        <v>19904</v>
      </c>
      <c r="F6580" s="55" t="s">
        <v>19905</v>
      </c>
      <c r="G6580" s="54" t="s">
        <v>20085</v>
      </c>
      <c r="H6580" s="54" t="s">
        <v>20086</v>
      </c>
      <c r="I6580" s="43">
        <v>12</v>
      </c>
      <c r="J6580" s="44" t="str">
        <f>VLOOKUP(G6580,[1]硬件清单!$F:$F,1,0)</f>
        <v>210235A2CR6211F000CH</v>
      </c>
      <c r="K6580" s="60"/>
      <c r="L6580" s="44"/>
      <c r="M6580" s="45" t="s">
        <v>20087</v>
      </c>
    </row>
    <row r="6581" ht="30" customHeight="1" spans="1:13">
      <c r="A6581" s="41">
        <f>IF(C6581="","",SUBTOTAL(103,$C$2:C6581))</f>
        <v>6572</v>
      </c>
      <c r="B6581" s="57">
        <v>107</v>
      </c>
      <c r="C6581" s="58" t="s">
        <v>20088</v>
      </c>
      <c r="D6581" s="59" t="s">
        <v>45</v>
      </c>
      <c r="E6581" s="55" t="s">
        <v>19904</v>
      </c>
      <c r="F6581" s="55" t="s">
        <v>19905</v>
      </c>
      <c r="G6581" s="54" t="s">
        <v>20089</v>
      </c>
      <c r="H6581" s="54" t="s">
        <v>20090</v>
      </c>
      <c r="I6581" s="43">
        <v>12</v>
      </c>
      <c r="J6581" s="44" t="str">
        <f>VLOOKUP(G6581,[1]硬件清单!$F:$F,1,0)</f>
        <v>210235A2CR6211F000CD</v>
      </c>
      <c r="K6581" s="60"/>
      <c r="L6581" s="44"/>
      <c r="M6581" s="45" t="s">
        <v>20091</v>
      </c>
    </row>
    <row r="6582" ht="30" customHeight="1" spans="1:13">
      <c r="A6582" s="41">
        <f>IF(C6582="","",SUBTOTAL(103,$C$2:C6582))</f>
        <v>6573</v>
      </c>
      <c r="B6582" s="57">
        <v>108</v>
      </c>
      <c r="C6582" s="58" t="s">
        <v>20092</v>
      </c>
      <c r="D6582" s="59" t="s">
        <v>45</v>
      </c>
      <c r="E6582" s="55" t="s">
        <v>19904</v>
      </c>
      <c r="F6582" s="55" t="s">
        <v>19905</v>
      </c>
      <c r="G6582" s="54" t="s">
        <v>20093</v>
      </c>
      <c r="H6582" s="54" t="s">
        <v>20094</v>
      </c>
      <c r="I6582" s="43">
        <v>12</v>
      </c>
      <c r="J6582" s="44" t="str">
        <f>VLOOKUP(G6582,[1]硬件清单!$F:$F,1,0)</f>
        <v>210235A2CR6211F000CY</v>
      </c>
      <c r="K6582" s="60"/>
      <c r="L6582" s="44"/>
      <c r="M6582" s="45" t="s">
        <v>20095</v>
      </c>
    </row>
    <row r="6583" ht="30" customHeight="1" spans="1:13">
      <c r="A6583" s="41">
        <f>IF(C6583="","",SUBTOTAL(103,$C$2:C6583))</f>
        <v>6574</v>
      </c>
      <c r="B6583" s="57">
        <v>109</v>
      </c>
      <c r="C6583" s="58" t="s">
        <v>20096</v>
      </c>
      <c r="D6583" s="59" t="s">
        <v>45</v>
      </c>
      <c r="E6583" s="55" t="s">
        <v>19904</v>
      </c>
      <c r="F6583" s="55" t="s">
        <v>19905</v>
      </c>
      <c r="G6583" s="54" t="s">
        <v>20097</v>
      </c>
      <c r="H6583" s="54" t="s">
        <v>20098</v>
      </c>
      <c r="I6583" s="43">
        <v>12</v>
      </c>
      <c r="J6583" s="44" t="str">
        <f>VLOOKUP(G6583,[1]硬件清单!$F:$F,1,0)</f>
        <v>210235A2CR6211F000BM</v>
      </c>
      <c r="K6583" s="60"/>
      <c r="L6583" s="44"/>
      <c r="M6583" s="45" t="s">
        <v>20099</v>
      </c>
    </row>
    <row r="6584" ht="30" customHeight="1" spans="1:13">
      <c r="A6584" s="41">
        <f>IF(C6584="","",SUBTOTAL(103,$C$2:C6584))</f>
        <v>6575</v>
      </c>
      <c r="B6584" s="57">
        <v>110</v>
      </c>
      <c r="C6584" s="58" t="s">
        <v>20100</v>
      </c>
      <c r="D6584" s="59" t="s">
        <v>45</v>
      </c>
      <c r="E6584" s="55" t="s">
        <v>19904</v>
      </c>
      <c r="F6584" s="55" t="s">
        <v>19905</v>
      </c>
      <c r="G6584" s="54" t="s">
        <v>20101</v>
      </c>
      <c r="H6584" s="54" t="s">
        <v>20102</v>
      </c>
      <c r="I6584" s="43">
        <v>12</v>
      </c>
      <c r="J6584" s="44" t="str">
        <f>VLOOKUP(G6584,[1]硬件清单!$F:$F,1,0)</f>
        <v>210235A2CR6211F000BP</v>
      </c>
      <c r="K6584" s="60"/>
      <c r="L6584" s="44"/>
      <c r="M6584" s="45" t="s">
        <v>20103</v>
      </c>
    </row>
    <row r="6585" ht="30" customHeight="1" spans="1:13">
      <c r="A6585" s="41">
        <f>IF(C6585="","",SUBTOTAL(103,$C$2:C6585))</f>
        <v>6576</v>
      </c>
      <c r="B6585" s="57">
        <v>111</v>
      </c>
      <c r="C6585" s="58" t="s">
        <v>20104</v>
      </c>
      <c r="D6585" s="59" t="s">
        <v>45</v>
      </c>
      <c r="E6585" s="55" t="s">
        <v>19904</v>
      </c>
      <c r="F6585" s="55" t="s">
        <v>19905</v>
      </c>
      <c r="G6585" s="54" t="s">
        <v>20105</v>
      </c>
      <c r="H6585" s="54" t="s">
        <v>20106</v>
      </c>
      <c r="I6585" s="43">
        <v>12</v>
      </c>
      <c r="J6585" s="44" t="str">
        <f>VLOOKUP(G6585,[1]硬件清单!$F:$F,1,0)</f>
        <v>210235A2CR6211F000CC</v>
      </c>
      <c r="K6585" s="60"/>
      <c r="L6585" s="44"/>
      <c r="M6585" s="45" t="s">
        <v>20107</v>
      </c>
    </row>
    <row r="6586" ht="30" customHeight="1" spans="1:13">
      <c r="A6586" s="41">
        <f>IF(C6586="","",SUBTOTAL(103,$C$2:C6586))</f>
        <v>6577</v>
      </c>
      <c r="B6586" s="57">
        <v>112</v>
      </c>
      <c r="C6586" s="58" t="s">
        <v>20108</v>
      </c>
      <c r="D6586" s="59" t="s">
        <v>45</v>
      </c>
      <c r="E6586" s="55" t="s">
        <v>19904</v>
      </c>
      <c r="F6586" s="55" t="s">
        <v>19905</v>
      </c>
      <c r="G6586" s="54" t="s">
        <v>20109</v>
      </c>
      <c r="H6586" s="54" t="s">
        <v>20110</v>
      </c>
      <c r="I6586" s="43">
        <v>12</v>
      </c>
      <c r="J6586" s="44" t="str">
        <f>VLOOKUP(G6586,[1]硬件清单!$F:$F,1,0)</f>
        <v>210235A2CR6211F000CL</v>
      </c>
      <c r="K6586" s="60"/>
      <c r="L6586" s="44"/>
      <c r="M6586" s="45" t="s">
        <v>20111</v>
      </c>
    </row>
    <row r="6587" ht="30" customHeight="1" spans="1:13">
      <c r="A6587" s="41">
        <f>IF(C6587="","",SUBTOTAL(103,$C$2:C6587))</f>
        <v>6578</v>
      </c>
      <c r="B6587" s="57">
        <v>216</v>
      </c>
      <c r="C6587" s="58" t="s">
        <v>20112</v>
      </c>
      <c r="D6587" s="59" t="s">
        <v>45</v>
      </c>
      <c r="E6587" s="55" t="s">
        <v>19904</v>
      </c>
      <c r="F6587" s="55" t="s">
        <v>19905</v>
      </c>
      <c r="G6587" s="54" t="s">
        <v>20113</v>
      </c>
      <c r="H6587" s="54" t="s">
        <v>20114</v>
      </c>
      <c r="I6587" s="43">
        <v>12</v>
      </c>
      <c r="J6587" s="44" t="str">
        <f>VLOOKUP(G6587,[1]硬件清单!$F:$F,1,0)</f>
        <v>210235A2CT6211F0004Z</v>
      </c>
      <c r="K6587" s="60"/>
      <c r="L6587" s="44"/>
      <c r="M6587" s="45" t="s">
        <v>20115</v>
      </c>
    </row>
    <row r="6588" ht="30" customHeight="1" spans="1:13">
      <c r="A6588" s="41">
        <f>IF(C6588="","",SUBTOTAL(103,$C$2:C6588))</f>
        <v>6579</v>
      </c>
      <c r="B6588" s="57">
        <v>217</v>
      </c>
      <c r="C6588" s="58" t="s">
        <v>20116</v>
      </c>
      <c r="D6588" s="59" t="s">
        <v>45</v>
      </c>
      <c r="E6588" s="55" t="s">
        <v>19904</v>
      </c>
      <c r="F6588" s="55" t="s">
        <v>19905</v>
      </c>
      <c r="G6588" s="54" t="s">
        <v>20117</v>
      </c>
      <c r="H6588" s="54" t="s">
        <v>20118</v>
      </c>
      <c r="I6588" s="43">
        <v>12</v>
      </c>
      <c r="J6588" s="44" t="str">
        <f>VLOOKUP(G6588,[1]硬件清单!$F:$F,1,0)</f>
        <v>210235A2CT6211F00050</v>
      </c>
      <c r="K6588" s="60"/>
      <c r="L6588" s="44"/>
      <c r="M6588" s="45" t="s">
        <v>20119</v>
      </c>
    </row>
    <row r="6589" ht="30" customHeight="1" spans="1:13">
      <c r="A6589" s="41">
        <f>IF(C6589="","",SUBTOTAL(103,$C$2:C6589))</f>
        <v>6580</v>
      </c>
      <c r="B6589" s="57">
        <v>218</v>
      </c>
      <c r="C6589" s="58" t="s">
        <v>20120</v>
      </c>
      <c r="D6589" s="59" t="s">
        <v>45</v>
      </c>
      <c r="E6589" s="55" t="s">
        <v>19904</v>
      </c>
      <c r="F6589" s="55" t="s">
        <v>19905</v>
      </c>
      <c r="G6589" s="54" t="s">
        <v>20121</v>
      </c>
      <c r="H6589" s="54" t="s">
        <v>20122</v>
      </c>
      <c r="I6589" s="43">
        <v>12</v>
      </c>
      <c r="J6589" s="44" t="str">
        <f>VLOOKUP(G6589,[1]硬件清单!$F:$F,1,0)</f>
        <v>210235A2CT6211F00051</v>
      </c>
      <c r="K6589" s="60"/>
      <c r="L6589" s="44"/>
      <c r="M6589" s="45" t="s">
        <v>20123</v>
      </c>
    </row>
    <row r="6590" ht="30" customHeight="1" spans="1:13">
      <c r="A6590" s="41">
        <f>IF(C6590="","",SUBTOTAL(103,$C$2:C6590))</f>
        <v>6581</v>
      </c>
      <c r="B6590" s="57">
        <v>219</v>
      </c>
      <c r="C6590" s="58" t="s">
        <v>20124</v>
      </c>
      <c r="D6590" s="59" t="s">
        <v>45</v>
      </c>
      <c r="E6590" s="55" t="s">
        <v>19904</v>
      </c>
      <c r="F6590" s="55" t="s">
        <v>19905</v>
      </c>
      <c r="G6590" s="54" t="s">
        <v>20125</v>
      </c>
      <c r="H6590" s="54" t="s">
        <v>20126</v>
      </c>
      <c r="I6590" s="43">
        <v>12</v>
      </c>
      <c r="J6590" s="44" t="str">
        <f>VLOOKUP(G6590,[1]硬件清单!$F:$F,1,0)</f>
        <v>210235A2CT6211F0004V</v>
      </c>
      <c r="K6590" s="60"/>
      <c r="L6590" s="44"/>
      <c r="M6590" s="45" t="s">
        <v>20127</v>
      </c>
    </row>
    <row r="6591" ht="30" customHeight="1" spans="1:13">
      <c r="A6591" s="41">
        <f>IF(C6591="","",SUBTOTAL(103,$C$2:C6591))</f>
        <v>6582</v>
      </c>
      <c r="B6591" s="57">
        <v>220</v>
      </c>
      <c r="C6591" s="58" t="s">
        <v>20128</v>
      </c>
      <c r="D6591" s="59" t="s">
        <v>45</v>
      </c>
      <c r="E6591" s="55" t="s">
        <v>19904</v>
      </c>
      <c r="F6591" s="55" t="s">
        <v>19905</v>
      </c>
      <c r="G6591" s="54" t="s">
        <v>20129</v>
      </c>
      <c r="H6591" s="54" t="s">
        <v>20130</v>
      </c>
      <c r="I6591" s="43">
        <v>12</v>
      </c>
      <c r="J6591" s="44" t="str">
        <f>VLOOKUP(G6591,[1]硬件清单!$F:$F,1,0)</f>
        <v>210235A2CT6211F0004Y</v>
      </c>
      <c r="K6591" s="60"/>
      <c r="L6591" s="44"/>
      <c r="M6591" s="45" t="s">
        <v>20131</v>
      </c>
    </row>
    <row r="6592" ht="30" customHeight="1" spans="1:13">
      <c r="A6592" s="41">
        <f>IF(C6592="","",SUBTOTAL(103,$C$2:C6592))</f>
        <v>6583</v>
      </c>
      <c r="B6592" s="57">
        <v>221</v>
      </c>
      <c r="C6592" s="58" t="s">
        <v>20132</v>
      </c>
      <c r="D6592" s="59" t="s">
        <v>45</v>
      </c>
      <c r="E6592" s="55" t="s">
        <v>19904</v>
      </c>
      <c r="F6592" s="55" t="s">
        <v>19905</v>
      </c>
      <c r="G6592" s="54" t="s">
        <v>20133</v>
      </c>
      <c r="H6592" s="54" t="s">
        <v>20134</v>
      </c>
      <c r="I6592" s="43">
        <v>12</v>
      </c>
      <c r="J6592" s="44" t="str">
        <f>VLOOKUP(G6592,[1]硬件清单!$F:$F,1,0)</f>
        <v>210235A2CT6211F0004T</v>
      </c>
      <c r="K6592" s="60"/>
      <c r="L6592" s="44"/>
      <c r="M6592" s="45" t="s">
        <v>20135</v>
      </c>
    </row>
    <row r="6593" ht="30" customHeight="1" spans="1:13">
      <c r="A6593" s="41">
        <f>IF(C6593="","",SUBTOTAL(103,$C$2:C6593))</f>
        <v>6584</v>
      </c>
      <c r="B6593" s="57">
        <v>319</v>
      </c>
      <c r="C6593" s="58" t="s">
        <v>20136</v>
      </c>
      <c r="D6593" s="59" t="s">
        <v>45</v>
      </c>
      <c r="E6593" s="55" t="s">
        <v>19904</v>
      </c>
      <c r="F6593" s="55" t="s">
        <v>19905</v>
      </c>
      <c r="G6593" s="54" t="s">
        <v>20137</v>
      </c>
      <c r="H6593" s="54" t="s">
        <v>20138</v>
      </c>
      <c r="I6593" s="43">
        <v>12</v>
      </c>
      <c r="J6593" s="44" t="str">
        <f>VLOOKUP(G6593,[1]硬件清单!$F:$F,1,0)</f>
        <v>210235A2CT6211F0004X</v>
      </c>
      <c r="K6593" s="60"/>
      <c r="L6593" s="44"/>
      <c r="M6593" s="45" t="s">
        <v>20139</v>
      </c>
    </row>
    <row r="6594" ht="30" customHeight="1" spans="1:13">
      <c r="A6594" s="41">
        <f>IF(C6594="","",SUBTOTAL(103,$C$2:C6594))</f>
        <v>6585</v>
      </c>
      <c r="B6594" s="57">
        <v>320</v>
      </c>
      <c r="C6594" s="58" t="s">
        <v>20140</v>
      </c>
      <c r="D6594" s="59" t="s">
        <v>45</v>
      </c>
      <c r="E6594" s="55" t="s">
        <v>19904</v>
      </c>
      <c r="F6594" s="55" t="s">
        <v>19905</v>
      </c>
      <c r="G6594" s="54" t="s">
        <v>20141</v>
      </c>
      <c r="H6594" s="54" t="s">
        <v>20142</v>
      </c>
      <c r="I6594" s="43">
        <v>12</v>
      </c>
      <c r="J6594" s="44" t="str">
        <f>VLOOKUP(G6594,[1]硬件清单!$F:$F,1,0)</f>
        <v>210235A2CT6211F0004W</v>
      </c>
      <c r="K6594" s="60"/>
      <c r="L6594" s="44"/>
      <c r="M6594" s="45" t="s">
        <v>20143</v>
      </c>
    </row>
    <row r="6595" ht="30" customHeight="1" spans="1:13">
      <c r="A6595" s="41">
        <f>IF(C6595="","",SUBTOTAL(103,$C$2:C6595))</f>
        <v>6586</v>
      </c>
      <c r="B6595" s="57">
        <v>359</v>
      </c>
      <c r="C6595" s="58" t="s">
        <v>20144</v>
      </c>
      <c r="D6595" s="59" t="s">
        <v>45</v>
      </c>
      <c r="E6595" s="55" t="s">
        <v>20145</v>
      </c>
      <c r="F6595" s="56" t="s">
        <v>20146</v>
      </c>
      <c r="G6595" s="54" t="s">
        <v>20147</v>
      </c>
      <c r="H6595" s="54" t="s">
        <v>20148</v>
      </c>
      <c r="I6595" s="43">
        <v>12</v>
      </c>
      <c r="J6595" s="44" t="str">
        <f>VLOOKUP(G6595,[1]硬件清单!$F:$F,1,0)</f>
        <v>P7854F38</v>
      </c>
      <c r="K6595" s="44" t="s">
        <v>250</v>
      </c>
      <c r="L6595" s="44" t="s">
        <v>17</v>
      </c>
      <c r="M6595" s="45" t="s">
        <v>20149</v>
      </c>
    </row>
    <row r="6596" ht="30" customHeight="1" spans="1:13">
      <c r="A6596" s="41">
        <f>IF(C6596="","",SUBTOTAL(103,$C$2:C6596))</f>
        <v>6587</v>
      </c>
      <c r="B6596" s="57">
        <v>360</v>
      </c>
      <c r="C6596" s="58" t="s">
        <v>20150</v>
      </c>
      <c r="D6596" s="59" t="s">
        <v>45</v>
      </c>
      <c r="E6596" s="55" t="s">
        <v>20145</v>
      </c>
      <c r="F6596" s="56" t="s">
        <v>20146</v>
      </c>
      <c r="G6596" s="54" t="s">
        <v>20151</v>
      </c>
      <c r="H6596" s="54" t="s">
        <v>20152</v>
      </c>
      <c r="I6596" s="43">
        <v>12</v>
      </c>
      <c r="J6596" s="44" t="str">
        <f>VLOOKUP(G6596,[1]硬件清单!$F:$F,1,0)</f>
        <v>P7854F68</v>
      </c>
      <c r="K6596" s="44" t="s">
        <v>250</v>
      </c>
      <c r="L6596" s="44" t="s">
        <v>17</v>
      </c>
      <c r="M6596" s="45" t="s">
        <v>20153</v>
      </c>
    </row>
    <row r="6597" ht="30" customHeight="1" spans="1:13">
      <c r="A6597" s="41">
        <f>IF(C6597="","",SUBTOTAL(103,$C$2:C6597))</f>
        <v>6588</v>
      </c>
      <c r="B6597" s="57">
        <v>471</v>
      </c>
      <c r="C6597" s="58" t="s">
        <v>20154</v>
      </c>
      <c r="D6597" s="59" t="s">
        <v>45</v>
      </c>
      <c r="E6597" s="55" t="s">
        <v>19904</v>
      </c>
      <c r="F6597" s="55" t="s">
        <v>19905</v>
      </c>
      <c r="G6597" s="54" t="s">
        <v>20155</v>
      </c>
      <c r="H6597" s="54" t="s">
        <v>20156</v>
      </c>
      <c r="I6597" s="43">
        <v>12</v>
      </c>
      <c r="J6597" s="44" t="str">
        <f>VLOOKUP(G6597,[1]硬件清单!$F:$F,1,0)</f>
        <v>210235A2CR6211F000D7</v>
      </c>
      <c r="K6597" s="60"/>
      <c r="L6597" s="44"/>
      <c r="M6597" s="45" t="s">
        <v>20157</v>
      </c>
    </row>
    <row r="6598" ht="30" customHeight="1" spans="1:13">
      <c r="A6598" s="41">
        <f>IF(C6598="","",SUBTOTAL(103,$C$2:C6598))</f>
        <v>6589</v>
      </c>
      <c r="B6598" s="57">
        <v>472</v>
      </c>
      <c r="C6598" s="58" t="s">
        <v>20158</v>
      </c>
      <c r="D6598" s="59" t="s">
        <v>45</v>
      </c>
      <c r="E6598" s="55" t="s">
        <v>19904</v>
      </c>
      <c r="F6598" s="55" t="s">
        <v>19905</v>
      </c>
      <c r="G6598" s="54" t="s">
        <v>20159</v>
      </c>
      <c r="H6598" s="54" t="s">
        <v>20160</v>
      </c>
      <c r="I6598" s="43">
        <v>12</v>
      </c>
      <c r="J6598" s="44" t="str">
        <f>VLOOKUP(G6598,[1]硬件清单!$F:$F,1,0)</f>
        <v>210235A2CR6211F000D8</v>
      </c>
      <c r="K6598" s="60"/>
      <c r="L6598" s="44"/>
      <c r="M6598" s="45" t="s">
        <v>20161</v>
      </c>
    </row>
    <row r="6599" ht="30" customHeight="1" spans="1:13">
      <c r="A6599" s="41">
        <f>IF(C6599="","",SUBTOTAL(103,$C$2:C6599))</f>
        <v>6590</v>
      </c>
      <c r="B6599" s="57">
        <v>565</v>
      </c>
      <c r="C6599" s="58" t="s">
        <v>20162</v>
      </c>
      <c r="D6599" s="59" t="s">
        <v>45</v>
      </c>
      <c r="E6599" s="55" t="s">
        <v>19904</v>
      </c>
      <c r="F6599" s="55" t="s">
        <v>19905</v>
      </c>
      <c r="G6599" s="54" t="s">
        <v>20163</v>
      </c>
      <c r="H6599" s="54" t="s">
        <v>20164</v>
      </c>
      <c r="I6599" s="43">
        <v>12</v>
      </c>
      <c r="J6599" s="44" t="str">
        <f>VLOOKUP(G6599,[1]硬件清单!$F:$F,1,0)</f>
        <v>210235A2CR6211F000BG</v>
      </c>
      <c r="K6599" s="60"/>
      <c r="L6599" s="44"/>
      <c r="M6599" s="45" t="s">
        <v>20165</v>
      </c>
    </row>
    <row r="6600" ht="30" customHeight="1" spans="1:13">
      <c r="A6600" s="41">
        <f>IF(C6600="","",SUBTOTAL(103,$C$2:C6600))</f>
        <v>6591</v>
      </c>
      <c r="B6600" s="57">
        <v>566</v>
      </c>
      <c r="C6600" s="58" t="s">
        <v>20166</v>
      </c>
      <c r="D6600" s="59" t="s">
        <v>45</v>
      </c>
      <c r="E6600" s="55" t="s">
        <v>19904</v>
      </c>
      <c r="F6600" s="55" t="s">
        <v>19905</v>
      </c>
      <c r="G6600" s="54" t="s">
        <v>20167</v>
      </c>
      <c r="H6600" s="54" t="s">
        <v>20168</v>
      </c>
      <c r="I6600" s="43">
        <v>12</v>
      </c>
      <c r="J6600" s="44" t="str">
        <f>VLOOKUP(G6600,[1]硬件清单!$F:$F,1,0)</f>
        <v>210235A2CR6211F000BH</v>
      </c>
      <c r="K6600" s="60"/>
      <c r="L6600" s="44"/>
      <c r="M6600" s="45" t="s">
        <v>20169</v>
      </c>
    </row>
    <row r="6601" ht="30" customHeight="1" spans="1:13">
      <c r="A6601" s="41">
        <f>IF(C6601="","",SUBTOTAL(103,$C$2:C6601))</f>
        <v>6592</v>
      </c>
      <c r="B6601" s="57">
        <v>567</v>
      </c>
      <c r="C6601" s="58" t="s">
        <v>20170</v>
      </c>
      <c r="D6601" s="59" t="s">
        <v>45</v>
      </c>
      <c r="E6601" s="55" t="s">
        <v>19904</v>
      </c>
      <c r="F6601" s="55" t="s">
        <v>19905</v>
      </c>
      <c r="G6601" s="54" t="s">
        <v>20171</v>
      </c>
      <c r="H6601" s="54" t="s">
        <v>20172</v>
      </c>
      <c r="I6601" s="43">
        <v>12</v>
      </c>
      <c r="J6601" s="44" t="str">
        <f>VLOOKUP(G6601,[1]硬件清单!$F:$F,1,0)</f>
        <v>210235A2CR6211F000BC</v>
      </c>
      <c r="K6601" s="60"/>
      <c r="L6601" s="44"/>
      <c r="M6601" s="45" t="s">
        <v>20173</v>
      </c>
    </row>
    <row r="6602" ht="30" customHeight="1" spans="1:13">
      <c r="A6602" s="41">
        <f>IF(C6602="","",SUBTOTAL(103,$C$2:C6602))</f>
        <v>6593</v>
      </c>
      <c r="B6602" s="57">
        <v>568</v>
      </c>
      <c r="C6602" s="58" t="s">
        <v>20174</v>
      </c>
      <c r="D6602" s="59" t="s">
        <v>45</v>
      </c>
      <c r="E6602" s="55" t="s">
        <v>19904</v>
      </c>
      <c r="F6602" s="55" t="s">
        <v>19905</v>
      </c>
      <c r="G6602" s="54" t="s">
        <v>20175</v>
      </c>
      <c r="H6602" s="54" t="s">
        <v>20176</v>
      </c>
      <c r="I6602" s="43">
        <v>12</v>
      </c>
      <c r="J6602" s="44" t="str">
        <f>VLOOKUP(G6602,[1]硬件清单!$F:$F,1,0)</f>
        <v>210235A2CR6211F000BJ</v>
      </c>
      <c r="K6602" s="60"/>
      <c r="L6602" s="44"/>
      <c r="M6602" s="45" t="s">
        <v>20177</v>
      </c>
    </row>
    <row r="6603" ht="30" customHeight="1" spans="1:13">
      <c r="A6603" s="41">
        <f>IF(C6603="","",SUBTOTAL(103,$C$2:C6603))</f>
        <v>6594</v>
      </c>
      <c r="B6603" s="57">
        <v>569</v>
      </c>
      <c r="C6603" s="58" t="s">
        <v>20178</v>
      </c>
      <c r="D6603" s="59" t="s">
        <v>45</v>
      </c>
      <c r="E6603" s="55" t="s">
        <v>19904</v>
      </c>
      <c r="F6603" s="55" t="s">
        <v>19905</v>
      </c>
      <c r="G6603" s="54" t="s">
        <v>20179</v>
      </c>
      <c r="H6603" s="54" t="s">
        <v>20180</v>
      </c>
      <c r="I6603" s="43">
        <v>12</v>
      </c>
      <c r="J6603" s="44" t="str">
        <f>VLOOKUP(G6603,[1]硬件清单!$F:$F,1,0)</f>
        <v>210235A2CR6211F000BD</v>
      </c>
      <c r="K6603" s="60"/>
      <c r="L6603" s="44"/>
      <c r="M6603" s="45" t="s">
        <v>20181</v>
      </c>
    </row>
    <row r="6604" ht="30" customHeight="1" spans="1:13">
      <c r="A6604" s="41">
        <f>IF(C6604="","",SUBTOTAL(103,$C$2:C6604))</f>
        <v>6595</v>
      </c>
      <c r="B6604" s="57">
        <v>570</v>
      </c>
      <c r="C6604" s="58" t="s">
        <v>20182</v>
      </c>
      <c r="D6604" s="59" t="s">
        <v>45</v>
      </c>
      <c r="E6604" s="55" t="s">
        <v>19904</v>
      </c>
      <c r="F6604" s="55" t="s">
        <v>19905</v>
      </c>
      <c r="G6604" s="54" t="s">
        <v>20183</v>
      </c>
      <c r="H6604" s="54" t="s">
        <v>20184</v>
      </c>
      <c r="I6604" s="43">
        <v>12</v>
      </c>
      <c r="J6604" s="44" t="str">
        <f>VLOOKUP(G6604,[1]硬件清单!$F:$F,1,0)</f>
        <v>210235A2CR6211F000BF</v>
      </c>
      <c r="K6604" s="60"/>
      <c r="L6604" s="44"/>
      <c r="M6604" s="45" t="s">
        <v>20185</v>
      </c>
    </row>
    <row r="6605" ht="30" customHeight="1" spans="1:13">
      <c r="A6605" s="41">
        <f>IF(C6605="","",SUBTOTAL(103,$C$2:C6605))</f>
        <v>6596</v>
      </c>
      <c r="B6605" s="57">
        <v>621</v>
      </c>
      <c r="C6605" s="58" t="s">
        <v>20186</v>
      </c>
      <c r="D6605" s="59" t="s">
        <v>161</v>
      </c>
      <c r="E6605" s="56" t="s">
        <v>162</v>
      </c>
      <c r="F6605" s="56" t="s">
        <v>20187</v>
      </c>
      <c r="G6605" s="54" t="s">
        <v>20188</v>
      </c>
      <c r="H6605" s="54" t="s">
        <v>20189</v>
      </c>
      <c r="I6605" s="43">
        <v>12</v>
      </c>
      <c r="J6605" s="44" t="str">
        <f>VLOOKUP(G6605,[1]硬件清单!$F:$F,1,0)</f>
        <v>2102353GWS10LC000011
210235APJ10LC000021</v>
      </c>
      <c r="K6605" s="44" t="s">
        <v>250</v>
      </c>
      <c r="L6605" s="44" t="s">
        <v>17</v>
      </c>
      <c r="M6605" s="45" t="s">
        <v>20190</v>
      </c>
    </row>
    <row r="6606" ht="30" customHeight="1" spans="1:13">
      <c r="A6606" s="41">
        <f>IF(C6606="","",SUBTOTAL(103,$C$2:C6606))</f>
        <v>6597</v>
      </c>
      <c r="B6606" s="57">
        <v>622</v>
      </c>
      <c r="C6606" s="58" t="s">
        <v>20191</v>
      </c>
      <c r="D6606" s="59" t="s">
        <v>161</v>
      </c>
      <c r="E6606" s="56" t="s">
        <v>162</v>
      </c>
      <c r="F6606" s="56" t="s">
        <v>20187</v>
      </c>
      <c r="G6606" s="54" t="s">
        <v>20192</v>
      </c>
      <c r="H6606" s="54" t="s">
        <v>20193</v>
      </c>
      <c r="I6606" s="43">
        <v>12</v>
      </c>
      <c r="J6606" s="44" t="str">
        <f>VLOOKUP(G6606,[1]硬件清单!$F:$F,1,0)</f>
        <v>2102353GWS10LC000010
210235APJ10LC000022</v>
      </c>
      <c r="K6606" s="44" t="s">
        <v>250</v>
      </c>
      <c r="L6606" s="44" t="s">
        <v>17</v>
      </c>
      <c r="M6606" s="45" t="s">
        <v>20194</v>
      </c>
    </row>
    <row r="6607" ht="30" customHeight="1" spans="1:13">
      <c r="A6607" s="41">
        <f>IF(C6607="","",SUBTOTAL(103,$C$2:C6607))</f>
        <v>6598</v>
      </c>
      <c r="B6607" s="57">
        <v>646</v>
      </c>
      <c r="C6607" s="58" t="s">
        <v>20195</v>
      </c>
      <c r="D6607" s="59" t="s">
        <v>161</v>
      </c>
      <c r="E6607" s="56" t="s">
        <v>162</v>
      </c>
      <c r="F6607" s="56" t="s">
        <v>20196</v>
      </c>
      <c r="G6607" s="54" t="s">
        <v>20197</v>
      </c>
      <c r="H6607" s="54" t="s">
        <v>20198</v>
      </c>
      <c r="I6607" s="43">
        <v>12</v>
      </c>
      <c r="J6607" s="44" t="str">
        <f>VLOOKUP(G6607,[1]硬件清单!$F:$F,1,0)</f>
        <v>221330606</v>
      </c>
      <c r="K6607" s="44" t="s">
        <v>250</v>
      </c>
      <c r="L6607" s="44" t="s">
        <v>17</v>
      </c>
      <c r="M6607" s="45" t="s">
        <v>20199</v>
      </c>
    </row>
    <row r="6608" ht="30" customHeight="1" spans="1:13">
      <c r="A6608" s="41">
        <f>IF(C6608="","",SUBTOTAL(103,$C$2:C6608))</f>
        <v>6599</v>
      </c>
      <c r="B6608" s="57">
        <v>647</v>
      </c>
      <c r="C6608" s="58" t="s">
        <v>20200</v>
      </c>
      <c r="D6608" s="59" t="s">
        <v>161</v>
      </c>
      <c r="E6608" s="56" t="s">
        <v>162</v>
      </c>
      <c r="F6608" s="56" t="s">
        <v>20196</v>
      </c>
      <c r="G6608" s="54" t="s">
        <v>20201</v>
      </c>
      <c r="H6608" s="54" t="s">
        <v>20202</v>
      </c>
      <c r="I6608" s="43">
        <v>12</v>
      </c>
      <c r="J6608" s="44" t="str">
        <f>VLOOKUP(G6608,[1]硬件清单!$F:$F,1,0)</f>
        <v>221330605</v>
      </c>
      <c r="K6608" s="44" t="s">
        <v>250</v>
      </c>
      <c r="L6608" s="44" t="s">
        <v>17</v>
      </c>
      <c r="M6608" s="45" t="s">
        <v>20203</v>
      </c>
    </row>
    <row r="6609" ht="30" customHeight="1" spans="1:13">
      <c r="A6609" s="41">
        <f>IF(C6609="","",SUBTOTAL(103,$C$2:C6609))</f>
        <v>6600</v>
      </c>
      <c r="B6609" s="57">
        <v>665</v>
      </c>
      <c r="C6609" s="58" t="s">
        <v>20204</v>
      </c>
      <c r="D6609" s="59" t="s">
        <v>161</v>
      </c>
      <c r="E6609" s="55" t="s">
        <v>20205</v>
      </c>
      <c r="F6609" s="56" t="s">
        <v>20206</v>
      </c>
      <c r="G6609" s="54" t="s">
        <v>20207</v>
      </c>
      <c r="H6609" s="54" t="s">
        <v>20208</v>
      </c>
      <c r="I6609" s="43">
        <v>12</v>
      </c>
      <c r="J6609" s="44" t="str">
        <f>VLOOKUP(G6609,[1]硬件清单!$F:$F,1,0)</f>
        <v>TYZJ21D10088</v>
      </c>
      <c r="K6609" s="60"/>
      <c r="L6609" s="44"/>
      <c r="M6609" s="45" t="s">
        <v>20209</v>
      </c>
    </row>
    <row r="6610" ht="30" customHeight="1" spans="1:13">
      <c r="A6610" s="41">
        <f>IF(C6610="","",SUBTOTAL(103,$C$2:C6610))</f>
        <v>6601</v>
      </c>
      <c r="B6610" s="57">
        <v>666</v>
      </c>
      <c r="C6610" s="58" t="s">
        <v>20210</v>
      </c>
      <c r="D6610" s="59" t="s">
        <v>161</v>
      </c>
      <c r="E6610" s="55" t="s">
        <v>20205</v>
      </c>
      <c r="F6610" s="56" t="s">
        <v>20206</v>
      </c>
      <c r="G6610" s="54" t="s">
        <v>20211</v>
      </c>
      <c r="H6610" s="54" t="s">
        <v>20212</v>
      </c>
      <c r="I6610" s="43">
        <v>12</v>
      </c>
      <c r="J6610" s="44" t="str">
        <f>VLOOKUP(G6610,[1]硬件清单!$F:$F,1,0)</f>
        <v>TYZJ21D10089</v>
      </c>
      <c r="K6610" s="60"/>
      <c r="L6610" s="44"/>
      <c r="M6610" s="45" t="s">
        <v>20213</v>
      </c>
    </row>
    <row r="6611" ht="30" customHeight="1" spans="1:13">
      <c r="A6611" s="41">
        <f>IF(C6611="","",SUBTOTAL(103,$C$2:C6611))</f>
        <v>6602</v>
      </c>
      <c r="B6611" s="57">
        <v>678</v>
      </c>
      <c r="C6611" s="58" t="s">
        <v>20214</v>
      </c>
      <c r="D6611" s="59" t="s">
        <v>161</v>
      </c>
      <c r="E6611" s="56" t="s">
        <v>162</v>
      </c>
      <c r="F6611" s="56" t="s">
        <v>20215</v>
      </c>
      <c r="G6611" s="54" t="s">
        <v>20216</v>
      </c>
      <c r="H6611" s="54" t="s">
        <v>20217</v>
      </c>
      <c r="I6611" s="43">
        <v>12</v>
      </c>
      <c r="J6611" s="44" t="str">
        <f>VLOOKUP(G6611,[1]硬件清单!$F:$F,1,0)</f>
        <v>221305849</v>
      </c>
      <c r="K6611" s="44" t="s">
        <v>250</v>
      </c>
      <c r="L6611" s="44" t="s">
        <v>17</v>
      </c>
      <c r="M6611" s="45" t="s">
        <v>20218</v>
      </c>
    </row>
    <row r="6612" ht="30" customHeight="1" spans="1:13">
      <c r="A6612" s="41">
        <f>IF(C6612="","",SUBTOTAL(103,$C$2:C6612))</f>
        <v>6603</v>
      </c>
      <c r="B6612" s="57">
        <v>684</v>
      </c>
      <c r="C6612" s="58" t="s">
        <v>20219</v>
      </c>
      <c r="D6612" s="59" t="s">
        <v>161</v>
      </c>
      <c r="E6612" s="55" t="s">
        <v>20205</v>
      </c>
      <c r="F6612" s="56" t="s">
        <v>20220</v>
      </c>
      <c r="G6612" s="54" t="s">
        <v>20221</v>
      </c>
      <c r="H6612" s="54" t="s">
        <v>20222</v>
      </c>
      <c r="I6612" s="43">
        <v>12</v>
      </c>
      <c r="J6612" s="44" t="str">
        <f>VLOOKUP(G6612,[1]硬件清单!$F:$F,1,0)</f>
        <v>TYZJ21D100090</v>
      </c>
      <c r="K6612" s="60"/>
      <c r="L6612" s="44"/>
      <c r="M6612" s="45" t="s">
        <v>20223</v>
      </c>
    </row>
    <row r="6613" ht="30" customHeight="1" spans="1:13">
      <c r="A6613" s="41">
        <f>IF(C6613="","",SUBTOTAL(103,$C$2:C6613))</f>
        <v>6604</v>
      </c>
      <c r="B6613" s="57">
        <v>760</v>
      </c>
      <c r="C6613" s="58" t="s">
        <v>20224</v>
      </c>
      <c r="D6613" s="59" t="s">
        <v>19</v>
      </c>
      <c r="E6613" s="56" t="s">
        <v>20</v>
      </c>
      <c r="F6613" s="55" t="s">
        <v>20225</v>
      </c>
      <c r="G6613" s="54" t="s">
        <v>20226</v>
      </c>
      <c r="H6613" s="54" t="s">
        <v>20227</v>
      </c>
      <c r="I6613" s="43">
        <v>12</v>
      </c>
      <c r="J6613" s="44" t="str">
        <f>VLOOKUP(G6613,[1]硬件清单!$F:$F,1,0)</f>
        <v>210235A2CJH20C001342</v>
      </c>
      <c r="K6613" s="60"/>
      <c r="L6613" s="44"/>
      <c r="M6613" s="45" t="s">
        <v>20228</v>
      </c>
    </row>
    <row r="6614" ht="30" customHeight="1" spans="1:13">
      <c r="A6614" s="41">
        <f>IF(C6614="","",SUBTOTAL(103,$C$2:C6614))</f>
        <v>6605</v>
      </c>
      <c r="B6614" s="57">
        <v>761</v>
      </c>
      <c r="C6614" s="58" t="s">
        <v>20229</v>
      </c>
      <c r="D6614" s="59" t="s">
        <v>19</v>
      </c>
      <c r="E6614" s="56" t="s">
        <v>20</v>
      </c>
      <c r="F6614" s="55" t="s">
        <v>20225</v>
      </c>
      <c r="G6614" s="54" t="s">
        <v>20230</v>
      </c>
      <c r="H6614" s="54" t="s">
        <v>20231</v>
      </c>
      <c r="I6614" s="43">
        <v>12</v>
      </c>
      <c r="J6614" s="44" t="str">
        <f>VLOOKUP(G6614,[1]硬件清单!$F:$F,1,0)</f>
        <v>210235A2CJH20C001283</v>
      </c>
      <c r="K6614" s="60"/>
      <c r="L6614" s="44"/>
      <c r="M6614" s="45" t="s">
        <v>20232</v>
      </c>
    </row>
    <row r="6615" ht="30" customHeight="1" spans="1:13">
      <c r="A6615" s="41">
        <f>IF(C6615="","",SUBTOTAL(103,$C$2:C6615))</f>
        <v>6606</v>
      </c>
      <c r="B6615" s="57">
        <v>765</v>
      </c>
      <c r="C6615" s="58" t="s">
        <v>20233</v>
      </c>
      <c r="D6615" s="59" t="s">
        <v>19</v>
      </c>
      <c r="E6615" s="56" t="s">
        <v>20</v>
      </c>
      <c r="F6615" s="55" t="s">
        <v>20225</v>
      </c>
      <c r="G6615" s="54" t="s">
        <v>20234</v>
      </c>
      <c r="H6615" s="54" t="s">
        <v>20235</v>
      </c>
      <c r="I6615" s="43">
        <v>12</v>
      </c>
      <c r="J6615" s="44" t="str">
        <f>VLOOKUP(G6615,[1]硬件清单!$F:$F,1,0)</f>
        <v>210235A2CJH20C001377</v>
      </c>
      <c r="K6615" s="60"/>
      <c r="L6615" s="44"/>
      <c r="M6615" s="45" t="s">
        <v>20236</v>
      </c>
    </row>
    <row r="6616" ht="30" customHeight="1" spans="1:13">
      <c r="A6616" s="41">
        <f>IF(C6616="","",SUBTOTAL(103,$C$2:C6616))</f>
        <v>6607</v>
      </c>
      <c r="B6616" s="57">
        <v>766</v>
      </c>
      <c r="C6616" s="58" t="s">
        <v>20237</v>
      </c>
      <c r="D6616" s="59" t="s">
        <v>19</v>
      </c>
      <c r="E6616" s="56" t="s">
        <v>20</v>
      </c>
      <c r="F6616" s="55" t="s">
        <v>20225</v>
      </c>
      <c r="G6616" s="54" t="s">
        <v>20238</v>
      </c>
      <c r="H6616" s="54" t="s">
        <v>20239</v>
      </c>
      <c r="I6616" s="43">
        <v>12</v>
      </c>
      <c r="J6616" s="44" t="str">
        <f>VLOOKUP(G6616,[1]硬件清单!$F:$F,1,0)</f>
        <v>210235A2CJH20C001249</v>
      </c>
      <c r="K6616" s="60"/>
      <c r="L6616" s="44"/>
      <c r="M6616" s="45" t="s">
        <v>20240</v>
      </c>
    </row>
    <row r="6617" ht="30" customHeight="1" spans="1:13">
      <c r="A6617" s="41">
        <f>IF(C6617="","",SUBTOTAL(103,$C$2:C6617))</f>
        <v>6608</v>
      </c>
      <c r="B6617" s="57">
        <v>768</v>
      </c>
      <c r="C6617" s="58" t="s">
        <v>20241</v>
      </c>
      <c r="D6617" s="59" t="s">
        <v>19</v>
      </c>
      <c r="E6617" s="56" t="s">
        <v>20</v>
      </c>
      <c r="F6617" s="55" t="s">
        <v>20225</v>
      </c>
      <c r="G6617" s="54" t="s">
        <v>20242</v>
      </c>
      <c r="H6617" s="54" t="s">
        <v>20243</v>
      </c>
      <c r="I6617" s="43">
        <v>12</v>
      </c>
      <c r="J6617" s="44" t="str">
        <f>VLOOKUP(G6617,[1]硬件清单!$F:$F,1,0)</f>
        <v>210235A2CJH20C001330</v>
      </c>
      <c r="K6617" s="60"/>
      <c r="L6617" s="44"/>
      <c r="M6617" s="45" t="s">
        <v>20244</v>
      </c>
    </row>
    <row r="6618" ht="30" customHeight="1" spans="1:13">
      <c r="A6618" s="41">
        <f>IF(C6618="","",SUBTOTAL(103,$C$2:C6618))</f>
        <v>6609</v>
      </c>
      <c r="B6618" s="57">
        <v>769</v>
      </c>
      <c r="C6618" s="58" t="s">
        <v>20245</v>
      </c>
      <c r="D6618" s="59" t="s">
        <v>19</v>
      </c>
      <c r="E6618" s="56" t="s">
        <v>20</v>
      </c>
      <c r="F6618" s="55" t="s">
        <v>20225</v>
      </c>
      <c r="G6618" s="54" t="s">
        <v>20246</v>
      </c>
      <c r="H6618" s="54" t="s">
        <v>20247</v>
      </c>
      <c r="I6618" s="43">
        <v>12</v>
      </c>
      <c r="J6618" s="44" t="str">
        <f>VLOOKUP(G6618,[1]硬件清单!$F:$F,1,0)</f>
        <v>210235A2CJH20C001116</v>
      </c>
      <c r="K6618" s="60"/>
      <c r="L6618" s="44"/>
      <c r="M6618" s="45" t="s">
        <v>20248</v>
      </c>
    </row>
    <row r="6619" ht="30" customHeight="1" spans="1:13">
      <c r="A6619" s="41">
        <f>IF(C6619="","",SUBTOTAL(103,$C$2:C6619))</f>
        <v>6610</v>
      </c>
      <c r="B6619" s="57">
        <v>770</v>
      </c>
      <c r="C6619" s="58" t="s">
        <v>20249</v>
      </c>
      <c r="D6619" s="59" t="s">
        <v>19</v>
      </c>
      <c r="E6619" s="56" t="s">
        <v>20</v>
      </c>
      <c r="F6619" s="55" t="s">
        <v>20225</v>
      </c>
      <c r="G6619" s="54" t="s">
        <v>20250</v>
      </c>
      <c r="H6619" s="54" t="s">
        <v>20251</v>
      </c>
      <c r="I6619" s="43">
        <v>12</v>
      </c>
      <c r="J6619" s="44" t="str">
        <f>VLOOKUP(G6619,[1]硬件清单!$F:$F,1,0)</f>
        <v>210235A2CJH20C001245</v>
      </c>
      <c r="K6619" s="60"/>
      <c r="L6619" s="44"/>
      <c r="M6619" s="45" t="s">
        <v>20252</v>
      </c>
    </row>
    <row r="6620" ht="30" customHeight="1" spans="1:13">
      <c r="A6620" s="41">
        <f>IF(C6620="","",SUBTOTAL(103,$C$2:C6620))</f>
        <v>6611</v>
      </c>
      <c r="B6620" s="57">
        <v>771</v>
      </c>
      <c r="C6620" s="58" t="s">
        <v>20253</v>
      </c>
      <c r="D6620" s="59" t="s">
        <v>19</v>
      </c>
      <c r="E6620" s="56" t="s">
        <v>20</v>
      </c>
      <c r="F6620" s="55" t="s">
        <v>20225</v>
      </c>
      <c r="G6620" s="54" t="s">
        <v>20254</v>
      </c>
      <c r="H6620" s="54" t="s">
        <v>20255</v>
      </c>
      <c r="I6620" s="43">
        <v>12</v>
      </c>
      <c r="J6620" s="44" t="str">
        <f>VLOOKUP(G6620,[1]硬件清单!$F:$F,1,0)</f>
        <v>210235A2CJH20C001354</v>
      </c>
      <c r="K6620" s="60"/>
      <c r="L6620" s="44"/>
      <c r="M6620" s="45" t="s">
        <v>20256</v>
      </c>
    </row>
    <row r="6621" ht="30" customHeight="1" spans="1:13">
      <c r="A6621" s="41">
        <f>IF(C6621="","",SUBTOTAL(103,$C$2:C6621))</f>
        <v>6612</v>
      </c>
      <c r="B6621" s="57">
        <v>772</v>
      </c>
      <c r="C6621" s="58" t="s">
        <v>20257</v>
      </c>
      <c r="D6621" s="59" t="s">
        <v>19</v>
      </c>
      <c r="E6621" s="56" t="s">
        <v>20</v>
      </c>
      <c r="F6621" s="55" t="s">
        <v>20225</v>
      </c>
      <c r="G6621" s="54" t="s">
        <v>20258</v>
      </c>
      <c r="H6621" s="54" t="s">
        <v>20259</v>
      </c>
      <c r="I6621" s="43">
        <v>12</v>
      </c>
      <c r="J6621" s="44" t="str">
        <f>VLOOKUP(G6621,[1]硬件清单!$F:$F,1,0)</f>
        <v>210235A2CJH20C001329</v>
      </c>
      <c r="K6621" s="60"/>
      <c r="L6621" s="44"/>
      <c r="M6621" s="45" t="s">
        <v>20260</v>
      </c>
    </row>
    <row r="6622" ht="30" customHeight="1" spans="1:13">
      <c r="A6622" s="41">
        <f>IF(C6622="","",SUBTOTAL(103,$C$2:C6622))</f>
        <v>6613</v>
      </c>
      <c r="B6622" s="57">
        <v>773</v>
      </c>
      <c r="C6622" s="58" t="s">
        <v>20261</v>
      </c>
      <c r="D6622" s="59" t="s">
        <v>19</v>
      </c>
      <c r="E6622" s="56" t="s">
        <v>20</v>
      </c>
      <c r="F6622" s="55" t="s">
        <v>20225</v>
      </c>
      <c r="G6622" s="54" t="s">
        <v>20262</v>
      </c>
      <c r="H6622" s="54" t="s">
        <v>20263</v>
      </c>
      <c r="I6622" s="43">
        <v>12</v>
      </c>
      <c r="J6622" s="44" t="str">
        <f>VLOOKUP(G6622,[1]硬件清单!$F:$F,1,0)</f>
        <v>210235A2CJH20C001365</v>
      </c>
      <c r="K6622" s="60"/>
      <c r="L6622" s="44"/>
      <c r="M6622" s="45" t="s">
        <v>20264</v>
      </c>
    </row>
    <row r="6623" ht="30" customHeight="1" spans="1:13">
      <c r="A6623" s="41">
        <f>IF(C6623="","",SUBTOTAL(103,$C$2:C6623))</f>
        <v>6614</v>
      </c>
      <c r="B6623" s="57">
        <v>774</v>
      </c>
      <c r="C6623" s="58" t="s">
        <v>20265</v>
      </c>
      <c r="D6623" s="59" t="s">
        <v>19</v>
      </c>
      <c r="E6623" s="56" t="s">
        <v>20</v>
      </c>
      <c r="F6623" s="55" t="s">
        <v>20225</v>
      </c>
      <c r="G6623" s="54" t="s">
        <v>20266</v>
      </c>
      <c r="H6623" s="54" t="s">
        <v>20267</v>
      </c>
      <c r="I6623" s="43">
        <v>12</v>
      </c>
      <c r="J6623" s="44" t="str">
        <f>VLOOKUP(G6623,[1]硬件清单!$F:$F,1,0)</f>
        <v>210235A2CJH20C001340</v>
      </c>
      <c r="K6623" s="60"/>
      <c r="L6623" s="44"/>
      <c r="M6623" s="45" t="s">
        <v>20268</v>
      </c>
    </row>
    <row r="6624" ht="30" customHeight="1" spans="1:13">
      <c r="A6624" s="41">
        <f>IF(C6624="","",SUBTOTAL(103,$C$2:C6624))</f>
        <v>6615</v>
      </c>
      <c r="B6624" s="57">
        <v>837</v>
      </c>
      <c r="C6624" s="58" t="s">
        <v>20269</v>
      </c>
      <c r="D6624" s="59" t="s">
        <v>887</v>
      </c>
      <c r="E6624" s="56" t="s">
        <v>1429</v>
      </c>
      <c r="F6624" s="56" t="s">
        <v>20270</v>
      </c>
      <c r="G6624" s="61" t="s">
        <v>776</v>
      </c>
      <c r="H6624" s="54" t="s">
        <v>20271</v>
      </c>
      <c r="I6624" s="43">
        <v>12</v>
      </c>
      <c r="J6624" s="44" t="str">
        <f>VLOOKUP(G6624,[1]硬件清单!$F:$F,1,0)</f>
        <v>无</v>
      </c>
      <c r="K6624" s="60"/>
      <c r="L6624" s="44"/>
      <c r="M6624" s="45" t="s">
        <v>20272</v>
      </c>
    </row>
    <row r="6625" ht="30" customHeight="1" spans="1:13">
      <c r="A6625" s="41">
        <f>IF(C6625="","",SUBTOTAL(103,$C$2:C6625))</f>
        <v>6616</v>
      </c>
      <c r="B6625" s="57">
        <v>838</v>
      </c>
      <c r="C6625" s="58" t="s">
        <v>20273</v>
      </c>
      <c r="D6625" s="59" t="s">
        <v>887</v>
      </c>
      <c r="E6625" s="56" t="s">
        <v>1429</v>
      </c>
      <c r="F6625" s="56" t="s">
        <v>20270</v>
      </c>
      <c r="G6625" s="61" t="s">
        <v>776</v>
      </c>
      <c r="H6625" s="54" t="s">
        <v>20274</v>
      </c>
      <c r="I6625" s="43">
        <v>12</v>
      </c>
      <c r="J6625" s="44" t="str">
        <f>VLOOKUP(G6625,[1]硬件清单!$F:$F,1,0)</f>
        <v>无</v>
      </c>
      <c r="K6625" s="60"/>
      <c r="L6625" s="44"/>
      <c r="M6625" s="45" t="s">
        <v>20275</v>
      </c>
    </row>
    <row r="6626" ht="30" customHeight="1" spans="1:13">
      <c r="A6626" s="41">
        <f>IF(C6626="","",SUBTOTAL(103,$C$2:C6626))</f>
        <v>6617</v>
      </c>
      <c r="B6626" s="57">
        <v>839</v>
      </c>
      <c r="C6626" s="58" t="s">
        <v>20276</v>
      </c>
      <c r="D6626" s="59" t="s">
        <v>887</v>
      </c>
      <c r="E6626" s="56" t="s">
        <v>1429</v>
      </c>
      <c r="F6626" s="56" t="s">
        <v>20270</v>
      </c>
      <c r="G6626" s="61" t="s">
        <v>776</v>
      </c>
      <c r="H6626" s="54" t="s">
        <v>20277</v>
      </c>
      <c r="I6626" s="43">
        <v>12</v>
      </c>
      <c r="J6626" s="44" t="str">
        <f>VLOOKUP(G6626,[1]硬件清单!$F:$F,1,0)</f>
        <v>无</v>
      </c>
      <c r="K6626" s="60"/>
      <c r="L6626" s="44"/>
      <c r="M6626" s="45" t="s">
        <v>20278</v>
      </c>
    </row>
    <row r="6627" ht="30" customHeight="1" spans="1:13">
      <c r="A6627" s="41">
        <f>IF(C6627="","",SUBTOTAL(103,$C$2:C6627))</f>
        <v>6618</v>
      </c>
      <c r="B6627" s="57">
        <v>840</v>
      </c>
      <c r="C6627" s="58" t="s">
        <v>20279</v>
      </c>
      <c r="D6627" s="59" t="s">
        <v>887</v>
      </c>
      <c r="E6627" s="56" t="s">
        <v>1429</v>
      </c>
      <c r="F6627" s="56" t="s">
        <v>20270</v>
      </c>
      <c r="G6627" s="61" t="s">
        <v>776</v>
      </c>
      <c r="H6627" s="54" t="s">
        <v>20280</v>
      </c>
      <c r="I6627" s="43">
        <v>12</v>
      </c>
      <c r="J6627" s="44" t="str">
        <f>VLOOKUP(G6627,[1]硬件清单!$F:$F,1,0)</f>
        <v>无</v>
      </c>
      <c r="K6627" s="60"/>
      <c r="L6627" s="44"/>
      <c r="M6627" s="45" t="s">
        <v>20281</v>
      </c>
    </row>
    <row r="6628" ht="30" customHeight="1" spans="1:13">
      <c r="A6628" s="41">
        <f>IF(C6628="","",SUBTOTAL(103,$C$2:C6628))</f>
        <v>6619</v>
      </c>
      <c r="B6628" s="57">
        <v>841</v>
      </c>
      <c r="C6628" s="58" t="s">
        <v>20282</v>
      </c>
      <c r="D6628" s="59" t="s">
        <v>887</v>
      </c>
      <c r="E6628" s="56" t="s">
        <v>1429</v>
      </c>
      <c r="F6628" s="56" t="s">
        <v>20270</v>
      </c>
      <c r="G6628" s="61" t="s">
        <v>776</v>
      </c>
      <c r="H6628" s="54" t="s">
        <v>20283</v>
      </c>
      <c r="I6628" s="43">
        <v>12</v>
      </c>
      <c r="J6628" s="44" t="str">
        <f>VLOOKUP(G6628,[1]硬件清单!$F:$F,1,0)</f>
        <v>无</v>
      </c>
      <c r="K6628" s="60"/>
      <c r="L6628" s="44"/>
      <c r="M6628" s="45" t="s">
        <v>20284</v>
      </c>
    </row>
    <row r="6629" ht="30" customHeight="1" spans="1:13">
      <c r="A6629" s="41">
        <f>IF(C6629="","",SUBTOTAL(103,$C$2:C6629))</f>
        <v>6620</v>
      </c>
      <c r="B6629" s="57">
        <v>846</v>
      </c>
      <c r="C6629" s="58" t="s">
        <v>20285</v>
      </c>
      <c r="D6629" s="59" t="s">
        <v>3602</v>
      </c>
      <c r="E6629" s="56" t="s">
        <v>3603</v>
      </c>
      <c r="F6629" s="56" t="s">
        <v>20286</v>
      </c>
      <c r="G6629" s="54" t="s">
        <v>20287</v>
      </c>
      <c r="H6629" s="54" t="s">
        <v>20288</v>
      </c>
      <c r="I6629" s="43">
        <v>12</v>
      </c>
      <c r="J6629" s="44" t="str">
        <f>VLOOKUP(G6629,[1]硬件清单!$F:$F,1,0)</f>
        <v>0210303201121</v>
      </c>
      <c r="K6629" s="62"/>
      <c r="L6629" s="44"/>
      <c r="M6629" s="45" t="s">
        <v>20289</v>
      </c>
    </row>
    <row r="6630" ht="30" customHeight="1" spans="1:13">
      <c r="A6630" s="41">
        <f>IF(C6630="","",SUBTOTAL(103,$C$2:C6630))</f>
        <v>6621</v>
      </c>
      <c r="B6630" s="57">
        <v>847</v>
      </c>
      <c r="C6630" s="58" t="s">
        <v>20290</v>
      </c>
      <c r="D6630" s="59" t="s">
        <v>3602</v>
      </c>
      <c r="E6630" s="56" t="s">
        <v>3603</v>
      </c>
      <c r="F6630" s="56" t="s">
        <v>20286</v>
      </c>
      <c r="G6630" s="54" t="s">
        <v>20291</v>
      </c>
      <c r="H6630" s="54" t="s">
        <v>20292</v>
      </c>
      <c r="I6630" s="43">
        <v>12</v>
      </c>
      <c r="J6630" s="44" t="str">
        <f>VLOOKUP(G6630,[1]硬件清单!$F:$F,1,0)</f>
        <v>0210303201138</v>
      </c>
      <c r="K6630" s="62"/>
      <c r="L6630" s="44"/>
      <c r="M6630" s="45" t="s">
        <v>20293</v>
      </c>
    </row>
    <row r="6631" ht="30" customHeight="1" spans="1:13">
      <c r="A6631" s="41">
        <f>IF(C6631="","",SUBTOTAL(103,$C$2:C6631))</f>
        <v>6622</v>
      </c>
      <c r="B6631" s="57">
        <v>848</v>
      </c>
      <c r="C6631" s="58" t="s">
        <v>20294</v>
      </c>
      <c r="D6631" s="59" t="s">
        <v>3602</v>
      </c>
      <c r="E6631" s="56" t="s">
        <v>3603</v>
      </c>
      <c r="F6631" s="56" t="s">
        <v>20286</v>
      </c>
      <c r="G6631" s="54" t="s">
        <v>20295</v>
      </c>
      <c r="H6631" s="54" t="s">
        <v>20296</v>
      </c>
      <c r="I6631" s="43">
        <v>12</v>
      </c>
      <c r="J6631" s="44" t="str">
        <f>VLOOKUP(G6631,[1]硬件清单!$F:$F,1,0)</f>
        <v>0210303201145</v>
      </c>
      <c r="K6631" s="62"/>
      <c r="L6631" s="44"/>
      <c r="M6631" s="45" t="s">
        <v>20297</v>
      </c>
    </row>
    <row r="6632" ht="30" customHeight="1" spans="1:13">
      <c r="A6632" s="41">
        <f>IF(C6632="","",SUBTOTAL(103,$C$2:C6632))</f>
        <v>6623</v>
      </c>
      <c r="B6632" s="57">
        <v>849</v>
      </c>
      <c r="C6632" s="58" t="s">
        <v>20298</v>
      </c>
      <c r="D6632" s="59" t="s">
        <v>3602</v>
      </c>
      <c r="E6632" s="56" t="s">
        <v>3603</v>
      </c>
      <c r="F6632" s="56" t="s">
        <v>20286</v>
      </c>
      <c r="G6632" s="54" t="s">
        <v>20299</v>
      </c>
      <c r="H6632" s="54" t="s">
        <v>20300</v>
      </c>
      <c r="I6632" s="43">
        <v>12</v>
      </c>
      <c r="J6632" s="44" t="str">
        <f>VLOOKUP(G6632,[1]硬件清单!$F:$F,1,0)</f>
        <v>0210303201169</v>
      </c>
      <c r="K6632" s="62"/>
      <c r="L6632" s="44"/>
      <c r="M6632" s="45" t="s">
        <v>20301</v>
      </c>
    </row>
    <row r="6633" ht="30" customHeight="1" spans="1:13">
      <c r="A6633" s="41">
        <f>IF(C6633="","",SUBTOTAL(103,$C$2:C6633))</f>
        <v>6624</v>
      </c>
      <c r="B6633" s="57">
        <v>850</v>
      </c>
      <c r="C6633" s="58" t="s">
        <v>20302</v>
      </c>
      <c r="D6633" s="59" t="s">
        <v>3602</v>
      </c>
      <c r="E6633" s="56" t="s">
        <v>3603</v>
      </c>
      <c r="F6633" s="56" t="s">
        <v>20286</v>
      </c>
      <c r="G6633" s="54" t="s">
        <v>20303</v>
      </c>
      <c r="H6633" s="54" t="s">
        <v>20304</v>
      </c>
      <c r="I6633" s="43">
        <v>12</v>
      </c>
      <c r="J6633" s="44" t="str">
        <f>VLOOKUP(G6633,[1]硬件清单!$F:$F,1,0)</f>
        <v>0210303201152</v>
      </c>
      <c r="K6633" s="62"/>
      <c r="L6633" s="44"/>
      <c r="M6633" s="45" t="s">
        <v>20305</v>
      </c>
    </row>
    <row r="6634" ht="30" customHeight="1" spans="1:13">
      <c r="A6634" s="41">
        <f>IF(C6634="","",SUBTOTAL(103,$C$2:C6634))</f>
        <v>6625</v>
      </c>
      <c r="B6634" s="57">
        <v>851</v>
      </c>
      <c r="C6634" s="58" t="s">
        <v>20306</v>
      </c>
      <c r="D6634" s="59" t="s">
        <v>3602</v>
      </c>
      <c r="E6634" s="56" t="s">
        <v>3603</v>
      </c>
      <c r="F6634" s="56" t="s">
        <v>20286</v>
      </c>
      <c r="G6634" s="54" t="s">
        <v>20307</v>
      </c>
      <c r="H6634" s="54" t="s">
        <v>20308</v>
      </c>
      <c r="I6634" s="43">
        <v>12</v>
      </c>
      <c r="J6634" s="44" t="str">
        <f>VLOOKUP(G6634,[1]硬件清单!$F:$F,1,0)</f>
        <v>0210303201114</v>
      </c>
      <c r="K6634" s="62"/>
      <c r="L6634" s="44"/>
      <c r="M6634" s="45" t="s">
        <v>20309</v>
      </c>
    </row>
    <row r="6635" ht="30" customHeight="1" spans="1:13">
      <c r="A6635" s="41">
        <f>IF(C6635="","",SUBTOTAL(103,$C$2:C6635))</f>
        <v>6626</v>
      </c>
      <c r="B6635" s="57">
        <v>852</v>
      </c>
      <c r="C6635" s="58" t="s">
        <v>20310</v>
      </c>
      <c r="D6635" s="59" t="s">
        <v>3602</v>
      </c>
      <c r="E6635" s="56" t="s">
        <v>3603</v>
      </c>
      <c r="F6635" s="56" t="s">
        <v>20286</v>
      </c>
      <c r="G6635" s="54" t="s">
        <v>20311</v>
      </c>
      <c r="H6635" s="54" t="s">
        <v>20312</v>
      </c>
      <c r="I6635" s="43">
        <v>12</v>
      </c>
      <c r="J6635" s="44" t="str">
        <f>VLOOKUP(G6635,[1]硬件清单!$F:$F,1,0)</f>
        <v>0210303201190</v>
      </c>
      <c r="K6635" s="62"/>
      <c r="L6635" s="44"/>
      <c r="M6635" s="45" t="s">
        <v>20313</v>
      </c>
    </row>
    <row r="6636" ht="30" customHeight="1" spans="1:13">
      <c r="A6636" s="41">
        <f>IF(C6636="","",SUBTOTAL(103,$C$2:C6636))</f>
        <v>6627</v>
      </c>
      <c r="B6636" s="57">
        <v>853</v>
      </c>
      <c r="C6636" s="58" t="s">
        <v>20314</v>
      </c>
      <c r="D6636" s="59" t="s">
        <v>3602</v>
      </c>
      <c r="E6636" s="56" t="s">
        <v>3603</v>
      </c>
      <c r="F6636" s="56" t="s">
        <v>20286</v>
      </c>
      <c r="G6636" s="54" t="s">
        <v>20315</v>
      </c>
      <c r="H6636" s="54" t="s">
        <v>20316</v>
      </c>
      <c r="I6636" s="43">
        <v>12</v>
      </c>
      <c r="J6636" s="44" t="str">
        <f>VLOOKUP(G6636,[1]硬件清单!$F:$F,1,0)</f>
        <v>0210303201206</v>
      </c>
      <c r="K6636" s="62"/>
      <c r="L6636" s="44"/>
      <c r="M6636" s="45" t="s">
        <v>20317</v>
      </c>
    </row>
    <row r="6637" ht="30" customHeight="1" spans="1:13">
      <c r="A6637" s="41">
        <f>IF(C6637="","",SUBTOTAL(103,$C$2:C6637))</f>
        <v>6628</v>
      </c>
      <c r="B6637" s="57">
        <v>854</v>
      </c>
      <c r="C6637" s="58" t="s">
        <v>20318</v>
      </c>
      <c r="D6637" s="59" t="s">
        <v>3602</v>
      </c>
      <c r="E6637" s="56" t="s">
        <v>3603</v>
      </c>
      <c r="F6637" s="56" t="s">
        <v>20286</v>
      </c>
      <c r="G6637" s="54" t="s">
        <v>20319</v>
      </c>
      <c r="H6637" s="54" t="s">
        <v>20320</v>
      </c>
      <c r="I6637" s="43">
        <v>12</v>
      </c>
      <c r="J6637" s="44" t="str">
        <f>VLOOKUP(G6637,[1]硬件清单!$F:$F,1,0)</f>
        <v>0210303201213</v>
      </c>
      <c r="K6637" s="62"/>
      <c r="L6637" s="44"/>
      <c r="M6637" s="45" t="s">
        <v>20321</v>
      </c>
    </row>
    <row r="6638" ht="30" customHeight="1" spans="1:13">
      <c r="A6638" s="41">
        <f>IF(C6638="","",SUBTOTAL(103,$C$2:C6638))</f>
        <v>6629</v>
      </c>
      <c r="B6638" s="57">
        <v>1061</v>
      </c>
      <c r="C6638" s="58" t="s">
        <v>20322</v>
      </c>
      <c r="D6638" s="59" t="s">
        <v>45</v>
      </c>
      <c r="E6638" s="55" t="s">
        <v>19904</v>
      </c>
      <c r="F6638" s="56" t="s">
        <v>20323</v>
      </c>
      <c r="G6638" s="54" t="s">
        <v>20324</v>
      </c>
      <c r="H6638" s="54" t="s">
        <v>20325</v>
      </c>
      <c r="I6638" s="43">
        <v>12</v>
      </c>
      <c r="J6638" s="44" t="str">
        <f>VLOOKUP(G6638,[1]硬件清单!$F:$F,1,0)</f>
        <v>819216333</v>
      </c>
      <c r="K6638" s="60"/>
      <c r="L6638" s="44"/>
      <c r="M6638" s="45" t="s">
        <v>20326</v>
      </c>
    </row>
    <row r="6639" ht="30" customHeight="1" spans="1:13">
      <c r="A6639" s="41">
        <f>IF(C6639="","",SUBTOTAL(103,$C$2:C6639))</f>
        <v>6630</v>
      </c>
      <c r="B6639" s="57">
        <v>1062</v>
      </c>
      <c r="C6639" s="58" t="s">
        <v>20327</v>
      </c>
      <c r="D6639" s="59" t="s">
        <v>45</v>
      </c>
      <c r="E6639" s="55" t="s">
        <v>19904</v>
      </c>
      <c r="F6639" s="56" t="s">
        <v>20323</v>
      </c>
      <c r="G6639" s="54" t="s">
        <v>20328</v>
      </c>
      <c r="H6639" s="54" t="s">
        <v>20329</v>
      </c>
      <c r="I6639" s="43">
        <v>12</v>
      </c>
      <c r="J6639" s="44" t="str">
        <f>VLOOKUP(G6639,[1]硬件清单!$F:$F,1,0)</f>
        <v>819216337</v>
      </c>
      <c r="K6639" s="60"/>
      <c r="L6639" s="44"/>
      <c r="M6639" s="45" t="s">
        <v>20330</v>
      </c>
    </row>
    <row r="6640" ht="30" customHeight="1" spans="1:13">
      <c r="A6640" s="41">
        <f>IF(C6640="","",SUBTOTAL(103,$C$2:C6640))</f>
        <v>6631</v>
      </c>
      <c r="B6640" s="63">
        <v>431</v>
      </c>
      <c r="C6640" s="58" t="s">
        <v>20331</v>
      </c>
      <c r="D6640" s="63" t="s">
        <v>689</v>
      </c>
      <c r="E6640" s="64" t="s">
        <v>20332</v>
      </c>
      <c r="F6640" s="63" t="s">
        <v>20333</v>
      </c>
      <c r="G6640" s="65" t="s">
        <v>20334</v>
      </c>
      <c r="H6640" s="65" t="s">
        <v>20335</v>
      </c>
      <c r="I6640" s="43">
        <v>12</v>
      </c>
      <c r="J6640" s="44" t="str">
        <f>VLOOKUP(G6640,[1]硬件清单!$F:$F,1,0)</f>
        <v>202005190047</v>
      </c>
      <c r="K6640" s="66"/>
      <c r="L6640" s="44"/>
      <c r="M6640" s="45" t="s">
        <v>20336</v>
      </c>
    </row>
    <row r="6641" ht="30" customHeight="1" spans="1:13">
      <c r="A6641" s="41">
        <f>IF(C6641="","",SUBTOTAL(103,$C$2:C6641))</f>
        <v>6632</v>
      </c>
      <c r="B6641" s="67"/>
      <c r="C6641" s="58" t="s">
        <v>20331</v>
      </c>
      <c r="D6641" s="68" t="s">
        <v>20337</v>
      </c>
      <c r="E6641" s="64" t="s">
        <v>20338</v>
      </c>
      <c r="F6641" s="68" t="s">
        <v>20339</v>
      </c>
      <c r="G6641" s="64" t="s">
        <v>20340</v>
      </c>
      <c r="H6641" s="68" t="s">
        <v>20341</v>
      </c>
      <c r="I6641" s="64">
        <v>1</v>
      </c>
      <c r="J6641" s="44" t="str">
        <f>VLOOKUP(G6641,[1]硬件清单!$F:$F,1,0)</f>
        <v>219801A6E5523CR00105</v>
      </c>
      <c r="K6641" s="66"/>
      <c r="L6641" s="44"/>
      <c r="M6641" s="64" t="s">
        <v>20342</v>
      </c>
    </row>
    <row r="6642" ht="30" customHeight="1" spans="1:13">
      <c r="A6642" s="41">
        <f>IF(C6642="","",SUBTOTAL(103,$C$2:C6642))</f>
        <v>6633</v>
      </c>
      <c r="B6642" s="67"/>
      <c r="C6642" s="58" t="s">
        <v>20331</v>
      </c>
      <c r="D6642" s="68" t="s">
        <v>20337</v>
      </c>
      <c r="E6642" s="64" t="s">
        <v>20338</v>
      </c>
      <c r="F6642" s="68" t="s">
        <v>20339</v>
      </c>
      <c r="G6642" s="64" t="s">
        <v>20343</v>
      </c>
      <c r="H6642" s="68" t="s">
        <v>20344</v>
      </c>
      <c r="I6642" s="64">
        <v>1</v>
      </c>
      <c r="J6642" s="44" t="str">
        <f>VLOOKUP(G6642,[1]硬件清单!$F:$F,1,0)</f>
        <v>219801A6E5523CR00027</v>
      </c>
      <c r="K6642" s="66"/>
      <c r="L6642" s="44"/>
      <c r="M6642" s="64" t="s">
        <v>20345</v>
      </c>
    </row>
    <row r="6643" ht="30" customHeight="1" spans="1:13">
      <c r="A6643" s="41">
        <f>IF(C6643="","",SUBTOTAL(103,$C$2:C6643))</f>
        <v>6634</v>
      </c>
      <c r="B6643" s="67"/>
      <c r="C6643" s="58" t="s">
        <v>20331</v>
      </c>
      <c r="D6643" s="68" t="s">
        <v>20337</v>
      </c>
      <c r="E6643" s="64" t="s">
        <v>20338</v>
      </c>
      <c r="F6643" s="68" t="s">
        <v>20339</v>
      </c>
      <c r="G6643" s="64" t="s">
        <v>20346</v>
      </c>
      <c r="H6643" s="68" t="s">
        <v>20347</v>
      </c>
      <c r="I6643" s="64">
        <v>1</v>
      </c>
      <c r="J6643" s="44" t="str">
        <f>VLOOKUP(G6643,[1]硬件清单!$F:$F,1,0)</f>
        <v>219801A6E5523CR00103</v>
      </c>
      <c r="K6643" s="66"/>
      <c r="L6643" s="44"/>
      <c r="M6643" s="64" t="s">
        <v>20348</v>
      </c>
    </row>
    <row r="6644" ht="30" customHeight="1" spans="1:13">
      <c r="A6644" s="41">
        <f>IF(C6644="","",SUBTOTAL(103,$C$2:C6644))</f>
        <v>6635</v>
      </c>
      <c r="B6644" s="67"/>
      <c r="C6644" s="58" t="s">
        <v>20331</v>
      </c>
      <c r="D6644" s="68" t="s">
        <v>20337</v>
      </c>
      <c r="E6644" s="64" t="s">
        <v>20338</v>
      </c>
      <c r="F6644" s="68" t="s">
        <v>20339</v>
      </c>
      <c r="G6644" s="64" t="s">
        <v>20349</v>
      </c>
      <c r="H6644" s="68" t="s">
        <v>20350</v>
      </c>
      <c r="I6644" s="64">
        <v>1</v>
      </c>
      <c r="J6644" s="44" t="str">
        <f>VLOOKUP(G6644,[1]硬件清单!$F:$F,1,0)</f>
        <v>219801A6E5523CR00088</v>
      </c>
      <c r="K6644" s="66"/>
      <c r="L6644" s="44"/>
      <c r="M6644" s="64" t="s">
        <v>20351</v>
      </c>
    </row>
    <row r="6645" ht="30" customHeight="1" spans="1:13">
      <c r="A6645" s="41">
        <f>IF(C6645="","",SUBTOTAL(103,$C$2:C6645))</f>
        <v>6636</v>
      </c>
      <c r="B6645" s="67"/>
      <c r="C6645" s="58" t="s">
        <v>20331</v>
      </c>
      <c r="D6645" s="68" t="s">
        <v>20337</v>
      </c>
      <c r="E6645" s="64" t="s">
        <v>20338</v>
      </c>
      <c r="F6645" s="68" t="s">
        <v>20339</v>
      </c>
      <c r="G6645" s="64" t="s">
        <v>20352</v>
      </c>
      <c r="H6645" s="68" t="s">
        <v>20353</v>
      </c>
      <c r="I6645" s="64">
        <v>1</v>
      </c>
      <c r="J6645" s="44" t="str">
        <f>VLOOKUP(G6645,[1]硬件清单!$F:$F,1,0)</f>
        <v>219801A6E5523CR00122</v>
      </c>
      <c r="K6645" s="66"/>
      <c r="L6645" s="44"/>
      <c r="M6645" s="64" t="s">
        <v>20354</v>
      </c>
    </row>
    <row r="6646" ht="30" customHeight="1" spans="1:13">
      <c r="A6646" s="41">
        <f>IF(C6646="","",SUBTOTAL(103,$C$2:C6646))</f>
        <v>6637</v>
      </c>
      <c r="B6646" s="67"/>
      <c r="C6646" s="58" t="s">
        <v>20331</v>
      </c>
      <c r="D6646" s="68" t="s">
        <v>20337</v>
      </c>
      <c r="E6646" s="64" t="s">
        <v>20338</v>
      </c>
      <c r="F6646" s="68" t="s">
        <v>20339</v>
      </c>
      <c r="G6646" s="64" t="s">
        <v>20355</v>
      </c>
      <c r="H6646" s="68" t="s">
        <v>20356</v>
      </c>
      <c r="I6646" s="64">
        <v>1</v>
      </c>
      <c r="J6646" s="44" t="str">
        <f>VLOOKUP(G6646,[1]硬件清单!$F:$F,1,0)</f>
        <v>219801A6E5523CR00125</v>
      </c>
      <c r="K6646" s="66"/>
      <c r="L6646" s="44"/>
      <c r="M6646" s="64" t="s">
        <v>20357</v>
      </c>
    </row>
    <row r="6647" ht="30" customHeight="1" spans="1:13">
      <c r="A6647" s="41">
        <f>IF(C6647="","",SUBTOTAL(103,$C$2:C6647))</f>
        <v>6638</v>
      </c>
      <c r="B6647" s="67"/>
      <c r="C6647" s="58" t="s">
        <v>20331</v>
      </c>
      <c r="D6647" s="68" t="s">
        <v>20337</v>
      </c>
      <c r="E6647" s="64" t="s">
        <v>20338</v>
      </c>
      <c r="F6647" s="68" t="s">
        <v>20339</v>
      </c>
      <c r="G6647" s="64" t="s">
        <v>20358</v>
      </c>
      <c r="H6647" s="68" t="s">
        <v>20359</v>
      </c>
      <c r="I6647" s="64">
        <v>1</v>
      </c>
      <c r="J6647" s="44" t="str">
        <f>VLOOKUP(G6647,[1]硬件清单!$F:$F,1,0)</f>
        <v>219801A6E5523CR00123</v>
      </c>
      <c r="K6647" s="66"/>
      <c r="L6647" s="44"/>
      <c r="M6647" s="64" t="s">
        <v>20360</v>
      </c>
    </row>
    <row r="6648" ht="30" customHeight="1" spans="1:13">
      <c r="A6648" s="41">
        <f>IF(C6648="","",SUBTOTAL(103,$C$2:C6648))</f>
        <v>6639</v>
      </c>
      <c r="B6648" s="67"/>
      <c r="C6648" s="58" t="s">
        <v>20331</v>
      </c>
      <c r="D6648" s="68" t="s">
        <v>20337</v>
      </c>
      <c r="E6648" s="64" t="s">
        <v>20338</v>
      </c>
      <c r="F6648" s="68" t="s">
        <v>20339</v>
      </c>
      <c r="G6648" s="64" t="s">
        <v>20361</v>
      </c>
      <c r="H6648" s="68" t="s">
        <v>20362</v>
      </c>
      <c r="I6648" s="64">
        <v>1</v>
      </c>
      <c r="J6648" s="44" t="str">
        <f>VLOOKUP(G6648,[1]硬件清单!$F:$F,1,0)</f>
        <v>219801A6E5523CR00165</v>
      </c>
      <c r="K6648" s="66"/>
      <c r="L6648" s="44"/>
      <c r="M6648" s="64" t="s">
        <v>20363</v>
      </c>
    </row>
    <row r="6649" ht="30" customHeight="1" spans="1:13">
      <c r="A6649" s="41">
        <f>IF(C6649="","",SUBTOTAL(103,$C$2:C6649))</f>
        <v>6640</v>
      </c>
      <c r="B6649" s="67"/>
      <c r="C6649" s="58" t="s">
        <v>20331</v>
      </c>
      <c r="D6649" s="68" t="s">
        <v>20337</v>
      </c>
      <c r="E6649" s="64" t="s">
        <v>20338</v>
      </c>
      <c r="F6649" s="68" t="s">
        <v>20339</v>
      </c>
      <c r="G6649" s="64" t="s">
        <v>20364</v>
      </c>
      <c r="H6649" s="68" t="s">
        <v>20365</v>
      </c>
      <c r="I6649" s="64">
        <v>1</v>
      </c>
      <c r="J6649" s="44" t="str">
        <f>VLOOKUP(G6649,[1]硬件清单!$F:$F,1,0)</f>
        <v>219801A6E7523CR00012</v>
      </c>
      <c r="K6649" s="66"/>
      <c r="L6649" s="44"/>
      <c r="M6649" s="64" t="s">
        <v>20366</v>
      </c>
    </row>
    <row r="6650" ht="30" customHeight="1" spans="1:13">
      <c r="A6650" s="41">
        <f>IF(C6650="","",SUBTOTAL(103,$C$2:C6650))</f>
        <v>6641</v>
      </c>
      <c r="B6650" s="67"/>
      <c r="C6650" s="58" t="s">
        <v>20331</v>
      </c>
      <c r="D6650" s="68" t="s">
        <v>20337</v>
      </c>
      <c r="E6650" s="64" t="s">
        <v>20338</v>
      </c>
      <c r="F6650" s="68" t="s">
        <v>20339</v>
      </c>
      <c r="G6650" s="64" t="s">
        <v>20367</v>
      </c>
      <c r="H6650" s="68" t="s">
        <v>20368</v>
      </c>
      <c r="I6650" s="64">
        <v>1</v>
      </c>
      <c r="J6650" s="44" t="str">
        <f>VLOOKUP(G6650,[1]硬件清单!$F:$F,1,0)</f>
        <v>219801A6E5523CR00046</v>
      </c>
      <c r="K6650" s="66"/>
      <c r="L6650" s="44"/>
      <c r="M6650" s="64" t="s">
        <v>20369</v>
      </c>
    </row>
    <row r="6651" ht="30" customHeight="1" spans="1:13">
      <c r="A6651" s="41">
        <f>IF(C6651="","",SUBTOTAL(103,$C$2:C6651))</f>
        <v>6642</v>
      </c>
      <c r="B6651" s="67"/>
      <c r="C6651" s="58" t="s">
        <v>20331</v>
      </c>
      <c r="D6651" s="68" t="s">
        <v>20337</v>
      </c>
      <c r="E6651" s="64" t="s">
        <v>20338</v>
      </c>
      <c r="F6651" s="68" t="s">
        <v>20339</v>
      </c>
      <c r="G6651" s="64" t="s">
        <v>20370</v>
      </c>
      <c r="H6651" s="68" t="s">
        <v>20371</v>
      </c>
      <c r="I6651" s="64">
        <v>1</v>
      </c>
      <c r="J6651" s="44" t="str">
        <f>VLOOKUP(G6651,[1]硬件清单!$F:$F,1,0)</f>
        <v>219801A6E5523CR00044</v>
      </c>
      <c r="K6651" s="66"/>
      <c r="L6651" s="44"/>
      <c r="M6651" s="64" t="s">
        <v>20372</v>
      </c>
    </row>
    <row r="6652" ht="30" customHeight="1" spans="1:13">
      <c r="A6652" s="41">
        <f>IF(C6652="","",SUBTOTAL(103,$C$2:C6652))</f>
        <v>6643</v>
      </c>
      <c r="B6652" s="67"/>
      <c r="C6652" s="58" t="s">
        <v>20331</v>
      </c>
      <c r="D6652" s="68" t="s">
        <v>20337</v>
      </c>
      <c r="E6652" s="64" t="s">
        <v>20338</v>
      </c>
      <c r="F6652" s="68" t="s">
        <v>20339</v>
      </c>
      <c r="G6652" s="64" t="s">
        <v>20373</v>
      </c>
      <c r="H6652" s="68" t="s">
        <v>20374</v>
      </c>
      <c r="I6652" s="64">
        <v>1</v>
      </c>
      <c r="J6652" s="44" t="str">
        <f>VLOOKUP(G6652,[1]硬件清单!$F:$F,1,0)</f>
        <v>219801A6E5523CR00095</v>
      </c>
      <c r="K6652" s="66"/>
      <c r="L6652" s="44"/>
      <c r="M6652" s="64" t="s">
        <v>20375</v>
      </c>
    </row>
    <row r="6653" ht="30" customHeight="1" spans="1:13">
      <c r="A6653" s="41">
        <f>IF(C6653="","",SUBTOTAL(103,$C$2:C6653))</f>
        <v>6644</v>
      </c>
      <c r="B6653" s="67"/>
      <c r="C6653" s="58" t="s">
        <v>20331</v>
      </c>
      <c r="D6653" s="68" t="s">
        <v>20337</v>
      </c>
      <c r="E6653" s="64" t="s">
        <v>20338</v>
      </c>
      <c r="F6653" s="68" t="s">
        <v>20339</v>
      </c>
      <c r="G6653" s="64" t="s">
        <v>20376</v>
      </c>
      <c r="H6653" s="68" t="s">
        <v>20377</v>
      </c>
      <c r="I6653" s="64">
        <v>1</v>
      </c>
      <c r="J6653" s="44" t="str">
        <f>VLOOKUP(G6653,[1]硬件清单!$F:$F,1,0)</f>
        <v>219801A6E4523CR00012</v>
      </c>
      <c r="K6653" s="66"/>
      <c r="L6653" s="44"/>
      <c r="M6653" s="64" t="s">
        <v>20378</v>
      </c>
    </row>
    <row r="6654" ht="30" customHeight="1" spans="1:13">
      <c r="A6654" s="41">
        <f>IF(C6654="","",SUBTOTAL(103,$C$2:C6654))</f>
        <v>6645</v>
      </c>
      <c r="B6654" s="67"/>
      <c r="C6654" s="58" t="s">
        <v>20331</v>
      </c>
      <c r="D6654" s="68" t="s">
        <v>20337</v>
      </c>
      <c r="E6654" s="64" t="s">
        <v>20338</v>
      </c>
      <c r="F6654" s="68" t="s">
        <v>20339</v>
      </c>
      <c r="G6654" s="64" t="s">
        <v>20379</v>
      </c>
      <c r="H6654" s="68" t="s">
        <v>20380</v>
      </c>
      <c r="I6654" s="64">
        <v>1</v>
      </c>
      <c r="J6654" s="44" t="str">
        <f>VLOOKUP(G6654,[1]硬件清单!$F:$F,1,0)</f>
        <v>219801A6E5523CR00160</v>
      </c>
      <c r="K6654" s="66"/>
      <c r="L6654" s="44"/>
      <c r="M6654" s="64" t="s">
        <v>20381</v>
      </c>
    </row>
    <row r="6655" ht="30" customHeight="1" spans="1:13">
      <c r="A6655" s="41">
        <f>IF(C6655="","",SUBTOTAL(103,$C$2:C6655))</f>
        <v>6646</v>
      </c>
      <c r="B6655" s="67"/>
      <c r="C6655" s="58" t="s">
        <v>20331</v>
      </c>
      <c r="D6655" s="68" t="s">
        <v>20337</v>
      </c>
      <c r="E6655" s="64" t="s">
        <v>20338</v>
      </c>
      <c r="F6655" s="68" t="s">
        <v>20339</v>
      </c>
      <c r="G6655" s="64" t="s">
        <v>20382</v>
      </c>
      <c r="H6655" s="68" t="s">
        <v>20383</v>
      </c>
      <c r="I6655" s="64">
        <v>1</v>
      </c>
      <c r="J6655" s="44" t="str">
        <f>VLOOKUP(G6655,[1]硬件清单!$F:$F,1,0)</f>
        <v>219801A6E7523CR00010</v>
      </c>
      <c r="K6655" s="66"/>
      <c r="L6655" s="44"/>
      <c r="M6655" s="64" t="s">
        <v>20384</v>
      </c>
    </row>
    <row r="6656" ht="30" customHeight="1" spans="1:13">
      <c r="A6656" s="41">
        <f>IF(C6656="","",SUBTOTAL(103,$C$2:C6656))</f>
        <v>6647</v>
      </c>
      <c r="B6656" s="67"/>
      <c r="C6656" s="58" t="s">
        <v>20331</v>
      </c>
      <c r="D6656" s="68" t="s">
        <v>20337</v>
      </c>
      <c r="E6656" s="64" t="s">
        <v>20338</v>
      </c>
      <c r="F6656" s="68" t="s">
        <v>20339</v>
      </c>
      <c r="G6656" s="64" t="s">
        <v>20385</v>
      </c>
      <c r="H6656" s="68" t="s">
        <v>20386</v>
      </c>
      <c r="I6656" s="64">
        <v>1</v>
      </c>
      <c r="J6656" s="44" t="str">
        <f>VLOOKUP(G6656,[1]硬件清单!$F:$F,1,0)</f>
        <v>219801A6E5523CR00093</v>
      </c>
      <c r="K6656" s="66"/>
      <c r="L6656" s="44"/>
      <c r="M6656" s="64" t="s">
        <v>20387</v>
      </c>
    </row>
    <row r="6657" ht="30" customHeight="1" spans="1:13">
      <c r="A6657" s="41">
        <f>IF(C6657="","",SUBTOTAL(103,$C$2:C6657))</f>
        <v>6648</v>
      </c>
      <c r="B6657" s="67"/>
      <c r="C6657" s="58" t="s">
        <v>20331</v>
      </c>
      <c r="D6657" s="68" t="s">
        <v>20337</v>
      </c>
      <c r="E6657" s="64" t="s">
        <v>20338</v>
      </c>
      <c r="F6657" s="68" t="s">
        <v>20339</v>
      </c>
      <c r="G6657" s="64" t="s">
        <v>20388</v>
      </c>
      <c r="H6657" s="68" t="s">
        <v>20389</v>
      </c>
      <c r="I6657" s="64">
        <v>1</v>
      </c>
      <c r="J6657" s="44" t="str">
        <f>VLOOKUP(G6657,[1]硬件清单!$F:$F,1,0)</f>
        <v>219801A6E5523CR00107</v>
      </c>
      <c r="K6657" s="66"/>
      <c r="L6657" s="44"/>
      <c r="M6657" s="64" t="s">
        <v>20390</v>
      </c>
    </row>
    <row r="6658" ht="30" customHeight="1" spans="1:13">
      <c r="A6658" s="41">
        <f>IF(C6658="","",SUBTOTAL(103,$C$2:C6658))</f>
        <v>6649</v>
      </c>
      <c r="B6658" s="67"/>
      <c r="C6658" s="58" t="s">
        <v>20331</v>
      </c>
      <c r="D6658" s="68" t="s">
        <v>20337</v>
      </c>
      <c r="E6658" s="64" t="s">
        <v>20338</v>
      </c>
      <c r="F6658" s="68" t="s">
        <v>20339</v>
      </c>
      <c r="G6658" s="64" t="s">
        <v>20391</v>
      </c>
      <c r="H6658" s="68" t="s">
        <v>20392</v>
      </c>
      <c r="I6658" s="64">
        <v>1</v>
      </c>
      <c r="J6658" s="44" t="str">
        <f>VLOOKUP(G6658,[1]硬件清单!$F:$F,1,0)</f>
        <v>219801A6E5523CR00079</v>
      </c>
      <c r="K6658" s="66"/>
      <c r="L6658" s="44"/>
      <c r="M6658" s="64" t="s">
        <v>20393</v>
      </c>
    </row>
    <row r="6659" ht="30" customHeight="1" spans="1:13">
      <c r="A6659" s="41">
        <f>IF(C6659="","",SUBTOTAL(103,$C$2:C6659))</f>
        <v>6650</v>
      </c>
      <c r="B6659" s="67"/>
      <c r="C6659" s="58" t="s">
        <v>20331</v>
      </c>
      <c r="D6659" s="68" t="s">
        <v>20337</v>
      </c>
      <c r="E6659" s="64" t="s">
        <v>20338</v>
      </c>
      <c r="F6659" s="68" t="s">
        <v>20339</v>
      </c>
      <c r="G6659" s="64" t="s">
        <v>20394</v>
      </c>
      <c r="H6659" s="68" t="s">
        <v>20395</v>
      </c>
      <c r="I6659" s="64">
        <v>1</v>
      </c>
      <c r="J6659" s="44" t="str">
        <f>VLOOKUP(G6659,[1]硬件清单!$F:$F,1,0)</f>
        <v>219801A6E5523CR00047</v>
      </c>
      <c r="K6659" s="66"/>
      <c r="L6659" s="44"/>
      <c r="M6659" s="64" t="s">
        <v>20396</v>
      </c>
    </row>
    <row r="6660" ht="30" customHeight="1" spans="1:13">
      <c r="A6660" s="41">
        <f>IF(C6660="","",SUBTOTAL(103,$C$2:C6660))</f>
        <v>6651</v>
      </c>
      <c r="B6660" s="67"/>
      <c r="C6660" s="58" t="s">
        <v>20331</v>
      </c>
      <c r="D6660" s="68" t="s">
        <v>20337</v>
      </c>
      <c r="E6660" s="64" t="s">
        <v>20338</v>
      </c>
      <c r="F6660" s="68" t="s">
        <v>20339</v>
      </c>
      <c r="G6660" s="64" t="s">
        <v>20397</v>
      </c>
      <c r="H6660" s="68" t="s">
        <v>20398</v>
      </c>
      <c r="I6660" s="64">
        <v>1</v>
      </c>
      <c r="J6660" s="44" t="str">
        <f>VLOOKUP(G6660,[1]硬件清单!$F:$F,1,0)</f>
        <v>219801A6E5523CR00145</v>
      </c>
      <c r="K6660" s="66"/>
      <c r="L6660" s="44"/>
      <c r="M6660" s="64" t="s">
        <v>20399</v>
      </c>
    </row>
    <row r="6661" ht="30" customHeight="1" spans="1:13">
      <c r="A6661" s="41">
        <f>IF(C6661="","",SUBTOTAL(103,$C$2:C6661))</f>
        <v>6652</v>
      </c>
      <c r="B6661" s="67"/>
      <c r="C6661" s="58" t="s">
        <v>20331</v>
      </c>
      <c r="D6661" s="68" t="s">
        <v>20337</v>
      </c>
      <c r="E6661" s="64" t="s">
        <v>20338</v>
      </c>
      <c r="F6661" s="68" t="s">
        <v>20339</v>
      </c>
      <c r="G6661" s="64" t="s">
        <v>20400</v>
      </c>
      <c r="H6661" s="68" t="s">
        <v>20401</v>
      </c>
      <c r="I6661" s="64">
        <v>1</v>
      </c>
      <c r="J6661" s="44" t="str">
        <f>VLOOKUP(G6661,[1]硬件清单!$F:$F,1,0)</f>
        <v>219801A6E4523CR00028</v>
      </c>
      <c r="K6661" s="66"/>
      <c r="L6661" s="44"/>
      <c r="M6661" s="64" t="s">
        <v>20402</v>
      </c>
    </row>
    <row r="6662" ht="30" customHeight="1" spans="1:13">
      <c r="A6662" s="41">
        <f>IF(C6662="","",SUBTOTAL(103,$C$2:C6662))</f>
        <v>6653</v>
      </c>
      <c r="B6662" s="67"/>
      <c r="C6662" s="58" t="s">
        <v>20331</v>
      </c>
      <c r="D6662" s="68" t="s">
        <v>20337</v>
      </c>
      <c r="E6662" s="64" t="s">
        <v>20338</v>
      </c>
      <c r="F6662" s="68" t="s">
        <v>20339</v>
      </c>
      <c r="G6662" s="64" t="s">
        <v>20403</v>
      </c>
      <c r="H6662" s="68" t="s">
        <v>20404</v>
      </c>
      <c r="I6662" s="64">
        <v>1</v>
      </c>
      <c r="J6662" s="44" t="str">
        <f>VLOOKUP(G6662,[1]硬件清单!$F:$F,1,0)</f>
        <v>219801A6E4523CR00008</v>
      </c>
      <c r="K6662" s="66"/>
      <c r="L6662" s="44"/>
      <c r="M6662" s="64" t="s">
        <v>20405</v>
      </c>
    </row>
    <row r="6663" ht="30" customHeight="1" spans="1:13">
      <c r="A6663" s="41">
        <f>IF(C6663="","",SUBTOTAL(103,$C$2:C6663))</f>
        <v>6654</v>
      </c>
      <c r="B6663" s="67"/>
      <c r="C6663" s="58" t="s">
        <v>20331</v>
      </c>
      <c r="D6663" s="68" t="s">
        <v>20337</v>
      </c>
      <c r="E6663" s="64" t="s">
        <v>20338</v>
      </c>
      <c r="F6663" s="68" t="s">
        <v>20339</v>
      </c>
      <c r="G6663" s="64" t="s">
        <v>20406</v>
      </c>
      <c r="H6663" s="68" t="s">
        <v>20407</v>
      </c>
      <c r="I6663" s="64">
        <v>1</v>
      </c>
      <c r="J6663" s="44" t="str">
        <f>VLOOKUP(G6663,[1]硬件清单!$F:$F,1,0)</f>
        <v>219801A6E5523CR00152</v>
      </c>
      <c r="K6663" s="66"/>
      <c r="L6663" s="44"/>
      <c r="M6663" s="64" t="s">
        <v>20408</v>
      </c>
    </row>
    <row r="6664" ht="30" customHeight="1" spans="1:13">
      <c r="A6664" s="41">
        <f>IF(C6664="","",SUBTOTAL(103,$C$2:C6664))</f>
        <v>6655</v>
      </c>
      <c r="B6664" s="67"/>
      <c r="C6664" s="58" t="s">
        <v>20331</v>
      </c>
      <c r="D6664" s="68" t="s">
        <v>20337</v>
      </c>
      <c r="E6664" s="64" t="s">
        <v>20338</v>
      </c>
      <c r="F6664" s="68" t="s">
        <v>20339</v>
      </c>
      <c r="G6664" s="64" t="s">
        <v>20409</v>
      </c>
      <c r="H6664" s="68" t="s">
        <v>20410</v>
      </c>
      <c r="I6664" s="64">
        <v>1</v>
      </c>
      <c r="J6664" s="44" t="str">
        <f>VLOOKUP(G6664,[1]硬件清单!$F:$F,1,0)</f>
        <v>219801A6E5523CR00130</v>
      </c>
      <c r="K6664" s="66"/>
      <c r="L6664" s="44"/>
      <c r="M6664" s="64" t="s">
        <v>20411</v>
      </c>
    </row>
    <row r="6665" ht="30" customHeight="1" spans="1:13">
      <c r="A6665" s="41">
        <f>IF(C6665="","",SUBTOTAL(103,$C$2:C6665))</f>
        <v>6656</v>
      </c>
      <c r="B6665" s="67"/>
      <c r="C6665" s="58" t="s">
        <v>20331</v>
      </c>
      <c r="D6665" s="68" t="s">
        <v>20337</v>
      </c>
      <c r="E6665" s="64" t="s">
        <v>20338</v>
      </c>
      <c r="F6665" s="68" t="s">
        <v>20339</v>
      </c>
      <c r="G6665" s="64" t="s">
        <v>20412</v>
      </c>
      <c r="H6665" s="68" t="s">
        <v>20413</v>
      </c>
      <c r="I6665" s="64">
        <v>1</v>
      </c>
      <c r="J6665" s="44" t="str">
        <f>VLOOKUP(G6665,[1]硬件清单!$F:$F,1,0)</f>
        <v>219801A6E5523CR00148</v>
      </c>
      <c r="K6665" s="66"/>
      <c r="L6665" s="44"/>
      <c r="M6665" s="64" t="s">
        <v>20414</v>
      </c>
    </row>
    <row r="6666" ht="30" customHeight="1" spans="1:13">
      <c r="A6666" s="41">
        <f>IF(C6666="","",SUBTOTAL(103,$C$2:C6666))</f>
        <v>6657</v>
      </c>
      <c r="B6666" s="67"/>
      <c r="C6666" s="58" t="s">
        <v>20331</v>
      </c>
      <c r="D6666" s="68" t="s">
        <v>20337</v>
      </c>
      <c r="E6666" s="64" t="s">
        <v>20338</v>
      </c>
      <c r="F6666" s="68" t="s">
        <v>20339</v>
      </c>
      <c r="G6666" s="64" t="s">
        <v>20415</v>
      </c>
      <c r="H6666" s="68" t="s">
        <v>20416</v>
      </c>
      <c r="I6666" s="64">
        <v>1</v>
      </c>
      <c r="J6666" s="44" t="str">
        <f>VLOOKUP(G6666,[1]硬件清单!$F:$F,1,0)</f>
        <v>219801A6E5523CR00037</v>
      </c>
      <c r="K6666" s="66"/>
      <c r="L6666" s="44"/>
      <c r="M6666" s="64" t="s">
        <v>20417</v>
      </c>
    </row>
    <row r="6667" ht="30" customHeight="1" spans="1:13">
      <c r="A6667" s="41">
        <f>IF(C6667="","",SUBTOTAL(103,$C$2:C6667))</f>
        <v>6658</v>
      </c>
      <c r="B6667" s="67"/>
      <c r="C6667" s="58" t="s">
        <v>20331</v>
      </c>
      <c r="D6667" s="68" t="s">
        <v>20337</v>
      </c>
      <c r="E6667" s="64" t="s">
        <v>20338</v>
      </c>
      <c r="F6667" s="68" t="s">
        <v>20339</v>
      </c>
      <c r="G6667" s="64" t="s">
        <v>20418</v>
      </c>
      <c r="H6667" s="68" t="s">
        <v>20419</v>
      </c>
      <c r="I6667" s="64">
        <v>1</v>
      </c>
      <c r="J6667" s="44" t="str">
        <f>VLOOKUP(G6667,[1]硬件清单!$F:$F,1,0)</f>
        <v>219801A6E5523CR00010</v>
      </c>
      <c r="K6667" s="66"/>
      <c r="L6667" s="44"/>
      <c r="M6667" s="64" t="s">
        <v>20420</v>
      </c>
    </row>
    <row r="6668" ht="30" customHeight="1" spans="1:13">
      <c r="A6668" s="41">
        <f>IF(C6668="","",SUBTOTAL(103,$C$2:C6668))</f>
        <v>6659</v>
      </c>
      <c r="B6668" s="67"/>
      <c r="C6668" s="58" t="s">
        <v>20331</v>
      </c>
      <c r="D6668" s="68" t="s">
        <v>20337</v>
      </c>
      <c r="E6668" s="64" t="s">
        <v>20338</v>
      </c>
      <c r="F6668" s="68" t="s">
        <v>20339</v>
      </c>
      <c r="G6668" s="64" t="s">
        <v>20421</v>
      </c>
      <c r="H6668" s="68" t="s">
        <v>20422</v>
      </c>
      <c r="I6668" s="64">
        <v>1</v>
      </c>
      <c r="J6668" s="44" t="str">
        <f>VLOOKUP(G6668,[1]硬件清单!$F:$F,1,0)</f>
        <v>219801A6E5523CR00124</v>
      </c>
      <c r="K6668" s="66"/>
      <c r="L6668" s="44"/>
      <c r="M6668" s="64" t="s">
        <v>20423</v>
      </c>
    </row>
    <row r="6669" ht="30" customHeight="1" spans="1:13">
      <c r="A6669" s="41">
        <f>IF(C6669="","",SUBTOTAL(103,$C$2:C6669))</f>
        <v>6660</v>
      </c>
      <c r="B6669" s="67"/>
      <c r="C6669" s="58" t="s">
        <v>20331</v>
      </c>
      <c r="D6669" s="68" t="s">
        <v>20337</v>
      </c>
      <c r="E6669" s="64" t="s">
        <v>20338</v>
      </c>
      <c r="F6669" s="68" t="s">
        <v>20339</v>
      </c>
      <c r="G6669" s="64" t="s">
        <v>20424</v>
      </c>
      <c r="H6669" s="68" t="s">
        <v>20425</v>
      </c>
      <c r="I6669" s="64">
        <v>1</v>
      </c>
      <c r="J6669" s="44" t="str">
        <f>VLOOKUP(G6669,[1]硬件清单!$F:$F,1,0)</f>
        <v>219801A6E5523CR00036</v>
      </c>
      <c r="K6669" s="66"/>
      <c r="L6669" s="44"/>
      <c r="M6669" s="64" t="s">
        <v>20426</v>
      </c>
    </row>
    <row r="6670" ht="30" customHeight="1" spans="1:13">
      <c r="A6670" s="41">
        <f>IF(C6670="","",SUBTOTAL(103,$C$2:C6670))</f>
        <v>6661</v>
      </c>
      <c r="B6670" s="67"/>
      <c r="C6670" s="58" t="s">
        <v>20331</v>
      </c>
      <c r="D6670" s="68" t="s">
        <v>20337</v>
      </c>
      <c r="E6670" s="64" t="s">
        <v>20338</v>
      </c>
      <c r="F6670" s="68" t="s">
        <v>20339</v>
      </c>
      <c r="G6670" s="64" t="s">
        <v>20427</v>
      </c>
      <c r="H6670" s="68" t="s">
        <v>20428</v>
      </c>
      <c r="I6670" s="64">
        <v>1</v>
      </c>
      <c r="J6670" s="44" t="str">
        <f>VLOOKUP(G6670,[1]硬件清单!$F:$F,1,0)</f>
        <v>219801A6E5523CR00035</v>
      </c>
      <c r="K6670" s="66"/>
      <c r="L6670" s="44"/>
      <c r="M6670" s="64" t="s">
        <v>20429</v>
      </c>
    </row>
    <row r="6671" ht="30" customHeight="1" spans="1:13">
      <c r="A6671" s="41">
        <f>IF(C6671="","",SUBTOTAL(103,$C$2:C6671))</f>
        <v>6662</v>
      </c>
      <c r="B6671" s="67"/>
      <c r="C6671" s="58" t="s">
        <v>20331</v>
      </c>
      <c r="D6671" s="68" t="s">
        <v>20337</v>
      </c>
      <c r="E6671" s="64" t="s">
        <v>20338</v>
      </c>
      <c r="F6671" s="68" t="s">
        <v>20339</v>
      </c>
      <c r="G6671" s="64" t="s">
        <v>20430</v>
      </c>
      <c r="H6671" s="68" t="s">
        <v>20431</v>
      </c>
      <c r="I6671" s="64">
        <v>1</v>
      </c>
      <c r="J6671" s="44" t="str">
        <f>VLOOKUP(G6671,[1]硬件清单!$F:$F,1,0)</f>
        <v>219801A6E4523CR00010</v>
      </c>
      <c r="K6671" s="66"/>
      <c r="L6671" s="44"/>
      <c r="M6671" s="64" t="s">
        <v>20432</v>
      </c>
    </row>
    <row r="6672" ht="30" customHeight="1" spans="1:13">
      <c r="A6672" s="41">
        <f>IF(C6672="","",SUBTOTAL(103,$C$2:C6672))</f>
        <v>6663</v>
      </c>
      <c r="B6672" s="67"/>
      <c r="C6672" s="58" t="s">
        <v>20331</v>
      </c>
      <c r="D6672" s="68" t="s">
        <v>20337</v>
      </c>
      <c r="E6672" s="64" t="s">
        <v>20338</v>
      </c>
      <c r="F6672" s="68" t="s">
        <v>20339</v>
      </c>
      <c r="G6672" s="64" t="s">
        <v>20433</v>
      </c>
      <c r="H6672" s="68" t="s">
        <v>20434</v>
      </c>
      <c r="I6672" s="64">
        <v>1</v>
      </c>
      <c r="J6672" s="44" t="str">
        <f>VLOOKUP(G6672,[1]硬件清单!$F:$F,1,0)</f>
        <v>219801A6E5523CR00071</v>
      </c>
      <c r="K6672" s="66"/>
      <c r="L6672" s="44"/>
      <c r="M6672" s="64" t="s">
        <v>20435</v>
      </c>
    </row>
    <row r="6673" ht="30" customHeight="1" spans="1:13">
      <c r="A6673" s="41">
        <f>IF(C6673="","",SUBTOTAL(103,$C$2:C6673))</f>
        <v>6664</v>
      </c>
      <c r="B6673" s="67"/>
      <c r="C6673" s="58" t="s">
        <v>20331</v>
      </c>
      <c r="D6673" s="68" t="s">
        <v>20337</v>
      </c>
      <c r="E6673" s="64" t="s">
        <v>20338</v>
      </c>
      <c r="F6673" s="68" t="s">
        <v>20339</v>
      </c>
      <c r="G6673" s="64" t="s">
        <v>20436</v>
      </c>
      <c r="H6673" s="68" t="s">
        <v>20437</v>
      </c>
      <c r="I6673" s="64">
        <v>1</v>
      </c>
      <c r="J6673" s="44" t="str">
        <f>VLOOKUP(G6673,[1]硬件清单!$F:$F,1,0)</f>
        <v>219801A6E4523CR00011</v>
      </c>
      <c r="K6673" s="66"/>
      <c r="L6673" s="44"/>
      <c r="M6673" s="64" t="s">
        <v>20438</v>
      </c>
    </row>
    <row r="6674" ht="30" customHeight="1" spans="1:13">
      <c r="A6674" s="41">
        <f>IF(C6674="","",SUBTOTAL(103,$C$2:C6674))</f>
        <v>6665</v>
      </c>
      <c r="B6674" s="67"/>
      <c r="C6674" s="58" t="s">
        <v>20331</v>
      </c>
      <c r="D6674" s="68" t="s">
        <v>20337</v>
      </c>
      <c r="E6674" s="64" t="s">
        <v>20338</v>
      </c>
      <c r="F6674" s="68" t="s">
        <v>20339</v>
      </c>
      <c r="G6674" s="64" t="s">
        <v>20439</v>
      </c>
      <c r="H6674" s="68" t="s">
        <v>20440</v>
      </c>
      <c r="I6674" s="64">
        <v>1</v>
      </c>
      <c r="J6674" s="44" t="str">
        <f>VLOOKUP(G6674,[1]硬件清单!$F:$F,1,0)</f>
        <v>219801A6E4523CR00004</v>
      </c>
      <c r="K6674" s="66"/>
      <c r="L6674" s="44"/>
      <c r="M6674" s="64" t="s">
        <v>20441</v>
      </c>
    </row>
    <row r="6675" ht="30" customHeight="1" spans="1:13">
      <c r="A6675" s="41">
        <f>IF(C6675="","",SUBTOTAL(103,$C$2:C6675))</f>
        <v>6666</v>
      </c>
      <c r="B6675" s="67"/>
      <c r="C6675" s="58" t="s">
        <v>20331</v>
      </c>
      <c r="D6675" s="68" t="s">
        <v>20337</v>
      </c>
      <c r="E6675" s="64" t="s">
        <v>20338</v>
      </c>
      <c r="F6675" s="68" t="s">
        <v>20339</v>
      </c>
      <c r="G6675" s="64" t="s">
        <v>20442</v>
      </c>
      <c r="H6675" s="68" t="s">
        <v>20443</v>
      </c>
      <c r="I6675" s="64">
        <v>1</v>
      </c>
      <c r="J6675" s="44" t="str">
        <f>VLOOKUP(G6675,[1]硬件清单!$F:$F,1,0)</f>
        <v>219801A6E5523CR00038</v>
      </c>
      <c r="K6675" s="66"/>
      <c r="L6675" s="44"/>
      <c r="M6675" s="64" t="s">
        <v>20444</v>
      </c>
    </row>
    <row r="6676" ht="30" customHeight="1" spans="1:13">
      <c r="A6676" s="41">
        <f>IF(C6676="","",SUBTOTAL(103,$C$2:C6676))</f>
        <v>6667</v>
      </c>
      <c r="B6676" s="67"/>
      <c r="C6676" s="58" t="s">
        <v>20331</v>
      </c>
      <c r="D6676" s="68" t="s">
        <v>20337</v>
      </c>
      <c r="E6676" s="64" t="s">
        <v>20338</v>
      </c>
      <c r="F6676" s="68" t="s">
        <v>20339</v>
      </c>
      <c r="G6676" s="64" t="s">
        <v>20445</v>
      </c>
      <c r="H6676" s="68" t="s">
        <v>20446</v>
      </c>
      <c r="I6676" s="64">
        <v>1</v>
      </c>
      <c r="J6676" s="44" t="str">
        <f>VLOOKUP(G6676,[1]硬件清单!$F:$F,1,0)</f>
        <v>219801A6E5523CR00034</v>
      </c>
      <c r="K6676" s="66"/>
      <c r="L6676" s="44"/>
      <c r="M6676" s="64" t="s">
        <v>20447</v>
      </c>
    </row>
    <row r="6677" ht="30" customHeight="1" spans="1:13">
      <c r="A6677" s="41">
        <f>IF(C6677="","",SUBTOTAL(103,$C$2:C6677))</f>
        <v>6668</v>
      </c>
      <c r="B6677" s="67"/>
      <c r="C6677" s="58" t="s">
        <v>20331</v>
      </c>
      <c r="D6677" s="68" t="s">
        <v>20337</v>
      </c>
      <c r="E6677" s="64" t="s">
        <v>20338</v>
      </c>
      <c r="F6677" s="68" t="s">
        <v>20339</v>
      </c>
      <c r="G6677" s="64" t="s">
        <v>20448</v>
      </c>
      <c r="H6677" s="68" t="s">
        <v>20449</v>
      </c>
      <c r="I6677" s="64">
        <v>1</v>
      </c>
      <c r="J6677" s="44" t="str">
        <f>VLOOKUP(G6677,[1]硬件清单!$F:$F,1,0)</f>
        <v>219801A6E5523CR00111</v>
      </c>
      <c r="K6677" s="66"/>
      <c r="L6677" s="44"/>
      <c r="M6677" s="64" t="s">
        <v>20450</v>
      </c>
    </row>
    <row r="6678" ht="30" customHeight="1" spans="1:13">
      <c r="A6678" s="41">
        <f>IF(C6678="","",SUBTOTAL(103,$C$2:C6678))</f>
        <v>6669</v>
      </c>
      <c r="B6678" s="67"/>
      <c r="C6678" s="58" t="s">
        <v>20331</v>
      </c>
      <c r="D6678" s="68" t="s">
        <v>20337</v>
      </c>
      <c r="E6678" s="64" t="s">
        <v>20338</v>
      </c>
      <c r="F6678" s="68" t="s">
        <v>20339</v>
      </c>
      <c r="G6678" s="64" t="s">
        <v>20451</v>
      </c>
      <c r="H6678" s="68" t="s">
        <v>20452</v>
      </c>
      <c r="I6678" s="64">
        <v>1</v>
      </c>
      <c r="J6678" s="44" t="str">
        <f>VLOOKUP(G6678,[1]硬件清单!$F:$F,1,0)</f>
        <v>219801A6E5523CR00151</v>
      </c>
      <c r="K6678" s="66"/>
      <c r="L6678" s="44"/>
      <c r="M6678" s="64" t="s">
        <v>20453</v>
      </c>
    </row>
    <row r="6679" ht="30" customHeight="1" spans="1:13">
      <c r="A6679" s="41">
        <f>IF(C6679="","",SUBTOTAL(103,$C$2:C6679))</f>
        <v>6670</v>
      </c>
      <c r="B6679" s="67"/>
      <c r="C6679" s="58" t="s">
        <v>20331</v>
      </c>
      <c r="D6679" s="68" t="s">
        <v>20337</v>
      </c>
      <c r="E6679" s="64" t="s">
        <v>20338</v>
      </c>
      <c r="F6679" s="68" t="s">
        <v>20339</v>
      </c>
      <c r="G6679" s="64" t="s">
        <v>20454</v>
      </c>
      <c r="H6679" s="68" t="s">
        <v>20455</v>
      </c>
      <c r="I6679" s="64">
        <v>1</v>
      </c>
      <c r="J6679" s="44" t="str">
        <f>VLOOKUP(G6679,[1]硬件清单!$F:$F,1,0)</f>
        <v>219801A6E5523CR00155</v>
      </c>
      <c r="K6679" s="66"/>
      <c r="L6679" s="44"/>
      <c r="M6679" s="64" t="s">
        <v>20456</v>
      </c>
    </row>
    <row r="6680" ht="30" customHeight="1" spans="1:13">
      <c r="A6680" s="41">
        <f>IF(C6680="","",SUBTOTAL(103,$C$2:C6680))</f>
        <v>6671</v>
      </c>
      <c r="B6680" s="67"/>
      <c r="C6680" s="58" t="s">
        <v>20331</v>
      </c>
      <c r="D6680" s="68" t="s">
        <v>20337</v>
      </c>
      <c r="E6680" s="64" t="s">
        <v>20338</v>
      </c>
      <c r="F6680" s="68" t="s">
        <v>20339</v>
      </c>
      <c r="G6680" s="64" t="s">
        <v>20457</v>
      </c>
      <c r="H6680" s="68" t="s">
        <v>20458</v>
      </c>
      <c r="I6680" s="64">
        <v>1</v>
      </c>
      <c r="J6680" s="44" t="str">
        <f>VLOOKUP(G6680,[1]硬件清单!$F:$F,1,0)</f>
        <v>219801A6E5523CR00127</v>
      </c>
      <c r="K6680" s="66"/>
      <c r="L6680" s="44"/>
      <c r="M6680" s="64" t="s">
        <v>20459</v>
      </c>
    </row>
    <row r="6681" ht="30" customHeight="1" spans="1:13">
      <c r="A6681" s="41">
        <f>IF(C6681="","",SUBTOTAL(103,$C$2:C6681))</f>
        <v>6672</v>
      </c>
      <c r="B6681" s="67"/>
      <c r="C6681" s="58" t="s">
        <v>20331</v>
      </c>
      <c r="D6681" s="68" t="s">
        <v>20337</v>
      </c>
      <c r="E6681" s="64" t="s">
        <v>20338</v>
      </c>
      <c r="F6681" s="68" t="s">
        <v>20339</v>
      </c>
      <c r="G6681" s="64" t="s">
        <v>20460</v>
      </c>
      <c r="H6681" s="68" t="s">
        <v>20461</v>
      </c>
      <c r="I6681" s="64">
        <v>1</v>
      </c>
      <c r="J6681" s="44" t="str">
        <f>VLOOKUP(G6681,[1]硬件清单!$F:$F,1,0)</f>
        <v>219801A6E5523CR00019</v>
      </c>
      <c r="K6681" s="66"/>
      <c r="L6681" s="44"/>
      <c r="M6681" s="64" t="s">
        <v>20462</v>
      </c>
    </row>
    <row r="6682" ht="30" customHeight="1" spans="1:13">
      <c r="A6682" s="41">
        <f>IF(C6682="","",SUBTOTAL(103,$C$2:C6682))</f>
        <v>6673</v>
      </c>
      <c r="B6682" s="67"/>
      <c r="C6682" s="58" t="s">
        <v>20331</v>
      </c>
      <c r="D6682" s="68" t="s">
        <v>20337</v>
      </c>
      <c r="E6682" s="64" t="s">
        <v>20338</v>
      </c>
      <c r="F6682" s="68" t="s">
        <v>20339</v>
      </c>
      <c r="G6682" s="64" t="s">
        <v>20463</v>
      </c>
      <c r="H6682" s="68" t="s">
        <v>20464</v>
      </c>
      <c r="I6682" s="64">
        <v>1</v>
      </c>
      <c r="J6682" s="44" t="str">
        <f>VLOOKUP(G6682,[1]硬件清单!$F:$F,1,0)</f>
        <v>219801A6E5523CR00017</v>
      </c>
      <c r="K6682" s="66"/>
      <c r="L6682" s="44"/>
      <c r="M6682" s="64" t="s">
        <v>20465</v>
      </c>
    </row>
    <row r="6683" ht="30" customHeight="1" spans="1:13">
      <c r="A6683" s="41">
        <f>IF(C6683="","",SUBTOTAL(103,$C$2:C6683))</f>
        <v>6674</v>
      </c>
      <c r="B6683" s="67"/>
      <c r="C6683" s="58" t="s">
        <v>20331</v>
      </c>
      <c r="D6683" s="68" t="s">
        <v>20337</v>
      </c>
      <c r="E6683" s="64" t="s">
        <v>20338</v>
      </c>
      <c r="F6683" s="68" t="s">
        <v>20339</v>
      </c>
      <c r="G6683" s="64" t="s">
        <v>20466</v>
      </c>
      <c r="H6683" s="68" t="s">
        <v>20467</v>
      </c>
      <c r="I6683" s="64">
        <v>1</v>
      </c>
      <c r="J6683" s="44" t="str">
        <f>VLOOKUP(G6683,[1]硬件清单!$F:$F,1,0)</f>
        <v>219801A6E5523CR00084</v>
      </c>
      <c r="K6683" s="66"/>
      <c r="L6683" s="44"/>
      <c r="M6683" s="64" t="s">
        <v>20468</v>
      </c>
    </row>
    <row r="6684" ht="30" customHeight="1" spans="1:13">
      <c r="A6684" s="41">
        <f>IF(C6684="","",SUBTOTAL(103,$C$2:C6684))</f>
        <v>6675</v>
      </c>
      <c r="B6684" s="67"/>
      <c r="C6684" s="58" t="s">
        <v>20331</v>
      </c>
      <c r="D6684" s="68" t="s">
        <v>20337</v>
      </c>
      <c r="E6684" s="64" t="s">
        <v>20338</v>
      </c>
      <c r="F6684" s="68" t="s">
        <v>20339</v>
      </c>
      <c r="G6684" s="64" t="s">
        <v>20469</v>
      </c>
      <c r="H6684" s="68" t="s">
        <v>20470</v>
      </c>
      <c r="I6684" s="64">
        <v>1</v>
      </c>
      <c r="J6684" s="44" t="str">
        <f>VLOOKUP(G6684,[1]硬件清单!$F:$F,1,0)</f>
        <v>219801A6E5523CR00118</v>
      </c>
      <c r="K6684" s="66"/>
      <c r="L6684" s="44"/>
      <c r="M6684" s="64" t="s">
        <v>20471</v>
      </c>
    </row>
    <row r="6685" ht="30" customHeight="1" spans="1:13">
      <c r="A6685" s="41">
        <f>IF(C6685="","",SUBTOTAL(103,$C$2:C6685))</f>
        <v>6676</v>
      </c>
      <c r="B6685" s="67"/>
      <c r="C6685" s="58" t="s">
        <v>20331</v>
      </c>
      <c r="D6685" s="68" t="s">
        <v>20337</v>
      </c>
      <c r="E6685" s="64" t="s">
        <v>20338</v>
      </c>
      <c r="F6685" s="68" t="s">
        <v>20339</v>
      </c>
      <c r="G6685" s="64" t="s">
        <v>20472</v>
      </c>
      <c r="H6685" s="68" t="s">
        <v>20473</v>
      </c>
      <c r="I6685" s="64">
        <v>1</v>
      </c>
      <c r="J6685" s="44" t="str">
        <f>VLOOKUP(G6685,[1]硬件清单!$F:$F,1,0)</f>
        <v>219801A6E5523CR00174</v>
      </c>
      <c r="K6685" s="66"/>
      <c r="L6685" s="44"/>
      <c r="M6685" s="64" t="s">
        <v>20474</v>
      </c>
    </row>
    <row r="6686" ht="30" customHeight="1" spans="1:13">
      <c r="A6686" s="41">
        <f>IF(C6686="","",SUBTOTAL(103,$C$2:C6686))</f>
        <v>6677</v>
      </c>
      <c r="B6686" s="67"/>
      <c r="C6686" s="58" t="s">
        <v>20331</v>
      </c>
      <c r="D6686" s="68" t="s">
        <v>20337</v>
      </c>
      <c r="E6686" s="64" t="s">
        <v>20338</v>
      </c>
      <c r="F6686" s="68" t="s">
        <v>20339</v>
      </c>
      <c r="G6686" s="64" t="s">
        <v>20475</v>
      </c>
      <c r="H6686" s="68" t="s">
        <v>20476</v>
      </c>
      <c r="I6686" s="64">
        <v>1</v>
      </c>
      <c r="J6686" s="44" t="str">
        <f>VLOOKUP(G6686,[1]硬件清单!$F:$F,1,0)</f>
        <v>219801A6E5523CR00070</v>
      </c>
      <c r="K6686" s="66"/>
      <c r="L6686" s="44"/>
      <c r="M6686" s="64" t="s">
        <v>20477</v>
      </c>
    </row>
    <row r="6687" ht="30" customHeight="1" spans="1:13">
      <c r="A6687" s="41">
        <f>IF(C6687="","",SUBTOTAL(103,$C$2:C6687))</f>
        <v>6678</v>
      </c>
      <c r="B6687" s="67"/>
      <c r="C6687" s="58" t="s">
        <v>20331</v>
      </c>
      <c r="D6687" s="68" t="s">
        <v>20337</v>
      </c>
      <c r="E6687" s="64" t="s">
        <v>20338</v>
      </c>
      <c r="F6687" s="68" t="s">
        <v>20339</v>
      </c>
      <c r="G6687" s="64" t="s">
        <v>20478</v>
      </c>
      <c r="H6687" s="68" t="s">
        <v>20479</v>
      </c>
      <c r="I6687" s="64">
        <v>1</v>
      </c>
      <c r="J6687" s="44" t="str">
        <f>VLOOKUP(G6687,[1]硬件清单!$F:$F,1,0)</f>
        <v>219801A6E5523CR00076</v>
      </c>
      <c r="K6687" s="66"/>
      <c r="L6687" s="44"/>
      <c r="M6687" s="64" t="s">
        <v>20480</v>
      </c>
    </row>
    <row r="6688" ht="30" customHeight="1" spans="1:13">
      <c r="A6688" s="41">
        <f>IF(C6688="","",SUBTOTAL(103,$C$2:C6688))</f>
        <v>6679</v>
      </c>
      <c r="B6688" s="67"/>
      <c r="C6688" s="58" t="s">
        <v>20331</v>
      </c>
      <c r="D6688" s="68" t="s">
        <v>20337</v>
      </c>
      <c r="E6688" s="64" t="s">
        <v>20338</v>
      </c>
      <c r="F6688" s="68" t="s">
        <v>20339</v>
      </c>
      <c r="G6688" s="64" t="s">
        <v>20481</v>
      </c>
      <c r="H6688" s="68" t="s">
        <v>20482</v>
      </c>
      <c r="I6688" s="64">
        <v>1</v>
      </c>
      <c r="J6688" s="44" t="str">
        <f>VLOOKUP(G6688,[1]硬件清单!$F:$F,1,0)</f>
        <v>219801A6E5523CR00149</v>
      </c>
      <c r="K6688" s="66"/>
      <c r="L6688" s="44"/>
      <c r="M6688" s="64" t="s">
        <v>20483</v>
      </c>
    </row>
    <row r="6689" ht="30" customHeight="1" spans="1:13">
      <c r="A6689" s="41">
        <f>IF(C6689="","",SUBTOTAL(103,$C$2:C6689))</f>
        <v>6680</v>
      </c>
      <c r="B6689" s="67"/>
      <c r="C6689" s="58" t="s">
        <v>20331</v>
      </c>
      <c r="D6689" s="68" t="s">
        <v>20337</v>
      </c>
      <c r="E6689" s="64" t="s">
        <v>20338</v>
      </c>
      <c r="F6689" s="68" t="s">
        <v>20339</v>
      </c>
      <c r="G6689" s="64" t="s">
        <v>20484</v>
      </c>
      <c r="H6689" s="68" t="s">
        <v>20485</v>
      </c>
      <c r="I6689" s="64">
        <v>1</v>
      </c>
      <c r="J6689" s="44" t="str">
        <f>VLOOKUP(G6689,[1]硬件清单!$F:$F,1,0)</f>
        <v>219801A6E5523CR00050</v>
      </c>
      <c r="K6689" s="66"/>
      <c r="L6689" s="44"/>
      <c r="M6689" s="64" t="s">
        <v>20486</v>
      </c>
    </row>
    <row r="6690" ht="30" customHeight="1" spans="1:13">
      <c r="A6690" s="41">
        <f>IF(C6690="","",SUBTOTAL(103,$C$2:C6690))</f>
        <v>6681</v>
      </c>
      <c r="B6690" s="67"/>
      <c r="C6690" s="58" t="s">
        <v>20331</v>
      </c>
      <c r="D6690" s="68" t="s">
        <v>20337</v>
      </c>
      <c r="E6690" s="64" t="s">
        <v>20338</v>
      </c>
      <c r="F6690" s="68" t="s">
        <v>20339</v>
      </c>
      <c r="G6690" s="64" t="s">
        <v>20487</v>
      </c>
      <c r="H6690" s="68" t="s">
        <v>20488</v>
      </c>
      <c r="I6690" s="64">
        <v>1</v>
      </c>
      <c r="J6690" s="44" t="str">
        <f>VLOOKUP(G6690,[1]硬件清单!$F:$F,1,0)</f>
        <v>219801A6E4523CR00031</v>
      </c>
      <c r="K6690" s="66"/>
      <c r="L6690" s="44"/>
      <c r="M6690" s="64" t="s">
        <v>20489</v>
      </c>
    </row>
    <row r="6691" ht="30" customHeight="1" spans="1:13">
      <c r="A6691" s="41">
        <f>IF(C6691="","",SUBTOTAL(103,$C$2:C6691))</f>
        <v>6682</v>
      </c>
      <c r="B6691" s="67"/>
      <c r="C6691" s="58" t="s">
        <v>20331</v>
      </c>
      <c r="D6691" s="68" t="s">
        <v>20337</v>
      </c>
      <c r="E6691" s="64" t="s">
        <v>20338</v>
      </c>
      <c r="F6691" s="68" t="s">
        <v>20339</v>
      </c>
      <c r="G6691" s="64" t="s">
        <v>20490</v>
      </c>
      <c r="H6691" s="68" t="s">
        <v>20491</v>
      </c>
      <c r="I6691" s="64">
        <v>1</v>
      </c>
      <c r="J6691" s="44" t="str">
        <f>VLOOKUP(G6691,[1]硬件清单!$F:$F,1,0)</f>
        <v>219801A6E5523CR00073</v>
      </c>
      <c r="K6691" s="66"/>
      <c r="L6691" s="44"/>
      <c r="M6691" s="64" t="s">
        <v>20492</v>
      </c>
    </row>
    <row r="6692" ht="30" customHeight="1" spans="1:13">
      <c r="A6692" s="41">
        <f>IF(C6692="","",SUBTOTAL(103,$C$2:C6692))</f>
        <v>6683</v>
      </c>
      <c r="B6692" s="67"/>
      <c r="C6692" s="58" t="s">
        <v>20331</v>
      </c>
      <c r="D6692" s="68" t="s">
        <v>20337</v>
      </c>
      <c r="E6692" s="64" t="s">
        <v>20338</v>
      </c>
      <c r="F6692" s="68" t="s">
        <v>20339</v>
      </c>
      <c r="G6692" s="64" t="s">
        <v>20493</v>
      </c>
      <c r="H6692" s="68" t="s">
        <v>20494</v>
      </c>
      <c r="I6692" s="64">
        <v>1</v>
      </c>
      <c r="J6692" s="44" t="str">
        <f>VLOOKUP(G6692,[1]硬件清单!$F:$F,1,0)</f>
        <v>219801A6E5523CR00082</v>
      </c>
      <c r="K6692" s="66"/>
      <c r="L6692" s="44"/>
      <c r="M6692" s="64" t="s">
        <v>20495</v>
      </c>
    </row>
    <row r="6693" ht="30" customHeight="1" spans="1:13">
      <c r="A6693" s="41">
        <f>IF(C6693="","",SUBTOTAL(103,$C$2:C6693))</f>
        <v>6684</v>
      </c>
      <c r="B6693" s="67"/>
      <c r="C6693" s="58" t="s">
        <v>20331</v>
      </c>
      <c r="D6693" s="68" t="s">
        <v>20337</v>
      </c>
      <c r="E6693" s="64" t="s">
        <v>20338</v>
      </c>
      <c r="F6693" s="68" t="s">
        <v>20339</v>
      </c>
      <c r="G6693" s="64" t="s">
        <v>20496</v>
      </c>
      <c r="H6693" s="68" t="s">
        <v>20497</v>
      </c>
      <c r="I6693" s="64">
        <v>1</v>
      </c>
      <c r="J6693" s="44" t="str">
        <f>VLOOKUP(G6693,[1]硬件清单!$F:$F,1,0)</f>
        <v>219801A6E5523CR00059</v>
      </c>
      <c r="K6693" s="66"/>
      <c r="L6693" s="44"/>
      <c r="M6693" s="64" t="s">
        <v>20498</v>
      </c>
    </row>
    <row r="6694" ht="30" customHeight="1" spans="1:13">
      <c r="A6694" s="41">
        <f>IF(C6694="","",SUBTOTAL(103,$C$2:C6694))</f>
        <v>6685</v>
      </c>
      <c r="B6694" s="67"/>
      <c r="C6694" s="58" t="s">
        <v>20331</v>
      </c>
      <c r="D6694" s="68" t="s">
        <v>20337</v>
      </c>
      <c r="E6694" s="64" t="s">
        <v>20338</v>
      </c>
      <c r="F6694" s="68" t="s">
        <v>20339</v>
      </c>
      <c r="G6694" s="64" t="s">
        <v>20499</v>
      </c>
      <c r="H6694" s="68" t="s">
        <v>20500</v>
      </c>
      <c r="I6694" s="64">
        <v>1</v>
      </c>
      <c r="J6694" s="44" t="str">
        <f>VLOOKUP(G6694,[1]硬件清单!$F:$F,1,0)</f>
        <v>219801A6E4523CR00026</v>
      </c>
      <c r="K6694" s="66"/>
      <c r="L6694" s="44"/>
      <c r="M6694" s="64" t="s">
        <v>20501</v>
      </c>
    </row>
    <row r="6695" ht="30" customHeight="1" spans="1:13">
      <c r="A6695" s="41">
        <f>IF(C6695="","",SUBTOTAL(103,$C$2:C6695))</f>
        <v>6686</v>
      </c>
      <c r="B6695" s="67"/>
      <c r="C6695" s="58" t="s">
        <v>20331</v>
      </c>
      <c r="D6695" s="68" t="s">
        <v>20337</v>
      </c>
      <c r="E6695" s="64" t="s">
        <v>20338</v>
      </c>
      <c r="F6695" s="68" t="s">
        <v>20339</v>
      </c>
      <c r="G6695" s="64" t="s">
        <v>20502</v>
      </c>
      <c r="H6695" s="68" t="s">
        <v>20503</v>
      </c>
      <c r="I6695" s="64">
        <v>1</v>
      </c>
      <c r="J6695" s="44" t="str">
        <f>VLOOKUP(G6695,[1]硬件清单!$F:$F,1,0)</f>
        <v>219801A6E5523CR00115</v>
      </c>
      <c r="K6695" s="66"/>
      <c r="L6695" s="44"/>
      <c r="M6695" s="64" t="s">
        <v>20504</v>
      </c>
    </row>
    <row r="6696" ht="30" customHeight="1" spans="1:13">
      <c r="A6696" s="41">
        <f>IF(C6696="","",SUBTOTAL(103,$C$2:C6696))</f>
        <v>6687</v>
      </c>
      <c r="B6696" s="67"/>
      <c r="C6696" s="58" t="s">
        <v>20331</v>
      </c>
      <c r="D6696" s="68" t="s">
        <v>20337</v>
      </c>
      <c r="E6696" s="64" t="s">
        <v>20338</v>
      </c>
      <c r="F6696" s="68" t="s">
        <v>20339</v>
      </c>
      <c r="G6696" s="64" t="s">
        <v>20505</v>
      </c>
      <c r="H6696" s="68" t="s">
        <v>20506</v>
      </c>
      <c r="I6696" s="64">
        <v>1</v>
      </c>
      <c r="J6696" s="44" t="str">
        <f>VLOOKUP(G6696,[1]硬件清单!$F:$F,1,0)</f>
        <v>219801A6E5523CR00116</v>
      </c>
      <c r="K6696" s="66"/>
      <c r="L6696" s="44"/>
      <c r="M6696" s="64" t="s">
        <v>20507</v>
      </c>
    </row>
    <row r="6697" ht="30" customHeight="1" spans="1:13">
      <c r="A6697" s="41">
        <f>IF(C6697="","",SUBTOTAL(103,$C$2:C6697))</f>
        <v>6688</v>
      </c>
      <c r="B6697" s="67"/>
      <c r="C6697" s="58" t="s">
        <v>20331</v>
      </c>
      <c r="D6697" s="68" t="s">
        <v>20337</v>
      </c>
      <c r="E6697" s="64" t="s">
        <v>20338</v>
      </c>
      <c r="F6697" s="68" t="s">
        <v>20339</v>
      </c>
      <c r="G6697" s="64" t="s">
        <v>20508</v>
      </c>
      <c r="H6697" s="68" t="s">
        <v>20509</v>
      </c>
      <c r="I6697" s="64">
        <v>1</v>
      </c>
      <c r="J6697" s="44" t="str">
        <f>VLOOKUP(G6697,[1]硬件清单!$F:$F,1,0)</f>
        <v>219801A6E5523CR00117</v>
      </c>
      <c r="K6697" s="66"/>
      <c r="L6697" s="44"/>
      <c r="M6697" s="64" t="s">
        <v>20510</v>
      </c>
    </row>
    <row r="6698" ht="30" customHeight="1" spans="1:13">
      <c r="A6698" s="41">
        <f>IF(C6698="","",SUBTOTAL(103,$C$2:C6698))</f>
        <v>6689</v>
      </c>
      <c r="B6698" s="67"/>
      <c r="C6698" s="58" t="s">
        <v>20331</v>
      </c>
      <c r="D6698" s="68" t="s">
        <v>20337</v>
      </c>
      <c r="E6698" s="64" t="s">
        <v>20338</v>
      </c>
      <c r="F6698" s="68" t="s">
        <v>20339</v>
      </c>
      <c r="G6698" s="64" t="s">
        <v>20511</v>
      </c>
      <c r="H6698" s="68" t="s">
        <v>20512</v>
      </c>
      <c r="I6698" s="64">
        <v>1</v>
      </c>
      <c r="J6698" s="44" t="str">
        <f>VLOOKUP(G6698,[1]硬件清单!$F:$F,1,0)</f>
        <v>219801A6E5523CR00061</v>
      </c>
      <c r="K6698" s="66"/>
      <c r="L6698" s="44"/>
      <c r="M6698" s="64" t="s">
        <v>20513</v>
      </c>
    </row>
    <row r="6699" ht="30" customHeight="1" spans="1:13">
      <c r="A6699" s="41">
        <f>IF(C6699="","",SUBTOTAL(103,$C$2:C6699))</f>
        <v>6690</v>
      </c>
      <c r="B6699" s="67"/>
      <c r="C6699" s="58" t="s">
        <v>20331</v>
      </c>
      <c r="D6699" s="68" t="s">
        <v>20337</v>
      </c>
      <c r="E6699" s="64" t="s">
        <v>20338</v>
      </c>
      <c r="F6699" s="68" t="s">
        <v>20339</v>
      </c>
      <c r="G6699" s="64" t="s">
        <v>20514</v>
      </c>
      <c r="H6699" s="68" t="s">
        <v>20515</v>
      </c>
      <c r="I6699" s="64">
        <v>1</v>
      </c>
      <c r="J6699" s="44" t="str">
        <f>VLOOKUP(G6699,[1]硬件清单!$F:$F,1,0)</f>
        <v>219801A6E5523CR00108</v>
      </c>
      <c r="K6699" s="66"/>
      <c r="L6699" s="44"/>
      <c r="M6699" s="64" t="s">
        <v>20516</v>
      </c>
    </row>
    <row r="6700" ht="30" customHeight="1" spans="1:13">
      <c r="A6700" s="41">
        <f>IF(C6700="","",SUBTOTAL(103,$C$2:C6700))</f>
        <v>6691</v>
      </c>
      <c r="B6700" s="67"/>
      <c r="C6700" s="58" t="s">
        <v>20331</v>
      </c>
      <c r="D6700" s="68" t="s">
        <v>20337</v>
      </c>
      <c r="E6700" s="64" t="s">
        <v>20338</v>
      </c>
      <c r="F6700" s="68" t="s">
        <v>20339</v>
      </c>
      <c r="G6700" s="64" t="s">
        <v>20517</v>
      </c>
      <c r="H6700" s="68" t="s">
        <v>20518</v>
      </c>
      <c r="I6700" s="64">
        <v>1</v>
      </c>
      <c r="J6700" s="44" t="str">
        <f>VLOOKUP(G6700,[1]硬件清单!$F:$F,1,0)</f>
        <v>219801A6E5523CR00102</v>
      </c>
      <c r="K6700" s="66"/>
      <c r="L6700" s="44"/>
      <c r="M6700" s="64" t="s">
        <v>20519</v>
      </c>
    </row>
    <row r="6701" ht="30" customHeight="1" spans="1:13">
      <c r="A6701" s="41">
        <f>IF(C6701="","",SUBTOTAL(103,$C$2:C6701))</f>
        <v>6692</v>
      </c>
      <c r="B6701" s="67"/>
      <c r="C6701" s="58" t="s">
        <v>20331</v>
      </c>
      <c r="D6701" s="68" t="s">
        <v>20337</v>
      </c>
      <c r="E6701" s="64" t="s">
        <v>20338</v>
      </c>
      <c r="F6701" s="68" t="s">
        <v>20339</v>
      </c>
      <c r="G6701" s="64" t="s">
        <v>20520</v>
      </c>
      <c r="H6701" s="68" t="s">
        <v>20521</v>
      </c>
      <c r="I6701" s="64">
        <v>1</v>
      </c>
      <c r="J6701" s="44" t="str">
        <f>VLOOKUP(G6701,[1]硬件清单!$F:$F,1,0)</f>
        <v>219801A6E5523CR00162</v>
      </c>
      <c r="K6701" s="66"/>
      <c r="L6701" s="44"/>
      <c r="M6701" s="64" t="s">
        <v>20522</v>
      </c>
    </row>
    <row r="6702" ht="30" customHeight="1" spans="1:13">
      <c r="A6702" s="41">
        <f>IF(C6702="","",SUBTOTAL(103,$C$2:C6702))</f>
        <v>6693</v>
      </c>
      <c r="B6702" s="67"/>
      <c r="C6702" s="58" t="s">
        <v>20331</v>
      </c>
      <c r="D6702" s="68" t="s">
        <v>20337</v>
      </c>
      <c r="E6702" s="64" t="s">
        <v>20338</v>
      </c>
      <c r="F6702" s="68" t="s">
        <v>20339</v>
      </c>
      <c r="G6702" s="64" t="s">
        <v>20523</v>
      </c>
      <c r="H6702" s="68" t="s">
        <v>20524</v>
      </c>
      <c r="I6702" s="64">
        <v>1</v>
      </c>
      <c r="J6702" s="44" t="str">
        <f>VLOOKUP(G6702,[1]硬件清单!$F:$F,1,0)</f>
        <v>219801A6E5523CR00087</v>
      </c>
      <c r="K6702" s="66"/>
      <c r="L6702" s="44"/>
      <c r="M6702" s="64" t="s">
        <v>20525</v>
      </c>
    </row>
    <row r="6703" ht="30" customHeight="1" spans="1:13">
      <c r="A6703" s="41">
        <f>IF(C6703="","",SUBTOTAL(103,$C$2:C6703))</f>
        <v>6694</v>
      </c>
      <c r="B6703" s="67"/>
      <c r="C6703" s="58" t="s">
        <v>20331</v>
      </c>
      <c r="D6703" s="68" t="s">
        <v>20337</v>
      </c>
      <c r="E6703" s="64" t="s">
        <v>20338</v>
      </c>
      <c r="F6703" s="68" t="s">
        <v>20339</v>
      </c>
      <c r="G6703" s="64" t="s">
        <v>20526</v>
      </c>
      <c r="H6703" s="68" t="s">
        <v>20527</v>
      </c>
      <c r="I6703" s="64">
        <v>1</v>
      </c>
      <c r="J6703" s="44" t="str">
        <f>VLOOKUP(G6703,[1]硬件清单!$F:$F,1,0)</f>
        <v>219801A6E5523CR00042</v>
      </c>
      <c r="K6703" s="66"/>
      <c r="L6703" s="44"/>
      <c r="M6703" s="64" t="s">
        <v>20528</v>
      </c>
    </row>
    <row r="6704" ht="30" customHeight="1" spans="1:13">
      <c r="A6704" s="41">
        <f>IF(C6704="","",SUBTOTAL(103,$C$2:C6704))</f>
        <v>6695</v>
      </c>
      <c r="B6704" s="67"/>
      <c r="C6704" s="58" t="s">
        <v>20331</v>
      </c>
      <c r="D6704" s="68" t="s">
        <v>20337</v>
      </c>
      <c r="E6704" s="64" t="s">
        <v>20338</v>
      </c>
      <c r="F6704" s="68" t="s">
        <v>20339</v>
      </c>
      <c r="G6704" s="64" t="s">
        <v>20529</v>
      </c>
      <c r="H6704" s="68" t="s">
        <v>20530</v>
      </c>
      <c r="I6704" s="64">
        <v>1</v>
      </c>
      <c r="J6704" s="44" t="str">
        <f>VLOOKUP(G6704,[1]硬件清单!$F:$F,1,0)</f>
        <v>219801A6E5523CR00056</v>
      </c>
      <c r="K6704" s="66"/>
      <c r="L6704" s="44"/>
      <c r="M6704" s="64" t="s">
        <v>20531</v>
      </c>
    </row>
    <row r="6705" ht="30" customHeight="1" spans="1:13">
      <c r="A6705" s="41">
        <f>IF(C6705="","",SUBTOTAL(103,$C$2:C6705))</f>
        <v>6696</v>
      </c>
      <c r="B6705" s="67"/>
      <c r="C6705" s="58" t="s">
        <v>20331</v>
      </c>
      <c r="D6705" s="68" t="s">
        <v>20337</v>
      </c>
      <c r="E6705" s="64" t="s">
        <v>20338</v>
      </c>
      <c r="F6705" s="68" t="s">
        <v>20339</v>
      </c>
      <c r="G6705" s="64" t="s">
        <v>20532</v>
      </c>
      <c r="H6705" s="68" t="s">
        <v>20533</v>
      </c>
      <c r="I6705" s="64">
        <v>1</v>
      </c>
      <c r="J6705" s="44" t="str">
        <f>VLOOKUP(G6705,[1]硬件清单!$F:$F,1,0)</f>
        <v>219801A6E5523CR00023</v>
      </c>
      <c r="K6705" s="66"/>
      <c r="L6705" s="44"/>
      <c r="M6705" s="64" t="s">
        <v>20534</v>
      </c>
    </row>
    <row r="6706" ht="30" customHeight="1" spans="1:13">
      <c r="A6706" s="41">
        <f>IF(C6706="","",SUBTOTAL(103,$C$2:C6706))</f>
        <v>6697</v>
      </c>
      <c r="B6706" s="67"/>
      <c r="C6706" s="58" t="s">
        <v>20331</v>
      </c>
      <c r="D6706" s="68" t="s">
        <v>20337</v>
      </c>
      <c r="E6706" s="64" t="s">
        <v>20338</v>
      </c>
      <c r="F6706" s="68" t="s">
        <v>20339</v>
      </c>
      <c r="G6706" s="64" t="s">
        <v>20535</v>
      </c>
      <c r="H6706" s="68" t="s">
        <v>20536</v>
      </c>
      <c r="I6706" s="64">
        <v>1</v>
      </c>
      <c r="J6706" s="44" t="str">
        <f>VLOOKUP(G6706,[1]硬件清单!$F:$F,1,0)</f>
        <v>219801A6E5523CR00097</v>
      </c>
      <c r="K6706" s="66"/>
      <c r="L6706" s="44"/>
      <c r="M6706" s="64" t="s">
        <v>20537</v>
      </c>
    </row>
    <row r="6707" ht="30" customHeight="1" spans="1:13">
      <c r="A6707" s="41">
        <f>IF(C6707="","",SUBTOTAL(103,$C$2:C6707))</f>
        <v>6698</v>
      </c>
      <c r="B6707" s="67"/>
      <c r="C6707" s="58" t="s">
        <v>20331</v>
      </c>
      <c r="D6707" s="68" t="s">
        <v>20337</v>
      </c>
      <c r="E6707" s="64" t="s">
        <v>20338</v>
      </c>
      <c r="F6707" s="68" t="s">
        <v>20339</v>
      </c>
      <c r="G6707" s="64" t="s">
        <v>20538</v>
      </c>
      <c r="H6707" s="68" t="s">
        <v>20539</v>
      </c>
      <c r="I6707" s="64">
        <v>1</v>
      </c>
      <c r="J6707" s="44" t="str">
        <f>VLOOKUP(G6707,[1]硬件清单!$F:$F,1,0)</f>
        <v>219801A6E5523CR00068</v>
      </c>
      <c r="K6707" s="66"/>
      <c r="L6707" s="44"/>
      <c r="M6707" s="64" t="s">
        <v>20540</v>
      </c>
    </row>
    <row r="6708" ht="30" customHeight="1" spans="1:13">
      <c r="A6708" s="41">
        <f>IF(C6708="","",SUBTOTAL(103,$C$2:C6708))</f>
        <v>6699</v>
      </c>
      <c r="B6708" s="67"/>
      <c r="C6708" s="58" t="s">
        <v>20331</v>
      </c>
      <c r="D6708" s="68" t="s">
        <v>20337</v>
      </c>
      <c r="E6708" s="64" t="s">
        <v>20338</v>
      </c>
      <c r="F6708" s="68" t="s">
        <v>20339</v>
      </c>
      <c r="G6708" s="64" t="s">
        <v>20541</v>
      </c>
      <c r="H6708" s="68" t="s">
        <v>20542</v>
      </c>
      <c r="I6708" s="64">
        <v>1</v>
      </c>
      <c r="J6708" s="44" t="str">
        <f>VLOOKUP(G6708,[1]硬件清单!$F:$F,1,0)</f>
        <v>219801A6E5523CR00141</v>
      </c>
      <c r="K6708" s="66"/>
      <c r="L6708" s="44"/>
      <c r="M6708" s="64" t="s">
        <v>20543</v>
      </c>
    </row>
    <row r="6709" ht="30" customHeight="1" spans="1:13">
      <c r="A6709" s="41">
        <f>IF(C6709="","",SUBTOTAL(103,$C$2:C6709))</f>
        <v>6700</v>
      </c>
      <c r="B6709" s="67"/>
      <c r="C6709" s="58" t="s">
        <v>20331</v>
      </c>
      <c r="D6709" s="68" t="s">
        <v>20337</v>
      </c>
      <c r="E6709" s="64" t="s">
        <v>20338</v>
      </c>
      <c r="F6709" s="68" t="s">
        <v>20339</v>
      </c>
      <c r="G6709" s="64" t="s">
        <v>20544</v>
      </c>
      <c r="H6709" s="68" t="s">
        <v>20545</v>
      </c>
      <c r="I6709" s="64">
        <v>1</v>
      </c>
      <c r="J6709" s="44" t="str">
        <f>VLOOKUP(G6709,[1]硬件清单!$F:$F,1,0)</f>
        <v>219801A6E5523CR00091</v>
      </c>
      <c r="K6709" s="66"/>
      <c r="L6709" s="44"/>
      <c r="M6709" s="64" t="s">
        <v>20546</v>
      </c>
    </row>
    <row r="6710" ht="30" customHeight="1" spans="1:13">
      <c r="A6710" s="41">
        <f>IF(C6710="","",SUBTOTAL(103,$C$2:C6710))</f>
        <v>6701</v>
      </c>
      <c r="B6710" s="67"/>
      <c r="C6710" s="58" t="s">
        <v>20331</v>
      </c>
      <c r="D6710" s="68" t="s">
        <v>20337</v>
      </c>
      <c r="E6710" s="64" t="s">
        <v>20338</v>
      </c>
      <c r="F6710" s="68" t="s">
        <v>20339</v>
      </c>
      <c r="G6710" s="64" t="s">
        <v>20547</v>
      </c>
      <c r="H6710" s="68" t="s">
        <v>20548</v>
      </c>
      <c r="I6710" s="64">
        <v>1</v>
      </c>
      <c r="J6710" s="44" t="str">
        <f>VLOOKUP(G6710,[1]硬件清单!$F:$F,1,0)</f>
        <v>219801A6E4523CR00016</v>
      </c>
      <c r="K6710" s="66"/>
      <c r="L6710" s="44"/>
      <c r="M6710" s="64" t="s">
        <v>20549</v>
      </c>
    </row>
    <row r="6711" ht="30" customHeight="1" spans="1:13">
      <c r="A6711" s="41">
        <f>IF(C6711="","",SUBTOTAL(103,$C$2:C6711))</f>
        <v>6702</v>
      </c>
      <c r="B6711" s="67"/>
      <c r="C6711" s="58" t="s">
        <v>20331</v>
      </c>
      <c r="D6711" s="68" t="s">
        <v>20337</v>
      </c>
      <c r="E6711" s="64" t="s">
        <v>20338</v>
      </c>
      <c r="F6711" s="68" t="s">
        <v>20339</v>
      </c>
      <c r="G6711" s="64" t="s">
        <v>20550</v>
      </c>
      <c r="H6711" s="68" t="s">
        <v>20551</v>
      </c>
      <c r="I6711" s="64">
        <v>1</v>
      </c>
      <c r="J6711" s="44" t="str">
        <f>VLOOKUP(G6711,[1]硬件清单!$F:$F,1,0)</f>
        <v>219801A6E5523CR00074</v>
      </c>
      <c r="K6711" s="66"/>
      <c r="L6711" s="44"/>
      <c r="M6711" s="64" t="s">
        <v>20552</v>
      </c>
    </row>
    <row r="6712" ht="30" customHeight="1" spans="1:13">
      <c r="A6712" s="41">
        <f>IF(C6712="","",SUBTOTAL(103,$C$2:C6712))</f>
        <v>6703</v>
      </c>
      <c r="B6712" s="67"/>
      <c r="C6712" s="58" t="s">
        <v>20331</v>
      </c>
      <c r="D6712" s="68" t="s">
        <v>20337</v>
      </c>
      <c r="E6712" s="64" t="s">
        <v>20338</v>
      </c>
      <c r="F6712" s="68" t="s">
        <v>20339</v>
      </c>
      <c r="G6712" s="64" t="s">
        <v>20553</v>
      </c>
      <c r="H6712" s="68" t="s">
        <v>20554</v>
      </c>
      <c r="I6712" s="64">
        <v>1</v>
      </c>
      <c r="J6712" s="44" t="str">
        <f>VLOOKUP(G6712,[1]硬件清单!$F:$F,1,0)</f>
        <v>219801A6E4523CR00014</v>
      </c>
      <c r="K6712" s="66"/>
      <c r="L6712" s="44"/>
      <c r="M6712" s="64" t="s">
        <v>20555</v>
      </c>
    </row>
    <row r="6713" ht="30" customHeight="1" spans="1:13">
      <c r="A6713" s="41">
        <f>IF(C6713="","",SUBTOTAL(103,$C$2:C6713))</f>
        <v>6704</v>
      </c>
      <c r="B6713" s="67"/>
      <c r="C6713" s="58" t="s">
        <v>20331</v>
      </c>
      <c r="D6713" s="68" t="s">
        <v>20337</v>
      </c>
      <c r="E6713" s="64" t="s">
        <v>20338</v>
      </c>
      <c r="F6713" s="68" t="s">
        <v>20339</v>
      </c>
      <c r="G6713" s="64" t="s">
        <v>20556</v>
      </c>
      <c r="H6713" s="68" t="s">
        <v>20557</v>
      </c>
      <c r="I6713" s="64">
        <v>1</v>
      </c>
      <c r="J6713" s="44" t="str">
        <f>VLOOKUP(G6713,[1]硬件清单!$F:$F,1,0)</f>
        <v>219801A6E5523CR00112</v>
      </c>
      <c r="K6713" s="66"/>
      <c r="L6713" s="44"/>
      <c r="M6713" s="64" t="s">
        <v>20558</v>
      </c>
    </row>
    <row r="6714" ht="30" customHeight="1" spans="1:13">
      <c r="A6714" s="41">
        <f>IF(C6714="","",SUBTOTAL(103,$C$2:C6714))</f>
        <v>6705</v>
      </c>
      <c r="B6714" s="67"/>
      <c r="C6714" s="58" t="s">
        <v>20331</v>
      </c>
      <c r="D6714" s="68" t="s">
        <v>20337</v>
      </c>
      <c r="E6714" s="64" t="s">
        <v>20338</v>
      </c>
      <c r="F6714" s="68" t="s">
        <v>20339</v>
      </c>
      <c r="G6714" s="64" t="s">
        <v>20559</v>
      </c>
      <c r="H6714" s="68" t="s">
        <v>20560</v>
      </c>
      <c r="I6714" s="64">
        <v>1</v>
      </c>
      <c r="J6714" s="44" t="str">
        <f>VLOOKUP(G6714,[1]硬件清单!$F:$F,1,0)</f>
        <v>219801A6E5523CR00172</v>
      </c>
      <c r="K6714" s="66"/>
      <c r="L6714" s="44"/>
      <c r="M6714" s="64" t="s">
        <v>20561</v>
      </c>
    </row>
    <row r="6715" ht="30" customHeight="1" spans="1:13">
      <c r="A6715" s="41">
        <f>IF(C6715="","",SUBTOTAL(103,$C$2:C6715))</f>
        <v>6706</v>
      </c>
      <c r="B6715" s="67"/>
      <c r="C6715" s="58" t="s">
        <v>20331</v>
      </c>
      <c r="D6715" s="68" t="s">
        <v>20337</v>
      </c>
      <c r="E6715" s="64" t="s">
        <v>20338</v>
      </c>
      <c r="F6715" s="68" t="s">
        <v>20339</v>
      </c>
      <c r="G6715" s="64" t="s">
        <v>20562</v>
      </c>
      <c r="H6715" s="68" t="s">
        <v>20563</v>
      </c>
      <c r="I6715" s="64">
        <v>1</v>
      </c>
      <c r="J6715" s="44" t="str">
        <f>VLOOKUP(G6715,[1]硬件清单!$F:$F,1,0)</f>
        <v>219801A6E4523CR00019</v>
      </c>
      <c r="K6715" s="66"/>
      <c r="L6715" s="44"/>
      <c r="M6715" s="64" t="s">
        <v>20564</v>
      </c>
    </row>
    <row r="6716" ht="30" customHeight="1" spans="1:13">
      <c r="A6716" s="41">
        <f>IF(C6716="","",SUBTOTAL(103,$C$2:C6716))</f>
        <v>6707</v>
      </c>
      <c r="B6716" s="67"/>
      <c r="C6716" s="58" t="s">
        <v>20331</v>
      </c>
      <c r="D6716" s="68" t="s">
        <v>20337</v>
      </c>
      <c r="E6716" s="64" t="s">
        <v>20338</v>
      </c>
      <c r="F6716" s="68" t="s">
        <v>20339</v>
      </c>
      <c r="G6716" s="64" t="s">
        <v>20565</v>
      </c>
      <c r="H6716" s="68" t="s">
        <v>20566</v>
      </c>
      <c r="I6716" s="64">
        <v>1</v>
      </c>
      <c r="J6716" s="44" t="str">
        <f>VLOOKUP(G6716,[1]硬件清单!$F:$F,1,0)</f>
        <v>219801A6E7523CR00006</v>
      </c>
      <c r="K6716" s="66"/>
      <c r="L6716" s="44"/>
      <c r="M6716" s="64" t="s">
        <v>20567</v>
      </c>
    </row>
    <row r="6717" ht="30" customHeight="1" spans="1:13">
      <c r="A6717" s="41">
        <f>IF(C6717="","",SUBTOTAL(103,$C$2:C6717))</f>
        <v>6708</v>
      </c>
      <c r="B6717" s="67"/>
      <c r="C6717" s="58" t="s">
        <v>20331</v>
      </c>
      <c r="D6717" s="68" t="s">
        <v>20337</v>
      </c>
      <c r="E6717" s="64" t="s">
        <v>20338</v>
      </c>
      <c r="F6717" s="68" t="s">
        <v>20339</v>
      </c>
      <c r="G6717" s="64" t="s">
        <v>20568</v>
      </c>
      <c r="H6717" s="68" t="s">
        <v>20569</v>
      </c>
      <c r="I6717" s="64">
        <v>1</v>
      </c>
      <c r="J6717" s="44" t="str">
        <f>VLOOKUP(G6717,[1]硬件清单!$F:$F,1,0)</f>
        <v>219801A6E5523CR00006</v>
      </c>
      <c r="K6717" s="66"/>
      <c r="L6717" s="44"/>
      <c r="M6717" s="64" t="s">
        <v>20570</v>
      </c>
    </row>
    <row r="6718" ht="30" customHeight="1" spans="1:13">
      <c r="A6718" s="41">
        <f>IF(C6718="","",SUBTOTAL(103,$C$2:C6718))</f>
        <v>6709</v>
      </c>
      <c r="B6718" s="67"/>
      <c r="C6718" s="58" t="s">
        <v>20331</v>
      </c>
      <c r="D6718" s="68" t="s">
        <v>20337</v>
      </c>
      <c r="E6718" s="64" t="s">
        <v>20338</v>
      </c>
      <c r="F6718" s="68" t="s">
        <v>20339</v>
      </c>
      <c r="G6718" s="64" t="s">
        <v>20571</v>
      </c>
      <c r="H6718" s="68" t="s">
        <v>20572</v>
      </c>
      <c r="I6718" s="64">
        <v>1</v>
      </c>
      <c r="J6718" s="44" t="str">
        <f>VLOOKUP(G6718,[1]硬件清单!$F:$F,1,0)</f>
        <v>219801A6E4523CR00002</v>
      </c>
      <c r="K6718" s="66"/>
      <c r="L6718" s="44"/>
      <c r="M6718" s="64" t="s">
        <v>20573</v>
      </c>
    </row>
    <row r="6719" ht="30" customHeight="1" spans="1:13">
      <c r="A6719" s="41">
        <f>IF(C6719="","",SUBTOTAL(103,$C$2:C6719))</f>
        <v>6710</v>
      </c>
      <c r="B6719" s="67"/>
      <c r="C6719" s="58" t="s">
        <v>20331</v>
      </c>
      <c r="D6719" s="68" t="s">
        <v>20337</v>
      </c>
      <c r="E6719" s="64" t="s">
        <v>20338</v>
      </c>
      <c r="F6719" s="68" t="s">
        <v>20339</v>
      </c>
      <c r="G6719" s="64" t="s">
        <v>20574</v>
      </c>
      <c r="H6719" s="68" t="s">
        <v>20575</v>
      </c>
      <c r="I6719" s="64">
        <v>1</v>
      </c>
      <c r="J6719" s="44" t="str">
        <f>VLOOKUP(G6719,[1]硬件清单!$F:$F,1,0)</f>
        <v>219801A6E5523CR00113</v>
      </c>
      <c r="K6719" s="66"/>
      <c r="L6719" s="44"/>
      <c r="M6719" s="64" t="s">
        <v>20576</v>
      </c>
    </row>
    <row r="6720" ht="30" customHeight="1" spans="1:13">
      <c r="A6720" s="41">
        <f>IF(C6720="","",SUBTOTAL(103,$C$2:C6720))</f>
        <v>6711</v>
      </c>
      <c r="B6720" s="67"/>
      <c r="C6720" s="58" t="s">
        <v>20331</v>
      </c>
      <c r="D6720" s="68" t="s">
        <v>20337</v>
      </c>
      <c r="E6720" s="64" t="s">
        <v>20338</v>
      </c>
      <c r="F6720" s="68" t="s">
        <v>20339</v>
      </c>
      <c r="G6720" s="64" t="s">
        <v>20577</v>
      </c>
      <c r="H6720" s="68" t="s">
        <v>20578</v>
      </c>
      <c r="I6720" s="64">
        <v>1</v>
      </c>
      <c r="J6720" s="44" t="str">
        <f>VLOOKUP(G6720,[1]硬件清单!$F:$F,1,0)</f>
        <v>219801A6E5523CR00104</v>
      </c>
      <c r="K6720" s="66"/>
      <c r="L6720" s="44"/>
      <c r="M6720" s="64" t="s">
        <v>20579</v>
      </c>
    </row>
    <row r="6721" ht="30" customHeight="1" spans="1:13">
      <c r="A6721" s="41">
        <f>IF(C6721="","",SUBTOTAL(103,$C$2:C6721))</f>
        <v>6712</v>
      </c>
      <c r="B6721" s="67"/>
      <c r="C6721" s="58" t="s">
        <v>20331</v>
      </c>
      <c r="D6721" s="68" t="s">
        <v>20337</v>
      </c>
      <c r="E6721" s="64" t="s">
        <v>20338</v>
      </c>
      <c r="F6721" s="68" t="s">
        <v>20339</v>
      </c>
      <c r="G6721" s="64" t="s">
        <v>20580</v>
      </c>
      <c r="H6721" s="68" t="s">
        <v>20581</v>
      </c>
      <c r="I6721" s="64">
        <v>1</v>
      </c>
      <c r="J6721" s="44" t="str">
        <f>VLOOKUP(G6721,[1]硬件清单!$F:$F,1,0)</f>
        <v>219801A6E5523CR00007</v>
      </c>
      <c r="K6721" s="66"/>
      <c r="L6721" s="44"/>
      <c r="M6721" s="64" t="s">
        <v>20582</v>
      </c>
    </row>
    <row r="6722" ht="30" customHeight="1" spans="1:13">
      <c r="A6722" s="41">
        <f>IF(C6722="","",SUBTOTAL(103,$C$2:C6722))</f>
        <v>6713</v>
      </c>
      <c r="B6722" s="67"/>
      <c r="C6722" s="58" t="s">
        <v>20331</v>
      </c>
      <c r="D6722" s="68" t="s">
        <v>20337</v>
      </c>
      <c r="E6722" s="64" t="s">
        <v>20338</v>
      </c>
      <c r="F6722" s="68" t="s">
        <v>20339</v>
      </c>
      <c r="G6722" s="64" t="s">
        <v>20583</v>
      </c>
      <c r="H6722" s="68" t="s">
        <v>20584</v>
      </c>
      <c r="I6722" s="64">
        <v>1</v>
      </c>
      <c r="J6722" s="44" t="str">
        <f>VLOOKUP(G6722,[1]硬件清单!$F:$F,1,0)</f>
        <v>219801A6E5523CR00094</v>
      </c>
      <c r="K6722" s="66"/>
      <c r="L6722" s="44"/>
      <c r="M6722" s="64" t="s">
        <v>20585</v>
      </c>
    </row>
    <row r="6723" ht="30" customHeight="1" spans="1:13">
      <c r="A6723" s="41">
        <f>IF(C6723="","",SUBTOTAL(103,$C$2:C6723))</f>
        <v>6714</v>
      </c>
      <c r="B6723" s="67"/>
      <c r="C6723" s="58" t="s">
        <v>20331</v>
      </c>
      <c r="D6723" s="68" t="s">
        <v>20337</v>
      </c>
      <c r="E6723" s="64" t="s">
        <v>20338</v>
      </c>
      <c r="F6723" s="68" t="s">
        <v>20339</v>
      </c>
      <c r="G6723" s="64" t="s">
        <v>20586</v>
      </c>
      <c r="H6723" s="68" t="s">
        <v>20587</v>
      </c>
      <c r="I6723" s="64">
        <v>1</v>
      </c>
      <c r="J6723" s="44" t="str">
        <f>VLOOKUP(G6723,[1]硬件清单!$F:$F,1,0)</f>
        <v>219801A6E5523CR00029</v>
      </c>
      <c r="K6723" s="66"/>
      <c r="L6723" s="44"/>
      <c r="M6723" s="64" t="s">
        <v>20588</v>
      </c>
    </row>
    <row r="6724" ht="30" customHeight="1" spans="1:13">
      <c r="A6724" s="41">
        <f>IF(C6724="","",SUBTOTAL(103,$C$2:C6724))</f>
        <v>6715</v>
      </c>
      <c r="B6724" s="67"/>
      <c r="C6724" s="58" t="s">
        <v>20331</v>
      </c>
      <c r="D6724" s="68" t="s">
        <v>20337</v>
      </c>
      <c r="E6724" s="64" t="s">
        <v>20338</v>
      </c>
      <c r="F6724" s="68" t="s">
        <v>20339</v>
      </c>
      <c r="G6724" s="64" t="s">
        <v>20589</v>
      </c>
      <c r="H6724" s="68" t="s">
        <v>20590</v>
      </c>
      <c r="I6724" s="64">
        <v>1</v>
      </c>
      <c r="J6724" s="44" t="str">
        <f>VLOOKUP(G6724,[1]硬件清单!$F:$F,1,0)</f>
        <v>219801A6E5523CR00028</v>
      </c>
      <c r="K6724" s="66"/>
      <c r="L6724" s="44"/>
      <c r="M6724" s="64" t="s">
        <v>20591</v>
      </c>
    </row>
    <row r="6725" ht="30" customHeight="1" spans="1:13">
      <c r="A6725" s="41">
        <f>IF(C6725="","",SUBTOTAL(103,$C$2:C6725))</f>
        <v>6716</v>
      </c>
      <c r="B6725" s="67"/>
      <c r="C6725" s="58" t="s">
        <v>20331</v>
      </c>
      <c r="D6725" s="68" t="s">
        <v>20337</v>
      </c>
      <c r="E6725" s="64" t="s">
        <v>20338</v>
      </c>
      <c r="F6725" s="68" t="s">
        <v>20339</v>
      </c>
      <c r="G6725" s="64" t="s">
        <v>20592</v>
      </c>
      <c r="H6725" s="68" t="s">
        <v>20593</v>
      </c>
      <c r="I6725" s="64">
        <v>1</v>
      </c>
      <c r="J6725" s="44" t="str">
        <f>VLOOKUP(G6725,[1]硬件清单!$F:$F,1,0)</f>
        <v>219801A6E5523CR00040</v>
      </c>
      <c r="K6725" s="66"/>
      <c r="L6725" s="44"/>
      <c r="M6725" s="64" t="s">
        <v>20594</v>
      </c>
    </row>
    <row r="6726" ht="30" customHeight="1" spans="1:13">
      <c r="A6726" s="41">
        <f>IF(C6726="","",SUBTOTAL(103,$C$2:C6726))</f>
        <v>6717</v>
      </c>
      <c r="B6726" s="67"/>
      <c r="C6726" s="58" t="s">
        <v>20331</v>
      </c>
      <c r="D6726" s="68" t="s">
        <v>20337</v>
      </c>
      <c r="E6726" s="64" t="s">
        <v>20338</v>
      </c>
      <c r="F6726" s="68" t="s">
        <v>20339</v>
      </c>
      <c r="G6726" s="64" t="s">
        <v>20595</v>
      </c>
      <c r="H6726" s="68" t="s">
        <v>20596</v>
      </c>
      <c r="I6726" s="64">
        <v>1</v>
      </c>
      <c r="J6726" s="44" t="str">
        <f>VLOOKUP(G6726,[1]硬件清单!$F:$F,1,0)</f>
        <v>219801A6E5523CR00158</v>
      </c>
      <c r="K6726" s="66"/>
      <c r="L6726" s="44"/>
      <c r="M6726" s="64" t="s">
        <v>20597</v>
      </c>
    </row>
    <row r="6727" ht="30" customHeight="1" spans="1:13">
      <c r="A6727" s="41">
        <f>IF(C6727="","",SUBTOTAL(103,$C$2:C6727))</f>
        <v>6718</v>
      </c>
      <c r="B6727" s="67"/>
      <c r="C6727" s="58" t="s">
        <v>20331</v>
      </c>
      <c r="D6727" s="68" t="s">
        <v>20337</v>
      </c>
      <c r="E6727" s="64" t="s">
        <v>20338</v>
      </c>
      <c r="F6727" s="68" t="s">
        <v>20339</v>
      </c>
      <c r="G6727" s="64" t="s">
        <v>20598</v>
      </c>
      <c r="H6727" s="68" t="s">
        <v>20599</v>
      </c>
      <c r="I6727" s="64">
        <v>1</v>
      </c>
      <c r="J6727" s="44" t="str">
        <f>VLOOKUP(G6727,[1]硬件清单!$F:$F,1,0)</f>
        <v>219801A6E5523CR00060</v>
      </c>
      <c r="K6727" s="66"/>
      <c r="L6727" s="44"/>
      <c r="M6727" s="64" t="s">
        <v>20600</v>
      </c>
    </row>
    <row r="6728" ht="30" customHeight="1" spans="1:13">
      <c r="A6728" s="41">
        <f>IF(C6728="","",SUBTOTAL(103,$C$2:C6728))</f>
        <v>6719</v>
      </c>
      <c r="B6728" s="67"/>
      <c r="C6728" s="58" t="s">
        <v>20331</v>
      </c>
      <c r="D6728" s="68" t="s">
        <v>20337</v>
      </c>
      <c r="E6728" s="64" t="s">
        <v>20338</v>
      </c>
      <c r="F6728" s="68" t="s">
        <v>20339</v>
      </c>
      <c r="G6728" s="64" t="s">
        <v>20601</v>
      </c>
      <c r="H6728" s="68" t="s">
        <v>20602</v>
      </c>
      <c r="I6728" s="64">
        <v>1</v>
      </c>
      <c r="J6728" s="44" t="str">
        <f>VLOOKUP(G6728,[1]硬件清单!$F:$F,1,0)</f>
        <v>219801A6E5523CR00008</v>
      </c>
      <c r="K6728" s="66"/>
      <c r="L6728" s="44"/>
      <c r="M6728" s="64" t="s">
        <v>20603</v>
      </c>
    </row>
    <row r="6729" ht="30" customHeight="1" spans="1:13">
      <c r="A6729" s="41">
        <f>IF(C6729="","",SUBTOTAL(103,$C$2:C6729))</f>
        <v>6720</v>
      </c>
      <c r="B6729" s="67"/>
      <c r="C6729" s="58" t="s">
        <v>20331</v>
      </c>
      <c r="D6729" s="68" t="s">
        <v>20337</v>
      </c>
      <c r="E6729" s="64" t="s">
        <v>20338</v>
      </c>
      <c r="F6729" s="68" t="s">
        <v>20339</v>
      </c>
      <c r="G6729" s="64" t="s">
        <v>20604</v>
      </c>
      <c r="H6729" s="68" t="s">
        <v>20605</v>
      </c>
      <c r="I6729" s="64">
        <v>1</v>
      </c>
      <c r="J6729" s="44" t="str">
        <f>VLOOKUP(G6729,[1]硬件清单!$F:$F,1,0)</f>
        <v>219801A6E5523CR00012</v>
      </c>
      <c r="K6729" s="66"/>
      <c r="L6729" s="44"/>
      <c r="M6729" s="64" t="s">
        <v>20606</v>
      </c>
    </row>
    <row r="6730" ht="30" customHeight="1" spans="1:13">
      <c r="A6730" s="41">
        <f>IF(C6730="","",SUBTOTAL(103,$C$2:C6730))</f>
        <v>6721</v>
      </c>
      <c r="B6730" s="67"/>
      <c r="C6730" s="58" t="s">
        <v>20331</v>
      </c>
      <c r="D6730" s="68" t="s">
        <v>20337</v>
      </c>
      <c r="E6730" s="64" t="s">
        <v>20338</v>
      </c>
      <c r="F6730" s="68" t="s">
        <v>20339</v>
      </c>
      <c r="G6730" s="64" t="s">
        <v>20607</v>
      </c>
      <c r="H6730" s="68" t="s">
        <v>20608</v>
      </c>
      <c r="I6730" s="64">
        <v>1</v>
      </c>
      <c r="J6730" s="44" t="str">
        <f>VLOOKUP(G6730,[1]硬件清单!$F:$F,1,0)</f>
        <v>219801A6E5523CR00077</v>
      </c>
      <c r="K6730" s="66"/>
      <c r="L6730" s="44"/>
      <c r="M6730" s="64" t="s">
        <v>20609</v>
      </c>
    </row>
    <row r="6731" ht="30" customHeight="1" spans="1:13">
      <c r="A6731" s="41">
        <f>IF(C6731="","",SUBTOTAL(103,$C$2:C6731))</f>
        <v>6722</v>
      </c>
      <c r="B6731" s="67"/>
      <c r="C6731" s="58" t="s">
        <v>20331</v>
      </c>
      <c r="D6731" s="68" t="s">
        <v>20337</v>
      </c>
      <c r="E6731" s="64" t="s">
        <v>20338</v>
      </c>
      <c r="F6731" s="68" t="s">
        <v>20339</v>
      </c>
      <c r="G6731" s="64" t="s">
        <v>20610</v>
      </c>
      <c r="H6731" s="68" t="s">
        <v>20611</v>
      </c>
      <c r="I6731" s="64">
        <v>1</v>
      </c>
      <c r="J6731" s="44" t="str">
        <f>VLOOKUP(G6731,[1]硬件清单!$F:$F,1,0)</f>
        <v>219801A6E5523CR00163</v>
      </c>
      <c r="K6731" s="66"/>
      <c r="L6731" s="44"/>
      <c r="M6731" s="64" t="s">
        <v>20612</v>
      </c>
    </row>
    <row r="6732" ht="30" customHeight="1" spans="1:13">
      <c r="A6732" s="41">
        <f>IF(C6732="","",SUBTOTAL(103,$C$2:C6732))</f>
        <v>6723</v>
      </c>
      <c r="B6732" s="67"/>
      <c r="C6732" s="58" t="s">
        <v>20331</v>
      </c>
      <c r="D6732" s="68" t="s">
        <v>20337</v>
      </c>
      <c r="E6732" s="64" t="s">
        <v>20338</v>
      </c>
      <c r="F6732" s="68" t="s">
        <v>20339</v>
      </c>
      <c r="G6732" s="64" t="s">
        <v>20613</v>
      </c>
      <c r="H6732" s="68" t="s">
        <v>20614</v>
      </c>
      <c r="I6732" s="64">
        <v>1</v>
      </c>
      <c r="J6732" s="44" t="str">
        <f>VLOOKUP(G6732,[1]硬件清单!$F:$F,1,0)</f>
        <v>219801A6E5523CR00138</v>
      </c>
      <c r="K6732" s="66"/>
      <c r="L6732" s="44"/>
      <c r="M6732" s="64" t="s">
        <v>20615</v>
      </c>
    </row>
    <row r="6733" ht="30" customHeight="1" spans="1:13">
      <c r="A6733" s="41">
        <f>IF(C6733="","",SUBTOTAL(103,$C$2:C6733))</f>
        <v>6724</v>
      </c>
      <c r="B6733" s="67"/>
      <c r="C6733" s="58" t="s">
        <v>20331</v>
      </c>
      <c r="D6733" s="68" t="s">
        <v>20337</v>
      </c>
      <c r="E6733" s="64" t="s">
        <v>20338</v>
      </c>
      <c r="F6733" s="68" t="s">
        <v>20339</v>
      </c>
      <c r="G6733" s="64" t="s">
        <v>20616</v>
      </c>
      <c r="H6733" s="68" t="s">
        <v>20617</v>
      </c>
      <c r="I6733" s="64">
        <v>1</v>
      </c>
      <c r="J6733" s="44" t="str">
        <f>VLOOKUP(G6733,[1]硬件清单!$F:$F,1,0)</f>
        <v>219801A6E5523CR00022</v>
      </c>
      <c r="K6733" s="66"/>
      <c r="L6733" s="44"/>
      <c r="M6733" s="64" t="s">
        <v>20618</v>
      </c>
    </row>
    <row r="6734" ht="30" customHeight="1" spans="1:13">
      <c r="A6734" s="41">
        <f>IF(C6734="","",SUBTOTAL(103,$C$2:C6734))</f>
        <v>6725</v>
      </c>
      <c r="B6734" s="67"/>
      <c r="C6734" s="58" t="s">
        <v>20331</v>
      </c>
      <c r="D6734" s="68" t="s">
        <v>20337</v>
      </c>
      <c r="E6734" s="64" t="s">
        <v>20338</v>
      </c>
      <c r="F6734" s="68" t="s">
        <v>20339</v>
      </c>
      <c r="G6734" s="64" t="s">
        <v>20619</v>
      </c>
      <c r="H6734" s="68" t="s">
        <v>20620</v>
      </c>
      <c r="I6734" s="64">
        <v>1</v>
      </c>
      <c r="J6734" s="44" t="str">
        <f>VLOOKUP(G6734,[1]硬件清单!$F:$F,1,0)</f>
        <v>219801A6E5523CR00003</v>
      </c>
      <c r="K6734" s="66"/>
      <c r="L6734" s="44"/>
      <c r="M6734" s="64" t="s">
        <v>20621</v>
      </c>
    </row>
    <row r="6735" ht="30" customHeight="1" spans="1:13">
      <c r="A6735" s="41">
        <f>IF(C6735="","",SUBTOTAL(103,$C$2:C6735))</f>
        <v>6726</v>
      </c>
      <c r="B6735" s="67"/>
      <c r="C6735" s="58" t="s">
        <v>20331</v>
      </c>
      <c r="D6735" s="68" t="s">
        <v>20337</v>
      </c>
      <c r="E6735" s="64" t="s">
        <v>20338</v>
      </c>
      <c r="F6735" s="68" t="s">
        <v>20339</v>
      </c>
      <c r="G6735" s="64" t="s">
        <v>20622</v>
      </c>
      <c r="H6735" s="68" t="s">
        <v>20623</v>
      </c>
      <c r="I6735" s="64">
        <v>1</v>
      </c>
      <c r="J6735" s="44" t="str">
        <f>VLOOKUP(G6735,[1]硬件清单!$F:$F,1,0)</f>
        <v>219801A6E5523CR00089</v>
      </c>
      <c r="K6735" s="66"/>
      <c r="L6735" s="44"/>
      <c r="M6735" s="64" t="s">
        <v>20624</v>
      </c>
    </row>
    <row r="6736" ht="30" customHeight="1" spans="1:13">
      <c r="A6736" s="41">
        <f>IF(C6736="","",SUBTOTAL(103,$C$2:C6736))</f>
        <v>6727</v>
      </c>
      <c r="B6736" s="67"/>
      <c r="C6736" s="58" t="s">
        <v>20331</v>
      </c>
      <c r="D6736" s="68" t="s">
        <v>20337</v>
      </c>
      <c r="E6736" s="64" t="s">
        <v>20338</v>
      </c>
      <c r="F6736" s="68" t="s">
        <v>20339</v>
      </c>
      <c r="G6736" s="64" t="s">
        <v>20625</v>
      </c>
      <c r="H6736" s="68" t="s">
        <v>20626</v>
      </c>
      <c r="I6736" s="64">
        <v>1</v>
      </c>
      <c r="J6736" s="44" t="str">
        <f>VLOOKUP(G6736,[1]硬件清单!$F:$F,1,0)</f>
        <v>219801A6E5523CR00063</v>
      </c>
      <c r="K6736" s="66"/>
      <c r="L6736" s="44"/>
      <c r="M6736" s="64" t="s">
        <v>20627</v>
      </c>
    </row>
    <row r="6737" ht="30" customHeight="1" spans="1:13">
      <c r="A6737" s="41">
        <f>IF(C6737="","",SUBTOTAL(103,$C$2:C6737))</f>
        <v>6728</v>
      </c>
      <c r="B6737" s="67"/>
      <c r="C6737" s="58" t="s">
        <v>20331</v>
      </c>
      <c r="D6737" s="68" t="s">
        <v>20337</v>
      </c>
      <c r="E6737" s="64" t="s">
        <v>20338</v>
      </c>
      <c r="F6737" s="68" t="s">
        <v>20339</v>
      </c>
      <c r="G6737" s="64" t="s">
        <v>20628</v>
      </c>
      <c r="H6737" s="68" t="s">
        <v>20629</v>
      </c>
      <c r="I6737" s="64">
        <v>1</v>
      </c>
      <c r="J6737" s="44" t="str">
        <f>VLOOKUP(G6737,[1]硬件清单!$F:$F,1,0)</f>
        <v>219801A6E5523CR00092</v>
      </c>
      <c r="K6737" s="66"/>
      <c r="L6737" s="44"/>
      <c r="M6737" s="64" t="s">
        <v>20630</v>
      </c>
    </row>
    <row r="6738" ht="30" customHeight="1" spans="1:13">
      <c r="A6738" s="41">
        <f>IF(C6738="","",SUBTOTAL(103,$C$2:C6738))</f>
        <v>6729</v>
      </c>
      <c r="B6738" s="67"/>
      <c r="C6738" s="58" t="s">
        <v>20331</v>
      </c>
      <c r="D6738" s="68" t="s">
        <v>20337</v>
      </c>
      <c r="E6738" s="64" t="s">
        <v>20338</v>
      </c>
      <c r="F6738" s="68" t="s">
        <v>20339</v>
      </c>
      <c r="G6738" s="64" t="s">
        <v>20631</v>
      </c>
      <c r="H6738" s="68" t="s">
        <v>20632</v>
      </c>
      <c r="I6738" s="64">
        <v>1</v>
      </c>
      <c r="J6738" s="44" t="str">
        <f>VLOOKUP(G6738,[1]硬件清单!$F:$F,1,0)</f>
        <v>219801A6E4523CR00003</v>
      </c>
      <c r="K6738" s="66"/>
      <c r="L6738" s="44"/>
      <c r="M6738" s="64" t="s">
        <v>20633</v>
      </c>
    </row>
    <row r="6739" ht="30" customHeight="1" spans="1:13">
      <c r="A6739" s="41">
        <f>IF(C6739="","",SUBTOTAL(103,$C$2:C6739))</f>
        <v>6730</v>
      </c>
      <c r="B6739" s="67"/>
      <c r="C6739" s="58" t="s">
        <v>20331</v>
      </c>
      <c r="D6739" s="68" t="s">
        <v>20337</v>
      </c>
      <c r="E6739" s="64" t="s">
        <v>20338</v>
      </c>
      <c r="F6739" s="68" t="s">
        <v>20339</v>
      </c>
      <c r="G6739" s="64" t="s">
        <v>20634</v>
      </c>
      <c r="H6739" s="68" t="s">
        <v>20635</v>
      </c>
      <c r="I6739" s="64">
        <v>1</v>
      </c>
      <c r="J6739" s="44" t="str">
        <f>VLOOKUP(G6739,[1]硬件清单!$F:$F,1,0)</f>
        <v>219801A6E5523CR00013</v>
      </c>
      <c r="K6739" s="66"/>
      <c r="L6739" s="44"/>
      <c r="M6739" s="64" t="s">
        <v>20636</v>
      </c>
    </row>
    <row r="6740" ht="30" customHeight="1" spans="1:13">
      <c r="A6740" s="41">
        <f>IF(C6740="","",SUBTOTAL(103,$C$2:C6740))</f>
        <v>6731</v>
      </c>
      <c r="B6740" s="67"/>
      <c r="C6740" s="58" t="s">
        <v>20331</v>
      </c>
      <c r="D6740" s="68" t="s">
        <v>20337</v>
      </c>
      <c r="E6740" s="64" t="s">
        <v>20338</v>
      </c>
      <c r="F6740" s="68" t="s">
        <v>20339</v>
      </c>
      <c r="G6740" s="64" t="s">
        <v>20637</v>
      </c>
      <c r="H6740" s="68" t="s">
        <v>20638</v>
      </c>
      <c r="I6740" s="64">
        <v>1</v>
      </c>
      <c r="J6740" s="44" t="str">
        <f>VLOOKUP(G6740,[1]硬件清单!$F:$F,1,0)</f>
        <v>219801A6E5523CR00161</v>
      </c>
      <c r="K6740" s="66"/>
      <c r="L6740" s="44"/>
      <c r="M6740" s="64" t="s">
        <v>20639</v>
      </c>
    </row>
    <row r="6741" ht="30" customHeight="1" spans="1:13">
      <c r="A6741" s="41">
        <f>IF(C6741="","",SUBTOTAL(103,$C$2:C6741))</f>
        <v>6732</v>
      </c>
      <c r="B6741" s="67"/>
      <c r="C6741" s="58" t="s">
        <v>20331</v>
      </c>
      <c r="D6741" s="68" t="s">
        <v>20337</v>
      </c>
      <c r="E6741" s="64" t="s">
        <v>20338</v>
      </c>
      <c r="F6741" s="68" t="s">
        <v>20339</v>
      </c>
      <c r="G6741" s="64" t="s">
        <v>20640</v>
      </c>
      <c r="H6741" s="68" t="s">
        <v>20641</v>
      </c>
      <c r="I6741" s="64">
        <v>1</v>
      </c>
      <c r="J6741" s="44" t="str">
        <f>VLOOKUP(G6741,[1]硬件清单!$F:$F,1,0)</f>
        <v>219801A6E5523CR00083</v>
      </c>
      <c r="K6741" s="66"/>
      <c r="L6741" s="44"/>
      <c r="M6741" s="64" t="s">
        <v>20642</v>
      </c>
    </row>
    <row r="6742" ht="30" customHeight="1" spans="1:13">
      <c r="A6742" s="41">
        <f>IF(C6742="","",SUBTOTAL(103,$C$2:C6742))</f>
        <v>6733</v>
      </c>
      <c r="B6742" s="67"/>
      <c r="C6742" s="58" t="s">
        <v>20331</v>
      </c>
      <c r="D6742" s="68" t="s">
        <v>20337</v>
      </c>
      <c r="E6742" s="64" t="s">
        <v>20338</v>
      </c>
      <c r="F6742" s="68" t="s">
        <v>20339</v>
      </c>
      <c r="G6742" s="64" t="s">
        <v>20643</v>
      </c>
      <c r="H6742" s="68" t="s">
        <v>20644</v>
      </c>
      <c r="I6742" s="64">
        <v>1</v>
      </c>
      <c r="J6742" s="44" t="str">
        <f>VLOOKUP(G6742,[1]硬件清单!$F:$F,1,0)</f>
        <v>219801A6E5523CR00169</v>
      </c>
      <c r="K6742" s="66"/>
      <c r="L6742" s="44"/>
      <c r="M6742" s="64" t="s">
        <v>20645</v>
      </c>
    </row>
    <row r="6743" ht="30" customHeight="1" spans="1:13">
      <c r="A6743" s="41">
        <f>IF(C6743="","",SUBTOTAL(103,$C$2:C6743))</f>
        <v>6734</v>
      </c>
      <c r="B6743" s="67"/>
      <c r="C6743" s="58" t="s">
        <v>20331</v>
      </c>
      <c r="D6743" s="68" t="s">
        <v>20337</v>
      </c>
      <c r="E6743" s="64" t="s">
        <v>20338</v>
      </c>
      <c r="F6743" s="68" t="s">
        <v>20339</v>
      </c>
      <c r="G6743" s="64" t="s">
        <v>20646</v>
      </c>
      <c r="H6743" s="68" t="s">
        <v>20647</v>
      </c>
      <c r="I6743" s="64">
        <v>1</v>
      </c>
      <c r="J6743" s="44" t="str">
        <f>VLOOKUP(G6743,[1]硬件清单!$F:$F,1,0)</f>
        <v>219801A6E5523CR00146</v>
      </c>
      <c r="K6743" s="66"/>
      <c r="L6743" s="44"/>
      <c r="M6743" s="64" t="s">
        <v>20648</v>
      </c>
    </row>
    <row r="6744" ht="30" customHeight="1" spans="1:13">
      <c r="A6744" s="41">
        <f>IF(C6744="","",SUBTOTAL(103,$C$2:C6744))</f>
        <v>6735</v>
      </c>
      <c r="B6744" s="67"/>
      <c r="C6744" s="58" t="s">
        <v>20331</v>
      </c>
      <c r="D6744" s="68" t="s">
        <v>20337</v>
      </c>
      <c r="E6744" s="64" t="s">
        <v>20338</v>
      </c>
      <c r="F6744" s="68" t="s">
        <v>20339</v>
      </c>
      <c r="G6744" s="64" t="s">
        <v>20649</v>
      </c>
      <c r="H6744" s="68" t="s">
        <v>20650</v>
      </c>
      <c r="I6744" s="64">
        <v>1</v>
      </c>
      <c r="J6744" s="44" t="str">
        <f>VLOOKUP(G6744,[1]硬件清单!$F:$F,1,0)</f>
        <v>219801A6E5523CR00009</v>
      </c>
      <c r="K6744" s="66"/>
      <c r="L6744" s="44"/>
      <c r="M6744" s="64" t="s">
        <v>20651</v>
      </c>
    </row>
    <row r="6745" ht="30" customHeight="1" spans="1:13">
      <c r="A6745" s="41">
        <f>IF(C6745="","",SUBTOTAL(103,$C$2:C6745))</f>
        <v>6736</v>
      </c>
      <c r="B6745" s="67"/>
      <c r="C6745" s="58" t="s">
        <v>20331</v>
      </c>
      <c r="D6745" s="68" t="s">
        <v>20337</v>
      </c>
      <c r="E6745" s="64" t="s">
        <v>20338</v>
      </c>
      <c r="F6745" s="68" t="s">
        <v>20339</v>
      </c>
      <c r="G6745" s="64" t="s">
        <v>20652</v>
      </c>
      <c r="H6745" s="68" t="s">
        <v>20653</v>
      </c>
      <c r="I6745" s="64">
        <v>1</v>
      </c>
      <c r="J6745" s="44" t="str">
        <f>VLOOKUP(G6745,[1]硬件清单!$F:$F,1,0)</f>
        <v>219801A6E7523CR00001</v>
      </c>
      <c r="K6745" s="66"/>
      <c r="L6745" s="44"/>
      <c r="M6745" s="64" t="s">
        <v>20654</v>
      </c>
    </row>
    <row r="6746" ht="30" customHeight="1" spans="1:13">
      <c r="A6746" s="41">
        <f>IF(C6746="","",SUBTOTAL(103,$C$2:C6746))</f>
        <v>6737</v>
      </c>
      <c r="B6746" s="67"/>
      <c r="C6746" s="58" t="s">
        <v>20331</v>
      </c>
      <c r="D6746" s="68" t="s">
        <v>20337</v>
      </c>
      <c r="E6746" s="64" t="s">
        <v>20338</v>
      </c>
      <c r="F6746" s="68" t="s">
        <v>20339</v>
      </c>
      <c r="G6746" s="64" t="s">
        <v>20655</v>
      </c>
      <c r="H6746" s="68" t="s">
        <v>20656</v>
      </c>
      <c r="I6746" s="64">
        <v>1</v>
      </c>
      <c r="J6746" s="44" t="str">
        <f>VLOOKUP(G6746,[1]硬件清单!$F:$F,1,0)</f>
        <v>219801A6E5523CR00031</v>
      </c>
      <c r="K6746" s="66"/>
      <c r="L6746" s="44"/>
      <c r="M6746" s="64" t="s">
        <v>20657</v>
      </c>
    </row>
    <row r="6747" ht="30" customHeight="1" spans="1:13">
      <c r="A6747" s="41">
        <f>IF(C6747="","",SUBTOTAL(103,$C$2:C6747))</f>
        <v>6738</v>
      </c>
      <c r="B6747" s="67"/>
      <c r="C6747" s="58" t="s">
        <v>20331</v>
      </c>
      <c r="D6747" s="68" t="s">
        <v>20337</v>
      </c>
      <c r="E6747" s="64" t="s">
        <v>20338</v>
      </c>
      <c r="F6747" s="68" t="s">
        <v>20339</v>
      </c>
      <c r="G6747" s="64" t="s">
        <v>20658</v>
      </c>
      <c r="H6747" s="68" t="s">
        <v>20659</v>
      </c>
      <c r="I6747" s="64">
        <v>1</v>
      </c>
      <c r="J6747" s="44" t="str">
        <f>VLOOKUP(G6747,[1]硬件清单!$F:$F,1,0)</f>
        <v>219801A6E5523CR00119</v>
      </c>
      <c r="K6747" s="66"/>
      <c r="L6747" s="44"/>
      <c r="M6747" s="64" t="s">
        <v>20660</v>
      </c>
    </row>
    <row r="6748" ht="30" customHeight="1" spans="1:13">
      <c r="A6748" s="41">
        <f>IF(C6748="","",SUBTOTAL(103,$C$2:C6748))</f>
        <v>6739</v>
      </c>
      <c r="B6748" s="67"/>
      <c r="C6748" s="58" t="s">
        <v>20331</v>
      </c>
      <c r="D6748" s="68" t="s">
        <v>20337</v>
      </c>
      <c r="E6748" s="64" t="s">
        <v>20338</v>
      </c>
      <c r="F6748" s="68" t="s">
        <v>20339</v>
      </c>
      <c r="G6748" s="64" t="s">
        <v>20661</v>
      </c>
      <c r="H6748" s="68" t="s">
        <v>20662</v>
      </c>
      <c r="I6748" s="64">
        <v>1</v>
      </c>
      <c r="J6748" s="44" t="str">
        <f>VLOOKUP(G6748,[1]硬件清单!$F:$F,1,0)</f>
        <v>219801A6E7523CR00005</v>
      </c>
      <c r="K6748" s="66"/>
      <c r="L6748" s="44"/>
      <c r="M6748" s="64" t="s">
        <v>20663</v>
      </c>
    </row>
    <row r="6749" ht="30" customHeight="1" spans="1:13">
      <c r="A6749" s="41">
        <f>IF(C6749="","",SUBTOTAL(103,$C$2:C6749))</f>
        <v>6740</v>
      </c>
      <c r="B6749" s="67"/>
      <c r="C6749" s="58" t="s">
        <v>20331</v>
      </c>
      <c r="D6749" s="68" t="s">
        <v>20337</v>
      </c>
      <c r="E6749" s="64" t="s">
        <v>20338</v>
      </c>
      <c r="F6749" s="68" t="s">
        <v>20339</v>
      </c>
      <c r="G6749" s="64" t="s">
        <v>20664</v>
      </c>
      <c r="H6749" s="68" t="s">
        <v>20665</v>
      </c>
      <c r="I6749" s="64">
        <v>1</v>
      </c>
      <c r="J6749" s="44" t="str">
        <f>VLOOKUP(G6749,[1]硬件清单!$F:$F,1,0)</f>
        <v>219801A6E5523CR00052</v>
      </c>
      <c r="K6749" s="66"/>
      <c r="L6749" s="44"/>
      <c r="M6749" s="64" t="s">
        <v>20666</v>
      </c>
    </row>
    <row r="6750" ht="30" customHeight="1" spans="1:13">
      <c r="A6750" s="41">
        <f>IF(C6750="","",SUBTOTAL(103,$C$2:C6750))</f>
        <v>6741</v>
      </c>
      <c r="B6750" s="67"/>
      <c r="C6750" s="58" t="s">
        <v>20331</v>
      </c>
      <c r="D6750" s="68" t="s">
        <v>20337</v>
      </c>
      <c r="E6750" s="64" t="s">
        <v>20338</v>
      </c>
      <c r="F6750" s="68" t="s">
        <v>20339</v>
      </c>
      <c r="G6750" s="64" t="s">
        <v>20667</v>
      </c>
      <c r="H6750" s="68" t="s">
        <v>20668</v>
      </c>
      <c r="I6750" s="64">
        <v>1</v>
      </c>
      <c r="J6750" s="44" t="str">
        <f>VLOOKUP(G6750,[1]硬件清单!$F:$F,1,0)</f>
        <v>219801A6E5523CR00030</v>
      </c>
      <c r="K6750" s="66"/>
      <c r="L6750" s="44"/>
      <c r="M6750" s="64" t="s">
        <v>20669</v>
      </c>
    </row>
    <row r="6751" ht="30" customHeight="1" spans="1:13">
      <c r="A6751" s="41">
        <f>IF(C6751="","",SUBTOTAL(103,$C$2:C6751))</f>
        <v>6742</v>
      </c>
      <c r="B6751" s="67"/>
      <c r="C6751" s="58" t="s">
        <v>20331</v>
      </c>
      <c r="D6751" s="68" t="s">
        <v>20337</v>
      </c>
      <c r="E6751" s="64" t="s">
        <v>20338</v>
      </c>
      <c r="F6751" s="68" t="s">
        <v>20339</v>
      </c>
      <c r="G6751" s="64" t="s">
        <v>20670</v>
      </c>
      <c r="H6751" s="68" t="s">
        <v>20671</v>
      </c>
      <c r="I6751" s="64">
        <v>1</v>
      </c>
      <c r="J6751" s="44" t="str">
        <f>VLOOKUP(G6751,[1]硬件清单!$F:$F,1,0)</f>
        <v>219801A6E5523CR00099</v>
      </c>
      <c r="K6751" s="66"/>
      <c r="L6751" s="44"/>
      <c r="M6751" s="64" t="s">
        <v>20672</v>
      </c>
    </row>
    <row r="6752" ht="30" customHeight="1" spans="1:13">
      <c r="A6752" s="41">
        <f>IF(C6752="","",SUBTOTAL(103,$C$2:C6752))</f>
        <v>6743</v>
      </c>
      <c r="B6752" s="67"/>
      <c r="C6752" s="58" t="s">
        <v>20331</v>
      </c>
      <c r="D6752" s="68" t="s">
        <v>20337</v>
      </c>
      <c r="E6752" s="64" t="s">
        <v>20338</v>
      </c>
      <c r="F6752" s="68" t="s">
        <v>20339</v>
      </c>
      <c r="G6752" s="64" t="s">
        <v>20673</v>
      </c>
      <c r="H6752" s="68" t="s">
        <v>20674</v>
      </c>
      <c r="I6752" s="64">
        <v>1</v>
      </c>
      <c r="J6752" s="44" t="str">
        <f>VLOOKUP(G6752,[1]硬件清单!$F:$F,1,0)</f>
        <v>219801A6E5523CR00100</v>
      </c>
      <c r="K6752" s="66"/>
      <c r="L6752" s="44"/>
      <c r="M6752" s="64" t="s">
        <v>20675</v>
      </c>
    </row>
    <row r="6753" ht="30" customHeight="1" spans="1:13">
      <c r="A6753" s="41">
        <f>IF(C6753="","",SUBTOTAL(103,$C$2:C6753))</f>
        <v>6744</v>
      </c>
      <c r="B6753" s="67"/>
      <c r="C6753" s="58" t="s">
        <v>20331</v>
      </c>
      <c r="D6753" s="68" t="s">
        <v>20337</v>
      </c>
      <c r="E6753" s="64" t="s">
        <v>20338</v>
      </c>
      <c r="F6753" s="68" t="s">
        <v>20339</v>
      </c>
      <c r="G6753" s="64" t="s">
        <v>20676</v>
      </c>
      <c r="H6753" s="68" t="s">
        <v>20677</v>
      </c>
      <c r="I6753" s="64">
        <v>1</v>
      </c>
      <c r="J6753" s="44" t="str">
        <f>VLOOKUP(G6753,[1]硬件清单!$F:$F,1,0)</f>
        <v>219801A6E5523CR00150</v>
      </c>
      <c r="K6753" s="66"/>
      <c r="L6753" s="44"/>
      <c r="M6753" s="64" t="s">
        <v>20678</v>
      </c>
    </row>
    <row r="6754" ht="30" customHeight="1" spans="1:13">
      <c r="A6754" s="41">
        <f>IF(C6754="","",SUBTOTAL(103,$C$2:C6754))</f>
        <v>6745</v>
      </c>
      <c r="B6754" s="67"/>
      <c r="C6754" s="58" t="s">
        <v>20331</v>
      </c>
      <c r="D6754" s="68" t="s">
        <v>20337</v>
      </c>
      <c r="E6754" s="64" t="s">
        <v>20338</v>
      </c>
      <c r="F6754" s="68" t="s">
        <v>20339</v>
      </c>
      <c r="G6754" s="64" t="s">
        <v>20679</v>
      </c>
      <c r="H6754" s="68" t="s">
        <v>20680</v>
      </c>
      <c r="I6754" s="64">
        <v>1</v>
      </c>
      <c r="J6754" s="44" t="str">
        <f>VLOOKUP(G6754,[1]硬件清单!$F:$F,1,0)</f>
        <v>219801A6E5523CR00114</v>
      </c>
      <c r="K6754" s="66"/>
      <c r="L6754" s="44"/>
      <c r="M6754" s="64" t="s">
        <v>20681</v>
      </c>
    </row>
    <row r="6755" ht="30" customHeight="1" spans="1:13">
      <c r="A6755" s="41">
        <f>IF(C6755="","",SUBTOTAL(103,$C$2:C6755))</f>
        <v>6746</v>
      </c>
      <c r="B6755" s="67"/>
      <c r="C6755" s="58" t="s">
        <v>20331</v>
      </c>
      <c r="D6755" s="68" t="s">
        <v>20337</v>
      </c>
      <c r="E6755" s="64" t="s">
        <v>20338</v>
      </c>
      <c r="F6755" s="68" t="s">
        <v>20339</v>
      </c>
      <c r="G6755" s="64" t="s">
        <v>20682</v>
      </c>
      <c r="H6755" s="68" t="s">
        <v>20683</v>
      </c>
      <c r="I6755" s="64">
        <v>1</v>
      </c>
      <c r="J6755" s="44" t="str">
        <f>VLOOKUP(G6755,[1]硬件清单!$F:$F,1,0)</f>
        <v>219801A6E4523CR00017</v>
      </c>
      <c r="K6755" s="66"/>
      <c r="L6755" s="44"/>
      <c r="M6755" s="64" t="s">
        <v>20684</v>
      </c>
    </row>
    <row r="6756" ht="30" customHeight="1" spans="1:13">
      <c r="A6756" s="41">
        <f>IF(C6756="","",SUBTOTAL(103,$C$2:C6756))</f>
        <v>6747</v>
      </c>
      <c r="B6756" s="67"/>
      <c r="C6756" s="58" t="s">
        <v>20331</v>
      </c>
      <c r="D6756" s="68" t="s">
        <v>20337</v>
      </c>
      <c r="E6756" s="64" t="s">
        <v>20338</v>
      </c>
      <c r="F6756" s="68" t="s">
        <v>20339</v>
      </c>
      <c r="G6756" s="64" t="s">
        <v>20685</v>
      </c>
      <c r="H6756" s="68" t="s">
        <v>20686</v>
      </c>
      <c r="I6756" s="64">
        <v>1</v>
      </c>
      <c r="J6756" s="44" t="str">
        <f>VLOOKUP(G6756,[1]硬件清单!$F:$F,1,0)</f>
        <v>219801A6E5523CR00139</v>
      </c>
      <c r="K6756" s="66"/>
      <c r="L6756" s="44"/>
      <c r="M6756" s="64" t="s">
        <v>20687</v>
      </c>
    </row>
    <row r="6757" ht="30" customHeight="1" spans="1:13">
      <c r="A6757" s="41">
        <f>IF(C6757="","",SUBTOTAL(103,$C$2:C6757))</f>
        <v>6748</v>
      </c>
      <c r="B6757" s="67"/>
      <c r="C6757" s="58" t="s">
        <v>20331</v>
      </c>
      <c r="D6757" s="68" t="s">
        <v>20337</v>
      </c>
      <c r="E6757" s="64" t="s">
        <v>20338</v>
      </c>
      <c r="F6757" s="68" t="s">
        <v>20339</v>
      </c>
      <c r="G6757" s="64" t="s">
        <v>20688</v>
      </c>
      <c r="H6757" s="68" t="s">
        <v>20689</v>
      </c>
      <c r="I6757" s="64">
        <v>1</v>
      </c>
      <c r="J6757" s="44" t="str">
        <f>VLOOKUP(G6757,[1]硬件清单!$F:$F,1,0)</f>
        <v>219801A6E5523CR00041</v>
      </c>
      <c r="K6757" s="66"/>
      <c r="L6757" s="44"/>
      <c r="M6757" s="64" t="s">
        <v>20690</v>
      </c>
    </row>
    <row r="6758" ht="30" customHeight="1" spans="1:13">
      <c r="A6758" s="41">
        <f>IF(C6758="","",SUBTOTAL(103,$C$2:C6758))</f>
        <v>6749</v>
      </c>
      <c r="B6758" s="67"/>
      <c r="C6758" s="58" t="s">
        <v>20331</v>
      </c>
      <c r="D6758" s="68" t="s">
        <v>20337</v>
      </c>
      <c r="E6758" s="64" t="s">
        <v>20338</v>
      </c>
      <c r="F6758" s="68" t="s">
        <v>20339</v>
      </c>
      <c r="G6758" s="64" t="s">
        <v>20691</v>
      </c>
      <c r="H6758" s="68" t="s">
        <v>20692</v>
      </c>
      <c r="I6758" s="64">
        <v>1</v>
      </c>
      <c r="J6758" s="44" t="str">
        <f>VLOOKUP(G6758,[1]硬件清单!$F:$F,1,0)</f>
        <v>219801A6E5523CR00137</v>
      </c>
      <c r="K6758" s="66"/>
      <c r="L6758" s="44"/>
      <c r="M6758" s="64" t="s">
        <v>20693</v>
      </c>
    </row>
    <row r="6759" ht="30" customHeight="1" spans="1:13">
      <c r="A6759" s="41">
        <f>IF(C6759="","",SUBTOTAL(103,$C$2:C6759))</f>
        <v>6750</v>
      </c>
      <c r="B6759" s="67"/>
      <c r="C6759" s="58" t="s">
        <v>20331</v>
      </c>
      <c r="D6759" s="68" t="s">
        <v>20337</v>
      </c>
      <c r="E6759" s="64" t="s">
        <v>20338</v>
      </c>
      <c r="F6759" s="68" t="s">
        <v>20339</v>
      </c>
      <c r="G6759" s="64" t="s">
        <v>20694</v>
      </c>
      <c r="H6759" s="68" t="s">
        <v>20695</v>
      </c>
      <c r="I6759" s="64">
        <v>1</v>
      </c>
      <c r="J6759" s="44" t="str">
        <f>VLOOKUP(G6759,[1]硬件清单!$F:$F,1,0)</f>
        <v>219801A6E5523CR00024</v>
      </c>
      <c r="K6759" s="66"/>
      <c r="L6759" s="44"/>
      <c r="M6759" s="64" t="s">
        <v>20696</v>
      </c>
    </row>
    <row r="6760" ht="30" customHeight="1" spans="1:13">
      <c r="A6760" s="41">
        <f>IF(C6760="","",SUBTOTAL(103,$C$2:C6760))</f>
        <v>6751</v>
      </c>
      <c r="B6760" s="67"/>
      <c r="C6760" s="58" t="s">
        <v>20331</v>
      </c>
      <c r="D6760" s="68" t="s">
        <v>20337</v>
      </c>
      <c r="E6760" s="64" t="s">
        <v>20338</v>
      </c>
      <c r="F6760" s="68" t="s">
        <v>20339</v>
      </c>
      <c r="G6760" s="64" t="s">
        <v>20697</v>
      </c>
      <c r="H6760" s="68" t="s">
        <v>20698</v>
      </c>
      <c r="I6760" s="64">
        <v>1</v>
      </c>
      <c r="J6760" s="44" t="str">
        <f>VLOOKUP(G6760,[1]硬件清单!$F:$F,1,0)</f>
        <v>219801A6E5523CR00075</v>
      </c>
      <c r="K6760" s="66"/>
      <c r="L6760" s="44"/>
      <c r="M6760" s="64" t="s">
        <v>20699</v>
      </c>
    </row>
    <row r="6761" ht="30" customHeight="1" spans="1:13">
      <c r="A6761" s="41">
        <f>IF(C6761="","",SUBTOTAL(103,$C$2:C6761))</f>
        <v>6752</v>
      </c>
      <c r="B6761" s="67"/>
      <c r="C6761" s="58" t="s">
        <v>20331</v>
      </c>
      <c r="D6761" s="68" t="s">
        <v>20337</v>
      </c>
      <c r="E6761" s="64" t="s">
        <v>20338</v>
      </c>
      <c r="F6761" s="68" t="s">
        <v>20339</v>
      </c>
      <c r="G6761" s="64" t="s">
        <v>20700</v>
      </c>
      <c r="H6761" s="68" t="s">
        <v>20701</v>
      </c>
      <c r="I6761" s="64">
        <v>1</v>
      </c>
      <c r="J6761" s="44" t="str">
        <f>VLOOKUP(G6761,[1]硬件清单!$F:$F,1,0)</f>
        <v>219801A6E5523CR00157</v>
      </c>
      <c r="K6761" s="66"/>
      <c r="L6761" s="44"/>
      <c r="M6761" s="64" t="s">
        <v>20702</v>
      </c>
    </row>
    <row r="6762" ht="30" customHeight="1" spans="1:13">
      <c r="A6762" s="41">
        <f>IF(C6762="","",SUBTOTAL(103,$C$2:C6762))</f>
        <v>6753</v>
      </c>
      <c r="B6762" s="67"/>
      <c r="C6762" s="58" t="s">
        <v>20331</v>
      </c>
      <c r="D6762" s="68" t="s">
        <v>20337</v>
      </c>
      <c r="E6762" s="64" t="s">
        <v>20338</v>
      </c>
      <c r="F6762" s="68" t="s">
        <v>20339</v>
      </c>
      <c r="G6762" s="64" t="s">
        <v>20703</v>
      </c>
      <c r="H6762" s="68" t="s">
        <v>20704</v>
      </c>
      <c r="I6762" s="64">
        <v>1</v>
      </c>
      <c r="J6762" s="44" t="str">
        <f>VLOOKUP(G6762,[1]硬件清单!$F:$F,1,0)</f>
        <v>219801A6E5523CR00021</v>
      </c>
      <c r="K6762" s="66"/>
      <c r="L6762" s="44"/>
      <c r="M6762" s="64" t="s">
        <v>20705</v>
      </c>
    </row>
    <row r="6763" ht="30" customHeight="1" spans="1:13">
      <c r="A6763" s="41">
        <f>IF(C6763="","",SUBTOTAL(103,$C$2:C6763))</f>
        <v>6754</v>
      </c>
      <c r="B6763" s="67"/>
      <c r="C6763" s="58" t="s">
        <v>20331</v>
      </c>
      <c r="D6763" s="68" t="s">
        <v>20337</v>
      </c>
      <c r="E6763" s="64" t="s">
        <v>20338</v>
      </c>
      <c r="F6763" s="68" t="s">
        <v>20339</v>
      </c>
      <c r="G6763" s="64" t="s">
        <v>20706</v>
      </c>
      <c r="H6763" s="68" t="s">
        <v>20707</v>
      </c>
      <c r="I6763" s="64">
        <v>1</v>
      </c>
      <c r="J6763" s="44" t="str">
        <f>VLOOKUP(G6763,[1]硬件清单!$F:$F,1,0)</f>
        <v>219801A6E5523CR00101</v>
      </c>
      <c r="K6763" s="66"/>
      <c r="L6763" s="44"/>
      <c r="M6763" s="64" t="s">
        <v>20708</v>
      </c>
    </row>
    <row r="6764" ht="30" customHeight="1" spans="1:13">
      <c r="A6764" s="41">
        <f>IF(C6764="","",SUBTOTAL(103,$C$2:C6764))</f>
        <v>6755</v>
      </c>
      <c r="B6764" s="67"/>
      <c r="C6764" s="58" t="s">
        <v>20331</v>
      </c>
      <c r="D6764" s="68" t="s">
        <v>20337</v>
      </c>
      <c r="E6764" s="64" t="s">
        <v>20338</v>
      </c>
      <c r="F6764" s="68" t="s">
        <v>20339</v>
      </c>
      <c r="G6764" s="64" t="s">
        <v>20709</v>
      </c>
      <c r="H6764" s="68" t="s">
        <v>20710</v>
      </c>
      <c r="I6764" s="64">
        <v>1</v>
      </c>
      <c r="J6764" s="44" t="str">
        <f>VLOOKUP(G6764,[1]硬件清单!$F:$F,1,0)</f>
        <v>219801A6E5523CR00069</v>
      </c>
      <c r="K6764" s="66"/>
      <c r="L6764" s="44"/>
      <c r="M6764" s="64" t="s">
        <v>20711</v>
      </c>
    </row>
    <row r="6765" ht="30" customHeight="1" spans="1:13">
      <c r="A6765" s="41">
        <f>IF(C6765="","",SUBTOTAL(103,$C$2:C6765))</f>
        <v>6756</v>
      </c>
      <c r="B6765" s="67"/>
      <c r="C6765" s="58" t="s">
        <v>20331</v>
      </c>
      <c r="D6765" s="68" t="s">
        <v>20337</v>
      </c>
      <c r="E6765" s="64" t="s">
        <v>20338</v>
      </c>
      <c r="F6765" s="68" t="s">
        <v>20339</v>
      </c>
      <c r="G6765" s="64" t="s">
        <v>20712</v>
      </c>
      <c r="H6765" s="68" t="s">
        <v>20713</v>
      </c>
      <c r="I6765" s="64">
        <v>1</v>
      </c>
      <c r="J6765" s="44" t="str">
        <f>VLOOKUP(G6765,[1]硬件清单!$F:$F,1,0)</f>
        <v>219801A6E5523CR00168</v>
      </c>
      <c r="K6765" s="66"/>
      <c r="L6765" s="44"/>
      <c r="M6765" s="64" t="s">
        <v>20714</v>
      </c>
    </row>
    <row r="6766" ht="30" customHeight="1" spans="1:13">
      <c r="A6766" s="41">
        <f>IF(C6766="","",SUBTOTAL(103,$C$2:C6766))</f>
        <v>6757</v>
      </c>
      <c r="B6766" s="67"/>
      <c r="C6766" s="58" t="s">
        <v>20331</v>
      </c>
      <c r="D6766" s="68" t="s">
        <v>20337</v>
      </c>
      <c r="E6766" s="64" t="s">
        <v>20338</v>
      </c>
      <c r="F6766" s="68" t="s">
        <v>20339</v>
      </c>
      <c r="G6766" s="64" t="s">
        <v>20715</v>
      </c>
      <c r="H6766" s="68" t="s">
        <v>20716</v>
      </c>
      <c r="I6766" s="64">
        <v>1</v>
      </c>
      <c r="J6766" s="44" t="str">
        <f>VLOOKUP(G6766,[1]硬件清单!$F:$F,1,0)</f>
        <v>219801A6E5523CR00020</v>
      </c>
      <c r="K6766" s="66"/>
      <c r="L6766" s="44"/>
      <c r="M6766" s="64" t="s">
        <v>20717</v>
      </c>
    </row>
    <row r="6767" ht="30" customHeight="1" spans="1:13">
      <c r="A6767" s="41">
        <f>IF(C6767="","",SUBTOTAL(103,$C$2:C6767))</f>
        <v>6758</v>
      </c>
      <c r="B6767" s="67"/>
      <c r="C6767" s="58" t="s">
        <v>20331</v>
      </c>
      <c r="D6767" s="68" t="s">
        <v>20337</v>
      </c>
      <c r="E6767" s="64" t="s">
        <v>20338</v>
      </c>
      <c r="F6767" s="68" t="s">
        <v>20339</v>
      </c>
      <c r="G6767" s="64" t="s">
        <v>20718</v>
      </c>
      <c r="H6767" s="68" t="s">
        <v>20719</v>
      </c>
      <c r="I6767" s="64">
        <v>1</v>
      </c>
      <c r="J6767" s="44" t="str">
        <f>VLOOKUP(G6767,[1]硬件清单!$F:$F,1,0)</f>
        <v>219801A64E523CR00022</v>
      </c>
      <c r="K6767" s="66"/>
      <c r="L6767" s="44"/>
      <c r="M6767" s="64" t="s">
        <v>20720</v>
      </c>
    </row>
    <row r="6768" ht="30" customHeight="1" spans="1:13">
      <c r="A6768" s="41">
        <f>IF(C6768="","",SUBTOTAL(103,$C$2:C6768))</f>
        <v>6759</v>
      </c>
      <c r="B6768" s="67"/>
      <c r="C6768" s="58" t="s">
        <v>20331</v>
      </c>
      <c r="D6768" s="68" t="s">
        <v>20337</v>
      </c>
      <c r="E6768" s="64" t="s">
        <v>20338</v>
      </c>
      <c r="F6768" s="68" t="s">
        <v>20339</v>
      </c>
      <c r="G6768" s="64" t="s">
        <v>20721</v>
      </c>
      <c r="H6768" s="68" t="s">
        <v>20722</v>
      </c>
      <c r="I6768" s="64">
        <v>1</v>
      </c>
      <c r="J6768" s="44" t="str">
        <f>VLOOKUP(G6768,[1]硬件清单!$F:$F,1,0)</f>
        <v>219801A6E5523CR00054</v>
      </c>
      <c r="K6768" s="66"/>
      <c r="L6768" s="44"/>
      <c r="M6768" s="64" t="s">
        <v>20723</v>
      </c>
    </row>
    <row r="6769" ht="30" customHeight="1" spans="1:13">
      <c r="A6769" s="41">
        <f>IF(C6769="","",SUBTOTAL(103,$C$2:C6769))</f>
        <v>6760</v>
      </c>
      <c r="B6769" s="67"/>
      <c r="C6769" s="58" t="s">
        <v>20331</v>
      </c>
      <c r="D6769" s="68" t="s">
        <v>20337</v>
      </c>
      <c r="E6769" s="64" t="s">
        <v>20338</v>
      </c>
      <c r="F6769" s="68" t="s">
        <v>20339</v>
      </c>
      <c r="G6769" s="64" t="s">
        <v>20724</v>
      </c>
      <c r="H6769" s="68" t="s">
        <v>20725</v>
      </c>
      <c r="I6769" s="64">
        <v>1</v>
      </c>
      <c r="J6769" s="44" t="str">
        <f>VLOOKUP(G6769,[1]硬件清单!$F:$F,1,0)</f>
        <v>219801A6E5523CR00055</v>
      </c>
      <c r="K6769" s="66"/>
      <c r="L6769" s="44"/>
      <c r="M6769" s="64" t="s">
        <v>20726</v>
      </c>
    </row>
    <row r="6770" ht="30" customHeight="1" spans="1:13">
      <c r="A6770" s="41">
        <f>IF(C6770="","",SUBTOTAL(103,$C$2:C6770))</f>
        <v>6761</v>
      </c>
      <c r="B6770" s="67"/>
      <c r="C6770" s="58" t="s">
        <v>20331</v>
      </c>
      <c r="D6770" s="68" t="s">
        <v>20337</v>
      </c>
      <c r="E6770" s="64" t="s">
        <v>20338</v>
      </c>
      <c r="F6770" s="68" t="s">
        <v>20339</v>
      </c>
      <c r="G6770" s="64" t="s">
        <v>20727</v>
      </c>
      <c r="H6770" s="68" t="s">
        <v>20728</v>
      </c>
      <c r="I6770" s="64">
        <v>1</v>
      </c>
      <c r="J6770" s="44" t="str">
        <f>VLOOKUP(G6770,[1]硬件清单!$F:$F,1,0)</f>
        <v>219801A6E4523CH00020</v>
      </c>
      <c r="K6770" s="66"/>
      <c r="L6770" s="44"/>
      <c r="M6770" s="64" t="s">
        <v>20729</v>
      </c>
    </row>
    <row r="6771" ht="30" customHeight="1" spans="1:13">
      <c r="A6771" s="41">
        <f>IF(C6771="","",SUBTOTAL(103,$C$2:C6771))</f>
        <v>6762</v>
      </c>
      <c r="B6771" s="67"/>
      <c r="C6771" s="58" t="s">
        <v>20331</v>
      </c>
      <c r="D6771" s="68" t="s">
        <v>20337</v>
      </c>
      <c r="E6771" s="64" t="s">
        <v>20338</v>
      </c>
      <c r="F6771" s="68" t="s">
        <v>20339</v>
      </c>
      <c r="G6771" s="64" t="s">
        <v>20730</v>
      </c>
      <c r="H6771" s="68" t="s">
        <v>20731</v>
      </c>
      <c r="I6771" s="64">
        <v>1</v>
      </c>
      <c r="J6771" s="44" t="str">
        <f>VLOOKUP(G6771,[1]硬件清单!$F:$F,1,0)</f>
        <v>219801A6E4523CR00029</v>
      </c>
      <c r="K6771" s="66"/>
      <c r="L6771" s="44"/>
      <c r="M6771" s="64" t="s">
        <v>20732</v>
      </c>
    </row>
    <row r="6772" ht="30" customHeight="1" spans="1:13">
      <c r="A6772" s="41">
        <f>IF(C6772="","",SUBTOTAL(103,$C$2:C6772))</f>
        <v>6763</v>
      </c>
      <c r="B6772" s="67"/>
      <c r="C6772" s="58" t="s">
        <v>20331</v>
      </c>
      <c r="D6772" s="68" t="s">
        <v>20337</v>
      </c>
      <c r="E6772" s="64" t="s">
        <v>20338</v>
      </c>
      <c r="F6772" s="68" t="s">
        <v>20339</v>
      </c>
      <c r="G6772" s="64" t="s">
        <v>20733</v>
      </c>
      <c r="H6772" s="68" t="s">
        <v>20734</v>
      </c>
      <c r="I6772" s="64">
        <v>1</v>
      </c>
      <c r="J6772" s="44" t="str">
        <f>VLOOKUP(G6772,[1]硬件清单!$F:$F,1,0)</f>
        <v>219801A6E4523CR00015</v>
      </c>
      <c r="K6772" s="66"/>
      <c r="L6772" s="44"/>
      <c r="M6772" s="64" t="s">
        <v>20735</v>
      </c>
    </row>
    <row r="6773" ht="30" customHeight="1" spans="1:13">
      <c r="A6773" s="41">
        <f>IF(C6773="","",SUBTOTAL(103,$C$2:C6773))</f>
        <v>6764</v>
      </c>
      <c r="B6773" s="67"/>
      <c r="C6773" s="58" t="s">
        <v>20331</v>
      </c>
      <c r="D6773" s="68" t="s">
        <v>20337</v>
      </c>
      <c r="E6773" s="64" t="s">
        <v>20338</v>
      </c>
      <c r="F6773" s="68" t="s">
        <v>20339</v>
      </c>
      <c r="G6773" s="64" t="s">
        <v>20736</v>
      </c>
      <c r="H6773" s="68" t="s">
        <v>20737</v>
      </c>
      <c r="I6773" s="64">
        <v>1</v>
      </c>
      <c r="J6773" s="44" t="str">
        <f>VLOOKUP(G6773,[1]硬件清单!$F:$F,1,0)</f>
        <v>219801A6E5523CR00171</v>
      </c>
      <c r="K6773" s="66"/>
      <c r="L6773" s="44"/>
      <c r="M6773" s="64" t="s">
        <v>20738</v>
      </c>
    </row>
    <row r="6774" ht="30" customHeight="1" spans="1:13">
      <c r="A6774" s="41">
        <f>IF(C6774="","",SUBTOTAL(103,$C$2:C6774))</f>
        <v>6765</v>
      </c>
      <c r="B6774" s="67"/>
      <c r="C6774" s="58" t="s">
        <v>20331</v>
      </c>
      <c r="D6774" s="68" t="s">
        <v>20337</v>
      </c>
      <c r="E6774" s="64" t="s">
        <v>20338</v>
      </c>
      <c r="F6774" s="68" t="s">
        <v>20339</v>
      </c>
      <c r="G6774" s="64" t="s">
        <v>20739</v>
      </c>
      <c r="H6774" s="68" t="s">
        <v>20740</v>
      </c>
      <c r="I6774" s="64">
        <v>1</v>
      </c>
      <c r="J6774" s="44" t="str">
        <f>VLOOKUP(G6774,[1]硬件清单!$F:$F,1,0)</f>
        <v>219801A6E4523CR00032</v>
      </c>
      <c r="K6774" s="66"/>
      <c r="L6774" s="44"/>
      <c r="M6774" s="64" t="s">
        <v>20741</v>
      </c>
    </row>
    <row r="6775" ht="30" customHeight="1" spans="1:13">
      <c r="A6775" s="41">
        <f>IF(C6775="","",SUBTOTAL(103,$C$2:C6775))</f>
        <v>6766</v>
      </c>
      <c r="B6775" s="67"/>
      <c r="C6775" s="58" t="s">
        <v>20331</v>
      </c>
      <c r="D6775" s="68" t="s">
        <v>20337</v>
      </c>
      <c r="E6775" s="64" t="s">
        <v>20338</v>
      </c>
      <c r="F6775" s="68" t="s">
        <v>20339</v>
      </c>
      <c r="G6775" s="64" t="s">
        <v>20742</v>
      </c>
      <c r="H6775" s="68" t="s">
        <v>20743</v>
      </c>
      <c r="I6775" s="64">
        <v>1</v>
      </c>
      <c r="J6775" s="44" t="str">
        <f>VLOOKUP(G6775,[1]硬件清单!$F:$F,1,0)</f>
        <v>219801A6E5523CR00086</v>
      </c>
      <c r="K6775" s="66"/>
      <c r="L6775" s="44"/>
      <c r="M6775" s="64" t="s">
        <v>20744</v>
      </c>
    </row>
    <row r="6776" ht="30" customHeight="1" spans="1:13">
      <c r="A6776" s="41">
        <f>IF(C6776="","",SUBTOTAL(103,$C$2:C6776))</f>
        <v>6767</v>
      </c>
      <c r="B6776" s="67"/>
      <c r="C6776" s="58" t="s">
        <v>20331</v>
      </c>
      <c r="D6776" s="68" t="s">
        <v>20337</v>
      </c>
      <c r="E6776" s="64" t="s">
        <v>20338</v>
      </c>
      <c r="F6776" s="68" t="s">
        <v>20339</v>
      </c>
      <c r="G6776" s="64" t="s">
        <v>20745</v>
      </c>
      <c r="H6776" s="68" t="s">
        <v>20746</v>
      </c>
      <c r="I6776" s="64">
        <v>1</v>
      </c>
      <c r="J6776" s="44" t="str">
        <f>VLOOKUP(G6776,[1]硬件清单!$F:$F,1,0)</f>
        <v>219801A6E5523CR00173</v>
      </c>
      <c r="K6776" s="66"/>
      <c r="L6776" s="44"/>
      <c r="M6776" s="64" t="s">
        <v>20747</v>
      </c>
    </row>
    <row r="6777" ht="30" customHeight="1" spans="1:13">
      <c r="A6777" s="41">
        <f>IF(C6777="","",SUBTOTAL(103,$C$2:C6777))</f>
        <v>6768</v>
      </c>
      <c r="B6777" s="67"/>
      <c r="C6777" s="58" t="s">
        <v>20331</v>
      </c>
      <c r="D6777" s="68" t="s">
        <v>20337</v>
      </c>
      <c r="E6777" s="64" t="s">
        <v>20338</v>
      </c>
      <c r="F6777" s="68" t="s">
        <v>20339</v>
      </c>
      <c r="G6777" s="64" t="s">
        <v>20748</v>
      </c>
      <c r="H6777" s="68" t="s">
        <v>20749</v>
      </c>
      <c r="I6777" s="64">
        <v>1</v>
      </c>
      <c r="J6777" s="44" t="str">
        <f>VLOOKUP(G6777,[1]硬件清单!$F:$F,1,0)</f>
        <v>219801A6E7523CR00002</v>
      </c>
      <c r="K6777" s="66"/>
      <c r="L6777" s="44"/>
      <c r="M6777" s="64" t="s">
        <v>20750</v>
      </c>
    </row>
    <row r="6778" ht="30" customHeight="1" spans="1:13">
      <c r="A6778" s="41">
        <f>IF(C6778="","",SUBTOTAL(103,$C$2:C6778))</f>
        <v>6769</v>
      </c>
      <c r="B6778" s="67"/>
      <c r="C6778" s="58" t="s">
        <v>20331</v>
      </c>
      <c r="D6778" s="68" t="s">
        <v>20337</v>
      </c>
      <c r="E6778" s="64" t="s">
        <v>20338</v>
      </c>
      <c r="F6778" s="68" t="s">
        <v>20339</v>
      </c>
      <c r="G6778" s="64" t="s">
        <v>20751</v>
      </c>
      <c r="H6778" s="68" t="s">
        <v>20752</v>
      </c>
      <c r="I6778" s="64">
        <v>1</v>
      </c>
      <c r="J6778" s="44" t="str">
        <f>VLOOKUP(G6778,[1]硬件清单!$F:$F,1,0)</f>
        <v>219801A6E7523CR00011</v>
      </c>
      <c r="K6778" s="66"/>
      <c r="L6778" s="44"/>
      <c r="M6778" s="64" t="s">
        <v>20753</v>
      </c>
    </row>
    <row r="6779" ht="30" customHeight="1" spans="1:13">
      <c r="A6779" s="41">
        <f>IF(C6779="","",SUBTOTAL(103,$C$2:C6779))</f>
        <v>6770</v>
      </c>
      <c r="B6779" s="67"/>
      <c r="C6779" s="58" t="s">
        <v>20331</v>
      </c>
      <c r="D6779" s="68" t="s">
        <v>20337</v>
      </c>
      <c r="E6779" s="64" t="s">
        <v>20338</v>
      </c>
      <c r="F6779" s="68" t="s">
        <v>20339</v>
      </c>
      <c r="G6779" s="64" t="s">
        <v>20754</v>
      </c>
      <c r="H6779" s="68" t="s">
        <v>20755</v>
      </c>
      <c r="I6779" s="64">
        <v>1</v>
      </c>
      <c r="J6779" s="44" t="str">
        <f>VLOOKUP(G6779,[1]硬件清单!$F:$F,1,0)</f>
        <v>219801A6E4523CR00023</v>
      </c>
      <c r="K6779" s="66"/>
      <c r="L6779" s="44"/>
      <c r="M6779" s="64" t="s">
        <v>20756</v>
      </c>
    </row>
    <row r="6780" ht="30" customHeight="1" spans="1:13">
      <c r="A6780" s="41">
        <f>IF(C6780="","",SUBTOTAL(103,$C$2:C6780))</f>
        <v>6771</v>
      </c>
      <c r="B6780" s="67"/>
      <c r="C6780" s="58" t="s">
        <v>20331</v>
      </c>
      <c r="D6780" s="68" t="s">
        <v>20337</v>
      </c>
      <c r="E6780" s="64" t="s">
        <v>20338</v>
      </c>
      <c r="F6780" s="68" t="s">
        <v>20339</v>
      </c>
      <c r="G6780" s="64" t="s">
        <v>20757</v>
      </c>
      <c r="H6780" s="68" t="s">
        <v>20758</v>
      </c>
      <c r="I6780" s="64">
        <v>1</v>
      </c>
      <c r="J6780" s="44" t="str">
        <f>VLOOKUP(G6780,[1]硬件清单!$F:$F,1,0)</f>
        <v>219801A6E6523CR00001</v>
      </c>
      <c r="K6780" s="66"/>
      <c r="L6780" s="44"/>
      <c r="M6780" s="64" t="s">
        <v>20759</v>
      </c>
    </row>
    <row r="6781" ht="30" customHeight="1" spans="1:13">
      <c r="A6781" s="41">
        <f>IF(C6781="","",SUBTOTAL(103,$C$2:C6781))</f>
        <v>6772</v>
      </c>
      <c r="B6781" s="67"/>
      <c r="C6781" s="58" t="s">
        <v>20331</v>
      </c>
      <c r="D6781" s="68" t="s">
        <v>20337</v>
      </c>
      <c r="E6781" s="64" t="s">
        <v>20338</v>
      </c>
      <c r="F6781" s="68" t="s">
        <v>20339</v>
      </c>
      <c r="G6781" s="64" t="s">
        <v>20760</v>
      </c>
      <c r="H6781" s="68" t="s">
        <v>20761</v>
      </c>
      <c r="I6781" s="64">
        <v>1</v>
      </c>
      <c r="J6781" s="44" t="str">
        <f>VLOOKUP(G6781,[1]硬件清单!$F:$F,1,0)</f>
        <v>219801A6E5523CR00090</v>
      </c>
      <c r="K6781" s="66"/>
      <c r="L6781" s="44"/>
      <c r="M6781" s="64" t="s">
        <v>20762</v>
      </c>
    </row>
    <row r="6782" ht="30" customHeight="1" spans="1:13">
      <c r="A6782" s="41">
        <f>IF(C6782="","",SUBTOTAL(103,$C$2:C6782))</f>
        <v>6773</v>
      </c>
      <c r="B6782" s="67"/>
      <c r="C6782" s="58" t="s">
        <v>20331</v>
      </c>
      <c r="D6782" s="68" t="s">
        <v>20337</v>
      </c>
      <c r="E6782" s="64" t="s">
        <v>20338</v>
      </c>
      <c r="F6782" s="68" t="s">
        <v>20339</v>
      </c>
      <c r="G6782" s="64" t="s">
        <v>20763</v>
      </c>
      <c r="H6782" s="68" t="s">
        <v>20764</v>
      </c>
      <c r="I6782" s="64">
        <v>1</v>
      </c>
      <c r="J6782" s="44" t="str">
        <f>VLOOKUP(G6782,[1]硬件清单!$F:$F,1,0)</f>
        <v>219801A6E5523CR00154</v>
      </c>
      <c r="K6782" s="66"/>
      <c r="L6782" s="44"/>
      <c r="M6782" s="64" t="s">
        <v>20765</v>
      </c>
    </row>
    <row r="6783" ht="30" customHeight="1" spans="1:13">
      <c r="A6783" s="41">
        <f>IF(C6783="","",SUBTOTAL(103,$C$2:C6783))</f>
        <v>6774</v>
      </c>
      <c r="B6783" s="67"/>
      <c r="C6783" s="58" t="s">
        <v>20331</v>
      </c>
      <c r="D6783" s="68" t="s">
        <v>20337</v>
      </c>
      <c r="E6783" s="64" t="s">
        <v>20338</v>
      </c>
      <c r="F6783" s="68" t="s">
        <v>20339</v>
      </c>
      <c r="G6783" s="64" t="s">
        <v>20766</v>
      </c>
      <c r="H6783" s="68" t="s">
        <v>20767</v>
      </c>
      <c r="I6783" s="64">
        <v>1</v>
      </c>
      <c r="J6783" s="44" t="str">
        <f>VLOOKUP(G6783,[1]硬件清单!$F:$F,1,0)</f>
        <v>219801A6E7523CR00003</v>
      </c>
      <c r="K6783" s="66"/>
      <c r="L6783" s="44"/>
      <c r="M6783" s="64" t="s">
        <v>20768</v>
      </c>
    </row>
    <row r="6784" ht="30" customHeight="1" spans="1:13">
      <c r="A6784" s="41">
        <f>IF(C6784="","",SUBTOTAL(103,$C$2:C6784))</f>
        <v>6775</v>
      </c>
      <c r="B6784" s="67"/>
      <c r="C6784" s="58" t="s">
        <v>20331</v>
      </c>
      <c r="D6784" s="68" t="s">
        <v>20337</v>
      </c>
      <c r="E6784" s="64" t="s">
        <v>20338</v>
      </c>
      <c r="F6784" s="68" t="s">
        <v>20339</v>
      </c>
      <c r="G6784" s="64" t="s">
        <v>20769</v>
      </c>
      <c r="H6784" s="68" t="s">
        <v>20770</v>
      </c>
      <c r="I6784" s="64">
        <v>1</v>
      </c>
      <c r="J6784" s="44" t="str">
        <f>VLOOKUP(G6784,[1]硬件清单!$F:$F,1,0)</f>
        <v>219801A6E5523CR00153</v>
      </c>
      <c r="K6784" s="66"/>
      <c r="L6784" s="44"/>
      <c r="M6784" s="64" t="s">
        <v>20771</v>
      </c>
    </row>
    <row r="6785" ht="30" customHeight="1" spans="1:13">
      <c r="A6785" s="41">
        <f>IF(C6785="","",SUBTOTAL(103,$C$2:C6785))</f>
        <v>6776</v>
      </c>
      <c r="B6785" s="67"/>
      <c r="C6785" s="58" t="s">
        <v>20331</v>
      </c>
      <c r="D6785" s="68" t="s">
        <v>20337</v>
      </c>
      <c r="E6785" s="64" t="s">
        <v>20338</v>
      </c>
      <c r="F6785" s="68" t="s">
        <v>20339</v>
      </c>
      <c r="G6785" s="64" t="s">
        <v>20772</v>
      </c>
      <c r="H6785" s="68" t="s">
        <v>20773</v>
      </c>
      <c r="I6785" s="64">
        <v>1</v>
      </c>
      <c r="J6785" s="44" t="str">
        <f>VLOOKUP(G6785,[1]硬件清单!$F:$F,1,0)</f>
        <v>219801A6E5523CR00058</v>
      </c>
      <c r="K6785" s="66"/>
      <c r="L6785" s="44"/>
      <c r="M6785" s="64" t="s">
        <v>20774</v>
      </c>
    </row>
    <row r="6786" ht="30" customHeight="1" spans="1:13">
      <c r="A6786" s="41">
        <f>IF(C6786="","",SUBTOTAL(103,$C$2:C6786))</f>
        <v>6777</v>
      </c>
      <c r="B6786" s="67"/>
      <c r="C6786" s="58" t="s">
        <v>20331</v>
      </c>
      <c r="D6786" s="68" t="s">
        <v>20337</v>
      </c>
      <c r="E6786" s="64" t="s">
        <v>20338</v>
      </c>
      <c r="F6786" s="68" t="s">
        <v>20339</v>
      </c>
      <c r="G6786" s="64" t="s">
        <v>20775</v>
      </c>
      <c r="H6786" s="68" t="s">
        <v>20776</v>
      </c>
      <c r="I6786" s="64">
        <v>1</v>
      </c>
      <c r="J6786" s="44" t="str">
        <f>VLOOKUP(G6786,[1]硬件清单!$F:$F,1,0)</f>
        <v>219801A6E5523CR00080</v>
      </c>
      <c r="K6786" s="66"/>
      <c r="L6786" s="44"/>
      <c r="M6786" s="64" t="s">
        <v>20777</v>
      </c>
    </row>
    <row r="6787" ht="30" customHeight="1" spans="1:13">
      <c r="A6787" s="41">
        <f>IF(C6787="","",SUBTOTAL(103,$C$2:C6787))</f>
        <v>6778</v>
      </c>
      <c r="B6787" s="67"/>
      <c r="C6787" s="58" t="s">
        <v>20331</v>
      </c>
      <c r="D6787" s="68" t="s">
        <v>20337</v>
      </c>
      <c r="E6787" s="64" t="s">
        <v>20338</v>
      </c>
      <c r="F6787" s="68" t="s">
        <v>20339</v>
      </c>
      <c r="G6787" s="64" t="s">
        <v>20778</v>
      </c>
      <c r="H6787" s="68" t="s">
        <v>20779</v>
      </c>
      <c r="I6787" s="64">
        <v>1</v>
      </c>
      <c r="J6787" s="44" t="str">
        <f>VLOOKUP(G6787,[1]硬件清单!$F:$F,1,0)</f>
        <v>219801A6E5523CR00131</v>
      </c>
      <c r="K6787" s="66"/>
      <c r="L6787" s="44"/>
      <c r="M6787" s="64" t="s">
        <v>20780</v>
      </c>
    </row>
    <row r="6788" ht="30" customHeight="1" spans="1:13">
      <c r="A6788" s="41">
        <f>IF(C6788="","",SUBTOTAL(103,$C$2:C6788))</f>
        <v>6779</v>
      </c>
      <c r="B6788" s="67"/>
      <c r="C6788" s="58" t="s">
        <v>20331</v>
      </c>
      <c r="D6788" s="68" t="s">
        <v>20337</v>
      </c>
      <c r="E6788" s="64" t="s">
        <v>20338</v>
      </c>
      <c r="F6788" s="68" t="s">
        <v>20339</v>
      </c>
      <c r="G6788" s="64" t="s">
        <v>20781</v>
      </c>
      <c r="H6788" s="68" t="s">
        <v>20782</v>
      </c>
      <c r="I6788" s="64">
        <v>1</v>
      </c>
      <c r="J6788" s="44" t="str">
        <f>VLOOKUP(G6788,[1]硬件清单!$F:$F,1,0)</f>
        <v>219801A6E5523CR00136</v>
      </c>
      <c r="K6788" s="66"/>
      <c r="L6788" s="44"/>
      <c r="M6788" s="64" t="s">
        <v>20783</v>
      </c>
    </row>
    <row r="6789" ht="30" customHeight="1" spans="1:13">
      <c r="A6789" s="41">
        <f>IF(C6789="","",SUBTOTAL(103,$C$2:C6789))</f>
        <v>6780</v>
      </c>
      <c r="B6789" s="67"/>
      <c r="C6789" s="58" t="s">
        <v>20331</v>
      </c>
      <c r="D6789" s="68" t="s">
        <v>20337</v>
      </c>
      <c r="E6789" s="64" t="s">
        <v>20338</v>
      </c>
      <c r="F6789" s="68" t="s">
        <v>20339</v>
      </c>
      <c r="G6789" s="64" t="s">
        <v>20784</v>
      </c>
      <c r="H6789" s="68" t="s">
        <v>20785</v>
      </c>
      <c r="I6789" s="64">
        <v>1</v>
      </c>
      <c r="J6789" s="44" t="str">
        <f>VLOOKUP(G6789,[1]硬件清单!$F:$F,1,0)</f>
        <v>219801A6E4523CR00030</v>
      </c>
      <c r="K6789" s="66"/>
      <c r="L6789" s="44"/>
      <c r="M6789" s="64" t="s">
        <v>20786</v>
      </c>
    </row>
    <row r="6790" ht="30" customHeight="1" spans="1:13">
      <c r="A6790" s="41">
        <f>IF(C6790="","",SUBTOTAL(103,$C$2:C6790))</f>
        <v>6781</v>
      </c>
      <c r="B6790" s="67"/>
      <c r="C6790" s="58" t="s">
        <v>20331</v>
      </c>
      <c r="D6790" s="68" t="s">
        <v>20337</v>
      </c>
      <c r="E6790" s="64" t="s">
        <v>20338</v>
      </c>
      <c r="F6790" s="68" t="s">
        <v>20339</v>
      </c>
      <c r="G6790" s="64" t="s">
        <v>20787</v>
      </c>
      <c r="H6790" s="68" t="s">
        <v>20788</v>
      </c>
      <c r="I6790" s="64">
        <v>1</v>
      </c>
      <c r="J6790" s="44" t="str">
        <f>VLOOKUP(G6790,[1]硬件清单!$F:$F,1,0)</f>
        <v>219801A6E5523CR00128</v>
      </c>
      <c r="K6790" s="66"/>
      <c r="L6790" s="44"/>
      <c r="M6790" s="64" t="s">
        <v>20789</v>
      </c>
    </row>
    <row r="6791" ht="30" customHeight="1" spans="1:13">
      <c r="A6791" s="41">
        <f>IF(C6791="","",SUBTOTAL(103,$C$2:C6791))</f>
        <v>6782</v>
      </c>
      <c r="B6791" s="67"/>
      <c r="C6791" s="58" t="s">
        <v>20331</v>
      </c>
      <c r="D6791" s="68" t="s">
        <v>20337</v>
      </c>
      <c r="E6791" s="64" t="s">
        <v>20338</v>
      </c>
      <c r="F6791" s="68" t="s">
        <v>20339</v>
      </c>
      <c r="G6791" s="64" t="s">
        <v>20790</v>
      </c>
      <c r="H6791" s="68" t="s">
        <v>20791</v>
      </c>
      <c r="I6791" s="64">
        <v>1</v>
      </c>
      <c r="J6791" s="44" t="str">
        <f>VLOOKUP(G6791,[1]硬件清单!$F:$F,1,0)</f>
        <v>219801A6E5523CR00135</v>
      </c>
      <c r="K6791" s="66"/>
      <c r="L6791" s="44"/>
      <c r="M6791" s="64" t="s">
        <v>20792</v>
      </c>
    </row>
    <row r="6792" ht="30" customHeight="1" spans="1:13">
      <c r="A6792" s="41">
        <f>IF(C6792="","",SUBTOTAL(103,$C$2:C6792))</f>
        <v>6783</v>
      </c>
      <c r="B6792" s="67"/>
      <c r="C6792" s="58" t="s">
        <v>20331</v>
      </c>
      <c r="D6792" s="68" t="s">
        <v>20337</v>
      </c>
      <c r="E6792" s="64" t="s">
        <v>20338</v>
      </c>
      <c r="F6792" s="68" t="s">
        <v>20339</v>
      </c>
      <c r="G6792" s="64" t="s">
        <v>20793</v>
      </c>
      <c r="H6792" s="68" t="s">
        <v>20794</v>
      </c>
      <c r="I6792" s="64">
        <v>1</v>
      </c>
      <c r="J6792" s="44" t="str">
        <f>VLOOKUP(G6792,[1]硬件清单!$F:$F,1,0)</f>
        <v>219801A6E5523CR00072</v>
      </c>
      <c r="K6792" s="66"/>
      <c r="L6792" s="44"/>
      <c r="M6792" s="64" t="s">
        <v>20795</v>
      </c>
    </row>
    <row r="6793" ht="30" customHeight="1" spans="1:13">
      <c r="A6793" s="41">
        <f>IF(C6793="","",SUBTOTAL(103,$C$2:C6793))</f>
        <v>6784</v>
      </c>
      <c r="B6793" s="67"/>
      <c r="C6793" s="58" t="s">
        <v>20331</v>
      </c>
      <c r="D6793" s="68" t="s">
        <v>20337</v>
      </c>
      <c r="E6793" s="64" t="s">
        <v>20338</v>
      </c>
      <c r="F6793" s="68" t="s">
        <v>20339</v>
      </c>
      <c r="G6793" s="64" t="s">
        <v>20796</v>
      </c>
      <c r="H6793" s="68" t="s">
        <v>20797</v>
      </c>
      <c r="I6793" s="64">
        <v>1</v>
      </c>
      <c r="J6793" s="44" t="str">
        <f>VLOOKUP(G6793,[1]硬件清单!$F:$F,1,0)</f>
        <v>219801A6E4523CR00013</v>
      </c>
      <c r="K6793" s="66"/>
      <c r="L6793" s="44"/>
      <c r="M6793" s="64" t="s">
        <v>20798</v>
      </c>
    </row>
    <row r="6794" ht="30" customHeight="1" spans="1:13">
      <c r="A6794" s="41">
        <f>IF(C6794="","",SUBTOTAL(103,$C$2:C6794))</f>
        <v>6785</v>
      </c>
      <c r="B6794" s="67"/>
      <c r="C6794" s="58" t="s">
        <v>20331</v>
      </c>
      <c r="D6794" s="68" t="s">
        <v>20337</v>
      </c>
      <c r="E6794" s="64" t="s">
        <v>20338</v>
      </c>
      <c r="F6794" s="68" t="s">
        <v>20339</v>
      </c>
      <c r="G6794" s="64" t="s">
        <v>20799</v>
      </c>
      <c r="H6794" s="68" t="s">
        <v>20800</v>
      </c>
      <c r="I6794" s="64">
        <v>1</v>
      </c>
      <c r="J6794" s="44" t="str">
        <f>VLOOKUP(G6794,[1]硬件清单!$F:$F,1,0)</f>
        <v>219801A6E5523CR00081</v>
      </c>
      <c r="K6794" s="66"/>
      <c r="L6794" s="44"/>
      <c r="M6794" s="64" t="s">
        <v>20801</v>
      </c>
    </row>
    <row r="6795" ht="30" customHeight="1" spans="1:13">
      <c r="A6795" s="41">
        <f>IF(C6795="","",SUBTOTAL(103,$C$2:C6795))</f>
        <v>6786</v>
      </c>
      <c r="B6795" s="67"/>
      <c r="C6795" s="58" t="s">
        <v>20331</v>
      </c>
      <c r="D6795" s="68" t="s">
        <v>20337</v>
      </c>
      <c r="E6795" s="64" t="s">
        <v>20338</v>
      </c>
      <c r="F6795" s="68" t="s">
        <v>20339</v>
      </c>
      <c r="G6795" s="64" t="s">
        <v>20802</v>
      </c>
      <c r="H6795" s="68" t="s">
        <v>20803</v>
      </c>
      <c r="I6795" s="64">
        <v>1</v>
      </c>
      <c r="J6795" s="44" t="str">
        <f>VLOOKUP(G6795,[1]硬件清单!$F:$F,1,0)</f>
        <v>219801A6E5523CR00064</v>
      </c>
      <c r="K6795" s="66"/>
      <c r="L6795" s="44"/>
      <c r="M6795" s="64" t="s">
        <v>20804</v>
      </c>
    </row>
    <row r="6796" ht="30" customHeight="1" spans="1:13">
      <c r="A6796" s="41">
        <f>IF(C6796="","",SUBTOTAL(103,$C$2:C6796))</f>
        <v>6787</v>
      </c>
      <c r="B6796" s="67"/>
      <c r="C6796" s="58" t="s">
        <v>20331</v>
      </c>
      <c r="D6796" s="68" t="s">
        <v>20337</v>
      </c>
      <c r="E6796" s="64" t="s">
        <v>20338</v>
      </c>
      <c r="F6796" s="68" t="s">
        <v>20339</v>
      </c>
      <c r="G6796" s="64" t="s">
        <v>20805</v>
      </c>
      <c r="H6796" s="68" t="s">
        <v>20806</v>
      </c>
      <c r="I6796" s="64">
        <v>1</v>
      </c>
      <c r="J6796" s="44" t="str">
        <f>VLOOKUP(G6796,[1]硬件清单!$F:$F,1,0)</f>
        <v>219801A6E5523CR00039</v>
      </c>
      <c r="K6796" s="66"/>
      <c r="L6796" s="44"/>
      <c r="M6796" s="64" t="s">
        <v>20807</v>
      </c>
    </row>
    <row r="6797" ht="30" customHeight="1" spans="1:13">
      <c r="A6797" s="41">
        <f>IF(C6797="","",SUBTOTAL(103,$C$2:C6797))</f>
        <v>6788</v>
      </c>
      <c r="B6797" s="67"/>
      <c r="C6797" s="58" t="s">
        <v>20331</v>
      </c>
      <c r="D6797" s="68" t="s">
        <v>20337</v>
      </c>
      <c r="E6797" s="64" t="s">
        <v>20338</v>
      </c>
      <c r="F6797" s="68" t="s">
        <v>20339</v>
      </c>
      <c r="G6797" s="64" t="s">
        <v>20808</v>
      </c>
      <c r="H6797" s="68" t="s">
        <v>20809</v>
      </c>
      <c r="I6797" s="64">
        <v>1</v>
      </c>
      <c r="J6797" s="44" t="str">
        <f>VLOOKUP(G6797,[1]硬件清单!$F:$F,1,0)</f>
        <v>219801A6E4523CR00005</v>
      </c>
      <c r="K6797" s="66"/>
      <c r="L6797" s="44"/>
      <c r="M6797" s="64" t="s">
        <v>20810</v>
      </c>
    </row>
    <row r="6798" ht="30" customHeight="1" spans="1:13">
      <c r="A6798" s="41">
        <f>IF(C6798="","",SUBTOTAL(103,$C$2:C6798))</f>
        <v>6789</v>
      </c>
      <c r="B6798" s="67"/>
      <c r="C6798" s="58" t="s">
        <v>20331</v>
      </c>
      <c r="D6798" s="68" t="s">
        <v>20337</v>
      </c>
      <c r="E6798" s="64" t="s">
        <v>20338</v>
      </c>
      <c r="F6798" s="68" t="s">
        <v>20339</v>
      </c>
      <c r="G6798" s="64" t="s">
        <v>20811</v>
      </c>
      <c r="H6798" s="68" t="s">
        <v>20812</v>
      </c>
      <c r="I6798" s="64">
        <v>1</v>
      </c>
      <c r="J6798" s="44" t="str">
        <f>VLOOKUP(G6798,[1]硬件清单!$F:$F,1,0)</f>
        <v>219801A6E5523CR00048</v>
      </c>
      <c r="K6798" s="66"/>
      <c r="L6798" s="44"/>
      <c r="M6798" s="64" t="s">
        <v>20813</v>
      </c>
    </row>
    <row r="6799" ht="30" customHeight="1" spans="1:13">
      <c r="A6799" s="41">
        <f>IF(C6799="","",SUBTOTAL(103,$C$2:C6799))</f>
        <v>6790</v>
      </c>
      <c r="B6799" s="67"/>
      <c r="C6799" s="58" t="s">
        <v>20331</v>
      </c>
      <c r="D6799" s="68" t="s">
        <v>20337</v>
      </c>
      <c r="E6799" s="64" t="s">
        <v>20338</v>
      </c>
      <c r="F6799" s="68" t="s">
        <v>20339</v>
      </c>
      <c r="G6799" s="64" t="s">
        <v>20814</v>
      </c>
      <c r="H6799" s="68" t="s">
        <v>20815</v>
      </c>
      <c r="I6799" s="64">
        <v>1</v>
      </c>
      <c r="J6799" s="44" t="str">
        <f>VLOOKUP(G6799,[1]硬件清单!$F:$F,1,0)</f>
        <v>219801A6E7523CR00008</v>
      </c>
      <c r="K6799" s="66"/>
      <c r="L6799" s="44"/>
      <c r="M6799" s="64" t="s">
        <v>20816</v>
      </c>
    </row>
    <row r="6800" ht="30" customHeight="1" spans="1:13">
      <c r="A6800" s="41">
        <f>IF(C6800="","",SUBTOTAL(103,$C$2:C6800))</f>
        <v>6791</v>
      </c>
      <c r="B6800" s="67"/>
      <c r="C6800" s="58" t="s">
        <v>20331</v>
      </c>
      <c r="D6800" s="68" t="s">
        <v>20337</v>
      </c>
      <c r="E6800" s="64" t="s">
        <v>20338</v>
      </c>
      <c r="F6800" s="68" t="s">
        <v>20339</v>
      </c>
      <c r="G6800" s="64" t="s">
        <v>20817</v>
      </c>
      <c r="H6800" s="68" t="s">
        <v>20818</v>
      </c>
      <c r="I6800" s="64">
        <v>1</v>
      </c>
      <c r="J6800" s="44" t="str">
        <f>VLOOKUP(G6800,[1]硬件清单!$F:$F,1,0)</f>
        <v>219801A6E5523CR00049</v>
      </c>
      <c r="K6800" s="66"/>
      <c r="L6800" s="44"/>
      <c r="M6800" s="64" t="s">
        <v>20819</v>
      </c>
    </row>
    <row r="6801" ht="30" customHeight="1" spans="1:13">
      <c r="A6801" s="41">
        <f>IF(C6801="","",SUBTOTAL(103,$C$2:C6801))</f>
        <v>6792</v>
      </c>
      <c r="B6801" s="67"/>
      <c r="C6801" s="58" t="s">
        <v>20331</v>
      </c>
      <c r="D6801" s="68" t="s">
        <v>20337</v>
      </c>
      <c r="E6801" s="64" t="s">
        <v>20338</v>
      </c>
      <c r="F6801" s="68" t="s">
        <v>20339</v>
      </c>
      <c r="G6801" s="64" t="s">
        <v>20820</v>
      </c>
      <c r="H6801" s="68" t="s">
        <v>20821</v>
      </c>
      <c r="I6801" s="64">
        <v>1</v>
      </c>
      <c r="J6801" s="44" t="str">
        <f>VLOOKUP(G6801,[1]硬件清单!$F:$F,1,0)</f>
        <v>219801A6E5523CR00005</v>
      </c>
      <c r="K6801" s="66"/>
      <c r="L6801" s="44"/>
      <c r="M6801" s="64" t="s">
        <v>20822</v>
      </c>
    </row>
    <row r="6802" ht="30" customHeight="1" spans="1:13">
      <c r="A6802" s="41">
        <f>IF(C6802="","",SUBTOTAL(103,$C$2:C6802))</f>
        <v>6793</v>
      </c>
      <c r="B6802" s="67"/>
      <c r="C6802" s="58" t="s">
        <v>20331</v>
      </c>
      <c r="D6802" s="68" t="s">
        <v>20337</v>
      </c>
      <c r="E6802" s="64" t="s">
        <v>20338</v>
      </c>
      <c r="F6802" s="68" t="s">
        <v>20339</v>
      </c>
      <c r="G6802" s="64" t="s">
        <v>20823</v>
      </c>
      <c r="H6802" s="68" t="s">
        <v>20824</v>
      </c>
      <c r="I6802" s="64">
        <v>1</v>
      </c>
      <c r="J6802" s="44" t="str">
        <f>VLOOKUP(G6802,[1]硬件清单!$F:$F,1,0)</f>
        <v>219801A6E4523CR00001</v>
      </c>
      <c r="K6802" s="66"/>
      <c r="L6802" s="44"/>
      <c r="M6802" s="64" t="s">
        <v>20825</v>
      </c>
    </row>
    <row r="6803" ht="30" customHeight="1" spans="1:13">
      <c r="A6803" s="41">
        <f>IF(C6803="","",SUBTOTAL(103,$C$2:C6803))</f>
        <v>6794</v>
      </c>
      <c r="B6803" s="67"/>
      <c r="C6803" s="58" t="s">
        <v>20331</v>
      </c>
      <c r="D6803" s="68" t="s">
        <v>20337</v>
      </c>
      <c r="E6803" s="64" t="s">
        <v>20338</v>
      </c>
      <c r="F6803" s="68" t="s">
        <v>20339</v>
      </c>
      <c r="G6803" s="64" t="s">
        <v>20826</v>
      </c>
      <c r="H6803" s="68" t="s">
        <v>20827</v>
      </c>
      <c r="I6803" s="64">
        <v>1</v>
      </c>
      <c r="J6803" s="44" t="str">
        <f>VLOOKUP(G6803,[1]硬件清单!$F:$F,1,0)</f>
        <v>219801A6E5523CR00053</v>
      </c>
      <c r="K6803" s="66"/>
      <c r="L6803" s="44"/>
      <c r="M6803" s="64" t="s">
        <v>20828</v>
      </c>
    </row>
    <row r="6804" ht="30" customHeight="1" spans="1:13">
      <c r="A6804" s="41">
        <f>IF(C6804="","",SUBTOTAL(103,$C$2:C6804))</f>
        <v>6795</v>
      </c>
      <c r="B6804" s="67"/>
      <c r="C6804" s="58" t="s">
        <v>20331</v>
      </c>
      <c r="D6804" s="68" t="s">
        <v>20337</v>
      </c>
      <c r="E6804" s="64" t="s">
        <v>20338</v>
      </c>
      <c r="F6804" s="68" t="s">
        <v>20339</v>
      </c>
      <c r="G6804" s="64" t="s">
        <v>20829</v>
      </c>
      <c r="H6804" s="68" t="s">
        <v>20830</v>
      </c>
      <c r="I6804" s="64">
        <v>1</v>
      </c>
      <c r="J6804" s="44" t="str">
        <f>VLOOKUP(G6804,[1]硬件清单!$F:$F,1,0)</f>
        <v>219801A6E4523CR00027</v>
      </c>
      <c r="K6804" s="66"/>
      <c r="L6804" s="44"/>
      <c r="M6804" s="64" t="s">
        <v>20831</v>
      </c>
    </row>
    <row r="6805" ht="30" customHeight="1" spans="1:13">
      <c r="A6805" s="41">
        <f>IF(C6805="","",SUBTOTAL(103,$C$2:C6805))</f>
        <v>6796</v>
      </c>
      <c r="B6805" s="67"/>
      <c r="C6805" s="58" t="s">
        <v>20331</v>
      </c>
      <c r="D6805" s="68" t="s">
        <v>20337</v>
      </c>
      <c r="E6805" s="64" t="s">
        <v>20338</v>
      </c>
      <c r="F6805" s="68" t="s">
        <v>20339</v>
      </c>
      <c r="G6805" s="64" t="s">
        <v>20832</v>
      </c>
      <c r="H6805" s="68" t="s">
        <v>20833</v>
      </c>
      <c r="I6805" s="64">
        <v>1</v>
      </c>
      <c r="J6805" s="44" t="str">
        <f>VLOOKUP(G6805,[1]硬件清单!$F:$F,1,0)</f>
        <v>219801A6E4523CR00018</v>
      </c>
      <c r="K6805" s="66"/>
      <c r="L6805" s="44"/>
      <c r="M6805" s="64" t="s">
        <v>20834</v>
      </c>
    </row>
    <row r="6806" ht="30" customHeight="1" spans="1:13">
      <c r="A6806" s="41">
        <f>IF(C6806="","",SUBTOTAL(103,$C$2:C6806))</f>
        <v>6797</v>
      </c>
      <c r="B6806" s="67"/>
      <c r="C6806" s="58" t="s">
        <v>20331</v>
      </c>
      <c r="D6806" s="68" t="s">
        <v>20337</v>
      </c>
      <c r="E6806" s="64" t="s">
        <v>20338</v>
      </c>
      <c r="F6806" s="68" t="s">
        <v>20339</v>
      </c>
      <c r="G6806" s="64" t="s">
        <v>20835</v>
      </c>
      <c r="H6806" s="68" t="s">
        <v>20836</v>
      </c>
      <c r="I6806" s="64">
        <v>1</v>
      </c>
      <c r="J6806" s="44" t="str">
        <f>VLOOKUP(G6806,[1]硬件清单!$F:$F,1,0)</f>
        <v>219801A6E5523CR00142</v>
      </c>
      <c r="K6806" s="66"/>
      <c r="L6806" s="44"/>
      <c r="M6806" s="64" t="s">
        <v>20837</v>
      </c>
    </row>
    <row r="6807" ht="30" customHeight="1" spans="1:13">
      <c r="A6807" s="41">
        <f>IF(C6807="","",SUBTOTAL(103,$C$2:C6807))</f>
        <v>6798</v>
      </c>
      <c r="B6807" s="67"/>
      <c r="C6807" s="58" t="s">
        <v>20331</v>
      </c>
      <c r="D6807" s="68" t="s">
        <v>20337</v>
      </c>
      <c r="E6807" s="64" t="s">
        <v>20338</v>
      </c>
      <c r="F6807" s="68" t="s">
        <v>20339</v>
      </c>
      <c r="G6807" s="64" t="s">
        <v>20838</v>
      </c>
      <c r="H6807" s="68" t="s">
        <v>20839</v>
      </c>
      <c r="I6807" s="64">
        <v>1</v>
      </c>
      <c r="J6807" s="44" t="str">
        <f>VLOOKUP(G6807,[1]硬件清单!$F:$F,1,0)</f>
        <v>219801A6E5523CR00078</v>
      </c>
      <c r="K6807" s="66"/>
      <c r="L6807" s="44"/>
      <c r="M6807" s="64" t="s">
        <v>20840</v>
      </c>
    </row>
    <row r="6808" ht="30" customHeight="1" spans="1:13">
      <c r="A6808" s="41">
        <f>IF(C6808="","",SUBTOTAL(103,$C$2:C6808))</f>
        <v>6799</v>
      </c>
      <c r="B6808" s="67"/>
      <c r="C6808" s="58" t="s">
        <v>20331</v>
      </c>
      <c r="D6808" s="68" t="s">
        <v>20337</v>
      </c>
      <c r="E6808" s="64" t="s">
        <v>20338</v>
      </c>
      <c r="F6808" s="68" t="s">
        <v>20339</v>
      </c>
      <c r="G6808" s="64" t="s">
        <v>20841</v>
      </c>
      <c r="H6808" s="68" t="s">
        <v>20842</v>
      </c>
      <c r="I6808" s="64">
        <v>1</v>
      </c>
      <c r="J6808" s="44" t="str">
        <f>VLOOKUP(G6808,[1]硬件清单!$F:$F,1,0)</f>
        <v>219801A6E4523CR00024</v>
      </c>
      <c r="K6808" s="66"/>
      <c r="L6808" s="44"/>
      <c r="M6808" s="64" t="s">
        <v>20843</v>
      </c>
    </row>
    <row r="6809" ht="30" customHeight="1" spans="1:13">
      <c r="A6809" s="41">
        <f>IF(C6809="","",SUBTOTAL(103,$C$2:C6809))</f>
        <v>6800</v>
      </c>
      <c r="B6809" s="67"/>
      <c r="C6809" s="58" t="s">
        <v>20331</v>
      </c>
      <c r="D6809" s="68" t="s">
        <v>20337</v>
      </c>
      <c r="E6809" s="64" t="s">
        <v>20338</v>
      </c>
      <c r="F6809" s="68" t="s">
        <v>20339</v>
      </c>
      <c r="G6809" s="64" t="s">
        <v>20844</v>
      </c>
      <c r="H6809" s="68" t="s">
        <v>20845</v>
      </c>
      <c r="I6809" s="64">
        <v>1</v>
      </c>
      <c r="J6809" s="44" t="str">
        <f>VLOOKUP(G6809,[1]硬件清单!$F:$F,1,0)</f>
        <v>219801A6E5523CR00159</v>
      </c>
      <c r="K6809" s="66"/>
      <c r="L6809" s="44"/>
      <c r="M6809" s="64" t="s">
        <v>20846</v>
      </c>
    </row>
    <row r="6810" ht="30" customHeight="1" spans="1:13">
      <c r="A6810" s="41">
        <f>IF(C6810="","",SUBTOTAL(103,$C$2:C6810))</f>
        <v>6801</v>
      </c>
      <c r="B6810" s="67"/>
      <c r="C6810" s="58" t="s">
        <v>20331</v>
      </c>
      <c r="D6810" s="68" t="s">
        <v>20337</v>
      </c>
      <c r="E6810" s="64" t="s">
        <v>20338</v>
      </c>
      <c r="F6810" s="68" t="s">
        <v>20339</v>
      </c>
      <c r="G6810" s="64" t="s">
        <v>20847</v>
      </c>
      <c r="H6810" s="68" t="s">
        <v>20848</v>
      </c>
      <c r="I6810" s="64">
        <v>1</v>
      </c>
      <c r="J6810" s="44" t="str">
        <f>VLOOKUP(G6810,[1]硬件清单!$F:$F,1,0)</f>
        <v>219801A6E5523CR00167</v>
      </c>
      <c r="K6810" s="66"/>
      <c r="L6810" s="44"/>
      <c r="M6810" s="64" t="s">
        <v>20849</v>
      </c>
    </row>
    <row r="6811" ht="30" customHeight="1" spans="1:13">
      <c r="A6811" s="41">
        <f>IF(C6811="","",SUBTOTAL(103,$C$2:C6811))</f>
        <v>6802</v>
      </c>
      <c r="B6811" s="67"/>
      <c r="C6811" s="58" t="s">
        <v>20331</v>
      </c>
      <c r="D6811" s="68" t="s">
        <v>20337</v>
      </c>
      <c r="E6811" s="64" t="s">
        <v>20338</v>
      </c>
      <c r="F6811" s="68" t="s">
        <v>20339</v>
      </c>
      <c r="G6811" s="64" t="s">
        <v>20850</v>
      </c>
      <c r="H6811" s="68" t="s">
        <v>20851</v>
      </c>
      <c r="I6811" s="64">
        <v>1</v>
      </c>
      <c r="J6811" s="44" t="str">
        <f>VLOOKUP(G6811,[1]硬件清单!$F:$F,1,0)</f>
        <v>219801A6E5523CR00043</v>
      </c>
      <c r="K6811" s="66"/>
      <c r="L6811" s="44"/>
      <c r="M6811" s="64" t="s">
        <v>20852</v>
      </c>
    </row>
    <row r="6812" ht="30" customHeight="1" spans="1:13">
      <c r="A6812" s="41">
        <f>IF(C6812="","",SUBTOTAL(103,$C$2:C6812))</f>
        <v>6803</v>
      </c>
      <c r="B6812" s="67"/>
      <c r="C6812" s="58" t="s">
        <v>20331</v>
      </c>
      <c r="D6812" s="68" t="s">
        <v>20337</v>
      </c>
      <c r="E6812" s="64" t="s">
        <v>20338</v>
      </c>
      <c r="F6812" s="68" t="s">
        <v>20339</v>
      </c>
      <c r="G6812" s="64" t="s">
        <v>20853</v>
      </c>
      <c r="H6812" s="68" t="s">
        <v>20854</v>
      </c>
      <c r="I6812" s="64">
        <v>1</v>
      </c>
      <c r="J6812" s="44" t="str">
        <f>VLOOKUP(G6812,[1]硬件清单!$F:$F,1,0)</f>
        <v>219801A6E5523CR00098</v>
      </c>
      <c r="K6812" s="66"/>
      <c r="L6812" s="44"/>
      <c r="M6812" s="64" t="s">
        <v>20855</v>
      </c>
    </row>
    <row r="6813" ht="30" customHeight="1" spans="1:13">
      <c r="A6813" s="41">
        <f>IF(C6813="","",SUBTOTAL(103,$C$2:C6813))</f>
        <v>6804</v>
      </c>
      <c r="B6813" s="67"/>
      <c r="C6813" s="58" t="s">
        <v>20331</v>
      </c>
      <c r="D6813" s="68" t="s">
        <v>20337</v>
      </c>
      <c r="E6813" s="64" t="s">
        <v>20338</v>
      </c>
      <c r="F6813" s="68" t="s">
        <v>20339</v>
      </c>
      <c r="G6813" s="64" t="s">
        <v>20856</v>
      </c>
      <c r="H6813" s="68" t="s">
        <v>20857</v>
      </c>
      <c r="I6813" s="64">
        <v>1</v>
      </c>
      <c r="J6813" s="44" t="str">
        <f>VLOOKUP(G6813,[1]硬件清单!$F:$F,1,0)</f>
        <v>219801A6E5523CR00016</v>
      </c>
      <c r="K6813" s="66"/>
      <c r="L6813" s="44"/>
      <c r="M6813" s="64" t="s">
        <v>20858</v>
      </c>
    </row>
    <row r="6814" ht="30" customHeight="1" spans="1:13">
      <c r="A6814" s="41">
        <f>IF(C6814="","",SUBTOTAL(103,$C$2:C6814))</f>
        <v>6805</v>
      </c>
      <c r="B6814" s="67"/>
      <c r="C6814" s="58" t="s">
        <v>20331</v>
      </c>
      <c r="D6814" s="68" t="s">
        <v>20337</v>
      </c>
      <c r="E6814" s="64" t="s">
        <v>20338</v>
      </c>
      <c r="F6814" s="68" t="s">
        <v>20339</v>
      </c>
      <c r="G6814" s="64" t="s">
        <v>20859</v>
      </c>
      <c r="H6814" s="68" t="s">
        <v>20860</v>
      </c>
      <c r="I6814" s="64">
        <v>1</v>
      </c>
      <c r="J6814" s="44" t="str">
        <f>VLOOKUP(G6814,[1]硬件清单!$F:$F,1,0)</f>
        <v>219801A6E5523CR00065</v>
      </c>
      <c r="K6814" s="66"/>
      <c r="L6814" s="44"/>
      <c r="M6814" s="64" t="s">
        <v>20861</v>
      </c>
    </row>
    <row r="6815" ht="30" customHeight="1" spans="1:13">
      <c r="A6815" s="41">
        <f>IF(C6815="","",SUBTOTAL(103,$C$2:C6815))</f>
        <v>6806</v>
      </c>
      <c r="B6815" s="67"/>
      <c r="C6815" s="58" t="s">
        <v>20331</v>
      </c>
      <c r="D6815" s="68" t="s">
        <v>20337</v>
      </c>
      <c r="E6815" s="64" t="s">
        <v>20338</v>
      </c>
      <c r="F6815" s="68" t="s">
        <v>20339</v>
      </c>
      <c r="G6815" s="64" t="s">
        <v>20862</v>
      </c>
      <c r="H6815" s="68" t="s">
        <v>20863</v>
      </c>
      <c r="I6815" s="64">
        <v>1</v>
      </c>
      <c r="J6815" s="44" t="str">
        <f>VLOOKUP(G6815,[1]硬件清单!$F:$F,1,0)</f>
        <v>219801A6E5523CR00166</v>
      </c>
      <c r="K6815" s="66"/>
      <c r="L6815" s="44"/>
      <c r="M6815" s="64" t="s">
        <v>20864</v>
      </c>
    </row>
    <row r="6816" ht="30" customHeight="1" spans="1:13">
      <c r="A6816" s="41">
        <f>IF(C6816="","",SUBTOTAL(103,$C$2:C6816))</f>
        <v>6807</v>
      </c>
      <c r="B6816" s="67"/>
      <c r="C6816" s="58" t="s">
        <v>20331</v>
      </c>
      <c r="D6816" s="68" t="s">
        <v>20337</v>
      </c>
      <c r="E6816" s="64" t="s">
        <v>20338</v>
      </c>
      <c r="F6816" s="68" t="s">
        <v>20339</v>
      </c>
      <c r="G6816" s="64" t="s">
        <v>20865</v>
      </c>
      <c r="H6816" s="68" t="s">
        <v>20866</v>
      </c>
      <c r="I6816" s="64">
        <v>1</v>
      </c>
      <c r="J6816" s="44" t="str">
        <f>VLOOKUP(G6816,[1]硬件清单!$F:$F,1,0)</f>
        <v>219801A6E5523CR00164</v>
      </c>
      <c r="K6816" s="66"/>
      <c r="L6816" s="44"/>
      <c r="M6816" s="64" t="s">
        <v>20867</v>
      </c>
    </row>
    <row r="6817" ht="30" customHeight="1" spans="1:13">
      <c r="A6817" s="41">
        <f>IF(C6817="","",SUBTOTAL(103,$C$2:C6817))</f>
        <v>6808</v>
      </c>
      <c r="B6817" s="67"/>
      <c r="C6817" s="58" t="s">
        <v>20331</v>
      </c>
      <c r="D6817" s="68" t="s">
        <v>20337</v>
      </c>
      <c r="E6817" s="64" t="s">
        <v>20338</v>
      </c>
      <c r="F6817" s="68" t="s">
        <v>20339</v>
      </c>
      <c r="G6817" s="64" t="s">
        <v>20868</v>
      </c>
      <c r="H6817" s="68" t="s">
        <v>20869</v>
      </c>
      <c r="I6817" s="64">
        <v>1</v>
      </c>
      <c r="J6817" s="44" t="str">
        <f>VLOOKUP(G6817,[1]硬件清单!$F:$F,1,0)</f>
        <v>219801A6E5523CR00018</v>
      </c>
      <c r="K6817" s="66"/>
      <c r="L6817" s="44"/>
      <c r="M6817" s="64" t="s">
        <v>20870</v>
      </c>
    </row>
    <row r="6818" ht="30" customHeight="1" spans="1:13">
      <c r="A6818" s="41">
        <f>IF(C6818="","",SUBTOTAL(103,$C$2:C6818))</f>
        <v>6809</v>
      </c>
      <c r="B6818" s="67"/>
      <c r="C6818" s="58" t="s">
        <v>20331</v>
      </c>
      <c r="D6818" s="68" t="s">
        <v>20337</v>
      </c>
      <c r="E6818" s="64" t="s">
        <v>20338</v>
      </c>
      <c r="F6818" s="68" t="s">
        <v>20339</v>
      </c>
      <c r="G6818" s="64" t="s">
        <v>20871</v>
      </c>
      <c r="H6818" s="68" t="s">
        <v>20872</v>
      </c>
      <c r="I6818" s="64">
        <v>1</v>
      </c>
      <c r="J6818" s="44" t="str">
        <f>VLOOKUP(G6818,[1]硬件清单!$F:$F,1,0)</f>
        <v>219801A6E5523CR00032</v>
      </c>
      <c r="K6818" s="66"/>
      <c r="L6818" s="44"/>
      <c r="M6818" s="64" t="s">
        <v>20873</v>
      </c>
    </row>
    <row r="6819" ht="30" customHeight="1" spans="1:13">
      <c r="A6819" s="41">
        <f>IF(C6819="","",SUBTOTAL(103,$C$2:C6819))</f>
        <v>6810</v>
      </c>
      <c r="B6819" s="67"/>
      <c r="C6819" s="58" t="s">
        <v>20331</v>
      </c>
      <c r="D6819" s="68" t="s">
        <v>20337</v>
      </c>
      <c r="E6819" s="64" t="s">
        <v>20338</v>
      </c>
      <c r="F6819" s="68" t="s">
        <v>20339</v>
      </c>
      <c r="G6819" s="64" t="s">
        <v>20874</v>
      </c>
      <c r="H6819" s="68" t="s">
        <v>20875</v>
      </c>
      <c r="I6819" s="64">
        <v>1</v>
      </c>
      <c r="J6819" s="44" t="str">
        <f>VLOOKUP(G6819,[1]硬件清单!$F:$F,1,0)</f>
        <v>219801A6E5523CR00129</v>
      </c>
      <c r="K6819" s="66"/>
      <c r="L6819" s="44"/>
      <c r="M6819" s="64" t="s">
        <v>20876</v>
      </c>
    </row>
    <row r="6820" ht="30" customHeight="1" spans="1:13">
      <c r="A6820" s="41">
        <f>IF(C6820="","",SUBTOTAL(103,$C$2:C6820))</f>
        <v>6811</v>
      </c>
      <c r="B6820" s="67"/>
      <c r="C6820" s="58" t="s">
        <v>20331</v>
      </c>
      <c r="D6820" s="68" t="s">
        <v>20337</v>
      </c>
      <c r="E6820" s="64" t="s">
        <v>20338</v>
      </c>
      <c r="F6820" s="68" t="s">
        <v>20339</v>
      </c>
      <c r="G6820" s="64" t="s">
        <v>20877</v>
      </c>
      <c r="H6820" s="68" t="s">
        <v>20878</v>
      </c>
      <c r="I6820" s="64">
        <v>1</v>
      </c>
      <c r="J6820" s="44" t="str">
        <f>VLOOKUP(G6820,[1]硬件清单!$F:$F,1,0)</f>
        <v>219801A6E5523CR00033</v>
      </c>
      <c r="K6820" s="66"/>
      <c r="L6820" s="44"/>
      <c r="M6820" s="64" t="s">
        <v>20879</v>
      </c>
    </row>
    <row r="6821" ht="30" customHeight="1" spans="1:13">
      <c r="A6821" s="41">
        <f>IF(C6821="","",SUBTOTAL(103,$C$2:C6821))</f>
        <v>6812</v>
      </c>
      <c r="B6821" s="67"/>
      <c r="C6821" s="58" t="s">
        <v>20331</v>
      </c>
      <c r="D6821" s="68" t="s">
        <v>20337</v>
      </c>
      <c r="E6821" s="64" t="s">
        <v>20338</v>
      </c>
      <c r="F6821" s="68" t="s">
        <v>20339</v>
      </c>
      <c r="G6821" s="64" t="s">
        <v>20880</v>
      </c>
      <c r="H6821" s="68" t="s">
        <v>20881</v>
      </c>
      <c r="I6821" s="64">
        <v>1</v>
      </c>
      <c r="J6821" s="44" t="str">
        <f>VLOOKUP(G6821,[1]硬件清单!$F:$F,1,0)</f>
        <v>219801A6E5523CR00025</v>
      </c>
      <c r="K6821" s="66"/>
      <c r="L6821" s="44"/>
      <c r="M6821" s="64" t="s">
        <v>20882</v>
      </c>
    </row>
    <row r="6822" ht="30" customHeight="1" spans="1:13">
      <c r="A6822" s="41">
        <f>IF(C6822="","",SUBTOTAL(103,$C$2:C6822))</f>
        <v>6813</v>
      </c>
      <c r="B6822" s="67"/>
      <c r="C6822" s="58" t="s">
        <v>20331</v>
      </c>
      <c r="D6822" s="68" t="s">
        <v>20337</v>
      </c>
      <c r="E6822" s="64" t="s">
        <v>20338</v>
      </c>
      <c r="F6822" s="68" t="s">
        <v>20339</v>
      </c>
      <c r="G6822" s="64" t="s">
        <v>20883</v>
      </c>
      <c r="H6822" s="68" t="s">
        <v>20884</v>
      </c>
      <c r="I6822" s="64">
        <v>1</v>
      </c>
      <c r="J6822" s="44" t="str">
        <f>VLOOKUP(G6822,[1]硬件清单!$F:$F,1,0)</f>
        <v>219801A6E5523CR00170</v>
      </c>
      <c r="K6822" s="66"/>
      <c r="L6822" s="44"/>
      <c r="M6822" s="64" t="s">
        <v>20885</v>
      </c>
    </row>
    <row r="6823" ht="30" customHeight="1" spans="1:13">
      <c r="A6823" s="41">
        <f>IF(C6823="","",SUBTOTAL(103,$C$2:C6823))</f>
        <v>6814</v>
      </c>
      <c r="B6823" s="67"/>
      <c r="C6823" s="58" t="s">
        <v>20331</v>
      </c>
      <c r="D6823" s="68" t="s">
        <v>20337</v>
      </c>
      <c r="E6823" s="64" t="s">
        <v>20338</v>
      </c>
      <c r="F6823" s="68" t="s">
        <v>20339</v>
      </c>
      <c r="G6823" s="64" t="s">
        <v>20886</v>
      </c>
      <c r="H6823" s="68" t="s">
        <v>20887</v>
      </c>
      <c r="I6823" s="64">
        <v>1</v>
      </c>
      <c r="J6823" s="44" t="str">
        <f>VLOOKUP(G6823,[1]硬件清单!$F:$F,1,0)</f>
        <v>219801A6E5523CR00014</v>
      </c>
      <c r="K6823" s="66"/>
      <c r="L6823" s="44"/>
      <c r="M6823" s="64" t="s">
        <v>20888</v>
      </c>
    </row>
    <row r="6824" ht="30" customHeight="1" spans="1:13">
      <c r="A6824" s="41">
        <f>IF(C6824="","",SUBTOTAL(103,$C$2:C6824))</f>
        <v>6815</v>
      </c>
      <c r="B6824" s="67"/>
      <c r="C6824" s="58" t="s">
        <v>20331</v>
      </c>
      <c r="D6824" s="68" t="s">
        <v>20337</v>
      </c>
      <c r="E6824" s="64" t="s">
        <v>20338</v>
      </c>
      <c r="F6824" s="68" t="s">
        <v>20339</v>
      </c>
      <c r="G6824" s="64" t="s">
        <v>20889</v>
      </c>
      <c r="H6824" s="68" t="s">
        <v>20890</v>
      </c>
      <c r="I6824" s="64">
        <v>1</v>
      </c>
      <c r="J6824" s="44" t="str">
        <f>VLOOKUP(G6824,[1]硬件清单!$F:$F,1,0)</f>
        <v>219801A6E5523CR00175</v>
      </c>
      <c r="K6824" s="66"/>
      <c r="L6824" s="44"/>
      <c r="M6824" s="64" t="s">
        <v>20891</v>
      </c>
    </row>
    <row r="6825" ht="30" customHeight="1" spans="1:13">
      <c r="A6825" s="41">
        <f>IF(C6825="","",SUBTOTAL(103,$C$2:C6825))</f>
        <v>6816</v>
      </c>
      <c r="B6825" s="67"/>
      <c r="C6825" s="58" t="s">
        <v>20331</v>
      </c>
      <c r="D6825" s="68" t="s">
        <v>20337</v>
      </c>
      <c r="E6825" s="64" t="s">
        <v>20338</v>
      </c>
      <c r="F6825" s="68" t="s">
        <v>20339</v>
      </c>
      <c r="G6825" s="64" t="s">
        <v>20892</v>
      </c>
      <c r="H6825" s="68" t="s">
        <v>20893</v>
      </c>
      <c r="I6825" s="64">
        <v>1</v>
      </c>
      <c r="J6825" s="44" t="str">
        <f>VLOOKUP(G6825,[1]硬件清单!$F:$F,1,0)</f>
        <v>219801A6E5523CR00062</v>
      </c>
      <c r="K6825" s="66"/>
      <c r="L6825" s="44"/>
      <c r="M6825" s="64" t="s">
        <v>20894</v>
      </c>
    </row>
    <row r="6826" ht="30" customHeight="1" spans="1:13">
      <c r="A6826" s="41">
        <f>IF(C6826="","",SUBTOTAL(103,$C$2:C6826))</f>
        <v>6817</v>
      </c>
      <c r="B6826" s="67"/>
      <c r="C6826" s="58" t="s">
        <v>20331</v>
      </c>
      <c r="D6826" s="68" t="s">
        <v>20337</v>
      </c>
      <c r="E6826" s="64" t="s">
        <v>20338</v>
      </c>
      <c r="F6826" s="68" t="s">
        <v>20339</v>
      </c>
      <c r="G6826" s="64" t="s">
        <v>20895</v>
      </c>
      <c r="H6826" s="68" t="s">
        <v>20896</v>
      </c>
      <c r="I6826" s="64">
        <v>1</v>
      </c>
      <c r="J6826" s="44" t="str">
        <f>VLOOKUP(G6826,[1]硬件清单!$F:$F,1,0)</f>
        <v>219801A6E5523CR00143</v>
      </c>
      <c r="K6826" s="66"/>
      <c r="L6826" s="44"/>
      <c r="M6826" s="64" t="s">
        <v>20897</v>
      </c>
    </row>
    <row r="6827" ht="30" customHeight="1" spans="1:13">
      <c r="A6827" s="41">
        <f>IF(C6827="","",SUBTOTAL(103,$C$2:C6827))</f>
        <v>6818</v>
      </c>
      <c r="B6827" s="67"/>
      <c r="C6827" s="58" t="s">
        <v>20331</v>
      </c>
      <c r="D6827" s="68" t="s">
        <v>20337</v>
      </c>
      <c r="E6827" s="64" t="s">
        <v>20338</v>
      </c>
      <c r="F6827" s="68" t="s">
        <v>20339</v>
      </c>
      <c r="G6827" s="64" t="s">
        <v>20898</v>
      </c>
      <c r="H6827" s="68" t="s">
        <v>20899</v>
      </c>
      <c r="I6827" s="64">
        <v>1</v>
      </c>
      <c r="J6827" s="44" t="str">
        <f>VLOOKUP(G6827,[1]硬件清单!$F:$F,1,0)</f>
        <v>219801A6E5523CR00011</v>
      </c>
      <c r="K6827" s="66"/>
      <c r="L6827" s="44"/>
      <c r="M6827" s="64" t="s">
        <v>20900</v>
      </c>
    </row>
    <row r="6828" ht="30" customHeight="1" spans="1:13">
      <c r="A6828" s="41">
        <f>IF(C6828="","",SUBTOTAL(103,$C$2:C6828))</f>
        <v>6819</v>
      </c>
      <c r="B6828" s="67"/>
      <c r="C6828" s="58" t="s">
        <v>20331</v>
      </c>
      <c r="D6828" s="68" t="s">
        <v>20337</v>
      </c>
      <c r="E6828" s="64" t="s">
        <v>20338</v>
      </c>
      <c r="F6828" s="68" t="s">
        <v>20339</v>
      </c>
      <c r="G6828" s="64" t="s">
        <v>20901</v>
      </c>
      <c r="H6828" s="68" t="s">
        <v>20902</v>
      </c>
      <c r="I6828" s="64">
        <v>1</v>
      </c>
      <c r="J6828" s="44" t="str">
        <f>VLOOKUP(G6828,[1]硬件清单!$F:$F,1,0)</f>
        <v>219801A6E5523CR00126</v>
      </c>
      <c r="K6828" s="66"/>
      <c r="L6828" s="44"/>
      <c r="M6828" s="64" t="s">
        <v>20903</v>
      </c>
    </row>
    <row r="6829" ht="30" customHeight="1" spans="1:13">
      <c r="A6829" s="41">
        <f>IF(C6829="","",SUBTOTAL(103,$C$2:C6829))</f>
        <v>6820</v>
      </c>
      <c r="B6829" s="67"/>
      <c r="C6829" s="58" t="s">
        <v>20331</v>
      </c>
      <c r="D6829" s="68" t="s">
        <v>20337</v>
      </c>
      <c r="E6829" s="64" t="s">
        <v>20338</v>
      </c>
      <c r="F6829" s="68" t="s">
        <v>20339</v>
      </c>
      <c r="G6829" s="64" t="s">
        <v>20904</v>
      </c>
      <c r="H6829" s="68" t="s">
        <v>20905</v>
      </c>
      <c r="I6829" s="64">
        <v>1</v>
      </c>
      <c r="J6829" s="44" t="str">
        <f>VLOOKUP(G6829,[1]硬件清单!$F:$F,1,0)</f>
        <v>219801A6E5523CR00015</v>
      </c>
      <c r="K6829" s="66"/>
      <c r="L6829" s="44"/>
      <c r="M6829" s="64" t="s">
        <v>20906</v>
      </c>
    </row>
    <row r="6830" ht="30" customHeight="1" spans="1:13">
      <c r="A6830" s="41">
        <f>IF(C6830="","",SUBTOTAL(103,$C$2:C6830))</f>
        <v>6821</v>
      </c>
      <c r="B6830" s="67"/>
      <c r="C6830" s="58" t="s">
        <v>20331</v>
      </c>
      <c r="D6830" s="68" t="s">
        <v>20337</v>
      </c>
      <c r="E6830" s="64" t="s">
        <v>20338</v>
      </c>
      <c r="F6830" s="68" t="s">
        <v>20339</v>
      </c>
      <c r="G6830" s="64" t="s">
        <v>20907</v>
      </c>
      <c r="H6830" s="68" t="s">
        <v>20908</v>
      </c>
      <c r="I6830" s="64">
        <v>1</v>
      </c>
      <c r="J6830" s="44" t="str">
        <f>VLOOKUP(G6830,[1]硬件清单!$F:$F,1,0)</f>
        <v>219801A6E5523CR00156</v>
      </c>
      <c r="K6830" s="66"/>
      <c r="L6830" s="44"/>
      <c r="M6830" s="64" t="s">
        <v>20909</v>
      </c>
    </row>
    <row r="6831" ht="30" customHeight="1" spans="1:13">
      <c r="A6831" s="41">
        <f>IF(C6831="","",SUBTOTAL(103,$C$2:C6831))</f>
        <v>6822</v>
      </c>
      <c r="B6831" s="67"/>
      <c r="C6831" s="58" t="s">
        <v>20331</v>
      </c>
      <c r="D6831" s="68" t="s">
        <v>20337</v>
      </c>
      <c r="E6831" s="64" t="s">
        <v>20338</v>
      </c>
      <c r="F6831" s="68" t="s">
        <v>20339</v>
      </c>
      <c r="G6831" s="64" t="s">
        <v>20910</v>
      </c>
      <c r="H6831" s="68" t="s">
        <v>20911</v>
      </c>
      <c r="I6831" s="64">
        <v>1</v>
      </c>
      <c r="J6831" s="44" t="str">
        <f>VLOOKUP(G6831,[1]硬件清单!$F:$F,1,0)</f>
        <v>219801A6E5523CR00051</v>
      </c>
      <c r="K6831" s="66"/>
      <c r="L6831" s="44"/>
      <c r="M6831" s="64" t="s">
        <v>20912</v>
      </c>
    </row>
    <row r="6832" ht="30" customHeight="1" spans="1:13">
      <c r="A6832" s="41">
        <f>IF(C6832="","",SUBTOTAL(103,$C$2:C6832))</f>
        <v>6823</v>
      </c>
      <c r="B6832" s="67"/>
      <c r="C6832" s="58" t="s">
        <v>20331</v>
      </c>
      <c r="D6832" s="68" t="s">
        <v>20337</v>
      </c>
      <c r="E6832" s="64" t="s">
        <v>20338</v>
      </c>
      <c r="F6832" s="68" t="s">
        <v>20339</v>
      </c>
      <c r="G6832" s="64" t="s">
        <v>20913</v>
      </c>
      <c r="H6832" s="68" t="s">
        <v>20914</v>
      </c>
      <c r="I6832" s="64">
        <v>1</v>
      </c>
      <c r="J6832" s="44" t="str">
        <f>VLOOKUP(G6832,[1]硬件清单!$F:$F,1,0)</f>
        <v>219801A6E5523CR00057</v>
      </c>
      <c r="K6832" s="66"/>
      <c r="L6832" s="44"/>
      <c r="M6832" s="64" t="s">
        <v>20915</v>
      </c>
    </row>
    <row r="6833" ht="30" customHeight="1" spans="1:13">
      <c r="A6833" s="41">
        <f>IF(C6833="","",SUBTOTAL(103,$C$2:C6833))</f>
        <v>6824</v>
      </c>
      <c r="B6833" s="67"/>
      <c r="C6833" s="58" t="s">
        <v>20331</v>
      </c>
      <c r="D6833" s="68" t="s">
        <v>20337</v>
      </c>
      <c r="E6833" s="64" t="s">
        <v>20338</v>
      </c>
      <c r="F6833" s="68" t="s">
        <v>20339</v>
      </c>
      <c r="G6833" s="64" t="s">
        <v>20916</v>
      </c>
      <c r="H6833" s="68" t="s">
        <v>20917</v>
      </c>
      <c r="I6833" s="64">
        <v>1</v>
      </c>
      <c r="J6833" s="44" t="str">
        <f>VLOOKUP(G6833,[1]硬件清单!$F:$F,1,0)</f>
        <v>219801A6E5523CR00106</v>
      </c>
      <c r="K6833" s="66"/>
      <c r="L6833" s="44"/>
      <c r="M6833" s="64" t="s">
        <v>20918</v>
      </c>
    </row>
    <row r="6834" ht="30" customHeight="1" spans="1:13">
      <c r="A6834" s="41">
        <f>IF(C6834="","",SUBTOTAL(103,$C$2:C6834))</f>
        <v>6825</v>
      </c>
      <c r="B6834" s="67"/>
      <c r="C6834" s="58" t="s">
        <v>20331</v>
      </c>
      <c r="D6834" s="68" t="s">
        <v>20337</v>
      </c>
      <c r="E6834" s="64" t="s">
        <v>20338</v>
      </c>
      <c r="F6834" s="68" t="s">
        <v>20339</v>
      </c>
      <c r="G6834" s="64" t="s">
        <v>20919</v>
      </c>
      <c r="H6834" s="68" t="s">
        <v>20920</v>
      </c>
      <c r="I6834" s="64">
        <v>1</v>
      </c>
      <c r="J6834" s="44" t="str">
        <f>VLOOKUP(G6834,[1]硬件清单!$F:$F,1,0)</f>
        <v>219801A6E5523CR00004</v>
      </c>
      <c r="K6834" s="66"/>
      <c r="L6834" s="44"/>
      <c r="M6834" s="64" t="s">
        <v>20921</v>
      </c>
    </row>
    <row r="6835" ht="30" customHeight="1" spans="1:13">
      <c r="A6835" s="41">
        <f>IF(C6835="","",SUBTOTAL(103,$C$2:C6835))</f>
        <v>6826</v>
      </c>
      <c r="B6835" s="67"/>
      <c r="C6835" s="58" t="s">
        <v>20331</v>
      </c>
      <c r="D6835" s="68" t="s">
        <v>20337</v>
      </c>
      <c r="E6835" s="64" t="s">
        <v>20338</v>
      </c>
      <c r="F6835" s="68" t="s">
        <v>20339</v>
      </c>
      <c r="G6835" s="64" t="s">
        <v>20922</v>
      </c>
      <c r="H6835" s="68" t="s">
        <v>20923</v>
      </c>
      <c r="I6835" s="64">
        <v>1</v>
      </c>
      <c r="J6835" s="44" t="str">
        <f>VLOOKUP(G6835,[1]硬件清单!$F:$F,1,0)</f>
        <v>219801A6E5523CR00045</v>
      </c>
      <c r="K6835" s="66"/>
      <c r="L6835" s="44"/>
      <c r="M6835" s="64" t="s">
        <v>20924</v>
      </c>
    </row>
    <row r="6836" ht="30" customHeight="1" spans="1:13">
      <c r="A6836" s="41">
        <f>IF(C6836="","",SUBTOTAL(103,$C$2:C6836))</f>
        <v>6827</v>
      </c>
      <c r="B6836" s="67"/>
      <c r="C6836" s="58" t="s">
        <v>20331</v>
      </c>
      <c r="D6836" s="68" t="s">
        <v>20337</v>
      </c>
      <c r="E6836" s="64" t="s">
        <v>20338</v>
      </c>
      <c r="F6836" s="68" t="s">
        <v>20339</v>
      </c>
      <c r="G6836" s="64" t="s">
        <v>20925</v>
      </c>
      <c r="H6836" s="68" t="s">
        <v>20926</v>
      </c>
      <c r="I6836" s="64">
        <v>1</v>
      </c>
      <c r="J6836" s="44" t="str">
        <f>VLOOKUP(G6836,[1]硬件清单!$F:$F,1,0)</f>
        <v>219801A6E5523CR00066</v>
      </c>
      <c r="K6836" s="66"/>
      <c r="L6836" s="44"/>
      <c r="M6836" s="64" t="s">
        <v>20927</v>
      </c>
    </row>
    <row r="6837" ht="30" customHeight="1" spans="1:13">
      <c r="A6837" s="41">
        <f>IF(C6837="","",SUBTOTAL(103,$C$2:C6837))</f>
        <v>6828</v>
      </c>
      <c r="B6837" s="67"/>
      <c r="C6837" s="58" t="s">
        <v>20331</v>
      </c>
      <c r="D6837" s="68" t="s">
        <v>20337</v>
      </c>
      <c r="E6837" s="64" t="s">
        <v>20338</v>
      </c>
      <c r="F6837" s="68" t="s">
        <v>20339</v>
      </c>
      <c r="G6837" s="64" t="s">
        <v>20928</v>
      </c>
      <c r="H6837" s="68" t="s">
        <v>20929</v>
      </c>
      <c r="I6837" s="64">
        <v>1</v>
      </c>
      <c r="J6837" s="44" t="str">
        <f>VLOOKUP(G6837,[1]硬件清单!$F:$F,1,0)</f>
        <v>219801A6E7523CR00009</v>
      </c>
      <c r="K6837" s="66"/>
      <c r="L6837" s="44"/>
      <c r="M6837" s="64" t="s">
        <v>20930</v>
      </c>
    </row>
    <row r="6838" ht="30" customHeight="1" spans="1:13">
      <c r="A6838" s="41">
        <f>IF(C6838="","",SUBTOTAL(103,$C$2:C6838))</f>
        <v>6829</v>
      </c>
      <c r="B6838" s="67"/>
      <c r="C6838" s="58" t="s">
        <v>20331</v>
      </c>
      <c r="D6838" s="68" t="s">
        <v>20337</v>
      </c>
      <c r="E6838" s="64" t="s">
        <v>20338</v>
      </c>
      <c r="F6838" s="68" t="s">
        <v>20339</v>
      </c>
      <c r="G6838" s="64" t="s">
        <v>20931</v>
      </c>
      <c r="H6838" s="68" t="s">
        <v>20932</v>
      </c>
      <c r="I6838" s="64">
        <v>1</v>
      </c>
      <c r="J6838" s="44" t="str">
        <f>VLOOKUP(G6838,[1]硬件清单!$F:$F,1,0)</f>
        <v>219801A6E5523CR00109</v>
      </c>
      <c r="K6838" s="66"/>
      <c r="L6838" s="44"/>
      <c r="M6838" s="64" t="s">
        <v>20933</v>
      </c>
    </row>
    <row r="6839" ht="30" customHeight="1" spans="1:13">
      <c r="A6839" s="41">
        <f>IF(C6839="","",SUBTOTAL(103,$C$2:C6839))</f>
        <v>6830</v>
      </c>
      <c r="B6839" s="67"/>
      <c r="C6839" s="58" t="s">
        <v>20331</v>
      </c>
      <c r="D6839" s="68" t="s">
        <v>20337</v>
      </c>
      <c r="E6839" s="64" t="s">
        <v>20338</v>
      </c>
      <c r="F6839" s="68" t="s">
        <v>20339</v>
      </c>
      <c r="G6839" s="64" t="s">
        <v>20934</v>
      </c>
      <c r="H6839" s="68" t="s">
        <v>20935</v>
      </c>
      <c r="I6839" s="64">
        <v>1</v>
      </c>
      <c r="J6839" s="44" t="str">
        <f>VLOOKUP(G6839,[1]硬件清单!$F:$F,1,0)</f>
        <v>219801A6E5523CR00067</v>
      </c>
      <c r="K6839" s="66"/>
      <c r="L6839" s="44"/>
      <c r="M6839" s="64" t="s">
        <v>20936</v>
      </c>
    </row>
    <row r="6840" ht="30" customHeight="1" spans="1:13">
      <c r="A6840" s="41">
        <f>IF(C6840="","",SUBTOTAL(103,$C$2:C6840))</f>
        <v>6831</v>
      </c>
      <c r="B6840" s="67"/>
      <c r="C6840" s="58" t="s">
        <v>20331</v>
      </c>
      <c r="D6840" s="68" t="s">
        <v>20337</v>
      </c>
      <c r="E6840" s="64" t="s">
        <v>20338</v>
      </c>
      <c r="F6840" s="68" t="s">
        <v>20339</v>
      </c>
      <c r="G6840" s="64" t="s">
        <v>20937</v>
      </c>
      <c r="H6840" s="68" t="s">
        <v>20938</v>
      </c>
      <c r="I6840" s="64">
        <v>1</v>
      </c>
      <c r="J6840" s="44" t="str">
        <f>VLOOKUP(G6840,[1]硬件清单!$F:$F,1,0)</f>
        <v>219801A6E5523CR00132</v>
      </c>
      <c r="K6840" s="66"/>
      <c r="L6840" s="44"/>
      <c r="M6840" s="64" t="s">
        <v>20939</v>
      </c>
    </row>
    <row r="6841" ht="30" customHeight="1" spans="1:13">
      <c r="A6841" s="41">
        <f>IF(C6841="","",SUBTOTAL(103,$C$2:C6841))</f>
        <v>6832</v>
      </c>
      <c r="B6841" s="67"/>
      <c r="C6841" s="58" t="s">
        <v>20331</v>
      </c>
      <c r="D6841" s="68" t="s">
        <v>20337</v>
      </c>
      <c r="E6841" s="64" t="s">
        <v>20338</v>
      </c>
      <c r="F6841" s="68" t="s">
        <v>20339</v>
      </c>
      <c r="G6841" s="64" t="s">
        <v>20940</v>
      </c>
      <c r="H6841" s="68" t="s">
        <v>20941</v>
      </c>
      <c r="I6841" s="64">
        <v>1</v>
      </c>
      <c r="J6841" s="44" t="str">
        <f>VLOOKUP(G6841,[1]硬件清单!$F:$F,1,0)</f>
        <v>219801A6E5523CR00001</v>
      </c>
      <c r="K6841" s="66"/>
      <c r="L6841" s="44"/>
      <c r="M6841" s="64" t="s">
        <v>20942</v>
      </c>
    </row>
    <row r="6842" ht="30" customHeight="1" spans="1:13">
      <c r="A6842" s="41">
        <f>IF(C6842="","",SUBTOTAL(103,$C$2:C6842))</f>
        <v>6833</v>
      </c>
      <c r="B6842" s="67"/>
      <c r="C6842" s="58" t="s">
        <v>20331</v>
      </c>
      <c r="D6842" s="68" t="s">
        <v>20337</v>
      </c>
      <c r="E6842" s="64" t="s">
        <v>20338</v>
      </c>
      <c r="F6842" s="68" t="s">
        <v>20339</v>
      </c>
      <c r="G6842" s="64" t="s">
        <v>20943</v>
      </c>
      <c r="H6842" s="68" t="s">
        <v>20944</v>
      </c>
      <c r="I6842" s="64">
        <v>1</v>
      </c>
      <c r="J6842" s="44" t="str">
        <f>VLOOKUP(G6842,[1]硬件清单!$F:$F,1,0)</f>
        <v>219801A6E5523CR00144</v>
      </c>
      <c r="K6842" s="66"/>
      <c r="L6842" s="44"/>
      <c r="M6842" s="64" t="s">
        <v>20945</v>
      </c>
    </row>
    <row r="6843" ht="30" customHeight="1" spans="1:13">
      <c r="A6843" s="41">
        <f>IF(C6843="","",SUBTOTAL(103,$C$2:C6843))</f>
        <v>6834</v>
      </c>
      <c r="B6843" s="67"/>
      <c r="C6843" s="58" t="s">
        <v>20331</v>
      </c>
      <c r="D6843" s="68" t="s">
        <v>20337</v>
      </c>
      <c r="E6843" s="64" t="s">
        <v>20338</v>
      </c>
      <c r="F6843" s="68" t="s">
        <v>20339</v>
      </c>
      <c r="G6843" s="64" t="s">
        <v>20946</v>
      </c>
      <c r="H6843" s="68" t="s">
        <v>20947</v>
      </c>
      <c r="I6843" s="64">
        <v>1</v>
      </c>
      <c r="J6843" s="44" t="str">
        <f>VLOOKUP(G6843,[1]硬件清单!$F:$F,1,0)</f>
        <v>219801A6E5523CR00134</v>
      </c>
      <c r="K6843" s="66"/>
      <c r="L6843" s="44"/>
      <c r="M6843" s="64" t="s">
        <v>20948</v>
      </c>
    </row>
    <row r="6844" ht="30" customHeight="1" spans="1:13">
      <c r="A6844" s="41">
        <f>IF(C6844="","",SUBTOTAL(103,$C$2:C6844))</f>
        <v>6835</v>
      </c>
      <c r="B6844" s="67"/>
      <c r="C6844" s="58" t="s">
        <v>20331</v>
      </c>
      <c r="D6844" s="68" t="s">
        <v>20337</v>
      </c>
      <c r="E6844" s="64" t="s">
        <v>20338</v>
      </c>
      <c r="F6844" s="68" t="s">
        <v>20339</v>
      </c>
      <c r="G6844" s="64" t="s">
        <v>20949</v>
      </c>
      <c r="H6844" s="68" t="s">
        <v>20950</v>
      </c>
      <c r="I6844" s="64">
        <v>1</v>
      </c>
      <c r="J6844" s="44" t="str">
        <f>VLOOKUP(G6844,[1]硬件清单!$F:$F,1,0)</f>
        <v>219801A6E5523CR00002</v>
      </c>
      <c r="K6844" s="66"/>
      <c r="L6844" s="44"/>
      <c r="M6844" s="64" t="s">
        <v>20951</v>
      </c>
    </row>
    <row r="6845" ht="30" customHeight="1" spans="1:13">
      <c r="A6845" s="41">
        <f>IF(C6845="","",SUBTOTAL(103,$C$2:C6845))</f>
        <v>6836</v>
      </c>
      <c r="B6845" s="67"/>
      <c r="C6845" s="58" t="s">
        <v>20331</v>
      </c>
      <c r="D6845" s="68" t="s">
        <v>20337</v>
      </c>
      <c r="E6845" s="64" t="s">
        <v>20338</v>
      </c>
      <c r="F6845" s="68" t="s">
        <v>20339</v>
      </c>
      <c r="G6845" s="64" t="s">
        <v>20952</v>
      </c>
      <c r="H6845" s="68" t="s">
        <v>20953</v>
      </c>
      <c r="I6845" s="64">
        <v>1</v>
      </c>
      <c r="J6845" s="44" t="str">
        <f>VLOOKUP(G6845,[1]硬件清单!$F:$F,1,0)</f>
        <v>219801A6E6523CR00002</v>
      </c>
      <c r="K6845" s="66"/>
      <c r="L6845" s="44"/>
      <c r="M6845" s="64" t="s">
        <v>20954</v>
      </c>
    </row>
    <row r="6846" ht="30" customHeight="1" spans="1:13">
      <c r="A6846" s="41">
        <f>IF(C6846="","",SUBTOTAL(103,$C$2:C6846))</f>
        <v>6837</v>
      </c>
      <c r="B6846" s="67"/>
      <c r="C6846" s="58" t="s">
        <v>20331</v>
      </c>
      <c r="D6846" s="68" t="s">
        <v>20337</v>
      </c>
      <c r="E6846" s="64" t="s">
        <v>20338</v>
      </c>
      <c r="F6846" s="68" t="s">
        <v>20339</v>
      </c>
      <c r="G6846" s="64" t="s">
        <v>20955</v>
      </c>
      <c r="H6846" s="68" t="s">
        <v>20956</v>
      </c>
      <c r="I6846" s="64">
        <v>1</v>
      </c>
      <c r="J6846" s="44" t="str">
        <f>VLOOKUP(G6846,[1]硬件清单!$F:$F,1,0)</f>
        <v>219801A6E5523CR00121</v>
      </c>
      <c r="K6846" s="66"/>
      <c r="L6846" s="44"/>
      <c r="M6846" s="64" t="s">
        <v>20957</v>
      </c>
    </row>
    <row r="6847" ht="30" customHeight="1" spans="1:13">
      <c r="A6847" s="41">
        <f>IF(C6847="","",SUBTOTAL(103,$C$2:C6847))</f>
        <v>6838</v>
      </c>
      <c r="B6847" s="67"/>
      <c r="C6847" s="58" t="s">
        <v>20331</v>
      </c>
      <c r="D6847" s="68" t="s">
        <v>20337</v>
      </c>
      <c r="E6847" s="64" t="s">
        <v>20338</v>
      </c>
      <c r="F6847" s="68" t="s">
        <v>20339</v>
      </c>
      <c r="G6847" s="64" t="s">
        <v>20958</v>
      </c>
      <c r="H6847" s="68" t="s">
        <v>20959</v>
      </c>
      <c r="I6847" s="64">
        <v>1</v>
      </c>
      <c r="J6847" s="44" t="str">
        <f>VLOOKUP(G6847,[1]硬件清单!$F:$F,1,0)</f>
        <v>219801A6E5523CR00133</v>
      </c>
      <c r="K6847" s="66"/>
      <c r="L6847" s="44"/>
      <c r="M6847" s="64" t="s">
        <v>20960</v>
      </c>
    </row>
    <row r="6848" ht="30" customHeight="1" spans="1:13">
      <c r="A6848" s="41">
        <f>IF(C6848="","",SUBTOTAL(103,$C$2:C6848))</f>
        <v>6839</v>
      </c>
      <c r="B6848" s="67"/>
      <c r="C6848" s="58" t="s">
        <v>20331</v>
      </c>
      <c r="D6848" s="68" t="s">
        <v>20337</v>
      </c>
      <c r="E6848" s="64" t="s">
        <v>20338</v>
      </c>
      <c r="F6848" s="68" t="s">
        <v>20339</v>
      </c>
      <c r="G6848" s="64" t="s">
        <v>20961</v>
      </c>
      <c r="H6848" s="68" t="s">
        <v>20962</v>
      </c>
      <c r="I6848" s="64">
        <v>1</v>
      </c>
      <c r="J6848" s="44" t="str">
        <f>VLOOKUP(G6848,[1]硬件清单!$F:$F,1,0)</f>
        <v>219801A6E4523CR00025</v>
      </c>
      <c r="K6848" s="66"/>
      <c r="L6848" s="44"/>
      <c r="M6848" s="64" t="s">
        <v>20963</v>
      </c>
    </row>
    <row r="6849" ht="30" customHeight="1" spans="1:13">
      <c r="A6849" s="41">
        <f>IF(C6849="","",SUBTOTAL(103,$C$2:C6849))</f>
        <v>6840</v>
      </c>
      <c r="B6849" s="67"/>
      <c r="C6849" s="58" t="s">
        <v>20331</v>
      </c>
      <c r="D6849" s="68" t="s">
        <v>20337</v>
      </c>
      <c r="E6849" s="64" t="s">
        <v>20338</v>
      </c>
      <c r="F6849" s="68" t="s">
        <v>20339</v>
      </c>
      <c r="G6849" s="64" t="s">
        <v>20964</v>
      </c>
      <c r="H6849" s="68" t="s">
        <v>20965</v>
      </c>
      <c r="I6849" s="64">
        <v>1</v>
      </c>
      <c r="J6849" s="44" t="str">
        <f>VLOOKUP(G6849,[1]硬件清单!$F:$F,1,0)</f>
        <v>219801A6E5523CR00140</v>
      </c>
      <c r="K6849" s="66"/>
      <c r="L6849" s="44"/>
      <c r="M6849" s="64" t="s">
        <v>20966</v>
      </c>
    </row>
    <row r="6850" ht="30" customHeight="1" spans="1:13">
      <c r="A6850" s="41">
        <f>IF(C6850="","",SUBTOTAL(103,$C$2:C6850))</f>
        <v>6841</v>
      </c>
      <c r="B6850" s="67"/>
      <c r="C6850" s="58" t="s">
        <v>20331</v>
      </c>
      <c r="D6850" s="68" t="s">
        <v>20337</v>
      </c>
      <c r="E6850" s="64" t="s">
        <v>20338</v>
      </c>
      <c r="F6850" s="68" t="s">
        <v>20339</v>
      </c>
      <c r="G6850" s="64" t="s">
        <v>20967</v>
      </c>
      <c r="H6850" s="68" t="s">
        <v>20968</v>
      </c>
      <c r="I6850" s="64">
        <v>1</v>
      </c>
      <c r="J6850" s="44" t="str">
        <f>VLOOKUP(G6850,[1]硬件清单!$F:$F,1,0)</f>
        <v>219801A6E4523CR00009</v>
      </c>
      <c r="K6850" s="66"/>
      <c r="L6850" s="44"/>
      <c r="M6850" s="64" t="s">
        <v>20969</v>
      </c>
    </row>
    <row r="6851" ht="30" customHeight="1" spans="1:13">
      <c r="A6851" s="41">
        <f>IF(C6851="","",SUBTOTAL(103,$C$2:C6851))</f>
        <v>6842</v>
      </c>
      <c r="B6851" s="67"/>
      <c r="C6851" s="58" t="s">
        <v>20331</v>
      </c>
      <c r="D6851" s="68" t="s">
        <v>20337</v>
      </c>
      <c r="E6851" s="64" t="s">
        <v>20338</v>
      </c>
      <c r="F6851" s="68" t="s">
        <v>20339</v>
      </c>
      <c r="G6851" s="64" t="s">
        <v>20970</v>
      </c>
      <c r="H6851" s="68" t="s">
        <v>20971</v>
      </c>
      <c r="I6851" s="64">
        <v>1</v>
      </c>
      <c r="J6851" s="44" t="str">
        <f>VLOOKUP(G6851,[1]硬件清单!$F:$F,1,0)</f>
        <v>219801A6E5523CR00120</v>
      </c>
      <c r="K6851" s="66"/>
      <c r="L6851" s="44"/>
      <c r="M6851" s="64" t="s">
        <v>20972</v>
      </c>
    </row>
    <row r="6852" ht="30" customHeight="1" spans="1:13">
      <c r="A6852" s="41">
        <f>IF(C6852="","",SUBTOTAL(103,$C$2:C6852))</f>
        <v>6843</v>
      </c>
      <c r="B6852" s="67"/>
      <c r="C6852" s="58" t="s">
        <v>20331</v>
      </c>
      <c r="D6852" s="68" t="s">
        <v>20337</v>
      </c>
      <c r="E6852" s="64" t="s">
        <v>20338</v>
      </c>
      <c r="F6852" s="68" t="s">
        <v>20339</v>
      </c>
      <c r="G6852" s="64" t="s">
        <v>20973</v>
      </c>
      <c r="H6852" s="68" t="s">
        <v>20974</v>
      </c>
      <c r="I6852" s="64">
        <v>1</v>
      </c>
      <c r="J6852" s="44" t="str">
        <f>VLOOKUP(G6852,[1]硬件清单!$F:$F,1,0)</f>
        <v>219801A6E5523CR00026</v>
      </c>
      <c r="K6852" s="66"/>
      <c r="L6852" s="44"/>
      <c r="M6852" s="64" t="s">
        <v>20975</v>
      </c>
    </row>
    <row r="6853" ht="30" customHeight="1" spans="1:13">
      <c r="A6853" s="41">
        <f>IF(C6853="","",SUBTOTAL(103,$C$2:C6853))</f>
        <v>6844</v>
      </c>
      <c r="B6853" s="67"/>
      <c r="C6853" s="58" t="s">
        <v>20331</v>
      </c>
      <c r="D6853" s="68" t="s">
        <v>20337</v>
      </c>
      <c r="E6853" s="64" t="s">
        <v>20338</v>
      </c>
      <c r="F6853" s="68" t="s">
        <v>20339</v>
      </c>
      <c r="G6853" s="64" t="s">
        <v>20976</v>
      </c>
      <c r="H6853" s="68" t="s">
        <v>20977</v>
      </c>
      <c r="I6853" s="64">
        <v>1</v>
      </c>
      <c r="J6853" s="44" t="str">
        <f>VLOOKUP(G6853,[1]硬件清单!$F:$F,1,0)</f>
        <v>219801A6E7523CR00004</v>
      </c>
      <c r="K6853" s="66"/>
      <c r="L6853" s="44"/>
      <c r="M6853" s="64" t="s">
        <v>20978</v>
      </c>
    </row>
    <row r="6854" ht="30" customHeight="1" spans="1:13">
      <c r="A6854" s="41">
        <f>IF(C6854="","",SUBTOTAL(103,$C$2:C6854))</f>
        <v>6845</v>
      </c>
      <c r="B6854" s="67"/>
      <c r="C6854" s="58" t="s">
        <v>20331</v>
      </c>
      <c r="D6854" s="68" t="s">
        <v>20337</v>
      </c>
      <c r="E6854" s="64" t="s">
        <v>20338</v>
      </c>
      <c r="F6854" s="68" t="s">
        <v>20339</v>
      </c>
      <c r="G6854" s="64" t="s">
        <v>20979</v>
      </c>
      <c r="H6854" s="68" t="s">
        <v>20980</v>
      </c>
      <c r="I6854" s="64">
        <v>1</v>
      </c>
      <c r="J6854" s="44" t="str">
        <f>VLOOKUP(G6854,[1]硬件清单!$F:$F,1,0)</f>
        <v>219801A6E5523CR00096</v>
      </c>
      <c r="K6854" s="66"/>
      <c r="L6854" s="44"/>
      <c r="M6854" s="64" t="s">
        <v>20981</v>
      </c>
    </row>
    <row r="6855" ht="30" customHeight="1" spans="1:13">
      <c r="A6855" s="41">
        <f>IF(C6855="","",SUBTOTAL(103,$C$2:C6855))</f>
        <v>6846</v>
      </c>
      <c r="B6855" s="67"/>
      <c r="C6855" s="58" t="s">
        <v>20331</v>
      </c>
      <c r="D6855" s="68" t="s">
        <v>20337</v>
      </c>
      <c r="E6855" s="64" t="s">
        <v>20338</v>
      </c>
      <c r="F6855" s="68" t="s">
        <v>20339</v>
      </c>
      <c r="G6855" s="64" t="s">
        <v>20982</v>
      </c>
      <c r="H6855" s="68" t="s">
        <v>20983</v>
      </c>
      <c r="I6855" s="64">
        <v>1</v>
      </c>
      <c r="J6855" s="44" t="str">
        <f>VLOOKUP(G6855,[1]硬件清单!$F:$F,1,0)</f>
        <v>219801A6E7523CR00007</v>
      </c>
      <c r="K6855" s="66"/>
      <c r="L6855" s="44"/>
      <c r="M6855" s="64" t="s">
        <v>20984</v>
      </c>
    </row>
    <row r="6856" ht="30" customHeight="1" spans="1:13">
      <c r="A6856" s="41">
        <f>IF(C6856="","",SUBTOTAL(103,$C$2:C6856))</f>
        <v>6847</v>
      </c>
      <c r="B6856" s="67"/>
      <c r="C6856" s="58" t="s">
        <v>20331</v>
      </c>
      <c r="D6856" s="68" t="s">
        <v>20337</v>
      </c>
      <c r="E6856" s="64" t="s">
        <v>20338</v>
      </c>
      <c r="F6856" s="68" t="s">
        <v>20339</v>
      </c>
      <c r="G6856" s="64" t="s">
        <v>20985</v>
      </c>
      <c r="H6856" s="68" t="s">
        <v>20986</v>
      </c>
      <c r="I6856" s="64">
        <v>1</v>
      </c>
      <c r="J6856" s="44" t="str">
        <f>VLOOKUP(G6856,[1]硬件清单!$F:$F,1,0)</f>
        <v>219801A6E5523CR00147</v>
      </c>
      <c r="K6856" s="66"/>
      <c r="L6856" s="44"/>
      <c r="M6856" s="64" t="s">
        <v>20987</v>
      </c>
    </row>
    <row r="6857" ht="30" customHeight="1" spans="1:13">
      <c r="A6857" s="41">
        <f>IF(C6857="","",SUBTOTAL(103,$C$2:C6857))</f>
        <v>6848</v>
      </c>
      <c r="B6857" s="67"/>
      <c r="C6857" s="58" t="s">
        <v>20331</v>
      </c>
      <c r="D6857" s="68" t="s">
        <v>20337</v>
      </c>
      <c r="E6857" s="64" t="s">
        <v>20338</v>
      </c>
      <c r="F6857" s="68" t="s">
        <v>20339</v>
      </c>
      <c r="G6857" s="64" t="s">
        <v>20988</v>
      </c>
      <c r="H6857" s="68" t="s">
        <v>20989</v>
      </c>
      <c r="I6857" s="64">
        <v>1</v>
      </c>
      <c r="J6857" s="44" t="str">
        <f>VLOOKUP(G6857,[1]硬件清单!$F:$F,1,0)</f>
        <v>219801A6E5523CR00085</v>
      </c>
      <c r="K6857" s="66"/>
      <c r="L6857" s="44"/>
      <c r="M6857" s="64" t="s">
        <v>20990</v>
      </c>
    </row>
    <row r="6858" ht="30" customHeight="1" spans="1:13">
      <c r="A6858" s="41">
        <f>IF(C6858="","",SUBTOTAL(103,$C$2:C6858))</f>
        <v>6849</v>
      </c>
      <c r="B6858" s="67"/>
      <c r="C6858" s="58" t="s">
        <v>20331</v>
      </c>
      <c r="D6858" s="68" t="s">
        <v>20337</v>
      </c>
      <c r="E6858" s="64" t="s">
        <v>20338</v>
      </c>
      <c r="F6858" s="68" t="s">
        <v>20339</v>
      </c>
      <c r="G6858" s="64" t="s">
        <v>20991</v>
      </c>
      <c r="H6858" s="68" t="s">
        <v>20992</v>
      </c>
      <c r="I6858" s="64">
        <v>1</v>
      </c>
      <c r="J6858" s="44" t="str">
        <f>VLOOKUP(G6858,[1]硬件清单!$F:$F,1,0)</f>
        <v>219801A6E5523CR00110</v>
      </c>
      <c r="K6858" s="66"/>
      <c r="L6858" s="44"/>
      <c r="M6858" s="64" t="s">
        <v>20993</v>
      </c>
    </row>
    <row r="6859" ht="30" customHeight="1" spans="1:13">
      <c r="A6859" s="41">
        <f>IF(C6859="","",SUBTOTAL(103,$C$2:C6859))</f>
        <v>6850</v>
      </c>
      <c r="B6859" s="67"/>
      <c r="C6859" s="58" t="s">
        <v>20331</v>
      </c>
      <c r="D6859" s="68" t="s">
        <v>20337</v>
      </c>
      <c r="E6859" s="64" t="s">
        <v>20338</v>
      </c>
      <c r="F6859" s="68" t="s">
        <v>20339</v>
      </c>
      <c r="G6859" s="64" t="s">
        <v>20994</v>
      </c>
      <c r="H6859" s="68" t="s">
        <v>20995</v>
      </c>
      <c r="I6859" s="64">
        <v>1</v>
      </c>
      <c r="J6859" s="44" t="str">
        <f>VLOOKUP(G6859,[1]硬件清单!$F:$F,1,0)</f>
        <v>219801A6E4523CR00006</v>
      </c>
      <c r="K6859" s="66"/>
      <c r="L6859" s="44"/>
      <c r="M6859" s="64" t="s">
        <v>20996</v>
      </c>
    </row>
    <row r="6860" ht="30" customHeight="1" spans="1:13">
      <c r="A6860" s="41">
        <f>IF(C6860="","",SUBTOTAL(103,$C$2:C6860))</f>
        <v>6851</v>
      </c>
      <c r="B6860" s="67"/>
      <c r="C6860" s="58" t="s">
        <v>20331</v>
      </c>
      <c r="D6860" s="68" t="s">
        <v>20337</v>
      </c>
      <c r="E6860" s="64" t="s">
        <v>20338</v>
      </c>
      <c r="F6860" s="68" t="s">
        <v>20339</v>
      </c>
      <c r="G6860" s="64" t="s">
        <v>20997</v>
      </c>
      <c r="H6860" s="68" t="s">
        <v>20998</v>
      </c>
      <c r="I6860" s="64">
        <v>1</v>
      </c>
      <c r="J6860" s="44" t="str">
        <f>VLOOKUP(G6860,[1]硬件清单!$F:$F,1,0)</f>
        <v>219801A6E4523CR00007</v>
      </c>
      <c r="K6860" s="66"/>
      <c r="L6860" s="44"/>
      <c r="M6860" s="64" t="s">
        <v>20999</v>
      </c>
    </row>
    <row r="6861" ht="30" customHeight="1" spans="1:13">
      <c r="A6861" s="41">
        <f>IF(C6861="","",SUBTOTAL(103,$C$2:C6861))</f>
        <v>6852</v>
      </c>
      <c r="B6861" s="67"/>
      <c r="C6861" s="58" t="s">
        <v>20331</v>
      </c>
      <c r="D6861" s="68" t="s">
        <v>20337</v>
      </c>
      <c r="E6861" s="64" t="s">
        <v>20338</v>
      </c>
      <c r="F6861" s="68" t="s">
        <v>20339</v>
      </c>
      <c r="G6861" s="64" t="s">
        <v>21000</v>
      </c>
      <c r="H6861" s="68" t="s">
        <v>21001</v>
      </c>
      <c r="I6861" s="64">
        <v>1</v>
      </c>
      <c r="J6861" s="44" t="str">
        <f>VLOOKUP(G6861,[1]硬件清单!$F:$F,1,0)</f>
        <v>219801A6E4523CR00021</v>
      </c>
      <c r="K6861" s="66"/>
      <c r="L6861" s="44"/>
      <c r="M6861" s="64" t="s">
        <v>21002</v>
      </c>
    </row>
    <row r="6862" ht="30" customHeight="1" spans="1:13">
      <c r="A6862" s="41">
        <f>IF(C6862="","",SUBTOTAL(103,$C$2:C6862))</f>
        <v>6853</v>
      </c>
      <c r="B6862" s="67"/>
      <c r="C6862" s="58" t="s">
        <v>20331</v>
      </c>
      <c r="D6862" s="68" t="s">
        <v>20337</v>
      </c>
      <c r="E6862" s="64" t="s">
        <v>20338</v>
      </c>
      <c r="F6862" s="68" t="s">
        <v>21003</v>
      </c>
      <c r="G6862" s="64" t="s">
        <v>21004</v>
      </c>
      <c r="H6862" s="68" t="s">
        <v>21005</v>
      </c>
      <c r="I6862" s="64">
        <v>1</v>
      </c>
      <c r="J6862" s="44" t="str">
        <f>VLOOKUP(G6862,[1]硬件清单!$F:$F,1,0)</f>
        <v>9800183908085849</v>
      </c>
      <c r="K6862" s="66"/>
      <c r="L6862" s="44"/>
      <c r="M6862" s="64" t="s">
        <v>21006</v>
      </c>
    </row>
    <row r="6863" ht="30" customHeight="1" spans="1:13">
      <c r="A6863" s="41">
        <f>IF(C6863="","",SUBTOTAL(103,$C$2:C6863))</f>
        <v>6854</v>
      </c>
      <c r="B6863" s="67"/>
      <c r="C6863" s="58" t="s">
        <v>20331</v>
      </c>
      <c r="D6863" s="68" t="s">
        <v>20337</v>
      </c>
      <c r="E6863" s="64" t="s">
        <v>20338</v>
      </c>
      <c r="F6863" s="68" t="s">
        <v>21003</v>
      </c>
      <c r="G6863" s="64" t="s">
        <v>21007</v>
      </c>
      <c r="H6863" s="68" t="s">
        <v>21008</v>
      </c>
      <c r="I6863" s="64">
        <v>1</v>
      </c>
      <c r="J6863" s="44" t="str">
        <f>VLOOKUP(G6863,[1]硬件清单!$F:$F,1,0)</f>
        <v>9800183908085784</v>
      </c>
      <c r="K6863" s="66"/>
      <c r="L6863" s="44"/>
      <c r="M6863" s="64" t="s">
        <v>21009</v>
      </c>
    </row>
    <row r="6864" ht="30" customHeight="1" spans="1:13">
      <c r="A6864" s="41">
        <f>IF(C6864="","",SUBTOTAL(103,$C$2:C6864))</f>
        <v>6855</v>
      </c>
      <c r="B6864" s="67"/>
      <c r="C6864" s="58" t="s">
        <v>20331</v>
      </c>
      <c r="D6864" s="68" t="s">
        <v>20337</v>
      </c>
      <c r="E6864" s="64" t="s">
        <v>20338</v>
      </c>
      <c r="F6864" s="68" t="s">
        <v>21003</v>
      </c>
      <c r="G6864" s="64" t="s">
        <v>21010</v>
      </c>
      <c r="H6864" s="68" t="s">
        <v>21011</v>
      </c>
      <c r="I6864" s="64">
        <v>1</v>
      </c>
      <c r="J6864" s="44" t="str">
        <f>VLOOKUP(G6864,[1]硬件清单!$F:$F,1,0)</f>
        <v>9800183908085838</v>
      </c>
      <c r="K6864" s="66"/>
      <c r="L6864" s="44"/>
      <c r="M6864" s="64" t="s">
        <v>21012</v>
      </c>
    </row>
    <row r="6865" ht="30" customHeight="1" spans="1:13">
      <c r="A6865" s="41">
        <f>IF(C6865="","",SUBTOTAL(103,$C$2:C6865))</f>
        <v>6856</v>
      </c>
      <c r="B6865" s="67"/>
      <c r="C6865" s="58" t="s">
        <v>20331</v>
      </c>
      <c r="D6865" s="68" t="s">
        <v>20337</v>
      </c>
      <c r="E6865" s="64" t="s">
        <v>20338</v>
      </c>
      <c r="F6865" s="68" t="s">
        <v>21003</v>
      </c>
      <c r="G6865" s="64" t="s">
        <v>21013</v>
      </c>
      <c r="H6865" s="68" t="s">
        <v>21014</v>
      </c>
      <c r="I6865" s="64">
        <v>1</v>
      </c>
      <c r="J6865" s="44" t="str">
        <f>VLOOKUP(G6865,[1]硬件清单!$F:$F,1,0)</f>
        <v>9800183908085801</v>
      </c>
      <c r="K6865" s="66"/>
      <c r="L6865" s="44"/>
      <c r="M6865" s="64" t="s">
        <v>21015</v>
      </c>
    </row>
    <row r="6866" ht="30" customHeight="1" spans="1:13">
      <c r="A6866" s="41">
        <f>IF(C6866="","",SUBTOTAL(103,$C$2:C6866))</f>
        <v>6857</v>
      </c>
      <c r="B6866" s="67"/>
      <c r="C6866" s="58" t="s">
        <v>20331</v>
      </c>
      <c r="D6866" s="68" t="s">
        <v>20337</v>
      </c>
      <c r="E6866" s="64" t="s">
        <v>20338</v>
      </c>
      <c r="F6866" s="68" t="s">
        <v>21003</v>
      </c>
      <c r="G6866" s="64" t="s">
        <v>21016</v>
      </c>
      <c r="H6866" s="68" t="s">
        <v>21017</v>
      </c>
      <c r="I6866" s="64">
        <v>1</v>
      </c>
      <c r="J6866" s="44" t="str">
        <f>VLOOKUP(G6866,[1]硬件清单!$F:$F,1,0)</f>
        <v>9800183908085777</v>
      </c>
      <c r="K6866" s="66"/>
      <c r="L6866" s="44"/>
      <c r="M6866" s="64" t="s">
        <v>21018</v>
      </c>
    </row>
    <row r="6867" ht="30" customHeight="1" spans="1:13">
      <c r="A6867" s="41">
        <f>IF(C6867="","",SUBTOTAL(103,$C$2:C6867))</f>
        <v>6858</v>
      </c>
      <c r="B6867" s="67"/>
      <c r="C6867" s="58" t="s">
        <v>20331</v>
      </c>
      <c r="D6867" s="68" t="s">
        <v>20337</v>
      </c>
      <c r="E6867" s="64" t="s">
        <v>20338</v>
      </c>
      <c r="F6867" s="68" t="s">
        <v>21003</v>
      </c>
      <c r="G6867" s="64" t="s">
        <v>21019</v>
      </c>
      <c r="H6867" s="68" t="s">
        <v>21020</v>
      </c>
      <c r="I6867" s="64">
        <v>1</v>
      </c>
      <c r="J6867" s="44" t="str">
        <f>VLOOKUP(G6867,[1]硬件清单!$F:$F,1,0)</f>
        <v>9800183908085822</v>
      </c>
      <c r="K6867" s="66"/>
      <c r="L6867" s="44"/>
      <c r="M6867" s="64" t="s">
        <v>21021</v>
      </c>
    </row>
    <row r="6868" ht="30" customHeight="1" spans="1:13">
      <c r="A6868" s="41">
        <f>IF(C6868="","",SUBTOTAL(103,$C$2:C6868))</f>
        <v>6859</v>
      </c>
      <c r="B6868" s="67"/>
      <c r="C6868" s="58" t="s">
        <v>20331</v>
      </c>
      <c r="D6868" s="68" t="s">
        <v>20337</v>
      </c>
      <c r="E6868" s="64" t="s">
        <v>20338</v>
      </c>
      <c r="F6868" s="68" t="s">
        <v>21003</v>
      </c>
      <c r="G6868" s="64" t="s">
        <v>21022</v>
      </c>
      <c r="H6868" s="68" t="s">
        <v>21023</v>
      </c>
      <c r="I6868" s="64">
        <v>1</v>
      </c>
      <c r="J6868" s="44" t="str">
        <f>VLOOKUP(G6868,[1]硬件清单!$F:$F,1,0)</f>
        <v>9800183908085859</v>
      </c>
      <c r="K6868" s="66"/>
      <c r="L6868" s="44"/>
      <c r="M6868" s="64" t="s">
        <v>21024</v>
      </c>
    </row>
    <row r="6869" ht="30" customHeight="1" spans="1:13">
      <c r="A6869" s="41">
        <f>IF(C6869="","",SUBTOTAL(103,$C$2:C6869))</f>
        <v>6860</v>
      </c>
      <c r="B6869" s="67"/>
      <c r="C6869" s="58" t="s">
        <v>20331</v>
      </c>
      <c r="D6869" s="68" t="s">
        <v>20337</v>
      </c>
      <c r="E6869" s="64" t="s">
        <v>20338</v>
      </c>
      <c r="F6869" s="68" t="s">
        <v>21003</v>
      </c>
      <c r="G6869" s="64" t="s">
        <v>21025</v>
      </c>
      <c r="H6869" s="68" t="s">
        <v>21026</v>
      </c>
      <c r="I6869" s="64">
        <v>1</v>
      </c>
      <c r="J6869" s="44" t="str">
        <f>VLOOKUP(G6869,[1]硬件清单!$F:$F,1,0)</f>
        <v>9800183908085853</v>
      </c>
      <c r="K6869" s="66"/>
      <c r="L6869" s="44"/>
      <c r="M6869" s="64" t="s">
        <v>21027</v>
      </c>
    </row>
    <row r="6870" ht="30" customHeight="1" spans="1:13">
      <c r="A6870" s="41">
        <f>IF(C6870="","",SUBTOTAL(103,$C$2:C6870))</f>
        <v>6861</v>
      </c>
      <c r="B6870" s="67"/>
      <c r="C6870" s="58" t="s">
        <v>20331</v>
      </c>
      <c r="D6870" s="68" t="s">
        <v>20337</v>
      </c>
      <c r="E6870" s="64" t="s">
        <v>20338</v>
      </c>
      <c r="F6870" s="68" t="s">
        <v>21003</v>
      </c>
      <c r="G6870" s="64" t="s">
        <v>21028</v>
      </c>
      <c r="H6870" s="68" t="s">
        <v>21029</v>
      </c>
      <c r="I6870" s="64">
        <v>1</v>
      </c>
      <c r="J6870" s="44" t="str">
        <f>VLOOKUP(G6870,[1]硬件清单!$F:$F,1,0)</f>
        <v>9800183908085863</v>
      </c>
      <c r="K6870" s="66"/>
      <c r="L6870" s="44"/>
      <c r="M6870" s="64" t="s">
        <v>21030</v>
      </c>
    </row>
    <row r="6871" ht="30" customHeight="1" spans="1:13">
      <c r="A6871" s="41">
        <f>IF(C6871="","",SUBTOTAL(103,$C$2:C6871))</f>
        <v>6862</v>
      </c>
      <c r="B6871" s="67"/>
      <c r="C6871" s="58" t="s">
        <v>20331</v>
      </c>
      <c r="D6871" s="68" t="s">
        <v>20337</v>
      </c>
      <c r="E6871" s="64" t="s">
        <v>20338</v>
      </c>
      <c r="F6871" s="68" t="s">
        <v>21003</v>
      </c>
      <c r="G6871" s="64" t="s">
        <v>21031</v>
      </c>
      <c r="H6871" s="68" t="s">
        <v>21032</v>
      </c>
      <c r="I6871" s="64">
        <v>1</v>
      </c>
      <c r="J6871" s="44" t="str">
        <f>VLOOKUP(G6871,[1]硬件清单!$F:$F,1,0)</f>
        <v>9800183908085861</v>
      </c>
      <c r="K6871" s="66"/>
      <c r="L6871" s="44"/>
      <c r="M6871" s="64" t="s">
        <v>21033</v>
      </c>
    </row>
    <row r="6872" ht="30" customHeight="1" spans="1:13">
      <c r="A6872" s="41">
        <f>IF(C6872="","",SUBTOTAL(103,$C$2:C6872))</f>
        <v>6863</v>
      </c>
      <c r="B6872" s="67"/>
      <c r="C6872" s="58" t="s">
        <v>20331</v>
      </c>
      <c r="D6872" s="68" t="s">
        <v>20337</v>
      </c>
      <c r="E6872" s="64" t="s">
        <v>20338</v>
      </c>
      <c r="F6872" s="68" t="s">
        <v>21003</v>
      </c>
      <c r="G6872" s="64" t="s">
        <v>21034</v>
      </c>
      <c r="H6872" s="68" t="s">
        <v>21035</v>
      </c>
      <c r="I6872" s="64">
        <v>1</v>
      </c>
      <c r="J6872" s="44" t="str">
        <f>VLOOKUP(G6872,[1]硬件清单!$F:$F,1,0)</f>
        <v>9800183908085845</v>
      </c>
      <c r="K6872" s="66"/>
      <c r="L6872" s="44"/>
      <c r="M6872" s="64" t="s">
        <v>21036</v>
      </c>
    </row>
    <row r="6873" ht="30" customHeight="1" spans="1:13">
      <c r="A6873" s="41">
        <f>IF(C6873="","",SUBTOTAL(103,$C$2:C6873))</f>
        <v>6864</v>
      </c>
      <c r="B6873" s="67"/>
      <c r="C6873" s="58" t="s">
        <v>20331</v>
      </c>
      <c r="D6873" s="68" t="s">
        <v>20337</v>
      </c>
      <c r="E6873" s="64" t="s">
        <v>20338</v>
      </c>
      <c r="F6873" s="68" t="s">
        <v>21003</v>
      </c>
      <c r="G6873" s="64" t="s">
        <v>21037</v>
      </c>
      <c r="H6873" s="68" t="s">
        <v>21038</v>
      </c>
      <c r="I6873" s="64">
        <v>1</v>
      </c>
      <c r="J6873" s="44" t="str">
        <f>VLOOKUP(G6873,[1]硬件清单!$F:$F,1,0)</f>
        <v>9800183908085800</v>
      </c>
      <c r="K6873" s="66"/>
      <c r="L6873" s="44"/>
      <c r="M6873" s="64" t="s">
        <v>21039</v>
      </c>
    </row>
    <row r="6874" ht="30" customHeight="1" spans="1:13">
      <c r="A6874" s="41">
        <f>IF(C6874="","",SUBTOTAL(103,$C$2:C6874))</f>
        <v>6865</v>
      </c>
      <c r="B6874" s="67"/>
      <c r="C6874" s="58" t="s">
        <v>20331</v>
      </c>
      <c r="D6874" s="68" t="s">
        <v>20337</v>
      </c>
      <c r="E6874" s="64" t="s">
        <v>20338</v>
      </c>
      <c r="F6874" s="68" t="s">
        <v>21003</v>
      </c>
      <c r="G6874" s="64" t="s">
        <v>21040</v>
      </c>
      <c r="H6874" s="68" t="s">
        <v>21041</v>
      </c>
      <c r="I6874" s="64">
        <v>1</v>
      </c>
      <c r="J6874" s="44" t="str">
        <f>VLOOKUP(G6874,[1]硬件清单!$F:$F,1,0)</f>
        <v>9800183908085803</v>
      </c>
      <c r="K6874" s="66"/>
      <c r="L6874" s="44"/>
      <c r="M6874" s="64" t="s">
        <v>21042</v>
      </c>
    </row>
    <row r="6875" ht="30" customHeight="1" spans="1:13">
      <c r="A6875" s="41">
        <f>IF(C6875="","",SUBTOTAL(103,$C$2:C6875))</f>
        <v>6866</v>
      </c>
      <c r="B6875" s="67"/>
      <c r="C6875" s="58" t="s">
        <v>20331</v>
      </c>
      <c r="D6875" s="68" t="s">
        <v>20337</v>
      </c>
      <c r="E6875" s="64" t="s">
        <v>20338</v>
      </c>
      <c r="F6875" s="68" t="s">
        <v>21003</v>
      </c>
      <c r="G6875" s="64" t="s">
        <v>21043</v>
      </c>
      <c r="H6875" s="68" t="s">
        <v>21044</v>
      </c>
      <c r="I6875" s="64">
        <v>1</v>
      </c>
      <c r="J6875" s="44" t="str">
        <f>VLOOKUP(G6875,[1]硬件清单!$F:$F,1,0)</f>
        <v>9800183908085847</v>
      </c>
      <c r="K6875" s="66"/>
      <c r="L6875" s="44"/>
      <c r="M6875" s="64" t="s">
        <v>21045</v>
      </c>
    </row>
    <row r="6876" ht="30" customHeight="1" spans="1:13">
      <c r="A6876" s="41">
        <f>IF(C6876="","",SUBTOTAL(103,$C$2:C6876))</f>
        <v>6867</v>
      </c>
      <c r="B6876" s="67"/>
      <c r="C6876" s="58" t="s">
        <v>20331</v>
      </c>
      <c r="D6876" s="68" t="s">
        <v>20337</v>
      </c>
      <c r="E6876" s="64" t="s">
        <v>20338</v>
      </c>
      <c r="F6876" s="68" t="s">
        <v>21003</v>
      </c>
      <c r="G6876" s="64" t="s">
        <v>21046</v>
      </c>
      <c r="H6876" s="68" t="s">
        <v>21047</v>
      </c>
      <c r="I6876" s="64">
        <v>1</v>
      </c>
      <c r="J6876" s="44" t="str">
        <f>VLOOKUP(G6876,[1]硬件清单!$F:$F,1,0)</f>
        <v>9800183908085854</v>
      </c>
      <c r="K6876" s="66"/>
      <c r="L6876" s="44"/>
      <c r="M6876" s="64" t="s">
        <v>21048</v>
      </c>
    </row>
    <row r="6877" ht="30" customHeight="1" spans="1:13">
      <c r="A6877" s="41">
        <f>IF(C6877="","",SUBTOTAL(103,$C$2:C6877))</f>
        <v>6868</v>
      </c>
      <c r="B6877" s="67"/>
      <c r="C6877" s="58" t="s">
        <v>20331</v>
      </c>
      <c r="D6877" s="68" t="s">
        <v>20337</v>
      </c>
      <c r="E6877" s="64" t="s">
        <v>20338</v>
      </c>
      <c r="F6877" s="68" t="s">
        <v>21003</v>
      </c>
      <c r="G6877" s="64" t="s">
        <v>21049</v>
      </c>
      <c r="H6877" s="68" t="s">
        <v>21050</v>
      </c>
      <c r="I6877" s="64">
        <v>1</v>
      </c>
      <c r="J6877" s="44" t="str">
        <f>VLOOKUP(G6877,[1]硬件清单!$F:$F,1,0)</f>
        <v>9800183908085695</v>
      </c>
      <c r="K6877" s="66"/>
      <c r="L6877" s="44"/>
      <c r="M6877" s="64" t="s">
        <v>21051</v>
      </c>
    </row>
    <row r="6878" ht="30" customHeight="1" spans="1:13">
      <c r="A6878" s="41">
        <f>IF(C6878="","",SUBTOTAL(103,$C$2:C6878))</f>
        <v>6869</v>
      </c>
      <c r="B6878" s="67"/>
      <c r="C6878" s="58" t="s">
        <v>20331</v>
      </c>
      <c r="D6878" s="68" t="s">
        <v>20337</v>
      </c>
      <c r="E6878" s="64" t="s">
        <v>20338</v>
      </c>
      <c r="F6878" s="68" t="s">
        <v>21003</v>
      </c>
      <c r="G6878" s="64" t="s">
        <v>21052</v>
      </c>
      <c r="H6878" s="68" t="s">
        <v>21053</v>
      </c>
      <c r="I6878" s="64">
        <v>1</v>
      </c>
      <c r="J6878" s="44" t="str">
        <f>VLOOKUP(G6878,[1]硬件清单!$F:$F,1,0)</f>
        <v>9800183908085768</v>
      </c>
      <c r="K6878" s="66"/>
      <c r="L6878" s="44"/>
      <c r="M6878" s="64" t="s">
        <v>21054</v>
      </c>
    </row>
    <row r="6879" ht="30" customHeight="1" spans="1:13">
      <c r="A6879" s="41">
        <f>IF(C6879="","",SUBTOTAL(103,$C$2:C6879))</f>
        <v>6870</v>
      </c>
      <c r="B6879" s="67"/>
      <c r="C6879" s="58" t="s">
        <v>20331</v>
      </c>
      <c r="D6879" s="68" t="s">
        <v>20337</v>
      </c>
      <c r="E6879" s="64" t="s">
        <v>20338</v>
      </c>
      <c r="F6879" s="68" t="s">
        <v>21003</v>
      </c>
      <c r="G6879" s="64" t="s">
        <v>21055</v>
      </c>
      <c r="H6879" s="68" t="s">
        <v>21056</v>
      </c>
      <c r="I6879" s="64">
        <v>1</v>
      </c>
      <c r="J6879" s="44" t="str">
        <f>VLOOKUP(G6879,[1]硬件清单!$F:$F,1,0)</f>
        <v>9800183908085888</v>
      </c>
      <c r="K6879" s="66"/>
      <c r="L6879" s="44"/>
      <c r="M6879" s="64" t="s">
        <v>21057</v>
      </c>
    </row>
    <row r="6880" ht="30" customHeight="1" spans="1:13">
      <c r="A6880" s="41">
        <f>IF(C6880="","",SUBTOTAL(103,$C$2:C6880))</f>
        <v>6871</v>
      </c>
      <c r="B6880" s="67"/>
      <c r="C6880" s="58" t="s">
        <v>20331</v>
      </c>
      <c r="D6880" s="68" t="s">
        <v>20337</v>
      </c>
      <c r="E6880" s="64" t="s">
        <v>20338</v>
      </c>
      <c r="F6880" s="68" t="s">
        <v>21003</v>
      </c>
      <c r="G6880" s="64" t="s">
        <v>21058</v>
      </c>
      <c r="H6880" s="68" t="s">
        <v>21059</v>
      </c>
      <c r="I6880" s="64">
        <v>1</v>
      </c>
      <c r="J6880" s="44" t="str">
        <f>VLOOKUP(G6880,[1]硬件清单!$F:$F,1,0)</f>
        <v>9800183908085891</v>
      </c>
      <c r="K6880" s="66"/>
      <c r="L6880" s="44"/>
      <c r="M6880" s="64" t="s">
        <v>21060</v>
      </c>
    </row>
    <row r="6881" ht="30" customHeight="1" spans="1:13">
      <c r="A6881" s="41">
        <f>IF(C6881="","",SUBTOTAL(103,$C$2:C6881))</f>
        <v>6872</v>
      </c>
      <c r="B6881" s="67"/>
      <c r="C6881" s="58" t="s">
        <v>20331</v>
      </c>
      <c r="D6881" s="68" t="s">
        <v>20337</v>
      </c>
      <c r="E6881" s="64" t="s">
        <v>20338</v>
      </c>
      <c r="F6881" s="68" t="s">
        <v>21003</v>
      </c>
      <c r="G6881" s="64" t="s">
        <v>21061</v>
      </c>
      <c r="H6881" s="68" t="s">
        <v>21062</v>
      </c>
      <c r="I6881" s="64">
        <v>1</v>
      </c>
      <c r="J6881" s="44" t="str">
        <f>VLOOKUP(G6881,[1]硬件清单!$F:$F,1,0)</f>
        <v>9800183908085706</v>
      </c>
      <c r="K6881" s="66"/>
      <c r="L6881" s="44"/>
      <c r="M6881" s="64" t="s">
        <v>21063</v>
      </c>
    </row>
    <row r="6882" ht="30" customHeight="1" spans="1:13">
      <c r="A6882" s="41">
        <f>IF(C6882="","",SUBTOTAL(103,$C$2:C6882))</f>
        <v>6873</v>
      </c>
      <c r="B6882" s="67"/>
      <c r="C6882" s="58" t="s">
        <v>20331</v>
      </c>
      <c r="D6882" s="68" t="s">
        <v>20337</v>
      </c>
      <c r="E6882" s="64" t="s">
        <v>20338</v>
      </c>
      <c r="F6882" s="68" t="s">
        <v>21003</v>
      </c>
      <c r="G6882" s="64" t="s">
        <v>21064</v>
      </c>
      <c r="H6882" s="68" t="s">
        <v>21065</v>
      </c>
      <c r="I6882" s="64">
        <v>1</v>
      </c>
      <c r="J6882" s="44" t="str">
        <f>VLOOKUP(G6882,[1]硬件清单!$F:$F,1,0)</f>
        <v>9800183908085904</v>
      </c>
      <c r="K6882" s="66"/>
      <c r="L6882" s="44"/>
      <c r="M6882" s="64" t="s">
        <v>21066</v>
      </c>
    </row>
    <row r="6883" ht="30" customHeight="1" spans="1:13">
      <c r="A6883" s="41">
        <f>IF(C6883="","",SUBTOTAL(103,$C$2:C6883))</f>
        <v>6874</v>
      </c>
      <c r="B6883" s="67"/>
      <c r="C6883" s="58" t="s">
        <v>20331</v>
      </c>
      <c r="D6883" s="68" t="s">
        <v>20337</v>
      </c>
      <c r="E6883" s="64" t="s">
        <v>20338</v>
      </c>
      <c r="F6883" s="68" t="s">
        <v>21003</v>
      </c>
      <c r="G6883" s="64" t="s">
        <v>21067</v>
      </c>
      <c r="H6883" s="68" t="s">
        <v>21068</v>
      </c>
      <c r="I6883" s="64">
        <v>1</v>
      </c>
      <c r="J6883" s="44" t="str">
        <f>VLOOKUP(G6883,[1]硬件清单!$F:$F,1,0)</f>
        <v>9800183908085844</v>
      </c>
      <c r="K6883" s="66"/>
      <c r="L6883" s="44"/>
      <c r="M6883" s="64" t="s">
        <v>21069</v>
      </c>
    </row>
    <row r="6884" ht="30" customHeight="1" spans="1:13">
      <c r="A6884" s="41">
        <f>IF(C6884="","",SUBTOTAL(103,$C$2:C6884))</f>
        <v>6875</v>
      </c>
      <c r="B6884" s="67"/>
      <c r="C6884" s="58" t="s">
        <v>20331</v>
      </c>
      <c r="D6884" s="68" t="s">
        <v>20337</v>
      </c>
      <c r="E6884" s="64" t="s">
        <v>20338</v>
      </c>
      <c r="F6884" s="68" t="s">
        <v>21003</v>
      </c>
      <c r="G6884" s="64" t="s">
        <v>21070</v>
      </c>
      <c r="H6884" s="68" t="s">
        <v>21071</v>
      </c>
      <c r="I6884" s="64">
        <v>1</v>
      </c>
      <c r="J6884" s="44" t="str">
        <f>VLOOKUP(G6884,[1]硬件清单!$F:$F,1,0)</f>
        <v>9800183908085862</v>
      </c>
      <c r="K6884" s="66"/>
      <c r="L6884" s="44"/>
      <c r="M6884" s="64" t="s">
        <v>21072</v>
      </c>
    </row>
    <row r="6885" ht="30" customHeight="1" spans="1:13">
      <c r="A6885" s="41">
        <f>IF(C6885="","",SUBTOTAL(103,$C$2:C6885))</f>
        <v>6876</v>
      </c>
      <c r="B6885" s="67"/>
      <c r="C6885" s="58" t="s">
        <v>20331</v>
      </c>
      <c r="D6885" s="68" t="s">
        <v>20337</v>
      </c>
      <c r="E6885" s="64" t="s">
        <v>20338</v>
      </c>
      <c r="F6885" s="68" t="s">
        <v>21003</v>
      </c>
      <c r="G6885" s="64" t="s">
        <v>21073</v>
      </c>
      <c r="H6885" s="68" t="s">
        <v>21074</v>
      </c>
      <c r="I6885" s="64">
        <v>1</v>
      </c>
      <c r="J6885" s="44" t="str">
        <f>VLOOKUP(G6885,[1]硬件清单!$F:$F,1,0)</f>
        <v>9800183908085836</v>
      </c>
      <c r="K6885" s="66"/>
      <c r="L6885" s="44"/>
      <c r="M6885" s="64" t="s">
        <v>21075</v>
      </c>
    </row>
    <row r="6886" ht="30" customHeight="1" spans="1:13">
      <c r="A6886" s="41">
        <f>IF(C6886="","",SUBTOTAL(103,$C$2:C6886))</f>
        <v>6877</v>
      </c>
      <c r="B6886" s="67"/>
      <c r="C6886" s="58" t="s">
        <v>20331</v>
      </c>
      <c r="D6886" s="68" t="s">
        <v>20337</v>
      </c>
      <c r="E6886" s="64" t="s">
        <v>20338</v>
      </c>
      <c r="F6886" s="68" t="s">
        <v>21003</v>
      </c>
      <c r="G6886" s="64" t="s">
        <v>21076</v>
      </c>
      <c r="H6886" s="68" t="s">
        <v>21077</v>
      </c>
      <c r="I6886" s="64">
        <v>1</v>
      </c>
      <c r="J6886" s="44" t="str">
        <f>VLOOKUP(G6886,[1]硬件清单!$F:$F,1,0)</f>
        <v>9800183908085720</v>
      </c>
      <c r="K6886" s="66"/>
      <c r="L6886" s="44"/>
      <c r="M6886" s="64" t="s">
        <v>21078</v>
      </c>
    </row>
    <row r="6887" ht="30" customHeight="1" spans="1:13">
      <c r="A6887" s="41">
        <f>IF(C6887="","",SUBTOTAL(103,$C$2:C6887))</f>
        <v>6878</v>
      </c>
      <c r="B6887" s="67"/>
      <c r="C6887" s="58" t="s">
        <v>20331</v>
      </c>
      <c r="D6887" s="68" t="s">
        <v>20337</v>
      </c>
      <c r="E6887" s="64" t="s">
        <v>20338</v>
      </c>
      <c r="F6887" s="68" t="s">
        <v>21003</v>
      </c>
      <c r="G6887" s="64" t="s">
        <v>21079</v>
      </c>
      <c r="H6887" s="68" t="s">
        <v>21080</v>
      </c>
      <c r="I6887" s="64">
        <v>1</v>
      </c>
      <c r="J6887" s="44" t="str">
        <f>VLOOKUP(G6887,[1]硬件清单!$F:$F,1,0)</f>
        <v>9800183908085850</v>
      </c>
      <c r="K6887" s="66"/>
      <c r="L6887" s="44"/>
      <c r="M6887" s="64" t="s">
        <v>21081</v>
      </c>
    </row>
    <row r="6888" ht="30" customHeight="1" spans="1:13">
      <c r="A6888" s="41">
        <f>IF(C6888="","",SUBTOTAL(103,$C$2:C6888))</f>
        <v>6879</v>
      </c>
      <c r="B6888" s="67"/>
      <c r="C6888" s="58" t="s">
        <v>20331</v>
      </c>
      <c r="D6888" s="68" t="s">
        <v>20337</v>
      </c>
      <c r="E6888" s="64" t="s">
        <v>20338</v>
      </c>
      <c r="F6888" s="68" t="s">
        <v>21003</v>
      </c>
      <c r="G6888" s="64" t="s">
        <v>21082</v>
      </c>
      <c r="H6888" s="68" t="s">
        <v>21083</v>
      </c>
      <c r="I6888" s="64">
        <v>1</v>
      </c>
      <c r="J6888" s="44" t="str">
        <f>VLOOKUP(G6888,[1]硬件清单!$F:$F,1,0)</f>
        <v>9800183908085887</v>
      </c>
      <c r="K6888" s="66"/>
      <c r="L6888" s="44"/>
      <c r="M6888" s="64" t="s">
        <v>21084</v>
      </c>
    </row>
    <row r="6889" ht="30" customHeight="1" spans="1:13">
      <c r="A6889" s="41">
        <f>IF(C6889="","",SUBTOTAL(103,$C$2:C6889))</f>
        <v>6880</v>
      </c>
      <c r="B6889" s="67"/>
      <c r="C6889" s="58" t="s">
        <v>20331</v>
      </c>
      <c r="D6889" s="68" t="s">
        <v>20337</v>
      </c>
      <c r="E6889" s="64" t="s">
        <v>20338</v>
      </c>
      <c r="F6889" s="68" t="s">
        <v>21003</v>
      </c>
      <c r="G6889" s="64" t="s">
        <v>21085</v>
      </c>
      <c r="H6889" s="68" t="s">
        <v>21086</v>
      </c>
      <c r="I6889" s="64">
        <v>1</v>
      </c>
      <c r="J6889" s="44" t="str">
        <f>VLOOKUP(G6889,[1]硬件清单!$F:$F,1,0)</f>
        <v>9800183908085846</v>
      </c>
      <c r="K6889" s="66"/>
      <c r="L6889" s="44"/>
      <c r="M6889" s="64" t="s">
        <v>21087</v>
      </c>
    </row>
    <row r="6890" ht="30" customHeight="1" spans="1:13">
      <c r="A6890" s="41">
        <f>IF(C6890="","",SUBTOTAL(103,$C$2:C6890))</f>
        <v>6881</v>
      </c>
      <c r="B6890" s="67"/>
      <c r="C6890" s="58" t="s">
        <v>20331</v>
      </c>
      <c r="D6890" s="68" t="s">
        <v>20337</v>
      </c>
      <c r="E6890" s="64" t="s">
        <v>20338</v>
      </c>
      <c r="F6890" s="68" t="s">
        <v>21003</v>
      </c>
      <c r="G6890" s="64" t="s">
        <v>21088</v>
      </c>
      <c r="H6890" s="68" t="s">
        <v>21089</v>
      </c>
      <c r="I6890" s="64">
        <v>1</v>
      </c>
      <c r="J6890" s="44" t="str">
        <f>VLOOKUP(G6890,[1]硬件清单!$F:$F,1,0)</f>
        <v>9800183908085736</v>
      </c>
      <c r="K6890" s="66"/>
      <c r="L6890" s="44"/>
      <c r="M6890" s="64" t="s">
        <v>21090</v>
      </c>
    </row>
    <row r="6891" ht="30" customHeight="1" spans="1:13">
      <c r="A6891" s="41">
        <f>IF(C6891="","",SUBTOTAL(103,$C$2:C6891))</f>
        <v>6882</v>
      </c>
      <c r="B6891" s="67"/>
      <c r="C6891" s="58" t="s">
        <v>20331</v>
      </c>
      <c r="D6891" s="68" t="s">
        <v>20337</v>
      </c>
      <c r="E6891" s="64" t="s">
        <v>20338</v>
      </c>
      <c r="F6891" s="68" t="s">
        <v>21003</v>
      </c>
      <c r="G6891" s="64" t="s">
        <v>21091</v>
      </c>
      <c r="H6891" s="68" t="s">
        <v>21092</v>
      </c>
      <c r="I6891" s="64">
        <v>1</v>
      </c>
      <c r="J6891" s="44" t="str">
        <f>VLOOKUP(G6891,[1]硬件清单!$F:$F,1,0)</f>
        <v>9800183908085680</v>
      </c>
      <c r="K6891" s="66"/>
      <c r="L6891" s="44"/>
      <c r="M6891" s="64" t="s">
        <v>21093</v>
      </c>
    </row>
    <row r="6892" ht="30" customHeight="1" spans="1:13">
      <c r="A6892" s="41">
        <f>IF(C6892="","",SUBTOTAL(103,$C$2:C6892))</f>
        <v>6883</v>
      </c>
      <c r="B6892" s="67"/>
      <c r="C6892" s="58" t="s">
        <v>20331</v>
      </c>
      <c r="D6892" s="68" t="s">
        <v>20337</v>
      </c>
      <c r="E6892" s="64" t="s">
        <v>20338</v>
      </c>
      <c r="F6892" s="68" t="s">
        <v>21003</v>
      </c>
      <c r="G6892" s="64" t="s">
        <v>21094</v>
      </c>
      <c r="H6892" s="68" t="s">
        <v>21095</v>
      </c>
      <c r="I6892" s="64">
        <v>1</v>
      </c>
      <c r="J6892" s="44" t="str">
        <f>VLOOKUP(G6892,[1]硬件清单!$F:$F,1,0)</f>
        <v>9800183908085819</v>
      </c>
      <c r="K6892" s="66"/>
      <c r="L6892" s="44"/>
      <c r="M6892" s="64" t="s">
        <v>21096</v>
      </c>
    </row>
    <row r="6893" ht="30" customHeight="1" spans="1:13">
      <c r="A6893" s="41">
        <f>IF(C6893="","",SUBTOTAL(103,$C$2:C6893))</f>
        <v>6884</v>
      </c>
      <c r="B6893" s="67"/>
      <c r="C6893" s="58" t="s">
        <v>20331</v>
      </c>
      <c r="D6893" s="68" t="s">
        <v>20337</v>
      </c>
      <c r="E6893" s="64" t="s">
        <v>20338</v>
      </c>
      <c r="F6893" s="68" t="s">
        <v>21003</v>
      </c>
      <c r="G6893" s="64" t="s">
        <v>21097</v>
      </c>
      <c r="H6893" s="68" t="s">
        <v>21098</v>
      </c>
      <c r="I6893" s="64">
        <v>1</v>
      </c>
      <c r="J6893" s="44" t="str">
        <f>VLOOKUP(G6893,[1]硬件清单!$F:$F,1,0)</f>
        <v>9800183908085823</v>
      </c>
      <c r="K6893" s="66"/>
      <c r="L6893" s="44"/>
      <c r="M6893" s="64" t="s">
        <v>21099</v>
      </c>
    </row>
    <row r="6894" ht="30" customHeight="1" spans="1:13">
      <c r="A6894" s="41">
        <f>IF(C6894="","",SUBTOTAL(103,$C$2:C6894))</f>
        <v>6885</v>
      </c>
      <c r="B6894" s="67"/>
      <c r="C6894" s="58" t="s">
        <v>20331</v>
      </c>
      <c r="D6894" s="68" t="s">
        <v>20337</v>
      </c>
      <c r="E6894" s="64" t="s">
        <v>20338</v>
      </c>
      <c r="F6894" s="68" t="s">
        <v>21003</v>
      </c>
      <c r="G6894" s="64" t="s">
        <v>21100</v>
      </c>
      <c r="H6894" s="68" t="s">
        <v>21101</v>
      </c>
      <c r="I6894" s="64">
        <v>1</v>
      </c>
      <c r="J6894" s="44" t="str">
        <f>VLOOKUP(G6894,[1]硬件清单!$F:$F,1,0)</f>
        <v>9800183908085728</v>
      </c>
      <c r="K6894" s="66"/>
      <c r="L6894" s="44"/>
      <c r="M6894" s="64" t="s">
        <v>21102</v>
      </c>
    </row>
    <row r="6895" ht="30" customHeight="1" spans="1:13">
      <c r="A6895" s="41">
        <f>IF(C6895="","",SUBTOTAL(103,$C$2:C6895))</f>
        <v>6886</v>
      </c>
      <c r="B6895" s="67"/>
      <c r="C6895" s="58" t="s">
        <v>20331</v>
      </c>
      <c r="D6895" s="68" t="s">
        <v>20337</v>
      </c>
      <c r="E6895" s="64" t="s">
        <v>20338</v>
      </c>
      <c r="F6895" s="68" t="s">
        <v>21003</v>
      </c>
      <c r="G6895" s="64" t="s">
        <v>21103</v>
      </c>
      <c r="H6895" s="68" t="s">
        <v>21104</v>
      </c>
      <c r="I6895" s="64">
        <v>1</v>
      </c>
      <c r="J6895" s="44" t="str">
        <f>VLOOKUP(G6895,[1]硬件清单!$F:$F,1,0)</f>
        <v>9800183908085889</v>
      </c>
      <c r="K6895" s="66"/>
      <c r="L6895" s="44"/>
      <c r="M6895" s="64" t="s">
        <v>21105</v>
      </c>
    </row>
    <row r="6896" ht="30" customHeight="1" spans="1:13">
      <c r="A6896" s="41">
        <f>IF(C6896="","",SUBTOTAL(103,$C$2:C6896))</f>
        <v>6887</v>
      </c>
      <c r="B6896" s="67"/>
      <c r="C6896" s="58" t="s">
        <v>20331</v>
      </c>
      <c r="D6896" s="68" t="s">
        <v>20337</v>
      </c>
      <c r="E6896" s="64" t="s">
        <v>20338</v>
      </c>
      <c r="F6896" s="68" t="s">
        <v>21003</v>
      </c>
      <c r="G6896" s="64" t="s">
        <v>21106</v>
      </c>
      <c r="H6896" s="68" t="s">
        <v>21107</v>
      </c>
      <c r="I6896" s="64">
        <v>1</v>
      </c>
      <c r="J6896" s="44" t="str">
        <f>VLOOKUP(G6896,[1]硬件清单!$F:$F,1,0)</f>
        <v>9800183908085879</v>
      </c>
      <c r="K6896" s="66"/>
      <c r="L6896" s="44"/>
      <c r="M6896" s="64" t="s">
        <v>21108</v>
      </c>
    </row>
    <row r="6897" ht="30" customHeight="1" spans="1:13">
      <c r="A6897" s="41">
        <f>IF(C6897="","",SUBTOTAL(103,$C$2:C6897))</f>
        <v>6888</v>
      </c>
      <c r="B6897" s="67"/>
      <c r="C6897" s="58" t="s">
        <v>20331</v>
      </c>
      <c r="D6897" s="68" t="s">
        <v>20337</v>
      </c>
      <c r="E6897" s="64" t="s">
        <v>20338</v>
      </c>
      <c r="F6897" s="68" t="s">
        <v>21003</v>
      </c>
      <c r="G6897" s="64" t="s">
        <v>21109</v>
      </c>
      <c r="H6897" s="68" t="s">
        <v>21110</v>
      </c>
      <c r="I6897" s="64">
        <v>1</v>
      </c>
      <c r="J6897" s="44" t="str">
        <f>VLOOKUP(G6897,[1]硬件清单!$F:$F,1,0)</f>
        <v>9800183908085719</v>
      </c>
      <c r="K6897" s="66"/>
      <c r="L6897" s="44"/>
      <c r="M6897" s="64" t="s">
        <v>21111</v>
      </c>
    </row>
    <row r="6898" ht="30" customHeight="1" spans="1:13">
      <c r="A6898" s="41">
        <f>IF(C6898="","",SUBTOTAL(103,$C$2:C6898))</f>
        <v>6889</v>
      </c>
      <c r="B6898" s="67"/>
      <c r="C6898" s="58" t="s">
        <v>20331</v>
      </c>
      <c r="D6898" s="68" t="s">
        <v>20337</v>
      </c>
      <c r="E6898" s="64" t="s">
        <v>20338</v>
      </c>
      <c r="F6898" s="68" t="s">
        <v>21003</v>
      </c>
      <c r="G6898" s="64" t="s">
        <v>21112</v>
      </c>
      <c r="H6898" s="68" t="s">
        <v>21113</v>
      </c>
      <c r="I6898" s="64">
        <v>1</v>
      </c>
      <c r="J6898" s="44" t="str">
        <f>VLOOKUP(G6898,[1]硬件清单!$F:$F,1,0)</f>
        <v>9800183908085730</v>
      </c>
      <c r="K6898" s="66"/>
      <c r="L6898" s="44"/>
      <c r="M6898" s="64" t="s">
        <v>21114</v>
      </c>
    </row>
    <row r="6899" ht="30" customHeight="1" spans="1:13">
      <c r="A6899" s="41">
        <f>IF(C6899="","",SUBTOTAL(103,$C$2:C6899))</f>
        <v>6890</v>
      </c>
      <c r="B6899" s="67"/>
      <c r="C6899" s="58" t="s">
        <v>20331</v>
      </c>
      <c r="D6899" s="68" t="s">
        <v>20337</v>
      </c>
      <c r="E6899" s="64" t="s">
        <v>20338</v>
      </c>
      <c r="F6899" s="68" t="s">
        <v>21003</v>
      </c>
      <c r="G6899" s="64" t="s">
        <v>21115</v>
      </c>
      <c r="H6899" s="68" t="s">
        <v>21116</v>
      </c>
      <c r="I6899" s="64">
        <v>1</v>
      </c>
      <c r="J6899" s="44" t="str">
        <f>VLOOKUP(G6899,[1]硬件清单!$F:$F,1,0)</f>
        <v>9800183908085785</v>
      </c>
      <c r="K6899" s="66"/>
      <c r="L6899" s="44"/>
      <c r="M6899" s="64" t="s">
        <v>21117</v>
      </c>
    </row>
    <row r="6900" ht="30" customHeight="1" spans="1:13">
      <c r="A6900" s="41">
        <f>IF(C6900="","",SUBTOTAL(103,$C$2:C6900))</f>
        <v>6891</v>
      </c>
      <c r="B6900" s="67"/>
      <c r="C6900" s="58" t="s">
        <v>20331</v>
      </c>
      <c r="D6900" s="68" t="s">
        <v>20337</v>
      </c>
      <c r="E6900" s="64" t="s">
        <v>20338</v>
      </c>
      <c r="F6900" s="68" t="s">
        <v>21003</v>
      </c>
      <c r="G6900" s="64" t="s">
        <v>21118</v>
      </c>
      <c r="H6900" s="68" t="s">
        <v>21119</v>
      </c>
      <c r="I6900" s="64">
        <v>1</v>
      </c>
      <c r="J6900" s="44" t="str">
        <f>VLOOKUP(G6900,[1]硬件清单!$F:$F,1,0)</f>
        <v>9800183908085896</v>
      </c>
      <c r="K6900" s="66"/>
      <c r="L6900" s="44"/>
      <c r="M6900" s="64" t="s">
        <v>21120</v>
      </c>
    </row>
    <row r="6901" ht="30" customHeight="1" spans="1:13">
      <c r="A6901" s="41">
        <f>IF(C6901="","",SUBTOTAL(103,$C$2:C6901))</f>
        <v>6892</v>
      </c>
      <c r="B6901" s="67"/>
      <c r="C6901" s="58" t="s">
        <v>20331</v>
      </c>
      <c r="D6901" s="68" t="s">
        <v>20337</v>
      </c>
      <c r="E6901" s="64" t="s">
        <v>20338</v>
      </c>
      <c r="F6901" s="68" t="s">
        <v>21003</v>
      </c>
      <c r="G6901" s="64" t="s">
        <v>21121</v>
      </c>
      <c r="H6901" s="68" t="s">
        <v>21122</v>
      </c>
      <c r="I6901" s="64">
        <v>1</v>
      </c>
      <c r="J6901" s="44" t="str">
        <f>VLOOKUP(G6901,[1]硬件清单!$F:$F,1,0)</f>
        <v>9800183908085873</v>
      </c>
      <c r="K6901" s="66"/>
      <c r="L6901" s="44"/>
      <c r="M6901" s="64" t="s">
        <v>21123</v>
      </c>
    </row>
    <row r="6902" ht="30" customHeight="1" spans="1:13">
      <c r="A6902" s="41">
        <f>IF(C6902="","",SUBTOTAL(103,$C$2:C6902))</f>
        <v>6893</v>
      </c>
      <c r="B6902" s="67"/>
      <c r="C6902" s="58" t="s">
        <v>20331</v>
      </c>
      <c r="D6902" s="68" t="s">
        <v>20337</v>
      </c>
      <c r="E6902" s="64" t="s">
        <v>20338</v>
      </c>
      <c r="F6902" s="68" t="s">
        <v>21003</v>
      </c>
      <c r="G6902" s="64" t="s">
        <v>21124</v>
      </c>
      <c r="H6902" s="68" t="s">
        <v>21125</v>
      </c>
      <c r="I6902" s="64">
        <v>1</v>
      </c>
      <c r="J6902" s="44" t="str">
        <f>VLOOKUP(G6902,[1]硬件清单!$F:$F,1,0)</f>
        <v>9800183908085731</v>
      </c>
      <c r="K6902" s="66"/>
      <c r="L6902" s="44"/>
      <c r="M6902" s="64" t="s">
        <v>21126</v>
      </c>
    </row>
    <row r="6903" ht="30" customHeight="1" spans="1:13">
      <c r="A6903" s="41">
        <f>IF(C6903="","",SUBTOTAL(103,$C$2:C6903))</f>
        <v>6894</v>
      </c>
      <c r="B6903" s="67"/>
      <c r="C6903" s="58" t="s">
        <v>20331</v>
      </c>
      <c r="D6903" s="68" t="s">
        <v>20337</v>
      </c>
      <c r="E6903" s="64" t="s">
        <v>20338</v>
      </c>
      <c r="F6903" s="68" t="s">
        <v>21003</v>
      </c>
      <c r="G6903" s="64" t="s">
        <v>21127</v>
      </c>
      <c r="H6903" s="68" t="s">
        <v>21128</v>
      </c>
      <c r="I6903" s="64">
        <v>1</v>
      </c>
      <c r="J6903" s="44" t="str">
        <f>VLOOKUP(G6903,[1]硬件清单!$F:$F,1,0)</f>
        <v>9800183908085771</v>
      </c>
      <c r="K6903" s="66"/>
      <c r="L6903" s="44"/>
      <c r="M6903" s="64" t="s">
        <v>21129</v>
      </c>
    </row>
    <row r="6904" ht="30" customHeight="1" spans="1:13">
      <c r="A6904" s="41">
        <f>IF(C6904="","",SUBTOTAL(103,$C$2:C6904))</f>
        <v>6895</v>
      </c>
      <c r="B6904" s="67"/>
      <c r="C6904" s="58" t="s">
        <v>20331</v>
      </c>
      <c r="D6904" s="68" t="s">
        <v>20337</v>
      </c>
      <c r="E6904" s="64" t="s">
        <v>20338</v>
      </c>
      <c r="F6904" s="68" t="s">
        <v>21003</v>
      </c>
      <c r="G6904" s="64" t="s">
        <v>21130</v>
      </c>
      <c r="H6904" s="68" t="s">
        <v>21131</v>
      </c>
      <c r="I6904" s="64">
        <v>1</v>
      </c>
      <c r="J6904" s="44" t="str">
        <f>VLOOKUP(G6904,[1]硬件清单!$F:$F,1,0)</f>
        <v>9800183908085723</v>
      </c>
      <c r="K6904" s="66"/>
      <c r="L6904" s="44"/>
      <c r="M6904" s="64" t="s">
        <v>21132</v>
      </c>
    </row>
    <row r="6905" ht="30" customHeight="1" spans="1:13">
      <c r="A6905" s="41">
        <f>IF(C6905="","",SUBTOTAL(103,$C$2:C6905))</f>
        <v>6896</v>
      </c>
      <c r="B6905" s="67"/>
      <c r="C6905" s="58" t="s">
        <v>20331</v>
      </c>
      <c r="D6905" s="68" t="s">
        <v>20337</v>
      </c>
      <c r="E6905" s="64" t="s">
        <v>20338</v>
      </c>
      <c r="F6905" s="68" t="s">
        <v>21003</v>
      </c>
      <c r="G6905" s="64" t="s">
        <v>21133</v>
      </c>
      <c r="H6905" s="68" t="s">
        <v>21134</v>
      </c>
      <c r="I6905" s="64">
        <v>1</v>
      </c>
      <c r="J6905" s="44" t="str">
        <f>VLOOKUP(G6905,[1]硬件清单!$F:$F,1,0)</f>
        <v>9800183908085733</v>
      </c>
      <c r="K6905" s="66"/>
      <c r="L6905" s="44"/>
      <c r="M6905" s="64" t="s">
        <v>21135</v>
      </c>
    </row>
    <row r="6906" ht="30" customHeight="1" spans="1:13">
      <c r="A6906" s="41">
        <f>IF(C6906="","",SUBTOTAL(103,$C$2:C6906))</f>
        <v>6897</v>
      </c>
      <c r="B6906" s="67"/>
      <c r="C6906" s="58" t="s">
        <v>20331</v>
      </c>
      <c r="D6906" s="68" t="s">
        <v>20337</v>
      </c>
      <c r="E6906" s="64" t="s">
        <v>20338</v>
      </c>
      <c r="F6906" s="68" t="s">
        <v>21003</v>
      </c>
      <c r="G6906" s="64" t="s">
        <v>21136</v>
      </c>
      <c r="H6906" s="68" t="s">
        <v>21137</v>
      </c>
      <c r="I6906" s="64">
        <v>1</v>
      </c>
      <c r="J6906" s="44" t="str">
        <f>VLOOKUP(G6906,[1]硬件清单!$F:$F,1,0)</f>
        <v>9800183908085767</v>
      </c>
      <c r="K6906" s="66"/>
      <c r="L6906" s="44"/>
      <c r="M6906" s="64" t="s">
        <v>21138</v>
      </c>
    </row>
    <row r="6907" ht="30" customHeight="1" spans="1:13">
      <c r="A6907" s="41">
        <f>IF(C6907="","",SUBTOTAL(103,$C$2:C6907))</f>
        <v>6898</v>
      </c>
      <c r="B6907" s="67"/>
      <c r="C6907" s="58" t="s">
        <v>20331</v>
      </c>
      <c r="D6907" s="68" t="s">
        <v>20337</v>
      </c>
      <c r="E6907" s="64" t="s">
        <v>20338</v>
      </c>
      <c r="F6907" s="68" t="s">
        <v>21003</v>
      </c>
      <c r="G6907" s="64" t="s">
        <v>21139</v>
      </c>
      <c r="H6907" s="68" t="s">
        <v>21140</v>
      </c>
      <c r="I6907" s="64">
        <v>1</v>
      </c>
      <c r="J6907" s="44" t="str">
        <f>VLOOKUP(G6907,[1]硬件清单!$F:$F,1,0)</f>
        <v>9800183908085780</v>
      </c>
      <c r="K6907" s="66"/>
      <c r="L6907" s="44"/>
      <c r="M6907" s="64" t="s">
        <v>21141</v>
      </c>
    </row>
    <row r="6908" ht="30" customHeight="1" spans="1:13">
      <c r="A6908" s="41">
        <f>IF(C6908="","",SUBTOTAL(103,$C$2:C6908))</f>
        <v>6899</v>
      </c>
      <c r="B6908" s="67"/>
      <c r="C6908" s="58" t="s">
        <v>20331</v>
      </c>
      <c r="D6908" s="68" t="s">
        <v>20337</v>
      </c>
      <c r="E6908" s="64" t="s">
        <v>20338</v>
      </c>
      <c r="F6908" s="68" t="s">
        <v>21003</v>
      </c>
      <c r="G6908" s="64" t="s">
        <v>21142</v>
      </c>
      <c r="H6908" s="68" t="s">
        <v>21143</v>
      </c>
      <c r="I6908" s="64">
        <v>1</v>
      </c>
      <c r="J6908" s="44" t="str">
        <f>VLOOKUP(G6908,[1]硬件清单!$F:$F,1,0)</f>
        <v>9800183908085902</v>
      </c>
      <c r="K6908" s="66"/>
      <c r="L6908" s="44"/>
      <c r="M6908" s="64" t="s">
        <v>21144</v>
      </c>
    </row>
    <row r="6909" ht="30" customHeight="1" spans="1:13">
      <c r="A6909" s="41">
        <f>IF(C6909="","",SUBTOTAL(103,$C$2:C6909))</f>
        <v>6900</v>
      </c>
      <c r="B6909" s="67"/>
      <c r="C6909" s="58" t="s">
        <v>20331</v>
      </c>
      <c r="D6909" s="68" t="s">
        <v>20337</v>
      </c>
      <c r="E6909" s="64" t="s">
        <v>20338</v>
      </c>
      <c r="F6909" s="68" t="s">
        <v>21003</v>
      </c>
      <c r="G6909" s="64" t="s">
        <v>21145</v>
      </c>
      <c r="H6909" s="68" t="s">
        <v>21146</v>
      </c>
      <c r="I6909" s="64">
        <v>1</v>
      </c>
      <c r="J6909" s="44" t="str">
        <f>VLOOKUP(G6909,[1]硬件清单!$F:$F,1,0)</f>
        <v>9800183908085876</v>
      </c>
      <c r="K6909" s="66"/>
      <c r="L6909" s="44"/>
      <c r="M6909" s="64" t="s">
        <v>21147</v>
      </c>
    </row>
    <row r="6910" ht="30" customHeight="1" spans="1:13">
      <c r="A6910" s="41">
        <f>IF(C6910="","",SUBTOTAL(103,$C$2:C6910))</f>
        <v>6901</v>
      </c>
      <c r="B6910" s="67"/>
      <c r="C6910" s="58" t="s">
        <v>20331</v>
      </c>
      <c r="D6910" s="68" t="s">
        <v>20337</v>
      </c>
      <c r="E6910" s="64" t="s">
        <v>20338</v>
      </c>
      <c r="F6910" s="68" t="s">
        <v>21003</v>
      </c>
      <c r="G6910" s="64" t="s">
        <v>21148</v>
      </c>
      <c r="H6910" s="68" t="s">
        <v>21149</v>
      </c>
      <c r="I6910" s="64">
        <v>1</v>
      </c>
      <c r="J6910" s="44" t="str">
        <f>VLOOKUP(G6910,[1]硬件清单!$F:$F,1,0)</f>
        <v>9800183908085894</v>
      </c>
      <c r="K6910" s="66"/>
      <c r="L6910" s="44"/>
      <c r="M6910" s="64" t="s">
        <v>21150</v>
      </c>
    </row>
    <row r="6911" ht="30" customHeight="1" spans="1:13">
      <c r="A6911" s="41">
        <f>IF(C6911="","",SUBTOTAL(103,$C$2:C6911))</f>
        <v>6902</v>
      </c>
      <c r="B6911" s="67"/>
      <c r="C6911" s="58" t="s">
        <v>20331</v>
      </c>
      <c r="D6911" s="68" t="s">
        <v>20337</v>
      </c>
      <c r="E6911" s="64" t="s">
        <v>20338</v>
      </c>
      <c r="F6911" s="68" t="s">
        <v>21003</v>
      </c>
      <c r="G6911" s="64" t="s">
        <v>21151</v>
      </c>
      <c r="H6911" s="68" t="s">
        <v>21152</v>
      </c>
      <c r="I6911" s="64">
        <v>1</v>
      </c>
      <c r="J6911" s="44" t="str">
        <f>VLOOKUP(G6911,[1]硬件清单!$F:$F,1,0)</f>
        <v>9800183908085734</v>
      </c>
      <c r="K6911" s="66"/>
      <c r="L6911" s="44"/>
      <c r="M6911" s="64" t="s">
        <v>21153</v>
      </c>
    </row>
    <row r="6912" ht="30" customHeight="1" spans="1:13">
      <c r="A6912" s="41">
        <f>IF(C6912="","",SUBTOTAL(103,$C$2:C6912))</f>
        <v>6903</v>
      </c>
      <c r="B6912" s="67"/>
      <c r="C6912" s="58" t="s">
        <v>20331</v>
      </c>
      <c r="D6912" s="68" t="s">
        <v>20337</v>
      </c>
      <c r="E6912" s="64" t="s">
        <v>20338</v>
      </c>
      <c r="F6912" s="68" t="s">
        <v>21003</v>
      </c>
      <c r="G6912" s="64" t="s">
        <v>21154</v>
      </c>
      <c r="H6912" s="68" t="s">
        <v>21155</v>
      </c>
      <c r="I6912" s="64">
        <v>1</v>
      </c>
      <c r="J6912" s="44" t="str">
        <f>VLOOKUP(G6912,[1]硬件清单!$F:$F,1,0)</f>
        <v>9800183908085753</v>
      </c>
      <c r="K6912" s="66"/>
      <c r="L6912" s="44"/>
      <c r="M6912" s="64" t="s">
        <v>21156</v>
      </c>
    </row>
    <row r="6913" ht="30" customHeight="1" spans="1:13">
      <c r="A6913" s="41">
        <f>IF(C6913="","",SUBTOTAL(103,$C$2:C6913))</f>
        <v>6904</v>
      </c>
      <c r="B6913" s="67"/>
      <c r="C6913" s="58" t="s">
        <v>20331</v>
      </c>
      <c r="D6913" s="68" t="s">
        <v>20337</v>
      </c>
      <c r="E6913" s="64" t="s">
        <v>20338</v>
      </c>
      <c r="F6913" s="68" t="s">
        <v>21003</v>
      </c>
      <c r="G6913" s="64" t="s">
        <v>21157</v>
      </c>
      <c r="H6913" s="68" t="s">
        <v>21158</v>
      </c>
      <c r="I6913" s="64">
        <v>1</v>
      </c>
      <c r="J6913" s="44" t="str">
        <f>VLOOKUP(G6913,[1]硬件清单!$F:$F,1,0)</f>
        <v>9800183908085895</v>
      </c>
      <c r="K6913" s="66"/>
      <c r="L6913" s="44"/>
      <c r="M6913" s="64" t="s">
        <v>21159</v>
      </c>
    </row>
    <row r="6914" ht="30" customHeight="1" spans="1:13">
      <c r="A6914" s="41">
        <f>IF(C6914="","",SUBTOTAL(103,$C$2:C6914))</f>
        <v>6905</v>
      </c>
      <c r="B6914" s="67"/>
      <c r="C6914" s="58" t="s">
        <v>20331</v>
      </c>
      <c r="D6914" s="68" t="s">
        <v>20337</v>
      </c>
      <c r="E6914" s="64" t="s">
        <v>20338</v>
      </c>
      <c r="F6914" s="68" t="s">
        <v>21003</v>
      </c>
      <c r="G6914" s="64" t="s">
        <v>21160</v>
      </c>
      <c r="H6914" s="68" t="s">
        <v>21161</v>
      </c>
      <c r="I6914" s="64">
        <v>1</v>
      </c>
      <c r="J6914" s="44" t="str">
        <f>VLOOKUP(G6914,[1]硬件清单!$F:$F,1,0)</f>
        <v>9800183908085682</v>
      </c>
      <c r="K6914" s="66"/>
      <c r="L6914" s="44"/>
      <c r="M6914" s="64" t="s">
        <v>21162</v>
      </c>
    </row>
    <row r="6915" ht="30" customHeight="1" spans="1:13">
      <c r="A6915" s="41">
        <f>IF(C6915="","",SUBTOTAL(103,$C$2:C6915))</f>
        <v>6906</v>
      </c>
      <c r="B6915" s="67"/>
      <c r="C6915" s="58" t="s">
        <v>20331</v>
      </c>
      <c r="D6915" s="68" t="s">
        <v>20337</v>
      </c>
      <c r="E6915" s="64" t="s">
        <v>20338</v>
      </c>
      <c r="F6915" s="68" t="s">
        <v>21003</v>
      </c>
      <c r="G6915" s="64" t="s">
        <v>21163</v>
      </c>
      <c r="H6915" s="68" t="s">
        <v>21164</v>
      </c>
      <c r="I6915" s="64">
        <v>1</v>
      </c>
      <c r="J6915" s="44" t="str">
        <f>VLOOKUP(G6915,[1]硬件清单!$F:$F,1,0)</f>
        <v>9800183908085681</v>
      </c>
      <c r="K6915" s="66"/>
      <c r="L6915" s="44"/>
      <c r="M6915" s="64" t="s">
        <v>21165</v>
      </c>
    </row>
    <row r="6916" ht="30" customHeight="1" spans="1:13">
      <c r="A6916" s="41">
        <f>IF(C6916="","",SUBTOTAL(103,$C$2:C6916))</f>
        <v>6907</v>
      </c>
      <c r="B6916" s="67"/>
      <c r="C6916" s="58" t="s">
        <v>20331</v>
      </c>
      <c r="D6916" s="68" t="s">
        <v>20337</v>
      </c>
      <c r="E6916" s="64" t="s">
        <v>20338</v>
      </c>
      <c r="F6916" s="68" t="s">
        <v>21003</v>
      </c>
      <c r="G6916" s="64" t="s">
        <v>21166</v>
      </c>
      <c r="H6916" s="68" t="s">
        <v>21167</v>
      </c>
      <c r="I6916" s="64">
        <v>1</v>
      </c>
      <c r="J6916" s="44" t="str">
        <f>VLOOKUP(G6916,[1]硬件清单!$F:$F,1,0)</f>
        <v>9800183908085839</v>
      </c>
      <c r="K6916" s="66"/>
      <c r="L6916" s="44"/>
      <c r="M6916" s="64" t="s">
        <v>21168</v>
      </c>
    </row>
    <row r="6917" ht="30" customHeight="1" spans="1:13">
      <c r="A6917" s="41">
        <f>IF(C6917="","",SUBTOTAL(103,$C$2:C6917))</f>
        <v>6908</v>
      </c>
      <c r="B6917" s="67"/>
      <c r="C6917" s="58" t="s">
        <v>20331</v>
      </c>
      <c r="D6917" s="68" t="s">
        <v>20337</v>
      </c>
      <c r="E6917" s="64" t="s">
        <v>20338</v>
      </c>
      <c r="F6917" s="68" t="s">
        <v>21003</v>
      </c>
      <c r="G6917" s="64" t="s">
        <v>21169</v>
      </c>
      <c r="H6917" s="68" t="s">
        <v>21170</v>
      </c>
      <c r="I6917" s="64">
        <v>1</v>
      </c>
      <c r="J6917" s="44" t="str">
        <f>VLOOKUP(G6917,[1]硬件清单!$F:$F,1,0)</f>
        <v>9800183908085758</v>
      </c>
      <c r="K6917" s="66"/>
      <c r="L6917" s="44"/>
      <c r="M6917" s="64" t="s">
        <v>21171</v>
      </c>
    </row>
    <row r="6918" ht="30" customHeight="1" spans="1:13">
      <c r="A6918" s="41">
        <f>IF(C6918="","",SUBTOTAL(103,$C$2:C6918))</f>
        <v>6909</v>
      </c>
      <c r="B6918" s="67"/>
      <c r="C6918" s="58" t="s">
        <v>20331</v>
      </c>
      <c r="D6918" s="68" t="s">
        <v>20337</v>
      </c>
      <c r="E6918" s="64" t="s">
        <v>20338</v>
      </c>
      <c r="F6918" s="68" t="s">
        <v>21003</v>
      </c>
      <c r="G6918" s="64" t="s">
        <v>21172</v>
      </c>
      <c r="H6918" s="68" t="s">
        <v>21173</v>
      </c>
      <c r="I6918" s="64">
        <v>1</v>
      </c>
      <c r="J6918" s="44" t="str">
        <f>VLOOKUP(G6918,[1]硬件清单!$F:$F,1,0)</f>
        <v>9800183908085875</v>
      </c>
      <c r="K6918" s="66"/>
      <c r="L6918" s="44"/>
      <c r="M6918" s="64" t="s">
        <v>21174</v>
      </c>
    </row>
    <row r="6919" ht="30" customHeight="1" spans="1:13">
      <c r="A6919" s="41">
        <f>IF(C6919="","",SUBTOTAL(103,$C$2:C6919))</f>
        <v>6910</v>
      </c>
      <c r="B6919" s="67"/>
      <c r="C6919" s="58" t="s">
        <v>20331</v>
      </c>
      <c r="D6919" s="68" t="s">
        <v>20337</v>
      </c>
      <c r="E6919" s="64" t="s">
        <v>20338</v>
      </c>
      <c r="F6919" s="68" t="s">
        <v>21003</v>
      </c>
      <c r="G6919" s="64" t="s">
        <v>21175</v>
      </c>
      <c r="H6919" s="68" t="s">
        <v>21176</v>
      </c>
      <c r="I6919" s="64">
        <v>1</v>
      </c>
      <c r="J6919" s="44" t="str">
        <f>VLOOKUP(G6919,[1]硬件清单!$F:$F,1,0)</f>
        <v>9800183908085834</v>
      </c>
      <c r="K6919" s="66"/>
      <c r="L6919" s="44"/>
      <c r="M6919" s="64" t="s">
        <v>21177</v>
      </c>
    </row>
    <row r="6920" ht="30" customHeight="1" spans="1:13">
      <c r="A6920" s="41">
        <f>IF(C6920="","",SUBTOTAL(103,$C$2:C6920))</f>
        <v>6911</v>
      </c>
      <c r="B6920" s="67"/>
      <c r="C6920" s="58" t="s">
        <v>20331</v>
      </c>
      <c r="D6920" s="68" t="s">
        <v>20337</v>
      </c>
      <c r="E6920" s="64" t="s">
        <v>20338</v>
      </c>
      <c r="F6920" s="68" t="s">
        <v>21003</v>
      </c>
      <c r="G6920" s="64" t="s">
        <v>21178</v>
      </c>
      <c r="H6920" s="68" t="s">
        <v>21179</v>
      </c>
      <c r="I6920" s="64">
        <v>1</v>
      </c>
      <c r="J6920" s="44" t="str">
        <f>VLOOKUP(G6920,[1]硬件清单!$F:$F,1,0)</f>
        <v>9800183908085761</v>
      </c>
      <c r="K6920" s="66"/>
      <c r="L6920" s="44"/>
      <c r="M6920" s="64" t="s">
        <v>21180</v>
      </c>
    </row>
    <row r="6921" ht="30" customHeight="1" spans="1:13">
      <c r="A6921" s="41">
        <f>IF(C6921="","",SUBTOTAL(103,$C$2:C6921))</f>
        <v>6912</v>
      </c>
      <c r="B6921" s="67"/>
      <c r="C6921" s="58" t="s">
        <v>20331</v>
      </c>
      <c r="D6921" s="68" t="s">
        <v>20337</v>
      </c>
      <c r="E6921" s="64" t="s">
        <v>20338</v>
      </c>
      <c r="F6921" s="68" t="s">
        <v>21003</v>
      </c>
      <c r="G6921" s="64" t="s">
        <v>21181</v>
      </c>
      <c r="H6921" s="68" t="s">
        <v>21182</v>
      </c>
      <c r="I6921" s="64">
        <v>1</v>
      </c>
      <c r="J6921" s="44" t="str">
        <f>VLOOKUP(G6921,[1]硬件清单!$F:$F,1,0)</f>
        <v>9800183908085783</v>
      </c>
      <c r="K6921" s="66"/>
      <c r="L6921" s="44"/>
      <c r="M6921" s="64" t="s">
        <v>21183</v>
      </c>
    </row>
    <row r="6922" ht="30" customHeight="1" spans="1:13">
      <c r="A6922" s="41">
        <f>IF(C6922="","",SUBTOTAL(103,$C$2:C6922))</f>
        <v>6913</v>
      </c>
      <c r="B6922" s="67"/>
      <c r="C6922" s="58" t="s">
        <v>20331</v>
      </c>
      <c r="D6922" s="68" t="s">
        <v>20337</v>
      </c>
      <c r="E6922" s="64" t="s">
        <v>20338</v>
      </c>
      <c r="F6922" s="68" t="s">
        <v>21003</v>
      </c>
      <c r="G6922" s="64" t="s">
        <v>21184</v>
      </c>
      <c r="H6922" s="68" t="s">
        <v>21185</v>
      </c>
      <c r="I6922" s="64">
        <v>1</v>
      </c>
      <c r="J6922" s="44" t="str">
        <f>VLOOKUP(G6922,[1]硬件清单!$F:$F,1,0)</f>
        <v>9800183908085799</v>
      </c>
      <c r="K6922" s="66"/>
      <c r="L6922" s="44"/>
      <c r="M6922" s="64" t="s">
        <v>21186</v>
      </c>
    </row>
    <row r="6923" ht="30" customHeight="1" spans="1:13">
      <c r="A6923" s="41">
        <f>IF(C6923="","",SUBTOTAL(103,$C$2:C6923))</f>
        <v>6914</v>
      </c>
      <c r="B6923" s="67"/>
      <c r="C6923" s="58" t="s">
        <v>20331</v>
      </c>
      <c r="D6923" s="68" t="s">
        <v>20337</v>
      </c>
      <c r="E6923" s="64" t="s">
        <v>20338</v>
      </c>
      <c r="F6923" s="68" t="s">
        <v>21003</v>
      </c>
      <c r="G6923" s="64" t="s">
        <v>21187</v>
      </c>
      <c r="H6923" s="68" t="s">
        <v>21188</v>
      </c>
      <c r="I6923" s="64">
        <v>1</v>
      </c>
      <c r="J6923" s="44" t="str">
        <f>VLOOKUP(G6923,[1]硬件清单!$F:$F,1,0)</f>
        <v>9800183908085685</v>
      </c>
      <c r="K6923" s="66"/>
      <c r="L6923" s="44"/>
      <c r="M6923" s="64" t="s">
        <v>21189</v>
      </c>
    </row>
    <row r="6924" ht="30" customHeight="1" spans="1:13">
      <c r="A6924" s="41">
        <f>IF(C6924="","",SUBTOTAL(103,$C$2:C6924))</f>
        <v>6915</v>
      </c>
      <c r="B6924" s="67"/>
      <c r="C6924" s="58" t="s">
        <v>20331</v>
      </c>
      <c r="D6924" s="68" t="s">
        <v>20337</v>
      </c>
      <c r="E6924" s="64" t="s">
        <v>20338</v>
      </c>
      <c r="F6924" s="68" t="s">
        <v>21003</v>
      </c>
      <c r="G6924" s="64" t="s">
        <v>21190</v>
      </c>
      <c r="H6924" s="68" t="s">
        <v>21191</v>
      </c>
      <c r="I6924" s="64">
        <v>1</v>
      </c>
      <c r="J6924" s="44" t="str">
        <f>VLOOKUP(G6924,[1]硬件清单!$F:$F,1,0)</f>
        <v>9800183908085687</v>
      </c>
      <c r="K6924" s="66"/>
      <c r="L6924" s="44"/>
      <c r="M6924" s="64" t="s">
        <v>21192</v>
      </c>
    </row>
    <row r="6925" ht="30" customHeight="1" spans="1:13">
      <c r="A6925" s="41">
        <f>IF(C6925="","",SUBTOTAL(103,$C$2:C6925))</f>
        <v>6916</v>
      </c>
      <c r="B6925" s="67"/>
      <c r="C6925" s="58" t="s">
        <v>20331</v>
      </c>
      <c r="D6925" s="68" t="s">
        <v>20337</v>
      </c>
      <c r="E6925" s="64" t="s">
        <v>20338</v>
      </c>
      <c r="F6925" s="68" t="s">
        <v>21003</v>
      </c>
      <c r="G6925" s="64" t="s">
        <v>21193</v>
      </c>
      <c r="H6925" s="68" t="s">
        <v>21194</v>
      </c>
      <c r="I6925" s="64">
        <v>1</v>
      </c>
      <c r="J6925" s="44" t="str">
        <f>VLOOKUP(G6925,[1]硬件清单!$F:$F,1,0)</f>
        <v>9800183908085752</v>
      </c>
      <c r="K6925" s="66"/>
      <c r="L6925" s="44"/>
      <c r="M6925" s="64" t="s">
        <v>21195</v>
      </c>
    </row>
    <row r="6926" ht="30" customHeight="1" spans="1:13">
      <c r="A6926" s="41">
        <f>IF(C6926="","",SUBTOTAL(103,$C$2:C6926))</f>
        <v>6917</v>
      </c>
      <c r="B6926" s="67"/>
      <c r="C6926" s="58" t="s">
        <v>20331</v>
      </c>
      <c r="D6926" s="68" t="s">
        <v>20337</v>
      </c>
      <c r="E6926" s="64" t="s">
        <v>20338</v>
      </c>
      <c r="F6926" s="68" t="s">
        <v>21003</v>
      </c>
      <c r="G6926" s="64" t="s">
        <v>21196</v>
      </c>
      <c r="H6926" s="68" t="s">
        <v>21197</v>
      </c>
      <c r="I6926" s="64">
        <v>1</v>
      </c>
      <c r="J6926" s="44" t="str">
        <f>VLOOKUP(G6926,[1]硬件清单!$F:$F,1,0)</f>
        <v>9800183908085716</v>
      </c>
      <c r="K6926" s="66"/>
      <c r="L6926" s="44"/>
      <c r="M6926" s="64" t="s">
        <v>21198</v>
      </c>
    </row>
    <row r="6927" ht="30" customHeight="1" spans="1:13">
      <c r="A6927" s="41">
        <f>IF(C6927="","",SUBTOTAL(103,$C$2:C6927))</f>
        <v>6918</v>
      </c>
      <c r="B6927" s="67"/>
      <c r="C6927" s="58" t="s">
        <v>20331</v>
      </c>
      <c r="D6927" s="68" t="s">
        <v>20337</v>
      </c>
      <c r="E6927" s="64" t="s">
        <v>20338</v>
      </c>
      <c r="F6927" s="68" t="s">
        <v>21003</v>
      </c>
      <c r="G6927" s="64" t="s">
        <v>21199</v>
      </c>
      <c r="H6927" s="68" t="s">
        <v>21200</v>
      </c>
      <c r="I6927" s="64">
        <v>1</v>
      </c>
      <c r="J6927" s="44" t="str">
        <f>VLOOKUP(G6927,[1]硬件清单!$F:$F,1,0)</f>
        <v>9800183908085826</v>
      </c>
      <c r="K6927" s="66"/>
      <c r="L6927" s="44"/>
      <c r="M6927" s="64" t="s">
        <v>21201</v>
      </c>
    </row>
    <row r="6928" ht="30" customHeight="1" spans="1:13">
      <c r="A6928" s="41">
        <f>IF(C6928="","",SUBTOTAL(103,$C$2:C6928))</f>
        <v>6919</v>
      </c>
      <c r="B6928" s="67"/>
      <c r="C6928" s="58" t="s">
        <v>20331</v>
      </c>
      <c r="D6928" s="68" t="s">
        <v>20337</v>
      </c>
      <c r="E6928" s="64" t="s">
        <v>20338</v>
      </c>
      <c r="F6928" s="68" t="s">
        <v>21003</v>
      </c>
      <c r="G6928" s="64" t="s">
        <v>21202</v>
      </c>
      <c r="H6928" s="68" t="s">
        <v>21203</v>
      </c>
      <c r="I6928" s="64">
        <v>1</v>
      </c>
      <c r="J6928" s="44" t="str">
        <f>VLOOKUP(G6928,[1]硬件清单!$F:$F,1,0)</f>
        <v>9800183908085878</v>
      </c>
      <c r="K6928" s="66"/>
      <c r="L6928" s="44"/>
      <c r="M6928" s="64" t="s">
        <v>21204</v>
      </c>
    </row>
    <row r="6929" ht="30" customHeight="1" spans="1:13">
      <c r="A6929" s="41">
        <f>IF(C6929="","",SUBTOTAL(103,$C$2:C6929))</f>
        <v>6920</v>
      </c>
      <c r="B6929" s="67"/>
      <c r="C6929" s="58" t="s">
        <v>20331</v>
      </c>
      <c r="D6929" s="68" t="s">
        <v>20337</v>
      </c>
      <c r="E6929" s="64" t="s">
        <v>20338</v>
      </c>
      <c r="F6929" s="68" t="s">
        <v>21003</v>
      </c>
      <c r="G6929" s="64" t="s">
        <v>21205</v>
      </c>
      <c r="H6929" s="68" t="s">
        <v>21206</v>
      </c>
      <c r="I6929" s="64">
        <v>1</v>
      </c>
      <c r="J6929" s="44" t="str">
        <f>VLOOKUP(G6929,[1]硬件清单!$F:$F,1,0)</f>
        <v>9800183908085721</v>
      </c>
      <c r="K6929" s="66"/>
      <c r="L6929" s="44"/>
      <c r="M6929" s="64" t="s">
        <v>21207</v>
      </c>
    </row>
    <row r="6930" ht="30" customHeight="1" spans="1:13">
      <c r="A6930" s="41">
        <f>IF(C6930="","",SUBTOTAL(103,$C$2:C6930))</f>
        <v>6921</v>
      </c>
      <c r="B6930" s="67"/>
      <c r="C6930" s="58" t="s">
        <v>20331</v>
      </c>
      <c r="D6930" s="68" t="s">
        <v>20337</v>
      </c>
      <c r="E6930" s="64" t="s">
        <v>20338</v>
      </c>
      <c r="F6930" s="68" t="s">
        <v>21003</v>
      </c>
      <c r="G6930" s="64" t="s">
        <v>21208</v>
      </c>
      <c r="H6930" s="68" t="s">
        <v>21209</v>
      </c>
      <c r="I6930" s="64">
        <v>1</v>
      </c>
      <c r="J6930" s="44" t="str">
        <f>VLOOKUP(G6930,[1]硬件清单!$F:$F,1,0)</f>
        <v>9800183908085796</v>
      </c>
      <c r="K6930" s="66"/>
      <c r="L6930" s="44"/>
      <c r="M6930" s="64" t="s">
        <v>21210</v>
      </c>
    </row>
    <row r="6931" ht="30" customHeight="1" spans="1:13">
      <c r="A6931" s="41">
        <f>IF(C6931="","",SUBTOTAL(103,$C$2:C6931))</f>
        <v>6922</v>
      </c>
      <c r="B6931" s="67"/>
      <c r="C6931" s="58" t="s">
        <v>20331</v>
      </c>
      <c r="D6931" s="68" t="s">
        <v>20337</v>
      </c>
      <c r="E6931" s="64" t="s">
        <v>20338</v>
      </c>
      <c r="F6931" s="68" t="s">
        <v>21003</v>
      </c>
      <c r="G6931" s="64" t="s">
        <v>21211</v>
      </c>
      <c r="H6931" s="68" t="s">
        <v>21212</v>
      </c>
      <c r="I6931" s="64">
        <v>1</v>
      </c>
      <c r="J6931" s="44" t="str">
        <f>VLOOKUP(G6931,[1]硬件清单!$F:$F,1,0)</f>
        <v>9800183908085892</v>
      </c>
      <c r="K6931" s="66"/>
      <c r="L6931" s="44"/>
      <c r="M6931" s="64" t="s">
        <v>21213</v>
      </c>
    </row>
    <row r="6932" ht="30" customHeight="1" spans="1:13">
      <c r="A6932" s="41">
        <f>IF(C6932="","",SUBTOTAL(103,$C$2:C6932))</f>
        <v>6923</v>
      </c>
      <c r="B6932" s="67"/>
      <c r="C6932" s="58" t="s">
        <v>20331</v>
      </c>
      <c r="D6932" s="68" t="s">
        <v>20337</v>
      </c>
      <c r="E6932" s="64" t="s">
        <v>20338</v>
      </c>
      <c r="F6932" s="68" t="s">
        <v>21003</v>
      </c>
      <c r="G6932" s="64" t="s">
        <v>21214</v>
      </c>
      <c r="H6932" s="68" t="s">
        <v>21215</v>
      </c>
      <c r="I6932" s="64">
        <v>1</v>
      </c>
      <c r="J6932" s="44" t="str">
        <f>VLOOKUP(G6932,[1]硬件清单!$F:$F,1,0)</f>
        <v>9800183908085782</v>
      </c>
      <c r="K6932" s="66"/>
      <c r="L6932" s="44"/>
      <c r="M6932" s="64" t="s">
        <v>21216</v>
      </c>
    </row>
    <row r="6933" ht="30" customHeight="1" spans="1:13">
      <c r="A6933" s="41">
        <f>IF(C6933="","",SUBTOTAL(103,$C$2:C6933))</f>
        <v>6924</v>
      </c>
      <c r="B6933" s="67"/>
      <c r="C6933" s="58" t="s">
        <v>20331</v>
      </c>
      <c r="D6933" s="68" t="s">
        <v>20337</v>
      </c>
      <c r="E6933" s="64" t="s">
        <v>20338</v>
      </c>
      <c r="F6933" s="68" t="s">
        <v>21003</v>
      </c>
      <c r="G6933" s="64" t="s">
        <v>21217</v>
      </c>
      <c r="H6933" s="68" t="s">
        <v>21218</v>
      </c>
      <c r="I6933" s="64">
        <v>1</v>
      </c>
      <c r="J6933" s="44" t="str">
        <f>VLOOKUP(G6933,[1]硬件清单!$F:$F,1,0)</f>
        <v>9800183908085683</v>
      </c>
      <c r="K6933" s="66"/>
      <c r="L6933" s="44"/>
      <c r="M6933" s="64" t="s">
        <v>21219</v>
      </c>
    </row>
    <row r="6934" ht="30" customHeight="1" spans="1:13">
      <c r="A6934" s="41">
        <f>IF(C6934="","",SUBTOTAL(103,$C$2:C6934))</f>
        <v>6925</v>
      </c>
      <c r="B6934" s="67"/>
      <c r="C6934" s="58" t="s">
        <v>20331</v>
      </c>
      <c r="D6934" s="68" t="s">
        <v>20337</v>
      </c>
      <c r="E6934" s="64" t="s">
        <v>20338</v>
      </c>
      <c r="F6934" s="68" t="s">
        <v>21003</v>
      </c>
      <c r="G6934" s="64" t="s">
        <v>21220</v>
      </c>
      <c r="H6934" s="68" t="s">
        <v>21221</v>
      </c>
      <c r="I6934" s="64">
        <v>1</v>
      </c>
      <c r="J6934" s="44" t="str">
        <f>VLOOKUP(G6934,[1]硬件清单!$F:$F,1,0)</f>
        <v>9800183908085906</v>
      </c>
      <c r="K6934" s="66"/>
      <c r="L6934" s="44"/>
      <c r="M6934" s="64" t="s">
        <v>21222</v>
      </c>
    </row>
    <row r="6935" ht="30" customHeight="1" spans="1:13">
      <c r="A6935" s="41">
        <f>IF(C6935="","",SUBTOTAL(103,$C$2:C6935))</f>
        <v>6926</v>
      </c>
      <c r="B6935" s="67"/>
      <c r="C6935" s="58" t="s">
        <v>20331</v>
      </c>
      <c r="D6935" s="68" t="s">
        <v>20337</v>
      </c>
      <c r="E6935" s="64" t="s">
        <v>20338</v>
      </c>
      <c r="F6935" s="68" t="s">
        <v>21003</v>
      </c>
      <c r="G6935" s="64" t="s">
        <v>21223</v>
      </c>
      <c r="H6935" s="68" t="s">
        <v>21224</v>
      </c>
      <c r="I6935" s="64">
        <v>1</v>
      </c>
      <c r="J6935" s="44" t="str">
        <f>VLOOKUP(G6935,[1]硬件清单!$F:$F,1,0)</f>
        <v>9800183908085831</v>
      </c>
      <c r="K6935" s="66"/>
      <c r="L6935" s="44"/>
      <c r="M6935" s="64" t="s">
        <v>21225</v>
      </c>
    </row>
    <row r="6936" ht="30" customHeight="1" spans="1:13">
      <c r="A6936" s="41">
        <f>IF(C6936="","",SUBTOTAL(103,$C$2:C6936))</f>
        <v>6927</v>
      </c>
      <c r="B6936" s="67"/>
      <c r="C6936" s="58" t="s">
        <v>20331</v>
      </c>
      <c r="D6936" s="68" t="s">
        <v>20337</v>
      </c>
      <c r="E6936" s="64" t="s">
        <v>20338</v>
      </c>
      <c r="F6936" s="68" t="s">
        <v>21003</v>
      </c>
      <c r="G6936" s="64" t="s">
        <v>21226</v>
      </c>
      <c r="H6936" s="68" t="s">
        <v>21227</v>
      </c>
      <c r="I6936" s="64">
        <v>1</v>
      </c>
      <c r="J6936" s="44" t="str">
        <f>VLOOKUP(G6936,[1]硬件清单!$F:$F,1,0)</f>
        <v>9800183908085705</v>
      </c>
      <c r="K6936" s="66"/>
      <c r="L6936" s="44"/>
      <c r="M6936" s="64" t="s">
        <v>21228</v>
      </c>
    </row>
    <row r="6937" ht="30" customHeight="1" spans="1:13">
      <c r="A6937" s="41">
        <f>IF(C6937="","",SUBTOTAL(103,$C$2:C6937))</f>
        <v>6928</v>
      </c>
      <c r="B6937" s="67"/>
      <c r="C6937" s="58" t="s">
        <v>20331</v>
      </c>
      <c r="D6937" s="68" t="s">
        <v>20337</v>
      </c>
      <c r="E6937" s="64" t="s">
        <v>20338</v>
      </c>
      <c r="F6937" s="68" t="s">
        <v>21003</v>
      </c>
      <c r="G6937" s="64" t="s">
        <v>21229</v>
      </c>
      <c r="H6937" s="68" t="s">
        <v>21230</v>
      </c>
      <c r="I6937" s="64">
        <v>1</v>
      </c>
      <c r="J6937" s="44" t="str">
        <f>VLOOKUP(G6937,[1]硬件清单!$F:$F,1,0)</f>
        <v>9800183908085717</v>
      </c>
      <c r="K6937" s="66"/>
      <c r="L6937" s="44"/>
      <c r="M6937" s="64" t="s">
        <v>21231</v>
      </c>
    </row>
    <row r="6938" ht="30" customHeight="1" spans="1:13">
      <c r="A6938" s="41">
        <f>IF(C6938="","",SUBTOTAL(103,$C$2:C6938))</f>
        <v>6929</v>
      </c>
      <c r="B6938" s="67"/>
      <c r="C6938" s="58" t="s">
        <v>20331</v>
      </c>
      <c r="D6938" s="68" t="s">
        <v>20337</v>
      </c>
      <c r="E6938" s="64" t="s">
        <v>20338</v>
      </c>
      <c r="F6938" s="68" t="s">
        <v>21003</v>
      </c>
      <c r="G6938" s="64" t="s">
        <v>21232</v>
      </c>
      <c r="H6938" s="68" t="s">
        <v>21233</v>
      </c>
      <c r="I6938" s="64">
        <v>1</v>
      </c>
      <c r="J6938" s="44" t="str">
        <f>VLOOKUP(G6938,[1]硬件清单!$F:$F,1,0)</f>
        <v>9800183908085712</v>
      </c>
      <c r="K6938" s="66"/>
      <c r="L6938" s="44"/>
      <c r="M6938" s="64" t="s">
        <v>21234</v>
      </c>
    </row>
    <row r="6939" ht="30" customHeight="1" spans="1:13">
      <c r="A6939" s="41">
        <f>IF(C6939="","",SUBTOTAL(103,$C$2:C6939))</f>
        <v>6930</v>
      </c>
      <c r="B6939" s="67"/>
      <c r="C6939" s="58" t="s">
        <v>20331</v>
      </c>
      <c r="D6939" s="68" t="s">
        <v>20337</v>
      </c>
      <c r="E6939" s="64" t="s">
        <v>20338</v>
      </c>
      <c r="F6939" s="68" t="s">
        <v>21003</v>
      </c>
      <c r="G6939" s="64" t="s">
        <v>21235</v>
      </c>
      <c r="H6939" s="68" t="s">
        <v>21236</v>
      </c>
      <c r="I6939" s="64">
        <v>1</v>
      </c>
      <c r="J6939" s="44" t="str">
        <f>VLOOKUP(G6939,[1]硬件清单!$F:$F,1,0)</f>
        <v>9800183908085870</v>
      </c>
      <c r="K6939" s="66"/>
      <c r="L6939" s="44"/>
      <c r="M6939" s="64" t="s">
        <v>21237</v>
      </c>
    </row>
    <row r="6940" ht="30" customHeight="1" spans="1:13">
      <c r="A6940" s="41">
        <f>IF(C6940="","",SUBTOTAL(103,$C$2:C6940))</f>
        <v>6931</v>
      </c>
      <c r="B6940" s="67"/>
      <c r="C6940" s="58" t="s">
        <v>20331</v>
      </c>
      <c r="D6940" s="68" t="s">
        <v>20337</v>
      </c>
      <c r="E6940" s="64" t="s">
        <v>20338</v>
      </c>
      <c r="F6940" s="68" t="s">
        <v>21003</v>
      </c>
      <c r="G6940" s="64" t="s">
        <v>21238</v>
      </c>
      <c r="H6940" s="68" t="s">
        <v>21239</v>
      </c>
      <c r="I6940" s="64">
        <v>1</v>
      </c>
      <c r="J6940" s="44" t="str">
        <f>VLOOKUP(G6940,[1]硬件清单!$F:$F,1,0)</f>
        <v>9800183908085832</v>
      </c>
      <c r="K6940" s="66"/>
      <c r="L6940" s="44"/>
      <c r="M6940" s="64" t="s">
        <v>21240</v>
      </c>
    </row>
    <row r="6941" ht="30" customHeight="1" spans="1:13">
      <c r="A6941" s="41">
        <f>IF(C6941="","",SUBTOTAL(103,$C$2:C6941))</f>
        <v>6932</v>
      </c>
      <c r="B6941" s="67"/>
      <c r="C6941" s="58" t="s">
        <v>20331</v>
      </c>
      <c r="D6941" s="68" t="s">
        <v>20337</v>
      </c>
      <c r="E6941" s="64" t="s">
        <v>20338</v>
      </c>
      <c r="F6941" s="68" t="s">
        <v>21003</v>
      </c>
      <c r="G6941" s="64" t="s">
        <v>21241</v>
      </c>
      <c r="H6941" s="68" t="s">
        <v>21242</v>
      </c>
      <c r="I6941" s="64">
        <v>1</v>
      </c>
      <c r="J6941" s="44" t="str">
        <f>VLOOKUP(G6941,[1]硬件清单!$F:$F,1,0)</f>
        <v>9800183908085907</v>
      </c>
      <c r="K6941" s="66"/>
      <c r="L6941" s="44"/>
      <c r="M6941" s="64" t="s">
        <v>21243</v>
      </c>
    </row>
    <row r="6942" ht="30" customHeight="1" spans="1:13">
      <c r="A6942" s="41">
        <f>IF(C6942="","",SUBTOTAL(103,$C$2:C6942))</f>
        <v>6933</v>
      </c>
      <c r="B6942" s="67"/>
      <c r="C6942" s="58" t="s">
        <v>20331</v>
      </c>
      <c r="D6942" s="68" t="s">
        <v>20337</v>
      </c>
      <c r="E6942" s="64" t="s">
        <v>20338</v>
      </c>
      <c r="F6942" s="68" t="s">
        <v>21003</v>
      </c>
      <c r="G6942" s="64" t="s">
        <v>21244</v>
      </c>
      <c r="H6942" s="68" t="s">
        <v>21245</v>
      </c>
      <c r="I6942" s="64">
        <v>1</v>
      </c>
      <c r="J6942" s="44" t="str">
        <f>VLOOKUP(G6942,[1]硬件清单!$F:$F,1,0)</f>
        <v>9800183908085908</v>
      </c>
      <c r="K6942" s="66"/>
      <c r="L6942" s="44"/>
      <c r="M6942" s="64" t="s">
        <v>21246</v>
      </c>
    </row>
    <row r="6943" ht="30" customHeight="1" spans="1:13">
      <c r="A6943" s="41">
        <f>IF(C6943="","",SUBTOTAL(103,$C$2:C6943))</f>
        <v>6934</v>
      </c>
      <c r="B6943" s="67"/>
      <c r="C6943" s="58" t="s">
        <v>20331</v>
      </c>
      <c r="D6943" s="68" t="s">
        <v>20337</v>
      </c>
      <c r="E6943" s="64" t="s">
        <v>20338</v>
      </c>
      <c r="F6943" s="68" t="s">
        <v>21003</v>
      </c>
      <c r="G6943" s="64" t="s">
        <v>21247</v>
      </c>
      <c r="H6943" s="68" t="s">
        <v>21248</v>
      </c>
      <c r="I6943" s="64">
        <v>1</v>
      </c>
      <c r="J6943" s="44" t="str">
        <f>VLOOKUP(G6943,[1]硬件清单!$F:$F,1,0)</f>
        <v>9800183908085701</v>
      </c>
      <c r="K6943" s="66"/>
      <c r="L6943" s="44"/>
      <c r="M6943" s="64" t="s">
        <v>21249</v>
      </c>
    </row>
    <row r="6944" ht="30" customHeight="1" spans="1:13">
      <c r="A6944" s="41">
        <f>IF(C6944="","",SUBTOTAL(103,$C$2:C6944))</f>
        <v>6935</v>
      </c>
      <c r="B6944" s="67"/>
      <c r="C6944" s="58" t="s">
        <v>20331</v>
      </c>
      <c r="D6944" s="68" t="s">
        <v>20337</v>
      </c>
      <c r="E6944" s="64" t="s">
        <v>20338</v>
      </c>
      <c r="F6944" s="68" t="s">
        <v>21003</v>
      </c>
      <c r="G6944" s="64" t="s">
        <v>21250</v>
      </c>
      <c r="H6944" s="68" t="s">
        <v>21251</v>
      </c>
      <c r="I6944" s="64">
        <v>1</v>
      </c>
      <c r="J6944" s="44" t="str">
        <f>VLOOKUP(G6944,[1]硬件清单!$F:$F,1,0)</f>
        <v>9800183908085833</v>
      </c>
      <c r="K6944" s="66"/>
      <c r="L6944" s="44"/>
      <c r="M6944" s="64" t="s">
        <v>21252</v>
      </c>
    </row>
    <row r="6945" ht="30" customHeight="1" spans="1:13">
      <c r="A6945" s="41">
        <f>IF(C6945="","",SUBTOTAL(103,$C$2:C6945))</f>
        <v>6936</v>
      </c>
      <c r="B6945" s="67"/>
      <c r="C6945" s="58" t="s">
        <v>20331</v>
      </c>
      <c r="D6945" s="68" t="s">
        <v>20337</v>
      </c>
      <c r="E6945" s="64" t="s">
        <v>20338</v>
      </c>
      <c r="F6945" s="68" t="s">
        <v>21003</v>
      </c>
      <c r="G6945" s="64" t="s">
        <v>21253</v>
      </c>
      <c r="H6945" s="68" t="s">
        <v>21254</v>
      </c>
      <c r="I6945" s="64">
        <v>1</v>
      </c>
      <c r="J6945" s="44" t="str">
        <f>VLOOKUP(G6945,[1]硬件清单!$F:$F,1,0)</f>
        <v>9800183908085804</v>
      </c>
      <c r="K6945" s="66"/>
      <c r="L6945" s="44"/>
      <c r="M6945" s="64" t="s">
        <v>21255</v>
      </c>
    </row>
    <row r="6946" ht="30" customHeight="1" spans="1:13">
      <c r="A6946" s="41">
        <f>IF(C6946="","",SUBTOTAL(103,$C$2:C6946))</f>
        <v>6937</v>
      </c>
      <c r="B6946" s="67"/>
      <c r="C6946" s="58" t="s">
        <v>20331</v>
      </c>
      <c r="D6946" s="68" t="s">
        <v>20337</v>
      </c>
      <c r="E6946" s="64" t="s">
        <v>20338</v>
      </c>
      <c r="F6946" s="68" t="s">
        <v>21003</v>
      </c>
      <c r="G6946" s="64" t="s">
        <v>21256</v>
      </c>
      <c r="H6946" s="68" t="s">
        <v>21257</v>
      </c>
      <c r="I6946" s="64">
        <v>1</v>
      </c>
      <c r="J6946" s="44" t="str">
        <f>VLOOKUP(G6946,[1]硬件清单!$F:$F,1,0)</f>
        <v>9800183908085877</v>
      </c>
      <c r="K6946" s="66"/>
      <c r="L6946" s="44"/>
      <c r="M6946" s="64" t="s">
        <v>21258</v>
      </c>
    </row>
    <row r="6947" ht="30" customHeight="1" spans="1:13">
      <c r="A6947" s="41">
        <f>IF(C6947="","",SUBTOTAL(103,$C$2:C6947))</f>
        <v>6938</v>
      </c>
      <c r="B6947" s="67"/>
      <c r="C6947" s="58" t="s">
        <v>20331</v>
      </c>
      <c r="D6947" s="68" t="s">
        <v>20337</v>
      </c>
      <c r="E6947" s="64" t="s">
        <v>20338</v>
      </c>
      <c r="F6947" s="68" t="s">
        <v>21003</v>
      </c>
      <c r="G6947" s="64" t="s">
        <v>21259</v>
      </c>
      <c r="H6947" s="68" t="s">
        <v>21260</v>
      </c>
      <c r="I6947" s="64">
        <v>1</v>
      </c>
      <c r="J6947" s="44" t="str">
        <f>VLOOKUP(G6947,[1]硬件清单!$F:$F,1,0)</f>
        <v>9800183908085708</v>
      </c>
      <c r="K6947" s="66"/>
      <c r="L6947" s="44"/>
      <c r="M6947" s="64" t="s">
        <v>21261</v>
      </c>
    </row>
    <row r="6948" ht="30" customHeight="1" spans="1:13">
      <c r="A6948" s="41">
        <f>IF(C6948="","",SUBTOTAL(103,$C$2:C6948))</f>
        <v>6939</v>
      </c>
      <c r="B6948" s="67"/>
      <c r="C6948" s="58" t="s">
        <v>20331</v>
      </c>
      <c r="D6948" s="68" t="s">
        <v>20337</v>
      </c>
      <c r="E6948" s="64" t="s">
        <v>20338</v>
      </c>
      <c r="F6948" s="68" t="s">
        <v>21003</v>
      </c>
      <c r="G6948" s="64" t="s">
        <v>21262</v>
      </c>
      <c r="H6948" s="68" t="s">
        <v>21263</v>
      </c>
      <c r="I6948" s="64">
        <v>1</v>
      </c>
      <c r="J6948" s="44" t="str">
        <f>VLOOKUP(G6948,[1]硬件清单!$F:$F,1,0)</f>
        <v>9800183908085856</v>
      </c>
      <c r="K6948" s="66"/>
      <c r="L6948" s="44"/>
      <c r="M6948" s="64" t="s">
        <v>21264</v>
      </c>
    </row>
    <row r="6949" ht="30" customHeight="1" spans="1:13">
      <c r="A6949" s="41">
        <f>IF(C6949="","",SUBTOTAL(103,$C$2:C6949))</f>
        <v>6940</v>
      </c>
      <c r="B6949" s="67"/>
      <c r="C6949" s="58" t="s">
        <v>20331</v>
      </c>
      <c r="D6949" s="68" t="s">
        <v>20337</v>
      </c>
      <c r="E6949" s="64" t="s">
        <v>20338</v>
      </c>
      <c r="F6949" s="68" t="s">
        <v>21003</v>
      </c>
      <c r="G6949" s="64" t="s">
        <v>21265</v>
      </c>
      <c r="H6949" s="68" t="s">
        <v>21266</v>
      </c>
      <c r="I6949" s="64">
        <v>1</v>
      </c>
      <c r="J6949" s="44" t="str">
        <f>VLOOKUP(G6949,[1]硬件清单!$F:$F,1,0)</f>
        <v>9800183908085810</v>
      </c>
      <c r="K6949" s="66"/>
      <c r="L6949" s="44"/>
      <c r="M6949" s="64" t="s">
        <v>21267</v>
      </c>
    </row>
    <row r="6950" ht="30" customHeight="1" spans="1:13">
      <c r="A6950" s="41">
        <f>IF(C6950="","",SUBTOTAL(103,$C$2:C6950))</f>
        <v>6941</v>
      </c>
      <c r="B6950" s="67"/>
      <c r="C6950" s="58" t="s">
        <v>20331</v>
      </c>
      <c r="D6950" s="68" t="s">
        <v>20337</v>
      </c>
      <c r="E6950" s="64" t="s">
        <v>20338</v>
      </c>
      <c r="F6950" s="68" t="s">
        <v>21003</v>
      </c>
      <c r="G6950" s="64" t="s">
        <v>21268</v>
      </c>
      <c r="H6950" s="68" t="s">
        <v>21269</v>
      </c>
      <c r="I6950" s="64">
        <v>1</v>
      </c>
      <c r="J6950" s="44" t="str">
        <f>VLOOKUP(G6950,[1]硬件清单!$F:$F,1,0)</f>
        <v>9800183908085688</v>
      </c>
      <c r="K6950" s="66"/>
      <c r="L6950" s="44"/>
      <c r="M6950" s="64" t="s">
        <v>21270</v>
      </c>
    </row>
    <row r="6951" ht="30" customHeight="1" spans="1:13">
      <c r="A6951" s="41">
        <f>IF(C6951="","",SUBTOTAL(103,$C$2:C6951))</f>
        <v>6942</v>
      </c>
      <c r="B6951" s="67"/>
      <c r="C6951" s="58" t="s">
        <v>20331</v>
      </c>
      <c r="D6951" s="68" t="s">
        <v>20337</v>
      </c>
      <c r="E6951" s="64" t="s">
        <v>20338</v>
      </c>
      <c r="F6951" s="68" t="s">
        <v>21003</v>
      </c>
      <c r="G6951" s="64" t="s">
        <v>21271</v>
      </c>
      <c r="H6951" s="68" t="s">
        <v>21272</v>
      </c>
      <c r="I6951" s="64">
        <v>1</v>
      </c>
      <c r="J6951" s="44" t="str">
        <f>VLOOKUP(G6951,[1]硬件清单!$F:$F,1,0)</f>
        <v>9800183908085710</v>
      </c>
      <c r="K6951" s="66"/>
      <c r="L6951" s="44"/>
      <c r="M6951" s="64" t="s">
        <v>21273</v>
      </c>
    </row>
    <row r="6952" ht="30" customHeight="1" spans="1:13">
      <c r="A6952" s="41">
        <f>IF(C6952="","",SUBTOTAL(103,$C$2:C6952))</f>
        <v>6943</v>
      </c>
      <c r="B6952" s="67"/>
      <c r="C6952" s="58" t="s">
        <v>20331</v>
      </c>
      <c r="D6952" s="68" t="s">
        <v>20337</v>
      </c>
      <c r="E6952" s="64" t="s">
        <v>20338</v>
      </c>
      <c r="F6952" s="68" t="s">
        <v>21003</v>
      </c>
      <c r="G6952" s="64" t="s">
        <v>21274</v>
      </c>
      <c r="H6952" s="68" t="s">
        <v>21275</v>
      </c>
      <c r="I6952" s="64">
        <v>1</v>
      </c>
      <c r="J6952" s="44" t="str">
        <f>VLOOKUP(G6952,[1]硬件清单!$F:$F,1,0)</f>
        <v>9800183908085813</v>
      </c>
      <c r="K6952" s="66"/>
      <c r="L6952" s="44"/>
      <c r="M6952" s="64" t="s">
        <v>21276</v>
      </c>
    </row>
    <row r="6953" ht="30" customHeight="1" spans="1:13">
      <c r="A6953" s="41">
        <f>IF(C6953="","",SUBTOTAL(103,$C$2:C6953))</f>
        <v>6944</v>
      </c>
      <c r="B6953" s="67"/>
      <c r="C6953" s="58" t="s">
        <v>20331</v>
      </c>
      <c r="D6953" s="68" t="s">
        <v>20337</v>
      </c>
      <c r="E6953" s="64" t="s">
        <v>20338</v>
      </c>
      <c r="F6953" s="68" t="s">
        <v>21003</v>
      </c>
      <c r="G6953" s="64" t="s">
        <v>21277</v>
      </c>
      <c r="H6953" s="68" t="s">
        <v>21278</v>
      </c>
      <c r="I6953" s="64">
        <v>1</v>
      </c>
      <c r="J6953" s="44" t="str">
        <f>VLOOKUP(G6953,[1]硬件清单!$F:$F,1,0)</f>
        <v>9800183908085899</v>
      </c>
      <c r="K6953" s="66"/>
      <c r="L6953" s="44"/>
      <c r="M6953" s="64" t="s">
        <v>21279</v>
      </c>
    </row>
    <row r="6954" ht="30" customHeight="1" spans="1:13">
      <c r="A6954" s="41">
        <f>IF(C6954="","",SUBTOTAL(103,$C$2:C6954))</f>
        <v>6945</v>
      </c>
      <c r="B6954" s="67"/>
      <c r="C6954" s="58" t="s">
        <v>20331</v>
      </c>
      <c r="D6954" s="68" t="s">
        <v>20337</v>
      </c>
      <c r="E6954" s="64" t="s">
        <v>20338</v>
      </c>
      <c r="F6954" s="68" t="s">
        <v>21003</v>
      </c>
      <c r="G6954" s="64" t="s">
        <v>21280</v>
      </c>
      <c r="H6954" s="68" t="s">
        <v>21281</v>
      </c>
      <c r="I6954" s="64">
        <v>1</v>
      </c>
      <c r="J6954" s="44" t="str">
        <f>VLOOKUP(G6954,[1]硬件清单!$F:$F,1,0)</f>
        <v>9800183908085698</v>
      </c>
      <c r="K6954" s="66"/>
      <c r="L6954" s="44"/>
      <c r="M6954" s="64" t="s">
        <v>21282</v>
      </c>
    </row>
    <row r="6955" ht="30" customHeight="1" spans="1:13">
      <c r="A6955" s="41">
        <f>IF(C6955="","",SUBTOTAL(103,$C$2:C6955))</f>
        <v>6946</v>
      </c>
      <c r="B6955" s="67"/>
      <c r="C6955" s="58" t="s">
        <v>20331</v>
      </c>
      <c r="D6955" s="68" t="s">
        <v>20337</v>
      </c>
      <c r="E6955" s="64" t="s">
        <v>20338</v>
      </c>
      <c r="F6955" s="68" t="s">
        <v>21003</v>
      </c>
      <c r="G6955" s="64" t="s">
        <v>21283</v>
      </c>
      <c r="H6955" s="68" t="s">
        <v>21284</v>
      </c>
      <c r="I6955" s="64">
        <v>1</v>
      </c>
      <c r="J6955" s="44" t="str">
        <f>VLOOKUP(G6955,[1]硬件清单!$F:$F,1,0)</f>
        <v>9800183908085711</v>
      </c>
      <c r="K6955" s="66"/>
      <c r="L6955" s="44"/>
      <c r="M6955" s="64" t="s">
        <v>21285</v>
      </c>
    </row>
    <row r="6956" ht="30" customHeight="1" spans="1:13">
      <c r="A6956" s="41">
        <f>IF(C6956="","",SUBTOTAL(103,$C$2:C6956))</f>
        <v>6947</v>
      </c>
      <c r="B6956" s="67"/>
      <c r="C6956" s="58" t="s">
        <v>20331</v>
      </c>
      <c r="D6956" s="68" t="s">
        <v>20337</v>
      </c>
      <c r="E6956" s="64" t="s">
        <v>20338</v>
      </c>
      <c r="F6956" s="68" t="s">
        <v>21003</v>
      </c>
      <c r="G6956" s="64" t="s">
        <v>21286</v>
      </c>
      <c r="H6956" s="68" t="s">
        <v>21287</v>
      </c>
      <c r="I6956" s="64">
        <v>1</v>
      </c>
      <c r="J6956" s="44" t="str">
        <f>VLOOKUP(G6956,[1]硬件清单!$F:$F,1,0)</f>
        <v>9800183908085880</v>
      </c>
      <c r="K6956" s="66"/>
      <c r="L6956" s="44"/>
      <c r="M6956" s="64" t="s">
        <v>21288</v>
      </c>
    </row>
    <row r="6957" ht="30" customHeight="1" spans="1:13">
      <c r="A6957" s="41">
        <f>IF(C6957="","",SUBTOTAL(103,$C$2:C6957))</f>
        <v>6948</v>
      </c>
      <c r="B6957" s="67"/>
      <c r="C6957" s="58" t="s">
        <v>20331</v>
      </c>
      <c r="D6957" s="68" t="s">
        <v>20337</v>
      </c>
      <c r="E6957" s="64" t="s">
        <v>20338</v>
      </c>
      <c r="F6957" s="68" t="s">
        <v>21003</v>
      </c>
      <c r="G6957" s="64" t="s">
        <v>21289</v>
      </c>
      <c r="H6957" s="68" t="s">
        <v>21290</v>
      </c>
      <c r="I6957" s="64">
        <v>1</v>
      </c>
      <c r="J6957" s="44" t="str">
        <f>VLOOKUP(G6957,[1]硬件清单!$F:$F,1,0)</f>
        <v>9800183908085882</v>
      </c>
      <c r="K6957" s="66"/>
      <c r="L6957" s="44"/>
      <c r="M6957" s="64" t="s">
        <v>21291</v>
      </c>
    </row>
    <row r="6958" ht="30" customHeight="1" spans="1:13">
      <c r="A6958" s="41">
        <f>IF(C6958="","",SUBTOTAL(103,$C$2:C6958))</f>
        <v>6949</v>
      </c>
      <c r="B6958" s="67"/>
      <c r="C6958" s="58" t="s">
        <v>20331</v>
      </c>
      <c r="D6958" s="68" t="s">
        <v>20337</v>
      </c>
      <c r="E6958" s="64" t="s">
        <v>20338</v>
      </c>
      <c r="F6958" s="68" t="s">
        <v>21003</v>
      </c>
      <c r="G6958" s="64" t="s">
        <v>21292</v>
      </c>
      <c r="H6958" s="68" t="s">
        <v>21293</v>
      </c>
      <c r="I6958" s="64">
        <v>1</v>
      </c>
      <c r="J6958" s="44" t="str">
        <f>VLOOKUP(G6958,[1]硬件清单!$F:$F,1,0)</f>
        <v>9800183908085842</v>
      </c>
      <c r="K6958" s="66"/>
      <c r="L6958" s="44"/>
      <c r="M6958" s="64" t="s">
        <v>21294</v>
      </c>
    </row>
    <row r="6959" ht="30" customHeight="1" spans="1:13">
      <c r="A6959" s="41">
        <f>IF(C6959="","",SUBTOTAL(103,$C$2:C6959))</f>
        <v>6950</v>
      </c>
      <c r="B6959" s="67"/>
      <c r="C6959" s="58" t="s">
        <v>20331</v>
      </c>
      <c r="D6959" s="68" t="s">
        <v>20337</v>
      </c>
      <c r="E6959" s="64" t="s">
        <v>20338</v>
      </c>
      <c r="F6959" s="68" t="s">
        <v>21003</v>
      </c>
      <c r="G6959" s="64" t="s">
        <v>21295</v>
      </c>
      <c r="H6959" s="68" t="s">
        <v>21296</v>
      </c>
      <c r="I6959" s="64">
        <v>1</v>
      </c>
      <c r="J6959" s="44" t="str">
        <f>VLOOKUP(G6959,[1]硬件清单!$F:$F,1,0)</f>
        <v>9800183908085791</v>
      </c>
      <c r="K6959" s="66"/>
      <c r="L6959" s="44"/>
      <c r="M6959" s="64" t="s">
        <v>21297</v>
      </c>
    </row>
    <row r="6960" ht="30" customHeight="1" spans="1:13">
      <c r="A6960" s="41">
        <f>IF(C6960="","",SUBTOTAL(103,$C$2:C6960))</f>
        <v>6951</v>
      </c>
      <c r="B6960" s="67"/>
      <c r="C6960" s="58" t="s">
        <v>20331</v>
      </c>
      <c r="D6960" s="68" t="s">
        <v>20337</v>
      </c>
      <c r="E6960" s="64" t="s">
        <v>20338</v>
      </c>
      <c r="F6960" s="68" t="s">
        <v>21003</v>
      </c>
      <c r="G6960" s="64" t="s">
        <v>21298</v>
      </c>
      <c r="H6960" s="68" t="s">
        <v>21299</v>
      </c>
      <c r="I6960" s="64">
        <v>1</v>
      </c>
      <c r="J6960" s="44" t="str">
        <f>VLOOKUP(G6960,[1]硬件清单!$F:$F,1,0)</f>
        <v>9800183908085714</v>
      </c>
      <c r="K6960" s="66"/>
      <c r="L6960" s="44"/>
      <c r="M6960" s="64" t="s">
        <v>21300</v>
      </c>
    </row>
    <row r="6961" ht="30" customHeight="1" spans="1:13">
      <c r="A6961" s="41">
        <f>IF(C6961="","",SUBTOTAL(103,$C$2:C6961))</f>
        <v>6952</v>
      </c>
      <c r="B6961" s="67"/>
      <c r="C6961" s="58" t="s">
        <v>20331</v>
      </c>
      <c r="D6961" s="68" t="s">
        <v>20337</v>
      </c>
      <c r="E6961" s="64" t="s">
        <v>20338</v>
      </c>
      <c r="F6961" s="68" t="s">
        <v>21003</v>
      </c>
      <c r="G6961" s="64" t="s">
        <v>21301</v>
      </c>
      <c r="H6961" s="68" t="s">
        <v>21302</v>
      </c>
      <c r="I6961" s="64">
        <v>1</v>
      </c>
      <c r="J6961" s="44" t="str">
        <f>VLOOKUP(G6961,[1]硬件清单!$F:$F,1,0)</f>
        <v>9800183908085726</v>
      </c>
      <c r="K6961" s="66"/>
      <c r="L6961" s="44"/>
      <c r="M6961" s="64" t="s">
        <v>21303</v>
      </c>
    </row>
    <row r="6962" ht="30" customHeight="1" spans="1:13">
      <c r="A6962" s="41">
        <f>IF(C6962="","",SUBTOTAL(103,$C$2:C6962))</f>
        <v>6953</v>
      </c>
      <c r="B6962" s="67"/>
      <c r="C6962" s="58" t="s">
        <v>20331</v>
      </c>
      <c r="D6962" s="68" t="s">
        <v>20337</v>
      </c>
      <c r="E6962" s="64" t="s">
        <v>20338</v>
      </c>
      <c r="F6962" s="68" t="s">
        <v>21003</v>
      </c>
      <c r="G6962" s="64" t="s">
        <v>21304</v>
      </c>
      <c r="H6962" s="68" t="s">
        <v>21305</v>
      </c>
      <c r="I6962" s="64">
        <v>1</v>
      </c>
      <c r="J6962" s="44" t="str">
        <f>VLOOKUP(G6962,[1]硬件清单!$F:$F,1,0)</f>
        <v>9800183908085738</v>
      </c>
      <c r="K6962" s="66"/>
      <c r="L6962" s="44"/>
      <c r="M6962" s="64" t="s">
        <v>21306</v>
      </c>
    </row>
    <row r="6963" ht="30" customHeight="1" spans="1:13">
      <c r="A6963" s="41">
        <f>IF(C6963="","",SUBTOTAL(103,$C$2:C6963))</f>
        <v>6954</v>
      </c>
      <c r="B6963" s="67"/>
      <c r="C6963" s="58" t="s">
        <v>20331</v>
      </c>
      <c r="D6963" s="68" t="s">
        <v>20337</v>
      </c>
      <c r="E6963" s="64" t="s">
        <v>20338</v>
      </c>
      <c r="F6963" s="68" t="s">
        <v>21003</v>
      </c>
      <c r="G6963" s="64" t="s">
        <v>21307</v>
      </c>
      <c r="H6963" s="68" t="s">
        <v>21308</v>
      </c>
      <c r="I6963" s="64">
        <v>1</v>
      </c>
      <c r="J6963" s="44" t="str">
        <f>VLOOKUP(G6963,[1]硬件清单!$F:$F,1,0)</f>
        <v>9800183908085775</v>
      </c>
      <c r="K6963" s="66"/>
      <c r="L6963" s="44"/>
      <c r="M6963" s="64" t="s">
        <v>21309</v>
      </c>
    </row>
    <row r="6964" ht="30" customHeight="1" spans="1:13">
      <c r="A6964" s="41">
        <f>IF(C6964="","",SUBTOTAL(103,$C$2:C6964))</f>
        <v>6955</v>
      </c>
      <c r="B6964" s="67"/>
      <c r="C6964" s="58" t="s">
        <v>20331</v>
      </c>
      <c r="D6964" s="68" t="s">
        <v>20337</v>
      </c>
      <c r="E6964" s="64" t="s">
        <v>20338</v>
      </c>
      <c r="F6964" s="68" t="s">
        <v>21003</v>
      </c>
      <c r="G6964" s="64" t="s">
        <v>21310</v>
      </c>
      <c r="H6964" s="68" t="s">
        <v>21311</v>
      </c>
      <c r="I6964" s="64">
        <v>1</v>
      </c>
      <c r="J6964" s="44" t="str">
        <f>VLOOKUP(G6964,[1]硬件清单!$F:$F,1,0)</f>
        <v>9800183908085787</v>
      </c>
      <c r="K6964" s="66"/>
      <c r="L6964" s="44"/>
      <c r="M6964" s="64" t="s">
        <v>21312</v>
      </c>
    </row>
    <row r="6965" ht="30" customHeight="1" spans="1:13">
      <c r="A6965" s="41">
        <f>IF(C6965="","",SUBTOTAL(103,$C$2:C6965))</f>
        <v>6956</v>
      </c>
      <c r="B6965" s="67"/>
      <c r="C6965" s="58" t="s">
        <v>20331</v>
      </c>
      <c r="D6965" s="68" t="s">
        <v>20337</v>
      </c>
      <c r="E6965" s="64" t="s">
        <v>20338</v>
      </c>
      <c r="F6965" s="68" t="s">
        <v>21003</v>
      </c>
      <c r="G6965" s="64" t="s">
        <v>21313</v>
      </c>
      <c r="H6965" s="68" t="s">
        <v>21314</v>
      </c>
      <c r="I6965" s="64">
        <v>1</v>
      </c>
      <c r="J6965" s="44" t="str">
        <f>VLOOKUP(G6965,[1]硬件清单!$F:$F,1,0)</f>
        <v>9800183908085795</v>
      </c>
      <c r="K6965" s="66"/>
      <c r="L6965" s="44"/>
      <c r="M6965" s="64" t="s">
        <v>21315</v>
      </c>
    </row>
    <row r="6966" ht="30" customHeight="1" spans="1:13">
      <c r="A6966" s="41">
        <f>IF(C6966="","",SUBTOTAL(103,$C$2:C6966))</f>
        <v>6957</v>
      </c>
      <c r="B6966" s="67"/>
      <c r="C6966" s="58" t="s">
        <v>20331</v>
      </c>
      <c r="D6966" s="68" t="s">
        <v>20337</v>
      </c>
      <c r="E6966" s="64" t="s">
        <v>20338</v>
      </c>
      <c r="F6966" s="68" t="s">
        <v>21003</v>
      </c>
      <c r="G6966" s="64" t="s">
        <v>21316</v>
      </c>
      <c r="H6966" s="68" t="s">
        <v>21317</v>
      </c>
      <c r="I6966" s="64">
        <v>1</v>
      </c>
      <c r="J6966" s="44" t="str">
        <f>VLOOKUP(G6966,[1]硬件清单!$F:$F,1,0)</f>
        <v>9800183908085750</v>
      </c>
      <c r="K6966" s="66"/>
      <c r="L6966" s="44"/>
      <c r="M6966" s="64" t="s">
        <v>21318</v>
      </c>
    </row>
    <row r="6967" ht="30" customHeight="1" spans="1:13">
      <c r="A6967" s="41">
        <f>IF(C6967="","",SUBTOTAL(103,$C$2:C6967))</f>
        <v>6958</v>
      </c>
      <c r="B6967" s="67"/>
      <c r="C6967" s="58" t="s">
        <v>20331</v>
      </c>
      <c r="D6967" s="68" t="s">
        <v>20337</v>
      </c>
      <c r="E6967" s="64" t="s">
        <v>20338</v>
      </c>
      <c r="F6967" s="68" t="s">
        <v>21003</v>
      </c>
      <c r="G6967" s="64" t="s">
        <v>21319</v>
      </c>
      <c r="H6967" s="68" t="s">
        <v>21320</v>
      </c>
      <c r="I6967" s="64">
        <v>1</v>
      </c>
      <c r="J6967" s="44" t="str">
        <f>VLOOKUP(G6967,[1]硬件清单!$F:$F,1,0)</f>
        <v>9800183908085742</v>
      </c>
      <c r="K6967" s="66"/>
      <c r="L6967" s="44"/>
      <c r="M6967" s="64" t="s">
        <v>21321</v>
      </c>
    </row>
    <row r="6968" ht="30" customHeight="1" spans="1:13">
      <c r="A6968" s="41">
        <f>IF(C6968="","",SUBTOTAL(103,$C$2:C6968))</f>
        <v>6959</v>
      </c>
      <c r="B6968" s="67"/>
      <c r="C6968" s="58" t="s">
        <v>20331</v>
      </c>
      <c r="D6968" s="68" t="s">
        <v>20337</v>
      </c>
      <c r="E6968" s="64" t="s">
        <v>20338</v>
      </c>
      <c r="F6968" s="68" t="s">
        <v>21003</v>
      </c>
      <c r="G6968" s="64" t="s">
        <v>21322</v>
      </c>
      <c r="H6968" s="68" t="s">
        <v>21323</v>
      </c>
      <c r="I6968" s="64">
        <v>1</v>
      </c>
      <c r="J6968" s="44" t="str">
        <f>VLOOKUP(G6968,[1]硬件清单!$F:$F,1,0)</f>
        <v>9800183908085764</v>
      </c>
      <c r="K6968" s="66"/>
      <c r="L6968" s="44"/>
      <c r="M6968" s="64" t="s">
        <v>21324</v>
      </c>
    </row>
    <row r="6969" ht="30" customHeight="1" spans="1:13">
      <c r="A6969" s="41">
        <f>IF(C6969="","",SUBTOTAL(103,$C$2:C6969))</f>
        <v>6960</v>
      </c>
      <c r="B6969" s="67"/>
      <c r="C6969" s="58" t="s">
        <v>20331</v>
      </c>
      <c r="D6969" s="68" t="s">
        <v>20337</v>
      </c>
      <c r="E6969" s="64" t="s">
        <v>20338</v>
      </c>
      <c r="F6969" s="68" t="s">
        <v>21003</v>
      </c>
      <c r="G6969" s="64" t="s">
        <v>21325</v>
      </c>
      <c r="H6969" s="68" t="s">
        <v>21326</v>
      </c>
      <c r="I6969" s="64">
        <v>1</v>
      </c>
      <c r="J6969" s="44" t="str">
        <f>VLOOKUP(G6969,[1]硬件清单!$F:$F,1,0)</f>
        <v>9800183908085715</v>
      </c>
      <c r="K6969" s="66"/>
      <c r="L6969" s="44"/>
      <c r="M6969" s="64" t="s">
        <v>21327</v>
      </c>
    </row>
    <row r="6970" ht="30" customHeight="1" spans="1:13">
      <c r="A6970" s="41">
        <f>IF(C6970="","",SUBTOTAL(103,$C$2:C6970))</f>
        <v>6961</v>
      </c>
      <c r="B6970" s="67"/>
      <c r="C6970" s="58" t="s">
        <v>20331</v>
      </c>
      <c r="D6970" s="68" t="s">
        <v>20337</v>
      </c>
      <c r="E6970" s="64" t="s">
        <v>20338</v>
      </c>
      <c r="F6970" s="68" t="s">
        <v>21003</v>
      </c>
      <c r="G6970" s="64" t="s">
        <v>21328</v>
      </c>
      <c r="H6970" s="68" t="s">
        <v>21329</v>
      </c>
      <c r="I6970" s="64">
        <v>1</v>
      </c>
      <c r="J6970" s="44" t="str">
        <f>VLOOKUP(G6970,[1]硬件清单!$F:$F,1,0)</f>
        <v>9800183908085811</v>
      </c>
      <c r="K6970" s="66"/>
      <c r="L6970" s="44"/>
      <c r="M6970" s="64" t="s">
        <v>21330</v>
      </c>
    </row>
    <row r="6971" ht="30" customHeight="1" spans="1:13">
      <c r="A6971" s="41">
        <f>IF(C6971="","",SUBTOTAL(103,$C$2:C6971))</f>
        <v>6962</v>
      </c>
      <c r="B6971" s="67"/>
      <c r="C6971" s="58" t="s">
        <v>20331</v>
      </c>
      <c r="D6971" s="68" t="s">
        <v>20337</v>
      </c>
      <c r="E6971" s="64" t="s">
        <v>20338</v>
      </c>
      <c r="F6971" s="68" t="s">
        <v>21003</v>
      </c>
      <c r="G6971" s="64" t="s">
        <v>21331</v>
      </c>
      <c r="H6971" s="68" t="s">
        <v>21332</v>
      </c>
      <c r="I6971" s="64">
        <v>1</v>
      </c>
      <c r="J6971" s="44" t="str">
        <f>VLOOKUP(G6971,[1]硬件清单!$F:$F,1,0)</f>
        <v>9800183908085809</v>
      </c>
      <c r="K6971" s="66"/>
      <c r="L6971" s="44"/>
      <c r="M6971" s="64" t="s">
        <v>21333</v>
      </c>
    </row>
    <row r="6972" ht="30" customHeight="1" spans="1:13">
      <c r="A6972" s="41">
        <f>IF(C6972="","",SUBTOTAL(103,$C$2:C6972))</f>
        <v>6963</v>
      </c>
      <c r="B6972" s="67"/>
      <c r="C6972" s="58" t="s">
        <v>20331</v>
      </c>
      <c r="D6972" s="68" t="s">
        <v>20337</v>
      </c>
      <c r="E6972" s="64" t="s">
        <v>20338</v>
      </c>
      <c r="F6972" s="68" t="s">
        <v>21003</v>
      </c>
      <c r="G6972" s="64" t="s">
        <v>21334</v>
      </c>
      <c r="H6972" s="68" t="s">
        <v>21335</v>
      </c>
      <c r="I6972" s="64">
        <v>1</v>
      </c>
      <c r="J6972" s="44" t="str">
        <f>VLOOKUP(G6972,[1]硬件清单!$F:$F,1,0)</f>
        <v>9800183908085745</v>
      </c>
      <c r="K6972" s="66"/>
      <c r="L6972" s="44"/>
      <c r="M6972" s="64" t="s">
        <v>21336</v>
      </c>
    </row>
    <row r="6973" ht="30" customHeight="1" spans="1:13">
      <c r="A6973" s="41">
        <f>IF(C6973="","",SUBTOTAL(103,$C$2:C6973))</f>
        <v>6964</v>
      </c>
      <c r="B6973" s="67"/>
      <c r="C6973" s="58" t="s">
        <v>20331</v>
      </c>
      <c r="D6973" s="68" t="s">
        <v>20337</v>
      </c>
      <c r="E6973" s="64" t="s">
        <v>20338</v>
      </c>
      <c r="F6973" s="68" t="s">
        <v>21003</v>
      </c>
      <c r="G6973" s="64" t="s">
        <v>21337</v>
      </c>
      <c r="H6973" s="68" t="s">
        <v>21338</v>
      </c>
      <c r="I6973" s="64">
        <v>1</v>
      </c>
      <c r="J6973" s="44" t="str">
        <f>VLOOKUP(G6973,[1]硬件清单!$F:$F,1,0)</f>
        <v>9800183908085741</v>
      </c>
      <c r="K6973" s="66"/>
      <c r="L6973" s="44"/>
      <c r="M6973" s="64" t="s">
        <v>21339</v>
      </c>
    </row>
    <row r="6974" ht="30" customHeight="1" spans="1:13">
      <c r="A6974" s="41">
        <f>IF(C6974="","",SUBTOTAL(103,$C$2:C6974))</f>
        <v>6965</v>
      </c>
      <c r="B6974" s="67"/>
      <c r="C6974" s="58" t="s">
        <v>20331</v>
      </c>
      <c r="D6974" s="68" t="s">
        <v>20337</v>
      </c>
      <c r="E6974" s="64" t="s">
        <v>20338</v>
      </c>
      <c r="F6974" s="68" t="s">
        <v>21003</v>
      </c>
      <c r="G6974" s="64" t="s">
        <v>21340</v>
      </c>
      <c r="H6974" s="68" t="s">
        <v>21341</v>
      </c>
      <c r="I6974" s="64">
        <v>1</v>
      </c>
      <c r="J6974" s="44" t="str">
        <f>VLOOKUP(G6974,[1]硬件清单!$F:$F,1,0)</f>
        <v>9800183908085696</v>
      </c>
      <c r="K6974" s="66"/>
      <c r="L6974" s="44"/>
      <c r="M6974" s="64" t="s">
        <v>21342</v>
      </c>
    </row>
    <row r="6975" ht="30" customHeight="1" spans="1:13">
      <c r="A6975" s="41">
        <f>IF(C6975="","",SUBTOTAL(103,$C$2:C6975))</f>
        <v>6966</v>
      </c>
      <c r="B6975" s="67"/>
      <c r="C6975" s="58" t="s">
        <v>20331</v>
      </c>
      <c r="D6975" s="68" t="s">
        <v>20337</v>
      </c>
      <c r="E6975" s="64" t="s">
        <v>20338</v>
      </c>
      <c r="F6975" s="68" t="s">
        <v>21003</v>
      </c>
      <c r="G6975" s="64" t="s">
        <v>21343</v>
      </c>
      <c r="H6975" s="68" t="s">
        <v>21344</v>
      </c>
      <c r="I6975" s="64">
        <v>1</v>
      </c>
      <c r="J6975" s="44" t="str">
        <f>VLOOKUP(G6975,[1]硬件清单!$F:$F,1,0)</f>
        <v>9800183908085694</v>
      </c>
      <c r="K6975" s="66"/>
      <c r="L6975" s="44"/>
      <c r="M6975" s="64" t="s">
        <v>21345</v>
      </c>
    </row>
    <row r="6976" ht="30" customHeight="1" spans="1:13">
      <c r="A6976" s="41">
        <f>IF(C6976="","",SUBTOTAL(103,$C$2:C6976))</f>
        <v>6967</v>
      </c>
      <c r="B6976" s="67"/>
      <c r="C6976" s="58" t="s">
        <v>20331</v>
      </c>
      <c r="D6976" s="68" t="s">
        <v>20337</v>
      </c>
      <c r="E6976" s="64" t="s">
        <v>20338</v>
      </c>
      <c r="F6976" s="68" t="s">
        <v>21003</v>
      </c>
      <c r="G6976" s="64" t="s">
        <v>21346</v>
      </c>
      <c r="H6976" s="68" t="s">
        <v>21347</v>
      </c>
      <c r="I6976" s="64">
        <v>1</v>
      </c>
      <c r="J6976" s="44" t="str">
        <f>VLOOKUP(G6976,[1]硬件清单!$F:$F,1,0)</f>
        <v>9800183908085686</v>
      </c>
      <c r="K6976" s="66"/>
      <c r="L6976" s="44"/>
      <c r="M6976" s="64" t="s">
        <v>21348</v>
      </c>
    </row>
    <row r="6977" ht="30" customHeight="1" spans="1:13">
      <c r="A6977" s="41">
        <f>IF(C6977="","",SUBTOTAL(103,$C$2:C6977))</f>
        <v>6968</v>
      </c>
      <c r="B6977" s="67"/>
      <c r="C6977" s="58" t="s">
        <v>20331</v>
      </c>
      <c r="D6977" s="68" t="s">
        <v>20337</v>
      </c>
      <c r="E6977" s="64" t="s">
        <v>20338</v>
      </c>
      <c r="F6977" s="68" t="s">
        <v>21003</v>
      </c>
      <c r="G6977" s="64" t="s">
        <v>21349</v>
      </c>
      <c r="H6977" s="68" t="s">
        <v>21350</v>
      </c>
      <c r="I6977" s="64">
        <v>1</v>
      </c>
      <c r="J6977" s="44" t="str">
        <f>VLOOKUP(G6977,[1]硬件清单!$F:$F,1,0)</f>
        <v>9800183908085718</v>
      </c>
      <c r="K6977" s="66"/>
      <c r="L6977" s="44"/>
      <c r="M6977" s="64" t="s">
        <v>21351</v>
      </c>
    </row>
    <row r="6978" ht="30" customHeight="1" spans="1:13">
      <c r="A6978" s="41">
        <f>IF(C6978="","",SUBTOTAL(103,$C$2:C6978))</f>
        <v>6969</v>
      </c>
      <c r="B6978" s="67"/>
      <c r="C6978" s="58" t="s">
        <v>20331</v>
      </c>
      <c r="D6978" s="68" t="s">
        <v>20337</v>
      </c>
      <c r="E6978" s="64" t="s">
        <v>20338</v>
      </c>
      <c r="F6978" s="68" t="s">
        <v>21003</v>
      </c>
      <c r="G6978" s="64" t="s">
        <v>21352</v>
      </c>
      <c r="H6978" s="68" t="s">
        <v>21353</v>
      </c>
      <c r="I6978" s="64">
        <v>1</v>
      </c>
      <c r="J6978" s="44" t="str">
        <f>VLOOKUP(G6978,[1]硬件清单!$F:$F,1,0)</f>
        <v>9800183908085770</v>
      </c>
      <c r="K6978" s="66"/>
      <c r="L6978" s="44"/>
      <c r="M6978" s="64" t="s">
        <v>21354</v>
      </c>
    </row>
    <row r="6979" ht="30" customHeight="1" spans="1:13">
      <c r="A6979" s="41">
        <f>IF(C6979="","",SUBTOTAL(103,$C$2:C6979))</f>
        <v>6970</v>
      </c>
      <c r="B6979" s="67"/>
      <c r="C6979" s="58" t="s">
        <v>20331</v>
      </c>
      <c r="D6979" s="68" t="s">
        <v>20337</v>
      </c>
      <c r="E6979" s="64" t="s">
        <v>20338</v>
      </c>
      <c r="F6979" s="68" t="s">
        <v>21003</v>
      </c>
      <c r="G6979" s="64" t="s">
        <v>21355</v>
      </c>
      <c r="H6979" s="68" t="s">
        <v>21356</v>
      </c>
      <c r="I6979" s="64">
        <v>1</v>
      </c>
      <c r="J6979" s="44" t="str">
        <f>VLOOKUP(G6979,[1]硬件清单!$F:$F,1,0)</f>
        <v>9800183908085776</v>
      </c>
      <c r="K6979" s="66"/>
      <c r="L6979" s="44"/>
      <c r="M6979" s="64" t="s">
        <v>21357</v>
      </c>
    </row>
    <row r="6980" ht="30" customHeight="1" spans="1:13">
      <c r="A6980" s="41">
        <f>IF(C6980="","",SUBTOTAL(103,$C$2:C6980))</f>
        <v>6971</v>
      </c>
      <c r="B6980" s="67"/>
      <c r="C6980" s="58" t="s">
        <v>20331</v>
      </c>
      <c r="D6980" s="68" t="s">
        <v>20337</v>
      </c>
      <c r="E6980" s="64" t="s">
        <v>20338</v>
      </c>
      <c r="F6980" s="68" t="s">
        <v>21003</v>
      </c>
      <c r="G6980" s="64" t="s">
        <v>21358</v>
      </c>
      <c r="H6980" s="68" t="s">
        <v>21359</v>
      </c>
      <c r="I6980" s="64">
        <v>1</v>
      </c>
      <c r="J6980" s="44" t="str">
        <f>VLOOKUP(G6980,[1]硬件清单!$F:$F,1,0)</f>
        <v>9800183908085773</v>
      </c>
      <c r="K6980" s="66"/>
      <c r="L6980" s="44"/>
      <c r="M6980" s="64" t="s">
        <v>21360</v>
      </c>
    </row>
    <row r="6981" ht="30" customHeight="1" spans="1:13">
      <c r="A6981" s="41">
        <f>IF(C6981="","",SUBTOTAL(103,$C$2:C6981))</f>
        <v>6972</v>
      </c>
      <c r="B6981" s="67"/>
      <c r="C6981" s="58" t="s">
        <v>20331</v>
      </c>
      <c r="D6981" s="68" t="s">
        <v>20337</v>
      </c>
      <c r="E6981" s="64" t="s">
        <v>20338</v>
      </c>
      <c r="F6981" s="68" t="s">
        <v>21003</v>
      </c>
      <c r="G6981" s="64" t="s">
        <v>21361</v>
      </c>
      <c r="H6981" s="68" t="s">
        <v>21362</v>
      </c>
      <c r="I6981" s="64">
        <v>1</v>
      </c>
      <c r="J6981" s="44" t="str">
        <f>VLOOKUP(G6981,[1]硬件清单!$F:$F,1,0)</f>
        <v>9800183908085746</v>
      </c>
      <c r="K6981" s="66"/>
      <c r="L6981" s="44"/>
      <c r="M6981" s="64" t="s">
        <v>21363</v>
      </c>
    </row>
    <row r="6982" ht="30" customHeight="1" spans="1:13">
      <c r="A6982" s="41">
        <f>IF(C6982="","",SUBTOTAL(103,$C$2:C6982))</f>
        <v>6973</v>
      </c>
      <c r="B6982" s="67"/>
      <c r="C6982" s="58" t="s">
        <v>20331</v>
      </c>
      <c r="D6982" s="68" t="s">
        <v>20337</v>
      </c>
      <c r="E6982" s="64" t="s">
        <v>20338</v>
      </c>
      <c r="F6982" s="68" t="s">
        <v>21003</v>
      </c>
      <c r="G6982" s="64" t="s">
        <v>21364</v>
      </c>
      <c r="H6982" s="68" t="s">
        <v>21365</v>
      </c>
      <c r="I6982" s="64">
        <v>1</v>
      </c>
      <c r="J6982" s="44" t="str">
        <f>VLOOKUP(G6982,[1]硬件清单!$F:$F,1,0)</f>
        <v>9800183908085829</v>
      </c>
      <c r="K6982" s="66"/>
      <c r="L6982" s="44"/>
      <c r="M6982" s="64" t="s">
        <v>21366</v>
      </c>
    </row>
    <row r="6983" ht="30" customHeight="1" spans="1:13">
      <c r="A6983" s="41">
        <f>IF(C6983="","",SUBTOTAL(103,$C$2:C6983))</f>
        <v>6974</v>
      </c>
      <c r="B6983" s="67"/>
      <c r="C6983" s="58" t="s">
        <v>20331</v>
      </c>
      <c r="D6983" s="68" t="s">
        <v>20337</v>
      </c>
      <c r="E6983" s="64" t="s">
        <v>20338</v>
      </c>
      <c r="F6983" s="68" t="s">
        <v>21003</v>
      </c>
      <c r="G6983" s="64" t="s">
        <v>21367</v>
      </c>
      <c r="H6983" s="68" t="s">
        <v>21368</v>
      </c>
      <c r="I6983" s="64">
        <v>1</v>
      </c>
      <c r="J6983" s="44" t="str">
        <f>VLOOKUP(G6983,[1]硬件清单!$F:$F,1,0)</f>
        <v>9800183908085739</v>
      </c>
      <c r="K6983" s="66"/>
      <c r="L6983" s="44"/>
      <c r="M6983" s="64" t="s">
        <v>21369</v>
      </c>
    </row>
    <row r="6984" ht="30" customHeight="1" spans="1:13">
      <c r="A6984" s="41">
        <f>IF(C6984="","",SUBTOTAL(103,$C$2:C6984))</f>
        <v>6975</v>
      </c>
      <c r="B6984" s="67"/>
      <c r="C6984" s="58" t="s">
        <v>20331</v>
      </c>
      <c r="D6984" s="68" t="s">
        <v>20337</v>
      </c>
      <c r="E6984" s="64" t="s">
        <v>20338</v>
      </c>
      <c r="F6984" s="68" t="s">
        <v>21003</v>
      </c>
      <c r="G6984" s="64" t="s">
        <v>21370</v>
      </c>
      <c r="H6984" s="68" t="s">
        <v>21371</v>
      </c>
      <c r="I6984" s="64">
        <v>1</v>
      </c>
      <c r="J6984" s="44" t="str">
        <f>VLOOKUP(G6984,[1]硬件清单!$F:$F,1,0)</f>
        <v>9800183908085722</v>
      </c>
      <c r="K6984" s="66"/>
      <c r="L6984" s="44"/>
      <c r="M6984" s="64" t="s">
        <v>21372</v>
      </c>
    </row>
    <row r="6985" ht="30" customHeight="1" spans="1:13">
      <c r="A6985" s="41">
        <f>IF(C6985="","",SUBTOTAL(103,$C$2:C6985))</f>
        <v>6976</v>
      </c>
      <c r="B6985" s="67"/>
      <c r="C6985" s="58" t="s">
        <v>20331</v>
      </c>
      <c r="D6985" s="68" t="s">
        <v>20337</v>
      </c>
      <c r="E6985" s="64" t="s">
        <v>20338</v>
      </c>
      <c r="F6985" s="68" t="s">
        <v>21003</v>
      </c>
      <c r="G6985" s="64" t="s">
        <v>21373</v>
      </c>
      <c r="H6985" s="68" t="s">
        <v>21374</v>
      </c>
      <c r="I6985" s="64">
        <v>1</v>
      </c>
      <c r="J6985" s="44" t="str">
        <f>VLOOKUP(G6985,[1]硬件清单!$F:$F,1,0)</f>
        <v>9800183908085724</v>
      </c>
      <c r="K6985" s="66"/>
      <c r="L6985" s="44"/>
      <c r="M6985" s="64" t="s">
        <v>21375</v>
      </c>
    </row>
    <row r="6986" ht="30" customHeight="1" spans="1:13">
      <c r="A6986" s="41">
        <f>IF(C6986="","",SUBTOTAL(103,$C$2:C6986))</f>
        <v>6977</v>
      </c>
      <c r="B6986" s="67"/>
      <c r="C6986" s="58" t="s">
        <v>20331</v>
      </c>
      <c r="D6986" s="68" t="s">
        <v>20337</v>
      </c>
      <c r="E6986" s="64" t="s">
        <v>20338</v>
      </c>
      <c r="F6986" s="68" t="s">
        <v>21003</v>
      </c>
      <c r="G6986" s="64" t="s">
        <v>21376</v>
      </c>
      <c r="H6986" s="68" t="s">
        <v>21377</v>
      </c>
      <c r="I6986" s="64">
        <v>1</v>
      </c>
      <c r="J6986" s="44" t="str">
        <f>VLOOKUP(G6986,[1]硬件清单!$F:$F,1,0)</f>
        <v>9800183908085732</v>
      </c>
      <c r="K6986" s="66"/>
      <c r="L6986" s="44"/>
      <c r="M6986" s="64" t="s">
        <v>21378</v>
      </c>
    </row>
    <row r="6987" ht="30" customHeight="1" spans="1:13">
      <c r="A6987" s="41">
        <f>IF(C6987="","",SUBTOTAL(103,$C$2:C6987))</f>
        <v>6978</v>
      </c>
      <c r="B6987" s="67"/>
      <c r="C6987" s="58" t="s">
        <v>20331</v>
      </c>
      <c r="D6987" s="68" t="s">
        <v>20337</v>
      </c>
      <c r="E6987" s="64" t="s">
        <v>20338</v>
      </c>
      <c r="F6987" s="68" t="s">
        <v>21003</v>
      </c>
      <c r="G6987" s="64" t="s">
        <v>21379</v>
      </c>
      <c r="H6987" s="68" t="s">
        <v>21380</v>
      </c>
      <c r="I6987" s="64">
        <v>1</v>
      </c>
      <c r="J6987" s="44" t="str">
        <f>VLOOKUP(G6987,[1]硬件清单!$F:$F,1,0)</f>
        <v>9800183908085865</v>
      </c>
      <c r="K6987" s="66"/>
      <c r="L6987" s="44"/>
      <c r="M6987" s="64" t="s">
        <v>21381</v>
      </c>
    </row>
    <row r="6988" ht="30" customHeight="1" spans="1:13">
      <c r="A6988" s="41">
        <f>IF(C6988="","",SUBTOTAL(103,$C$2:C6988))</f>
        <v>6979</v>
      </c>
      <c r="B6988" s="67"/>
      <c r="C6988" s="58" t="s">
        <v>20331</v>
      </c>
      <c r="D6988" s="68" t="s">
        <v>20337</v>
      </c>
      <c r="E6988" s="64" t="s">
        <v>20338</v>
      </c>
      <c r="F6988" s="68" t="s">
        <v>21003</v>
      </c>
      <c r="G6988" s="64" t="s">
        <v>21382</v>
      </c>
      <c r="H6988" s="68" t="s">
        <v>21383</v>
      </c>
      <c r="I6988" s="64">
        <v>1</v>
      </c>
      <c r="J6988" s="44" t="str">
        <f>VLOOKUP(G6988,[1]硬件清单!$F:$F,1,0)</f>
        <v>9800183908085729</v>
      </c>
      <c r="K6988" s="66"/>
      <c r="L6988" s="44"/>
      <c r="M6988" s="64" t="s">
        <v>21384</v>
      </c>
    </row>
    <row r="6989" ht="30" customHeight="1" spans="1:13">
      <c r="A6989" s="41">
        <f>IF(C6989="","",SUBTOTAL(103,$C$2:C6989))</f>
        <v>6980</v>
      </c>
      <c r="B6989" s="67"/>
      <c r="C6989" s="58" t="s">
        <v>20331</v>
      </c>
      <c r="D6989" s="68" t="s">
        <v>20337</v>
      </c>
      <c r="E6989" s="64" t="s">
        <v>20338</v>
      </c>
      <c r="F6989" s="68" t="s">
        <v>21003</v>
      </c>
      <c r="G6989" s="64" t="s">
        <v>21385</v>
      </c>
      <c r="H6989" s="68" t="s">
        <v>21386</v>
      </c>
      <c r="I6989" s="64">
        <v>1</v>
      </c>
      <c r="J6989" s="44" t="str">
        <f>VLOOKUP(G6989,[1]硬件清单!$F:$F,1,0)</f>
        <v>9800183908085815</v>
      </c>
      <c r="K6989" s="66"/>
      <c r="L6989" s="44"/>
      <c r="M6989" s="64" t="s">
        <v>21387</v>
      </c>
    </row>
    <row r="6990" ht="30" customHeight="1" spans="1:13">
      <c r="A6990" s="41">
        <f>IF(C6990="","",SUBTOTAL(103,$C$2:C6990))</f>
        <v>6981</v>
      </c>
      <c r="B6990" s="67"/>
      <c r="C6990" s="58" t="s">
        <v>20331</v>
      </c>
      <c r="D6990" s="68" t="s">
        <v>20337</v>
      </c>
      <c r="E6990" s="64" t="s">
        <v>20338</v>
      </c>
      <c r="F6990" s="68" t="s">
        <v>21003</v>
      </c>
      <c r="G6990" s="64" t="s">
        <v>21388</v>
      </c>
      <c r="H6990" s="68" t="s">
        <v>21389</v>
      </c>
      <c r="I6990" s="64">
        <v>1</v>
      </c>
      <c r="J6990" s="44" t="str">
        <f>VLOOKUP(G6990,[1]硬件清单!$F:$F,1,0)</f>
        <v>9800183908085727</v>
      </c>
      <c r="K6990" s="66"/>
      <c r="L6990" s="44"/>
      <c r="M6990" s="64" t="s">
        <v>21390</v>
      </c>
    </row>
    <row r="6991" ht="30" customHeight="1" spans="1:13">
      <c r="A6991" s="41">
        <f>IF(C6991="","",SUBTOTAL(103,$C$2:C6991))</f>
        <v>6982</v>
      </c>
      <c r="B6991" s="67"/>
      <c r="C6991" s="58" t="s">
        <v>20331</v>
      </c>
      <c r="D6991" s="68" t="s">
        <v>20337</v>
      </c>
      <c r="E6991" s="64" t="s">
        <v>20338</v>
      </c>
      <c r="F6991" s="68" t="s">
        <v>21003</v>
      </c>
      <c r="G6991" s="64" t="s">
        <v>21391</v>
      </c>
      <c r="H6991" s="68" t="s">
        <v>21392</v>
      </c>
      <c r="I6991" s="64">
        <v>1</v>
      </c>
      <c r="J6991" s="44" t="str">
        <f>VLOOKUP(G6991,[1]硬件清单!$F:$F,1,0)</f>
        <v>9800183908085786</v>
      </c>
      <c r="K6991" s="66"/>
      <c r="L6991" s="44"/>
      <c r="M6991" s="64" t="s">
        <v>21393</v>
      </c>
    </row>
    <row r="6992" ht="30" customHeight="1" spans="1:13">
      <c r="A6992" s="41">
        <f>IF(C6992="","",SUBTOTAL(103,$C$2:C6992))</f>
        <v>6983</v>
      </c>
      <c r="B6992" s="67"/>
      <c r="C6992" s="58" t="s">
        <v>20331</v>
      </c>
      <c r="D6992" s="68" t="s">
        <v>20337</v>
      </c>
      <c r="E6992" s="64" t="s">
        <v>20338</v>
      </c>
      <c r="F6992" s="68" t="s">
        <v>21003</v>
      </c>
      <c r="G6992" s="64" t="s">
        <v>21394</v>
      </c>
      <c r="H6992" s="68" t="s">
        <v>21395</v>
      </c>
      <c r="I6992" s="64">
        <v>1</v>
      </c>
      <c r="J6992" s="44" t="str">
        <f>VLOOKUP(G6992,[1]硬件清单!$F:$F,1,0)</f>
        <v>9800183908085900</v>
      </c>
      <c r="K6992" s="66"/>
      <c r="L6992" s="44"/>
      <c r="M6992" s="64" t="s">
        <v>21396</v>
      </c>
    </row>
    <row r="6993" ht="30" customHeight="1" spans="1:13">
      <c r="A6993" s="41">
        <f>IF(C6993="","",SUBTOTAL(103,$C$2:C6993))</f>
        <v>6984</v>
      </c>
      <c r="B6993" s="67"/>
      <c r="C6993" s="58" t="s">
        <v>20331</v>
      </c>
      <c r="D6993" s="68" t="s">
        <v>20337</v>
      </c>
      <c r="E6993" s="64" t="s">
        <v>20338</v>
      </c>
      <c r="F6993" s="68" t="s">
        <v>21003</v>
      </c>
      <c r="G6993" s="64" t="s">
        <v>21397</v>
      </c>
      <c r="H6993" s="68" t="s">
        <v>21398</v>
      </c>
      <c r="I6993" s="64">
        <v>1</v>
      </c>
      <c r="J6993" s="44" t="str">
        <f>VLOOKUP(G6993,[1]硬件清单!$F:$F,1,0)</f>
        <v>9800183908085744</v>
      </c>
      <c r="K6993" s="66"/>
      <c r="L6993" s="44"/>
      <c r="M6993" s="64" t="s">
        <v>21399</v>
      </c>
    </row>
    <row r="6994" ht="30" customHeight="1" spans="1:13">
      <c r="A6994" s="41">
        <f>IF(C6994="","",SUBTOTAL(103,$C$2:C6994))</f>
        <v>6985</v>
      </c>
      <c r="B6994" s="67"/>
      <c r="C6994" s="58" t="s">
        <v>20331</v>
      </c>
      <c r="D6994" s="68" t="s">
        <v>20337</v>
      </c>
      <c r="E6994" s="64" t="s">
        <v>20338</v>
      </c>
      <c r="F6994" s="68" t="s">
        <v>21003</v>
      </c>
      <c r="G6994" s="64" t="s">
        <v>21400</v>
      </c>
      <c r="H6994" s="68" t="s">
        <v>21401</v>
      </c>
      <c r="I6994" s="64">
        <v>1</v>
      </c>
      <c r="J6994" s="44" t="str">
        <f>VLOOKUP(G6994,[1]硬件清单!$F:$F,1,0)</f>
        <v>9800183908085774</v>
      </c>
      <c r="K6994" s="66"/>
      <c r="L6994" s="44"/>
      <c r="M6994" s="64" t="s">
        <v>21402</v>
      </c>
    </row>
    <row r="6995" ht="30" customHeight="1" spans="1:13">
      <c r="A6995" s="41">
        <f>IF(C6995="","",SUBTOTAL(103,$C$2:C6995))</f>
        <v>6986</v>
      </c>
      <c r="B6995" s="67"/>
      <c r="C6995" s="58" t="s">
        <v>20331</v>
      </c>
      <c r="D6995" s="68" t="s">
        <v>20337</v>
      </c>
      <c r="E6995" s="64" t="s">
        <v>20338</v>
      </c>
      <c r="F6995" s="68" t="s">
        <v>21003</v>
      </c>
      <c r="G6995" s="64" t="s">
        <v>21403</v>
      </c>
      <c r="H6995" s="68" t="s">
        <v>21404</v>
      </c>
      <c r="I6995" s="64">
        <v>1</v>
      </c>
      <c r="J6995" s="44" t="str">
        <f>VLOOKUP(G6995,[1]硬件清单!$F:$F,1,0)</f>
        <v>9800183908085737</v>
      </c>
      <c r="K6995" s="66"/>
      <c r="L6995" s="44"/>
      <c r="M6995" s="64" t="s">
        <v>21405</v>
      </c>
    </row>
    <row r="6996" ht="30" customHeight="1" spans="1:13">
      <c r="A6996" s="41">
        <f>IF(C6996="","",SUBTOTAL(103,$C$2:C6996))</f>
        <v>6987</v>
      </c>
      <c r="B6996" s="67"/>
      <c r="C6996" s="58" t="s">
        <v>20331</v>
      </c>
      <c r="D6996" s="68" t="s">
        <v>20337</v>
      </c>
      <c r="E6996" s="64" t="s">
        <v>20338</v>
      </c>
      <c r="F6996" s="68" t="s">
        <v>21003</v>
      </c>
      <c r="G6996" s="64" t="s">
        <v>21406</v>
      </c>
      <c r="H6996" s="68" t="s">
        <v>21407</v>
      </c>
      <c r="I6996" s="64">
        <v>1</v>
      </c>
      <c r="J6996" s="44" t="str">
        <f>VLOOKUP(G6996,[1]硬件清单!$F:$F,1,0)</f>
        <v>9800183908085759</v>
      </c>
      <c r="K6996" s="66"/>
      <c r="L6996" s="44"/>
      <c r="M6996" s="64" t="s">
        <v>21408</v>
      </c>
    </row>
    <row r="6997" ht="30" customHeight="1" spans="1:13">
      <c r="A6997" s="41">
        <f>IF(C6997="","",SUBTOTAL(103,$C$2:C6997))</f>
        <v>6988</v>
      </c>
      <c r="B6997" s="67"/>
      <c r="C6997" s="58" t="s">
        <v>20331</v>
      </c>
      <c r="D6997" s="68" t="s">
        <v>20337</v>
      </c>
      <c r="E6997" s="64" t="s">
        <v>20338</v>
      </c>
      <c r="F6997" s="68" t="s">
        <v>21003</v>
      </c>
      <c r="G6997" s="64" t="s">
        <v>21409</v>
      </c>
      <c r="H6997" s="68" t="s">
        <v>21410</v>
      </c>
      <c r="I6997" s="64">
        <v>1</v>
      </c>
      <c r="J6997" s="44" t="str">
        <f>VLOOKUP(G6997,[1]硬件清单!$F:$F,1,0)</f>
        <v>9800183908085788</v>
      </c>
      <c r="K6997" s="66"/>
      <c r="L6997" s="44"/>
      <c r="M6997" s="64" t="s">
        <v>21411</v>
      </c>
    </row>
    <row r="6998" ht="30" customHeight="1" spans="1:13">
      <c r="A6998" s="41">
        <f>IF(C6998="","",SUBTOTAL(103,$C$2:C6998))</f>
        <v>6989</v>
      </c>
      <c r="B6998" s="67"/>
      <c r="C6998" s="58" t="s">
        <v>20331</v>
      </c>
      <c r="D6998" s="68" t="s">
        <v>20337</v>
      </c>
      <c r="E6998" s="64" t="s">
        <v>20338</v>
      </c>
      <c r="F6998" s="68" t="s">
        <v>21003</v>
      </c>
      <c r="G6998" s="64" t="s">
        <v>21412</v>
      </c>
      <c r="H6998" s="68" t="s">
        <v>21413</v>
      </c>
      <c r="I6998" s="64">
        <v>1</v>
      </c>
      <c r="J6998" s="44" t="str">
        <f>VLOOKUP(G6998,[1]硬件清单!$F:$F,1,0)</f>
        <v>9800183908085756</v>
      </c>
      <c r="K6998" s="66"/>
      <c r="L6998" s="44"/>
      <c r="M6998" s="64" t="s">
        <v>21414</v>
      </c>
    </row>
    <row r="6999" ht="30" customHeight="1" spans="1:13">
      <c r="A6999" s="41">
        <f>IF(C6999="","",SUBTOTAL(103,$C$2:C6999))</f>
        <v>6990</v>
      </c>
      <c r="B6999" s="67"/>
      <c r="C6999" s="58" t="s">
        <v>20331</v>
      </c>
      <c r="D6999" s="68" t="s">
        <v>20337</v>
      </c>
      <c r="E6999" s="64" t="s">
        <v>20338</v>
      </c>
      <c r="F6999" s="68" t="s">
        <v>21003</v>
      </c>
      <c r="G6999" s="64" t="s">
        <v>21415</v>
      </c>
      <c r="H6999" s="68" t="s">
        <v>21416</v>
      </c>
      <c r="I6999" s="64">
        <v>1</v>
      </c>
      <c r="J6999" s="44" t="str">
        <f>VLOOKUP(G6999,[1]硬件清单!$F:$F,1,0)</f>
        <v>9800183908085821</v>
      </c>
      <c r="K6999" s="66"/>
      <c r="L6999" s="44"/>
      <c r="M6999" s="64" t="s">
        <v>21417</v>
      </c>
    </row>
    <row r="7000" ht="30" customHeight="1" spans="1:13">
      <c r="A7000" s="41">
        <f>IF(C7000="","",SUBTOTAL(103,$C$2:C7000))</f>
        <v>6991</v>
      </c>
      <c r="B7000" s="67"/>
      <c r="C7000" s="58" t="s">
        <v>20331</v>
      </c>
      <c r="D7000" s="68" t="s">
        <v>20337</v>
      </c>
      <c r="E7000" s="64" t="s">
        <v>20338</v>
      </c>
      <c r="F7000" s="68" t="s">
        <v>21003</v>
      </c>
      <c r="G7000" s="64" t="s">
        <v>21418</v>
      </c>
      <c r="H7000" s="68" t="s">
        <v>21419</v>
      </c>
      <c r="I7000" s="64">
        <v>1</v>
      </c>
      <c r="J7000" s="44" t="str">
        <f>VLOOKUP(G7000,[1]硬件清单!$F:$F,1,0)</f>
        <v>9800183908085806</v>
      </c>
      <c r="K7000" s="66"/>
      <c r="L7000" s="44"/>
      <c r="M7000" s="64" t="s">
        <v>21420</v>
      </c>
    </row>
    <row r="7001" ht="30" customHeight="1" spans="1:13">
      <c r="A7001" s="41">
        <f>IF(C7001="","",SUBTOTAL(103,$C$2:C7001))</f>
        <v>6992</v>
      </c>
      <c r="B7001" s="67"/>
      <c r="C7001" s="58" t="s">
        <v>20331</v>
      </c>
      <c r="D7001" s="68" t="s">
        <v>20337</v>
      </c>
      <c r="E7001" s="64" t="s">
        <v>20338</v>
      </c>
      <c r="F7001" s="68" t="s">
        <v>21003</v>
      </c>
      <c r="G7001" s="64" t="s">
        <v>21421</v>
      </c>
      <c r="H7001" s="68" t="s">
        <v>21422</v>
      </c>
      <c r="I7001" s="64">
        <v>1</v>
      </c>
      <c r="J7001" s="44" t="str">
        <f>VLOOKUP(G7001,[1]硬件清单!$F:$F,1,0)</f>
        <v>9800183908085697</v>
      </c>
      <c r="K7001" s="66"/>
      <c r="L7001" s="44"/>
      <c r="M7001" s="64" t="s">
        <v>21423</v>
      </c>
    </row>
    <row r="7002" ht="30" customHeight="1" spans="1:13">
      <c r="A7002" s="41">
        <f>IF(C7002="","",SUBTOTAL(103,$C$2:C7002))</f>
        <v>6993</v>
      </c>
      <c r="B7002" s="67"/>
      <c r="C7002" s="58" t="s">
        <v>20331</v>
      </c>
      <c r="D7002" s="68" t="s">
        <v>20337</v>
      </c>
      <c r="E7002" s="64" t="s">
        <v>20338</v>
      </c>
      <c r="F7002" s="68" t="s">
        <v>21003</v>
      </c>
      <c r="G7002" s="64" t="s">
        <v>21424</v>
      </c>
      <c r="H7002" s="68" t="s">
        <v>21425</v>
      </c>
      <c r="I7002" s="64">
        <v>1</v>
      </c>
      <c r="J7002" s="44" t="str">
        <f>VLOOKUP(G7002,[1]硬件清单!$F:$F,1,0)</f>
        <v>9800183908085778</v>
      </c>
      <c r="K7002" s="66"/>
      <c r="L7002" s="44"/>
      <c r="M7002" s="64" t="s">
        <v>21426</v>
      </c>
    </row>
    <row r="7003" ht="30" customHeight="1" spans="1:13">
      <c r="A7003" s="41">
        <f>IF(C7003="","",SUBTOTAL(103,$C$2:C7003))</f>
        <v>6994</v>
      </c>
      <c r="B7003" s="67"/>
      <c r="C7003" s="58" t="s">
        <v>20331</v>
      </c>
      <c r="D7003" s="68" t="s">
        <v>20337</v>
      </c>
      <c r="E7003" s="64" t="s">
        <v>20338</v>
      </c>
      <c r="F7003" s="68" t="s">
        <v>21003</v>
      </c>
      <c r="G7003" s="64" t="s">
        <v>21427</v>
      </c>
      <c r="H7003" s="68" t="s">
        <v>21428</v>
      </c>
      <c r="I7003" s="64">
        <v>1</v>
      </c>
      <c r="J7003" s="44" t="str">
        <f>VLOOKUP(G7003,[1]硬件清单!$F:$F,1,0)</f>
        <v>9800183908085830</v>
      </c>
      <c r="K7003" s="66"/>
      <c r="L7003" s="44"/>
      <c r="M7003" s="64" t="s">
        <v>21429</v>
      </c>
    </row>
    <row r="7004" ht="30" customHeight="1" spans="1:13">
      <c r="A7004" s="41">
        <f>IF(C7004="","",SUBTOTAL(103,$C$2:C7004))</f>
        <v>6995</v>
      </c>
      <c r="B7004" s="67"/>
      <c r="C7004" s="58" t="s">
        <v>20331</v>
      </c>
      <c r="D7004" s="68" t="s">
        <v>20337</v>
      </c>
      <c r="E7004" s="64" t="s">
        <v>20338</v>
      </c>
      <c r="F7004" s="68" t="s">
        <v>21003</v>
      </c>
      <c r="G7004" s="64" t="s">
        <v>21430</v>
      </c>
      <c r="H7004" s="68" t="s">
        <v>21431</v>
      </c>
      <c r="I7004" s="64">
        <v>1</v>
      </c>
      <c r="J7004" s="44" t="str">
        <f>VLOOKUP(G7004,[1]硬件清单!$F:$F,1,0)</f>
        <v>9800183908085703</v>
      </c>
      <c r="K7004" s="66"/>
      <c r="L7004" s="44"/>
      <c r="M7004" s="64" t="s">
        <v>21432</v>
      </c>
    </row>
    <row r="7005" ht="30" customHeight="1" spans="1:13">
      <c r="A7005" s="41">
        <f>IF(C7005="","",SUBTOTAL(103,$C$2:C7005))</f>
        <v>6996</v>
      </c>
      <c r="B7005" s="67"/>
      <c r="C7005" s="58" t="s">
        <v>20331</v>
      </c>
      <c r="D7005" s="68" t="s">
        <v>20337</v>
      </c>
      <c r="E7005" s="64" t="s">
        <v>20338</v>
      </c>
      <c r="F7005" s="68" t="s">
        <v>21003</v>
      </c>
      <c r="G7005" s="64" t="s">
        <v>21433</v>
      </c>
      <c r="H7005" s="68" t="s">
        <v>21434</v>
      </c>
      <c r="I7005" s="64">
        <v>1</v>
      </c>
      <c r="J7005" s="44" t="str">
        <f>VLOOKUP(G7005,[1]硬件清单!$F:$F,1,0)</f>
        <v>9800183908085898</v>
      </c>
      <c r="K7005" s="66"/>
      <c r="L7005" s="44"/>
      <c r="M7005" s="64" t="s">
        <v>21435</v>
      </c>
    </row>
    <row r="7006" ht="30" customHeight="1" spans="1:13">
      <c r="A7006" s="41">
        <f>IF(C7006="","",SUBTOTAL(103,$C$2:C7006))</f>
        <v>6997</v>
      </c>
      <c r="B7006" s="67"/>
      <c r="C7006" s="58" t="s">
        <v>20331</v>
      </c>
      <c r="D7006" s="68" t="s">
        <v>20337</v>
      </c>
      <c r="E7006" s="64" t="s">
        <v>20338</v>
      </c>
      <c r="F7006" s="68" t="s">
        <v>21003</v>
      </c>
      <c r="G7006" s="64" t="s">
        <v>21436</v>
      </c>
      <c r="H7006" s="68" t="s">
        <v>21437</v>
      </c>
      <c r="I7006" s="64">
        <v>1</v>
      </c>
      <c r="J7006" s="44" t="str">
        <f>VLOOKUP(G7006,[1]硬件清单!$F:$F,1,0)</f>
        <v>9800183908085883</v>
      </c>
      <c r="K7006" s="66"/>
      <c r="L7006" s="44"/>
      <c r="M7006" s="64" t="s">
        <v>21438</v>
      </c>
    </row>
    <row r="7007" ht="30" customHeight="1" spans="1:13">
      <c r="A7007" s="41">
        <f>IF(C7007="","",SUBTOTAL(103,$C$2:C7007))</f>
        <v>6998</v>
      </c>
      <c r="B7007" s="67"/>
      <c r="C7007" s="58" t="s">
        <v>20331</v>
      </c>
      <c r="D7007" s="68" t="s">
        <v>20337</v>
      </c>
      <c r="E7007" s="64" t="s">
        <v>20338</v>
      </c>
      <c r="F7007" s="68" t="s">
        <v>21003</v>
      </c>
      <c r="G7007" s="64" t="s">
        <v>21439</v>
      </c>
      <c r="H7007" s="68" t="s">
        <v>21440</v>
      </c>
      <c r="I7007" s="64">
        <v>1</v>
      </c>
      <c r="J7007" s="44" t="str">
        <f>VLOOKUP(G7007,[1]硬件清单!$F:$F,1,0)</f>
        <v>9800183908085820</v>
      </c>
      <c r="K7007" s="66"/>
      <c r="L7007" s="44"/>
      <c r="M7007" s="64" t="s">
        <v>21441</v>
      </c>
    </row>
    <row r="7008" ht="30" customHeight="1" spans="1:13">
      <c r="A7008" s="41">
        <f>IF(C7008="","",SUBTOTAL(103,$C$2:C7008))</f>
        <v>6999</v>
      </c>
      <c r="B7008" s="67"/>
      <c r="C7008" s="58" t="s">
        <v>20331</v>
      </c>
      <c r="D7008" s="68" t="s">
        <v>20337</v>
      </c>
      <c r="E7008" s="64" t="s">
        <v>20338</v>
      </c>
      <c r="F7008" s="68" t="s">
        <v>21003</v>
      </c>
      <c r="G7008" s="64" t="s">
        <v>21442</v>
      </c>
      <c r="H7008" s="68" t="s">
        <v>21443</v>
      </c>
      <c r="I7008" s="64">
        <v>1</v>
      </c>
      <c r="J7008" s="44" t="str">
        <f>VLOOKUP(G7008,[1]硬件清单!$F:$F,1,0)</f>
        <v>9800183908085808</v>
      </c>
      <c r="K7008" s="66"/>
      <c r="L7008" s="44"/>
      <c r="M7008" s="64" t="s">
        <v>21444</v>
      </c>
    </row>
    <row r="7009" ht="30" customHeight="1" spans="1:13">
      <c r="A7009" s="41">
        <f>IF(C7009="","",SUBTOTAL(103,$C$2:C7009))</f>
        <v>7000</v>
      </c>
      <c r="B7009" s="67"/>
      <c r="C7009" s="58" t="s">
        <v>20331</v>
      </c>
      <c r="D7009" s="68" t="s">
        <v>20337</v>
      </c>
      <c r="E7009" s="64" t="s">
        <v>20338</v>
      </c>
      <c r="F7009" s="68" t="s">
        <v>21003</v>
      </c>
      <c r="G7009" s="64" t="s">
        <v>21445</v>
      </c>
      <c r="H7009" s="68" t="s">
        <v>21446</v>
      </c>
      <c r="I7009" s="64">
        <v>1</v>
      </c>
      <c r="J7009" s="44" t="str">
        <f>VLOOKUP(G7009,[1]硬件清单!$F:$F,1,0)</f>
        <v>9800183908085763</v>
      </c>
      <c r="K7009" s="66"/>
      <c r="L7009" s="44"/>
      <c r="M7009" s="64" t="s">
        <v>21447</v>
      </c>
    </row>
    <row r="7010" ht="30" customHeight="1" spans="1:13">
      <c r="A7010" s="41">
        <f>IF(C7010="","",SUBTOTAL(103,$C$2:C7010))</f>
        <v>7001</v>
      </c>
      <c r="B7010" s="67"/>
      <c r="C7010" s="58" t="s">
        <v>20331</v>
      </c>
      <c r="D7010" s="68" t="s">
        <v>20337</v>
      </c>
      <c r="E7010" s="64" t="s">
        <v>20338</v>
      </c>
      <c r="F7010" s="68" t="s">
        <v>21003</v>
      </c>
      <c r="G7010" s="64" t="s">
        <v>21448</v>
      </c>
      <c r="H7010" s="68" t="s">
        <v>21449</v>
      </c>
      <c r="I7010" s="64">
        <v>1</v>
      </c>
      <c r="J7010" s="44" t="str">
        <f>VLOOKUP(G7010,[1]硬件清单!$F:$F,1,0)</f>
        <v>9800183908085857</v>
      </c>
      <c r="K7010" s="66"/>
      <c r="L7010" s="44"/>
      <c r="M7010" s="64" t="s">
        <v>21450</v>
      </c>
    </row>
    <row r="7011" ht="30" customHeight="1" spans="1:13">
      <c r="A7011" s="41">
        <f>IF(C7011="","",SUBTOTAL(103,$C$2:C7011))</f>
        <v>7002</v>
      </c>
      <c r="B7011" s="67"/>
      <c r="C7011" s="58" t="s">
        <v>20331</v>
      </c>
      <c r="D7011" s="68" t="s">
        <v>20337</v>
      </c>
      <c r="E7011" s="64" t="s">
        <v>20338</v>
      </c>
      <c r="F7011" s="68" t="s">
        <v>21003</v>
      </c>
      <c r="G7011" s="64" t="s">
        <v>21451</v>
      </c>
      <c r="H7011" s="68" t="s">
        <v>21452</v>
      </c>
      <c r="I7011" s="64">
        <v>1</v>
      </c>
      <c r="J7011" s="44" t="str">
        <f>VLOOKUP(G7011,[1]硬件清单!$F:$F,1,0)</f>
        <v>9800183908085793</v>
      </c>
      <c r="K7011" s="66"/>
      <c r="L7011" s="44"/>
      <c r="M7011" s="64" t="s">
        <v>21453</v>
      </c>
    </row>
    <row r="7012" ht="30" customHeight="1" spans="1:13">
      <c r="A7012" s="41">
        <f>IF(C7012="","",SUBTOTAL(103,$C$2:C7012))</f>
        <v>7003</v>
      </c>
      <c r="B7012" s="67"/>
      <c r="C7012" s="58" t="s">
        <v>20331</v>
      </c>
      <c r="D7012" s="68" t="s">
        <v>20337</v>
      </c>
      <c r="E7012" s="64" t="s">
        <v>20338</v>
      </c>
      <c r="F7012" s="68" t="s">
        <v>21003</v>
      </c>
      <c r="G7012" s="64" t="s">
        <v>21454</v>
      </c>
      <c r="H7012" s="68" t="s">
        <v>21455</v>
      </c>
      <c r="I7012" s="64">
        <v>1</v>
      </c>
      <c r="J7012" s="44" t="str">
        <f>VLOOKUP(G7012,[1]硬件清单!$F:$F,1,0)</f>
        <v>9800183908085766</v>
      </c>
      <c r="K7012" s="66"/>
      <c r="L7012" s="44"/>
      <c r="M7012" s="64" t="s">
        <v>21456</v>
      </c>
    </row>
    <row r="7013" ht="30" customHeight="1" spans="1:13">
      <c r="A7013" s="41">
        <f>IF(C7013="","",SUBTOTAL(103,$C$2:C7013))</f>
        <v>7004</v>
      </c>
      <c r="B7013" s="67"/>
      <c r="C7013" s="58" t="s">
        <v>20331</v>
      </c>
      <c r="D7013" s="68" t="s">
        <v>20337</v>
      </c>
      <c r="E7013" s="64" t="s">
        <v>20338</v>
      </c>
      <c r="F7013" s="68" t="s">
        <v>21003</v>
      </c>
      <c r="G7013" s="64" t="s">
        <v>21457</v>
      </c>
      <c r="H7013" s="68" t="s">
        <v>21458</v>
      </c>
      <c r="I7013" s="64">
        <v>1</v>
      </c>
      <c r="J7013" s="44" t="str">
        <f>VLOOKUP(G7013,[1]硬件清单!$F:$F,1,0)</f>
        <v>9800183908085812</v>
      </c>
      <c r="K7013" s="66"/>
      <c r="L7013" s="44"/>
      <c r="M7013" s="64" t="s">
        <v>21459</v>
      </c>
    </row>
    <row r="7014" ht="30" customHeight="1" spans="1:13">
      <c r="A7014" s="41">
        <f>IF(C7014="","",SUBTOTAL(103,$C$2:C7014))</f>
        <v>7005</v>
      </c>
      <c r="B7014" s="67"/>
      <c r="C7014" s="58" t="s">
        <v>20331</v>
      </c>
      <c r="D7014" s="68" t="s">
        <v>20337</v>
      </c>
      <c r="E7014" s="64" t="s">
        <v>20338</v>
      </c>
      <c r="F7014" s="68" t="s">
        <v>21003</v>
      </c>
      <c r="G7014" s="64" t="s">
        <v>21460</v>
      </c>
      <c r="H7014" s="68" t="s">
        <v>21461</v>
      </c>
      <c r="I7014" s="64">
        <v>1</v>
      </c>
      <c r="J7014" s="44" t="str">
        <f>VLOOKUP(G7014,[1]硬件清单!$F:$F,1,0)</f>
        <v>9800183908085818</v>
      </c>
      <c r="K7014" s="66"/>
      <c r="L7014" s="44"/>
      <c r="M7014" s="64" t="s">
        <v>21462</v>
      </c>
    </row>
    <row r="7015" ht="30" customHeight="1" spans="1:13">
      <c r="A7015" s="41">
        <f>IF(C7015="","",SUBTOTAL(103,$C$2:C7015))</f>
        <v>7006</v>
      </c>
      <c r="B7015" s="67"/>
      <c r="C7015" s="58" t="s">
        <v>20331</v>
      </c>
      <c r="D7015" s="68" t="s">
        <v>20337</v>
      </c>
      <c r="E7015" s="64" t="s">
        <v>20338</v>
      </c>
      <c r="F7015" s="68" t="s">
        <v>21003</v>
      </c>
      <c r="G7015" s="64" t="s">
        <v>21463</v>
      </c>
      <c r="H7015" s="68" t="s">
        <v>21464</v>
      </c>
      <c r="I7015" s="64">
        <v>1</v>
      </c>
      <c r="J7015" s="44" t="str">
        <f>VLOOKUP(G7015,[1]硬件清单!$F:$F,1,0)</f>
        <v>9800183908085699</v>
      </c>
      <c r="K7015" s="66"/>
      <c r="L7015" s="44"/>
      <c r="M7015" s="64" t="s">
        <v>21465</v>
      </c>
    </row>
    <row r="7016" ht="30" customHeight="1" spans="1:13">
      <c r="A7016" s="41">
        <f>IF(C7016="","",SUBTOTAL(103,$C$2:C7016))</f>
        <v>7007</v>
      </c>
      <c r="B7016" s="67"/>
      <c r="C7016" s="58" t="s">
        <v>20331</v>
      </c>
      <c r="D7016" s="68" t="s">
        <v>20337</v>
      </c>
      <c r="E7016" s="64" t="s">
        <v>20338</v>
      </c>
      <c r="F7016" s="68" t="s">
        <v>21003</v>
      </c>
      <c r="G7016" s="64" t="s">
        <v>21466</v>
      </c>
      <c r="H7016" s="68" t="s">
        <v>21467</v>
      </c>
      <c r="I7016" s="64">
        <v>1</v>
      </c>
      <c r="J7016" s="44" t="str">
        <f>VLOOKUP(G7016,[1]硬件清单!$F:$F,1,0)</f>
        <v>9800183908085762</v>
      </c>
      <c r="K7016" s="66"/>
      <c r="L7016" s="44"/>
      <c r="M7016" s="64" t="s">
        <v>21468</v>
      </c>
    </row>
    <row r="7017" ht="30" customHeight="1" spans="1:13">
      <c r="A7017" s="41">
        <f>IF(C7017="","",SUBTOTAL(103,$C$2:C7017))</f>
        <v>7008</v>
      </c>
      <c r="B7017" s="67"/>
      <c r="C7017" s="58" t="s">
        <v>20331</v>
      </c>
      <c r="D7017" s="68" t="s">
        <v>20337</v>
      </c>
      <c r="E7017" s="64" t="s">
        <v>20338</v>
      </c>
      <c r="F7017" s="68" t="s">
        <v>21003</v>
      </c>
      <c r="G7017" s="64" t="s">
        <v>21469</v>
      </c>
      <c r="H7017" s="68" t="s">
        <v>21470</v>
      </c>
      <c r="I7017" s="64">
        <v>1</v>
      </c>
      <c r="J7017" s="44" t="str">
        <f>VLOOKUP(G7017,[1]硬件清单!$F:$F,1,0)</f>
        <v>9800183908085814</v>
      </c>
      <c r="K7017" s="66"/>
      <c r="L7017" s="44"/>
      <c r="M7017" s="64" t="s">
        <v>21471</v>
      </c>
    </row>
    <row r="7018" ht="30" customHeight="1" spans="1:13">
      <c r="A7018" s="41">
        <f>IF(C7018="","",SUBTOTAL(103,$C$2:C7018))</f>
        <v>7009</v>
      </c>
      <c r="B7018" s="67"/>
      <c r="C7018" s="58" t="s">
        <v>20331</v>
      </c>
      <c r="D7018" s="68" t="s">
        <v>20337</v>
      </c>
      <c r="E7018" s="64" t="s">
        <v>20338</v>
      </c>
      <c r="F7018" s="68" t="s">
        <v>21003</v>
      </c>
      <c r="G7018" s="64" t="s">
        <v>21472</v>
      </c>
      <c r="H7018" s="68" t="s">
        <v>21473</v>
      </c>
      <c r="I7018" s="64">
        <v>1</v>
      </c>
      <c r="J7018" s="44" t="str">
        <f>VLOOKUP(G7018,[1]硬件清单!$F:$F,1,0)</f>
        <v>9800183908085684</v>
      </c>
      <c r="K7018" s="66"/>
      <c r="L7018" s="44"/>
      <c r="M7018" s="64" t="s">
        <v>21474</v>
      </c>
    </row>
    <row r="7019" ht="30" customHeight="1" spans="1:13">
      <c r="A7019" s="41">
        <f>IF(C7019="","",SUBTOTAL(103,$C$2:C7019))</f>
        <v>7010</v>
      </c>
      <c r="B7019" s="67"/>
      <c r="C7019" s="58" t="s">
        <v>20331</v>
      </c>
      <c r="D7019" s="68" t="s">
        <v>20337</v>
      </c>
      <c r="E7019" s="64" t="s">
        <v>20338</v>
      </c>
      <c r="F7019" s="68" t="s">
        <v>21003</v>
      </c>
      <c r="G7019" s="64" t="s">
        <v>21475</v>
      </c>
      <c r="H7019" s="68" t="s">
        <v>21476</v>
      </c>
      <c r="I7019" s="64">
        <v>1</v>
      </c>
      <c r="J7019" s="44" t="str">
        <f>VLOOKUP(G7019,[1]硬件清单!$F:$F,1,0)</f>
        <v>9800183908085864</v>
      </c>
      <c r="K7019" s="66"/>
      <c r="L7019" s="44"/>
      <c r="M7019" s="64" t="s">
        <v>21477</v>
      </c>
    </row>
    <row r="7020" ht="30" customHeight="1" spans="1:13">
      <c r="A7020" s="41">
        <f>IF(C7020="","",SUBTOTAL(103,$C$2:C7020))</f>
        <v>7011</v>
      </c>
      <c r="B7020" s="67"/>
      <c r="C7020" s="58" t="s">
        <v>20331</v>
      </c>
      <c r="D7020" s="68" t="s">
        <v>20337</v>
      </c>
      <c r="E7020" s="64" t="s">
        <v>20338</v>
      </c>
      <c r="F7020" s="68" t="s">
        <v>21003</v>
      </c>
      <c r="G7020" s="64" t="s">
        <v>21478</v>
      </c>
      <c r="H7020" s="68" t="s">
        <v>21479</v>
      </c>
      <c r="I7020" s="64">
        <v>1</v>
      </c>
      <c r="J7020" s="44" t="str">
        <f>VLOOKUP(G7020,[1]硬件清单!$F:$F,1,0)</f>
        <v>9800183908085893</v>
      </c>
      <c r="K7020" s="66"/>
      <c r="L7020" s="44"/>
      <c r="M7020" s="64" t="s">
        <v>21480</v>
      </c>
    </row>
    <row r="7021" ht="30" customHeight="1" spans="1:13">
      <c r="A7021" s="41">
        <f>IF(C7021="","",SUBTOTAL(103,$C$2:C7021))</f>
        <v>7012</v>
      </c>
      <c r="B7021" s="67"/>
      <c r="C7021" s="58" t="s">
        <v>20331</v>
      </c>
      <c r="D7021" s="68" t="s">
        <v>20337</v>
      </c>
      <c r="E7021" s="64" t="s">
        <v>20338</v>
      </c>
      <c r="F7021" s="68" t="s">
        <v>21003</v>
      </c>
      <c r="G7021" s="64" t="s">
        <v>21481</v>
      </c>
      <c r="H7021" s="68" t="s">
        <v>21482</v>
      </c>
      <c r="I7021" s="64">
        <v>1</v>
      </c>
      <c r="J7021" s="44" t="str">
        <f>VLOOKUP(G7021,[1]硬件清单!$F:$F,1,0)</f>
        <v>9800183908085872</v>
      </c>
      <c r="K7021" s="66"/>
      <c r="L7021" s="44"/>
      <c r="M7021" s="64" t="s">
        <v>21483</v>
      </c>
    </row>
    <row r="7022" ht="30" customHeight="1" spans="1:13">
      <c r="A7022" s="41">
        <f>IF(C7022="","",SUBTOTAL(103,$C$2:C7022))</f>
        <v>7013</v>
      </c>
      <c r="B7022" s="67"/>
      <c r="C7022" s="58" t="s">
        <v>20331</v>
      </c>
      <c r="D7022" s="68" t="s">
        <v>20337</v>
      </c>
      <c r="E7022" s="64" t="s">
        <v>20338</v>
      </c>
      <c r="F7022" s="68" t="s">
        <v>21003</v>
      </c>
      <c r="G7022" s="64" t="s">
        <v>21484</v>
      </c>
      <c r="H7022" s="68" t="s">
        <v>21485</v>
      </c>
      <c r="I7022" s="64">
        <v>1</v>
      </c>
      <c r="J7022" s="44" t="str">
        <f>VLOOKUP(G7022,[1]硬件清单!$F:$F,1,0)</f>
        <v>9800183908085805</v>
      </c>
      <c r="K7022" s="66"/>
      <c r="L7022" s="44"/>
      <c r="M7022" s="64" t="s">
        <v>21486</v>
      </c>
    </row>
    <row r="7023" ht="30" customHeight="1" spans="1:13">
      <c r="A7023" s="41">
        <f>IF(C7023="","",SUBTOTAL(103,$C$2:C7023))</f>
        <v>7014</v>
      </c>
      <c r="B7023" s="67"/>
      <c r="C7023" s="58" t="s">
        <v>20331</v>
      </c>
      <c r="D7023" s="68" t="s">
        <v>20337</v>
      </c>
      <c r="E7023" s="64" t="s">
        <v>20338</v>
      </c>
      <c r="F7023" s="68" t="s">
        <v>21003</v>
      </c>
      <c r="G7023" s="64" t="s">
        <v>21487</v>
      </c>
      <c r="H7023" s="68" t="s">
        <v>21488</v>
      </c>
      <c r="I7023" s="64">
        <v>1</v>
      </c>
      <c r="J7023" s="44" t="str">
        <f>VLOOKUP(G7023,[1]硬件清单!$F:$F,1,0)</f>
        <v>9800183908085867</v>
      </c>
      <c r="K7023" s="66"/>
      <c r="L7023" s="44"/>
      <c r="M7023" s="64" t="s">
        <v>21489</v>
      </c>
    </row>
    <row r="7024" ht="30" customHeight="1" spans="1:13">
      <c r="A7024" s="41">
        <f>IF(C7024="","",SUBTOTAL(103,$C$2:C7024))</f>
        <v>7015</v>
      </c>
      <c r="B7024" s="67"/>
      <c r="C7024" s="58" t="s">
        <v>20331</v>
      </c>
      <c r="D7024" s="68" t="s">
        <v>20337</v>
      </c>
      <c r="E7024" s="64" t="s">
        <v>20338</v>
      </c>
      <c r="F7024" s="68" t="s">
        <v>21003</v>
      </c>
      <c r="G7024" s="64" t="s">
        <v>21490</v>
      </c>
      <c r="H7024" s="68" t="s">
        <v>21491</v>
      </c>
      <c r="I7024" s="64">
        <v>1</v>
      </c>
      <c r="J7024" s="44" t="str">
        <f>VLOOKUP(G7024,[1]硬件清单!$F:$F,1,0)</f>
        <v>9800183908085817</v>
      </c>
      <c r="K7024" s="66"/>
      <c r="L7024" s="44"/>
      <c r="M7024" s="64" t="s">
        <v>21492</v>
      </c>
    </row>
    <row r="7025" ht="30" customHeight="1" spans="1:13">
      <c r="A7025" s="41">
        <f>IF(C7025="","",SUBTOTAL(103,$C$2:C7025))</f>
        <v>7016</v>
      </c>
      <c r="B7025" s="67"/>
      <c r="C7025" s="58" t="s">
        <v>20331</v>
      </c>
      <c r="D7025" s="68" t="s">
        <v>20337</v>
      </c>
      <c r="E7025" s="64" t="s">
        <v>20338</v>
      </c>
      <c r="F7025" s="68" t="s">
        <v>21003</v>
      </c>
      <c r="G7025" s="64" t="s">
        <v>21493</v>
      </c>
      <c r="H7025" s="68" t="s">
        <v>21494</v>
      </c>
      <c r="I7025" s="64">
        <v>1</v>
      </c>
      <c r="J7025" s="44" t="str">
        <f>VLOOKUP(G7025,[1]硬件清单!$F:$F,1,0)</f>
        <v>9800183908085885</v>
      </c>
      <c r="K7025" s="66"/>
      <c r="L7025" s="44"/>
      <c r="M7025" s="64" t="s">
        <v>21495</v>
      </c>
    </row>
    <row r="7026" ht="30" customHeight="1" spans="1:13">
      <c r="A7026" s="41">
        <f>IF(C7026="","",SUBTOTAL(103,$C$2:C7026))</f>
        <v>7017</v>
      </c>
      <c r="B7026" s="67"/>
      <c r="C7026" s="58" t="s">
        <v>20331</v>
      </c>
      <c r="D7026" s="68" t="s">
        <v>20337</v>
      </c>
      <c r="E7026" s="64" t="s">
        <v>20338</v>
      </c>
      <c r="F7026" s="68" t="s">
        <v>21003</v>
      </c>
      <c r="G7026" s="64" t="s">
        <v>21496</v>
      </c>
      <c r="H7026" s="68" t="s">
        <v>21497</v>
      </c>
      <c r="I7026" s="64">
        <v>1</v>
      </c>
      <c r="J7026" s="44" t="str">
        <f>VLOOKUP(G7026,[1]硬件清单!$F:$F,1,0)</f>
        <v>9800183908085897</v>
      </c>
      <c r="K7026" s="66"/>
      <c r="L7026" s="44"/>
      <c r="M7026" s="64" t="s">
        <v>21498</v>
      </c>
    </row>
    <row r="7027" ht="30" customHeight="1" spans="1:13">
      <c r="A7027" s="41">
        <f>IF(C7027="","",SUBTOTAL(103,$C$2:C7027))</f>
        <v>7018</v>
      </c>
      <c r="B7027" s="67"/>
      <c r="C7027" s="58" t="s">
        <v>20331</v>
      </c>
      <c r="D7027" s="68" t="s">
        <v>20337</v>
      </c>
      <c r="E7027" s="64" t="s">
        <v>20338</v>
      </c>
      <c r="F7027" s="68" t="s">
        <v>21003</v>
      </c>
      <c r="G7027" s="64" t="s">
        <v>21499</v>
      </c>
      <c r="H7027" s="68" t="s">
        <v>21500</v>
      </c>
      <c r="I7027" s="64">
        <v>1</v>
      </c>
      <c r="J7027" s="44" t="str">
        <f>VLOOKUP(G7027,[1]硬件清单!$F:$F,1,0)</f>
        <v>9800183908085884</v>
      </c>
      <c r="K7027" s="66"/>
      <c r="L7027" s="44"/>
      <c r="M7027" s="64" t="s">
        <v>21501</v>
      </c>
    </row>
    <row r="7028" ht="30" customHeight="1" spans="1:13">
      <c r="A7028" s="41">
        <f>IF(C7028="","",SUBTOTAL(103,$C$2:C7028))</f>
        <v>7019</v>
      </c>
      <c r="B7028" s="67"/>
      <c r="C7028" s="58" t="s">
        <v>20331</v>
      </c>
      <c r="D7028" s="68" t="s">
        <v>20337</v>
      </c>
      <c r="E7028" s="64" t="s">
        <v>20338</v>
      </c>
      <c r="F7028" s="68" t="s">
        <v>21003</v>
      </c>
      <c r="G7028" s="64" t="s">
        <v>21502</v>
      </c>
      <c r="H7028" s="68" t="s">
        <v>21503</v>
      </c>
      <c r="I7028" s="64">
        <v>1</v>
      </c>
      <c r="J7028" s="44" t="str">
        <f>VLOOKUP(G7028,[1]硬件清单!$F:$F,1,0)</f>
        <v>9800183908085905</v>
      </c>
      <c r="K7028" s="66"/>
      <c r="L7028" s="44"/>
      <c r="M7028" s="64" t="s">
        <v>21504</v>
      </c>
    </row>
    <row r="7029" ht="30" customHeight="1" spans="1:13">
      <c r="A7029" s="41">
        <f>IF(C7029="","",SUBTOTAL(103,$C$2:C7029))</f>
        <v>7020</v>
      </c>
      <c r="B7029" s="67"/>
      <c r="C7029" s="58" t="s">
        <v>20331</v>
      </c>
      <c r="D7029" s="68" t="s">
        <v>20337</v>
      </c>
      <c r="E7029" s="64" t="s">
        <v>20338</v>
      </c>
      <c r="F7029" s="68" t="s">
        <v>21003</v>
      </c>
      <c r="G7029" s="64" t="s">
        <v>21505</v>
      </c>
      <c r="H7029" s="68" t="s">
        <v>21506</v>
      </c>
      <c r="I7029" s="64">
        <v>1</v>
      </c>
      <c r="J7029" s="44" t="str">
        <f>VLOOKUP(G7029,[1]硬件清单!$F:$F,1,0)</f>
        <v>9800183908085792</v>
      </c>
      <c r="K7029" s="66"/>
      <c r="L7029" s="44"/>
      <c r="M7029" s="64" t="s">
        <v>21507</v>
      </c>
    </row>
    <row r="7030" ht="30" customHeight="1" spans="1:13">
      <c r="A7030" s="41">
        <f>IF(C7030="","",SUBTOTAL(103,$C$2:C7030))</f>
        <v>7021</v>
      </c>
      <c r="B7030" s="67"/>
      <c r="C7030" s="58" t="s">
        <v>20331</v>
      </c>
      <c r="D7030" s="68" t="s">
        <v>20337</v>
      </c>
      <c r="E7030" s="64" t="s">
        <v>20338</v>
      </c>
      <c r="F7030" s="68" t="s">
        <v>21003</v>
      </c>
      <c r="G7030" s="64" t="s">
        <v>21508</v>
      </c>
      <c r="H7030" s="68" t="s">
        <v>21509</v>
      </c>
      <c r="I7030" s="64">
        <v>1</v>
      </c>
      <c r="J7030" s="44" t="str">
        <f>VLOOKUP(G7030,[1]硬件清单!$F:$F,1,0)</f>
        <v>9800183908085789</v>
      </c>
      <c r="K7030" s="66"/>
      <c r="L7030" s="44"/>
      <c r="M7030" s="64" t="s">
        <v>21510</v>
      </c>
    </row>
    <row r="7031" ht="30" customHeight="1" spans="1:13">
      <c r="A7031" s="41">
        <f>IF(C7031="","",SUBTOTAL(103,$C$2:C7031))</f>
        <v>7022</v>
      </c>
      <c r="B7031" s="67"/>
      <c r="C7031" s="58" t="s">
        <v>20331</v>
      </c>
      <c r="D7031" s="68" t="s">
        <v>20337</v>
      </c>
      <c r="E7031" s="64" t="s">
        <v>20338</v>
      </c>
      <c r="F7031" s="68" t="s">
        <v>21003</v>
      </c>
      <c r="G7031" s="64" t="s">
        <v>21511</v>
      </c>
      <c r="H7031" s="68" t="s">
        <v>21512</v>
      </c>
      <c r="I7031" s="64">
        <v>1</v>
      </c>
      <c r="J7031" s="44" t="str">
        <f>VLOOKUP(G7031,[1]硬件清单!$F:$F,1,0)</f>
        <v>9800183908085760</v>
      </c>
      <c r="K7031" s="66"/>
      <c r="L7031" s="44"/>
      <c r="M7031" s="64" t="s">
        <v>21513</v>
      </c>
    </row>
    <row r="7032" ht="30" customHeight="1" spans="1:13">
      <c r="A7032" s="41">
        <f>IF(C7032="","",SUBTOTAL(103,$C$2:C7032))</f>
        <v>7023</v>
      </c>
      <c r="B7032" s="67"/>
      <c r="C7032" s="58" t="s">
        <v>20331</v>
      </c>
      <c r="D7032" s="68" t="s">
        <v>20337</v>
      </c>
      <c r="E7032" s="64" t="s">
        <v>20338</v>
      </c>
      <c r="F7032" s="68" t="s">
        <v>21003</v>
      </c>
      <c r="G7032" s="64" t="s">
        <v>21514</v>
      </c>
      <c r="H7032" s="68" t="s">
        <v>21515</v>
      </c>
      <c r="I7032" s="64">
        <v>1</v>
      </c>
      <c r="J7032" s="44" t="str">
        <f>VLOOKUP(G7032,[1]硬件清单!$F:$F,1,0)</f>
        <v>9800183908085757</v>
      </c>
      <c r="K7032" s="66"/>
      <c r="L7032" s="44"/>
      <c r="M7032" s="64" t="s">
        <v>21516</v>
      </c>
    </row>
    <row r="7033" ht="30" customHeight="1" spans="1:13">
      <c r="A7033" s="41">
        <f>IF(C7033="","",SUBTOTAL(103,$C$2:C7033))</f>
        <v>7024</v>
      </c>
      <c r="B7033" s="67"/>
      <c r="C7033" s="58" t="s">
        <v>20331</v>
      </c>
      <c r="D7033" s="68" t="s">
        <v>20337</v>
      </c>
      <c r="E7033" s="64" t="s">
        <v>20338</v>
      </c>
      <c r="F7033" s="68" t="s">
        <v>21003</v>
      </c>
      <c r="G7033" s="64" t="s">
        <v>21517</v>
      </c>
      <c r="H7033" s="68" t="s">
        <v>21518</v>
      </c>
      <c r="I7033" s="64">
        <v>1</v>
      </c>
      <c r="J7033" s="44" t="str">
        <f>VLOOKUP(G7033,[1]硬件清单!$F:$F,1,0)</f>
        <v>9800183908085843</v>
      </c>
      <c r="K7033" s="66"/>
      <c r="L7033" s="44"/>
      <c r="M7033" s="64" t="s">
        <v>21519</v>
      </c>
    </row>
    <row r="7034" ht="30" customHeight="1" spans="1:13">
      <c r="A7034" s="41">
        <f>IF(C7034="","",SUBTOTAL(103,$C$2:C7034))</f>
        <v>7025</v>
      </c>
      <c r="B7034" s="67"/>
      <c r="C7034" s="58" t="s">
        <v>20331</v>
      </c>
      <c r="D7034" s="68" t="s">
        <v>20337</v>
      </c>
      <c r="E7034" s="64" t="s">
        <v>20338</v>
      </c>
      <c r="F7034" s="68" t="s">
        <v>21003</v>
      </c>
      <c r="G7034" s="64" t="s">
        <v>21520</v>
      </c>
      <c r="H7034" s="68" t="s">
        <v>21521</v>
      </c>
      <c r="I7034" s="64">
        <v>1</v>
      </c>
      <c r="J7034" s="44" t="str">
        <f>VLOOKUP(G7034,[1]硬件清单!$F:$F,1,0)</f>
        <v>9800183908085700</v>
      </c>
      <c r="K7034" s="66"/>
      <c r="L7034" s="44"/>
      <c r="M7034" s="64" t="s">
        <v>21522</v>
      </c>
    </row>
    <row r="7035" ht="30" customHeight="1" spans="1:13">
      <c r="A7035" s="41">
        <f>IF(C7035="","",SUBTOTAL(103,$C$2:C7035))</f>
        <v>7026</v>
      </c>
      <c r="B7035" s="67"/>
      <c r="C7035" s="58" t="s">
        <v>20331</v>
      </c>
      <c r="D7035" s="68" t="s">
        <v>20337</v>
      </c>
      <c r="E7035" s="64" t="s">
        <v>20338</v>
      </c>
      <c r="F7035" s="68" t="s">
        <v>21003</v>
      </c>
      <c r="G7035" s="64" t="s">
        <v>21523</v>
      </c>
      <c r="H7035" s="68" t="s">
        <v>21524</v>
      </c>
      <c r="I7035" s="64">
        <v>1</v>
      </c>
      <c r="J7035" s="44" t="str">
        <f>VLOOKUP(G7035,[1]硬件清单!$F:$F,1,0)</f>
        <v>9800183908085749</v>
      </c>
      <c r="K7035" s="66"/>
      <c r="L7035" s="44"/>
      <c r="M7035" s="64" t="s">
        <v>21525</v>
      </c>
    </row>
    <row r="7036" ht="30" customHeight="1" spans="1:13">
      <c r="A7036" s="41">
        <f>IF(C7036="","",SUBTOTAL(103,$C$2:C7036))</f>
        <v>7027</v>
      </c>
      <c r="B7036" s="67"/>
      <c r="C7036" s="58" t="s">
        <v>20331</v>
      </c>
      <c r="D7036" s="68" t="s">
        <v>20337</v>
      </c>
      <c r="E7036" s="64" t="s">
        <v>20338</v>
      </c>
      <c r="F7036" s="68" t="s">
        <v>21003</v>
      </c>
      <c r="G7036" s="64" t="s">
        <v>21526</v>
      </c>
      <c r="H7036" s="68" t="s">
        <v>21527</v>
      </c>
      <c r="I7036" s="64">
        <v>1</v>
      </c>
      <c r="J7036" s="44" t="str">
        <f>VLOOKUP(G7036,[1]硬件清单!$F:$F,1,0)</f>
        <v>9800183908085798</v>
      </c>
      <c r="K7036" s="66"/>
      <c r="L7036" s="44"/>
      <c r="M7036" s="64" t="s">
        <v>21528</v>
      </c>
    </row>
    <row r="7037" ht="30" customHeight="1" spans="1:13">
      <c r="A7037" s="41">
        <f>IF(C7037="","",SUBTOTAL(103,$C$2:C7037))</f>
        <v>7028</v>
      </c>
      <c r="B7037" s="67"/>
      <c r="C7037" s="58" t="s">
        <v>20331</v>
      </c>
      <c r="D7037" s="68" t="s">
        <v>20337</v>
      </c>
      <c r="E7037" s="64" t="s">
        <v>20338</v>
      </c>
      <c r="F7037" s="68" t="s">
        <v>21003</v>
      </c>
      <c r="G7037" s="64" t="s">
        <v>21529</v>
      </c>
      <c r="H7037" s="68" t="s">
        <v>21530</v>
      </c>
      <c r="I7037" s="64">
        <v>1</v>
      </c>
      <c r="J7037" s="44" t="str">
        <f>VLOOKUP(G7037,[1]硬件清单!$F:$F,1,0)</f>
        <v>9800183908085869</v>
      </c>
      <c r="K7037" s="66"/>
      <c r="L7037" s="44"/>
      <c r="M7037" s="64" t="s">
        <v>21531</v>
      </c>
    </row>
    <row r="7038" ht="30" customHeight="1" spans="1:13">
      <c r="A7038" s="41">
        <f>IF(C7038="","",SUBTOTAL(103,$C$2:C7038))</f>
        <v>7029</v>
      </c>
      <c r="B7038" s="67"/>
      <c r="C7038" s="58" t="s">
        <v>20331</v>
      </c>
      <c r="D7038" s="68" t="s">
        <v>20337</v>
      </c>
      <c r="E7038" s="64" t="s">
        <v>20338</v>
      </c>
      <c r="F7038" s="68" t="s">
        <v>21003</v>
      </c>
      <c r="G7038" s="64" t="s">
        <v>21532</v>
      </c>
      <c r="H7038" s="68" t="s">
        <v>21533</v>
      </c>
      <c r="I7038" s="64">
        <v>1</v>
      </c>
      <c r="J7038" s="44" t="str">
        <f>VLOOKUP(G7038,[1]硬件清单!$F:$F,1,0)</f>
        <v>9800183908085886</v>
      </c>
      <c r="K7038" s="66"/>
      <c r="L7038" s="44"/>
      <c r="M7038" s="64" t="s">
        <v>21534</v>
      </c>
    </row>
    <row r="7039" ht="30" customHeight="1" spans="1:13">
      <c r="A7039" s="41">
        <f>IF(C7039="","",SUBTOTAL(103,$C$2:C7039))</f>
        <v>7030</v>
      </c>
      <c r="B7039" s="67"/>
      <c r="C7039" s="58" t="s">
        <v>20331</v>
      </c>
      <c r="D7039" s="68" t="s">
        <v>20337</v>
      </c>
      <c r="E7039" s="64" t="s">
        <v>20338</v>
      </c>
      <c r="F7039" s="68" t="s">
        <v>21003</v>
      </c>
      <c r="G7039" s="64" t="s">
        <v>21535</v>
      </c>
      <c r="H7039" s="68" t="s">
        <v>21536</v>
      </c>
      <c r="I7039" s="64">
        <v>1</v>
      </c>
      <c r="J7039" s="44" t="str">
        <f>VLOOKUP(G7039,[1]硬件清单!$F:$F,1,0)</f>
        <v>9800183908085852</v>
      </c>
      <c r="K7039" s="66"/>
      <c r="L7039" s="44"/>
      <c r="M7039" s="64" t="s">
        <v>21537</v>
      </c>
    </row>
    <row r="7040" ht="30" customHeight="1" spans="1:13">
      <c r="A7040" s="41">
        <f>IF(C7040="","",SUBTOTAL(103,$C$2:C7040))</f>
        <v>7031</v>
      </c>
      <c r="B7040" s="67"/>
      <c r="C7040" s="58" t="s">
        <v>20331</v>
      </c>
      <c r="D7040" s="68" t="s">
        <v>20337</v>
      </c>
      <c r="E7040" s="64" t="s">
        <v>20338</v>
      </c>
      <c r="F7040" s="68" t="s">
        <v>21003</v>
      </c>
      <c r="G7040" s="64" t="s">
        <v>21538</v>
      </c>
      <c r="H7040" s="68" t="s">
        <v>21539</v>
      </c>
      <c r="I7040" s="64">
        <v>1</v>
      </c>
      <c r="J7040" s="44" t="str">
        <f>VLOOKUP(G7040,[1]硬件清单!$F:$F,1,0)</f>
        <v>9800183908085743</v>
      </c>
      <c r="K7040" s="66"/>
      <c r="L7040" s="44"/>
      <c r="M7040" s="64" t="s">
        <v>21540</v>
      </c>
    </row>
    <row r="7041" ht="30" customHeight="1" spans="1:13">
      <c r="A7041" s="41">
        <f>IF(C7041="","",SUBTOTAL(103,$C$2:C7041))</f>
        <v>7032</v>
      </c>
      <c r="B7041" s="67"/>
      <c r="C7041" s="58" t="s">
        <v>20331</v>
      </c>
      <c r="D7041" s="68" t="s">
        <v>20337</v>
      </c>
      <c r="E7041" s="64" t="s">
        <v>20338</v>
      </c>
      <c r="F7041" s="68" t="s">
        <v>21003</v>
      </c>
      <c r="G7041" s="64" t="s">
        <v>21541</v>
      </c>
      <c r="H7041" s="68" t="s">
        <v>21542</v>
      </c>
      <c r="I7041" s="64">
        <v>1</v>
      </c>
      <c r="J7041" s="44" t="str">
        <f>VLOOKUP(G7041,[1]硬件清单!$F:$F,1,0)</f>
        <v>9800183908085735</v>
      </c>
      <c r="K7041" s="66"/>
      <c r="L7041" s="44"/>
      <c r="M7041" s="64" t="s">
        <v>21543</v>
      </c>
    </row>
    <row r="7042" ht="30" customHeight="1" spans="1:13">
      <c r="A7042" s="41">
        <f>IF(C7042="","",SUBTOTAL(103,$C$2:C7042))</f>
        <v>7033</v>
      </c>
      <c r="B7042" s="67"/>
      <c r="C7042" s="58" t="s">
        <v>20331</v>
      </c>
      <c r="D7042" s="68" t="s">
        <v>20337</v>
      </c>
      <c r="E7042" s="64" t="s">
        <v>20338</v>
      </c>
      <c r="F7042" s="68" t="s">
        <v>21003</v>
      </c>
      <c r="G7042" s="64" t="s">
        <v>21544</v>
      </c>
      <c r="H7042" s="68" t="s">
        <v>21545</v>
      </c>
      <c r="I7042" s="64">
        <v>1</v>
      </c>
      <c r="J7042" s="44" t="str">
        <f>VLOOKUP(G7042,[1]硬件清单!$F:$F,1,0)</f>
        <v>9800183908085704</v>
      </c>
      <c r="K7042" s="66"/>
      <c r="L7042" s="44"/>
      <c r="M7042" s="64" t="s">
        <v>21546</v>
      </c>
    </row>
    <row r="7043" ht="30" customHeight="1" spans="1:13">
      <c r="A7043" s="41">
        <f>IF(C7043="","",SUBTOTAL(103,$C$2:C7043))</f>
        <v>7034</v>
      </c>
      <c r="B7043" s="67"/>
      <c r="C7043" s="58" t="s">
        <v>20331</v>
      </c>
      <c r="D7043" s="68" t="s">
        <v>20337</v>
      </c>
      <c r="E7043" s="64" t="s">
        <v>20338</v>
      </c>
      <c r="F7043" s="68" t="s">
        <v>21003</v>
      </c>
      <c r="G7043" s="64" t="s">
        <v>21547</v>
      </c>
      <c r="H7043" s="68" t="s">
        <v>21548</v>
      </c>
      <c r="I7043" s="64">
        <v>1</v>
      </c>
      <c r="J7043" s="44" t="str">
        <f>VLOOKUP(G7043,[1]硬件清单!$F:$F,1,0)</f>
        <v>9800183908085851</v>
      </c>
      <c r="K7043" s="66"/>
      <c r="L7043" s="44"/>
      <c r="M7043" s="64" t="s">
        <v>21549</v>
      </c>
    </row>
    <row r="7044" ht="30" customHeight="1" spans="1:13">
      <c r="A7044" s="41">
        <f>IF(C7044="","",SUBTOTAL(103,$C$2:C7044))</f>
        <v>7035</v>
      </c>
      <c r="B7044" s="67"/>
      <c r="C7044" s="58" t="s">
        <v>20331</v>
      </c>
      <c r="D7044" s="68" t="s">
        <v>20337</v>
      </c>
      <c r="E7044" s="64" t="s">
        <v>20338</v>
      </c>
      <c r="F7044" s="68" t="s">
        <v>21003</v>
      </c>
      <c r="G7044" s="64" t="s">
        <v>21550</v>
      </c>
      <c r="H7044" s="68" t="s">
        <v>21551</v>
      </c>
      <c r="I7044" s="64">
        <v>1</v>
      </c>
      <c r="J7044" s="44" t="str">
        <f>VLOOKUP(G7044,[1]硬件清单!$F:$F,1,0)</f>
        <v>9800183908085868</v>
      </c>
      <c r="K7044" s="66"/>
      <c r="L7044" s="44"/>
      <c r="M7044" s="64" t="s">
        <v>21552</v>
      </c>
    </row>
    <row r="7045" ht="30" customHeight="1" spans="1:13">
      <c r="A7045" s="41">
        <f>IF(C7045="","",SUBTOTAL(103,$C$2:C7045))</f>
        <v>7036</v>
      </c>
      <c r="B7045" s="67"/>
      <c r="C7045" s="58" t="s">
        <v>20331</v>
      </c>
      <c r="D7045" s="68" t="s">
        <v>20337</v>
      </c>
      <c r="E7045" s="64" t="s">
        <v>20338</v>
      </c>
      <c r="F7045" s="68" t="s">
        <v>21003</v>
      </c>
      <c r="G7045" s="64" t="s">
        <v>21553</v>
      </c>
      <c r="H7045" s="68" t="s">
        <v>21554</v>
      </c>
      <c r="I7045" s="64">
        <v>1</v>
      </c>
      <c r="J7045" s="44" t="str">
        <f>VLOOKUP(G7045,[1]硬件清单!$F:$F,1,0)</f>
        <v>9800183908085754</v>
      </c>
      <c r="K7045" s="66"/>
      <c r="L7045" s="44"/>
      <c r="M7045" s="64" t="s">
        <v>21555</v>
      </c>
    </row>
    <row r="7046" ht="30" customHeight="1" spans="1:13">
      <c r="A7046" s="41">
        <f>IF(C7046="","",SUBTOTAL(103,$C$2:C7046))</f>
        <v>7037</v>
      </c>
      <c r="B7046" s="67"/>
      <c r="C7046" s="58" t="s">
        <v>20331</v>
      </c>
      <c r="D7046" s="68" t="s">
        <v>20337</v>
      </c>
      <c r="E7046" s="64" t="s">
        <v>20338</v>
      </c>
      <c r="F7046" s="68" t="s">
        <v>21003</v>
      </c>
      <c r="G7046" s="64" t="s">
        <v>21556</v>
      </c>
      <c r="H7046" s="68" t="s">
        <v>21557</v>
      </c>
      <c r="I7046" s="64">
        <v>1</v>
      </c>
      <c r="J7046" s="44" t="str">
        <f>VLOOKUP(G7046,[1]硬件清单!$F:$F,1,0)</f>
        <v>9800183908085747</v>
      </c>
      <c r="K7046" s="66"/>
      <c r="L7046" s="44"/>
      <c r="M7046" s="64" t="s">
        <v>21558</v>
      </c>
    </row>
    <row r="7047" ht="30" customHeight="1" spans="1:13">
      <c r="A7047" s="41">
        <f>IF(C7047="","",SUBTOTAL(103,$C$2:C7047))</f>
        <v>7038</v>
      </c>
      <c r="B7047" s="67"/>
      <c r="C7047" s="58" t="s">
        <v>20331</v>
      </c>
      <c r="D7047" s="68" t="s">
        <v>20337</v>
      </c>
      <c r="E7047" s="64" t="s">
        <v>20338</v>
      </c>
      <c r="F7047" s="68" t="s">
        <v>21003</v>
      </c>
      <c r="G7047" s="64" t="s">
        <v>21559</v>
      </c>
      <c r="H7047" s="68" t="s">
        <v>21560</v>
      </c>
      <c r="I7047" s="64">
        <v>1</v>
      </c>
      <c r="J7047" s="44" t="str">
        <f>VLOOKUP(G7047,[1]硬件清单!$F:$F,1,0)</f>
        <v>9800183908085740</v>
      </c>
      <c r="K7047" s="66"/>
      <c r="L7047" s="44"/>
      <c r="M7047" s="64" t="s">
        <v>21561</v>
      </c>
    </row>
    <row r="7048" ht="30" customHeight="1" spans="1:13">
      <c r="A7048" s="41">
        <f>IF(C7048="","",SUBTOTAL(103,$C$2:C7048))</f>
        <v>7039</v>
      </c>
      <c r="B7048" s="67"/>
      <c r="C7048" s="58" t="s">
        <v>20331</v>
      </c>
      <c r="D7048" s="68" t="s">
        <v>20337</v>
      </c>
      <c r="E7048" s="64" t="s">
        <v>20338</v>
      </c>
      <c r="F7048" s="68" t="s">
        <v>21003</v>
      </c>
      <c r="G7048" s="64" t="s">
        <v>21562</v>
      </c>
      <c r="H7048" s="68" t="s">
        <v>21563</v>
      </c>
      <c r="I7048" s="64">
        <v>1</v>
      </c>
      <c r="J7048" s="44" t="str">
        <f>VLOOKUP(G7048,[1]硬件清单!$F:$F,1,0)</f>
        <v>9800183908085772</v>
      </c>
      <c r="K7048" s="66"/>
      <c r="L7048" s="44"/>
      <c r="M7048" s="64" t="s">
        <v>21564</v>
      </c>
    </row>
    <row r="7049" ht="30" customHeight="1" spans="1:13">
      <c r="A7049" s="41">
        <f>IF(C7049="","",SUBTOTAL(103,$C$2:C7049))</f>
        <v>7040</v>
      </c>
      <c r="B7049" s="67"/>
      <c r="C7049" s="58" t="s">
        <v>20331</v>
      </c>
      <c r="D7049" s="68" t="s">
        <v>20337</v>
      </c>
      <c r="E7049" s="64" t="s">
        <v>20338</v>
      </c>
      <c r="F7049" s="68" t="s">
        <v>21003</v>
      </c>
      <c r="G7049" s="64" t="s">
        <v>21565</v>
      </c>
      <c r="H7049" s="68" t="s">
        <v>21566</v>
      </c>
      <c r="I7049" s="64">
        <v>1</v>
      </c>
      <c r="J7049" s="44" t="str">
        <f>VLOOKUP(G7049,[1]硬件清单!$F:$F,1,0)</f>
        <v>9800183908085751</v>
      </c>
      <c r="K7049" s="66"/>
      <c r="L7049" s="44"/>
      <c r="M7049" s="64" t="s">
        <v>21567</v>
      </c>
    </row>
    <row r="7050" ht="30" customHeight="1" spans="1:13">
      <c r="A7050" s="41">
        <f>IF(C7050="","",SUBTOTAL(103,$C$2:C7050))</f>
        <v>7041</v>
      </c>
      <c r="B7050" s="67"/>
      <c r="C7050" s="58" t="s">
        <v>20331</v>
      </c>
      <c r="D7050" s="68" t="s">
        <v>20337</v>
      </c>
      <c r="E7050" s="64" t="s">
        <v>20338</v>
      </c>
      <c r="F7050" s="68" t="s">
        <v>21003</v>
      </c>
      <c r="G7050" s="64" t="s">
        <v>21568</v>
      </c>
      <c r="H7050" s="68" t="s">
        <v>21569</v>
      </c>
      <c r="I7050" s="64">
        <v>1</v>
      </c>
      <c r="J7050" s="44" t="str">
        <f>VLOOKUP(G7050,[1]硬件清单!$F:$F,1,0)</f>
        <v>9800183908085855</v>
      </c>
      <c r="K7050" s="66"/>
      <c r="L7050" s="44"/>
      <c r="M7050" s="64" t="s">
        <v>21570</v>
      </c>
    </row>
    <row r="7051" ht="30" customHeight="1" spans="1:13">
      <c r="A7051" s="41">
        <f>IF(C7051="","",SUBTOTAL(103,$C$2:C7051))</f>
        <v>7042</v>
      </c>
      <c r="B7051" s="67"/>
      <c r="C7051" s="58" t="s">
        <v>20331</v>
      </c>
      <c r="D7051" s="68" t="s">
        <v>20337</v>
      </c>
      <c r="E7051" s="64" t="s">
        <v>20338</v>
      </c>
      <c r="F7051" s="68" t="s">
        <v>21003</v>
      </c>
      <c r="G7051" s="64" t="s">
        <v>21571</v>
      </c>
      <c r="H7051" s="68" t="s">
        <v>21572</v>
      </c>
      <c r="I7051" s="64">
        <v>1</v>
      </c>
      <c r="J7051" s="44" t="str">
        <f>VLOOKUP(G7051,[1]硬件清单!$F:$F,1,0)</f>
        <v>9800183908085781</v>
      </c>
      <c r="K7051" s="66"/>
      <c r="L7051" s="44"/>
      <c r="M7051" s="64" t="s">
        <v>21573</v>
      </c>
    </row>
    <row r="7052" ht="30" customHeight="1" spans="1:13">
      <c r="A7052" s="41">
        <f>IF(C7052="","",SUBTOTAL(103,$C$2:C7052))</f>
        <v>7043</v>
      </c>
      <c r="B7052" s="67"/>
      <c r="C7052" s="58" t="s">
        <v>20331</v>
      </c>
      <c r="D7052" s="68" t="s">
        <v>20337</v>
      </c>
      <c r="E7052" s="64" t="s">
        <v>20338</v>
      </c>
      <c r="F7052" s="68" t="s">
        <v>21003</v>
      </c>
      <c r="G7052" s="64" t="s">
        <v>21574</v>
      </c>
      <c r="H7052" s="68" t="s">
        <v>21575</v>
      </c>
      <c r="I7052" s="64">
        <v>1</v>
      </c>
      <c r="J7052" s="44" t="str">
        <f>VLOOKUP(G7052,[1]硬件清单!$F:$F,1,0)</f>
        <v>9800183908085725</v>
      </c>
      <c r="K7052" s="66"/>
      <c r="L7052" s="44"/>
      <c r="M7052" s="64" t="s">
        <v>21576</v>
      </c>
    </row>
    <row r="7053" ht="30" customHeight="1" spans="1:13">
      <c r="A7053" s="41">
        <f>IF(C7053="","",SUBTOTAL(103,$C$2:C7053))</f>
        <v>7044</v>
      </c>
      <c r="B7053" s="67"/>
      <c r="C7053" s="58" t="s">
        <v>20331</v>
      </c>
      <c r="D7053" s="68" t="s">
        <v>20337</v>
      </c>
      <c r="E7053" s="64" t="s">
        <v>20338</v>
      </c>
      <c r="F7053" s="68" t="s">
        <v>21003</v>
      </c>
      <c r="G7053" s="64" t="s">
        <v>21577</v>
      </c>
      <c r="H7053" s="68" t="s">
        <v>21578</v>
      </c>
      <c r="I7053" s="64">
        <v>1</v>
      </c>
      <c r="J7053" s="44" t="str">
        <f>VLOOKUP(G7053,[1]硬件清单!$F:$F,1,0)</f>
        <v>9800183908085748</v>
      </c>
      <c r="K7053" s="66"/>
      <c r="L7053" s="44"/>
      <c r="M7053" s="64" t="s">
        <v>21579</v>
      </c>
    </row>
    <row r="7054" ht="30" customHeight="1" spans="1:13">
      <c r="A7054" s="41">
        <f>IF(C7054="","",SUBTOTAL(103,$C$2:C7054))</f>
        <v>7045</v>
      </c>
      <c r="B7054" s="67"/>
      <c r="C7054" s="58" t="s">
        <v>20331</v>
      </c>
      <c r="D7054" s="68" t="s">
        <v>20337</v>
      </c>
      <c r="E7054" s="64" t="s">
        <v>20338</v>
      </c>
      <c r="F7054" s="68" t="s">
        <v>21003</v>
      </c>
      <c r="G7054" s="64" t="s">
        <v>21580</v>
      </c>
      <c r="H7054" s="68" t="s">
        <v>21581</v>
      </c>
      <c r="I7054" s="64">
        <v>1</v>
      </c>
      <c r="J7054" s="44" t="str">
        <f>VLOOKUP(G7054,[1]硬件清单!$F:$F,1,0)</f>
        <v>9800183908085692</v>
      </c>
      <c r="K7054" s="66"/>
      <c r="L7054" s="44"/>
      <c r="M7054" s="64" t="s">
        <v>21582</v>
      </c>
    </row>
    <row r="7055" ht="30" customHeight="1" spans="1:13">
      <c r="A7055" s="41">
        <f>IF(C7055="","",SUBTOTAL(103,$C$2:C7055))</f>
        <v>7046</v>
      </c>
      <c r="B7055" s="67"/>
      <c r="C7055" s="58" t="s">
        <v>20331</v>
      </c>
      <c r="D7055" s="68" t="s">
        <v>20337</v>
      </c>
      <c r="E7055" s="64" t="s">
        <v>20338</v>
      </c>
      <c r="F7055" s="68" t="s">
        <v>21003</v>
      </c>
      <c r="G7055" s="64" t="s">
        <v>21583</v>
      </c>
      <c r="H7055" s="68" t="s">
        <v>21584</v>
      </c>
      <c r="I7055" s="64">
        <v>1</v>
      </c>
      <c r="J7055" s="44" t="str">
        <f>VLOOKUP(G7055,[1]硬件清单!$F:$F,1,0)</f>
        <v>9800183908085790</v>
      </c>
      <c r="K7055" s="66"/>
      <c r="L7055" s="44"/>
      <c r="M7055" s="64" t="s">
        <v>21585</v>
      </c>
    </row>
    <row r="7056" ht="30" customHeight="1" spans="1:13">
      <c r="A7056" s="41">
        <f>IF(C7056="","",SUBTOTAL(103,$C$2:C7056))</f>
        <v>7047</v>
      </c>
      <c r="B7056" s="67"/>
      <c r="C7056" s="58" t="s">
        <v>20331</v>
      </c>
      <c r="D7056" s="68" t="s">
        <v>20337</v>
      </c>
      <c r="E7056" s="64" t="s">
        <v>20338</v>
      </c>
      <c r="F7056" s="68" t="s">
        <v>21003</v>
      </c>
      <c r="G7056" s="64" t="s">
        <v>21586</v>
      </c>
      <c r="H7056" s="68" t="s">
        <v>21587</v>
      </c>
      <c r="I7056" s="64">
        <v>1</v>
      </c>
      <c r="J7056" s="44" t="str">
        <f>VLOOKUP(G7056,[1]硬件清单!$F:$F,1,0)</f>
        <v>9800183908085871</v>
      </c>
      <c r="K7056" s="66"/>
      <c r="L7056" s="44"/>
      <c r="M7056" s="64" t="s">
        <v>21588</v>
      </c>
    </row>
    <row r="7057" ht="30" customHeight="1" spans="1:13">
      <c r="A7057" s="41">
        <f>IF(C7057="","",SUBTOTAL(103,$C$2:C7057))</f>
        <v>7048</v>
      </c>
      <c r="B7057" s="67"/>
      <c r="C7057" s="58" t="s">
        <v>20331</v>
      </c>
      <c r="D7057" s="68" t="s">
        <v>20337</v>
      </c>
      <c r="E7057" s="64" t="s">
        <v>20338</v>
      </c>
      <c r="F7057" s="68" t="s">
        <v>21003</v>
      </c>
      <c r="G7057" s="64" t="s">
        <v>21589</v>
      </c>
      <c r="H7057" s="68" t="s">
        <v>21590</v>
      </c>
      <c r="I7057" s="64">
        <v>1</v>
      </c>
      <c r="J7057" s="44" t="str">
        <f>VLOOKUP(G7057,[1]硬件清单!$F:$F,1,0)</f>
        <v>9800183908085866</v>
      </c>
      <c r="K7057" s="66"/>
      <c r="L7057" s="44"/>
      <c r="M7057" s="64" t="s">
        <v>21591</v>
      </c>
    </row>
    <row r="7058" ht="30" customHeight="1" spans="1:13">
      <c r="A7058" s="41">
        <f>IF(C7058="","",SUBTOTAL(103,$C$2:C7058))</f>
        <v>7049</v>
      </c>
      <c r="B7058" s="67"/>
      <c r="C7058" s="58" t="s">
        <v>20331</v>
      </c>
      <c r="D7058" s="68" t="s">
        <v>20337</v>
      </c>
      <c r="E7058" s="64" t="s">
        <v>20338</v>
      </c>
      <c r="F7058" s="68" t="s">
        <v>21003</v>
      </c>
      <c r="G7058" s="64" t="s">
        <v>21592</v>
      </c>
      <c r="H7058" s="68" t="s">
        <v>21593</v>
      </c>
      <c r="I7058" s="64">
        <v>1</v>
      </c>
      <c r="J7058" s="44" t="str">
        <f>VLOOKUP(G7058,[1]硬件清单!$F:$F,1,0)</f>
        <v>9800183908085769</v>
      </c>
      <c r="K7058" s="66"/>
      <c r="L7058" s="44"/>
      <c r="M7058" s="64" t="s">
        <v>21594</v>
      </c>
    </row>
    <row r="7059" ht="30" customHeight="1" spans="1:13">
      <c r="A7059" s="41">
        <f>IF(C7059="","",SUBTOTAL(103,$C$2:C7059))</f>
        <v>7050</v>
      </c>
      <c r="B7059" s="67"/>
      <c r="C7059" s="58" t="s">
        <v>20331</v>
      </c>
      <c r="D7059" s="68" t="s">
        <v>20337</v>
      </c>
      <c r="E7059" s="64" t="s">
        <v>20338</v>
      </c>
      <c r="F7059" s="68" t="s">
        <v>21003</v>
      </c>
      <c r="G7059" s="64" t="s">
        <v>21595</v>
      </c>
      <c r="H7059" s="68" t="s">
        <v>21596</v>
      </c>
      <c r="I7059" s="64">
        <v>1</v>
      </c>
      <c r="J7059" s="44" t="str">
        <f>VLOOKUP(G7059,[1]硬件清单!$F:$F,1,0)</f>
        <v>9800183908085901</v>
      </c>
      <c r="K7059" s="66"/>
      <c r="L7059" s="44"/>
      <c r="M7059" s="64" t="s">
        <v>21597</v>
      </c>
    </row>
    <row r="7060" ht="30" customHeight="1" spans="1:13">
      <c r="A7060" s="41">
        <f>IF(C7060="","",SUBTOTAL(103,$C$2:C7060))</f>
        <v>7051</v>
      </c>
      <c r="B7060" s="67"/>
      <c r="C7060" s="58" t="s">
        <v>20331</v>
      </c>
      <c r="D7060" s="68" t="s">
        <v>20337</v>
      </c>
      <c r="E7060" s="64" t="s">
        <v>20338</v>
      </c>
      <c r="F7060" s="68" t="s">
        <v>21003</v>
      </c>
      <c r="G7060" s="64" t="s">
        <v>21598</v>
      </c>
      <c r="H7060" s="68" t="s">
        <v>21599</v>
      </c>
      <c r="I7060" s="64">
        <v>1</v>
      </c>
      <c r="J7060" s="44" t="str">
        <f>VLOOKUP(G7060,[1]硬件清单!$F:$F,1,0)</f>
        <v>9800183908085689</v>
      </c>
      <c r="K7060" s="66"/>
      <c r="L7060" s="44"/>
      <c r="M7060" s="64" t="s">
        <v>21600</v>
      </c>
    </row>
    <row r="7061" ht="30" customHeight="1" spans="1:13">
      <c r="A7061" s="41">
        <f>IF(C7061="","",SUBTOTAL(103,$C$2:C7061))</f>
        <v>7052</v>
      </c>
      <c r="B7061" s="67"/>
      <c r="C7061" s="58" t="s">
        <v>20331</v>
      </c>
      <c r="D7061" s="68" t="s">
        <v>20337</v>
      </c>
      <c r="E7061" s="64" t="s">
        <v>20338</v>
      </c>
      <c r="F7061" s="68" t="s">
        <v>21003</v>
      </c>
      <c r="G7061" s="64" t="s">
        <v>21601</v>
      </c>
      <c r="H7061" s="68" t="s">
        <v>21602</v>
      </c>
      <c r="I7061" s="64">
        <v>1</v>
      </c>
      <c r="J7061" s="44" t="str">
        <f>VLOOKUP(G7061,[1]硬件清单!$F:$F,1,0)</f>
        <v>9800183908085807</v>
      </c>
      <c r="K7061" s="66"/>
      <c r="L7061" s="44"/>
      <c r="M7061" s="64" t="s">
        <v>21603</v>
      </c>
    </row>
    <row r="7062" ht="30" customHeight="1" spans="1:13">
      <c r="A7062" s="41">
        <f>IF(C7062="","",SUBTOTAL(103,$C$2:C7062))</f>
        <v>7053</v>
      </c>
      <c r="B7062" s="67"/>
      <c r="C7062" s="58" t="s">
        <v>20331</v>
      </c>
      <c r="D7062" s="68" t="s">
        <v>20337</v>
      </c>
      <c r="E7062" s="64" t="s">
        <v>20338</v>
      </c>
      <c r="F7062" s="68" t="s">
        <v>21003</v>
      </c>
      <c r="G7062" s="64" t="s">
        <v>21604</v>
      </c>
      <c r="H7062" s="68" t="s">
        <v>21605</v>
      </c>
      <c r="I7062" s="64">
        <v>1</v>
      </c>
      <c r="J7062" s="44" t="str">
        <f>VLOOKUP(G7062,[1]硬件清单!$F:$F,1,0)</f>
        <v>9800183908085690</v>
      </c>
      <c r="K7062" s="66"/>
      <c r="L7062" s="44"/>
      <c r="M7062" s="64" t="s">
        <v>21606</v>
      </c>
    </row>
    <row r="7063" ht="30" customHeight="1" spans="1:13">
      <c r="A7063" s="41">
        <f>IF(C7063="","",SUBTOTAL(103,$C$2:C7063))</f>
        <v>7054</v>
      </c>
      <c r="B7063" s="67"/>
      <c r="C7063" s="58" t="s">
        <v>20331</v>
      </c>
      <c r="D7063" s="68" t="s">
        <v>20337</v>
      </c>
      <c r="E7063" s="64" t="s">
        <v>20338</v>
      </c>
      <c r="F7063" s="68" t="s">
        <v>21003</v>
      </c>
      <c r="G7063" s="64" t="s">
        <v>21607</v>
      </c>
      <c r="H7063" s="68" t="s">
        <v>21608</v>
      </c>
      <c r="I7063" s="64">
        <v>1</v>
      </c>
      <c r="J7063" s="44" t="str">
        <f>VLOOKUP(G7063,[1]硬件清单!$F:$F,1,0)</f>
        <v>9800183908085797</v>
      </c>
      <c r="K7063" s="66"/>
      <c r="L7063" s="44"/>
      <c r="M7063" s="64" t="s">
        <v>21609</v>
      </c>
    </row>
    <row r="7064" ht="30" customHeight="1" spans="1:13">
      <c r="A7064" s="41">
        <f>IF(C7064="","",SUBTOTAL(103,$C$2:C7064))</f>
        <v>7055</v>
      </c>
      <c r="B7064" s="67"/>
      <c r="C7064" s="58" t="s">
        <v>20331</v>
      </c>
      <c r="D7064" s="68" t="s">
        <v>20337</v>
      </c>
      <c r="E7064" s="64" t="s">
        <v>20338</v>
      </c>
      <c r="F7064" s="68" t="s">
        <v>21003</v>
      </c>
      <c r="G7064" s="64" t="s">
        <v>21610</v>
      </c>
      <c r="H7064" s="68" t="s">
        <v>21611</v>
      </c>
      <c r="I7064" s="64">
        <v>1</v>
      </c>
      <c r="J7064" s="44" t="str">
        <f>VLOOKUP(G7064,[1]硬件清单!$F:$F,1,0)</f>
        <v>9800183908085794</v>
      </c>
      <c r="K7064" s="66"/>
      <c r="L7064" s="44"/>
      <c r="M7064" s="64" t="s">
        <v>21612</v>
      </c>
    </row>
    <row r="7065" ht="30" customHeight="1" spans="1:13">
      <c r="A7065" s="41">
        <f>IF(C7065="","",SUBTOTAL(103,$C$2:C7065))</f>
        <v>7056</v>
      </c>
      <c r="B7065" s="67"/>
      <c r="C7065" s="58" t="s">
        <v>20331</v>
      </c>
      <c r="D7065" s="68" t="s">
        <v>20337</v>
      </c>
      <c r="E7065" s="64" t="s">
        <v>20338</v>
      </c>
      <c r="F7065" s="68" t="s">
        <v>21003</v>
      </c>
      <c r="G7065" s="64" t="s">
        <v>21613</v>
      </c>
      <c r="H7065" s="68" t="s">
        <v>21614</v>
      </c>
      <c r="I7065" s="64">
        <v>1</v>
      </c>
      <c r="J7065" s="44" t="str">
        <f>VLOOKUP(G7065,[1]硬件清单!$F:$F,1,0)</f>
        <v>9800183908085755</v>
      </c>
      <c r="K7065" s="66"/>
      <c r="L7065" s="44"/>
      <c r="M7065" s="64" t="s">
        <v>21615</v>
      </c>
    </row>
    <row r="7066" ht="30" customHeight="1" spans="1:13">
      <c r="A7066" s="41">
        <f>IF(C7066="","",SUBTOTAL(103,$C$2:C7066))</f>
        <v>7057</v>
      </c>
      <c r="B7066" s="67"/>
      <c r="C7066" s="58" t="s">
        <v>20331</v>
      </c>
      <c r="D7066" s="68" t="s">
        <v>20337</v>
      </c>
      <c r="E7066" s="64" t="s">
        <v>20338</v>
      </c>
      <c r="F7066" s="68" t="s">
        <v>21003</v>
      </c>
      <c r="G7066" s="64" t="s">
        <v>21616</v>
      </c>
      <c r="H7066" s="68" t="s">
        <v>21617</v>
      </c>
      <c r="I7066" s="64">
        <v>1</v>
      </c>
      <c r="J7066" s="44" t="str">
        <f>VLOOKUP(G7066,[1]硬件清单!$F:$F,1,0)</f>
        <v>9800183908085713</v>
      </c>
      <c r="K7066" s="66"/>
      <c r="L7066" s="44"/>
      <c r="M7066" s="64" t="s">
        <v>21618</v>
      </c>
    </row>
    <row r="7067" ht="30" customHeight="1" spans="1:13">
      <c r="A7067" s="41">
        <f>IF(C7067="","",SUBTOTAL(103,$C$2:C7067))</f>
        <v>7058</v>
      </c>
      <c r="B7067" s="67"/>
      <c r="C7067" s="58" t="s">
        <v>20331</v>
      </c>
      <c r="D7067" s="68" t="s">
        <v>20337</v>
      </c>
      <c r="E7067" s="64" t="s">
        <v>20338</v>
      </c>
      <c r="F7067" s="68" t="s">
        <v>21003</v>
      </c>
      <c r="G7067" s="64" t="s">
        <v>21619</v>
      </c>
      <c r="H7067" s="68" t="s">
        <v>21620</v>
      </c>
      <c r="I7067" s="64">
        <v>1</v>
      </c>
      <c r="J7067" s="44" t="str">
        <f>VLOOKUP(G7067,[1]硬件清单!$F:$F,1,0)</f>
        <v>9800183908085825</v>
      </c>
      <c r="K7067" s="66"/>
      <c r="L7067" s="44"/>
      <c r="M7067" s="64" t="s">
        <v>21621</v>
      </c>
    </row>
    <row r="7068" ht="30" customHeight="1" spans="1:13">
      <c r="A7068" s="41">
        <f>IF(C7068="","",SUBTOTAL(103,$C$2:C7068))</f>
        <v>7059</v>
      </c>
      <c r="B7068" s="67"/>
      <c r="C7068" s="58" t="s">
        <v>20331</v>
      </c>
      <c r="D7068" s="68" t="s">
        <v>20337</v>
      </c>
      <c r="E7068" s="64" t="s">
        <v>20338</v>
      </c>
      <c r="F7068" s="68" t="s">
        <v>21003</v>
      </c>
      <c r="G7068" s="64" t="s">
        <v>21622</v>
      </c>
      <c r="H7068" s="68" t="s">
        <v>21623</v>
      </c>
      <c r="I7068" s="64">
        <v>1</v>
      </c>
      <c r="J7068" s="44" t="str">
        <f>VLOOKUP(G7068,[1]硬件清单!$F:$F,1,0)</f>
        <v>9800183908085903</v>
      </c>
      <c r="K7068" s="66"/>
      <c r="L7068" s="44"/>
      <c r="M7068" s="64" t="s">
        <v>21624</v>
      </c>
    </row>
    <row r="7069" ht="30" customHeight="1" spans="1:13">
      <c r="A7069" s="41">
        <f>IF(C7069="","",SUBTOTAL(103,$C$2:C7069))</f>
        <v>7060</v>
      </c>
      <c r="B7069" s="67"/>
      <c r="C7069" s="58" t="s">
        <v>20331</v>
      </c>
      <c r="D7069" s="68" t="s">
        <v>20337</v>
      </c>
      <c r="E7069" s="64" t="s">
        <v>20338</v>
      </c>
      <c r="F7069" s="68" t="s">
        <v>21003</v>
      </c>
      <c r="G7069" s="64" t="s">
        <v>21625</v>
      </c>
      <c r="H7069" s="68" t="s">
        <v>21626</v>
      </c>
      <c r="I7069" s="64">
        <v>1</v>
      </c>
      <c r="J7069" s="44" t="str">
        <f>VLOOKUP(G7069,[1]硬件清单!$F:$F,1,0)</f>
        <v>9800183908085841</v>
      </c>
      <c r="K7069" s="66"/>
      <c r="L7069" s="44"/>
      <c r="M7069" s="64" t="s">
        <v>21627</v>
      </c>
    </row>
    <row r="7070" ht="30" customHeight="1" spans="1:13">
      <c r="A7070" s="41">
        <f>IF(C7070="","",SUBTOTAL(103,$C$2:C7070))</f>
        <v>7061</v>
      </c>
      <c r="B7070" s="67"/>
      <c r="C7070" s="58" t="s">
        <v>20331</v>
      </c>
      <c r="D7070" s="68" t="s">
        <v>20337</v>
      </c>
      <c r="E7070" s="64" t="s">
        <v>20338</v>
      </c>
      <c r="F7070" s="68" t="s">
        <v>21003</v>
      </c>
      <c r="G7070" s="64" t="s">
        <v>21628</v>
      </c>
      <c r="H7070" s="68" t="s">
        <v>21629</v>
      </c>
      <c r="I7070" s="64">
        <v>1</v>
      </c>
      <c r="J7070" s="44" t="str">
        <f>VLOOKUP(G7070,[1]硬件清单!$F:$F,1,0)</f>
        <v>9800183908085890</v>
      </c>
      <c r="K7070" s="66"/>
      <c r="L7070" s="44"/>
      <c r="M7070" s="64" t="s">
        <v>21630</v>
      </c>
    </row>
    <row r="7071" ht="30" customHeight="1" spans="1:13">
      <c r="A7071" s="41">
        <f>IF(C7071="","",SUBTOTAL(103,$C$2:C7071))</f>
        <v>7062</v>
      </c>
      <c r="B7071" s="67"/>
      <c r="C7071" s="58" t="s">
        <v>20331</v>
      </c>
      <c r="D7071" s="68" t="s">
        <v>20337</v>
      </c>
      <c r="E7071" s="64" t="s">
        <v>20338</v>
      </c>
      <c r="F7071" s="68" t="s">
        <v>21003</v>
      </c>
      <c r="G7071" s="64" t="s">
        <v>21631</v>
      </c>
      <c r="H7071" s="68" t="s">
        <v>21632</v>
      </c>
      <c r="I7071" s="64">
        <v>1</v>
      </c>
      <c r="J7071" s="44" t="str">
        <f>VLOOKUP(G7071,[1]硬件清单!$F:$F,1,0)</f>
        <v>9800183908085828</v>
      </c>
      <c r="K7071" s="66"/>
      <c r="L7071" s="44"/>
      <c r="M7071" s="64" t="s">
        <v>21633</v>
      </c>
    </row>
    <row r="7072" ht="30" customHeight="1" spans="1:13">
      <c r="A7072" s="41">
        <f>IF(C7072="","",SUBTOTAL(103,$C$2:C7072))</f>
        <v>7063</v>
      </c>
      <c r="B7072" s="67"/>
      <c r="C7072" s="58" t="s">
        <v>20331</v>
      </c>
      <c r="D7072" s="68" t="s">
        <v>20337</v>
      </c>
      <c r="E7072" s="64" t="s">
        <v>20338</v>
      </c>
      <c r="F7072" s="68" t="s">
        <v>21003</v>
      </c>
      <c r="G7072" s="64" t="s">
        <v>21634</v>
      </c>
      <c r="H7072" s="68" t="s">
        <v>21635</v>
      </c>
      <c r="I7072" s="64">
        <v>1</v>
      </c>
      <c r="J7072" s="44" t="str">
        <f>VLOOKUP(G7072,[1]硬件清单!$F:$F,1,0)</f>
        <v>9800183908085709</v>
      </c>
      <c r="K7072" s="66"/>
      <c r="L7072" s="44"/>
      <c r="M7072" s="64" t="s">
        <v>21636</v>
      </c>
    </row>
    <row r="7073" ht="30" customHeight="1" spans="1:13">
      <c r="A7073" s="41">
        <f>IF(C7073="","",SUBTOTAL(103,$C$2:C7073))</f>
        <v>7064</v>
      </c>
      <c r="B7073" s="67"/>
      <c r="C7073" s="58" t="s">
        <v>20331</v>
      </c>
      <c r="D7073" s="68" t="s">
        <v>20337</v>
      </c>
      <c r="E7073" s="64" t="s">
        <v>20338</v>
      </c>
      <c r="F7073" s="68" t="s">
        <v>21003</v>
      </c>
      <c r="G7073" s="64" t="s">
        <v>21637</v>
      </c>
      <c r="H7073" s="68" t="s">
        <v>21638</v>
      </c>
      <c r="I7073" s="64">
        <v>1</v>
      </c>
      <c r="J7073" s="44" t="str">
        <f>VLOOKUP(G7073,[1]硬件清单!$F:$F,1,0)</f>
        <v>9800183908085816</v>
      </c>
      <c r="K7073" s="66"/>
      <c r="L7073" s="44"/>
      <c r="M7073" s="64" t="s">
        <v>21639</v>
      </c>
    </row>
    <row r="7074" ht="30" customHeight="1" spans="1:13">
      <c r="A7074" s="41">
        <f>IF(C7074="","",SUBTOTAL(103,$C$2:C7074))</f>
        <v>7065</v>
      </c>
      <c r="B7074" s="67"/>
      <c r="C7074" s="58" t="s">
        <v>20331</v>
      </c>
      <c r="D7074" s="68" t="s">
        <v>20337</v>
      </c>
      <c r="E7074" s="64" t="s">
        <v>20338</v>
      </c>
      <c r="F7074" s="68" t="s">
        <v>21003</v>
      </c>
      <c r="G7074" s="64" t="s">
        <v>21640</v>
      </c>
      <c r="H7074" s="68" t="s">
        <v>21641</v>
      </c>
      <c r="I7074" s="64">
        <v>1</v>
      </c>
      <c r="J7074" s="44" t="str">
        <f>VLOOKUP(G7074,[1]硬件清单!$F:$F,1,0)</f>
        <v>9800183908085707</v>
      </c>
      <c r="K7074" s="66"/>
      <c r="L7074" s="44"/>
      <c r="M7074" s="64" t="s">
        <v>21642</v>
      </c>
    </row>
    <row r="7075" ht="30" customHeight="1" spans="1:13">
      <c r="A7075" s="41">
        <f>IF(C7075="","",SUBTOTAL(103,$C$2:C7075))</f>
        <v>7066</v>
      </c>
      <c r="B7075" s="67"/>
      <c r="C7075" s="58" t="s">
        <v>20331</v>
      </c>
      <c r="D7075" s="68" t="s">
        <v>20337</v>
      </c>
      <c r="E7075" s="64" t="s">
        <v>20338</v>
      </c>
      <c r="F7075" s="68" t="s">
        <v>21003</v>
      </c>
      <c r="G7075" s="64" t="s">
        <v>21643</v>
      </c>
      <c r="H7075" s="68" t="s">
        <v>21644</v>
      </c>
      <c r="I7075" s="64">
        <v>1</v>
      </c>
      <c r="J7075" s="44" t="str">
        <f>VLOOKUP(G7075,[1]硬件清单!$F:$F,1,0)</f>
        <v>9800183908085779</v>
      </c>
      <c r="K7075" s="66"/>
      <c r="L7075" s="44"/>
      <c r="M7075" s="64" t="s">
        <v>21645</v>
      </c>
    </row>
    <row r="7076" ht="30" customHeight="1" spans="1:13">
      <c r="A7076" s="41">
        <f>IF(C7076="","",SUBTOTAL(103,$C$2:C7076))</f>
        <v>7067</v>
      </c>
      <c r="B7076" s="67"/>
      <c r="C7076" s="58" t="s">
        <v>20331</v>
      </c>
      <c r="D7076" s="68" t="s">
        <v>20337</v>
      </c>
      <c r="E7076" s="64" t="s">
        <v>20338</v>
      </c>
      <c r="F7076" s="68" t="s">
        <v>21003</v>
      </c>
      <c r="G7076" s="64" t="s">
        <v>21646</v>
      </c>
      <c r="H7076" s="68" t="s">
        <v>21647</v>
      </c>
      <c r="I7076" s="64">
        <v>1</v>
      </c>
      <c r="J7076" s="44" t="str">
        <f>VLOOKUP(G7076,[1]硬件清单!$F:$F,1,0)</f>
        <v>9800183908085858</v>
      </c>
      <c r="K7076" s="66"/>
      <c r="L7076" s="44"/>
      <c r="M7076" s="64" t="s">
        <v>21648</v>
      </c>
    </row>
    <row r="7077" ht="30" customHeight="1" spans="1:13">
      <c r="A7077" s="41">
        <f>IF(C7077="","",SUBTOTAL(103,$C$2:C7077))</f>
        <v>7068</v>
      </c>
      <c r="B7077" s="67"/>
      <c r="C7077" s="58" t="s">
        <v>20331</v>
      </c>
      <c r="D7077" s="68" t="s">
        <v>20337</v>
      </c>
      <c r="E7077" s="64" t="s">
        <v>20338</v>
      </c>
      <c r="F7077" s="68" t="s">
        <v>21003</v>
      </c>
      <c r="G7077" s="64" t="s">
        <v>21649</v>
      </c>
      <c r="H7077" s="68" t="s">
        <v>21650</v>
      </c>
      <c r="I7077" s="64">
        <v>1</v>
      </c>
      <c r="J7077" s="44" t="str">
        <f>VLOOKUP(G7077,[1]硬件清单!$F:$F,1,0)</f>
        <v>9800183908085693</v>
      </c>
      <c r="K7077" s="66"/>
      <c r="L7077" s="44"/>
      <c r="M7077" s="64" t="s">
        <v>21651</v>
      </c>
    </row>
    <row r="7078" ht="30" customHeight="1" spans="1:13">
      <c r="A7078" s="41">
        <f>IF(C7078="","",SUBTOTAL(103,$C$2:C7078))</f>
        <v>7069</v>
      </c>
      <c r="B7078" s="67"/>
      <c r="C7078" s="58" t="s">
        <v>20331</v>
      </c>
      <c r="D7078" s="68" t="s">
        <v>20337</v>
      </c>
      <c r="E7078" s="64" t="s">
        <v>20338</v>
      </c>
      <c r="F7078" s="68" t="s">
        <v>21003</v>
      </c>
      <c r="G7078" s="64" t="s">
        <v>21652</v>
      </c>
      <c r="H7078" s="68" t="s">
        <v>21653</v>
      </c>
      <c r="I7078" s="64">
        <v>1</v>
      </c>
      <c r="J7078" s="44" t="str">
        <f>VLOOKUP(G7078,[1]硬件清单!$F:$F,1,0)</f>
        <v>9800183908085824</v>
      </c>
      <c r="K7078" s="66"/>
      <c r="L7078" s="44"/>
      <c r="M7078" s="64" t="s">
        <v>21654</v>
      </c>
    </row>
    <row r="7079" ht="30" customHeight="1" spans="1:13">
      <c r="A7079" s="41">
        <f>IF(C7079="","",SUBTOTAL(103,$C$2:C7079))</f>
        <v>7070</v>
      </c>
      <c r="B7079" s="67"/>
      <c r="C7079" s="58" t="s">
        <v>20331</v>
      </c>
      <c r="D7079" s="68" t="s">
        <v>20337</v>
      </c>
      <c r="E7079" s="64" t="s">
        <v>20338</v>
      </c>
      <c r="F7079" s="68" t="s">
        <v>21003</v>
      </c>
      <c r="G7079" s="64" t="s">
        <v>21655</v>
      </c>
      <c r="H7079" s="68" t="s">
        <v>21656</v>
      </c>
      <c r="I7079" s="64">
        <v>1</v>
      </c>
      <c r="J7079" s="44" t="str">
        <f>VLOOKUP(G7079,[1]硬件清单!$F:$F,1,0)</f>
        <v>9800183908085835</v>
      </c>
      <c r="K7079" s="66"/>
      <c r="L7079" s="44"/>
      <c r="M7079" s="64" t="s">
        <v>21657</v>
      </c>
    </row>
    <row r="7080" ht="30" customHeight="1" spans="1:13">
      <c r="A7080" s="41">
        <f>IF(C7080="","",SUBTOTAL(103,$C$2:C7080))</f>
        <v>7071</v>
      </c>
      <c r="B7080" s="67"/>
      <c r="C7080" s="58" t="s">
        <v>20331</v>
      </c>
      <c r="D7080" s="68" t="s">
        <v>20337</v>
      </c>
      <c r="E7080" s="64" t="s">
        <v>20338</v>
      </c>
      <c r="F7080" s="68" t="s">
        <v>21003</v>
      </c>
      <c r="G7080" s="64" t="s">
        <v>21658</v>
      </c>
      <c r="H7080" s="68" t="s">
        <v>21659</v>
      </c>
      <c r="I7080" s="64">
        <v>1</v>
      </c>
      <c r="J7080" s="44" t="str">
        <f>VLOOKUP(G7080,[1]硬件清单!$F:$F,1,0)</f>
        <v>9800183908085860</v>
      </c>
      <c r="K7080" s="66"/>
      <c r="L7080" s="44"/>
      <c r="M7080" s="64" t="s">
        <v>21660</v>
      </c>
    </row>
    <row r="7081" ht="30" customHeight="1" spans="1:13">
      <c r="A7081" s="41">
        <f>IF(C7081="","",SUBTOTAL(103,$C$2:C7081))</f>
        <v>7072</v>
      </c>
      <c r="B7081" s="67"/>
      <c r="C7081" s="58" t="s">
        <v>20331</v>
      </c>
      <c r="D7081" s="68" t="s">
        <v>20337</v>
      </c>
      <c r="E7081" s="64" t="s">
        <v>20338</v>
      </c>
      <c r="F7081" s="68" t="s">
        <v>21003</v>
      </c>
      <c r="G7081" s="64" t="s">
        <v>21661</v>
      </c>
      <c r="H7081" s="68" t="s">
        <v>21662</v>
      </c>
      <c r="I7081" s="64">
        <v>1</v>
      </c>
      <c r="J7081" s="44" t="str">
        <f>VLOOKUP(G7081,[1]硬件清单!$F:$F,1,0)</f>
        <v>9800183908085802</v>
      </c>
      <c r="K7081" s="66"/>
      <c r="L7081" s="44"/>
      <c r="M7081" s="64" t="s">
        <v>21663</v>
      </c>
    </row>
    <row r="7082" ht="30" customHeight="1" spans="1:13">
      <c r="A7082" s="41">
        <f>IF(C7082="","",SUBTOTAL(103,$C$2:C7082))</f>
        <v>7073</v>
      </c>
      <c r="B7082" s="67"/>
      <c r="C7082" s="58" t="s">
        <v>20331</v>
      </c>
      <c r="D7082" s="68" t="s">
        <v>20337</v>
      </c>
      <c r="E7082" s="64" t="s">
        <v>20338</v>
      </c>
      <c r="F7082" s="68" t="s">
        <v>21003</v>
      </c>
      <c r="G7082" s="64" t="s">
        <v>21664</v>
      </c>
      <c r="H7082" s="68" t="s">
        <v>21665</v>
      </c>
      <c r="I7082" s="64">
        <v>1</v>
      </c>
      <c r="J7082" s="44" t="str">
        <f>VLOOKUP(G7082,[1]硬件清单!$F:$F,1,0)</f>
        <v>9800183908085840</v>
      </c>
      <c r="K7082" s="66"/>
      <c r="L7082" s="44"/>
      <c r="M7082" s="64" t="s">
        <v>21666</v>
      </c>
    </row>
    <row r="7083" ht="30" customHeight="1" spans="1:13">
      <c r="A7083" s="41">
        <f>IF(C7083="","",SUBTOTAL(103,$C$2:C7083))</f>
        <v>7074</v>
      </c>
      <c r="B7083" s="67"/>
      <c r="C7083" s="58" t="s">
        <v>20331</v>
      </c>
      <c r="D7083" s="68" t="s">
        <v>20337</v>
      </c>
      <c r="E7083" s="64" t="s">
        <v>20338</v>
      </c>
      <c r="F7083" s="68" t="s">
        <v>21003</v>
      </c>
      <c r="G7083" s="64" t="s">
        <v>21667</v>
      </c>
      <c r="H7083" s="68" t="s">
        <v>21668</v>
      </c>
      <c r="I7083" s="64">
        <v>1</v>
      </c>
      <c r="J7083" s="44" t="str">
        <f>VLOOKUP(G7083,[1]硬件清单!$F:$F,1,0)</f>
        <v>9800183908085691</v>
      </c>
      <c r="K7083" s="66"/>
      <c r="L7083" s="44"/>
      <c r="M7083" s="64" t="s">
        <v>21669</v>
      </c>
    </row>
    <row r="7084" ht="30" customHeight="1" spans="1:13">
      <c r="A7084" s="41">
        <f>IF(C7084="","",SUBTOTAL(103,$C$2:C7084))</f>
        <v>7075</v>
      </c>
      <c r="B7084" s="67"/>
      <c r="C7084" s="58" t="s">
        <v>20331</v>
      </c>
      <c r="D7084" s="68" t="s">
        <v>20337</v>
      </c>
      <c r="E7084" s="64" t="s">
        <v>20338</v>
      </c>
      <c r="F7084" s="68" t="s">
        <v>21003</v>
      </c>
      <c r="G7084" s="64" t="s">
        <v>21670</v>
      </c>
      <c r="H7084" s="68" t="s">
        <v>21671</v>
      </c>
      <c r="I7084" s="64">
        <v>1</v>
      </c>
      <c r="J7084" s="44" t="str">
        <f>VLOOKUP(G7084,[1]硬件清单!$F:$F,1,0)</f>
        <v>9800183908085765</v>
      </c>
      <c r="K7084" s="66"/>
      <c r="L7084" s="44"/>
      <c r="M7084" s="64" t="s">
        <v>21672</v>
      </c>
    </row>
    <row r="7085" ht="30" customHeight="1" spans="1:13">
      <c r="A7085" s="41">
        <f>IF(C7085="","",SUBTOTAL(103,$C$2:C7085))</f>
        <v>7076</v>
      </c>
      <c r="B7085" s="67"/>
      <c r="C7085" s="58" t="s">
        <v>20331</v>
      </c>
      <c r="D7085" s="68" t="s">
        <v>20337</v>
      </c>
      <c r="E7085" s="64" t="s">
        <v>20338</v>
      </c>
      <c r="F7085" s="68" t="s">
        <v>21003</v>
      </c>
      <c r="G7085" s="64" t="s">
        <v>21673</v>
      </c>
      <c r="H7085" s="68" t="s">
        <v>21674</v>
      </c>
      <c r="I7085" s="64">
        <v>1</v>
      </c>
      <c r="J7085" s="44" t="str">
        <f>VLOOKUP(G7085,[1]硬件清单!$F:$F,1,0)</f>
        <v>9800183908085702</v>
      </c>
      <c r="K7085" s="66"/>
      <c r="L7085" s="44"/>
      <c r="M7085" s="64" t="s">
        <v>21675</v>
      </c>
    </row>
    <row r="7086" ht="30" customHeight="1" spans="1:13">
      <c r="A7086" s="41">
        <f>IF(C7086="","",SUBTOTAL(103,$C$2:C7086))</f>
        <v>7077</v>
      </c>
      <c r="B7086" s="67"/>
      <c r="C7086" s="58" t="s">
        <v>20331</v>
      </c>
      <c r="D7086" s="68" t="s">
        <v>20337</v>
      </c>
      <c r="E7086" s="64" t="s">
        <v>20338</v>
      </c>
      <c r="F7086" s="68" t="s">
        <v>21003</v>
      </c>
      <c r="G7086" s="64" t="s">
        <v>21676</v>
      </c>
      <c r="H7086" s="68" t="s">
        <v>21677</v>
      </c>
      <c r="I7086" s="64">
        <v>1</v>
      </c>
      <c r="J7086" s="44" t="str">
        <f>VLOOKUP(G7086,[1]硬件清单!$F:$F,1,0)</f>
        <v>9800183908085848</v>
      </c>
      <c r="K7086" s="66"/>
      <c r="L7086" s="44"/>
      <c r="M7086" s="64" t="s">
        <v>21678</v>
      </c>
    </row>
    <row r="7087" ht="30" customHeight="1" spans="1:13">
      <c r="A7087" s="41">
        <f>IF(C7087="","",SUBTOTAL(103,$C$2:C7087))</f>
        <v>7078</v>
      </c>
      <c r="B7087" s="67"/>
      <c r="C7087" s="58" t="s">
        <v>20331</v>
      </c>
      <c r="D7087" s="68" t="s">
        <v>20337</v>
      </c>
      <c r="E7087" s="64" t="s">
        <v>20338</v>
      </c>
      <c r="F7087" s="68" t="s">
        <v>21003</v>
      </c>
      <c r="G7087" s="64" t="s">
        <v>21679</v>
      </c>
      <c r="H7087" s="68" t="s">
        <v>21680</v>
      </c>
      <c r="I7087" s="64">
        <v>1</v>
      </c>
      <c r="J7087" s="44" t="str">
        <f>VLOOKUP(G7087,[1]硬件清单!$F:$F,1,0)</f>
        <v>9800183908085874</v>
      </c>
      <c r="K7087" s="66"/>
      <c r="L7087" s="44"/>
      <c r="M7087" s="64" t="s">
        <v>21681</v>
      </c>
    </row>
    <row r="7088" ht="30" customHeight="1" spans="1:13">
      <c r="A7088" s="41">
        <f>IF(C7088="","",SUBTOTAL(103,$C$2:C7088))</f>
        <v>7079</v>
      </c>
      <c r="B7088" s="67"/>
      <c r="C7088" s="58" t="s">
        <v>20331</v>
      </c>
      <c r="D7088" s="68" t="s">
        <v>20337</v>
      </c>
      <c r="E7088" s="64" t="s">
        <v>20338</v>
      </c>
      <c r="F7088" s="68" t="s">
        <v>21003</v>
      </c>
      <c r="G7088" s="64" t="s">
        <v>21682</v>
      </c>
      <c r="H7088" s="68" t="s">
        <v>21683</v>
      </c>
      <c r="I7088" s="64">
        <v>1</v>
      </c>
      <c r="J7088" s="44" t="str">
        <f>VLOOKUP(G7088,[1]硬件清单!$F:$F,1,0)</f>
        <v>9800183908085881</v>
      </c>
      <c r="K7088" s="66"/>
      <c r="L7088" s="44"/>
      <c r="M7088" s="64" t="s">
        <v>21684</v>
      </c>
    </row>
    <row r="7089" ht="30" customHeight="1" spans="1:13">
      <c r="A7089" s="41">
        <f>IF(C7089="","",SUBTOTAL(103,$C$2:C7089))</f>
        <v>7080</v>
      </c>
      <c r="B7089" s="67"/>
      <c r="C7089" s="58" t="s">
        <v>20331</v>
      </c>
      <c r="D7089" s="68" t="s">
        <v>20337</v>
      </c>
      <c r="E7089" s="64" t="s">
        <v>20338</v>
      </c>
      <c r="F7089" s="68" t="s">
        <v>21003</v>
      </c>
      <c r="G7089" s="64" t="s">
        <v>21685</v>
      </c>
      <c r="H7089" s="68" t="s">
        <v>21686</v>
      </c>
      <c r="I7089" s="64">
        <v>1</v>
      </c>
      <c r="J7089" s="44" t="str">
        <f>VLOOKUP(G7089,[1]硬件清单!$F:$F,1,0)</f>
        <v>9800183908085837</v>
      </c>
      <c r="K7089" s="66"/>
      <c r="L7089" s="44"/>
      <c r="M7089" s="64" t="s">
        <v>21687</v>
      </c>
    </row>
    <row r="7090" ht="30" customHeight="1" spans="1:13">
      <c r="A7090" s="41">
        <f>IF(C7090="","",SUBTOTAL(103,$C$2:C7090))</f>
        <v>7081</v>
      </c>
      <c r="B7090" s="67"/>
      <c r="C7090" s="58" t="s">
        <v>20331</v>
      </c>
      <c r="D7090" s="68" t="s">
        <v>20337</v>
      </c>
      <c r="E7090" s="64" t="s">
        <v>20338</v>
      </c>
      <c r="F7090" s="68" t="s">
        <v>21003</v>
      </c>
      <c r="G7090" s="64" t="s">
        <v>21688</v>
      </c>
      <c r="H7090" s="68" t="s">
        <v>21689</v>
      </c>
      <c r="I7090" s="64">
        <v>1</v>
      </c>
      <c r="J7090" s="44" t="str">
        <f>VLOOKUP(G7090,[1]硬件清单!$F:$F,1,0)</f>
        <v>9800183908085827</v>
      </c>
      <c r="K7090" s="66"/>
      <c r="L7090" s="44"/>
      <c r="M7090" s="64" t="s">
        <v>21690</v>
      </c>
    </row>
    <row r="7091" ht="30" customHeight="1" spans="1:13">
      <c r="A7091" s="41">
        <f>IF(C7091="","",SUBTOTAL(103,$C$2:C7091))</f>
        <v>7082</v>
      </c>
      <c r="B7091" s="67"/>
      <c r="C7091" s="58" t="s">
        <v>20331</v>
      </c>
      <c r="D7091" s="68" t="s">
        <v>20337</v>
      </c>
      <c r="E7091" s="64" t="s">
        <v>20338</v>
      </c>
      <c r="F7091" s="68" t="s">
        <v>21691</v>
      </c>
      <c r="G7091" s="64" t="s">
        <v>21692</v>
      </c>
      <c r="H7091" s="68" t="s">
        <v>21693</v>
      </c>
      <c r="I7091" s="64">
        <v>1</v>
      </c>
      <c r="J7091" s="44" t="str">
        <f>VLOOKUP(G7091,[1]硬件清单!$F:$F,1,0)</f>
        <v>9800187908086432</v>
      </c>
      <c r="K7091" s="66"/>
      <c r="L7091" s="44"/>
      <c r="M7091" s="64" t="s">
        <v>21694</v>
      </c>
    </row>
    <row r="7092" ht="30" customHeight="1" spans="1:13">
      <c r="A7092" s="41">
        <f>IF(C7092="","",SUBTOTAL(103,$C$2:C7092))</f>
        <v>7083</v>
      </c>
      <c r="B7092" s="67"/>
      <c r="C7092" s="58" t="s">
        <v>20331</v>
      </c>
      <c r="D7092" s="68" t="s">
        <v>20337</v>
      </c>
      <c r="E7092" s="64" t="s">
        <v>20338</v>
      </c>
      <c r="F7092" s="68" t="s">
        <v>21691</v>
      </c>
      <c r="G7092" s="64" t="s">
        <v>21695</v>
      </c>
      <c r="H7092" s="68" t="s">
        <v>21696</v>
      </c>
      <c r="I7092" s="64">
        <v>1</v>
      </c>
      <c r="J7092" s="44" t="str">
        <f>VLOOKUP(G7092,[1]硬件清单!$F:$F,1,0)</f>
        <v>9800187908086424</v>
      </c>
      <c r="K7092" s="66"/>
      <c r="L7092" s="44"/>
      <c r="M7092" s="64" t="s">
        <v>21697</v>
      </c>
    </row>
    <row r="7093" ht="30" customHeight="1" spans="1:13">
      <c r="A7093" s="41">
        <f>IF(C7093="","",SUBTOTAL(103,$C$2:C7093))</f>
        <v>7084</v>
      </c>
      <c r="B7093" s="67"/>
      <c r="C7093" s="58" t="s">
        <v>20331</v>
      </c>
      <c r="D7093" s="68" t="s">
        <v>20337</v>
      </c>
      <c r="E7093" s="64" t="s">
        <v>20338</v>
      </c>
      <c r="F7093" s="68" t="s">
        <v>21691</v>
      </c>
      <c r="G7093" s="64" t="s">
        <v>21698</v>
      </c>
      <c r="H7093" s="68" t="s">
        <v>21699</v>
      </c>
      <c r="I7093" s="64">
        <v>1</v>
      </c>
      <c r="J7093" s="44" t="str">
        <f>VLOOKUP(G7093,[1]硬件清单!$F:$F,1,0)</f>
        <v>9800187908086431</v>
      </c>
      <c r="K7093" s="66"/>
      <c r="L7093" s="44"/>
      <c r="M7093" s="64" t="s">
        <v>21700</v>
      </c>
    </row>
    <row r="7094" ht="30" customHeight="1" spans="1:13">
      <c r="A7094" s="41">
        <f>IF(C7094="","",SUBTOTAL(103,$C$2:C7094))</f>
        <v>7085</v>
      </c>
      <c r="B7094" s="67"/>
      <c r="C7094" s="58" t="s">
        <v>20331</v>
      </c>
      <c r="D7094" s="68" t="s">
        <v>20337</v>
      </c>
      <c r="E7094" s="64" t="s">
        <v>20338</v>
      </c>
      <c r="F7094" s="68" t="s">
        <v>21691</v>
      </c>
      <c r="G7094" s="64" t="s">
        <v>21701</v>
      </c>
      <c r="H7094" s="68" t="s">
        <v>21702</v>
      </c>
      <c r="I7094" s="64">
        <v>1</v>
      </c>
      <c r="J7094" s="44" t="str">
        <f>VLOOKUP(G7094,[1]硬件清单!$F:$F,1,0)</f>
        <v>9800187908086436</v>
      </c>
      <c r="K7094" s="66"/>
      <c r="L7094" s="44"/>
      <c r="M7094" s="64" t="s">
        <v>21703</v>
      </c>
    </row>
    <row r="7095" ht="30" customHeight="1" spans="1:13">
      <c r="A7095" s="41">
        <f>IF(C7095="","",SUBTOTAL(103,$C$2:C7095))</f>
        <v>7086</v>
      </c>
      <c r="B7095" s="67"/>
      <c r="C7095" s="58" t="s">
        <v>20331</v>
      </c>
      <c r="D7095" s="68" t="s">
        <v>20337</v>
      </c>
      <c r="E7095" s="64" t="s">
        <v>20338</v>
      </c>
      <c r="F7095" s="68" t="s">
        <v>21691</v>
      </c>
      <c r="G7095" s="64" t="s">
        <v>21704</v>
      </c>
      <c r="H7095" s="68" t="s">
        <v>21705</v>
      </c>
      <c r="I7095" s="64">
        <v>1</v>
      </c>
      <c r="J7095" s="44" t="str">
        <f>VLOOKUP(G7095,[1]硬件清单!$F:$F,1,0)</f>
        <v>9800187908086435</v>
      </c>
      <c r="K7095" s="66"/>
      <c r="L7095" s="44"/>
      <c r="M7095" s="64" t="s">
        <v>21706</v>
      </c>
    </row>
    <row r="7096" ht="30" customHeight="1" spans="1:13">
      <c r="A7096" s="41">
        <f>IF(C7096="","",SUBTOTAL(103,$C$2:C7096))</f>
        <v>7087</v>
      </c>
      <c r="B7096" s="67"/>
      <c r="C7096" s="58" t="s">
        <v>20331</v>
      </c>
      <c r="D7096" s="68" t="s">
        <v>20337</v>
      </c>
      <c r="E7096" s="64" t="s">
        <v>20338</v>
      </c>
      <c r="F7096" s="68" t="s">
        <v>21691</v>
      </c>
      <c r="G7096" s="64" t="s">
        <v>21707</v>
      </c>
      <c r="H7096" s="68" t="s">
        <v>21708</v>
      </c>
      <c r="I7096" s="64">
        <v>1</v>
      </c>
      <c r="J7096" s="44" t="str">
        <f>VLOOKUP(G7096,[1]硬件清单!$F:$F,1,0)</f>
        <v>9800187908086430</v>
      </c>
      <c r="K7096" s="66"/>
      <c r="L7096" s="44"/>
      <c r="M7096" s="64" t="s">
        <v>21709</v>
      </c>
    </row>
    <row r="7097" ht="30" customHeight="1" spans="1:13">
      <c r="A7097" s="41">
        <f>IF(C7097="","",SUBTOTAL(103,$C$2:C7097))</f>
        <v>7088</v>
      </c>
      <c r="B7097" s="67"/>
      <c r="C7097" s="58" t="s">
        <v>20331</v>
      </c>
      <c r="D7097" s="68" t="s">
        <v>20337</v>
      </c>
      <c r="E7097" s="64" t="s">
        <v>20338</v>
      </c>
      <c r="F7097" s="68" t="s">
        <v>21691</v>
      </c>
      <c r="G7097" s="64" t="s">
        <v>21710</v>
      </c>
      <c r="H7097" s="68" t="s">
        <v>21711</v>
      </c>
      <c r="I7097" s="64">
        <v>1</v>
      </c>
      <c r="J7097" s="44" t="str">
        <f>VLOOKUP(G7097,[1]硬件清单!$F:$F,1,0)</f>
        <v>9800187908086423</v>
      </c>
      <c r="K7097" s="66"/>
      <c r="L7097" s="44"/>
      <c r="M7097" s="64" t="s">
        <v>21712</v>
      </c>
    </row>
    <row r="7098" ht="30" customHeight="1" spans="1:13">
      <c r="A7098" s="41">
        <f>IF(C7098="","",SUBTOTAL(103,$C$2:C7098))</f>
        <v>7089</v>
      </c>
      <c r="B7098" s="67"/>
      <c r="C7098" s="58" t="s">
        <v>20331</v>
      </c>
      <c r="D7098" s="68" t="s">
        <v>20337</v>
      </c>
      <c r="E7098" s="64" t="s">
        <v>20338</v>
      </c>
      <c r="F7098" s="68" t="s">
        <v>21691</v>
      </c>
      <c r="G7098" s="64" t="s">
        <v>21713</v>
      </c>
      <c r="H7098" s="68" t="s">
        <v>21714</v>
      </c>
      <c r="I7098" s="64">
        <v>1</v>
      </c>
      <c r="J7098" s="44" t="str">
        <f>VLOOKUP(G7098,[1]硬件清单!$F:$F,1,0)</f>
        <v>9800187908086434</v>
      </c>
      <c r="K7098" s="66"/>
      <c r="L7098" s="44"/>
      <c r="M7098" s="64" t="s">
        <v>21715</v>
      </c>
    </row>
    <row r="7099" ht="30" customHeight="1" spans="1:13">
      <c r="A7099" s="41">
        <f>IF(C7099="","",SUBTOTAL(103,$C$2:C7099))</f>
        <v>7090</v>
      </c>
      <c r="B7099" s="67"/>
      <c r="C7099" s="58" t="s">
        <v>20331</v>
      </c>
      <c r="D7099" s="68" t="s">
        <v>20337</v>
      </c>
      <c r="E7099" s="64" t="s">
        <v>20338</v>
      </c>
      <c r="F7099" s="68" t="s">
        <v>21691</v>
      </c>
      <c r="G7099" s="64" t="s">
        <v>21716</v>
      </c>
      <c r="H7099" s="68" t="s">
        <v>21717</v>
      </c>
      <c r="I7099" s="64">
        <v>1</v>
      </c>
      <c r="J7099" s="44" t="str">
        <f>VLOOKUP(G7099,[1]硬件清单!$F:$F,1,0)</f>
        <v>9800187908086429</v>
      </c>
      <c r="K7099" s="66"/>
      <c r="L7099" s="44"/>
      <c r="M7099" s="64" t="s">
        <v>21718</v>
      </c>
    </row>
    <row r="7100" ht="30" customHeight="1" spans="1:13">
      <c r="A7100" s="41">
        <f>IF(C7100="","",SUBTOTAL(103,$C$2:C7100))</f>
        <v>7091</v>
      </c>
      <c r="B7100" s="67"/>
      <c r="C7100" s="58" t="s">
        <v>20331</v>
      </c>
      <c r="D7100" s="68" t="s">
        <v>20337</v>
      </c>
      <c r="E7100" s="64" t="s">
        <v>20338</v>
      </c>
      <c r="F7100" s="68" t="s">
        <v>21691</v>
      </c>
      <c r="G7100" s="64" t="s">
        <v>21719</v>
      </c>
      <c r="H7100" s="68" t="s">
        <v>21720</v>
      </c>
      <c r="I7100" s="64">
        <v>1</v>
      </c>
      <c r="J7100" s="44" t="str">
        <f>VLOOKUP(G7100,[1]硬件清单!$F:$F,1,0)</f>
        <v>9800187908086428</v>
      </c>
      <c r="K7100" s="66"/>
      <c r="L7100" s="44"/>
      <c r="M7100" s="64" t="s">
        <v>21721</v>
      </c>
    </row>
    <row r="7101" ht="30" customHeight="1" spans="1:13">
      <c r="A7101" s="41">
        <f>IF(C7101="","",SUBTOTAL(103,$C$2:C7101))</f>
        <v>7092</v>
      </c>
      <c r="B7101" s="67"/>
      <c r="C7101" s="58" t="s">
        <v>20331</v>
      </c>
      <c r="D7101" s="68" t="s">
        <v>20337</v>
      </c>
      <c r="E7101" s="64" t="s">
        <v>20338</v>
      </c>
      <c r="F7101" s="68" t="s">
        <v>21691</v>
      </c>
      <c r="G7101" s="64" t="s">
        <v>21722</v>
      </c>
      <c r="H7101" s="68" t="s">
        <v>21723</v>
      </c>
      <c r="I7101" s="64">
        <v>1</v>
      </c>
      <c r="J7101" s="44" t="str">
        <f>VLOOKUP(G7101,[1]硬件清单!$F:$F,1,0)</f>
        <v>9800187908086427</v>
      </c>
      <c r="K7101" s="66"/>
      <c r="L7101" s="44"/>
      <c r="M7101" s="64" t="s">
        <v>21724</v>
      </c>
    </row>
    <row r="7102" ht="30" customHeight="1" spans="1:13">
      <c r="A7102" s="41">
        <f>IF(C7102="","",SUBTOTAL(103,$C$2:C7102))</f>
        <v>7093</v>
      </c>
      <c r="B7102" s="67"/>
      <c r="C7102" s="58" t="s">
        <v>20331</v>
      </c>
      <c r="D7102" s="68" t="s">
        <v>20337</v>
      </c>
      <c r="E7102" s="64" t="s">
        <v>20338</v>
      </c>
      <c r="F7102" s="68" t="s">
        <v>21691</v>
      </c>
      <c r="G7102" s="64" t="s">
        <v>21725</v>
      </c>
      <c r="H7102" s="68" t="s">
        <v>21726</v>
      </c>
      <c r="I7102" s="64">
        <v>1</v>
      </c>
      <c r="J7102" s="44" t="str">
        <f>VLOOKUP(G7102,[1]硬件清单!$F:$F,1,0)</f>
        <v>9800187908086425</v>
      </c>
      <c r="K7102" s="66"/>
      <c r="L7102" s="44"/>
      <c r="M7102" s="64" t="s">
        <v>21727</v>
      </c>
    </row>
    <row r="7103" ht="30" customHeight="1" spans="1:13">
      <c r="A7103" s="41">
        <f>IF(C7103="","",SUBTOTAL(103,$C$2:C7103))</f>
        <v>7094</v>
      </c>
      <c r="B7103" s="67"/>
      <c r="C7103" s="58" t="s">
        <v>20331</v>
      </c>
      <c r="D7103" s="68" t="s">
        <v>20337</v>
      </c>
      <c r="E7103" s="64" t="s">
        <v>20338</v>
      </c>
      <c r="F7103" s="68" t="s">
        <v>21691</v>
      </c>
      <c r="G7103" s="64" t="s">
        <v>21728</v>
      </c>
      <c r="H7103" s="68" t="s">
        <v>21729</v>
      </c>
      <c r="I7103" s="64">
        <v>1</v>
      </c>
      <c r="J7103" s="44" t="str">
        <f>VLOOKUP(G7103,[1]硬件清单!$F:$F,1,0)</f>
        <v>9800187908086426</v>
      </c>
      <c r="K7103" s="66"/>
      <c r="L7103" s="44"/>
      <c r="M7103" s="64" t="s">
        <v>21730</v>
      </c>
    </row>
    <row r="7104" ht="30" customHeight="1" spans="1:13">
      <c r="A7104" s="41">
        <f>IF(C7104="","",SUBTOTAL(103,$C$2:C7104))</f>
        <v>7095</v>
      </c>
      <c r="B7104" s="67"/>
      <c r="C7104" s="58" t="s">
        <v>20331</v>
      </c>
      <c r="D7104" s="68" t="s">
        <v>20337</v>
      </c>
      <c r="E7104" s="64" t="s">
        <v>20338</v>
      </c>
      <c r="F7104" s="68" t="s">
        <v>21691</v>
      </c>
      <c r="G7104" s="64" t="s">
        <v>21731</v>
      </c>
      <c r="H7104" s="68" t="s">
        <v>21732</v>
      </c>
      <c r="I7104" s="64">
        <v>1</v>
      </c>
      <c r="J7104" s="44" t="str">
        <f>VLOOKUP(G7104,[1]硬件清单!$F:$F,1,0)</f>
        <v>9800187908086433</v>
      </c>
      <c r="K7104" s="66"/>
      <c r="L7104" s="44"/>
      <c r="M7104" s="64" t="s">
        <v>21733</v>
      </c>
    </row>
    <row r="7105" ht="30" customHeight="1" spans="1:13">
      <c r="A7105" s="41">
        <f>IF(C7105="","",SUBTOTAL(103,$C$2:C7105))</f>
        <v>7096</v>
      </c>
      <c r="B7105" s="67"/>
      <c r="C7105" s="58" t="s">
        <v>20331</v>
      </c>
      <c r="D7105" s="68" t="s">
        <v>20337</v>
      </c>
      <c r="E7105" s="64" t="s">
        <v>20338</v>
      </c>
      <c r="F7105" s="68" t="s">
        <v>21734</v>
      </c>
      <c r="G7105" s="64" t="s">
        <v>21735</v>
      </c>
      <c r="H7105" s="68" t="s">
        <v>21736</v>
      </c>
      <c r="I7105" s="64">
        <v>1</v>
      </c>
      <c r="J7105" s="44" t="str">
        <f>VLOOKUP(G7105,[1]硬件清单!$F:$F,1,0)</f>
        <v>21811742336A23C27005</v>
      </c>
      <c r="K7105" s="66"/>
      <c r="L7105" s="44"/>
      <c r="M7105" s="64" t="s">
        <v>21737</v>
      </c>
    </row>
    <row r="7106" ht="30" customHeight="1" spans="1:13">
      <c r="A7106" s="41">
        <f>IF(C7106="","",SUBTOTAL(103,$C$2:C7106))</f>
        <v>7097</v>
      </c>
      <c r="B7106" s="67"/>
      <c r="C7106" s="58" t="s">
        <v>20331</v>
      </c>
      <c r="D7106" s="68" t="s">
        <v>20337</v>
      </c>
      <c r="E7106" s="64" t="s">
        <v>20338</v>
      </c>
      <c r="F7106" s="68" t="s">
        <v>21734</v>
      </c>
      <c r="G7106" s="64" t="s">
        <v>21738</v>
      </c>
      <c r="H7106" s="68" t="s">
        <v>21739</v>
      </c>
      <c r="I7106" s="64">
        <v>1</v>
      </c>
      <c r="J7106" s="44" t="str">
        <f>VLOOKUP(G7106,[1]硬件清单!$F:$F,1,0)</f>
        <v>21811742336A23C27012</v>
      </c>
      <c r="K7106" s="66"/>
      <c r="L7106" s="44"/>
      <c r="M7106" s="64" t="s">
        <v>21740</v>
      </c>
    </row>
    <row r="7107" ht="30" customHeight="1" spans="1:13">
      <c r="A7107" s="41">
        <f>IF(C7107="","",SUBTOTAL(103,$C$2:C7107))</f>
        <v>7098</v>
      </c>
      <c r="B7107" s="67"/>
      <c r="C7107" s="58" t="s">
        <v>20331</v>
      </c>
      <c r="D7107" s="68" t="s">
        <v>20337</v>
      </c>
      <c r="E7107" s="64" t="s">
        <v>20338</v>
      </c>
      <c r="F7107" s="68" t="s">
        <v>21734</v>
      </c>
      <c r="G7107" s="64" t="s">
        <v>21741</v>
      </c>
      <c r="H7107" s="68" t="s">
        <v>21742</v>
      </c>
      <c r="I7107" s="64">
        <v>1</v>
      </c>
      <c r="J7107" s="44" t="str">
        <f>VLOOKUP(G7107,[1]硬件清单!$F:$F,1,0)</f>
        <v>21811742336A23C00005</v>
      </c>
      <c r="K7107" s="66"/>
      <c r="L7107" s="44"/>
      <c r="M7107" s="64" t="s">
        <v>21743</v>
      </c>
    </row>
    <row r="7108" ht="30" customHeight="1" spans="1:13">
      <c r="A7108" s="41">
        <f>IF(C7108="","",SUBTOTAL(103,$C$2:C7108))</f>
        <v>7099</v>
      </c>
      <c r="B7108" s="67"/>
      <c r="C7108" s="58" t="s">
        <v>20331</v>
      </c>
      <c r="D7108" s="68" t="s">
        <v>20337</v>
      </c>
      <c r="E7108" s="64" t="s">
        <v>20338</v>
      </c>
      <c r="F7108" s="68" t="s">
        <v>21734</v>
      </c>
      <c r="G7108" s="64" t="s">
        <v>21744</v>
      </c>
      <c r="H7108" s="68" t="s">
        <v>21745</v>
      </c>
      <c r="I7108" s="64">
        <v>1</v>
      </c>
      <c r="J7108" s="44" t="str">
        <f>VLOOKUP(G7108,[1]硬件清单!$F:$F,1,0)</f>
        <v>21811742332A24100015</v>
      </c>
      <c r="K7108" s="66"/>
      <c r="L7108" s="44"/>
      <c r="M7108" s="64" t="s">
        <v>21746</v>
      </c>
    </row>
    <row r="7109" ht="30" customHeight="1" spans="1:13">
      <c r="A7109" s="41">
        <f>IF(C7109="","",SUBTOTAL(103,$C$2:C7109))</f>
        <v>7100</v>
      </c>
      <c r="B7109" s="67"/>
      <c r="C7109" s="58" t="s">
        <v>20331</v>
      </c>
      <c r="D7109" s="68" t="s">
        <v>20337</v>
      </c>
      <c r="E7109" s="64" t="s">
        <v>20338</v>
      </c>
      <c r="F7109" s="68" t="s">
        <v>21734</v>
      </c>
      <c r="G7109" s="64" t="s">
        <v>21747</v>
      </c>
      <c r="H7109" s="68" t="s">
        <v>21748</v>
      </c>
      <c r="I7109" s="64">
        <v>1</v>
      </c>
      <c r="J7109" s="44" t="str">
        <f>VLOOKUP(G7109,[1]硬件清单!$F:$F,1,0)</f>
        <v>21811742332A24100008</v>
      </c>
      <c r="K7109" s="66"/>
      <c r="L7109" s="44"/>
      <c r="M7109" s="64" t="s">
        <v>21749</v>
      </c>
    </row>
    <row r="7110" ht="30" customHeight="1" spans="1:13">
      <c r="A7110" s="41">
        <f>IF(C7110="","",SUBTOTAL(103,$C$2:C7110))</f>
        <v>7101</v>
      </c>
      <c r="B7110" s="67"/>
      <c r="C7110" s="58" t="s">
        <v>20331</v>
      </c>
      <c r="D7110" s="68" t="s">
        <v>20337</v>
      </c>
      <c r="E7110" s="64" t="s">
        <v>20338</v>
      </c>
      <c r="F7110" s="68" t="s">
        <v>21734</v>
      </c>
      <c r="G7110" s="64" t="s">
        <v>21750</v>
      </c>
      <c r="H7110" s="68" t="s">
        <v>21751</v>
      </c>
      <c r="I7110" s="64">
        <v>1</v>
      </c>
      <c r="J7110" s="44" t="str">
        <f>VLOOKUP(G7110,[1]硬件清单!$F:$F,1,0)</f>
        <v>21811742336A23C27031</v>
      </c>
      <c r="K7110" s="66"/>
      <c r="L7110" s="44"/>
      <c r="M7110" s="64" t="s">
        <v>21752</v>
      </c>
    </row>
    <row r="7111" ht="30" customHeight="1" spans="1:13">
      <c r="A7111" s="41">
        <f>IF(C7111="","",SUBTOTAL(103,$C$2:C7111))</f>
        <v>7102</v>
      </c>
      <c r="B7111" s="67"/>
      <c r="C7111" s="58" t="s">
        <v>20331</v>
      </c>
      <c r="D7111" s="68" t="s">
        <v>20337</v>
      </c>
      <c r="E7111" s="64" t="s">
        <v>20338</v>
      </c>
      <c r="F7111" s="68" t="s">
        <v>21734</v>
      </c>
      <c r="G7111" s="64" t="s">
        <v>21753</v>
      </c>
      <c r="H7111" s="68" t="s">
        <v>21754</v>
      </c>
      <c r="I7111" s="64">
        <v>1</v>
      </c>
      <c r="J7111" s="44" t="str">
        <f>VLOOKUP(G7111,[1]硬件清单!$F:$F,1,0)</f>
        <v>21811742336A23C27030</v>
      </c>
      <c r="K7111" s="66"/>
      <c r="L7111" s="44"/>
      <c r="M7111" s="64" t="s">
        <v>21755</v>
      </c>
    </row>
    <row r="7112" ht="30" customHeight="1" spans="1:13">
      <c r="A7112" s="41">
        <f>IF(C7112="","",SUBTOTAL(103,$C$2:C7112))</f>
        <v>7103</v>
      </c>
      <c r="B7112" s="67"/>
      <c r="C7112" s="58" t="s">
        <v>20331</v>
      </c>
      <c r="D7112" s="68" t="s">
        <v>20337</v>
      </c>
      <c r="E7112" s="64" t="s">
        <v>20338</v>
      </c>
      <c r="F7112" s="68" t="s">
        <v>21734</v>
      </c>
      <c r="G7112" s="64" t="s">
        <v>21756</v>
      </c>
      <c r="H7112" s="68" t="s">
        <v>21757</v>
      </c>
      <c r="I7112" s="64">
        <v>1</v>
      </c>
      <c r="J7112" s="44" t="str">
        <f>VLOOKUP(G7112,[1]硬件清单!$F:$F,1,0)</f>
        <v>21811742336A23C00009</v>
      </c>
      <c r="K7112" s="66"/>
      <c r="L7112" s="44"/>
      <c r="M7112" s="64" t="s">
        <v>21758</v>
      </c>
    </row>
    <row r="7113" ht="30" customHeight="1" spans="1:13">
      <c r="A7113" s="41">
        <f>IF(C7113="","",SUBTOTAL(103,$C$2:C7113))</f>
        <v>7104</v>
      </c>
      <c r="B7113" s="67"/>
      <c r="C7113" s="58" t="s">
        <v>20331</v>
      </c>
      <c r="D7113" s="68" t="s">
        <v>20337</v>
      </c>
      <c r="E7113" s="64" t="s">
        <v>20338</v>
      </c>
      <c r="F7113" s="68" t="s">
        <v>21734</v>
      </c>
      <c r="G7113" s="64" t="s">
        <v>21759</v>
      </c>
      <c r="H7113" s="68" t="s">
        <v>21760</v>
      </c>
      <c r="I7113" s="64">
        <v>1</v>
      </c>
      <c r="J7113" s="44" t="str">
        <f>VLOOKUP(G7113,[1]硬件清单!$F:$F,1,0)</f>
        <v>21811742336A23C27004</v>
      </c>
      <c r="K7113" s="66"/>
      <c r="L7113" s="44"/>
      <c r="M7113" s="64" t="s">
        <v>21761</v>
      </c>
    </row>
    <row r="7114" ht="30" customHeight="1" spans="1:13">
      <c r="A7114" s="41">
        <f>IF(C7114="","",SUBTOTAL(103,$C$2:C7114))</f>
        <v>7105</v>
      </c>
      <c r="B7114" s="67"/>
      <c r="C7114" s="58" t="s">
        <v>20331</v>
      </c>
      <c r="D7114" s="68" t="s">
        <v>20337</v>
      </c>
      <c r="E7114" s="64" t="s">
        <v>20338</v>
      </c>
      <c r="F7114" s="68" t="s">
        <v>21734</v>
      </c>
      <c r="G7114" s="64" t="s">
        <v>21762</v>
      </c>
      <c r="H7114" s="68" t="s">
        <v>21763</v>
      </c>
      <c r="I7114" s="64">
        <v>1</v>
      </c>
      <c r="J7114" s="44" t="str">
        <f>VLOOKUP(G7114,[1]硬件清单!$F:$F,1,0)</f>
        <v>21811742336A23C27053</v>
      </c>
      <c r="K7114" s="66"/>
      <c r="L7114" s="44"/>
      <c r="M7114" s="64" t="s">
        <v>21764</v>
      </c>
    </row>
    <row r="7115" ht="30" customHeight="1" spans="1:13">
      <c r="A7115" s="41">
        <f>IF(C7115="","",SUBTOTAL(103,$C$2:C7115))</f>
        <v>7106</v>
      </c>
      <c r="B7115" s="67"/>
      <c r="C7115" s="58" t="s">
        <v>20331</v>
      </c>
      <c r="D7115" s="68" t="s">
        <v>20337</v>
      </c>
      <c r="E7115" s="64" t="s">
        <v>20338</v>
      </c>
      <c r="F7115" s="68" t="s">
        <v>21734</v>
      </c>
      <c r="G7115" s="64" t="s">
        <v>21765</v>
      </c>
      <c r="H7115" s="68" t="s">
        <v>21766</v>
      </c>
      <c r="I7115" s="64">
        <v>1</v>
      </c>
      <c r="J7115" s="44" t="str">
        <f>VLOOKUP(G7115,[1]硬件清单!$F:$F,1,0)</f>
        <v>21811742332A24100016</v>
      </c>
      <c r="K7115" s="66"/>
      <c r="L7115" s="44"/>
      <c r="M7115" s="64" t="s">
        <v>21767</v>
      </c>
    </row>
    <row r="7116" ht="30" customHeight="1" spans="1:13">
      <c r="A7116" s="41">
        <f>IF(C7116="","",SUBTOTAL(103,$C$2:C7116))</f>
        <v>7107</v>
      </c>
      <c r="B7116" s="67"/>
      <c r="C7116" s="58" t="s">
        <v>20331</v>
      </c>
      <c r="D7116" s="68" t="s">
        <v>20337</v>
      </c>
      <c r="E7116" s="64" t="s">
        <v>20338</v>
      </c>
      <c r="F7116" s="68" t="s">
        <v>21734</v>
      </c>
      <c r="G7116" s="64" t="s">
        <v>21768</v>
      </c>
      <c r="H7116" s="68" t="s">
        <v>21769</v>
      </c>
      <c r="I7116" s="64">
        <v>1</v>
      </c>
      <c r="J7116" s="44" t="str">
        <f>VLOOKUP(G7116,[1]硬件清单!$F:$F,1,0)</f>
        <v>21811742336A23C27040</v>
      </c>
      <c r="K7116" s="66"/>
      <c r="L7116" s="44"/>
      <c r="M7116" s="64" t="s">
        <v>21770</v>
      </c>
    </row>
    <row r="7117" ht="30" customHeight="1" spans="1:13">
      <c r="A7117" s="41">
        <f>IF(C7117="","",SUBTOTAL(103,$C$2:C7117))</f>
        <v>7108</v>
      </c>
      <c r="B7117" s="67"/>
      <c r="C7117" s="58" t="s">
        <v>20331</v>
      </c>
      <c r="D7117" s="68" t="s">
        <v>20337</v>
      </c>
      <c r="E7117" s="64" t="s">
        <v>20338</v>
      </c>
      <c r="F7117" s="68" t="s">
        <v>21734</v>
      </c>
      <c r="G7117" s="64" t="s">
        <v>21771</v>
      </c>
      <c r="H7117" s="68" t="s">
        <v>21772</v>
      </c>
      <c r="I7117" s="64">
        <v>1</v>
      </c>
      <c r="J7117" s="44" t="str">
        <f>VLOOKUP(G7117,[1]硬件清单!$F:$F,1,0)</f>
        <v>21811742336A23C00006</v>
      </c>
      <c r="K7117" s="66"/>
      <c r="L7117" s="44"/>
      <c r="M7117" s="64" t="s">
        <v>21773</v>
      </c>
    </row>
    <row r="7118" ht="30" customHeight="1" spans="1:13">
      <c r="A7118" s="41">
        <f>IF(C7118="","",SUBTOTAL(103,$C$2:C7118))</f>
        <v>7109</v>
      </c>
      <c r="B7118" s="67"/>
      <c r="C7118" s="58" t="s">
        <v>20331</v>
      </c>
      <c r="D7118" s="68" t="s">
        <v>20337</v>
      </c>
      <c r="E7118" s="64" t="s">
        <v>20338</v>
      </c>
      <c r="F7118" s="68" t="s">
        <v>21734</v>
      </c>
      <c r="G7118" s="64" t="s">
        <v>21774</v>
      </c>
      <c r="H7118" s="68" t="s">
        <v>21775</v>
      </c>
      <c r="I7118" s="64">
        <v>1</v>
      </c>
      <c r="J7118" s="44" t="str">
        <f>VLOOKUP(G7118,[1]硬件清单!$F:$F,1,0)</f>
        <v>21811742336A23C27045</v>
      </c>
      <c r="K7118" s="66"/>
      <c r="L7118" s="44"/>
      <c r="M7118" s="64" t="s">
        <v>21776</v>
      </c>
    </row>
    <row r="7119" ht="30" customHeight="1" spans="1:13">
      <c r="A7119" s="41">
        <f>IF(C7119="","",SUBTOTAL(103,$C$2:C7119))</f>
        <v>7110</v>
      </c>
      <c r="B7119" s="67"/>
      <c r="C7119" s="58" t="s">
        <v>20331</v>
      </c>
      <c r="D7119" s="68" t="s">
        <v>20337</v>
      </c>
      <c r="E7119" s="64" t="s">
        <v>20338</v>
      </c>
      <c r="F7119" s="68" t="s">
        <v>21734</v>
      </c>
      <c r="G7119" s="64" t="s">
        <v>21777</v>
      </c>
      <c r="H7119" s="68" t="s">
        <v>21778</v>
      </c>
      <c r="I7119" s="64">
        <v>1</v>
      </c>
      <c r="J7119" s="44" t="str">
        <f>VLOOKUP(G7119,[1]硬件清单!$F:$F,1,0)</f>
        <v>21811742336A23C27029</v>
      </c>
      <c r="K7119" s="66"/>
      <c r="L7119" s="44"/>
      <c r="M7119" s="64" t="s">
        <v>21779</v>
      </c>
    </row>
    <row r="7120" ht="30" customHeight="1" spans="1:13">
      <c r="A7120" s="41">
        <f>IF(C7120="","",SUBTOTAL(103,$C$2:C7120))</f>
        <v>7111</v>
      </c>
      <c r="B7120" s="67"/>
      <c r="C7120" s="58" t="s">
        <v>20331</v>
      </c>
      <c r="D7120" s="68" t="s">
        <v>20337</v>
      </c>
      <c r="E7120" s="64" t="s">
        <v>20338</v>
      </c>
      <c r="F7120" s="68" t="s">
        <v>21734</v>
      </c>
      <c r="G7120" s="64" t="s">
        <v>21780</v>
      </c>
      <c r="H7120" s="68" t="s">
        <v>21781</v>
      </c>
      <c r="I7120" s="64">
        <v>1</v>
      </c>
      <c r="J7120" s="44" t="str">
        <f>VLOOKUP(G7120,[1]硬件清单!$F:$F,1,0)</f>
        <v>21811742336A23C27001</v>
      </c>
      <c r="K7120" s="66"/>
      <c r="L7120" s="44"/>
      <c r="M7120" s="64" t="s">
        <v>21782</v>
      </c>
    </row>
    <row r="7121" ht="30" customHeight="1" spans="1:13">
      <c r="A7121" s="41">
        <f>IF(C7121="","",SUBTOTAL(103,$C$2:C7121))</f>
        <v>7112</v>
      </c>
      <c r="B7121" s="67"/>
      <c r="C7121" s="58" t="s">
        <v>20331</v>
      </c>
      <c r="D7121" s="68" t="s">
        <v>20337</v>
      </c>
      <c r="E7121" s="64" t="s">
        <v>20338</v>
      </c>
      <c r="F7121" s="68" t="s">
        <v>21734</v>
      </c>
      <c r="G7121" s="64" t="s">
        <v>21783</v>
      </c>
      <c r="H7121" s="68" t="s">
        <v>21784</v>
      </c>
      <c r="I7121" s="64">
        <v>1</v>
      </c>
      <c r="J7121" s="44" t="str">
        <f>VLOOKUP(G7121,[1]硬件清单!$F:$F,1,0)</f>
        <v>21811742336A23C27003</v>
      </c>
      <c r="K7121" s="66"/>
      <c r="L7121" s="44"/>
      <c r="M7121" s="64" t="s">
        <v>21785</v>
      </c>
    </row>
    <row r="7122" ht="30" customHeight="1" spans="1:13">
      <c r="A7122" s="41">
        <f>IF(C7122="","",SUBTOTAL(103,$C$2:C7122))</f>
        <v>7113</v>
      </c>
      <c r="B7122" s="67"/>
      <c r="C7122" s="58" t="s">
        <v>20331</v>
      </c>
      <c r="D7122" s="68" t="s">
        <v>20337</v>
      </c>
      <c r="E7122" s="64" t="s">
        <v>20338</v>
      </c>
      <c r="F7122" s="68" t="s">
        <v>21734</v>
      </c>
      <c r="G7122" s="64" t="s">
        <v>21786</v>
      </c>
      <c r="H7122" s="68" t="s">
        <v>21787</v>
      </c>
      <c r="I7122" s="64">
        <v>1</v>
      </c>
      <c r="J7122" s="44" t="str">
        <f>VLOOKUP(G7122,[1]硬件清单!$F:$F,1,0)</f>
        <v>21811742336A23C27009</v>
      </c>
      <c r="K7122" s="66"/>
      <c r="L7122" s="44"/>
      <c r="M7122" s="64" t="s">
        <v>21788</v>
      </c>
    </row>
    <row r="7123" ht="30" customHeight="1" spans="1:13">
      <c r="A7123" s="41">
        <f>IF(C7123="","",SUBTOTAL(103,$C$2:C7123))</f>
        <v>7114</v>
      </c>
      <c r="B7123" s="67"/>
      <c r="C7123" s="58" t="s">
        <v>20331</v>
      </c>
      <c r="D7123" s="68" t="s">
        <v>20337</v>
      </c>
      <c r="E7123" s="64" t="s">
        <v>20338</v>
      </c>
      <c r="F7123" s="68" t="s">
        <v>21734</v>
      </c>
      <c r="G7123" s="64" t="s">
        <v>21789</v>
      </c>
      <c r="H7123" s="68" t="s">
        <v>21790</v>
      </c>
      <c r="I7123" s="64">
        <v>1</v>
      </c>
      <c r="J7123" s="44" t="str">
        <f>VLOOKUP(G7123,[1]硬件清单!$F:$F,1,0)</f>
        <v>21811742336A23C27035</v>
      </c>
      <c r="K7123" s="66"/>
      <c r="L7123" s="44"/>
      <c r="M7123" s="64" t="s">
        <v>21791</v>
      </c>
    </row>
    <row r="7124" ht="30" customHeight="1" spans="1:13">
      <c r="A7124" s="41">
        <f>IF(C7124="","",SUBTOTAL(103,$C$2:C7124))</f>
        <v>7115</v>
      </c>
      <c r="B7124" s="67"/>
      <c r="C7124" s="58" t="s">
        <v>20331</v>
      </c>
      <c r="D7124" s="68" t="s">
        <v>20337</v>
      </c>
      <c r="E7124" s="64" t="s">
        <v>20338</v>
      </c>
      <c r="F7124" s="68" t="s">
        <v>21734</v>
      </c>
      <c r="G7124" s="64" t="s">
        <v>21792</v>
      </c>
      <c r="H7124" s="68" t="s">
        <v>21793</v>
      </c>
      <c r="I7124" s="64">
        <v>1</v>
      </c>
      <c r="J7124" s="44" t="str">
        <f>VLOOKUP(G7124,[1]硬件清单!$F:$F,1,0)</f>
        <v>21811742332A23C00008</v>
      </c>
      <c r="K7124" s="66"/>
      <c r="L7124" s="44"/>
      <c r="M7124" s="64" t="s">
        <v>21794</v>
      </c>
    </row>
    <row r="7125" ht="30" customHeight="1" spans="1:13">
      <c r="A7125" s="41">
        <f>IF(C7125="","",SUBTOTAL(103,$C$2:C7125))</f>
        <v>7116</v>
      </c>
      <c r="B7125" s="67"/>
      <c r="C7125" s="58" t="s">
        <v>20331</v>
      </c>
      <c r="D7125" s="68" t="s">
        <v>20337</v>
      </c>
      <c r="E7125" s="64" t="s">
        <v>20338</v>
      </c>
      <c r="F7125" s="68" t="s">
        <v>21734</v>
      </c>
      <c r="G7125" s="64" t="s">
        <v>21795</v>
      </c>
      <c r="H7125" s="68" t="s">
        <v>21796</v>
      </c>
      <c r="I7125" s="64">
        <v>1</v>
      </c>
      <c r="J7125" s="44" t="str">
        <f>VLOOKUP(G7125,[1]硬件清单!$F:$F,1,0)</f>
        <v>21811742336A23C27013</v>
      </c>
      <c r="K7125" s="66"/>
      <c r="L7125" s="44"/>
      <c r="M7125" s="64" t="s">
        <v>21797</v>
      </c>
    </row>
    <row r="7126" ht="30" customHeight="1" spans="1:13">
      <c r="A7126" s="41">
        <f>IF(C7126="","",SUBTOTAL(103,$C$2:C7126))</f>
        <v>7117</v>
      </c>
      <c r="B7126" s="67"/>
      <c r="C7126" s="58" t="s">
        <v>20331</v>
      </c>
      <c r="D7126" s="68" t="s">
        <v>20337</v>
      </c>
      <c r="E7126" s="64" t="s">
        <v>20338</v>
      </c>
      <c r="F7126" s="68" t="s">
        <v>21734</v>
      </c>
      <c r="G7126" s="64" t="s">
        <v>21798</v>
      </c>
      <c r="H7126" s="68" t="s">
        <v>21799</v>
      </c>
      <c r="I7126" s="64">
        <v>1</v>
      </c>
      <c r="J7126" s="44" t="str">
        <f>VLOOKUP(G7126,[1]硬件清单!$F:$F,1,0)</f>
        <v>21811742336A23C27057</v>
      </c>
      <c r="K7126" s="66"/>
      <c r="L7126" s="44"/>
      <c r="M7126" s="64" t="s">
        <v>21800</v>
      </c>
    </row>
    <row r="7127" ht="30" customHeight="1" spans="1:13">
      <c r="A7127" s="41">
        <f>IF(C7127="","",SUBTOTAL(103,$C$2:C7127))</f>
        <v>7118</v>
      </c>
      <c r="B7127" s="67"/>
      <c r="C7127" s="58" t="s">
        <v>20331</v>
      </c>
      <c r="D7127" s="68" t="s">
        <v>20337</v>
      </c>
      <c r="E7127" s="64" t="s">
        <v>20338</v>
      </c>
      <c r="F7127" s="68" t="s">
        <v>21734</v>
      </c>
      <c r="G7127" s="64" t="s">
        <v>21801</v>
      </c>
      <c r="H7127" s="68" t="s">
        <v>21802</v>
      </c>
      <c r="I7127" s="64">
        <v>1</v>
      </c>
      <c r="J7127" s="44" t="str">
        <f>VLOOKUP(G7127,[1]硬件清单!$F:$F,1,0)</f>
        <v>21811742332A24100023</v>
      </c>
      <c r="K7127" s="66"/>
      <c r="L7127" s="44"/>
      <c r="M7127" s="64" t="s">
        <v>21803</v>
      </c>
    </row>
    <row r="7128" ht="30" customHeight="1" spans="1:13">
      <c r="A7128" s="41">
        <f>IF(C7128="","",SUBTOTAL(103,$C$2:C7128))</f>
        <v>7119</v>
      </c>
      <c r="B7128" s="67"/>
      <c r="C7128" s="58" t="s">
        <v>20331</v>
      </c>
      <c r="D7128" s="68" t="s">
        <v>20337</v>
      </c>
      <c r="E7128" s="64" t="s">
        <v>20338</v>
      </c>
      <c r="F7128" s="68" t="s">
        <v>21734</v>
      </c>
      <c r="G7128" s="64" t="s">
        <v>21804</v>
      </c>
      <c r="H7128" s="68" t="s">
        <v>21805</v>
      </c>
      <c r="I7128" s="64">
        <v>1</v>
      </c>
      <c r="J7128" s="44" t="str">
        <f>VLOOKUP(G7128,[1]硬件清单!$F:$F,1,0)</f>
        <v>21811742332A23C00005</v>
      </c>
      <c r="K7128" s="66"/>
      <c r="L7128" s="44"/>
      <c r="M7128" s="64" t="s">
        <v>21806</v>
      </c>
    </row>
    <row r="7129" ht="30" customHeight="1" spans="1:13">
      <c r="A7129" s="41">
        <f>IF(C7129="","",SUBTOTAL(103,$C$2:C7129))</f>
        <v>7120</v>
      </c>
      <c r="B7129" s="67"/>
      <c r="C7129" s="58" t="s">
        <v>20331</v>
      </c>
      <c r="D7129" s="68" t="s">
        <v>20337</v>
      </c>
      <c r="E7129" s="64" t="s">
        <v>20338</v>
      </c>
      <c r="F7129" s="68" t="s">
        <v>21734</v>
      </c>
      <c r="G7129" s="64" t="s">
        <v>21807</v>
      </c>
      <c r="H7129" s="68" t="s">
        <v>21808</v>
      </c>
      <c r="I7129" s="64">
        <v>1</v>
      </c>
      <c r="J7129" s="44" t="str">
        <f>VLOOKUP(G7129,[1]硬件清单!$F:$F,1,0)</f>
        <v>21811742332A23C00009</v>
      </c>
      <c r="K7129" s="66"/>
      <c r="L7129" s="44"/>
      <c r="M7129" s="64" t="s">
        <v>21809</v>
      </c>
    </row>
    <row r="7130" ht="30" customHeight="1" spans="1:13">
      <c r="A7130" s="41">
        <f>IF(C7130="","",SUBTOTAL(103,$C$2:C7130))</f>
        <v>7121</v>
      </c>
      <c r="B7130" s="67"/>
      <c r="C7130" s="58" t="s">
        <v>20331</v>
      </c>
      <c r="D7130" s="68" t="s">
        <v>20337</v>
      </c>
      <c r="E7130" s="64" t="s">
        <v>20338</v>
      </c>
      <c r="F7130" s="68" t="s">
        <v>21734</v>
      </c>
      <c r="G7130" s="64" t="s">
        <v>21810</v>
      </c>
      <c r="H7130" s="68" t="s">
        <v>21811</v>
      </c>
      <c r="I7130" s="64">
        <v>1</v>
      </c>
      <c r="J7130" s="44" t="str">
        <f>VLOOKUP(G7130,[1]硬件清单!$F:$F,1,0)</f>
        <v>21811742336A23C27063</v>
      </c>
      <c r="K7130" s="66"/>
      <c r="L7130" s="44"/>
      <c r="M7130" s="64" t="s">
        <v>21812</v>
      </c>
    </row>
    <row r="7131" ht="30" customHeight="1" spans="1:13">
      <c r="A7131" s="41">
        <f>IF(C7131="","",SUBTOTAL(103,$C$2:C7131))</f>
        <v>7122</v>
      </c>
      <c r="B7131" s="67"/>
      <c r="C7131" s="58" t="s">
        <v>20331</v>
      </c>
      <c r="D7131" s="68" t="s">
        <v>20337</v>
      </c>
      <c r="E7131" s="64" t="s">
        <v>20338</v>
      </c>
      <c r="F7131" s="68" t="s">
        <v>21734</v>
      </c>
      <c r="G7131" s="64" t="s">
        <v>21813</v>
      </c>
      <c r="H7131" s="68" t="s">
        <v>21814</v>
      </c>
      <c r="I7131" s="64">
        <v>1</v>
      </c>
      <c r="J7131" s="44" t="str">
        <f>VLOOKUP(G7131,[1]硬件清单!$F:$F,1,0)</f>
        <v>21811742336A23C00011</v>
      </c>
      <c r="K7131" s="66"/>
      <c r="L7131" s="44"/>
      <c r="M7131" s="64" t="s">
        <v>21815</v>
      </c>
    </row>
    <row r="7132" ht="30" customHeight="1" spans="1:13">
      <c r="A7132" s="41">
        <f>IF(C7132="","",SUBTOTAL(103,$C$2:C7132))</f>
        <v>7123</v>
      </c>
      <c r="B7132" s="67"/>
      <c r="C7132" s="58" t="s">
        <v>20331</v>
      </c>
      <c r="D7132" s="68" t="s">
        <v>20337</v>
      </c>
      <c r="E7132" s="64" t="s">
        <v>20338</v>
      </c>
      <c r="F7132" s="68" t="s">
        <v>21734</v>
      </c>
      <c r="G7132" s="64" t="s">
        <v>21816</v>
      </c>
      <c r="H7132" s="68" t="s">
        <v>21817</v>
      </c>
      <c r="I7132" s="64">
        <v>1</v>
      </c>
      <c r="J7132" s="44" t="str">
        <f>VLOOKUP(G7132,[1]硬件清单!$F:$F,1,0)</f>
        <v>21811742336A23C27054</v>
      </c>
      <c r="K7132" s="66"/>
      <c r="L7132" s="44"/>
      <c r="M7132" s="64" t="s">
        <v>21818</v>
      </c>
    </row>
    <row r="7133" ht="30" customHeight="1" spans="1:13">
      <c r="A7133" s="41">
        <f>IF(C7133="","",SUBTOTAL(103,$C$2:C7133))</f>
        <v>7124</v>
      </c>
      <c r="B7133" s="67"/>
      <c r="C7133" s="58" t="s">
        <v>20331</v>
      </c>
      <c r="D7133" s="68" t="s">
        <v>20337</v>
      </c>
      <c r="E7133" s="64" t="s">
        <v>20338</v>
      </c>
      <c r="F7133" s="68" t="s">
        <v>21734</v>
      </c>
      <c r="G7133" s="64" t="s">
        <v>21819</v>
      </c>
      <c r="H7133" s="68" t="s">
        <v>21820</v>
      </c>
      <c r="I7133" s="64">
        <v>1</v>
      </c>
      <c r="J7133" s="44" t="str">
        <f>VLOOKUP(G7133,[1]硬件清单!$F:$F,1,0)</f>
        <v>21811742336A23C00012</v>
      </c>
      <c r="K7133" s="66"/>
      <c r="L7133" s="44"/>
      <c r="M7133" s="64" t="s">
        <v>21821</v>
      </c>
    </row>
    <row r="7134" ht="30" customHeight="1" spans="1:13">
      <c r="A7134" s="41">
        <f>IF(C7134="","",SUBTOTAL(103,$C$2:C7134))</f>
        <v>7125</v>
      </c>
      <c r="B7134" s="67"/>
      <c r="C7134" s="58" t="s">
        <v>20331</v>
      </c>
      <c r="D7134" s="68" t="s">
        <v>20337</v>
      </c>
      <c r="E7134" s="64" t="s">
        <v>20338</v>
      </c>
      <c r="F7134" s="68" t="s">
        <v>21734</v>
      </c>
      <c r="G7134" s="64" t="s">
        <v>21822</v>
      </c>
      <c r="H7134" s="68" t="s">
        <v>21823</v>
      </c>
      <c r="I7134" s="64">
        <v>1</v>
      </c>
      <c r="J7134" s="44" t="str">
        <f>VLOOKUP(G7134,[1]硬件清单!$F:$F,1,0)</f>
        <v>21811742336A23C27015</v>
      </c>
      <c r="K7134" s="66"/>
      <c r="L7134" s="44"/>
      <c r="M7134" s="64" t="s">
        <v>21824</v>
      </c>
    </row>
    <row r="7135" ht="30" customHeight="1" spans="1:13">
      <c r="A7135" s="41">
        <f>IF(C7135="","",SUBTOTAL(103,$C$2:C7135))</f>
        <v>7126</v>
      </c>
      <c r="B7135" s="67"/>
      <c r="C7135" s="58" t="s">
        <v>20331</v>
      </c>
      <c r="D7135" s="68" t="s">
        <v>20337</v>
      </c>
      <c r="E7135" s="64" t="s">
        <v>20338</v>
      </c>
      <c r="F7135" s="68" t="s">
        <v>21734</v>
      </c>
      <c r="G7135" s="64" t="s">
        <v>21825</v>
      </c>
      <c r="H7135" s="68" t="s">
        <v>21826</v>
      </c>
      <c r="I7135" s="64">
        <v>1</v>
      </c>
      <c r="J7135" s="44" t="str">
        <f>VLOOKUP(G7135,[1]硬件清单!$F:$F,1,0)</f>
        <v>21811742336A23C27047</v>
      </c>
      <c r="K7135" s="66"/>
      <c r="L7135" s="44"/>
      <c r="M7135" s="64" t="s">
        <v>21827</v>
      </c>
    </row>
    <row r="7136" ht="30" customHeight="1" spans="1:13">
      <c r="A7136" s="41">
        <f>IF(C7136="","",SUBTOTAL(103,$C$2:C7136))</f>
        <v>7127</v>
      </c>
      <c r="B7136" s="67"/>
      <c r="C7136" s="58" t="s">
        <v>20331</v>
      </c>
      <c r="D7136" s="68" t="s">
        <v>20337</v>
      </c>
      <c r="E7136" s="64" t="s">
        <v>20338</v>
      </c>
      <c r="F7136" s="68" t="s">
        <v>21734</v>
      </c>
      <c r="G7136" s="64" t="s">
        <v>21828</v>
      </c>
      <c r="H7136" s="68" t="s">
        <v>21829</v>
      </c>
      <c r="I7136" s="64">
        <v>1</v>
      </c>
      <c r="J7136" s="44" t="str">
        <f>VLOOKUP(G7136,[1]硬件清单!$F:$F,1,0)</f>
        <v>21811742332A23C00007</v>
      </c>
      <c r="K7136" s="66"/>
      <c r="L7136" s="44"/>
      <c r="M7136" s="64" t="s">
        <v>21830</v>
      </c>
    </row>
    <row r="7137" ht="30" customHeight="1" spans="1:13">
      <c r="A7137" s="41">
        <f>IF(C7137="","",SUBTOTAL(103,$C$2:C7137))</f>
        <v>7128</v>
      </c>
      <c r="B7137" s="67"/>
      <c r="C7137" s="58" t="s">
        <v>20331</v>
      </c>
      <c r="D7137" s="68" t="s">
        <v>20337</v>
      </c>
      <c r="E7137" s="64" t="s">
        <v>20338</v>
      </c>
      <c r="F7137" s="68" t="s">
        <v>21734</v>
      </c>
      <c r="G7137" s="64" t="s">
        <v>21831</v>
      </c>
      <c r="H7137" s="68" t="s">
        <v>21832</v>
      </c>
      <c r="I7137" s="64">
        <v>1</v>
      </c>
      <c r="J7137" s="44" t="str">
        <f>VLOOKUP(G7137,[1]硬件清单!$F:$F,1,0)</f>
        <v>21811742336A23C27021</v>
      </c>
      <c r="K7137" s="66"/>
      <c r="L7137" s="44"/>
      <c r="M7137" s="64" t="s">
        <v>21833</v>
      </c>
    </row>
    <row r="7138" ht="30" customHeight="1" spans="1:13">
      <c r="A7138" s="41">
        <f>IF(C7138="","",SUBTOTAL(103,$C$2:C7138))</f>
        <v>7129</v>
      </c>
      <c r="B7138" s="67"/>
      <c r="C7138" s="58" t="s">
        <v>20331</v>
      </c>
      <c r="D7138" s="68" t="s">
        <v>20337</v>
      </c>
      <c r="E7138" s="64" t="s">
        <v>20338</v>
      </c>
      <c r="F7138" s="68" t="s">
        <v>21734</v>
      </c>
      <c r="G7138" s="64" t="s">
        <v>21834</v>
      </c>
      <c r="H7138" s="68" t="s">
        <v>21835</v>
      </c>
      <c r="I7138" s="64">
        <v>1</v>
      </c>
      <c r="J7138" s="44" t="str">
        <f>VLOOKUP(G7138,[1]硬件清单!$F:$F,1,0)</f>
        <v>21811742332A23C00006</v>
      </c>
      <c r="K7138" s="66"/>
      <c r="L7138" s="44"/>
      <c r="M7138" s="64" t="s">
        <v>21836</v>
      </c>
    </row>
    <row r="7139" ht="30" customHeight="1" spans="1:13">
      <c r="A7139" s="41">
        <f>IF(C7139="","",SUBTOTAL(103,$C$2:C7139))</f>
        <v>7130</v>
      </c>
      <c r="B7139" s="67"/>
      <c r="C7139" s="58" t="s">
        <v>20331</v>
      </c>
      <c r="D7139" s="68" t="s">
        <v>20337</v>
      </c>
      <c r="E7139" s="64" t="s">
        <v>20338</v>
      </c>
      <c r="F7139" s="68" t="s">
        <v>21734</v>
      </c>
      <c r="G7139" s="64" t="s">
        <v>21837</v>
      </c>
      <c r="H7139" s="68" t="s">
        <v>21838</v>
      </c>
      <c r="I7139" s="64">
        <v>1</v>
      </c>
      <c r="J7139" s="44" t="str">
        <f>VLOOKUP(G7139,[1]硬件清单!$F:$F,1,0)</f>
        <v>21811742332A23C00003</v>
      </c>
      <c r="K7139" s="66"/>
      <c r="L7139" s="44"/>
      <c r="M7139" s="64" t="s">
        <v>21839</v>
      </c>
    </row>
    <row r="7140" ht="30" customHeight="1" spans="1:13">
      <c r="A7140" s="41">
        <f>IF(C7140="","",SUBTOTAL(103,$C$2:C7140))</f>
        <v>7131</v>
      </c>
      <c r="B7140" s="67"/>
      <c r="C7140" s="58" t="s">
        <v>20331</v>
      </c>
      <c r="D7140" s="68" t="s">
        <v>20337</v>
      </c>
      <c r="E7140" s="64" t="s">
        <v>20338</v>
      </c>
      <c r="F7140" s="68" t="s">
        <v>21734</v>
      </c>
      <c r="G7140" s="64" t="s">
        <v>21840</v>
      </c>
      <c r="H7140" s="68" t="s">
        <v>21841</v>
      </c>
      <c r="I7140" s="64">
        <v>1</v>
      </c>
      <c r="J7140" s="44" t="str">
        <f>VLOOKUP(G7140,[1]硬件清单!$F:$F,1,0)</f>
        <v>21811742332A23C00010</v>
      </c>
      <c r="K7140" s="66"/>
      <c r="L7140" s="44"/>
      <c r="M7140" s="64" t="s">
        <v>21842</v>
      </c>
    </row>
    <row r="7141" ht="30" customHeight="1" spans="1:13">
      <c r="A7141" s="41">
        <f>IF(C7141="","",SUBTOTAL(103,$C$2:C7141))</f>
        <v>7132</v>
      </c>
      <c r="B7141" s="67"/>
      <c r="C7141" s="58" t="s">
        <v>20331</v>
      </c>
      <c r="D7141" s="68" t="s">
        <v>20337</v>
      </c>
      <c r="E7141" s="64" t="s">
        <v>20338</v>
      </c>
      <c r="F7141" s="68" t="s">
        <v>21734</v>
      </c>
      <c r="G7141" s="64" t="s">
        <v>21843</v>
      </c>
      <c r="H7141" s="68" t="s">
        <v>21844</v>
      </c>
      <c r="I7141" s="64">
        <v>1</v>
      </c>
      <c r="J7141" s="44" t="str">
        <f>VLOOKUP(G7141,[1]硬件清单!$F:$F,1,0)</f>
        <v>21811742332A23C00001</v>
      </c>
      <c r="K7141" s="66"/>
      <c r="L7141" s="44"/>
      <c r="M7141" s="64" t="s">
        <v>21845</v>
      </c>
    </row>
    <row r="7142" ht="30" customHeight="1" spans="1:13">
      <c r="A7142" s="41">
        <f>IF(C7142="","",SUBTOTAL(103,$C$2:C7142))</f>
        <v>7133</v>
      </c>
      <c r="B7142" s="67"/>
      <c r="C7142" s="58" t="s">
        <v>20331</v>
      </c>
      <c r="D7142" s="68" t="s">
        <v>20337</v>
      </c>
      <c r="E7142" s="64" t="s">
        <v>20338</v>
      </c>
      <c r="F7142" s="68" t="s">
        <v>21734</v>
      </c>
      <c r="G7142" s="64" t="s">
        <v>21846</v>
      </c>
      <c r="H7142" s="68" t="s">
        <v>21847</v>
      </c>
      <c r="I7142" s="64">
        <v>1</v>
      </c>
      <c r="J7142" s="44" t="str">
        <f>VLOOKUP(G7142,[1]硬件清单!$F:$F,1,0)</f>
        <v>21811742336A23C27041</v>
      </c>
      <c r="K7142" s="66"/>
      <c r="L7142" s="44"/>
      <c r="M7142" s="64" t="s">
        <v>21848</v>
      </c>
    </row>
    <row r="7143" ht="30" customHeight="1" spans="1:13">
      <c r="A7143" s="41">
        <f>IF(C7143="","",SUBTOTAL(103,$C$2:C7143))</f>
        <v>7134</v>
      </c>
      <c r="B7143" s="67"/>
      <c r="C7143" s="58" t="s">
        <v>20331</v>
      </c>
      <c r="D7143" s="68" t="s">
        <v>20337</v>
      </c>
      <c r="E7143" s="64" t="s">
        <v>20338</v>
      </c>
      <c r="F7143" s="68" t="s">
        <v>21734</v>
      </c>
      <c r="G7143" s="64" t="s">
        <v>21849</v>
      </c>
      <c r="H7143" s="68" t="s">
        <v>21850</v>
      </c>
      <c r="I7143" s="64">
        <v>1</v>
      </c>
      <c r="J7143" s="44" t="str">
        <f>VLOOKUP(G7143,[1]硬件清单!$F:$F,1,0)</f>
        <v>21811742336A23C27008</v>
      </c>
      <c r="K7143" s="66"/>
      <c r="L7143" s="44"/>
      <c r="M7143" s="64" t="s">
        <v>21851</v>
      </c>
    </row>
    <row r="7144" ht="30" customHeight="1" spans="1:13">
      <c r="A7144" s="41">
        <f>IF(C7144="","",SUBTOTAL(103,$C$2:C7144))</f>
        <v>7135</v>
      </c>
      <c r="B7144" s="67"/>
      <c r="C7144" s="58" t="s">
        <v>20331</v>
      </c>
      <c r="D7144" s="68" t="s">
        <v>20337</v>
      </c>
      <c r="E7144" s="64" t="s">
        <v>20338</v>
      </c>
      <c r="F7144" s="68" t="s">
        <v>21734</v>
      </c>
      <c r="G7144" s="64" t="s">
        <v>21852</v>
      </c>
      <c r="H7144" s="68" t="s">
        <v>21853</v>
      </c>
      <c r="I7144" s="64">
        <v>1</v>
      </c>
      <c r="J7144" s="44" t="str">
        <f>VLOOKUP(G7144,[1]硬件清单!$F:$F,1,0)</f>
        <v>21811742336A23C27002</v>
      </c>
      <c r="K7144" s="66"/>
      <c r="L7144" s="44"/>
      <c r="M7144" s="64" t="s">
        <v>21854</v>
      </c>
    </row>
    <row r="7145" ht="30" customHeight="1" spans="1:13">
      <c r="A7145" s="41">
        <f>IF(C7145="","",SUBTOTAL(103,$C$2:C7145))</f>
        <v>7136</v>
      </c>
      <c r="B7145" s="67"/>
      <c r="C7145" s="58" t="s">
        <v>20331</v>
      </c>
      <c r="D7145" s="68" t="s">
        <v>20337</v>
      </c>
      <c r="E7145" s="64" t="s">
        <v>20338</v>
      </c>
      <c r="F7145" s="68" t="s">
        <v>21734</v>
      </c>
      <c r="G7145" s="64" t="s">
        <v>21855</v>
      </c>
      <c r="H7145" s="68" t="s">
        <v>21856</v>
      </c>
      <c r="I7145" s="64">
        <v>1</v>
      </c>
      <c r="J7145" s="44" t="str">
        <f>VLOOKUP(G7145,[1]硬件清单!$F:$F,1,0)</f>
        <v>21811742336A23C27065</v>
      </c>
      <c r="K7145" s="66"/>
      <c r="L7145" s="44"/>
      <c r="M7145" s="64" t="s">
        <v>21857</v>
      </c>
    </row>
    <row r="7146" ht="30" customHeight="1" spans="1:13">
      <c r="A7146" s="41">
        <f>IF(C7146="","",SUBTOTAL(103,$C$2:C7146))</f>
        <v>7137</v>
      </c>
      <c r="B7146" s="67"/>
      <c r="C7146" s="58" t="s">
        <v>20331</v>
      </c>
      <c r="D7146" s="68" t="s">
        <v>20337</v>
      </c>
      <c r="E7146" s="64" t="s">
        <v>20338</v>
      </c>
      <c r="F7146" s="68" t="s">
        <v>21734</v>
      </c>
      <c r="G7146" s="64" t="s">
        <v>21858</v>
      </c>
      <c r="H7146" s="68" t="s">
        <v>21859</v>
      </c>
      <c r="I7146" s="64">
        <v>1</v>
      </c>
      <c r="J7146" s="44" t="str">
        <f>VLOOKUP(G7146,[1]硬件清单!$F:$F,1,0)</f>
        <v>21811742336A23C00001</v>
      </c>
      <c r="K7146" s="66"/>
      <c r="L7146" s="44"/>
      <c r="M7146" s="64" t="s">
        <v>21860</v>
      </c>
    </row>
    <row r="7147" ht="30" customHeight="1" spans="1:13">
      <c r="A7147" s="41">
        <f>IF(C7147="","",SUBTOTAL(103,$C$2:C7147))</f>
        <v>7138</v>
      </c>
      <c r="B7147" s="67"/>
      <c r="C7147" s="58" t="s">
        <v>20331</v>
      </c>
      <c r="D7147" s="68" t="s">
        <v>20337</v>
      </c>
      <c r="E7147" s="64" t="s">
        <v>20338</v>
      </c>
      <c r="F7147" s="68" t="s">
        <v>21734</v>
      </c>
      <c r="G7147" s="64" t="s">
        <v>21861</v>
      </c>
      <c r="H7147" s="68" t="s">
        <v>21862</v>
      </c>
      <c r="I7147" s="64">
        <v>1</v>
      </c>
      <c r="J7147" s="44" t="str">
        <f>VLOOKUP(G7147,[1]硬件清单!$F:$F,1,0)</f>
        <v>21811742336A23C00008</v>
      </c>
      <c r="K7147" s="66"/>
      <c r="L7147" s="44"/>
      <c r="M7147" s="64" t="s">
        <v>21863</v>
      </c>
    </row>
    <row r="7148" ht="30" customHeight="1" spans="1:13">
      <c r="A7148" s="41">
        <f>IF(C7148="","",SUBTOTAL(103,$C$2:C7148))</f>
        <v>7139</v>
      </c>
      <c r="B7148" s="67"/>
      <c r="C7148" s="58" t="s">
        <v>20331</v>
      </c>
      <c r="D7148" s="68" t="s">
        <v>20337</v>
      </c>
      <c r="E7148" s="64" t="s">
        <v>20338</v>
      </c>
      <c r="F7148" s="68" t="s">
        <v>21734</v>
      </c>
      <c r="G7148" s="64" t="s">
        <v>21864</v>
      </c>
      <c r="H7148" s="68" t="s">
        <v>21865</v>
      </c>
      <c r="I7148" s="64">
        <v>1</v>
      </c>
      <c r="J7148" s="44" t="str">
        <f>VLOOKUP(G7148,[1]硬件清单!$F:$F,1,0)</f>
        <v>21811742332A23C00004</v>
      </c>
      <c r="K7148" s="66"/>
      <c r="L7148" s="44"/>
      <c r="M7148" s="64" t="s">
        <v>21866</v>
      </c>
    </row>
    <row r="7149" ht="30" customHeight="1" spans="1:13">
      <c r="A7149" s="41">
        <f>IF(C7149="","",SUBTOTAL(103,$C$2:C7149))</f>
        <v>7140</v>
      </c>
      <c r="B7149" s="67"/>
      <c r="C7149" s="58" t="s">
        <v>20331</v>
      </c>
      <c r="D7149" s="68" t="s">
        <v>20337</v>
      </c>
      <c r="E7149" s="64" t="s">
        <v>20338</v>
      </c>
      <c r="F7149" s="68" t="s">
        <v>21734</v>
      </c>
      <c r="G7149" s="64" t="s">
        <v>21867</v>
      </c>
      <c r="H7149" s="68" t="s">
        <v>21868</v>
      </c>
      <c r="I7149" s="64">
        <v>1</v>
      </c>
      <c r="J7149" s="44" t="str">
        <f>VLOOKUP(G7149,[1]硬件清单!$F:$F,1,0)</f>
        <v>21811742332A23C00002</v>
      </c>
      <c r="K7149" s="66"/>
      <c r="L7149" s="44"/>
      <c r="M7149" s="64" t="s">
        <v>21869</v>
      </c>
    </row>
    <row r="7150" ht="30" customHeight="1" spans="1:13">
      <c r="A7150" s="41">
        <f>IF(C7150="","",SUBTOTAL(103,$C$2:C7150))</f>
        <v>7141</v>
      </c>
      <c r="B7150" s="67"/>
      <c r="C7150" s="58" t="s">
        <v>20331</v>
      </c>
      <c r="D7150" s="68" t="s">
        <v>20337</v>
      </c>
      <c r="E7150" s="64" t="s">
        <v>20338</v>
      </c>
      <c r="F7150" s="68" t="s">
        <v>21734</v>
      </c>
      <c r="G7150" s="64" t="s">
        <v>21870</v>
      </c>
      <c r="H7150" s="68" t="s">
        <v>21871</v>
      </c>
      <c r="I7150" s="64">
        <v>1</v>
      </c>
      <c r="J7150" s="44" t="str">
        <f>VLOOKUP(G7150,[1]硬件清单!$F:$F,1,0)</f>
        <v>21811742336A23C27050</v>
      </c>
      <c r="K7150" s="66"/>
      <c r="L7150" s="44"/>
      <c r="M7150" s="64" t="s">
        <v>21872</v>
      </c>
    </row>
    <row r="7151" ht="30" customHeight="1" spans="1:13">
      <c r="A7151" s="41">
        <f>IF(C7151="","",SUBTOTAL(103,$C$2:C7151))</f>
        <v>7142</v>
      </c>
      <c r="B7151" s="67"/>
      <c r="C7151" s="58" t="s">
        <v>20331</v>
      </c>
      <c r="D7151" s="68" t="s">
        <v>20337</v>
      </c>
      <c r="E7151" s="64" t="s">
        <v>20338</v>
      </c>
      <c r="F7151" s="68" t="s">
        <v>21734</v>
      </c>
      <c r="G7151" s="64" t="s">
        <v>21873</v>
      </c>
      <c r="H7151" s="68" t="s">
        <v>21874</v>
      </c>
      <c r="I7151" s="64">
        <v>1</v>
      </c>
      <c r="J7151" s="44" t="str">
        <f>VLOOKUP(G7151,[1]硬件清单!$F:$F,1,0)</f>
        <v>21811742336A23C00007</v>
      </c>
      <c r="K7151" s="66"/>
      <c r="L7151" s="44"/>
      <c r="M7151" s="64" t="s">
        <v>21875</v>
      </c>
    </row>
    <row r="7152" ht="30" customHeight="1" spans="1:13">
      <c r="A7152" s="41">
        <f>IF(C7152="","",SUBTOTAL(103,$C$2:C7152))</f>
        <v>7143</v>
      </c>
      <c r="B7152" s="67"/>
      <c r="C7152" s="58" t="s">
        <v>20331</v>
      </c>
      <c r="D7152" s="68" t="s">
        <v>20337</v>
      </c>
      <c r="E7152" s="64" t="s">
        <v>20338</v>
      </c>
      <c r="F7152" s="68" t="s">
        <v>21734</v>
      </c>
      <c r="G7152" s="64" t="s">
        <v>21876</v>
      </c>
      <c r="H7152" s="68" t="s">
        <v>21877</v>
      </c>
      <c r="I7152" s="64">
        <v>1</v>
      </c>
      <c r="J7152" s="44" t="str">
        <f>VLOOKUP(G7152,[1]硬件清单!$F:$F,1,0)</f>
        <v>21811742332A24100020</v>
      </c>
      <c r="K7152" s="66"/>
      <c r="L7152" s="44"/>
      <c r="M7152" s="64" t="s">
        <v>21878</v>
      </c>
    </row>
    <row r="7153" ht="30" customHeight="1" spans="1:13">
      <c r="A7153" s="41">
        <f>IF(C7153="","",SUBTOTAL(103,$C$2:C7153))</f>
        <v>7144</v>
      </c>
      <c r="B7153" s="67"/>
      <c r="C7153" s="58" t="s">
        <v>20331</v>
      </c>
      <c r="D7153" s="68" t="s">
        <v>20337</v>
      </c>
      <c r="E7153" s="64" t="s">
        <v>20338</v>
      </c>
      <c r="F7153" s="68" t="s">
        <v>21734</v>
      </c>
      <c r="G7153" s="64" t="s">
        <v>21879</v>
      </c>
      <c r="H7153" s="68" t="s">
        <v>21880</v>
      </c>
      <c r="I7153" s="64">
        <v>1</v>
      </c>
      <c r="J7153" s="44" t="str">
        <f>VLOOKUP(G7153,[1]硬件清单!$F:$F,1,0)</f>
        <v>21811742336A23C00014</v>
      </c>
      <c r="K7153" s="66"/>
      <c r="L7153" s="44"/>
      <c r="M7153" s="64" t="s">
        <v>21881</v>
      </c>
    </row>
    <row r="7154" ht="30" customHeight="1" spans="1:13">
      <c r="A7154" s="41">
        <f>IF(C7154="","",SUBTOTAL(103,$C$2:C7154))</f>
        <v>7145</v>
      </c>
      <c r="B7154" s="67"/>
      <c r="C7154" s="58" t="s">
        <v>20331</v>
      </c>
      <c r="D7154" s="68" t="s">
        <v>20337</v>
      </c>
      <c r="E7154" s="64" t="s">
        <v>20338</v>
      </c>
      <c r="F7154" s="68" t="s">
        <v>21734</v>
      </c>
      <c r="G7154" s="64" t="s">
        <v>21882</v>
      </c>
      <c r="H7154" s="68" t="s">
        <v>21883</v>
      </c>
      <c r="I7154" s="64">
        <v>1</v>
      </c>
      <c r="J7154" s="44" t="str">
        <f>VLOOKUP(G7154,[1]硬件清单!$F:$F,1,0)</f>
        <v>21811742336A23C00003</v>
      </c>
      <c r="K7154" s="66"/>
      <c r="L7154" s="44"/>
      <c r="M7154" s="64" t="s">
        <v>21884</v>
      </c>
    </row>
    <row r="7155" ht="30" customHeight="1" spans="1:13">
      <c r="A7155" s="41">
        <f>IF(C7155="","",SUBTOTAL(103,$C$2:C7155))</f>
        <v>7146</v>
      </c>
      <c r="B7155" s="67"/>
      <c r="C7155" s="58" t="s">
        <v>20331</v>
      </c>
      <c r="D7155" s="68" t="s">
        <v>20337</v>
      </c>
      <c r="E7155" s="64" t="s">
        <v>20338</v>
      </c>
      <c r="F7155" s="68" t="s">
        <v>21734</v>
      </c>
      <c r="G7155" s="64" t="s">
        <v>21885</v>
      </c>
      <c r="H7155" s="68" t="s">
        <v>21886</v>
      </c>
      <c r="I7155" s="64">
        <v>1</v>
      </c>
      <c r="J7155" s="44" t="str">
        <f>VLOOKUP(G7155,[1]硬件清单!$F:$F,1,0)</f>
        <v>21811742336A23C27034</v>
      </c>
      <c r="K7155" s="66"/>
      <c r="L7155" s="44"/>
      <c r="M7155" s="64" t="s">
        <v>21887</v>
      </c>
    </row>
    <row r="7156" ht="30" customHeight="1" spans="1:13">
      <c r="A7156" s="41">
        <f>IF(C7156="","",SUBTOTAL(103,$C$2:C7156))</f>
        <v>7147</v>
      </c>
      <c r="B7156" s="67"/>
      <c r="C7156" s="58" t="s">
        <v>20331</v>
      </c>
      <c r="D7156" s="68" t="s">
        <v>20337</v>
      </c>
      <c r="E7156" s="64" t="s">
        <v>20338</v>
      </c>
      <c r="F7156" s="68" t="s">
        <v>21734</v>
      </c>
      <c r="G7156" s="64" t="s">
        <v>21888</v>
      </c>
      <c r="H7156" s="68" t="s">
        <v>21889</v>
      </c>
      <c r="I7156" s="64">
        <v>1</v>
      </c>
      <c r="J7156" s="44" t="str">
        <f>VLOOKUP(G7156,[1]硬件清单!$F:$F,1,0)</f>
        <v>21811742336A23C00015</v>
      </c>
      <c r="K7156" s="66"/>
      <c r="L7156" s="44"/>
      <c r="M7156" s="64" t="s">
        <v>21890</v>
      </c>
    </row>
    <row r="7157" ht="30" customHeight="1" spans="1:13">
      <c r="A7157" s="41">
        <f>IF(C7157="","",SUBTOTAL(103,$C$2:C7157))</f>
        <v>7148</v>
      </c>
      <c r="B7157" s="67"/>
      <c r="C7157" s="58" t="s">
        <v>20331</v>
      </c>
      <c r="D7157" s="68" t="s">
        <v>20337</v>
      </c>
      <c r="E7157" s="64" t="s">
        <v>20338</v>
      </c>
      <c r="F7157" s="68" t="s">
        <v>21734</v>
      </c>
      <c r="G7157" s="64" t="s">
        <v>21891</v>
      </c>
      <c r="H7157" s="68" t="s">
        <v>21892</v>
      </c>
      <c r="I7157" s="64">
        <v>1</v>
      </c>
      <c r="J7157" s="44" t="str">
        <f>VLOOKUP(G7157,[1]硬件清单!$F:$F,1,0)</f>
        <v>21811742332A24100018</v>
      </c>
      <c r="K7157" s="66"/>
      <c r="L7157" s="44"/>
      <c r="M7157" s="64" t="s">
        <v>21893</v>
      </c>
    </row>
    <row r="7158" ht="30" customHeight="1" spans="1:13">
      <c r="A7158" s="41">
        <f>IF(C7158="","",SUBTOTAL(103,$C$2:C7158))</f>
        <v>7149</v>
      </c>
      <c r="B7158" s="67"/>
      <c r="C7158" s="58" t="s">
        <v>20331</v>
      </c>
      <c r="D7158" s="68" t="s">
        <v>20337</v>
      </c>
      <c r="E7158" s="64" t="s">
        <v>20338</v>
      </c>
      <c r="F7158" s="68" t="s">
        <v>21734</v>
      </c>
      <c r="G7158" s="64" t="s">
        <v>21894</v>
      </c>
      <c r="H7158" s="68" t="s">
        <v>21895</v>
      </c>
      <c r="I7158" s="64">
        <v>1</v>
      </c>
      <c r="J7158" s="44" t="str">
        <f>VLOOKUP(G7158,[1]硬件清单!$F:$F,1,0)</f>
        <v>21811742332A24100013</v>
      </c>
      <c r="K7158" s="66"/>
      <c r="L7158" s="44"/>
      <c r="M7158" s="64" t="s">
        <v>21896</v>
      </c>
    </row>
    <row r="7159" ht="30" customHeight="1" spans="1:13">
      <c r="A7159" s="41">
        <f>IF(C7159="","",SUBTOTAL(103,$C$2:C7159))</f>
        <v>7150</v>
      </c>
      <c r="B7159" s="67"/>
      <c r="C7159" s="58" t="s">
        <v>20331</v>
      </c>
      <c r="D7159" s="68" t="s">
        <v>20337</v>
      </c>
      <c r="E7159" s="64" t="s">
        <v>20338</v>
      </c>
      <c r="F7159" s="68" t="s">
        <v>21734</v>
      </c>
      <c r="G7159" s="64" t="s">
        <v>21897</v>
      </c>
      <c r="H7159" s="68" t="s">
        <v>21898</v>
      </c>
      <c r="I7159" s="64">
        <v>1</v>
      </c>
      <c r="J7159" s="44" t="str">
        <f>VLOOKUP(G7159,[1]硬件清单!$F:$F,1,0)</f>
        <v>21811742336A23C00004</v>
      </c>
      <c r="K7159" s="66"/>
      <c r="L7159" s="44"/>
      <c r="M7159" s="64" t="s">
        <v>21899</v>
      </c>
    </row>
    <row r="7160" ht="30" customHeight="1" spans="1:13">
      <c r="A7160" s="41">
        <f>IF(C7160="","",SUBTOTAL(103,$C$2:C7160))</f>
        <v>7151</v>
      </c>
      <c r="B7160" s="67"/>
      <c r="C7160" s="58" t="s">
        <v>20331</v>
      </c>
      <c r="D7160" s="68" t="s">
        <v>20337</v>
      </c>
      <c r="E7160" s="64" t="s">
        <v>20338</v>
      </c>
      <c r="F7160" s="68" t="s">
        <v>21734</v>
      </c>
      <c r="G7160" s="64" t="s">
        <v>21900</v>
      </c>
      <c r="H7160" s="68" t="s">
        <v>21901</v>
      </c>
      <c r="I7160" s="64">
        <v>1</v>
      </c>
      <c r="J7160" s="44" t="str">
        <f>VLOOKUP(G7160,[1]硬件清单!$F:$F,1,0)</f>
        <v>21811742336A23C27010</v>
      </c>
      <c r="K7160" s="66"/>
      <c r="L7160" s="44"/>
      <c r="M7160" s="64" t="s">
        <v>21902</v>
      </c>
    </row>
    <row r="7161" ht="30" customHeight="1" spans="1:13">
      <c r="A7161" s="41">
        <f>IF(C7161="","",SUBTOTAL(103,$C$2:C7161))</f>
        <v>7152</v>
      </c>
      <c r="B7161" s="67"/>
      <c r="C7161" s="58" t="s">
        <v>20331</v>
      </c>
      <c r="D7161" s="68" t="s">
        <v>20337</v>
      </c>
      <c r="E7161" s="64" t="s">
        <v>20338</v>
      </c>
      <c r="F7161" s="68" t="s">
        <v>21734</v>
      </c>
      <c r="G7161" s="64" t="s">
        <v>21903</v>
      </c>
      <c r="H7161" s="68" t="s">
        <v>21904</v>
      </c>
      <c r="I7161" s="64">
        <v>1</v>
      </c>
      <c r="J7161" s="44" t="str">
        <f>VLOOKUP(G7161,[1]硬件清单!$F:$F,1,0)</f>
        <v>21811742332A24100012</v>
      </c>
      <c r="K7161" s="66"/>
      <c r="L7161" s="44"/>
      <c r="M7161" s="64" t="s">
        <v>21905</v>
      </c>
    </row>
    <row r="7162" ht="30" customHeight="1" spans="1:13">
      <c r="A7162" s="41">
        <f>IF(C7162="","",SUBTOTAL(103,$C$2:C7162))</f>
        <v>7153</v>
      </c>
      <c r="B7162" s="67"/>
      <c r="C7162" s="58" t="s">
        <v>20331</v>
      </c>
      <c r="D7162" s="68" t="s">
        <v>20337</v>
      </c>
      <c r="E7162" s="64" t="s">
        <v>20338</v>
      </c>
      <c r="F7162" s="68" t="s">
        <v>21734</v>
      </c>
      <c r="G7162" s="64" t="s">
        <v>21906</v>
      </c>
      <c r="H7162" s="68" t="s">
        <v>21907</v>
      </c>
      <c r="I7162" s="64">
        <v>1</v>
      </c>
      <c r="J7162" s="44" t="str">
        <f>VLOOKUP(G7162,[1]硬件清单!$F:$F,1,0)</f>
        <v>21811742336A23C00010</v>
      </c>
      <c r="K7162" s="66"/>
      <c r="L7162" s="44"/>
      <c r="M7162" s="64" t="s">
        <v>21908</v>
      </c>
    </row>
    <row r="7163" ht="30" customHeight="1" spans="1:13">
      <c r="A7163" s="41">
        <f>IF(C7163="","",SUBTOTAL(103,$C$2:C7163))</f>
        <v>7154</v>
      </c>
      <c r="B7163" s="67"/>
      <c r="C7163" s="58" t="s">
        <v>20331</v>
      </c>
      <c r="D7163" s="68" t="s">
        <v>20337</v>
      </c>
      <c r="E7163" s="64" t="s">
        <v>20338</v>
      </c>
      <c r="F7163" s="68" t="s">
        <v>21734</v>
      </c>
      <c r="G7163" s="64" t="s">
        <v>21909</v>
      </c>
      <c r="H7163" s="68" t="s">
        <v>21910</v>
      </c>
      <c r="I7163" s="64">
        <v>1</v>
      </c>
      <c r="J7163" s="44" t="str">
        <f>VLOOKUP(G7163,[1]硬件清单!$F:$F,1,0)</f>
        <v>21811742336A23C27055</v>
      </c>
      <c r="K7163" s="66"/>
      <c r="L7163" s="44"/>
      <c r="M7163" s="64" t="s">
        <v>21911</v>
      </c>
    </row>
    <row r="7164" ht="30" customHeight="1" spans="1:13">
      <c r="A7164" s="41">
        <f>IF(C7164="","",SUBTOTAL(103,$C$2:C7164))</f>
        <v>7155</v>
      </c>
      <c r="B7164" s="67"/>
      <c r="C7164" s="58" t="s">
        <v>20331</v>
      </c>
      <c r="D7164" s="68" t="s">
        <v>20337</v>
      </c>
      <c r="E7164" s="64" t="s">
        <v>20338</v>
      </c>
      <c r="F7164" s="68" t="s">
        <v>21734</v>
      </c>
      <c r="G7164" s="64" t="s">
        <v>21912</v>
      </c>
      <c r="H7164" s="68" t="s">
        <v>21913</v>
      </c>
      <c r="I7164" s="64">
        <v>1</v>
      </c>
      <c r="J7164" s="44" t="str">
        <f>VLOOKUP(G7164,[1]硬件清单!$F:$F,1,0)</f>
        <v>21811742332A24100007</v>
      </c>
      <c r="K7164" s="66"/>
      <c r="L7164" s="44"/>
      <c r="M7164" s="64" t="s">
        <v>21914</v>
      </c>
    </row>
    <row r="7165" ht="30" customHeight="1" spans="1:13">
      <c r="A7165" s="41">
        <f>IF(C7165="","",SUBTOTAL(103,$C$2:C7165))</f>
        <v>7156</v>
      </c>
      <c r="B7165" s="67"/>
      <c r="C7165" s="58" t="s">
        <v>20331</v>
      </c>
      <c r="D7165" s="68" t="s">
        <v>20337</v>
      </c>
      <c r="E7165" s="64" t="s">
        <v>20338</v>
      </c>
      <c r="F7165" s="68" t="s">
        <v>21734</v>
      </c>
      <c r="G7165" s="64" t="s">
        <v>21915</v>
      </c>
      <c r="H7165" s="68" t="s">
        <v>21916</v>
      </c>
      <c r="I7165" s="64">
        <v>1</v>
      </c>
      <c r="J7165" s="44" t="str">
        <f>VLOOKUP(G7165,[1]硬件清单!$F:$F,1,0)</f>
        <v>21811742336A23C27059</v>
      </c>
      <c r="K7165" s="66"/>
      <c r="L7165" s="44"/>
      <c r="M7165" s="64" t="s">
        <v>21917</v>
      </c>
    </row>
    <row r="7166" ht="30" customHeight="1" spans="1:13">
      <c r="A7166" s="41">
        <f>IF(C7166="","",SUBTOTAL(103,$C$2:C7166))</f>
        <v>7157</v>
      </c>
      <c r="B7166" s="67"/>
      <c r="C7166" s="58" t="s">
        <v>20331</v>
      </c>
      <c r="D7166" s="68" t="s">
        <v>20337</v>
      </c>
      <c r="E7166" s="64" t="s">
        <v>20338</v>
      </c>
      <c r="F7166" s="68" t="s">
        <v>21734</v>
      </c>
      <c r="G7166" s="64" t="s">
        <v>21918</v>
      </c>
      <c r="H7166" s="68" t="s">
        <v>21919</v>
      </c>
      <c r="I7166" s="64">
        <v>1</v>
      </c>
      <c r="J7166" s="44" t="str">
        <f>VLOOKUP(G7166,[1]硬件清单!$F:$F,1,0)</f>
        <v>21811742336A23C27039</v>
      </c>
      <c r="K7166" s="66"/>
      <c r="L7166" s="44"/>
      <c r="M7166" s="64" t="s">
        <v>21920</v>
      </c>
    </row>
    <row r="7167" ht="30" customHeight="1" spans="1:13">
      <c r="A7167" s="41">
        <f>IF(C7167="","",SUBTOTAL(103,$C$2:C7167))</f>
        <v>7158</v>
      </c>
      <c r="B7167" s="67"/>
      <c r="C7167" s="58" t="s">
        <v>20331</v>
      </c>
      <c r="D7167" s="68" t="s">
        <v>20337</v>
      </c>
      <c r="E7167" s="64" t="s">
        <v>20338</v>
      </c>
      <c r="F7167" s="68" t="s">
        <v>21734</v>
      </c>
      <c r="G7167" s="64" t="s">
        <v>21921</v>
      </c>
      <c r="H7167" s="68" t="s">
        <v>21922</v>
      </c>
      <c r="I7167" s="64">
        <v>1</v>
      </c>
      <c r="J7167" s="44" t="str">
        <f>VLOOKUP(G7167,[1]硬件清单!$F:$F,1,0)</f>
        <v>21811742336A23C00013</v>
      </c>
      <c r="K7167" s="66"/>
      <c r="L7167" s="44"/>
      <c r="M7167" s="64" t="s">
        <v>21923</v>
      </c>
    </row>
    <row r="7168" ht="30" customHeight="1" spans="1:13">
      <c r="A7168" s="41">
        <f>IF(C7168="","",SUBTOTAL(103,$C$2:C7168))</f>
        <v>7159</v>
      </c>
      <c r="B7168" s="67"/>
      <c r="C7168" s="58" t="s">
        <v>20331</v>
      </c>
      <c r="D7168" s="68" t="s">
        <v>20337</v>
      </c>
      <c r="E7168" s="64" t="s">
        <v>20338</v>
      </c>
      <c r="F7168" s="68" t="s">
        <v>21734</v>
      </c>
      <c r="G7168" s="64" t="s">
        <v>21924</v>
      </c>
      <c r="H7168" s="68" t="s">
        <v>21925</v>
      </c>
      <c r="I7168" s="64">
        <v>1</v>
      </c>
      <c r="J7168" s="44" t="str">
        <f>VLOOKUP(G7168,[1]硬件清单!$F:$F,1,0)</f>
        <v>21811742332A24100010</v>
      </c>
      <c r="K7168" s="66"/>
      <c r="L7168" s="44"/>
      <c r="M7168" s="64" t="s">
        <v>21926</v>
      </c>
    </row>
    <row r="7169" ht="30" customHeight="1" spans="1:13">
      <c r="A7169" s="41">
        <f>IF(C7169="","",SUBTOTAL(103,$C$2:C7169))</f>
        <v>7160</v>
      </c>
      <c r="B7169" s="67"/>
      <c r="C7169" s="58" t="s">
        <v>20331</v>
      </c>
      <c r="D7169" s="68" t="s">
        <v>20337</v>
      </c>
      <c r="E7169" s="64" t="s">
        <v>20338</v>
      </c>
      <c r="F7169" s="68" t="s">
        <v>21734</v>
      </c>
      <c r="G7169" s="64" t="s">
        <v>21927</v>
      </c>
      <c r="H7169" s="68" t="s">
        <v>21928</v>
      </c>
      <c r="I7169" s="64">
        <v>1</v>
      </c>
      <c r="J7169" s="44" t="str">
        <f>VLOOKUP(G7169,[1]硬件清单!$F:$F,1,0)</f>
        <v>21811742336A23C27011</v>
      </c>
      <c r="K7169" s="66"/>
      <c r="L7169" s="44"/>
      <c r="M7169" s="64" t="s">
        <v>21929</v>
      </c>
    </row>
    <row r="7170" ht="30" customHeight="1" spans="1:13">
      <c r="A7170" s="41">
        <f>IF(C7170="","",SUBTOTAL(103,$C$2:C7170))</f>
        <v>7161</v>
      </c>
      <c r="B7170" s="67"/>
      <c r="C7170" s="58" t="s">
        <v>20331</v>
      </c>
      <c r="D7170" s="68" t="s">
        <v>20337</v>
      </c>
      <c r="E7170" s="64" t="s">
        <v>20338</v>
      </c>
      <c r="F7170" s="68" t="s">
        <v>21734</v>
      </c>
      <c r="G7170" s="64" t="s">
        <v>21930</v>
      </c>
      <c r="H7170" s="68" t="s">
        <v>21931</v>
      </c>
      <c r="I7170" s="64">
        <v>1</v>
      </c>
      <c r="J7170" s="44" t="str">
        <f>VLOOKUP(G7170,[1]硬件清单!$F:$F,1,0)</f>
        <v>21811742336A23C27026</v>
      </c>
      <c r="K7170" s="66"/>
      <c r="L7170" s="44"/>
      <c r="M7170" s="64" t="s">
        <v>21932</v>
      </c>
    </row>
    <row r="7171" ht="30" customHeight="1" spans="1:13">
      <c r="A7171" s="41">
        <f>IF(C7171="","",SUBTOTAL(103,$C$2:C7171))</f>
        <v>7162</v>
      </c>
      <c r="B7171" s="67"/>
      <c r="C7171" s="58" t="s">
        <v>20331</v>
      </c>
      <c r="D7171" s="68" t="s">
        <v>20337</v>
      </c>
      <c r="E7171" s="64" t="s">
        <v>20338</v>
      </c>
      <c r="F7171" s="68" t="s">
        <v>21734</v>
      </c>
      <c r="G7171" s="64" t="s">
        <v>21933</v>
      </c>
      <c r="H7171" s="68" t="s">
        <v>21934</v>
      </c>
      <c r="I7171" s="64">
        <v>1</v>
      </c>
      <c r="J7171" s="44" t="str">
        <f>VLOOKUP(G7171,[1]硬件清单!$F:$F,1,0)</f>
        <v>21811742336A23C27064</v>
      </c>
      <c r="K7171" s="66"/>
      <c r="L7171" s="44"/>
      <c r="M7171" s="64" t="s">
        <v>21935</v>
      </c>
    </row>
    <row r="7172" ht="30" customHeight="1" spans="1:13">
      <c r="A7172" s="41">
        <f>IF(C7172="","",SUBTOTAL(103,$C$2:C7172))</f>
        <v>7163</v>
      </c>
      <c r="B7172" s="67"/>
      <c r="C7172" s="58" t="s">
        <v>20331</v>
      </c>
      <c r="D7172" s="68" t="s">
        <v>20337</v>
      </c>
      <c r="E7172" s="64" t="s">
        <v>20338</v>
      </c>
      <c r="F7172" s="68" t="s">
        <v>21734</v>
      </c>
      <c r="G7172" s="64" t="s">
        <v>21936</v>
      </c>
      <c r="H7172" s="68" t="s">
        <v>21937</v>
      </c>
      <c r="I7172" s="64">
        <v>1</v>
      </c>
      <c r="J7172" s="44" t="str">
        <f>VLOOKUP(G7172,[1]硬件清单!$F:$F,1,0)</f>
        <v>21811742332A24100022</v>
      </c>
      <c r="K7172" s="66"/>
      <c r="L7172" s="44"/>
      <c r="M7172" s="64" t="s">
        <v>21938</v>
      </c>
    </row>
    <row r="7173" ht="30" customHeight="1" spans="1:13">
      <c r="A7173" s="41">
        <f>IF(C7173="","",SUBTOTAL(103,$C$2:C7173))</f>
        <v>7164</v>
      </c>
      <c r="B7173" s="67"/>
      <c r="C7173" s="58" t="s">
        <v>20331</v>
      </c>
      <c r="D7173" s="68" t="s">
        <v>20337</v>
      </c>
      <c r="E7173" s="64" t="s">
        <v>20338</v>
      </c>
      <c r="F7173" s="68" t="s">
        <v>21734</v>
      </c>
      <c r="G7173" s="64" t="s">
        <v>21939</v>
      </c>
      <c r="H7173" s="68" t="s">
        <v>21940</v>
      </c>
      <c r="I7173" s="64">
        <v>1</v>
      </c>
      <c r="J7173" s="44" t="str">
        <f>VLOOKUP(G7173,[1]硬件清单!$F:$F,1,0)</f>
        <v>21811742336A23C27022</v>
      </c>
      <c r="K7173" s="66"/>
      <c r="L7173" s="44"/>
      <c r="M7173" s="64" t="s">
        <v>21941</v>
      </c>
    </row>
    <row r="7174" ht="30" customHeight="1" spans="1:13">
      <c r="A7174" s="41">
        <f>IF(C7174="","",SUBTOTAL(103,$C$2:C7174))</f>
        <v>7165</v>
      </c>
      <c r="B7174" s="67"/>
      <c r="C7174" s="58" t="s">
        <v>20331</v>
      </c>
      <c r="D7174" s="68" t="s">
        <v>20337</v>
      </c>
      <c r="E7174" s="64" t="s">
        <v>20338</v>
      </c>
      <c r="F7174" s="68" t="s">
        <v>21734</v>
      </c>
      <c r="G7174" s="64" t="s">
        <v>21942</v>
      </c>
      <c r="H7174" s="68" t="s">
        <v>21943</v>
      </c>
      <c r="I7174" s="64">
        <v>1</v>
      </c>
      <c r="J7174" s="44" t="str">
        <f>VLOOKUP(G7174,[1]硬件清单!$F:$F,1,0)</f>
        <v>21811742336A23C27020</v>
      </c>
      <c r="K7174" s="66"/>
      <c r="L7174" s="44"/>
      <c r="M7174" s="64" t="s">
        <v>21944</v>
      </c>
    </row>
    <row r="7175" ht="30" customHeight="1" spans="1:13">
      <c r="A7175" s="41">
        <f>IF(C7175="","",SUBTOTAL(103,$C$2:C7175))</f>
        <v>7166</v>
      </c>
      <c r="B7175" s="67"/>
      <c r="C7175" s="58" t="s">
        <v>20331</v>
      </c>
      <c r="D7175" s="68" t="s">
        <v>20337</v>
      </c>
      <c r="E7175" s="64" t="s">
        <v>20338</v>
      </c>
      <c r="F7175" s="68" t="s">
        <v>21734</v>
      </c>
      <c r="G7175" s="64" t="s">
        <v>21945</v>
      </c>
      <c r="H7175" s="68" t="s">
        <v>21946</v>
      </c>
      <c r="I7175" s="64">
        <v>1</v>
      </c>
      <c r="J7175" s="44" t="str">
        <f>VLOOKUP(G7175,[1]硬件清单!$F:$F,1,0)</f>
        <v>21811742332A24100019</v>
      </c>
      <c r="K7175" s="66"/>
      <c r="L7175" s="44"/>
      <c r="M7175" s="64" t="s">
        <v>21947</v>
      </c>
    </row>
    <row r="7176" ht="30" customHeight="1" spans="1:13">
      <c r="A7176" s="41">
        <f>IF(C7176="","",SUBTOTAL(103,$C$2:C7176))</f>
        <v>7167</v>
      </c>
      <c r="B7176" s="67"/>
      <c r="C7176" s="58" t="s">
        <v>20331</v>
      </c>
      <c r="D7176" s="68" t="s">
        <v>20337</v>
      </c>
      <c r="E7176" s="64" t="s">
        <v>20338</v>
      </c>
      <c r="F7176" s="68" t="s">
        <v>21734</v>
      </c>
      <c r="G7176" s="64" t="s">
        <v>21948</v>
      </c>
      <c r="H7176" s="68" t="s">
        <v>21949</v>
      </c>
      <c r="I7176" s="64">
        <v>1</v>
      </c>
      <c r="J7176" s="44" t="str">
        <f>VLOOKUP(G7176,[1]硬件清单!$F:$F,1,0)</f>
        <v>21811742336A23C27048</v>
      </c>
      <c r="K7176" s="66"/>
      <c r="L7176" s="44"/>
      <c r="M7176" s="64" t="s">
        <v>21950</v>
      </c>
    </row>
    <row r="7177" ht="30" customHeight="1" spans="1:13">
      <c r="A7177" s="41">
        <f>IF(C7177="","",SUBTOTAL(103,$C$2:C7177))</f>
        <v>7168</v>
      </c>
      <c r="B7177" s="67"/>
      <c r="C7177" s="58" t="s">
        <v>20331</v>
      </c>
      <c r="D7177" s="68" t="s">
        <v>20337</v>
      </c>
      <c r="E7177" s="64" t="s">
        <v>20338</v>
      </c>
      <c r="F7177" s="68" t="s">
        <v>21734</v>
      </c>
      <c r="G7177" s="64" t="s">
        <v>21951</v>
      </c>
      <c r="H7177" s="68" t="s">
        <v>21952</v>
      </c>
      <c r="I7177" s="64">
        <v>1</v>
      </c>
      <c r="J7177" s="44" t="str">
        <f>VLOOKUP(G7177,[1]硬件清单!$F:$F,1,0)</f>
        <v>21811742336A23C27058</v>
      </c>
      <c r="K7177" s="66"/>
      <c r="L7177" s="44"/>
      <c r="M7177" s="64" t="s">
        <v>21953</v>
      </c>
    </row>
    <row r="7178" ht="30" customHeight="1" spans="1:13">
      <c r="A7178" s="41">
        <f>IF(C7178="","",SUBTOTAL(103,$C$2:C7178))</f>
        <v>7169</v>
      </c>
      <c r="B7178" s="67"/>
      <c r="C7178" s="58" t="s">
        <v>20331</v>
      </c>
      <c r="D7178" s="68" t="s">
        <v>20337</v>
      </c>
      <c r="E7178" s="64" t="s">
        <v>20338</v>
      </c>
      <c r="F7178" s="68" t="s">
        <v>21734</v>
      </c>
      <c r="G7178" s="64" t="s">
        <v>21954</v>
      </c>
      <c r="H7178" s="68" t="s">
        <v>21955</v>
      </c>
      <c r="I7178" s="64">
        <v>1</v>
      </c>
      <c r="J7178" s="44" t="str">
        <f>VLOOKUP(G7178,[1]硬件清单!$F:$F,1,0)</f>
        <v>21811742336A23C27024</v>
      </c>
      <c r="K7178" s="66"/>
      <c r="L7178" s="44"/>
      <c r="M7178" s="64" t="s">
        <v>21956</v>
      </c>
    </row>
    <row r="7179" ht="30" customHeight="1" spans="1:13">
      <c r="A7179" s="41">
        <f>IF(C7179="","",SUBTOTAL(103,$C$2:C7179))</f>
        <v>7170</v>
      </c>
      <c r="B7179" s="67"/>
      <c r="C7179" s="58" t="s">
        <v>20331</v>
      </c>
      <c r="D7179" s="68" t="s">
        <v>20337</v>
      </c>
      <c r="E7179" s="64" t="s">
        <v>20338</v>
      </c>
      <c r="F7179" s="68" t="s">
        <v>21734</v>
      </c>
      <c r="G7179" s="64" t="s">
        <v>21957</v>
      </c>
      <c r="H7179" s="68" t="s">
        <v>21958</v>
      </c>
      <c r="I7179" s="64">
        <v>1</v>
      </c>
      <c r="J7179" s="44" t="str">
        <f>VLOOKUP(G7179,[1]硬件清单!$F:$F,1,0)</f>
        <v>21811742332A24100009</v>
      </c>
      <c r="K7179" s="66"/>
      <c r="L7179" s="44"/>
      <c r="M7179" s="64" t="s">
        <v>21959</v>
      </c>
    </row>
    <row r="7180" ht="30" customHeight="1" spans="1:13">
      <c r="A7180" s="41">
        <f>IF(C7180="","",SUBTOTAL(103,$C$2:C7180))</f>
        <v>7171</v>
      </c>
      <c r="B7180" s="67"/>
      <c r="C7180" s="58" t="s">
        <v>20331</v>
      </c>
      <c r="D7180" s="68" t="s">
        <v>20337</v>
      </c>
      <c r="E7180" s="64" t="s">
        <v>20338</v>
      </c>
      <c r="F7180" s="68" t="s">
        <v>21734</v>
      </c>
      <c r="G7180" s="64" t="s">
        <v>21960</v>
      </c>
      <c r="H7180" s="68" t="s">
        <v>21961</v>
      </c>
      <c r="I7180" s="64">
        <v>1</v>
      </c>
      <c r="J7180" s="44" t="str">
        <f>VLOOKUP(G7180,[1]硬件清单!$F:$F,1,0)</f>
        <v>21811742336A23C27042</v>
      </c>
      <c r="K7180" s="66"/>
      <c r="L7180" s="44"/>
      <c r="M7180" s="64" t="s">
        <v>21962</v>
      </c>
    </row>
    <row r="7181" ht="30" customHeight="1" spans="1:13">
      <c r="A7181" s="41">
        <f>IF(C7181="","",SUBTOTAL(103,$C$2:C7181))</f>
        <v>7172</v>
      </c>
      <c r="B7181" s="67"/>
      <c r="C7181" s="58" t="s">
        <v>20331</v>
      </c>
      <c r="D7181" s="68" t="s">
        <v>20337</v>
      </c>
      <c r="E7181" s="64" t="s">
        <v>20338</v>
      </c>
      <c r="F7181" s="68" t="s">
        <v>21734</v>
      </c>
      <c r="G7181" s="64" t="s">
        <v>21963</v>
      </c>
      <c r="H7181" s="68" t="s">
        <v>21964</v>
      </c>
      <c r="I7181" s="64">
        <v>1</v>
      </c>
      <c r="J7181" s="44" t="str">
        <f>VLOOKUP(G7181,[1]硬件清单!$F:$F,1,0)</f>
        <v>21811742336A23C27023</v>
      </c>
      <c r="K7181" s="66"/>
      <c r="L7181" s="44"/>
      <c r="M7181" s="64" t="s">
        <v>21965</v>
      </c>
    </row>
    <row r="7182" ht="30" customHeight="1" spans="1:13">
      <c r="A7182" s="41">
        <f>IF(C7182="","",SUBTOTAL(103,$C$2:C7182))</f>
        <v>7173</v>
      </c>
      <c r="B7182" s="67"/>
      <c r="C7182" s="58" t="s">
        <v>20331</v>
      </c>
      <c r="D7182" s="68" t="s">
        <v>20337</v>
      </c>
      <c r="E7182" s="64" t="s">
        <v>20338</v>
      </c>
      <c r="F7182" s="68" t="s">
        <v>21734</v>
      </c>
      <c r="G7182" s="64" t="s">
        <v>21966</v>
      </c>
      <c r="H7182" s="68" t="s">
        <v>21967</v>
      </c>
      <c r="I7182" s="64">
        <v>1</v>
      </c>
      <c r="J7182" s="44" t="str">
        <f>VLOOKUP(G7182,[1]硬件清单!$F:$F,1,0)</f>
        <v>21811742336A23C27036</v>
      </c>
      <c r="K7182" s="66"/>
      <c r="L7182" s="44"/>
      <c r="M7182" s="64" t="s">
        <v>21968</v>
      </c>
    </row>
    <row r="7183" ht="30" customHeight="1" spans="1:13">
      <c r="A7183" s="41">
        <f>IF(C7183="","",SUBTOTAL(103,$C$2:C7183))</f>
        <v>7174</v>
      </c>
      <c r="B7183" s="67"/>
      <c r="C7183" s="58" t="s">
        <v>20331</v>
      </c>
      <c r="D7183" s="68" t="s">
        <v>20337</v>
      </c>
      <c r="E7183" s="64" t="s">
        <v>20338</v>
      </c>
      <c r="F7183" s="68" t="s">
        <v>21734</v>
      </c>
      <c r="G7183" s="64" t="s">
        <v>21969</v>
      </c>
      <c r="H7183" s="68" t="s">
        <v>21970</v>
      </c>
      <c r="I7183" s="64">
        <v>1</v>
      </c>
      <c r="J7183" s="44" t="str">
        <f>VLOOKUP(G7183,[1]硬件清单!$F:$F,1,0)</f>
        <v>21811742336A23C27017</v>
      </c>
      <c r="K7183" s="66"/>
      <c r="L7183" s="44"/>
      <c r="M7183" s="64" t="s">
        <v>21971</v>
      </c>
    </row>
    <row r="7184" ht="30" customHeight="1" spans="1:13">
      <c r="A7184" s="41">
        <f>IF(C7184="","",SUBTOTAL(103,$C$2:C7184))</f>
        <v>7175</v>
      </c>
      <c r="B7184" s="67"/>
      <c r="C7184" s="58" t="s">
        <v>20331</v>
      </c>
      <c r="D7184" s="68" t="s">
        <v>20337</v>
      </c>
      <c r="E7184" s="64" t="s">
        <v>20338</v>
      </c>
      <c r="F7184" s="68" t="s">
        <v>21734</v>
      </c>
      <c r="G7184" s="64" t="s">
        <v>21972</v>
      </c>
      <c r="H7184" s="68" t="s">
        <v>21973</v>
      </c>
      <c r="I7184" s="64">
        <v>1</v>
      </c>
      <c r="J7184" s="44" t="str">
        <f>VLOOKUP(G7184,[1]硬件清单!$F:$F,1,0)</f>
        <v>21811742336A23C27046</v>
      </c>
      <c r="K7184" s="66"/>
      <c r="L7184" s="44"/>
      <c r="M7184" s="64" t="s">
        <v>21974</v>
      </c>
    </row>
    <row r="7185" ht="30" customHeight="1" spans="1:13">
      <c r="A7185" s="41">
        <f>IF(C7185="","",SUBTOTAL(103,$C$2:C7185))</f>
        <v>7176</v>
      </c>
      <c r="B7185" s="67"/>
      <c r="C7185" s="58" t="s">
        <v>20331</v>
      </c>
      <c r="D7185" s="68" t="s">
        <v>20337</v>
      </c>
      <c r="E7185" s="64" t="s">
        <v>20338</v>
      </c>
      <c r="F7185" s="68" t="s">
        <v>21734</v>
      </c>
      <c r="G7185" s="64" t="s">
        <v>21975</v>
      </c>
      <c r="H7185" s="68" t="s">
        <v>21976</v>
      </c>
      <c r="I7185" s="64">
        <v>1</v>
      </c>
      <c r="J7185" s="44" t="str">
        <f>VLOOKUP(G7185,[1]硬件清单!$F:$F,1,0)</f>
        <v>21811742336A23C27038</v>
      </c>
      <c r="K7185" s="66"/>
      <c r="L7185" s="44"/>
      <c r="M7185" s="64" t="s">
        <v>21977</v>
      </c>
    </row>
    <row r="7186" ht="30" customHeight="1" spans="1:13">
      <c r="A7186" s="41">
        <f>IF(C7186="","",SUBTOTAL(103,$C$2:C7186))</f>
        <v>7177</v>
      </c>
      <c r="B7186" s="67"/>
      <c r="C7186" s="58" t="s">
        <v>20331</v>
      </c>
      <c r="D7186" s="68" t="s">
        <v>20337</v>
      </c>
      <c r="E7186" s="64" t="s">
        <v>20338</v>
      </c>
      <c r="F7186" s="68" t="s">
        <v>21734</v>
      </c>
      <c r="G7186" s="64" t="s">
        <v>21978</v>
      </c>
      <c r="H7186" s="68" t="s">
        <v>21979</v>
      </c>
      <c r="I7186" s="64">
        <v>1</v>
      </c>
      <c r="J7186" s="44" t="str">
        <f>VLOOKUP(G7186,[1]硬件清单!$F:$F,1,0)</f>
        <v>21811742336A23C27043</v>
      </c>
      <c r="K7186" s="66"/>
      <c r="L7186" s="44"/>
      <c r="M7186" s="64" t="s">
        <v>21980</v>
      </c>
    </row>
    <row r="7187" ht="30" customHeight="1" spans="1:13">
      <c r="A7187" s="41">
        <f>IF(C7187="","",SUBTOTAL(103,$C$2:C7187))</f>
        <v>7178</v>
      </c>
      <c r="B7187" s="67"/>
      <c r="C7187" s="58" t="s">
        <v>20331</v>
      </c>
      <c r="D7187" s="68" t="s">
        <v>20337</v>
      </c>
      <c r="E7187" s="64" t="s">
        <v>20338</v>
      </c>
      <c r="F7187" s="68" t="s">
        <v>21734</v>
      </c>
      <c r="G7187" s="64" t="s">
        <v>21981</v>
      </c>
      <c r="H7187" s="68" t="s">
        <v>21982</v>
      </c>
      <c r="I7187" s="64">
        <v>1</v>
      </c>
      <c r="J7187" s="44" t="str">
        <f>VLOOKUP(G7187,[1]硬件清单!$F:$F,1,0)</f>
        <v>21811742336A23C27049</v>
      </c>
      <c r="K7187" s="66"/>
      <c r="L7187" s="44"/>
      <c r="M7187" s="64" t="s">
        <v>21983</v>
      </c>
    </row>
    <row r="7188" ht="30" customHeight="1" spans="1:13">
      <c r="A7188" s="41">
        <f>IF(C7188="","",SUBTOTAL(103,$C$2:C7188))</f>
        <v>7179</v>
      </c>
      <c r="B7188" s="67"/>
      <c r="C7188" s="58" t="s">
        <v>20331</v>
      </c>
      <c r="D7188" s="68" t="s">
        <v>20337</v>
      </c>
      <c r="E7188" s="64" t="s">
        <v>20338</v>
      </c>
      <c r="F7188" s="68" t="s">
        <v>21734</v>
      </c>
      <c r="G7188" s="64" t="s">
        <v>21984</v>
      </c>
      <c r="H7188" s="68" t="s">
        <v>21985</v>
      </c>
      <c r="I7188" s="64">
        <v>1</v>
      </c>
      <c r="J7188" s="44" t="str">
        <f>VLOOKUP(G7188,[1]硬件清单!$F:$F,1,0)</f>
        <v>21811742336A23C27019</v>
      </c>
      <c r="K7188" s="66"/>
      <c r="L7188" s="44"/>
      <c r="M7188" s="64" t="s">
        <v>21986</v>
      </c>
    </row>
    <row r="7189" ht="30" customHeight="1" spans="1:13">
      <c r="A7189" s="41">
        <f>IF(C7189="","",SUBTOTAL(103,$C$2:C7189))</f>
        <v>7180</v>
      </c>
      <c r="B7189" s="67"/>
      <c r="C7189" s="58" t="s">
        <v>20331</v>
      </c>
      <c r="D7189" s="68" t="s">
        <v>20337</v>
      </c>
      <c r="E7189" s="64" t="s">
        <v>20338</v>
      </c>
      <c r="F7189" s="68" t="s">
        <v>21734</v>
      </c>
      <c r="G7189" s="64" t="s">
        <v>21987</v>
      </c>
      <c r="H7189" s="68" t="s">
        <v>21988</v>
      </c>
      <c r="I7189" s="64">
        <v>1</v>
      </c>
      <c r="J7189" s="44" t="str">
        <f>VLOOKUP(G7189,[1]硬件清单!$F:$F,1,0)</f>
        <v>21811742332A24100006</v>
      </c>
      <c r="K7189" s="66"/>
      <c r="L7189" s="44"/>
      <c r="M7189" s="64" t="s">
        <v>21989</v>
      </c>
    </row>
    <row r="7190" ht="30" customHeight="1" spans="1:13">
      <c r="A7190" s="41">
        <f>IF(C7190="","",SUBTOTAL(103,$C$2:C7190))</f>
        <v>7181</v>
      </c>
      <c r="B7190" s="67"/>
      <c r="C7190" s="58" t="s">
        <v>20331</v>
      </c>
      <c r="D7190" s="68" t="s">
        <v>20337</v>
      </c>
      <c r="E7190" s="64" t="s">
        <v>20338</v>
      </c>
      <c r="F7190" s="68" t="s">
        <v>21734</v>
      </c>
      <c r="G7190" s="64" t="s">
        <v>21990</v>
      </c>
      <c r="H7190" s="68" t="s">
        <v>21991</v>
      </c>
      <c r="I7190" s="64">
        <v>1</v>
      </c>
      <c r="J7190" s="44" t="str">
        <f>VLOOKUP(G7190,[1]硬件清单!$F:$F,1,0)</f>
        <v>21811742336A23C27032</v>
      </c>
      <c r="K7190" s="66"/>
      <c r="L7190" s="44"/>
      <c r="M7190" s="64" t="s">
        <v>21992</v>
      </c>
    </row>
    <row r="7191" ht="30" customHeight="1" spans="1:13">
      <c r="A7191" s="41">
        <f>IF(C7191="","",SUBTOTAL(103,$C$2:C7191))</f>
        <v>7182</v>
      </c>
      <c r="B7191" s="67"/>
      <c r="C7191" s="58" t="s">
        <v>20331</v>
      </c>
      <c r="D7191" s="68" t="s">
        <v>20337</v>
      </c>
      <c r="E7191" s="64" t="s">
        <v>20338</v>
      </c>
      <c r="F7191" s="68" t="s">
        <v>21734</v>
      </c>
      <c r="G7191" s="64" t="s">
        <v>21993</v>
      </c>
      <c r="H7191" s="68" t="s">
        <v>21994</v>
      </c>
      <c r="I7191" s="64">
        <v>1</v>
      </c>
      <c r="J7191" s="44" t="str">
        <f>VLOOKUP(G7191,[1]硬件清单!$F:$F,1,0)</f>
        <v>21811742336A23C27060</v>
      </c>
      <c r="K7191" s="66"/>
      <c r="L7191" s="44"/>
      <c r="M7191" s="64" t="s">
        <v>21995</v>
      </c>
    </row>
    <row r="7192" ht="30" customHeight="1" spans="1:13">
      <c r="A7192" s="41">
        <f>IF(C7192="","",SUBTOTAL(103,$C$2:C7192))</f>
        <v>7183</v>
      </c>
      <c r="B7192" s="67"/>
      <c r="C7192" s="58" t="s">
        <v>20331</v>
      </c>
      <c r="D7192" s="68" t="s">
        <v>20337</v>
      </c>
      <c r="E7192" s="64" t="s">
        <v>20338</v>
      </c>
      <c r="F7192" s="68" t="s">
        <v>21734</v>
      </c>
      <c r="G7192" s="64" t="s">
        <v>21996</v>
      </c>
      <c r="H7192" s="68" t="s">
        <v>21997</v>
      </c>
      <c r="I7192" s="64">
        <v>1</v>
      </c>
      <c r="J7192" s="44" t="str">
        <f>VLOOKUP(G7192,[1]硬件清单!$F:$F,1,0)</f>
        <v>21811742336A23C27018</v>
      </c>
      <c r="K7192" s="66"/>
      <c r="L7192" s="44"/>
      <c r="M7192" s="64" t="s">
        <v>21998</v>
      </c>
    </row>
    <row r="7193" ht="30" customHeight="1" spans="1:13">
      <c r="A7193" s="41">
        <f>IF(C7193="","",SUBTOTAL(103,$C$2:C7193))</f>
        <v>7184</v>
      </c>
      <c r="B7193" s="67"/>
      <c r="C7193" s="58" t="s">
        <v>20331</v>
      </c>
      <c r="D7193" s="68" t="s">
        <v>20337</v>
      </c>
      <c r="E7193" s="64" t="s">
        <v>20338</v>
      </c>
      <c r="F7193" s="68" t="s">
        <v>21734</v>
      </c>
      <c r="G7193" s="64" t="s">
        <v>21999</v>
      </c>
      <c r="H7193" s="68" t="s">
        <v>22000</v>
      </c>
      <c r="I7193" s="64">
        <v>1</v>
      </c>
      <c r="J7193" s="44" t="str">
        <f>VLOOKUP(G7193,[1]硬件清单!$F:$F,1,0)</f>
        <v>21811742336A23C27028</v>
      </c>
      <c r="K7193" s="66"/>
      <c r="L7193" s="44"/>
      <c r="M7193" s="64" t="s">
        <v>22001</v>
      </c>
    </row>
    <row r="7194" ht="30" customHeight="1" spans="1:13">
      <c r="A7194" s="41">
        <f>IF(C7194="","",SUBTOTAL(103,$C$2:C7194))</f>
        <v>7185</v>
      </c>
      <c r="B7194" s="67"/>
      <c r="C7194" s="58" t="s">
        <v>20331</v>
      </c>
      <c r="D7194" s="68" t="s">
        <v>20337</v>
      </c>
      <c r="E7194" s="64" t="s">
        <v>20338</v>
      </c>
      <c r="F7194" s="68" t="s">
        <v>21734</v>
      </c>
      <c r="G7194" s="64" t="s">
        <v>22002</v>
      </c>
      <c r="H7194" s="68" t="s">
        <v>22003</v>
      </c>
      <c r="I7194" s="64">
        <v>1</v>
      </c>
      <c r="J7194" s="44" t="str">
        <f>VLOOKUP(G7194,[1]硬件清单!$F:$F,1,0)</f>
        <v>21811742336A23C27006</v>
      </c>
      <c r="K7194" s="66"/>
      <c r="L7194" s="44"/>
      <c r="M7194" s="64" t="s">
        <v>22004</v>
      </c>
    </row>
    <row r="7195" ht="30" customHeight="1" spans="1:13">
      <c r="A7195" s="41">
        <f>IF(C7195="","",SUBTOTAL(103,$C$2:C7195))</f>
        <v>7186</v>
      </c>
      <c r="B7195" s="67"/>
      <c r="C7195" s="58" t="s">
        <v>20331</v>
      </c>
      <c r="D7195" s="68" t="s">
        <v>20337</v>
      </c>
      <c r="E7195" s="64" t="s">
        <v>20338</v>
      </c>
      <c r="F7195" s="68" t="s">
        <v>21734</v>
      </c>
      <c r="G7195" s="64" t="s">
        <v>22005</v>
      </c>
      <c r="H7195" s="68" t="s">
        <v>22006</v>
      </c>
      <c r="I7195" s="64">
        <v>1</v>
      </c>
      <c r="J7195" s="44" t="str">
        <f>VLOOKUP(G7195,[1]硬件清单!$F:$F,1,0)</f>
        <v>21811742336A23C27033</v>
      </c>
      <c r="K7195" s="66"/>
      <c r="L7195" s="44"/>
      <c r="M7195" s="64" t="s">
        <v>22007</v>
      </c>
    </row>
    <row r="7196" ht="30" customHeight="1" spans="1:13">
      <c r="A7196" s="41">
        <f>IF(C7196="","",SUBTOTAL(103,$C$2:C7196))</f>
        <v>7187</v>
      </c>
      <c r="B7196" s="67"/>
      <c r="C7196" s="58" t="s">
        <v>20331</v>
      </c>
      <c r="D7196" s="68" t="s">
        <v>20337</v>
      </c>
      <c r="E7196" s="64" t="s">
        <v>20338</v>
      </c>
      <c r="F7196" s="68" t="s">
        <v>21734</v>
      </c>
      <c r="G7196" s="64" t="s">
        <v>22008</v>
      </c>
      <c r="H7196" s="68" t="s">
        <v>22009</v>
      </c>
      <c r="I7196" s="64">
        <v>1</v>
      </c>
      <c r="J7196" s="44" t="str">
        <f>VLOOKUP(G7196,[1]硬件清单!$F:$F,1,0)</f>
        <v>21811742336A23C27062</v>
      </c>
      <c r="K7196" s="66"/>
      <c r="L7196" s="44"/>
      <c r="M7196" s="64" t="s">
        <v>22010</v>
      </c>
    </row>
    <row r="7197" ht="30" customHeight="1" spans="1:13">
      <c r="A7197" s="41">
        <f>IF(C7197="","",SUBTOTAL(103,$C$2:C7197))</f>
        <v>7188</v>
      </c>
      <c r="B7197" s="67"/>
      <c r="C7197" s="58" t="s">
        <v>20331</v>
      </c>
      <c r="D7197" s="68" t="s">
        <v>20337</v>
      </c>
      <c r="E7197" s="64" t="s">
        <v>20338</v>
      </c>
      <c r="F7197" s="68" t="s">
        <v>21734</v>
      </c>
      <c r="G7197" s="64" t="s">
        <v>22011</v>
      </c>
      <c r="H7197" s="68" t="s">
        <v>22012</v>
      </c>
      <c r="I7197" s="64">
        <v>1</v>
      </c>
      <c r="J7197" s="44" t="str">
        <f>VLOOKUP(G7197,[1]硬件清单!$F:$F,1,0)</f>
        <v>21811742332A24100017</v>
      </c>
      <c r="K7197" s="66"/>
      <c r="L7197" s="44"/>
      <c r="M7197" s="64" t="s">
        <v>22013</v>
      </c>
    </row>
    <row r="7198" ht="30" customHeight="1" spans="1:13">
      <c r="A7198" s="41">
        <f>IF(C7198="","",SUBTOTAL(103,$C$2:C7198))</f>
        <v>7189</v>
      </c>
      <c r="B7198" s="67"/>
      <c r="C7198" s="58" t="s">
        <v>20331</v>
      </c>
      <c r="D7198" s="68" t="s">
        <v>20337</v>
      </c>
      <c r="E7198" s="64" t="s">
        <v>20338</v>
      </c>
      <c r="F7198" s="68" t="s">
        <v>21734</v>
      </c>
      <c r="G7198" s="64" t="s">
        <v>22014</v>
      </c>
      <c r="H7198" s="68" t="s">
        <v>22015</v>
      </c>
      <c r="I7198" s="64">
        <v>1</v>
      </c>
      <c r="J7198" s="44" t="str">
        <f>VLOOKUP(G7198,[1]硬件清单!$F:$F,1,0)</f>
        <v>21811742336A23C27052</v>
      </c>
      <c r="K7198" s="66"/>
      <c r="L7198" s="44"/>
      <c r="M7198" s="64" t="s">
        <v>22016</v>
      </c>
    </row>
    <row r="7199" ht="30" customHeight="1" spans="1:13">
      <c r="A7199" s="41">
        <f>IF(C7199="","",SUBTOTAL(103,$C$2:C7199))</f>
        <v>7190</v>
      </c>
      <c r="B7199" s="67"/>
      <c r="C7199" s="58" t="s">
        <v>20331</v>
      </c>
      <c r="D7199" s="68" t="s">
        <v>20337</v>
      </c>
      <c r="E7199" s="64" t="s">
        <v>20338</v>
      </c>
      <c r="F7199" s="68" t="s">
        <v>21734</v>
      </c>
      <c r="G7199" s="64" t="s">
        <v>22017</v>
      </c>
      <c r="H7199" s="68" t="s">
        <v>22018</v>
      </c>
      <c r="I7199" s="64">
        <v>1</v>
      </c>
      <c r="J7199" s="44" t="str">
        <f>VLOOKUP(G7199,[1]硬件清单!$F:$F,1,0)</f>
        <v>21811742336A23C27016</v>
      </c>
      <c r="K7199" s="66"/>
      <c r="L7199" s="44"/>
      <c r="M7199" s="64" t="s">
        <v>22019</v>
      </c>
    </row>
    <row r="7200" ht="30" customHeight="1" spans="1:13">
      <c r="A7200" s="41">
        <f>IF(C7200="","",SUBTOTAL(103,$C$2:C7200))</f>
        <v>7191</v>
      </c>
      <c r="B7200" s="67"/>
      <c r="C7200" s="58" t="s">
        <v>20331</v>
      </c>
      <c r="D7200" s="68" t="s">
        <v>20337</v>
      </c>
      <c r="E7200" s="64" t="s">
        <v>20338</v>
      </c>
      <c r="F7200" s="68" t="s">
        <v>21734</v>
      </c>
      <c r="G7200" s="64" t="s">
        <v>22020</v>
      </c>
      <c r="H7200" s="68" t="s">
        <v>22021</v>
      </c>
      <c r="I7200" s="64">
        <v>1</v>
      </c>
      <c r="J7200" s="44" t="str">
        <f>VLOOKUP(G7200,[1]硬件清单!$F:$F,1,0)</f>
        <v>21811742336A23C27007</v>
      </c>
      <c r="K7200" s="66"/>
      <c r="L7200" s="44"/>
      <c r="M7200" s="64" t="s">
        <v>22022</v>
      </c>
    </row>
    <row r="7201" ht="30" customHeight="1" spans="1:13">
      <c r="A7201" s="41">
        <f>IF(C7201="","",SUBTOTAL(103,$C$2:C7201))</f>
        <v>7192</v>
      </c>
      <c r="B7201" s="67"/>
      <c r="C7201" s="58" t="s">
        <v>20331</v>
      </c>
      <c r="D7201" s="68" t="s">
        <v>20337</v>
      </c>
      <c r="E7201" s="64" t="s">
        <v>20338</v>
      </c>
      <c r="F7201" s="68" t="s">
        <v>21734</v>
      </c>
      <c r="G7201" s="64" t="s">
        <v>22023</v>
      </c>
      <c r="H7201" s="68" t="s">
        <v>22024</v>
      </c>
      <c r="I7201" s="64">
        <v>1</v>
      </c>
      <c r="J7201" s="44" t="str">
        <f>VLOOKUP(G7201,[1]硬件清单!$F:$F,1,0)</f>
        <v>21811742332A24100014</v>
      </c>
      <c r="K7201" s="66"/>
      <c r="L7201" s="44"/>
      <c r="M7201" s="64" t="s">
        <v>22025</v>
      </c>
    </row>
    <row r="7202" ht="30" customHeight="1" spans="1:13">
      <c r="A7202" s="41">
        <f>IF(C7202="","",SUBTOTAL(103,$C$2:C7202))</f>
        <v>7193</v>
      </c>
      <c r="B7202" s="67"/>
      <c r="C7202" s="58" t="s">
        <v>20331</v>
      </c>
      <c r="D7202" s="68" t="s">
        <v>20337</v>
      </c>
      <c r="E7202" s="64" t="s">
        <v>20338</v>
      </c>
      <c r="F7202" s="68" t="s">
        <v>21734</v>
      </c>
      <c r="G7202" s="64" t="s">
        <v>22026</v>
      </c>
      <c r="H7202" s="68" t="s">
        <v>22027</v>
      </c>
      <c r="I7202" s="64">
        <v>1</v>
      </c>
      <c r="J7202" s="44" t="str">
        <f>VLOOKUP(G7202,[1]硬件清单!$F:$F,1,0)</f>
        <v>21811742336A23C27061</v>
      </c>
      <c r="K7202" s="66"/>
      <c r="L7202" s="44"/>
      <c r="M7202" s="64" t="s">
        <v>22028</v>
      </c>
    </row>
    <row r="7203" ht="30" customHeight="1" spans="1:13">
      <c r="A7203" s="41">
        <f>IF(C7203="","",SUBTOTAL(103,$C$2:C7203))</f>
        <v>7194</v>
      </c>
      <c r="B7203" s="67"/>
      <c r="C7203" s="58" t="s">
        <v>20331</v>
      </c>
      <c r="D7203" s="68" t="s">
        <v>20337</v>
      </c>
      <c r="E7203" s="64" t="s">
        <v>20338</v>
      </c>
      <c r="F7203" s="68" t="s">
        <v>21734</v>
      </c>
      <c r="G7203" s="64" t="s">
        <v>22029</v>
      </c>
      <c r="H7203" s="68" t="s">
        <v>22030</v>
      </c>
      <c r="I7203" s="64">
        <v>1</v>
      </c>
      <c r="J7203" s="44" t="str">
        <f>VLOOKUP(G7203,[1]硬件清单!$F:$F,1,0)</f>
        <v>21811742332A24100004</v>
      </c>
      <c r="K7203" s="66"/>
      <c r="L7203" s="44"/>
      <c r="M7203" s="64" t="s">
        <v>22031</v>
      </c>
    </row>
    <row r="7204" ht="30" customHeight="1" spans="1:13">
      <c r="A7204" s="41">
        <f>IF(C7204="","",SUBTOTAL(103,$C$2:C7204))</f>
        <v>7195</v>
      </c>
      <c r="B7204" s="67"/>
      <c r="C7204" s="58" t="s">
        <v>20331</v>
      </c>
      <c r="D7204" s="68" t="s">
        <v>20337</v>
      </c>
      <c r="E7204" s="64" t="s">
        <v>20338</v>
      </c>
      <c r="F7204" s="68" t="s">
        <v>21734</v>
      </c>
      <c r="G7204" s="64" t="s">
        <v>22032</v>
      </c>
      <c r="H7204" s="68" t="s">
        <v>22033</v>
      </c>
      <c r="I7204" s="64">
        <v>1</v>
      </c>
      <c r="J7204" s="44" t="str">
        <f>VLOOKUP(G7204,[1]硬件清单!$F:$F,1,0)</f>
        <v>21811742336A23C27027</v>
      </c>
      <c r="K7204" s="66"/>
      <c r="L7204" s="44"/>
      <c r="M7204" s="64" t="s">
        <v>22034</v>
      </c>
    </row>
    <row r="7205" ht="30" customHeight="1" spans="1:13">
      <c r="A7205" s="41">
        <f>IF(C7205="","",SUBTOTAL(103,$C$2:C7205))</f>
        <v>7196</v>
      </c>
      <c r="B7205" s="67"/>
      <c r="C7205" s="58" t="s">
        <v>20331</v>
      </c>
      <c r="D7205" s="68" t="s">
        <v>20337</v>
      </c>
      <c r="E7205" s="64" t="s">
        <v>20338</v>
      </c>
      <c r="F7205" s="68" t="s">
        <v>21734</v>
      </c>
      <c r="G7205" s="64" t="s">
        <v>22035</v>
      </c>
      <c r="H7205" s="68" t="s">
        <v>22036</v>
      </c>
      <c r="I7205" s="64">
        <v>1</v>
      </c>
      <c r="J7205" s="44" t="str">
        <f>VLOOKUP(G7205,[1]硬件清单!$F:$F,1,0)</f>
        <v>21811742332A24100001</v>
      </c>
      <c r="K7205" s="66"/>
      <c r="L7205" s="44"/>
      <c r="M7205" s="64" t="s">
        <v>22037</v>
      </c>
    </row>
    <row r="7206" ht="30" customHeight="1" spans="1:13">
      <c r="A7206" s="41">
        <f>IF(C7206="","",SUBTOTAL(103,$C$2:C7206))</f>
        <v>7197</v>
      </c>
      <c r="B7206" s="67"/>
      <c r="C7206" s="58" t="s">
        <v>20331</v>
      </c>
      <c r="D7206" s="68" t="s">
        <v>20337</v>
      </c>
      <c r="E7206" s="64" t="s">
        <v>20338</v>
      </c>
      <c r="F7206" s="68" t="s">
        <v>21734</v>
      </c>
      <c r="G7206" s="64" t="s">
        <v>22038</v>
      </c>
      <c r="H7206" s="68" t="s">
        <v>22039</v>
      </c>
      <c r="I7206" s="64">
        <v>1</v>
      </c>
      <c r="J7206" s="44" t="str">
        <f>VLOOKUP(G7206,[1]硬件清单!$F:$F,1,0)</f>
        <v>21811742332A24100003</v>
      </c>
      <c r="K7206" s="66"/>
      <c r="L7206" s="44"/>
      <c r="M7206" s="64" t="s">
        <v>22040</v>
      </c>
    </row>
    <row r="7207" ht="30" customHeight="1" spans="1:13">
      <c r="A7207" s="41">
        <f>IF(C7207="","",SUBTOTAL(103,$C$2:C7207))</f>
        <v>7198</v>
      </c>
      <c r="B7207" s="67"/>
      <c r="C7207" s="58" t="s">
        <v>20331</v>
      </c>
      <c r="D7207" s="68" t="s">
        <v>20337</v>
      </c>
      <c r="E7207" s="64" t="s">
        <v>20338</v>
      </c>
      <c r="F7207" s="68" t="s">
        <v>21734</v>
      </c>
      <c r="G7207" s="64" t="s">
        <v>22041</v>
      </c>
      <c r="H7207" s="68" t="s">
        <v>22042</v>
      </c>
      <c r="I7207" s="64">
        <v>1</v>
      </c>
      <c r="J7207" s="44" t="str">
        <f>VLOOKUP(G7207,[1]硬件清单!$F:$F,1,0)</f>
        <v>21811742336A23C27037</v>
      </c>
      <c r="K7207" s="66"/>
      <c r="L7207" s="44"/>
      <c r="M7207" s="64" t="s">
        <v>22043</v>
      </c>
    </row>
    <row r="7208" ht="30" customHeight="1" spans="1:13">
      <c r="A7208" s="41">
        <f>IF(C7208="","",SUBTOTAL(103,$C$2:C7208))</f>
        <v>7199</v>
      </c>
      <c r="B7208" s="67"/>
      <c r="C7208" s="58" t="s">
        <v>20331</v>
      </c>
      <c r="D7208" s="68" t="s">
        <v>20337</v>
      </c>
      <c r="E7208" s="64" t="s">
        <v>20338</v>
      </c>
      <c r="F7208" s="68" t="s">
        <v>21734</v>
      </c>
      <c r="G7208" s="64" t="s">
        <v>22044</v>
      </c>
      <c r="H7208" s="68" t="s">
        <v>22045</v>
      </c>
      <c r="I7208" s="64">
        <v>1</v>
      </c>
      <c r="J7208" s="44" t="str">
        <f>VLOOKUP(G7208,[1]硬件清单!$F:$F,1,0)</f>
        <v>21811742336A23C27014</v>
      </c>
      <c r="K7208" s="66"/>
      <c r="L7208" s="44"/>
      <c r="M7208" s="64" t="s">
        <v>22046</v>
      </c>
    </row>
    <row r="7209" ht="30" customHeight="1" spans="1:13">
      <c r="A7209" s="41">
        <f>IF(C7209="","",SUBTOTAL(103,$C$2:C7209))</f>
        <v>7200</v>
      </c>
      <c r="B7209" s="67"/>
      <c r="C7209" s="58" t="s">
        <v>20331</v>
      </c>
      <c r="D7209" s="68" t="s">
        <v>20337</v>
      </c>
      <c r="E7209" s="64" t="s">
        <v>20338</v>
      </c>
      <c r="F7209" s="68" t="s">
        <v>21734</v>
      </c>
      <c r="G7209" s="64" t="s">
        <v>22047</v>
      </c>
      <c r="H7209" s="68" t="s">
        <v>22048</v>
      </c>
      <c r="I7209" s="64">
        <v>1</v>
      </c>
      <c r="J7209" s="44" t="str">
        <f>VLOOKUP(G7209,[1]硬件清单!$F:$F,1,0)</f>
        <v>21811742336A23C00002</v>
      </c>
      <c r="K7209" s="66"/>
      <c r="L7209" s="44"/>
      <c r="M7209" s="64" t="s">
        <v>22049</v>
      </c>
    </row>
    <row r="7210" ht="30" customHeight="1" spans="1:13">
      <c r="A7210" s="41">
        <f>IF(C7210="","",SUBTOTAL(103,$C$2:C7210))</f>
        <v>7201</v>
      </c>
      <c r="B7210" s="67"/>
      <c r="C7210" s="58" t="s">
        <v>20331</v>
      </c>
      <c r="D7210" s="68" t="s">
        <v>20337</v>
      </c>
      <c r="E7210" s="64" t="s">
        <v>20338</v>
      </c>
      <c r="F7210" s="68" t="s">
        <v>21734</v>
      </c>
      <c r="G7210" s="64" t="s">
        <v>22050</v>
      </c>
      <c r="H7210" s="68" t="s">
        <v>22051</v>
      </c>
      <c r="I7210" s="64">
        <v>1</v>
      </c>
      <c r="J7210" s="44" t="str">
        <f>VLOOKUP(G7210,[1]硬件清单!$F:$F,1,0)</f>
        <v>21811742336A23C27056</v>
      </c>
      <c r="K7210" s="66"/>
      <c r="L7210" s="44"/>
      <c r="M7210" s="64" t="s">
        <v>22052</v>
      </c>
    </row>
    <row r="7211" ht="30" customHeight="1" spans="1:13">
      <c r="A7211" s="41">
        <f>IF(C7211="","",SUBTOTAL(103,$C$2:C7211))</f>
        <v>7202</v>
      </c>
      <c r="B7211" s="67"/>
      <c r="C7211" s="58" t="s">
        <v>20331</v>
      </c>
      <c r="D7211" s="68" t="s">
        <v>20337</v>
      </c>
      <c r="E7211" s="64" t="s">
        <v>20338</v>
      </c>
      <c r="F7211" s="68" t="s">
        <v>21734</v>
      </c>
      <c r="G7211" s="64" t="s">
        <v>22053</v>
      </c>
      <c r="H7211" s="68" t="s">
        <v>22054</v>
      </c>
      <c r="I7211" s="64">
        <v>1</v>
      </c>
      <c r="J7211" s="44" t="str">
        <f>VLOOKUP(G7211,[1]硬件清单!$F:$F,1,0)</f>
        <v>21811742336A23C27044</v>
      </c>
      <c r="K7211" s="66"/>
      <c r="L7211" s="44"/>
      <c r="M7211" s="64" t="s">
        <v>22055</v>
      </c>
    </row>
    <row r="7212" ht="30" customHeight="1" spans="1:13">
      <c r="A7212" s="41">
        <f>IF(C7212="","",SUBTOTAL(103,$C$2:C7212))</f>
        <v>7203</v>
      </c>
      <c r="B7212" s="67"/>
      <c r="C7212" s="58" t="s">
        <v>20331</v>
      </c>
      <c r="D7212" s="68" t="s">
        <v>20337</v>
      </c>
      <c r="E7212" s="64" t="s">
        <v>20338</v>
      </c>
      <c r="F7212" s="68" t="s">
        <v>21734</v>
      </c>
      <c r="G7212" s="64" t="s">
        <v>22056</v>
      </c>
      <c r="H7212" s="68" t="s">
        <v>22057</v>
      </c>
      <c r="I7212" s="64">
        <v>1</v>
      </c>
      <c r="J7212" s="44" t="str">
        <f>VLOOKUP(G7212,[1]硬件清单!$F:$F,1,0)</f>
        <v>21811742336A23C27051</v>
      </c>
      <c r="K7212" s="66"/>
      <c r="L7212" s="44"/>
      <c r="M7212" s="64" t="s">
        <v>22058</v>
      </c>
    </row>
    <row r="7213" ht="30" customHeight="1" spans="1:13">
      <c r="A7213" s="41">
        <f>IF(C7213="","",SUBTOTAL(103,$C$2:C7213))</f>
        <v>7204</v>
      </c>
      <c r="B7213" s="67"/>
      <c r="C7213" s="58" t="s">
        <v>20331</v>
      </c>
      <c r="D7213" s="68" t="s">
        <v>20337</v>
      </c>
      <c r="E7213" s="64" t="s">
        <v>20338</v>
      </c>
      <c r="F7213" s="68" t="s">
        <v>21734</v>
      </c>
      <c r="G7213" s="64" t="s">
        <v>22059</v>
      </c>
      <c r="H7213" s="68" t="s">
        <v>22060</v>
      </c>
      <c r="I7213" s="64">
        <v>1</v>
      </c>
      <c r="J7213" s="44" t="str">
        <f>VLOOKUP(G7213,[1]硬件清单!$F:$F,1,0)</f>
        <v>21811742332A24100002</v>
      </c>
      <c r="K7213" s="66"/>
      <c r="L7213" s="44"/>
      <c r="M7213" s="64" t="s">
        <v>22061</v>
      </c>
    </row>
    <row r="7214" ht="30" customHeight="1" spans="1:13">
      <c r="A7214" s="41">
        <f>IF(C7214="","",SUBTOTAL(103,$C$2:C7214))</f>
        <v>7205</v>
      </c>
      <c r="B7214" s="67"/>
      <c r="C7214" s="58" t="s">
        <v>20331</v>
      </c>
      <c r="D7214" s="68" t="s">
        <v>20337</v>
      </c>
      <c r="E7214" s="64" t="s">
        <v>20338</v>
      </c>
      <c r="F7214" s="68" t="s">
        <v>21734</v>
      </c>
      <c r="G7214" s="64" t="s">
        <v>22062</v>
      </c>
      <c r="H7214" s="68" t="s">
        <v>22063</v>
      </c>
      <c r="I7214" s="64">
        <v>1</v>
      </c>
      <c r="J7214" s="44" t="str">
        <f>VLOOKUP(G7214,[1]硬件清单!$F:$F,1,0)</f>
        <v>21811742332A24100005</v>
      </c>
      <c r="K7214" s="66"/>
      <c r="L7214" s="44"/>
      <c r="M7214" s="64" t="s">
        <v>22064</v>
      </c>
    </row>
    <row r="7215" ht="30" customHeight="1" spans="1:13">
      <c r="A7215" s="41">
        <f>IF(C7215="","",SUBTOTAL(103,$C$2:C7215))</f>
        <v>7206</v>
      </c>
      <c r="B7215" s="67"/>
      <c r="C7215" s="58" t="s">
        <v>20331</v>
      </c>
      <c r="D7215" s="68" t="s">
        <v>20337</v>
      </c>
      <c r="E7215" s="64" t="s">
        <v>20338</v>
      </c>
      <c r="F7215" s="68" t="s">
        <v>21734</v>
      </c>
      <c r="G7215" s="64" t="s">
        <v>22065</v>
      </c>
      <c r="H7215" s="68" t="s">
        <v>22066</v>
      </c>
      <c r="I7215" s="64">
        <v>1</v>
      </c>
      <c r="J7215" s="44" t="str">
        <f>VLOOKUP(G7215,[1]硬件清单!$F:$F,1,0)</f>
        <v>21811742332A24100021</v>
      </c>
      <c r="K7215" s="66"/>
      <c r="L7215" s="44"/>
      <c r="M7215" s="64" t="s">
        <v>22067</v>
      </c>
    </row>
    <row r="7216" ht="30" customHeight="1" spans="1:13">
      <c r="A7216" s="41">
        <f>IF(C7216="","",SUBTOTAL(103,$C$2:C7216))</f>
        <v>7207</v>
      </c>
      <c r="B7216" s="67"/>
      <c r="C7216" s="58" t="s">
        <v>20331</v>
      </c>
      <c r="D7216" s="68" t="s">
        <v>20337</v>
      </c>
      <c r="E7216" s="64" t="s">
        <v>20338</v>
      </c>
      <c r="F7216" s="68" t="s">
        <v>21734</v>
      </c>
      <c r="G7216" s="64" t="s">
        <v>22068</v>
      </c>
      <c r="H7216" s="68" t="s">
        <v>22069</v>
      </c>
      <c r="I7216" s="64">
        <v>1</v>
      </c>
      <c r="J7216" s="44" t="str">
        <f>VLOOKUP(G7216,[1]硬件清单!$F:$F,1,0)</f>
        <v>21811742336A23C27025</v>
      </c>
      <c r="K7216" s="66"/>
      <c r="L7216" s="44"/>
      <c r="M7216" s="64" t="s">
        <v>22070</v>
      </c>
    </row>
    <row r="7217" ht="30" customHeight="1" spans="1:13">
      <c r="A7217" s="41">
        <f>IF(C7217="","",SUBTOTAL(103,$C$2:C7217))</f>
        <v>7208</v>
      </c>
      <c r="B7217" s="67"/>
      <c r="C7217" s="58" t="s">
        <v>20331</v>
      </c>
      <c r="D7217" s="68" t="s">
        <v>20337</v>
      </c>
      <c r="E7217" s="64" t="s">
        <v>20338</v>
      </c>
      <c r="F7217" s="68" t="s">
        <v>21734</v>
      </c>
      <c r="G7217" s="64" t="s">
        <v>22071</v>
      </c>
      <c r="H7217" s="68" t="s">
        <v>22072</v>
      </c>
      <c r="I7217" s="64">
        <v>1</v>
      </c>
      <c r="J7217" s="44" t="str">
        <f>VLOOKUP(G7217,[1]硬件清单!$F:$F,1,0)</f>
        <v>21811742332A24100011</v>
      </c>
      <c r="K7217" s="66"/>
      <c r="L7217" s="44"/>
      <c r="M7217" s="64" t="s">
        <v>22073</v>
      </c>
    </row>
    <row r="7218" ht="30" customHeight="1" spans="1:13">
      <c r="A7218" s="41">
        <f>IF(C7218="","",SUBTOTAL(103,$C$2:C7218))</f>
        <v>7209</v>
      </c>
      <c r="B7218" s="67"/>
      <c r="C7218" s="58" t="s">
        <v>20331</v>
      </c>
      <c r="D7218" s="68" t="s">
        <v>19</v>
      </c>
      <c r="E7218" s="64" t="s">
        <v>22074</v>
      </c>
      <c r="F7218" s="68" t="s">
        <v>22075</v>
      </c>
      <c r="G7218" s="64" t="s">
        <v>22076</v>
      </c>
      <c r="H7218" s="68" t="s">
        <v>22077</v>
      </c>
      <c r="I7218" s="64">
        <v>7</v>
      </c>
      <c r="J7218" s="44" t="str">
        <f>VLOOKUP(G7218,[1]硬件清单!$F:$F,1,0)</f>
        <v>210235A4G95234P0000X</v>
      </c>
      <c r="K7218" s="66"/>
      <c r="L7218" s="44"/>
      <c r="M7218" s="64" t="s">
        <v>22078</v>
      </c>
    </row>
    <row r="7219" ht="30" customHeight="1" spans="1:13">
      <c r="A7219" s="41">
        <f>IF(C7219="","",SUBTOTAL(103,$C$2:C7219))</f>
        <v>7210</v>
      </c>
      <c r="B7219" s="67"/>
      <c r="C7219" s="58" t="s">
        <v>20331</v>
      </c>
      <c r="D7219" s="68" t="s">
        <v>19</v>
      </c>
      <c r="E7219" s="64" t="s">
        <v>22074</v>
      </c>
      <c r="F7219" s="68" t="s">
        <v>22075</v>
      </c>
      <c r="G7219" s="64" t="s">
        <v>22079</v>
      </c>
      <c r="H7219" s="68" t="s">
        <v>22080</v>
      </c>
      <c r="I7219" s="64">
        <v>7</v>
      </c>
      <c r="J7219" s="44" t="str">
        <f>VLOOKUP(G7219,[1]硬件清单!$F:$F,1,0)</f>
        <v>210235A4G95234P0000S</v>
      </c>
      <c r="K7219" s="66"/>
      <c r="L7219" s="44" t="s">
        <v>17</v>
      </c>
      <c r="M7219" s="64" t="s">
        <v>22081</v>
      </c>
    </row>
    <row r="7220" ht="30" customHeight="1" spans="1:13">
      <c r="A7220" s="41">
        <f>IF(C7220="","",SUBTOTAL(103,$C$2:C7220))</f>
        <v>7211</v>
      </c>
      <c r="B7220" s="67"/>
      <c r="C7220" s="58" t="s">
        <v>20331</v>
      </c>
      <c r="D7220" s="68" t="s">
        <v>19</v>
      </c>
      <c r="E7220" s="64" t="s">
        <v>22074</v>
      </c>
      <c r="F7220" s="68" t="s">
        <v>22082</v>
      </c>
      <c r="G7220" s="64" t="s">
        <v>22083</v>
      </c>
      <c r="H7220" s="68" t="s">
        <v>22084</v>
      </c>
      <c r="I7220" s="64">
        <v>1</v>
      </c>
      <c r="J7220" s="44" t="str">
        <f>VLOOKUP(G7220,[1]硬件清单!$F:$F,1,0)</f>
        <v>2102354JTS10PC100082</v>
      </c>
      <c r="K7220" s="66"/>
      <c r="L7220" s="44" t="s">
        <v>17</v>
      </c>
      <c r="M7220" s="64" t="s">
        <v>22085</v>
      </c>
    </row>
    <row r="7221" ht="30" customHeight="1" spans="1:13">
      <c r="A7221" s="41">
        <f>IF(C7221="","",SUBTOTAL(103,$C$2:C7221))</f>
        <v>7212</v>
      </c>
      <c r="B7221" s="67"/>
      <c r="C7221" s="58" t="s">
        <v>20331</v>
      </c>
      <c r="D7221" s="68" t="s">
        <v>19</v>
      </c>
      <c r="E7221" s="64" t="s">
        <v>22074</v>
      </c>
      <c r="F7221" s="68" t="s">
        <v>22082</v>
      </c>
      <c r="G7221" s="64" t="s">
        <v>22086</v>
      </c>
      <c r="H7221" s="68" t="s">
        <v>22087</v>
      </c>
      <c r="I7221" s="64">
        <v>1</v>
      </c>
      <c r="J7221" s="44" t="str">
        <f>VLOOKUP(G7221,[1]硬件清单!$F:$F,1,0)</f>
        <v>2102354JTS10PC100083</v>
      </c>
      <c r="K7221" s="66"/>
      <c r="L7221" s="44" t="s">
        <v>17</v>
      </c>
      <c r="M7221" s="64" t="s">
        <v>22088</v>
      </c>
    </row>
    <row r="7222" ht="30" customHeight="1" spans="1:13">
      <c r="A7222" s="41">
        <f>IF(C7222="","",SUBTOTAL(103,$C$2:C7222))</f>
        <v>7213</v>
      </c>
      <c r="B7222" s="67"/>
      <c r="C7222" s="58" t="s">
        <v>20331</v>
      </c>
      <c r="D7222" s="68" t="s">
        <v>19</v>
      </c>
      <c r="E7222" s="64" t="s">
        <v>22074</v>
      </c>
      <c r="F7222" s="68" t="s">
        <v>22082</v>
      </c>
      <c r="G7222" s="64" t="s">
        <v>22089</v>
      </c>
      <c r="H7222" s="68" t="s">
        <v>22090</v>
      </c>
      <c r="I7222" s="64">
        <v>1</v>
      </c>
      <c r="J7222" s="44" t="str">
        <f>VLOOKUP(G7222,[1]硬件清单!$F:$F,1,0)</f>
        <v>2102354JTS10PC100087</v>
      </c>
      <c r="K7222" s="66"/>
      <c r="L7222" s="44" t="s">
        <v>17</v>
      </c>
      <c r="M7222" s="64" t="s">
        <v>22091</v>
      </c>
    </row>
    <row r="7223" ht="30" customHeight="1" spans="1:13">
      <c r="A7223" s="41">
        <f>IF(C7223="","",SUBTOTAL(103,$C$2:C7223))</f>
        <v>7214</v>
      </c>
      <c r="B7223" s="67"/>
      <c r="C7223" s="58" t="s">
        <v>20331</v>
      </c>
      <c r="D7223" s="68" t="s">
        <v>19</v>
      </c>
      <c r="E7223" s="64" t="s">
        <v>22074</v>
      </c>
      <c r="F7223" s="68" t="s">
        <v>22082</v>
      </c>
      <c r="G7223" s="64" t="s">
        <v>22092</v>
      </c>
      <c r="H7223" s="68" t="s">
        <v>22093</v>
      </c>
      <c r="I7223" s="64">
        <v>1</v>
      </c>
      <c r="J7223" s="44" t="str">
        <f>VLOOKUP(G7223,[1]硬件清单!$F:$F,1,0)</f>
        <v>2102354JTS10PC100073</v>
      </c>
      <c r="K7223" s="66"/>
      <c r="L7223" s="44" t="s">
        <v>17</v>
      </c>
      <c r="M7223" s="64" t="s">
        <v>22094</v>
      </c>
    </row>
    <row r="7224" ht="30" customHeight="1" spans="1:13">
      <c r="A7224" s="41">
        <f>IF(C7224="","",SUBTOTAL(103,$C$2:C7224))</f>
        <v>7215</v>
      </c>
      <c r="B7224" s="67"/>
      <c r="C7224" s="58" t="s">
        <v>20331</v>
      </c>
      <c r="D7224" s="68" t="s">
        <v>19</v>
      </c>
      <c r="E7224" s="64" t="s">
        <v>22074</v>
      </c>
      <c r="F7224" s="68" t="s">
        <v>22082</v>
      </c>
      <c r="G7224" s="64" t="s">
        <v>22095</v>
      </c>
      <c r="H7224" s="68" t="s">
        <v>22096</v>
      </c>
      <c r="I7224" s="64">
        <v>1</v>
      </c>
      <c r="J7224" s="44" t="str">
        <f>VLOOKUP(G7224,[1]硬件清单!$F:$F,1,0)</f>
        <v>2102354JTS10PC100075</v>
      </c>
      <c r="K7224" s="66"/>
      <c r="L7224" s="44" t="s">
        <v>17</v>
      </c>
      <c r="M7224" s="64" t="s">
        <v>22097</v>
      </c>
    </row>
    <row r="7225" ht="30" customHeight="1" spans="1:13">
      <c r="A7225" s="41">
        <f>IF(C7225="","",SUBTOTAL(103,$C$2:C7225))</f>
        <v>7216</v>
      </c>
      <c r="B7225" s="67"/>
      <c r="C7225" s="58" t="s">
        <v>20331</v>
      </c>
      <c r="D7225" s="68" t="s">
        <v>19</v>
      </c>
      <c r="E7225" s="64" t="s">
        <v>22074</v>
      </c>
      <c r="F7225" s="68" t="s">
        <v>22082</v>
      </c>
      <c r="G7225" s="64" t="s">
        <v>22098</v>
      </c>
      <c r="H7225" s="68" t="s">
        <v>22099</v>
      </c>
      <c r="I7225" s="64">
        <v>1</v>
      </c>
      <c r="J7225" s="44" t="str">
        <f>VLOOKUP(G7225,[1]硬件清单!$F:$F,1,0)</f>
        <v>2102354JTS10PC100086</v>
      </c>
      <c r="K7225" s="66"/>
      <c r="L7225" s="44" t="s">
        <v>17</v>
      </c>
      <c r="M7225" s="64" t="s">
        <v>22100</v>
      </c>
    </row>
    <row r="7226" ht="30" customHeight="1" spans="1:13">
      <c r="A7226" s="41">
        <f>IF(C7226="","",SUBTOTAL(103,$C$2:C7226))</f>
        <v>7217</v>
      </c>
      <c r="B7226" s="67"/>
      <c r="C7226" s="58" t="s">
        <v>20331</v>
      </c>
      <c r="D7226" s="68" t="s">
        <v>19</v>
      </c>
      <c r="E7226" s="64" t="s">
        <v>22074</v>
      </c>
      <c r="F7226" s="68" t="s">
        <v>22082</v>
      </c>
      <c r="G7226" s="64" t="s">
        <v>22101</v>
      </c>
      <c r="H7226" s="68" t="s">
        <v>22102</v>
      </c>
      <c r="I7226" s="64">
        <v>1</v>
      </c>
      <c r="J7226" s="44" t="str">
        <f>VLOOKUP(G7226,[1]硬件清单!$F:$F,1,0)</f>
        <v>2102354JTS10PC100076</v>
      </c>
      <c r="K7226" s="66"/>
      <c r="L7226" s="44" t="s">
        <v>17</v>
      </c>
      <c r="M7226" s="64" t="s">
        <v>22103</v>
      </c>
    </row>
    <row r="7227" ht="30" customHeight="1" spans="1:13">
      <c r="A7227" s="41">
        <f>IF(C7227="","",SUBTOTAL(103,$C$2:C7227))</f>
        <v>7218</v>
      </c>
      <c r="B7227" s="67"/>
      <c r="C7227" s="58" t="s">
        <v>20331</v>
      </c>
      <c r="D7227" s="68" t="s">
        <v>19</v>
      </c>
      <c r="E7227" s="64" t="s">
        <v>22074</v>
      </c>
      <c r="F7227" s="68" t="s">
        <v>22082</v>
      </c>
      <c r="G7227" s="64" t="s">
        <v>22104</v>
      </c>
      <c r="H7227" s="68" t="s">
        <v>22105</v>
      </c>
      <c r="I7227" s="64">
        <v>1</v>
      </c>
      <c r="J7227" s="44" t="str">
        <f>VLOOKUP(G7227,[1]硬件清单!$F:$F,1,0)</f>
        <v>2102354JTS10PC100088</v>
      </c>
      <c r="K7227" s="66"/>
      <c r="L7227" s="44" t="s">
        <v>17</v>
      </c>
      <c r="M7227" s="64" t="s">
        <v>22106</v>
      </c>
    </row>
    <row r="7228" ht="30" customHeight="1" spans="1:13">
      <c r="A7228" s="41">
        <f>IF(C7228="","",SUBTOTAL(103,$C$2:C7228))</f>
        <v>7219</v>
      </c>
      <c r="B7228" s="67"/>
      <c r="C7228" s="58" t="s">
        <v>20331</v>
      </c>
      <c r="D7228" s="68" t="s">
        <v>19</v>
      </c>
      <c r="E7228" s="64" t="s">
        <v>22074</v>
      </c>
      <c r="F7228" s="68" t="s">
        <v>22082</v>
      </c>
      <c r="G7228" s="64" t="s">
        <v>22107</v>
      </c>
      <c r="H7228" s="68" t="s">
        <v>22108</v>
      </c>
      <c r="I7228" s="64">
        <v>1</v>
      </c>
      <c r="J7228" s="44" t="str">
        <f>VLOOKUP(G7228,[1]硬件清单!$F:$F,1,0)</f>
        <v>2102354JTS10PC100081</v>
      </c>
      <c r="K7228" s="66"/>
      <c r="L7228" s="44" t="s">
        <v>17</v>
      </c>
      <c r="M7228" s="64" t="s">
        <v>22109</v>
      </c>
    </row>
    <row r="7229" ht="30" customHeight="1" spans="1:13">
      <c r="A7229" s="41">
        <f>IF(C7229="","",SUBTOTAL(103,$C$2:C7229))</f>
        <v>7220</v>
      </c>
      <c r="B7229" s="67"/>
      <c r="C7229" s="58" t="s">
        <v>20331</v>
      </c>
      <c r="D7229" s="68" t="s">
        <v>19</v>
      </c>
      <c r="E7229" s="64" t="s">
        <v>22074</v>
      </c>
      <c r="F7229" s="68" t="s">
        <v>22082</v>
      </c>
      <c r="G7229" s="64" t="s">
        <v>22110</v>
      </c>
      <c r="H7229" s="68" t="s">
        <v>22111</v>
      </c>
      <c r="I7229" s="64">
        <v>1</v>
      </c>
      <c r="J7229" s="44" t="str">
        <f>VLOOKUP(G7229,[1]硬件清单!$F:$F,1,0)</f>
        <v>2102354JTS10PC100079</v>
      </c>
      <c r="K7229" s="66"/>
      <c r="L7229" s="44" t="s">
        <v>17</v>
      </c>
      <c r="M7229" s="64" t="s">
        <v>22112</v>
      </c>
    </row>
    <row r="7230" ht="30" customHeight="1" spans="1:13">
      <c r="A7230" s="41">
        <f>IF(C7230="","",SUBTOTAL(103,$C$2:C7230))</f>
        <v>7221</v>
      </c>
      <c r="B7230" s="67"/>
      <c r="C7230" s="58" t="s">
        <v>20331</v>
      </c>
      <c r="D7230" s="68" t="s">
        <v>19</v>
      </c>
      <c r="E7230" s="64" t="s">
        <v>22074</v>
      </c>
      <c r="F7230" s="68" t="s">
        <v>22082</v>
      </c>
      <c r="G7230" s="64" t="s">
        <v>22113</v>
      </c>
      <c r="H7230" s="68" t="s">
        <v>22114</v>
      </c>
      <c r="I7230" s="64">
        <v>1</v>
      </c>
      <c r="J7230" s="44" t="str">
        <f>VLOOKUP(G7230,[1]硬件清单!$F:$F,1,0)</f>
        <v>2102354JTS10PC100080</v>
      </c>
      <c r="K7230" s="66"/>
      <c r="L7230" s="44" t="s">
        <v>17</v>
      </c>
      <c r="M7230" s="64" t="s">
        <v>22115</v>
      </c>
    </row>
    <row r="7231" ht="30" customHeight="1" spans="1:13">
      <c r="A7231" s="41">
        <f>IF(C7231="","",SUBTOTAL(103,$C$2:C7231))</f>
        <v>7222</v>
      </c>
      <c r="B7231" s="67"/>
      <c r="C7231" s="58" t="s">
        <v>20331</v>
      </c>
      <c r="D7231" s="68" t="s">
        <v>19</v>
      </c>
      <c r="E7231" s="64" t="s">
        <v>22074</v>
      </c>
      <c r="F7231" s="68" t="s">
        <v>22082</v>
      </c>
      <c r="G7231" s="64" t="s">
        <v>22116</v>
      </c>
      <c r="H7231" s="68" t="s">
        <v>22117</v>
      </c>
      <c r="I7231" s="64">
        <v>1</v>
      </c>
      <c r="J7231" s="44" t="str">
        <f>VLOOKUP(G7231,[1]硬件清单!$F:$F,1,0)</f>
        <v>2102354JTS10PC100085</v>
      </c>
      <c r="K7231" s="66"/>
      <c r="L7231" s="44" t="s">
        <v>17</v>
      </c>
      <c r="M7231" s="64" t="s">
        <v>22118</v>
      </c>
    </row>
    <row r="7232" ht="30" customHeight="1" spans="1:13">
      <c r="A7232" s="41">
        <f>IF(C7232="","",SUBTOTAL(103,$C$2:C7232))</f>
        <v>7223</v>
      </c>
      <c r="B7232" s="67"/>
      <c r="C7232" s="58" t="s">
        <v>20331</v>
      </c>
      <c r="D7232" s="68" t="s">
        <v>19</v>
      </c>
      <c r="E7232" s="64" t="s">
        <v>22074</v>
      </c>
      <c r="F7232" s="68" t="s">
        <v>22082</v>
      </c>
      <c r="G7232" s="64" t="s">
        <v>22119</v>
      </c>
      <c r="H7232" s="68" t="s">
        <v>22120</v>
      </c>
      <c r="I7232" s="64">
        <v>1</v>
      </c>
      <c r="J7232" s="44" t="str">
        <f>VLOOKUP(G7232,[1]硬件清单!$F:$F,1,0)</f>
        <v>2102354JTS10PC100084</v>
      </c>
      <c r="K7232" s="66"/>
      <c r="L7232" s="44" t="s">
        <v>17</v>
      </c>
      <c r="M7232" s="64" t="s">
        <v>22121</v>
      </c>
    </row>
    <row r="7233" ht="30" customHeight="1" spans="1:13">
      <c r="A7233" s="41">
        <f>IF(C7233="","",SUBTOTAL(103,$C$2:C7233))</f>
        <v>7224</v>
      </c>
      <c r="B7233" s="67"/>
      <c r="C7233" s="58" t="s">
        <v>20331</v>
      </c>
      <c r="D7233" s="68" t="s">
        <v>19</v>
      </c>
      <c r="E7233" s="64" t="s">
        <v>22074</v>
      </c>
      <c r="F7233" s="68" t="s">
        <v>22082</v>
      </c>
      <c r="G7233" s="64" t="s">
        <v>22122</v>
      </c>
      <c r="H7233" s="68" t="s">
        <v>22123</v>
      </c>
      <c r="I7233" s="64">
        <v>1</v>
      </c>
      <c r="J7233" s="44" t="str">
        <f>VLOOKUP(G7233,[1]硬件清单!$F:$F,1,0)</f>
        <v>2102354JTS10PC100074</v>
      </c>
      <c r="K7233" s="66"/>
      <c r="L7233" s="44" t="s">
        <v>17</v>
      </c>
      <c r="M7233" s="64" t="s">
        <v>22124</v>
      </c>
    </row>
    <row r="7234" ht="30" customHeight="1" spans="1:13">
      <c r="A7234" s="41">
        <f>IF(C7234="","",SUBTOTAL(103,$C$2:C7234))</f>
        <v>7225</v>
      </c>
      <c r="B7234" s="67"/>
      <c r="C7234" s="58" t="s">
        <v>20331</v>
      </c>
      <c r="D7234" s="68" t="s">
        <v>19</v>
      </c>
      <c r="E7234" s="64" t="s">
        <v>22074</v>
      </c>
      <c r="F7234" s="68" t="s">
        <v>22082</v>
      </c>
      <c r="G7234" s="64" t="s">
        <v>22125</v>
      </c>
      <c r="H7234" s="68" t="s">
        <v>22126</v>
      </c>
      <c r="I7234" s="64">
        <v>1</v>
      </c>
      <c r="J7234" s="44" t="str">
        <f>VLOOKUP(G7234,[1]硬件清单!$F:$F,1,0)</f>
        <v>2102354JTS10PC100078</v>
      </c>
      <c r="K7234" s="66"/>
      <c r="L7234" s="44" t="s">
        <v>17</v>
      </c>
      <c r="M7234" s="64" t="s">
        <v>22127</v>
      </c>
    </row>
    <row r="7235" ht="30" customHeight="1" spans="1:13">
      <c r="A7235" s="41">
        <f>IF(C7235="","",SUBTOTAL(103,$C$2:C7235))</f>
        <v>7226</v>
      </c>
      <c r="B7235" s="67"/>
      <c r="C7235" s="58" t="s">
        <v>20331</v>
      </c>
      <c r="D7235" s="68" t="s">
        <v>19</v>
      </c>
      <c r="E7235" s="64" t="s">
        <v>22074</v>
      </c>
      <c r="F7235" s="68" t="s">
        <v>22082</v>
      </c>
      <c r="G7235" s="64" t="s">
        <v>22128</v>
      </c>
      <c r="H7235" s="68" t="s">
        <v>22129</v>
      </c>
      <c r="I7235" s="64">
        <v>1</v>
      </c>
      <c r="J7235" s="44" t="str">
        <f>VLOOKUP(G7235,[1]硬件清单!$F:$F,1,0)</f>
        <v>2102354JTS10PC100077</v>
      </c>
      <c r="K7235" s="66"/>
      <c r="L7235" s="44" t="s">
        <v>17</v>
      </c>
      <c r="M7235" s="64" t="s">
        <v>22130</v>
      </c>
    </row>
    <row r="7236" ht="30" customHeight="1" spans="1:13">
      <c r="A7236" s="41">
        <f>IF(C7236="","",SUBTOTAL(103,$C$2:C7236))</f>
        <v>7227</v>
      </c>
      <c r="B7236" s="67"/>
      <c r="C7236" s="58" t="s">
        <v>20331</v>
      </c>
      <c r="D7236" s="68" t="s">
        <v>19</v>
      </c>
      <c r="E7236" s="64" t="s">
        <v>22074</v>
      </c>
      <c r="F7236" s="68" t="s">
        <v>22131</v>
      </c>
      <c r="G7236" s="64" t="s">
        <v>22132</v>
      </c>
      <c r="H7236" s="68" t="s">
        <v>22133</v>
      </c>
      <c r="I7236" s="64">
        <v>1</v>
      </c>
      <c r="J7236" s="44" t="str">
        <f>VLOOKUP(G7236,[1]硬件清单!$F:$F,1,0)</f>
        <v>2102353HHF10PC100172</v>
      </c>
      <c r="K7236" s="66"/>
      <c r="L7236" s="44" t="s">
        <v>17</v>
      </c>
      <c r="M7236" s="64" t="s">
        <v>22134</v>
      </c>
    </row>
    <row r="7237" ht="30" customHeight="1" spans="1:13">
      <c r="A7237" s="41">
        <f>IF(C7237="","",SUBTOTAL(103,$C$2:C7237))</f>
        <v>7228</v>
      </c>
      <c r="B7237" s="67"/>
      <c r="C7237" s="58" t="s">
        <v>20331</v>
      </c>
      <c r="D7237" s="68" t="s">
        <v>19</v>
      </c>
      <c r="E7237" s="64" t="s">
        <v>22074</v>
      </c>
      <c r="F7237" s="68" t="s">
        <v>22131</v>
      </c>
      <c r="G7237" s="64" t="s">
        <v>22135</v>
      </c>
      <c r="H7237" s="68" t="s">
        <v>22136</v>
      </c>
      <c r="I7237" s="64">
        <v>1</v>
      </c>
      <c r="J7237" s="44" t="str">
        <f>VLOOKUP(G7237,[1]硬件清单!$F:$F,1,0)</f>
        <v>2102353HHF10PC100171</v>
      </c>
      <c r="K7237" s="66"/>
      <c r="L7237" s="44" t="s">
        <v>17</v>
      </c>
      <c r="M7237" s="64" t="s">
        <v>22137</v>
      </c>
    </row>
    <row r="7238" ht="30" customHeight="1" spans="1:13">
      <c r="A7238" s="41">
        <f>IF(C7238="","",SUBTOTAL(103,$C$2:C7238))</f>
        <v>7229</v>
      </c>
      <c r="B7238" s="67"/>
      <c r="C7238" s="58" t="s">
        <v>20331</v>
      </c>
      <c r="D7238" s="68" t="s">
        <v>19</v>
      </c>
      <c r="E7238" s="64" t="s">
        <v>22138</v>
      </c>
      <c r="F7238" s="68" t="s">
        <v>22139</v>
      </c>
      <c r="G7238" s="64" t="s">
        <v>22140</v>
      </c>
      <c r="H7238" s="68" t="s">
        <v>22141</v>
      </c>
      <c r="I7238" s="64">
        <v>1</v>
      </c>
      <c r="J7238" s="44" t="str">
        <f>VLOOKUP(G7238,[1]硬件清单!$F:$F,1,0)</f>
        <v>210235A2LDX2410C700H</v>
      </c>
      <c r="K7238" s="66"/>
      <c r="L7238" s="44" t="s">
        <v>17</v>
      </c>
      <c r="M7238" s="64" t="s">
        <v>22142</v>
      </c>
    </row>
    <row r="7239" ht="30" customHeight="1" spans="1:13">
      <c r="A7239" s="41">
        <f>IF(C7239="","",SUBTOTAL(103,$C$2:C7239))</f>
        <v>7230</v>
      </c>
      <c r="B7239" s="67"/>
      <c r="C7239" s="58" t="s">
        <v>20331</v>
      </c>
      <c r="D7239" s="68" t="s">
        <v>19</v>
      </c>
      <c r="E7239" s="64" t="s">
        <v>22138</v>
      </c>
      <c r="F7239" s="68" t="s">
        <v>22139</v>
      </c>
      <c r="G7239" s="64" t="s">
        <v>22143</v>
      </c>
      <c r="H7239" s="68" t="s">
        <v>22144</v>
      </c>
      <c r="I7239" s="64">
        <v>1</v>
      </c>
      <c r="J7239" s="44" t="str">
        <f>VLOOKUP(G7239,[1]硬件清单!$F:$F,1,0)</f>
        <v>210235A2LDX2410C7022</v>
      </c>
      <c r="K7239" s="66"/>
      <c r="L7239" s="44" t="s">
        <v>17</v>
      </c>
      <c r="M7239" s="64" t="s">
        <v>22145</v>
      </c>
    </row>
    <row r="7240" ht="30" customHeight="1" spans="1:13">
      <c r="A7240" s="41">
        <f>IF(C7240="","",SUBTOTAL(103,$C$2:C7240))</f>
        <v>7231</v>
      </c>
      <c r="B7240" s="67"/>
      <c r="C7240" s="58" t="s">
        <v>20331</v>
      </c>
      <c r="D7240" s="68" t="s">
        <v>19</v>
      </c>
      <c r="E7240" s="64" t="s">
        <v>22138</v>
      </c>
      <c r="F7240" s="68" t="s">
        <v>22139</v>
      </c>
      <c r="G7240" s="64" t="s">
        <v>22146</v>
      </c>
      <c r="H7240" s="68" t="s">
        <v>22147</v>
      </c>
      <c r="I7240" s="64">
        <v>1</v>
      </c>
      <c r="J7240" s="44" t="str">
        <f>VLOOKUP(G7240,[1]硬件清单!$F:$F,1,0)</f>
        <v>210235A2LDX2410C7001</v>
      </c>
      <c r="K7240" s="66"/>
      <c r="L7240" s="44" t="s">
        <v>17</v>
      </c>
      <c r="M7240" s="64" t="s">
        <v>22148</v>
      </c>
    </row>
    <row r="7241" ht="30" customHeight="1" spans="1:13">
      <c r="A7241" s="41">
        <f>IF(C7241="","",SUBTOTAL(103,$C$2:C7241))</f>
        <v>7232</v>
      </c>
      <c r="B7241" s="67"/>
      <c r="C7241" s="58" t="s">
        <v>20331</v>
      </c>
      <c r="D7241" s="68" t="s">
        <v>19</v>
      </c>
      <c r="E7241" s="64" t="s">
        <v>22138</v>
      </c>
      <c r="F7241" s="68" t="s">
        <v>22139</v>
      </c>
      <c r="G7241" s="64" t="s">
        <v>22149</v>
      </c>
      <c r="H7241" s="68" t="s">
        <v>22150</v>
      </c>
      <c r="I7241" s="64">
        <v>1</v>
      </c>
      <c r="J7241" s="44" t="str">
        <f>VLOOKUP(G7241,[1]硬件清单!$F:$F,1,0)</f>
        <v>210235A2LDX2410C700J</v>
      </c>
      <c r="K7241" s="66"/>
      <c r="L7241" s="44" t="s">
        <v>17</v>
      </c>
      <c r="M7241" s="64" t="s">
        <v>22151</v>
      </c>
    </row>
    <row r="7242" ht="30" customHeight="1" spans="1:13">
      <c r="A7242" s="41">
        <f>IF(C7242="","",SUBTOTAL(103,$C$2:C7242))</f>
        <v>7233</v>
      </c>
      <c r="B7242" s="67"/>
      <c r="C7242" s="58" t="s">
        <v>20331</v>
      </c>
      <c r="D7242" s="68" t="s">
        <v>19</v>
      </c>
      <c r="E7242" s="64" t="s">
        <v>22138</v>
      </c>
      <c r="F7242" s="68" t="s">
        <v>22139</v>
      </c>
      <c r="G7242" s="64" t="s">
        <v>22152</v>
      </c>
      <c r="H7242" s="68" t="s">
        <v>22153</v>
      </c>
      <c r="I7242" s="64">
        <v>1</v>
      </c>
      <c r="J7242" s="44" t="str">
        <f>VLOOKUP(G7242,[1]硬件清单!$F:$F,1,0)</f>
        <v>210235A2LDX2410C7007</v>
      </c>
      <c r="K7242" s="66"/>
      <c r="L7242" s="44" t="s">
        <v>17</v>
      </c>
      <c r="M7242" s="64" t="s">
        <v>22154</v>
      </c>
    </row>
    <row r="7243" ht="30" customHeight="1" spans="1:13">
      <c r="A7243" s="41">
        <f>IF(C7243="","",SUBTOTAL(103,$C$2:C7243))</f>
        <v>7234</v>
      </c>
      <c r="B7243" s="67"/>
      <c r="C7243" s="58" t="s">
        <v>20331</v>
      </c>
      <c r="D7243" s="68" t="s">
        <v>19</v>
      </c>
      <c r="E7243" s="64" t="s">
        <v>22138</v>
      </c>
      <c r="F7243" s="68" t="s">
        <v>22139</v>
      </c>
      <c r="G7243" s="64" t="s">
        <v>22155</v>
      </c>
      <c r="H7243" s="68" t="s">
        <v>22156</v>
      </c>
      <c r="I7243" s="64">
        <v>1</v>
      </c>
      <c r="J7243" s="44" t="str">
        <f>VLOOKUP(G7243,[1]硬件清单!$F:$F,1,0)</f>
        <v>210235A2LDX2410C702D</v>
      </c>
      <c r="K7243" s="66"/>
      <c r="L7243" s="44" t="s">
        <v>17</v>
      </c>
      <c r="M7243" s="64" t="s">
        <v>22157</v>
      </c>
    </row>
    <row r="7244" ht="30" customHeight="1" spans="1:13">
      <c r="A7244" s="41">
        <f>IF(C7244="","",SUBTOTAL(103,$C$2:C7244))</f>
        <v>7235</v>
      </c>
      <c r="B7244" s="67"/>
      <c r="C7244" s="58" t="s">
        <v>20331</v>
      </c>
      <c r="D7244" s="68" t="s">
        <v>19</v>
      </c>
      <c r="E7244" s="64" t="s">
        <v>22138</v>
      </c>
      <c r="F7244" s="68" t="s">
        <v>22139</v>
      </c>
      <c r="G7244" s="64" t="s">
        <v>22158</v>
      </c>
      <c r="H7244" s="68" t="s">
        <v>22159</v>
      </c>
      <c r="I7244" s="64">
        <v>1</v>
      </c>
      <c r="J7244" s="44" t="str">
        <f>VLOOKUP(G7244,[1]硬件清单!$F:$F,1,0)</f>
        <v>210235A2LDX2410C702T</v>
      </c>
      <c r="K7244" s="66"/>
      <c r="L7244" s="44" t="s">
        <v>17</v>
      </c>
      <c r="M7244" s="64" t="s">
        <v>22160</v>
      </c>
    </row>
    <row r="7245" ht="30" customHeight="1" spans="1:13">
      <c r="A7245" s="41">
        <f>IF(C7245="","",SUBTOTAL(103,$C$2:C7245))</f>
        <v>7236</v>
      </c>
      <c r="B7245" s="67"/>
      <c r="C7245" s="58" t="s">
        <v>20331</v>
      </c>
      <c r="D7245" s="68" t="s">
        <v>19</v>
      </c>
      <c r="E7245" s="64" t="s">
        <v>22138</v>
      </c>
      <c r="F7245" s="68" t="s">
        <v>22139</v>
      </c>
      <c r="G7245" s="64" t="s">
        <v>22161</v>
      </c>
      <c r="H7245" s="68" t="s">
        <v>22162</v>
      </c>
      <c r="I7245" s="64">
        <v>1</v>
      </c>
      <c r="J7245" s="44" t="str">
        <f>VLOOKUP(G7245,[1]硬件清单!$F:$F,1,0)</f>
        <v>210235A2LDX2410C7023</v>
      </c>
      <c r="K7245" s="66"/>
      <c r="L7245" s="44" t="s">
        <v>17</v>
      </c>
      <c r="M7245" s="64" t="s">
        <v>22163</v>
      </c>
    </row>
    <row r="7246" ht="30" customHeight="1" spans="1:13">
      <c r="A7246" s="41">
        <f>IF(C7246="","",SUBTOTAL(103,$C$2:C7246))</f>
        <v>7237</v>
      </c>
      <c r="B7246" s="67"/>
      <c r="C7246" s="58" t="s">
        <v>20331</v>
      </c>
      <c r="D7246" s="68" t="s">
        <v>19</v>
      </c>
      <c r="E7246" s="64" t="s">
        <v>22138</v>
      </c>
      <c r="F7246" s="68" t="s">
        <v>22139</v>
      </c>
      <c r="G7246" s="64" t="s">
        <v>22164</v>
      </c>
      <c r="H7246" s="68" t="s">
        <v>22165</v>
      </c>
      <c r="I7246" s="64">
        <v>1</v>
      </c>
      <c r="J7246" s="44" t="str">
        <f>VLOOKUP(G7246,[1]硬件清单!$F:$F,1,0)</f>
        <v>210235A2LDX2410C700C</v>
      </c>
      <c r="K7246" s="66"/>
      <c r="L7246" s="44" t="s">
        <v>17</v>
      </c>
      <c r="M7246" s="64" t="s">
        <v>22166</v>
      </c>
    </row>
    <row r="7247" ht="30" customHeight="1" spans="1:13">
      <c r="A7247" s="41">
        <f>IF(C7247="","",SUBTOTAL(103,$C$2:C7247))</f>
        <v>7238</v>
      </c>
      <c r="B7247" s="67"/>
      <c r="C7247" s="58" t="s">
        <v>20331</v>
      </c>
      <c r="D7247" s="68" t="s">
        <v>19</v>
      </c>
      <c r="E7247" s="64" t="s">
        <v>22138</v>
      </c>
      <c r="F7247" s="68" t="s">
        <v>22139</v>
      </c>
      <c r="G7247" s="64" t="s">
        <v>22167</v>
      </c>
      <c r="H7247" s="68" t="s">
        <v>22168</v>
      </c>
      <c r="I7247" s="64">
        <v>1</v>
      </c>
      <c r="J7247" s="44" t="str">
        <f>VLOOKUP(G7247,[1]硬件清单!$F:$F,1,0)</f>
        <v>210235A2LDX2410C700F</v>
      </c>
      <c r="K7247" s="66"/>
      <c r="L7247" s="44" t="s">
        <v>17</v>
      </c>
      <c r="M7247" s="64" t="s">
        <v>22169</v>
      </c>
    </row>
    <row r="7248" ht="30" customHeight="1" spans="1:13">
      <c r="A7248" s="41">
        <f>IF(C7248="","",SUBTOTAL(103,$C$2:C7248))</f>
        <v>7239</v>
      </c>
      <c r="B7248" s="67"/>
      <c r="C7248" s="58" t="s">
        <v>20331</v>
      </c>
      <c r="D7248" s="68" t="s">
        <v>19</v>
      </c>
      <c r="E7248" s="64" t="s">
        <v>22138</v>
      </c>
      <c r="F7248" s="68" t="s">
        <v>22139</v>
      </c>
      <c r="G7248" s="64" t="s">
        <v>22170</v>
      </c>
      <c r="H7248" s="68" t="s">
        <v>22171</v>
      </c>
      <c r="I7248" s="64">
        <v>1</v>
      </c>
      <c r="J7248" s="44" t="str">
        <f>VLOOKUP(G7248,[1]硬件清单!$F:$F,1,0)</f>
        <v>210235A2LDX2410C7019</v>
      </c>
      <c r="K7248" s="66"/>
      <c r="L7248" s="44" t="s">
        <v>17</v>
      </c>
      <c r="M7248" s="64" t="s">
        <v>22172</v>
      </c>
    </row>
    <row r="7249" ht="30" customHeight="1" spans="1:13">
      <c r="A7249" s="41">
        <f>IF(C7249="","",SUBTOTAL(103,$C$2:C7249))</f>
        <v>7240</v>
      </c>
      <c r="B7249" s="67"/>
      <c r="C7249" s="58" t="s">
        <v>20331</v>
      </c>
      <c r="D7249" s="68" t="s">
        <v>19</v>
      </c>
      <c r="E7249" s="64" t="s">
        <v>22138</v>
      </c>
      <c r="F7249" s="68" t="s">
        <v>22139</v>
      </c>
      <c r="G7249" s="64" t="s">
        <v>22173</v>
      </c>
      <c r="H7249" s="68" t="s">
        <v>22174</v>
      </c>
      <c r="I7249" s="64">
        <v>1</v>
      </c>
      <c r="J7249" s="44" t="str">
        <f>VLOOKUP(G7249,[1]硬件清单!$F:$F,1,0)</f>
        <v>210235A2LDX2410C700S</v>
      </c>
      <c r="K7249" s="66"/>
      <c r="L7249" s="44" t="s">
        <v>17</v>
      </c>
      <c r="M7249" s="64" t="s">
        <v>22175</v>
      </c>
    </row>
    <row r="7250" ht="30" customHeight="1" spans="1:13">
      <c r="A7250" s="41">
        <f>IF(C7250="","",SUBTOTAL(103,$C$2:C7250))</f>
        <v>7241</v>
      </c>
      <c r="B7250" s="67"/>
      <c r="C7250" s="58" t="s">
        <v>20331</v>
      </c>
      <c r="D7250" s="68" t="s">
        <v>19</v>
      </c>
      <c r="E7250" s="64" t="s">
        <v>22138</v>
      </c>
      <c r="F7250" s="68" t="s">
        <v>22139</v>
      </c>
      <c r="G7250" s="64" t="s">
        <v>22176</v>
      </c>
      <c r="H7250" s="68" t="s">
        <v>22177</v>
      </c>
      <c r="I7250" s="64">
        <v>1</v>
      </c>
      <c r="J7250" s="44" t="str">
        <f>VLOOKUP(G7250,[1]硬件清单!$F:$F,1,0)</f>
        <v>210235A2LDX2410C701M</v>
      </c>
      <c r="K7250" s="66"/>
      <c r="L7250" s="44" t="s">
        <v>17</v>
      </c>
      <c r="M7250" s="64" t="s">
        <v>22178</v>
      </c>
    </row>
    <row r="7251" ht="30" customHeight="1" spans="1:13">
      <c r="A7251" s="41">
        <f>IF(C7251="","",SUBTOTAL(103,$C$2:C7251))</f>
        <v>7242</v>
      </c>
      <c r="B7251" s="67"/>
      <c r="C7251" s="58" t="s">
        <v>20331</v>
      </c>
      <c r="D7251" s="68" t="s">
        <v>19</v>
      </c>
      <c r="E7251" s="64" t="s">
        <v>22138</v>
      </c>
      <c r="F7251" s="68" t="s">
        <v>22139</v>
      </c>
      <c r="G7251" s="64" t="s">
        <v>22179</v>
      </c>
      <c r="H7251" s="68" t="s">
        <v>22180</v>
      </c>
      <c r="I7251" s="64">
        <v>1</v>
      </c>
      <c r="J7251" s="44" t="str">
        <f>VLOOKUP(G7251,[1]硬件清单!$F:$F,1,0)</f>
        <v>210235A2LDX2410C700Q</v>
      </c>
      <c r="K7251" s="66"/>
      <c r="L7251" s="44" t="s">
        <v>17</v>
      </c>
      <c r="M7251" s="64" t="s">
        <v>22181</v>
      </c>
    </row>
    <row r="7252" ht="30" customHeight="1" spans="1:13">
      <c r="A7252" s="41">
        <f>IF(C7252="","",SUBTOTAL(103,$C$2:C7252))</f>
        <v>7243</v>
      </c>
      <c r="B7252" s="67"/>
      <c r="C7252" s="58" t="s">
        <v>20331</v>
      </c>
      <c r="D7252" s="68" t="s">
        <v>19</v>
      </c>
      <c r="E7252" s="64" t="s">
        <v>22138</v>
      </c>
      <c r="F7252" s="68" t="s">
        <v>22139</v>
      </c>
      <c r="G7252" s="64" t="s">
        <v>22182</v>
      </c>
      <c r="H7252" s="68" t="s">
        <v>22183</v>
      </c>
      <c r="I7252" s="64">
        <v>1</v>
      </c>
      <c r="J7252" s="44" t="str">
        <f>VLOOKUP(G7252,[1]硬件清单!$F:$F,1,0)</f>
        <v>210235A2LDX2410C701F</v>
      </c>
      <c r="K7252" s="66"/>
      <c r="L7252" s="44" t="s">
        <v>17</v>
      </c>
      <c r="M7252" s="64" t="s">
        <v>22184</v>
      </c>
    </row>
    <row r="7253" ht="30" customHeight="1" spans="1:13">
      <c r="A7253" s="41">
        <f>IF(C7253="","",SUBTOTAL(103,$C$2:C7253))</f>
        <v>7244</v>
      </c>
      <c r="B7253" s="67"/>
      <c r="C7253" s="58" t="s">
        <v>20331</v>
      </c>
      <c r="D7253" s="68" t="s">
        <v>19</v>
      </c>
      <c r="E7253" s="64" t="s">
        <v>22138</v>
      </c>
      <c r="F7253" s="68" t="s">
        <v>22139</v>
      </c>
      <c r="G7253" s="64" t="s">
        <v>22185</v>
      </c>
      <c r="H7253" s="68" t="s">
        <v>22186</v>
      </c>
      <c r="I7253" s="64">
        <v>1</v>
      </c>
      <c r="J7253" s="44" t="str">
        <f>VLOOKUP(G7253,[1]硬件清单!$F:$F,1,0)</f>
        <v>210235A2LDX2410C701J</v>
      </c>
      <c r="K7253" s="66"/>
      <c r="L7253" s="44" t="s">
        <v>17</v>
      </c>
      <c r="M7253" s="64" t="s">
        <v>22187</v>
      </c>
    </row>
    <row r="7254" ht="30" customHeight="1" spans="1:13">
      <c r="A7254" s="41">
        <f>IF(C7254="","",SUBTOTAL(103,$C$2:C7254))</f>
        <v>7245</v>
      </c>
      <c r="B7254" s="67"/>
      <c r="C7254" s="58" t="s">
        <v>20331</v>
      </c>
      <c r="D7254" s="68" t="s">
        <v>19</v>
      </c>
      <c r="E7254" s="64" t="s">
        <v>22138</v>
      </c>
      <c r="F7254" s="68" t="s">
        <v>22188</v>
      </c>
      <c r="G7254" s="64" t="s">
        <v>22189</v>
      </c>
      <c r="H7254" s="68" t="s">
        <v>22190</v>
      </c>
      <c r="I7254" s="64">
        <v>1</v>
      </c>
      <c r="J7254" s="44" t="str">
        <f>VLOOKUP(G7254,[1]硬件清单!$F:$F,1,0)</f>
        <v>210235A2TN523Cl000XL</v>
      </c>
      <c r="K7254" s="66"/>
      <c r="L7254" s="44"/>
      <c r="M7254" s="64" t="s">
        <v>22191</v>
      </c>
    </row>
    <row r="7255" ht="30" customHeight="1" spans="1:13">
      <c r="A7255" s="41">
        <f>IF(C7255="","",SUBTOTAL(103,$C$2:C7255))</f>
        <v>7246</v>
      </c>
      <c r="B7255" s="67"/>
      <c r="C7255" s="58" t="s">
        <v>20331</v>
      </c>
      <c r="D7255" s="68" t="s">
        <v>19</v>
      </c>
      <c r="E7255" s="64" t="s">
        <v>22138</v>
      </c>
      <c r="F7255" s="68" t="s">
        <v>22188</v>
      </c>
      <c r="G7255" s="64" t="s">
        <v>22192</v>
      </c>
      <c r="H7255" s="68" t="s">
        <v>22193</v>
      </c>
      <c r="I7255" s="64">
        <v>1</v>
      </c>
      <c r="J7255" s="44" t="str">
        <f>VLOOKUP(G7255,[1]硬件清单!$F:$F,1,0)</f>
        <v>210235A2TN523CL00153</v>
      </c>
      <c r="K7255" s="66"/>
      <c r="L7255" s="44"/>
      <c r="M7255" s="64" t="s">
        <v>22194</v>
      </c>
    </row>
    <row r="7256" ht="30" customHeight="1" spans="1:13">
      <c r="A7256" s="41">
        <f>IF(C7256="","",SUBTOTAL(103,$C$2:C7256))</f>
        <v>7247</v>
      </c>
      <c r="B7256" s="67"/>
      <c r="C7256" s="58" t="s">
        <v>20331</v>
      </c>
      <c r="D7256" s="68" t="s">
        <v>19</v>
      </c>
      <c r="E7256" s="64" t="s">
        <v>22138</v>
      </c>
      <c r="F7256" s="68" t="s">
        <v>22188</v>
      </c>
      <c r="G7256" s="64" t="s">
        <v>22195</v>
      </c>
      <c r="H7256" s="68" t="s">
        <v>22196</v>
      </c>
      <c r="I7256" s="64">
        <v>1</v>
      </c>
      <c r="J7256" s="44" t="str">
        <f>VLOOKUP(G7256,[1]硬件清单!$F:$F,1,0)</f>
        <v>210235A2TN523CL0016L</v>
      </c>
      <c r="K7256" s="66"/>
      <c r="L7256" s="44"/>
      <c r="M7256" s="64" t="s">
        <v>22197</v>
      </c>
    </row>
    <row r="7257" ht="30" customHeight="1" spans="1:13">
      <c r="A7257" s="41">
        <f>IF(C7257="","",SUBTOTAL(103,$C$2:C7257))</f>
        <v>7248</v>
      </c>
      <c r="B7257" s="67"/>
      <c r="C7257" s="58" t="s">
        <v>20331</v>
      </c>
      <c r="D7257" s="68" t="s">
        <v>19</v>
      </c>
      <c r="E7257" s="64" t="s">
        <v>22138</v>
      </c>
      <c r="F7257" s="68" t="s">
        <v>22188</v>
      </c>
      <c r="G7257" s="64" t="s">
        <v>22198</v>
      </c>
      <c r="H7257" s="68" t="s">
        <v>22199</v>
      </c>
      <c r="I7257" s="64">
        <v>1</v>
      </c>
      <c r="J7257" s="44" t="str">
        <f>VLOOKUP(G7257,[1]硬件清单!$F:$F,1,0)</f>
        <v>210235A2TN523CL0013M</v>
      </c>
      <c r="K7257" s="66"/>
      <c r="L7257" s="44" t="s">
        <v>17</v>
      </c>
      <c r="M7257" s="64" t="s">
        <v>22200</v>
      </c>
    </row>
    <row r="7258" ht="30" customHeight="1" spans="1:13">
      <c r="A7258" s="41">
        <f>IF(C7258="","",SUBTOTAL(103,$C$2:C7258))</f>
        <v>7249</v>
      </c>
      <c r="B7258" s="67"/>
      <c r="C7258" s="58" t="s">
        <v>20331</v>
      </c>
      <c r="D7258" s="68" t="s">
        <v>19</v>
      </c>
      <c r="E7258" s="64" t="s">
        <v>22138</v>
      </c>
      <c r="F7258" s="68" t="s">
        <v>22188</v>
      </c>
      <c r="G7258" s="64" t="s">
        <v>22201</v>
      </c>
      <c r="H7258" s="68" t="s">
        <v>22202</v>
      </c>
      <c r="I7258" s="64">
        <v>1</v>
      </c>
      <c r="J7258" s="44" t="str">
        <f>VLOOKUP(G7258,[1]硬件清单!$F:$F,1,0)</f>
        <v>210235A2TN523CL000WP</v>
      </c>
      <c r="K7258" s="66"/>
      <c r="L7258" s="44"/>
      <c r="M7258" s="64" t="s">
        <v>22203</v>
      </c>
    </row>
    <row r="7259" ht="30" customHeight="1" spans="1:13">
      <c r="A7259" s="41">
        <f>IF(C7259="","",SUBTOTAL(103,$C$2:C7259))</f>
        <v>7250</v>
      </c>
      <c r="B7259" s="67"/>
      <c r="C7259" s="58" t="s">
        <v>20331</v>
      </c>
      <c r="D7259" s="68" t="s">
        <v>19</v>
      </c>
      <c r="E7259" s="64" t="s">
        <v>22138</v>
      </c>
      <c r="F7259" s="68" t="s">
        <v>22188</v>
      </c>
      <c r="G7259" s="64" t="s">
        <v>22204</v>
      </c>
      <c r="H7259" s="68" t="s">
        <v>22205</v>
      </c>
      <c r="I7259" s="64">
        <v>1</v>
      </c>
      <c r="J7259" s="44" t="str">
        <f>VLOOKUP(G7259,[1]硬件清单!$F:$F,1,0)</f>
        <v>210235A2TN523CL00168</v>
      </c>
      <c r="K7259" s="66"/>
      <c r="L7259" s="44"/>
      <c r="M7259" s="64" t="s">
        <v>22206</v>
      </c>
    </row>
    <row r="7260" ht="30" customHeight="1" spans="1:13">
      <c r="A7260" s="41">
        <f>IF(C7260="","",SUBTOTAL(103,$C$2:C7260))</f>
        <v>7251</v>
      </c>
      <c r="B7260" s="67"/>
      <c r="C7260" s="58" t="s">
        <v>20331</v>
      </c>
      <c r="D7260" s="68" t="s">
        <v>19</v>
      </c>
      <c r="E7260" s="64" t="s">
        <v>22138</v>
      </c>
      <c r="F7260" s="68" t="s">
        <v>22188</v>
      </c>
      <c r="G7260" s="64" t="s">
        <v>22207</v>
      </c>
      <c r="H7260" s="68" t="s">
        <v>22208</v>
      </c>
      <c r="I7260" s="64">
        <v>1</v>
      </c>
      <c r="J7260" s="44" t="str">
        <f>VLOOKUP(G7260,[1]硬件清单!$F:$F,1,0)</f>
        <v>210235A2TN523CL000YV</v>
      </c>
      <c r="K7260" s="66"/>
      <c r="L7260" s="44"/>
      <c r="M7260" s="64" t="s">
        <v>22209</v>
      </c>
    </row>
    <row r="7261" ht="30" customHeight="1" spans="1:13">
      <c r="A7261" s="41">
        <f>IF(C7261="","",SUBTOTAL(103,$C$2:C7261))</f>
        <v>7252</v>
      </c>
      <c r="B7261" s="67"/>
      <c r="C7261" s="58" t="s">
        <v>20331</v>
      </c>
      <c r="D7261" s="68" t="s">
        <v>19</v>
      </c>
      <c r="E7261" s="64" t="s">
        <v>22138</v>
      </c>
      <c r="F7261" s="68" t="s">
        <v>22188</v>
      </c>
      <c r="G7261" s="64" t="s">
        <v>22210</v>
      </c>
      <c r="H7261" s="68" t="s">
        <v>22211</v>
      </c>
      <c r="I7261" s="64">
        <v>1</v>
      </c>
      <c r="J7261" s="44" t="str">
        <f>VLOOKUP(G7261,[1]硬件清单!$F:$F,1,0)</f>
        <v>210235A2TN523CL0012T</v>
      </c>
      <c r="K7261" s="66"/>
      <c r="L7261" s="44"/>
      <c r="M7261" s="64" t="s">
        <v>22212</v>
      </c>
    </row>
    <row r="7262" ht="30" customHeight="1" spans="1:13">
      <c r="A7262" s="41">
        <f>IF(C7262="","",SUBTOTAL(103,$C$2:C7262))</f>
        <v>7253</v>
      </c>
      <c r="B7262" s="67"/>
      <c r="C7262" s="58" t="s">
        <v>20331</v>
      </c>
      <c r="D7262" s="68" t="s">
        <v>19</v>
      </c>
      <c r="E7262" s="64" t="s">
        <v>22138</v>
      </c>
      <c r="F7262" s="68" t="s">
        <v>22188</v>
      </c>
      <c r="G7262" s="64" t="s">
        <v>22213</v>
      </c>
      <c r="H7262" s="68" t="s">
        <v>22214</v>
      </c>
      <c r="I7262" s="64">
        <v>1</v>
      </c>
      <c r="J7262" s="44" t="str">
        <f>VLOOKUP(G7262,[1]硬件清单!$F:$F,1,0)</f>
        <v>210235A2TN523CL00166</v>
      </c>
      <c r="K7262" s="66"/>
      <c r="L7262" s="44"/>
      <c r="M7262" s="64" t="s">
        <v>22215</v>
      </c>
    </row>
    <row r="7263" ht="30" customHeight="1" spans="1:13">
      <c r="A7263" s="41">
        <f>IF(C7263="","",SUBTOTAL(103,$C$2:C7263))</f>
        <v>7254</v>
      </c>
      <c r="B7263" s="67"/>
      <c r="C7263" s="58" t="s">
        <v>20331</v>
      </c>
      <c r="D7263" s="68" t="s">
        <v>19</v>
      </c>
      <c r="E7263" s="64" t="s">
        <v>22138</v>
      </c>
      <c r="F7263" s="68" t="s">
        <v>22188</v>
      </c>
      <c r="G7263" s="64" t="s">
        <v>22216</v>
      </c>
      <c r="H7263" s="68" t="s">
        <v>22217</v>
      </c>
      <c r="I7263" s="64">
        <v>1</v>
      </c>
      <c r="J7263" s="44" t="str">
        <f>VLOOKUP(G7263,[1]硬件清单!$F:$F,1,0)</f>
        <v>210235A2TN523CL000WS</v>
      </c>
      <c r="K7263" s="66"/>
      <c r="L7263" s="44"/>
      <c r="M7263" s="64" t="s">
        <v>22218</v>
      </c>
    </row>
    <row r="7264" ht="30" customHeight="1" spans="1:13">
      <c r="A7264" s="41">
        <f>IF(C7264="","",SUBTOTAL(103,$C$2:C7264))</f>
        <v>7255</v>
      </c>
      <c r="B7264" s="67"/>
      <c r="C7264" s="58" t="s">
        <v>20331</v>
      </c>
      <c r="D7264" s="68" t="s">
        <v>19</v>
      </c>
      <c r="E7264" s="64" t="s">
        <v>22138</v>
      </c>
      <c r="F7264" s="68" t="s">
        <v>22188</v>
      </c>
      <c r="G7264" s="64" t="s">
        <v>22219</v>
      </c>
      <c r="H7264" s="68" t="s">
        <v>22220</v>
      </c>
      <c r="I7264" s="64">
        <v>1</v>
      </c>
      <c r="J7264" s="44" t="str">
        <f>VLOOKUP(G7264,[1]硬件清单!$F:$F,1,0)</f>
        <v>210235A2TN5241L000NG</v>
      </c>
      <c r="K7264" s="66"/>
      <c r="L7264" s="44"/>
      <c r="M7264" s="64" t="s">
        <v>22221</v>
      </c>
    </row>
    <row r="7265" ht="30" customHeight="1" spans="1:13">
      <c r="A7265" s="41">
        <f>IF(C7265="","",SUBTOTAL(103,$C$2:C7265))</f>
        <v>7256</v>
      </c>
      <c r="B7265" s="67"/>
      <c r="C7265" s="58" t="s">
        <v>20331</v>
      </c>
      <c r="D7265" s="68" t="s">
        <v>19</v>
      </c>
      <c r="E7265" s="64" t="s">
        <v>22138</v>
      </c>
      <c r="F7265" s="68" t="s">
        <v>22188</v>
      </c>
      <c r="G7265" s="64" t="s">
        <v>22222</v>
      </c>
      <c r="H7265" s="68" t="s">
        <v>22223</v>
      </c>
      <c r="I7265" s="64">
        <v>1</v>
      </c>
      <c r="J7265" s="44" t="str">
        <f>VLOOKUP(G7265,[1]硬件清单!$F:$F,1,0)</f>
        <v>210235A2TN523CL000Z1</v>
      </c>
      <c r="K7265" s="66"/>
      <c r="L7265" s="44"/>
      <c r="M7265" s="64" t="s">
        <v>22224</v>
      </c>
    </row>
    <row r="7266" ht="30" customHeight="1" spans="1:13">
      <c r="A7266" s="41">
        <f>IF(C7266="","",SUBTOTAL(103,$C$2:C7266))</f>
        <v>7257</v>
      </c>
      <c r="B7266" s="67"/>
      <c r="C7266" s="58" t="s">
        <v>20331</v>
      </c>
      <c r="D7266" s="68" t="s">
        <v>19</v>
      </c>
      <c r="E7266" s="64" t="s">
        <v>22138</v>
      </c>
      <c r="F7266" s="68" t="s">
        <v>22188</v>
      </c>
      <c r="G7266" s="64" t="s">
        <v>22225</v>
      </c>
      <c r="H7266" s="68" t="s">
        <v>22226</v>
      </c>
      <c r="I7266" s="64">
        <v>1</v>
      </c>
      <c r="J7266" s="44" t="str">
        <f>VLOOKUP(G7266,[1]硬件清单!$F:$F,1,0)</f>
        <v>210235A2TN523CL000WM</v>
      </c>
      <c r="K7266" s="66"/>
      <c r="L7266" s="44"/>
      <c r="M7266" s="64" t="s">
        <v>22227</v>
      </c>
    </row>
    <row r="7267" ht="30" customHeight="1" spans="1:13">
      <c r="A7267" s="41">
        <f>IF(C7267="","",SUBTOTAL(103,$C$2:C7267))</f>
        <v>7258</v>
      </c>
      <c r="B7267" s="67"/>
      <c r="C7267" s="58" t="s">
        <v>20331</v>
      </c>
      <c r="D7267" s="68" t="s">
        <v>19</v>
      </c>
      <c r="E7267" s="64" t="s">
        <v>22138</v>
      </c>
      <c r="F7267" s="68" t="s">
        <v>22188</v>
      </c>
      <c r="G7267" s="64" t="s">
        <v>22228</v>
      </c>
      <c r="H7267" s="68" t="s">
        <v>22229</v>
      </c>
      <c r="I7267" s="64">
        <v>1</v>
      </c>
      <c r="J7267" s="44" t="str">
        <f>VLOOKUP(G7267,[1]硬件清单!$F:$F,1,0)</f>
        <v>210235A2TN523CL0014H</v>
      </c>
      <c r="K7267" s="66"/>
      <c r="L7267" s="44"/>
      <c r="M7267" s="64" t="s">
        <v>22230</v>
      </c>
    </row>
    <row r="7268" ht="30" customHeight="1" spans="1:13">
      <c r="A7268" s="41">
        <f>IF(C7268="","",SUBTOTAL(103,$C$2:C7268))</f>
        <v>7259</v>
      </c>
      <c r="B7268" s="67"/>
      <c r="C7268" s="58" t="s">
        <v>20331</v>
      </c>
      <c r="D7268" s="68" t="s">
        <v>19</v>
      </c>
      <c r="E7268" s="64" t="s">
        <v>22138</v>
      </c>
      <c r="F7268" s="68" t="s">
        <v>22188</v>
      </c>
      <c r="G7268" s="64" t="s">
        <v>22231</v>
      </c>
      <c r="H7268" s="68" t="s">
        <v>22232</v>
      </c>
      <c r="I7268" s="64">
        <v>1</v>
      </c>
      <c r="J7268" s="44" t="str">
        <f>VLOOKUP(G7268,[1]硬件清单!$F:$F,1,0)</f>
        <v>210235A2TN523CL00159</v>
      </c>
      <c r="K7268" s="66"/>
      <c r="L7268" s="44"/>
      <c r="M7268" s="64" t="s">
        <v>22233</v>
      </c>
    </row>
    <row r="7269" ht="30" customHeight="1" spans="1:13">
      <c r="A7269" s="41">
        <f>IF(C7269="","",SUBTOTAL(103,$C$2:C7269))</f>
        <v>7260</v>
      </c>
      <c r="B7269" s="67"/>
      <c r="C7269" s="58" t="s">
        <v>20331</v>
      </c>
      <c r="D7269" s="68" t="s">
        <v>19</v>
      </c>
      <c r="E7269" s="64" t="s">
        <v>22138</v>
      </c>
      <c r="F7269" s="68" t="s">
        <v>22188</v>
      </c>
      <c r="G7269" s="64" t="s">
        <v>22234</v>
      </c>
      <c r="H7269" s="68" t="s">
        <v>22235</v>
      </c>
      <c r="I7269" s="64">
        <v>1</v>
      </c>
      <c r="J7269" s="44" t="str">
        <f>VLOOKUP(G7269,[1]硬件清单!$F:$F,1,0)</f>
        <v>210235A2TN523CL00156</v>
      </c>
      <c r="K7269" s="66"/>
      <c r="L7269" s="44"/>
      <c r="M7269" s="64" t="s">
        <v>22236</v>
      </c>
    </row>
    <row r="7270" ht="30" customHeight="1" spans="1:13">
      <c r="A7270" s="41">
        <f>IF(C7270="","",SUBTOTAL(103,$C$2:C7270))</f>
        <v>7261</v>
      </c>
      <c r="B7270" s="67"/>
      <c r="C7270" s="58" t="s">
        <v>20331</v>
      </c>
      <c r="D7270" s="68" t="s">
        <v>19</v>
      </c>
      <c r="E7270" s="64" t="s">
        <v>22138</v>
      </c>
      <c r="F7270" s="68" t="s">
        <v>22188</v>
      </c>
      <c r="G7270" s="64" t="s">
        <v>22237</v>
      </c>
      <c r="H7270" s="68" t="s">
        <v>22238</v>
      </c>
      <c r="I7270" s="64">
        <v>1</v>
      </c>
      <c r="J7270" s="44" t="str">
        <f>VLOOKUP(G7270,[1]硬件清单!$F:$F,1,0)</f>
        <v>210235A2TN523CL0010R</v>
      </c>
      <c r="K7270" s="66"/>
      <c r="L7270" s="44"/>
      <c r="M7270" s="64" t="s">
        <v>22239</v>
      </c>
    </row>
    <row r="7271" ht="30" customHeight="1" spans="1:13">
      <c r="A7271" s="41">
        <f>IF(C7271="","",SUBTOTAL(103,$C$2:C7271))</f>
        <v>7262</v>
      </c>
      <c r="B7271" s="67"/>
      <c r="C7271" s="58" t="s">
        <v>20331</v>
      </c>
      <c r="D7271" s="68" t="s">
        <v>19</v>
      </c>
      <c r="E7271" s="64" t="s">
        <v>22138</v>
      </c>
      <c r="F7271" s="68" t="s">
        <v>22188</v>
      </c>
      <c r="G7271" s="64" t="s">
        <v>22240</v>
      </c>
      <c r="H7271" s="68" t="s">
        <v>22241</v>
      </c>
      <c r="I7271" s="64">
        <v>1</v>
      </c>
      <c r="J7271" s="44" t="str">
        <f>VLOOKUP(G7271,[1]硬件清单!$F:$F,1,0)</f>
        <v>210235A2TN523CL00149</v>
      </c>
      <c r="K7271" s="66"/>
      <c r="L7271" s="44"/>
      <c r="M7271" s="64" t="s">
        <v>22242</v>
      </c>
    </row>
    <row r="7272" ht="30" customHeight="1" spans="1:13">
      <c r="A7272" s="41">
        <f>IF(C7272="","",SUBTOTAL(103,$C$2:C7272))</f>
        <v>7263</v>
      </c>
      <c r="B7272" s="67"/>
      <c r="C7272" s="58" t="s">
        <v>20331</v>
      </c>
      <c r="D7272" s="68" t="s">
        <v>19</v>
      </c>
      <c r="E7272" s="64" t="s">
        <v>22138</v>
      </c>
      <c r="F7272" s="68" t="s">
        <v>22188</v>
      </c>
      <c r="G7272" s="64" t="s">
        <v>22243</v>
      </c>
      <c r="H7272" s="68" t="s">
        <v>22244</v>
      </c>
      <c r="I7272" s="64">
        <v>1</v>
      </c>
      <c r="J7272" s="44" t="str">
        <f>VLOOKUP(G7272,[1]硬件清单!$F:$F,1,0)</f>
        <v>210235A2TN523CL00113</v>
      </c>
      <c r="K7272" s="66"/>
      <c r="L7272" s="44"/>
      <c r="M7272" s="64" t="s">
        <v>22245</v>
      </c>
    </row>
    <row r="7273" ht="30" customHeight="1" spans="1:13">
      <c r="A7273" s="41">
        <f>IF(C7273="","",SUBTOTAL(103,$C$2:C7273))</f>
        <v>7264</v>
      </c>
      <c r="B7273" s="67"/>
      <c r="C7273" s="58" t="s">
        <v>20331</v>
      </c>
      <c r="D7273" s="68" t="s">
        <v>19</v>
      </c>
      <c r="E7273" s="64" t="s">
        <v>22138</v>
      </c>
      <c r="F7273" s="68" t="s">
        <v>22188</v>
      </c>
      <c r="G7273" s="64" t="s">
        <v>22246</v>
      </c>
      <c r="H7273" s="68" t="s">
        <v>22247</v>
      </c>
      <c r="I7273" s="64">
        <v>1</v>
      </c>
      <c r="J7273" s="44" t="str">
        <f>VLOOKUP(G7273,[1]硬件清单!$F:$F,1,0)</f>
        <v>210235A2TN523CL00167</v>
      </c>
      <c r="K7273" s="66"/>
      <c r="L7273" s="44"/>
      <c r="M7273" s="64" t="s">
        <v>22248</v>
      </c>
    </row>
    <row r="7274" ht="30" customHeight="1" spans="1:13">
      <c r="A7274" s="41">
        <f>IF(C7274="","",SUBTOTAL(103,$C$2:C7274))</f>
        <v>7265</v>
      </c>
      <c r="B7274" s="67"/>
      <c r="C7274" s="58" t="s">
        <v>20331</v>
      </c>
      <c r="D7274" s="68" t="s">
        <v>19</v>
      </c>
      <c r="E7274" s="64" t="s">
        <v>22138</v>
      </c>
      <c r="F7274" s="68" t="s">
        <v>22188</v>
      </c>
      <c r="G7274" s="64" t="s">
        <v>22249</v>
      </c>
      <c r="H7274" s="68" t="s">
        <v>22250</v>
      </c>
      <c r="I7274" s="64">
        <v>1</v>
      </c>
      <c r="J7274" s="44" t="str">
        <f>VLOOKUP(G7274,[1]硬件清单!$F:$F,1,0)</f>
        <v>210235A2TN523CL00188</v>
      </c>
      <c r="K7274" s="66"/>
      <c r="L7274" s="44"/>
      <c r="M7274" s="64" t="s">
        <v>22251</v>
      </c>
    </row>
    <row r="7275" ht="30" customHeight="1" spans="1:13">
      <c r="A7275" s="41">
        <f>IF(C7275="","",SUBTOTAL(103,$C$2:C7275))</f>
        <v>7266</v>
      </c>
      <c r="B7275" s="67"/>
      <c r="C7275" s="58" t="s">
        <v>20331</v>
      </c>
      <c r="D7275" s="68" t="s">
        <v>19</v>
      </c>
      <c r="E7275" s="64" t="s">
        <v>22138</v>
      </c>
      <c r="F7275" s="68" t="s">
        <v>22188</v>
      </c>
      <c r="G7275" s="64" t="s">
        <v>22252</v>
      </c>
      <c r="H7275" s="68" t="s">
        <v>22253</v>
      </c>
      <c r="I7275" s="64">
        <v>1</v>
      </c>
      <c r="J7275" s="44" t="str">
        <f>VLOOKUP(G7275,[1]硬件清单!$F:$F,1,0)</f>
        <v>210235A2TN523CL0013J</v>
      </c>
      <c r="K7275" s="66"/>
      <c r="L7275" s="44"/>
      <c r="M7275" s="64" t="s">
        <v>22254</v>
      </c>
    </row>
    <row r="7276" ht="30" customHeight="1" spans="1:13">
      <c r="A7276" s="41">
        <f>IF(C7276="","",SUBTOTAL(103,$C$2:C7276))</f>
        <v>7267</v>
      </c>
      <c r="B7276" s="67"/>
      <c r="C7276" s="58" t="s">
        <v>20331</v>
      </c>
      <c r="D7276" s="68" t="s">
        <v>19</v>
      </c>
      <c r="E7276" s="64" t="s">
        <v>22138</v>
      </c>
      <c r="F7276" s="68" t="s">
        <v>22188</v>
      </c>
      <c r="G7276" s="64" t="s">
        <v>22255</v>
      </c>
      <c r="H7276" s="68" t="s">
        <v>22256</v>
      </c>
      <c r="I7276" s="64">
        <v>1</v>
      </c>
      <c r="J7276" s="44" t="str">
        <f>VLOOKUP(G7276,[1]硬件清单!$F:$F,1,0)</f>
        <v>210235A2TN523Cl000WT</v>
      </c>
      <c r="K7276" s="66"/>
      <c r="L7276" s="44"/>
      <c r="M7276" s="64" t="s">
        <v>22257</v>
      </c>
    </row>
    <row r="7277" ht="30" customHeight="1" spans="1:13">
      <c r="A7277" s="41">
        <f>IF(C7277="","",SUBTOTAL(103,$C$2:C7277))</f>
        <v>7268</v>
      </c>
      <c r="B7277" s="67"/>
      <c r="C7277" s="58" t="s">
        <v>20331</v>
      </c>
      <c r="D7277" s="68" t="s">
        <v>19</v>
      </c>
      <c r="E7277" s="64" t="s">
        <v>22138</v>
      </c>
      <c r="F7277" s="68" t="s">
        <v>22188</v>
      </c>
      <c r="G7277" s="64" t="s">
        <v>22258</v>
      </c>
      <c r="H7277" s="68" t="s">
        <v>22259</v>
      </c>
      <c r="I7277" s="64">
        <v>1</v>
      </c>
      <c r="J7277" s="44" t="str">
        <f>VLOOKUP(G7277,[1]硬件清单!$F:$F,1,0)</f>
        <v>210235A2TN523CL000YQ</v>
      </c>
      <c r="K7277" s="66"/>
      <c r="L7277" s="44" t="s">
        <v>17</v>
      </c>
      <c r="M7277" s="64" t="s">
        <v>22260</v>
      </c>
    </row>
    <row r="7278" ht="30" customHeight="1" spans="1:13">
      <c r="A7278" s="41">
        <f>IF(C7278="","",SUBTOTAL(103,$C$2:C7278))</f>
        <v>7269</v>
      </c>
      <c r="B7278" s="67"/>
      <c r="C7278" s="58" t="s">
        <v>20331</v>
      </c>
      <c r="D7278" s="68" t="s">
        <v>19</v>
      </c>
      <c r="E7278" s="64" t="s">
        <v>22138</v>
      </c>
      <c r="F7278" s="68" t="s">
        <v>22188</v>
      </c>
      <c r="G7278" s="64" t="s">
        <v>22261</v>
      </c>
      <c r="H7278" s="68" t="s">
        <v>22262</v>
      </c>
      <c r="I7278" s="64">
        <v>1</v>
      </c>
      <c r="J7278" s="44" t="str">
        <f>VLOOKUP(G7278,[1]硬件清单!$F:$F,1,0)</f>
        <v>210235A2TN523CL00160</v>
      </c>
      <c r="K7278" s="66"/>
      <c r="L7278" s="44"/>
      <c r="M7278" s="64" t="s">
        <v>22263</v>
      </c>
    </row>
    <row r="7279" ht="30" customHeight="1" spans="1:13">
      <c r="A7279" s="41">
        <f>IF(C7279="","",SUBTOTAL(103,$C$2:C7279))</f>
        <v>7270</v>
      </c>
      <c r="B7279" s="67"/>
      <c r="C7279" s="58" t="s">
        <v>20331</v>
      </c>
      <c r="D7279" s="68" t="s">
        <v>19</v>
      </c>
      <c r="E7279" s="64" t="s">
        <v>22138</v>
      </c>
      <c r="F7279" s="68" t="s">
        <v>22188</v>
      </c>
      <c r="G7279" s="64" t="s">
        <v>22264</v>
      </c>
      <c r="H7279" s="68" t="s">
        <v>22265</v>
      </c>
      <c r="I7279" s="64">
        <v>1</v>
      </c>
      <c r="J7279" s="44" t="str">
        <f>VLOOKUP(G7279,[1]硬件清单!$F:$F,1,0)</f>
        <v>210235A2TN523CL000X1</v>
      </c>
      <c r="K7279" s="66"/>
      <c r="L7279" s="44"/>
      <c r="M7279" s="64" t="s">
        <v>22266</v>
      </c>
    </row>
    <row r="7280" ht="30" customHeight="1" spans="1:13">
      <c r="A7280" s="41">
        <f>IF(C7280="","",SUBTOTAL(103,$C$2:C7280))</f>
        <v>7271</v>
      </c>
      <c r="B7280" s="67"/>
      <c r="C7280" s="58" t="s">
        <v>20331</v>
      </c>
      <c r="D7280" s="68" t="s">
        <v>19</v>
      </c>
      <c r="E7280" s="64" t="s">
        <v>22138</v>
      </c>
      <c r="F7280" s="68" t="s">
        <v>22188</v>
      </c>
      <c r="G7280" s="64" t="s">
        <v>22267</v>
      </c>
      <c r="H7280" s="68" t="s">
        <v>22268</v>
      </c>
      <c r="I7280" s="64">
        <v>1</v>
      </c>
      <c r="J7280" s="44" t="str">
        <f>VLOOKUP(G7280,[1]硬件清单!$F:$F,1,0)</f>
        <v>210235A2TN523CL00179</v>
      </c>
      <c r="K7280" s="66"/>
      <c r="L7280" s="44"/>
      <c r="M7280" s="64" t="s">
        <v>22269</v>
      </c>
    </row>
    <row r="7281" ht="30" customHeight="1" spans="1:13">
      <c r="A7281" s="41">
        <f>IF(C7281="","",SUBTOTAL(103,$C$2:C7281))</f>
        <v>7272</v>
      </c>
      <c r="B7281" s="67"/>
      <c r="C7281" s="58" t="s">
        <v>20331</v>
      </c>
      <c r="D7281" s="68" t="s">
        <v>19</v>
      </c>
      <c r="E7281" s="64" t="s">
        <v>22138</v>
      </c>
      <c r="F7281" s="68" t="s">
        <v>22188</v>
      </c>
      <c r="G7281" s="64" t="s">
        <v>22270</v>
      </c>
      <c r="H7281" s="68" t="s">
        <v>22271</v>
      </c>
      <c r="I7281" s="64">
        <v>1</v>
      </c>
      <c r="J7281" s="44" t="str">
        <f>VLOOKUP(G7281,[1]硬件清单!$F:$F,1,0)</f>
        <v>210235A2TN523CL000WW</v>
      </c>
      <c r="K7281" s="66"/>
      <c r="L7281" s="44"/>
      <c r="M7281" s="64" t="s">
        <v>22272</v>
      </c>
    </row>
    <row r="7282" ht="30" customHeight="1" spans="1:13">
      <c r="A7282" s="41">
        <f>IF(C7282="","",SUBTOTAL(103,$C$2:C7282))</f>
        <v>7273</v>
      </c>
      <c r="B7282" s="67"/>
      <c r="C7282" s="58" t="s">
        <v>20331</v>
      </c>
      <c r="D7282" s="68" t="s">
        <v>19</v>
      </c>
      <c r="E7282" s="64" t="s">
        <v>22138</v>
      </c>
      <c r="F7282" s="68" t="s">
        <v>22188</v>
      </c>
      <c r="G7282" s="64" t="s">
        <v>22273</v>
      </c>
      <c r="H7282" s="68" t="s">
        <v>22274</v>
      </c>
      <c r="I7282" s="64">
        <v>1</v>
      </c>
      <c r="J7282" s="44" t="str">
        <f>VLOOKUP(G7282,[1]硬件清单!$F:$F,1,0)</f>
        <v>210235A2TN523CL000WR</v>
      </c>
      <c r="K7282" s="66"/>
      <c r="L7282" s="44"/>
      <c r="M7282" s="64" t="s">
        <v>22275</v>
      </c>
    </row>
    <row r="7283" ht="30" customHeight="1" spans="1:13">
      <c r="A7283" s="41">
        <f>IF(C7283="","",SUBTOTAL(103,$C$2:C7283))</f>
        <v>7274</v>
      </c>
      <c r="B7283" s="67"/>
      <c r="C7283" s="58" t="s">
        <v>20331</v>
      </c>
      <c r="D7283" s="68" t="s">
        <v>19</v>
      </c>
      <c r="E7283" s="64" t="s">
        <v>22138</v>
      </c>
      <c r="F7283" s="68" t="s">
        <v>22188</v>
      </c>
      <c r="G7283" s="64" t="s">
        <v>22276</v>
      </c>
      <c r="H7283" s="68" t="s">
        <v>22277</v>
      </c>
      <c r="I7283" s="64">
        <v>1</v>
      </c>
      <c r="J7283" s="44" t="str">
        <f>VLOOKUP(G7283,[1]硬件清单!$F:$F,1,0)</f>
        <v>210235A2TN523CL0012G</v>
      </c>
      <c r="K7283" s="66"/>
      <c r="L7283" s="44"/>
      <c r="M7283" s="64" t="s">
        <v>22278</v>
      </c>
    </row>
    <row r="7284" ht="30" customHeight="1" spans="1:13">
      <c r="A7284" s="41">
        <f>IF(C7284="","",SUBTOTAL(103,$C$2:C7284))</f>
        <v>7275</v>
      </c>
      <c r="B7284" s="67"/>
      <c r="C7284" s="58" t="s">
        <v>20331</v>
      </c>
      <c r="D7284" s="68" t="s">
        <v>19</v>
      </c>
      <c r="E7284" s="64" t="s">
        <v>22138</v>
      </c>
      <c r="F7284" s="68" t="s">
        <v>22188</v>
      </c>
      <c r="G7284" s="64" t="s">
        <v>22279</v>
      </c>
      <c r="H7284" s="68" t="s">
        <v>22280</v>
      </c>
      <c r="I7284" s="64">
        <v>1</v>
      </c>
      <c r="J7284" s="44" t="str">
        <f>VLOOKUP(G7284,[1]硬件清单!$F:$F,1,0)</f>
        <v>210235A2TN523CL000WX</v>
      </c>
      <c r="K7284" s="66"/>
      <c r="L7284" s="44"/>
      <c r="M7284" s="64" t="s">
        <v>22281</v>
      </c>
    </row>
    <row r="7285" ht="30" customHeight="1" spans="1:13">
      <c r="A7285" s="41">
        <f>IF(C7285="","",SUBTOTAL(103,$C$2:C7285))</f>
        <v>7276</v>
      </c>
      <c r="B7285" s="67"/>
      <c r="C7285" s="58" t="s">
        <v>20331</v>
      </c>
      <c r="D7285" s="68" t="s">
        <v>19</v>
      </c>
      <c r="E7285" s="64" t="s">
        <v>22138</v>
      </c>
      <c r="F7285" s="68" t="s">
        <v>22188</v>
      </c>
      <c r="G7285" s="64" t="s">
        <v>22282</v>
      </c>
      <c r="H7285" s="68" t="s">
        <v>22283</v>
      </c>
      <c r="I7285" s="64">
        <v>1</v>
      </c>
      <c r="J7285" s="44" t="str">
        <f>VLOOKUP(G7285,[1]硬件清单!$F:$F,1,0)</f>
        <v>210235A2TN523CL000W6</v>
      </c>
      <c r="K7285" s="66"/>
      <c r="L7285" s="44"/>
      <c r="M7285" s="64" t="s">
        <v>22284</v>
      </c>
    </row>
    <row r="7286" ht="30" customHeight="1" spans="1:13">
      <c r="A7286" s="41">
        <f>IF(C7286="","",SUBTOTAL(103,$C$2:C7286))</f>
        <v>7277</v>
      </c>
      <c r="B7286" s="67"/>
      <c r="C7286" s="58" t="s">
        <v>20331</v>
      </c>
      <c r="D7286" s="68" t="s">
        <v>19</v>
      </c>
      <c r="E7286" s="64" t="s">
        <v>22138</v>
      </c>
      <c r="F7286" s="68" t="s">
        <v>22188</v>
      </c>
      <c r="G7286" s="64" t="s">
        <v>22285</v>
      </c>
      <c r="H7286" s="68" t="s">
        <v>22286</v>
      </c>
      <c r="I7286" s="64">
        <v>1</v>
      </c>
      <c r="J7286" s="44" t="str">
        <f>VLOOKUP(G7286,[1]硬件清单!$F:$F,1,0)</f>
        <v>210235A2TN523CL000ZD</v>
      </c>
      <c r="K7286" s="66"/>
      <c r="L7286" s="44"/>
      <c r="M7286" s="64" t="s">
        <v>22287</v>
      </c>
    </row>
    <row r="7287" ht="30" customHeight="1" spans="1:13">
      <c r="A7287" s="41">
        <f>IF(C7287="","",SUBTOTAL(103,$C$2:C7287))</f>
        <v>7278</v>
      </c>
      <c r="B7287" s="67"/>
      <c r="C7287" s="58" t="s">
        <v>20331</v>
      </c>
      <c r="D7287" s="68" t="s">
        <v>19</v>
      </c>
      <c r="E7287" s="64" t="s">
        <v>22138</v>
      </c>
      <c r="F7287" s="68" t="s">
        <v>22188</v>
      </c>
      <c r="G7287" s="64" t="s">
        <v>22288</v>
      </c>
      <c r="H7287" s="68" t="s">
        <v>22289</v>
      </c>
      <c r="I7287" s="64">
        <v>1</v>
      </c>
      <c r="J7287" s="44" t="str">
        <f>VLOOKUP(G7287,[1]硬件清单!$F:$F,1,0)</f>
        <v>210235A2TN523CL00157</v>
      </c>
      <c r="K7287" s="66"/>
      <c r="L7287" s="44"/>
      <c r="M7287" s="64" t="s">
        <v>22290</v>
      </c>
    </row>
    <row r="7288" ht="30" customHeight="1" spans="1:13">
      <c r="A7288" s="41">
        <f>IF(C7288="","",SUBTOTAL(103,$C$2:C7288))</f>
        <v>7279</v>
      </c>
      <c r="B7288" s="67"/>
      <c r="C7288" s="58" t="s">
        <v>20331</v>
      </c>
      <c r="D7288" s="68" t="s">
        <v>19</v>
      </c>
      <c r="E7288" s="64" t="s">
        <v>22138</v>
      </c>
      <c r="F7288" s="68" t="s">
        <v>22188</v>
      </c>
      <c r="G7288" s="64" t="s">
        <v>22291</v>
      </c>
      <c r="H7288" s="68" t="s">
        <v>22292</v>
      </c>
      <c r="I7288" s="64">
        <v>1</v>
      </c>
      <c r="J7288" s="44" t="str">
        <f>VLOOKUP(G7288,[1]硬件清单!$F:$F,1,0)</f>
        <v>210235A2TN5241L000G8</v>
      </c>
      <c r="K7288" s="66"/>
      <c r="L7288" s="44"/>
      <c r="M7288" s="64" t="s">
        <v>22293</v>
      </c>
    </row>
    <row r="7289" ht="30" customHeight="1" spans="1:13">
      <c r="A7289" s="41">
        <f>IF(C7289="","",SUBTOTAL(103,$C$2:C7289))</f>
        <v>7280</v>
      </c>
      <c r="B7289" s="67"/>
      <c r="C7289" s="58" t="s">
        <v>20331</v>
      </c>
      <c r="D7289" s="68" t="s">
        <v>19</v>
      </c>
      <c r="E7289" s="64" t="s">
        <v>22138</v>
      </c>
      <c r="F7289" s="68" t="s">
        <v>22188</v>
      </c>
      <c r="G7289" s="64" t="s">
        <v>22294</v>
      </c>
      <c r="H7289" s="68" t="s">
        <v>22295</v>
      </c>
      <c r="I7289" s="64">
        <v>1</v>
      </c>
      <c r="J7289" s="44" t="str">
        <f>VLOOKUP(G7289,[1]硬件清单!$F:$F,1,0)</f>
        <v>210235A2TN523CL000XF</v>
      </c>
      <c r="K7289" s="66"/>
      <c r="L7289" s="44"/>
      <c r="M7289" s="64" t="s">
        <v>22296</v>
      </c>
    </row>
    <row r="7290" ht="30" customHeight="1" spans="1:13">
      <c r="A7290" s="41">
        <f>IF(C7290="","",SUBTOTAL(103,$C$2:C7290))</f>
        <v>7281</v>
      </c>
      <c r="B7290" s="67"/>
      <c r="C7290" s="58" t="s">
        <v>20331</v>
      </c>
      <c r="D7290" s="68" t="s">
        <v>19</v>
      </c>
      <c r="E7290" s="64" t="s">
        <v>22138</v>
      </c>
      <c r="F7290" s="68" t="s">
        <v>22188</v>
      </c>
      <c r="G7290" s="64" t="s">
        <v>22297</v>
      </c>
      <c r="H7290" s="68" t="s">
        <v>22298</v>
      </c>
      <c r="I7290" s="64">
        <v>1</v>
      </c>
      <c r="J7290" s="44" t="str">
        <f>VLOOKUP(G7290,[1]硬件清单!$F:$F,1,0)</f>
        <v>210235A2TN523CL000YH</v>
      </c>
      <c r="K7290" s="66"/>
      <c r="L7290" s="44"/>
      <c r="M7290" s="64" t="s">
        <v>22299</v>
      </c>
    </row>
    <row r="7291" ht="30" customHeight="1" spans="1:13">
      <c r="A7291" s="41">
        <f>IF(C7291="","",SUBTOTAL(103,$C$2:C7291))</f>
        <v>7282</v>
      </c>
      <c r="B7291" s="67"/>
      <c r="C7291" s="58" t="s">
        <v>20331</v>
      </c>
      <c r="D7291" s="68" t="s">
        <v>19</v>
      </c>
      <c r="E7291" s="64" t="s">
        <v>22138</v>
      </c>
      <c r="F7291" s="68" t="s">
        <v>22188</v>
      </c>
      <c r="G7291" s="64" t="s">
        <v>22300</v>
      </c>
      <c r="H7291" s="68" t="s">
        <v>22301</v>
      </c>
      <c r="I7291" s="64">
        <v>1</v>
      </c>
      <c r="J7291" s="44" t="str">
        <f>VLOOKUP(G7291,[1]硬件清单!$F:$F,1,0)</f>
        <v>210235A2TN523CL00116</v>
      </c>
      <c r="K7291" s="66"/>
      <c r="L7291" s="44" t="s">
        <v>17</v>
      </c>
      <c r="M7291" s="64" t="s">
        <v>22302</v>
      </c>
    </row>
    <row r="7292" ht="30" customHeight="1" spans="1:13">
      <c r="A7292" s="41">
        <f>IF(C7292="","",SUBTOTAL(103,$C$2:C7292))</f>
        <v>7283</v>
      </c>
      <c r="B7292" s="67"/>
      <c r="C7292" s="58" t="s">
        <v>20331</v>
      </c>
      <c r="D7292" s="68" t="s">
        <v>19</v>
      </c>
      <c r="E7292" s="64" t="s">
        <v>22138</v>
      </c>
      <c r="F7292" s="68" t="s">
        <v>22188</v>
      </c>
      <c r="G7292" s="64" t="s">
        <v>22303</v>
      </c>
      <c r="H7292" s="68" t="s">
        <v>22304</v>
      </c>
      <c r="I7292" s="64">
        <v>1</v>
      </c>
      <c r="J7292" s="44" t="str">
        <f>VLOOKUP(G7292,[1]硬件清单!$F:$F,1,0)</f>
        <v>210235A2TN523CL000YL</v>
      </c>
      <c r="K7292" s="66"/>
      <c r="L7292" s="44"/>
      <c r="M7292" s="64" t="s">
        <v>22305</v>
      </c>
    </row>
    <row r="7293" ht="30" customHeight="1" spans="1:13">
      <c r="A7293" s="41">
        <f>IF(C7293="","",SUBTOTAL(103,$C$2:C7293))</f>
        <v>7284</v>
      </c>
      <c r="B7293" s="67"/>
      <c r="C7293" s="58" t="s">
        <v>20331</v>
      </c>
      <c r="D7293" s="68" t="s">
        <v>19</v>
      </c>
      <c r="E7293" s="64" t="s">
        <v>22138</v>
      </c>
      <c r="F7293" s="68" t="s">
        <v>22188</v>
      </c>
      <c r="G7293" s="64" t="s">
        <v>22306</v>
      </c>
      <c r="H7293" s="68" t="s">
        <v>22307</v>
      </c>
      <c r="I7293" s="64">
        <v>1</v>
      </c>
      <c r="J7293" s="44" t="str">
        <f>VLOOKUP(G7293,[1]硬件清单!$F:$F,1,0)</f>
        <v>210235A2TN523CL000YW</v>
      </c>
      <c r="K7293" s="66"/>
      <c r="L7293" s="44"/>
      <c r="M7293" s="64" t="s">
        <v>22308</v>
      </c>
    </row>
    <row r="7294" ht="30" customHeight="1" spans="1:13">
      <c r="A7294" s="41">
        <f>IF(C7294="","",SUBTOTAL(103,$C$2:C7294))</f>
        <v>7285</v>
      </c>
      <c r="B7294" s="67"/>
      <c r="C7294" s="58" t="s">
        <v>20331</v>
      </c>
      <c r="D7294" s="68" t="s">
        <v>19</v>
      </c>
      <c r="E7294" s="64" t="s">
        <v>22138</v>
      </c>
      <c r="F7294" s="68" t="s">
        <v>22188</v>
      </c>
      <c r="G7294" s="64" t="s">
        <v>22309</v>
      </c>
      <c r="H7294" s="68" t="s">
        <v>22310</v>
      </c>
      <c r="I7294" s="64">
        <v>1</v>
      </c>
      <c r="J7294" s="44" t="str">
        <f>VLOOKUP(G7294,[1]硬件清单!$F:$F,1,0)</f>
        <v>210235A2TN523CL000Z3</v>
      </c>
      <c r="K7294" s="66"/>
      <c r="L7294" s="44"/>
      <c r="M7294" s="64" t="s">
        <v>22311</v>
      </c>
    </row>
    <row r="7295" ht="30" customHeight="1" spans="1:13">
      <c r="A7295" s="41">
        <f>IF(C7295="","",SUBTOTAL(103,$C$2:C7295))</f>
        <v>7286</v>
      </c>
      <c r="B7295" s="67"/>
      <c r="C7295" s="58" t="s">
        <v>20331</v>
      </c>
      <c r="D7295" s="68" t="s">
        <v>19</v>
      </c>
      <c r="E7295" s="64" t="s">
        <v>22138</v>
      </c>
      <c r="F7295" s="68" t="s">
        <v>22188</v>
      </c>
      <c r="G7295" s="64" t="s">
        <v>22312</v>
      </c>
      <c r="H7295" s="68" t="s">
        <v>22313</v>
      </c>
      <c r="I7295" s="64">
        <v>1</v>
      </c>
      <c r="J7295" s="44" t="str">
        <f>VLOOKUP(G7295,[1]硬件清单!$F:$F,1,0)</f>
        <v>210235A2TN5241L000JR</v>
      </c>
      <c r="K7295" s="66"/>
      <c r="L7295" s="44"/>
      <c r="M7295" s="64" t="s">
        <v>22314</v>
      </c>
    </row>
    <row r="7296" ht="30" customHeight="1" spans="1:13">
      <c r="A7296" s="41">
        <f>IF(C7296="","",SUBTOTAL(103,$C$2:C7296))</f>
        <v>7287</v>
      </c>
      <c r="B7296" s="67"/>
      <c r="C7296" s="58" t="s">
        <v>20331</v>
      </c>
      <c r="D7296" s="68" t="s">
        <v>19</v>
      </c>
      <c r="E7296" s="64" t="s">
        <v>22138</v>
      </c>
      <c r="F7296" s="68" t="s">
        <v>22188</v>
      </c>
      <c r="G7296" s="64" t="s">
        <v>22315</v>
      </c>
      <c r="H7296" s="68" t="s">
        <v>22316</v>
      </c>
      <c r="I7296" s="64">
        <v>1</v>
      </c>
      <c r="J7296" s="44" t="str">
        <f>VLOOKUP(G7296,[1]硬件清单!$F:$F,1,0)</f>
        <v>210235A2TN523CL000X4</v>
      </c>
      <c r="K7296" s="66"/>
      <c r="L7296" s="44"/>
      <c r="M7296" s="64" t="s">
        <v>22317</v>
      </c>
    </row>
    <row r="7297" ht="30" customHeight="1" spans="1:13">
      <c r="A7297" s="41">
        <f>IF(C7297="","",SUBTOTAL(103,$C$2:C7297))</f>
        <v>7288</v>
      </c>
      <c r="B7297" s="67"/>
      <c r="C7297" s="58" t="s">
        <v>20331</v>
      </c>
      <c r="D7297" s="68" t="s">
        <v>19</v>
      </c>
      <c r="E7297" s="64" t="s">
        <v>22138</v>
      </c>
      <c r="F7297" s="68" t="s">
        <v>22188</v>
      </c>
      <c r="G7297" s="64" t="s">
        <v>22318</v>
      </c>
      <c r="H7297" s="68" t="s">
        <v>22319</v>
      </c>
      <c r="I7297" s="64">
        <v>1</v>
      </c>
      <c r="J7297" s="44" t="str">
        <f>VLOOKUP(G7297,[1]硬件清单!$F:$F,1,0)</f>
        <v>210235A2TN523CL000YM</v>
      </c>
      <c r="K7297" s="66"/>
      <c r="L7297" s="44"/>
      <c r="M7297" s="64" t="s">
        <v>22320</v>
      </c>
    </row>
    <row r="7298" ht="30" customHeight="1" spans="1:13">
      <c r="A7298" s="41">
        <f>IF(C7298="","",SUBTOTAL(103,$C$2:C7298))</f>
        <v>7289</v>
      </c>
      <c r="B7298" s="67"/>
      <c r="C7298" s="58" t="s">
        <v>20331</v>
      </c>
      <c r="D7298" s="68" t="s">
        <v>19</v>
      </c>
      <c r="E7298" s="64" t="s">
        <v>22138</v>
      </c>
      <c r="F7298" s="68" t="s">
        <v>22188</v>
      </c>
      <c r="G7298" s="64" t="s">
        <v>22321</v>
      </c>
      <c r="H7298" s="68" t="s">
        <v>22322</v>
      </c>
      <c r="I7298" s="64">
        <v>1</v>
      </c>
      <c r="J7298" s="44" t="str">
        <f>VLOOKUP(G7298,[1]硬件清单!$F:$F,1,0)</f>
        <v>210235A2TN5241L000KB</v>
      </c>
      <c r="K7298" s="66"/>
      <c r="L7298" s="44"/>
      <c r="M7298" s="64" t="s">
        <v>22323</v>
      </c>
    </row>
    <row r="7299" ht="30" customHeight="1" spans="1:13">
      <c r="A7299" s="41">
        <f>IF(C7299="","",SUBTOTAL(103,$C$2:C7299))</f>
        <v>7290</v>
      </c>
      <c r="B7299" s="67"/>
      <c r="C7299" s="58" t="s">
        <v>20331</v>
      </c>
      <c r="D7299" s="68" t="s">
        <v>19</v>
      </c>
      <c r="E7299" s="64" t="s">
        <v>22138</v>
      </c>
      <c r="F7299" s="68" t="s">
        <v>22188</v>
      </c>
      <c r="G7299" s="64" t="s">
        <v>22324</v>
      </c>
      <c r="H7299" s="68" t="s">
        <v>22325</v>
      </c>
      <c r="I7299" s="64">
        <v>1</v>
      </c>
      <c r="J7299" s="44" t="str">
        <f>VLOOKUP(G7299,[1]硬件清单!$F:$F,1,0)</f>
        <v>210235A2TN523CL000XS</v>
      </c>
      <c r="K7299" s="66"/>
      <c r="L7299" s="44"/>
      <c r="M7299" s="64" t="s">
        <v>22326</v>
      </c>
    </row>
    <row r="7300" ht="30" customHeight="1" spans="1:13">
      <c r="A7300" s="41">
        <f>IF(C7300="","",SUBTOTAL(103,$C$2:C7300))</f>
        <v>7291</v>
      </c>
      <c r="B7300" s="67"/>
      <c r="C7300" s="58" t="s">
        <v>20331</v>
      </c>
      <c r="D7300" s="68" t="s">
        <v>19</v>
      </c>
      <c r="E7300" s="64" t="s">
        <v>22138</v>
      </c>
      <c r="F7300" s="68" t="s">
        <v>22188</v>
      </c>
      <c r="G7300" s="64" t="s">
        <v>22327</v>
      </c>
      <c r="H7300" s="68" t="s">
        <v>22328</v>
      </c>
      <c r="I7300" s="64">
        <v>1</v>
      </c>
      <c r="J7300" s="44" t="str">
        <f>VLOOKUP(G7300,[1]硬件清单!$F:$F,1,0)</f>
        <v>210235A2TN523CL000XC</v>
      </c>
      <c r="K7300" s="66"/>
      <c r="L7300" s="44"/>
      <c r="M7300" s="64" t="s">
        <v>22329</v>
      </c>
    </row>
    <row r="7301" ht="30" customHeight="1" spans="1:13">
      <c r="A7301" s="41">
        <f>IF(C7301="","",SUBTOTAL(103,$C$2:C7301))</f>
        <v>7292</v>
      </c>
      <c r="B7301" s="67"/>
      <c r="C7301" s="58" t="s">
        <v>20331</v>
      </c>
      <c r="D7301" s="68" t="s">
        <v>19</v>
      </c>
      <c r="E7301" s="64" t="s">
        <v>22138</v>
      </c>
      <c r="F7301" s="68" t="s">
        <v>22188</v>
      </c>
      <c r="G7301" s="64" t="s">
        <v>22330</v>
      </c>
      <c r="H7301" s="68" t="s">
        <v>22331</v>
      </c>
      <c r="I7301" s="64">
        <v>1</v>
      </c>
      <c r="J7301" s="44" t="str">
        <f>VLOOKUP(G7301,[1]硬件清单!$F:$F,1,0)</f>
        <v>210235A2TN5241L000KD</v>
      </c>
      <c r="K7301" s="66"/>
      <c r="L7301" s="44"/>
      <c r="M7301" s="64" t="s">
        <v>22332</v>
      </c>
    </row>
    <row r="7302" ht="30" customHeight="1" spans="1:13">
      <c r="A7302" s="41">
        <f>IF(C7302="","",SUBTOTAL(103,$C$2:C7302))</f>
        <v>7293</v>
      </c>
      <c r="B7302" s="67"/>
      <c r="C7302" s="58" t="s">
        <v>20331</v>
      </c>
      <c r="D7302" s="68" t="s">
        <v>19</v>
      </c>
      <c r="E7302" s="64" t="s">
        <v>22138</v>
      </c>
      <c r="F7302" s="68" t="s">
        <v>22188</v>
      </c>
      <c r="G7302" s="64" t="s">
        <v>22333</v>
      </c>
      <c r="H7302" s="68" t="s">
        <v>22334</v>
      </c>
      <c r="I7302" s="64">
        <v>1</v>
      </c>
      <c r="J7302" s="44" t="str">
        <f>VLOOKUP(G7302,[1]硬件清单!$F:$F,1,0)</f>
        <v>210235A2TN523CL000W2</v>
      </c>
      <c r="K7302" s="66"/>
      <c r="L7302" s="44"/>
      <c r="M7302" s="64" t="s">
        <v>22335</v>
      </c>
    </row>
    <row r="7303" ht="30" customHeight="1" spans="1:13">
      <c r="A7303" s="41">
        <f>IF(C7303="","",SUBTOTAL(103,$C$2:C7303))</f>
        <v>7294</v>
      </c>
      <c r="B7303" s="67"/>
      <c r="C7303" s="58" t="s">
        <v>20331</v>
      </c>
      <c r="D7303" s="68" t="s">
        <v>19</v>
      </c>
      <c r="E7303" s="64" t="s">
        <v>22138</v>
      </c>
      <c r="F7303" s="68" t="s">
        <v>22188</v>
      </c>
      <c r="G7303" s="64" t="s">
        <v>22336</v>
      </c>
      <c r="H7303" s="68" t="s">
        <v>22337</v>
      </c>
      <c r="I7303" s="64">
        <v>1</v>
      </c>
      <c r="J7303" s="44" t="str">
        <f>VLOOKUP(G7303,[1]硬件清单!$F:$F,1,0)</f>
        <v>210235A2TN5241L000CT</v>
      </c>
      <c r="K7303" s="66"/>
      <c r="L7303" s="44"/>
      <c r="M7303" s="64" t="s">
        <v>22338</v>
      </c>
    </row>
    <row r="7304" ht="30" customHeight="1" spans="1:13">
      <c r="A7304" s="41">
        <f>IF(C7304="","",SUBTOTAL(103,$C$2:C7304))</f>
        <v>7295</v>
      </c>
      <c r="B7304" s="67"/>
      <c r="C7304" s="58" t="s">
        <v>20331</v>
      </c>
      <c r="D7304" s="68" t="s">
        <v>19</v>
      </c>
      <c r="E7304" s="64" t="s">
        <v>22138</v>
      </c>
      <c r="F7304" s="68" t="s">
        <v>22188</v>
      </c>
      <c r="G7304" s="64" t="s">
        <v>22339</v>
      </c>
      <c r="H7304" s="68" t="s">
        <v>22340</v>
      </c>
      <c r="I7304" s="64">
        <v>1</v>
      </c>
      <c r="J7304" s="44" t="str">
        <f>VLOOKUP(G7304,[1]硬件清单!$F:$F,1,0)</f>
        <v>210235A2TN523CL00176</v>
      </c>
      <c r="K7304" s="66"/>
      <c r="L7304" s="44"/>
      <c r="M7304" s="64" t="s">
        <v>22341</v>
      </c>
    </row>
    <row r="7305" ht="30" customHeight="1" spans="1:13">
      <c r="A7305" s="41">
        <f>IF(C7305="","",SUBTOTAL(103,$C$2:C7305))</f>
        <v>7296</v>
      </c>
      <c r="B7305" s="67"/>
      <c r="C7305" s="58" t="s">
        <v>20331</v>
      </c>
      <c r="D7305" s="68" t="s">
        <v>19</v>
      </c>
      <c r="E7305" s="64" t="s">
        <v>22138</v>
      </c>
      <c r="F7305" s="68" t="s">
        <v>22188</v>
      </c>
      <c r="G7305" s="64" t="s">
        <v>22342</v>
      </c>
      <c r="H7305" s="68" t="s">
        <v>22343</v>
      </c>
      <c r="I7305" s="64">
        <v>1</v>
      </c>
      <c r="J7305" s="44" t="str">
        <f>VLOOKUP(G7305,[1]硬件清单!$F:$F,1,0)</f>
        <v>210235A2TN523CL000WZ</v>
      </c>
      <c r="K7305" s="66"/>
      <c r="L7305" s="44"/>
      <c r="M7305" s="64" t="s">
        <v>22344</v>
      </c>
    </row>
    <row r="7306" ht="30" customHeight="1" spans="1:13">
      <c r="A7306" s="41">
        <f>IF(C7306="","",SUBTOTAL(103,$C$2:C7306))</f>
        <v>7297</v>
      </c>
      <c r="B7306" s="67"/>
      <c r="C7306" s="58" t="s">
        <v>20331</v>
      </c>
      <c r="D7306" s="68" t="s">
        <v>19</v>
      </c>
      <c r="E7306" s="64" t="s">
        <v>22138</v>
      </c>
      <c r="F7306" s="68" t="s">
        <v>22188</v>
      </c>
      <c r="G7306" s="64" t="s">
        <v>22345</v>
      </c>
      <c r="H7306" s="68" t="s">
        <v>22346</v>
      </c>
      <c r="I7306" s="64">
        <v>1</v>
      </c>
      <c r="J7306" s="44" t="str">
        <f>VLOOKUP(G7306,[1]硬件清单!$F:$F,1,0)</f>
        <v>210235A2TN523CL00187</v>
      </c>
      <c r="K7306" s="66"/>
      <c r="L7306" s="44"/>
      <c r="M7306" s="64" t="s">
        <v>22347</v>
      </c>
    </row>
    <row r="7307" ht="30" customHeight="1" spans="1:13">
      <c r="A7307" s="41">
        <f>IF(C7307="","",SUBTOTAL(103,$C$2:C7307))</f>
        <v>7298</v>
      </c>
      <c r="B7307" s="67"/>
      <c r="C7307" s="58" t="s">
        <v>20331</v>
      </c>
      <c r="D7307" s="68" t="s">
        <v>19</v>
      </c>
      <c r="E7307" s="64" t="s">
        <v>22138</v>
      </c>
      <c r="F7307" s="68" t="s">
        <v>22188</v>
      </c>
      <c r="G7307" s="64" t="s">
        <v>22348</v>
      </c>
      <c r="H7307" s="68" t="s">
        <v>22349</v>
      </c>
      <c r="I7307" s="64">
        <v>1</v>
      </c>
      <c r="J7307" s="44" t="str">
        <f>VLOOKUP(G7307,[1]硬件清单!$F:$F,1,0)</f>
        <v>210235A2TN523CL001B1</v>
      </c>
      <c r="K7307" s="66"/>
      <c r="L7307" s="44"/>
      <c r="M7307" s="64" t="s">
        <v>22350</v>
      </c>
    </row>
    <row r="7308" ht="30" customHeight="1" spans="1:13">
      <c r="A7308" s="41">
        <f>IF(C7308="","",SUBTOTAL(103,$C$2:C7308))</f>
        <v>7299</v>
      </c>
      <c r="B7308" s="67"/>
      <c r="C7308" s="58" t="s">
        <v>20331</v>
      </c>
      <c r="D7308" s="68" t="s">
        <v>19</v>
      </c>
      <c r="E7308" s="64" t="s">
        <v>22138</v>
      </c>
      <c r="F7308" s="68" t="s">
        <v>22188</v>
      </c>
      <c r="G7308" s="64" t="s">
        <v>22351</v>
      </c>
      <c r="H7308" s="68" t="s">
        <v>22352</v>
      </c>
      <c r="I7308" s="64">
        <v>1</v>
      </c>
      <c r="J7308" s="44" t="str">
        <f>VLOOKUP(G7308,[1]硬件清单!$F:$F,1,0)</f>
        <v>210235A2TN523CL0017B</v>
      </c>
      <c r="K7308" s="66"/>
      <c r="L7308" s="44"/>
      <c r="M7308" s="64" t="s">
        <v>22353</v>
      </c>
    </row>
    <row r="7309" ht="30" customHeight="1" spans="1:13">
      <c r="A7309" s="41">
        <f>IF(C7309="","",SUBTOTAL(103,$C$2:C7309))</f>
        <v>7300</v>
      </c>
      <c r="B7309" s="67"/>
      <c r="C7309" s="58" t="s">
        <v>20331</v>
      </c>
      <c r="D7309" s="68" t="s">
        <v>19</v>
      </c>
      <c r="E7309" s="64" t="s">
        <v>22138</v>
      </c>
      <c r="F7309" s="68" t="s">
        <v>22188</v>
      </c>
      <c r="G7309" s="64" t="s">
        <v>22354</v>
      </c>
      <c r="H7309" s="68" t="s">
        <v>22355</v>
      </c>
      <c r="I7309" s="64">
        <v>1</v>
      </c>
      <c r="J7309" s="44" t="str">
        <f>VLOOKUP(G7309,[1]硬件清单!$F:$F,1,0)</f>
        <v>210235A2TN523CL0013F</v>
      </c>
      <c r="K7309" s="66"/>
      <c r="L7309" s="44"/>
      <c r="M7309" s="64" t="s">
        <v>22356</v>
      </c>
    </row>
    <row r="7310" ht="30" customHeight="1" spans="1:13">
      <c r="A7310" s="41">
        <f>IF(C7310="","",SUBTOTAL(103,$C$2:C7310))</f>
        <v>7301</v>
      </c>
      <c r="B7310" s="67"/>
      <c r="C7310" s="58" t="s">
        <v>20331</v>
      </c>
      <c r="D7310" s="68" t="s">
        <v>19</v>
      </c>
      <c r="E7310" s="64" t="s">
        <v>22138</v>
      </c>
      <c r="F7310" s="68" t="s">
        <v>22188</v>
      </c>
      <c r="G7310" s="64" t="s">
        <v>22357</v>
      </c>
      <c r="H7310" s="68" t="s">
        <v>22358</v>
      </c>
      <c r="I7310" s="64">
        <v>1</v>
      </c>
      <c r="J7310" s="44" t="str">
        <f>VLOOKUP(G7310,[1]硬件清单!$F:$F,1,0)</f>
        <v>210235A2TN523CL000YS</v>
      </c>
      <c r="K7310" s="66"/>
      <c r="L7310" s="44"/>
      <c r="M7310" s="64" t="s">
        <v>22359</v>
      </c>
    </row>
    <row r="7311" ht="30" customHeight="1" spans="1:13">
      <c r="A7311" s="41">
        <f>IF(C7311="","",SUBTOTAL(103,$C$2:C7311))</f>
        <v>7302</v>
      </c>
      <c r="B7311" s="67"/>
      <c r="C7311" s="58" t="s">
        <v>20331</v>
      </c>
      <c r="D7311" s="68" t="s">
        <v>19</v>
      </c>
      <c r="E7311" s="64" t="s">
        <v>22138</v>
      </c>
      <c r="F7311" s="68" t="s">
        <v>22188</v>
      </c>
      <c r="G7311" s="64" t="s">
        <v>22360</v>
      </c>
      <c r="H7311" s="68" t="s">
        <v>22361</v>
      </c>
      <c r="I7311" s="64">
        <v>1</v>
      </c>
      <c r="J7311" s="44" t="str">
        <f>VLOOKUP(G7311,[1]硬件清单!$F:$F,1,0)</f>
        <v>210235A2TN523CL000YR</v>
      </c>
      <c r="K7311" s="66"/>
      <c r="L7311" s="44"/>
      <c r="M7311" s="64" t="s">
        <v>22362</v>
      </c>
    </row>
    <row r="7312" ht="30" customHeight="1" spans="1:13">
      <c r="A7312" s="41">
        <f>IF(C7312="","",SUBTOTAL(103,$C$2:C7312))</f>
        <v>7303</v>
      </c>
      <c r="B7312" s="67"/>
      <c r="C7312" s="58" t="s">
        <v>20331</v>
      </c>
      <c r="D7312" s="68" t="s">
        <v>19</v>
      </c>
      <c r="E7312" s="64" t="s">
        <v>22138</v>
      </c>
      <c r="F7312" s="68" t="s">
        <v>22188</v>
      </c>
      <c r="G7312" s="64" t="s">
        <v>22363</v>
      </c>
      <c r="H7312" s="68" t="s">
        <v>22364</v>
      </c>
      <c r="I7312" s="64">
        <v>1</v>
      </c>
      <c r="J7312" s="44" t="str">
        <f>VLOOKUP(G7312,[1]硬件清单!$F:$F,1,0)</f>
        <v>210235A2TN523CL000XP</v>
      </c>
      <c r="K7312" s="66"/>
      <c r="L7312" s="44"/>
      <c r="M7312" s="64" t="s">
        <v>22365</v>
      </c>
    </row>
    <row r="7313" ht="30" customHeight="1" spans="1:13">
      <c r="A7313" s="41">
        <f>IF(C7313="","",SUBTOTAL(103,$C$2:C7313))</f>
        <v>7304</v>
      </c>
      <c r="B7313" s="67"/>
      <c r="C7313" s="58" t="s">
        <v>20331</v>
      </c>
      <c r="D7313" s="68" t="s">
        <v>19</v>
      </c>
      <c r="E7313" s="64" t="s">
        <v>22138</v>
      </c>
      <c r="F7313" s="68" t="s">
        <v>22188</v>
      </c>
      <c r="G7313" s="64" t="s">
        <v>22366</v>
      </c>
      <c r="H7313" s="68" t="s">
        <v>22367</v>
      </c>
      <c r="I7313" s="64">
        <v>1</v>
      </c>
      <c r="J7313" s="44" t="str">
        <f>VLOOKUP(G7313,[1]硬件清单!$F:$F,1,0)</f>
        <v>210235A2TN523CL00154</v>
      </c>
      <c r="K7313" s="66"/>
      <c r="L7313" s="44"/>
      <c r="M7313" s="64" t="s">
        <v>22368</v>
      </c>
    </row>
    <row r="7314" ht="30" customHeight="1" spans="1:13">
      <c r="A7314" s="41">
        <f>IF(C7314="","",SUBTOTAL(103,$C$2:C7314))</f>
        <v>7305</v>
      </c>
      <c r="B7314" s="67"/>
      <c r="C7314" s="58" t="s">
        <v>20331</v>
      </c>
      <c r="D7314" s="68" t="s">
        <v>19</v>
      </c>
      <c r="E7314" s="64" t="s">
        <v>22138</v>
      </c>
      <c r="F7314" s="68" t="s">
        <v>22188</v>
      </c>
      <c r="G7314" s="64" t="s">
        <v>22369</v>
      </c>
      <c r="H7314" s="68" t="s">
        <v>22370</v>
      </c>
      <c r="I7314" s="64">
        <v>1</v>
      </c>
      <c r="J7314" s="44" t="str">
        <f>VLOOKUP(G7314,[1]硬件清单!$F:$F,1,0)</f>
        <v>210235A2TN523CL000YN</v>
      </c>
      <c r="K7314" s="66"/>
      <c r="L7314" s="44"/>
      <c r="M7314" s="64" t="s">
        <v>22371</v>
      </c>
    </row>
    <row r="7315" ht="30" customHeight="1" spans="1:13">
      <c r="A7315" s="41">
        <f>IF(C7315="","",SUBTOTAL(103,$C$2:C7315))</f>
        <v>7306</v>
      </c>
      <c r="B7315" s="67"/>
      <c r="C7315" s="58" t="s">
        <v>20331</v>
      </c>
      <c r="D7315" s="68" t="s">
        <v>19</v>
      </c>
      <c r="E7315" s="64" t="s">
        <v>22138</v>
      </c>
      <c r="F7315" s="68" t="s">
        <v>22188</v>
      </c>
      <c r="G7315" s="64" t="s">
        <v>22372</v>
      </c>
      <c r="H7315" s="68" t="s">
        <v>22373</v>
      </c>
      <c r="I7315" s="64">
        <v>1</v>
      </c>
      <c r="J7315" s="44" t="str">
        <f>VLOOKUP(G7315,[1]硬件清单!$F:$F,1,0)</f>
        <v>210235A2TN523CL000YZ</v>
      </c>
      <c r="K7315" s="66"/>
      <c r="L7315" s="44"/>
      <c r="M7315" s="64" t="s">
        <v>22374</v>
      </c>
    </row>
    <row r="7316" ht="30" customHeight="1" spans="1:13">
      <c r="A7316" s="41">
        <f>IF(C7316="","",SUBTOTAL(103,$C$2:C7316))</f>
        <v>7307</v>
      </c>
      <c r="B7316" s="67"/>
      <c r="C7316" s="58" t="s">
        <v>20331</v>
      </c>
      <c r="D7316" s="68" t="s">
        <v>19</v>
      </c>
      <c r="E7316" s="64" t="s">
        <v>22138</v>
      </c>
      <c r="F7316" s="68" t="s">
        <v>22188</v>
      </c>
      <c r="G7316" s="64" t="s">
        <v>22375</v>
      </c>
      <c r="H7316" s="68" t="s">
        <v>22376</v>
      </c>
      <c r="I7316" s="64">
        <v>1</v>
      </c>
      <c r="J7316" s="44" t="str">
        <f>VLOOKUP(G7316,[1]硬件清单!$F:$F,1,0)</f>
        <v>210235A2TN523CL0018L</v>
      </c>
      <c r="K7316" s="66"/>
      <c r="L7316" s="44"/>
      <c r="M7316" s="64" t="s">
        <v>22377</v>
      </c>
    </row>
    <row r="7317" ht="30" customHeight="1" spans="1:13">
      <c r="A7317" s="41">
        <f>IF(C7317="","",SUBTOTAL(103,$C$2:C7317))</f>
        <v>7308</v>
      </c>
      <c r="B7317" s="67"/>
      <c r="C7317" s="58" t="s">
        <v>20331</v>
      </c>
      <c r="D7317" s="68" t="s">
        <v>19</v>
      </c>
      <c r="E7317" s="64" t="s">
        <v>22138</v>
      </c>
      <c r="F7317" s="68" t="s">
        <v>22188</v>
      </c>
      <c r="G7317" s="64" t="s">
        <v>22378</v>
      </c>
      <c r="H7317" s="68" t="s">
        <v>22379</v>
      </c>
      <c r="I7317" s="64">
        <v>1</v>
      </c>
      <c r="J7317" s="44" t="str">
        <f>VLOOKUP(G7317,[1]硬件清单!$F:$F,1,0)</f>
        <v>210235A2TN523CL0013C</v>
      </c>
      <c r="K7317" s="66"/>
      <c r="L7317" s="44"/>
      <c r="M7317" s="64" t="s">
        <v>22380</v>
      </c>
    </row>
    <row r="7318" ht="30" customHeight="1" spans="1:13">
      <c r="A7318" s="41">
        <f>IF(C7318="","",SUBTOTAL(103,$C$2:C7318))</f>
        <v>7309</v>
      </c>
      <c r="B7318" s="67"/>
      <c r="C7318" s="58" t="s">
        <v>20331</v>
      </c>
      <c r="D7318" s="68" t="s">
        <v>19</v>
      </c>
      <c r="E7318" s="64" t="s">
        <v>22138</v>
      </c>
      <c r="F7318" s="68" t="s">
        <v>22188</v>
      </c>
      <c r="G7318" s="64" t="s">
        <v>22381</v>
      </c>
      <c r="H7318" s="68" t="s">
        <v>22382</v>
      </c>
      <c r="I7318" s="64">
        <v>1</v>
      </c>
      <c r="J7318" s="44" t="str">
        <f>VLOOKUP(G7318,[1]硬件清单!$F:$F,1,0)</f>
        <v>210235A2TN523CL000X9</v>
      </c>
      <c r="K7318" s="66"/>
      <c r="L7318" s="44"/>
      <c r="M7318" s="64" t="s">
        <v>22383</v>
      </c>
    </row>
    <row r="7319" ht="30" customHeight="1" spans="1:13">
      <c r="A7319" s="41">
        <f>IF(C7319="","",SUBTOTAL(103,$C$2:C7319))</f>
        <v>7310</v>
      </c>
      <c r="B7319" s="67"/>
      <c r="C7319" s="58" t="s">
        <v>20331</v>
      </c>
      <c r="D7319" s="68" t="s">
        <v>19</v>
      </c>
      <c r="E7319" s="64" t="s">
        <v>22138</v>
      </c>
      <c r="F7319" s="68" t="s">
        <v>22188</v>
      </c>
      <c r="G7319" s="64" t="s">
        <v>22384</v>
      </c>
      <c r="H7319" s="68" t="s">
        <v>22385</v>
      </c>
      <c r="I7319" s="64">
        <v>1</v>
      </c>
      <c r="J7319" s="44" t="str">
        <f>VLOOKUP(G7319,[1]硬件清单!$F:$F,1,0)</f>
        <v>210235A2TN523CL000X7</v>
      </c>
      <c r="K7319" s="66"/>
      <c r="L7319" s="44"/>
      <c r="M7319" s="64" t="s">
        <v>22386</v>
      </c>
    </row>
    <row r="7320" ht="30" customHeight="1" spans="1:13">
      <c r="A7320" s="41">
        <f>IF(C7320="","",SUBTOTAL(103,$C$2:C7320))</f>
        <v>7311</v>
      </c>
      <c r="B7320" s="67"/>
      <c r="C7320" s="58" t="s">
        <v>20331</v>
      </c>
      <c r="D7320" s="68" t="s">
        <v>19</v>
      </c>
      <c r="E7320" s="64" t="s">
        <v>22138</v>
      </c>
      <c r="F7320" s="68" t="s">
        <v>22188</v>
      </c>
      <c r="G7320" s="64" t="s">
        <v>22387</v>
      </c>
      <c r="H7320" s="68" t="s">
        <v>22388</v>
      </c>
      <c r="I7320" s="64">
        <v>1</v>
      </c>
      <c r="J7320" s="44" t="str">
        <f>VLOOKUP(G7320,[1]硬件清单!$F:$F,1,0)</f>
        <v>210235A2TN523CL0013D</v>
      </c>
      <c r="K7320" s="66"/>
      <c r="L7320" s="44" t="s">
        <v>17</v>
      </c>
      <c r="M7320" s="64" t="s">
        <v>22389</v>
      </c>
    </row>
    <row r="7321" ht="30" customHeight="1" spans="1:13">
      <c r="A7321" s="41">
        <f>IF(C7321="","",SUBTOTAL(103,$C$2:C7321))</f>
        <v>7312</v>
      </c>
      <c r="B7321" s="67"/>
      <c r="C7321" s="58" t="s">
        <v>20331</v>
      </c>
      <c r="D7321" s="68" t="s">
        <v>19</v>
      </c>
      <c r="E7321" s="64" t="s">
        <v>22138</v>
      </c>
      <c r="F7321" s="68" t="s">
        <v>22188</v>
      </c>
      <c r="G7321" s="64" t="s">
        <v>22390</v>
      </c>
      <c r="H7321" s="68" t="s">
        <v>22391</v>
      </c>
      <c r="I7321" s="64">
        <v>1</v>
      </c>
      <c r="J7321" s="44" t="str">
        <f>VLOOKUP(G7321,[1]硬件清单!$F:$F,1,0)</f>
        <v>210235A2TN523CL0017C</v>
      </c>
      <c r="K7321" s="66"/>
      <c r="L7321" s="44" t="s">
        <v>17</v>
      </c>
      <c r="M7321" s="64" t="s">
        <v>22392</v>
      </c>
    </row>
    <row r="7322" ht="30" customHeight="1" spans="1:13">
      <c r="A7322" s="41">
        <f>IF(C7322="","",SUBTOTAL(103,$C$2:C7322))</f>
        <v>7313</v>
      </c>
      <c r="B7322" s="67"/>
      <c r="C7322" s="58" t="s">
        <v>20331</v>
      </c>
      <c r="D7322" s="68" t="s">
        <v>19</v>
      </c>
      <c r="E7322" s="64" t="s">
        <v>22138</v>
      </c>
      <c r="F7322" s="68" t="s">
        <v>22188</v>
      </c>
      <c r="G7322" s="64" t="s">
        <v>22393</v>
      </c>
      <c r="H7322" s="68" t="s">
        <v>22394</v>
      </c>
      <c r="I7322" s="64">
        <v>1</v>
      </c>
      <c r="J7322" s="44" t="str">
        <f>VLOOKUP(G7322,[1]硬件清单!$F:$F,1,0)</f>
        <v>210235A2TN523CL0010Q</v>
      </c>
      <c r="K7322" s="66"/>
      <c r="L7322" s="44" t="s">
        <v>17</v>
      </c>
      <c r="M7322" s="64" t="s">
        <v>22395</v>
      </c>
    </row>
    <row r="7323" ht="30" customHeight="1" spans="1:13">
      <c r="A7323" s="41">
        <f>IF(C7323="","",SUBTOTAL(103,$C$2:C7323))</f>
        <v>7314</v>
      </c>
      <c r="B7323" s="67"/>
      <c r="C7323" s="58" t="s">
        <v>20331</v>
      </c>
      <c r="D7323" s="68" t="s">
        <v>19</v>
      </c>
      <c r="E7323" s="64" t="s">
        <v>22138</v>
      </c>
      <c r="F7323" s="68" t="s">
        <v>22188</v>
      </c>
      <c r="G7323" s="64" t="s">
        <v>22396</v>
      </c>
      <c r="H7323" s="68" t="s">
        <v>22397</v>
      </c>
      <c r="I7323" s="64">
        <v>1</v>
      </c>
      <c r="J7323" s="44" t="str">
        <f>VLOOKUP(G7323,[1]硬件清单!$F:$F,1,0)</f>
        <v>210235A2TN523CL0010V</v>
      </c>
      <c r="K7323" s="66"/>
      <c r="L7323" s="44" t="s">
        <v>17</v>
      </c>
      <c r="M7323" s="64" t="s">
        <v>22398</v>
      </c>
    </row>
    <row r="7324" ht="30" customHeight="1" spans="1:13">
      <c r="A7324" s="41">
        <f>IF(C7324="","",SUBTOTAL(103,$C$2:C7324))</f>
        <v>7315</v>
      </c>
      <c r="B7324" s="67"/>
      <c r="C7324" s="58" t="s">
        <v>20331</v>
      </c>
      <c r="D7324" s="68" t="s">
        <v>19</v>
      </c>
      <c r="E7324" s="64" t="s">
        <v>22138</v>
      </c>
      <c r="F7324" s="68" t="s">
        <v>22188</v>
      </c>
      <c r="G7324" s="64" t="s">
        <v>22399</v>
      </c>
      <c r="H7324" s="68" t="s">
        <v>22400</v>
      </c>
      <c r="I7324" s="64">
        <v>1</v>
      </c>
      <c r="J7324" s="44" t="str">
        <f>VLOOKUP(G7324,[1]硬件清单!$F:$F,1,0)</f>
        <v>210235A2TN523CL0012D</v>
      </c>
      <c r="K7324" s="66"/>
      <c r="L7324" s="44"/>
      <c r="M7324" s="64" t="s">
        <v>22401</v>
      </c>
    </row>
    <row r="7325" ht="30" customHeight="1" spans="1:13">
      <c r="A7325" s="41">
        <f>IF(C7325="","",SUBTOTAL(103,$C$2:C7325))</f>
        <v>7316</v>
      </c>
      <c r="B7325" s="67"/>
      <c r="C7325" s="58" t="s">
        <v>20331</v>
      </c>
      <c r="D7325" s="68" t="s">
        <v>19</v>
      </c>
      <c r="E7325" s="64" t="s">
        <v>22138</v>
      </c>
      <c r="F7325" s="68" t="s">
        <v>22188</v>
      </c>
      <c r="G7325" s="64" t="s">
        <v>22402</v>
      </c>
      <c r="H7325" s="68" t="s">
        <v>22403</v>
      </c>
      <c r="I7325" s="64">
        <v>1</v>
      </c>
      <c r="J7325" s="44" t="str">
        <f>VLOOKUP(G7325,[1]硬件清单!$F:$F,1,0)</f>
        <v>210235A2TN523CL00189</v>
      </c>
      <c r="K7325" s="66"/>
      <c r="L7325" s="44"/>
      <c r="M7325" s="64" t="s">
        <v>22404</v>
      </c>
    </row>
    <row r="7326" ht="30" customHeight="1" spans="1:13">
      <c r="A7326" s="41">
        <f>IF(C7326="","",SUBTOTAL(103,$C$2:C7326))</f>
        <v>7317</v>
      </c>
      <c r="B7326" s="67"/>
      <c r="C7326" s="58" t="s">
        <v>20331</v>
      </c>
      <c r="D7326" s="68" t="s">
        <v>19</v>
      </c>
      <c r="E7326" s="64" t="s">
        <v>22138</v>
      </c>
      <c r="F7326" s="68" t="s">
        <v>22405</v>
      </c>
      <c r="G7326" s="64" t="s">
        <v>22406</v>
      </c>
      <c r="H7326" s="68" t="s">
        <v>22407</v>
      </c>
      <c r="I7326" s="64">
        <v>1</v>
      </c>
      <c r="J7326" s="44" t="str">
        <f>VLOOKUP(G7326,[1]硬件清单!$F:$F,1,0)</f>
        <v>1023CB559455</v>
      </c>
      <c r="K7326" s="66"/>
      <c r="L7326" s="44" t="s">
        <v>17</v>
      </c>
      <c r="M7326" s="64" t="s">
        <v>22408</v>
      </c>
    </row>
    <row r="7327" ht="30" customHeight="1" spans="1:13">
      <c r="A7327" s="41">
        <f>IF(C7327="","",SUBTOTAL(103,$C$2:C7327))</f>
        <v>7318</v>
      </c>
      <c r="B7327" s="67"/>
      <c r="C7327" s="58" t="s">
        <v>20331</v>
      </c>
      <c r="D7327" s="68" t="s">
        <v>19</v>
      </c>
      <c r="E7327" s="64" t="s">
        <v>22138</v>
      </c>
      <c r="F7327" s="68" t="s">
        <v>22405</v>
      </c>
      <c r="G7327" s="64" t="s">
        <v>22409</v>
      </c>
      <c r="H7327" s="68" t="s">
        <v>22410</v>
      </c>
      <c r="I7327" s="64">
        <v>1</v>
      </c>
      <c r="J7327" s="44" t="str">
        <f>VLOOKUP(G7327,[1]硬件清单!$F:$F,1,0)</f>
        <v>1023CB559462</v>
      </c>
      <c r="K7327" s="66"/>
      <c r="L7327" s="44" t="s">
        <v>17</v>
      </c>
      <c r="M7327" s="64" t="s">
        <v>22411</v>
      </c>
    </row>
    <row r="7328" ht="30" customHeight="1" spans="1:13">
      <c r="A7328" s="41">
        <f>IF(C7328="","",SUBTOTAL(103,$C$2:C7328))</f>
        <v>7319</v>
      </c>
      <c r="B7328" s="67"/>
      <c r="C7328" s="58" t="s">
        <v>20331</v>
      </c>
      <c r="D7328" s="68" t="s">
        <v>19</v>
      </c>
      <c r="E7328" s="64" t="s">
        <v>22138</v>
      </c>
      <c r="F7328" s="68" t="s">
        <v>22405</v>
      </c>
      <c r="G7328" s="64" t="s">
        <v>22412</v>
      </c>
      <c r="H7328" s="68" t="s">
        <v>22413</v>
      </c>
      <c r="I7328" s="64">
        <v>1</v>
      </c>
      <c r="J7328" s="44" t="str">
        <f>VLOOKUP(G7328,[1]硬件清单!$F:$F,1,0)</f>
        <v>1023CB559466</v>
      </c>
      <c r="K7328" s="66"/>
      <c r="L7328" s="44" t="s">
        <v>17</v>
      </c>
      <c r="M7328" s="64" t="s">
        <v>22414</v>
      </c>
    </row>
    <row r="7329" ht="30" customHeight="1" spans="1:13">
      <c r="A7329" s="41">
        <f>IF(C7329="","",SUBTOTAL(103,$C$2:C7329))</f>
        <v>7320</v>
      </c>
      <c r="B7329" s="67"/>
      <c r="C7329" s="58" t="s">
        <v>20331</v>
      </c>
      <c r="D7329" s="68" t="s">
        <v>19</v>
      </c>
      <c r="E7329" s="64" t="s">
        <v>22138</v>
      </c>
      <c r="F7329" s="68" t="s">
        <v>22405</v>
      </c>
      <c r="G7329" s="64" t="s">
        <v>22415</v>
      </c>
      <c r="H7329" s="68" t="s">
        <v>22416</v>
      </c>
      <c r="I7329" s="64">
        <v>1</v>
      </c>
      <c r="J7329" s="44" t="str">
        <f>VLOOKUP(G7329,[1]硬件清单!$F:$F,1,0)</f>
        <v>1023CB559454</v>
      </c>
      <c r="K7329" s="66"/>
      <c r="L7329" s="44" t="s">
        <v>17</v>
      </c>
      <c r="M7329" s="64" t="s">
        <v>22417</v>
      </c>
    </row>
    <row r="7330" ht="30" customHeight="1" spans="1:13">
      <c r="A7330" s="41">
        <f>IF(C7330="","",SUBTOTAL(103,$C$2:C7330))</f>
        <v>7321</v>
      </c>
      <c r="B7330" s="67"/>
      <c r="C7330" s="58" t="s">
        <v>20331</v>
      </c>
      <c r="D7330" s="68" t="s">
        <v>19</v>
      </c>
      <c r="E7330" s="64" t="s">
        <v>22138</v>
      </c>
      <c r="F7330" s="68" t="s">
        <v>22405</v>
      </c>
      <c r="G7330" s="64" t="s">
        <v>22418</v>
      </c>
      <c r="H7330" s="68" t="s">
        <v>22419</v>
      </c>
      <c r="I7330" s="64">
        <v>1</v>
      </c>
      <c r="J7330" s="44" t="str">
        <f>VLOOKUP(G7330,[1]硬件清单!$F:$F,1,0)</f>
        <v>1023CB559453</v>
      </c>
      <c r="K7330" s="66"/>
      <c r="L7330" s="44" t="s">
        <v>17</v>
      </c>
      <c r="M7330" s="64" t="s">
        <v>22420</v>
      </c>
    </row>
    <row r="7331" ht="30" customHeight="1" spans="1:13">
      <c r="A7331" s="41">
        <f>IF(C7331="","",SUBTOTAL(103,$C$2:C7331))</f>
        <v>7322</v>
      </c>
      <c r="B7331" s="67"/>
      <c r="C7331" s="58" t="s">
        <v>20331</v>
      </c>
      <c r="D7331" s="68" t="s">
        <v>19</v>
      </c>
      <c r="E7331" s="64" t="s">
        <v>22138</v>
      </c>
      <c r="F7331" s="68" t="s">
        <v>22405</v>
      </c>
      <c r="G7331" s="64" t="s">
        <v>22421</v>
      </c>
      <c r="H7331" s="68" t="s">
        <v>22422</v>
      </c>
      <c r="I7331" s="64">
        <v>1</v>
      </c>
      <c r="J7331" s="44" t="str">
        <f>VLOOKUP(G7331,[1]硬件清单!$F:$F,1,0)</f>
        <v>1023CB559467</v>
      </c>
      <c r="K7331" s="66"/>
      <c r="L7331" s="44" t="s">
        <v>17</v>
      </c>
      <c r="M7331" s="64" t="s">
        <v>22423</v>
      </c>
    </row>
    <row r="7332" ht="30" customHeight="1" spans="1:13">
      <c r="A7332" s="41">
        <f>IF(C7332="","",SUBTOTAL(103,$C$2:C7332))</f>
        <v>7323</v>
      </c>
      <c r="B7332" s="67"/>
      <c r="C7332" s="58" t="s">
        <v>20331</v>
      </c>
      <c r="D7332" s="68" t="s">
        <v>19</v>
      </c>
      <c r="E7332" s="64" t="s">
        <v>22138</v>
      </c>
      <c r="F7332" s="68" t="s">
        <v>22405</v>
      </c>
      <c r="G7332" s="64" t="s">
        <v>22424</v>
      </c>
      <c r="H7332" s="68" t="s">
        <v>22425</v>
      </c>
      <c r="I7332" s="64">
        <v>1</v>
      </c>
      <c r="J7332" s="44" t="str">
        <f>VLOOKUP(G7332,[1]硬件清单!$F:$F,1,0)</f>
        <v>1023CB559463</v>
      </c>
      <c r="K7332" s="66"/>
      <c r="L7332" s="44" t="s">
        <v>17</v>
      </c>
      <c r="M7332" s="64" t="s">
        <v>22426</v>
      </c>
    </row>
    <row r="7333" ht="30" customHeight="1" spans="1:13">
      <c r="A7333" s="41">
        <f>IF(C7333="","",SUBTOTAL(103,$C$2:C7333))</f>
        <v>7324</v>
      </c>
      <c r="B7333" s="67"/>
      <c r="C7333" s="58" t="s">
        <v>20331</v>
      </c>
      <c r="D7333" s="68" t="s">
        <v>19</v>
      </c>
      <c r="E7333" s="64" t="s">
        <v>22138</v>
      </c>
      <c r="F7333" s="68" t="s">
        <v>22405</v>
      </c>
      <c r="G7333" s="64" t="s">
        <v>22427</v>
      </c>
      <c r="H7333" s="68" t="s">
        <v>22428</v>
      </c>
      <c r="I7333" s="64">
        <v>1</v>
      </c>
      <c r="J7333" s="44" t="str">
        <f>VLOOKUP(G7333,[1]硬件清单!$F:$F,1,0)</f>
        <v>1023CB559460</v>
      </c>
      <c r="K7333" s="66"/>
      <c r="L7333" s="44" t="s">
        <v>17</v>
      </c>
      <c r="M7333" s="64" t="s">
        <v>22429</v>
      </c>
    </row>
    <row r="7334" ht="30" customHeight="1" spans="1:13">
      <c r="A7334" s="41">
        <f>IF(C7334="","",SUBTOTAL(103,$C$2:C7334))</f>
        <v>7325</v>
      </c>
      <c r="B7334" s="67"/>
      <c r="C7334" s="58" t="s">
        <v>20331</v>
      </c>
      <c r="D7334" s="68" t="s">
        <v>19</v>
      </c>
      <c r="E7334" s="64" t="s">
        <v>22138</v>
      </c>
      <c r="F7334" s="68" t="s">
        <v>22405</v>
      </c>
      <c r="G7334" s="64" t="s">
        <v>22430</v>
      </c>
      <c r="H7334" s="68" t="s">
        <v>22431</v>
      </c>
      <c r="I7334" s="64">
        <v>1</v>
      </c>
      <c r="J7334" s="44" t="str">
        <f>VLOOKUP(G7334,[1]硬件清单!$F:$F,1,0)</f>
        <v>1023CB559458</v>
      </c>
      <c r="K7334" s="66"/>
      <c r="L7334" s="44" t="s">
        <v>17</v>
      </c>
      <c r="M7334" s="64" t="s">
        <v>22432</v>
      </c>
    </row>
    <row r="7335" ht="30" customHeight="1" spans="1:13">
      <c r="A7335" s="41">
        <f>IF(C7335="","",SUBTOTAL(103,$C$2:C7335))</f>
        <v>7326</v>
      </c>
      <c r="B7335" s="67"/>
      <c r="C7335" s="58" t="s">
        <v>20331</v>
      </c>
      <c r="D7335" s="68" t="s">
        <v>19</v>
      </c>
      <c r="E7335" s="64" t="s">
        <v>22138</v>
      </c>
      <c r="F7335" s="68" t="s">
        <v>22405</v>
      </c>
      <c r="G7335" s="64" t="s">
        <v>22433</v>
      </c>
      <c r="H7335" s="68" t="s">
        <v>22434</v>
      </c>
      <c r="I7335" s="64">
        <v>1</v>
      </c>
      <c r="J7335" s="44" t="str">
        <f>VLOOKUP(G7335,[1]硬件清单!$F:$F,1,0)</f>
        <v>1023CB559459</v>
      </c>
      <c r="K7335" s="66"/>
      <c r="L7335" s="44" t="s">
        <v>17</v>
      </c>
      <c r="M7335" s="64" t="s">
        <v>22435</v>
      </c>
    </row>
    <row r="7336" ht="30" customHeight="1" spans="1:13">
      <c r="A7336" s="41">
        <f>IF(C7336="","",SUBTOTAL(103,$C$2:C7336))</f>
        <v>7327</v>
      </c>
      <c r="B7336" s="67"/>
      <c r="C7336" s="58" t="s">
        <v>20331</v>
      </c>
      <c r="D7336" s="68" t="s">
        <v>19</v>
      </c>
      <c r="E7336" s="64" t="s">
        <v>22138</v>
      </c>
      <c r="F7336" s="68" t="s">
        <v>22405</v>
      </c>
      <c r="G7336" s="64" t="s">
        <v>22436</v>
      </c>
      <c r="H7336" s="68" t="s">
        <v>22437</v>
      </c>
      <c r="I7336" s="64">
        <v>1</v>
      </c>
      <c r="J7336" s="44" t="str">
        <f>VLOOKUP(G7336,[1]硬件清单!$F:$F,1,0)</f>
        <v>1023CB559456</v>
      </c>
      <c r="K7336" s="66"/>
      <c r="L7336" s="44" t="s">
        <v>17</v>
      </c>
      <c r="M7336" s="64" t="s">
        <v>22438</v>
      </c>
    </row>
    <row r="7337" ht="30" customHeight="1" spans="1:13">
      <c r="A7337" s="41">
        <f>IF(C7337="","",SUBTOTAL(103,$C$2:C7337))</f>
        <v>7328</v>
      </c>
      <c r="B7337" s="67"/>
      <c r="C7337" s="58" t="s">
        <v>20331</v>
      </c>
      <c r="D7337" s="68" t="s">
        <v>19</v>
      </c>
      <c r="E7337" s="64" t="s">
        <v>22138</v>
      </c>
      <c r="F7337" s="68" t="s">
        <v>22405</v>
      </c>
      <c r="G7337" s="64" t="s">
        <v>22439</v>
      </c>
      <c r="H7337" s="68" t="s">
        <v>22440</v>
      </c>
      <c r="I7337" s="64">
        <v>1</v>
      </c>
      <c r="J7337" s="44" t="str">
        <f>VLOOKUP(G7337,[1]硬件清单!$F:$F,1,0)</f>
        <v>1023CB559461</v>
      </c>
      <c r="K7337" s="66"/>
      <c r="L7337" s="44" t="s">
        <v>17</v>
      </c>
      <c r="M7337" s="64" t="s">
        <v>22441</v>
      </c>
    </row>
    <row r="7338" ht="30" customHeight="1" spans="1:13">
      <c r="A7338" s="41">
        <f>IF(C7338="","",SUBTOTAL(103,$C$2:C7338))</f>
        <v>7329</v>
      </c>
      <c r="B7338" s="67"/>
      <c r="C7338" s="58" t="s">
        <v>20331</v>
      </c>
      <c r="D7338" s="68" t="s">
        <v>19</v>
      </c>
      <c r="E7338" s="64" t="s">
        <v>22138</v>
      </c>
      <c r="F7338" s="68" t="s">
        <v>22405</v>
      </c>
      <c r="G7338" s="64" t="s">
        <v>22442</v>
      </c>
      <c r="H7338" s="68" t="s">
        <v>22443</v>
      </c>
      <c r="I7338" s="64">
        <v>1</v>
      </c>
      <c r="J7338" s="44" t="str">
        <f>VLOOKUP(G7338,[1]硬件清单!$F:$F,1,0)</f>
        <v>1023CB559457</v>
      </c>
      <c r="K7338" s="66"/>
      <c r="L7338" s="44" t="s">
        <v>17</v>
      </c>
      <c r="M7338" s="64" t="s">
        <v>22444</v>
      </c>
    </row>
    <row r="7339" ht="30" customHeight="1" spans="1:13">
      <c r="A7339" s="41">
        <f>IF(C7339="","",SUBTOTAL(103,$C$2:C7339))</f>
        <v>7330</v>
      </c>
      <c r="B7339" s="67"/>
      <c r="C7339" s="58" t="s">
        <v>20331</v>
      </c>
      <c r="D7339" s="68" t="s">
        <v>19</v>
      </c>
      <c r="E7339" s="64" t="s">
        <v>22138</v>
      </c>
      <c r="F7339" s="68" t="s">
        <v>22405</v>
      </c>
      <c r="G7339" s="64" t="s">
        <v>22445</v>
      </c>
      <c r="H7339" s="68" t="s">
        <v>22446</v>
      </c>
      <c r="I7339" s="64">
        <v>1</v>
      </c>
      <c r="J7339" s="44" t="str">
        <f>VLOOKUP(G7339,[1]硬件清单!$F:$F,1,0)</f>
        <v>1023CB559464</v>
      </c>
      <c r="K7339" s="66"/>
      <c r="L7339" s="44" t="s">
        <v>17</v>
      </c>
      <c r="M7339" s="64" t="s">
        <v>22447</v>
      </c>
    </row>
    <row r="7340" ht="30" customHeight="1" spans="1:13">
      <c r="A7340" s="41">
        <f>IF(C7340="","",SUBTOTAL(103,$C$2:C7340))</f>
        <v>7331</v>
      </c>
      <c r="B7340" s="67"/>
      <c r="C7340" s="58" t="s">
        <v>20331</v>
      </c>
      <c r="D7340" s="68" t="s">
        <v>19</v>
      </c>
      <c r="E7340" s="64" t="s">
        <v>22138</v>
      </c>
      <c r="F7340" s="68" t="s">
        <v>22448</v>
      </c>
      <c r="G7340" s="64" t="s">
        <v>22449</v>
      </c>
      <c r="H7340" s="68" t="s">
        <v>22450</v>
      </c>
      <c r="I7340" s="64">
        <v>1</v>
      </c>
      <c r="J7340" s="44" t="str">
        <f>VLOOKUP(G7340,[1]硬件清单!$F:$F,1,0)</f>
        <v>4E23C0182528</v>
      </c>
      <c r="K7340" s="66"/>
      <c r="L7340" s="44"/>
      <c r="M7340" s="64" t="s">
        <v>22451</v>
      </c>
    </row>
    <row r="7341" ht="30" customHeight="1" spans="1:13">
      <c r="A7341" s="41">
        <f>IF(C7341="","",SUBTOTAL(103,$C$2:C7341))</f>
        <v>7332</v>
      </c>
      <c r="B7341" s="67"/>
      <c r="C7341" s="58" t="s">
        <v>20331</v>
      </c>
      <c r="D7341" s="68" t="s">
        <v>19</v>
      </c>
      <c r="E7341" s="64" t="s">
        <v>22138</v>
      </c>
      <c r="F7341" s="68" t="s">
        <v>22448</v>
      </c>
      <c r="G7341" s="64" t="s">
        <v>22452</v>
      </c>
      <c r="H7341" s="68" t="s">
        <v>22453</v>
      </c>
      <c r="I7341" s="64">
        <v>1</v>
      </c>
      <c r="J7341" s="44" t="str">
        <f>VLOOKUP(G7341,[1]硬件清单!$F:$F,1,0)</f>
        <v>4E23B0085231</v>
      </c>
      <c r="K7341" s="66"/>
      <c r="L7341" s="44"/>
      <c r="M7341" s="64" t="s">
        <v>22454</v>
      </c>
    </row>
    <row r="7342" ht="30" customHeight="1" spans="1:13">
      <c r="A7342" s="41">
        <f>IF(C7342="","",SUBTOTAL(103,$C$2:C7342))</f>
        <v>7333</v>
      </c>
      <c r="B7342" s="67"/>
      <c r="C7342" s="58" t="s">
        <v>20331</v>
      </c>
      <c r="D7342" s="68" t="s">
        <v>19</v>
      </c>
      <c r="E7342" s="64" t="s">
        <v>22138</v>
      </c>
      <c r="F7342" s="68" t="s">
        <v>22448</v>
      </c>
      <c r="G7342" s="64" t="s">
        <v>22455</v>
      </c>
      <c r="H7342" s="68" t="s">
        <v>22456</v>
      </c>
      <c r="I7342" s="64">
        <v>1</v>
      </c>
      <c r="J7342" s="44" t="str">
        <f>VLOOKUP(G7342,[1]硬件清单!$F:$F,1,0)</f>
        <v>4E23B0085233</v>
      </c>
      <c r="K7342" s="66"/>
      <c r="L7342" s="44"/>
      <c r="M7342" s="64" t="s">
        <v>22457</v>
      </c>
    </row>
    <row r="7343" ht="30" customHeight="1" spans="1:13">
      <c r="A7343" s="41">
        <f>IF(C7343="","",SUBTOTAL(103,$C$2:C7343))</f>
        <v>7334</v>
      </c>
      <c r="B7343" s="67"/>
      <c r="C7343" s="58" t="s">
        <v>20331</v>
      </c>
      <c r="D7343" s="68" t="s">
        <v>19</v>
      </c>
      <c r="E7343" s="64" t="s">
        <v>22138</v>
      </c>
      <c r="F7343" s="68" t="s">
        <v>22448</v>
      </c>
      <c r="G7343" s="64" t="s">
        <v>22458</v>
      </c>
      <c r="H7343" s="68" t="s">
        <v>22459</v>
      </c>
      <c r="I7343" s="64">
        <v>1</v>
      </c>
      <c r="J7343" s="44" t="str">
        <f>VLOOKUP(G7343,[1]硬件清单!$F:$F,1,0)</f>
        <v>4E23C0168123</v>
      </c>
      <c r="K7343" s="66"/>
      <c r="L7343" s="44"/>
      <c r="M7343" s="64" t="s">
        <v>22460</v>
      </c>
    </row>
    <row r="7344" ht="30" customHeight="1" spans="1:13">
      <c r="A7344" s="41">
        <f>IF(C7344="","",SUBTOTAL(103,$C$2:C7344))</f>
        <v>7335</v>
      </c>
      <c r="B7344" s="67"/>
      <c r="C7344" s="58" t="s">
        <v>20331</v>
      </c>
      <c r="D7344" s="68" t="s">
        <v>19</v>
      </c>
      <c r="E7344" s="64" t="s">
        <v>22138</v>
      </c>
      <c r="F7344" s="68" t="s">
        <v>22448</v>
      </c>
      <c r="G7344" s="64" t="s">
        <v>22461</v>
      </c>
      <c r="H7344" s="68" t="s">
        <v>22462</v>
      </c>
      <c r="I7344" s="64">
        <v>1</v>
      </c>
      <c r="J7344" s="44" t="str">
        <f>VLOOKUP(G7344,[1]硬件清单!$F:$F,1,0)</f>
        <v>4E23C0168175</v>
      </c>
      <c r="K7344" s="66"/>
      <c r="L7344" s="44"/>
      <c r="M7344" s="64" t="s">
        <v>22463</v>
      </c>
    </row>
    <row r="7345" ht="30" customHeight="1" spans="1:13">
      <c r="A7345" s="41">
        <f>IF(C7345="","",SUBTOTAL(103,$C$2:C7345))</f>
        <v>7336</v>
      </c>
      <c r="B7345" s="67"/>
      <c r="C7345" s="58" t="s">
        <v>20331</v>
      </c>
      <c r="D7345" s="68" t="s">
        <v>19</v>
      </c>
      <c r="E7345" s="64" t="s">
        <v>22138</v>
      </c>
      <c r="F7345" s="68" t="s">
        <v>22448</v>
      </c>
      <c r="G7345" s="64" t="s">
        <v>22464</v>
      </c>
      <c r="H7345" s="68" t="s">
        <v>22465</v>
      </c>
      <c r="I7345" s="64">
        <v>1</v>
      </c>
      <c r="J7345" s="44" t="str">
        <f>VLOOKUP(G7345,[1]硬件清单!$F:$F,1,0)</f>
        <v>4E23C0168137</v>
      </c>
      <c r="K7345" s="66"/>
      <c r="L7345" s="44"/>
      <c r="M7345" s="64" t="s">
        <v>22466</v>
      </c>
    </row>
    <row r="7346" ht="30" customHeight="1" spans="1:13">
      <c r="A7346" s="41">
        <f>IF(C7346="","",SUBTOTAL(103,$C$2:C7346))</f>
        <v>7337</v>
      </c>
      <c r="B7346" s="67"/>
      <c r="C7346" s="58" t="s">
        <v>20331</v>
      </c>
      <c r="D7346" s="68" t="s">
        <v>19</v>
      </c>
      <c r="E7346" s="64" t="s">
        <v>22138</v>
      </c>
      <c r="F7346" s="68" t="s">
        <v>22448</v>
      </c>
      <c r="G7346" s="64" t="s">
        <v>22467</v>
      </c>
      <c r="H7346" s="68" t="s">
        <v>22468</v>
      </c>
      <c r="I7346" s="64">
        <v>1</v>
      </c>
      <c r="J7346" s="44" t="str">
        <f>VLOOKUP(G7346,[1]硬件清单!$F:$F,1,0)</f>
        <v>4E23C0182550</v>
      </c>
      <c r="K7346" s="66"/>
      <c r="L7346" s="44"/>
      <c r="M7346" s="64" t="s">
        <v>22469</v>
      </c>
    </row>
    <row r="7347" ht="30" customHeight="1" spans="1:13">
      <c r="A7347" s="41">
        <f>IF(C7347="","",SUBTOTAL(103,$C$2:C7347))</f>
        <v>7338</v>
      </c>
      <c r="B7347" s="67"/>
      <c r="C7347" s="58" t="s">
        <v>20331</v>
      </c>
      <c r="D7347" s="68" t="s">
        <v>19</v>
      </c>
      <c r="E7347" s="64" t="s">
        <v>22138</v>
      </c>
      <c r="F7347" s="68" t="s">
        <v>22448</v>
      </c>
      <c r="G7347" s="64" t="s">
        <v>22470</v>
      </c>
      <c r="H7347" s="68" t="s">
        <v>22471</v>
      </c>
      <c r="I7347" s="64">
        <v>1</v>
      </c>
      <c r="J7347" s="44" t="str">
        <f>VLOOKUP(G7347,[1]硬件清单!$F:$F,1,0)</f>
        <v>4E23B0085278</v>
      </c>
      <c r="K7347" s="66"/>
      <c r="L7347" s="44"/>
      <c r="M7347" s="64" t="s">
        <v>22472</v>
      </c>
    </row>
    <row r="7348" ht="30" customHeight="1" spans="1:13">
      <c r="A7348" s="41">
        <f>IF(C7348="","",SUBTOTAL(103,$C$2:C7348))</f>
        <v>7339</v>
      </c>
      <c r="B7348" s="67"/>
      <c r="C7348" s="58" t="s">
        <v>20331</v>
      </c>
      <c r="D7348" s="68" t="s">
        <v>19</v>
      </c>
      <c r="E7348" s="64" t="s">
        <v>22138</v>
      </c>
      <c r="F7348" s="68" t="s">
        <v>22448</v>
      </c>
      <c r="G7348" s="64" t="s">
        <v>22473</v>
      </c>
      <c r="H7348" s="68" t="s">
        <v>22474</v>
      </c>
      <c r="I7348" s="64">
        <v>1</v>
      </c>
      <c r="J7348" s="44" t="str">
        <f>VLOOKUP(G7348,[1]硬件清单!$F:$F,1,0)</f>
        <v>4E23C0168266</v>
      </c>
      <c r="K7348" s="66"/>
      <c r="L7348" s="44"/>
      <c r="M7348" s="64" t="s">
        <v>22475</v>
      </c>
    </row>
    <row r="7349" ht="30" customHeight="1" spans="1:13">
      <c r="A7349" s="41">
        <f>IF(C7349="","",SUBTOTAL(103,$C$2:C7349))</f>
        <v>7340</v>
      </c>
      <c r="B7349" s="67"/>
      <c r="C7349" s="58" t="s">
        <v>20331</v>
      </c>
      <c r="D7349" s="68" t="s">
        <v>19</v>
      </c>
      <c r="E7349" s="64" t="s">
        <v>22138</v>
      </c>
      <c r="F7349" s="68" t="s">
        <v>22448</v>
      </c>
      <c r="G7349" s="64" t="s">
        <v>22476</v>
      </c>
      <c r="H7349" s="68" t="s">
        <v>22477</v>
      </c>
      <c r="I7349" s="64">
        <v>1</v>
      </c>
      <c r="J7349" s="44" t="str">
        <f>VLOOKUP(G7349,[1]硬件清单!$F:$F,1,0)</f>
        <v>4E23C0168521</v>
      </c>
      <c r="K7349" s="66"/>
      <c r="L7349" s="44"/>
      <c r="M7349" s="64" t="s">
        <v>22478</v>
      </c>
    </row>
    <row r="7350" ht="30" customHeight="1" spans="1:13">
      <c r="A7350" s="41">
        <f>IF(C7350="","",SUBTOTAL(103,$C$2:C7350))</f>
        <v>7341</v>
      </c>
      <c r="B7350" s="67"/>
      <c r="C7350" s="58" t="s">
        <v>20331</v>
      </c>
      <c r="D7350" s="68" t="s">
        <v>19</v>
      </c>
      <c r="E7350" s="64" t="s">
        <v>22138</v>
      </c>
      <c r="F7350" s="68" t="s">
        <v>22448</v>
      </c>
      <c r="G7350" s="64" t="s">
        <v>22479</v>
      </c>
      <c r="H7350" s="68" t="s">
        <v>22480</v>
      </c>
      <c r="I7350" s="64">
        <v>1</v>
      </c>
      <c r="J7350" s="44" t="str">
        <f>VLOOKUP(G7350,[1]硬件清单!$F:$F,1,0)</f>
        <v>4E23C0182572</v>
      </c>
      <c r="K7350" s="66"/>
      <c r="L7350" s="44"/>
      <c r="M7350" s="64" t="s">
        <v>22481</v>
      </c>
    </row>
    <row r="7351" ht="30" customHeight="1" spans="1:13">
      <c r="A7351" s="41">
        <f>IF(C7351="","",SUBTOTAL(103,$C$2:C7351))</f>
        <v>7342</v>
      </c>
      <c r="B7351" s="67"/>
      <c r="C7351" s="58" t="s">
        <v>20331</v>
      </c>
      <c r="D7351" s="68" t="s">
        <v>19</v>
      </c>
      <c r="E7351" s="64" t="s">
        <v>22138</v>
      </c>
      <c r="F7351" s="68" t="s">
        <v>22448</v>
      </c>
      <c r="G7351" s="64" t="s">
        <v>22482</v>
      </c>
      <c r="H7351" s="68" t="s">
        <v>22483</v>
      </c>
      <c r="I7351" s="64">
        <v>1</v>
      </c>
      <c r="J7351" s="44" t="str">
        <f>VLOOKUP(G7351,[1]硬件清单!$F:$F,1,0)</f>
        <v>4E23C0182358</v>
      </c>
      <c r="K7351" s="66"/>
      <c r="L7351" s="44"/>
      <c r="M7351" s="64" t="s">
        <v>22484</v>
      </c>
    </row>
    <row r="7352" ht="30" customHeight="1" spans="1:13">
      <c r="A7352" s="41">
        <f>IF(C7352="","",SUBTOTAL(103,$C$2:C7352))</f>
        <v>7343</v>
      </c>
      <c r="B7352" s="67"/>
      <c r="C7352" s="58" t="s">
        <v>20331</v>
      </c>
      <c r="D7352" s="68" t="s">
        <v>19</v>
      </c>
      <c r="E7352" s="64" t="s">
        <v>22138</v>
      </c>
      <c r="F7352" s="68" t="s">
        <v>22448</v>
      </c>
      <c r="G7352" s="64" t="s">
        <v>22485</v>
      </c>
      <c r="H7352" s="68" t="s">
        <v>22486</v>
      </c>
      <c r="I7352" s="64">
        <v>1</v>
      </c>
      <c r="J7352" s="44" t="str">
        <f>VLOOKUP(G7352,[1]硬件清单!$F:$F,1,0)</f>
        <v>4E23C0168317</v>
      </c>
      <c r="K7352" s="66"/>
      <c r="L7352" s="44"/>
      <c r="M7352" s="64" t="s">
        <v>22487</v>
      </c>
    </row>
    <row r="7353" ht="30" customHeight="1" spans="1:13">
      <c r="A7353" s="41">
        <f>IF(C7353="","",SUBTOTAL(103,$C$2:C7353))</f>
        <v>7344</v>
      </c>
      <c r="B7353" s="67"/>
      <c r="C7353" s="58" t="s">
        <v>20331</v>
      </c>
      <c r="D7353" s="68" t="s">
        <v>19</v>
      </c>
      <c r="E7353" s="64" t="s">
        <v>22138</v>
      </c>
      <c r="F7353" s="68" t="s">
        <v>22448</v>
      </c>
      <c r="G7353" s="64" t="s">
        <v>22488</v>
      </c>
      <c r="H7353" s="68" t="s">
        <v>22489</v>
      </c>
      <c r="I7353" s="64">
        <v>1</v>
      </c>
      <c r="J7353" s="44" t="str">
        <f>VLOOKUP(G7353,[1]硬件清单!$F:$F,1,0)</f>
        <v>4E23C0168517</v>
      </c>
      <c r="K7353" s="66"/>
      <c r="L7353" s="44"/>
      <c r="M7353" s="64" t="s">
        <v>22490</v>
      </c>
    </row>
    <row r="7354" ht="30" customHeight="1" spans="1:13">
      <c r="A7354" s="41">
        <f>IF(C7354="","",SUBTOTAL(103,$C$2:C7354))</f>
        <v>7345</v>
      </c>
      <c r="B7354" s="67"/>
      <c r="C7354" s="58" t="s">
        <v>20331</v>
      </c>
      <c r="D7354" s="68" t="s">
        <v>19</v>
      </c>
      <c r="E7354" s="64" t="s">
        <v>22138</v>
      </c>
      <c r="F7354" s="68" t="s">
        <v>22448</v>
      </c>
      <c r="G7354" s="64" t="s">
        <v>22491</v>
      </c>
      <c r="H7354" s="68" t="s">
        <v>22492</v>
      </c>
      <c r="I7354" s="64">
        <v>1</v>
      </c>
      <c r="J7354" s="44" t="str">
        <f>VLOOKUP(G7354,[1]硬件清单!$F:$F,1,0)</f>
        <v>4E23C0168243</v>
      </c>
      <c r="K7354" s="66"/>
      <c r="L7354" s="44"/>
      <c r="M7354" s="64" t="s">
        <v>22493</v>
      </c>
    </row>
    <row r="7355" ht="30" customHeight="1" spans="1:13">
      <c r="A7355" s="41">
        <f>IF(C7355="","",SUBTOTAL(103,$C$2:C7355))</f>
        <v>7346</v>
      </c>
      <c r="B7355" s="67"/>
      <c r="C7355" s="58" t="s">
        <v>20331</v>
      </c>
      <c r="D7355" s="68" t="s">
        <v>19</v>
      </c>
      <c r="E7355" s="64" t="s">
        <v>22138</v>
      </c>
      <c r="F7355" s="68" t="s">
        <v>22448</v>
      </c>
      <c r="G7355" s="64" t="s">
        <v>22494</v>
      </c>
      <c r="H7355" s="68" t="s">
        <v>22495</v>
      </c>
      <c r="I7355" s="64">
        <v>1</v>
      </c>
      <c r="J7355" s="44" t="str">
        <f>VLOOKUP(G7355,[1]硬件清单!$F:$F,1,0)</f>
        <v>4E23B0085083</v>
      </c>
      <c r="K7355" s="66"/>
      <c r="L7355" s="44"/>
      <c r="M7355" s="64" t="s">
        <v>22496</v>
      </c>
    </row>
    <row r="7356" ht="30" customHeight="1" spans="1:13">
      <c r="A7356" s="41">
        <f>IF(C7356="","",SUBTOTAL(103,$C$2:C7356))</f>
        <v>7347</v>
      </c>
      <c r="B7356" s="67"/>
      <c r="C7356" s="58" t="s">
        <v>20331</v>
      </c>
      <c r="D7356" s="68" t="s">
        <v>19</v>
      </c>
      <c r="E7356" s="64" t="s">
        <v>22138</v>
      </c>
      <c r="F7356" s="68" t="s">
        <v>22448</v>
      </c>
      <c r="G7356" s="64" t="s">
        <v>22497</v>
      </c>
      <c r="H7356" s="68" t="s">
        <v>22498</v>
      </c>
      <c r="I7356" s="64">
        <v>1</v>
      </c>
      <c r="J7356" s="44" t="str">
        <f>VLOOKUP(G7356,[1]硬件清单!$F:$F,1,0)</f>
        <v>4E23C0182397</v>
      </c>
      <c r="K7356" s="66"/>
      <c r="L7356" s="44"/>
      <c r="M7356" s="64" t="s">
        <v>22499</v>
      </c>
    </row>
    <row r="7357" ht="30" customHeight="1" spans="1:13">
      <c r="A7357" s="41">
        <f>IF(C7357="","",SUBTOTAL(103,$C$2:C7357))</f>
        <v>7348</v>
      </c>
      <c r="B7357" s="67"/>
      <c r="C7357" s="58" t="s">
        <v>20331</v>
      </c>
      <c r="D7357" s="68" t="s">
        <v>19</v>
      </c>
      <c r="E7357" s="64" t="s">
        <v>22138</v>
      </c>
      <c r="F7357" s="68" t="s">
        <v>22448</v>
      </c>
      <c r="G7357" s="64" t="s">
        <v>22500</v>
      </c>
      <c r="H7357" s="68" t="s">
        <v>22501</v>
      </c>
      <c r="I7357" s="64">
        <v>1</v>
      </c>
      <c r="J7357" s="44" t="str">
        <f>VLOOKUP(G7357,[1]硬件清单!$F:$F,1,0)</f>
        <v>4E23C0182360</v>
      </c>
      <c r="K7357" s="66"/>
      <c r="L7357" s="44"/>
      <c r="M7357" s="64" t="s">
        <v>22502</v>
      </c>
    </row>
    <row r="7358" ht="30" customHeight="1" spans="1:13">
      <c r="A7358" s="41">
        <f>IF(C7358="","",SUBTOTAL(103,$C$2:C7358))</f>
        <v>7349</v>
      </c>
      <c r="B7358" s="67"/>
      <c r="C7358" s="58" t="s">
        <v>20331</v>
      </c>
      <c r="D7358" s="68" t="s">
        <v>19</v>
      </c>
      <c r="E7358" s="64" t="s">
        <v>22138</v>
      </c>
      <c r="F7358" s="68" t="s">
        <v>22448</v>
      </c>
      <c r="G7358" s="64" t="s">
        <v>22503</v>
      </c>
      <c r="H7358" s="68" t="s">
        <v>22504</v>
      </c>
      <c r="I7358" s="64">
        <v>1</v>
      </c>
      <c r="J7358" s="44" t="str">
        <f>VLOOKUP(G7358,[1]硬件清单!$F:$F,1,0)</f>
        <v>4E23C0182365</v>
      </c>
      <c r="K7358" s="66"/>
      <c r="L7358" s="44"/>
      <c r="M7358" s="64" t="s">
        <v>22505</v>
      </c>
    </row>
    <row r="7359" ht="30" customHeight="1" spans="1:13">
      <c r="A7359" s="41">
        <f>IF(C7359="","",SUBTOTAL(103,$C$2:C7359))</f>
        <v>7350</v>
      </c>
      <c r="B7359" s="67"/>
      <c r="C7359" s="58" t="s">
        <v>20331</v>
      </c>
      <c r="D7359" s="68" t="s">
        <v>19</v>
      </c>
      <c r="E7359" s="64" t="s">
        <v>22138</v>
      </c>
      <c r="F7359" s="68" t="s">
        <v>22448</v>
      </c>
      <c r="G7359" s="64" t="s">
        <v>22506</v>
      </c>
      <c r="H7359" s="68" t="s">
        <v>22507</v>
      </c>
      <c r="I7359" s="64">
        <v>1</v>
      </c>
      <c r="J7359" s="44" t="str">
        <f>VLOOKUP(G7359,[1]硬件清单!$F:$F,1,0)</f>
        <v>4E23C0168140</v>
      </c>
      <c r="K7359" s="66"/>
      <c r="L7359" s="44"/>
      <c r="M7359" s="64" t="s">
        <v>22508</v>
      </c>
    </row>
    <row r="7360" ht="30" customHeight="1" spans="1:13">
      <c r="A7360" s="41">
        <f>IF(C7360="","",SUBTOTAL(103,$C$2:C7360))</f>
        <v>7351</v>
      </c>
      <c r="B7360" s="67"/>
      <c r="C7360" s="58" t="s">
        <v>20331</v>
      </c>
      <c r="D7360" s="68" t="s">
        <v>19</v>
      </c>
      <c r="E7360" s="64" t="s">
        <v>22138</v>
      </c>
      <c r="F7360" s="68" t="s">
        <v>22448</v>
      </c>
      <c r="G7360" s="64" t="s">
        <v>22509</v>
      </c>
      <c r="H7360" s="68" t="s">
        <v>22510</v>
      </c>
      <c r="I7360" s="64">
        <v>1</v>
      </c>
      <c r="J7360" s="44" t="str">
        <f>VLOOKUP(G7360,[1]硬件清单!$F:$F,1,0)</f>
        <v>4E23C0168085</v>
      </c>
      <c r="K7360" s="66"/>
      <c r="L7360" s="44"/>
      <c r="M7360" s="64" t="s">
        <v>22511</v>
      </c>
    </row>
    <row r="7361" ht="30" customHeight="1" spans="1:13">
      <c r="A7361" s="41">
        <f>IF(C7361="","",SUBTOTAL(103,$C$2:C7361))</f>
        <v>7352</v>
      </c>
      <c r="B7361" s="67"/>
      <c r="C7361" s="58" t="s">
        <v>20331</v>
      </c>
      <c r="D7361" s="68" t="s">
        <v>19</v>
      </c>
      <c r="E7361" s="64" t="s">
        <v>22138</v>
      </c>
      <c r="F7361" s="68" t="s">
        <v>22448</v>
      </c>
      <c r="G7361" s="64" t="s">
        <v>22512</v>
      </c>
      <c r="H7361" s="68" t="s">
        <v>22513</v>
      </c>
      <c r="I7361" s="64">
        <v>1</v>
      </c>
      <c r="J7361" s="44" t="str">
        <f>VLOOKUP(G7361,[1]硬件清单!$F:$F,1,0)</f>
        <v>4E23C0168125</v>
      </c>
      <c r="K7361" s="66"/>
      <c r="L7361" s="44"/>
      <c r="M7361" s="64" t="s">
        <v>22514</v>
      </c>
    </row>
    <row r="7362" ht="30" customHeight="1" spans="1:13">
      <c r="A7362" s="41">
        <f>IF(C7362="","",SUBTOTAL(103,$C$2:C7362))</f>
        <v>7353</v>
      </c>
      <c r="B7362" s="67"/>
      <c r="C7362" s="58" t="s">
        <v>20331</v>
      </c>
      <c r="D7362" s="68" t="s">
        <v>19</v>
      </c>
      <c r="E7362" s="64" t="s">
        <v>22138</v>
      </c>
      <c r="F7362" s="68" t="s">
        <v>22448</v>
      </c>
      <c r="G7362" s="64" t="s">
        <v>22515</v>
      </c>
      <c r="H7362" s="68" t="s">
        <v>22516</v>
      </c>
      <c r="I7362" s="64">
        <v>1</v>
      </c>
      <c r="J7362" s="44" t="str">
        <f>VLOOKUP(G7362,[1]硬件清单!$F:$F,1,0)</f>
        <v>4E23C0182383</v>
      </c>
      <c r="K7362" s="66"/>
      <c r="L7362" s="44"/>
      <c r="M7362" s="64" t="s">
        <v>22517</v>
      </c>
    </row>
    <row r="7363" ht="30" customHeight="1" spans="1:13">
      <c r="A7363" s="41">
        <f>IF(C7363="","",SUBTOTAL(103,$C$2:C7363))</f>
        <v>7354</v>
      </c>
      <c r="B7363" s="67"/>
      <c r="C7363" s="58" t="s">
        <v>20331</v>
      </c>
      <c r="D7363" s="68" t="s">
        <v>19</v>
      </c>
      <c r="E7363" s="64" t="s">
        <v>22138</v>
      </c>
      <c r="F7363" s="68" t="s">
        <v>22448</v>
      </c>
      <c r="G7363" s="64" t="s">
        <v>22518</v>
      </c>
      <c r="H7363" s="68" t="s">
        <v>22519</v>
      </c>
      <c r="I7363" s="64">
        <v>1</v>
      </c>
      <c r="J7363" s="44" t="str">
        <f>VLOOKUP(G7363,[1]硬件清单!$F:$F,1,0)</f>
        <v>4E23C0182530</v>
      </c>
      <c r="K7363" s="66"/>
      <c r="L7363" s="44"/>
      <c r="M7363" s="64" t="s">
        <v>22520</v>
      </c>
    </row>
    <row r="7364" ht="30" customHeight="1" spans="1:13">
      <c r="A7364" s="41">
        <f>IF(C7364="","",SUBTOTAL(103,$C$2:C7364))</f>
        <v>7355</v>
      </c>
      <c r="B7364" s="67"/>
      <c r="C7364" s="58" t="s">
        <v>20331</v>
      </c>
      <c r="D7364" s="68" t="s">
        <v>19</v>
      </c>
      <c r="E7364" s="64" t="s">
        <v>22138</v>
      </c>
      <c r="F7364" s="68" t="s">
        <v>22448</v>
      </c>
      <c r="G7364" s="64" t="s">
        <v>22521</v>
      </c>
      <c r="H7364" s="68" t="s">
        <v>22522</v>
      </c>
      <c r="I7364" s="64">
        <v>1</v>
      </c>
      <c r="J7364" s="44" t="str">
        <f>VLOOKUP(G7364,[1]硬件清单!$F:$F,1,0)</f>
        <v>4E23C0168348</v>
      </c>
      <c r="K7364" s="66"/>
      <c r="L7364" s="44"/>
      <c r="M7364" s="64" t="s">
        <v>22523</v>
      </c>
    </row>
    <row r="7365" ht="30" customHeight="1" spans="1:13">
      <c r="A7365" s="41">
        <f>IF(C7365="","",SUBTOTAL(103,$C$2:C7365))</f>
        <v>7356</v>
      </c>
      <c r="B7365" s="67"/>
      <c r="C7365" s="58" t="s">
        <v>20331</v>
      </c>
      <c r="D7365" s="68" t="s">
        <v>19</v>
      </c>
      <c r="E7365" s="64" t="s">
        <v>22138</v>
      </c>
      <c r="F7365" s="68" t="s">
        <v>22448</v>
      </c>
      <c r="G7365" s="64" t="s">
        <v>22524</v>
      </c>
      <c r="H7365" s="68" t="s">
        <v>22525</v>
      </c>
      <c r="I7365" s="64">
        <v>1</v>
      </c>
      <c r="J7365" s="44" t="str">
        <f>VLOOKUP(G7365,[1]硬件清单!$F:$F,1,0)</f>
        <v>4E23B0085227</v>
      </c>
      <c r="K7365" s="66"/>
      <c r="L7365" s="44"/>
      <c r="M7365" s="64" t="s">
        <v>22526</v>
      </c>
    </row>
    <row r="7366" ht="30" customHeight="1" spans="1:13">
      <c r="A7366" s="41">
        <f>IF(C7366="","",SUBTOTAL(103,$C$2:C7366))</f>
        <v>7357</v>
      </c>
      <c r="B7366" s="67"/>
      <c r="C7366" s="58" t="s">
        <v>20331</v>
      </c>
      <c r="D7366" s="68" t="s">
        <v>19</v>
      </c>
      <c r="E7366" s="64" t="s">
        <v>22138</v>
      </c>
      <c r="F7366" s="68" t="s">
        <v>22448</v>
      </c>
      <c r="G7366" s="64" t="s">
        <v>22527</v>
      </c>
      <c r="H7366" s="68" t="s">
        <v>22528</v>
      </c>
      <c r="I7366" s="64">
        <v>1</v>
      </c>
      <c r="J7366" s="44" t="str">
        <f>VLOOKUP(G7366,[1]硬件清单!$F:$F,1,0)</f>
        <v>4E23C0168090</v>
      </c>
      <c r="K7366" s="66"/>
      <c r="L7366" s="44"/>
      <c r="M7366" s="64" t="s">
        <v>22529</v>
      </c>
    </row>
    <row r="7367" ht="30" customHeight="1" spans="1:13">
      <c r="A7367" s="41">
        <f>IF(C7367="","",SUBTOTAL(103,$C$2:C7367))</f>
        <v>7358</v>
      </c>
      <c r="B7367" s="67"/>
      <c r="C7367" s="58" t="s">
        <v>20331</v>
      </c>
      <c r="D7367" s="68" t="s">
        <v>19</v>
      </c>
      <c r="E7367" s="64" t="s">
        <v>22138</v>
      </c>
      <c r="F7367" s="68" t="s">
        <v>22448</v>
      </c>
      <c r="G7367" s="64" t="s">
        <v>22530</v>
      </c>
      <c r="H7367" s="68" t="s">
        <v>22531</v>
      </c>
      <c r="I7367" s="64">
        <v>1</v>
      </c>
      <c r="J7367" s="44" t="str">
        <f>VLOOKUP(G7367,[1]硬件清单!$F:$F,1,0)</f>
        <v>4E23C0182525</v>
      </c>
      <c r="K7367" s="66"/>
      <c r="L7367" s="44"/>
      <c r="M7367" s="64" t="s">
        <v>22532</v>
      </c>
    </row>
    <row r="7368" ht="30" customHeight="1" spans="1:13">
      <c r="A7368" s="41">
        <f>IF(C7368="","",SUBTOTAL(103,$C$2:C7368))</f>
        <v>7359</v>
      </c>
      <c r="B7368" s="67"/>
      <c r="C7368" s="58" t="s">
        <v>20331</v>
      </c>
      <c r="D7368" s="68" t="s">
        <v>19</v>
      </c>
      <c r="E7368" s="64" t="s">
        <v>22138</v>
      </c>
      <c r="F7368" s="68" t="s">
        <v>22448</v>
      </c>
      <c r="G7368" s="64" t="s">
        <v>22533</v>
      </c>
      <c r="H7368" s="68" t="s">
        <v>22534</v>
      </c>
      <c r="I7368" s="64">
        <v>1</v>
      </c>
      <c r="J7368" s="44" t="str">
        <f>VLOOKUP(G7368,[1]硬件清单!$F:$F,1,0)</f>
        <v>4E23C0182399</v>
      </c>
      <c r="K7368" s="66"/>
      <c r="L7368" s="44"/>
      <c r="M7368" s="64" t="s">
        <v>22535</v>
      </c>
    </row>
    <row r="7369" ht="30" customHeight="1" spans="1:13">
      <c r="A7369" s="41">
        <f>IF(C7369="","",SUBTOTAL(103,$C$2:C7369))</f>
        <v>7360</v>
      </c>
      <c r="B7369" s="67"/>
      <c r="C7369" s="58" t="s">
        <v>20331</v>
      </c>
      <c r="D7369" s="68" t="s">
        <v>19</v>
      </c>
      <c r="E7369" s="64" t="s">
        <v>22138</v>
      </c>
      <c r="F7369" s="68" t="s">
        <v>22448</v>
      </c>
      <c r="G7369" s="64" t="s">
        <v>22536</v>
      </c>
      <c r="H7369" s="68" t="s">
        <v>22537</v>
      </c>
      <c r="I7369" s="64">
        <v>1</v>
      </c>
      <c r="J7369" s="44" t="str">
        <f>VLOOKUP(G7369,[1]硬件清单!$F:$F,1,0)</f>
        <v>4E23C0168261</v>
      </c>
      <c r="K7369" s="66"/>
      <c r="L7369" s="44"/>
      <c r="M7369" s="64" t="s">
        <v>22538</v>
      </c>
    </row>
    <row r="7370" ht="30" customHeight="1" spans="1:13">
      <c r="A7370" s="41">
        <f>IF(C7370="","",SUBTOTAL(103,$C$2:C7370))</f>
        <v>7361</v>
      </c>
      <c r="B7370" s="67"/>
      <c r="C7370" s="58" t="s">
        <v>20331</v>
      </c>
      <c r="D7370" s="68" t="s">
        <v>19</v>
      </c>
      <c r="E7370" s="64" t="s">
        <v>22138</v>
      </c>
      <c r="F7370" s="68" t="s">
        <v>22448</v>
      </c>
      <c r="G7370" s="64" t="s">
        <v>22539</v>
      </c>
      <c r="H7370" s="68" t="s">
        <v>22540</v>
      </c>
      <c r="I7370" s="64">
        <v>1</v>
      </c>
      <c r="J7370" s="44" t="str">
        <f>VLOOKUP(G7370,[1]硬件清单!$F:$F,1,0)</f>
        <v>4E23C0182416</v>
      </c>
      <c r="K7370" s="66"/>
      <c r="L7370" s="44"/>
      <c r="M7370" s="64" t="s">
        <v>22541</v>
      </c>
    </row>
    <row r="7371" ht="30" customHeight="1" spans="1:13">
      <c r="A7371" s="41">
        <f>IF(C7371="","",SUBTOTAL(103,$C$2:C7371))</f>
        <v>7362</v>
      </c>
      <c r="B7371" s="67"/>
      <c r="C7371" s="58" t="s">
        <v>20331</v>
      </c>
      <c r="D7371" s="68" t="s">
        <v>19</v>
      </c>
      <c r="E7371" s="64" t="s">
        <v>22138</v>
      </c>
      <c r="F7371" s="68" t="s">
        <v>22448</v>
      </c>
      <c r="G7371" s="64" t="s">
        <v>22542</v>
      </c>
      <c r="H7371" s="68" t="s">
        <v>22543</v>
      </c>
      <c r="I7371" s="64">
        <v>1</v>
      </c>
      <c r="J7371" s="44" t="str">
        <f>VLOOKUP(G7371,[1]硬件清单!$F:$F,1,0)</f>
        <v>4E23C0168238</v>
      </c>
      <c r="K7371" s="66"/>
      <c r="L7371" s="44" t="s">
        <v>17</v>
      </c>
      <c r="M7371" s="64" t="s">
        <v>22544</v>
      </c>
    </row>
    <row r="7372" ht="30" customHeight="1" spans="1:13">
      <c r="A7372" s="41">
        <f>IF(C7372="","",SUBTOTAL(103,$C$2:C7372))</f>
        <v>7363</v>
      </c>
      <c r="B7372" s="67"/>
      <c r="C7372" s="58" t="s">
        <v>20331</v>
      </c>
      <c r="D7372" s="68" t="s">
        <v>19</v>
      </c>
      <c r="E7372" s="64" t="s">
        <v>22138</v>
      </c>
      <c r="F7372" s="68" t="s">
        <v>22448</v>
      </c>
      <c r="G7372" s="64" t="s">
        <v>22545</v>
      </c>
      <c r="H7372" s="68" t="s">
        <v>22546</v>
      </c>
      <c r="I7372" s="64">
        <v>1</v>
      </c>
      <c r="J7372" s="44" t="str">
        <f>VLOOKUP(G7372,[1]硬件清单!$F:$F,1,0)</f>
        <v>4E23C0168179</v>
      </c>
      <c r="K7372" s="66"/>
      <c r="L7372" s="44" t="s">
        <v>17</v>
      </c>
      <c r="M7372" s="64" t="s">
        <v>22547</v>
      </c>
    </row>
    <row r="7373" ht="30" customHeight="1" spans="1:13">
      <c r="A7373" s="41">
        <f>IF(C7373="","",SUBTOTAL(103,$C$2:C7373))</f>
        <v>7364</v>
      </c>
      <c r="B7373" s="67"/>
      <c r="C7373" s="58" t="s">
        <v>20331</v>
      </c>
      <c r="D7373" s="68" t="s">
        <v>19</v>
      </c>
      <c r="E7373" s="64" t="s">
        <v>22138</v>
      </c>
      <c r="F7373" s="68" t="s">
        <v>22448</v>
      </c>
      <c r="G7373" s="64" t="s">
        <v>22548</v>
      </c>
      <c r="H7373" s="68" t="s">
        <v>22549</v>
      </c>
      <c r="I7373" s="64">
        <v>1</v>
      </c>
      <c r="J7373" s="44" t="str">
        <f>VLOOKUP(G7373,[1]硬件清单!$F:$F,1,0)</f>
        <v>4E23C0168128</v>
      </c>
      <c r="K7373" s="66"/>
      <c r="L7373" s="44"/>
      <c r="M7373" s="64" t="s">
        <v>22550</v>
      </c>
    </row>
    <row r="7374" ht="30" customHeight="1" spans="1:13">
      <c r="A7374" s="41">
        <f>IF(C7374="","",SUBTOTAL(103,$C$2:C7374))</f>
        <v>7365</v>
      </c>
      <c r="B7374" s="67"/>
      <c r="C7374" s="58" t="s">
        <v>20331</v>
      </c>
      <c r="D7374" s="68" t="s">
        <v>19</v>
      </c>
      <c r="E7374" s="64" t="s">
        <v>22138</v>
      </c>
      <c r="F7374" s="68" t="s">
        <v>22448</v>
      </c>
      <c r="G7374" s="64" t="s">
        <v>22551</v>
      </c>
      <c r="H7374" s="68" t="s">
        <v>22552</v>
      </c>
      <c r="I7374" s="64">
        <v>1</v>
      </c>
      <c r="J7374" s="44" t="str">
        <f>VLOOKUP(G7374,[1]硬件清单!$F:$F,1,0)</f>
        <v>4E23C0168321</v>
      </c>
      <c r="K7374" s="66"/>
      <c r="L7374" s="44"/>
      <c r="M7374" s="64" t="s">
        <v>22553</v>
      </c>
    </row>
    <row r="7375" ht="30" customHeight="1" spans="1:13">
      <c r="A7375" s="41">
        <f>IF(C7375="","",SUBTOTAL(103,$C$2:C7375))</f>
        <v>7366</v>
      </c>
      <c r="B7375" s="67"/>
      <c r="C7375" s="58" t="s">
        <v>20331</v>
      </c>
      <c r="D7375" s="68" t="s">
        <v>19</v>
      </c>
      <c r="E7375" s="64" t="s">
        <v>22138</v>
      </c>
      <c r="F7375" s="68" t="s">
        <v>22448</v>
      </c>
      <c r="G7375" s="64" t="s">
        <v>22554</v>
      </c>
      <c r="H7375" s="68" t="s">
        <v>22555</v>
      </c>
      <c r="I7375" s="64">
        <v>1</v>
      </c>
      <c r="J7375" s="44" t="str">
        <f>VLOOKUP(G7375,[1]硬件清单!$F:$F,1,0)</f>
        <v>4E23C0168486</v>
      </c>
      <c r="K7375" s="66"/>
      <c r="L7375" s="44"/>
      <c r="M7375" s="64" t="s">
        <v>22556</v>
      </c>
    </row>
    <row r="7376" ht="30" customHeight="1" spans="1:13">
      <c r="A7376" s="41">
        <f>IF(C7376="","",SUBTOTAL(103,$C$2:C7376))</f>
        <v>7367</v>
      </c>
      <c r="B7376" s="67"/>
      <c r="C7376" s="58" t="s">
        <v>20331</v>
      </c>
      <c r="D7376" s="68" t="s">
        <v>19</v>
      </c>
      <c r="E7376" s="64" t="s">
        <v>22138</v>
      </c>
      <c r="F7376" s="68" t="s">
        <v>22448</v>
      </c>
      <c r="G7376" s="64" t="s">
        <v>22557</v>
      </c>
      <c r="H7376" s="68" t="s">
        <v>22558</v>
      </c>
      <c r="I7376" s="64">
        <v>1</v>
      </c>
      <c r="J7376" s="44" t="str">
        <f>VLOOKUP(G7376,[1]硬件清单!$F:$F,1,0)</f>
        <v>4E23C0168093</v>
      </c>
      <c r="K7376" s="66"/>
      <c r="L7376" s="44"/>
      <c r="M7376" s="64" t="s">
        <v>22559</v>
      </c>
    </row>
    <row r="7377" ht="30" customHeight="1" spans="1:13">
      <c r="A7377" s="41">
        <f>IF(C7377="","",SUBTOTAL(103,$C$2:C7377))</f>
        <v>7368</v>
      </c>
      <c r="B7377" s="67"/>
      <c r="C7377" s="58" t="s">
        <v>20331</v>
      </c>
      <c r="D7377" s="68" t="s">
        <v>19</v>
      </c>
      <c r="E7377" s="64" t="s">
        <v>22138</v>
      </c>
      <c r="F7377" s="68" t="s">
        <v>22448</v>
      </c>
      <c r="G7377" s="64" t="s">
        <v>22560</v>
      </c>
      <c r="H7377" s="68" t="s">
        <v>22561</v>
      </c>
      <c r="I7377" s="64">
        <v>1</v>
      </c>
      <c r="J7377" s="44" t="str">
        <f>VLOOKUP(G7377,[1]硬件清单!$F:$F,1,0)</f>
        <v>4E23B0085160</v>
      </c>
      <c r="K7377" s="66"/>
      <c r="L7377" s="44"/>
      <c r="M7377" s="64" t="s">
        <v>22562</v>
      </c>
    </row>
    <row r="7378" ht="30" customHeight="1" spans="1:13">
      <c r="A7378" s="41">
        <f>IF(C7378="","",SUBTOTAL(103,$C$2:C7378))</f>
        <v>7369</v>
      </c>
      <c r="B7378" s="67"/>
      <c r="C7378" s="58" t="s">
        <v>20331</v>
      </c>
      <c r="D7378" s="68" t="s">
        <v>19</v>
      </c>
      <c r="E7378" s="64" t="s">
        <v>22138</v>
      </c>
      <c r="F7378" s="68" t="s">
        <v>22448</v>
      </c>
      <c r="G7378" s="64" t="s">
        <v>22563</v>
      </c>
      <c r="H7378" s="68" t="s">
        <v>22564</v>
      </c>
      <c r="I7378" s="64">
        <v>1</v>
      </c>
      <c r="J7378" s="44" t="str">
        <f>VLOOKUP(G7378,[1]硬件清单!$F:$F,1,0)</f>
        <v>4E23C0168341</v>
      </c>
      <c r="K7378" s="66"/>
      <c r="L7378" s="44"/>
      <c r="M7378" s="64" t="s">
        <v>22565</v>
      </c>
    </row>
    <row r="7379" ht="30" customHeight="1" spans="1:13">
      <c r="A7379" s="41">
        <f>IF(C7379="","",SUBTOTAL(103,$C$2:C7379))</f>
        <v>7370</v>
      </c>
      <c r="B7379" s="67"/>
      <c r="C7379" s="58" t="s">
        <v>20331</v>
      </c>
      <c r="D7379" s="68" t="s">
        <v>19</v>
      </c>
      <c r="E7379" s="64" t="s">
        <v>22138</v>
      </c>
      <c r="F7379" s="68" t="s">
        <v>22448</v>
      </c>
      <c r="G7379" s="64" t="s">
        <v>22566</v>
      </c>
      <c r="H7379" s="68" t="s">
        <v>22567</v>
      </c>
      <c r="I7379" s="64">
        <v>1</v>
      </c>
      <c r="J7379" s="44" t="str">
        <f>VLOOKUP(G7379,[1]硬件清单!$F:$F,1,0)</f>
        <v>4E23C0168336</v>
      </c>
      <c r="K7379" s="66"/>
      <c r="L7379" s="44"/>
      <c r="M7379" s="64" t="s">
        <v>22568</v>
      </c>
    </row>
    <row r="7380" ht="30" customHeight="1" spans="1:13">
      <c r="A7380" s="41">
        <f>IF(C7380="","",SUBTOTAL(103,$C$2:C7380))</f>
        <v>7371</v>
      </c>
      <c r="B7380" s="67"/>
      <c r="C7380" s="58" t="s">
        <v>20331</v>
      </c>
      <c r="D7380" s="68" t="s">
        <v>19</v>
      </c>
      <c r="E7380" s="64" t="s">
        <v>22138</v>
      </c>
      <c r="F7380" s="68" t="s">
        <v>22448</v>
      </c>
      <c r="G7380" s="64" t="s">
        <v>22569</v>
      </c>
      <c r="H7380" s="68" t="s">
        <v>22570</v>
      </c>
      <c r="I7380" s="64">
        <v>1</v>
      </c>
      <c r="J7380" s="44" t="str">
        <f>VLOOKUP(G7380,[1]硬件清单!$F:$F,1,0)</f>
        <v>4E23B0085166</v>
      </c>
      <c r="K7380" s="66"/>
      <c r="L7380" s="44"/>
      <c r="M7380" s="64" t="s">
        <v>22571</v>
      </c>
    </row>
    <row r="7381" ht="30" customHeight="1" spans="1:13">
      <c r="A7381" s="41">
        <f>IF(C7381="","",SUBTOTAL(103,$C$2:C7381))</f>
        <v>7372</v>
      </c>
      <c r="B7381" s="67"/>
      <c r="C7381" s="58" t="s">
        <v>20331</v>
      </c>
      <c r="D7381" s="68" t="s">
        <v>19</v>
      </c>
      <c r="E7381" s="64" t="s">
        <v>22138</v>
      </c>
      <c r="F7381" s="68" t="s">
        <v>22448</v>
      </c>
      <c r="G7381" s="64" t="s">
        <v>22572</v>
      </c>
      <c r="H7381" s="68" t="s">
        <v>22573</v>
      </c>
      <c r="I7381" s="64">
        <v>1</v>
      </c>
      <c r="J7381" s="44" t="str">
        <f>VLOOKUP(G7381,[1]硬件清单!$F:$F,1,0)</f>
        <v>4E23C0168209</v>
      </c>
      <c r="K7381" s="66"/>
      <c r="L7381" s="44"/>
      <c r="M7381" s="64" t="s">
        <v>22574</v>
      </c>
    </row>
    <row r="7382" ht="30" customHeight="1" spans="1:13">
      <c r="A7382" s="41">
        <f>IF(C7382="","",SUBTOTAL(103,$C$2:C7382))</f>
        <v>7373</v>
      </c>
      <c r="B7382" s="67"/>
      <c r="C7382" s="58" t="s">
        <v>20331</v>
      </c>
      <c r="D7382" s="68" t="s">
        <v>19</v>
      </c>
      <c r="E7382" s="64" t="s">
        <v>22138</v>
      </c>
      <c r="F7382" s="68" t="s">
        <v>22448</v>
      </c>
      <c r="G7382" s="64" t="s">
        <v>22575</v>
      </c>
      <c r="H7382" s="68" t="s">
        <v>22576</v>
      </c>
      <c r="I7382" s="64">
        <v>1</v>
      </c>
      <c r="J7382" s="44" t="str">
        <f>VLOOKUP(G7382,[1]硬件清单!$F:$F,1,0)</f>
        <v>4E23C0168136</v>
      </c>
      <c r="K7382" s="66"/>
      <c r="L7382" s="44"/>
      <c r="M7382" s="64" t="s">
        <v>22577</v>
      </c>
    </row>
    <row r="7383" ht="30" customHeight="1" spans="1:13">
      <c r="A7383" s="41">
        <f>IF(C7383="","",SUBTOTAL(103,$C$2:C7383))</f>
        <v>7374</v>
      </c>
      <c r="B7383" s="67"/>
      <c r="C7383" s="58" t="s">
        <v>20331</v>
      </c>
      <c r="D7383" s="68" t="s">
        <v>19</v>
      </c>
      <c r="E7383" s="64" t="s">
        <v>22138</v>
      </c>
      <c r="F7383" s="68" t="s">
        <v>22448</v>
      </c>
      <c r="G7383" s="64" t="s">
        <v>22578</v>
      </c>
      <c r="H7383" s="68" t="s">
        <v>22579</v>
      </c>
      <c r="I7383" s="64">
        <v>1</v>
      </c>
      <c r="J7383" s="44" t="str">
        <f>VLOOKUP(G7383,[1]硬件清单!$F:$F,1,0)</f>
        <v>4E23C0168331</v>
      </c>
      <c r="K7383" s="66"/>
      <c r="L7383" s="44"/>
      <c r="M7383" s="64" t="s">
        <v>22580</v>
      </c>
    </row>
    <row r="7384" ht="30" customHeight="1" spans="1:13">
      <c r="A7384" s="41">
        <f>IF(C7384="","",SUBTOTAL(103,$C$2:C7384))</f>
        <v>7375</v>
      </c>
      <c r="B7384" s="67"/>
      <c r="C7384" s="58" t="s">
        <v>20331</v>
      </c>
      <c r="D7384" s="68" t="s">
        <v>19</v>
      </c>
      <c r="E7384" s="64" t="s">
        <v>22138</v>
      </c>
      <c r="F7384" s="68" t="s">
        <v>22448</v>
      </c>
      <c r="G7384" s="64" t="s">
        <v>22581</v>
      </c>
      <c r="H7384" s="68" t="s">
        <v>22582</v>
      </c>
      <c r="I7384" s="64">
        <v>1</v>
      </c>
      <c r="J7384" s="44" t="str">
        <f>VLOOKUP(G7384,[1]硬件清单!$F:$F,1,0)</f>
        <v>4E23C0182334</v>
      </c>
      <c r="K7384" s="66"/>
      <c r="L7384" s="44"/>
      <c r="M7384" s="64" t="s">
        <v>22583</v>
      </c>
    </row>
    <row r="7385" ht="30" customHeight="1" spans="1:13">
      <c r="A7385" s="41">
        <f>IF(C7385="","",SUBTOTAL(103,$C$2:C7385))</f>
        <v>7376</v>
      </c>
      <c r="B7385" s="67"/>
      <c r="C7385" s="58" t="s">
        <v>20331</v>
      </c>
      <c r="D7385" s="68" t="s">
        <v>19</v>
      </c>
      <c r="E7385" s="64" t="s">
        <v>22138</v>
      </c>
      <c r="F7385" s="68" t="s">
        <v>22448</v>
      </c>
      <c r="G7385" s="64" t="s">
        <v>22584</v>
      </c>
      <c r="H7385" s="68" t="s">
        <v>22585</v>
      </c>
      <c r="I7385" s="64">
        <v>1</v>
      </c>
      <c r="J7385" s="44" t="str">
        <f>VLOOKUP(G7385,[1]硬件清单!$F:$F,1,0)</f>
        <v>4E23C0168359</v>
      </c>
      <c r="K7385" s="66"/>
      <c r="L7385" s="44"/>
      <c r="M7385" s="64" t="s">
        <v>22586</v>
      </c>
    </row>
    <row r="7386" ht="30" customHeight="1" spans="1:13">
      <c r="A7386" s="41">
        <f>IF(C7386="","",SUBTOTAL(103,$C$2:C7386))</f>
        <v>7377</v>
      </c>
      <c r="B7386" s="67"/>
      <c r="C7386" s="58" t="s">
        <v>20331</v>
      </c>
      <c r="D7386" s="68" t="s">
        <v>19</v>
      </c>
      <c r="E7386" s="64" t="s">
        <v>22138</v>
      </c>
      <c r="F7386" s="68" t="s">
        <v>22448</v>
      </c>
      <c r="G7386" s="64" t="s">
        <v>22587</v>
      </c>
      <c r="H7386" s="68" t="s">
        <v>22588</v>
      </c>
      <c r="I7386" s="64">
        <v>1</v>
      </c>
      <c r="J7386" s="44" t="str">
        <f>VLOOKUP(G7386,[1]硬件清单!$F:$F,1,0)</f>
        <v>4E23B0085244</v>
      </c>
      <c r="K7386" s="66"/>
      <c r="L7386" s="44"/>
      <c r="M7386" s="64" t="s">
        <v>22589</v>
      </c>
    </row>
    <row r="7387" ht="30" customHeight="1" spans="1:13">
      <c r="A7387" s="41">
        <f>IF(C7387="","",SUBTOTAL(103,$C$2:C7387))</f>
        <v>7378</v>
      </c>
      <c r="B7387" s="67"/>
      <c r="C7387" s="58" t="s">
        <v>20331</v>
      </c>
      <c r="D7387" s="68" t="s">
        <v>19</v>
      </c>
      <c r="E7387" s="64" t="s">
        <v>22138</v>
      </c>
      <c r="F7387" s="68" t="s">
        <v>22448</v>
      </c>
      <c r="G7387" s="64" t="s">
        <v>22590</v>
      </c>
      <c r="H7387" s="68" t="s">
        <v>22591</v>
      </c>
      <c r="I7387" s="64">
        <v>1</v>
      </c>
      <c r="J7387" s="44" t="str">
        <f>VLOOKUP(G7387,[1]硬件清单!$F:$F,1,0)</f>
        <v>4E23C0182320</v>
      </c>
      <c r="K7387" s="66"/>
      <c r="L7387" s="44"/>
      <c r="M7387" s="64" t="s">
        <v>22592</v>
      </c>
    </row>
    <row r="7388" ht="30" customHeight="1" spans="1:13">
      <c r="A7388" s="41">
        <f>IF(C7388="","",SUBTOTAL(103,$C$2:C7388))</f>
        <v>7379</v>
      </c>
      <c r="B7388" s="67"/>
      <c r="C7388" s="58" t="s">
        <v>20331</v>
      </c>
      <c r="D7388" s="68" t="s">
        <v>19</v>
      </c>
      <c r="E7388" s="64" t="s">
        <v>22138</v>
      </c>
      <c r="F7388" s="68" t="s">
        <v>22448</v>
      </c>
      <c r="G7388" s="64" t="s">
        <v>22593</v>
      </c>
      <c r="H7388" s="68" t="s">
        <v>22594</v>
      </c>
      <c r="I7388" s="64">
        <v>1</v>
      </c>
      <c r="J7388" s="44" t="str">
        <f>VLOOKUP(G7388,[1]硬件清单!$F:$F,1,0)</f>
        <v>4E23C0168189</v>
      </c>
      <c r="K7388" s="66"/>
      <c r="L7388" s="44"/>
      <c r="M7388" s="64" t="s">
        <v>22595</v>
      </c>
    </row>
    <row r="7389" ht="30" customHeight="1" spans="1:13">
      <c r="A7389" s="41">
        <f>IF(C7389="","",SUBTOTAL(103,$C$2:C7389))</f>
        <v>7380</v>
      </c>
      <c r="B7389" s="67"/>
      <c r="C7389" s="58" t="s">
        <v>20331</v>
      </c>
      <c r="D7389" s="68" t="s">
        <v>19</v>
      </c>
      <c r="E7389" s="64" t="s">
        <v>22138</v>
      </c>
      <c r="F7389" s="68" t="s">
        <v>22448</v>
      </c>
      <c r="G7389" s="64" t="s">
        <v>22596</v>
      </c>
      <c r="H7389" s="68" t="s">
        <v>22597</v>
      </c>
      <c r="I7389" s="64">
        <v>1</v>
      </c>
      <c r="J7389" s="44" t="str">
        <f>VLOOKUP(G7389,[1]硬件清单!$F:$F,1,0)</f>
        <v>4E23C0168154</v>
      </c>
      <c r="K7389" s="66"/>
      <c r="L7389" s="44"/>
      <c r="M7389" s="64" t="s">
        <v>22598</v>
      </c>
    </row>
    <row r="7390" ht="30" customHeight="1" spans="1:13">
      <c r="A7390" s="41">
        <f>IF(C7390="","",SUBTOTAL(103,$C$2:C7390))</f>
        <v>7381</v>
      </c>
      <c r="B7390" s="67"/>
      <c r="C7390" s="58" t="s">
        <v>20331</v>
      </c>
      <c r="D7390" s="68" t="s">
        <v>19</v>
      </c>
      <c r="E7390" s="64" t="s">
        <v>22138</v>
      </c>
      <c r="F7390" s="68" t="s">
        <v>22448</v>
      </c>
      <c r="G7390" s="64" t="s">
        <v>22599</v>
      </c>
      <c r="H7390" s="68" t="s">
        <v>22600</v>
      </c>
      <c r="I7390" s="64">
        <v>1</v>
      </c>
      <c r="J7390" s="44" t="str">
        <f>VLOOKUP(G7390,[1]硬件清单!$F:$F,1,0)</f>
        <v>4E23C0182408</v>
      </c>
      <c r="K7390" s="66"/>
      <c r="L7390" s="44"/>
      <c r="M7390" s="64" t="s">
        <v>22601</v>
      </c>
    </row>
    <row r="7391" ht="30" customHeight="1" spans="1:13">
      <c r="A7391" s="41">
        <f>IF(C7391="","",SUBTOTAL(103,$C$2:C7391))</f>
        <v>7382</v>
      </c>
      <c r="B7391" s="67"/>
      <c r="C7391" s="58" t="s">
        <v>20331</v>
      </c>
      <c r="D7391" s="68" t="s">
        <v>19</v>
      </c>
      <c r="E7391" s="64" t="s">
        <v>22138</v>
      </c>
      <c r="F7391" s="68" t="s">
        <v>22448</v>
      </c>
      <c r="G7391" s="64" t="s">
        <v>22602</v>
      </c>
      <c r="H7391" s="68" t="s">
        <v>22603</v>
      </c>
      <c r="I7391" s="64">
        <v>1</v>
      </c>
      <c r="J7391" s="44" t="str">
        <f>VLOOKUP(G7391,[1]硬件清单!$F:$F,1,0)</f>
        <v>4E23B0085226</v>
      </c>
      <c r="K7391" s="66"/>
      <c r="L7391" s="44"/>
      <c r="M7391" s="64" t="s">
        <v>22604</v>
      </c>
    </row>
    <row r="7392" ht="30" customHeight="1" spans="1:13">
      <c r="A7392" s="41">
        <f>IF(C7392="","",SUBTOTAL(103,$C$2:C7392))</f>
        <v>7383</v>
      </c>
      <c r="B7392" s="67"/>
      <c r="C7392" s="58" t="s">
        <v>20331</v>
      </c>
      <c r="D7392" s="68" t="s">
        <v>19</v>
      </c>
      <c r="E7392" s="64" t="s">
        <v>22138</v>
      </c>
      <c r="F7392" s="68" t="s">
        <v>22448</v>
      </c>
      <c r="G7392" s="64" t="s">
        <v>22605</v>
      </c>
      <c r="H7392" s="68" t="s">
        <v>22606</v>
      </c>
      <c r="I7392" s="64">
        <v>1</v>
      </c>
      <c r="J7392" s="44" t="str">
        <f>VLOOKUP(G7392,[1]硬件清单!$F:$F,1,0)</f>
        <v>4E23C0182479</v>
      </c>
      <c r="K7392" s="66"/>
      <c r="L7392" s="44"/>
      <c r="M7392" s="64" t="s">
        <v>22607</v>
      </c>
    </row>
    <row r="7393" ht="30" customHeight="1" spans="1:13">
      <c r="A7393" s="41">
        <f>IF(C7393="","",SUBTOTAL(103,$C$2:C7393))</f>
        <v>7384</v>
      </c>
      <c r="B7393" s="67"/>
      <c r="C7393" s="58" t="s">
        <v>20331</v>
      </c>
      <c r="D7393" s="68" t="s">
        <v>19</v>
      </c>
      <c r="E7393" s="64" t="s">
        <v>22138</v>
      </c>
      <c r="F7393" s="68" t="s">
        <v>22448</v>
      </c>
      <c r="G7393" s="64" t="s">
        <v>22608</v>
      </c>
      <c r="H7393" s="68" t="s">
        <v>22609</v>
      </c>
      <c r="I7393" s="64">
        <v>1</v>
      </c>
      <c r="J7393" s="44" t="str">
        <f>VLOOKUP(G7393,[1]硬件清单!$F:$F,1,0)</f>
        <v>4E23C0168231</v>
      </c>
      <c r="K7393" s="66"/>
      <c r="L7393" s="44"/>
      <c r="M7393" s="64" t="s">
        <v>22610</v>
      </c>
    </row>
    <row r="7394" ht="30" customHeight="1" spans="1:13">
      <c r="A7394" s="41">
        <f>IF(C7394="","",SUBTOTAL(103,$C$2:C7394))</f>
        <v>7385</v>
      </c>
      <c r="B7394" s="67"/>
      <c r="C7394" s="58" t="s">
        <v>20331</v>
      </c>
      <c r="D7394" s="68" t="s">
        <v>19</v>
      </c>
      <c r="E7394" s="64" t="s">
        <v>22138</v>
      </c>
      <c r="F7394" s="68" t="s">
        <v>22448</v>
      </c>
      <c r="G7394" s="64" t="s">
        <v>22611</v>
      </c>
      <c r="H7394" s="68" t="s">
        <v>22612</v>
      </c>
      <c r="I7394" s="64">
        <v>1</v>
      </c>
      <c r="J7394" s="44" t="str">
        <f>VLOOKUP(G7394,[1]硬件清单!$F:$F,1,0)</f>
        <v>4E23C0182344</v>
      </c>
      <c r="K7394" s="66"/>
      <c r="L7394" s="44"/>
      <c r="M7394" s="64" t="s">
        <v>22613</v>
      </c>
    </row>
    <row r="7395" ht="30" customHeight="1" spans="1:13">
      <c r="A7395" s="41">
        <f>IF(C7395="","",SUBTOTAL(103,$C$2:C7395))</f>
        <v>7386</v>
      </c>
      <c r="B7395" s="67"/>
      <c r="C7395" s="58" t="s">
        <v>20331</v>
      </c>
      <c r="D7395" s="68" t="s">
        <v>19</v>
      </c>
      <c r="E7395" s="64" t="s">
        <v>22138</v>
      </c>
      <c r="F7395" s="68" t="s">
        <v>22448</v>
      </c>
      <c r="G7395" s="64" t="s">
        <v>22614</v>
      </c>
      <c r="H7395" s="68" t="s">
        <v>22615</v>
      </c>
      <c r="I7395" s="64">
        <v>1</v>
      </c>
      <c r="J7395" s="44" t="str">
        <f>VLOOKUP(G7395,[1]硬件清单!$F:$F,1,0)</f>
        <v>4E23B0085230</v>
      </c>
      <c r="K7395" s="66"/>
      <c r="L7395" s="44"/>
      <c r="M7395" s="64" t="s">
        <v>22616</v>
      </c>
    </row>
    <row r="7396" ht="30" customHeight="1" spans="1:13">
      <c r="A7396" s="41">
        <f>IF(C7396="","",SUBTOTAL(103,$C$2:C7396))</f>
        <v>7387</v>
      </c>
      <c r="B7396" s="67"/>
      <c r="C7396" s="58" t="s">
        <v>20331</v>
      </c>
      <c r="D7396" s="68" t="s">
        <v>19</v>
      </c>
      <c r="E7396" s="64" t="s">
        <v>22138</v>
      </c>
      <c r="F7396" s="68" t="s">
        <v>22448</v>
      </c>
      <c r="G7396" s="64" t="s">
        <v>22617</v>
      </c>
      <c r="H7396" s="68" t="s">
        <v>22618</v>
      </c>
      <c r="I7396" s="64">
        <v>1</v>
      </c>
      <c r="J7396" s="44" t="str">
        <f>VLOOKUP(G7396,[1]硬件清单!$F:$F,1,0)</f>
        <v>4E23C0182184</v>
      </c>
      <c r="K7396" s="66"/>
      <c r="L7396" s="44"/>
      <c r="M7396" s="64" t="s">
        <v>22619</v>
      </c>
    </row>
    <row r="7397" ht="30" customHeight="1" spans="1:13">
      <c r="A7397" s="41">
        <f>IF(C7397="","",SUBTOTAL(103,$C$2:C7397))</f>
        <v>7388</v>
      </c>
      <c r="B7397" s="67"/>
      <c r="C7397" s="58" t="s">
        <v>20331</v>
      </c>
      <c r="D7397" s="68" t="s">
        <v>19</v>
      </c>
      <c r="E7397" s="64" t="s">
        <v>22138</v>
      </c>
      <c r="F7397" s="68" t="s">
        <v>22448</v>
      </c>
      <c r="G7397" s="64" t="s">
        <v>22620</v>
      </c>
      <c r="H7397" s="68" t="s">
        <v>22621</v>
      </c>
      <c r="I7397" s="64">
        <v>1</v>
      </c>
      <c r="J7397" s="44" t="str">
        <f>VLOOKUP(G7397,[1]硬件清单!$F:$F,1,0)</f>
        <v>4E23C0168343</v>
      </c>
      <c r="K7397" s="66"/>
      <c r="L7397" s="44"/>
      <c r="M7397" s="64" t="s">
        <v>22622</v>
      </c>
    </row>
    <row r="7398" ht="30" customHeight="1" spans="1:13">
      <c r="A7398" s="41">
        <f>IF(C7398="","",SUBTOTAL(103,$C$2:C7398))</f>
        <v>7389</v>
      </c>
      <c r="B7398" s="67"/>
      <c r="C7398" s="58" t="s">
        <v>20331</v>
      </c>
      <c r="D7398" s="68" t="s">
        <v>19</v>
      </c>
      <c r="E7398" s="64" t="s">
        <v>22138</v>
      </c>
      <c r="F7398" s="68" t="s">
        <v>22448</v>
      </c>
      <c r="G7398" s="64" t="s">
        <v>22623</v>
      </c>
      <c r="H7398" s="68" t="s">
        <v>22624</v>
      </c>
      <c r="I7398" s="64">
        <v>1</v>
      </c>
      <c r="J7398" s="44" t="str">
        <f>VLOOKUP(G7398,[1]硬件清单!$F:$F,1,0)</f>
        <v>4E23C0182290</v>
      </c>
      <c r="K7398" s="66"/>
      <c r="L7398" s="44"/>
      <c r="M7398" s="64" t="s">
        <v>22625</v>
      </c>
    </row>
    <row r="7399" ht="30" customHeight="1" spans="1:13">
      <c r="A7399" s="41">
        <f>IF(C7399="","",SUBTOTAL(103,$C$2:C7399))</f>
        <v>7390</v>
      </c>
      <c r="B7399" s="67"/>
      <c r="C7399" s="58" t="s">
        <v>20331</v>
      </c>
      <c r="D7399" s="68" t="s">
        <v>19</v>
      </c>
      <c r="E7399" s="64" t="s">
        <v>22138</v>
      </c>
      <c r="F7399" s="68" t="s">
        <v>22448</v>
      </c>
      <c r="G7399" s="64" t="s">
        <v>22626</v>
      </c>
      <c r="H7399" s="68" t="s">
        <v>22627</v>
      </c>
      <c r="I7399" s="64">
        <v>1</v>
      </c>
      <c r="J7399" s="44" t="str">
        <f>VLOOKUP(G7399,[1]硬件清单!$F:$F,1,0)</f>
        <v>4E23C0182395</v>
      </c>
      <c r="K7399" s="66"/>
      <c r="L7399" s="44"/>
      <c r="M7399" s="64" t="s">
        <v>22628</v>
      </c>
    </row>
    <row r="7400" ht="30" customHeight="1" spans="1:13">
      <c r="A7400" s="41">
        <f>IF(C7400="","",SUBTOTAL(103,$C$2:C7400))</f>
        <v>7391</v>
      </c>
      <c r="B7400" s="67"/>
      <c r="C7400" s="58" t="s">
        <v>20331</v>
      </c>
      <c r="D7400" s="68" t="s">
        <v>19</v>
      </c>
      <c r="E7400" s="64" t="s">
        <v>22138</v>
      </c>
      <c r="F7400" s="68" t="s">
        <v>22448</v>
      </c>
      <c r="G7400" s="64" t="s">
        <v>22629</v>
      </c>
      <c r="H7400" s="68" t="s">
        <v>22630</v>
      </c>
      <c r="I7400" s="64">
        <v>1</v>
      </c>
      <c r="J7400" s="44" t="str">
        <f>VLOOKUP(G7400,[1]硬件清单!$F:$F,1,0)</f>
        <v>4E23C0168229</v>
      </c>
      <c r="K7400" s="66"/>
      <c r="L7400" s="44"/>
      <c r="M7400" s="64" t="s">
        <v>22631</v>
      </c>
    </row>
    <row r="7401" ht="30" customHeight="1" spans="1:13">
      <c r="A7401" s="41">
        <f>IF(C7401="","",SUBTOTAL(103,$C$2:C7401))</f>
        <v>7392</v>
      </c>
      <c r="B7401" s="67"/>
      <c r="C7401" s="58" t="s">
        <v>20331</v>
      </c>
      <c r="D7401" s="68" t="s">
        <v>19</v>
      </c>
      <c r="E7401" s="64" t="s">
        <v>22138</v>
      </c>
      <c r="F7401" s="68" t="s">
        <v>22448</v>
      </c>
      <c r="G7401" s="64" t="s">
        <v>22632</v>
      </c>
      <c r="H7401" s="68" t="s">
        <v>22633</v>
      </c>
      <c r="I7401" s="64">
        <v>1</v>
      </c>
      <c r="J7401" s="44" t="str">
        <f>VLOOKUP(G7401,[1]硬件清单!$F:$F,1,0)</f>
        <v>4E23C0182502</v>
      </c>
      <c r="K7401" s="66"/>
      <c r="L7401" s="44"/>
      <c r="M7401" s="64" t="s">
        <v>22634</v>
      </c>
    </row>
    <row r="7402" ht="30" customHeight="1" spans="1:13">
      <c r="A7402" s="41">
        <f>IF(C7402="","",SUBTOTAL(103,$C$2:C7402))</f>
        <v>7393</v>
      </c>
      <c r="B7402" s="67"/>
      <c r="C7402" s="58" t="s">
        <v>20331</v>
      </c>
      <c r="D7402" s="68" t="s">
        <v>19</v>
      </c>
      <c r="E7402" s="64" t="s">
        <v>22138</v>
      </c>
      <c r="F7402" s="68" t="s">
        <v>22448</v>
      </c>
      <c r="G7402" s="64" t="s">
        <v>22635</v>
      </c>
      <c r="H7402" s="68" t="s">
        <v>22636</v>
      </c>
      <c r="I7402" s="64">
        <v>1</v>
      </c>
      <c r="J7402" s="44" t="str">
        <f>VLOOKUP(G7402,[1]硬件清单!$F:$F,1,0)</f>
        <v>4E23C0168358</v>
      </c>
      <c r="K7402" s="66"/>
      <c r="L7402" s="44"/>
      <c r="M7402" s="64" t="s">
        <v>22637</v>
      </c>
    </row>
    <row r="7403" ht="30" customHeight="1" spans="1:13">
      <c r="A7403" s="41">
        <f>IF(C7403="","",SUBTOTAL(103,$C$2:C7403))</f>
        <v>7394</v>
      </c>
      <c r="B7403" s="67"/>
      <c r="C7403" s="58" t="s">
        <v>20331</v>
      </c>
      <c r="D7403" s="68" t="s">
        <v>19</v>
      </c>
      <c r="E7403" s="64" t="s">
        <v>22138</v>
      </c>
      <c r="F7403" s="68" t="s">
        <v>22448</v>
      </c>
      <c r="G7403" s="64" t="s">
        <v>22638</v>
      </c>
      <c r="H7403" s="68" t="s">
        <v>22639</v>
      </c>
      <c r="I7403" s="64">
        <v>1</v>
      </c>
      <c r="J7403" s="44" t="str">
        <f>VLOOKUP(G7403,[1]硬件清单!$F:$F,1,0)</f>
        <v>4E23C0168124</v>
      </c>
      <c r="K7403" s="66"/>
      <c r="L7403" s="44"/>
      <c r="M7403" s="64" t="s">
        <v>22640</v>
      </c>
    </row>
    <row r="7404" ht="30" customHeight="1" spans="1:13">
      <c r="A7404" s="41">
        <f>IF(C7404="","",SUBTOTAL(103,$C$2:C7404))</f>
        <v>7395</v>
      </c>
      <c r="B7404" s="67"/>
      <c r="C7404" s="58" t="s">
        <v>20331</v>
      </c>
      <c r="D7404" s="68" t="s">
        <v>19</v>
      </c>
      <c r="E7404" s="64" t="s">
        <v>22138</v>
      </c>
      <c r="F7404" s="68" t="s">
        <v>22448</v>
      </c>
      <c r="G7404" s="64" t="s">
        <v>22641</v>
      </c>
      <c r="H7404" s="68" t="s">
        <v>22642</v>
      </c>
      <c r="I7404" s="64">
        <v>1</v>
      </c>
      <c r="J7404" s="44" t="str">
        <f>VLOOKUP(G7404,[1]硬件清单!$F:$F,1,0)</f>
        <v>4E23C0168167</v>
      </c>
      <c r="K7404" s="66"/>
      <c r="L7404" s="44"/>
      <c r="M7404" s="64" t="s">
        <v>22643</v>
      </c>
    </row>
    <row r="7405" ht="30" customHeight="1" spans="1:13">
      <c r="A7405" s="41">
        <f>IF(C7405="","",SUBTOTAL(103,$C$2:C7405))</f>
        <v>7396</v>
      </c>
      <c r="B7405" s="67"/>
      <c r="C7405" s="58" t="s">
        <v>20331</v>
      </c>
      <c r="D7405" s="68" t="s">
        <v>19</v>
      </c>
      <c r="E7405" s="64" t="s">
        <v>22138</v>
      </c>
      <c r="F7405" s="68" t="s">
        <v>22448</v>
      </c>
      <c r="G7405" s="64" t="s">
        <v>22644</v>
      </c>
      <c r="H7405" s="68" t="s">
        <v>22645</v>
      </c>
      <c r="I7405" s="64">
        <v>1</v>
      </c>
      <c r="J7405" s="44" t="str">
        <f>VLOOKUP(G7405,[1]硬件清单!$F:$F,1,0)</f>
        <v>4E23C0182370</v>
      </c>
      <c r="K7405" s="66"/>
      <c r="L7405" s="44"/>
      <c r="M7405" s="64" t="s">
        <v>22646</v>
      </c>
    </row>
    <row r="7406" ht="30" customHeight="1" spans="1:13">
      <c r="A7406" s="41">
        <f>IF(C7406="","",SUBTOTAL(103,$C$2:C7406))</f>
        <v>7397</v>
      </c>
      <c r="B7406" s="67"/>
      <c r="C7406" s="58" t="s">
        <v>20331</v>
      </c>
      <c r="D7406" s="68" t="s">
        <v>19</v>
      </c>
      <c r="E7406" s="64" t="s">
        <v>22138</v>
      </c>
      <c r="F7406" s="68" t="s">
        <v>22448</v>
      </c>
      <c r="G7406" s="64" t="s">
        <v>22647</v>
      </c>
      <c r="H7406" s="68" t="s">
        <v>22648</v>
      </c>
      <c r="I7406" s="64">
        <v>1</v>
      </c>
      <c r="J7406" s="44" t="str">
        <f>VLOOKUP(G7406,[1]硬件清单!$F:$F,1,0)</f>
        <v>4E23C0182511</v>
      </c>
      <c r="K7406" s="66"/>
      <c r="L7406" s="44"/>
      <c r="M7406" s="64" t="s">
        <v>22649</v>
      </c>
    </row>
    <row r="7407" ht="30" customHeight="1" spans="1:13">
      <c r="A7407" s="41">
        <f>IF(C7407="","",SUBTOTAL(103,$C$2:C7407))</f>
        <v>7398</v>
      </c>
      <c r="B7407" s="67"/>
      <c r="C7407" s="58" t="s">
        <v>20331</v>
      </c>
      <c r="D7407" s="68" t="s">
        <v>19</v>
      </c>
      <c r="E7407" s="64" t="s">
        <v>22138</v>
      </c>
      <c r="F7407" s="68" t="s">
        <v>22448</v>
      </c>
      <c r="G7407" s="64" t="s">
        <v>22650</v>
      </c>
      <c r="H7407" s="68" t="s">
        <v>22651</v>
      </c>
      <c r="I7407" s="64">
        <v>1</v>
      </c>
      <c r="J7407" s="44" t="str">
        <f>VLOOKUP(G7407,[1]硬件清单!$F:$F,1,0)</f>
        <v>4E23B0085238</v>
      </c>
      <c r="K7407" s="66"/>
      <c r="L7407" s="44"/>
      <c r="M7407" s="64" t="s">
        <v>22652</v>
      </c>
    </row>
    <row r="7408" ht="30" customHeight="1" spans="1:13">
      <c r="A7408" s="41">
        <f>IF(C7408="","",SUBTOTAL(103,$C$2:C7408))</f>
        <v>7399</v>
      </c>
      <c r="B7408" s="67"/>
      <c r="C7408" s="58" t="s">
        <v>20331</v>
      </c>
      <c r="D7408" s="68" t="s">
        <v>19</v>
      </c>
      <c r="E7408" s="64" t="s">
        <v>22138</v>
      </c>
      <c r="F7408" s="68" t="s">
        <v>22448</v>
      </c>
      <c r="G7408" s="64" t="s">
        <v>22653</v>
      </c>
      <c r="H7408" s="68" t="s">
        <v>22654</v>
      </c>
      <c r="I7408" s="64">
        <v>1</v>
      </c>
      <c r="J7408" s="44" t="str">
        <f>VLOOKUP(G7408,[1]硬件清单!$F:$F,1,0)</f>
        <v>4E23C0182230</v>
      </c>
      <c r="K7408" s="66"/>
      <c r="L7408" s="44"/>
      <c r="M7408" s="64" t="s">
        <v>22655</v>
      </c>
    </row>
    <row r="7409" ht="30" customHeight="1" spans="1:13">
      <c r="A7409" s="41">
        <f>IF(C7409="","",SUBTOTAL(103,$C$2:C7409))</f>
        <v>7400</v>
      </c>
      <c r="B7409" s="67"/>
      <c r="C7409" s="58" t="s">
        <v>20331</v>
      </c>
      <c r="D7409" s="68" t="s">
        <v>19</v>
      </c>
      <c r="E7409" s="64" t="s">
        <v>22138</v>
      </c>
      <c r="F7409" s="68" t="s">
        <v>22448</v>
      </c>
      <c r="G7409" s="64" t="s">
        <v>22656</v>
      </c>
      <c r="H7409" s="68" t="s">
        <v>22657</v>
      </c>
      <c r="I7409" s="64">
        <v>1</v>
      </c>
      <c r="J7409" s="44" t="str">
        <f>VLOOKUP(G7409,[1]硬件清单!$F:$F,1,0)</f>
        <v>4E23C0168364</v>
      </c>
      <c r="K7409" s="66"/>
      <c r="L7409" s="44"/>
      <c r="M7409" s="64" t="s">
        <v>22658</v>
      </c>
    </row>
    <row r="7410" ht="30" customHeight="1" spans="1:13">
      <c r="A7410" s="41">
        <f>IF(C7410="","",SUBTOTAL(103,$C$2:C7410))</f>
        <v>7401</v>
      </c>
      <c r="B7410" s="67"/>
      <c r="C7410" s="58" t="s">
        <v>20331</v>
      </c>
      <c r="D7410" s="68" t="s">
        <v>19</v>
      </c>
      <c r="E7410" s="64" t="s">
        <v>22138</v>
      </c>
      <c r="F7410" s="68" t="s">
        <v>22659</v>
      </c>
      <c r="G7410" s="64" t="s">
        <v>22660</v>
      </c>
      <c r="H7410" s="68" t="s">
        <v>22661</v>
      </c>
      <c r="I7410" s="64">
        <v>1</v>
      </c>
      <c r="J7410" s="44" t="str">
        <f>VLOOKUP(G7410,[1]硬件清单!$F:$F,1,0)</f>
        <v>1023CB199904</v>
      </c>
      <c r="K7410" s="66"/>
      <c r="L7410" s="44"/>
      <c r="M7410" s="64" t="s">
        <v>22662</v>
      </c>
    </row>
    <row r="7411" ht="30" customHeight="1" spans="1:13">
      <c r="A7411" s="41">
        <f>IF(C7411="","",SUBTOTAL(103,$C$2:C7411))</f>
        <v>7402</v>
      </c>
      <c r="B7411" s="67"/>
      <c r="C7411" s="58" t="s">
        <v>20331</v>
      </c>
      <c r="D7411" s="68" t="s">
        <v>19</v>
      </c>
      <c r="E7411" s="64" t="s">
        <v>22138</v>
      </c>
      <c r="F7411" s="68" t="s">
        <v>22659</v>
      </c>
      <c r="G7411" s="64" t="s">
        <v>22663</v>
      </c>
      <c r="H7411" s="68" t="s">
        <v>22664</v>
      </c>
      <c r="I7411" s="64">
        <v>1</v>
      </c>
      <c r="J7411" s="44" t="str">
        <f>VLOOKUP(G7411,[1]硬件清单!$F:$F,1,0)</f>
        <v>1023CB199909</v>
      </c>
      <c r="K7411" s="66"/>
      <c r="L7411" s="44"/>
      <c r="M7411" s="64" t="s">
        <v>22665</v>
      </c>
    </row>
    <row r="7412" ht="30" customHeight="1" spans="1:13">
      <c r="A7412" s="41">
        <f>IF(C7412="","",SUBTOTAL(103,$C$2:C7412))</f>
        <v>7403</v>
      </c>
      <c r="B7412" s="67"/>
      <c r="C7412" s="58" t="s">
        <v>20331</v>
      </c>
      <c r="D7412" s="68" t="s">
        <v>19</v>
      </c>
      <c r="E7412" s="64" t="s">
        <v>22138</v>
      </c>
      <c r="F7412" s="68" t="s">
        <v>22659</v>
      </c>
      <c r="G7412" s="64" t="s">
        <v>22666</v>
      </c>
      <c r="H7412" s="68" t="s">
        <v>22667</v>
      </c>
      <c r="I7412" s="64">
        <v>1</v>
      </c>
      <c r="J7412" s="44" t="str">
        <f>VLOOKUP(G7412,[1]硬件清单!$F:$F,1,0)</f>
        <v>1023CB350643</v>
      </c>
      <c r="K7412" s="66"/>
      <c r="L7412" s="44"/>
      <c r="M7412" s="64" t="s">
        <v>22668</v>
      </c>
    </row>
    <row r="7413" ht="30" customHeight="1" spans="1:13">
      <c r="A7413" s="41">
        <f>IF(C7413="","",SUBTOTAL(103,$C$2:C7413))</f>
        <v>7404</v>
      </c>
      <c r="B7413" s="67"/>
      <c r="C7413" s="58" t="s">
        <v>20331</v>
      </c>
      <c r="D7413" s="68" t="s">
        <v>19</v>
      </c>
      <c r="E7413" s="64" t="s">
        <v>22138</v>
      </c>
      <c r="F7413" s="68" t="s">
        <v>22659</v>
      </c>
      <c r="G7413" s="64" t="s">
        <v>22669</v>
      </c>
      <c r="H7413" s="68" t="s">
        <v>22670</v>
      </c>
      <c r="I7413" s="64">
        <v>1</v>
      </c>
      <c r="J7413" s="44" t="str">
        <f>VLOOKUP(G7413,[1]硬件清单!$F:$F,1,0)</f>
        <v>1023CB072128</v>
      </c>
      <c r="K7413" s="66"/>
      <c r="L7413" s="44"/>
      <c r="M7413" s="64" t="s">
        <v>22671</v>
      </c>
    </row>
    <row r="7414" ht="30" customHeight="1" spans="1:13">
      <c r="A7414" s="41">
        <f>IF(C7414="","",SUBTOTAL(103,$C$2:C7414))</f>
        <v>7405</v>
      </c>
      <c r="B7414" s="67"/>
      <c r="C7414" s="58" t="s">
        <v>20331</v>
      </c>
      <c r="D7414" s="68" t="s">
        <v>19</v>
      </c>
      <c r="E7414" s="64" t="s">
        <v>22138</v>
      </c>
      <c r="F7414" s="68" t="s">
        <v>22659</v>
      </c>
      <c r="G7414" s="64" t="s">
        <v>22672</v>
      </c>
      <c r="H7414" s="68" t="s">
        <v>22673</v>
      </c>
      <c r="I7414" s="64">
        <v>1</v>
      </c>
      <c r="J7414" s="44" t="str">
        <f>VLOOKUP(G7414,[1]硬件清单!$F:$F,1,0)</f>
        <v>1023CB072059</v>
      </c>
      <c r="K7414" s="66"/>
      <c r="L7414" s="44"/>
      <c r="M7414" s="64" t="s">
        <v>22674</v>
      </c>
    </row>
    <row r="7415" ht="30" customHeight="1" spans="1:13">
      <c r="A7415" s="41">
        <f>IF(C7415="","",SUBTOTAL(103,$C$2:C7415))</f>
        <v>7406</v>
      </c>
      <c r="B7415" s="67"/>
      <c r="C7415" s="58" t="s">
        <v>20331</v>
      </c>
      <c r="D7415" s="68" t="s">
        <v>19</v>
      </c>
      <c r="E7415" s="64" t="s">
        <v>22138</v>
      </c>
      <c r="F7415" s="68" t="s">
        <v>22659</v>
      </c>
      <c r="G7415" s="64" t="s">
        <v>22675</v>
      </c>
      <c r="H7415" s="68" t="s">
        <v>22676</v>
      </c>
      <c r="I7415" s="64">
        <v>1</v>
      </c>
      <c r="J7415" s="44" t="str">
        <f>VLOOKUP(G7415,[1]硬件清单!$F:$F,1,0)</f>
        <v>1023CB072110</v>
      </c>
      <c r="K7415" s="66"/>
      <c r="L7415" s="44"/>
      <c r="M7415" s="64" t="s">
        <v>22677</v>
      </c>
    </row>
    <row r="7416" ht="30" customHeight="1" spans="1:13">
      <c r="A7416" s="41">
        <f>IF(C7416="","",SUBTOTAL(103,$C$2:C7416))</f>
        <v>7407</v>
      </c>
      <c r="B7416" s="67"/>
      <c r="C7416" s="58" t="s">
        <v>20331</v>
      </c>
      <c r="D7416" s="68" t="s">
        <v>19</v>
      </c>
      <c r="E7416" s="64" t="s">
        <v>22138</v>
      </c>
      <c r="F7416" s="68" t="s">
        <v>22659</v>
      </c>
      <c r="G7416" s="64" t="s">
        <v>22678</v>
      </c>
      <c r="H7416" s="68" t="s">
        <v>22679</v>
      </c>
      <c r="I7416" s="64">
        <v>1</v>
      </c>
      <c r="J7416" s="44" t="str">
        <f>VLOOKUP(G7416,[1]硬件清单!$F:$F,1,0)</f>
        <v>1023CB072080</v>
      </c>
      <c r="K7416" s="66"/>
      <c r="L7416" s="44"/>
      <c r="M7416" s="64" t="s">
        <v>22680</v>
      </c>
    </row>
    <row r="7417" ht="30" customHeight="1" spans="1:13">
      <c r="A7417" s="41">
        <f>IF(C7417="","",SUBTOTAL(103,$C$2:C7417))</f>
        <v>7408</v>
      </c>
      <c r="B7417" s="67"/>
      <c r="C7417" s="58" t="s">
        <v>20331</v>
      </c>
      <c r="D7417" s="68" t="s">
        <v>19</v>
      </c>
      <c r="E7417" s="64" t="s">
        <v>22138</v>
      </c>
      <c r="F7417" s="68" t="s">
        <v>22659</v>
      </c>
      <c r="G7417" s="64" t="s">
        <v>22681</v>
      </c>
      <c r="H7417" s="68" t="s">
        <v>22682</v>
      </c>
      <c r="I7417" s="64">
        <v>1</v>
      </c>
      <c r="J7417" s="44" t="str">
        <f>VLOOKUP(G7417,[1]硬件清单!$F:$F,1,0)</f>
        <v>1023CB072108</v>
      </c>
      <c r="K7417" s="66"/>
      <c r="L7417" s="44"/>
      <c r="M7417" s="64" t="s">
        <v>22683</v>
      </c>
    </row>
    <row r="7418" ht="30" customHeight="1" spans="1:13">
      <c r="A7418" s="41">
        <f>IF(C7418="","",SUBTOTAL(103,$C$2:C7418))</f>
        <v>7409</v>
      </c>
      <c r="B7418" s="67"/>
      <c r="C7418" s="58" t="s">
        <v>20331</v>
      </c>
      <c r="D7418" s="68" t="s">
        <v>19</v>
      </c>
      <c r="E7418" s="64" t="s">
        <v>22138</v>
      </c>
      <c r="F7418" s="68" t="s">
        <v>22659</v>
      </c>
      <c r="G7418" s="64" t="s">
        <v>22684</v>
      </c>
      <c r="H7418" s="68" t="s">
        <v>22685</v>
      </c>
      <c r="I7418" s="64">
        <v>1</v>
      </c>
      <c r="J7418" s="44" t="str">
        <f>VLOOKUP(G7418,[1]硬件清单!$F:$F,1,0)</f>
        <v>1023CB072072</v>
      </c>
      <c r="K7418" s="66"/>
      <c r="L7418" s="44" t="s">
        <v>17</v>
      </c>
      <c r="M7418" s="64" t="s">
        <v>22686</v>
      </c>
    </row>
    <row r="7419" ht="30" customHeight="1" spans="1:13">
      <c r="A7419" s="41">
        <f>IF(C7419="","",SUBTOTAL(103,$C$2:C7419))</f>
        <v>7410</v>
      </c>
      <c r="B7419" s="67"/>
      <c r="C7419" s="58" t="s">
        <v>20331</v>
      </c>
      <c r="D7419" s="68" t="s">
        <v>19</v>
      </c>
      <c r="E7419" s="64" t="s">
        <v>22138</v>
      </c>
      <c r="F7419" s="68" t="s">
        <v>22659</v>
      </c>
      <c r="G7419" s="64" t="s">
        <v>22687</v>
      </c>
      <c r="H7419" s="68" t="s">
        <v>22688</v>
      </c>
      <c r="I7419" s="64">
        <v>1</v>
      </c>
      <c r="J7419" s="44" t="str">
        <f>VLOOKUP(G7419,[1]硬件清单!$F:$F,1,0)</f>
        <v>1023CB199907</v>
      </c>
      <c r="K7419" s="66"/>
      <c r="L7419" s="44"/>
      <c r="M7419" s="64" t="s">
        <v>22689</v>
      </c>
    </row>
    <row r="7420" ht="30" customHeight="1" spans="1:13">
      <c r="A7420" s="41">
        <f>IF(C7420="","",SUBTOTAL(103,$C$2:C7420))</f>
        <v>7411</v>
      </c>
      <c r="B7420" s="67"/>
      <c r="C7420" s="58" t="s">
        <v>20331</v>
      </c>
      <c r="D7420" s="68" t="s">
        <v>19</v>
      </c>
      <c r="E7420" s="64" t="s">
        <v>22138</v>
      </c>
      <c r="F7420" s="68" t="s">
        <v>22659</v>
      </c>
      <c r="G7420" s="64" t="s">
        <v>22690</v>
      </c>
      <c r="H7420" s="68" t="s">
        <v>22691</v>
      </c>
      <c r="I7420" s="64">
        <v>1</v>
      </c>
      <c r="J7420" s="44" t="str">
        <f>VLOOKUP(G7420,[1]硬件清单!$F:$F,1,0)</f>
        <v>1023CB199888</v>
      </c>
      <c r="K7420" s="66"/>
      <c r="L7420" s="44"/>
      <c r="M7420" s="64" t="s">
        <v>22692</v>
      </c>
    </row>
    <row r="7421" ht="30" customHeight="1" spans="1:13">
      <c r="A7421" s="41">
        <f>IF(C7421="","",SUBTOTAL(103,$C$2:C7421))</f>
        <v>7412</v>
      </c>
      <c r="B7421" s="67"/>
      <c r="C7421" s="58" t="s">
        <v>20331</v>
      </c>
      <c r="D7421" s="68" t="s">
        <v>19</v>
      </c>
      <c r="E7421" s="64" t="s">
        <v>22138</v>
      </c>
      <c r="F7421" s="68" t="s">
        <v>22659</v>
      </c>
      <c r="G7421" s="64" t="s">
        <v>22693</v>
      </c>
      <c r="H7421" s="68" t="s">
        <v>22694</v>
      </c>
      <c r="I7421" s="64">
        <v>1</v>
      </c>
      <c r="J7421" s="44" t="str">
        <f>VLOOKUP(G7421,[1]硬件清单!$F:$F,1,0)</f>
        <v>1023CB072077</v>
      </c>
      <c r="K7421" s="66"/>
      <c r="L7421" s="44" t="s">
        <v>17</v>
      </c>
      <c r="M7421" s="64" t="s">
        <v>22695</v>
      </c>
    </row>
    <row r="7422" ht="30" customHeight="1" spans="1:13">
      <c r="A7422" s="41">
        <f>IF(C7422="","",SUBTOTAL(103,$C$2:C7422))</f>
        <v>7413</v>
      </c>
      <c r="B7422" s="67"/>
      <c r="C7422" s="58" t="s">
        <v>20331</v>
      </c>
      <c r="D7422" s="68" t="s">
        <v>19</v>
      </c>
      <c r="E7422" s="64" t="s">
        <v>22138</v>
      </c>
      <c r="F7422" s="68" t="s">
        <v>22659</v>
      </c>
      <c r="G7422" s="64" t="s">
        <v>22696</v>
      </c>
      <c r="H7422" s="68" t="s">
        <v>22697</v>
      </c>
      <c r="I7422" s="64">
        <v>1</v>
      </c>
      <c r="J7422" s="44" t="str">
        <f>VLOOKUP(G7422,[1]硬件清单!$F:$F,1,0)</f>
        <v>1023CB350680</v>
      </c>
      <c r="K7422" s="66"/>
      <c r="L7422" s="44"/>
      <c r="M7422" s="64" t="s">
        <v>22698</v>
      </c>
    </row>
    <row r="7423" ht="30" customHeight="1" spans="1:13">
      <c r="A7423" s="41">
        <f>IF(C7423="","",SUBTOTAL(103,$C$2:C7423))</f>
        <v>7414</v>
      </c>
      <c r="B7423" s="67"/>
      <c r="C7423" s="58" t="s">
        <v>20331</v>
      </c>
      <c r="D7423" s="68" t="s">
        <v>19</v>
      </c>
      <c r="E7423" s="64" t="s">
        <v>22138</v>
      </c>
      <c r="F7423" s="68" t="s">
        <v>22659</v>
      </c>
      <c r="G7423" s="64" t="s">
        <v>22699</v>
      </c>
      <c r="H7423" s="68" t="s">
        <v>22700</v>
      </c>
      <c r="I7423" s="64">
        <v>1</v>
      </c>
      <c r="J7423" s="44" t="str">
        <f>VLOOKUP(G7423,[1]硬件清单!$F:$F,1,0)</f>
        <v>1023CB350580</v>
      </c>
      <c r="K7423" s="66"/>
      <c r="L7423" s="44"/>
      <c r="M7423" s="64" t="s">
        <v>22701</v>
      </c>
    </row>
    <row r="7424" ht="30" customHeight="1" spans="1:13">
      <c r="A7424" s="41">
        <f>IF(C7424="","",SUBTOTAL(103,$C$2:C7424))</f>
        <v>7415</v>
      </c>
      <c r="B7424" s="67"/>
      <c r="C7424" s="58" t="s">
        <v>20331</v>
      </c>
      <c r="D7424" s="68" t="s">
        <v>19</v>
      </c>
      <c r="E7424" s="64" t="s">
        <v>22138</v>
      </c>
      <c r="F7424" s="68" t="s">
        <v>22659</v>
      </c>
      <c r="G7424" s="64" t="s">
        <v>22702</v>
      </c>
      <c r="H7424" s="68" t="s">
        <v>22703</v>
      </c>
      <c r="I7424" s="64">
        <v>1</v>
      </c>
      <c r="J7424" s="44" t="str">
        <f>VLOOKUP(G7424,[1]硬件清单!$F:$F,1,0)</f>
        <v>1023CB350685</v>
      </c>
      <c r="K7424" s="66"/>
      <c r="L7424" s="44"/>
      <c r="M7424" s="64" t="s">
        <v>22704</v>
      </c>
    </row>
    <row r="7425" ht="30" customHeight="1" spans="1:13">
      <c r="A7425" s="41">
        <f>IF(C7425="","",SUBTOTAL(103,$C$2:C7425))</f>
        <v>7416</v>
      </c>
      <c r="B7425" s="67"/>
      <c r="C7425" s="58" t="s">
        <v>20331</v>
      </c>
      <c r="D7425" s="68" t="s">
        <v>19</v>
      </c>
      <c r="E7425" s="64" t="s">
        <v>22138</v>
      </c>
      <c r="F7425" s="68" t="s">
        <v>22659</v>
      </c>
      <c r="G7425" s="64" t="s">
        <v>22705</v>
      </c>
      <c r="H7425" s="68" t="s">
        <v>22706</v>
      </c>
      <c r="I7425" s="64">
        <v>1</v>
      </c>
      <c r="J7425" s="44" t="str">
        <f>VLOOKUP(G7425,[1]硬件清单!$F:$F,1,0)</f>
        <v>1023CB350694</v>
      </c>
      <c r="K7425" s="66"/>
      <c r="L7425" s="44"/>
      <c r="M7425" s="64" t="s">
        <v>22707</v>
      </c>
    </row>
    <row r="7426" ht="30" customHeight="1" spans="1:13">
      <c r="A7426" s="41">
        <f>IF(C7426="","",SUBTOTAL(103,$C$2:C7426))</f>
        <v>7417</v>
      </c>
      <c r="B7426" s="67"/>
      <c r="C7426" s="58" t="s">
        <v>20331</v>
      </c>
      <c r="D7426" s="68" t="s">
        <v>19</v>
      </c>
      <c r="E7426" s="64" t="s">
        <v>22138</v>
      </c>
      <c r="F7426" s="68" t="s">
        <v>22659</v>
      </c>
      <c r="G7426" s="64" t="s">
        <v>22708</v>
      </c>
      <c r="H7426" s="68" t="s">
        <v>22709</v>
      </c>
      <c r="I7426" s="64">
        <v>1</v>
      </c>
      <c r="J7426" s="44" t="str">
        <f>VLOOKUP(G7426,[1]硬件清单!$F:$F,1,0)</f>
        <v>1023CB350695</v>
      </c>
      <c r="K7426" s="66"/>
      <c r="L7426" s="44"/>
      <c r="M7426" s="64" t="s">
        <v>22710</v>
      </c>
    </row>
    <row r="7427" ht="30" customHeight="1" spans="1:13">
      <c r="A7427" s="41">
        <f>IF(C7427="","",SUBTOTAL(103,$C$2:C7427))</f>
        <v>7418</v>
      </c>
      <c r="B7427" s="67"/>
      <c r="C7427" s="58" t="s">
        <v>20331</v>
      </c>
      <c r="D7427" s="68" t="s">
        <v>19</v>
      </c>
      <c r="E7427" s="64" t="s">
        <v>22138</v>
      </c>
      <c r="F7427" s="68" t="s">
        <v>22659</v>
      </c>
      <c r="G7427" s="64" t="s">
        <v>22711</v>
      </c>
      <c r="H7427" s="68" t="s">
        <v>22712</v>
      </c>
      <c r="I7427" s="64">
        <v>1</v>
      </c>
      <c r="J7427" s="44" t="str">
        <f>VLOOKUP(G7427,[1]硬件清单!$F:$F,1,0)</f>
        <v>1023CB350651</v>
      </c>
      <c r="K7427" s="66"/>
      <c r="L7427" s="44"/>
      <c r="M7427" s="64" t="s">
        <v>22713</v>
      </c>
    </row>
    <row r="7428" ht="30" customHeight="1" spans="1:13">
      <c r="A7428" s="41">
        <f>IF(C7428="","",SUBTOTAL(103,$C$2:C7428))</f>
        <v>7419</v>
      </c>
      <c r="B7428" s="67"/>
      <c r="C7428" s="58" t="s">
        <v>20331</v>
      </c>
      <c r="D7428" s="68" t="s">
        <v>19</v>
      </c>
      <c r="E7428" s="64" t="s">
        <v>22138</v>
      </c>
      <c r="F7428" s="68" t="s">
        <v>22659</v>
      </c>
      <c r="G7428" s="64" t="s">
        <v>22714</v>
      </c>
      <c r="H7428" s="68" t="s">
        <v>22715</v>
      </c>
      <c r="I7428" s="64">
        <v>1</v>
      </c>
      <c r="J7428" s="44" t="str">
        <f>VLOOKUP(G7428,[1]硬件清单!$F:$F,1,0)</f>
        <v>1023CB199875</v>
      </c>
      <c r="K7428" s="66"/>
      <c r="L7428" s="44"/>
      <c r="M7428" s="64" t="s">
        <v>22716</v>
      </c>
    </row>
    <row r="7429" ht="30" customHeight="1" spans="1:13">
      <c r="A7429" s="41">
        <f>IF(C7429="","",SUBTOTAL(103,$C$2:C7429))</f>
        <v>7420</v>
      </c>
      <c r="B7429" s="67"/>
      <c r="C7429" s="58" t="s">
        <v>20331</v>
      </c>
      <c r="D7429" s="68" t="s">
        <v>19</v>
      </c>
      <c r="E7429" s="64" t="s">
        <v>22138</v>
      </c>
      <c r="F7429" s="68" t="s">
        <v>22659</v>
      </c>
      <c r="G7429" s="64" t="s">
        <v>22717</v>
      </c>
      <c r="H7429" s="68" t="s">
        <v>22718</v>
      </c>
      <c r="I7429" s="64">
        <v>1</v>
      </c>
      <c r="J7429" s="44" t="str">
        <f>VLOOKUP(G7429,[1]硬件清单!$F:$F,1,0)</f>
        <v>1023CB199870</v>
      </c>
      <c r="K7429" s="66"/>
      <c r="L7429" s="44"/>
      <c r="M7429" s="64" t="s">
        <v>22719</v>
      </c>
    </row>
    <row r="7430" ht="30" customHeight="1" spans="1:13">
      <c r="A7430" s="41">
        <f>IF(C7430="","",SUBTOTAL(103,$C$2:C7430))</f>
        <v>7421</v>
      </c>
      <c r="B7430" s="67"/>
      <c r="C7430" s="58" t="s">
        <v>20331</v>
      </c>
      <c r="D7430" s="68" t="s">
        <v>19</v>
      </c>
      <c r="E7430" s="64" t="s">
        <v>22138</v>
      </c>
      <c r="F7430" s="68" t="s">
        <v>22659</v>
      </c>
      <c r="G7430" s="64" t="s">
        <v>22720</v>
      </c>
      <c r="H7430" s="68" t="s">
        <v>22721</v>
      </c>
      <c r="I7430" s="64">
        <v>1</v>
      </c>
      <c r="J7430" s="44" t="str">
        <f>VLOOKUP(G7430,[1]硬件清单!$F:$F,1,0)</f>
        <v>1023CB350665</v>
      </c>
      <c r="K7430" s="66"/>
      <c r="L7430" s="44"/>
      <c r="M7430" s="64" t="s">
        <v>22722</v>
      </c>
    </row>
    <row r="7431" ht="30" customHeight="1" spans="1:13">
      <c r="A7431" s="41">
        <f>IF(C7431="","",SUBTOTAL(103,$C$2:C7431))</f>
        <v>7422</v>
      </c>
      <c r="B7431" s="67"/>
      <c r="C7431" s="58" t="s">
        <v>20331</v>
      </c>
      <c r="D7431" s="68" t="s">
        <v>19</v>
      </c>
      <c r="E7431" s="64" t="s">
        <v>22138</v>
      </c>
      <c r="F7431" s="68" t="s">
        <v>22659</v>
      </c>
      <c r="G7431" s="64" t="s">
        <v>22723</v>
      </c>
      <c r="H7431" s="68" t="s">
        <v>22724</v>
      </c>
      <c r="I7431" s="64">
        <v>1</v>
      </c>
      <c r="J7431" s="44" t="str">
        <f>VLOOKUP(G7431,[1]硬件清单!$F:$F,1,0)</f>
        <v>1023CB072100</v>
      </c>
      <c r="K7431" s="66"/>
      <c r="L7431" s="44"/>
      <c r="M7431" s="64" t="s">
        <v>22725</v>
      </c>
    </row>
    <row r="7432" ht="30" customHeight="1" spans="1:13">
      <c r="A7432" s="41">
        <f>IF(C7432="","",SUBTOTAL(103,$C$2:C7432))</f>
        <v>7423</v>
      </c>
      <c r="B7432" s="67"/>
      <c r="C7432" s="58" t="s">
        <v>20331</v>
      </c>
      <c r="D7432" s="68" t="s">
        <v>19</v>
      </c>
      <c r="E7432" s="64" t="s">
        <v>22138</v>
      </c>
      <c r="F7432" s="68" t="s">
        <v>22659</v>
      </c>
      <c r="G7432" s="64" t="s">
        <v>22726</v>
      </c>
      <c r="H7432" s="68" t="s">
        <v>22727</v>
      </c>
      <c r="I7432" s="64">
        <v>1</v>
      </c>
      <c r="J7432" s="44" t="str">
        <f>VLOOKUP(G7432,[1]硬件清单!$F:$F,1,0)</f>
        <v>1023CB072084</v>
      </c>
      <c r="K7432" s="66"/>
      <c r="L7432" s="44"/>
      <c r="M7432" s="64" t="s">
        <v>22728</v>
      </c>
    </row>
    <row r="7433" ht="30" customHeight="1" spans="1:13">
      <c r="A7433" s="41">
        <f>IF(C7433="","",SUBTOTAL(103,$C$2:C7433))</f>
        <v>7424</v>
      </c>
      <c r="B7433" s="67"/>
      <c r="C7433" s="58" t="s">
        <v>20331</v>
      </c>
      <c r="D7433" s="68" t="s">
        <v>19</v>
      </c>
      <c r="E7433" s="64" t="s">
        <v>22138</v>
      </c>
      <c r="F7433" s="68" t="s">
        <v>22659</v>
      </c>
      <c r="G7433" s="64" t="s">
        <v>22729</v>
      </c>
      <c r="H7433" s="68" t="s">
        <v>22730</v>
      </c>
      <c r="I7433" s="64">
        <v>1</v>
      </c>
      <c r="J7433" s="44" t="str">
        <f>VLOOKUP(G7433,[1]硬件清单!$F:$F,1,0)</f>
        <v>1023CB513232</v>
      </c>
      <c r="K7433" s="66"/>
      <c r="L7433" s="44"/>
      <c r="M7433" s="64" t="s">
        <v>22731</v>
      </c>
    </row>
    <row r="7434" ht="30" customHeight="1" spans="1:13">
      <c r="A7434" s="41">
        <f>IF(C7434="","",SUBTOTAL(103,$C$2:C7434))</f>
        <v>7425</v>
      </c>
      <c r="B7434" s="67"/>
      <c r="C7434" s="58" t="s">
        <v>20331</v>
      </c>
      <c r="D7434" s="68" t="s">
        <v>19</v>
      </c>
      <c r="E7434" s="64" t="s">
        <v>22138</v>
      </c>
      <c r="F7434" s="68" t="s">
        <v>22659</v>
      </c>
      <c r="G7434" s="64" t="s">
        <v>22732</v>
      </c>
      <c r="H7434" s="68" t="s">
        <v>22733</v>
      </c>
      <c r="I7434" s="64">
        <v>1</v>
      </c>
      <c r="J7434" s="44" t="str">
        <f>VLOOKUP(G7434,[1]硬件清单!$F:$F,1,0)</f>
        <v>1023CB513309</v>
      </c>
      <c r="K7434" s="66"/>
      <c r="L7434" s="44"/>
      <c r="M7434" s="64" t="s">
        <v>22734</v>
      </c>
    </row>
    <row r="7435" ht="30" customHeight="1" spans="1:13">
      <c r="A7435" s="41">
        <f>IF(C7435="","",SUBTOTAL(103,$C$2:C7435))</f>
        <v>7426</v>
      </c>
      <c r="B7435" s="67"/>
      <c r="C7435" s="58" t="s">
        <v>20331</v>
      </c>
      <c r="D7435" s="68" t="s">
        <v>19</v>
      </c>
      <c r="E7435" s="64" t="s">
        <v>22138</v>
      </c>
      <c r="F7435" s="68" t="s">
        <v>22659</v>
      </c>
      <c r="G7435" s="64" t="s">
        <v>22735</v>
      </c>
      <c r="H7435" s="68" t="s">
        <v>22736</v>
      </c>
      <c r="I7435" s="64">
        <v>1</v>
      </c>
      <c r="J7435" s="44" t="str">
        <f>VLOOKUP(G7435,[1]硬件清单!$F:$F,1,0)</f>
        <v>1023CB513258</v>
      </c>
      <c r="K7435" s="66"/>
      <c r="L7435" s="44"/>
      <c r="M7435" s="64" t="s">
        <v>22737</v>
      </c>
    </row>
    <row r="7436" ht="30" customHeight="1" spans="1:13">
      <c r="A7436" s="41">
        <f>IF(C7436="","",SUBTOTAL(103,$C$2:C7436))</f>
        <v>7427</v>
      </c>
      <c r="B7436" s="67"/>
      <c r="C7436" s="58" t="s">
        <v>20331</v>
      </c>
      <c r="D7436" s="68" t="s">
        <v>19</v>
      </c>
      <c r="E7436" s="64" t="s">
        <v>22138</v>
      </c>
      <c r="F7436" s="68" t="s">
        <v>22659</v>
      </c>
      <c r="G7436" s="64" t="s">
        <v>22738</v>
      </c>
      <c r="H7436" s="68" t="s">
        <v>22739</v>
      </c>
      <c r="I7436" s="64">
        <v>1</v>
      </c>
      <c r="J7436" s="44" t="str">
        <f>VLOOKUP(G7436,[1]硬件清单!$F:$F,1,0)</f>
        <v>1023CB513293</v>
      </c>
      <c r="K7436" s="66"/>
      <c r="L7436" s="44"/>
      <c r="M7436" s="64" t="s">
        <v>22740</v>
      </c>
    </row>
    <row r="7437" ht="30" customHeight="1" spans="1:13">
      <c r="A7437" s="41">
        <f>IF(C7437="","",SUBTOTAL(103,$C$2:C7437))</f>
        <v>7428</v>
      </c>
      <c r="B7437" s="67"/>
      <c r="C7437" s="58" t="s">
        <v>20331</v>
      </c>
      <c r="D7437" s="68" t="s">
        <v>19</v>
      </c>
      <c r="E7437" s="64" t="s">
        <v>22138</v>
      </c>
      <c r="F7437" s="68" t="s">
        <v>22659</v>
      </c>
      <c r="G7437" s="64" t="s">
        <v>22741</v>
      </c>
      <c r="H7437" s="68" t="s">
        <v>22742</v>
      </c>
      <c r="I7437" s="64">
        <v>1</v>
      </c>
      <c r="J7437" s="44" t="str">
        <f>VLOOKUP(G7437,[1]硬件清单!$F:$F,1,0)</f>
        <v>1023CB199868</v>
      </c>
      <c r="K7437" s="66"/>
      <c r="L7437" s="44"/>
      <c r="M7437" s="64" t="s">
        <v>22743</v>
      </c>
    </row>
    <row r="7438" ht="30" customHeight="1" spans="1:13">
      <c r="A7438" s="41">
        <f>IF(C7438="","",SUBTOTAL(103,$C$2:C7438))</f>
        <v>7429</v>
      </c>
      <c r="B7438" s="67"/>
      <c r="C7438" s="58" t="s">
        <v>20331</v>
      </c>
      <c r="D7438" s="68" t="s">
        <v>19</v>
      </c>
      <c r="E7438" s="64" t="s">
        <v>22138</v>
      </c>
      <c r="F7438" s="68" t="s">
        <v>22659</v>
      </c>
      <c r="G7438" s="64" t="s">
        <v>22744</v>
      </c>
      <c r="H7438" s="68" t="s">
        <v>22745</v>
      </c>
      <c r="I7438" s="64">
        <v>1</v>
      </c>
      <c r="J7438" s="44" t="str">
        <f>VLOOKUP(G7438,[1]硬件清单!$F:$F,1,0)</f>
        <v>1023CB199923</v>
      </c>
      <c r="K7438" s="66"/>
      <c r="L7438" s="44"/>
      <c r="M7438" s="64" t="s">
        <v>22746</v>
      </c>
    </row>
    <row r="7439" ht="30" customHeight="1" spans="1:13">
      <c r="A7439" s="41">
        <f>IF(C7439="","",SUBTOTAL(103,$C$2:C7439))</f>
        <v>7430</v>
      </c>
      <c r="B7439" s="67"/>
      <c r="C7439" s="58" t="s">
        <v>20331</v>
      </c>
      <c r="D7439" s="68" t="s">
        <v>19</v>
      </c>
      <c r="E7439" s="64" t="s">
        <v>22138</v>
      </c>
      <c r="F7439" s="68" t="s">
        <v>22659</v>
      </c>
      <c r="G7439" s="64" t="s">
        <v>22747</v>
      </c>
      <c r="H7439" s="68" t="s">
        <v>22748</v>
      </c>
      <c r="I7439" s="64">
        <v>1</v>
      </c>
      <c r="J7439" s="44" t="str">
        <f>VLOOKUP(G7439,[1]硬件清单!$F:$F,1,0)</f>
        <v>1023CB199933</v>
      </c>
      <c r="K7439" s="66"/>
      <c r="L7439" s="44"/>
      <c r="M7439" s="64" t="s">
        <v>22749</v>
      </c>
    </row>
    <row r="7440" ht="30" customHeight="1" spans="1:13">
      <c r="A7440" s="41">
        <f>IF(C7440="","",SUBTOTAL(103,$C$2:C7440))</f>
        <v>7431</v>
      </c>
      <c r="B7440" s="67"/>
      <c r="C7440" s="58" t="s">
        <v>20331</v>
      </c>
      <c r="D7440" s="68" t="s">
        <v>19</v>
      </c>
      <c r="E7440" s="64" t="s">
        <v>22138</v>
      </c>
      <c r="F7440" s="68" t="s">
        <v>22659</v>
      </c>
      <c r="G7440" s="64" t="s">
        <v>22750</v>
      </c>
      <c r="H7440" s="68" t="s">
        <v>22751</v>
      </c>
      <c r="I7440" s="64">
        <v>1</v>
      </c>
      <c r="J7440" s="44" t="str">
        <f>VLOOKUP(G7440,[1]硬件清单!$F:$F,1,0)</f>
        <v>1023CB199900</v>
      </c>
      <c r="K7440" s="66"/>
      <c r="L7440" s="44"/>
      <c r="M7440" s="64" t="s">
        <v>22752</v>
      </c>
    </row>
    <row r="7441" ht="30" customHeight="1" spans="1:13">
      <c r="A7441" s="41">
        <f>IF(C7441="","",SUBTOTAL(103,$C$2:C7441))</f>
        <v>7432</v>
      </c>
      <c r="B7441" s="67"/>
      <c r="C7441" s="58" t="s">
        <v>20331</v>
      </c>
      <c r="D7441" s="68" t="s">
        <v>19</v>
      </c>
      <c r="E7441" s="64" t="s">
        <v>22138</v>
      </c>
      <c r="F7441" s="68" t="s">
        <v>22659</v>
      </c>
      <c r="G7441" s="64" t="s">
        <v>22753</v>
      </c>
      <c r="H7441" s="68" t="s">
        <v>22754</v>
      </c>
      <c r="I7441" s="64">
        <v>1</v>
      </c>
      <c r="J7441" s="44" t="str">
        <f>VLOOKUP(G7441,[1]硬件清单!$F:$F,1,0)</f>
        <v>1023CB350584</v>
      </c>
      <c r="K7441" s="66"/>
      <c r="L7441" s="44"/>
      <c r="M7441" s="64" t="s">
        <v>22755</v>
      </c>
    </row>
    <row r="7442" ht="30" customHeight="1" spans="1:13">
      <c r="A7442" s="41">
        <f>IF(C7442="","",SUBTOTAL(103,$C$2:C7442))</f>
        <v>7433</v>
      </c>
      <c r="B7442" s="67"/>
      <c r="C7442" s="58" t="s">
        <v>20331</v>
      </c>
      <c r="D7442" s="68" t="s">
        <v>19</v>
      </c>
      <c r="E7442" s="64" t="s">
        <v>22138</v>
      </c>
      <c r="F7442" s="68" t="s">
        <v>22659</v>
      </c>
      <c r="G7442" s="64" t="s">
        <v>22756</v>
      </c>
      <c r="H7442" s="68" t="s">
        <v>22757</v>
      </c>
      <c r="I7442" s="64">
        <v>1</v>
      </c>
      <c r="J7442" s="44" t="str">
        <f>VLOOKUP(G7442,[1]硬件清单!$F:$F,1,0)</f>
        <v>1023CB199864</v>
      </c>
      <c r="K7442" s="66"/>
      <c r="L7442" s="44"/>
      <c r="M7442" s="64" t="s">
        <v>22758</v>
      </c>
    </row>
    <row r="7443" ht="30" customHeight="1" spans="1:13">
      <c r="A7443" s="41">
        <f>IF(C7443="","",SUBTOTAL(103,$C$2:C7443))</f>
        <v>7434</v>
      </c>
      <c r="B7443" s="67"/>
      <c r="C7443" s="58" t="s">
        <v>20331</v>
      </c>
      <c r="D7443" s="68" t="s">
        <v>19</v>
      </c>
      <c r="E7443" s="64" t="s">
        <v>22138</v>
      </c>
      <c r="F7443" s="68" t="s">
        <v>22659</v>
      </c>
      <c r="G7443" s="64" t="s">
        <v>22759</v>
      </c>
      <c r="H7443" s="68" t="s">
        <v>22760</v>
      </c>
      <c r="I7443" s="64">
        <v>1</v>
      </c>
      <c r="J7443" s="44" t="str">
        <f>VLOOKUP(G7443,[1]硬件清单!$F:$F,1,0)</f>
        <v>1023CB350591</v>
      </c>
      <c r="K7443" s="66"/>
      <c r="L7443" s="44"/>
      <c r="M7443" s="64" t="s">
        <v>22761</v>
      </c>
    </row>
    <row r="7444" ht="30" customHeight="1" spans="1:13">
      <c r="A7444" s="41">
        <f>IF(C7444="","",SUBTOTAL(103,$C$2:C7444))</f>
        <v>7435</v>
      </c>
      <c r="B7444" s="67"/>
      <c r="C7444" s="58" t="s">
        <v>20331</v>
      </c>
      <c r="D7444" s="68" t="s">
        <v>19</v>
      </c>
      <c r="E7444" s="64" t="s">
        <v>22138</v>
      </c>
      <c r="F7444" s="68" t="s">
        <v>22659</v>
      </c>
      <c r="G7444" s="64" t="s">
        <v>22762</v>
      </c>
      <c r="H7444" s="68" t="s">
        <v>22763</v>
      </c>
      <c r="I7444" s="64">
        <v>1</v>
      </c>
      <c r="J7444" s="44" t="str">
        <f>VLOOKUP(G7444,[1]硬件清单!$F:$F,1,0)</f>
        <v>1023CB350610</v>
      </c>
      <c r="K7444" s="66"/>
      <c r="L7444" s="44"/>
      <c r="M7444" s="64" t="s">
        <v>22764</v>
      </c>
    </row>
    <row r="7445" ht="30" customHeight="1" spans="1:13">
      <c r="A7445" s="41">
        <f>IF(C7445="","",SUBTOTAL(103,$C$2:C7445))</f>
        <v>7436</v>
      </c>
      <c r="B7445" s="67"/>
      <c r="C7445" s="58" t="s">
        <v>20331</v>
      </c>
      <c r="D7445" s="68" t="s">
        <v>19</v>
      </c>
      <c r="E7445" s="64" t="s">
        <v>22138</v>
      </c>
      <c r="F7445" s="68" t="s">
        <v>22659</v>
      </c>
      <c r="G7445" s="64" t="s">
        <v>22765</v>
      </c>
      <c r="H7445" s="68" t="s">
        <v>22766</v>
      </c>
      <c r="I7445" s="64">
        <v>1</v>
      </c>
      <c r="J7445" s="44" t="str">
        <f>VLOOKUP(G7445,[1]硬件清单!$F:$F,1,0)</f>
        <v>1023CB350666</v>
      </c>
      <c r="K7445" s="66"/>
      <c r="L7445" s="44"/>
      <c r="M7445" s="64" t="s">
        <v>22767</v>
      </c>
    </row>
    <row r="7446" ht="30" customHeight="1" spans="1:13">
      <c r="A7446" s="41">
        <f>IF(C7446="","",SUBTOTAL(103,$C$2:C7446))</f>
        <v>7437</v>
      </c>
      <c r="B7446" s="67"/>
      <c r="C7446" s="58" t="s">
        <v>20331</v>
      </c>
      <c r="D7446" s="68" t="s">
        <v>19</v>
      </c>
      <c r="E7446" s="64" t="s">
        <v>22138</v>
      </c>
      <c r="F7446" s="68" t="s">
        <v>22659</v>
      </c>
      <c r="G7446" s="64" t="s">
        <v>22768</v>
      </c>
      <c r="H7446" s="68" t="s">
        <v>22769</v>
      </c>
      <c r="I7446" s="64">
        <v>1</v>
      </c>
      <c r="J7446" s="44" t="str">
        <f>VLOOKUP(G7446,[1]硬件清单!$F:$F,1,0)</f>
        <v>1023CB350614</v>
      </c>
      <c r="K7446" s="66"/>
      <c r="L7446" s="44"/>
      <c r="M7446" s="64" t="s">
        <v>22770</v>
      </c>
    </row>
    <row r="7447" ht="30" customHeight="1" spans="1:13">
      <c r="A7447" s="41">
        <f>IF(C7447="","",SUBTOTAL(103,$C$2:C7447))</f>
        <v>7438</v>
      </c>
      <c r="B7447" s="67"/>
      <c r="C7447" s="58" t="s">
        <v>20331</v>
      </c>
      <c r="D7447" s="68" t="s">
        <v>19</v>
      </c>
      <c r="E7447" s="64" t="s">
        <v>22138</v>
      </c>
      <c r="F7447" s="68" t="s">
        <v>22659</v>
      </c>
      <c r="G7447" s="64" t="s">
        <v>22771</v>
      </c>
      <c r="H7447" s="68" t="s">
        <v>22772</v>
      </c>
      <c r="I7447" s="64">
        <v>1</v>
      </c>
      <c r="J7447" s="44" t="str">
        <f>VLOOKUP(G7447,[1]硬件清单!$F:$F,1,0)</f>
        <v>1023CB350637</v>
      </c>
      <c r="K7447" s="66"/>
      <c r="L7447" s="44" t="s">
        <v>17</v>
      </c>
      <c r="M7447" s="64" t="s">
        <v>22773</v>
      </c>
    </row>
    <row r="7448" ht="30" customHeight="1" spans="1:13">
      <c r="A7448" s="41">
        <f>IF(C7448="","",SUBTOTAL(103,$C$2:C7448))</f>
        <v>7439</v>
      </c>
      <c r="B7448" s="67"/>
      <c r="C7448" s="58" t="s">
        <v>20331</v>
      </c>
      <c r="D7448" s="68" t="s">
        <v>19</v>
      </c>
      <c r="E7448" s="64" t="s">
        <v>22138</v>
      </c>
      <c r="F7448" s="68" t="s">
        <v>22659</v>
      </c>
      <c r="G7448" s="64" t="s">
        <v>22774</v>
      </c>
      <c r="H7448" s="68" t="s">
        <v>22775</v>
      </c>
      <c r="I7448" s="64">
        <v>1</v>
      </c>
      <c r="J7448" s="44" t="str">
        <f>VLOOKUP(G7448,[1]硬件清单!$F:$F,1,0)</f>
        <v>1023CB350624</v>
      </c>
      <c r="K7448" s="66"/>
      <c r="L7448" s="44" t="s">
        <v>17</v>
      </c>
      <c r="M7448" s="64" t="s">
        <v>22776</v>
      </c>
    </row>
    <row r="7449" ht="30" customHeight="1" spans="1:13">
      <c r="A7449" s="41">
        <f>IF(C7449="","",SUBTOTAL(103,$C$2:C7449))</f>
        <v>7440</v>
      </c>
      <c r="B7449" s="67"/>
      <c r="C7449" s="58" t="s">
        <v>20331</v>
      </c>
      <c r="D7449" s="68" t="s">
        <v>19</v>
      </c>
      <c r="E7449" s="64" t="s">
        <v>22138</v>
      </c>
      <c r="F7449" s="68" t="s">
        <v>22659</v>
      </c>
      <c r="G7449" s="64" t="s">
        <v>22777</v>
      </c>
      <c r="H7449" s="68" t="s">
        <v>22778</v>
      </c>
      <c r="I7449" s="64">
        <v>1</v>
      </c>
      <c r="J7449" s="44" t="str">
        <f>VLOOKUP(G7449,[1]硬件清单!$F:$F,1,0)</f>
        <v>1023CB350690</v>
      </c>
      <c r="K7449" s="66"/>
      <c r="L7449" s="44"/>
      <c r="M7449" s="64" t="s">
        <v>22779</v>
      </c>
    </row>
    <row r="7450" ht="30" customHeight="1" spans="1:13">
      <c r="A7450" s="41">
        <f>IF(C7450="","",SUBTOTAL(103,$C$2:C7450))</f>
        <v>7441</v>
      </c>
      <c r="B7450" s="67"/>
      <c r="C7450" s="58" t="s">
        <v>20331</v>
      </c>
      <c r="D7450" s="68" t="s">
        <v>19</v>
      </c>
      <c r="E7450" s="64" t="s">
        <v>22138</v>
      </c>
      <c r="F7450" s="68" t="s">
        <v>22659</v>
      </c>
      <c r="G7450" s="64" t="s">
        <v>22780</v>
      </c>
      <c r="H7450" s="68" t="s">
        <v>22781</v>
      </c>
      <c r="I7450" s="64">
        <v>1</v>
      </c>
      <c r="J7450" s="44" t="str">
        <f>VLOOKUP(G7450,[1]硬件清单!$F:$F,1,0)</f>
        <v>1023CB350629</v>
      </c>
      <c r="K7450" s="66"/>
      <c r="L7450" s="44"/>
      <c r="M7450" s="64" t="s">
        <v>22782</v>
      </c>
    </row>
    <row r="7451" ht="30" customHeight="1" spans="1:13">
      <c r="A7451" s="41">
        <f>IF(C7451="","",SUBTOTAL(103,$C$2:C7451))</f>
        <v>7442</v>
      </c>
      <c r="B7451" s="67"/>
      <c r="C7451" s="58" t="s">
        <v>20331</v>
      </c>
      <c r="D7451" s="68" t="s">
        <v>19</v>
      </c>
      <c r="E7451" s="64" t="s">
        <v>22138</v>
      </c>
      <c r="F7451" s="68" t="s">
        <v>22659</v>
      </c>
      <c r="G7451" s="64" t="s">
        <v>22783</v>
      </c>
      <c r="H7451" s="68" t="s">
        <v>22784</v>
      </c>
      <c r="I7451" s="64">
        <v>1</v>
      </c>
      <c r="J7451" s="44" t="str">
        <f>VLOOKUP(G7451,[1]硬件清单!$F:$F,1,0)</f>
        <v>1023CB350595</v>
      </c>
      <c r="K7451" s="66"/>
      <c r="L7451" s="44" t="s">
        <v>17</v>
      </c>
      <c r="M7451" s="64" t="s">
        <v>22785</v>
      </c>
    </row>
    <row r="7452" ht="30" customHeight="1" spans="1:13">
      <c r="A7452" s="41">
        <f>IF(C7452="","",SUBTOTAL(103,$C$2:C7452))</f>
        <v>7443</v>
      </c>
      <c r="B7452" s="67"/>
      <c r="C7452" s="58" t="s">
        <v>20331</v>
      </c>
      <c r="D7452" s="68" t="s">
        <v>19</v>
      </c>
      <c r="E7452" s="64" t="s">
        <v>22138</v>
      </c>
      <c r="F7452" s="68" t="s">
        <v>22659</v>
      </c>
      <c r="G7452" s="64" t="s">
        <v>22786</v>
      </c>
      <c r="H7452" s="68" t="s">
        <v>22787</v>
      </c>
      <c r="I7452" s="64">
        <v>1</v>
      </c>
      <c r="J7452" s="44" t="str">
        <f>VLOOKUP(G7452,[1]硬件清单!$F:$F,1,0)</f>
        <v>1023CB350582</v>
      </c>
      <c r="K7452" s="66"/>
      <c r="L7452" s="44"/>
      <c r="M7452" s="64" t="s">
        <v>22788</v>
      </c>
    </row>
    <row r="7453" ht="30" customHeight="1" spans="1:13">
      <c r="A7453" s="41">
        <f>IF(C7453="","",SUBTOTAL(103,$C$2:C7453))</f>
        <v>7444</v>
      </c>
      <c r="B7453" s="67"/>
      <c r="C7453" s="58" t="s">
        <v>20331</v>
      </c>
      <c r="D7453" s="68" t="s">
        <v>19</v>
      </c>
      <c r="E7453" s="64" t="s">
        <v>22138</v>
      </c>
      <c r="F7453" s="68" t="s">
        <v>22659</v>
      </c>
      <c r="G7453" s="64" t="s">
        <v>22789</v>
      </c>
      <c r="H7453" s="68" t="s">
        <v>22790</v>
      </c>
      <c r="I7453" s="64">
        <v>1</v>
      </c>
      <c r="J7453" s="44" t="str">
        <f>VLOOKUP(G7453,[1]硬件清单!$F:$F,1,0)</f>
        <v>1023CB513286</v>
      </c>
      <c r="K7453" s="66"/>
      <c r="L7453" s="44"/>
      <c r="M7453" s="64" t="s">
        <v>22791</v>
      </c>
    </row>
    <row r="7454" ht="30" customHeight="1" spans="1:13">
      <c r="A7454" s="41">
        <f>IF(C7454="","",SUBTOTAL(103,$C$2:C7454))</f>
        <v>7445</v>
      </c>
      <c r="B7454" s="67"/>
      <c r="C7454" s="58" t="s">
        <v>20331</v>
      </c>
      <c r="D7454" s="68" t="s">
        <v>19</v>
      </c>
      <c r="E7454" s="64" t="s">
        <v>22138</v>
      </c>
      <c r="F7454" s="68" t="s">
        <v>22659</v>
      </c>
      <c r="G7454" s="64" t="s">
        <v>22792</v>
      </c>
      <c r="H7454" s="68" t="s">
        <v>22793</v>
      </c>
      <c r="I7454" s="64">
        <v>1</v>
      </c>
      <c r="J7454" s="44" t="str">
        <f>VLOOKUP(G7454,[1]硬件清单!$F:$F,1,0)</f>
        <v>1023CB513296</v>
      </c>
      <c r="K7454" s="66"/>
      <c r="L7454" s="44"/>
      <c r="M7454" s="64" t="s">
        <v>22794</v>
      </c>
    </row>
    <row r="7455" ht="30" customHeight="1" spans="1:13">
      <c r="A7455" s="41">
        <f>IF(C7455="","",SUBTOTAL(103,$C$2:C7455))</f>
        <v>7446</v>
      </c>
      <c r="B7455" s="67"/>
      <c r="C7455" s="58" t="s">
        <v>20331</v>
      </c>
      <c r="D7455" s="68" t="s">
        <v>19</v>
      </c>
      <c r="E7455" s="64" t="s">
        <v>22138</v>
      </c>
      <c r="F7455" s="68" t="s">
        <v>22659</v>
      </c>
      <c r="G7455" s="64" t="s">
        <v>22795</v>
      </c>
      <c r="H7455" s="68" t="s">
        <v>22796</v>
      </c>
      <c r="I7455" s="64">
        <v>1</v>
      </c>
      <c r="J7455" s="44" t="str">
        <f>VLOOKUP(G7455,[1]硬件清单!$F:$F,1,0)</f>
        <v>1023CB199939</v>
      </c>
      <c r="K7455" s="66"/>
      <c r="L7455" s="44"/>
      <c r="M7455" s="64" t="s">
        <v>22797</v>
      </c>
    </row>
    <row r="7456" ht="30" customHeight="1" spans="1:13">
      <c r="A7456" s="41">
        <f>IF(C7456="","",SUBTOTAL(103,$C$2:C7456))</f>
        <v>7447</v>
      </c>
      <c r="B7456" s="67"/>
      <c r="C7456" s="58" t="s">
        <v>20331</v>
      </c>
      <c r="D7456" s="68" t="s">
        <v>19</v>
      </c>
      <c r="E7456" s="64" t="s">
        <v>22138</v>
      </c>
      <c r="F7456" s="68" t="s">
        <v>22659</v>
      </c>
      <c r="G7456" s="64" t="s">
        <v>22798</v>
      </c>
      <c r="H7456" s="68" t="s">
        <v>22799</v>
      </c>
      <c r="I7456" s="64">
        <v>1</v>
      </c>
      <c r="J7456" s="44" t="str">
        <f>VLOOKUP(G7456,[1]硬件清单!$F:$F,1,0)</f>
        <v>1023CB199905</v>
      </c>
      <c r="K7456" s="66"/>
      <c r="L7456" s="44" t="s">
        <v>17</v>
      </c>
      <c r="M7456" s="64" t="s">
        <v>22800</v>
      </c>
    </row>
    <row r="7457" ht="30" customHeight="1" spans="1:13">
      <c r="A7457" s="41">
        <f>IF(C7457="","",SUBTOTAL(103,$C$2:C7457))</f>
        <v>7448</v>
      </c>
      <c r="B7457" s="67"/>
      <c r="C7457" s="58" t="s">
        <v>20331</v>
      </c>
      <c r="D7457" s="68" t="s">
        <v>19</v>
      </c>
      <c r="E7457" s="64" t="s">
        <v>22138</v>
      </c>
      <c r="F7457" s="68" t="s">
        <v>22659</v>
      </c>
      <c r="G7457" s="64" t="s">
        <v>22801</v>
      </c>
      <c r="H7457" s="68" t="s">
        <v>22802</v>
      </c>
      <c r="I7457" s="64">
        <v>1</v>
      </c>
      <c r="J7457" s="44" t="str">
        <f>VLOOKUP(G7457,[1]硬件清单!$F:$F,1,0)</f>
        <v>1023CB199902</v>
      </c>
      <c r="K7457" s="66"/>
      <c r="L7457" s="44"/>
      <c r="M7457" s="64" t="s">
        <v>22803</v>
      </c>
    </row>
    <row r="7458" ht="30" customHeight="1" spans="1:13">
      <c r="A7458" s="41">
        <f>IF(C7458="","",SUBTOTAL(103,$C$2:C7458))</f>
        <v>7449</v>
      </c>
      <c r="B7458" s="67"/>
      <c r="C7458" s="58" t="s">
        <v>20331</v>
      </c>
      <c r="D7458" s="68" t="s">
        <v>19</v>
      </c>
      <c r="E7458" s="64" t="s">
        <v>22138</v>
      </c>
      <c r="F7458" s="68" t="s">
        <v>22659</v>
      </c>
      <c r="G7458" s="64" t="s">
        <v>22804</v>
      </c>
      <c r="H7458" s="68" t="s">
        <v>22805</v>
      </c>
      <c r="I7458" s="64">
        <v>1</v>
      </c>
      <c r="J7458" s="44" t="str">
        <f>VLOOKUP(G7458,[1]硬件清单!$F:$F,1,0)</f>
        <v>1023CB199879</v>
      </c>
      <c r="K7458" s="66"/>
      <c r="L7458" s="44"/>
      <c r="M7458" s="64" t="s">
        <v>22806</v>
      </c>
    </row>
    <row r="7459" ht="30" customHeight="1" spans="1:13">
      <c r="A7459" s="41">
        <f>IF(C7459="","",SUBTOTAL(103,$C$2:C7459))</f>
        <v>7450</v>
      </c>
      <c r="B7459" s="67"/>
      <c r="C7459" s="58" t="s">
        <v>20331</v>
      </c>
      <c r="D7459" s="68" t="s">
        <v>19</v>
      </c>
      <c r="E7459" s="64" t="s">
        <v>22138</v>
      </c>
      <c r="F7459" s="68" t="s">
        <v>22659</v>
      </c>
      <c r="G7459" s="64" t="s">
        <v>22807</v>
      </c>
      <c r="H7459" s="68" t="s">
        <v>22808</v>
      </c>
      <c r="I7459" s="64">
        <v>1</v>
      </c>
      <c r="J7459" s="44" t="str">
        <f>VLOOKUP(G7459,[1]硬件清单!$F:$F,1,0)</f>
        <v>1023CB199869</v>
      </c>
      <c r="K7459" s="66"/>
      <c r="L7459" s="44"/>
      <c r="M7459" s="64" t="s">
        <v>22809</v>
      </c>
    </row>
    <row r="7460" ht="30" customHeight="1" spans="1:13">
      <c r="A7460" s="41">
        <f>IF(C7460="","",SUBTOTAL(103,$C$2:C7460))</f>
        <v>7451</v>
      </c>
      <c r="B7460" s="67"/>
      <c r="C7460" s="58" t="s">
        <v>20331</v>
      </c>
      <c r="D7460" s="68" t="s">
        <v>19</v>
      </c>
      <c r="E7460" s="64" t="s">
        <v>22138</v>
      </c>
      <c r="F7460" s="68" t="s">
        <v>22659</v>
      </c>
      <c r="G7460" s="64" t="s">
        <v>22810</v>
      </c>
      <c r="H7460" s="68" t="s">
        <v>22811</v>
      </c>
      <c r="I7460" s="64">
        <v>1</v>
      </c>
      <c r="J7460" s="44" t="str">
        <f>VLOOKUP(G7460,[1]硬件清单!$F:$F,1,0)</f>
        <v>1023CB350689</v>
      </c>
      <c r="K7460" s="66"/>
      <c r="L7460" s="44"/>
      <c r="M7460" s="64" t="s">
        <v>22812</v>
      </c>
    </row>
    <row r="7461" ht="30" customHeight="1" spans="1:13">
      <c r="A7461" s="41">
        <f>IF(C7461="","",SUBTOTAL(103,$C$2:C7461))</f>
        <v>7452</v>
      </c>
      <c r="B7461" s="67"/>
      <c r="C7461" s="58" t="s">
        <v>20331</v>
      </c>
      <c r="D7461" s="68" t="s">
        <v>19</v>
      </c>
      <c r="E7461" s="64" t="s">
        <v>22138</v>
      </c>
      <c r="F7461" s="68" t="s">
        <v>22659</v>
      </c>
      <c r="G7461" s="64" t="s">
        <v>22813</v>
      </c>
      <c r="H7461" s="68" t="s">
        <v>22814</v>
      </c>
      <c r="I7461" s="64">
        <v>1</v>
      </c>
      <c r="J7461" s="44" t="str">
        <f>VLOOKUP(G7461,[1]硬件清单!$F:$F,1,0)</f>
        <v>1023CB513250</v>
      </c>
      <c r="K7461" s="66"/>
      <c r="L7461" s="44" t="s">
        <v>17</v>
      </c>
      <c r="M7461" s="64" t="s">
        <v>22815</v>
      </c>
    </row>
    <row r="7462" ht="30" customHeight="1" spans="1:13">
      <c r="A7462" s="41">
        <f>IF(C7462="","",SUBTOTAL(103,$C$2:C7462))</f>
        <v>7453</v>
      </c>
      <c r="B7462" s="67"/>
      <c r="C7462" s="58" t="s">
        <v>20331</v>
      </c>
      <c r="D7462" s="68" t="s">
        <v>19</v>
      </c>
      <c r="E7462" s="64" t="s">
        <v>22138</v>
      </c>
      <c r="F7462" s="68" t="s">
        <v>22659</v>
      </c>
      <c r="G7462" s="64" t="s">
        <v>22816</v>
      </c>
      <c r="H7462" s="68" t="s">
        <v>22817</v>
      </c>
      <c r="I7462" s="64">
        <v>1</v>
      </c>
      <c r="J7462" s="44" t="str">
        <f>VLOOKUP(G7462,[1]硬件清单!$F:$F,1,0)</f>
        <v>1023CB199866</v>
      </c>
      <c r="K7462" s="66"/>
      <c r="L7462" s="44"/>
      <c r="M7462" s="64" t="s">
        <v>22818</v>
      </c>
    </row>
    <row r="7463" ht="30" customHeight="1" spans="1:13">
      <c r="A7463" s="41">
        <f>IF(C7463="","",SUBTOTAL(103,$C$2:C7463))</f>
        <v>7454</v>
      </c>
      <c r="B7463" s="67"/>
      <c r="C7463" s="58" t="s">
        <v>20331</v>
      </c>
      <c r="D7463" s="68" t="s">
        <v>19</v>
      </c>
      <c r="E7463" s="64" t="s">
        <v>22138</v>
      </c>
      <c r="F7463" s="68" t="s">
        <v>22659</v>
      </c>
      <c r="G7463" s="64" t="s">
        <v>22819</v>
      </c>
      <c r="H7463" s="68" t="s">
        <v>22820</v>
      </c>
      <c r="I7463" s="64">
        <v>1</v>
      </c>
      <c r="J7463" s="44" t="str">
        <f>VLOOKUP(G7463,[1]硬件清单!$F:$F,1,0)</f>
        <v>1023CB350597</v>
      </c>
      <c r="K7463" s="66"/>
      <c r="L7463" s="44" t="s">
        <v>17</v>
      </c>
      <c r="M7463" s="64" t="s">
        <v>22821</v>
      </c>
    </row>
    <row r="7464" ht="30" customHeight="1" spans="1:13">
      <c r="A7464" s="41">
        <f>IF(C7464="","",SUBTOTAL(103,$C$2:C7464))</f>
        <v>7455</v>
      </c>
      <c r="B7464" s="67"/>
      <c r="C7464" s="58" t="s">
        <v>20331</v>
      </c>
      <c r="D7464" s="68" t="s">
        <v>19</v>
      </c>
      <c r="E7464" s="64" t="s">
        <v>22138</v>
      </c>
      <c r="F7464" s="68" t="s">
        <v>22659</v>
      </c>
      <c r="G7464" s="64" t="s">
        <v>22822</v>
      </c>
      <c r="H7464" s="68" t="s">
        <v>22823</v>
      </c>
      <c r="I7464" s="64">
        <v>1</v>
      </c>
      <c r="J7464" s="44" t="str">
        <f>VLOOKUP(G7464,[1]硬件清单!$F:$F,1,0)</f>
        <v>1023CB350636</v>
      </c>
      <c r="K7464" s="66"/>
      <c r="L7464" s="44"/>
      <c r="M7464" s="64" t="s">
        <v>22824</v>
      </c>
    </row>
    <row r="7465" ht="30" customHeight="1" spans="1:13">
      <c r="A7465" s="41">
        <f>IF(C7465="","",SUBTOTAL(103,$C$2:C7465))</f>
        <v>7456</v>
      </c>
      <c r="B7465" s="67"/>
      <c r="C7465" s="58" t="s">
        <v>20331</v>
      </c>
      <c r="D7465" s="68" t="s">
        <v>19</v>
      </c>
      <c r="E7465" s="64" t="s">
        <v>22138</v>
      </c>
      <c r="F7465" s="68" t="s">
        <v>22659</v>
      </c>
      <c r="G7465" s="64" t="s">
        <v>22825</v>
      </c>
      <c r="H7465" s="68" t="s">
        <v>22826</v>
      </c>
      <c r="I7465" s="64">
        <v>1</v>
      </c>
      <c r="J7465" s="44" t="str">
        <f>VLOOKUP(G7465,[1]硬件清单!$F:$F,1,0)</f>
        <v>1023CB350601</v>
      </c>
      <c r="K7465" s="66"/>
      <c r="L7465" s="44"/>
      <c r="M7465" s="64" t="s">
        <v>22827</v>
      </c>
    </row>
    <row r="7466" ht="30" customHeight="1" spans="1:13">
      <c r="A7466" s="41">
        <f>IF(C7466="","",SUBTOTAL(103,$C$2:C7466))</f>
        <v>7457</v>
      </c>
      <c r="B7466" s="67"/>
      <c r="C7466" s="58" t="s">
        <v>20331</v>
      </c>
      <c r="D7466" s="68" t="s">
        <v>19</v>
      </c>
      <c r="E7466" s="64" t="s">
        <v>22138</v>
      </c>
      <c r="F7466" s="68" t="s">
        <v>22659</v>
      </c>
      <c r="G7466" s="64" t="s">
        <v>22828</v>
      </c>
      <c r="H7466" s="68" t="s">
        <v>22829</v>
      </c>
      <c r="I7466" s="64">
        <v>1</v>
      </c>
      <c r="J7466" s="44" t="str">
        <f>VLOOKUP(G7466,[1]硬件清单!$F:$F,1,0)</f>
        <v>1023CB199935</v>
      </c>
      <c r="K7466" s="66"/>
      <c r="L7466" s="44"/>
      <c r="M7466" s="64" t="s">
        <v>22830</v>
      </c>
    </row>
    <row r="7467" ht="30" customHeight="1" spans="1:13">
      <c r="A7467" s="41">
        <f>IF(C7467="","",SUBTOTAL(103,$C$2:C7467))</f>
        <v>7458</v>
      </c>
      <c r="B7467" s="67"/>
      <c r="C7467" s="58" t="s">
        <v>20331</v>
      </c>
      <c r="D7467" s="68" t="s">
        <v>19</v>
      </c>
      <c r="E7467" s="64" t="s">
        <v>22138</v>
      </c>
      <c r="F7467" s="68" t="s">
        <v>22659</v>
      </c>
      <c r="G7467" s="64" t="s">
        <v>22831</v>
      </c>
      <c r="H7467" s="68" t="s">
        <v>22832</v>
      </c>
      <c r="I7467" s="64">
        <v>1</v>
      </c>
      <c r="J7467" s="44" t="str">
        <f>VLOOKUP(G7467,[1]硬件清单!$F:$F,1,0)</f>
        <v>1023CB199883</v>
      </c>
      <c r="K7467" s="66"/>
      <c r="L7467" s="44"/>
      <c r="M7467" s="64" t="s">
        <v>22833</v>
      </c>
    </row>
    <row r="7468" ht="30" customHeight="1" spans="1:13">
      <c r="A7468" s="41">
        <f>IF(C7468="","",SUBTOTAL(103,$C$2:C7468))</f>
        <v>7459</v>
      </c>
      <c r="B7468" s="67"/>
      <c r="C7468" s="58" t="s">
        <v>20331</v>
      </c>
      <c r="D7468" s="68" t="s">
        <v>19</v>
      </c>
      <c r="E7468" s="64" t="s">
        <v>22138</v>
      </c>
      <c r="F7468" s="68" t="s">
        <v>22659</v>
      </c>
      <c r="G7468" s="64" t="s">
        <v>22834</v>
      </c>
      <c r="H7468" s="68" t="s">
        <v>22835</v>
      </c>
      <c r="I7468" s="64">
        <v>1</v>
      </c>
      <c r="J7468" s="44" t="str">
        <f>VLOOKUP(G7468,[1]硬件清单!$F:$F,1,0)</f>
        <v>1023CB350620</v>
      </c>
      <c r="K7468" s="66"/>
      <c r="L7468" s="44"/>
      <c r="M7468" s="64" t="s">
        <v>22836</v>
      </c>
    </row>
    <row r="7469" ht="30" customHeight="1" spans="1:13">
      <c r="A7469" s="41">
        <f>IF(C7469="","",SUBTOTAL(103,$C$2:C7469))</f>
        <v>7460</v>
      </c>
      <c r="B7469" s="67"/>
      <c r="C7469" s="58" t="s">
        <v>20331</v>
      </c>
      <c r="D7469" s="68" t="s">
        <v>19</v>
      </c>
      <c r="E7469" s="64" t="s">
        <v>22138</v>
      </c>
      <c r="F7469" s="68" t="s">
        <v>22659</v>
      </c>
      <c r="G7469" s="64" t="s">
        <v>22837</v>
      </c>
      <c r="H7469" s="68" t="s">
        <v>22838</v>
      </c>
      <c r="I7469" s="64">
        <v>1</v>
      </c>
      <c r="J7469" s="44" t="str">
        <f>VLOOKUP(G7469,[1]硬件清单!$F:$F,1,0)</f>
        <v>1023CB199906</v>
      </c>
      <c r="K7469" s="66"/>
      <c r="L7469" s="44"/>
      <c r="M7469" s="64" t="s">
        <v>22839</v>
      </c>
    </row>
    <row r="7470" ht="30" customHeight="1" spans="1:13">
      <c r="A7470" s="41">
        <f>IF(C7470="","",SUBTOTAL(103,$C$2:C7470))</f>
        <v>7461</v>
      </c>
      <c r="B7470" s="67"/>
      <c r="C7470" s="58" t="s">
        <v>20331</v>
      </c>
      <c r="D7470" s="68" t="s">
        <v>19</v>
      </c>
      <c r="E7470" s="64" t="s">
        <v>22138</v>
      </c>
      <c r="F7470" s="68" t="s">
        <v>22659</v>
      </c>
      <c r="G7470" s="64" t="s">
        <v>22840</v>
      </c>
      <c r="H7470" s="68" t="s">
        <v>22841</v>
      </c>
      <c r="I7470" s="64">
        <v>1</v>
      </c>
      <c r="J7470" s="44" t="str">
        <f>VLOOKUP(G7470,[1]硬件清单!$F:$F,1,0)</f>
        <v>1023CB199899</v>
      </c>
      <c r="K7470" s="66"/>
      <c r="L7470" s="44"/>
      <c r="M7470" s="64" t="s">
        <v>22842</v>
      </c>
    </row>
    <row r="7471" ht="30" customHeight="1" spans="1:13">
      <c r="A7471" s="41">
        <f>IF(C7471="","",SUBTOTAL(103,$C$2:C7471))</f>
        <v>7462</v>
      </c>
      <c r="B7471" s="67"/>
      <c r="C7471" s="58" t="s">
        <v>20331</v>
      </c>
      <c r="D7471" s="68" t="s">
        <v>19</v>
      </c>
      <c r="E7471" s="64" t="s">
        <v>22138</v>
      </c>
      <c r="F7471" s="68" t="s">
        <v>22659</v>
      </c>
      <c r="G7471" s="64" t="s">
        <v>22843</v>
      </c>
      <c r="H7471" s="68" t="s">
        <v>22844</v>
      </c>
      <c r="I7471" s="64">
        <v>1</v>
      </c>
      <c r="J7471" s="44" t="str">
        <f>VLOOKUP(G7471,[1]硬件清单!$F:$F,1,0)</f>
        <v>1023CB199877</v>
      </c>
      <c r="K7471" s="66"/>
      <c r="L7471" s="44"/>
      <c r="M7471" s="64" t="s">
        <v>22845</v>
      </c>
    </row>
    <row r="7472" ht="30" customHeight="1" spans="1:13">
      <c r="A7472" s="41">
        <f>IF(C7472="","",SUBTOTAL(103,$C$2:C7472))</f>
        <v>7463</v>
      </c>
      <c r="B7472" s="67"/>
      <c r="C7472" s="58" t="s">
        <v>20331</v>
      </c>
      <c r="D7472" s="68" t="s">
        <v>19</v>
      </c>
      <c r="E7472" s="64" t="s">
        <v>22138</v>
      </c>
      <c r="F7472" s="68" t="s">
        <v>22659</v>
      </c>
      <c r="G7472" s="64" t="s">
        <v>22846</v>
      </c>
      <c r="H7472" s="68" t="s">
        <v>22847</v>
      </c>
      <c r="I7472" s="64">
        <v>1</v>
      </c>
      <c r="J7472" s="44" t="str">
        <f>VLOOKUP(G7472,[1]硬件清单!$F:$F,1,0)</f>
        <v>1023CB199920</v>
      </c>
      <c r="K7472" s="66"/>
      <c r="L7472" s="44"/>
      <c r="M7472" s="64" t="s">
        <v>22848</v>
      </c>
    </row>
    <row r="7473" ht="30" customHeight="1" spans="1:13">
      <c r="A7473" s="41">
        <f>IF(C7473="","",SUBTOTAL(103,$C$2:C7473))</f>
        <v>7464</v>
      </c>
      <c r="B7473" s="67"/>
      <c r="C7473" s="58" t="s">
        <v>20331</v>
      </c>
      <c r="D7473" s="68" t="s">
        <v>19</v>
      </c>
      <c r="E7473" s="64" t="s">
        <v>22138</v>
      </c>
      <c r="F7473" s="68" t="s">
        <v>22659</v>
      </c>
      <c r="G7473" s="64" t="s">
        <v>22849</v>
      </c>
      <c r="H7473" s="68" t="s">
        <v>22850</v>
      </c>
      <c r="I7473" s="64">
        <v>1</v>
      </c>
      <c r="J7473" s="44" t="str">
        <f>VLOOKUP(G7473,[1]硬件清单!$F:$F,1,0)</f>
        <v>1023CB072107</v>
      </c>
      <c r="K7473" s="66"/>
      <c r="L7473" s="44" t="s">
        <v>17</v>
      </c>
      <c r="M7473" s="64" t="s">
        <v>22851</v>
      </c>
    </row>
    <row r="7474" ht="30" customHeight="1" spans="1:13">
      <c r="A7474" s="41">
        <f>IF(C7474="","",SUBTOTAL(103,$C$2:C7474))</f>
        <v>7465</v>
      </c>
      <c r="B7474" s="67"/>
      <c r="C7474" s="58" t="s">
        <v>20331</v>
      </c>
      <c r="D7474" s="68" t="s">
        <v>19</v>
      </c>
      <c r="E7474" s="64" t="s">
        <v>22138</v>
      </c>
      <c r="F7474" s="68" t="s">
        <v>22659</v>
      </c>
      <c r="G7474" s="64" t="s">
        <v>22852</v>
      </c>
      <c r="H7474" s="68" t="s">
        <v>22853</v>
      </c>
      <c r="I7474" s="64">
        <v>1</v>
      </c>
      <c r="J7474" s="44" t="str">
        <f>VLOOKUP(G7474,[1]硬件清单!$F:$F,1,0)</f>
        <v>1023CB350697</v>
      </c>
      <c r="K7474" s="66"/>
      <c r="L7474" s="44"/>
      <c r="M7474" s="64" t="s">
        <v>22854</v>
      </c>
    </row>
    <row r="7475" ht="30" customHeight="1" spans="1:13">
      <c r="A7475" s="41">
        <f>IF(C7475="","",SUBTOTAL(103,$C$2:C7475))</f>
        <v>7466</v>
      </c>
      <c r="B7475" s="67"/>
      <c r="C7475" s="58" t="s">
        <v>20331</v>
      </c>
      <c r="D7475" s="68" t="s">
        <v>19</v>
      </c>
      <c r="E7475" s="64" t="s">
        <v>22138</v>
      </c>
      <c r="F7475" s="68" t="s">
        <v>22659</v>
      </c>
      <c r="G7475" s="64" t="s">
        <v>22855</v>
      </c>
      <c r="H7475" s="68" t="s">
        <v>22856</v>
      </c>
      <c r="I7475" s="64">
        <v>1</v>
      </c>
      <c r="J7475" s="44" t="str">
        <f>VLOOKUP(G7475,[1]硬件清单!$F:$F,1,0)</f>
        <v>1023CB072079</v>
      </c>
      <c r="K7475" s="66"/>
      <c r="L7475" s="44" t="s">
        <v>17</v>
      </c>
      <c r="M7475" s="64" t="s">
        <v>22857</v>
      </c>
    </row>
    <row r="7476" ht="30" customHeight="1" spans="1:13">
      <c r="A7476" s="41">
        <f>IF(C7476="","",SUBTOTAL(103,$C$2:C7476))</f>
        <v>7467</v>
      </c>
      <c r="B7476" s="67"/>
      <c r="C7476" s="58" t="s">
        <v>20331</v>
      </c>
      <c r="D7476" s="68" t="s">
        <v>19</v>
      </c>
      <c r="E7476" s="64" t="s">
        <v>22138</v>
      </c>
      <c r="F7476" s="68" t="s">
        <v>22659</v>
      </c>
      <c r="G7476" s="64" t="s">
        <v>22858</v>
      </c>
      <c r="H7476" s="68" t="s">
        <v>22859</v>
      </c>
      <c r="I7476" s="64">
        <v>1</v>
      </c>
      <c r="J7476" s="44" t="str">
        <f>VLOOKUP(G7476,[1]硬件清单!$F:$F,1,0)</f>
        <v>1023CB199892</v>
      </c>
      <c r="K7476" s="66"/>
      <c r="L7476" s="44"/>
      <c r="M7476" s="64" t="s">
        <v>22860</v>
      </c>
    </row>
    <row r="7477" ht="30" customHeight="1" spans="1:13">
      <c r="A7477" s="41">
        <f>IF(C7477="","",SUBTOTAL(103,$C$2:C7477))</f>
        <v>7468</v>
      </c>
      <c r="B7477" s="67"/>
      <c r="C7477" s="58" t="s">
        <v>20331</v>
      </c>
      <c r="D7477" s="68" t="s">
        <v>19</v>
      </c>
      <c r="E7477" s="64" t="s">
        <v>22138</v>
      </c>
      <c r="F7477" s="68" t="s">
        <v>22659</v>
      </c>
      <c r="G7477" s="64" t="s">
        <v>22861</v>
      </c>
      <c r="H7477" s="68" t="s">
        <v>22862</v>
      </c>
      <c r="I7477" s="64">
        <v>1</v>
      </c>
      <c r="J7477" s="44" t="str">
        <f>VLOOKUP(G7477,[1]硬件清单!$F:$F,1,0)</f>
        <v>1023CB350634</v>
      </c>
      <c r="K7477" s="66"/>
      <c r="L7477" s="44"/>
      <c r="M7477" s="64" t="s">
        <v>22863</v>
      </c>
    </row>
    <row r="7478" ht="30" customHeight="1" spans="1:13">
      <c r="A7478" s="41">
        <f>IF(C7478="","",SUBTOTAL(103,$C$2:C7478))</f>
        <v>7469</v>
      </c>
      <c r="B7478" s="67"/>
      <c r="C7478" s="58" t="s">
        <v>20331</v>
      </c>
      <c r="D7478" s="68" t="s">
        <v>19</v>
      </c>
      <c r="E7478" s="64" t="s">
        <v>22138</v>
      </c>
      <c r="F7478" s="68" t="s">
        <v>22659</v>
      </c>
      <c r="G7478" s="64" t="s">
        <v>22864</v>
      </c>
      <c r="H7478" s="68" t="s">
        <v>22865</v>
      </c>
      <c r="I7478" s="64">
        <v>1</v>
      </c>
      <c r="J7478" s="44" t="str">
        <f>VLOOKUP(G7478,[1]硬件清单!$F:$F,1,0)</f>
        <v>1023CB350650</v>
      </c>
      <c r="K7478" s="66"/>
      <c r="L7478" s="44"/>
      <c r="M7478" s="64" t="s">
        <v>22866</v>
      </c>
    </row>
    <row r="7479" ht="30" customHeight="1" spans="1:13">
      <c r="A7479" s="41">
        <f>IF(C7479="","",SUBTOTAL(103,$C$2:C7479))</f>
        <v>7470</v>
      </c>
      <c r="B7479" s="67"/>
      <c r="C7479" s="58" t="s">
        <v>20331</v>
      </c>
      <c r="D7479" s="68" t="s">
        <v>19</v>
      </c>
      <c r="E7479" s="64" t="s">
        <v>22138</v>
      </c>
      <c r="F7479" s="68" t="s">
        <v>22659</v>
      </c>
      <c r="G7479" s="64" t="s">
        <v>22867</v>
      </c>
      <c r="H7479" s="68" t="s">
        <v>22868</v>
      </c>
      <c r="I7479" s="64">
        <v>1</v>
      </c>
      <c r="J7479" s="44" t="str">
        <f>VLOOKUP(G7479,[1]硬件清单!$F:$F,1,0)</f>
        <v>1023CB350627</v>
      </c>
      <c r="K7479" s="66"/>
      <c r="L7479" s="44"/>
      <c r="M7479" s="64" t="s">
        <v>22869</v>
      </c>
    </row>
    <row r="7480" ht="30" customHeight="1" spans="1:13">
      <c r="A7480" s="41">
        <f>IF(C7480="","",SUBTOTAL(103,$C$2:C7480))</f>
        <v>7471</v>
      </c>
      <c r="B7480" s="67"/>
      <c r="C7480" s="58" t="s">
        <v>20331</v>
      </c>
      <c r="D7480" s="68" t="s">
        <v>19</v>
      </c>
      <c r="E7480" s="64" t="s">
        <v>22138</v>
      </c>
      <c r="F7480" s="68" t="s">
        <v>22659</v>
      </c>
      <c r="G7480" s="64" t="s">
        <v>22870</v>
      </c>
      <c r="H7480" s="68" t="s">
        <v>22871</v>
      </c>
      <c r="I7480" s="64">
        <v>1</v>
      </c>
      <c r="J7480" s="44" t="str">
        <f>VLOOKUP(G7480,[1]硬件清单!$F:$F,1,0)</f>
        <v>1023CB350609</v>
      </c>
      <c r="K7480" s="66"/>
      <c r="L7480" s="44"/>
      <c r="M7480" s="64" t="s">
        <v>22872</v>
      </c>
    </row>
    <row r="7481" ht="30" customHeight="1" spans="1:13">
      <c r="A7481" s="41">
        <f>IF(C7481="","",SUBTOTAL(103,$C$2:C7481))</f>
        <v>7472</v>
      </c>
      <c r="B7481" s="67"/>
      <c r="C7481" s="58" t="s">
        <v>20331</v>
      </c>
      <c r="D7481" s="68" t="s">
        <v>19</v>
      </c>
      <c r="E7481" s="64" t="s">
        <v>22138</v>
      </c>
      <c r="F7481" s="68" t="s">
        <v>22659</v>
      </c>
      <c r="G7481" s="64" t="s">
        <v>22873</v>
      </c>
      <c r="H7481" s="68" t="s">
        <v>22874</v>
      </c>
      <c r="I7481" s="64">
        <v>1</v>
      </c>
      <c r="J7481" s="44" t="str">
        <f>VLOOKUP(G7481,[1]硬件清单!$F:$F,1,0)</f>
        <v>1023CB350599</v>
      </c>
      <c r="K7481" s="66"/>
      <c r="L7481" s="44"/>
      <c r="M7481" s="64" t="s">
        <v>22875</v>
      </c>
    </row>
    <row r="7482" ht="30" customHeight="1" spans="1:13">
      <c r="A7482" s="41">
        <f>IF(C7482="","",SUBTOTAL(103,$C$2:C7482))</f>
        <v>7473</v>
      </c>
      <c r="B7482" s="67"/>
      <c r="C7482" s="58" t="s">
        <v>20331</v>
      </c>
      <c r="D7482" s="68" t="s">
        <v>19</v>
      </c>
      <c r="E7482" s="64" t="s">
        <v>22138</v>
      </c>
      <c r="F7482" s="68" t="s">
        <v>22659</v>
      </c>
      <c r="G7482" s="64" t="s">
        <v>22876</v>
      </c>
      <c r="H7482" s="68" t="s">
        <v>22877</v>
      </c>
      <c r="I7482" s="64">
        <v>1</v>
      </c>
      <c r="J7482" s="44" t="str">
        <f>VLOOKUP(G7482,[1]硬件清单!$F:$F,1,0)</f>
        <v>1023CB350626</v>
      </c>
      <c r="K7482" s="66"/>
      <c r="L7482" s="44"/>
      <c r="M7482" s="64" t="s">
        <v>22878</v>
      </c>
    </row>
    <row r="7483" ht="30" customHeight="1" spans="1:13">
      <c r="A7483" s="41">
        <f>IF(C7483="","",SUBTOTAL(103,$C$2:C7483))</f>
        <v>7474</v>
      </c>
      <c r="B7483" s="67"/>
      <c r="C7483" s="58" t="s">
        <v>20331</v>
      </c>
      <c r="D7483" s="68" t="s">
        <v>19</v>
      </c>
      <c r="E7483" s="64" t="s">
        <v>22138</v>
      </c>
      <c r="F7483" s="68" t="s">
        <v>22659</v>
      </c>
      <c r="G7483" s="64" t="s">
        <v>22879</v>
      </c>
      <c r="H7483" s="68" t="s">
        <v>22880</v>
      </c>
      <c r="I7483" s="64">
        <v>1</v>
      </c>
      <c r="J7483" s="44" t="str">
        <f>VLOOKUP(G7483,[1]硬件清单!$F:$F,1,0)</f>
        <v>1023CB513229</v>
      </c>
      <c r="K7483" s="66"/>
      <c r="L7483" s="44"/>
      <c r="M7483" s="64" t="s">
        <v>22881</v>
      </c>
    </row>
    <row r="7484" ht="30" customHeight="1" spans="1:13">
      <c r="A7484" s="41">
        <f>IF(C7484="","",SUBTOTAL(103,$C$2:C7484))</f>
        <v>7475</v>
      </c>
      <c r="B7484" s="67"/>
      <c r="C7484" s="58" t="s">
        <v>20331</v>
      </c>
      <c r="D7484" s="68" t="s">
        <v>19</v>
      </c>
      <c r="E7484" s="64" t="s">
        <v>22138</v>
      </c>
      <c r="F7484" s="68" t="s">
        <v>22659</v>
      </c>
      <c r="G7484" s="64" t="s">
        <v>22882</v>
      </c>
      <c r="H7484" s="68" t="s">
        <v>22883</v>
      </c>
      <c r="I7484" s="64">
        <v>1</v>
      </c>
      <c r="J7484" s="44" t="str">
        <f>VLOOKUP(G7484,[1]硬件清单!$F:$F,1,0)</f>
        <v>1023CB350674</v>
      </c>
      <c r="K7484" s="66"/>
      <c r="L7484" s="44"/>
      <c r="M7484" s="64" t="s">
        <v>22884</v>
      </c>
    </row>
    <row r="7485" ht="30" customHeight="1" spans="1:13">
      <c r="A7485" s="41">
        <f>IF(C7485="","",SUBTOTAL(103,$C$2:C7485))</f>
        <v>7476</v>
      </c>
      <c r="B7485" s="67"/>
      <c r="C7485" s="58" t="s">
        <v>20331</v>
      </c>
      <c r="D7485" s="68" t="s">
        <v>19</v>
      </c>
      <c r="E7485" s="64" t="s">
        <v>22138</v>
      </c>
      <c r="F7485" s="68" t="s">
        <v>22659</v>
      </c>
      <c r="G7485" s="64" t="s">
        <v>22885</v>
      </c>
      <c r="H7485" s="68" t="s">
        <v>22886</v>
      </c>
      <c r="I7485" s="64">
        <v>1</v>
      </c>
      <c r="J7485" s="44" t="str">
        <f>VLOOKUP(G7485,[1]硬件清单!$F:$F,1,0)</f>
        <v>1023CB350579</v>
      </c>
      <c r="K7485" s="66"/>
      <c r="L7485" s="44"/>
      <c r="M7485" s="64" t="s">
        <v>22887</v>
      </c>
    </row>
    <row r="7486" ht="30" customHeight="1" spans="1:13">
      <c r="A7486" s="41">
        <f>IF(C7486="","",SUBTOTAL(103,$C$2:C7486))</f>
        <v>7477</v>
      </c>
      <c r="B7486" s="67"/>
      <c r="C7486" s="58" t="s">
        <v>20331</v>
      </c>
      <c r="D7486" s="68" t="s">
        <v>19</v>
      </c>
      <c r="E7486" s="64" t="s">
        <v>22138</v>
      </c>
      <c r="F7486" s="68" t="s">
        <v>22659</v>
      </c>
      <c r="G7486" s="64" t="s">
        <v>22888</v>
      </c>
      <c r="H7486" s="68" t="s">
        <v>22889</v>
      </c>
      <c r="I7486" s="64">
        <v>1</v>
      </c>
      <c r="J7486" s="44" t="str">
        <f>VLOOKUP(G7486,[1]硬件清单!$F:$F,1,0)</f>
        <v>1023CB513253</v>
      </c>
      <c r="K7486" s="66"/>
      <c r="L7486" s="44"/>
      <c r="M7486" s="64" t="s">
        <v>22890</v>
      </c>
    </row>
    <row r="7487" ht="30" customHeight="1" spans="1:13">
      <c r="A7487" s="41">
        <f>IF(C7487="","",SUBTOTAL(103,$C$2:C7487))</f>
        <v>7478</v>
      </c>
      <c r="B7487" s="67"/>
      <c r="C7487" s="58" t="s">
        <v>20331</v>
      </c>
      <c r="D7487" s="68" t="s">
        <v>19</v>
      </c>
      <c r="E7487" s="64" t="s">
        <v>22138</v>
      </c>
      <c r="F7487" s="68" t="s">
        <v>22659</v>
      </c>
      <c r="G7487" s="64" t="s">
        <v>22891</v>
      </c>
      <c r="H7487" s="68" t="s">
        <v>22892</v>
      </c>
      <c r="I7487" s="64">
        <v>1</v>
      </c>
      <c r="J7487" s="44" t="str">
        <f>VLOOKUP(G7487,[1]硬件清单!$F:$F,1,0)</f>
        <v>1023CB350581</v>
      </c>
      <c r="K7487" s="66"/>
      <c r="L7487" s="44"/>
      <c r="M7487" s="64" t="s">
        <v>22893</v>
      </c>
    </row>
    <row r="7488" ht="30" customHeight="1" spans="1:13">
      <c r="A7488" s="41">
        <f>IF(C7488="","",SUBTOTAL(103,$C$2:C7488))</f>
        <v>7479</v>
      </c>
      <c r="B7488" s="67"/>
      <c r="C7488" s="58" t="s">
        <v>20331</v>
      </c>
      <c r="D7488" s="68" t="s">
        <v>19</v>
      </c>
      <c r="E7488" s="64" t="s">
        <v>22138</v>
      </c>
      <c r="F7488" s="68" t="s">
        <v>22659</v>
      </c>
      <c r="G7488" s="64" t="s">
        <v>22894</v>
      </c>
      <c r="H7488" s="68" t="s">
        <v>22895</v>
      </c>
      <c r="I7488" s="64">
        <v>1</v>
      </c>
      <c r="J7488" s="44" t="str">
        <f>VLOOKUP(G7488,[1]硬件清单!$F:$F,1,0)</f>
        <v>1023CB350590</v>
      </c>
      <c r="K7488" s="66"/>
      <c r="L7488" s="44"/>
      <c r="M7488" s="64" t="s">
        <v>22896</v>
      </c>
    </row>
    <row r="7489" ht="30" customHeight="1" spans="1:13">
      <c r="A7489" s="41">
        <f>IF(C7489="","",SUBTOTAL(103,$C$2:C7489))</f>
        <v>7480</v>
      </c>
      <c r="B7489" s="67"/>
      <c r="C7489" s="58" t="s">
        <v>20331</v>
      </c>
      <c r="D7489" s="68" t="s">
        <v>19</v>
      </c>
      <c r="E7489" s="64" t="s">
        <v>22138</v>
      </c>
      <c r="F7489" s="68" t="s">
        <v>22659</v>
      </c>
      <c r="G7489" s="64" t="s">
        <v>22897</v>
      </c>
      <c r="H7489" s="68" t="s">
        <v>22898</v>
      </c>
      <c r="I7489" s="64">
        <v>1</v>
      </c>
      <c r="J7489" s="44" t="str">
        <f>VLOOKUP(G7489,[1]硬件清单!$F:$F,1,0)</f>
        <v>1023CB199901</v>
      </c>
      <c r="K7489" s="66"/>
      <c r="L7489" s="44"/>
      <c r="M7489" s="64" t="s">
        <v>22899</v>
      </c>
    </row>
    <row r="7490" ht="30" customHeight="1" spans="1:13">
      <c r="A7490" s="41">
        <f>IF(C7490="","",SUBTOTAL(103,$C$2:C7490))</f>
        <v>7481</v>
      </c>
      <c r="B7490" s="67"/>
      <c r="C7490" s="58" t="s">
        <v>20331</v>
      </c>
      <c r="D7490" s="68" t="s">
        <v>19</v>
      </c>
      <c r="E7490" s="64" t="s">
        <v>22138</v>
      </c>
      <c r="F7490" s="68" t="s">
        <v>22659</v>
      </c>
      <c r="G7490" s="64" t="s">
        <v>22900</v>
      </c>
      <c r="H7490" s="68" t="s">
        <v>22901</v>
      </c>
      <c r="I7490" s="64">
        <v>1</v>
      </c>
      <c r="J7490" s="44" t="str">
        <f>VLOOKUP(G7490,[1]硬件清单!$F:$F,1,0)</f>
        <v>1023CB350644</v>
      </c>
      <c r="K7490" s="66"/>
      <c r="L7490" s="44"/>
      <c r="M7490" s="64" t="s">
        <v>22902</v>
      </c>
    </row>
    <row r="7491" ht="30" customHeight="1" spans="1:13">
      <c r="A7491" s="41">
        <f>IF(C7491="","",SUBTOTAL(103,$C$2:C7491))</f>
        <v>7482</v>
      </c>
      <c r="B7491" s="67"/>
      <c r="C7491" s="58" t="s">
        <v>20331</v>
      </c>
      <c r="D7491" s="68" t="s">
        <v>19</v>
      </c>
      <c r="E7491" s="64" t="s">
        <v>22138</v>
      </c>
      <c r="F7491" s="68" t="s">
        <v>22659</v>
      </c>
      <c r="G7491" s="64" t="s">
        <v>22903</v>
      </c>
      <c r="H7491" s="68" t="s">
        <v>22904</v>
      </c>
      <c r="I7491" s="64">
        <v>1</v>
      </c>
      <c r="J7491" s="44" t="str">
        <f>VLOOKUP(G7491,[1]硬件清单!$F:$F,1,0)</f>
        <v>1023CB350652</v>
      </c>
      <c r="K7491" s="66"/>
      <c r="L7491" s="44"/>
      <c r="M7491" s="64" t="s">
        <v>22905</v>
      </c>
    </row>
    <row r="7492" ht="30" customHeight="1" spans="1:13">
      <c r="A7492" s="41">
        <f>IF(C7492="","",SUBTOTAL(103,$C$2:C7492))</f>
        <v>7483</v>
      </c>
      <c r="B7492" s="67"/>
      <c r="C7492" s="58" t="s">
        <v>20331</v>
      </c>
      <c r="D7492" s="68" t="s">
        <v>19</v>
      </c>
      <c r="E7492" s="64" t="s">
        <v>22138</v>
      </c>
      <c r="F7492" s="68" t="s">
        <v>22659</v>
      </c>
      <c r="G7492" s="64" t="s">
        <v>22906</v>
      </c>
      <c r="H7492" s="68" t="s">
        <v>22907</v>
      </c>
      <c r="I7492" s="64">
        <v>1</v>
      </c>
      <c r="J7492" s="44" t="str">
        <f>VLOOKUP(G7492,[1]硬件清单!$F:$F,1,0)</f>
        <v>1023CB350645</v>
      </c>
      <c r="K7492" s="66"/>
      <c r="L7492" s="44"/>
      <c r="M7492" s="64" t="s">
        <v>22908</v>
      </c>
    </row>
    <row r="7493" ht="30" customHeight="1" spans="1:13">
      <c r="A7493" s="41">
        <f>IF(C7493="","",SUBTOTAL(103,$C$2:C7493))</f>
        <v>7484</v>
      </c>
      <c r="B7493" s="67"/>
      <c r="C7493" s="58" t="s">
        <v>20331</v>
      </c>
      <c r="D7493" s="68" t="s">
        <v>19</v>
      </c>
      <c r="E7493" s="64" t="s">
        <v>22138</v>
      </c>
      <c r="F7493" s="68" t="s">
        <v>22659</v>
      </c>
      <c r="G7493" s="64" t="s">
        <v>22909</v>
      </c>
      <c r="H7493" s="68" t="s">
        <v>22910</v>
      </c>
      <c r="I7493" s="64">
        <v>1</v>
      </c>
      <c r="J7493" s="44" t="str">
        <f>VLOOKUP(G7493,[1]硬件清单!$F:$F,1,0)</f>
        <v>1023CB350654</v>
      </c>
      <c r="K7493" s="66"/>
      <c r="L7493" s="44"/>
      <c r="M7493" s="64" t="s">
        <v>22911</v>
      </c>
    </row>
    <row r="7494" ht="30" customHeight="1" spans="1:13">
      <c r="A7494" s="41">
        <f>IF(C7494="","",SUBTOTAL(103,$C$2:C7494))</f>
        <v>7485</v>
      </c>
      <c r="B7494" s="67"/>
      <c r="C7494" s="58" t="s">
        <v>20331</v>
      </c>
      <c r="D7494" s="68" t="s">
        <v>19</v>
      </c>
      <c r="E7494" s="64" t="s">
        <v>22138</v>
      </c>
      <c r="F7494" s="68" t="s">
        <v>22659</v>
      </c>
      <c r="G7494" s="64" t="s">
        <v>22912</v>
      </c>
      <c r="H7494" s="68" t="s">
        <v>22913</v>
      </c>
      <c r="I7494" s="64">
        <v>1</v>
      </c>
      <c r="J7494" s="44" t="str">
        <f>VLOOKUP(G7494,[1]硬件清单!$F:$F,1,0)</f>
        <v>1023CB199915</v>
      </c>
      <c r="K7494" s="66"/>
      <c r="L7494" s="44"/>
      <c r="M7494" s="64" t="s">
        <v>22914</v>
      </c>
    </row>
    <row r="7495" ht="30" customHeight="1" spans="1:13">
      <c r="A7495" s="41">
        <f>IF(C7495="","",SUBTOTAL(103,$C$2:C7495))</f>
        <v>7486</v>
      </c>
      <c r="B7495" s="67"/>
      <c r="C7495" s="58" t="s">
        <v>20331</v>
      </c>
      <c r="D7495" s="68" t="s">
        <v>19</v>
      </c>
      <c r="E7495" s="64" t="s">
        <v>22138</v>
      </c>
      <c r="F7495" s="68" t="s">
        <v>22659</v>
      </c>
      <c r="G7495" s="64" t="s">
        <v>22915</v>
      </c>
      <c r="H7495" s="68" t="s">
        <v>22916</v>
      </c>
      <c r="I7495" s="64">
        <v>1</v>
      </c>
      <c r="J7495" s="44" t="str">
        <f>VLOOKUP(G7495,[1]硬件清单!$F:$F,1,0)</f>
        <v>1023CB199891</v>
      </c>
      <c r="K7495" s="66"/>
      <c r="L7495" s="44"/>
      <c r="M7495" s="64" t="s">
        <v>22917</v>
      </c>
    </row>
    <row r="7496" ht="30" customHeight="1" spans="1:13">
      <c r="A7496" s="41">
        <f>IF(C7496="","",SUBTOTAL(103,$C$2:C7496))</f>
        <v>7487</v>
      </c>
      <c r="B7496" s="67"/>
      <c r="C7496" s="58" t="s">
        <v>20331</v>
      </c>
      <c r="D7496" s="68" t="s">
        <v>19</v>
      </c>
      <c r="E7496" s="64" t="s">
        <v>22138</v>
      </c>
      <c r="F7496" s="68" t="s">
        <v>22659</v>
      </c>
      <c r="G7496" s="64" t="s">
        <v>22918</v>
      </c>
      <c r="H7496" s="68" t="s">
        <v>22919</v>
      </c>
      <c r="I7496" s="64">
        <v>1</v>
      </c>
      <c r="J7496" s="44" t="str">
        <f>VLOOKUP(G7496,[1]硬件清单!$F:$F,1,0)</f>
        <v>1023CB350625</v>
      </c>
      <c r="K7496" s="66"/>
      <c r="L7496" s="44"/>
      <c r="M7496" s="64" t="s">
        <v>22920</v>
      </c>
    </row>
    <row r="7497" ht="30" customHeight="1" spans="1:13">
      <c r="A7497" s="41">
        <f>IF(C7497="","",SUBTOTAL(103,$C$2:C7497))</f>
        <v>7488</v>
      </c>
      <c r="B7497" s="67"/>
      <c r="C7497" s="58" t="s">
        <v>20331</v>
      </c>
      <c r="D7497" s="68" t="s">
        <v>19</v>
      </c>
      <c r="E7497" s="64" t="s">
        <v>22138</v>
      </c>
      <c r="F7497" s="68" t="s">
        <v>22659</v>
      </c>
      <c r="G7497" s="64" t="s">
        <v>22921</v>
      </c>
      <c r="H7497" s="68" t="s">
        <v>22922</v>
      </c>
      <c r="I7497" s="64">
        <v>1</v>
      </c>
      <c r="J7497" s="44" t="str">
        <f>VLOOKUP(G7497,[1]硬件清单!$F:$F,1,0)</f>
        <v>1023CB350682</v>
      </c>
      <c r="K7497" s="66"/>
      <c r="L7497" s="44"/>
      <c r="M7497" s="64" t="s">
        <v>22923</v>
      </c>
    </row>
    <row r="7498" ht="30" customHeight="1" spans="1:13">
      <c r="A7498" s="41">
        <f>IF(C7498="","",SUBTOTAL(103,$C$2:C7498))</f>
        <v>7489</v>
      </c>
      <c r="B7498" s="67"/>
      <c r="C7498" s="58" t="s">
        <v>20331</v>
      </c>
      <c r="D7498" s="68" t="s">
        <v>19</v>
      </c>
      <c r="E7498" s="64" t="s">
        <v>22138</v>
      </c>
      <c r="F7498" s="68" t="s">
        <v>22659</v>
      </c>
      <c r="G7498" s="64" t="s">
        <v>22924</v>
      </c>
      <c r="H7498" s="68" t="s">
        <v>22925</v>
      </c>
      <c r="I7498" s="64">
        <v>1</v>
      </c>
      <c r="J7498" s="44" t="str">
        <f>VLOOKUP(G7498,[1]硬件清单!$F:$F,1,0)</f>
        <v>1023CB350653</v>
      </c>
      <c r="K7498" s="66"/>
      <c r="L7498" s="44"/>
      <c r="M7498" s="64" t="s">
        <v>22926</v>
      </c>
    </row>
    <row r="7499" ht="30" customHeight="1" spans="1:13">
      <c r="A7499" s="41">
        <f>IF(C7499="","",SUBTOTAL(103,$C$2:C7499))</f>
        <v>7490</v>
      </c>
      <c r="B7499" s="67"/>
      <c r="C7499" s="58" t="s">
        <v>20331</v>
      </c>
      <c r="D7499" s="68" t="s">
        <v>19</v>
      </c>
      <c r="E7499" s="64" t="s">
        <v>22138</v>
      </c>
      <c r="F7499" s="68" t="s">
        <v>22659</v>
      </c>
      <c r="G7499" s="64" t="s">
        <v>22927</v>
      </c>
      <c r="H7499" s="68" t="s">
        <v>22928</v>
      </c>
      <c r="I7499" s="64">
        <v>1</v>
      </c>
      <c r="J7499" s="44" t="str">
        <f>VLOOKUP(G7499,[1]硬件清单!$F:$F,1,0)</f>
        <v>1023CB199887</v>
      </c>
      <c r="K7499" s="66"/>
      <c r="L7499" s="44"/>
      <c r="M7499" s="64" t="s">
        <v>22929</v>
      </c>
    </row>
    <row r="7500" ht="30" customHeight="1" spans="1:13">
      <c r="A7500" s="41">
        <f>IF(C7500="","",SUBTOTAL(103,$C$2:C7500))</f>
        <v>7491</v>
      </c>
      <c r="B7500" s="67"/>
      <c r="C7500" s="58" t="s">
        <v>20331</v>
      </c>
      <c r="D7500" s="68" t="s">
        <v>19</v>
      </c>
      <c r="E7500" s="64" t="s">
        <v>22138</v>
      </c>
      <c r="F7500" s="68" t="s">
        <v>22659</v>
      </c>
      <c r="G7500" s="64" t="s">
        <v>22930</v>
      </c>
      <c r="H7500" s="68" t="s">
        <v>22931</v>
      </c>
      <c r="I7500" s="64">
        <v>1</v>
      </c>
      <c r="J7500" s="44" t="str">
        <f>VLOOKUP(G7500,[1]硬件清单!$F:$F,1,0)</f>
        <v>1023CB350671</v>
      </c>
      <c r="K7500" s="66"/>
      <c r="L7500" s="44" t="s">
        <v>17</v>
      </c>
      <c r="M7500" s="64" t="s">
        <v>22932</v>
      </c>
    </row>
    <row r="7501" ht="30" customHeight="1" spans="1:13">
      <c r="A7501" s="41">
        <f>IF(C7501="","",SUBTOTAL(103,$C$2:C7501))</f>
        <v>7492</v>
      </c>
      <c r="B7501" s="67"/>
      <c r="C7501" s="58" t="s">
        <v>20331</v>
      </c>
      <c r="D7501" s="68" t="s">
        <v>19</v>
      </c>
      <c r="E7501" s="64" t="s">
        <v>22138</v>
      </c>
      <c r="F7501" s="68" t="s">
        <v>22659</v>
      </c>
      <c r="G7501" s="64" t="s">
        <v>22933</v>
      </c>
      <c r="H7501" s="68" t="s">
        <v>22934</v>
      </c>
      <c r="I7501" s="64">
        <v>1</v>
      </c>
      <c r="J7501" s="44" t="str">
        <f>VLOOKUP(G7501,[1]硬件清单!$F:$F,1,0)</f>
        <v>1023CB072086</v>
      </c>
      <c r="K7501" s="66"/>
      <c r="L7501" s="44" t="s">
        <v>17</v>
      </c>
      <c r="M7501" s="64" t="s">
        <v>22935</v>
      </c>
    </row>
    <row r="7502" ht="30" customHeight="1" spans="1:13">
      <c r="A7502" s="41">
        <f>IF(C7502="","",SUBTOTAL(103,$C$2:C7502))</f>
        <v>7493</v>
      </c>
      <c r="B7502" s="67"/>
      <c r="C7502" s="58" t="s">
        <v>20331</v>
      </c>
      <c r="D7502" s="68" t="s">
        <v>19</v>
      </c>
      <c r="E7502" s="64" t="s">
        <v>22138</v>
      </c>
      <c r="F7502" s="68" t="s">
        <v>22659</v>
      </c>
      <c r="G7502" s="64" t="s">
        <v>22936</v>
      </c>
      <c r="H7502" s="68" t="s">
        <v>22937</v>
      </c>
      <c r="I7502" s="64">
        <v>1</v>
      </c>
      <c r="J7502" s="44" t="str">
        <f>VLOOKUP(G7502,[1]硬件清单!$F:$F,1,0)</f>
        <v>1023CB350628</v>
      </c>
      <c r="K7502" s="66"/>
      <c r="L7502" s="44"/>
      <c r="M7502" s="64" t="s">
        <v>22938</v>
      </c>
    </row>
    <row r="7503" ht="30" customHeight="1" spans="1:13">
      <c r="A7503" s="41">
        <f>IF(C7503="","",SUBTOTAL(103,$C$2:C7503))</f>
        <v>7494</v>
      </c>
      <c r="B7503" s="67"/>
      <c r="C7503" s="58" t="s">
        <v>20331</v>
      </c>
      <c r="D7503" s="68" t="s">
        <v>19</v>
      </c>
      <c r="E7503" s="64" t="s">
        <v>22138</v>
      </c>
      <c r="F7503" s="68" t="s">
        <v>22659</v>
      </c>
      <c r="G7503" s="64" t="s">
        <v>22939</v>
      </c>
      <c r="H7503" s="68" t="s">
        <v>22940</v>
      </c>
      <c r="I7503" s="64">
        <v>1</v>
      </c>
      <c r="J7503" s="44" t="str">
        <f>VLOOKUP(G7503,[1]硬件清单!$F:$F,1,0)</f>
        <v>1023CB350623</v>
      </c>
      <c r="K7503" s="66"/>
      <c r="L7503" s="44"/>
      <c r="M7503" s="64" t="s">
        <v>22941</v>
      </c>
    </row>
    <row r="7504" ht="30" customHeight="1" spans="1:13">
      <c r="A7504" s="41">
        <f>IF(C7504="","",SUBTOTAL(103,$C$2:C7504))</f>
        <v>7495</v>
      </c>
      <c r="B7504" s="67"/>
      <c r="C7504" s="58" t="s">
        <v>20331</v>
      </c>
      <c r="D7504" s="68" t="s">
        <v>19</v>
      </c>
      <c r="E7504" s="64" t="s">
        <v>22942</v>
      </c>
      <c r="F7504" s="68" t="s">
        <v>22943</v>
      </c>
      <c r="G7504" s="64" t="s">
        <v>22944</v>
      </c>
      <c r="H7504" s="68" t="s">
        <v>22945</v>
      </c>
      <c r="I7504" s="64">
        <v>1</v>
      </c>
      <c r="J7504" s="44" t="str">
        <f>VLOOKUP(G7504,[1]硬件清单!$F:$F,1,0)</f>
        <v>23CE10164</v>
      </c>
      <c r="K7504" s="66"/>
      <c r="L7504" s="44" t="s">
        <v>17</v>
      </c>
      <c r="M7504" s="64" t="s">
        <v>22946</v>
      </c>
    </row>
    <row r="7505" ht="30" customHeight="1" spans="1:13">
      <c r="A7505" s="41">
        <f>IF(C7505="","",SUBTOTAL(103,$C$2:C7505))</f>
        <v>7496</v>
      </c>
      <c r="B7505" s="67"/>
      <c r="C7505" s="58" t="s">
        <v>20331</v>
      </c>
      <c r="D7505" s="68" t="s">
        <v>19</v>
      </c>
      <c r="E7505" s="64" t="s">
        <v>22942</v>
      </c>
      <c r="F7505" s="68" t="s">
        <v>22943</v>
      </c>
      <c r="G7505" s="64" t="s">
        <v>22947</v>
      </c>
      <c r="H7505" s="68" t="s">
        <v>22948</v>
      </c>
      <c r="I7505" s="64">
        <v>1</v>
      </c>
      <c r="J7505" s="44" t="str">
        <f>VLOOKUP(G7505,[1]硬件清单!$F:$F,1,0)</f>
        <v>23CE10159</v>
      </c>
      <c r="K7505" s="66"/>
      <c r="L7505" s="44" t="s">
        <v>17</v>
      </c>
      <c r="M7505" s="64" t="s">
        <v>22949</v>
      </c>
    </row>
    <row r="7506" ht="30" customHeight="1" spans="1:13">
      <c r="A7506" s="41">
        <f>IF(C7506="","",SUBTOTAL(103,$C$2:C7506))</f>
        <v>7497</v>
      </c>
      <c r="B7506" s="67"/>
      <c r="C7506" s="58" t="s">
        <v>20331</v>
      </c>
      <c r="D7506" s="68" t="s">
        <v>19</v>
      </c>
      <c r="E7506" s="64" t="s">
        <v>22942</v>
      </c>
      <c r="F7506" s="68" t="s">
        <v>22943</v>
      </c>
      <c r="G7506" s="64" t="s">
        <v>22950</v>
      </c>
      <c r="H7506" s="68" t="s">
        <v>22951</v>
      </c>
      <c r="I7506" s="64">
        <v>1</v>
      </c>
      <c r="J7506" s="44" t="str">
        <f>VLOOKUP(G7506,[1]硬件清单!$F:$F,1,0)</f>
        <v>23CE10157</v>
      </c>
      <c r="K7506" s="66"/>
      <c r="L7506" s="44" t="s">
        <v>17</v>
      </c>
      <c r="M7506" s="64" t="s">
        <v>22952</v>
      </c>
    </row>
    <row r="7507" ht="30" customHeight="1" spans="1:13">
      <c r="A7507" s="41">
        <f>IF(C7507="","",SUBTOTAL(103,$C$2:C7507))</f>
        <v>7498</v>
      </c>
      <c r="B7507" s="67"/>
      <c r="C7507" s="58" t="s">
        <v>20331</v>
      </c>
      <c r="D7507" s="68" t="s">
        <v>19</v>
      </c>
      <c r="E7507" s="64" t="s">
        <v>22942</v>
      </c>
      <c r="F7507" s="68" t="s">
        <v>22943</v>
      </c>
      <c r="G7507" s="64" t="s">
        <v>22953</v>
      </c>
      <c r="H7507" s="68" t="s">
        <v>22954</v>
      </c>
      <c r="I7507" s="64">
        <v>1</v>
      </c>
      <c r="J7507" s="44" t="str">
        <f>VLOOKUP(G7507,[1]硬件清单!$F:$F,1,0)</f>
        <v>23CE10132872806003173204173131</v>
      </c>
      <c r="K7507" s="66"/>
      <c r="L7507" s="44" t="s">
        <v>17</v>
      </c>
      <c r="M7507" s="64" t="s">
        <v>22955</v>
      </c>
    </row>
    <row r="7508" ht="30" customHeight="1" spans="1:13">
      <c r="A7508" s="41">
        <f>IF(C7508="","",SUBTOTAL(103,$C$2:C7508))</f>
        <v>7499</v>
      </c>
      <c r="B7508" s="67"/>
      <c r="C7508" s="58" t="s">
        <v>20331</v>
      </c>
      <c r="D7508" s="68" t="s">
        <v>19</v>
      </c>
      <c r="E7508" s="64" t="s">
        <v>22942</v>
      </c>
      <c r="F7508" s="68" t="s">
        <v>22956</v>
      </c>
      <c r="G7508" s="64" t="s">
        <v>22957</v>
      </c>
      <c r="H7508" s="68" t="s">
        <v>22958</v>
      </c>
      <c r="I7508" s="64">
        <v>1</v>
      </c>
      <c r="J7508" s="44" t="str">
        <f>VLOOKUP(G7508,[1]硬件清单!$F:$F,1,0)</f>
        <v>YK04AA41GAHZ</v>
      </c>
      <c r="K7508" s="66"/>
      <c r="L7508" s="44" t="s">
        <v>17</v>
      </c>
      <c r="M7508" s="64" t="s">
        <v>22959</v>
      </c>
    </row>
    <row r="7509" ht="30" customHeight="1" spans="1:13">
      <c r="A7509" s="41">
        <f>IF(C7509="","",SUBTOTAL(103,$C$2:C7509))</f>
        <v>7500</v>
      </c>
      <c r="B7509" s="67"/>
      <c r="C7509" s="58" t="s">
        <v>20331</v>
      </c>
      <c r="D7509" s="68" t="s">
        <v>19</v>
      </c>
      <c r="E7509" s="64" t="s">
        <v>22942</v>
      </c>
      <c r="F7509" s="68" t="s">
        <v>22956</v>
      </c>
      <c r="G7509" s="64" t="s">
        <v>22960</v>
      </c>
      <c r="H7509" s="68" t="s">
        <v>22961</v>
      </c>
      <c r="I7509" s="64">
        <v>1</v>
      </c>
      <c r="J7509" s="44" t="str">
        <f>VLOOKUP(G7509,[1]硬件清单!$F:$F,1,0)</f>
        <v>YKO4AA41YHNN</v>
      </c>
      <c r="K7509" s="66"/>
      <c r="L7509" s="44" t="s">
        <v>17</v>
      </c>
      <c r="M7509" s="64" t="s">
        <v>22962</v>
      </c>
    </row>
    <row r="7510" ht="30" customHeight="1" spans="1:13">
      <c r="A7510" s="41">
        <f>IF(C7510="","",SUBTOTAL(103,$C$2:C7510))</f>
        <v>7501</v>
      </c>
      <c r="B7510" s="67"/>
      <c r="C7510" s="58" t="s">
        <v>20331</v>
      </c>
      <c r="D7510" s="68" t="s">
        <v>19</v>
      </c>
      <c r="E7510" s="64" t="s">
        <v>22942</v>
      </c>
      <c r="F7510" s="68" t="s">
        <v>22956</v>
      </c>
      <c r="G7510" s="64" t="s">
        <v>22963</v>
      </c>
      <c r="H7510" s="68" t="s">
        <v>22964</v>
      </c>
      <c r="I7510" s="64">
        <v>1</v>
      </c>
      <c r="J7510" s="44" t="str">
        <f>VLOOKUP(G7510,[1]硬件清单!$F:$F,1,0)</f>
        <v>YK04AA41WSUT</v>
      </c>
      <c r="K7510" s="66"/>
      <c r="L7510" s="44" t="s">
        <v>17</v>
      </c>
      <c r="M7510" s="64" t="s">
        <v>22965</v>
      </c>
    </row>
    <row r="7511" ht="30" customHeight="1" spans="1:13">
      <c r="A7511" s="41">
        <f>IF(C7511="","",SUBTOTAL(103,$C$2:C7511))</f>
        <v>7502</v>
      </c>
      <c r="B7511" s="67"/>
      <c r="C7511" s="58" t="s">
        <v>20331</v>
      </c>
      <c r="D7511" s="68" t="s">
        <v>19</v>
      </c>
      <c r="E7511" s="64" t="s">
        <v>22942</v>
      </c>
      <c r="F7511" s="68" t="s">
        <v>22956</v>
      </c>
      <c r="G7511" s="64" t="s">
        <v>22966</v>
      </c>
      <c r="H7511" s="68" t="s">
        <v>22967</v>
      </c>
      <c r="I7511" s="64">
        <v>1</v>
      </c>
      <c r="J7511" s="44" t="str">
        <f>VLOOKUP(G7511,[1]硬件清单!$F:$F,1,0)</f>
        <v>YK04AA41VMSP</v>
      </c>
      <c r="K7511" s="66"/>
      <c r="L7511" s="44" t="s">
        <v>17</v>
      </c>
      <c r="M7511" s="64" t="s">
        <v>22968</v>
      </c>
    </row>
    <row r="7512" ht="30" customHeight="1" spans="1:13">
      <c r="A7512" s="41">
        <f>IF(C7512="","",SUBTOTAL(103,$C$2:C7512))</f>
        <v>7503</v>
      </c>
      <c r="B7512" s="67"/>
      <c r="C7512" s="58" t="s">
        <v>20331</v>
      </c>
      <c r="D7512" s="68" t="s">
        <v>19</v>
      </c>
      <c r="E7512" s="64" t="s">
        <v>22942</v>
      </c>
      <c r="F7512" s="68" t="s">
        <v>22956</v>
      </c>
      <c r="G7512" s="64" t="s">
        <v>22969</v>
      </c>
      <c r="H7512" s="68" t="s">
        <v>22970</v>
      </c>
      <c r="I7512" s="64">
        <v>1</v>
      </c>
      <c r="J7512" s="44" t="str">
        <f>VLOOKUP(G7512,[1]硬件清单!$F:$F,1,0)</f>
        <v>YK04AA41VLAM</v>
      </c>
      <c r="K7512" s="66"/>
      <c r="L7512" s="44" t="s">
        <v>17</v>
      </c>
      <c r="M7512" s="64" t="s">
        <v>22971</v>
      </c>
    </row>
    <row r="7513" ht="30" customHeight="1" spans="1:13">
      <c r="A7513" s="41">
        <f>IF(C7513="","",SUBTOTAL(103,$C$2:C7513))</f>
        <v>7504</v>
      </c>
      <c r="B7513" s="67"/>
      <c r="C7513" s="58" t="s">
        <v>20331</v>
      </c>
      <c r="D7513" s="68" t="s">
        <v>19</v>
      </c>
      <c r="E7513" s="64" t="s">
        <v>22942</v>
      </c>
      <c r="F7513" s="68" t="s">
        <v>22956</v>
      </c>
      <c r="G7513" s="64" t="s">
        <v>22972</v>
      </c>
      <c r="H7513" s="68" t="s">
        <v>22973</v>
      </c>
      <c r="I7513" s="64">
        <v>1</v>
      </c>
      <c r="J7513" s="44" t="str">
        <f>VLOOKUP(G7513,[1]硬件清单!$F:$F,1,0)</f>
        <v>YK04AA41NEIE</v>
      </c>
      <c r="K7513" s="66"/>
      <c r="L7513" s="44" t="s">
        <v>17</v>
      </c>
      <c r="M7513" s="64" t="s">
        <v>22974</v>
      </c>
    </row>
    <row r="7514" ht="30" customHeight="1" spans="1:13">
      <c r="A7514" s="41">
        <f>IF(C7514="","",SUBTOTAL(103,$C$2:C7514))</f>
        <v>7505</v>
      </c>
      <c r="B7514" s="67"/>
      <c r="C7514" s="58" t="s">
        <v>20331</v>
      </c>
      <c r="D7514" s="68" t="s">
        <v>19</v>
      </c>
      <c r="E7514" s="64" t="s">
        <v>22942</v>
      </c>
      <c r="F7514" s="68" t="s">
        <v>22956</v>
      </c>
      <c r="G7514" s="64" t="s">
        <v>22975</v>
      </c>
      <c r="H7514" s="68" t="s">
        <v>22976</v>
      </c>
      <c r="I7514" s="64">
        <v>1</v>
      </c>
      <c r="J7514" s="44" t="str">
        <f>VLOOKUP(G7514,[1]硬件清单!$F:$F,1,0)</f>
        <v>YK04AA41HLXS</v>
      </c>
      <c r="K7514" s="66"/>
      <c r="L7514" s="44" t="s">
        <v>17</v>
      </c>
      <c r="M7514" s="64" t="s">
        <v>22977</v>
      </c>
    </row>
    <row r="7515" ht="30" customHeight="1" spans="1:13">
      <c r="A7515" s="41">
        <f>IF(C7515="","",SUBTOTAL(103,$C$2:C7515))</f>
        <v>7506</v>
      </c>
      <c r="B7515" s="67"/>
      <c r="C7515" s="58" t="s">
        <v>20331</v>
      </c>
      <c r="D7515" s="68" t="s">
        <v>19</v>
      </c>
      <c r="E7515" s="64" t="s">
        <v>22942</v>
      </c>
      <c r="F7515" s="68" t="s">
        <v>22956</v>
      </c>
      <c r="G7515" s="64" t="s">
        <v>22978</v>
      </c>
      <c r="H7515" s="68" t="s">
        <v>22979</v>
      </c>
      <c r="I7515" s="64">
        <v>1</v>
      </c>
      <c r="J7515" s="44" t="str">
        <f>VLOOKUP(G7515,[1]硬件清单!$F:$F,1,0)</f>
        <v>YK04AA41PTNB</v>
      </c>
      <c r="K7515" s="66"/>
      <c r="L7515" s="44" t="s">
        <v>17</v>
      </c>
      <c r="M7515" s="64" t="s">
        <v>22980</v>
      </c>
    </row>
    <row r="7516" ht="30" customHeight="1" spans="1:13">
      <c r="A7516" s="41">
        <f>IF(C7516="","",SUBTOTAL(103,$C$2:C7516))</f>
        <v>7507</v>
      </c>
      <c r="B7516" s="67"/>
      <c r="C7516" s="58" t="s">
        <v>20331</v>
      </c>
      <c r="D7516" s="68" t="s">
        <v>19</v>
      </c>
      <c r="E7516" s="64" t="s">
        <v>22942</v>
      </c>
      <c r="F7516" s="68" t="s">
        <v>22956</v>
      </c>
      <c r="G7516" s="64" t="s">
        <v>22981</v>
      </c>
      <c r="H7516" s="68" t="s">
        <v>22982</v>
      </c>
      <c r="I7516" s="64">
        <v>1</v>
      </c>
      <c r="J7516" s="44" t="str">
        <f>VLOOKUP(G7516,[1]硬件清单!$F:$F,1,0)</f>
        <v>YK04AA41XNAU</v>
      </c>
      <c r="K7516" s="66"/>
      <c r="L7516" s="44" t="s">
        <v>17</v>
      </c>
      <c r="M7516" s="64" t="s">
        <v>22983</v>
      </c>
    </row>
    <row r="7517" ht="30" customHeight="1" spans="1:13">
      <c r="A7517" s="41">
        <f>IF(C7517="","",SUBTOTAL(103,$C$2:C7517))</f>
        <v>7508</v>
      </c>
      <c r="B7517" s="67"/>
      <c r="C7517" s="58" t="s">
        <v>20331</v>
      </c>
      <c r="D7517" s="68" t="s">
        <v>19</v>
      </c>
      <c r="E7517" s="64" t="s">
        <v>22942</v>
      </c>
      <c r="F7517" s="68" t="s">
        <v>22956</v>
      </c>
      <c r="G7517" s="64" t="s">
        <v>22984</v>
      </c>
      <c r="H7517" s="68" t="s">
        <v>22985</v>
      </c>
      <c r="I7517" s="64">
        <v>1</v>
      </c>
      <c r="J7517" s="44" t="str">
        <f>VLOOKUP(G7517,[1]硬件清单!$F:$F,1,0)</f>
        <v>YK04AA41UPPU</v>
      </c>
      <c r="K7517" s="66"/>
      <c r="L7517" s="44" t="s">
        <v>17</v>
      </c>
      <c r="M7517" s="64" t="s">
        <v>22986</v>
      </c>
    </row>
    <row r="7518" ht="30" customHeight="1" spans="1:13">
      <c r="A7518" s="41">
        <f>IF(C7518="","",SUBTOTAL(103,$C$2:C7518))</f>
        <v>7509</v>
      </c>
      <c r="B7518" s="67"/>
      <c r="C7518" s="58" t="s">
        <v>20331</v>
      </c>
      <c r="D7518" s="68" t="s">
        <v>19</v>
      </c>
      <c r="E7518" s="64" t="s">
        <v>22942</v>
      </c>
      <c r="F7518" s="68" t="s">
        <v>22987</v>
      </c>
      <c r="G7518" s="64" t="s">
        <v>22988</v>
      </c>
      <c r="H7518" s="68" t="s">
        <v>22989</v>
      </c>
      <c r="I7518" s="64">
        <v>1</v>
      </c>
      <c r="J7518" s="44" t="str">
        <f>VLOOKUP(G7518,[1]硬件清单!$F:$F,1,0)</f>
        <v>YK04AA41CMQQ</v>
      </c>
      <c r="K7518" s="66"/>
      <c r="L7518" s="44" t="s">
        <v>17</v>
      </c>
      <c r="M7518" s="64" t="s">
        <v>22990</v>
      </c>
    </row>
    <row r="7519" ht="30" customHeight="1" spans="1:13">
      <c r="A7519" s="41">
        <f>IF(C7519="","",SUBTOTAL(103,$C$2:C7519))</f>
        <v>7510</v>
      </c>
      <c r="B7519" s="67"/>
      <c r="C7519" s="58" t="s">
        <v>20331</v>
      </c>
      <c r="D7519" s="68" t="s">
        <v>19</v>
      </c>
      <c r="E7519" s="64" t="s">
        <v>22942</v>
      </c>
      <c r="F7519" s="68" t="s">
        <v>22987</v>
      </c>
      <c r="G7519" s="64" t="s">
        <v>22991</v>
      </c>
      <c r="H7519" s="68" t="s">
        <v>22992</v>
      </c>
      <c r="I7519" s="64">
        <v>1</v>
      </c>
      <c r="J7519" s="44" t="str">
        <f>VLOOKUP(G7519,[1]硬件清单!$F:$F,1,0)</f>
        <v>YK04AA41GAGI</v>
      </c>
      <c r="K7519" s="66"/>
      <c r="L7519" s="44" t="s">
        <v>17</v>
      </c>
      <c r="M7519" s="64" t="s">
        <v>22993</v>
      </c>
    </row>
    <row r="7520" ht="30" customHeight="1" spans="1:13">
      <c r="A7520" s="41">
        <f>IF(C7520="","",SUBTOTAL(103,$C$2:C7520))</f>
        <v>7511</v>
      </c>
      <c r="B7520" s="67"/>
      <c r="C7520" s="58" t="s">
        <v>20331</v>
      </c>
      <c r="D7520" s="68" t="s">
        <v>19</v>
      </c>
      <c r="E7520" s="64" t="s">
        <v>22942</v>
      </c>
      <c r="F7520" s="68" t="s">
        <v>22987</v>
      </c>
      <c r="G7520" s="64" t="s">
        <v>22994</v>
      </c>
      <c r="H7520" s="68" t="s">
        <v>22995</v>
      </c>
      <c r="I7520" s="64">
        <v>1</v>
      </c>
      <c r="J7520" s="44" t="str">
        <f>VLOOKUP(G7520,[1]硬件清单!$F:$F,1,0)</f>
        <v>YK04AA41AOIO</v>
      </c>
      <c r="K7520" s="66"/>
      <c r="L7520" s="44" t="s">
        <v>17</v>
      </c>
      <c r="M7520" s="64" t="s">
        <v>22996</v>
      </c>
    </row>
    <row r="7521" ht="30" customHeight="1" spans="1:13">
      <c r="A7521" s="41">
        <f>IF(C7521="","",SUBTOTAL(103,$C$2:C7521))</f>
        <v>7512</v>
      </c>
      <c r="B7521" s="67"/>
      <c r="C7521" s="58" t="s">
        <v>20331</v>
      </c>
      <c r="D7521" s="68" t="s">
        <v>19</v>
      </c>
      <c r="E7521" s="64" t="s">
        <v>22942</v>
      </c>
      <c r="F7521" s="68" t="s">
        <v>22987</v>
      </c>
      <c r="G7521" s="64" t="s">
        <v>22997</v>
      </c>
      <c r="H7521" s="68" t="s">
        <v>22998</v>
      </c>
      <c r="I7521" s="64">
        <v>1</v>
      </c>
      <c r="J7521" s="44" t="str">
        <f>VLOOKUP(G7521,[1]硬件清单!$F:$F,1,0)</f>
        <v>YK04AA41WUKP</v>
      </c>
      <c r="K7521" s="66"/>
      <c r="L7521" s="44" t="s">
        <v>17</v>
      </c>
      <c r="M7521" s="64" t="s">
        <v>22999</v>
      </c>
    </row>
    <row r="7522" ht="30" customHeight="1" spans="1:13">
      <c r="A7522" s="41">
        <f>IF(C7522="","",SUBTOTAL(103,$C$2:C7522))</f>
        <v>7513</v>
      </c>
      <c r="B7522" s="67"/>
      <c r="C7522" s="58" t="s">
        <v>20331</v>
      </c>
      <c r="D7522" s="68" t="s">
        <v>19</v>
      </c>
      <c r="E7522" s="64" t="s">
        <v>22942</v>
      </c>
      <c r="F7522" s="68" t="s">
        <v>22987</v>
      </c>
      <c r="G7522" s="64" t="s">
        <v>23000</v>
      </c>
      <c r="H7522" s="68" t="s">
        <v>23001</v>
      </c>
      <c r="I7522" s="64">
        <v>1</v>
      </c>
      <c r="J7522" s="44" t="str">
        <f>VLOOKUP(G7522,[1]硬件清单!$F:$F,1,0)</f>
        <v>YK04AA41MRJA</v>
      </c>
      <c r="K7522" s="66"/>
      <c r="L7522" s="44" t="s">
        <v>17</v>
      </c>
      <c r="M7522" s="64" t="s">
        <v>23002</v>
      </c>
    </row>
    <row r="7523" ht="30" customHeight="1" spans="1:13">
      <c r="A7523" s="41">
        <f>IF(C7523="","",SUBTOTAL(103,$C$2:C7523))</f>
        <v>7514</v>
      </c>
      <c r="B7523" s="67"/>
      <c r="C7523" s="58" t="s">
        <v>20331</v>
      </c>
      <c r="D7523" s="68" t="s">
        <v>19</v>
      </c>
      <c r="E7523" s="64" t="s">
        <v>22942</v>
      </c>
      <c r="F7523" s="68" t="s">
        <v>22987</v>
      </c>
      <c r="G7523" s="64" t="s">
        <v>23003</v>
      </c>
      <c r="H7523" s="68" t="s">
        <v>23004</v>
      </c>
      <c r="I7523" s="64">
        <v>1</v>
      </c>
      <c r="J7523" s="44" t="str">
        <f>VLOOKUP(G7523,[1]硬件清单!$F:$F,1,0)</f>
        <v>YK04AA41VDSZ</v>
      </c>
      <c r="K7523" s="66"/>
      <c r="L7523" s="44" t="s">
        <v>17</v>
      </c>
      <c r="M7523" s="64" t="s">
        <v>23005</v>
      </c>
    </row>
    <row r="7524" ht="30" customHeight="1" spans="1:13">
      <c r="A7524" s="41">
        <f>IF(C7524="","",SUBTOTAL(103,$C$2:C7524))</f>
        <v>7515</v>
      </c>
      <c r="B7524" s="67"/>
      <c r="C7524" s="58" t="s">
        <v>20331</v>
      </c>
      <c r="D7524" s="68" t="s">
        <v>19</v>
      </c>
      <c r="E7524" s="64" t="s">
        <v>22942</v>
      </c>
      <c r="F7524" s="68" t="s">
        <v>22987</v>
      </c>
      <c r="G7524" s="64" t="s">
        <v>23006</v>
      </c>
      <c r="H7524" s="68" t="s">
        <v>23007</v>
      </c>
      <c r="I7524" s="64">
        <v>1</v>
      </c>
      <c r="J7524" s="44" t="str">
        <f>VLOOKUP(G7524,[1]硬件清单!$F:$F,1,0)</f>
        <v>YK04AA41MWGM</v>
      </c>
      <c r="K7524" s="66"/>
      <c r="L7524" s="44" t="s">
        <v>17</v>
      </c>
      <c r="M7524" s="64" t="s">
        <v>23008</v>
      </c>
    </row>
    <row r="7525" ht="30" customHeight="1" spans="1:13">
      <c r="A7525" s="41">
        <f>IF(C7525="","",SUBTOTAL(103,$C$2:C7525))</f>
        <v>7516</v>
      </c>
      <c r="B7525" s="67"/>
      <c r="C7525" s="58" t="s">
        <v>20331</v>
      </c>
      <c r="D7525" s="68" t="s">
        <v>19</v>
      </c>
      <c r="E7525" s="64" t="s">
        <v>22942</v>
      </c>
      <c r="F7525" s="68" t="s">
        <v>22987</v>
      </c>
      <c r="G7525" s="64" t="s">
        <v>23009</v>
      </c>
      <c r="H7525" s="68" t="s">
        <v>23010</v>
      </c>
      <c r="I7525" s="64">
        <v>1</v>
      </c>
      <c r="J7525" s="44" t="str">
        <f>VLOOKUP(G7525,[1]硬件清单!$F:$F,1,0)</f>
        <v>YK04AA41UOXX</v>
      </c>
      <c r="K7525" s="66"/>
      <c r="L7525" s="44" t="s">
        <v>17</v>
      </c>
      <c r="M7525" s="64" t="s">
        <v>23011</v>
      </c>
    </row>
    <row r="7526" ht="30" customHeight="1" spans="1:13">
      <c r="A7526" s="41">
        <f>IF(C7526="","",SUBTOTAL(103,$C$2:C7526))</f>
        <v>7517</v>
      </c>
      <c r="B7526" s="67"/>
      <c r="C7526" s="58" t="s">
        <v>20331</v>
      </c>
      <c r="D7526" s="68" t="s">
        <v>19</v>
      </c>
      <c r="E7526" s="64" t="s">
        <v>22942</v>
      </c>
      <c r="F7526" s="68" t="s">
        <v>22987</v>
      </c>
      <c r="G7526" s="64" t="s">
        <v>23012</v>
      </c>
      <c r="H7526" s="68" t="s">
        <v>23013</v>
      </c>
      <c r="I7526" s="64">
        <v>1</v>
      </c>
      <c r="J7526" s="44" t="str">
        <f>VLOOKUP(G7526,[1]硬件清单!$F:$F,1,0)</f>
        <v>YK04AA41CKYX</v>
      </c>
      <c r="K7526" s="66"/>
      <c r="L7526" s="44" t="s">
        <v>17</v>
      </c>
      <c r="M7526" s="64" t="s">
        <v>23014</v>
      </c>
    </row>
    <row r="7527" ht="30" customHeight="1" spans="1:13">
      <c r="A7527" s="41">
        <f>IF(C7527="","",SUBTOTAL(103,$C$2:C7527))</f>
        <v>7518</v>
      </c>
      <c r="B7527" s="67"/>
      <c r="C7527" s="58" t="s">
        <v>20331</v>
      </c>
      <c r="D7527" s="68" t="s">
        <v>19</v>
      </c>
      <c r="E7527" s="64" t="s">
        <v>22942</v>
      </c>
      <c r="F7527" s="68" t="s">
        <v>22987</v>
      </c>
      <c r="G7527" s="64" t="s">
        <v>23015</v>
      </c>
      <c r="H7527" s="68" t="s">
        <v>23016</v>
      </c>
      <c r="I7527" s="64">
        <v>1</v>
      </c>
      <c r="J7527" s="44" t="str">
        <f>VLOOKUP(G7527,[1]硬件清单!$F:$F,1,0)</f>
        <v>YK04AA41PIBW</v>
      </c>
      <c r="K7527" s="66"/>
      <c r="L7527" s="44" t="s">
        <v>17</v>
      </c>
      <c r="M7527" s="64" t="s">
        <v>23017</v>
      </c>
    </row>
    <row r="7528" ht="30" customHeight="1" spans="1:13">
      <c r="A7528" s="41">
        <f>IF(C7528="","",SUBTOTAL(103,$C$2:C7528))</f>
        <v>7519</v>
      </c>
      <c r="B7528" s="67"/>
      <c r="C7528" s="58" t="s">
        <v>20331</v>
      </c>
      <c r="D7528" s="68" t="s">
        <v>19</v>
      </c>
      <c r="E7528" s="64" t="s">
        <v>22942</v>
      </c>
      <c r="F7528" s="68" t="s">
        <v>23018</v>
      </c>
      <c r="G7528" s="64" t="s">
        <v>23019</v>
      </c>
      <c r="H7528" s="68" t="s">
        <v>23020</v>
      </c>
      <c r="I7528" s="64">
        <v>1</v>
      </c>
      <c r="J7528" s="44" t="str">
        <f>VLOOKUP(G7528,[1]硬件清单!$F:$F,1,0)</f>
        <v>YK05AA62UMCA</v>
      </c>
      <c r="K7528" s="66"/>
      <c r="L7528" s="44" t="s">
        <v>17</v>
      </c>
      <c r="M7528" s="64" t="s">
        <v>23021</v>
      </c>
    </row>
    <row r="7529" ht="30" customHeight="1" spans="1:13">
      <c r="A7529" s="41">
        <f>IF(C7529="","",SUBTOTAL(103,$C$2:C7529))</f>
        <v>7520</v>
      </c>
      <c r="B7529" s="67"/>
      <c r="C7529" s="58" t="s">
        <v>20331</v>
      </c>
      <c r="D7529" s="68" t="s">
        <v>19</v>
      </c>
      <c r="E7529" s="64" t="s">
        <v>22942</v>
      </c>
      <c r="F7529" s="68" t="s">
        <v>23018</v>
      </c>
      <c r="G7529" s="64" t="s">
        <v>23022</v>
      </c>
      <c r="H7529" s="68" t="s">
        <v>23023</v>
      </c>
      <c r="I7529" s="64">
        <v>1</v>
      </c>
      <c r="J7529" s="44" t="str">
        <f>VLOOKUP(G7529,[1]硬件清单!$F:$F,1,0)</f>
        <v>YK05AA62JIRD</v>
      </c>
      <c r="K7529" s="66"/>
      <c r="L7529" s="44" t="s">
        <v>17</v>
      </c>
      <c r="M7529" s="64" t="s">
        <v>23024</v>
      </c>
    </row>
    <row r="7530" ht="30" customHeight="1" spans="1:13">
      <c r="A7530" s="41">
        <f>IF(C7530="","",SUBTOTAL(103,$C$2:C7530))</f>
        <v>7521</v>
      </c>
      <c r="B7530" s="67"/>
      <c r="C7530" s="58" t="s">
        <v>20331</v>
      </c>
      <c r="D7530" s="68" t="s">
        <v>19</v>
      </c>
      <c r="E7530" s="64" t="s">
        <v>22942</v>
      </c>
      <c r="F7530" s="68" t="s">
        <v>23018</v>
      </c>
      <c r="G7530" s="64" t="s">
        <v>23025</v>
      </c>
      <c r="H7530" s="68" t="s">
        <v>23026</v>
      </c>
      <c r="I7530" s="64">
        <v>1</v>
      </c>
      <c r="J7530" s="44" t="str">
        <f>VLOOKUP(G7530,[1]硬件清单!$F:$F,1,0)</f>
        <v>YK05AA62PVMV</v>
      </c>
      <c r="K7530" s="66"/>
      <c r="L7530" s="44" t="s">
        <v>17</v>
      </c>
      <c r="M7530" s="64" t="s">
        <v>23027</v>
      </c>
    </row>
    <row r="7531" ht="30" customHeight="1" spans="1:13">
      <c r="A7531" s="41">
        <f>IF(C7531="","",SUBTOTAL(103,$C$2:C7531))</f>
        <v>7522</v>
      </c>
      <c r="B7531" s="67"/>
      <c r="C7531" s="58" t="s">
        <v>20331</v>
      </c>
      <c r="D7531" s="68" t="s">
        <v>19</v>
      </c>
      <c r="E7531" s="64" t="s">
        <v>22942</v>
      </c>
      <c r="F7531" s="68" t="s">
        <v>23018</v>
      </c>
      <c r="G7531" s="64" t="s">
        <v>23028</v>
      </c>
      <c r="H7531" s="68" t="s">
        <v>23029</v>
      </c>
      <c r="I7531" s="64">
        <v>1</v>
      </c>
      <c r="J7531" s="44" t="str">
        <f>VLOOKUP(G7531,[1]硬件清单!$F:$F,1,0)</f>
        <v>YK05AA62PIRD</v>
      </c>
      <c r="K7531" s="66"/>
      <c r="L7531" s="44" t="s">
        <v>17</v>
      </c>
      <c r="M7531" s="64" t="s">
        <v>23030</v>
      </c>
    </row>
    <row r="7532" ht="30" customHeight="1" spans="1:13">
      <c r="A7532" s="41">
        <f>IF(C7532="","",SUBTOTAL(103,$C$2:C7532))</f>
        <v>7523</v>
      </c>
      <c r="B7532" s="67"/>
      <c r="C7532" s="58" t="s">
        <v>20331</v>
      </c>
      <c r="D7532" s="68" t="s">
        <v>19</v>
      </c>
      <c r="E7532" s="64" t="s">
        <v>22942</v>
      </c>
      <c r="F7532" s="68" t="s">
        <v>23018</v>
      </c>
      <c r="G7532" s="64" t="s">
        <v>23031</v>
      </c>
      <c r="H7532" s="68" t="s">
        <v>23032</v>
      </c>
      <c r="I7532" s="64">
        <v>1</v>
      </c>
      <c r="J7532" s="44" t="str">
        <f>VLOOKUP(G7532,[1]硬件清单!$F:$F,1,0)</f>
        <v>YK05AA62PXLV</v>
      </c>
      <c r="K7532" s="66"/>
      <c r="L7532" s="44" t="s">
        <v>17</v>
      </c>
      <c r="M7532" s="64" t="s">
        <v>23033</v>
      </c>
    </row>
    <row r="7533" ht="30" customHeight="1" spans="1:13">
      <c r="A7533" s="41">
        <f>IF(C7533="","",SUBTOTAL(103,$C$2:C7533))</f>
        <v>7524</v>
      </c>
      <c r="B7533" s="67"/>
      <c r="C7533" s="58" t="s">
        <v>20331</v>
      </c>
      <c r="D7533" s="68" t="s">
        <v>19</v>
      </c>
      <c r="E7533" s="64" t="s">
        <v>22942</v>
      </c>
      <c r="F7533" s="68" t="s">
        <v>23018</v>
      </c>
      <c r="G7533" s="64" t="s">
        <v>23034</v>
      </c>
      <c r="H7533" s="68" t="s">
        <v>23035</v>
      </c>
      <c r="I7533" s="64">
        <v>1</v>
      </c>
      <c r="J7533" s="44" t="str">
        <f>VLOOKUP(G7533,[1]硬件清单!$F:$F,1,0)</f>
        <v>YK05AA71ZNNH</v>
      </c>
      <c r="K7533" s="66"/>
      <c r="L7533" s="44" t="s">
        <v>17</v>
      </c>
      <c r="M7533" s="64" t="s">
        <v>23036</v>
      </c>
    </row>
    <row r="7534" ht="30" customHeight="1" spans="1:13">
      <c r="A7534" s="41">
        <f>IF(C7534="","",SUBTOTAL(103,$C$2:C7534))</f>
        <v>7525</v>
      </c>
      <c r="B7534" s="67"/>
      <c r="C7534" s="58" t="s">
        <v>20331</v>
      </c>
      <c r="D7534" s="68" t="s">
        <v>19</v>
      </c>
      <c r="E7534" s="64" t="s">
        <v>34</v>
      </c>
      <c r="F7534" s="68" t="s">
        <v>23037</v>
      </c>
      <c r="G7534" s="64" t="s">
        <v>23038</v>
      </c>
      <c r="H7534" s="68" t="s">
        <v>23039</v>
      </c>
      <c r="I7534" s="64">
        <v>1</v>
      </c>
      <c r="J7534" s="44" t="str">
        <f>VLOOKUP(G7534,[1]硬件清单!$F:$F,1,0)</f>
        <v>031GGX10J6001117;1023CA872458;1023CA872460</v>
      </c>
      <c r="K7534" s="66"/>
      <c r="L7534" s="44" t="s">
        <v>17</v>
      </c>
      <c r="M7534" s="64" t="s">
        <v>23040</v>
      </c>
    </row>
    <row r="7535" ht="30" customHeight="1" spans="1:13">
      <c r="A7535" s="41">
        <f>IF(C7535="","",SUBTOTAL(103,$C$2:C7535))</f>
        <v>7526</v>
      </c>
      <c r="B7535" s="67"/>
      <c r="C7535" s="58" t="s">
        <v>20331</v>
      </c>
      <c r="D7535" s="68" t="s">
        <v>19</v>
      </c>
      <c r="E7535" s="64" t="s">
        <v>34</v>
      </c>
      <c r="F7535" s="68" t="s">
        <v>23037</v>
      </c>
      <c r="G7535" s="64" t="s">
        <v>23041</v>
      </c>
      <c r="H7535" s="68" t="s">
        <v>23042</v>
      </c>
      <c r="I7535" s="64">
        <v>1</v>
      </c>
      <c r="J7535" s="44" t="str">
        <f>VLOOKUP(G7535,[1]硬件清单!$F:$F,1,0)</f>
        <v>031GGX10J8000415;1023CA872463;1023CA872468</v>
      </c>
      <c r="K7535" s="66"/>
      <c r="L7535" s="44" t="s">
        <v>17</v>
      </c>
      <c r="M7535" s="64" t="s">
        <v>23043</v>
      </c>
    </row>
    <row r="7536" ht="30" customHeight="1" spans="1:13">
      <c r="A7536" s="41">
        <f>IF(C7536="","",SUBTOTAL(103,$C$2:C7536))</f>
        <v>7527</v>
      </c>
      <c r="B7536" s="67"/>
      <c r="C7536" s="58" t="s">
        <v>20331</v>
      </c>
      <c r="D7536" s="68" t="s">
        <v>19</v>
      </c>
      <c r="E7536" s="64" t="s">
        <v>34</v>
      </c>
      <c r="F7536" s="68" t="s">
        <v>23037</v>
      </c>
      <c r="G7536" s="64" t="s">
        <v>23044</v>
      </c>
      <c r="H7536" s="68" t="s">
        <v>23045</v>
      </c>
      <c r="I7536" s="64">
        <v>1</v>
      </c>
      <c r="J7536" s="44" t="str">
        <f>VLOOKUP(G7536,[1]硬件清单!$F:$F,1,0)</f>
        <v>031GGX10F8000050;1023CA872447;1023CA872454</v>
      </c>
      <c r="K7536" s="66"/>
      <c r="L7536" s="44" t="s">
        <v>17</v>
      </c>
      <c r="M7536" s="64" t="s">
        <v>23046</v>
      </c>
    </row>
    <row r="7537" ht="30" customHeight="1" spans="1:13">
      <c r="A7537" s="41">
        <f>IF(C7537="","",SUBTOTAL(103,$C$2:C7537))</f>
        <v>7528</v>
      </c>
      <c r="B7537" s="67"/>
      <c r="C7537" s="58" t="s">
        <v>20331</v>
      </c>
      <c r="D7537" s="68" t="s">
        <v>19</v>
      </c>
      <c r="E7537" s="64" t="s">
        <v>34</v>
      </c>
      <c r="F7537" s="68" t="s">
        <v>23037</v>
      </c>
      <c r="G7537" s="64" t="s">
        <v>23047</v>
      </c>
      <c r="H7537" s="68" t="s">
        <v>23048</v>
      </c>
      <c r="I7537" s="64">
        <v>1</v>
      </c>
      <c r="J7537" s="44" t="str">
        <f>VLOOKUP(G7537,[1]硬件清单!$F:$F,1,0)</f>
        <v>031GGX10JB000510;1023CA872442;1023CA872446</v>
      </c>
      <c r="K7537" s="66"/>
      <c r="L7537" s="44" t="s">
        <v>17</v>
      </c>
      <c r="M7537" s="64" t="s">
        <v>23049</v>
      </c>
    </row>
    <row r="7538" ht="30" customHeight="1" spans="1:13">
      <c r="A7538" s="41">
        <f>IF(C7538="","",SUBTOTAL(103,$C$2:C7538))</f>
        <v>7529</v>
      </c>
      <c r="B7538" s="67"/>
      <c r="C7538" s="58" t="s">
        <v>20331</v>
      </c>
      <c r="D7538" s="68" t="s">
        <v>23050</v>
      </c>
      <c r="E7538" s="64" t="s">
        <v>66</v>
      </c>
      <c r="F7538" s="68" t="s">
        <v>23051</v>
      </c>
      <c r="G7538" s="64" t="s">
        <v>23052</v>
      </c>
      <c r="H7538" s="68" t="s">
        <v>23053</v>
      </c>
      <c r="I7538" s="64">
        <v>7</v>
      </c>
      <c r="J7538" s="44" t="str">
        <f>VLOOKUP(G7538,[1]硬件清单!$F:$F,1,0)</f>
        <v>219801A3M2822BX1000N</v>
      </c>
      <c r="K7538" s="66"/>
      <c r="L7538" s="44"/>
      <c r="M7538" s="64" t="s">
        <v>23054</v>
      </c>
    </row>
    <row r="7539" ht="30" customHeight="1" spans="1:13">
      <c r="A7539" s="41">
        <f>IF(C7539="","",SUBTOTAL(103,$C$2:C7539))</f>
        <v>7530</v>
      </c>
      <c r="B7539" s="67"/>
      <c r="C7539" s="58" t="s">
        <v>20331</v>
      </c>
      <c r="D7539" s="68" t="s">
        <v>23050</v>
      </c>
      <c r="E7539" s="64" t="s">
        <v>66</v>
      </c>
      <c r="F7539" s="68" t="s">
        <v>23051</v>
      </c>
      <c r="G7539" s="64" t="s">
        <v>23055</v>
      </c>
      <c r="H7539" s="68" t="s">
        <v>23056</v>
      </c>
      <c r="I7539" s="64">
        <v>7</v>
      </c>
      <c r="J7539" s="44" t="str">
        <f>VLOOKUP(G7539,[1]硬件清单!$F:$F,1,0)</f>
        <v>219801A3M2822BX10009</v>
      </c>
      <c r="K7539" s="66"/>
      <c r="L7539" s="44" t="s">
        <v>17</v>
      </c>
      <c r="M7539" s="64" t="s">
        <v>23057</v>
      </c>
    </row>
    <row r="7540" ht="30" customHeight="1" spans="1:13">
      <c r="A7540" s="41">
        <f>IF(C7540="","",SUBTOTAL(103,$C$2:C7540))</f>
        <v>7531</v>
      </c>
      <c r="B7540" s="67"/>
      <c r="C7540" s="58" t="s">
        <v>20331</v>
      </c>
      <c r="D7540" s="68" t="s">
        <v>23050</v>
      </c>
      <c r="E7540" s="64" t="s">
        <v>66</v>
      </c>
      <c r="F7540" s="68" t="s">
        <v>23058</v>
      </c>
      <c r="G7540" s="64" t="s">
        <v>23059</v>
      </c>
      <c r="H7540" s="68" t="s">
        <v>23060</v>
      </c>
      <c r="I7540" s="64">
        <v>1</v>
      </c>
      <c r="J7540" s="44" t="str">
        <f>VLOOKUP(G7540,[1]硬件清单!$F:$F,1,0)</f>
        <v>219801A3M3823CX1000V</v>
      </c>
      <c r="K7540" s="66"/>
      <c r="L7540" s="44"/>
      <c r="M7540" s="64" t="s">
        <v>23061</v>
      </c>
    </row>
    <row r="7541" ht="30" customHeight="1" spans="1:13">
      <c r="A7541" s="41">
        <f>IF(C7541="","",SUBTOTAL(103,$C$2:C7541))</f>
        <v>7532</v>
      </c>
      <c r="B7541" s="67"/>
      <c r="C7541" s="58" t="s">
        <v>20331</v>
      </c>
      <c r="D7541" s="68" t="s">
        <v>23050</v>
      </c>
      <c r="E7541" s="64" t="s">
        <v>66</v>
      </c>
      <c r="F7541" s="68" t="s">
        <v>23058</v>
      </c>
      <c r="G7541" s="64" t="s">
        <v>23062</v>
      </c>
      <c r="H7541" s="68" t="s">
        <v>23063</v>
      </c>
      <c r="I7541" s="64">
        <v>1</v>
      </c>
      <c r="J7541" s="44" t="str">
        <f>VLOOKUP(G7541,[1]硬件清单!$F:$F,1,0)</f>
        <v>219801A3M3823CX1000P</v>
      </c>
      <c r="K7541" s="66"/>
      <c r="L7541" s="44"/>
      <c r="M7541" s="64" t="s">
        <v>23064</v>
      </c>
    </row>
    <row r="7542" ht="30" customHeight="1" spans="1:13">
      <c r="A7542" s="41">
        <f>IF(C7542="","",SUBTOTAL(103,$C$2:C7542))</f>
        <v>7533</v>
      </c>
      <c r="B7542" s="67"/>
      <c r="C7542" s="58" t="s">
        <v>20331</v>
      </c>
      <c r="D7542" s="68" t="s">
        <v>23050</v>
      </c>
      <c r="E7542" s="64" t="s">
        <v>66</v>
      </c>
      <c r="F7542" s="68" t="s">
        <v>23058</v>
      </c>
      <c r="G7542" s="64" t="s">
        <v>23065</v>
      </c>
      <c r="H7542" s="68" t="s">
        <v>23066</v>
      </c>
      <c r="I7542" s="64">
        <v>1</v>
      </c>
      <c r="J7542" s="44" t="str">
        <f>VLOOKUP(G7542,[1]硬件清单!$F:$F,1,0)</f>
        <v>219801A3M3823CX10014</v>
      </c>
      <c r="K7542" s="66"/>
      <c r="L7542" s="44" t="s">
        <v>17</v>
      </c>
      <c r="M7542" s="64" t="s">
        <v>23067</v>
      </c>
    </row>
    <row r="7543" ht="30" customHeight="1" spans="1:13">
      <c r="A7543" s="41">
        <f>IF(C7543="","",SUBTOTAL(103,$C$2:C7543))</f>
        <v>7534</v>
      </c>
      <c r="B7543" s="67"/>
      <c r="C7543" s="58" t="s">
        <v>20331</v>
      </c>
      <c r="D7543" s="68" t="s">
        <v>23050</v>
      </c>
      <c r="E7543" s="64" t="s">
        <v>66</v>
      </c>
      <c r="F7543" s="68" t="s">
        <v>23058</v>
      </c>
      <c r="G7543" s="64" t="s">
        <v>23068</v>
      </c>
      <c r="H7543" s="68" t="s">
        <v>23069</v>
      </c>
      <c r="I7543" s="64">
        <v>1</v>
      </c>
      <c r="J7543" s="44" t="str">
        <f>VLOOKUP(G7543,[1]硬件清单!$F:$F,1,0)</f>
        <v>219801A3M3823CX1001R</v>
      </c>
      <c r="K7543" s="66"/>
      <c r="L7543" s="44"/>
      <c r="M7543" s="64" t="s">
        <v>23070</v>
      </c>
    </row>
    <row r="7544" ht="30" customHeight="1" spans="1:13">
      <c r="A7544" s="41">
        <f>IF(C7544="","",SUBTOTAL(103,$C$2:C7544))</f>
        <v>7535</v>
      </c>
      <c r="B7544" s="67"/>
      <c r="C7544" s="58" t="s">
        <v>20331</v>
      </c>
      <c r="D7544" s="68" t="s">
        <v>23050</v>
      </c>
      <c r="E7544" s="64" t="s">
        <v>66</v>
      </c>
      <c r="F7544" s="68" t="s">
        <v>23058</v>
      </c>
      <c r="G7544" s="64" t="s">
        <v>23071</v>
      </c>
      <c r="H7544" s="68" t="s">
        <v>23072</v>
      </c>
      <c r="I7544" s="64">
        <v>1</v>
      </c>
      <c r="J7544" s="44" t="str">
        <f>VLOOKUP(G7544,[1]硬件清单!$F:$F,1,0)</f>
        <v>219801A3M3823CX1001D</v>
      </c>
      <c r="K7544" s="66"/>
      <c r="L7544" s="44"/>
      <c r="M7544" s="64" t="s">
        <v>23073</v>
      </c>
    </row>
    <row r="7545" ht="30" customHeight="1" spans="1:13">
      <c r="A7545" s="41">
        <f>IF(C7545="","",SUBTOTAL(103,$C$2:C7545))</f>
        <v>7536</v>
      </c>
      <c r="B7545" s="67"/>
      <c r="C7545" s="58" t="s">
        <v>20331</v>
      </c>
      <c r="D7545" s="68" t="s">
        <v>23050</v>
      </c>
      <c r="E7545" s="64" t="s">
        <v>66</v>
      </c>
      <c r="F7545" s="68" t="s">
        <v>23058</v>
      </c>
      <c r="G7545" s="64" t="s">
        <v>23074</v>
      </c>
      <c r="H7545" s="68" t="s">
        <v>23075</v>
      </c>
      <c r="I7545" s="64">
        <v>1</v>
      </c>
      <c r="J7545" s="44" t="str">
        <f>VLOOKUP(G7545,[1]硬件清单!$F:$F,1,0)</f>
        <v>219801A3M3823CX1000B</v>
      </c>
      <c r="K7545" s="66"/>
      <c r="L7545" s="44" t="s">
        <v>17</v>
      </c>
      <c r="M7545" s="64" t="s">
        <v>23076</v>
      </c>
    </row>
    <row r="7546" ht="30" customHeight="1" spans="1:13">
      <c r="A7546" s="41">
        <f>IF(C7546="","",SUBTOTAL(103,$C$2:C7546))</f>
        <v>7537</v>
      </c>
      <c r="B7546" s="67"/>
      <c r="C7546" s="58" t="s">
        <v>20331</v>
      </c>
      <c r="D7546" s="68" t="s">
        <v>23050</v>
      </c>
      <c r="E7546" s="64" t="s">
        <v>66</v>
      </c>
      <c r="F7546" s="68" t="s">
        <v>23058</v>
      </c>
      <c r="G7546" s="64" t="s">
        <v>23077</v>
      </c>
      <c r="H7546" s="68" t="s">
        <v>23078</v>
      </c>
      <c r="I7546" s="64">
        <v>1</v>
      </c>
      <c r="J7546" s="44" t="str">
        <f>VLOOKUP(G7546,[1]硬件清单!$F:$F,1,0)</f>
        <v>219801A3M3823CX10006</v>
      </c>
      <c r="K7546" s="66"/>
      <c r="L7546" s="44" t="s">
        <v>17</v>
      </c>
      <c r="M7546" s="64" t="s">
        <v>23079</v>
      </c>
    </row>
    <row r="7547" ht="30" customHeight="1" spans="1:13">
      <c r="A7547" s="41">
        <f>IF(C7547="","",SUBTOTAL(103,$C$2:C7547))</f>
        <v>7538</v>
      </c>
      <c r="B7547" s="67"/>
      <c r="C7547" s="58" t="s">
        <v>20331</v>
      </c>
      <c r="D7547" s="68" t="s">
        <v>23050</v>
      </c>
      <c r="E7547" s="64" t="s">
        <v>66</v>
      </c>
      <c r="F7547" s="68" t="s">
        <v>23058</v>
      </c>
      <c r="G7547" s="64" t="s">
        <v>23080</v>
      </c>
      <c r="H7547" s="68" t="s">
        <v>23081</v>
      </c>
      <c r="I7547" s="64">
        <v>1</v>
      </c>
      <c r="J7547" s="44" t="str">
        <f>VLOOKUP(G7547,[1]硬件清单!$F:$F,1,0)</f>
        <v>219801A3M3823CX1000X</v>
      </c>
      <c r="K7547" s="66"/>
      <c r="L7547" s="44" t="s">
        <v>17</v>
      </c>
      <c r="M7547" s="64" t="s">
        <v>23082</v>
      </c>
    </row>
    <row r="7548" ht="30" customHeight="1" spans="1:13">
      <c r="A7548" s="41">
        <f>IF(C7548="","",SUBTOTAL(103,$C$2:C7548))</f>
        <v>7539</v>
      </c>
      <c r="B7548" s="67"/>
      <c r="C7548" s="58" t="s">
        <v>20331</v>
      </c>
      <c r="D7548" s="68" t="s">
        <v>23050</v>
      </c>
      <c r="E7548" s="64" t="s">
        <v>66</v>
      </c>
      <c r="F7548" s="68" t="s">
        <v>23083</v>
      </c>
      <c r="G7548" s="64" t="s">
        <v>23084</v>
      </c>
      <c r="H7548" s="68" t="s">
        <v>23085</v>
      </c>
      <c r="I7548" s="64">
        <v>1</v>
      </c>
      <c r="J7548" s="44" t="str">
        <f>VLOOKUP(G7548,[1]硬件清单!$F:$F,1,0)</f>
        <v>210235A2X9B23C000005</v>
      </c>
      <c r="K7548" s="66"/>
      <c r="L7548" s="44"/>
      <c r="M7548" s="64" t="s">
        <v>23086</v>
      </c>
    </row>
    <row r="7549" ht="30" customHeight="1" spans="1:13">
      <c r="A7549" s="41">
        <f>IF(C7549="","",SUBTOTAL(103,$C$2:C7549))</f>
        <v>7540</v>
      </c>
      <c r="B7549" s="67"/>
      <c r="C7549" s="58" t="s">
        <v>20331</v>
      </c>
      <c r="D7549" s="68" t="s">
        <v>23050</v>
      </c>
      <c r="E7549" s="64" t="s">
        <v>66</v>
      </c>
      <c r="F7549" s="68" t="s">
        <v>23083</v>
      </c>
      <c r="G7549" s="64" t="s">
        <v>23087</v>
      </c>
      <c r="H7549" s="68" t="s">
        <v>23088</v>
      </c>
      <c r="I7549" s="64">
        <v>1</v>
      </c>
      <c r="J7549" s="44" t="str">
        <f>VLOOKUP(G7549,[1]硬件清单!$F:$F,1,0)</f>
        <v>210235A2X9B23C000029</v>
      </c>
      <c r="K7549" s="66"/>
      <c r="L7549" s="44" t="s">
        <v>17</v>
      </c>
      <c r="M7549" s="64" t="s">
        <v>23089</v>
      </c>
    </row>
    <row r="7550" ht="30" customHeight="1" spans="1:13">
      <c r="A7550" s="41">
        <f>IF(C7550="","",SUBTOTAL(103,$C$2:C7550))</f>
        <v>7541</v>
      </c>
      <c r="B7550" s="67"/>
      <c r="C7550" s="58" t="s">
        <v>20331</v>
      </c>
      <c r="D7550" s="68" t="s">
        <v>23050</v>
      </c>
      <c r="E7550" s="64" t="s">
        <v>66</v>
      </c>
      <c r="F7550" s="68" t="s">
        <v>23083</v>
      </c>
      <c r="G7550" s="64" t="s">
        <v>23090</v>
      </c>
      <c r="H7550" s="68" t="s">
        <v>23091</v>
      </c>
      <c r="I7550" s="64">
        <v>1</v>
      </c>
      <c r="J7550" s="44" t="str">
        <f>VLOOKUP(G7550,[1]硬件清单!$F:$F,1,0)</f>
        <v>210235A2X9B23B000006</v>
      </c>
      <c r="K7550" s="66"/>
      <c r="L7550" s="44"/>
      <c r="M7550" s="64" t="s">
        <v>23092</v>
      </c>
    </row>
    <row r="7551" ht="30" customHeight="1" spans="1:13">
      <c r="A7551" s="41">
        <f>IF(C7551="","",SUBTOTAL(103,$C$2:C7551))</f>
        <v>7542</v>
      </c>
      <c r="B7551" s="67"/>
      <c r="C7551" s="58" t="s">
        <v>20331</v>
      </c>
      <c r="D7551" s="68" t="s">
        <v>23050</v>
      </c>
      <c r="E7551" s="64" t="s">
        <v>66</v>
      </c>
      <c r="F7551" s="68" t="s">
        <v>23083</v>
      </c>
      <c r="G7551" s="64" t="s">
        <v>23093</v>
      </c>
      <c r="H7551" s="68" t="s">
        <v>23094</v>
      </c>
      <c r="I7551" s="64">
        <v>1</v>
      </c>
      <c r="J7551" s="44" t="str">
        <f>VLOOKUP(G7551,[1]硬件清单!$F:$F,1,0)</f>
        <v>210235A2X9B23C000001</v>
      </c>
      <c r="K7551" s="66"/>
      <c r="L7551" s="44" t="s">
        <v>17</v>
      </c>
      <c r="M7551" s="64" t="s">
        <v>23095</v>
      </c>
    </row>
    <row r="7552" ht="30" customHeight="1" spans="1:13">
      <c r="A7552" s="41">
        <f>IF(C7552="","",SUBTOTAL(103,$C$2:C7552))</f>
        <v>7543</v>
      </c>
      <c r="B7552" s="67"/>
      <c r="C7552" s="58" t="s">
        <v>20331</v>
      </c>
      <c r="D7552" s="68" t="s">
        <v>23050</v>
      </c>
      <c r="E7552" s="64" t="s">
        <v>66</v>
      </c>
      <c r="F7552" s="68" t="s">
        <v>23083</v>
      </c>
      <c r="G7552" s="64" t="s">
        <v>23096</v>
      </c>
      <c r="H7552" s="68" t="s">
        <v>23097</v>
      </c>
      <c r="I7552" s="64">
        <v>1</v>
      </c>
      <c r="J7552" s="44" t="str">
        <f>VLOOKUP(G7552,[1]硬件清单!$F:$F,1,0)</f>
        <v>210235A2X9B23C000026</v>
      </c>
      <c r="K7552" s="66"/>
      <c r="L7552" s="44"/>
      <c r="M7552" s="64" t="s">
        <v>23098</v>
      </c>
    </row>
    <row r="7553" ht="30" customHeight="1" spans="1:13">
      <c r="A7553" s="41">
        <f>IF(C7553="","",SUBTOTAL(103,$C$2:C7553))</f>
        <v>7544</v>
      </c>
      <c r="B7553" s="67"/>
      <c r="C7553" s="58" t="s">
        <v>20331</v>
      </c>
      <c r="D7553" s="68" t="s">
        <v>23050</v>
      </c>
      <c r="E7553" s="64" t="s">
        <v>66</v>
      </c>
      <c r="F7553" s="68" t="s">
        <v>23083</v>
      </c>
      <c r="G7553" s="64" t="s">
        <v>23099</v>
      </c>
      <c r="H7553" s="68" t="s">
        <v>23100</v>
      </c>
      <c r="I7553" s="64">
        <v>1</v>
      </c>
      <c r="J7553" s="44" t="str">
        <f>VLOOKUP(G7553,[1]硬件清单!$F:$F,1,0)</f>
        <v>210235A2X9B23C000032</v>
      </c>
      <c r="K7553" s="66"/>
      <c r="L7553" s="44"/>
      <c r="M7553" s="64" t="s">
        <v>23101</v>
      </c>
    </row>
    <row r="7554" ht="30" customHeight="1" spans="1:13">
      <c r="A7554" s="41">
        <f>IF(C7554="","",SUBTOTAL(103,$C$2:C7554))</f>
        <v>7545</v>
      </c>
      <c r="B7554" s="67"/>
      <c r="C7554" s="58" t="s">
        <v>20331</v>
      </c>
      <c r="D7554" s="68" t="s">
        <v>23050</v>
      </c>
      <c r="E7554" s="64" t="s">
        <v>66</v>
      </c>
      <c r="F7554" s="68" t="s">
        <v>23083</v>
      </c>
      <c r="G7554" s="64" t="s">
        <v>23102</v>
      </c>
      <c r="H7554" s="68" t="s">
        <v>23103</v>
      </c>
      <c r="I7554" s="64">
        <v>1</v>
      </c>
      <c r="J7554" s="44" t="str">
        <f>VLOOKUP(G7554,[1]硬件清单!$F:$F,1,0)</f>
        <v>210235A2X9B23C000007</v>
      </c>
      <c r="K7554" s="66"/>
      <c r="L7554" s="44" t="s">
        <v>17</v>
      </c>
      <c r="M7554" s="64" t="s">
        <v>23104</v>
      </c>
    </row>
    <row r="7555" ht="30" customHeight="1" spans="1:13">
      <c r="A7555" s="41">
        <f>IF(C7555="","",SUBTOTAL(103,$C$2:C7555))</f>
        <v>7546</v>
      </c>
      <c r="B7555" s="67"/>
      <c r="C7555" s="58" t="s">
        <v>20331</v>
      </c>
      <c r="D7555" s="68" t="s">
        <v>23050</v>
      </c>
      <c r="E7555" s="64" t="s">
        <v>66</v>
      </c>
      <c r="F7555" s="68" t="s">
        <v>23083</v>
      </c>
      <c r="G7555" s="64" t="s">
        <v>23105</v>
      </c>
      <c r="H7555" s="68" t="s">
        <v>23106</v>
      </c>
      <c r="I7555" s="64">
        <v>1</v>
      </c>
      <c r="J7555" s="44" t="str">
        <f>VLOOKUP(G7555,[1]硬件清单!$F:$F,1,0)</f>
        <v>210235A2X9B23C000036</v>
      </c>
      <c r="K7555" s="66"/>
      <c r="L7555" s="44"/>
      <c r="M7555" s="64" t="s">
        <v>23107</v>
      </c>
    </row>
    <row r="7556" ht="30" customHeight="1" spans="1:13">
      <c r="A7556" s="41">
        <f>IF(C7556="","",SUBTOTAL(103,$C$2:C7556))</f>
        <v>7547</v>
      </c>
      <c r="B7556" s="67"/>
      <c r="C7556" s="58" t="s">
        <v>20331</v>
      </c>
      <c r="D7556" s="68" t="s">
        <v>23050</v>
      </c>
      <c r="E7556" s="64" t="s">
        <v>66</v>
      </c>
      <c r="F7556" s="68" t="s">
        <v>23083</v>
      </c>
      <c r="G7556" s="64" t="s">
        <v>23108</v>
      </c>
      <c r="H7556" s="68" t="s">
        <v>23109</v>
      </c>
      <c r="I7556" s="64">
        <v>1</v>
      </c>
      <c r="J7556" s="44" t="str">
        <f>VLOOKUP(G7556,[1]硬件清单!$F:$F,1,0)</f>
        <v>210235A2X9B23C000002</v>
      </c>
      <c r="K7556" s="66"/>
      <c r="L7556" s="44"/>
      <c r="M7556" s="64" t="s">
        <v>23110</v>
      </c>
    </row>
    <row r="7557" ht="30" customHeight="1" spans="1:13">
      <c r="A7557" s="41">
        <f>IF(C7557="","",SUBTOTAL(103,$C$2:C7557))</f>
        <v>7548</v>
      </c>
      <c r="B7557" s="67"/>
      <c r="C7557" s="58" t="s">
        <v>20331</v>
      </c>
      <c r="D7557" s="68" t="s">
        <v>23050</v>
      </c>
      <c r="E7557" s="64" t="s">
        <v>66</v>
      </c>
      <c r="F7557" s="68" t="s">
        <v>23083</v>
      </c>
      <c r="G7557" s="64" t="s">
        <v>23111</v>
      </c>
      <c r="H7557" s="68" t="s">
        <v>23112</v>
      </c>
      <c r="I7557" s="64">
        <v>1</v>
      </c>
      <c r="J7557" s="44" t="str">
        <f>VLOOKUP(G7557,[1]硬件清单!$F:$F,1,0)</f>
        <v>210235A2X9B23C000003</v>
      </c>
      <c r="K7557" s="66"/>
      <c r="L7557" s="44"/>
      <c r="M7557" s="64" t="s">
        <v>23113</v>
      </c>
    </row>
    <row r="7558" ht="30" customHeight="1" spans="1:13">
      <c r="A7558" s="41">
        <f>IF(C7558="","",SUBTOTAL(103,$C$2:C7558))</f>
        <v>7549</v>
      </c>
      <c r="B7558" s="67"/>
      <c r="C7558" s="58" t="s">
        <v>20331</v>
      </c>
      <c r="D7558" s="68" t="s">
        <v>23050</v>
      </c>
      <c r="E7558" s="64" t="s">
        <v>66</v>
      </c>
      <c r="F7558" s="68" t="s">
        <v>23083</v>
      </c>
      <c r="G7558" s="64" t="s">
        <v>23114</v>
      </c>
      <c r="H7558" s="68" t="s">
        <v>23115</v>
      </c>
      <c r="I7558" s="64">
        <v>1</v>
      </c>
      <c r="J7558" s="44" t="str">
        <f>VLOOKUP(G7558,[1]硬件清单!$F:$F,1,0)</f>
        <v>210235A2X9B23C000006</v>
      </c>
      <c r="K7558" s="66"/>
      <c r="L7558" s="44" t="s">
        <v>17</v>
      </c>
      <c r="M7558" s="64" t="s">
        <v>23116</v>
      </c>
    </row>
    <row r="7559" ht="30" customHeight="1" spans="1:13">
      <c r="A7559" s="41">
        <f>IF(C7559="","",SUBTOTAL(103,$C$2:C7559))</f>
        <v>7550</v>
      </c>
      <c r="B7559" s="67"/>
      <c r="C7559" s="58" t="s">
        <v>20331</v>
      </c>
      <c r="D7559" s="68" t="s">
        <v>23050</v>
      </c>
      <c r="E7559" s="64" t="s">
        <v>66</v>
      </c>
      <c r="F7559" s="68" t="s">
        <v>23083</v>
      </c>
      <c r="G7559" s="64" t="s">
        <v>23117</v>
      </c>
      <c r="H7559" s="68" t="s">
        <v>23118</v>
      </c>
      <c r="I7559" s="64">
        <v>1</v>
      </c>
      <c r="J7559" s="44" t="str">
        <f>VLOOKUP(G7559,[1]硬件清单!$F:$F,1,0)</f>
        <v>210235A2X9B23B000004</v>
      </c>
      <c r="K7559" s="66"/>
      <c r="L7559" s="44" t="s">
        <v>17</v>
      </c>
      <c r="M7559" s="64" t="s">
        <v>23119</v>
      </c>
    </row>
    <row r="7560" ht="30" customHeight="1" spans="1:13">
      <c r="A7560" s="41">
        <f>IF(C7560="","",SUBTOTAL(103,$C$2:C7560))</f>
        <v>7551</v>
      </c>
      <c r="B7560" s="67"/>
      <c r="C7560" s="58" t="s">
        <v>20331</v>
      </c>
      <c r="D7560" s="68" t="s">
        <v>23050</v>
      </c>
      <c r="E7560" s="64" t="s">
        <v>66</v>
      </c>
      <c r="F7560" s="68" t="s">
        <v>23083</v>
      </c>
      <c r="G7560" s="64" t="s">
        <v>23120</v>
      </c>
      <c r="H7560" s="68" t="s">
        <v>23121</v>
      </c>
      <c r="I7560" s="64">
        <v>1</v>
      </c>
      <c r="J7560" s="44" t="str">
        <f>VLOOKUP(G7560,[1]硬件清单!$F:$F,1,0)</f>
        <v>210235A2X9B23C000013</v>
      </c>
      <c r="K7560" s="66"/>
      <c r="L7560" s="44" t="s">
        <v>17</v>
      </c>
      <c r="M7560" s="64" t="s">
        <v>23122</v>
      </c>
    </row>
    <row r="7561" ht="30" customHeight="1" spans="1:13">
      <c r="A7561" s="41">
        <f>IF(C7561="","",SUBTOTAL(103,$C$2:C7561))</f>
        <v>7552</v>
      </c>
      <c r="B7561" s="67"/>
      <c r="C7561" s="58" t="s">
        <v>20331</v>
      </c>
      <c r="D7561" s="68" t="s">
        <v>23050</v>
      </c>
      <c r="E7561" s="64" t="s">
        <v>66</v>
      </c>
      <c r="F7561" s="68" t="s">
        <v>23083</v>
      </c>
      <c r="G7561" s="64" t="s">
        <v>23123</v>
      </c>
      <c r="H7561" s="68" t="s">
        <v>23124</v>
      </c>
      <c r="I7561" s="64">
        <v>1</v>
      </c>
      <c r="J7561" s="44" t="str">
        <f>VLOOKUP(G7561,[1]硬件清单!$F:$F,1,0)</f>
        <v>210235A2X9B23C000031</v>
      </c>
      <c r="K7561" s="66"/>
      <c r="L7561" s="44" t="s">
        <v>17</v>
      </c>
      <c r="M7561" s="64" t="s">
        <v>23125</v>
      </c>
    </row>
    <row r="7562" ht="30" customHeight="1" spans="1:13">
      <c r="A7562" s="41">
        <f>IF(C7562="","",SUBTOTAL(103,$C$2:C7562))</f>
        <v>7553</v>
      </c>
      <c r="B7562" s="67"/>
      <c r="C7562" s="58" t="s">
        <v>20331</v>
      </c>
      <c r="D7562" s="68" t="s">
        <v>23050</v>
      </c>
      <c r="E7562" s="64" t="s">
        <v>66</v>
      </c>
      <c r="F7562" s="68" t="s">
        <v>23126</v>
      </c>
      <c r="G7562" s="64" t="s">
        <v>23127</v>
      </c>
      <c r="H7562" s="68" t="s">
        <v>23128</v>
      </c>
      <c r="I7562" s="64">
        <v>1</v>
      </c>
      <c r="J7562" s="44" t="str">
        <f>VLOOKUP(G7562,[1]硬件清单!$F:$F,1,0)</f>
        <v>210235A2Y0X2410C701H</v>
      </c>
      <c r="K7562" s="66"/>
      <c r="L7562" s="44" t="s">
        <v>17</v>
      </c>
      <c r="M7562" s="64" t="s">
        <v>23129</v>
      </c>
    </row>
    <row r="7563" ht="30" customHeight="1" spans="1:13">
      <c r="A7563" s="41">
        <f>IF(C7563="","",SUBTOTAL(103,$C$2:C7563))</f>
        <v>7554</v>
      </c>
      <c r="B7563" s="67"/>
      <c r="C7563" s="58" t="s">
        <v>20331</v>
      </c>
      <c r="D7563" s="68" t="s">
        <v>23050</v>
      </c>
      <c r="E7563" s="64" t="s">
        <v>66</v>
      </c>
      <c r="F7563" s="68" t="s">
        <v>23126</v>
      </c>
      <c r="G7563" s="64" t="s">
        <v>23130</v>
      </c>
      <c r="H7563" s="68" t="s">
        <v>23131</v>
      </c>
      <c r="I7563" s="64">
        <v>1</v>
      </c>
      <c r="J7563" s="44" t="str">
        <f>VLOOKUP(G7563,[1]硬件清单!$F:$F,1,0)</f>
        <v>210235A2Y0X2410C700X</v>
      </c>
      <c r="K7563" s="66"/>
      <c r="L7563" s="44"/>
      <c r="M7563" s="64" t="s">
        <v>23132</v>
      </c>
    </row>
    <row r="7564" ht="30" customHeight="1" spans="1:13">
      <c r="A7564" s="41">
        <f>IF(C7564="","",SUBTOTAL(103,$C$2:C7564))</f>
        <v>7555</v>
      </c>
      <c r="B7564" s="67"/>
      <c r="C7564" s="58" t="s">
        <v>20331</v>
      </c>
      <c r="D7564" s="68" t="s">
        <v>23050</v>
      </c>
      <c r="E7564" s="64" t="s">
        <v>66</v>
      </c>
      <c r="F7564" s="68" t="s">
        <v>23126</v>
      </c>
      <c r="G7564" s="64" t="s">
        <v>23133</v>
      </c>
      <c r="H7564" s="68" t="s">
        <v>23134</v>
      </c>
      <c r="I7564" s="64">
        <v>1</v>
      </c>
      <c r="J7564" s="44" t="str">
        <f>VLOOKUP(G7564,[1]硬件清单!$F:$F,1,0)</f>
        <v>210235A2Y0X2410C7001</v>
      </c>
      <c r="K7564" s="66"/>
      <c r="L7564" s="44" t="s">
        <v>17</v>
      </c>
      <c r="M7564" s="64" t="s">
        <v>23135</v>
      </c>
    </row>
    <row r="7565" ht="30" customHeight="1" spans="1:13">
      <c r="A7565" s="41">
        <f>IF(C7565="","",SUBTOTAL(103,$C$2:C7565))</f>
        <v>7556</v>
      </c>
      <c r="B7565" s="67"/>
      <c r="C7565" s="58" t="s">
        <v>20331</v>
      </c>
      <c r="D7565" s="68" t="s">
        <v>23050</v>
      </c>
      <c r="E7565" s="64" t="s">
        <v>66</v>
      </c>
      <c r="F7565" s="68" t="s">
        <v>23126</v>
      </c>
      <c r="G7565" s="64" t="s">
        <v>23136</v>
      </c>
      <c r="H7565" s="68" t="s">
        <v>23137</v>
      </c>
      <c r="I7565" s="64">
        <v>1</v>
      </c>
      <c r="J7565" s="44" t="str">
        <f>VLOOKUP(G7565,[1]硬件清单!$F:$F,1,0)</f>
        <v>210235A2Y0X22B0C7007</v>
      </c>
      <c r="K7565" s="66"/>
      <c r="L7565" s="44"/>
      <c r="M7565" s="64" t="s">
        <v>23138</v>
      </c>
    </row>
    <row r="7566" ht="30" customHeight="1" spans="1:13">
      <c r="A7566" s="41">
        <f>IF(C7566="","",SUBTOTAL(103,$C$2:C7566))</f>
        <v>7557</v>
      </c>
      <c r="B7566" s="67"/>
      <c r="C7566" s="58" t="s">
        <v>20331</v>
      </c>
      <c r="D7566" s="68" t="s">
        <v>23050</v>
      </c>
      <c r="E7566" s="64" t="s">
        <v>66</v>
      </c>
      <c r="F7566" s="68" t="s">
        <v>23126</v>
      </c>
      <c r="G7566" s="64" t="s">
        <v>23139</v>
      </c>
      <c r="H7566" s="68" t="s">
        <v>23140</v>
      </c>
      <c r="I7566" s="64">
        <v>1</v>
      </c>
      <c r="J7566" s="44" t="str">
        <f>VLOOKUP(G7566,[1]硬件清单!$F:$F,1,0)</f>
        <v>210235A2Y0X2410C700B</v>
      </c>
      <c r="K7566" s="66"/>
      <c r="L7566" s="44" t="s">
        <v>17</v>
      </c>
      <c r="M7566" s="64" t="s">
        <v>23141</v>
      </c>
    </row>
    <row r="7567" ht="30" customHeight="1" spans="1:13">
      <c r="A7567" s="41">
        <f>IF(C7567="","",SUBTOTAL(103,$C$2:C7567))</f>
        <v>7558</v>
      </c>
      <c r="B7567" s="67"/>
      <c r="C7567" s="58" t="s">
        <v>20331</v>
      </c>
      <c r="D7567" s="68" t="s">
        <v>23050</v>
      </c>
      <c r="E7567" s="64" t="s">
        <v>66</v>
      </c>
      <c r="F7567" s="68" t="s">
        <v>23126</v>
      </c>
      <c r="G7567" s="64" t="s">
        <v>23142</v>
      </c>
      <c r="H7567" s="68" t="s">
        <v>23143</v>
      </c>
      <c r="I7567" s="64">
        <v>1</v>
      </c>
      <c r="J7567" s="44" t="str">
        <f>VLOOKUP(G7567,[1]硬件清单!$F:$F,1,0)</f>
        <v>210235A2Y0X2250P000G</v>
      </c>
      <c r="K7567" s="66"/>
      <c r="L7567" s="44" t="s">
        <v>17</v>
      </c>
      <c r="M7567" s="64" t="s">
        <v>23144</v>
      </c>
    </row>
    <row r="7568" ht="30" customHeight="1" spans="1:13">
      <c r="A7568" s="41">
        <f>IF(C7568="","",SUBTOTAL(103,$C$2:C7568))</f>
        <v>7559</v>
      </c>
      <c r="B7568" s="67"/>
      <c r="C7568" s="58" t="s">
        <v>20331</v>
      </c>
      <c r="D7568" s="68" t="s">
        <v>23050</v>
      </c>
      <c r="E7568" s="64" t="s">
        <v>66</v>
      </c>
      <c r="F7568" s="68" t="s">
        <v>23126</v>
      </c>
      <c r="G7568" s="64" t="s">
        <v>23145</v>
      </c>
      <c r="H7568" s="68" t="s">
        <v>23146</v>
      </c>
      <c r="I7568" s="64">
        <v>1</v>
      </c>
      <c r="J7568" s="44" t="str">
        <f>VLOOKUP(G7568,[1]硬件清单!$F:$F,1,0)</f>
        <v>210235A2Y0X2410C701B</v>
      </c>
      <c r="K7568" s="66"/>
      <c r="L7568" s="44"/>
      <c r="M7568" s="64" t="s">
        <v>23147</v>
      </c>
    </row>
    <row r="7569" ht="30" customHeight="1" spans="1:13">
      <c r="A7569" s="41">
        <f>IF(C7569="","",SUBTOTAL(103,$C$2:C7569))</f>
        <v>7560</v>
      </c>
      <c r="B7569" s="67"/>
      <c r="C7569" s="58" t="s">
        <v>20331</v>
      </c>
      <c r="D7569" s="68" t="s">
        <v>23050</v>
      </c>
      <c r="E7569" s="64" t="s">
        <v>66</v>
      </c>
      <c r="F7569" s="68" t="s">
        <v>23126</v>
      </c>
      <c r="G7569" s="64" t="s">
        <v>23148</v>
      </c>
      <c r="H7569" s="68" t="s">
        <v>23149</v>
      </c>
      <c r="I7569" s="64">
        <v>1</v>
      </c>
      <c r="J7569" s="44" t="str">
        <f>VLOOKUP(G7569,[1]硬件清单!$F:$F,1,0)</f>
        <v>210235A2Y0X23A0C700P</v>
      </c>
      <c r="K7569" s="66"/>
      <c r="L7569" s="44"/>
      <c r="M7569" s="64" t="s">
        <v>23150</v>
      </c>
    </row>
    <row r="7570" ht="30" customHeight="1" spans="1:13">
      <c r="A7570" s="41">
        <f>IF(C7570="","",SUBTOTAL(103,$C$2:C7570))</f>
        <v>7561</v>
      </c>
      <c r="B7570" s="67"/>
      <c r="C7570" s="58" t="s">
        <v>20331</v>
      </c>
      <c r="D7570" s="68" t="s">
        <v>23050</v>
      </c>
      <c r="E7570" s="64" t="s">
        <v>66</v>
      </c>
      <c r="F7570" s="68" t="s">
        <v>23151</v>
      </c>
      <c r="G7570" s="64" t="s">
        <v>23152</v>
      </c>
      <c r="H7570" s="68" t="s">
        <v>23153</v>
      </c>
      <c r="I7570" s="64">
        <v>1</v>
      </c>
      <c r="J7570" s="44" t="str">
        <f>VLOOKUP(G7570,[1]硬件清单!$F:$F,1,0)</f>
        <v>1023CB525752</v>
      </c>
      <c r="K7570" s="66"/>
      <c r="L7570" s="44"/>
      <c r="M7570" s="64" t="s">
        <v>23154</v>
      </c>
    </row>
    <row r="7571" ht="30" customHeight="1" spans="1:13">
      <c r="A7571" s="41">
        <f>IF(C7571="","",SUBTOTAL(103,$C$2:C7571))</f>
        <v>7562</v>
      </c>
      <c r="B7571" s="67"/>
      <c r="C7571" s="58" t="s">
        <v>20331</v>
      </c>
      <c r="D7571" s="68" t="s">
        <v>23050</v>
      </c>
      <c r="E7571" s="64" t="s">
        <v>66</v>
      </c>
      <c r="F7571" s="68" t="s">
        <v>23151</v>
      </c>
      <c r="G7571" s="64" t="s">
        <v>23155</v>
      </c>
      <c r="H7571" s="68" t="s">
        <v>23156</v>
      </c>
      <c r="I7571" s="64">
        <v>1</v>
      </c>
      <c r="J7571" s="44" t="str">
        <f>VLOOKUP(G7571,[1]硬件清单!$F:$F,1,0)</f>
        <v>1023CB525753</v>
      </c>
      <c r="K7571" s="66"/>
      <c r="L7571" s="44" t="s">
        <v>17</v>
      </c>
      <c r="M7571" s="64" t="s">
        <v>23157</v>
      </c>
    </row>
    <row r="7572" ht="30" customHeight="1" spans="1:13">
      <c r="A7572" s="41">
        <f>IF(C7572="","",SUBTOTAL(103,$C$2:C7572))</f>
        <v>7563</v>
      </c>
      <c r="B7572" s="67"/>
      <c r="C7572" s="58" t="s">
        <v>20331</v>
      </c>
      <c r="D7572" s="68" t="s">
        <v>23050</v>
      </c>
      <c r="E7572" s="64" t="s">
        <v>66</v>
      </c>
      <c r="F7572" s="68" t="s">
        <v>23151</v>
      </c>
      <c r="G7572" s="64" t="s">
        <v>23158</v>
      </c>
      <c r="H7572" s="68" t="s">
        <v>23159</v>
      </c>
      <c r="I7572" s="64">
        <v>1</v>
      </c>
      <c r="J7572" s="44" t="str">
        <f>VLOOKUP(G7572,[1]硬件清单!$F:$F,1,0)</f>
        <v>1023CB525755</v>
      </c>
      <c r="K7572" s="66"/>
      <c r="L7572" s="44"/>
      <c r="M7572" s="64" t="s">
        <v>23160</v>
      </c>
    </row>
    <row r="7573" ht="30" customHeight="1" spans="1:13">
      <c r="A7573" s="41">
        <f>IF(C7573="","",SUBTOTAL(103,$C$2:C7573))</f>
        <v>7564</v>
      </c>
      <c r="B7573" s="67"/>
      <c r="C7573" s="58" t="s">
        <v>20331</v>
      </c>
      <c r="D7573" s="68" t="s">
        <v>23050</v>
      </c>
      <c r="E7573" s="64" t="s">
        <v>66</v>
      </c>
      <c r="F7573" s="68" t="s">
        <v>23151</v>
      </c>
      <c r="G7573" s="64" t="s">
        <v>23161</v>
      </c>
      <c r="H7573" s="68" t="s">
        <v>23162</v>
      </c>
      <c r="I7573" s="64">
        <v>1</v>
      </c>
      <c r="J7573" s="44" t="str">
        <f>VLOOKUP(G7573,[1]硬件清单!$F:$F,1,0)</f>
        <v>1023CB525754</v>
      </c>
      <c r="K7573" s="66"/>
      <c r="L7573" s="44" t="s">
        <v>17</v>
      </c>
      <c r="M7573" s="64" t="s">
        <v>23163</v>
      </c>
    </row>
    <row r="7574" ht="30" customHeight="1" spans="1:13">
      <c r="A7574" s="41">
        <f>IF(C7574="","",SUBTOTAL(103,$C$2:C7574))</f>
        <v>7565</v>
      </c>
      <c r="B7574" s="67"/>
      <c r="C7574" s="58" t="s">
        <v>20331</v>
      </c>
      <c r="D7574" s="68" t="s">
        <v>23050</v>
      </c>
      <c r="E7574" s="64" t="s">
        <v>66</v>
      </c>
      <c r="F7574" s="68" t="s">
        <v>23164</v>
      </c>
      <c r="G7574" s="64" t="s">
        <v>23165</v>
      </c>
      <c r="H7574" s="68" t="s">
        <v>23166</v>
      </c>
      <c r="I7574" s="64">
        <v>1</v>
      </c>
      <c r="J7574" s="44" t="str">
        <f>VLOOKUP(G7574,[1]硬件清单!$F:$F,1,0)</f>
        <v>1023CB515359</v>
      </c>
      <c r="K7574" s="66"/>
      <c r="L7574" s="44"/>
      <c r="M7574" s="64" t="s">
        <v>23167</v>
      </c>
    </row>
    <row r="7575" ht="30" customHeight="1" spans="1:13">
      <c r="A7575" s="41">
        <f>IF(C7575="","",SUBTOTAL(103,$C$2:C7575))</f>
        <v>7566</v>
      </c>
      <c r="B7575" s="67"/>
      <c r="C7575" s="58" t="s">
        <v>20331</v>
      </c>
      <c r="D7575" s="68" t="s">
        <v>23050</v>
      </c>
      <c r="E7575" s="64" t="s">
        <v>66</v>
      </c>
      <c r="F7575" s="68" t="s">
        <v>23164</v>
      </c>
      <c r="G7575" s="64" t="s">
        <v>23168</v>
      </c>
      <c r="H7575" s="68" t="s">
        <v>23169</v>
      </c>
      <c r="I7575" s="64">
        <v>1</v>
      </c>
      <c r="J7575" s="44" t="str">
        <f>VLOOKUP(G7575,[1]硬件清单!$F:$F,1,0)</f>
        <v>102265368023</v>
      </c>
      <c r="K7575" s="66"/>
      <c r="L7575" s="44" t="s">
        <v>17</v>
      </c>
      <c r="M7575" s="64" t="s">
        <v>23170</v>
      </c>
    </row>
    <row r="7576" ht="30" customHeight="1" spans="1:13">
      <c r="A7576" s="41">
        <f>IF(C7576="","",SUBTOTAL(103,$C$2:C7576))</f>
        <v>7567</v>
      </c>
      <c r="B7576" s="67"/>
      <c r="C7576" s="58" t="s">
        <v>20331</v>
      </c>
      <c r="D7576" s="68" t="s">
        <v>23050</v>
      </c>
      <c r="E7576" s="64" t="s">
        <v>66</v>
      </c>
      <c r="F7576" s="68" t="s">
        <v>23164</v>
      </c>
      <c r="G7576" s="64" t="s">
        <v>23171</v>
      </c>
      <c r="H7576" s="68" t="s">
        <v>23172</v>
      </c>
      <c r="I7576" s="64">
        <v>1</v>
      </c>
      <c r="J7576" s="44" t="str">
        <f>VLOOKUP(G7576,[1]硬件清单!$F:$F,1,0)</f>
        <v>1023CB515365</v>
      </c>
      <c r="K7576" s="66"/>
      <c r="L7576" s="44" t="s">
        <v>17</v>
      </c>
      <c r="M7576" s="64" t="s">
        <v>23173</v>
      </c>
    </row>
    <row r="7577" ht="30" customHeight="1" spans="1:13">
      <c r="A7577" s="41">
        <f>IF(C7577="","",SUBTOTAL(103,$C$2:C7577))</f>
        <v>7568</v>
      </c>
      <c r="B7577" s="67"/>
      <c r="C7577" s="58" t="s">
        <v>20331</v>
      </c>
      <c r="D7577" s="68" t="s">
        <v>23050</v>
      </c>
      <c r="E7577" s="64" t="s">
        <v>66</v>
      </c>
      <c r="F7577" s="68" t="s">
        <v>23164</v>
      </c>
      <c r="G7577" s="64" t="s">
        <v>23174</v>
      </c>
      <c r="H7577" s="68" t="s">
        <v>23175</v>
      </c>
      <c r="I7577" s="64">
        <v>1</v>
      </c>
      <c r="J7577" s="44" t="str">
        <f>VLOOKUP(G7577,[1]硬件清单!$F:$F,1,0)</f>
        <v>1023CB515388</v>
      </c>
      <c r="K7577" s="66"/>
      <c r="L7577" s="44" t="s">
        <v>17</v>
      </c>
      <c r="M7577" s="64" t="s">
        <v>23176</v>
      </c>
    </row>
    <row r="7578" ht="30" customHeight="1" spans="1:13">
      <c r="A7578" s="41">
        <f>IF(C7578="","",SUBTOTAL(103,$C$2:C7578))</f>
        <v>7569</v>
      </c>
      <c r="B7578" s="67"/>
      <c r="C7578" s="58" t="s">
        <v>20331</v>
      </c>
      <c r="D7578" s="68" t="s">
        <v>23050</v>
      </c>
      <c r="E7578" s="64" t="s">
        <v>66</v>
      </c>
      <c r="F7578" s="68" t="s">
        <v>23164</v>
      </c>
      <c r="G7578" s="64" t="s">
        <v>23177</v>
      </c>
      <c r="H7578" s="68" t="s">
        <v>23178</v>
      </c>
      <c r="I7578" s="64">
        <v>1</v>
      </c>
      <c r="J7578" s="44" t="str">
        <f>VLOOKUP(G7578,[1]硬件清单!$F:$F,1,0)</f>
        <v>1023CB515361</v>
      </c>
      <c r="K7578" s="66"/>
      <c r="L7578" s="44" t="s">
        <v>17</v>
      </c>
      <c r="M7578" s="64" t="s">
        <v>23179</v>
      </c>
    </row>
    <row r="7579" ht="30" customHeight="1" spans="1:13">
      <c r="A7579" s="41">
        <f>IF(C7579="","",SUBTOTAL(103,$C$2:C7579))</f>
        <v>7570</v>
      </c>
      <c r="B7579" s="67"/>
      <c r="C7579" s="58" t="s">
        <v>20331</v>
      </c>
      <c r="D7579" s="68" t="s">
        <v>23050</v>
      </c>
      <c r="E7579" s="64" t="s">
        <v>66</v>
      </c>
      <c r="F7579" s="68" t="s">
        <v>23164</v>
      </c>
      <c r="G7579" s="64" t="s">
        <v>23180</v>
      </c>
      <c r="H7579" s="68" t="s">
        <v>23181</v>
      </c>
      <c r="I7579" s="64">
        <v>1</v>
      </c>
      <c r="J7579" s="44" t="str">
        <f>VLOOKUP(G7579,[1]硬件清单!$F:$F,1,0)</f>
        <v>1023CB515387</v>
      </c>
      <c r="K7579" s="66"/>
      <c r="L7579" s="44"/>
      <c r="M7579" s="64" t="s">
        <v>23182</v>
      </c>
    </row>
    <row r="7580" ht="30" customHeight="1" spans="1:13">
      <c r="A7580" s="41">
        <f>IF(C7580="","",SUBTOTAL(103,$C$2:C7580))</f>
        <v>7571</v>
      </c>
      <c r="B7580" s="67"/>
      <c r="C7580" s="58" t="s">
        <v>20331</v>
      </c>
      <c r="D7580" s="68" t="s">
        <v>23050</v>
      </c>
      <c r="E7580" s="64" t="s">
        <v>66</v>
      </c>
      <c r="F7580" s="68" t="s">
        <v>23164</v>
      </c>
      <c r="G7580" s="64" t="s">
        <v>23183</v>
      </c>
      <c r="H7580" s="68" t="s">
        <v>23184</v>
      </c>
      <c r="I7580" s="64">
        <v>1</v>
      </c>
      <c r="J7580" s="44" t="str">
        <f>VLOOKUP(G7580,[1]硬件清单!$F:$F,1,0)</f>
        <v>102265368018</v>
      </c>
      <c r="K7580" s="66"/>
      <c r="L7580" s="44" t="s">
        <v>17</v>
      </c>
      <c r="M7580" s="64" t="s">
        <v>23185</v>
      </c>
    </row>
    <row r="7581" ht="30" customHeight="1" spans="1:13">
      <c r="A7581" s="41">
        <f>IF(C7581="","",SUBTOTAL(103,$C$2:C7581))</f>
        <v>7572</v>
      </c>
      <c r="B7581" s="67"/>
      <c r="C7581" s="58" t="s">
        <v>20331</v>
      </c>
      <c r="D7581" s="68" t="s">
        <v>23050</v>
      </c>
      <c r="E7581" s="64" t="s">
        <v>66</v>
      </c>
      <c r="F7581" s="68" t="s">
        <v>23164</v>
      </c>
      <c r="G7581" s="64" t="s">
        <v>23186</v>
      </c>
      <c r="H7581" s="68" t="s">
        <v>23187</v>
      </c>
      <c r="I7581" s="64">
        <v>1</v>
      </c>
      <c r="J7581" s="44" t="str">
        <f>VLOOKUP(G7581,[1]硬件清单!$F:$F,1,0)</f>
        <v>1023CB515363</v>
      </c>
      <c r="K7581" s="66"/>
      <c r="L7581" s="44"/>
      <c r="M7581" s="64" t="s">
        <v>23188</v>
      </c>
    </row>
    <row r="7582" ht="30" customHeight="1" spans="1:13">
      <c r="A7582" s="41">
        <f>IF(C7582="","",SUBTOTAL(103,$C$2:C7582))</f>
        <v>7573</v>
      </c>
      <c r="B7582" s="67"/>
      <c r="C7582" s="58" t="s">
        <v>20331</v>
      </c>
      <c r="D7582" s="68" t="s">
        <v>23050</v>
      </c>
      <c r="E7582" s="64" t="s">
        <v>66</v>
      </c>
      <c r="F7582" s="68" t="s">
        <v>23164</v>
      </c>
      <c r="G7582" s="64" t="s">
        <v>23189</v>
      </c>
      <c r="H7582" s="68" t="s">
        <v>23190</v>
      </c>
      <c r="I7582" s="64">
        <v>1</v>
      </c>
      <c r="J7582" s="44" t="str">
        <f>VLOOKUP(G7582,[1]硬件清单!$F:$F,1,0)</f>
        <v>1023CB515357</v>
      </c>
      <c r="K7582" s="66"/>
      <c r="L7582" s="44"/>
      <c r="M7582" s="64" t="s">
        <v>23191</v>
      </c>
    </row>
    <row r="7583" ht="30" customHeight="1" spans="1:13">
      <c r="A7583" s="41">
        <f>IF(C7583="","",SUBTOTAL(103,$C$2:C7583))</f>
        <v>7574</v>
      </c>
      <c r="B7583" s="67"/>
      <c r="C7583" s="58" t="s">
        <v>20331</v>
      </c>
      <c r="D7583" s="68" t="s">
        <v>23050</v>
      </c>
      <c r="E7583" s="64" t="s">
        <v>66</v>
      </c>
      <c r="F7583" s="68" t="s">
        <v>23164</v>
      </c>
      <c r="G7583" s="64" t="s">
        <v>23192</v>
      </c>
      <c r="H7583" s="68" t="s">
        <v>23193</v>
      </c>
      <c r="I7583" s="64">
        <v>1</v>
      </c>
      <c r="J7583" s="44" t="str">
        <f>VLOOKUP(G7583,[1]硬件清单!$F:$F,1,0)</f>
        <v>1023CB515394</v>
      </c>
      <c r="K7583" s="66"/>
      <c r="L7583" s="44" t="s">
        <v>17</v>
      </c>
      <c r="M7583" s="64" t="s">
        <v>23194</v>
      </c>
    </row>
    <row r="7584" ht="30" customHeight="1" spans="1:13">
      <c r="A7584" s="41">
        <f>IF(C7584="","",SUBTOTAL(103,$C$2:C7584))</f>
        <v>7575</v>
      </c>
      <c r="B7584" s="67"/>
      <c r="C7584" s="58" t="s">
        <v>20331</v>
      </c>
      <c r="D7584" s="68" t="s">
        <v>23050</v>
      </c>
      <c r="E7584" s="64" t="s">
        <v>66</v>
      </c>
      <c r="F7584" s="68" t="s">
        <v>23164</v>
      </c>
      <c r="G7584" s="64" t="s">
        <v>23195</v>
      </c>
      <c r="H7584" s="68" t="s">
        <v>23196</v>
      </c>
      <c r="I7584" s="64">
        <v>1</v>
      </c>
      <c r="J7584" s="44" t="str">
        <f>VLOOKUP(G7584,[1]硬件清单!$F:$F,1,0)</f>
        <v>1023CB515367</v>
      </c>
      <c r="K7584" s="66"/>
      <c r="L7584" s="44" t="s">
        <v>17</v>
      </c>
      <c r="M7584" s="64" t="s">
        <v>23197</v>
      </c>
    </row>
    <row r="7585" ht="30" customHeight="1" spans="1:13">
      <c r="A7585" s="41">
        <f>IF(C7585="","",SUBTOTAL(103,$C$2:C7585))</f>
        <v>7576</v>
      </c>
      <c r="B7585" s="67"/>
      <c r="C7585" s="58" t="s">
        <v>20331</v>
      </c>
      <c r="D7585" s="68" t="s">
        <v>23050</v>
      </c>
      <c r="E7585" s="64" t="s">
        <v>66</v>
      </c>
      <c r="F7585" s="68" t="s">
        <v>23164</v>
      </c>
      <c r="G7585" s="64" t="s">
        <v>23198</v>
      </c>
      <c r="H7585" s="68" t="s">
        <v>23199</v>
      </c>
      <c r="I7585" s="64">
        <v>1</v>
      </c>
      <c r="J7585" s="44" t="str">
        <f>VLOOKUP(G7585,[1]硬件清单!$F:$F,1,0)</f>
        <v>1023CB515369</v>
      </c>
      <c r="K7585" s="66"/>
      <c r="L7585" s="44"/>
      <c r="M7585" s="64" t="s">
        <v>23200</v>
      </c>
    </row>
    <row r="7586" ht="30" customHeight="1" spans="1:13">
      <c r="A7586" s="41">
        <f>IF(C7586="","",SUBTOTAL(103,$C$2:C7586))</f>
        <v>7577</v>
      </c>
      <c r="B7586" s="67"/>
      <c r="C7586" s="58" t="s">
        <v>20331</v>
      </c>
      <c r="D7586" s="68" t="s">
        <v>23050</v>
      </c>
      <c r="E7586" s="64" t="s">
        <v>66</v>
      </c>
      <c r="F7586" s="68" t="s">
        <v>23164</v>
      </c>
      <c r="G7586" s="64" t="s">
        <v>23201</v>
      </c>
      <c r="H7586" s="68" t="s">
        <v>23202</v>
      </c>
      <c r="I7586" s="64">
        <v>1</v>
      </c>
      <c r="J7586" s="44" t="str">
        <f>VLOOKUP(G7586,[1]硬件清单!$F:$F,1,0)</f>
        <v>1023CB515382</v>
      </c>
      <c r="K7586" s="66"/>
      <c r="L7586" s="44" t="s">
        <v>17</v>
      </c>
      <c r="M7586" s="64" t="s">
        <v>23203</v>
      </c>
    </row>
    <row r="7587" ht="30" customHeight="1" spans="1:13">
      <c r="A7587" s="41">
        <f>IF(C7587="","",SUBTOTAL(103,$C$2:C7587))</f>
        <v>7578</v>
      </c>
      <c r="B7587" s="67"/>
      <c r="C7587" s="58" t="s">
        <v>20331</v>
      </c>
      <c r="D7587" s="68" t="s">
        <v>23050</v>
      </c>
      <c r="E7587" s="64" t="s">
        <v>66</v>
      </c>
      <c r="F7587" s="68" t="s">
        <v>23164</v>
      </c>
      <c r="G7587" s="64" t="s">
        <v>23204</v>
      </c>
      <c r="H7587" s="68" t="s">
        <v>23205</v>
      </c>
      <c r="I7587" s="64">
        <v>1</v>
      </c>
      <c r="J7587" s="44" t="str">
        <f>VLOOKUP(G7587,[1]硬件清单!$F:$F,1,0)</f>
        <v>1023CB515354</v>
      </c>
      <c r="K7587" s="66"/>
      <c r="L7587" s="44" t="s">
        <v>17</v>
      </c>
      <c r="M7587" s="64" t="s">
        <v>23206</v>
      </c>
    </row>
    <row r="7588" ht="30" customHeight="1" spans="1:13">
      <c r="A7588" s="41">
        <f>IF(C7588="","",SUBTOTAL(103,$C$2:C7588))</f>
        <v>7579</v>
      </c>
      <c r="B7588" s="67"/>
      <c r="C7588" s="58" t="s">
        <v>20331</v>
      </c>
      <c r="D7588" s="68" t="s">
        <v>23050</v>
      </c>
      <c r="E7588" s="64" t="s">
        <v>66</v>
      </c>
      <c r="F7588" s="68" t="s">
        <v>23164</v>
      </c>
      <c r="G7588" s="64" t="s">
        <v>23207</v>
      </c>
      <c r="H7588" s="68" t="s">
        <v>23208</v>
      </c>
      <c r="I7588" s="64">
        <v>1</v>
      </c>
      <c r="J7588" s="44" t="str">
        <f>VLOOKUP(G7588,[1]硬件清单!$F:$F,1,0)</f>
        <v>1023CB515362</v>
      </c>
      <c r="K7588" s="66"/>
      <c r="L7588" s="44"/>
      <c r="M7588" s="64" t="s">
        <v>23209</v>
      </c>
    </row>
    <row r="7589" ht="30" customHeight="1" spans="1:13">
      <c r="A7589" s="41">
        <f>IF(C7589="","",SUBTOTAL(103,$C$2:C7589))</f>
        <v>7580</v>
      </c>
      <c r="B7589" s="67"/>
      <c r="C7589" s="58" t="s">
        <v>20331</v>
      </c>
      <c r="D7589" s="68" t="s">
        <v>23050</v>
      </c>
      <c r="E7589" s="64" t="s">
        <v>66</v>
      </c>
      <c r="F7589" s="68" t="s">
        <v>23164</v>
      </c>
      <c r="G7589" s="64" t="s">
        <v>23210</v>
      </c>
      <c r="H7589" s="68" t="s">
        <v>23211</v>
      </c>
      <c r="I7589" s="64">
        <v>1</v>
      </c>
      <c r="J7589" s="44" t="str">
        <f>VLOOKUP(G7589,[1]硬件清单!$F:$F,1,0)</f>
        <v>1023CB515372</v>
      </c>
      <c r="K7589" s="66"/>
      <c r="L7589" s="44"/>
      <c r="M7589" s="64" t="s">
        <v>23212</v>
      </c>
    </row>
    <row r="7590" ht="30" customHeight="1" spans="1:13">
      <c r="A7590" s="41">
        <f>IF(C7590="","",SUBTOTAL(103,$C$2:C7590))</f>
        <v>7581</v>
      </c>
      <c r="B7590" s="67"/>
      <c r="C7590" s="58" t="s">
        <v>20331</v>
      </c>
      <c r="D7590" s="68" t="s">
        <v>23050</v>
      </c>
      <c r="E7590" s="64" t="s">
        <v>66</v>
      </c>
      <c r="F7590" s="68" t="s">
        <v>23164</v>
      </c>
      <c r="G7590" s="64" t="s">
        <v>23213</v>
      </c>
      <c r="H7590" s="68" t="s">
        <v>23214</v>
      </c>
      <c r="I7590" s="64">
        <v>1</v>
      </c>
      <c r="J7590" s="44" t="str">
        <f>VLOOKUP(G7590,[1]硬件清单!$F:$F,1,0)</f>
        <v>1023CB515385</v>
      </c>
      <c r="K7590" s="66"/>
      <c r="L7590" s="44" t="s">
        <v>17</v>
      </c>
      <c r="M7590" s="64" t="s">
        <v>23215</v>
      </c>
    </row>
    <row r="7591" ht="30" customHeight="1" spans="1:13">
      <c r="A7591" s="41">
        <f>IF(C7591="","",SUBTOTAL(103,$C$2:C7591))</f>
        <v>7582</v>
      </c>
      <c r="B7591" s="67"/>
      <c r="C7591" s="58" t="s">
        <v>20331</v>
      </c>
      <c r="D7591" s="68" t="s">
        <v>23050</v>
      </c>
      <c r="E7591" s="64" t="s">
        <v>66</v>
      </c>
      <c r="F7591" s="68" t="s">
        <v>23164</v>
      </c>
      <c r="G7591" s="64" t="s">
        <v>23216</v>
      </c>
      <c r="H7591" s="68" t="s">
        <v>23217</v>
      </c>
      <c r="I7591" s="64">
        <v>1</v>
      </c>
      <c r="J7591" s="44" t="str">
        <f>VLOOKUP(G7591,[1]硬件清单!$F:$F,1,0)</f>
        <v>1023CB515376</v>
      </c>
      <c r="K7591" s="66"/>
      <c r="L7591" s="44" t="s">
        <v>17</v>
      </c>
      <c r="M7591" s="64" t="s">
        <v>23218</v>
      </c>
    </row>
    <row r="7592" ht="30" customHeight="1" spans="1:13">
      <c r="A7592" s="41">
        <f>IF(C7592="","",SUBTOTAL(103,$C$2:C7592))</f>
        <v>7583</v>
      </c>
      <c r="B7592" s="67"/>
      <c r="C7592" s="58" t="s">
        <v>20331</v>
      </c>
      <c r="D7592" s="68" t="s">
        <v>23050</v>
      </c>
      <c r="E7592" s="64" t="s">
        <v>66</v>
      </c>
      <c r="F7592" s="68" t="s">
        <v>23164</v>
      </c>
      <c r="G7592" s="64" t="s">
        <v>23219</v>
      </c>
      <c r="H7592" s="68" t="s">
        <v>23220</v>
      </c>
      <c r="I7592" s="64">
        <v>1</v>
      </c>
      <c r="J7592" s="44" t="str">
        <f>VLOOKUP(G7592,[1]硬件清单!$F:$F,1,0)</f>
        <v>1023CB515384</v>
      </c>
      <c r="K7592" s="66"/>
      <c r="L7592" s="44" t="s">
        <v>17</v>
      </c>
      <c r="M7592" s="64" t="s">
        <v>23221</v>
      </c>
    </row>
    <row r="7593" ht="30" customHeight="1" spans="1:13">
      <c r="A7593" s="41">
        <f>IF(C7593="","",SUBTOTAL(103,$C$2:C7593))</f>
        <v>7584</v>
      </c>
      <c r="B7593" s="67"/>
      <c r="C7593" s="58" t="s">
        <v>20331</v>
      </c>
      <c r="D7593" s="68" t="s">
        <v>23050</v>
      </c>
      <c r="E7593" s="64" t="s">
        <v>66</v>
      </c>
      <c r="F7593" s="68" t="s">
        <v>23164</v>
      </c>
      <c r="G7593" s="64" t="s">
        <v>23222</v>
      </c>
      <c r="H7593" s="68" t="s">
        <v>23223</v>
      </c>
      <c r="I7593" s="64">
        <v>1</v>
      </c>
      <c r="J7593" s="44" t="str">
        <f>VLOOKUP(G7593,[1]硬件清单!$F:$F,1,0)</f>
        <v>1023CB515373</v>
      </c>
      <c r="K7593" s="66"/>
      <c r="L7593" s="44"/>
      <c r="M7593" s="64" t="s">
        <v>23224</v>
      </c>
    </row>
    <row r="7594" ht="30" customHeight="1" spans="1:13">
      <c r="A7594" s="41">
        <f>IF(C7594="","",SUBTOTAL(103,$C$2:C7594))</f>
        <v>7585</v>
      </c>
      <c r="B7594" s="67"/>
      <c r="C7594" s="58" t="s">
        <v>20331</v>
      </c>
      <c r="D7594" s="68" t="s">
        <v>23050</v>
      </c>
      <c r="E7594" s="64" t="s">
        <v>66</v>
      </c>
      <c r="F7594" s="68" t="s">
        <v>23164</v>
      </c>
      <c r="G7594" s="64" t="s">
        <v>23225</v>
      </c>
      <c r="H7594" s="68" t="s">
        <v>23226</v>
      </c>
      <c r="I7594" s="64">
        <v>1</v>
      </c>
      <c r="J7594" s="44" t="str">
        <f>VLOOKUP(G7594,[1]硬件清单!$F:$F,1,0)</f>
        <v>1023CB515381</v>
      </c>
      <c r="K7594" s="66"/>
      <c r="L7594" s="44"/>
      <c r="M7594" s="64" t="s">
        <v>23227</v>
      </c>
    </row>
    <row r="7595" ht="30" customHeight="1" spans="1:13">
      <c r="A7595" s="41">
        <f>IF(C7595="","",SUBTOTAL(103,$C$2:C7595))</f>
        <v>7586</v>
      </c>
      <c r="B7595" s="67"/>
      <c r="C7595" s="58" t="s">
        <v>20331</v>
      </c>
      <c r="D7595" s="68" t="s">
        <v>23050</v>
      </c>
      <c r="E7595" s="64" t="s">
        <v>66</v>
      </c>
      <c r="F7595" s="68" t="s">
        <v>23164</v>
      </c>
      <c r="G7595" s="64" t="s">
        <v>23228</v>
      </c>
      <c r="H7595" s="68" t="s">
        <v>23229</v>
      </c>
      <c r="I7595" s="64">
        <v>1</v>
      </c>
      <c r="J7595" s="44" t="str">
        <f>VLOOKUP(G7595,[1]硬件清单!$F:$F,1,0)</f>
        <v>1023CB515392</v>
      </c>
      <c r="K7595" s="66"/>
      <c r="L7595" s="44"/>
      <c r="M7595" s="64" t="s">
        <v>23230</v>
      </c>
    </row>
    <row r="7596" ht="30" customHeight="1" spans="1:13">
      <c r="A7596" s="41">
        <f>IF(C7596="","",SUBTOTAL(103,$C$2:C7596))</f>
        <v>7587</v>
      </c>
      <c r="B7596" s="67"/>
      <c r="C7596" s="58" t="s">
        <v>20331</v>
      </c>
      <c r="D7596" s="68" t="s">
        <v>23050</v>
      </c>
      <c r="E7596" s="64" t="s">
        <v>66</v>
      </c>
      <c r="F7596" s="68" t="s">
        <v>23164</v>
      </c>
      <c r="G7596" s="64" t="s">
        <v>23231</v>
      </c>
      <c r="H7596" s="68" t="s">
        <v>23232</v>
      </c>
      <c r="I7596" s="64">
        <v>1</v>
      </c>
      <c r="J7596" s="44" t="str">
        <f>VLOOKUP(G7596,[1]硬件清单!$F:$F,1,0)</f>
        <v>1023CB515370</v>
      </c>
      <c r="K7596" s="66"/>
      <c r="L7596" s="44" t="s">
        <v>17</v>
      </c>
      <c r="M7596" s="64" t="s">
        <v>23233</v>
      </c>
    </row>
    <row r="7597" ht="30" customHeight="1" spans="1:13">
      <c r="A7597" s="41">
        <f>IF(C7597="","",SUBTOTAL(103,$C$2:C7597))</f>
        <v>7588</v>
      </c>
      <c r="B7597" s="67"/>
      <c r="C7597" s="58" t="s">
        <v>20331</v>
      </c>
      <c r="D7597" s="68" t="s">
        <v>23050</v>
      </c>
      <c r="E7597" s="64" t="s">
        <v>66</v>
      </c>
      <c r="F7597" s="68" t="s">
        <v>23164</v>
      </c>
      <c r="G7597" s="64" t="s">
        <v>23234</v>
      </c>
      <c r="H7597" s="68" t="s">
        <v>23235</v>
      </c>
      <c r="I7597" s="64">
        <v>1</v>
      </c>
      <c r="J7597" s="44" t="str">
        <f>VLOOKUP(G7597,[1]硬件清单!$F:$F,1,0)</f>
        <v>1023CB515389</v>
      </c>
      <c r="K7597" s="66"/>
      <c r="L7597" s="44" t="s">
        <v>17</v>
      </c>
      <c r="M7597" s="64" t="s">
        <v>23236</v>
      </c>
    </row>
    <row r="7598" ht="30" customHeight="1" spans="1:13">
      <c r="A7598" s="41">
        <f>IF(C7598="","",SUBTOTAL(103,$C$2:C7598))</f>
        <v>7589</v>
      </c>
      <c r="B7598" s="67"/>
      <c r="C7598" s="58" t="s">
        <v>20331</v>
      </c>
      <c r="D7598" s="68" t="s">
        <v>23050</v>
      </c>
      <c r="E7598" s="64" t="s">
        <v>66</v>
      </c>
      <c r="F7598" s="68" t="s">
        <v>23164</v>
      </c>
      <c r="G7598" s="64" t="s">
        <v>23237</v>
      </c>
      <c r="H7598" s="68" t="s">
        <v>23238</v>
      </c>
      <c r="I7598" s="64">
        <v>1</v>
      </c>
      <c r="J7598" s="44" t="str">
        <f>VLOOKUP(G7598,[1]硬件清单!$F:$F,1,0)</f>
        <v>1023CB515383</v>
      </c>
      <c r="K7598" s="66"/>
      <c r="L7598" s="44"/>
      <c r="M7598" s="64" t="s">
        <v>23239</v>
      </c>
    </row>
    <row r="7599" ht="30" customHeight="1" spans="1:13">
      <c r="A7599" s="41">
        <f>IF(C7599="","",SUBTOTAL(103,$C$2:C7599))</f>
        <v>7590</v>
      </c>
      <c r="B7599" s="67"/>
      <c r="C7599" s="58" t="s">
        <v>20331</v>
      </c>
      <c r="D7599" s="68" t="s">
        <v>23050</v>
      </c>
      <c r="E7599" s="64" t="s">
        <v>66</v>
      </c>
      <c r="F7599" s="68" t="s">
        <v>23164</v>
      </c>
      <c r="G7599" s="64" t="s">
        <v>23240</v>
      </c>
      <c r="H7599" s="68" t="s">
        <v>23241</v>
      </c>
      <c r="I7599" s="64">
        <v>1</v>
      </c>
      <c r="J7599" s="44" t="str">
        <f>VLOOKUP(G7599,[1]硬件清单!$F:$F,1,0)</f>
        <v>1023CB515378</v>
      </c>
      <c r="K7599" s="66"/>
      <c r="L7599" s="44"/>
      <c r="M7599" s="64" t="s">
        <v>23242</v>
      </c>
    </row>
    <row r="7600" ht="30" customHeight="1" spans="1:13">
      <c r="A7600" s="41">
        <f>IF(C7600="","",SUBTOTAL(103,$C$2:C7600))</f>
        <v>7591</v>
      </c>
      <c r="B7600" s="67"/>
      <c r="C7600" s="58" t="s">
        <v>20331</v>
      </c>
      <c r="D7600" s="68" t="s">
        <v>23050</v>
      </c>
      <c r="E7600" s="64" t="s">
        <v>66</v>
      </c>
      <c r="F7600" s="68" t="s">
        <v>23164</v>
      </c>
      <c r="G7600" s="64" t="s">
        <v>23243</v>
      </c>
      <c r="H7600" s="68" t="s">
        <v>23244</v>
      </c>
      <c r="I7600" s="64">
        <v>1</v>
      </c>
      <c r="J7600" s="44" t="str">
        <f>VLOOKUP(G7600,[1]硬件清单!$F:$F,1,0)</f>
        <v>1023CB515393</v>
      </c>
      <c r="K7600" s="66"/>
      <c r="L7600" s="44" t="s">
        <v>17</v>
      </c>
      <c r="M7600" s="64" t="s">
        <v>23245</v>
      </c>
    </row>
    <row r="7601" ht="30" customHeight="1" spans="1:13">
      <c r="A7601" s="41">
        <f>IF(C7601="","",SUBTOTAL(103,$C$2:C7601))</f>
        <v>7592</v>
      </c>
      <c r="B7601" s="67"/>
      <c r="C7601" s="58" t="s">
        <v>20331</v>
      </c>
      <c r="D7601" s="68" t="s">
        <v>23050</v>
      </c>
      <c r="E7601" s="64" t="s">
        <v>66</v>
      </c>
      <c r="F7601" s="68" t="s">
        <v>23164</v>
      </c>
      <c r="G7601" s="64" t="s">
        <v>23246</v>
      </c>
      <c r="H7601" s="68" t="s">
        <v>23247</v>
      </c>
      <c r="I7601" s="64">
        <v>1</v>
      </c>
      <c r="J7601" s="44" t="str">
        <f>VLOOKUP(G7601,[1]硬件清单!$F:$F,1,0)</f>
        <v>1023CB515386</v>
      </c>
      <c r="K7601" s="66"/>
      <c r="L7601" s="44"/>
      <c r="M7601" s="64" t="s">
        <v>23248</v>
      </c>
    </row>
    <row r="7602" ht="30" customHeight="1" spans="1:13">
      <c r="A7602" s="41">
        <f>IF(C7602="","",SUBTOTAL(103,$C$2:C7602))</f>
        <v>7593</v>
      </c>
      <c r="B7602" s="67"/>
      <c r="C7602" s="58" t="s">
        <v>20331</v>
      </c>
      <c r="D7602" s="68" t="s">
        <v>23050</v>
      </c>
      <c r="E7602" s="64" t="s">
        <v>66</v>
      </c>
      <c r="F7602" s="68" t="s">
        <v>23164</v>
      </c>
      <c r="G7602" s="64" t="s">
        <v>23249</v>
      </c>
      <c r="H7602" s="68" t="s">
        <v>23250</v>
      </c>
      <c r="I7602" s="64">
        <v>1</v>
      </c>
      <c r="J7602" s="44" t="str">
        <f>VLOOKUP(G7602,[1]硬件清单!$F:$F,1,0)</f>
        <v>1023CB515355</v>
      </c>
      <c r="K7602" s="66"/>
      <c r="L7602" s="44"/>
      <c r="M7602" s="64" t="s">
        <v>23251</v>
      </c>
    </row>
    <row r="7603" ht="30" customHeight="1" spans="1:13">
      <c r="A7603" s="41">
        <f>IF(C7603="","",SUBTOTAL(103,$C$2:C7603))</f>
        <v>7594</v>
      </c>
      <c r="B7603" s="67"/>
      <c r="C7603" s="58" t="s">
        <v>20331</v>
      </c>
      <c r="D7603" s="68" t="s">
        <v>23050</v>
      </c>
      <c r="E7603" s="64" t="s">
        <v>66</v>
      </c>
      <c r="F7603" s="68" t="s">
        <v>23164</v>
      </c>
      <c r="G7603" s="64" t="s">
        <v>23252</v>
      </c>
      <c r="H7603" s="68" t="s">
        <v>23253</v>
      </c>
      <c r="I7603" s="64">
        <v>1</v>
      </c>
      <c r="J7603" s="44" t="str">
        <f>VLOOKUP(G7603,[1]硬件清单!$F:$F,1,0)</f>
        <v>1023CB515377</v>
      </c>
      <c r="K7603" s="66"/>
      <c r="L7603" s="44"/>
      <c r="M7603" s="64" t="s">
        <v>23254</v>
      </c>
    </row>
    <row r="7604" ht="30" customHeight="1" spans="1:13">
      <c r="A7604" s="41">
        <f>IF(C7604="","",SUBTOTAL(103,$C$2:C7604))</f>
        <v>7595</v>
      </c>
      <c r="B7604" s="67"/>
      <c r="C7604" s="58" t="s">
        <v>20331</v>
      </c>
      <c r="D7604" s="68" t="s">
        <v>23050</v>
      </c>
      <c r="E7604" s="64" t="s">
        <v>66</v>
      </c>
      <c r="F7604" s="68" t="s">
        <v>23164</v>
      </c>
      <c r="G7604" s="64" t="s">
        <v>23255</v>
      </c>
      <c r="H7604" s="68" t="s">
        <v>23256</v>
      </c>
      <c r="I7604" s="64">
        <v>1</v>
      </c>
      <c r="J7604" s="44" t="str">
        <f>VLOOKUP(G7604,[1]硬件清单!$F:$F,1,0)</f>
        <v>1023CB515391</v>
      </c>
      <c r="K7604" s="66"/>
      <c r="L7604" s="44" t="s">
        <v>17</v>
      </c>
      <c r="M7604" s="64" t="s">
        <v>23257</v>
      </c>
    </row>
    <row r="7605" ht="30" customHeight="1" spans="1:13">
      <c r="A7605" s="41">
        <f>IF(C7605="","",SUBTOTAL(103,$C$2:C7605))</f>
        <v>7596</v>
      </c>
      <c r="B7605" s="67"/>
      <c r="C7605" s="58" t="s">
        <v>20331</v>
      </c>
      <c r="D7605" s="68" t="s">
        <v>23050</v>
      </c>
      <c r="E7605" s="64" t="s">
        <v>66</v>
      </c>
      <c r="F7605" s="68" t="s">
        <v>23164</v>
      </c>
      <c r="G7605" s="64" t="s">
        <v>23258</v>
      </c>
      <c r="H7605" s="68" t="s">
        <v>23259</v>
      </c>
      <c r="I7605" s="64">
        <v>1</v>
      </c>
      <c r="J7605" s="44" t="str">
        <f>VLOOKUP(G7605,[1]硬件清单!$F:$F,1,0)</f>
        <v>1023CB515374</v>
      </c>
      <c r="K7605" s="66"/>
      <c r="L7605" s="44" t="s">
        <v>17</v>
      </c>
      <c r="M7605" s="64" t="s">
        <v>23260</v>
      </c>
    </row>
    <row r="7606" ht="30" customHeight="1" spans="1:13">
      <c r="A7606" s="41">
        <f>IF(C7606="","",SUBTOTAL(103,$C$2:C7606))</f>
        <v>7597</v>
      </c>
      <c r="B7606" s="67"/>
      <c r="C7606" s="58" t="s">
        <v>20331</v>
      </c>
      <c r="D7606" s="68" t="s">
        <v>23050</v>
      </c>
      <c r="E7606" s="64" t="s">
        <v>23261</v>
      </c>
      <c r="F7606" s="68" t="s">
        <v>23262</v>
      </c>
      <c r="G7606" s="64" t="s">
        <v>23263</v>
      </c>
      <c r="H7606" s="68" t="s">
        <v>23264</v>
      </c>
      <c r="I7606" s="64">
        <v>1</v>
      </c>
      <c r="J7606" s="44" t="str">
        <f>VLOOKUP(G7606,[1]硬件清单!$F:$F,1,0)</f>
        <v>CT0101202312186795</v>
      </c>
      <c r="K7606" s="66"/>
      <c r="L7606" s="44" t="s">
        <v>17</v>
      </c>
      <c r="M7606" s="64" t="s">
        <v>23265</v>
      </c>
    </row>
    <row r="7607" ht="30" customHeight="1" spans="1:13">
      <c r="A7607" s="41">
        <f>IF(C7607="","",SUBTOTAL(103,$C$2:C7607))</f>
        <v>7598</v>
      </c>
      <c r="B7607" s="67"/>
      <c r="C7607" s="58" t="s">
        <v>20331</v>
      </c>
      <c r="D7607" s="68" t="s">
        <v>23050</v>
      </c>
      <c r="E7607" s="64" t="s">
        <v>23261</v>
      </c>
      <c r="F7607" s="68" t="s">
        <v>23262</v>
      </c>
      <c r="G7607" s="64" t="s">
        <v>23266</v>
      </c>
      <c r="H7607" s="68" t="s">
        <v>23267</v>
      </c>
      <c r="I7607" s="64">
        <v>1</v>
      </c>
      <c r="J7607" s="44" t="str">
        <f>VLOOKUP(G7607,[1]硬件清单!$F:$F,1,0)</f>
        <v>CT01012023121887CA</v>
      </c>
      <c r="K7607" s="66"/>
      <c r="L7607" s="44" t="s">
        <v>17</v>
      </c>
      <c r="M7607" s="64" t="s">
        <v>23268</v>
      </c>
    </row>
    <row r="7608" ht="30" customHeight="1" spans="1:13">
      <c r="A7608" s="69">
        <f>IF(C7608="","",SUBTOTAL(103,$C$2:C7608))</f>
        <v>7599</v>
      </c>
      <c r="B7608" s="67"/>
      <c r="C7608" s="58" t="s">
        <v>20331</v>
      </c>
      <c r="D7608" s="70" t="s">
        <v>23050</v>
      </c>
      <c r="E7608" s="71" t="s">
        <v>23269</v>
      </c>
      <c r="F7608" s="70" t="s">
        <v>23270</v>
      </c>
      <c r="G7608" s="71" t="s">
        <v>23271</v>
      </c>
      <c r="H7608" s="70" t="s">
        <v>23272</v>
      </c>
      <c r="I7608" s="71">
        <v>1</v>
      </c>
      <c r="J7608" s="72" t="e">
        <f>VLOOKUP(G7608,[1]硬件清单!$F:$F,1,0)</f>
        <v>#N/A</v>
      </c>
      <c r="K7608" s="73"/>
      <c r="L7608" s="72" t="s">
        <v>17</v>
      </c>
      <c r="M7608" s="71" t="s">
        <v>23273</v>
      </c>
    </row>
    <row r="7609" ht="30" customHeight="1" spans="1:13">
      <c r="A7609" s="69">
        <f>IF(C7609="","",SUBTOTAL(103,$C$2:C7609))</f>
        <v>7600</v>
      </c>
      <c r="B7609" s="67"/>
      <c r="C7609" s="58" t="s">
        <v>20331</v>
      </c>
      <c r="D7609" s="70" t="s">
        <v>23050</v>
      </c>
      <c r="E7609" s="71" t="s">
        <v>23269</v>
      </c>
      <c r="F7609" s="70" t="s">
        <v>23270</v>
      </c>
      <c r="G7609" s="71" t="s">
        <v>23274</v>
      </c>
      <c r="H7609" s="70" t="s">
        <v>23275</v>
      </c>
      <c r="I7609" s="71">
        <v>1</v>
      </c>
      <c r="J7609" s="72" t="e">
        <f>VLOOKUP(G7609,[1]硬件清单!$F:$F,1,0)</f>
        <v>#N/A</v>
      </c>
      <c r="K7609" s="73"/>
      <c r="L7609" s="72" t="s">
        <v>17</v>
      </c>
      <c r="M7609" s="71" t="s">
        <v>23276</v>
      </c>
    </row>
    <row r="7610" ht="30" customHeight="1" spans="1:13">
      <c r="A7610" s="69">
        <f>IF(C7610="","",SUBTOTAL(103,$C$2:C7610))</f>
        <v>7601</v>
      </c>
      <c r="B7610" s="67"/>
      <c r="C7610" s="58" t="s">
        <v>20331</v>
      </c>
      <c r="D7610" s="70" t="s">
        <v>23050</v>
      </c>
      <c r="E7610" s="71" t="s">
        <v>23269</v>
      </c>
      <c r="F7610" s="70" t="s">
        <v>23270</v>
      </c>
      <c r="G7610" s="71" t="s">
        <v>23277</v>
      </c>
      <c r="H7610" s="70" t="s">
        <v>23278</v>
      </c>
      <c r="I7610" s="71">
        <v>1</v>
      </c>
      <c r="J7610" s="72" t="e">
        <f>VLOOKUP(G7610,[1]硬件清单!$F:$F,1,0)</f>
        <v>#N/A</v>
      </c>
      <c r="K7610" s="73"/>
      <c r="L7610" s="72" t="s">
        <v>17</v>
      </c>
      <c r="M7610" s="71" t="s">
        <v>23279</v>
      </c>
    </row>
    <row r="7611" ht="30" customHeight="1" spans="1:13">
      <c r="A7611" s="69">
        <f>IF(C7611="","",SUBTOTAL(103,$C$2:C7611))</f>
        <v>7602</v>
      </c>
      <c r="B7611" s="67"/>
      <c r="C7611" s="58" t="s">
        <v>20331</v>
      </c>
      <c r="D7611" s="70" t="s">
        <v>23050</v>
      </c>
      <c r="E7611" s="71" t="s">
        <v>23269</v>
      </c>
      <c r="F7611" s="70" t="s">
        <v>23270</v>
      </c>
      <c r="G7611" s="71" t="s">
        <v>23280</v>
      </c>
      <c r="H7611" s="70" t="s">
        <v>23281</v>
      </c>
      <c r="I7611" s="71">
        <v>1</v>
      </c>
      <c r="J7611" s="72" t="e">
        <f>VLOOKUP(G7611,[1]硬件清单!$F:$F,1,0)</f>
        <v>#N/A</v>
      </c>
      <c r="K7611" s="73"/>
      <c r="L7611" s="72" t="s">
        <v>17</v>
      </c>
      <c r="M7611" s="71" t="s">
        <v>23282</v>
      </c>
    </row>
    <row r="7612" ht="30" customHeight="1" spans="1:13">
      <c r="A7612" s="69">
        <f>IF(C7612="","",SUBTOTAL(103,$C$2:C7612))</f>
        <v>7603</v>
      </c>
      <c r="B7612" s="67"/>
      <c r="C7612" s="58" t="s">
        <v>20331</v>
      </c>
      <c r="D7612" s="70" t="s">
        <v>23050</v>
      </c>
      <c r="E7612" s="71" t="s">
        <v>23269</v>
      </c>
      <c r="F7612" s="70" t="s">
        <v>23270</v>
      </c>
      <c r="G7612" s="71" t="s">
        <v>23283</v>
      </c>
      <c r="H7612" s="70" t="s">
        <v>23284</v>
      </c>
      <c r="I7612" s="71">
        <v>1</v>
      </c>
      <c r="J7612" s="72" t="e">
        <f>VLOOKUP(G7612,[1]硬件清单!$F:$F,1,0)</f>
        <v>#N/A</v>
      </c>
      <c r="K7612" s="73"/>
      <c r="L7612" s="72" t="s">
        <v>17</v>
      </c>
      <c r="M7612" s="71" t="s">
        <v>23285</v>
      </c>
    </row>
    <row r="7613" ht="30" customHeight="1" spans="1:13">
      <c r="A7613" s="69">
        <f>IF(C7613="","",SUBTOTAL(103,$C$2:C7613))</f>
        <v>7604</v>
      </c>
      <c r="B7613" s="67"/>
      <c r="C7613" s="58" t="s">
        <v>20331</v>
      </c>
      <c r="D7613" s="70" t="s">
        <v>23050</v>
      </c>
      <c r="E7613" s="71" t="s">
        <v>23269</v>
      </c>
      <c r="F7613" s="70" t="s">
        <v>23270</v>
      </c>
      <c r="G7613" s="71" t="s">
        <v>23286</v>
      </c>
      <c r="H7613" s="70" t="s">
        <v>23287</v>
      </c>
      <c r="I7613" s="71">
        <v>1</v>
      </c>
      <c r="J7613" s="72" t="e">
        <f>VLOOKUP(G7613,[1]硬件清单!$F:$F,1,0)</f>
        <v>#N/A</v>
      </c>
      <c r="K7613" s="73"/>
      <c r="L7613" s="72" t="s">
        <v>17</v>
      </c>
      <c r="M7613" s="71" t="s">
        <v>23288</v>
      </c>
    </row>
    <row r="7614" ht="30" customHeight="1" spans="1:13">
      <c r="A7614" s="41">
        <f>IF(C7614="","",SUBTOTAL(103,$C$2:C7614))</f>
        <v>7605</v>
      </c>
      <c r="B7614" s="67"/>
      <c r="C7614" s="58" t="s">
        <v>20331</v>
      </c>
      <c r="D7614" s="68" t="s">
        <v>23050</v>
      </c>
      <c r="E7614" s="64" t="s">
        <v>23269</v>
      </c>
      <c r="F7614" s="68" t="s">
        <v>23289</v>
      </c>
      <c r="G7614" s="64" t="s">
        <v>23290</v>
      </c>
      <c r="H7614" s="68" t="s">
        <v>23291</v>
      </c>
      <c r="I7614" s="64">
        <v>7</v>
      </c>
      <c r="J7614" s="44" t="str">
        <f>VLOOKUP(G7614,[1]硬件清单!$F:$F,1,0)</f>
        <v>2305V7219S100302</v>
      </c>
      <c r="K7614" s="66"/>
      <c r="L7614" s="44" t="s">
        <v>17</v>
      </c>
      <c r="M7614" s="64" t="s">
        <v>23292</v>
      </c>
    </row>
    <row r="7615" ht="30" customHeight="1" spans="1:13">
      <c r="A7615" s="41">
        <f>IF(C7615="","",SUBTOTAL(103,$C$2:C7615))</f>
        <v>7606</v>
      </c>
      <c r="B7615" s="67"/>
      <c r="C7615" s="58" t="s">
        <v>20331</v>
      </c>
      <c r="D7615" s="68" t="s">
        <v>23050</v>
      </c>
      <c r="E7615" s="64" t="s">
        <v>23269</v>
      </c>
      <c r="F7615" s="68" t="s">
        <v>23289</v>
      </c>
      <c r="G7615" s="64" t="s">
        <v>23293</v>
      </c>
      <c r="H7615" s="68" t="s">
        <v>23294</v>
      </c>
      <c r="I7615" s="64">
        <v>7</v>
      </c>
      <c r="J7615" s="44" t="str">
        <f>VLOOKUP(G7615,[1]硬件清单!$F:$F,1,0)</f>
        <v>2305V7219S100301</v>
      </c>
      <c r="K7615" s="66"/>
      <c r="L7615" s="44" t="s">
        <v>17</v>
      </c>
      <c r="M7615" s="64" t="s">
        <v>23295</v>
      </c>
    </row>
    <row r="7616" ht="30" customHeight="1" spans="1:13">
      <c r="A7616" s="41">
        <f>IF(C7616="","",SUBTOTAL(103,$C$2:C7616))</f>
        <v>7607</v>
      </c>
      <c r="B7616" s="67"/>
      <c r="C7616" s="58" t="s">
        <v>20331</v>
      </c>
      <c r="D7616" s="68" t="s">
        <v>23050</v>
      </c>
      <c r="E7616" s="64" t="s">
        <v>23269</v>
      </c>
      <c r="F7616" s="68" t="s">
        <v>23296</v>
      </c>
      <c r="G7616" s="64" t="s">
        <v>23297</v>
      </c>
      <c r="H7616" s="68" t="s">
        <v>23298</v>
      </c>
      <c r="I7616" s="64">
        <v>1</v>
      </c>
      <c r="J7616" s="44" t="str">
        <f>VLOOKUP(G7616,[1]硬件清单!$F:$F,1,0)</f>
        <v>LK240140002</v>
      </c>
      <c r="K7616" s="66"/>
      <c r="L7616" s="44" t="s">
        <v>17</v>
      </c>
      <c r="M7616" s="64" t="s">
        <v>23299</v>
      </c>
    </row>
    <row r="7617" ht="30" customHeight="1" spans="1:13">
      <c r="A7617" s="41">
        <f>IF(C7617="","",SUBTOTAL(103,$C$2:C7617))</f>
        <v>7608</v>
      </c>
      <c r="B7617" s="67"/>
      <c r="C7617" s="58" t="s">
        <v>20331</v>
      </c>
      <c r="D7617" s="68" t="s">
        <v>23050</v>
      </c>
      <c r="E7617" s="64" t="s">
        <v>23269</v>
      </c>
      <c r="F7617" s="68" t="s">
        <v>23296</v>
      </c>
      <c r="G7617" s="64" t="s">
        <v>23300</v>
      </c>
      <c r="H7617" s="68" t="s">
        <v>23301</v>
      </c>
      <c r="I7617" s="64">
        <v>1</v>
      </c>
      <c r="J7617" s="44" t="str">
        <f>VLOOKUP(G7617,[1]硬件清单!$F:$F,1,0)</f>
        <v>LK240140001</v>
      </c>
      <c r="K7617" s="66"/>
      <c r="L7617" s="44" t="s">
        <v>17</v>
      </c>
      <c r="M7617" s="64" t="s">
        <v>23302</v>
      </c>
    </row>
    <row r="7618" ht="30" customHeight="1" spans="1:13">
      <c r="A7618" s="41">
        <f>IF(C7618="","",SUBTOTAL(103,$C$2:C7618))</f>
        <v>7609</v>
      </c>
      <c r="B7618" s="67"/>
      <c r="C7618" s="58" t="s">
        <v>20331</v>
      </c>
      <c r="D7618" s="68" t="s">
        <v>23050</v>
      </c>
      <c r="E7618" s="64" t="s">
        <v>23269</v>
      </c>
      <c r="F7618" s="68" t="s">
        <v>23303</v>
      </c>
      <c r="G7618" s="64" t="s">
        <v>23304</v>
      </c>
      <c r="H7618" s="68" t="s">
        <v>23305</v>
      </c>
      <c r="I7618" s="64">
        <v>1</v>
      </c>
      <c r="J7618" s="44" t="str">
        <f>VLOOKUP(G7618,[1]硬件清单!$F:$F,1,0)</f>
        <v>2F20497D31</v>
      </c>
      <c r="K7618" s="66"/>
      <c r="L7618" s="44" t="s">
        <v>17</v>
      </c>
      <c r="M7618" s="64" t="s">
        <v>23306</v>
      </c>
    </row>
    <row r="7619" ht="30" customHeight="1" spans="1:13">
      <c r="A7619" s="41">
        <f>IF(C7619="","",SUBTOTAL(103,$C$2:C7619))</f>
        <v>7610</v>
      </c>
      <c r="B7619" s="67"/>
      <c r="C7619" s="58" t="s">
        <v>20331</v>
      </c>
      <c r="D7619" s="68" t="s">
        <v>23050</v>
      </c>
      <c r="E7619" s="64" t="s">
        <v>23269</v>
      </c>
      <c r="F7619" s="68" t="s">
        <v>23303</v>
      </c>
      <c r="G7619" s="64" t="s">
        <v>23307</v>
      </c>
      <c r="H7619" s="68" t="s">
        <v>23308</v>
      </c>
      <c r="I7619" s="64">
        <v>1</v>
      </c>
      <c r="J7619" s="44" t="str">
        <f>VLOOKUP(G7619,[1]硬件清单!$F:$F,1,0)</f>
        <v>2F20497D33</v>
      </c>
      <c r="K7619" s="66"/>
      <c r="L7619" s="44" t="s">
        <v>17</v>
      </c>
      <c r="M7619" s="64" t="s">
        <v>23309</v>
      </c>
    </row>
    <row r="7620" ht="30" customHeight="1" spans="1:13">
      <c r="A7620" s="41">
        <f>IF(C7620="","",SUBTOTAL(103,$C$2:C7620))</f>
        <v>7611</v>
      </c>
      <c r="B7620" s="67"/>
      <c r="C7620" s="58" t="s">
        <v>20331</v>
      </c>
      <c r="D7620" s="68" t="s">
        <v>23050</v>
      </c>
      <c r="E7620" s="64" t="s">
        <v>23269</v>
      </c>
      <c r="F7620" s="68" t="s">
        <v>23303</v>
      </c>
      <c r="G7620" s="64" t="s">
        <v>23310</v>
      </c>
      <c r="H7620" s="68" t="s">
        <v>23311</v>
      </c>
      <c r="I7620" s="64">
        <v>1</v>
      </c>
      <c r="J7620" s="44" t="str">
        <f>VLOOKUP(G7620,[1]硬件清单!$F:$F,1,0)</f>
        <v>2F20497D34</v>
      </c>
      <c r="K7620" s="66"/>
      <c r="L7620" s="44" t="s">
        <v>17</v>
      </c>
      <c r="M7620" s="64" t="s">
        <v>23312</v>
      </c>
    </row>
    <row r="7621" ht="30" customHeight="1" spans="1:13">
      <c r="A7621" s="41">
        <f>IF(C7621="","",SUBTOTAL(103,$C$2:C7621))</f>
        <v>7612</v>
      </c>
      <c r="B7621" s="67"/>
      <c r="C7621" s="58" t="s">
        <v>20331</v>
      </c>
      <c r="D7621" s="68" t="s">
        <v>23050</v>
      </c>
      <c r="E7621" s="64" t="s">
        <v>23269</v>
      </c>
      <c r="F7621" s="68" t="s">
        <v>23303</v>
      </c>
      <c r="G7621" s="64" t="s">
        <v>23313</v>
      </c>
      <c r="H7621" s="68" t="s">
        <v>23314</v>
      </c>
      <c r="I7621" s="64">
        <v>1</v>
      </c>
      <c r="J7621" s="44" t="str">
        <f>VLOOKUP(G7621,[1]硬件清单!$F:$F,1,0)</f>
        <v>2F20497D32</v>
      </c>
      <c r="K7621" s="66"/>
      <c r="L7621" s="44" t="s">
        <v>17</v>
      </c>
      <c r="M7621" s="64" t="s">
        <v>23315</v>
      </c>
    </row>
    <row r="7622" ht="30" customHeight="1" spans="1:13">
      <c r="A7622" s="41">
        <f>IF(C7622="","",SUBTOTAL(103,$C$2:C7622))</f>
        <v>7613</v>
      </c>
      <c r="B7622" s="67"/>
      <c r="C7622" s="58" t="s">
        <v>20331</v>
      </c>
      <c r="D7622" s="68" t="s">
        <v>23050</v>
      </c>
      <c r="E7622" s="64" t="s">
        <v>23316</v>
      </c>
      <c r="F7622" s="68" t="s">
        <v>23317</v>
      </c>
      <c r="G7622" s="64" t="s">
        <v>23318</v>
      </c>
      <c r="H7622" s="68" t="s">
        <v>23319</v>
      </c>
      <c r="I7622" s="64">
        <v>1</v>
      </c>
      <c r="J7622" s="44" t="str">
        <f>VLOOKUP(G7622,[1]硬件清单!$F:$F,1,0)</f>
        <v>S22921001Z400122</v>
      </c>
      <c r="K7622" s="66"/>
      <c r="L7622" s="44" t="s">
        <v>17</v>
      </c>
      <c r="M7622" s="64" t="s">
        <v>23320</v>
      </c>
    </row>
    <row r="7623" ht="30" customHeight="1" spans="1:13">
      <c r="A7623" s="41">
        <f>IF(C7623="","",SUBTOTAL(103,$C$2:C7623))</f>
        <v>7614</v>
      </c>
      <c r="B7623" s="67"/>
      <c r="C7623" s="58" t="s">
        <v>20331</v>
      </c>
      <c r="D7623" s="68" t="s">
        <v>23050</v>
      </c>
      <c r="E7623" s="64" t="s">
        <v>23316</v>
      </c>
      <c r="F7623" s="68" t="s">
        <v>23317</v>
      </c>
      <c r="G7623" s="64" t="s">
        <v>23321</v>
      </c>
      <c r="H7623" s="68" t="s">
        <v>23322</v>
      </c>
      <c r="I7623" s="64">
        <v>1</v>
      </c>
      <c r="J7623" s="44" t="str">
        <f>VLOOKUP(G7623,[1]硬件清单!$F:$F,1,0)</f>
        <v>S22921001Z400106</v>
      </c>
      <c r="K7623" s="66"/>
      <c r="L7623" s="44" t="s">
        <v>17</v>
      </c>
      <c r="M7623" s="64" t="s">
        <v>23323</v>
      </c>
    </row>
    <row r="7624" ht="30" customHeight="1" spans="1:13">
      <c r="A7624" s="41">
        <f>IF(C7624="","",SUBTOTAL(103,$C$2:C7624))</f>
        <v>7615</v>
      </c>
      <c r="B7624" s="67"/>
      <c r="C7624" s="58" t="s">
        <v>20331</v>
      </c>
      <c r="D7624" s="68" t="s">
        <v>23050</v>
      </c>
      <c r="E7624" s="64" t="s">
        <v>23316</v>
      </c>
      <c r="F7624" s="68" t="s">
        <v>23317</v>
      </c>
      <c r="G7624" s="64" t="s">
        <v>23324</v>
      </c>
      <c r="H7624" s="68" t="s">
        <v>23325</v>
      </c>
      <c r="I7624" s="64">
        <v>1</v>
      </c>
      <c r="J7624" s="44" t="str">
        <f>VLOOKUP(G7624,[1]硬件清单!$F:$F,1,0)</f>
        <v>S22921001Z400079</v>
      </c>
      <c r="K7624" s="66"/>
      <c r="L7624" s="44" t="s">
        <v>17</v>
      </c>
      <c r="M7624" s="64" t="s">
        <v>23326</v>
      </c>
    </row>
    <row r="7625" ht="30" customHeight="1" spans="1:13">
      <c r="A7625" s="41">
        <f>IF(C7625="","",SUBTOTAL(103,$C$2:C7625))</f>
        <v>7616</v>
      </c>
      <c r="B7625" s="67"/>
      <c r="C7625" s="58" t="s">
        <v>20331</v>
      </c>
      <c r="D7625" s="68" t="s">
        <v>23050</v>
      </c>
      <c r="E7625" s="64" t="s">
        <v>23316</v>
      </c>
      <c r="F7625" s="68" t="s">
        <v>23317</v>
      </c>
      <c r="G7625" s="64" t="s">
        <v>23327</v>
      </c>
      <c r="H7625" s="68" t="s">
        <v>23328</v>
      </c>
      <c r="I7625" s="64">
        <v>1</v>
      </c>
      <c r="J7625" s="44" t="str">
        <f>VLOOKUP(G7625,[1]硬件清单!$F:$F,1,0)</f>
        <v>S22921001Z400181</v>
      </c>
      <c r="K7625" s="66"/>
      <c r="L7625" s="44" t="s">
        <v>17</v>
      </c>
      <c r="M7625" s="64" t="s">
        <v>23329</v>
      </c>
    </row>
    <row r="7626" ht="30" customHeight="1" spans="1:13">
      <c r="A7626" s="41">
        <f>IF(C7626="","",SUBTOTAL(103,$C$2:C7626))</f>
        <v>7617</v>
      </c>
      <c r="B7626" s="67"/>
      <c r="C7626" s="58" t="s">
        <v>20331</v>
      </c>
      <c r="D7626" s="68" t="s">
        <v>23050</v>
      </c>
      <c r="E7626" s="64" t="s">
        <v>23316</v>
      </c>
      <c r="F7626" s="68" t="s">
        <v>23317</v>
      </c>
      <c r="G7626" s="64" t="s">
        <v>23330</v>
      </c>
      <c r="H7626" s="68" t="s">
        <v>23331</v>
      </c>
      <c r="I7626" s="64">
        <v>1</v>
      </c>
      <c r="J7626" s="44" t="str">
        <f>VLOOKUP(G7626,[1]硬件清单!$F:$F,1,0)</f>
        <v>S22921001Z400055</v>
      </c>
      <c r="K7626" s="66"/>
      <c r="L7626" s="44" t="s">
        <v>17</v>
      </c>
      <c r="M7626" s="64" t="s">
        <v>23332</v>
      </c>
    </row>
    <row r="7627" ht="30" customHeight="1" spans="1:13">
      <c r="A7627" s="41">
        <f>IF(C7627="","",SUBTOTAL(103,$C$2:C7627))</f>
        <v>7618</v>
      </c>
      <c r="B7627" s="67"/>
      <c r="C7627" s="58" t="s">
        <v>20331</v>
      </c>
      <c r="D7627" s="68" t="s">
        <v>23050</v>
      </c>
      <c r="E7627" s="64" t="s">
        <v>23316</v>
      </c>
      <c r="F7627" s="68" t="s">
        <v>23317</v>
      </c>
      <c r="G7627" s="64" t="s">
        <v>23333</v>
      </c>
      <c r="H7627" s="68" t="s">
        <v>23334</v>
      </c>
      <c r="I7627" s="64">
        <v>1</v>
      </c>
      <c r="J7627" s="44" t="str">
        <f>VLOOKUP(G7627,[1]硬件清单!$F:$F,1,0)</f>
        <v>S22921001Z400116</v>
      </c>
      <c r="K7627" s="66"/>
      <c r="L7627" s="44" t="s">
        <v>17</v>
      </c>
      <c r="M7627" s="64" t="s">
        <v>23335</v>
      </c>
    </row>
    <row r="7628" ht="30" customHeight="1" spans="1:13">
      <c r="A7628" s="41">
        <f>IF(C7628="","",SUBTOTAL(103,$C$2:C7628))</f>
        <v>7619</v>
      </c>
      <c r="B7628" s="67"/>
      <c r="C7628" s="58" t="s">
        <v>20331</v>
      </c>
      <c r="D7628" s="68" t="s">
        <v>23050</v>
      </c>
      <c r="E7628" s="64" t="s">
        <v>23316</v>
      </c>
      <c r="F7628" s="68" t="s">
        <v>23336</v>
      </c>
      <c r="G7628" s="64" t="s">
        <v>23337</v>
      </c>
      <c r="H7628" s="68" t="s">
        <v>23338</v>
      </c>
      <c r="I7628" s="64">
        <v>1</v>
      </c>
      <c r="J7628" s="44" t="str">
        <f>VLOOKUP(G7628,[1]硬件清单!$F:$F,1,0)</f>
        <v>S22921001Z400037</v>
      </c>
      <c r="K7628" s="66"/>
      <c r="L7628" s="44" t="s">
        <v>17</v>
      </c>
      <c r="M7628" s="64" t="s">
        <v>23339</v>
      </c>
    </row>
    <row r="7629" ht="30" customHeight="1" spans="1:13">
      <c r="A7629" s="41">
        <f>IF(C7629="","",SUBTOTAL(103,$C$2:C7629))</f>
        <v>7620</v>
      </c>
      <c r="B7629" s="67"/>
      <c r="C7629" s="58" t="s">
        <v>20331</v>
      </c>
      <c r="D7629" s="68" t="s">
        <v>23050</v>
      </c>
      <c r="E7629" s="64" t="s">
        <v>23316</v>
      </c>
      <c r="F7629" s="68" t="s">
        <v>23336</v>
      </c>
      <c r="G7629" s="64" t="s">
        <v>23340</v>
      </c>
      <c r="H7629" s="68" t="s">
        <v>23341</v>
      </c>
      <c r="I7629" s="64">
        <v>1</v>
      </c>
      <c r="J7629" s="44" t="str">
        <f>VLOOKUP(G7629,[1]硬件清单!$F:$F,1,0)</f>
        <v>S22921001Z400118</v>
      </c>
      <c r="K7629" s="66"/>
      <c r="L7629" s="44" t="s">
        <v>17</v>
      </c>
      <c r="M7629" s="64" t="s">
        <v>23342</v>
      </c>
    </row>
    <row r="7630" ht="30" customHeight="1" spans="1:13">
      <c r="A7630" s="41">
        <f>IF(C7630="","",SUBTOTAL(103,$C$2:C7630))</f>
        <v>7621</v>
      </c>
      <c r="B7630" s="67"/>
      <c r="C7630" s="58" t="s">
        <v>20331</v>
      </c>
      <c r="D7630" s="68" t="s">
        <v>23050</v>
      </c>
      <c r="E7630" s="64" t="s">
        <v>23316</v>
      </c>
      <c r="F7630" s="68" t="s">
        <v>23343</v>
      </c>
      <c r="G7630" s="64" t="s">
        <v>23344</v>
      </c>
      <c r="H7630" s="68" t="s">
        <v>23345</v>
      </c>
      <c r="I7630" s="64">
        <v>1</v>
      </c>
      <c r="J7630" s="44" t="str">
        <f>VLOOKUP(G7630,[1]硬件清单!$F:$F,1,0)</f>
        <v>S22921001Z400060</v>
      </c>
      <c r="K7630" s="66"/>
      <c r="L7630" s="44" t="s">
        <v>17</v>
      </c>
      <c r="M7630" s="64" t="s">
        <v>23346</v>
      </c>
    </row>
    <row r="7631" ht="30" customHeight="1" spans="1:13">
      <c r="A7631" s="41">
        <f>IF(C7631="","",SUBTOTAL(103,$C$2:C7631))</f>
        <v>7622</v>
      </c>
      <c r="B7631" s="67"/>
      <c r="C7631" s="58" t="s">
        <v>20331</v>
      </c>
      <c r="D7631" s="68" t="s">
        <v>23050</v>
      </c>
      <c r="E7631" s="64" t="s">
        <v>23316</v>
      </c>
      <c r="F7631" s="68" t="s">
        <v>23343</v>
      </c>
      <c r="G7631" s="64" t="s">
        <v>23347</v>
      </c>
      <c r="H7631" s="68" t="s">
        <v>23348</v>
      </c>
      <c r="I7631" s="64">
        <v>1</v>
      </c>
      <c r="J7631" s="44" t="str">
        <f>VLOOKUP(G7631,[1]硬件清单!$F:$F,1,0)</f>
        <v>S22921001Z400059</v>
      </c>
      <c r="K7631" s="66"/>
      <c r="L7631" s="44" t="s">
        <v>17</v>
      </c>
      <c r="M7631" s="64" t="s">
        <v>23349</v>
      </c>
    </row>
    <row r="7632" ht="30" customHeight="1" spans="1:13">
      <c r="A7632" s="41">
        <f>IF(C7632="","",SUBTOTAL(103,$C$2:C7632))</f>
        <v>7623</v>
      </c>
      <c r="B7632" s="67"/>
      <c r="C7632" s="58" t="s">
        <v>20331</v>
      </c>
      <c r="D7632" s="68" t="s">
        <v>23050</v>
      </c>
      <c r="E7632" s="64" t="s">
        <v>23316</v>
      </c>
      <c r="F7632" s="68" t="s">
        <v>23343</v>
      </c>
      <c r="G7632" s="64" t="s">
        <v>23350</v>
      </c>
      <c r="H7632" s="68" t="s">
        <v>23351</v>
      </c>
      <c r="I7632" s="64">
        <v>1</v>
      </c>
      <c r="J7632" s="44" t="str">
        <f>VLOOKUP(G7632,[1]硬件清单!$F:$F,1,0)</f>
        <v>S22921001Z400179</v>
      </c>
      <c r="K7632" s="66"/>
      <c r="L7632" s="44" t="s">
        <v>17</v>
      </c>
      <c r="M7632" s="64" t="s">
        <v>23352</v>
      </c>
    </row>
    <row r="7633" ht="30" customHeight="1" spans="1:13">
      <c r="A7633" s="41">
        <f>IF(C7633="","",SUBTOTAL(103,$C$2:C7633))</f>
        <v>7624</v>
      </c>
      <c r="B7633" s="67"/>
      <c r="C7633" s="58" t="s">
        <v>20331</v>
      </c>
      <c r="D7633" s="68" t="s">
        <v>23050</v>
      </c>
      <c r="E7633" s="64" t="s">
        <v>23316</v>
      </c>
      <c r="F7633" s="68" t="s">
        <v>23343</v>
      </c>
      <c r="G7633" s="64" t="s">
        <v>23353</v>
      </c>
      <c r="H7633" s="68" t="s">
        <v>23354</v>
      </c>
      <c r="I7633" s="64">
        <v>1</v>
      </c>
      <c r="J7633" s="44" t="str">
        <f>VLOOKUP(G7633,[1]硬件清单!$F:$F,1,0)</f>
        <v>S22921001Z400131</v>
      </c>
      <c r="K7633" s="66"/>
      <c r="L7633" s="44" t="s">
        <v>17</v>
      </c>
      <c r="M7633" s="64" t="s">
        <v>23355</v>
      </c>
    </row>
    <row r="7634" ht="30" customHeight="1" spans="1:13">
      <c r="A7634" s="41">
        <f>IF(C7634="","",SUBTOTAL(103,$C$2:C7634))</f>
        <v>7625</v>
      </c>
      <c r="B7634" s="67"/>
      <c r="C7634" s="58" t="s">
        <v>20331</v>
      </c>
      <c r="D7634" s="68" t="s">
        <v>23050</v>
      </c>
      <c r="E7634" s="64" t="s">
        <v>23316</v>
      </c>
      <c r="F7634" s="68" t="s">
        <v>23343</v>
      </c>
      <c r="G7634" s="64" t="s">
        <v>23356</v>
      </c>
      <c r="H7634" s="68" t="s">
        <v>23357</v>
      </c>
      <c r="I7634" s="64">
        <v>1</v>
      </c>
      <c r="J7634" s="44" t="str">
        <f>VLOOKUP(G7634,[1]硬件清单!$F:$F,1,0)</f>
        <v>S22921001Z400132</v>
      </c>
      <c r="K7634" s="66"/>
      <c r="L7634" s="44" t="s">
        <v>17</v>
      </c>
      <c r="M7634" s="64" t="s">
        <v>23358</v>
      </c>
    </row>
    <row r="7635" ht="30" customHeight="1" spans="1:13">
      <c r="A7635" s="41">
        <f>IF(C7635="","",SUBTOTAL(103,$C$2:C7635))</f>
        <v>7626</v>
      </c>
      <c r="B7635" s="67"/>
      <c r="C7635" s="58" t="s">
        <v>20331</v>
      </c>
      <c r="D7635" s="68" t="s">
        <v>23050</v>
      </c>
      <c r="E7635" s="64" t="s">
        <v>23316</v>
      </c>
      <c r="F7635" s="68" t="s">
        <v>23343</v>
      </c>
      <c r="G7635" s="64" t="s">
        <v>23359</v>
      </c>
      <c r="H7635" s="68" t="s">
        <v>23360</v>
      </c>
      <c r="I7635" s="64">
        <v>1</v>
      </c>
      <c r="J7635" s="44" t="str">
        <f>VLOOKUP(G7635,[1]硬件清单!$F:$F,1,0)</f>
        <v>S22921001Z400098</v>
      </c>
      <c r="K7635" s="66"/>
      <c r="L7635" s="44" t="s">
        <v>17</v>
      </c>
      <c r="M7635" s="64" t="s">
        <v>23361</v>
      </c>
    </row>
    <row r="7636" ht="30" customHeight="1" spans="1:13">
      <c r="A7636" s="41">
        <f>IF(C7636="","",SUBTOTAL(103,$C$2:C7636))</f>
        <v>7627</v>
      </c>
      <c r="B7636" s="67"/>
      <c r="C7636" s="58" t="s">
        <v>20331</v>
      </c>
      <c r="D7636" s="68" t="s">
        <v>23050</v>
      </c>
      <c r="E7636" s="64" t="s">
        <v>23316</v>
      </c>
      <c r="F7636" s="68" t="s">
        <v>23343</v>
      </c>
      <c r="G7636" s="64" t="s">
        <v>23362</v>
      </c>
      <c r="H7636" s="68" t="s">
        <v>23363</v>
      </c>
      <c r="I7636" s="64">
        <v>1</v>
      </c>
      <c r="J7636" s="44" t="str">
        <f>VLOOKUP(G7636,[1]硬件清单!$F:$F,1,0)</f>
        <v>S22921001Z400061</v>
      </c>
      <c r="K7636" s="66"/>
      <c r="L7636" s="44" t="s">
        <v>17</v>
      </c>
      <c r="M7636" s="64" t="s">
        <v>23364</v>
      </c>
    </row>
    <row r="7637" ht="30" customHeight="1" spans="1:13">
      <c r="A7637" s="41">
        <f>IF(C7637="","",SUBTOTAL(103,$C$2:C7637))</f>
        <v>7628</v>
      </c>
      <c r="B7637" s="67"/>
      <c r="C7637" s="58" t="s">
        <v>20331</v>
      </c>
      <c r="D7637" s="68" t="s">
        <v>23050</v>
      </c>
      <c r="E7637" s="64" t="s">
        <v>23316</v>
      </c>
      <c r="F7637" s="68" t="s">
        <v>23343</v>
      </c>
      <c r="G7637" s="64" t="s">
        <v>23365</v>
      </c>
      <c r="H7637" s="68" t="s">
        <v>23366</v>
      </c>
      <c r="I7637" s="64">
        <v>1</v>
      </c>
      <c r="J7637" s="44" t="str">
        <f>VLOOKUP(G7637,[1]硬件清单!$F:$F,1,0)</f>
        <v>S22921001Z400082</v>
      </c>
      <c r="K7637" s="66"/>
      <c r="L7637" s="44" t="s">
        <v>17</v>
      </c>
      <c r="M7637" s="64" t="s">
        <v>23367</v>
      </c>
    </row>
    <row r="7638" ht="30" customHeight="1" spans="1:13">
      <c r="A7638" s="41">
        <f>IF(C7638="","",SUBTOTAL(103,$C$2:C7638))</f>
        <v>7629</v>
      </c>
      <c r="B7638" s="67"/>
      <c r="C7638" s="58" t="s">
        <v>20331</v>
      </c>
      <c r="D7638" s="68" t="s">
        <v>23050</v>
      </c>
      <c r="E7638" s="64" t="s">
        <v>23316</v>
      </c>
      <c r="F7638" s="68" t="s">
        <v>23343</v>
      </c>
      <c r="G7638" s="64" t="s">
        <v>23368</v>
      </c>
      <c r="H7638" s="68" t="s">
        <v>23369</v>
      </c>
      <c r="I7638" s="64">
        <v>1</v>
      </c>
      <c r="J7638" s="44" t="str">
        <f>VLOOKUP(G7638,[1]硬件清单!$F:$F,1,0)</f>
        <v>S22921001Z400072</v>
      </c>
      <c r="K7638" s="66"/>
      <c r="L7638" s="44" t="s">
        <v>17</v>
      </c>
      <c r="M7638" s="64" t="s">
        <v>23370</v>
      </c>
    </row>
    <row r="7639" ht="30" customHeight="1" spans="1:13">
      <c r="A7639" s="41">
        <f>IF(C7639="","",SUBTOTAL(103,$C$2:C7639))</f>
        <v>7630</v>
      </c>
      <c r="B7639" s="67"/>
      <c r="C7639" s="58" t="s">
        <v>20331</v>
      </c>
      <c r="D7639" s="68" t="s">
        <v>23050</v>
      </c>
      <c r="E7639" s="64" t="s">
        <v>23316</v>
      </c>
      <c r="F7639" s="68" t="s">
        <v>23343</v>
      </c>
      <c r="G7639" s="64" t="s">
        <v>23371</v>
      </c>
      <c r="H7639" s="68" t="s">
        <v>23372</v>
      </c>
      <c r="I7639" s="64">
        <v>1</v>
      </c>
      <c r="J7639" s="44" t="str">
        <f>VLOOKUP(G7639,[1]硬件清单!$F:$F,1,0)</f>
        <v>S22921001Z400178</v>
      </c>
      <c r="K7639" s="66"/>
      <c r="L7639" s="44" t="s">
        <v>17</v>
      </c>
      <c r="M7639" s="64" t="s">
        <v>23373</v>
      </c>
    </row>
    <row r="7640" ht="30" customHeight="1" spans="1:13">
      <c r="A7640" s="41">
        <f>IF(C7640="","",SUBTOTAL(103,$C$2:C7640))</f>
        <v>7631</v>
      </c>
      <c r="B7640" s="67"/>
      <c r="C7640" s="58" t="s">
        <v>20331</v>
      </c>
      <c r="D7640" s="68" t="s">
        <v>23050</v>
      </c>
      <c r="E7640" s="64" t="s">
        <v>23316</v>
      </c>
      <c r="F7640" s="68" t="s">
        <v>23374</v>
      </c>
      <c r="G7640" s="64" t="s">
        <v>23375</v>
      </c>
      <c r="H7640" s="68" t="s">
        <v>23376</v>
      </c>
      <c r="I7640" s="64">
        <v>1</v>
      </c>
      <c r="J7640" s="44" t="str">
        <f>VLOOKUP(G7640,[1]硬件清单!$F:$F,1,0)</f>
        <v>W80002312004483</v>
      </c>
      <c r="K7640" s="66"/>
      <c r="L7640" s="44" t="s">
        <v>17</v>
      </c>
      <c r="M7640" s="64" t="s">
        <v>23377</v>
      </c>
    </row>
    <row r="7641" ht="30" customHeight="1" spans="1:13">
      <c r="A7641" s="41">
        <f>IF(C7641="","",SUBTOTAL(103,$C$2:C7641))</f>
        <v>7632</v>
      </c>
      <c r="B7641" s="67"/>
      <c r="C7641" s="58" t="s">
        <v>20331</v>
      </c>
      <c r="D7641" s="68" t="s">
        <v>23050</v>
      </c>
      <c r="E7641" s="64" t="s">
        <v>23316</v>
      </c>
      <c r="F7641" s="68" t="s">
        <v>23374</v>
      </c>
      <c r="G7641" s="64" t="s">
        <v>23378</v>
      </c>
      <c r="H7641" s="68" t="s">
        <v>23379</v>
      </c>
      <c r="I7641" s="64">
        <v>1</v>
      </c>
      <c r="J7641" s="44" t="str">
        <f>VLOOKUP(G7641,[1]硬件清单!$F:$F,1,0)</f>
        <v>W80002312004484</v>
      </c>
      <c r="K7641" s="66"/>
      <c r="L7641" s="44" t="s">
        <v>17</v>
      </c>
      <c r="M7641" s="64" t="s">
        <v>23380</v>
      </c>
    </row>
    <row r="7642" ht="30" customHeight="1" spans="1:13">
      <c r="A7642" s="41">
        <f>IF(C7642="","",SUBTOTAL(103,$C$2:C7642))</f>
        <v>7633</v>
      </c>
      <c r="B7642" s="67"/>
      <c r="C7642" s="58" t="s">
        <v>20331</v>
      </c>
      <c r="D7642" s="68" t="s">
        <v>23050</v>
      </c>
      <c r="E7642" s="64" t="s">
        <v>23316</v>
      </c>
      <c r="F7642" s="68" t="s">
        <v>23381</v>
      </c>
      <c r="G7642" s="64" t="s">
        <v>23382</v>
      </c>
      <c r="H7642" s="68" t="s">
        <v>23383</v>
      </c>
      <c r="I7642" s="64">
        <v>1</v>
      </c>
      <c r="J7642" s="44" t="str">
        <f>VLOOKUP(G7642,[1]硬件清单!$F:$F,1,0)</f>
        <v>W80002312004524</v>
      </c>
      <c r="K7642" s="66"/>
      <c r="L7642" s="44" t="s">
        <v>17</v>
      </c>
      <c r="M7642" s="64" t="s">
        <v>23384</v>
      </c>
    </row>
    <row r="7643" ht="30" customHeight="1" spans="1:13">
      <c r="A7643" s="41">
        <f>IF(C7643="","",SUBTOTAL(103,$C$2:C7643))</f>
        <v>7634</v>
      </c>
      <c r="B7643" s="67"/>
      <c r="C7643" s="58" t="s">
        <v>20331</v>
      </c>
      <c r="D7643" s="68" t="s">
        <v>23050</v>
      </c>
      <c r="E7643" s="64" t="s">
        <v>23316</v>
      </c>
      <c r="F7643" s="68" t="s">
        <v>23381</v>
      </c>
      <c r="G7643" s="64" t="s">
        <v>23385</v>
      </c>
      <c r="H7643" s="68" t="s">
        <v>23386</v>
      </c>
      <c r="I7643" s="64">
        <v>1</v>
      </c>
      <c r="J7643" s="44" t="str">
        <f>VLOOKUP(G7643,[1]硬件清单!$F:$F,1,0)</f>
        <v>W80002312004525</v>
      </c>
      <c r="K7643" s="66"/>
      <c r="L7643" s="44" t="s">
        <v>17</v>
      </c>
      <c r="M7643" s="64" t="s">
        <v>23387</v>
      </c>
    </row>
    <row r="7644" ht="30" customHeight="1" spans="1:13">
      <c r="A7644" s="41">
        <f>IF(C7644="","",SUBTOTAL(103,$C$2:C7644))</f>
        <v>7635</v>
      </c>
      <c r="B7644" s="67"/>
      <c r="C7644" s="58" t="s">
        <v>20331</v>
      </c>
      <c r="D7644" s="68" t="s">
        <v>23050</v>
      </c>
      <c r="E7644" s="64" t="s">
        <v>23316</v>
      </c>
      <c r="F7644" s="68" t="s">
        <v>23388</v>
      </c>
      <c r="G7644" s="64" t="s">
        <v>23389</v>
      </c>
      <c r="H7644" s="68" t="s">
        <v>23390</v>
      </c>
      <c r="I7644" s="64">
        <v>1</v>
      </c>
      <c r="J7644" s="44" t="str">
        <f>VLOOKUP(G7644,[1]硬件清单!$F:$F,1,0)</f>
        <v>W80002312004475</v>
      </c>
      <c r="K7644" s="66"/>
      <c r="L7644" s="44" t="s">
        <v>17</v>
      </c>
      <c r="M7644" s="64" t="s">
        <v>23391</v>
      </c>
    </row>
    <row r="7645" ht="30" customHeight="1" spans="1:13">
      <c r="A7645" s="41">
        <f>IF(C7645="","",SUBTOTAL(103,$C$2:C7645))</f>
        <v>7636</v>
      </c>
      <c r="B7645" s="67"/>
      <c r="C7645" s="58" t="s">
        <v>20331</v>
      </c>
      <c r="D7645" s="68" t="s">
        <v>23050</v>
      </c>
      <c r="E7645" s="64" t="s">
        <v>23316</v>
      </c>
      <c r="F7645" s="68" t="s">
        <v>23388</v>
      </c>
      <c r="G7645" s="64" t="s">
        <v>23392</v>
      </c>
      <c r="H7645" s="68" t="s">
        <v>23393</v>
      </c>
      <c r="I7645" s="64">
        <v>1</v>
      </c>
      <c r="J7645" s="44" t="str">
        <f>VLOOKUP(G7645,[1]硬件清单!$F:$F,1,0)</f>
        <v>W80002312004479</v>
      </c>
      <c r="K7645" s="66"/>
      <c r="L7645" s="44" t="s">
        <v>17</v>
      </c>
      <c r="M7645" s="64" t="s">
        <v>23394</v>
      </c>
    </row>
    <row r="7646" ht="30" customHeight="1" spans="1:13">
      <c r="A7646" s="41">
        <f>IF(C7646="","",SUBTOTAL(103,$C$2:C7646))</f>
        <v>7637</v>
      </c>
      <c r="B7646" s="67"/>
      <c r="C7646" s="58" t="s">
        <v>20331</v>
      </c>
      <c r="D7646" s="68" t="s">
        <v>23050</v>
      </c>
      <c r="E7646" s="64" t="s">
        <v>23316</v>
      </c>
      <c r="F7646" s="68" t="s">
        <v>23388</v>
      </c>
      <c r="G7646" s="64" t="s">
        <v>23395</v>
      </c>
      <c r="H7646" s="68" t="s">
        <v>23396</v>
      </c>
      <c r="I7646" s="64">
        <v>1</v>
      </c>
      <c r="J7646" s="44" t="str">
        <f>VLOOKUP(G7646,[1]硬件清单!$F:$F,1,0)</f>
        <v>W80002312004467</v>
      </c>
      <c r="K7646" s="66"/>
      <c r="L7646" s="44" t="s">
        <v>17</v>
      </c>
      <c r="M7646" s="64" t="s">
        <v>23397</v>
      </c>
    </row>
    <row r="7647" ht="30" customHeight="1" spans="1:13">
      <c r="A7647" s="41">
        <f>IF(C7647="","",SUBTOTAL(103,$C$2:C7647))</f>
        <v>7638</v>
      </c>
      <c r="B7647" s="67"/>
      <c r="C7647" s="58" t="s">
        <v>20331</v>
      </c>
      <c r="D7647" s="68" t="s">
        <v>23050</v>
      </c>
      <c r="E7647" s="64" t="s">
        <v>23316</v>
      </c>
      <c r="F7647" s="68" t="s">
        <v>23388</v>
      </c>
      <c r="G7647" s="64" t="s">
        <v>23398</v>
      </c>
      <c r="H7647" s="68" t="s">
        <v>23399</v>
      </c>
      <c r="I7647" s="64">
        <v>1</v>
      </c>
      <c r="J7647" s="44" t="str">
        <f>VLOOKUP(G7647,[1]硬件清单!$F:$F,1,0)</f>
        <v>W80002312004472</v>
      </c>
      <c r="K7647" s="66"/>
      <c r="L7647" s="44" t="s">
        <v>17</v>
      </c>
      <c r="M7647" s="64" t="s">
        <v>23400</v>
      </c>
    </row>
    <row r="7648" ht="30" customHeight="1" spans="1:13">
      <c r="A7648" s="41">
        <f>IF(C7648="","",SUBTOTAL(103,$C$2:C7648))</f>
        <v>7639</v>
      </c>
      <c r="B7648" s="67"/>
      <c r="C7648" s="58" t="s">
        <v>20331</v>
      </c>
      <c r="D7648" s="68" t="s">
        <v>23050</v>
      </c>
      <c r="E7648" s="64" t="s">
        <v>23316</v>
      </c>
      <c r="F7648" s="68" t="s">
        <v>23388</v>
      </c>
      <c r="G7648" s="64" t="s">
        <v>23401</v>
      </c>
      <c r="H7648" s="68" t="s">
        <v>23402</v>
      </c>
      <c r="I7648" s="64">
        <v>1</v>
      </c>
      <c r="J7648" s="44" t="str">
        <f>VLOOKUP(G7648,[1]硬件清单!$F:$F,1,0)</f>
        <v>W80002312004469</v>
      </c>
      <c r="K7648" s="66"/>
      <c r="L7648" s="44" t="s">
        <v>17</v>
      </c>
      <c r="M7648" s="64" t="s">
        <v>23403</v>
      </c>
    </row>
    <row r="7649" ht="30" customHeight="1" spans="1:13">
      <c r="A7649" s="41">
        <f>IF(C7649="","",SUBTOTAL(103,$C$2:C7649))</f>
        <v>7640</v>
      </c>
      <c r="B7649" s="67"/>
      <c r="C7649" s="58" t="s">
        <v>20331</v>
      </c>
      <c r="D7649" s="68" t="s">
        <v>23050</v>
      </c>
      <c r="E7649" s="64" t="s">
        <v>23316</v>
      </c>
      <c r="F7649" s="68" t="s">
        <v>23388</v>
      </c>
      <c r="G7649" s="64" t="s">
        <v>23404</v>
      </c>
      <c r="H7649" s="68" t="s">
        <v>23405</v>
      </c>
      <c r="I7649" s="64">
        <v>1</v>
      </c>
      <c r="J7649" s="44" t="str">
        <f>VLOOKUP(G7649,[1]硬件清单!$F:$F,1,0)</f>
        <v>W80002312004471</v>
      </c>
      <c r="K7649" s="66"/>
      <c r="L7649" s="44" t="s">
        <v>17</v>
      </c>
      <c r="M7649" s="64" t="s">
        <v>23406</v>
      </c>
    </row>
    <row r="7650" ht="30" customHeight="1" spans="1:13">
      <c r="A7650" s="41">
        <f>IF(C7650="","",SUBTOTAL(103,$C$2:C7650))</f>
        <v>7641</v>
      </c>
      <c r="B7650" s="67"/>
      <c r="C7650" s="58" t="s">
        <v>20331</v>
      </c>
      <c r="D7650" s="68" t="s">
        <v>23050</v>
      </c>
      <c r="E7650" s="64" t="s">
        <v>23316</v>
      </c>
      <c r="F7650" s="68" t="s">
        <v>23388</v>
      </c>
      <c r="G7650" s="64" t="s">
        <v>23407</v>
      </c>
      <c r="H7650" s="68" t="s">
        <v>23408</v>
      </c>
      <c r="I7650" s="64">
        <v>1</v>
      </c>
      <c r="J7650" s="44" t="str">
        <f>VLOOKUP(G7650,[1]硬件清单!$F:$F,1,0)</f>
        <v>W80002312004477</v>
      </c>
      <c r="K7650" s="66"/>
      <c r="L7650" s="44" t="s">
        <v>17</v>
      </c>
      <c r="M7650" s="64" t="s">
        <v>23409</v>
      </c>
    </row>
    <row r="7651" ht="30" customHeight="1" spans="1:13">
      <c r="A7651" s="41">
        <f>IF(C7651="","",SUBTOTAL(103,$C$2:C7651))</f>
        <v>7642</v>
      </c>
      <c r="B7651" s="67"/>
      <c r="C7651" s="58" t="s">
        <v>20331</v>
      </c>
      <c r="D7651" s="68" t="s">
        <v>23050</v>
      </c>
      <c r="E7651" s="64" t="s">
        <v>23316</v>
      </c>
      <c r="F7651" s="68" t="s">
        <v>23388</v>
      </c>
      <c r="G7651" s="64" t="s">
        <v>23410</v>
      </c>
      <c r="H7651" s="68" t="s">
        <v>23411</v>
      </c>
      <c r="I7651" s="64">
        <v>1</v>
      </c>
      <c r="J7651" s="44" t="str">
        <f>VLOOKUP(G7651,[1]硬件清单!$F:$F,1,0)</f>
        <v>W80002312004474</v>
      </c>
      <c r="K7651" s="66"/>
      <c r="L7651" s="44" t="s">
        <v>17</v>
      </c>
      <c r="M7651" s="64" t="s">
        <v>23412</v>
      </c>
    </row>
    <row r="7652" ht="30" customHeight="1" spans="1:13">
      <c r="A7652" s="41">
        <f>IF(C7652="","",SUBTOTAL(103,$C$2:C7652))</f>
        <v>7643</v>
      </c>
      <c r="B7652" s="67"/>
      <c r="C7652" s="58" t="s">
        <v>20331</v>
      </c>
      <c r="D7652" s="68" t="s">
        <v>23050</v>
      </c>
      <c r="E7652" s="64" t="s">
        <v>23316</v>
      </c>
      <c r="F7652" s="68" t="s">
        <v>23388</v>
      </c>
      <c r="G7652" s="64" t="s">
        <v>23413</v>
      </c>
      <c r="H7652" s="68" t="s">
        <v>23414</v>
      </c>
      <c r="I7652" s="64">
        <v>1</v>
      </c>
      <c r="J7652" s="44" t="str">
        <f>VLOOKUP(G7652,[1]硬件清单!$F:$F,1,0)</f>
        <v>W80002312004478</v>
      </c>
      <c r="K7652" s="66"/>
      <c r="L7652" s="44" t="s">
        <v>17</v>
      </c>
      <c r="M7652" s="64" t="s">
        <v>23415</v>
      </c>
    </row>
    <row r="7653" ht="30" customHeight="1" spans="1:13">
      <c r="A7653" s="41">
        <f>IF(C7653="","",SUBTOTAL(103,$C$2:C7653))</f>
        <v>7644</v>
      </c>
      <c r="B7653" s="67"/>
      <c r="C7653" s="58" t="s">
        <v>20331</v>
      </c>
      <c r="D7653" s="68" t="s">
        <v>23050</v>
      </c>
      <c r="E7653" s="64" t="s">
        <v>23316</v>
      </c>
      <c r="F7653" s="68" t="s">
        <v>23388</v>
      </c>
      <c r="G7653" s="64" t="s">
        <v>23416</v>
      </c>
      <c r="H7653" s="68" t="s">
        <v>23417</v>
      </c>
      <c r="I7653" s="64">
        <v>1</v>
      </c>
      <c r="J7653" s="44" t="str">
        <f>VLOOKUP(G7653,[1]硬件清单!$F:$F,1,0)</f>
        <v>W80002312004482</v>
      </c>
      <c r="K7653" s="66"/>
      <c r="L7653" s="44" t="s">
        <v>17</v>
      </c>
      <c r="M7653" s="64" t="s">
        <v>23418</v>
      </c>
    </row>
    <row r="7654" ht="30" customHeight="1" spans="1:13">
      <c r="A7654" s="41">
        <f>IF(C7654="","",SUBTOTAL(103,$C$2:C7654))</f>
        <v>7645</v>
      </c>
      <c r="B7654" s="67"/>
      <c r="C7654" s="58" t="s">
        <v>20331</v>
      </c>
      <c r="D7654" s="68" t="s">
        <v>23050</v>
      </c>
      <c r="E7654" s="64" t="s">
        <v>23316</v>
      </c>
      <c r="F7654" s="68" t="s">
        <v>23388</v>
      </c>
      <c r="G7654" s="64" t="s">
        <v>23419</v>
      </c>
      <c r="H7654" s="68" t="s">
        <v>23420</v>
      </c>
      <c r="I7654" s="64">
        <v>1</v>
      </c>
      <c r="J7654" s="44" t="str">
        <f>VLOOKUP(G7654,[1]硬件清单!$F:$F,1,0)</f>
        <v>W80002312004476</v>
      </c>
      <c r="K7654" s="66"/>
      <c r="L7654" s="44" t="s">
        <v>17</v>
      </c>
      <c r="M7654" s="64" t="s">
        <v>23421</v>
      </c>
    </row>
    <row r="7655" ht="30" customHeight="1" spans="1:13">
      <c r="A7655" s="41">
        <f>IF(C7655="","",SUBTOTAL(103,$C$2:C7655))</f>
        <v>7646</v>
      </c>
      <c r="B7655" s="67"/>
      <c r="C7655" s="58" t="s">
        <v>20331</v>
      </c>
      <c r="D7655" s="68" t="s">
        <v>23050</v>
      </c>
      <c r="E7655" s="64" t="s">
        <v>23316</v>
      </c>
      <c r="F7655" s="68" t="s">
        <v>23388</v>
      </c>
      <c r="G7655" s="64" t="s">
        <v>23422</v>
      </c>
      <c r="H7655" s="68" t="s">
        <v>23423</v>
      </c>
      <c r="I7655" s="64">
        <v>1</v>
      </c>
      <c r="J7655" s="44" t="str">
        <f>VLOOKUP(G7655,[1]硬件清单!$F:$F,1,0)</f>
        <v>W80002312004481</v>
      </c>
      <c r="K7655" s="66"/>
      <c r="L7655" s="44" t="s">
        <v>17</v>
      </c>
      <c r="M7655" s="64" t="s">
        <v>23424</v>
      </c>
    </row>
    <row r="7656" ht="30" customHeight="1" spans="1:13">
      <c r="A7656" s="41">
        <f>IF(C7656="","",SUBTOTAL(103,$C$2:C7656))</f>
        <v>7647</v>
      </c>
      <c r="B7656" s="67"/>
      <c r="C7656" s="58" t="s">
        <v>20331</v>
      </c>
      <c r="D7656" s="68" t="s">
        <v>23050</v>
      </c>
      <c r="E7656" s="64" t="s">
        <v>23316</v>
      </c>
      <c r="F7656" s="68" t="s">
        <v>23388</v>
      </c>
      <c r="G7656" s="64" t="s">
        <v>23425</v>
      </c>
      <c r="H7656" s="68" t="s">
        <v>23426</v>
      </c>
      <c r="I7656" s="64">
        <v>1</v>
      </c>
      <c r="J7656" s="44" t="str">
        <f>VLOOKUP(G7656,[1]硬件清单!$F:$F,1,0)</f>
        <v>W80002312004480</v>
      </c>
      <c r="K7656" s="66"/>
      <c r="L7656" s="44" t="s">
        <v>17</v>
      </c>
      <c r="M7656" s="64" t="s">
        <v>23427</v>
      </c>
    </row>
    <row r="7657" ht="30" customHeight="1" spans="1:13">
      <c r="A7657" s="41">
        <f>IF(C7657="","",SUBTOTAL(103,$C$2:C7657))</f>
        <v>7648</v>
      </c>
      <c r="B7657" s="67"/>
      <c r="C7657" s="58" t="s">
        <v>20331</v>
      </c>
      <c r="D7657" s="68" t="s">
        <v>23050</v>
      </c>
      <c r="E7657" s="64" t="s">
        <v>23316</v>
      </c>
      <c r="F7657" s="68" t="s">
        <v>23388</v>
      </c>
      <c r="G7657" s="64" t="s">
        <v>23428</v>
      </c>
      <c r="H7657" s="68" t="s">
        <v>23429</v>
      </c>
      <c r="I7657" s="64">
        <v>1</v>
      </c>
      <c r="J7657" s="44" t="str">
        <f>VLOOKUP(G7657,[1]硬件清单!$F:$F,1,0)</f>
        <v>W80002312004473</v>
      </c>
      <c r="K7657" s="66"/>
      <c r="L7657" s="44" t="s">
        <v>17</v>
      </c>
      <c r="M7657" s="64" t="s">
        <v>23430</v>
      </c>
    </row>
    <row r="7658" ht="30" customHeight="1" spans="1:13">
      <c r="A7658" s="41">
        <f>IF(C7658="","",SUBTOTAL(103,$C$2:C7658))</f>
        <v>7649</v>
      </c>
      <c r="B7658" s="67"/>
      <c r="C7658" s="58" t="s">
        <v>20331</v>
      </c>
      <c r="D7658" s="68" t="s">
        <v>23050</v>
      </c>
      <c r="E7658" s="64" t="s">
        <v>23316</v>
      </c>
      <c r="F7658" s="68" t="s">
        <v>23388</v>
      </c>
      <c r="G7658" s="64" t="s">
        <v>23431</v>
      </c>
      <c r="H7658" s="68" t="s">
        <v>23432</v>
      </c>
      <c r="I7658" s="64">
        <v>1</v>
      </c>
      <c r="J7658" s="44" t="str">
        <f>VLOOKUP(G7658,[1]硬件清单!$F:$F,1,0)</f>
        <v>W80002312004468</v>
      </c>
      <c r="K7658" s="66"/>
      <c r="L7658" s="44" t="s">
        <v>17</v>
      </c>
      <c r="M7658" s="64" t="s">
        <v>23433</v>
      </c>
    </row>
    <row r="7659" ht="30" customHeight="1" spans="1:13">
      <c r="A7659" s="41">
        <f>IF(C7659="","",SUBTOTAL(103,$C$2:C7659))</f>
        <v>7650</v>
      </c>
      <c r="B7659" s="67"/>
      <c r="C7659" s="58" t="s">
        <v>20331</v>
      </c>
      <c r="D7659" s="68" t="s">
        <v>23050</v>
      </c>
      <c r="E7659" s="64" t="s">
        <v>23316</v>
      </c>
      <c r="F7659" s="68" t="s">
        <v>23388</v>
      </c>
      <c r="G7659" s="64" t="s">
        <v>23434</v>
      </c>
      <c r="H7659" s="68" t="s">
        <v>23435</v>
      </c>
      <c r="I7659" s="64">
        <v>1</v>
      </c>
      <c r="J7659" s="44" t="str">
        <f>VLOOKUP(G7659,[1]硬件清单!$F:$F,1,0)</f>
        <v>W80002312004470</v>
      </c>
      <c r="K7659" s="66"/>
      <c r="L7659" s="44" t="s">
        <v>17</v>
      </c>
      <c r="M7659" s="64" t="s">
        <v>23436</v>
      </c>
    </row>
    <row r="7660" ht="30" customHeight="1" spans="1:13">
      <c r="A7660" s="41">
        <f>IF(C7660="","",SUBTOTAL(103,$C$2:C7660))</f>
        <v>7651</v>
      </c>
      <c r="B7660" s="67"/>
      <c r="C7660" s="58" t="s">
        <v>20331</v>
      </c>
      <c r="D7660" s="68" t="s">
        <v>23050</v>
      </c>
      <c r="E7660" s="64" t="s">
        <v>23316</v>
      </c>
      <c r="F7660" s="68" t="s">
        <v>23437</v>
      </c>
      <c r="G7660" s="64" t="s">
        <v>23438</v>
      </c>
      <c r="H7660" s="68" t="s">
        <v>23439</v>
      </c>
      <c r="I7660" s="64">
        <v>1</v>
      </c>
      <c r="J7660" s="44" t="str">
        <f>VLOOKUP(G7660,[1]硬件清单!$F:$F,1,0)</f>
        <v>W80002312004486</v>
      </c>
      <c r="K7660" s="66"/>
      <c r="L7660" s="44" t="s">
        <v>17</v>
      </c>
      <c r="M7660" s="64" t="s">
        <v>23440</v>
      </c>
    </row>
    <row r="7661" ht="30" customHeight="1" spans="1:13">
      <c r="A7661" s="41">
        <f>IF(C7661="","",SUBTOTAL(103,$C$2:C7661))</f>
        <v>7652</v>
      </c>
      <c r="B7661" s="67"/>
      <c r="C7661" s="58" t="s">
        <v>20331</v>
      </c>
      <c r="D7661" s="68" t="s">
        <v>23050</v>
      </c>
      <c r="E7661" s="64" t="s">
        <v>23316</v>
      </c>
      <c r="F7661" s="68" t="s">
        <v>23437</v>
      </c>
      <c r="G7661" s="64" t="s">
        <v>23441</v>
      </c>
      <c r="H7661" s="68" t="s">
        <v>23442</v>
      </c>
      <c r="I7661" s="64">
        <v>1</v>
      </c>
      <c r="J7661" s="44" t="str">
        <f>VLOOKUP(G7661,[1]硬件清单!$F:$F,1,0)</f>
        <v>W80002312004491</v>
      </c>
      <c r="K7661" s="66"/>
      <c r="L7661" s="44" t="s">
        <v>17</v>
      </c>
      <c r="M7661" s="64" t="s">
        <v>23443</v>
      </c>
    </row>
    <row r="7662" ht="30" customHeight="1" spans="1:13">
      <c r="A7662" s="41">
        <f>IF(C7662="","",SUBTOTAL(103,$C$2:C7662))</f>
        <v>7653</v>
      </c>
      <c r="B7662" s="67"/>
      <c r="C7662" s="58" t="s">
        <v>20331</v>
      </c>
      <c r="D7662" s="68" t="s">
        <v>23050</v>
      </c>
      <c r="E7662" s="64" t="s">
        <v>23316</v>
      </c>
      <c r="F7662" s="68" t="s">
        <v>23437</v>
      </c>
      <c r="G7662" s="64" t="s">
        <v>23444</v>
      </c>
      <c r="H7662" s="68" t="s">
        <v>23445</v>
      </c>
      <c r="I7662" s="64">
        <v>1</v>
      </c>
      <c r="J7662" s="44" t="str">
        <f>VLOOKUP(G7662,[1]硬件清单!$F:$F,1,0)</f>
        <v>W80002312004488</v>
      </c>
      <c r="K7662" s="66"/>
      <c r="L7662" s="44" t="s">
        <v>17</v>
      </c>
      <c r="M7662" s="64" t="s">
        <v>23446</v>
      </c>
    </row>
    <row r="7663" ht="30" customHeight="1" spans="1:13">
      <c r="A7663" s="41">
        <f>IF(C7663="","",SUBTOTAL(103,$C$2:C7663))</f>
        <v>7654</v>
      </c>
      <c r="B7663" s="67"/>
      <c r="C7663" s="58" t="s">
        <v>20331</v>
      </c>
      <c r="D7663" s="68" t="s">
        <v>23050</v>
      </c>
      <c r="E7663" s="64" t="s">
        <v>23316</v>
      </c>
      <c r="F7663" s="68" t="s">
        <v>23437</v>
      </c>
      <c r="G7663" s="64" t="s">
        <v>23447</v>
      </c>
      <c r="H7663" s="68" t="s">
        <v>23448</v>
      </c>
      <c r="I7663" s="64">
        <v>1</v>
      </c>
      <c r="J7663" s="44" t="str">
        <f>VLOOKUP(G7663,[1]硬件清单!$F:$F,1,0)</f>
        <v>W80002312004487</v>
      </c>
      <c r="K7663" s="66"/>
      <c r="L7663" s="44" t="s">
        <v>17</v>
      </c>
      <c r="M7663" s="64" t="s">
        <v>23449</v>
      </c>
    </row>
    <row r="7664" ht="30" customHeight="1" spans="1:13">
      <c r="A7664" s="41">
        <f>IF(C7664="","",SUBTOTAL(103,$C$2:C7664))</f>
        <v>7655</v>
      </c>
      <c r="B7664" s="67"/>
      <c r="C7664" s="58" t="s">
        <v>20331</v>
      </c>
      <c r="D7664" s="68" t="s">
        <v>23050</v>
      </c>
      <c r="E7664" s="64" t="s">
        <v>23316</v>
      </c>
      <c r="F7664" s="68" t="s">
        <v>23437</v>
      </c>
      <c r="G7664" s="64" t="s">
        <v>23450</v>
      </c>
      <c r="H7664" s="68" t="s">
        <v>23451</v>
      </c>
      <c r="I7664" s="64">
        <v>1</v>
      </c>
      <c r="J7664" s="44" t="str">
        <f>VLOOKUP(G7664,[1]硬件清单!$F:$F,1,0)</f>
        <v>W80002312004489</v>
      </c>
      <c r="K7664" s="66"/>
      <c r="L7664" s="44" t="s">
        <v>17</v>
      </c>
      <c r="M7664" s="64" t="s">
        <v>23452</v>
      </c>
    </row>
    <row r="7665" ht="30" customHeight="1" spans="1:13">
      <c r="A7665" s="41">
        <f>IF(C7665="","",SUBTOTAL(103,$C$2:C7665))</f>
        <v>7656</v>
      </c>
      <c r="B7665" s="67"/>
      <c r="C7665" s="58" t="s">
        <v>20331</v>
      </c>
      <c r="D7665" s="68" t="s">
        <v>23050</v>
      </c>
      <c r="E7665" s="64" t="s">
        <v>23316</v>
      </c>
      <c r="F7665" s="68" t="s">
        <v>23437</v>
      </c>
      <c r="G7665" s="64" t="s">
        <v>23453</v>
      </c>
      <c r="H7665" s="68" t="s">
        <v>23454</v>
      </c>
      <c r="I7665" s="64">
        <v>1</v>
      </c>
      <c r="J7665" s="44" t="str">
        <f>VLOOKUP(G7665,[1]硬件清单!$F:$F,1,0)</f>
        <v>W80002312004490</v>
      </c>
      <c r="K7665" s="66"/>
      <c r="L7665" s="44" t="s">
        <v>17</v>
      </c>
      <c r="M7665" s="64" t="s">
        <v>23455</v>
      </c>
    </row>
    <row r="7666" ht="30" customHeight="1" spans="1:13">
      <c r="A7666" s="41">
        <f>IF(C7666="","",SUBTOTAL(103,$C$2:C7666))</f>
        <v>7657</v>
      </c>
      <c r="B7666" s="67"/>
      <c r="C7666" s="58" t="s">
        <v>20331</v>
      </c>
      <c r="D7666" s="68" t="s">
        <v>23050</v>
      </c>
      <c r="E7666" s="64" t="s">
        <v>23316</v>
      </c>
      <c r="F7666" s="68" t="s">
        <v>23456</v>
      </c>
      <c r="G7666" s="64" t="s">
        <v>23457</v>
      </c>
      <c r="H7666" s="68" t="s">
        <v>23458</v>
      </c>
      <c r="I7666" s="64">
        <v>1</v>
      </c>
      <c r="J7666" s="44" t="str">
        <f>VLOOKUP(G7666,[1]硬件清单!$F:$F,1,0)</f>
        <v>W80002312004505</v>
      </c>
      <c r="K7666" s="66"/>
      <c r="L7666" s="44" t="s">
        <v>17</v>
      </c>
      <c r="M7666" s="64" t="s">
        <v>23459</v>
      </c>
    </row>
    <row r="7667" ht="30" customHeight="1" spans="1:13">
      <c r="A7667" s="41">
        <f>IF(C7667="","",SUBTOTAL(103,$C$2:C7667))</f>
        <v>7658</v>
      </c>
      <c r="B7667" s="67"/>
      <c r="C7667" s="58" t="s">
        <v>20331</v>
      </c>
      <c r="D7667" s="68" t="s">
        <v>23050</v>
      </c>
      <c r="E7667" s="64" t="s">
        <v>23316</v>
      </c>
      <c r="F7667" s="68" t="s">
        <v>23456</v>
      </c>
      <c r="G7667" s="64" t="s">
        <v>23460</v>
      </c>
      <c r="H7667" s="68" t="s">
        <v>23461</v>
      </c>
      <c r="I7667" s="64">
        <v>1</v>
      </c>
      <c r="J7667" s="44" t="str">
        <f>VLOOKUP(G7667,[1]硬件清单!$F:$F,1,0)</f>
        <v>W80002312004504</v>
      </c>
      <c r="K7667" s="66"/>
      <c r="L7667" s="44" t="s">
        <v>17</v>
      </c>
      <c r="M7667" s="64" t="s">
        <v>23462</v>
      </c>
    </row>
    <row r="7668" ht="30" customHeight="1" spans="1:13">
      <c r="A7668" s="41">
        <f>IF(C7668="","",SUBTOTAL(103,$C$2:C7668))</f>
        <v>7659</v>
      </c>
      <c r="B7668" s="67"/>
      <c r="C7668" s="58" t="s">
        <v>20331</v>
      </c>
      <c r="D7668" s="68" t="s">
        <v>23050</v>
      </c>
      <c r="E7668" s="64" t="s">
        <v>23316</v>
      </c>
      <c r="F7668" s="68" t="s">
        <v>23456</v>
      </c>
      <c r="G7668" s="64" t="s">
        <v>23463</v>
      </c>
      <c r="H7668" s="68" t="s">
        <v>23464</v>
      </c>
      <c r="I7668" s="64">
        <v>1</v>
      </c>
      <c r="J7668" s="44" t="str">
        <f>VLOOKUP(G7668,[1]硬件清单!$F:$F,1,0)</f>
        <v>W80002312004506</v>
      </c>
      <c r="K7668" s="66"/>
      <c r="L7668" s="44" t="s">
        <v>17</v>
      </c>
      <c r="M7668" s="64" t="s">
        <v>23465</v>
      </c>
    </row>
    <row r="7669" ht="30" customHeight="1" spans="1:13">
      <c r="A7669" s="41">
        <f>IF(C7669="","",SUBTOTAL(103,$C$2:C7669))</f>
        <v>7660</v>
      </c>
      <c r="B7669" s="67"/>
      <c r="C7669" s="58" t="s">
        <v>20331</v>
      </c>
      <c r="D7669" s="68" t="s">
        <v>23050</v>
      </c>
      <c r="E7669" s="64" t="s">
        <v>23316</v>
      </c>
      <c r="F7669" s="68" t="s">
        <v>23456</v>
      </c>
      <c r="G7669" s="64" t="s">
        <v>23466</v>
      </c>
      <c r="H7669" s="68" t="s">
        <v>23467</v>
      </c>
      <c r="I7669" s="64">
        <v>1</v>
      </c>
      <c r="J7669" s="44" t="str">
        <f>VLOOKUP(G7669,[1]硬件清单!$F:$F,1,0)</f>
        <v>W80002312004513</v>
      </c>
      <c r="K7669" s="66"/>
      <c r="L7669" s="44" t="s">
        <v>17</v>
      </c>
      <c r="M7669" s="64" t="s">
        <v>23468</v>
      </c>
    </row>
    <row r="7670" ht="30" customHeight="1" spans="1:13">
      <c r="A7670" s="41">
        <f>IF(C7670="","",SUBTOTAL(103,$C$2:C7670))</f>
        <v>7661</v>
      </c>
      <c r="B7670" s="67"/>
      <c r="C7670" s="58" t="s">
        <v>20331</v>
      </c>
      <c r="D7670" s="68" t="s">
        <v>23050</v>
      </c>
      <c r="E7670" s="64" t="s">
        <v>23316</v>
      </c>
      <c r="F7670" s="68" t="s">
        <v>23456</v>
      </c>
      <c r="G7670" s="64" t="s">
        <v>23469</v>
      </c>
      <c r="H7670" s="68" t="s">
        <v>23470</v>
      </c>
      <c r="I7670" s="64">
        <v>1</v>
      </c>
      <c r="J7670" s="44" t="str">
        <f>VLOOKUP(G7670,[1]硬件清单!$F:$F,1,0)</f>
        <v>W80002312004511</v>
      </c>
      <c r="K7670" s="66"/>
      <c r="L7670" s="44" t="s">
        <v>17</v>
      </c>
      <c r="M7670" s="64" t="s">
        <v>23471</v>
      </c>
    </row>
    <row r="7671" ht="30" customHeight="1" spans="1:13">
      <c r="A7671" s="41">
        <f>IF(C7671="","",SUBTOTAL(103,$C$2:C7671))</f>
        <v>7662</v>
      </c>
      <c r="B7671" s="67"/>
      <c r="C7671" s="58" t="s">
        <v>20331</v>
      </c>
      <c r="D7671" s="68" t="s">
        <v>23050</v>
      </c>
      <c r="E7671" s="64" t="s">
        <v>23316</v>
      </c>
      <c r="F7671" s="68" t="s">
        <v>23456</v>
      </c>
      <c r="G7671" s="64" t="s">
        <v>23472</v>
      </c>
      <c r="H7671" s="68" t="s">
        <v>23473</v>
      </c>
      <c r="I7671" s="64">
        <v>1</v>
      </c>
      <c r="J7671" s="44" t="str">
        <f>VLOOKUP(G7671,[1]硬件清单!$F:$F,1,0)</f>
        <v>W80002312004507</v>
      </c>
      <c r="K7671" s="66"/>
      <c r="L7671" s="44" t="s">
        <v>17</v>
      </c>
      <c r="M7671" s="64" t="s">
        <v>23474</v>
      </c>
    </row>
    <row r="7672" ht="30" customHeight="1" spans="1:13">
      <c r="A7672" s="41">
        <f>IF(C7672="","",SUBTOTAL(103,$C$2:C7672))</f>
        <v>7663</v>
      </c>
      <c r="B7672" s="67"/>
      <c r="C7672" s="58" t="s">
        <v>20331</v>
      </c>
      <c r="D7672" s="68" t="s">
        <v>23050</v>
      </c>
      <c r="E7672" s="64" t="s">
        <v>23316</v>
      </c>
      <c r="F7672" s="68" t="s">
        <v>23456</v>
      </c>
      <c r="G7672" s="64" t="s">
        <v>23475</v>
      </c>
      <c r="H7672" s="68" t="s">
        <v>23476</v>
      </c>
      <c r="I7672" s="64">
        <v>1</v>
      </c>
      <c r="J7672" s="44" t="str">
        <f>VLOOKUP(G7672,[1]硬件清单!$F:$F,1,0)</f>
        <v>W80002312004509</v>
      </c>
      <c r="K7672" s="66"/>
      <c r="L7672" s="44" t="s">
        <v>17</v>
      </c>
      <c r="M7672" s="64" t="s">
        <v>23477</v>
      </c>
    </row>
    <row r="7673" ht="30" customHeight="1" spans="1:13">
      <c r="A7673" s="41">
        <f>IF(C7673="","",SUBTOTAL(103,$C$2:C7673))</f>
        <v>7664</v>
      </c>
      <c r="B7673" s="67"/>
      <c r="C7673" s="58" t="s">
        <v>20331</v>
      </c>
      <c r="D7673" s="68" t="s">
        <v>23050</v>
      </c>
      <c r="E7673" s="64" t="s">
        <v>23316</v>
      </c>
      <c r="F7673" s="68" t="s">
        <v>23456</v>
      </c>
      <c r="G7673" s="64" t="s">
        <v>23478</v>
      </c>
      <c r="H7673" s="68" t="s">
        <v>23479</v>
      </c>
      <c r="I7673" s="64">
        <v>1</v>
      </c>
      <c r="J7673" s="44" t="str">
        <f>VLOOKUP(G7673,[1]硬件清单!$F:$F,1,0)</f>
        <v>W80002312004508</v>
      </c>
      <c r="K7673" s="66"/>
      <c r="L7673" s="44" t="s">
        <v>17</v>
      </c>
      <c r="M7673" s="64" t="s">
        <v>23480</v>
      </c>
    </row>
    <row r="7674" ht="30" customHeight="1" spans="1:13">
      <c r="A7674" s="41">
        <f>IF(C7674="","",SUBTOTAL(103,$C$2:C7674))</f>
        <v>7665</v>
      </c>
      <c r="B7674" s="67"/>
      <c r="C7674" s="58" t="s">
        <v>20331</v>
      </c>
      <c r="D7674" s="68" t="s">
        <v>23050</v>
      </c>
      <c r="E7674" s="64" t="s">
        <v>23316</v>
      </c>
      <c r="F7674" s="68" t="s">
        <v>23456</v>
      </c>
      <c r="G7674" s="64" t="s">
        <v>23481</v>
      </c>
      <c r="H7674" s="68" t="s">
        <v>23482</v>
      </c>
      <c r="I7674" s="64">
        <v>1</v>
      </c>
      <c r="J7674" s="44" t="str">
        <f>VLOOKUP(G7674,[1]硬件清单!$F:$F,1,0)</f>
        <v>W80002312004512</v>
      </c>
      <c r="K7674" s="66"/>
      <c r="L7674" s="44" t="s">
        <v>17</v>
      </c>
      <c r="M7674" s="64" t="s">
        <v>23483</v>
      </c>
    </row>
    <row r="7675" ht="30" customHeight="1" spans="1:13">
      <c r="A7675" s="41">
        <f>IF(C7675="","",SUBTOTAL(103,$C$2:C7675))</f>
        <v>7666</v>
      </c>
      <c r="B7675" s="67"/>
      <c r="C7675" s="58" t="s">
        <v>20331</v>
      </c>
      <c r="D7675" s="68" t="s">
        <v>23050</v>
      </c>
      <c r="E7675" s="64" t="s">
        <v>23316</v>
      </c>
      <c r="F7675" s="68" t="s">
        <v>23456</v>
      </c>
      <c r="G7675" s="64" t="s">
        <v>23484</v>
      </c>
      <c r="H7675" s="68" t="s">
        <v>23485</v>
      </c>
      <c r="I7675" s="64">
        <v>1</v>
      </c>
      <c r="J7675" s="44" t="str">
        <f>VLOOKUP(G7675,[1]硬件清单!$F:$F,1,0)</f>
        <v>W80002312004510</v>
      </c>
      <c r="K7675" s="66"/>
      <c r="L7675" s="44" t="s">
        <v>17</v>
      </c>
      <c r="M7675" s="64" t="s">
        <v>23486</v>
      </c>
    </row>
    <row r="7676" ht="30" customHeight="1" spans="1:13">
      <c r="A7676" s="41">
        <f>IF(C7676="","",SUBTOTAL(103,$C$2:C7676))</f>
        <v>7667</v>
      </c>
      <c r="B7676" s="67"/>
      <c r="C7676" s="58" t="s">
        <v>20331</v>
      </c>
      <c r="D7676" s="68" t="s">
        <v>23050</v>
      </c>
      <c r="E7676" s="64" t="s">
        <v>23316</v>
      </c>
      <c r="F7676" s="68" t="s">
        <v>23487</v>
      </c>
      <c r="G7676" s="64" t="s">
        <v>23488</v>
      </c>
      <c r="H7676" s="68" t="s">
        <v>23489</v>
      </c>
      <c r="I7676" s="64">
        <v>1</v>
      </c>
      <c r="J7676" s="44" t="str">
        <f>VLOOKUP(G7676,[1]硬件清单!$F:$F,1,0)</f>
        <v>W80002312004495</v>
      </c>
      <c r="K7676" s="66"/>
      <c r="L7676" s="44" t="s">
        <v>17</v>
      </c>
      <c r="M7676" s="64" t="s">
        <v>23490</v>
      </c>
    </row>
    <row r="7677" ht="30" customHeight="1" spans="1:13">
      <c r="A7677" s="41">
        <f>IF(C7677="","",SUBTOTAL(103,$C$2:C7677))</f>
        <v>7668</v>
      </c>
      <c r="B7677" s="67"/>
      <c r="C7677" s="58" t="s">
        <v>20331</v>
      </c>
      <c r="D7677" s="68" t="s">
        <v>23050</v>
      </c>
      <c r="E7677" s="64" t="s">
        <v>23316</v>
      </c>
      <c r="F7677" s="68" t="s">
        <v>23487</v>
      </c>
      <c r="G7677" s="64" t="s">
        <v>23491</v>
      </c>
      <c r="H7677" s="68" t="s">
        <v>23492</v>
      </c>
      <c r="I7677" s="64">
        <v>1</v>
      </c>
      <c r="J7677" s="44" t="str">
        <f>VLOOKUP(G7677,[1]硬件清单!$F:$F,1,0)</f>
        <v>W80002312004494</v>
      </c>
      <c r="K7677" s="66"/>
      <c r="L7677" s="44" t="s">
        <v>17</v>
      </c>
      <c r="M7677" s="64" t="s">
        <v>23493</v>
      </c>
    </row>
    <row r="7678" ht="30" customHeight="1" spans="1:13">
      <c r="A7678" s="41">
        <f>IF(C7678="","",SUBTOTAL(103,$C$2:C7678))</f>
        <v>7669</v>
      </c>
      <c r="B7678" s="67"/>
      <c r="C7678" s="58" t="s">
        <v>20331</v>
      </c>
      <c r="D7678" s="68" t="s">
        <v>23050</v>
      </c>
      <c r="E7678" s="64" t="s">
        <v>23316</v>
      </c>
      <c r="F7678" s="68" t="s">
        <v>23494</v>
      </c>
      <c r="G7678" s="64" t="s">
        <v>23495</v>
      </c>
      <c r="H7678" s="68" t="s">
        <v>23496</v>
      </c>
      <c r="I7678" s="64">
        <v>1</v>
      </c>
      <c r="J7678" s="44" t="str">
        <f>VLOOKUP(G7678,[1]硬件清单!$F:$F,1,0)</f>
        <v>W80002312004492</v>
      </c>
      <c r="K7678" s="66"/>
      <c r="L7678" s="44" t="s">
        <v>17</v>
      </c>
      <c r="M7678" s="64" t="s">
        <v>23497</v>
      </c>
    </row>
    <row r="7679" ht="30" customHeight="1" spans="1:13">
      <c r="A7679" s="41">
        <f>IF(C7679="","",SUBTOTAL(103,$C$2:C7679))</f>
        <v>7670</v>
      </c>
      <c r="B7679" s="67"/>
      <c r="C7679" s="58" t="s">
        <v>20331</v>
      </c>
      <c r="D7679" s="68" t="s">
        <v>23050</v>
      </c>
      <c r="E7679" s="64" t="s">
        <v>23316</v>
      </c>
      <c r="F7679" s="68" t="s">
        <v>23494</v>
      </c>
      <c r="G7679" s="64" t="s">
        <v>23498</v>
      </c>
      <c r="H7679" s="68" t="s">
        <v>23499</v>
      </c>
      <c r="I7679" s="64">
        <v>1</v>
      </c>
      <c r="J7679" s="44" t="str">
        <f>VLOOKUP(G7679,[1]硬件清单!$F:$F,1,0)</f>
        <v>W80002312004493</v>
      </c>
      <c r="K7679" s="66"/>
      <c r="L7679" s="44" t="s">
        <v>17</v>
      </c>
      <c r="M7679" s="64" t="s">
        <v>23500</v>
      </c>
    </row>
    <row r="7680" ht="30" customHeight="1" spans="1:13">
      <c r="A7680" s="41">
        <f>IF(C7680="","",SUBTOTAL(103,$C$2:C7680))</f>
        <v>7671</v>
      </c>
      <c r="B7680" s="67"/>
      <c r="C7680" s="58" t="s">
        <v>20331</v>
      </c>
      <c r="D7680" s="68" t="s">
        <v>887</v>
      </c>
      <c r="E7680" s="64" t="s">
        <v>1429</v>
      </c>
      <c r="F7680" s="68" t="s">
        <v>23501</v>
      </c>
      <c r="G7680" s="64" t="s">
        <v>776</v>
      </c>
      <c r="H7680" s="68" t="s">
        <v>23502</v>
      </c>
      <c r="I7680" s="64">
        <v>10</v>
      </c>
      <c r="J7680" s="44" t="str">
        <f>VLOOKUP(G7680,[1]硬件清单!$F:$F,1,0)</f>
        <v>无</v>
      </c>
      <c r="K7680" s="66"/>
      <c r="L7680" s="44"/>
      <c r="M7680" s="64" t="s">
        <v>23503</v>
      </c>
    </row>
    <row r="7681" ht="30" customHeight="1" spans="1:13">
      <c r="A7681" s="41">
        <f>IF(C7681="","",SUBTOTAL(103,$C$2:C7681))</f>
        <v>7672</v>
      </c>
      <c r="B7681" s="67"/>
      <c r="C7681" s="58" t="s">
        <v>20331</v>
      </c>
      <c r="D7681" s="2" t="s">
        <v>23504</v>
      </c>
      <c r="E7681" s="2" t="s">
        <v>23504</v>
      </c>
      <c r="F7681" s="74" t="s">
        <v>23505</v>
      </c>
      <c r="G7681" s="75" t="s">
        <v>23506</v>
      </c>
      <c r="H7681" s="75" t="s">
        <v>23507</v>
      </c>
      <c r="I7681" s="76">
        <v>9</v>
      </c>
      <c r="J7681" s="44" t="str">
        <f>VLOOKUP(G7681,[1]硬件清单!$F:$F,1,0)</f>
        <v>2106195HABX3NC000014</v>
      </c>
      <c r="K7681" s="66"/>
      <c r="L7681" s="44"/>
      <c r="M7681" s="75" t="s">
        <v>23508</v>
      </c>
    </row>
    <row r="7682" ht="30" customHeight="1" spans="1:13">
      <c r="A7682" s="41">
        <f>IF(C7682="","",SUBTOTAL(103,$C$2:C7682))</f>
        <v>7673</v>
      </c>
      <c r="B7682" s="67"/>
      <c r="C7682" s="58" t="s">
        <v>20331</v>
      </c>
      <c r="D7682" s="2" t="s">
        <v>23504</v>
      </c>
      <c r="E7682" s="2" t="s">
        <v>23504</v>
      </c>
      <c r="F7682" s="74" t="s">
        <v>23505</v>
      </c>
      <c r="G7682" s="75" t="s">
        <v>23509</v>
      </c>
      <c r="H7682" s="75" t="s">
        <v>23510</v>
      </c>
      <c r="I7682" s="76">
        <v>9</v>
      </c>
      <c r="J7682" s="44" t="str">
        <f>VLOOKUP(G7682,[1]硬件清单!$F:$F,1,0)</f>
        <v>2106195HABX3NC000013</v>
      </c>
      <c r="K7682" s="66"/>
      <c r="L7682" s="44"/>
      <c r="M7682" s="75" t="s">
        <v>23511</v>
      </c>
    </row>
    <row r="7683" ht="30" customHeight="1" spans="1:13">
      <c r="A7683" s="41">
        <f>IF(C7683="","",SUBTOTAL(103,$C$2:C7683))</f>
        <v>7674</v>
      </c>
      <c r="B7683" s="67"/>
      <c r="C7683" s="58" t="s">
        <v>20331</v>
      </c>
      <c r="D7683" s="2" t="s">
        <v>23504</v>
      </c>
      <c r="E7683" s="2" t="s">
        <v>23504</v>
      </c>
      <c r="F7683" s="74" t="s">
        <v>23505</v>
      </c>
      <c r="G7683" s="75" t="s">
        <v>23512</v>
      </c>
      <c r="H7683" s="75" t="s">
        <v>23513</v>
      </c>
      <c r="I7683" s="76">
        <v>9</v>
      </c>
      <c r="J7683" s="44" t="str">
        <f>VLOOKUP(G7683,[1]硬件清单!$F:$F,1,0)</f>
        <v>2106195HABX3NC000012</v>
      </c>
      <c r="K7683" s="66"/>
      <c r="L7683" s="44"/>
      <c r="M7683" s="75" t="s">
        <v>23514</v>
      </c>
    </row>
    <row r="7684" ht="30" customHeight="1" spans="1:13">
      <c r="A7684" s="41">
        <f>IF(C7684="","",SUBTOTAL(103,$C$2:C7684))</f>
        <v>7675</v>
      </c>
      <c r="B7684" s="67"/>
      <c r="C7684" s="58" t="s">
        <v>20331</v>
      </c>
      <c r="D7684" s="2" t="s">
        <v>23504</v>
      </c>
      <c r="E7684" s="2" t="s">
        <v>23504</v>
      </c>
      <c r="F7684" s="74" t="s">
        <v>23505</v>
      </c>
      <c r="G7684" s="75" t="s">
        <v>23515</v>
      </c>
      <c r="H7684" s="75" t="s">
        <v>23516</v>
      </c>
      <c r="I7684" s="76">
        <v>9</v>
      </c>
      <c r="J7684" s="44" t="str">
        <f>VLOOKUP(G7684,[1]硬件清单!$F:$F,1,0)</f>
        <v>2106195HABX3NC000016</v>
      </c>
      <c r="K7684" s="66"/>
      <c r="L7684" s="44"/>
      <c r="M7684" s="75" t="s">
        <v>23517</v>
      </c>
    </row>
    <row r="7685" ht="30" customHeight="1" spans="1:13">
      <c r="A7685" s="41">
        <f>IF(C7685="","",SUBTOTAL(103,$C$2:C7685))</f>
        <v>7676</v>
      </c>
      <c r="B7685" s="67"/>
      <c r="C7685" s="58" t="s">
        <v>20331</v>
      </c>
      <c r="D7685" s="2" t="s">
        <v>23504</v>
      </c>
      <c r="E7685" s="2" t="s">
        <v>23504</v>
      </c>
      <c r="F7685" s="74" t="s">
        <v>23505</v>
      </c>
      <c r="G7685" s="75" t="s">
        <v>23518</v>
      </c>
      <c r="H7685" s="75" t="s">
        <v>23519</v>
      </c>
      <c r="I7685" s="76">
        <v>9</v>
      </c>
      <c r="J7685" s="44" t="str">
        <f>VLOOKUP(G7685,[1]硬件清单!$F:$F,1,0)</f>
        <v>2106195HABX3NC000011</v>
      </c>
      <c r="K7685" s="66"/>
      <c r="L7685" s="44"/>
      <c r="M7685" s="75" t="s">
        <v>23520</v>
      </c>
    </row>
    <row r="7686" ht="30" customHeight="1" spans="1:13">
      <c r="A7686" s="41">
        <f>IF(C7686="","",SUBTOTAL(103,$C$2:C7686))</f>
        <v>7677</v>
      </c>
      <c r="B7686" s="67"/>
      <c r="C7686" s="58" t="s">
        <v>20331</v>
      </c>
      <c r="D7686" s="2" t="s">
        <v>23504</v>
      </c>
      <c r="E7686" s="2" t="s">
        <v>23504</v>
      </c>
      <c r="F7686" s="74" t="s">
        <v>23505</v>
      </c>
      <c r="G7686" s="75" t="s">
        <v>23521</v>
      </c>
      <c r="H7686" s="75" t="s">
        <v>23522</v>
      </c>
      <c r="I7686" s="76">
        <v>9</v>
      </c>
      <c r="J7686" s="44" t="str">
        <f>VLOOKUP(G7686,[1]硬件清单!$F:$F,1,0)</f>
        <v>2106195HABX3NC000010</v>
      </c>
      <c r="K7686" s="66"/>
      <c r="L7686" s="44"/>
      <c r="M7686" s="75" t="s">
        <v>23523</v>
      </c>
    </row>
    <row r="7687" ht="30" customHeight="1" spans="1:13">
      <c r="A7687" s="41">
        <f>IF(C7687="","",SUBTOTAL(103,$C$2:C7687))</f>
        <v>7678</v>
      </c>
      <c r="B7687" s="67"/>
      <c r="C7687" s="58" t="s">
        <v>20331</v>
      </c>
      <c r="D7687" s="2" t="s">
        <v>23504</v>
      </c>
      <c r="E7687" s="2" t="s">
        <v>23504</v>
      </c>
      <c r="F7687" s="74" t="s">
        <v>23505</v>
      </c>
      <c r="G7687" s="75" t="s">
        <v>23524</v>
      </c>
      <c r="H7687" s="75" t="s">
        <v>23525</v>
      </c>
      <c r="I7687" s="76">
        <v>9</v>
      </c>
      <c r="J7687" s="44" t="str">
        <f>VLOOKUP(G7687,[1]硬件清单!$F:$F,1,0)</f>
        <v>2106195HABX3NC000009</v>
      </c>
      <c r="K7687" s="66"/>
      <c r="L7687" s="44"/>
      <c r="M7687" s="75" t="s">
        <v>23526</v>
      </c>
    </row>
    <row r="7688" ht="30" customHeight="1" spans="1:13">
      <c r="A7688" s="41">
        <f>IF(C7688="","",SUBTOTAL(103,$C$2:C7688))</f>
        <v>7679</v>
      </c>
      <c r="B7688" s="67"/>
      <c r="C7688" s="58" t="s">
        <v>20331</v>
      </c>
      <c r="D7688" s="2" t="s">
        <v>23504</v>
      </c>
      <c r="E7688" s="2" t="s">
        <v>23504</v>
      </c>
      <c r="F7688" s="74" t="s">
        <v>23505</v>
      </c>
      <c r="G7688" s="75" t="s">
        <v>23527</v>
      </c>
      <c r="H7688" s="75" t="s">
        <v>23528</v>
      </c>
      <c r="I7688" s="76">
        <v>9</v>
      </c>
      <c r="J7688" s="44" t="str">
        <f>VLOOKUP(G7688,[1]硬件清单!$F:$F,1,0)</f>
        <v>2106195HABX3NC000015</v>
      </c>
      <c r="K7688" s="66"/>
      <c r="L7688" s="44"/>
      <c r="M7688" s="75" t="s">
        <v>23529</v>
      </c>
    </row>
    <row r="7689" ht="30" customHeight="1" spans="1:13">
      <c r="A7689" s="41">
        <f>IF(C7689="","",SUBTOTAL(103,$C$2:C7689))</f>
        <v>7680</v>
      </c>
      <c r="B7689" s="67"/>
      <c r="C7689" s="58" t="s">
        <v>20331</v>
      </c>
      <c r="D7689" s="2" t="s">
        <v>23504</v>
      </c>
      <c r="E7689" s="2" t="s">
        <v>23504</v>
      </c>
      <c r="F7689" s="74" t="s">
        <v>23530</v>
      </c>
      <c r="G7689" s="75" t="s">
        <v>23531</v>
      </c>
      <c r="H7689" s="75" t="s">
        <v>23532</v>
      </c>
      <c r="I7689" s="76">
        <v>9</v>
      </c>
      <c r="J7689" s="44" t="str">
        <f>VLOOKUP(G7689,[1]硬件清单!$F:$F,1,0)</f>
        <v>2106195GYUX3NC000002</v>
      </c>
      <c r="K7689" s="66"/>
      <c r="L7689" s="44"/>
      <c r="M7689" s="75" t="s">
        <v>23533</v>
      </c>
    </row>
    <row r="7690" ht="30" customHeight="1" spans="1:13">
      <c r="A7690" s="41">
        <f>IF(C7690="","",SUBTOTAL(103,$C$2:C7690))</f>
        <v>7681</v>
      </c>
      <c r="B7690" s="67"/>
      <c r="C7690" s="58" t="s">
        <v>20331</v>
      </c>
      <c r="D7690" s="2" t="s">
        <v>23504</v>
      </c>
      <c r="E7690" s="2" t="s">
        <v>23504</v>
      </c>
      <c r="F7690" s="74" t="s">
        <v>23530</v>
      </c>
      <c r="G7690" s="75" t="s">
        <v>23534</v>
      </c>
      <c r="H7690" s="75" t="s">
        <v>23535</v>
      </c>
      <c r="I7690" s="76">
        <v>9</v>
      </c>
      <c r="J7690" s="44" t="str">
        <f>VLOOKUP(G7690,[1]硬件清单!$F:$F,1,0)</f>
        <v>2106195GYUX3NC000016</v>
      </c>
      <c r="K7690" s="66"/>
      <c r="L7690" s="44"/>
      <c r="M7690" s="75" t="s">
        <v>23536</v>
      </c>
    </row>
    <row r="7691" ht="30" customHeight="1" spans="1:13">
      <c r="A7691" s="41">
        <f>IF(C7691="","",SUBTOTAL(103,$C$2:C7691))</f>
        <v>7682</v>
      </c>
      <c r="B7691" s="67"/>
      <c r="C7691" s="58" t="s">
        <v>20331</v>
      </c>
      <c r="D7691" s="2" t="s">
        <v>23504</v>
      </c>
      <c r="E7691" s="2" t="s">
        <v>23504</v>
      </c>
      <c r="F7691" s="74" t="s">
        <v>23530</v>
      </c>
      <c r="G7691" s="75" t="s">
        <v>23537</v>
      </c>
      <c r="H7691" s="75" t="s">
        <v>23538</v>
      </c>
      <c r="I7691" s="76">
        <v>9</v>
      </c>
      <c r="J7691" s="44" t="str">
        <f>VLOOKUP(G7691,[1]硬件清单!$F:$F,1,0)</f>
        <v>2106195GYUX3NC000015</v>
      </c>
      <c r="K7691" s="66"/>
      <c r="L7691" s="44"/>
      <c r="M7691" s="75" t="s">
        <v>23539</v>
      </c>
    </row>
    <row r="7692" ht="30" customHeight="1" spans="1:13">
      <c r="A7692" s="41">
        <f>IF(C7692="","",SUBTOTAL(103,$C$2:C7692))</f>
        <v>7683</v>
      </c>
      <c r="B7692" s="67"/>
      <c r="C7692" s="58" t="s">
        <v>20331</v>
      </c>
      <c r="D7692" s="2" t="s">
        <v>23504</v>
      </c>
      <c r="E7692" s="2" t="s">
        <v>23504</v>
      </c>
      <c r="F7692" s="74" t="s">
        <v>23530</v>
      </c>
      <c r="G7692" s="75" t="s">
        <v>23540</v>
      </c>
      <c r="H7692" s="75" t="s">
        <v>23541</v>
      </c>
      <c r="I7692" s="76">
        <v>9</v>
      </c>
      <c r="J7692" s="44" t="str">
        <f>VLOOKUP(G7692,[1]硬件清单!$F:$F,1,0)</f>
        <v>2106195GYUX3NC000014</v>
      </c>
      <c r="K7692" s="66"/>
      <c r="L7692" s="44"/>
      <c r="M7692" s="75" t="s">
        <v>23542</v>
      </c>
    </row>
    <row r="7693" ht="30" customHeight="1" spans="1:13">
      <c r="A7693" s="41">
        <f>IF(C7693="","",SUBTOTAL(103,$C$2:C7693))</f>
        <v>7684</v>
      </c>
      <c r="B7693" s="67"/>
      <c r="C7693" s="58" t="s">
        <v>20331</v>
      </c>
      <c r="D7693" s="2" t="s">
        <v>23504</v>
      </c>
      <c r="E7693" s="2" t="s">
        <v>23504</v>
      </c>
      <c r="F7693" s="74" t="s">
        <v>23530</v>
      </c>
      <c r="G7693" s="75" t="s">
        <v>23543</v>
      </c>
      <c r="H7693" s="75" t="s">
        <v>23544</v>
      </c>
      <c r="I7693" s="76">
        <v>9</v>
      </c>
      <c r="J7693" s="44" t="str">
        <f>VLOOKUP(G7693,[1]硬件清单!$F:$F,1,0)</f>
        <v>2106195GYUX3NC000013</v>
      </c>
      <c r="K7693" s="66"/>
      <c r="L7693" s="44"/>
      <c r="M7693" s="75" t="s">
        <v>23545</v>
      </c>
    </row>
    <row r="7694" ht="30" customHeight="1" spans="1:13">
      <c r="A7694" s="41">
        <f>IF(C7694="","",SUBTOTAL(103,$C$2:C7694))</f>
        <v>7685</v>
      </c>
      <c r="B7694" s="67"/>
      <c r="C7694" s="58" t="s">
        <v>20331</v>
      </c>
      <c r="D7694" s="2" t="s">
        <v>23504</v>
      </c>
      <c r="E7694" s="2" t="s">
        <v>23504</v>
      </c>
      <c r="F7694" s="74" t="s">
        <v>23530</v>
      </c>
      <c r="G7694" s="75" t="s">
        <v>23546</v>
      </c>
      <c r="H7694" s="75" t="s">
        <v>23547</v>
      </c>
      <c r="I7694" s="76">
        <v>9</v>
      </c>
      <c r="J7694" s="44" t="str">
        <f>VLOOKUP(G7694,[1]硬件清单!$F:$F,1,0)</f>
        <v>2106195GYUX3NC000012</v>
      </c>
      <c r="K7694" s="66"/>
      <c r="L7694" s="44"/>
      <c r="M7694" s="75" t="s">
        <v>23548</v>
      </c>
    </row>
    <row r="7695" ht="30" customHeight="1" spans="1:13">
      <c r="A7695" s="41">
        <f>IF(C7695="","",SUBTOTAL(103,$C$2:C7695))</f>
        <v>7686</v>
      </c>
      <c r="B7695" s="67"/>
      <c r="C7695" s="58" t="s">
        <v>20331</v>
      </c>
      <c r="D7695" s="2" t="s">
        <v>23504</v>
      </c>
      <c r="E7695" s="2" t="s">
        <v>23504</v>
      </c>
      <c r="F7695" s="74" t="s">
        <v>23530</v>
      </c>
      <c r="G7695" s="75" t="s">
        <v>23549</v>
      </c>
      <c r="H7695" s="75" t="s">
        <v>23550</v>
      </c>
      <c r="I7695" s="76">
        <v>9</v>
      </c>
      <c r="J7695" s="44" t="str">
        <f>VLOOKUP(G7695,[1]硬件清单!$F:$F,1,0)</f>
        <v>2106195GYUX3NC000011</v>
      </c>
      <c r="K7695" s="66"/>
      <c r="L7695" s="44"/>
      <c r="M7695" s="75" t="s">
        <v>23551</v>
      </c>
    </row>
    <row r="7696" ht="30" customHeight="1" spans="1:13">
      <c r="A7696" s="41">
        <f>IF(C7696="","",SUBTOTAL(103,$C$2:C7696))</f>
        <v>7687</v>
      </c>
      <c r="B7696" s="67"/>
      <c r="C7696" s="58" t="s">
        <v>20331</v>
      </c>
      <c r="D7696" s="2" t="s">
        <v>23504</v>
      </c>
      <c r="E7696" s="2" t="s">
        <v>23504</v>
      </c>
      <c r="F7696" s="74" t="s">
        <v>23530</v>
      </c>
      <c r="G7696" s="75" t="s">
        <v>23552</v>
      </c>
      <c r="H7696" s="75" t="s">
        <v>23553</v>
      </c>
      <c r="I7696" s="76">
        <v>9</v>
      </c>
      <c r="J7696" s="44" t="str">
        <f>VLOOKUP(G7696,[1]硬件清单!$F:$F,1,0)</f>
        <v>2106195GYUX3NC000010</v>
      </c>
      <c r="K7696" s="66"/>
      <c r="L7696" s="44"/>
      <c r="M7696" s="75" t="s">
        <v>23554</v>
      </c>
    </row>
    <row r="7697" ht="30" customHeight="1" spans="1:13">
      <c r="A7697" s="41">
        <f>IF(C7697="","",SUBTOTAL(103,$C$2:C7697))</f>
        <v>7688</v>
      </c>
      <c r="B7697" s="67"/>
      <c r="C7697" s="58" t="s">
        <v>20331</v>
      </c>
      <c r="D7697" s="2" t="s">
        <v>23504</v>
      </c>
      <c r="E7697" s="2" t="s">
        <v>23504</v>
      </c>
      <c r="F7697" s="74" t="s">
        <v>23530</v>
      </c>
      <c r="G7697" s="75" t="s">
        <v>23555</v>
      </c>
      <c r="H7697" s="75" t="s">
        <v>23556</v>
      </c>
      <c r="I7697" s="76">
        <v>9</v>
      </c>
      <c r="J7697" s="44" t="str">
        <f>VLOOKUP(G7697,[1]硬件清单!$F:$F,1,0)</f>
        <v>2106195GYUX3NC000005</v>
      </c>
      <c r="K7697" s="66"/>
      <c r="L7697" s="44"/>
      <c r="M7697" s="75" t="s">
        <v>23557</v>
      </c>
    </row>
    <row r="7698" ht="30" customHeight="1" spans="1:13">
      <c r="A7698" s="41">
        <f>IF(C7698="","",SUBTOTAL(103,$C$2:C7698))</f>
        <v>7689</v>
      </c>
      <c r="B7698" s="67"/>
      <c r="C7698" s="58" t="s">
        <v>20331</v>
      </c>
      <c r="D7698" s="2" t="s">
        <v>23504</v>
      </c>
      <c r="E7698" s="2" t="s">
        <v>23504</v>
      </c>
      <c r="F7698" s="74" t="s">
        <v>23530</v>
      </c>
      <c r="G7698" s="75" t="s">
        <v>23558</v>
      </c>
      <c r="H7698" s="75" t="s">
        <v>23559</v>
      </c>
      <c r="I7698" s="76">
        <v>9</v>
      </c>
      <c r="J7698" s="44" t="str">
        <f>VLOOKUP(G7698,[1]硬件清单!$F:$F,1,0)</f>
        <v>2106195GYUX3NC000008</v>
      </c>
      <c r="K7698" s="66"/>
      <c r="L7698" s="44"/>
      <c r="M7698" s="75" t="s">
        <v>23560</v>
      </c>
    </row>
    <row r="7699" ht="30" customHeight="1" spans="1:13">
      <c r="A7699" s="41">
        <f>IF(C7699="","",SUBTOTAL(103,$C$2:C7699))</f>
        <v>7690</v>
      </c>
      <c r="B7699" s="67"/>
      <c r="C7699" s="58" t="s">
        <v>20331</v>
      </c>
      <c r="D7699" s="2" t="s">
        <v>23504</v>
      </c>
      <c r="E7699" s="2" t="s">
        <v>23504</v>
      </c>
      <c r="F7699" s="74" t="s">
        <v>23530</v>
      </c>
      <c r="G7699" s="75" t="s">
        <v>23561</v>
      </c>
      <c r="H7699" s="75" t="s">
        <v>23562</v>
      </c>
      <c r="I7699" s="76">
        <v>9</v>
      </c>
      <c r="J7699" s="44" t="str">
        <f>VLOOKUP(G7699,[1]硬件清单!$F:$F,1,0)</f>
        <v>2106195GYUX3NC000004</v>
      </c>
      <c r="K7699" s="66"/>
      <c r="L7699" s="44"/>
      <c r="M7699" s="75" t="s">
        <v>23563</v>
      </c>
    </row>
    <row r="7700" ht="30" customHeight="1" spans="1:13">
      <c r="A7700" s="41">
        <f>IF(C7700="","",SUBTOTAL(103,$C$2:C7700))</f>
        <v>7691</v>
      </c>
      <c r="B7700" s="67"/>
      <c r="C7700" s="58" t="s">
        <v>20331</v>
      </c>
      <c r="D7700" s="2" t="s">
        <v>23504</v>
      </c>
      <c r="E7700" s="2" t="s">
        <v>23504</v>
      </c>
      <c r="F7700" s="74" t="s">
        <v>23530</v>
      </c>
      <c r="G7700" s="75" t="s">
        <v>23564</v>
      </c>
      <c r="H7700" s="75" t="s">
        <v>23565</v>
      </c>
      <c r="I7700" s="76">
        <v>9</v>
      </c>
      <c r="J7700" s="44" t="str">
        <f>VLOOKUP(G7700,[1]硬件清单!$F:$F,1,0)</f>
        <v>2106195GYUX3NC000007</v>
      </c>
      <c r="K7700" s="66"/>
      <c r="L7700" s="44"/>
      <c r="M7700" s="75" t="s">
        <v>23566</v>
      </c>
    </row>
    <row r="7701" ht="30" customHeight="1" spans="1:13">
      <c r="A7701" s="41">
        <f>IF(C7701="","",SUBTOTAL(103,$C$2:C7701))</f>
        <v>7692</v>
      </c>
      <c r="B7701" s="67"/>
      <c r="C7701" s="58" t="s">
        <v>20331</v>
      </c>
      <c r="D7701" s="2" t="s">
        <v>23504</v>
      </c>
      <c r="E7701" s="2" t="s">
        <v>23504</v>
      </c>
      <c r="F7701" s="74" t="s">
        <v>23530</v>
      </c>
      <c r="G7701" s="75" t="s">
        <v>23567</v>
      </c>
      <c r="H7701" s="75" t="s">
        <v>23568</v>
      </c>
      <c r="I7701" s="76">
        <v>9</v>
      </c>
      <c r="J7701" s="44" t="str">
        <f>VLOOKUP(G7701,[1]硬件清单!$F:$F,1,0)</f>
        <v>2106195GYUX3NC000009</v>
      </c>
      <c r="K7701" s="66"/>
      <c r="L7701" s="44"/>
      <c r="M7701" s="75" t="s">
        <v>23569</v>
      </c>
    </row>
    <row r="7702" ht="30" customHeight="1" spans="1:13">
      <c r="A7702" s="41">
        <f>IF(C7702="","",SUBTOTAL(103,$C$2:C7702))</f>
        <v>7693</v>
      </c>
      <c r="B7702" s="67"/>
      <c r="C7702" s="58" t="s">
        <v>20331</v>
      </c>
      <c r="D7702" s="2" t="s">
        <v>23504</v>
      </c>
      <c r="E7702" s="2" t="s">
        <v>23504</v>
      </c>
      <c r="F7702" s="74" t="s">
        <v>23530</v>
      </c>
      <c r="G7702" s="75" t="s">
        <v>23570</v>
      </c>
      <c r="H7702" s="75" t="s">
        <v>23571</v>
      </c>
      <c r="I7702" s="76">
        <v>9</v>
      </c>
      <c r="J7702" s="44" t="str">
        <f>VLOOKUP(G7702,[1]硬件清单!$F:$F,1,0)</f>
        <v>2106195GYUX3NC000006</v>
      </c>
      <c r="K7702" s="66"/>
      <c r="L7702" s="44"/>
      <c r="M7702" s="75" t="s">
        <v>23572</v>
      </c>
    </row>
    <row r="7703" ht="30" customHeight="1" spans="1:13">
      <c r="A7703" s="41">
        <f>IF(C7703="","",SUBTOTAL(103,$C$2:C7703))</f>
        <v>7694</v>
      </c>
      <c r="B7703" s="67"/>
      <c r="C7703" s="58" t="s">
        <v>20331</v>
      </c>
      <c r="D7703" s="2" t="s">
        <v>23504</v>
      </c>
      <c r="E7703" s="2" t="s">
        <v>23504</v>
      </c>
      <c r="F7703" s="74" t="s">
        <v>23530</v>
      </c>
      <c r="G7703" s="75" t="s">
        <v>23573</v>
      </c>
      <c r="H7703" s="75" t="s">
        <v>23574</v>
      </c>
      <c r="I7703" s="76">
        <v>9</v>
      </c>
      <c r="J7703" s="44" t="str">
        <f>VLOOKUP(G7703,[1]硬件清单!$F:$F,1,0)</f>
        <v>2106195GYUX3NC000003</v>
      </c>
      <c r="K7703" s="66"/>
      <c r="L7703" s="44"/>
      <c r="M7703" s="75" t="s">
        <v>23575</v>
      </c>
    </row>
    <row r="7704" ht="30" customHeight="1" spans="1:13">
      <c r="A7704" s="41">
        <f>IF(C7704="","",SUBTOTAL(103,$C$2:C7704))</f>
        <v>7695</v>
      </c>
      <c r="B7704" s="67"/>
      <c r="C7704" s="58" t="s">
        <v>20331</v>
      </c>
      <c r="D7704" s="2" t="s">
        <v>23504</v>
      </c>
      <c r="E7704" s="2" t="s">
        <v>23504</v>
      </c>
      <c r="F7704" s="74" t="s">
        <v>23530</v>
      </c>
      <c r="G7704" s="75" t="s">
        <v>23576</v>
      </c>
      <c r="H7704" s="75" t="s">
        <v>23577</v>
      </c>
      <c r="I7704" s="76">
        <v>9</v>
      </c>
      <c r="J7704" s="44" t="str">
        <f>VLOOKUP(G7704,[1]硬件清单!$F:$F,1,0)</f>
        <v>2106195GYUX3NC000001</v>
      </c>
      <c r="K7704" s="66"/>
      <c r="L7704" s="44"/>
      <c r="M7704" s="75" t="s">
        <v>23578</v>
      </c>
    </row>
    <row r="7705" ht="30" customHeight="1" spans="1:13">
      <c r="A7705" s="41">
        <f>IF(C7705="","",SUBTOTAL(103,$C$2:C7705))</f>
        <v>7696</v>
      </c>
      <c r="B7705" s="67"/>
      <c r="C7705" s="58" t="s">
        <v>20331</v>
      </c>
      <c r="D7705" s="2" t="s">
        <v>23504</v>
      </c>
      <c r="E7705" s="2" t="s">
        <v>23504</v>
      </c>
      <c r="F7705" s="74" t="s">
        <v>23530</v>
      </c>
      <c r="G7705" s="75" t="s">
        <v>23579</v>
      </c>
      <c r="H7705" s="75" t="s">
        <v>23580</v>
      </c>
      <c r="I7705" s="76">
        <v>9</v>
      </c>
      <c r="J7705" s="44" t="str">
        <f>VLOOKUP(G7705,[1]硬件清单!$F:$F,1,0)</f>
        <v>2106195HAJXDNB000004</v>
      </c>
      <c r="K7705" s="66"/>
      <c r="L7705" s="44"/>
      <c r="M7705" s="75" t="s">
        <v>23581</v>
      </c>
    </row>
    <row r="7706" ht="30" customHeight="1" spans="1:13">
      <c r="A7706" s="41">
        <f>IF(C7706="","",SUBTOTAL(103,$C$2:C7706))</f>
        <v>7697</v>
      </c>
      <c r="B7706" s="67"/>
      <c r="C7706" s="58" t="s">
        <v>20331</v>
      </c>
      <c r="D7706" s="2" t="s">
        <v>23504</v>
      </c>
      <c r="E7706" s="2" t="s">
        <v>23504</v>
      </c>
      <c r="F7706" s="74" t="s">
        <v>23530</v>
      </c>
      <c r="G7706" s="75" t="s">
        <v>23582</v>
      </c>
      <c r="H7706" s="75" t="s">
        <v>23583</v>
      </c>
      <c r="I7706" s="76">
        <v>9</v>
      </c>
      <c r="J7706" s="44" t="str">
        <f>VLOOKUP(G7706,[1]硬件清单!$F:$F,1,0)</f>
        <v>2106195HAJXDNB000001</v>
      </c>
      <c r="K7706" s="66"/>
      <c r="L7706" s="44"/>
      <c r="M7706" s="75" t="s">
        <v>23584</v>
      </c>
    </row>
    <row r="7707" ht="30" customHeight="1" spans="1:13">
      <c r="A7707" s="41">
        <f>IF(C7707="","",SUBTOTAL(103,$C$2:C7707))</f>
        <v>7698</v>
      </c>
      <c r="B7707" s="67"/>
      <c r="C7707" s="58" t="s">
        <v>20331</v>
      </c>
      <c r="D7707" s="2" t="s">
        <v>23504</v>
      </c>
      <c r="E7707" s="2" t="s">
        <v>23504</v>
      </c>
      <c r="F7707" s="74" t="s">
        <v>23530</v>
      </c>
      <c r="G7707" s="75" t="s">
        <v>23585</v>
      </c>
      <c r="H7707" s="75" t="s">
        <v>23586</v>
      </c>
      <c r="I7707" s="76">
        <v>9</v>
      </c>
      <c r="J7707" s="44" t="str">
        <f>VLOOKUP(G7707,[1]硬件清单!$F:$F,1,0)</f>
        <v>2106195HAJXDNB000003</v>
      </c>
      <c r="K7707" s="66"/>
      <c r="L7707" s="44"/>
      <c r="M7707" s="75" t="s">
        <v>23587</v>
      </c>
    </row>
    <row r="7708" ht="30" customHeight="1" spans="1:13">
      <c r="A7708" s="41">
        <f>IF(C7708="","",SUBTOTAL(103,$C$2:C7708))</f>
        <v>7699</v>
      </c>
      <c r="B7708" s="67"/>
      <c r="C7708" s="58" t="s">
        <v>20331</v>
      </c>
      <c r="D7708" s="2" t="s">
        <v>23504</v>
      </c>
      <c r="E7708" s="2" t="s">
        <v>23504</v>
      </c>
      <c r="F7708" s="74" t="s">
        <v>23530</v>
      </c>
      <c r="G7708" s="75" t="s">
        <v>23588</v>
      </c>
      <c r="H7708" s="75" t="s">
        <v>23589</v>
      </c>
      <c r="I7708" s="76">
        <v>9</v>
      </c>
      <c r="J7708" s="44" t="str">
        <f>VLOOKUP(G7708,[1]硬件清单!$F:$F,1,0)</f>
        <v>2106195HAJXDNB000002</v>
      </c>
      <c r="K7708" s="66"/>
      <c r="L7708" s="44"/>
      <c r="M7708" s="75" t="s">
        <v>23590</v>
      </c>
    </row>
    <row r="7709" ht="30" customHeight="1" spans="1:13">
      <c r="A7709" s="41">
        <f>IF(C7709="","",SUBTOTAL(103,$C$2:C7709))</f>
        <v>7700</v>
      </c>
      <c r="B7709" s="67"/>
      <c r="C7709" s="58" t="s">
        <v>20331</v>
      </c>
      <c r="D7709" s="2" t="s">
        <v>23504</v>
      </c>
      <c r="E7709" s="2" t="s">
        <v>23504</v>
      </c>
      <c r="F7709" s="74" t="s">
        <v>23530</v>
      </c>
      <c r="G7709" s="75" t="s">
        <v>23591</v>
      </c>
      <c r="H7709" s="75" t="s">
        <v>23592</v>
      </c>
      <c r="I7709" s="76">
        <v>9</v>
      </c>
      <c r="J7709" s="44" t="str">
        <f>VLOOKUP(G7709,[1]硬件清单!$F:$F,1,0)</f>
        <v>2106195HADX3NC000002</v>
      </c>
      <c r="K7709" s="66"/>
      <c r="L7709" s="44"/>
      <c r="M7709" s="75" t="s">
        <v>23593</v>
      </c>
    </row>
    <row r="7710" ht="30" customHeight="1" spans="1:13">
      <c r="A7710" s="41">
        <f>IF(C7710="","",SUBTOTAL(103,$C$2:C7710))</f>
        <v>7701</v>
      </c>
      <c r="B7710" s="67"/>
      <c r="C7710" s="58" t="s">
        <v>20331</v>
      </c>
      <c r="D7710" s="2" t="s">
        <v>23504</v>
      </c>
      <c r="E7710" s="2" t="s">
        <v>23504</v>
      </c>
      <c r="F7710" s="74" t="s">
        <v>23530</v>
      </c>
      <c r="G7710" s="75" t="s">
        <v>23594</v>
      </c>
      <c r="H7710" s="75" t="s">
        <v>23595</v>
      </c>
      <c r="I7710" s="76">
        <v>9</v>
      </c>
      <c r="J7710" s="44" t="str">
        <f>VLOOKUP(G7710,[1]硬件清单!$F:$F,1,0)</f>
        <v>2106195HADX3NC000001</v>
      </c>
      <c r="K7710" s="66"/>
      <c r="L7710" s="44"/>
      <c r="M7710" s="75" t="s">
        <v>23596</v>
      </c>
    </row>
    <row r="7711" ht="30" customHeight="1" spans="1:13">
      <c r="A7711" s="41">
        <f>IF(C7711="","",SUBTOTAL(103,$C$2:C7711))</f>
        <v>7702</v>
      </c>
      <c r="B7711" s="67"/>
      <c r="C7711" s="58" t="s">
        <v>20331</v>
      </c>
      <c r="D7711" s="2" t="s">
        <v>23504</v>
      </c>
      <c r="E7711" s="2" t="s">
        <v>23504</v>
      </c>
      <c r="F7711" s="74" t="s">
        <v>23530</v>
      </c>
      <c r="G7711" s="75" t="s">
        <v>23597</v>
      </c>
      <c r="H7711" s="75" t="s">
        <v>23598</v>
      </c>
      <c r="I7711" s="76">
        <v>9</v>
      </c>
      <c r="J7711" s="44" t="str">
        <f>VLOOKUP(G7711,[1]硬件清单!$F:$F,1,0)</f>
        <v>2106195HADX3NC000003</v>
      </c>
      <c r="K7711" s="66"/>
      <c r="L7711" s="44"/>
      <c r="M7711" s="75" t="s">
        <v>23599</v>
      </c>
    </row>
    <row r="7712" ht="30" customHeight="1" spans="1:13">
      <c r="A7712" s="41">
        <f>IF(C7712="","",SUBTOTAL(103,$C$2:C7712))</f>
        <v>7703</v>
      </c>
      <c r="B7712" s="67"/>
      <c r="C7712" s="58" t="s">
        <v>20331</v>
      </c>
      <c r="D7712" s="2" t="s">
        <v>23504</v>
      </c>
      <c r="E7712" s="2" t="s">
        <v>23504</v>
      </c>
      <c r="F7712" s="74" t="s">
        <v>23530</v>
      </c>
      <c r="G7712" s="75" t="s">
        <v>23600</v>
      </c>
      <c r="H7712" s="75" t="s">
        <v>23601</v>
      </c>
      <c r="I7712" s="76">
        <v>9</v>
      </c>
      <c r="J7712" s="44" t="str">
        <f>VLOOKUP(G7712,[1]硬件清单!$F:$F,1,0)</f>
        <v>2106195GYYXDNB000002</v>
      </c>
      <c r="K7712" s="66"/>
      <c r="L7712" s="44"/>
      <c r="M7712" s="75" t="s">
        <v>23602</v>
      </c>
    </row>
    <row r="7713" ht="30" customHeight="1" spans="1:13">
      <c r="A7713" s="41">
        <f>IF(C7713="","",SUBTOTAL(103,$C$2:C7713))</f>
        <v>7704</v>
      </c>
      <c r="B7713" s="67"/>
      <c r="C7713" s="58" t="s">
        <v>20331</v>
      </c>
      <c r="D7713" s="2" t="s">
        <v>23504</v>
      </c>
      <c r="E7713" s="2" t="s">
        <v>23504</v>
      </c>
      <c r="F7713" s="74" t="s">
        <v>23530</v>
      </c>
      <c r="G7713" s="75" t="s">
        <v>23603</v>
      </c>
      <c r="H7713" s="75" t="s">
        <v>23604</v>
      </c>
      <c r="I7713" s="76">
        <v>9</v>
      </c>
      <c r="J7713" s="44" t="str">
        <f>VLOOKUP(G7713,[1]硬件清单!$F:$F,1,0)</f>
        <v>2106195GYYXDNB000004</v>
      </c>
      <c r="K7713" s="66"/>
      <c r="L7713" s="44"/>
      <c r="M7713" s="75" t="s">
        <v>23605</v>
      </c>
    </row>
    <row r="7714" ht="30" customHeight="1" spans="1:13">
      <c r="A7714" s="41">
        <f>IF(C7714="","",SUBTOTAL(103,$C$2:C7714))</f>
        <v>7705</v>
      </c>
      <c r="B7714" s="67"/>
      <c r="C7714" s="58" t="s">
        <v>20331</v>
      </c>
      <c r="D7714" s="2" t="s">
        <v>23504</v>
      </c>
      <c r="E7714" s="2" t="s">
        <v>23504</v>
      </c>
      <c r="F7714" s="74" t="s">
        <v>23530</v>
      </c>
      <c r="G7714" s="75" t="s">
        <v>23606</v>
      </c>
      <c r="H7714" s="75" t="s">
        <v>23607</v>
      </c>
      <c r="I7714" s="76">
        <v>9</v>
      </c>
      <c r="J7714" s="44" t="str">
        <f>VLOOKUP(G7714,[1]硬件清单!$F:$F,1,0)</f>
        <v>2106195GYYXDNB000003</v>
      </c>
      <c r="K7714" s="66"/>
      <c r="L7714" s="44"/>
      <c r="M7714" s="75" t="s">
        <v>23608</v>
      </c>
    </row>
    <row r="7715" ht="30" customHeight="1" spans="1:13">
      <c r="A7715" s="41">
        <f>IF(C7715="","",SUBTOTAL(103,$C$2:C7715))</f>
        <v>7706</v>
      </c>
      <c r="B7715" s="67"/>
      <c r="C7715" s="58" t="s">
        <v>20331</v>
      </c>
      <c r="D7715" s="2" t="s">
        <v>23504</v>
      </c>
      <c r="E7715" s="2" t="s">
        <v>23504</v>
      </c>
      <c r="F7715" s="74" t="s">
        <v>23530</v>
      </c>
      <c r="G7715" s="75" t="s">
        <v>23609</v>
      </c>
      <c r="H7715" s="75" t="s">
        <v>23610</v>
      </c>
      <c r="I7715" s="76">
        <v>9</v>
      </c>
      <c r="J7715" s="44" t="str">
        <f>VLOOKUP(G7715,[1]硬件清单!$F:$F,1,0)</f>
        <v>2106195GYYXDNB000001</v>
      </c>
      <c r="K7715" s="66"/>
      <c r="L7715" s="44"/>
      <c r="M7715" s="75" t="s">
        <v>23611</v>
      </c>
    </row>
    <row r="7716" ht="30" customHeight="1" spans="1:13">
      <c r="A7716" s="41">
        <f>IF(C7716="","",SUBTOTAL(103,$C$2:C7716))</f>
        <v>7707</v>
      </c>
      <c r="B7716" s="67"/>
      <c r="C7716" s="58" t="s">
        <v>20331</v>
      </c>
      <c r="D7716" s="2" t="s">
        <v>23504</v>
      </c>
      <c r="E7716" s="2" t="s">
        <v>23504</v>
      </c>
      <c r="F7716" s="74" t="s">
        <v>23530</v>
      </c>
      <c r="G7716" s="75" t="s">
        <v>23612</v>
      </c>
      <c r="H7716" s="75" t="s">
        <v>23613</v>
      </c>
      <c r="I7716" s="76">
        <v>9</v>
      </c>
      <c r="J7716" s="44" t="str">
        <f>VLOOKUP(G7716,[1]硬件清单!$F:$F,1,0)</f>
        <v>2106195GYYXDNB000005</v>
      </c>
      <c r="K7716" s="66"/>
      <c r="L7716" s="44"/>
      <c r="M7716" s="75" t="s">
        <v>23614</v>
      </c>
    </row>
    <row r="7717" ht="30" customHeight="1" spans="1:13">
      <c r="A7717" s="41">
        <f>IF(C7717="","",SUBTOTAL(103,$C$2:C7717))</f>
        <v>7708</v>
      </c>
      <c r="B7717" s="67"/>
      <c r="C7717" s="58" t="s">
        <v>20331</v>
      </c>
      <c r="D7717" s="2" t="s">
        <v>23504</v>
      </c>
      <c r="E7717" s="2" t="s">
        <v>23504</v>
      </c>
      <c r="F7717" s="74" t="s">
        <v>23530</v>
      </c>
      <c r="G7717" s="75" t="s">
        <v>23615</v>
      </c>
      <c r="H7717" s="75" t="s">
        <v>23616</v>
      </c>
      <c r="I7717" s="76">
        <v>9</v>
      </c>
      <c r="J7717" s="44" t="str">
        <f>VLOOKUP(G7717,[1]硬件清单!$F:$F,1,0)</f>
        <v>2106195GYYXDNB000006</v>
      </c>
      <c r="K7717" s="66"/>
      <c r="L7717" s="44"/>
      <c r="M7717" s="75" t="s">
        <v>23617</v>
      </c>
    </row>
    <row r="7718" ht="30" customHeight="1" spans="1:13">
      <c r="A7718" s="41">
        <f>IF(C7718="","",SUBTOTAL(103,$C$2:C7718))</f>
        <v>7709</v>
      </c>
      <c r="B7718" s="67"/>
      <c r="C7718" s="58" t="s">
        <v>20331</v>
      </c>
      <c r="D7718" s="2" t="s">
        <v>23504</v>
      </c>
      <c r="E7718" s="2" t="s">
        <v>23504</v>
      </c>
      <c r="F7718" s="74" t="s">
        <v>23618</v>
      </c>
      <c r="G7718" s="75" t="s">
        <v>23619</v>
      </c>
      <c r="H7718" s="75" t="s">
        <v>23620</v>
      </c>
      <c r="I7718" s="76">
        <v>9</v>
      </c>
      <c r="J7718" s="44" t="str">
        <f>VLOOKUP(G7718,[1]硬件清单!$F:$F,1,0)</f>
        <v>2106195GYTXDNC000002</v>
      </c>
      <c r="K7718" s="66"/>
      <c r="L7718" s="44"/>
      <c r="M7718" s="75" t="s">
        <v>23621</v>
      </c>
    </row>
    <row r="7719" ht="30" customHeight="1" spans="1:13">
      <c r="A7719" s="41">
        <f>IF(C7719="","",SUBTOTAL(103,$C$2:C7719))</f>
        <v>7710</v>
      </c>
      <c r="B7719" s="67"/>
      <c r="C7719" s="58" t="s">
        <v>20331</v>
      </c>
      <c r="D7719" s="2" t="s">
        <v>23504</v>
      </c>
      <c r="E7719" s="2" t="s">
        <v>23504</v>
      </c>
      <c r="F7719" s="74" t="s">
        <v>23618</v>
      </c>
      <c r="G7719" s="75" t="s">
        <v>23622</v>
      </c>
      <c r="H7719" s="75" t="s">
        <v>23623</v>
      </c>
      <c r="I7719" s="76">
        <v>9</v>
      </c>
      <c r="J7719" s="44" t="str">
        <f>VLOOKUP(G7719,[1]硬件清单!$F:$F,1,0)</f>
        <v>2106195GYTXDNC000001</v>
      </c>
      <c r="K7719" s="66"/>
      <c r="L7719" s="44"/>
      <c r="M7719" s="75" t="s">
        <v>23624</v>
      </c>
    </row>
    <row r="7720" ht="30" customHeight="1" spans="1:13">
      <c r="A7720" s="41">
        <f>IF(C7720="","",SUBTOTAL(103,$C$2:C7720))</f>
        <v>7711</v>
      </c>
      <c r="B7720" s="67"/>
      <c r="C7720" s="58" t="s">
        <v>20331</v>
      </c>
      <c r="D7720" s="2" t="s">
        <v>23504</v>
      </c>
      <c r="E7720" s="2" t="s">
        <v>23504</v>
      </c>
      <c r="F7720" s="74" t="s">
        <v>23625</v>
      </c>
      <c r="G7720" s="75" t="s">
        <v>23626</v>
      </c>
      <c r="H7720" s="75" t="s">
        <v>23627</v>
      </c>
      <c r="I7720" s="76">
        <v>9</v>
      </c>
      <c r="J7720" s="44" t="str">
        <f>VLOOKUP(G7720,[1]硬件清单!$F:$F,1,0)</f>
        <v>210235A4BK622CVM000T</v>
      </c>
      <c r="K7720" s="66"/>
      <c r="L7720" s="44"/>
      <c r="M7720" s="75" t="s">
        <v>23628</v>
      </c>
    </row>
    <row r="7721" ht="30" customHeight="1" spans="1:13">
      <c r="A7721" s="41">
        <f>IF(C7721="","",SUBTOTAL(103,$C$2:C7721))</f>
        <v>7712</v>
      </c>
      <c r="B7721" s="67"/>
      <c r="C7721" s="58" t="s">
        <v>20331</v>
      </c>
      <c r="D7721" s="2" t="s">
        <v>23504</v>
      </c>
      <c r="E7721" s="2" t="s">
        <v>23504</v>
      </c>
      <c r="F7721" s="74" t="s">
        <v>23625</v>
      </c>
      <c r="G7721" s="75" t="s">
        <v>23629</v>
      </c>
      <c r="H7721" s="75" t="s">
        <v>23630</v>
      </c>
      <c r="I7721" s="76">
        <v>9</v>
      </c>
      <c r="J7721" s="44" t="str">
        <f>VLOOKUP(G7721,[1]硬件清单!$F:$F,1,0)</f>
        <v>210235A4BK622CVM000V</v>
      </c>
      <c r="K7721" s="66"/>
      <c r="L7721" s="44"/>
      <c r="M7721" s="75" t="s">
        <v>23631</v>
      </c>
    </row>
    <row r="7722" ht="30" customHeight="1" spans="1:13">
      <c r="A7722" s="41">
        <f>IF(C7722="","",SUBTOTAL(103,$C$2:C7722))</f>
        <v>7713</v>
      </c>
      <c r="B7722" s="67"/>
      <c r="C7722" s="58" t="s">
        <v>20331</v>
      </c>
      <c r="D7722" s="2" t="s">
        <v>23504</v>
      </c>
      <c r="E7722" s="2" t="s">
        <v>23504</v>
      </c>
      <c r="F7722" s="74" t="s">
        <v>23625</v>
      </c>
      <c r="G7722" s="75" t="s">
        <v>23632</v>
      </c>
      <c r="H7722" s="75" t="s">
        <v>23633</v>
      </c>
      <c r="I7722" s="76">
        <v>9</v>
      </c>
      <c r="J7722" s="44" t="str">
        <f>VLOOKUP(G7722,[1]硬件清单!$F:$F,1,0)</f>
        <v>210235A4BK622CVM000X</v>
      </c>
      <c r="K7722" s="66"/>
      <c r="L7722" s="44"/>
      <c r="M7722" s="75" t="s">
        <v>23634</v>
      </c>
    </row>
    <row r="7723" ht="30" customHeight="1" spans="1:13">
      <c r="A7723" s="41">
        <f>IF(C7723="","",SUBTOTAL(103,$C$2:C7723))</f>
        <v>7714</v>
      </c>
      <c r="B7723" s="67"/>
      <c r="C7723" s="58" t="s">
        <v>20331</v>
      </c>
      <c r="D7723" s="2" t="s">
        <v>23504</v>
      </c>
      <c r="E7723" s="2" t="s">
        <v>23504</v>
      </c>
      <c r="F7723" s="74" t="s">
        <v>23625</v>
      </c>
      <c r="G7723" s="75" t="s">
        <v>23635</v>
      </c>
      <c r="H7723" s="75" t="s">
        <v>23636</v>
      </c>
      <c r="I7723" s="76">
        <v>9</v>
      </c>
      <c r="J7723" s="44" t="str">
        <f>VLOOKUP(G7723,[1]硬件清单!$F:$F,1,0)</f>
        <v>210235A4BK622CVM000W</v>
      </c>
      <c r="K7723" s="66"/>
      <c r="L7723" s="44"/>
      <c r="M7723" s="75" t="s">
        <v>23637</v>
      </c>
    </row>
    <row r="7724" ht="30" customHeight="1" spans="1:13">
      <c r="A7724" s="41">
        <f>IF(C7724="","",SUBTOTAL(103,$C$2:C7724))</f>
        <v>7715</v>
      </c>
      <c r="B7724" s="67"/>
      <c r="C7724" s="58" t="s">
        <v>20331</v>
      </c>
      <c r="D7724" s="2" t="s">
        <v>23504</v>
      </c>
      <c r="E7724" s="2" t="s">
        <v>23504</v>
      </c>
      <c r="F7724" s="74" t="s">
        <v>23625</v>
      </c>
      <c r="G7724" s="75" t="s">
        <v>23638</v>
      </c>
      <c r="H7724" s="75" t="s">
        <v>23639</v>
      </c>
      <c r="I7724" s="76">
        <v>9</v>
      </c>
      <c r="J7724" s="44" t="str">
        <f>VLOOKUP(G7724,[1]硬件清单!$F:$F,1,0)</f>
        <v>210235A4BK622CVM000Z</v>
      </c>
      <c r="K7724" s="66"/>
      <c r="L7724" s="44"/>
      <c r="M7724" s="75" t="s">
        <v>23640</v>
      </c>
    </row>
    <row r="7725" ht="30" customHeight="1" spans="1:13">
      <c r="A7725" s="41">
        <f>IF(C7725="","",SUBTOTAL(103,$C$2:C7725))</f>
        <v>7716</v>
      </c>
      <c r="B7725" s="67"/>
      <c r="C7725" s="58" t="s">
        <v>20331</v>
      </c>
      <c r="D7725" s="2" t="s">
        <v>23504</v>
      </c>
      <c r="E7725" s="2" t="s">
        <v>23504</v>
      </c>
      <c r="F7725" s="74" t="s">
        <v>23625</v>
      </c>
      <c r="G7725" s="75" t="s">
        <v>23641</v>
      </c>
      <c r="H7725" s="75" t="s">
        <v>23642</v>
      </c>
      <c r="I7725" s="76">
        <v>9</v>
      </c>
      <c r="J7725" s="44" t="str">
        <f>VLOOKUP(G7725,[1]硬件清单!$F:$F,1,0)</f>
        <v>210235A4BK622CVM000Y</v>
      </c>
      <c r="K7725" s="66"/>
      <c r="L7725" s="44"/>
      <c r="M7725" s="75" t="s">
        <v>23643</v>
      </c>
    </row>
    <row r="7726" ht="30" customHeight="1" spans="1:13">
      <c r="A7726" s="41">
        <f>IF(C7726="","",SUBTOTAL(103,$C$2:C7726))</f>
        <v>7717</v>
      </c>
      <c r="B7726" s="67"/>
      <c r="C7726" s="58" t="s">
        <v>20331</v>
      </c>
      <c r="D7726" s="2" t="s">
        <v>23504</v>
      </c>
      <c r="E7726" s="2" t="s">
        <v>23504</v>
      </c>
      <c r="F7726" s="74" t="s">
        <v>23644</v>
      </c>
      <c r="G7726" s="75" t="s">
        <v>23645</v>
      </c>
      <c r="H7726" s="75" t="s">
        <v>23646</v>
      </c>
      <c r="I7726" s="76">
        <v>9</v>
      </c>
      <c r="J7726" s="44" t="str">
        <f>VLOOKUP(G7726,[1]硬件清单!$F:$F,1,0)</f>
        <v>PR212K221205SZ00002</v>
      </c>
      <c r="K7726" s="66"/>
      <c r="L7726" s="44"/>
      <c r="M7726" s="75" t="s">
        <v>23647</v>
      </c>
    </row>
    <row r="7727" ht="30" customHeight="1" spans="1:13">
      <c r="A7727" s="41">
        <f>IF(C7727="","",SUBTOTAL(103,$C$2:C7727))</f>
        <v>7718</v>
      </c>
      <c r="B7727" s="67"/>
      <c r="C7727" s="58" t="s">
        <v>20331</v>
      </c>
      <c r="D7727" s="2" t="s">
        <v>23504</v>
      </c>
      <c r="E7727" s="2" t="s">
        <v>23504</v>
      </c>
      <c r="F7727" s="74" t="s">
        <v>23644</v>
      </c>
      <c r="G7727" s="75" t="s">
        <v>23648</v>
      </c>
      <c r="H7727" s="75" t="s">
        <v>23649</v>
      </c>
      <c r="I7727" s="76">
        <v>9</v>
      </c>
      <c r="J7727" s="44" t="str">
        <f>VLOOKUP(G7727,[1]硬件清单!$F:$F,1,0)</f>
        <v>PR212K221205SZ00001</v>
      </c>
      <c r="K7727" s="66"/>
      <c r="L7727" s="44"/>
      <c r="M7727" s="75" t="s">
        <v>23650</v>
      </c>
    </row>
    <row r="7728" ht="30" customHeight="1" spans="1:13">
      <c r="A7728" s="41">
        <f>IF(C7728="","",SUBTOTAL(103,$C$2:C7728))</f>
        <v>7719</v>
      </c>
      <c r="B7728" s="67"/>
      <c r="C7728" s="58" t="s">
        <v>20331</v>
      </c>
      <c r="D7728" s="2" t="s">
        <v>23504</v>
      </c>
      <c r="E7728" s="2" t="s">
        <v>23504</v>
      </c>
      <c r="F7728" s="74" t="s">
        <v>23644</v>
      </c>
      <c r="G7728" s="75" t="s">
        <v>23651</v>
      </c>
      <c r="H7728" s="75" t="s">
        <v>23652</v>
      </c>
      <c r="I7728" s="76">
        <v>9</v>
      </c>
      <c r="J7728" s="44" t="str">
        <f>VLOOKUP(G7728,[1]硬件清单!$F:$F,1,0)</f>
        <v>PR212K220916SZY00025</v>
      </c>
      <c r="K7728" s="66"/>
      <c r="L7728" s="44"/>
      <c r="M7728" s="75" t="s">
        <v>23653</v>
      </c>
    </row>
    <row r="7729" ht="30" customHeight="1" spans="1:13">
      <c r="A7729" s="41">
        <f>IF(C7729="","",SUBTOTAL(103,$C$2:C7729))</f>
        <v>7720</v>
      </c>
      <c r="B7729" s="67"/>
      <c r="C7729" s="58" t="s">
        <v>20331</v>
      </c>
      <c r="D7729" s="2" t="s">
        <v>23504</v>
      </c>
      <c r="E7729" s="2" t="s">
        <v>23504</v>
      </c>
      <c r="F7729" s="74" t="s">
        <v>23644</v>
      </c>
      <c r="G7729" s="75" t="s">
        <v>23654</v>
      </c>
      <c r="H7729" s="75" t="s">
        <v>23655</v>
      </c>
      <c r="I7729" s="76">
        <v>9</v>
      </c>
      <c r="J7729" s="44" t="str">
        <f>VLOOKUP(G7729,[1]硬件清单!$F:$F,1,0)</f>
        <v>PR212K220916SZY00024</v>
      </c>
      <c r="K7729" s="66"/>
      <c r="L7729" s="44"/>
      <c r="M7729" s="75" t="s">
        <v>23656</v>
      </c>
    </row>
    <row r="7730" ht="30" customHeight="1" spans="1:13">
      <c r="A7730" s="41">
        <f>IF(C7730="","",SUBTOTAL(103,$C$2:C7730))</f>
        <v>7721</v>
      </c>
      <c r="B7730" s="67"/>
      <c r="C7730" s="58" t="s">
        <v>20331</v>
      </c>
      <c r="D7730" s="2" t="s">
        <v>23504</v>
      </c>
      <c r="E7730" s="2" t="s">
        <v>23504</v>
      </c>
      <c r="F7730" s="74" t="s">
        <v>23644</v>
      </c>
      <c r="G7730" s="75" t="s">
        <v>23657</v>
      </c>
      <c r="H7730" s="75" t="s">
        <v>23658</v>
      </c>
      <c r="I7730" s="76">
        <v>9</v>
      </c>
      <c r="J7730" s="44" t="str">
        <f>VLOOKUP(G7730,[1]硬件清单!$F:$F,1,0)</f>
        <v>PR212K220916SZY00023</v>
      </c>
      <c r="K7730" s="66"/>
      <c r="L7730" s="44"/>
      <c r="M7730" s="75" t="s">
        <v>23659</v>
      </c>
    </row>
    <row r="7731" ht="30" customHeight="1" spans="1:13">
      <c r="A7731" s="41">
        <f>IF(C7731="","",SUBTOTAL(103,$C$2:C7731))</f>
        <v>7722</v>
      </c>
      <c r="B7731" s="67"/>
      <c r="C7731" s="58" t="s">
        <v>20331</v>
      </c>
      <c r="D7731" s="2" t="s">
        <v>23504</v>
      </c>
      <c r="E7731" s="2" t="s">
        <v>23504</v>
      </c>
      <c r="F7731" s="74" t="s">
        <v>23644</v>
      </c>
      <c r="G7731" s="75" t="s">
        <v>23660</v>
      </c>
      <c r="H7731" s="75" t="s">
        <v>23661</v>
      </c>
      <c r="I7731" s="76">
        <v>9</v>
      </c>
      <c r="J7731" s="44" t="str">
        <f>VLOOKUP(G7731,[1]硬件清单!$F:$F,1,0)</f>
        <v>PR212K221205SZ00003</v>
      </c>
      <c r="K7731" s="66"/>
      <c r="L7731" s="44"/>
      <c r="M7731" s="75" t="s">
        <v>23662</v>
      </c>
    </row>
    <row r="7732" ht="30" customHeight="1" spans="1:13">
      <c r="A7732" s="41">
        <f>IF(C7732="","",SUBTOTAL(103,$C$2:C7732))</f>
        <v>7723</v>
      </c>
      <c r="B7732" s="67"/>
      <c r="C7732" s="58" t="s">
        <v>20331</v>
      </c>
      <c r="D7732" s="2" t="s">
        <v>23504</v>
      </c>
      <c r="E7732" s="2" t="s">
        <v>23504</v>
      </c>
      <c r="F7732" s="74" t="s">
        <v>23530</v>
      </c>
      <c r="G7732" s="75" t="s">
        <v>23663</v>
      </c>
      <c r="H7732" s="75" t="s">
        <v>23664</v>
      </c>
      <c r="I7732" s="76">
        <v>9</v>
      </c>
      <c r="J7732" s="44" t="str">
        <f>VLOOKUP(G7732,[1]硬件清单!$F:$F,1,0)</f>
        <v>2106195HACX3NC000006</v>
      </c>
      <c r="K7732" s="66"/>
      <c r="L7732" s="44"/>
      <c r="M7732" s="75" t="s">
        <v>23665</v>
      </c>
    </row>
    <row r="7733" ht="30" customHeight="1" spans="1:13">
      <c r="A7733" s="41">
        <f>IF(C7733="","",SUBTOTAL(103,$C$2:C7733))</f>
        <v>7724</v>
      </c>
      <c r="B7733" s="67"/>
      <c r="C7733" s="58" t="s">
        <v>20331</v>
      </c>
      <c r="D7733" s="2" t="s">
        <v>23504</v>
      </c>
      <c r="E7733" s="2" t="s">
        <v>23504</v>
      </c>
      <c r="F7733" s="74" t="s">
        <v>23530</v>
      </c>
      <c r="G7733" s="75" t="s">
        <v>23666</v>
      </c>
      <c r="H7733" s="75" t="s">
        <v>23667</v>
      </c>
      <c r="I7733" s="76">
        <v>9</v>
      </c>
      <c r="J7733" s="44" t="str">
        <f>VLOOKUP(G7733,[1]硬件清单!$F:$F,1,0)</f>
        <v>2106195HACX3NC000004</v>
      </c>
      <c r="K7733" s="66"/>
      <c r="L7733" s="44"/>
      <c r="M7733" s="75" t="s">
        <v>23668</v>
      </c>
    </row>
    <row r="7734" ht="30" customHeight="1" spans="1:13">
      <c r="A7734" s="41">
        <f>IF(C7734="","",SUBTOTAL(103,$C$2:C7734))</f>
        <v>7725</v>
      </c>
      <c r="B7734" s="67"/>
      <c r="C7734" s="58" t="s">
        <v>20331</v>
      </c>
      <c r="D7734" s="2" t="s">
        <v>23504</v>
      </c>
      <c r="E7734" s="2" t="s">
        <v>23504</v>
      </c>
      <c r="F7734" s="74" t="s">
        <v>23530</v>
      </c>
      <c r="G7734" s="75" t="s">
        <v>23669</v>
      </c>
      <c r="H7734" s="75" t="s">
        <v>23670</v>
      </c>
      <c r="I7734" s="76">
        <v>9</v>
      </c>
      <c r="J7734" s="44" t="str">
        <f>VLOOKUP(G7734,[1]硬件清单!$F:$F,1,0)</f>
        <v>2106195HACX3NC000008</v>
      </c>
      <c r="K7734" s="66"/>
      <c r="L7734" s="44"/>
      <c r="M7734" s="75" t="s">
        <v>23671</v>
      </c>
    </row>
    <row r="7735" ht="30" customHeight="1" spans="1:13">
      <c r="A7735" s="41">
        <f>IF(C7735="","",SUBTOTAL(103,$C$2:C7735))</f>
        <v>7726</v>
      </c>
      <c r="B7735" s="67"/>
      <c r="C7735" s="58" t="s">
        <v>20331</v>
      </c>
      <c r="D7735" s="2" t="s">
        <v>23504</v>
      </c>
      <c r="E7735" s="2" t="s">
        <v>23504</v>
      </c>
      <c r="F7735" s="74" t="s">
        <v>23530</v>
      </c>
      <c r="G7735" s="75" t="s">
        <v>23672</v>
      </c>
      <c r="H7735" s="75" t="s">
        <v>23673</v>
      </c>
      <c r="I7735" s="76">
        <v>9</v>
      </c>
      <c r="J7735" s="44" t="str">
        <f>VLOOKUP(G7735,[1]硬件清单!$F:$F,1,0)</f>
        <v>2106195HACX3NC000007</v>
      </c>
      <c r="K7735" s="66"/>
      <c r="L7735" s="44"/>
      <c r="M7735" s="75" t="s">
        <v>23674</v>
      </c>
    </row>
    <row r="7736" ht="30" customHeight="1" spans="1:13">
      <c r="A7736" s="41">
        <f>IF(C7736="","",SUBTOTAL(103,$C$2:C7736))</f>
        <v>7727</v>
      </c>
      <c r="B7736" s="67"/>
      <c r="C7736" s="58" t="s">
        <v>20331</v>
      </c>
      <c r="D7736" s="2" t="s">
        <v>23504</v>
      </c>
      <c r="E7736" s="2" t="s">
        <v>23504</v>
      </c>
      <c r="F7736" s="74" t="s">
        <v>23530</v>
      </c>
      <c r="G7736" s="75" t="s">
        <v>23675</v>
      </c>
      <c r="H7736" s="75" t="s">
        <v>23676</v>
      </c>
      <c r="I7736" s="76">
        <v>9</v>
      </c>
      <c r="J7736" s="44" t="str">
        <f>VLOOKUP(G7736,[1]硬件清单!$F:$F,1,0)</f>
        <v>2106195HACX3NC000003</v>
      </c>
      <c r="K7736" s="66"/>
      <c r="L7736" s="44"/>
      <c r="M7736" s="75" t="s">
        <v>23677</v>
      </c>
    </row>
    <row r="7737" ht="30" customHeight="1" spans="1:13">
      <c r="A7737" s="41">
        <f>IF(C7737="","",SUBTOTAL(103,$C$2:C7737))</f>
        <v>7728</v>
      </c>
      <c r="B7737" s="67"/>
      <c r="C7737" s="58" t="s">
        <v>20331</v>
      </c>
      <c r="D7737" s="2" t="s">
        <v>23504</v>
      </c>
      <c r="E7737" s="2" t="s">
        <v>23504</v>
      </c>
      <c r="F7737" s="74" t="s">
        <v>23530</v>
      </c>
      <c r="G7737" s="75" t="s">
        <v>23678</v>
      </c>
      <c r="H7737" s="75" t="s">
        <v>23679</v>
      </c>
      <c r="I7737" s="76">
        <v>9</v>
      </c>
      <c r="J7737" s="44" t="str">
        <f>VLOOKUP(G7737,[1]硬件清单!$F:$F,1,0)</f>
        <v>2106195HACX3NC000002</v>
      </c>
      <c r="K7737" s="66"/>
      <c r="L7737" s="44"/>
      <c r="M7737" s="75" t="s">
        <v>23680</v>
      </c>
    </row>
    <row r="7738" ht="30" customHeight="1" spans="1:13">
      <c r="A7738" s="41">
        <f>IF(C7738="","",SUBTOTAL(103,$C$2:C7738))</f>
        <v>7729</v>
      </c>
      <c r="B7738" s="67"/>
      <c r="C7738" s="58" t="s">
        <v>20331</v>
      </c>
      <c r="D7738" s="2" t="s">
        <v>23504</v>
      </c>
      <c r="E7738" s="2" t="s">
        <v>23504</v>
      </c>
      <c r="F7738" s="74" t="s">
        <v>23530</v>
      </c>
      <c r="G7738" s="75" t="s">
        <v>23681</v>
      </c>
      <c r="H7738" s="75" t="s">
        <v>23682</v>
      </c>
      <c r="I7738" s="76">
        <v>9</v>
      </c>
      <c r="J7738" s="44" t="str">
        <f>VLOOKUP(G7738,[1]硬件清单!$F:$F,1,0)</f>
        <v>2106195HACX3NC000001</v>
      </c>
      <c r="K7738" s="66"/>
      <c r="L7738" s="44"/>
      <c r="M7738" s="75" t="s">
        <v>23683</v>
      </c>
    </row>
    <row r="7739" ht="30" customHeight="1" spans="1:13">
      <c r="A7739" s="41">
        <f>IF(C7739="","",SUBTOTAL(103,$C$2:C7739))</f>
        <v>7730</v>
      </c>
      <c r="B7739" s="67"/>
      <c r="C7739" s="58" t="s">
        <v>20331</v>
      </c>
      <c r="D7739" s="2" t="s">
        <v>23504</v>
      </c>
      <c r="E7739" s="2" t="s">
        <v>23504</v>
      </c>
      <c r="F7739" s="74" t="s">
        <v>23530</v>
      </c>
      <c r="G7739" s="75" t="s">
        <v>23684</v>
      </c>
      <c r="H7739" s="75" t="s">
        <v>23685</v>
      </c>
      <c r="I7739" s="76">
        <v>9</v>
      </c>
      <c r="J7739" s="44" t="str">
        <f>VLOOKUP(G7739,[1]硬件清单!$F:$F,1,0)</f>
        <v>2106195HACX3NC000011</v>
      </c>
      <c r="K7739" s="66"/>
      <c r="L7739" s="44"/>
      <c r="M7739" s="75" t="s">
        <v>23686</v>
      </c>
    </row>
    <row r="7740" ht="30" customHeight="1" spans="1:13">
      <c r="A7740" s="41">
        <f>IF(C7740="","",SUBTOTAL(103,$C$2:C7740))</f>
        <v>7731</v>
      </c>
      <c r="B7740" s="67"/>
      <c r="C7740" s="58" t="s">
        <v>20331</v>
      </c>
      <c r="D7740" s="2" t="s">
        <v>23504</v>
      </c>
      <c r="E7740" s="2" t="s">
        <v>23504</v>
      </c>
      <c r="F7740" s="74" t="s">
        <v>23530</v>
      </c>
      <c r="G7740" s="75" t="s">
        <v>23687</v>
      </c>
      <c r="H7740" s="75" t="s">
        <v>23688</v>
      </c>
      <c r="I7740" s="76">
        <v>9</v>
      </c>
      <c r="J7740" s="44" t="str">
        <f>VLOOKUP(G7740,[1]硬件清单!$F:$F,1,0)</f>
        <v>2106195HACX3NC000005</v>
      </c>
      <c r="K7740" s="66"/>
      <c r="L7740" s="44"/>
      <c r="M7740" s="75" t="s">
        <v>23689</v>
      </c>
    </row>
    <row r="7741" ht="30" customHeight="1" spans="1:13">
      <c r="A7741" s="41">
        <f>IF(C7741="","",SUBTOTAL(103,$C$2:C7741))</f>
        <v>7732</v>
      </c>
      <c r="B7741" s="67"/>
      <c r="C7741" s="58" t="s">
        <v>20331</v>
      </c>
      <c r="D7741" s="2" t="s">
        <v>23504</v>
      </c>
      <c r="E7741" s="2" t="s">
        <v>23504</v>
      </c>
      <c r="F7741" s="74" t="s">
        <v>23530</v>
      </c>
      <c r="G7741" s="75" t="s">
        <v>23690</v>
      </c>
      <c r="H7741" s="75" t="s">
        <v>23691</v>
      </c>
      <c r="I7741" s="76">
        <v>9</v>
      </c>
      <c r="J7741" s="44" t="str">
        <f>VLOOKUP(G7741,[1]硬件清单!$F:$F,1,0)</f>
        <v>2106195HACX3NC000009</v>
      </c>
      <c r="K7741" s="66"/>
      <c r="L7741" s="44"/>
      <c r="M7741" s="75" t="s">
        <v>23692</v>
      </c>
    </row>
    <row r="7742" ht="30" customHeight="1" spans="1:13">
      <c r="A7742" s="41">
        <f>IF(C7742="","",SUBTOTAL(103,$C$2:C7742))</f>
        <v>7733</v>
      </c>
      <c r="B7742" s="67"/>
      <c r="C7742" s="58" t="s">
        <v>20331</v>
      </c>
      <c r="D7742" s="2" t="s">
        <v>23504</v>
      </c>
      <c r="E7742" s="2" t="s">
        <v>23504</v>
      </c>
      <c r="F7742" s="74" t="s">
        <v>23530</v>
      </c>
      <c r="G7742" s="75" t="s">
        <v>23693</v>
      </c>
      <c r="H7742" s="75" t="s">
        <v>23694</v>
      </c>
      <c r="I7742" s="76">
        <v>9</v>
      </c>
      <c r="J7742" s="44" t="str">
        <f>VLOOKUP(G7742,[1]硬件清单!$F:$F,1,0)</f>
        <v>2106195HACX3NC000010</v>
      </c>
      <c r="K7742" s="66"/>
      <c r="L7742" s="44"/>
      <c r="M7742" s="75" t="s">
        <v>23695</v>
      </c>
    </row>
    <row r="7743" ht="30" customHeight="1" spans="1:13">
      <c r="A7743" s="41">
        <f>IF(C7743="","",SUBTOTAL(103,$C$2:C7743))</f>
        <v>7734</v>
      </c>
      <c r="B7743" s="67"/>
      <c r="C7743" s="58" t="s">
        <v>20331</v>
      </c>
      <c r="D7743" s="2" t="s">
        <v>23504</v>
      </c>
      <c r="E7743" s="2" t="s">
        <v>23504</v>
      </c>
      <c r="F7743" s="74" t="s">
        <v>23530</v>
      </c>
      <c r="G7743" s="75" t="s">
        <v>23696</v>
      </c>
      <c r="H7743" s="75" t="s">
        <v>23697</v>
      </c>
      <c r="I7743" s="76">
        <v>9</v>
      </c>
      <c r="J7743" s="44" t="str">
        <f>VLOOKUP(G7743,[1]硬件清单!$F:$F,1,0)</f>
        <v>2106195HACX3NC000012</v>
      </c>
      <c r="K7743" s="66"/>
      <c r="L7743" s="44"/>
      <c r="M7743" s="75" t="s">
        <v>23698</v>
      </c>
    </row>
    <row r="7744" ht="30" customHeight="1" spans="1:13">
      <c r="A7744" s="41">
        <f>IF(C7744="","",SUBTOTAL(103,$C$2:C7744))</f>
        <v>7735</v>
      </c>
      <c r="B7744" s="67"/>
      <c r="C7744" s="58" t="s">
        <v>20331</v>
      </c>
      <c r="D7744" s="2" t="s">
        <v>23504</v>
      </c>
      <c r="E7744" s="2" t="s">
        <v>23504</v>
      </c>
      <c r="F7744" s="74" t="s">
        <v>23530</v>
      </c>
      <c r="G7744" s="75" t="s">
        <v>23699</v>
      </c>
      <c r="H7744" s="75" t="s">
        <v>23700</v>
      </c>
      <c r="I7744" s="76">
        <v>9</v>
      </c>
      <c r="J7744" s="44" t="str">
        <f>VLOOKUP(G7744,[1]硬件清单!$F:$F,1,0)</f>
        <v>2106195HAEX3NC000002</v>
      </c>
      <c r="K7744" s="66"/>
      <c r="L7744" s="44"/>
      <c r="M7744" s="75" t="s">
        <v>23701</v>
      </c>
    </row>
    <row r="7745" ht="30" customHeight="1" spans="1:13">
      <c r="A7745" s="41">
        <f>IF(C7745="","",SUBTOTAL(103,$C$2:C7745))</f>
        <v>7736</v>
      </c>
      <c r="B7745" s="67"/>
      <c r="C7745" s="58" t="s">
        <v>20331</v>
      </c>
      <c r="D7745" s="2" t="s">
        <v>23504</v>
      </c>
      <c r="E7745" s="2" t="s">
        <v>23504</v>
      </c>
      <c r="F7745" s="74" t="s">
        <v>23530</v>
      </c>
      <c r="G7745" s="75" t="s">
        <v>23702</v>
      </c>
      <c r="H7745" s="75" t="s">
        <v>23703</v>
      </c>
      <c r="I7745" s="76">
        <v>9</v>
      </c>
      <c r="J7745" s="44" t="str">
        <f>VLOOKUP(G7745,[1]硬件清单!$F:$F,1,0)</f>
        <v>2106195HAEX3NC000004</v>
      </c>
      <c r="K7745" s="66"/>
      <c r="L7745" s="44"/>
      <c r="M7745" s="75" t="s">
        <v>23704</v>
      </c>
    </row>
    <row r="7746" ht="30" customHeight="1" spans="1:13">
      <c r="A7746" s="41">
        <f>IF(C7746="","",SUBTOTAL(103,$C$2:C7746))</f>
        <v>7737</v>
      </c>
      <c r="B7746" s="67"/>
      <c r="C7746" s="58" t="s">
        <v>20331</v>
      </c>
      <c r="D7746" s="2" t="s">
        <v>23504</v>
      </c>
      <c r="E7746" s="2" t="s">
        <v>23504</v>
      </c>
      <c r="F7746" s="74" t="s">
        <v>23530</v>
      </c>
      <c r="G7746" s="75" t="s">
        <v>23705</v>
      </c>
      <c r="H7746" s="75" t="s">
        <v>23706</v>
      </c>
      <c r="I7746" s="76">
        <v>9</v>
      </c>
      <c r="J7746" s="44" t="str">
        <f>VLOOKUP(G7746,[1]硬件清单!$F:$F,1,0)</f>
        <v>2106195HAEX3NC000007</v>
      </c>
      <c r="K7746" s="66"/>
      <c r="L7746" s="44"/>
      <c r="M7746" s="75" t="s">
        <v>23707</v>
      </c>
    </row>
    <row r="7747" ht="30" customHeight="1" spans="1:13">
      <c r="A7747" s="41">
        <f>IF(C7747="","",SUBTOTAL(103,$C$2:C7747))</f>
        <v>7738</v>
      </c>
      <c r="B7747" s="67"/>
      <c r="C7747" s="58" t="s">
        <v>20331</v>
      </c>
      <c r="D7747" s="2" t="s">
        <v>23504</v>
      </c>
      <c r="E7747" s="2" t="s">
        <v>23504</v>
      </c>
      <c r="F7747" s="74" t="s">
        <v>23530</v>
      </c>
      <c r="G7747" s="75" t="s">
        <v>23708</v>
      </c>
      <c r="H7747" s="75" t="s">
        <v>23709</v>
      </c>
      <c r="I7747" s="76">
        <v>9</v>
      </c>
      <c r="J7747" s="44" t="str">
        <f>VLOOKUP(G7747,[1]硬件清单!$F:$F,1,0)</f>
        <v>2106195HAEX3NC000005</v>
      </c>
      <c r="K7747" s="66"/>
      <c r="L7747" s="44"/>
      <c r="M7747" s="75" t="s">
        <v>23710</v>
      </c>
    </row>
    <row r="7748" ht="30" customHeight="1" spans="1:13">
      <c r="A7748" s="41">
        <f>IF(C7748="","",SUBTOTAL(103,$C$2:C7748))</f>
        <v>7739</v>
      </c>
      <c r="B7748" s="67"/>
      <c r="C7748" s="58" t="s">
        <v>20331</v>
      </c>
      <c r="D7748" s="2" t="s">
        <v>23504</v>
      </c>
      <c r="E7748" s="2" t="s">
        <v>23504</v>
      </c>
      <c r="F7748" s="74" t="s">
        <v>23530</v>
      </c>
      <c r="G7748" s="75" t="s">
        <v>23711</v>
      </c>
      <c r="H7748" s="75" t="s">
        <v>23712</v>
      </c>
      <c r="I7748" s="76">
        <v>9</v>
      </c>
      <c r="J7748" s="44" t="str">
        <f>VLOOKUP(G7748,[1]硬件清单!$F:$F,1,0)</f>
        <v>2106195HAEX3NC000006</v>
      </c>
      <c r="K7748" s="66"/>
      <c r="L7748" s="44"/>
      <c r="M7748" s="75" t="s">
        <v>23713</v>
      </c>
    </row>
    <row r="7749" ht="30" customHeight="1" spans="1:13">
      <c r="A7749" s="41">
        <f>IF(C7749="","",SUBTOTAL(103,$C$2:C7749))</f>
        <v>7740</v>
      </c>
      <c r="B7749" s="67"/>
      <c r="C7749" s="58" t="s">
        <v>20331</v>
      </c>
      <c r="D7749" s="2" t="s">
        <v>23504</v>
      </c>
      <c r="E7749" s="2" t="s">
        <v>23504</v>
      </c>
      <c r="F7749" s="74" t="s">
        <v>23530</v>
      </c>
      <c r="G7749" s="75" t="s">
        <v>23714</v>
      </c>
      <c r="H7749" s="75" t="s">
        <v>23715</v>
      </c>
      <c r="I7749" s="76">
        <v>9</v>
      </c>
      <c r="J7749" s="44" t="str">
        <f>VLOOKUP(G7749,[1]硬件清单!$F:$F,1,0)</f>
        <v>2106195HAEX3NC000008</v>
      </c>
      <c r="K7749" s="66"/>
      <c r="L7749" s="44"/>
      <c r="M7749" s="75" t="s">
        <v>23716</v>
      </c>
    </row>
    <row r="7750" ht="30" customHeight="1" spans="1:13">
      <c r="A7750" s="41">
        <f>IF(C7750="","",SUBTOTAL(103,$C$2:C7750))</f>
        <v>7741</v>
      </c>
      <c r="B7750" s="67"/>
      <c r="C7750" s="58" t="s">
        <v>20331</v>
      </c>
      <c r="D7750" s="2" t="s">
        <v>23504</v>
      </c>
      <c r="E7750" s="2" t="s">
        <v>23504</v>
      </c>
      <c r="F7750" s="74" t="s">
        <v>23530</v>
      </c>
      <c r="G7750" s="75" t="s">
        <v>23717</v>
      </c>
      <c r="H7750" s="75" t="s">
        <v>23718</v>
      </c>
      <c r="I7750" s="76">
        <v>9</v>
      </c>
      <c r="J7750" s="44" t="str">
        <f>VLOOKUP(G7750,[1]硬件清单!$F:$F,1,0)</f>
        <v>2106195HAEX3NC000003</v>
      </c>
      <c r="K7750" s="66"/>
      <c r="L7750" s="44"/>
      <c r="M7750" s="75" t="s">
        <v>23719</v>
      </c>
    </row>
    <row r="7751" ht="30" customHeight="1" spans="1:13">
      <c r="A7751" s="41">
        <f>IF(C7751="","",SUBTOTAL(103,$C$2:C7751))</f>
        <v>7742</v>
      </c>
      <c r="B7751" s="67"/>
      <c r="C7751" s="58" t="s">
        <v>20331</v>
      </c>
      <c r="D7751" s="2" t="s">
        <v>23504</v>
      </c>
      <c r="E7751" s="2" t="s">
        <v>23504</v>
      </c>
      <c r="F7751" s="74" t="s">
        <v>23530</v>
      </c>
      <c r="G7751" s="75" t="s">
        <v>23720</v>
      </c>
      <c r="H7751" s="75" t="s">
        <v>23721</v>
      </c>
      <c r="I7751" s="76">
        <v>9</v>
      </c>
      <c r="J7751" s="44" t="str">
        <f>VLOOKUP(G7751,[1]硬件清单!$F:$F,1,0)</f>
        <v>2106195HAEX3NC000001</v>
      </c>
      <c r="K7751" s="66"/>
      <c r="L7751" s="44"/>
      <c r="M7751" s="75" t="s">
        <v>23722</v>
      </c>
    </row>
    <row r="7752" ht="30" customHeight="1" spans="1:13">
      <c r="A7752" s="41">
        <f>IF(C7752="","",SUBTOTAL(103,$C$2:C7752))</f>
        <v>7743</v>
      </c>
      <c r="B7752" s="67"/>
      <c r="C7752" s="58" t="s">
        <v>20331</v>
      </c>
      <c r="D7752" s="2" t="s">
        <v>23504</v>
      </c>
      <c r="E7752" s="2" t="s">
        <v>23504</v>
      </c>
      <c r="F7752" s="74" t="s">
        <v>23530</v>
      </c>
      <c r="G7752" s="75" t="s">
        <v>23723</v>
      </c>
      <c r="H7752" s="75" t="s">
        <v>23724</v>
      </c>
      <c r="I7752" s="76">
        <v>9</v>
      </c>
      <c r="J7752" s="44" t="str">
        <f>VLOOKUP(G7752,[1]硬件清单!$F:$F,1,0)</f>
        <v>2106195HAFXDNC000013</v>
      </c>
      <c r="K7752" s="66"/>
      <c r="L7752" s="44"/>
      <c r="M7752" s="75" t="s">
        <v>23725</v>
      </c>
    </row>
    <row r="7753" ht="30" customHeight="1" spans="1:13">
      <c r="A7753" s="41">
        <f>IF(C7753="","",SUBTOTAL(103,$C$2:C7753))</f>
        <v>7744</v>
      </c>
      <c r="B7753" s="67"/>
      <c r="C7753" s="58" t="s">
        <v>20331</v>
      </c>
      <c r="D7753" s="2" t="s">
        <v>23504</v>
      </c>
      <c r="E7753" s="2" t="s">
        <v>23504</v>
      </c>
      <c r="F7753" s="74" t="s">
        <v>23530</v>
      </c>
      <c r="G7753" s="75" t="s">
        <v>23726</v>
      </c>
      <c r="H7753" s="75" t="s">
        <v>23727</v>
      </c>
      <c r="I7753" s="76">
        <v>9</v>
      </c>
      <c r="J7753" s="44" t="str">
        <f>VLOOKUP(G7753,[1]硬件清单!$F:$F,1,0)</f>
        <v>2106195HAFXDNC000022</v>
      </c>
      <c r="K7753" s="66"/>
      <c r="L7753" s="44"/>
      <c r="M7753" s="75" t="s">
        <v>23728</v>
      </c>
    </row>
    <row r="7754" ht="30" customHeight="1" spans="1:13">
      <c r="A7754" s="41">
        <f>IF(C7754="","",SUBTOTAL(103,$C$2:C7754))</f>
        <v>7745</v>
      </c>
      <c r="B7754" s="67"/>
      <c r="C7754" s="58" t="s">
        <v>20331</v>
      </c>
      <c r="D7754" s="2" t="s">
        <v>23504</v>
      </c>
      <c r="E7754" s="2" t="s">
        <v>23504</v>
      </c>
      <c r="F7754" s="74" t="s">
        <v>23530</v>
      </c>
      <c r="G7754" s="75" t="s">
        <v>23729</v>
      </c>
      <c r="H7754" s="75" t="s">
        <v>23730</v>
      </c>
      <c r="I7754" s="76">
        <v>9</v>
      </c>
      <c r="J7754" s="44" t="str">
        <f>VLOOKUP(G7754,[1]硬件清单!$F:$F,1,0)</f>
        <v>2106195HAFXDNC000023</v>
      </c>
      <c r="K7754" s="66"/>
      <c r="L7754" s="44"/>
      <c r="M7754" s="75" t="s">
        <v>23731</v>
      </c>
    </row>
    <row r="7755" ht="30" customHeight="1" spans="1:13">
      <c r="A7755" s="41">
        <f>IF(C7755="","",SUBTOTAL(103,$C$2:C7755))</f>
        <v>7746</v>
      </c>
      <c r="B7755" s="67"/>
      <c r="C7755" s="58" t="s">
        <v>20331</v>
      </c>
      <c r="D7755" s="2" t="s">
        <v>23504</v>
      </c>
      <c r="E7755" s="2" t="s">
        <v>23504</v>
      </c>
      <c r="F7755" s="74" t="s">
        <v>23530</v>
      </c>
      <c r="G7755" s="75" t="s">
        <v>23732</v>
      </c>
      <c r="H7755" s="75" t="s">
        <v>23733</v>
      </c>
      <c r="I7755" s="76">
        <v>9</v>
      </c>
      <c r="J7755" s="44" t="str">
        <f>VLOOKUP(G7755,[1]硬件清单!$F:$F,1,0)</f>
        <v>2106195HAFXDNC000021</v>
      </c>
      <c r="K7755" s="66"/>
      <c r="L7755" s="44"/>
      <c r="M7755" s="75" t="s">
        <v>23734</v>
      </c>
    </row>
    <row r="7756" ht="30" customHeight="1" spans="1:13">
      <c r="A7756" s="41">
        <f>IF(C7756="","",SUBTOTAL(103,$C$2:C7756))</f>
        <v>7747</v>
      </c>
      <c r="B7756" s="67"/>
      <c r="C7756" s="58" t="s">
        <v>20331</v>
      </c>
      <c r="D7756" s="2" t="s">
        <v>23504</v>
      </c>
      <c r="E7756" s="2" t="s">
        <v>23504</v>
      </c>
      <c r="F7756" s="74" t="s">
        <v>23530</v>
      </c>
      <c r="G7756" s="75" t="s">
        <v>23735</v>
      </c>
      <c r="H7756" s="75" t="s">
        <v>23736</v>
      </c>
      <c r="I7756" s="76">
        <v>9</v>
      </c>
      <c r="J7756" s="44" t="str">
        <f>VLOOKUP(G7756,[1]硬件清单!$F:$F,1,0)</f>
        <v>2106195HAFXDNC000018</v>
      </c>
      <c r="K7756" s="66"/>
      <c r="L7756" s="44"/>
      <c r="M7756" s="75" t="s">
        <v>23737</v>
      </c>
    </row>
    <row r="7757" ht="30" customHeight="1" spans="1:13">
      <c r="A7757" s="41">
        <f>IF(C7757="","",SUBTOTAL(103,$C$2:C7757))</f>
        <v>7748</v>
      </c>
      <c r="B7757" s="67"/>
      <c r="C7757" s="58" t="s">
        <v>20331</v>
      </c>
      <c r="D7757" s="2" t="s">
        <v>23504</v>
      </c>
      <c r="E7757" s="2" t="s">
        <v>23504</v>
      </c>
      <c r="F7757" s="74" t="s">
        <v>23530</v>
      </c>
      <c r="G7757" s="75" t="s">
        <v>23738</v>
      </c>
      <c r="H7757" s="75" t="s">
        <v>23739</v>
      </c>
      <c r="I7757" s="76">
        <v>9</v>
      </c>
      <c r="J7757" s="44" t="str">
        <f>VLOOKUP(G7757,[1]硬件清单!$F:$F,1,0)</f>
        <v>2106195HAFXDNC000017</v>
      </c>
      <c r="K7757" s="66"/>
      <c r="L7757" s="44"/>
      <c r="M7757" s="75" t="s">
        <v>23740</v>
      </c>
    </row>
    <row r="7758" ht="30" customHeight="1" spans="1:13">
      <c r="A7758" s="41">
        <f>IF(C7758="","",SUBTOTAL(103,$C$2:C7758))</f>
        <v>7749</v>
      </c>
      <c r="B7758" s="67"/>
      <c r="C7758" s="58" t="s">
        <v>20331</v>
      </c>
      <c r="D7758" s="2" t="s">
        <v>23504</v>
      </c>
      <c r="E7758" s="2" t="s">
        <v>23504</v>
      </c>
      <c r="F7758" s="74" t="s">
        <v>23530</v>
      </c>
      <c r="G7758" s="75" t="s">
        <v>23741</v>
      </c>
      <c r="H7758" s="75" t="s">
        <v>23742</v>
      </c>
      <c r="I7758" s="76">
        <v>9</v>
      </c>
      <c r="J7758" s="44" t="str">
        <f>VLOOKUP(G7758,[1]硬件清单!$F:$F,1,0)</f>
        <v>2106195HAFXDNC000020</v>
      </c>
      <c r="K7758" s="66"/>
      <c r="L7758" s="44"/>
      <c r="M7758" s="75" t="s">
        <v>23743</v>
      </c>
    </row>
    <row r="7759" ht="30" customHeight="1" spans="1:13">
      <c r="A7759" s="41">
        <f>IF(C7759="","",SUBTOTAL(103,$C$2:C7759))</f>
        <v>7750</v>
      </c>
      <c r="B7759" s="67"/>
      <c r="C7759" s="58" t="s">
        <v>20331</v>
      </c>
      <c r="D7759" s="2" t="s">
        <v>23504</v>
      </c>
      <c r="E7759" s="2" t="s">
        <v>23504</v>
      </c>
      <c r="F7759" s="74" t="s">
        <v>23530</v>
      </c>
      <c r="G7759" s="75" t="s">
        <v>23744</v>
      </c>
      <c r="H7759" s="75" t="s">
        <v>23745</v>
      </c>
      <c r="I7759" s="76">
        <v>9</v>
      </c>
      <c r="J7759" s="44" t="str">
        <f>VLOOKUP(G7759,[1]硬件清单!$F:$F,1,0)</f>
        <v>2106195HAFXDNC000001</v>
      </c>
      <c r="K7759" s="66"/>
      <c r="L7759" s="44"/>
      <c r="M7759" s="75" t="s">
        <v>23746</v>
      </c>
    </row>
    <row r="7760" ht="30" customHeight="1" spans="1:13">
      <c r="A7760" s="41">
        <f>IF(C7760="","",SUBTOTAL(103,$C$2:C7760))</f>
        <v>7751</v>
      </c>
      <c r="B7760" s="67"/>
      <c r="C7760" s="58" t="s">
        <v>20331</v>
      </c>
      <c r="D7760" s="2" t="s">
        <v>23504</v>
      </c>
      <c r="E7760" s="2" t="s">
        <v>23504</v>
      </c>
      <c r="F7760" s="74" t="s">
        <v>23530</v>
      </c>
      <c r="G7760" s="75" t="s">
        <v>23747</v>
      </c>
      <c r="H7760" s="75" t="s">
        <v>23748</v>
      </c>
      <c r="I7760" s="76">
        <v>9</v>
      </c>
      <c r="J7760" s="44" t="str">
        <f>VLOOKUP(G7760,[1]硬件清单!$F:$F,1,0)</f>
        <v>2106195HAFXDNC000019</v>
      </c>
      <c r="K7760" s="66"/>
      <c r="L7760" s="44"/>
      <c r="M7760" s="75" t="s">
        <v>23749</v>
      </c>
    </row>
    <row r="7761" ht="30" customHeight="1" spans="1:13">
      <c r="A7761" s="41">
        <f>IF(C7761="","",SUBTOTAL(103,$C$2:C7761))</f>
        <v>7752</v>
      </c>
      <c r="B7761" s="67"/>
      <c r="C7761" s="58" t="s">
        <v>20331</v>
      </c>
      <c r="D7761" s="2" t="s">
        <v>23504</v>
      </c>
      <c r="E7761" s="2" t="s">
        <v>23504</v>
      </c>
      <c r="F7761" s="74" t="s">
        <v>23530</v>
      </c>
      <c r="G7761" s="75" t="s">
        <v>23750</v>
      </c>
      <c r="H7761" s="75" t="s">
        <v>23751</v>
      </c>
      <c r="I7761" s="76">
        <v>9</v>
      </c>
      <c r="J7761" s="44" t="str">
        <f>VLOOKUP(G7761,[1]硬件清单!$F:$F,1,0)</f>
        <v>2106195HAFXDNC000007</v>
      </c>
      <c r="K7761" s="66"/>
      <c r="L7761" s="44"/>
      <c r="M7761" s="75" t="s">
        <v>23752</v>
      </c>
    </row>
    <row r="7762" ht="30" customHeight="1" spans="1:13">
      <c r="A7762" s="41">
        <f>IF(C7762="","",SUBTOTAL(103,$C$2:C7762))</f>
        <v>7753</v>
      </c>
      <c r="B7762" s="67"/>
      <c r="C7762" s="58" t="s">
        <v>20331</v>
      </c>
      <c r="D7762" s="2" t="s">
        <v>23504</v>
      </c>
      <c r="E7762" s="2" t="s">
        <v>23504</v>
      </c>
      <c r="F7762" s="74" t="s">
        <v>23530</v>
      </c>
      <c r="G7762" s="75" t="s">
        <v>23753</v>
      </c>
      <c r="H7762" s="75" t="s">
        <v>23754</v>
      </c>
      <c r="I7762" s="76">
        <v>9</v>
      </c>
      <c r="J7762" s="44" t="str">
        <f>VLOOKUP(G7762,[1]硬件清单!$F:$F,1,0)</f>
        <v>2106195HAFXDNC000008</v>
      </c>
      <c r="K7762" s="66"/>
      <c r="L7762" s="44"/>
      <c r="M7762" s="75" t="s">
        <v>23755</v>
      </c>
    </row>
    <row r="7763" ht="30" customHeight="1" spans="1:13">
      <c r="A7763" s="41">
        <f>IF(C7763="","",SUBTOTAL(103,$C$2:C7763))</f>
        <v>7754</v>
      </c>
      <c r="B7763" s="67"/>
      <c r="C7763" s="58" t="s">
        <v>20331</v>
      </c>
      <c r="D7763" s="2" t="s">
        <v>23504</v>
      </c>
      <c r="E7763" s="2" t="s">
        <v>23504</v>
      </c>
      <c r="F7763" s="74" t="s">
        <v>23530</v>
      </c>
      <c r="G7763" s="75" t="s">
        <v>23756</v>
      </c>
      <c r="H7763" s="75" t="s">
        <v>23757</v>
      </c>
      <c r="I7763" s="76">
        <v>9</v>
      </c>
      <c r="J7763" s="44" t="str">
        <f>VLOOKUP(G7763,[1]硬件清单!$F:$F,1,0)</f>
        <v>2106195HAFXDNC000014</v>
      </c>
      <c r="K7763" s="66"/>
      <c r="L7763" s="44"/>
      <c r="M7763" s="75" t="s">
        <v>23758</v>
      </c>
    </row>
    <row r="7764" ht="30" customHeight="1" spans="1:13">
      <c r="A7764" s="41">
        <f>IF(C7764="","",SUBTOTAL(103,$C$2:C7764))</f>
        <v>7755</v>
      </c>
      <c r="B7764" s="67"/>
      <c r="C7764" s="58" t="s">
        <v>20331</v>
      </c>
      <c r="D7764" s="2" t="s">
        <v>23504</v>
      </c>
      <c r="E7764" s="2" t="s">
        <v>23504</v>
      </c>
      <c r="F7764" s="74" t="s">
        <v>23530</v>
      </c>
      <c r="G7764" s="75" t="s">
        <v>23759</v>
      </c>
      <c r="H7764" s="75" t="s">
        <v>23760</v>
      </c>
      <c r="I7764" s="76">
        <v>9</v>
      </c>
      <c r="J7764" s="44" t="str">
        <f>VLOOKUP(G7764,[1]硬件清单!$F:$F,1,0)</f>
        <v>2106195HAFXDNC000012</v>
      </c>
      <c r="K7764" s="66"/>
      <c r="L7764" s="44"/>
      <c r="M7764" s="75" t="s">
        <v>23761</v>
      </c>
    </row>
    <row r="7765" ht="30" customHeight="1" spans="1:13">
      <c r="A7765" s="41">
        <f>IF(C7765="","",SUBTOTAL(103,$C$2:C7765))</f>
        <v>7756</v>
      </c>
      <c r="B7765" s="67"/>
      <c r="C7765" s="58" t="s">
        <v>20331</v>
      </c>
      <c r="D7765" s="2" t="s">
        <v>23504</v>
      </c>
      <c r="E7765" s="2" t="s">
        <v>23504</v>
      </c>
      <c r="F7765" s="74" t="s">
        <v>23530</v>
      </c>
      <c r="G7765" s="75" t="s">
        <v>23762</v>
      </c>
      <c r="H7765" s="75" t="s">
        <v>23763</v>
      </c>
      <c r="I7765" s="76">
        <v>9</v>
      </c>
      <c r="J7765" s="44" t="str">
        <f>VLOOKUP(G7765,[1]硬件清单!$F:$F,1,0)</f>
        <v>2106195HAFXDNC000028</v>
      </c>
      <c r="K7765" s="66"/>
      <c r="L7765" s="44"/>
      <c r="M7765" s="75" t="s">
        <v>23764</v>
      </c>
    </row>
    <row r="7766" ht="30" customHeight="1" spans="1:13">
      <c r="A7766" s="41">
        <f>IF(C7766="","",SUBTOTAL(103,$C$2:C7766))</f>
        <v>7757</v>
      </c>
      <c r="B7766" s="67"/>
      <c r="C7766" s="58" t="s">
        <v>20331</v>
      </c>
      <c r="D7766" s="2" t="s">
        <v>23504</v>
      </c>
      <c r="E7766" s="2" t="s">
        <v>23504</v>
      </c>
      <c r="F7766" s="74" t="s">
        <v>23530</v>
      </c>
      <c r="G7766" s="75" t="s">
        <v>23765</v>
      </c>
      <c r="H7766" s="75" t="s">
        <v>23766</v>
      </c>
      <c r="I7766" s="76">
        <v>9</v>
      </c>
      <c r="J7766" s="44" t="str">
        <f>VLOOKUP(G7766,[1]硬件清单!$F:$F,1,0)</f>
        <v>2106195HAFXDNC000027</v>
      </c>
      <c r="K7766" s="66"/>
      <c r="L7766" s="44"/>
      <c r="M7766" s="75" t="s">
        <v>23767</v>
      </c>
    </row>
    <row r="7767" ht="30" customHeight="1" spans="1:13">
      <c r="A7767" s="41">
        <f>IF(C7767="","",SUBTOTAL(103,$C$2:C7767))</f>
        <v>7758</v>
      </c>
      <c r="B7767" s="67"/>
      <c r="C7767" s="58" t="s">
        <v>20331</v>
      </c>
      <c r="D7767" s="2" t="s">
        <v>23504</v>
      </c>
      <c r="E7767" s="2" t="s">
        <v>23504</v>
      </c>
      <c r="F7767" s="74" t="s">
        <v>23530</v>
      </c>
      <c r="G7767" s="75" t="s">
        <v>23768</v>
      </c>
      <c r="H7767" s="75" t="s">
        <v>23769</v>
      </c>
      <c r="I7767" s="76">
        <v>9</v>
      </c>
      <c r="J7767" s="44" t="str">
        <f>VLOOKUP(G7767,[1]硬件清单!$F:$F,1,0)</f>
        <v>2106195HAFXDNC000004</v>
      </c>
      <c r="K7767" s="66"/>
      <c r="L7767" s="44"/>
      <c r="M7767" s="75" t="s">
        <v>23770</v>
      </c>
    </row>
    <row r="7768" ht="30" customHeight="1" spans="1:13">
      <c r="A7768" s="41">
        <f>IF(C7768="","",SUBTOTAL(103,$C$2:C7768))</f>
        <v>7759</v>
      </c>
      <c r="B7768" s="67"/>
      <c r="C7768" s="58" t="s">
        <v>20331</v>
      </c>
      <c r="D7768" s="2" t="s">
        <v>23504</v>
      </c>
      <c r="E7768" s="2" t="s">
        <v>23504</v>
      </c>
      <c r="F7768" s="74" t="s">
        <v>23530</v>
      </c>
      <c r="G7768" s="75" t="s">
        <v>23771</v>
      </c>
      <c r="H7768" s="75" t="s">
        <v>23772</v>
      </c>
      <c r="I7768" s="76">
        <v>9</v>
      </c>
      <c r="J7768" s="44" t="str">
        <f>VLOOKUP(G7768,[1]硬件清单!$F:$F,1,0)</f>
        <v>2106195HAFXDNC000009</v>
      </c>
      <c r="K7768" s="66"/>
      <c r="L7768" s="44"/>
      <c r="M7768" s="75" t="s">
        <v>23773</v>
      </c>
    </row>
    <row r="7769" ht="30" customHeight="1" spans="1:13">
      <c r="A7769" s="41">
        <f>IF(C7769="","",SUBTOTAL(103,$C$2:C7769))</f>
        <v>7760</v>
      </c>
      <c r="B7769" s="67"/>
      <c r="C7769" s="58" t="s">
        <v>20331</v>
      </c>
      <c r="D7769" s="2" t="s">
        <v>23504</v>
      </c>
      <c r="E7769" s="2" t="s">
        <v>23504</v>
      </c>
      <c r="F7769" s="74" t="s">
        <v>23530</v>
      </c>
      <c r="G7769" s="75" t="s">
        <v>23774</v>
      </c>
      <c r="H7769" s="75" t="s">
        <v>23775</v>
      </c>
      <c r="I7769" s="76">
        <v>9</v>
      </c>
      <c r="J7769" s="44" t="str">
        <f>VLOOKUP(G7769,[1]硬件清单!$F:$F,1,0)</f>
        <v>2106195HAFXDNC000025</v>
      </c>
      <c r="K7769" s="66"/>
      <c r="L7769" s="44"/>
      <c r="M7769" s="75" t="s">
        <v>23776</v>
      </c>
    </row>
    <row r="7770" ht="30" customHeight="1" spans="1:13">
      <c r="A7770" s="41">
        <f>IF(C7770="","",SUBTOTAL(103,$C$2:C7770))</f>
        <v>7761</v>
      </c>
      <c r="B7770" s="67"/>
      <c r="C7770" s="58" t="s">
        <v>20331</v>
      </c>
      <c r="D7770" s="2" t="s">
        <v>23504</v>
      </c>
      <c r="E7770" s="2" t="s">
        <v>23504</v>
      </c>
      <c r="F7770" s="74" t="s">
        <v>23530</v>
      </c>
      <c r="G7770" s="75" t="s">
        <v>23777</v>
      </c>
      <c r="H7770" s="75" t="s">
        <v>23778</v>
      </c>
      <c r="I7770" s="76">
        <v>9</v>
      </c>
      <c r="J7770" s="44" t="str">
        <f>VLOOKUP(G7770,[1]硬件清单!$F:$F,1,0)</f>
        <v>2106195HAFXDNC000006</v>
      </c>
      <c r="K7770" s="66"/>
      <c r="L7770" s="44"/>
      <c r="M7770" s="75" t="s">
        <v>23779</v>
      </c>
    </row>
    <row r="7771" ht="30" customHeight="1" spans="1:13">
      <c r="A7771" s="41">
        <f>IF(C7771="","",SUBTOTAL(103,$C$2:C7771))</f>
        <v>7762</v>
      </c>
      <c r="B7771" s="67"/>
      <c r="C7771" s="58" t="s">
        <v>20331</v>
      </c>
      <c r="D7771" s="2" t="s">
        <v>23504</v>
      </c>
      <c r="E7771" s="2" t="s">
        <v>23504</v>
      </c>
      <c r="F7771" s="74" t="s">
        <v>23530</v>
      </c>
      <c r="G7771" s="75" t="s">
        <v>23780</v>
      </c>
      <c r="H7771" s="75" t="s">
        <v>23781</v>
      </c>
      <c r="I7771" s="76">
        <v>9</v>
      </c>
      <c r="J7771" s="44" t="str">
        <f>VLOOKUP(G7771,[1]硬件清单!$F:$F,1,0)</f>
        <v>2106195HAFXDNC000011</v>
      </c>
      <c r="K7771" s="66"/>
      <c r="L7771" s="44"/>
      <c r="M7771" s="75" t="s">
        <v>23782</v>
      </c>
    </row>
    <row r="7772" ht="30" customHeight="1" spans="1:13">
      <c r="A7772" s="41">
        <f>IF(C7772="","",SUBTOTAL(103,$C$2:C7772))</f>
        <v>7763</v>
      </c>
      <c r="B7772" s="67"/>
      <c r="C7772" s="58" t="s">
        <v>20331</v>
      </c>
      <c r="D7772" s="2" t="s">
        <v>23504</v>
      </c>
      <c r="E7772" s="2" t="s">
        <v>23504</v>
      </c>
      <c r="F7772" s="74" t="s">
        <v>23530</v>
      </c>
      <c r="G7772" s="75" t="s">
        <v>23783</v>
      </c>
      <c r="H7772" s="75" t="s">
        <v>23784</v>
      </c>
      <c r="I7772" s="76">
        <v>9</v>
      </c>
      <c r="J7772" s="44" t="str">
        <f>VLOOKUP(G7772,[1]硬件清单!$F:$F,1,0)</f>
        <v>2106195HAFXDNC000010</v>
      </c>
      <c r="K7772" s="66"/>
      <c r="L7772" s="44"/>
      <c r="M7772" s="75" t="s">
        <v>23785</v>
      </c>
    </row>
    <row r="7773" ht="30" customHeight="1" spans="1:13">
      <c r="A7773" s="41">
        <f>IF(C7773="","",SUBTOTAL(103,$C$2:C7773))</f>
        <v>7764</v>
      </c>
      <c r="B7773" s="67"/>
      <c r="C7773" s="58" t="s">
        <v>20331</v>
      </c>
      <c r="D7773" s="2" t="s">
        <v>23504</v>
      </c>
      <c r="E7773" s="2" t="s">
        <v>23504</v>
      </c>
      <c r="F7773" s="74" t="s">
        <v>23530</v>
      </c>
      <c r="G7773" s="75" t="s">
        <v>23786</v>
      </c>
      <c r="H7773" s="75" t="s">
        <v>23787</v>
      </c>
      <c r="I7773" s="76">
        <v>9</v>
      </c>
      <c r="J7773" s="44" t="str">
        <f>VLOOKUP(G7773,[1]硬件清单!$F:$F,1,0)</f>
        <v>2106195HAFXDNC000005</v>
      </c>
      <c r="K7773" s="66"/>
      <c r="L7773" s="44"/>
      <c r="M7773" s="75" t="s">
        <v>23788</v>
      </c>
    </row>
    <row r="7774" ht="30" customHeight="1" spans="1:13">
      <c r="A7774" s="41">
        <f>IF(C7774="","",SUBTOTAL(103,$C$2:C7774))</f>
        <v>7765</v>
      </c>
      <c r="B7774" s="67"/>
      <c r="C7774" s="58" t="s">
        <v>20331</v>
      </c>
      <c r="D7774" s="2" t="s">
        <v>23504</v>
      </c>
      <c r="E7774" s="2" t="s">
        <v>23504</v>
      </c>
      <c r="F7774" s="74" t="s">
        <v>23530</v>
      </c>
      <c r="G7774" s="75" t="s">
        <v>23789</v>
      </c>
      <c r="H7774" s="75" t="s">
        <v>23790</v>
      </c>
      <c r="I7774" s="76">
        <v>9</v>
      </c>
      <c r="J7774" s="44" t="str">
        <f>VLOOKUP(G7774,[1]硬件清单!$F:$F,1,0)</f>
        <v>2106195HAFXDNC000026</v>
      </c>
      <c r="K7774" s="66"/>
      <c r="L7774" s="44"/>
      <c r="M7774" s="75" t="s">
        <v>23791</v>
      </c>
    </row>
    <row r="7775" ht="30" customHeight="1" spans="1:13">
      <c r="A7775" s="41">
        <f>IF(C7775="","",SUBTOTAL(103,$C$2:C7775))</f>
        <v>7766</v>
      </c>
      <c r="B7775" s="67"/>
      <c r="C7775" s="58" t="s">
        <v>20331</v>
      </c>
      <c r="D7775" s="2" t="s">
        <v>23504</v>
      </c>
      <c r="E7775" s="2" t="s">
        <v>23504</v>
      </c>
      <c r="F7775" s="74" t="s">
        <v>23530</v>
      </c>
      <c r="G7775" s="75" t="s">
        <v>23792</v>
      </c>
      <c r="H7775" s="75" t="s">
        <v>23793</v>
      </c>
      <c r="I7775" s="76">
        <v>9</v>
      </c>
      <c r="J7775" s="44" t="str">
        <f>VLOOKUP(G7775,[1]硬件清单!$F:$F,1,0)</f>
        <v>2106195HAFXDNC000015</v>
      </c>
      <c r="K7775" s="66"/>
      <c r="L7775" s="44"/>
      <c r="M7775" s="75" t="s">
        <v>23794</v>
      </c>
    </row>
    <row r="7776" ht="30" customHeight="1" spans="1:13">
      <c r="A7776" s="41">
        <f>IF(C7776="","",SUBTOTAL(103,$C$2:C7776))</f>
        <v>7767</v>
      </c>
      <c r="B7776" s="67"/>
      <c r="C7776" s="58" t="s">
        <v>20331</v>
      </c>
      <c r="D7776" s="2" t="s">
        <v>23504</v>
      </c>
      <c r="E7776" s="2" t="s">
        <v>23504</v>
      </c>
      <c r="F7776" s="74" t="s">
        <v>23530</v>
      </c>
      <c r="G7776" s="75" t="s">
        <v>23795</v>
      </c>
      <c r="H7776" s="75" t="s">
        <v>23796</v>
      </c>
      <c r="I7776" s="76">
        <v>9</v>
      </c>
      <c r="J7776" s="44" t="str">
        <f>VLOOKUP(G7776,[1]硬件清单!$F:$F,1,0)</f>
        <v>2106195HAFXDNC000024</v>
      </c>
      <c r="K7776" s="66"/>
      <c r="L7776" s="44"/>
      <c r="M7776" s="75" t="s">
        <v>23797</v>
      </c>
    </row>
    <row r="7777" ht="30" customHeight="1" spans="1:13">
      <c r="A7777" s="41">
        <f>IF(C7777="","",SUBTOTAL(103,$C$2:C7777))</f>
        <v>7768</v>
      </c>
      <c r="B7777" s="67"/>
      <c r="C7777" s="58" t="s">
        <v>20331</v>
      </c>
      <c r="D7777" s="2" t="s">
        <v>23504</v>
      </c>
      <c r="E7777" s="2" t="s">
        <v>23504</v>
      </c>
      <c r="F7777" s="74" t="s">
        <v>23530</v>
      </c>
      <c r="G7777" s="75" t="s">
        <v>23798</v>
      </c>
      <c r="H7777" s="75" t="s">
        <v>23799</v>
      </c>
      <c r="I7777" s="76">
        <v>9</v>
      </c>
      <c r="J7777" s="44" t="str">
        <f>VLOOKUP(G7777,[1]硬件清单!$F:$F,1,0)</f>
        <v>2106195HAFXDNC000003</v>
      </c>
      <c r="K7777" s="66"/>
      <c r="L7777" s="44"/>
      <c r="M7777" s="75" t="s">
        <v>23800</v>
      </c>
    </row>
    <row r="7778" ht="30" customHeight="1" spans="1:13">
      <c r="A7778" s="41">
        <f>IF(C7778="","",SUBTOTAL(103,$C$2:C7778))</f>
        <v>7769</v>
      </c>
      <c r="B7778" s="67"/>
      <c r="C7778" s="58" t="s">
        <v>20331</v>
      </c>
      <c r="D7778" s="2" t="s">
        <v>23504</v>
      </c>
      <c r="E7778" s="2" t="s">
        <v>23504</v>
      </c>
      <c r="F7778" s="74" t="s">
        <v>23530</v>
      </c>
      <c r="G7778" s="75" t="s">
        <v>23801</v>
      </c>
      <c r="H7778" s="75" t="s">
        <v>23802</v>
      </c>
      <c r="I7778" s="76">
        <v>9</v>
      </c>
      <c r="J7778" s="44" t="str">
        <f>VLOOKUP(G7778,[1]硬件清单!$F:$F,1,0)</f>
        <v>2106195HAFXDNC000016</v>
      </c>
      <c r="K7778" s="66"/>
      <c r="L7778" s="44"/>
      <c r="M7778" s="75" t="s">
        <v>23803</v>
      </c>
    </row>
    <row r="7779" ht="30" customHeight="1" spans="1:13">
      <c r="A7779" s="41">
        <f>IF(C7779="","",SUBTOTAL(103,$C$2:C7779))</f>
        <v>7770</v>
      </c>
      <c r="B7779" s="67"/>
      <c r="C7779" s="58" t="s">
        <v>20331</v>
      </c>
      <c r="D7779" s="2" t="s">
        <v>23504</v>
      </c>
      <c r="E7779" s="2" t="s">
        <v>23504</v>
      </c>
      <c r="F7779" s="74" t="s">
        <v>23530</v>
      </c>
      <c r="G7779" s="75" t="s">
        <v>23804</v>
      </c>
      <c r="H7779" s="75" t="s">
        <v>23805</v>
      </c>
      <c r="I7779" s="76">
        <v>9</v>
      </c>
      <c r="J7779" s="44" t="str">
        <f>VLOOKUP(G7779,[1]硬件清单!$F:$F,1,0)</f>
        <v>2106195HAFXDNC000002</v>
      </c>
      <c r="K7779" s="66"/>
      <c r="L7779" s="44"/>
      <c r="M7779" s="75" t="s">
        <v>23806</v>
      </c>
    </row>
    <row r="7780" ht="30" customHeight="1" spans="1:13">
      <c r="A7780" s="41">
        <f>IF(C7780="","",SUBTOTAL(103,$C$2:C7780))</f>
        <v>7771</v>
      </c>
      <c r="B7780" s="67"/>
      <c r="C7780" s="58" t="s">
        <v>20331</v>
      </c>
      <c r="D7780" s="2" t="s">
        <v>23504</v>
      </c>
      <c r="E7780" s="2" t="s">
        <v>23504</v>
      </c>
      <c r="F7780" s="74" t="s">
        <v>23530</v>
      </c>
      <c r="G7780" s="75" t="s">
        <v>23807</v>
      </c>
      <c r="H7780" s="75" t="s">
        <v>23808</v>
      </c>
      <c r="I7780" s="76">
        <v>9</v>
      </c>
      <c r="J7780" s="44" t="str">
        <f>VLOOKUP(G7780,[1]硬件清单!$F:$F,1,0)</f>
        <v>2106195HAAXDNC000019</v>
      </c>
      <c r="K7780" s="66"/>
      <c r="L7780" s="44"/>
      <c r="M7780" s="75" t="s">
        <v>23809</v>
      </c>
    </row>
    <row r="7781" ht="30" customHeight="1" spans="1:13">
      <c r="A7781" s="41">
        <f>IF(C7781="","",SUBTOTAL(103,$C$2:C7781))</f>
        <v>7772</v>
      </c>
      <c r="B7781" s="67"/>
      <c r="C7781" s="58" t="s">
        <v>20331</v>
      </c>
      <c r="D7781" s="2" t="s">
        <v>23504</v>
      </c>
      <c r="E7781" s="2" t="s">
        <v>23504</v>
      </c>
      <c r="F7781" s="74" t="s">
        <v>23530</v>
      </c>
      <c r="G7781" s="75" t="s">
        <v>23810</v>
      </c>
      <c r="H7781" s="75" t="s">
        <v>23811</v>
      </c>
      <c r="I7781" s="76">
        <v>9</v>
      </c>
      <c r="J7781" s="44" t="str">
        <f>VLOOKUP(G7781,[1]硬件清单!$F:$F,1,0)</f>
        <v>2106195HAAXDNC000018</v>
      </c>
      <c r="K7781" s="66"/>
      <c r="L7781" s="44"/>
      <c r="M7781" s="75" t="s">
        <v>23812</v>
      </c>
    </row>
    <row r="7782" ht="30" customHeight="1" spans="1:13">
      <c r="A7782" s="41">
        <f>IF(C7782="","",SUBTOTAL(103,$C$2:C7782))</f>
        <v>7773</v>
      </c>
      <c r="B7782" s="67"/>
      <c r="C7782" s="58" t="s">
        <v>20331</v>
      </c>
      <c r="D7782" s="2" t="s">
        <v>23504</v>
      </c>
      <c r="E7782" s="2" t="s">
        <v>23504</v>
      </c>
      <c r="F7782" s="74" t="s">
        <v>23530</v>
      </c>
      <c r="G7782" s="75" t="s">
        <v>23813</v>
      </c>
      <c r="H7782" s="75" t="s">
        <v>23814</v>
      </c>
      <c r="I7782" s="76">
        <v>9</v>
      </c>
      <c r="J7782" s="44" t="str">
        <f>VLOOKUP(G7782,[1]硬件清单!$F:$F,1,0)</f>
        <v>2106195HAAXDNC000017</v>
      </c>
      <c r="K7782" s="66"/>
      <c r="L7782" s="44"/>
      <c r="M7782" s="75" t="s">
        <v>23815</v>
      </c>
    </row>
    <row r="7783" ht="30" customHeight="1" spans="1:13">
      <c r="A7783" s="41">
        <f>IF(C7783="","",SUBTOTAL(103,$C$2:C7783))</f>
        <v>7774</v>
      </c>
      <c r="B7783" s="67"/>
      <c r="C7783" s="58" t="s">
        <v>20331</v>
      </c>
      <c r="D7783" s="2" t="s">
        <v>23504</v>
      </c>
      <c r="E7783" s="2" t="s">
        <v>23504</v>
      </c>
      <c r="F7783" s="74" t="s">
        <v>23530</v>
      </c>
      <c r="G7783" s="75" t="s">
        <v>23816</v>
      </c>
      <c r="H7783" s="75" t="s">
        <v>23817</v>
      </c>
      <c r="I7783" s="76">
        <v>9</v>
      </c>
      <c r="J7783" s="44" t="str">
        <f>VLOOKUP(G7783,[1]硬件清单!$F:$F,1,0)</f>
        <v>2106195HAAXDNC000016</v>
      </c>
      <c r="K7783" s="66"/>
      <c r="L7783" s="44"/>
      <c r="M7783" s="75" t="s">
        <v>23818</v>
      </c>
    </row>
    <row r="7784" ht="30" customHeight="1" spans="1:13">
      <c r="A7784" s="41">
        <f>IF(C7784="","",SUBTOTAL(103,$C$2:C7784))</f>
        <v>7775</v>
      </c>
      <c r="B7784" s="67"/>
      <c r="C7784" s="58" t="s">
        <v>20331</v>
      </c>
      <c r="D7784" s="2" t="s">
        <v>23504</v>
      </c>
      <c r="E7784" s="2" t="s">
        <v>23504</v>
      </c>
      <c r="F7784" s="74" t="s">
        <v>23530</v>
      </c>
      <c r="G7784" s="75" t="s">
        <v>23819</v>
      </c>
      <c r="H7784" s="75" t="s">
        <v>23820</v>
      </c>
      <c r="I7784" s="76">
        <v>9</v>
      </c>
      <c r="J7784" s="44" t="str">
        <f>VLOOKUP(G7784,[1]硬件清单!$F:$F,1,0)</f>
        <v>2106195HAAXDNC000015</v>
      </c>
      <c r="K7784" s="66"/>
      <c r="L7784" s="44"/>
      <c r="M7784" s="75" t="s">
        <v>23821</v>
      </c>
    </row>
    <row r="7785" ht="30" customHeight="1" spans="1:13">
      <c r="A7785" s="41">
        <f>IF(C7785="","",SUBTOTAL(103,$C$2:C7785))</f>
        <v>7776</v>
      </c>
      <c r="B7785" s="67"/>
      <c r="C7785" s="58" t="s">
        <v>20331</v>
      </c>
      <c r="D7785" s="2" t="s">
        <v>23504</v>
      </c>
      <c r="E7785" s="2" t="s">
        <v>23504</v>
      </c>
      <c r="F7785" s="74" t="s">
        <v>23530</v>
      </c>
      <c r="G7785" s="75" t="s">
        <v>23822</v>
      </c>
      <c r="H7785" s="75" t="s">
        <v>23823</v>
      </c>
      <c r="I7785" s="76">
        <v>9</v>
      </c>
      <c r="J7785" s="44" t="str">
        <f>VLOOKUP(G7785,[1]硬件清单!$F:$F,1,0)</f>
        <v>2106195HAAXDNC000014</v>
      </c>
      <c r="K7785" s="66"/>
      <c r="L7785" s="44"/>
      <c r="M7785" s="75" t="s">
        <v>23824</v>
      </c>
    </row>
    <row r="7786" ht="30" customHeight="1" spans="1:13">
      <c r="A7786" s="41">
        <f>IF(C7786="","",SUBTOTAL(103,$C$2:C7786))</f>
        <v>7777</v>
      </c>
      <c r="B7786" s="67"/>
      <c r="C7786" s="58" t="s">
        <v>20331</v>
      </c>
      <c r="D7786" s="2" t="s">
        <v>23504</v>
      </c>
      <c r="E7786" s="2" t="s">
        <v>23504</v>
      </c>
      <c r="F7786" s="74" t="s">
        <v>23530</v>
      </c>
      <c r="G7786" s="75" t="s">
        <v>23825</v>
      </c>
      <c r="H7786" s="75" t="s">
        <v>23826</v>
      </c>
      <c r="I7786" s="76">
        <v>9</v>
      </c>
      <c r="J7786" s="44" t="str">
        <f>VLOOKUP(G7786,[1]硬件清单!$F:$F,1,0)</f>
        <v>2106195HAAXDNC000032</v>
      </c>
      <c r="K7786" s="66"/>
      <c r="L7786" s="44"/>
      <c r="M7786" s="75" t="s">
        <v>23827</v>
      </c>
    </row>
    <row r="7787" ht="30" customHeight="1" spans="1:13">
      <c r="A7787" s="41">
        <f>IF(C7787="","",SUBTOTAL(103,$C$2:C7787))</f>
        <v>7778</v>
      </c>
      <c r="B7787" s="67"/>
      <c r="C7787" s="58" t="s">
        <v>20331</v>
      </c>
      <c r="D7787" s="2" t="s">
        <v>23504</v>
      </c>
      <c r="E7787" s="2" t="s">
        <v>23504</v>
      </c>
      <c r="F7787" s="74" t="s">
        <v>23530</v>
      </c>
      <c r="G7787" s="75" t="s">
        <v>23828</v>
      </c>
      <c r="H7787" s="75" t="s">
        <v>23829</v>
      </c>
      <c r="I7787" s="76">
        <v>9</v>
      </c>
      <c r="J7787" s="44" t="str">
        <f>VLOOKUP(G7787,[1]硬件清单!$F:$F,1,0)</f>
        <v>2106195HAAXDNC000036</v>
      </c>
      <c r="K7787" s="66"/>
      <c r="L7787" s="44"/>
      <c r="M7787" s="75" t="s">
        <v>23830</v>
      </c>
    </row>
    <row r="7788" ht="30" customHeight="1" spans="1:13">
      <c r="A7788" s="41">
        <f>IF(C7788="","",SUBTOTAL(103,$C$2:C7788))</f>
        <v>7779</v>
      </c>
      <c r="B7788" s="67"/>
      <c r="C7788" s="58" t="s">
        <v>20331</v>
      </c>
      <c r="D7788" s="2" t="s">
        <v>23504</v>
      </c>
      <c r="E7788" s="2" t="s">
        <v>23504</v>
      </c>
      <c r="F7788" s="74" t="s">
        <v>23530</v>
      </c>
      <c r="G7788" s="75" t="s">
        <v>23831</v>
      </c>
      <c r="H7788" s="75" t="s">
        <v>23832</v>
      </c>
      <c r="I7788" s="76">
        <v>9</v>
      </c>
      <c r="J7788" s="44" t="str">
        <f>VLOOKUP(G7788,[1]硬件清单!$F:$F,1,0)</f>
        <v>2106195HAAXDNC000035</v>
      </c>
      <c r="K7788" s="66"/>
      <c r="L7788" s="44"/>
      <c r="M7788" s="75" t="s">
        <v>23833</v>
      </c>
    </row>
    <row r="7789" ht="30" customHeight="1" spans="1:13">
      <c r="A7789" s="41">
        <f>IF(C7789="","",SUBTOTAL(103,$C$2:C7789))</f>
        <v>7780</v>
      </c>
      <c r="B7789" s="67"/>
      <c r="C7789" s="58" t="s">
        <v>20331</v>
      </c>
      <c r="D7789" s="2" t="s">
        <v>23504</v>
      </c>
      <c r="E7789" s="2" t="s">
        <v>23504</v>
      </c>
      <c r="F7789" s="74" t="s">
        <v>23530</v>
      </c>
      <c r="G7789" s="75" t="s">
        <v>23834</v>
      </c>
      <c r="H7789" s="75" t="s">
        <v>23835</v>
      </c>
      <c r="I7789" s="76">
        <v>9</v>
      </c>
      <c r="J7789" s="44" t="str">
        <f>VLOOKUP(G7789,[1]硬件清单!$F:$F,1,0)</f>
        <v>2106195HAAXDNC000028</v>
      </c>
      <c r="K7789" s="66"/>
      <c r="L7789" s="44"/>
      <c r="M7789" s="75" t="s">
        <v>23836</v>
      </c>
    </row>
    <row r="7790" ht="30" customHeight="1" spans="1:13">
      <c r="A7790" s="41">
        <f>IF(C7790="","",SUBTOTAL(103,$C$2:C7790))</f>
        <v>7781</v>
      </c>
      <c r="B7790" s="67"/>
      <c r="C7790" s="58" t="s">
        <v>20331</v>
      </c>
      <c r="D7790" s="2" t="s">
        <v>23504</v>
      </c>
      <c r="E7790" s="2" t="s">
        <v>23504</v>
      </c>
      <c r="F7790" s="74" t="s">
        <v>23530</v>
      </c>
      <c r="G7790" s="75" t="s">
        <v>23837</v>
      </c>
      <c r="H7790" s="75" t="s">
        <v>23838</v>
      </c>
      <c r="I7790" s="76">
        <v>9</v>
      </c>
      <c r="J7790" s="44" t="str">
        <f>VLOOKUP(G7790,[1]硬件清单!$F:$F,1,0)</f>
        <v>2106195HAAXDNC000020</v>
      </c>
      <c r="K7790" s="66"/>
      <c r="L7790" s="44"/>
      <c r="M7790" s="75" t="s">
        <v>23839</v>
      </c>
    </row>
    <row r="7791" ht="30" customHeight="1" spans="1:13">
      <c r="A7791" s="41">
        <f>IF(C7791="","",SUBTOTAL(103,$C$2:C7791))</f>
        <v>7782</v>
      </c>
      <c r="B7791" s="67"/>
      <c r="C7791" s="58" t="s">
        <v>20331</v>
      </c>
      <c r="D7791" s="2" t="s">
        <v>23504</v>
      </c>
      <c r="E7791" s="2" t="s">
        <v>23504</v>
      </c>
      <c r="F7791" s="74" t="s">
        <v>23530</v>
      </c>
      <c r="G7791" s="75" t="s">
        <v>23840</v>
      </c>
      <c r="H7791" s="75" t="s">
        <v>23841</v>
      </c>
      <c r="I7791" s="76">
        <v>9</v>
      </c>
      <c r="J7791" s="44" t="str">
        <f>VLOOKUP(G7791,[1]硬件清单!$F:$F,1,0)</f>
        <v>2106195HAAXDNC000037</v>
      </c>
      <c r="K7791" s="66"/>
      <c r="L7791" s="44"/>
      <c r="M7791" s="75" t="s">
        <v>23842</v>
      </c>
    </row>
    <row r="7792" ht="30" customHeight="1" spans="1:13">
      <c r="A7792" s="41">
        <f>IF(C7792="","",SUBTOTAL(103,$C$2:C7792))</f>
        <v>7783</v>
      </c>
      <c r="B7792" s="67"/>
      <c r="C7792" s="58" t="s">
        <v>20331</v>
      </c>
      <c r="D7792" s="2" t="s">
        <v>23504</v>
      </c>
      <c r="E7792" s="2" t="s">
        <v>23504</v>
      </c>
      <c r="F7792" s="74" t="s">
        <v>23530</v>
      </c>
      <c r="G7792" s="75" t="s">
        <v>23843</v>
      </c>
      <c r="H7792" s="75" t="s">
        <v>23844</v>
      </c>
      <c r="I7792" s="76">
        <v>9</v>
      </c>
      <c r="J7792" s="44" t="str">
        <f>VLOOKUP(G7792,[1]硬件清单!$F:$F,1,0)</f>
        <v>2106195HAAXDNC000038</v>
      </c>
      <c r="K7792" s="66"/>
      <c r="L7792" s="44"/>
      <c r="M7792" s="75" t="s">
        <v>23845</v>
      </c>
    </row>
    <row r="7793" ht="30" customHeight="1" spans="1:13">
      <c r="A7793" s="41">
        <f>IF(C7793="","",SUBTOTAL(103,$C$2:C7793))</f>
        <v>7784</v>
      </c>
      <c r="B7793" s="67"/>
      <c r="C7793" s="58" t="s">
        <v>20331</v>
      </c>
      <c r="D7793" s="2" t="s">
        <v>23504</v>
      </c>
      <c r="E7793" s="2" t="s">
        <v>23504</v>
      </c>
      <c r="F7793" s="74" t="s">
        <v>23530</v>
      </c>
      <c r="G7793" s="75" t="s">
        <v>23846</v>
      </c>
      <c r="H7793" s="75" t="s">
        <v>23847</v>
      </c>
      <c r="I7793" s="76">
        <v>9</v>
      </c>
      <c r="J7793" s="44" t="str">
        <f>VLOOKUP(G7793,[1]硬件清单!$F:$F,1,0)</f>
        <v>2106195HAAXDNC000022</v>
      </c>
      <c r="K7793" s="66"/>
      <c r="L7793" s="44"/>
      <c r="M7793" s="75" t="s">
        <v>23848</v>
      </c>
    </row>
    <row r="7794" ht="30" customHeight="1" spans="1:13">
      <c r="A7794" s="41">
        <f>IF(C7794="","",SUBTOTAL(103,$C$2:C7794))</f>
        <v>7785</v>
      </c>
      <c r="B7794" s="67"/>
      <c r="C7794" s="58" t="s">
        <v>20331</v>
      </c>
      <c r="D7794" s="2" t="s">
        <v>23504</v>
      </c>
      <c r="E7794" s="2" t="s">
        <v>23504</v>
      </c>
      <c r="F7794" s="74" t="s">
        <v>23530</v>
      </c>
      <c r="G7794" s="75" t="s">
        <v>23849</v>
      </c>
      <c r="H7794" s="75" t="s">
        <v>23850</v>
      </c>
      <c r="I7794" s="76">
        <v>9</v>
      </c>
      <c r="J7794" s="44" t="str">
        <f>VLOOKUP(G7794,[1]硬件清单!$F:$F,1,0)</f>
        <v>2106195HAAXDNC000034</v>
      </c>
      <c r="K7794" s="66"/>
      <c r="L7794" s="44"/>
      <c r="M7794" s="75" t="s">
        <v>23851</v>
      </c>
    </row>
    <row r="7795" ht="30" customHeight="1" spans="1:13">
      <c r="A7795" s="41">
        <f>IF(C7795="","",SUBTOTAL(103,$C$2:C7795))</f>
        <v>7786</v>
      </c>
      <c r="B7795" s="67"/>
      <c r="C7795" s="58" t="s">
        <v>20331</v>
      </c>
      <c r="D7795" s="2" t="s">
        <v>23504</v>
      </c>
      <c r="E7795" s="2" t="s">
        <v>23504</v>
      </c>
      <c r="F7795" s="74" t="s">
        <v>23530</v>
      </c>
      <c r="G7795" s="75" t="s">
        <v>23852</v>
      </c>
      <c r="H7795" s="75" t="s">
        <v>23853</v>
      </c>
      <c r="I7795" s="76">
        <v>9</v>
      </c>
      <c r="J7795" s="44" t="str">
        <f>VLOOKUP(G7795,[1]硬件清单!$F:$F,1,0)</f>
        <v>2106195HAAXDNC000031</v>
      </c>
      <c r="K7795" s="66"/>
      <c r="L7795" s="44"/>
      <c r="M7795" s="75" t="s">
        <v>23854</v>
      </c>
    </row>
    <row r="7796" ht="30" customHeight="1" spans="1:13">
      <c r="A7796" s="41">
        <f>IF(C7796="","",SUBTOTAL(103,$C$2:C7796))</f>
        <v>7787</v>
      </c>
      <c r="B7796" s="67"/>
      <c r="C7796" s="58" t="s">
        <v>20331</v>
      </c>
      <c r="D7796" s="2" t="s">
        <v>23504</v>
      </c>
      <c r="E7796" s="2" t="s">
        <v>23504</v>
      </c>
      <c r="F7796" s="74" t="s">
        <v>23530</v>
      </c>
      <c r="G7796" s="75" t="s">
        <v>23855</v>
      </c>
      <c r="H7796" s="75" t="s">
        <v>23856</v>
      </c>
      <c r="I7796" s="76">
        <v>9</v>
      </c>
      <c r="J7796" s="44" t="str">
        <f>VLOOKUP(G7796,[1]硬件清单!$F:$F,1,0)</f>
        <v>2106195HAAXDNC000021</v>
      </c>
      <c r="K7796" s="66"/>
      <c r="L7796" s="44"/>
      <c r="M7796" s="75" t="s">
        <v>23857</v>
      </c>
    </row>
    <row r="7797" ht="30" customHeight="1" spans="1:13">
      <c r="A7797" s="41">
        <f>IF(C7797="","",SUBTOTAL(103,$C$2:C7797))</f>
        <v>7788</v>
      </c>
      <c r="B7797" s="67"/>
      <c r="C7797" s="58" t="s">
        <v>20331</v>
      </c>
      <c r="D7797" s="2" t="s">
        <v>23504</v>
      </c>
      <c r="E7797" s="2" t="s">
        <v>23504</v>
      </c>
      <c r="F7797" s="74" t="s">
        <v>23530</v>
      </c>
      <c r="G7797" s="75" t="s">
        <v>23858</v>
      </c>
      <c r="H7797" s="75" t="s">
        <v>23859</v>
      </c>
      <c r="I7797" s="76">
        <v>9</v>
      </c>
      <c r="J7797" s="44" t="str">
        <f>VLOOKUP(G7797,[1]硬件清单!$F:$F,1,0)</f>
        <v>2106195HAAXDNC000030</v>
      </c>
      <c r="K7797" s="66"/>
      <c r="L7797" s="44"/>
      <c r="M7797" s="75" t="s">
        <v>23860</v>
      </c>
    </row>
    <row r="7798" ht="30" customHeight="1" spans="1:13">
      <c r="A7798" s="41">
        <f>IF(C7798="","",SUBTOTAL(103,$C$2:C7798))</f>
        <v>7789</v>
      </c>
      <c r="B7798" s="67"/>
      <c r="C7798" s="58" t="s">
        <v>20331</v>
      </c>
      <c r="D7798" s="2" t="s">
        <v>23504</v>
      </c>
      <c r="E7798" s="2" t="s">
        <v>23504</v>
      </c>
      <c r="F7798" s="74" t="s">
        <v>23530</v>
      </c>
      <c r="G7798" s="75" t="s">
        <v>23861</v>
      </c>
      <c r="H7798" s="75" t="s">
        <v>23862</v>
      </c>
      <c r="I7798" s="76">
        <v>9</v>
      </c>
      <c r="J7798" s="44" t="str">
        <f>VLOOKUP(G7798,[1]硬件清单!$F:$F,1,0)</f>
        <v>2106195HAAXDNC000023</v>
      </c>
      <c r="K7798" s="66"/>
      <c r="L7798" s="44"/>
      <c r="M7798" s="75" t="s">
        <v>23863</v>
      </c>
    </row>
    <row r="7799" ht="30" customHeight="1" spans="1:13">
      <c r="A7799" s="41">
        <f>IF(C7799="","",SUBTOTAL(103,$C$2:C7799))</f>
        <v>7790</v>
      </c>
      <c r="B7799" s="67"/>
      <c r="C7799" s="58" t="s">
        <v>20331</v>
      </c>
      <c r="D7799" s="2" t="s">
        <v>23504</v>
      </c>
      <c r="E7799" s="2" t="s">
        <v>23504</v>
      </c>
      <c r="F7799" s="74" t="s">
        <v>23530</v>
      </c>
      <c r="G7799" s="75" t="s">
        <v>23864</v>
      </c>
      <c r="H7799" s="75" t="s">
        <v>23865</v>
      </c>
      <c r="I7799" s="76">
        <v>9</v>
      </c>
      <c r="J7799" s="44" t="str">
        <f>VLOOKUP(G7799,[1]硬件清单!$F:$F,1,0)</f>
        <v>2106195HAAXDNC000033</v>
      </c>
      <c r="K7799" s="66"/>
      <c r="L7799" s="44"/>
      <c r="M7799" s="75" t="s">
        <v>23866</v>
      </c>
    </row>
    <row r="7800" ht="30" customHeight="1" spans="1:13">
      <c r="A7800" s="41">
        <f>IF(C7800="","",SUBTOTAL(103,$C$2:C7800))</f>
        <v>7791</v>
      </c>
      <c r="B7800" s="67"/>
      <c r="C7800" s="58" t="s">
        <v>20331</v>
      </c>
      <c r="D7800" s="2" t="s">
        <v>23504</v>
      </c>
      <c r="E7800" s="2" t="s">
        <v>23504</v>
      </c>
      <c r="F7800" s="74" t="s">
        <v>23530</v>
      </c>
      <c r="G7800" s="75" t="s">
        <v>23867</v>
      </c>
      <c r="H7800" s="75" t="s">
        <v>23868</v>
      </c>
      <c r="I7800" s="76">
        <v>9</v>
      </c>
      <c r="J7800" s="44" t="str">
        <f>VLOOKUP(G7800,[1]硬件清单!$F:$F,1,0)</f>
        <v>2106195HAAXDNC000025</v>
      </c>
      <c r="K7800" s="66"/>
      <c r="L7800" s="44"/>
      <c r="M7800" s="75" t="s">
        <v>23869</v>
      </c>
    </row>
    <row r="7801" ht="30" customHeight="1" spans="1:13">
      <c r="A7801" s="41">
        <f>IF(C7801="","",SUBTOTAL(103,$C$2:C7801))</f>
        <v>7792</v>
      </c>
      <c r="B7801" s="67"/>
      <c r="C7801" s="58" t="s">
        <v>20331</v>
      </c>
      <c r="D7801" s="2" t="s">
        <v>23504</v>
      </c>
      <c r="E7801" s="2" t="s">
        <v>23504</v>
      </c>
      <c r="F7801" s="74" t="s">
        <v>23530</v>
      </c>
      <c r="G7801" s="75" t="s">
        <v>23870</v>
      </c>
      <c r="H7801" s="75" t="s">
        <v>23871</v>
      </c>
      <c r="I7801" s="76">
        <v>9</v>
      </c>
      <c r="J7801" s="44" t="str">
        <f>VLOOKUP(G7801,[1]硬件清单!$F:$F,1,0)</f>
        <v>2106195HAAXDNC000024</v>
      </c>
      <c r="K7801" s="66"/>
      <c r="L7801" s="44"/>
      <c r="M7801" s="75" t="s">
        <v>23872</v>
      </c>
    </row>
    <row r="7802" ht="30" customHeight="1" spans="1:13">
      <c r="A7802" s="41">
        <f>IF(C7802="","",SUBTOTAL(103,$C$2:C7802))</f>
        <v>7793</v>
      </c>
      <c r="B7802" s="67"/>
      <c r="C7802" s="58" t="s">
        <v>20331</v>
      </c>
      <c r="D7802" s="2" t="s">
        <v>23504</v>
      </c>
      <c r="E7802" s="2" t="s">
        <v>23504</v>
      </c>
      <c r="F7802" s="74" t="s">
        <v>23530</v>
      </c>
      <c r="G7802" s="75" t="s">
        <v>23873</v>
      </c>
      <c r="H7802" s="75" t="s">
        <v>23874</v>
      </c>
      <c r="I7802" s="76">
        <v>9</v>
      </c>
      <c r="J7802" s="44" t="str">
        <f>VLOOKUP(G7802,[1]硬件清单!$F:$F,1,0)</f>
        <v>2106195HAAXDNC000040</v>
      </c>
      <c r="K7802" s="66"/>
      <c r="L7802" s="44"/>
      <c r="M7802" s="75" t="s">
        <v>23875</v>
      </c>
    </row>
    <row r="7803" ht="30" customHeight="1" spans="1:13">
      <c r="A7803" s="41">
        <f>IF(C7803="","",SUBTOTAL(103,$C$2:C7803))</f>
        <v>7794</v>
      </c>
      <c r="B7803" s="67"/>
      <c r="C7803" s="58" t="s">
        <v>20331</v>
      </c>
      <c r="D7803" s="2" t="s">
        <v>23504</v>
      </c>
      <c r="E7803" s="2" t="s">
        <v>23504</v>
      </c>
      <c r="F7803" s="74" t="s">
        <v>23530</v>
      </c>
      <c r="G7803" s="75" t="s">
        <v>23876</v>
      </c>
      <c r="H7803" s="75" t="s">
        <v>23877</v>
      </c>
      <c r="I7803" s="76">
        <v>9</v>
      </c>
      <c r="J7803" s="44" t="str">
        <f>VLOOKUP(G7803,[1]硬件清单!$F:$F,1,0)</f>
        <v>2106195HAAXDNC000041</v>
      </c>
      <c r="K7803" s="66"/>
      <c r="L7803" s="44"/>
      <c r="M7803" s="75" t="s">
        <v>23878</v>
      </c>
    </row>
    <row r="7804" ht="30" customHeight="1" spans="1:13">
      <c r="A7804" s="41">
        <f>IF(C7804="","",SUBTOTAL(103,$C$2:C7804))</f>
        <v>7795</v>
      </c>
      <c r="B7804" s="67"/>
      <c r="C7804" s="58" t="s">
        <v>20331</v>
      </c>
      <c r="D7804" s="2" t="s">
        <v>23504</v>
      </c>
      <c r="E7804" s="2" t="s">
        <v>23504</v>
      </c>
      <c r="F7804" s="74" t="s">
        <v>23530</v>
      </c>
      <c r="G7804" s="75" t="s">
        <v>23879</v>
      </c>
      <c r="H7804" s="75" t="s">
        <v>23880</v>
      </c>
      <c r="I7804" s="76">
        <v>9</v>
      </c>
      <c r="J7804" s="44" t="str">
        <f>VLOOKUP(G7804,[1]硬件清单!$F:$F,1,0)</f>
        <v>2106195HAAXDNC000027</v>
      </c>
      <c r="K7804" s="66"/>
      <c r="L7804" s="44"/>
      <c r="M7804" s="75" t="s">
        <v>23881</v>
      </c>
    </row>
    <row r="7805" ht="30" customHeight="1" spans="1:13">
      <c r="A7805" s="41">
        <f>IF(C7805="","",SUBTOTAL(103,$C$2:C7805))</f>
        <v>7796</v>
      </c>
      <c r="B7805" s="67"/>
      <c r="C7805" s="58" t="s">
        <v>20331</v>
      </c>
      <c r="D7805" s="2" t="s">
        <v>23504</v>
      </c>
      <c r="E7805" s="2" t="s">
        <v>23504</v>
      </c>
      <c r="F7805" s="74" t="s">
        <v>23530</v>
      </c>
      <c r="G7805" s="75" t="s">
        <v>23882</v>
      </c>
      <c r="H7805" s="75" t="s">
        <v>23883</v>
      </c>
      <c r="I7805" s="76">
        <v>9</v>
      </c>
      <c r="J7805" s="44" t="str">
        <f>VLOOKUP(G7805,[1]硬件清单!$F:$F,1,0)</f>
        <v>2106195HAAXDNC000042</v>
      </c>
      <c r="K7805" s="66"/>
      <c r="L7805" s="44"/>
      <c r="M7805" s="75" t="s">
        <v>23884</v>
      </c>
    </row>
    <row r="7806" ht="30" customHeight="1" spans="1:13">
      <c r="A7806" s="41">
        <f>IF(C7806="","",SUBTOTAL(103,$C$2:C7806))</f>
        <v>7797</v>
      </c>
      <c r="B7806" s="67"/>
      <c r="C7806" s="58" t="s">
        <v>20331</v>
      </c>
      <c r="D7806" s="2" t="s">
        <v>23504</v>
      </c>
      <c r="E7806" s="2" t="s">
        <v>23504</v>
      </c>
      <c r="F7806" s="74" t="s">
        <v>23530</v>
      </c>
      <c r="G7806" s="75" t="s">
        <v>23885</v>
      </c>
      <c r="H7806" s="75" t="s">
        <v>23886</v>
      </c>
      <c r="I7806" s="76">
        <v>9</v>
      </c>
      <c r="J7806" s="44" t="str">
        <f>VLOOKUP(G7806,[1]硬件清单!$F:$F,1,0)</f>
        <v>2106195HAAXDNC000039</v>
      </c>
      <c r="K7806" s="66"/>
      <c r="L7806" s="44"/>
      <c r="M7806" s="75" t="s">
        <v>23887</v>
      </c>
    </row>
    <row r="7807" ht="30" customHeight="1" spans="1:13">
      <c r="A7807" s="41">
        <f>IF(C7807="","",SUBTOTAL(103,$C$2:C7807))</f>
        <v>7798</v>
      </c>
      <c r="B7807" s="67"/>
      <c r="C7807" s="58" t="s">
        <v>20331</v>
      </c>
      <c r="D7807" s="2" t="s">
        <v>23504</v>
      </c>
      <c r="E7807" s="2" t="s">
        <v>23504</v>
      </c>
      <c r="F7807" s="74" t="s">
        <v>23530</v>
      </c>
      <c r="G7807" s="75" t="s">
        <v>23888</v>
      </c>
      <c r="H7807" s="75" t="s">
        <v>23889</v>
      </c>
      <c r="I7807" s="76">
        <v>9</v>
      </c>
      <c r="J7807" s="44" t="str">
        <f>VLOOKUP(G7807,[1]硬件清单!$F:$F,1,0)</f>
        <v>2106195HAAXDNC000029</v>
      </c>
      <c r="K7807" s="66"/>
      <c r="L7807" s="44"/>
      <c r="M7807" s="75" t="s">
        <v>23890</v>
      </c>
    </row>
    <row r="7808" ht="30" customHeight="1" spans="1:13">
      <c r="A7808" s="41">
        <f>IF(C7808="","",SUBTOTAL(103,$C$2:C7808))</f>
        <v>7799</v>
      </c>
      <c r="B7808" s="67"/>
      <c r="C7808" s="58" t="s">
        <v>20331</v>
      </c>
      <c r="D7808" s="2" t="s">
        <v>23504</v>
      </c>
      <c r="E7808" s="2" t="s">
        <v>23504</v>
      </c>
      <c r="F7808" s="74" t="s">
        <v>23530</v>
      </c>
      <c r="G7808" s="75" t="s">
        <v>23891</v>
      </c>
      <c r="H7808" s="75" t="s">
        <v>23892</v>
      </c>
      <c r="I7808" s="76">
        <v>9</v>
      </c>
      <c r="J7808" s="44" t="str">
        <f>VLOOKUP(G7808,[1]硬件清单!$F:$F,1,0)</f>
        <v>2106195HAAXDNC000013</v>
      </c>
      <c r="K7808" s="66"/>
      <c r="L7808" s="44"/>
      <c r="M7808" s="75" t="s">
        <v>23893</v>
      </c>
    </row>
    <row r="7809" ht="30" customHeight="1" spans="1:13">
      <c r="A7809" s="41">
        <f>IF(C7809="","",SUBTOTAL(103,$C$2:C7809))</f>
        <v>7800</v>
      </c>
      <c r="B7809" s="67"/>
      <c r="C7809" s="58" t="s">
        <v>20331</v>
      </c>
      <c r="D7809" s="2" t="s">
        <v>23504</v>
      </c>
      <c r="E7809" s="2" t="s">
        <v>23504</v>
      </c>
      <c r="F7809" s="74" t="s">
        <v>23530</v>
      </c>
      <c r="G7809" s="75" t="s">
        <v>23894</v>
      </c>
      <c r="H7809" s="75" t="s">
        <v>23895</v>
      </c>
      <c r="I7809" s="76">
        <v>9</v>
      </c>
      <c r="J7809" s="44" t="str">
        <f>VLOOKUP(G7809,[1]硬件清单!$F:$F,1,0)</f>
        <v>2106195HAAXDNC000012</v>
      </c>
      <c r="K7809" s="66"/>
      <c r="L7809" s="44"/>
      <c r="M7809" s="75" t="s">
        <v>23896</v>
      </c>
    </row>
    <row r="7810" ht="30" customHeight="1" spans="1:13">
      <c r="A7810" s="41">
        <f>IF(C7810="","",SUBTOTAL(103,$C$2:C7810))</f>
        <v>7801</v>
      </c>
      <c r="B7810" s="67"/>
      <c r="C7810" s="58" t="s">
        <v>20331</v>
      </c>
      <c r="D7810" s="2" t="s">
        <v>23504</v>
      </c>
      <c r="E7810" s="2" t="s">
        <v>23504</v>
      </c>
      <c r="F7810" s="74" t="s">
        <v>23530</v>
      </c>
      <c r="G7810" s="75" t="s">
        <v>23897</v>
      </c>
      <c r="H7810" s="75" t="s">
        <v>23898</v>
      </c>
      <c r="I7810" s="76">
        <v>9</v>
      </c>
      <c r="J7810" s="44" t="str">
        <f>VLOOKUP(G7810,[1]硬件清单!$F:$F,1,0)</f>
        <v>2106195HAAXDNC000011</v>
      </c>
      <c r="K7810" s="66"/>
      <c r="L7810" s="44"/>
      <c r="M7810" s="75" t="s">
        <v>23899</v>
      </c>
    </row>
    <row r="7811" ht="30" customHeight="1" spans="1:13">
      <c r="A7811" s="41">
        <f>IF(C7811="","",SUBTOTAL(103,$C$2:C7811))</f>
        <v>7802</v>
      </c>
      <c r="B7811" s="67"/>
      <c r="C7811" s="58" t="s">
        <v>20331</v>
      </c>
      <c r="D7811" s="2" t="s">
        <v>23504</v>
      </c>
      <c r="E7811" s="2" t="s">
        <v>23504</v>
      </c>
      <c r="F7811" s="74" t="s">
        <v>23530</v>
      </c>
      <c r="G7811" s="75" t="s">
        <v>23900</v>
      </c>
      <c r="H7811" s="75" t="s">
        <v>23901</v>
      </c>
      <c r="I7811" s="76">
        <v>9</v>
      </c>
      <c r="J7811" s="44" t="str">
        <f>VLOOKUP(G7811,[1]硬件清单!$F:$F,1,0)</f>
        <v>2106195HAAXDNC000010</v>
      </c>
      <c r="K7811" s="66"/>
      <c r="L7811" s="44"/>
      <c r="M7811" s="75" t="s">
        <v>23902</v>
      </c>
    </row>
    <row r="7812" ht="30" customHeight="1" spans="1:13">
      <c r="A7812" s="41">
        <f>IF(C7812="","",SUBTOTAL(103,$C$2:C7812))</f>
        <v>7803</v>
      </c>
      <c r="B7812" s="67"/>
      <c r="C7812" s="58" t="s">
        <v>20331</v>
      </c>
      <c r="D7812" s="2" t="s">
        <v>23504</v>
      </c>
      <c r="E7812" s="2" t="s">
        <v>23504</v>
      </c>
      <c r="F7812" s="74" t="s">
        <v>23530</v>
      </c>
      <c r="G7812" s="75" t="s">
        <v>23903</v>
      </c>
      <c r="H7812" s="75" t="s">
        <v>23904</v>
      </c>
      <c r="I7812" s="76">
        <v>9</v>
      </c>
      <c r="J7812" s="44" t="str">
        <f>VLOOKUP(G7812,[1]硬件清单!$F:$F,1,0)</f>
        <v>2106195HAAXDNC000009</v>
      </c>
      <c r="K7812" s="66"/>
      <c r="L7812" s="44"/>
      <c r="M7812" s="75" t="s">
        <v>23905</v>
      </c>
    </row>
    <row r="7813" ht="30" customHeight="1" spans="1:13">
      <c r="A7813" s="41">
        <f>IF(C7813="","",SUBTOTAL(103,$C$2:C7813))</f>
        <v>7804</v>
      </c>
      <c r="B7813" s="67"/>
      <c r="C7813" s="58" t="s">
        <v>20331</v>
      </c>
      <c r="D7813" s="2" t="s">
        <v>23504</v>
      </c>
      <c r="E7813" s="2" t="s">
        <v>23504</v>
      </c>
      <c r="F7813" s="74" t="s">
        <v>23530</v>
      </c>
      <c r="G7813" s="75" t="s">
        <v>23906</v>
      </c>
      <c r="H7813" s="75" t="s">
        <v>23907</v>
      </c>
      <c r="I7813" s="76">
        <v>9</v>
      </c>
      <c r="J7813" s="44" t="str">
        <f>VLOOKUP(G7813,[1]硬件清单!$F:$F,1,0)</f>
        <v>2106195HAAXDNC000008</v>
      </c>
      <c r="K7813" s="66"/>
      <c r="L7813" s="44"/>
      <c r="M7813" s="75" t="s">
        <v>23908</v>
      </c>
    </row>
    <row r="7814" ht="30" customHeight="1" spans="1:13">
      <c r="A7814" s="41">
        <f>IF(C7814="","",SUBTOTAL(103,$C$2:C7814))</f>
        <v>7805</v>
      </c>
      <c r="B7814" s="67"/>
      <c r="C7814" s="58" t="s">
        <v>20331</v>
      </c>
      <c r="D7814" s="2" t="s">
        <v>23504</v>
      </c>
      <c r="E7814" s="2" t="s">
        <v>23504</v>
      </c>
      <c r="F7814" s="74" t="s">
        <v>23530</v>
      </c>
      <c r="G7814" s="75" t="s">
        <v>23909</v>
      </c>
      <c r="H7814" s="75" t="s">
        <v>23910</v>
      </c>
      <c r="I7814" s="76">
        <v>9</v>
      </c>
      <c r="J7814" s="44" t="str">
        <f>VLOOKUP(G7814,[1]硬件清单!$F:$F,1,0)</f>
        <v>2106195HAAXDNC000007</v>
      </c>
      <c r="K7814" s="66"/>
      <c r="L7814" s="44"/>
      <c r="M7814" s="75" t="s">
        <v>23911</v>
      </c>
    </row>
    <row r="7815" ht="30" customHeight="1" spans="1:13">
      <c r="A7815" s="41">
        <f>IF(C7815="","",SUBTOTAL(103,$C$2:C7815))</f>
        <v>7806</v>
      </c>
      <c r="B7815" s="67"/>
      <c r="C7815" s="58" t="s">
        <v>20331</v>
      </c>
      <c r="D7815" s="2" t="s">
        <v>23504</v>
      </c>
      <c r="E7815" s="2" t="s">
        <v>23504</v>
      </c>
      <c r="F7815" s="74" t="s">
        <v>23530</v>
      </c>
      <c r="G7815" s="75" t="s">
        <v>23912</v>
      </c>
      <c r="H7815" s="75" t="s">
        <v>23913</v>
      </c>
      <c r="I7815" s="76">
        <v>9</v>
      </c>
      <c r="J7815" s="44" t="str">
        <f>VLOOKUP(G7815,[1]硬件清单!$F:$F,1,0)</f>
        <v>2106195HAAXDNC000026</v>
      </c>
      <c r="K7815" s="66"/>
      <c r="L7815" s="44"/>
      <c r="M7815" s="75" t="s">
        <v>23914</v>
      </c>
    </row>
    <row r="7816" ht="30" customHeight="1" spans="1:13">
      <c r="A7816" s="41">
        <f>IF(C7816="","",SUBTOTAL(103,$C$2:C7816))</f>
        <v>7807</v>
      </c>
      <c r="B7816" s="67"/>
      <c r="C7816" s="58" t="s">
        <v>20331</v>
      </c>
      <c r="D7816" s="2" t="s">
        <v>23504</v>
      </c>
      <c r="E7816" s="2" t="s">
        <v>23504</v>
      </c>
      <c r="F7816" s="74" t="s">
        <v>23530</v>
      </c>
      <c r="G7816" s="75" t="s">
        <v>23915</v>
      </c>
      <c r="H7816" s="75" t="s">
        <v>23916</v>
      </c>
      <c r="I7816" s="76">
        <v>9</v>
      </c>
      <c r="J7816" s="44" t="str">
        <f>VLOOKUP(G7816,[1]硬件清单!$F:$F,1,0)</f>
        <v>2106195HAAXDNC000006</v>
      </c>
      <c r="K7816" s="66"/>
      <c r="L7816" s="44"/>
      <c r="M7816" s="75" t="s">
        <v>23917</v>
      </c>
    </row>
    <row r="7817" ht="30" customHeight="1" spans="1:13">
      <c r="A7817" s="41">
        <f>IF(C7817="","",SUBTOTAL(103,$C$2:C7817))</f>
        <v>7808</v>
      </c>
      <c r="B7817" s="67"/>
      <c r="C7817" s="58" t="s">
        <v>20331</v>
      </c>
      <c r="D7817" s="2" t="s">
        <v>23504</v>
      </c>
      <c r="E7817" s="2" t="s">
        <v>23504</v>
      </c>
      <c r="F7817" s="74" t="s">
        <v>23530</v>
      </c>
      <c r="G7817" s="75" t="s">
        <v>23918</v>
      </c>
      <c r="H7817" s="75" t="s">
        <v>23919</v>
      </c>
      <c r="I7817" s="76">
        <v>9</v>
      </c>
      <c r="J7817" s="44" t="str">
        <f>VLOOKUP(G7817,[1]硬件清单!$F:$F,1,0)</f>
        <v>2106195HAAXDNC000005</v>
      </c>
      <c r="K7817" s="66"/>
      <c r="L7817" s="44"/>
      <c r="M7817" s="75" t="s">
        <v>23920</v>
      </c>
    </row>
    <row r="7818" ht="30" customHeight="1" spans="1:13">
      <c r="A7818" s="41">
        <f>IF(C7818="","",SUBTOTAL(103,$C$2:C7818))</f>
        <v>7809</v>
      </c>
      <c r="B7818" s="67"/>
      <c r="C7818" s="58" t="s">
        <v>20331</v>
      </c>
      <c r="D7818" s="2" t="s">
        <v>23504</v>
      </c>
      <c r="E7818" s="2" t="s">
        <v>23504</v>
      </c>
      <c r="F7818" s="74" t="s">
        <v>23530</v>
      </c>
      <c r="G7818" s="75" t="s">
        <v>23921</v>
      </c>
      <c r="H7818" s="75" t="s">
        <v>23922</v>
      </c>
      <c r="I7818" s="76">
        <v>9</v>
      </c>
      <c r="J7818" s="44" t="str">
        <f>VLOOKUP(G7818,[1]硬件清单!$F:$F,1,0)</f>
        <v>2106195HAAXDNC000004</v>
      </c>
      <c r="K7818" s="66"/>
      <c r="L7818" s="44"/>
      <c r="M7818" s="75" t="s">
        <v>23923</v>
      </c>
    </row>
    <row r="7819" ht="30" customHeight="1" spans="1:13">
      <c r="A7819" s="41">
        <f>IF(C7819="","",SUBTOTAL(103,$C$2:C7819))</f>
        <v>7810</v>
      </c>
      <c r="B7819" s="67"/>
      <c r="C7819" s="58" t="s">
        <v>20331</v>
      </c>
      <c r="D7819" s="2" t="s">
        <v>23504</v>
      </c>
      <c r="E7819" s="2" t="s">
        <v>23504</v>
      </c>
      <c r="F7819" s="74" t="s">
        <v>23530</v>
      </c>
      <c r="G7819" s="75" t="s">
        <v>23924</v>
      </c>
      <c r="H7819" s="75" t="s">
        <v>23925</v>
      </c>
      <c r="I7819" s="76">
        <v>9</v>
      </c>
      <c r="J7819" s="44" t="str">
        <f>VLOOKUP(G7819,[1]硬件清单!$F:$F,1,0)</f>
        <v>2106195HAAXDNC000003</v>
      </c>
      <c r="K7819" s="66"/>
      <c r="L7819" s="44"/>
      <c r="M7819" s="75" t="s">
        <v>23926</v>
      </c>
    </row>
    <row r="7820" ht="30" customHeight="1" spans="1:13">
      <c r="A7820" s="41">
        <f>IF(C7820="","",SUBTOTAL(103,$C$2:C7820))</f>
        <v>7811</v>
      </c>
      <c r="B7820" s="67"/>
      <c r="C7820" s="58" t="s">
        <v>20331</v>
      </c>
      <c r="D7820" s="2" t="s">
        <v>23504</v>
      </c>
      <c r="E7820" s="2" t="s">
        <v>23504</v>
      </c>
      <c r="F7820" s="74" t="s">
        <v>23530</v>
      </c>
      <c r="G7820" s="75" t="s">
        <v>23927</v>
      </c>
      <c r="H7820" s="75" t="s">
        <v>23928</v>
      </c>
      <c r="I7820" s="76">
        <v>9</v>
      </c>
      <c r="J7820" s="44" t="str">
        <f>VLOOKUP(G7820,[1]硬件清单!$F:$F,1,0)</f>
        <v>2106195HAAXDNC000002</v>
      </c>
      <c r="K7820" s="66"/>
      <c r="L7820" s="44"/>
      <c r="M7820" s="75" t="s">
        <v>23929</v>
      </c>
    </row>
    <row r="7821" ht="30" customHeight="1" spans="1:13">
      <c r="A7821" s="41">
        <f>IF(C7821="","",SUBTOTAL(103,$C$2:C7821))</f>
        <v>7812</v>
      </c>
      <c r="B7821" s="67"/>
      <c r="C7821" s="58" t="s">
        <v>20331</v>
      </c>
      <c r="D7821" s="2" t="s">
        <v>23504</v>
      </c>
      <c r="E7821" s="2" t="s">
        <v>23504</v>
      </c>
      <c r="F7821" s="74" t="s">
        <v>23530</v>
      </c>
      <c r="G7821" s="75" t="s">
        <v>23930</v>
      </c>
      <c r="H7821" s="75" t="s">
        <v>23931</v>
      </c>
      <c r="I7821" s="76">
        <v>9</v>
      </c>
      <c r="J7821" s="44" t="str">
        <f>VLOOKUP(G7821,[1]硬件清单!$F:$F,1,0)</f>
        <v>2106195HAAXDNC000001</v>
      </c>
      <c r="K7821" s="66"/>
      <c r="L7821" s="44"/>
      <c r="M7821" s="75" t="s">
        <v>23932</v>
      </c>
    </row>
    <row r="7822" ht="30" customHeight="1" spans="1:13">
      <c r="A7822" s="41">
        <f>IF(C7822="","",SUBTOTAL(103,$C$2:C7822))</f>
        <v>7813</v>
      </c>
      <c r="B7822" s="67"/>
      <c r="C7822" s="58" t="s">
        <v>20331</v>
      </c>
      <c r="D7822" s="2" t="s">
        <v>23504</v>
      </c>
      <c r="E7822" s="2" t="s">
        <v>23504</v>
      </c>
      <c r="F7822" s="74" t="s">
        <v>23530</v>
      </c>
      <c r="G7822" s="75" t="s">
        <v>23933</v>
      </c>
      <c r="H7822" s="75" t="s">
        <v>23934</v>
      </c>
      <c r="I7822" s="76">
        <v>9</v>
      </c>
      <c r="J7822" s="44" t="str">
        <f>VLOOKUP(G7822,[1]硬件清单!$F:$F,1,0)</f>
        <v>2106195HAHXDNC000007</v>
      </c>
      <c r="K7822" s="66"/>
      <c r="L7822" s="44"/>
      <c r="M7822" s="75" t="s">
        <v>23935</v>
      </c>
    </row>
    <row r="7823" ht="30" customHeight="1" spans="1:13">
      <c r="A7823" s="41">
        <f>IF(C7823="","",SUBTOTAL(103,$C$2:C7823))</f>
        <v>7814</v>
      </c>
      <c r="B7823" s="67"/>
      <c r="C7823" s="58" t="s">
        <v>20331</v>
      </c>
      <c r="D7823" s="2" t="s">
        <v>23504</v>
      </c>
      <c r="E7823" s="2" t="s">
        <v>23504</v>
      </c>
      <c r="F7823" s="74" t="s">
        <v>23530</v>
      </c>
      <c r="G7823" s="75" t="s">
        <v>23936</v>
      </c>
      <c r="H7823" s="75" t="s">
        <v>23937</v>
      </c>
      <c r="I7823" s="76">
        <v>9</v>
      </c>
      <c r="J7823" s="44" t="str">
        <f>VLOOKUP(G7823,[1]硬件清单!$F:$F,1,0)</f>
        <v>2106195HAHXDNC000023</v>
      </c>
      <c r="K7823" s="66"/>
      <c r="L7823" s="44"/>
      <c r="M7823" s="75" t="s">
        <v>23938</v>
      </c>
    </row>
    <row r="7824" ht="30" customHeight="1" spans="1:13">
      <c r="A7824" s="41">
        <f>IF(C7824="","",SUBTOTAL(103,$C$2:C7824))</f>
        <v>7815</v>
      </c>
      <c r="B7824" s="67"/>
      <c r="C7824" s="58" t="s">
        <v>20331</v>
      </c>
      <c r="D7824" s="2" t="s">
        <v>23504</v>
      </c>
      <c r="E7824" s="2" t="s">
        <v>23504</v>
      </c>
      <c r="F7824" s="74" t="s">
        <v>23530</v>
      </c>
      <c r="G7824" s="75" t="s">
        <v>23939</v>
      </c>
      <c r="H7824" s="75" t="s">
        <v>23940</v>
      </c>
      <c r="I7824" s="76">
        <v>9</v>
      </c>
      <c r="J7824" s="44" t="str">
        <f>VLOOKUP(G7824,[1]硬件清单!$F:$F,1,0)</f>
        <v>2106195HAHXDNC000020</v>
      </c>
      <c r="K7824" s="66"/>
      <c r="L7824" s="44"/>
      <c r="M7824" s="75" t="s">
        <v>23941</v>
      </c>
    </row>
    <row r="7825" ht="30" customHeight="1" spans="1:13">
      <c r="A7825" s="41">
        <f>IF(C7825="","",SUBTOTAL(103,$C$2:C7825))</f>
        <v>7816</v>
      </c>
      <c r="B7825" s="67"/>
      <c r="C7825" s="58" t="s">
        <v>20331</v>
      </c>
      <c r="D7825" s="2" t="s">
        <v>23504</v>
      </c>
      <c r="E7825" s="2" t="s">
        <v>23504</v>
      </c>
      <c r="F7825" s="74" t="s">
        <v>23530</v>
      </c>
      <c r="G7825" s="75" t="s">
        <v>23942</v>
      </c>
      <c r="H7825" s="75" t="s">
        <v>23943</v>
      </c>
      <c r="I7825" s="76">
        <v>9</v>
      </c>
      <c r="J7825" s="44" t="str">
        <f>VLOOKUP(G7825,[1]硬件清单!$F:$F,1,0)</f>
        <v>2106195HAHXDNC000015</v>
      </c>
      <c r="K7825" s="66"/>
      <c r="L7825" s="44"/>
      <c r="M7825" s="75" t="s">
        <v>23944</v>
      </c>
    </row>
    <row r="7826" ht="30" customHeight="1" spans="1:13">
      <c r="A7826" s="41">
        <f>IF(C7826="","",SUBTOTAL(103,$C$2:C7826))</f>
        <v>7817</v>
      </c>
      <c r="B7826" s="67"/>
      <c r="C7826" s="58" t="s">
        <v>20331</v>
      </c>
      <c r="D7826" s="2" t="s">
        <v>23504</v>
      </c>
      <c r="E7826" s="2" t="s">
        <v>23504</v>
      </c>
      <c r="F7826" s="74" t="s">
        <v>23530</v>
      </c>
      <c r="G7826" s="75" t="s">
        <v>23945</v>
      </c>
      <c r="H7826" s="75" t="s">
        <v>23946</v>
      </c>
      <c r="I7826" s="76">
        <v>9</v>
      </c>
      <c r="J7826" s="44" t="str">
        <f>VLOOKUP(G7826,[1]硬件清单!$F:$F,1,0)</f>
        <v>2106195HAHXDNC000021</v>
      </c>
      <c r="K7826" s="66"/>
      <c r="L7826" s="44"/>
      <c r="M7826" s="75" t="s">
        <v>23947</v>
      </c>
    </row>
    <row r="7827" ht="30" customHeight="1" spans="1:13">
      <c r="A7827" s="41">
        <f>IF(C7827="","",SUBTOTAL(103,$C$2:C7827))</f>
        <v>7818</v>
      </c>
      <c r="B7827" s="67"/>
      <c r="C7827" s="58" t="s">
        <v>20331</v>
      </c>
      <c r="D7827" s="2" t="s">
        <v>23504</v>
      </c>
      <c r="E7827" s="2" t="s">
        <v>23504</v>
      </c>
      <c r="F7827" s="74" t="s">
        <v>23530</v>
      </c>
      <c r="G7827" s="75" t="s">
        <v>23948</v>
      </c>
      <c r="H7827" s="75" t="s">
        <v>23949</v>
      </c>
      <c r="I7827" s="76">
        <v>9</v>
      </c>
      <c r="J7827" s="44" t="str">
        <f>VLOOKUP(G7827,[1]硬件清单!$F:$F,1,0)</f>
        <v>2106195HAHXDNC000009</v>
      </c>
      <c r="K7827" s="66"/>
      <c r="L7827" s="44"/>
      <c r="M7827" s="75" t="s">
        <v>23950</v>
      </c>
    </row>
    <row r="7828" ht="30" customHeight="1" spans="1:13">
      <c r="A7828" s="41">
        <f>IF(C7828="","",SUBTOTAL(103,$C$2:C7828))</f>
        <v>7819</v>
      </c>
      <c r="B7828" s="67"/>
      <c r="C7828" s="58" t="s">
        <v>20331</v>
      </c>
      <c r="D7828" s="2" t="s">
        <v>23504</v>
      </c>
      <c r="E7828" s="2" t="s">
        <v>23504</v>
      </c>
      <c r="F7828" s="74" t="s">
        <v>23530</v>
      </c>
      <c r="G7828" s="75" t="s">
        <v>23951</v>
      </c>
      <c r="H7828" s="75" t="s">
        <v>23952</v>
      </c>
      <c r="I7828" s="76">
        <v>9</v>
      </c>
      <c r="J7828" s="44" t="str">
        <f>VLOOKUP(G7828,[1]硬件清单!$F:$F,1,0)</f>
        <v>2106195HAHXDNC000022</v>
      </c>
      <c r="K7828" s="66"/>
      <c r="L7828" s="44"/>
      <c r="M7828" s="75" t="s">
        <v>23953</v>
      </c>
    </row>
    <row r="7829" ht="30" customHeight="1" spans="1:13">
      <c r="A7829" s="41">
        <f>IF(C7829="","",SUBTOTAL(103,$C$2:C7829))</f>
        <v>7820</v>
      </c>
      <c r="B7829" s="67"/>
      <c r="C7829" s="58" t="s">
        <v>20331</v>
      </c>
      <c r="D7829" s="2" t="s">
        <v>23504</v>
      </c>
      <c r="E7829" s="2" t="s">
        <v>23504</v>
      </c>
      <c r="F7829" s="74" t="s">
        <v>23530</v>
      </c>
      <c r="G7829" s="75" t="s">
        <v>23954</v>
      </c>
      <c r="H7829" s="75" t="s">
        <v>23955</v>
      </c>
      <c r="I7829" s="76">
        <v>9</v>
      </c>
      <c r="J7829" s="44" t="str">
        <f>VLOOKUP(G7829,[1]硬件清单!$F:$F,1,0)</f>
        <v>2106195HAHXDNC000019</v>
      </c>
      <c r="K7829" s="66"/>
      <c r="L7829" s="44"/>
      <c r="M7829" s="75" t="s">
        <v>23956</v>
      </c>
    </row>
    <row r="7830" ht="30" customHeight="1" spans="1:13">
      <c r="A7830" s="41">
        <f>IF(C7830="","",SUBTOTAL(103,$C$2:C7830))</f>
        <v>7821</v>
      </c>
      <c r="B7830" s="67"/>
      <c r="C7830" s="58" t="s">
        <v>20331</v>
      </c>
      <c r="D7830" s="2" t="s">
        <v>23504</v>
      </c>
      <c r="E7830" s="2" t="s">
        <v>23504</v>
      </c>
      <c r="F7830" s="74" t="s">
        <v>23530</v>
      </c>
      <c r="G7830" s="75" t="s">
        <v>23957</v>
      </c>
      <c r="H7830" s="75" t="s">
        <v>23958</v>
      </c>
      <c r="I7830" s="76">
        <v>9</v>
      </c>
      <c r="J7830" s="44" t="str">
        <f>VLOOKUP(G7830,[1]硬件清单!$F:$F,1,0)</f>
        <v>2106195HAHXDNC000024</v>
      </c>
      <c r="K7830" s="66"/>
      <c r="L7830" s="44"/>
      <c r="M7830" s="75" t="s">
        <v>23959</v>
      </c>
    </row>
    <row r="7831" ht="30" customHeight="1" spans="1:13">
      <c r="A7831" s="41">
        <f>IF(C7831="","",SUBTOTAL(103,$C$2:C7831))</f>
        <v>7822</v>
      </c>
      <c r="B7831" s="67"/>
      <c r="C7831" s="58" t="s">
        <v>20331</v>
      </c>
      <c r="D7831" s="2" t="s">
        <v>23504</v>
      </c>
      <c r="E7831" s="2" t="s">
        <v>23504</v>
      </c>
      <c r="F7831" s="74" t="s">
        <v>23530</v>
      </c>
      <c r="G7831" s="75" t="s">
        <v>23960</v>
      </c>
      <c r="H7831" s="75" t="s">
        <v>23961</v>
      </c>
      <c r="I7831" s="76">
        <v>9</v>
      </c>
      <c r="J7831" s="44" t="str">
        <f>VLOOKUP(G7831,[1]硬件清单!$F:$F,1,0)</f>
        <v>2106195HAHXDNC000006</v>
      </c>
      <c r="K7831" s="66"/>
      <c r="L7831" s="44"/>
      <c r="M7831" s="75" t="s">
        <v>23962</v>
      </c>
    </row>
    <row r="7832" ht="30" customHeight="1" spans="1:13">
      <c r="A7832" s="41">
        <f>IF(C7832="","",SUBTOTAL(103,$C$2:C7832))</f>
        <v>7823</v>
      </c>
      <c r="B7832" s="67"/>
      <c r="C7832" s="58" t="s">
        <v>20331</v>
      </c>
      <c r="D7832" s="2" t="s">
        <v>23504</v>
      </c>
      <c r="E7832" s="2" t="s">
        <v>23504</v>
      </c>
      <c r="F7832" s="74" t="s">
        <v>23530</v>
      </c>
      <c r="G7832" s="75" t="s">
        <v>23963</v>
      </c>
      <c r="H7832" s="75" t="s">
        <v>23964</v>
      </c>
      <c r="I7832" s="76">
        <v>9</v>
      </c>
      <c r="J7832" s="44" t="str">
        <f>VLOOKUP(G7832,[1]硬件清单!$F:$F,1,0)</f>
        <v>2106195HAHXDNC000017</v>
      </c>
      <c r="K7832" s="66"/>
      <c r="L7832" s="44"/>
      <c r="M7832" s="75" t="s">
        <v>23965</v>
      </c>
    </row>
    <row r="7833" ht="30" customHeight="1" spans="1:13">
      <c r="A7833" s="41">
        <f>IF(C7833="","",SUBTOTAL(103,$C$2:C7833))</f>
        <v>7824</v>
      </c>
      <c r="B7833" s="67"/>
      <c r="C7833" s="58" t="s">
        <v>20331</v>
      </c>
      <c r="D7833" s="2" t="s">
        <v>23504</v>
      </c>
      <c r="E7833" s="2" t="s">
        <v>23504</v>
      </c>
      <c r="F7833" s="74" t="s">
        <v>23530</v>
      </c>
      <c r="G7833" s="75" t="s">
        <v>23966</v>
      </c>
      <c r="H7833" s="75" t="s">
        <v>23967</v>
      </c>
      <c r="I7833" s="76">
        <v>9</v>
      </c>
      <c r="J7833" s="44" t="str">
        <f>VLOOKUP(G7833,[1]硬件清单!$F:$F,1,0)</f>
        <v>2106195HAHXDNC000014</v>
      </c>
      <c r="K7833" s="66"/>
      <c r="L7833" s="44"/>
      <c r="M7833" s="75" t="s">
        <v>23968</v>
      </c>
    </row>
    <row r="7834" ht="30" customHeight="1" spans="1:13">
      <c r="A7834" s="41">
        <f>IF(C7834="","",SUBTOTAL(103,$C$2:C7834))</f>
        <v>7825</v>
      </c>
      <c r="B7834" s="67"/>
      <c r="C7834" s="58" t="s">
        <v>20331</v>
      </c>
      <c r="D7834" s="2" t="s">
        <v>23504</v>
      </c>
      <c r="E7834" s="2" t="s">
        <v>23504</v>
      </c>
      <c r="F7834" s="74" t="s">
        <v>23530</v>
      </c>
      <c r="G7834" s="75" t="s">
        <v>23969</v>
      </c>
      <c r="H7834" s="75" t="s">
        <v>23970</v>
      </c>
      <c r="I7834" s="76">
        <v>9</v>
      </c>
      <c r="J7834" s="44" t="str">
        <f>VLOOKUP(G7834,[1]硬件清单!$F:$F,1,0)</f>
        <v>2106195HAHXDNC000011</v>
      </c>
      <c r="K7834" s="66"/>
      <c r="L7834" s="44"/>
      <c r="M7834" s="75" t="s">
        <v>23971</v>
      </c>
    </row>
    <row r="7835" ht="30" customHeight="1" spans="1:13">
      <c r="A7835" s="41">
        <f>IF(C7835="","",SUBTOTAL(103,$C$2:C7835))</f>
        <v>7826</v>
      </c>
      <c r="B7835" s="67"/>
      <c r="C7835" s="58" t="s">
        <v>20331</v>
      </c>
      <c r="D7835" s="2" t="s">
        <v>23504</v>
      </c>
      <c r="E7835" s="2" t="s">
        <v>23504</v>
      </c>
      <c r="F7835" s="74" t="s">
        <v>23530</v>
      </c>
      <c r="G7835" s="75" t="s">
        <v>23972</v>
      </c>
      <c r="H7835" s="75" t="s">
        <v>23973</v>
      </c>
      <c r="I7835" s="76">
        <v>9</v>
      </c>
      <c r="J7835" s="44" t="str">
        <f>VLOOKUP(G7835,[1]硬件清单!$F:$F,1,0)</f>
        <v>2106195HAHXDNC000012</v>
      </c>
      <c r="K7835" s="66"/>
      <c r="L7835" s="44"/>
      <c r="M7835" s="75" t="s">
        <v>23974</v>
      </c>
    </row>
    <row r="7836" ht="30" customHeight="1" spans="1:13">
      <c r="A7836" s="41">
        <f>IF(C7836="","",SUBTOTAL(103,$C$2:C7836))</f>
        <v>7827</v>
      </c>
      <c r="B7836" s="67"/>
      <c r="C7836" s="58" t="s">
        <v>20331</v>
      </c>
      <c r="D7836" s="2" t="s">
        <v>23504</v>
      </c>
      <c r="E7836" s="2" t="s">
        <v>23504</v>
      </c>
      <c r="F7836" s="74" t="s">
        <v>23530</v>
      </c>
      <c r="G7836" s="75" t="s">
        <v>23975</v>
      </c>
      <c r="H7836" s="75" t="s">
        <v>23976</v>
      </c>
      <c r="I7836" s="76">
        <v>9</v>
      </c>
      <c r="J7836" s="44" t="str">
        <f>VLOOKUP(G7836,[1]硬件清单!$F:$F,1,0)</f>
        <v>2106195HAHXDNC000008</v>
      </c>
      <c r="K7836" s="66"/>
      <c r="L7836" s="44"/>
      <c r="M7836" s="75" t="s">
        <v>23977</v>
      </c>
    </row>
    <row r="7837" ht="30" customHeight="1" spans="1:13">
      <c r="A7837" s="41">
        <f>IF(C7837="","",SUBTOTAL(103,$C$2:C7837))</f>
        <v>7828</v>
      </c>
      <c r="B7837" s="67"/>
      <c r="C7837" s="58" t="s">
        <v>20331</v>
      </c>
      <c r="D7837" s="2" t="s">
        <v>23504</v>
      </c>
      <c r="E7837" s="2" t="s">
        <v>23504</v>
      </c>
      <c r="F7837" s="74" t="s">
        <v>23530</v>
      </c>
      <c r="G7837" s="75" t="s">
        <v>23978</v>
      </c>
      <c r="H7837" s="75" t="s">
        <v>23979</v>
      </c>
      <c r="I7837" s="76">
        <v>9</v>
      </c>
      <c r="J7837" s="44" t="str">
        <f>VLOOKUP(G7837,[1]硬件清单!$F:$F,1,0)</f>
        <v>2106195HAHXDNC000025</v>
      </c>
      <c r="K7837" s="66"/>
      <c r="L7837" s="44"/>
      <c r="M7837" s="75" t="s">
        <v>23980</v>
      </c>
    </row>
    <row r="7838" ht="30" customHeight="1" spans="1:13">
      <c r="A7838" s="41">
        <f>IF(C7838="","",SUBTOTAL(103,$C$2:C7838))</f>
        <v>7829</v>
      </c>
      <c r="B7838" s="67"/>
      <c r="C7838" s="58" t="s">
        <v>20331</v>
      </c>
      <c r="D7838" s="2" t="s">
        <v>23504</v>
      </c>
      <c r="E7838" s="2" t="s">
        <v>23504</v>
      </c>
      <c r="F7838" s="74" t="s">
        <v>23530</v>
      </c>
      <c r="G7838" s="75" t="s">
        <v>23981</v>
      </c>
      <c r="H7838" s="75" t="s">
        <v>23982</v>
      </c>
      <c r="I7838" s="76">
        <v>9</v>
      </c>
      <c r="J7838" s="44" t="str">
        <f>VLOOKUP(G7838,[1]硬件清单!$F:$F,1,0)</f>
        <v>2106195HAHXDNC000005</v>
      </c>
      <c r="K7838" s="66"/>
      <c r="L7838" s="44"/>
      <c r="M7838" s="75" t="s">
        <v>23983</v>
      </c>
    </row>
    <row r="7839" ht="30" customHeight="1" spans="1:13">
      <c r="A7839" s="41">
        <f>IF(C7839="","",SUBTOTAL(103,$C$2:C7839))</f>
        <v>7830</v>
      </c>
      <c r="B7839" s="67"/>
      <c r="C7839" s="58" t="s">
        <v>20331</v>
      </c>
      <c r="D7839" s="2" t="s">
        <v>23504</v>
      </c>
      <c r="E7839" s="2" t="s">
        <v>23504</v>
      </c>
      <c r="F7839" s="74" t="s">
        <v>23530</v>
      </c>
      <c r="G7839" s="75" t="s">
        <v>23984</v>
      </c>
      <c r="H7839" s="75" t="s">
        <v>23985</v>
      </c>
      <c r="I7839" s="76">
        <v>9</v>
      </c>
      <c r="J7839" s="44" t="str">
        <f>VLOOKUP(G7839,[1]硬件清单!$F:$F,1,0)</f>
        <v>2106195HAHXDNC000026</v>
      </c>
      <c r="K7839" s="66"/>
      <c r="L7839" s="44"/>
      <c r="M7839" s="75" t="s">
        <v>23986</v>
      </c>
    </row>
    <row r="7840" ht="30" customHeight="1" spans="1:13">
      <c r="A7840" s="41">
        <f>IF(C7840="","",SUBTOTAL(103,$C$2:C7840))</f>
        <v>7831</v>
      </c>
      <c r="B7840" s="67"/>
      <c r="C7840" s="58" t="s">
        <v>20331</v>
      </c>
      <c r="D7840" s="2" t="s">
        <v>23504</v>
      </c>
      <c r="E7840" s="2" t="s">
        <v>23504</v>
      </c>
      <c r="F7840" s="74" t="s">
        <v>23530</v>
      </c>
      <c r="G7840" s="75" t="s">
        <v>23987</v>
      </c>
      <c r="H7840" s="75" t="s">
        <v>23988</v>
      </c>
      <c r="I7840" s="76">
        <v>9</v>
      </c>
      <c r="J7840" s="44" t="str">
        <f>VLOOKUP(G7840,[1]硬件清单!$F:$F,1,0)</f>
        <v>2106195HAHXDNC000010</v>
      </c>
      <c r="K7840" s="66"/>
      <c r="L7840" s="44"/>
      <c r="M7840" s="75" t="s">
        <v>23989</v>
      </c>
    </row>
    <row r="7841" ht="30" customHeight="1" spans="1:13">
      <c r="A7841" s="41">
        <f>IF(C7841="","",SUBTOTAL(103,$C$2:C7841))</f>
        <v>7832</v>
      </c>
      <c r="B7841" s="67"/>
      <c r="C7841" s="58" t="s">
        <v>20331</v>
      </c>
      <c r="D7841" s="2" t="s">
        <v>23504</v>
      </c>
      <c r="E7841" s="2" t="s">
        <v>23504</v>
      </c>
      <c r="F7841" s="74" t="s">
        <v>23530</v>
      </c>
      <c r="G7841" s="75" t="s">
        <v>23990</v>
      </c>
      <c r="H7841" s="75" t="s">
        <v>23991</v>
      </c>
      <c r="I7841" s="76">
        <v>9</v>
      </c>
      <c r="J7841" s="44" t="str">
        <f>VLOOKUP(G7841,[1]硬件清单!$F:$F,1,0)</f>
        <v>2106195HAHXDNC000002</v>
      </c>
      <c r="K7841" s="66"/>
      <c r="L7841" s="44"/>
      <c r="M7841" s="75" t="s">
        <v>23992</v>
      </c>
    </row>
    <row r="7842" ht="30" customHeight="1" spans="1:13">
      <c r="A7842" s="41">
        <f>IF(C7842="","",SUBTOTAL(103,$C$2:C7842))</f>
        <v>7833</v>
      </c>
      <c r="B7842" s="67"/>
      <c r="C7842" s="58" t="s">
        <v>20331</v>
      </c>
      <c r="D7842" s="2" t="s">
        <v>23504</v>
      </c>
      <c r="E7842" s="2" t="s">
        <v>23504</v>
      </c>
      <c r="F7842" s="74" t="s">
        <v>23530</v>
      </c>
      <c r="G7842" s="75" t="s">
        <v>23993</v>
      </c>
      <c r="H7842" s="75" t="s">
        <v>23994</v>
      </c>
      <c r="I7842" s="76">
        <v>9</v>
      </c>
      <c r="J7842" s="44" t="str">
        <f>VLOOKUP(G7842,[1]硬件清单!$F:$F,1,0)</f>
        <v>2106195HAHXDNC000018</v>
      </c>
      <c r="K7842" s="66"/>
      <c r="L7842" s="44"/>
      <c r="M7842" s="75" t="s">
        <v>23995</v>
      </c>
    </row>
    <row r="7843" ht="30" customHeight="1" spans="1:13">
      <c r="A7843" s="41">
        <f>IF(C7843="","",SUBTOTAL(103,$C$2:C7843))</f>
        <v>7834</v>
      </c>
      <c r="B7843" s="67"/>
      <c r="C7843" s="58" t="s">
        <v>20331</v>
      </c>
      <c r="D7843" s="2" t="s">
        <v>23504</v>
      </c>
      <c r="E7843" s="2" t="s">
        <v>23504</v>
      </c>
      <c r="F7843" s="74" t="s">
        <v>23530</v>
      </c>
      <c r="G7843" s="75" t="s">
        <v>23996</v>
      </c>
      <c r="H7843" s="75" t="s">
        <v>23997</v>
      </c>
      <c r="I7843" s="76">
        <v>9</v>
      </c>
      <c r="J7843" s="44" t="str">
        <f>VLOOKUP(G7843,[1]硬件清单!$F:$F,1,0)</f>
        <v>2106195HAHXDNC000003</v>
      </c>
      <c r="K7843" s="66"/>
      <c r="L7843" s="44"/>
      <c r="M7843" s="75" t="s">
        <v>23998</v>
      </c>
    </row>
    <row r="7844" ht="30" customHeight="1" spans="1:13">
      <c r="A7844" s="41">
        <f>IF(C7844="","",SUBTOTAL(103,$C$2:C7844))</f>
        <v>7835</v>
      </c>
      <c r="B7844" s="67"/>
      <c r="C7844" s="58" t="s">
        <v>20331</v>
      </c>
      <c r="D7844" s="2" t="s">
        <v>23504</v>
      </c>
      <c r="E7844" s="2" t="s">
        <v>23504</v>
      </c>
      <c r="F7844" s="74" t="s">
        <v>23530</v>
      </c>
      <c r="G7844" s="75" t="s">
        <v>23999</v>
      </c>
      <c r="H7844" s="75" t="s">
        <v>24000</v>
      </c>
      <c r="I7844" s="76">
        <v>9</v>
      </c>
      <c r="J7844" s="44" t="str">
        <f>VLOOKUP(G7844,[1]硬件清单!$F:$F,1,0)</f>
        <v>2106195HAHXDNC000013</v>
      </c>
      <c r="K7844" s="66"/>
      <c r="L7844" s="44"/>
      <c r="M7844" s="75" t="s">
        <v>24001</v>
      </c>
    </row>
    <row r="7845" ht="30" customHeight="1" spans="1:13">
      <c r="A7845" s="41">
        <f>IF(C7845="","",SUBTOTAL(103,$C$2:C7845))</f>
        <v>7836</v>
      </c>
      <c r="B7845" s="67"/>
      <c r="C7845" s="58" t="s">
        <v>20331</v>
      </c>
      <c r="D7845" s="2" t="s">
        <v>23504</v>
      </c>
      <c r="E7845" s="2" t="s">
        <v>23504</v>
      </c>
      <c r="F7845" s="74" t="s">
        <v>23530</v>
      </c>
      <c r="G7845" s="75" t="s">
        <v>24002</v>
      </c>
      <c r="H7845" s="75" t="s">
        <v>24003</v>
      </c>
      <c r="I7845" s="76">
        <v>9</v>
      </c>
      <c r="J7845" s="44" t="str">
        <f>VLOOKUP(G7845,[1]硬件清单!$F:$F,1,0)</f>
        <v>2106195HAHXDNC000004</v>
      </c>
      <c r="K7845" s="66"/>
      <c r="L7845" s="44"/>
      <c r="M7845" s="75" t="s">
        <v>24004</v>
      </c>
    </row>
    <row r="7846" ht="30" customHeight="1" spans="1:13">
      <c r="A7846" s="41">
        <f>IF(C7846="","",SUBTOTAL(103,$C$2:C7846))</f>
        <v>7837</v>
      </c>
      <c r="B7846" s="67"/>
      <c r="C7846" s="58" t="s">
        <v>20331</v>
      </c>
      <c r="D7846" s="2" t="s">
        <v>23504</v>
      </c>
      <c r="E7846" s="2" t="s">
        <v>23504</v>
      </c>
      <c r="F7846" s="74" t="s">
        <v>23530</v>
      </c>
      <c r="G7846" s="75" t="s">
        <v>24005</v>
      </c>
      <c r="H7846" s="75" t="s">
        <v>24006</v>
      </c>
      <c r="I7846" s="76">
        <v>9</v>
      </c>
      <c r="J7846" s="44" t="str">
        <f>VLOOKUP(G7846,[1]硬件清单!$F:$F,1,0)</f>
        <v>2106195HAHXDNC000001</v>
      </c>
      <c r="K7846" s="66"/>
      <c r="L7846" s="44"/>
      <c r="M7846" s="75" t="s">
        <v>24007</v>
      </c>
    </row>
    <row r="7847" ht="30" customHeight="1" spans="1:13">
      <c r="A7847" s="41">
        <f>IF(C7847="","",SUBTOTAL(103,$C$2:C7847))</f>
        <v>7838</v>
      </c>
      <c r="B7847" s="67"/>
      <c r="C7847" s="58" t="s">
        <v>20331</v>
      </c>
      <c r="D7847" s="2" t="s">
        <v>23504</v>
      </c>
      <c r="E7847" s="2" t="s">
        <v>23504</v>
      </c>
      <c r="F7847" s="74" t="s">
        <v>23530</v>
      </c>
      <c r="G7847" s="75" t="s">
        <v>24008</v>
      </c>
      <c r="H7847" s="75" t="s">
        <v>24009</v>
      </c>
      <c r="I7847" s="76">
        <v>9</v>
      </c>
      <c r="J7847" s="44" t="str">
        <f>VLOOKUP(G7847,[1]硬件清单!$F:$F,1,0)</f>
        <v>2106195HAHXDNC000016</v>
      </c>
      <c r="K7847" s="66"/>
      <c r="L7847" s="44"/>
      <c r="M7847" s="75" t="s">
        <v>24010</v>
      </c>
    </row>
    <row r="7848" ht="30" customHeight="1" spans="1:13">
      <c r="A7848" s="41">
        <f>IF(C7848="","",SUBTOTAL(103,$C$2:C7848))</f>
        <v>7839</v>
      </c>
      <c r="B7848" s="67"/>
      <c r="C7848" s="58" t="s">
        <v>20331</v>
      </c>
      <c r="D7848" s="2" t="s">
        <v>23504</v>
      </c>
      <c r="E7848" s="2" t="s">
        <v>23504</v>
      </c>
      <c r="F7848" s="74" t="s">
        <v>23530</v>
      </c>
      <c r="G7848" s="75" t="s">
        <v>24011</v>
      </c>
      <c r="H7848" s="75" t="s">
        <v>24012</v>
      </c>
      <c r="I7848" s="76">
        <v>9</v>
      </c>
      <c r="J7848" s="44" t="str">
        <f>VLOOKUP(G7848,[1]硬件清单!$F:$F,1,0)</f>
        <v>2106195GYXXDNB000004</v>
      </c>
      <c r="K7848" s="66"/>
      <c r="L7848" s="44"/>
      <c r="M7848" s="75" t="s">
        <v>24013</v>
      </c>
    </row>
    <row r="7849" ht="30" customHeight="1" spans="1:13">
      <c r="A7849" s="41">
        <f>IF(C7849="","",SUBTOTAL(103,$C$2:C7849))</f>
        <v>7840</v>
      </c>
      <c r="B7849" s="67"/>
      <c r="C7849" s="58" t="s">
        <v>20331</v>
      </c>
      <c r="D7849" s="2" t="s">
        <v>23504</v>
      </c>
      <c r="E7849" s="2" t="s">
        <v>23504</v>
      </c>
      <c r="F7849" s="74" t="s">
        <v>23530</v>
      </c>
      <c r="G7849" s="75" t="s">
        <v>24014</v>
      </c>
      <c r="H7849" s="75" t="s">
        <v>24015</v>
      </c>
      <c r="I7849" s="76">
        <v>9</v>
      </c>
      <c r="J7849" s="44" t="str">
        <f>VLOOKUP(G7849,[1]硬件清单!$F:$F,1,0)</f>
        <v>2106195GYXXDNB000002</v>
      </c>
      <c r="K7849" s="66"/>
      <c r="L7849" s="44"/>
      <c r="M7849" s="75" t="s">
        <v>24016</v>
      </c>
    </row>
    <row r="7850" ht="30" customHeight="1" spans="1:13">
      <c r="A7850" s="41">
        <f>IF(C7850="","",SUBTOTAL(103,$C$2:C7850))</f>
        <v>7841</v>
      </c>
      <c r="B7850" s="67"/>
      <c r="C7850" s="58" t="s">
        <v>20331</v>
      </c>
      <c r="D7850" s="2" t="s">
        <v>23504</v>
      </c>
      <c r="E7850" s="2" t="s">
        <v>23504</v>
      </c>
      <c r="F7850" s="74" t="s">
        <v>23530</v>
      </c>
      <c r="G7850" s="75" t="s">
        <v>24017</v>
      </c>
      <c r="H7850" s="75" t="s">
        <v>24018</v>
      </c>
      <c r="I7850" s="76">
        <v>9</v>
      </c>
      <c r="J7850" s="44" t="str">
        <f>VLOOKUP(G7850,[1]硬件清单!$F:$F,1,0)</f>
        <v>2106195GYXXDNB000007</v>
      </c>
      <c r="K7850" s="66"/>
      <c r="L7850" s="44"/>
      <c r="M7850" s="75" t="s">
        <v>24019</v>
      </c>
    </row>
    <row r="7851" ht="30" customHeight="1" spans="1:13">
      <c r="A7851" s="41">
        <f>IF(C7851="","",SUBTOTAL(103,$C$2:C7851))</f>
        <v>7842</v>
      </c>
      <c r="B7851" s="67"/>
      <c r="C7851" s="58" t="s">
        <v>20331</v>
      </c>
      <c r="D7851" s="2" t="s">
        <v>23504</v>
      </c>
      <c r="E7851" s="2" t="s">
        <v>23504</v>
      </c>
      <c r="F7851" s="74" t="s">
        <v>23530</v>
      </c>
      <c r="G7851" s="75" t="s">
        <v>24020</v>
      </c>
      <c r="H7851" s="75" t="s">
        <v>24021</v>
      </c>
      <c r="I7851" s="76">
        <v>9</v>
      </c>
      <c r="J7851" s="44" t="str">
        <f>VLOOKUP(G7851,[1]硬件清单!$F:$F,1,0)</f>
        <v>2106195GYXXDNB000010</v>
      </c>
      <c r="K7851" s="66"/>
      <c r="L7851" s="44"/>
      <c r="M7851" s="75" t="s">
        <v>24022</v>
      </c>
    </row>
    <row r="7852" ht="30" customHeight="1" spans="1:13">
      <c r="A7852" s="41">
        <f>IF(C7852="","",SUBTOTAL(103,$C$2:C7852))</f>
        <v>7843</v>
      </c>
      <c r="B7852" s="67"/>
      <c r="C7852" s="58" t="s">
        <v>20331</v>
      </c>
      <c r="D7852" s="2" t="s">
        <v>23504</v>
      </c>
      <c r="E7852" s="2" t="s">
        <v>23504</v>
      </c>
      <c r="F7852" s="74" t="s">
        <v>23530</v>
      </c>
      <c r="G7852" s="75" t="s">
        <v>24023</v>
      </c>
      <c r="H7852" s="75" t="s">
        <v>24024</v>
      </c>
      <c r="I7852" s="76">
        <v>9</v>
      </c>
      <c r="J7852" s="44" t="str">
        <f>VLOOKUP(G7852,[1]硬件清单!$F:$F,1,0)</f>
        <v>2106195GYXXDNB000009</v>
      </c>
      <c r="K7852" s="66"/>
      <c r="L7852" s="44"/>
      <c r="M7852" s="75" t="s">
        <v>24025</v>
      </c>
    </row>
    <row r="7853" ht="30" customHeight="1" spans="1:13">
      <c r="A7853" s="41">
        <f>IF(C7853="","",SUBTOTAL(103,$C$2:C7853))</f>
        <v>7844</v>
      </c>
      <c r="B7853" s="67"/>
      <c r="C7853" s="58" t="s">
        <v>20331</v>
      </c>
      <c r="D7853" s="2" t="s">
        <v>23504</v>
      </c>
      <c r="E7853" s="2" t="s">
        <v>23504</v>
      </c>
      <c r="F7853" s="74" t="s">
        <v>23530</v>
      </c>
      <c r="G7853" s="75" t="s">
        <v>24026</v>
      </c>
      <c r="H7853" s="75" t="s">
        <v>24027</v>
      </c>
      <c r="I7853" s="76">
        <v>9</v>
      </c>
      <c r="J7853" s="44" t="str">
        <f>VLOOKUP(G7853,[1]硬件清单!$F:$F,1,0)</f>
        <v>2106195GYXXDNB000006</v>
      </c>
      <c r="K7853" s="66"/>
      <c r="L7853" s="44"/>
      <c r="M7853" s="75" t="s">
        <v>24028</v>
      </c>
    </row>
    <row r="7854" ht="30" customHeight="1" spans="1:13">
      <c r="A7854" s="41">
        <f>IF(C7854="","",SUBTOTAL(103,$C$2:C7854))</f>
        <v>7845</v>
      </c>
      <c r="B7854" s="67"/>
      <c r="C7854" s="58" t="s">
        <v>20331</v>
      </c>
      <c r="D7854" s="2" t="s">
        <v>23504</v>
      </c>
      <c r="E7854" s="2" t="s">
        <v>23504</v>
      </c>
      <c r="F7854" s="74" t="s">
        <v>23530</v>
      </c>
      <c r="G7854" s="75" t="s">
        <v>24029</v>
      </c>
      <c r="H7854" s="75" t="s">
        <v>24030</v>
      </c>
      <c r="I7854" s="76">
        <v>9</v>
      </c>
      <c r="J7854" s="44" t="str">
        <f>VLOOKUP(G7854,[1]硬件清单!$F:$F,1,0)</f>
        <v>2106195GYXXDNB000008</v>
      </c>
      <c r="K7854" s="66"/>
      <c r="L7854" s="44"/>
      <c r="M7854" s="75" t="s">
        <v>24031</v>
      </c>
    </row>
    <row r="7855" ht="30" customHeight="1" spans="1:13">
      <c r="A7855" s="41">
        <f>IF(C7855="","",SUBTOTAL(103,$C$2:C7855))</f>
        <v>7846</v>
      </c>
      <c r="B7855" s="67"/>
      <c r="C7855" s="58" t="s">
        <v>20331</v>
      </c>
      <c r="D7855" s="2" t="s">
        <v>23504</v>
      </c>
      <c r="E7855" s="2" t="s">
        <v>23504</v>
      </c>
      <c r="F7855" s="74" t="s">
        <v>23530</v>
      </c>
      <c r="G7855" s="75" t="s">
        <v>24032</v>
      </c>
      <c r="H7855" s="75" t="s">
        <v>24033</v>
      </c>
      <c r="I7855" s="76">
        <v>9</v>
      </c>
      <c r="J7855" s="44" t="str">
        <f>VLOOKUP(G7855,[1]硬件清单!$F:$F,1,0)</f>
        <v>2106195GYXXDNB000011</v>
      </c>
      <c r="K7855" s="66"/>
      <c r="L7855" s="44"/>
      <c r="M7855" s="75" t="s">
        <v>24034</v>
      </c>
    </row>
    <row r="7856" ht="30" customHeight="1" spans="1:13">
      <c r="A7856" s="41">
        <f>IF(C7856="","",SUBTOTAL(103,$C$2:C7856))</f>
        <v>7847</v>
      </c>
      <c r="B7856" s="67"/>
      <c r="C7856" s="58" t="s">
        <v>20331</v>
      </c>
      <c r="D7856" s="2" t="s">
        <v>23504</v>
      </c>
      <c r="E7856" s="2" t="s">
        <v>23504</v>
      </c>
      <c r="F7856" s="74" t="s">
        <v>23530</v>
      </c>
      <c r="G7856" s="75" t="s">
        <v>24035</v>
      </c>
      <c r="H7856" s="75" t="s">
        <v>24036</v>
      </c>
      <c r="I7856" s="76">
        <v>9</v>
      </c>
      <c r="J7856" s="44" t="str">
        <f>VLOOKUP(G7856,[1]硬件清单!$F:$F,1,0)</f>
        <v>2106195GYXXDNB000001</v>
      </c>
      <c r="K7856" s="66"/>
      <c r="L7856" s="44"/>
      <c r="M7856" s="75" t="s">
        <v>24037</v>
      </c>
    </row>
    <row r="7857" ht="30" customHeight="1" spans="1:13">
      <c r="A7857" s="41">
        <f>IF(C7857="","",SUBTOTAL(103,$C$2:C7857))</f>
        <v>7848</v>
      </c>
      <c r="B7857" s="67"/>
      <c r="C7857" s="58" t="s">
        <v>20331</v>
      </c>
      <c r="D7857" s="2" t="s">
        <v>23504</v>
      </c>
      <c r="E7857" s="2" t="s">
        <v>23504</v>
      </c>
      <c r="F7857" s="74" t="s">
        <v>23530</v>
      </c>
      <c r="G7857" s="75" t="s">
        <v>24038</v>
      </c>
      <c r="H7857" s="75" t="s">
        <v>24039</v>
      </c>
      <c r="I7857" s="76">
        <v>9</v>
      </c>
      <c r="J7857" s="44" t="str">
        <f>VLOOKUP(G7857,[1]硬件清单!$F:$F,1,0)</f>
        <v>2106195GYXXDNB000012</v>
      </c>
      <c r="K7857" s="66"/>
      <c r="L7857" s="44"/>
      <c r="M7857" s="75" t="s">
        <v>24040</v>
      </c>
    </row>
    <row r="7858" ht="30" customHeight="1" spans="1:13">
      <c r="A7858" s="41">
        <f>IF(C7858="","",SUBTOTAL(103,$C$2:C7858))</f>
        <v>7849</v>
      </c>
      <c r="B7858" s="67"/>
      <c r="C7858" s="58" t="s">
        <v>20331</v>
      </c>
      <c r="D7858" s="2" t="s">
        <v>23504</v>
      </c>
      <c r="E7858" s="2" t="s">
        <v>23504</v>
      </c>
      <c r="F7858" s="74" t="s">
        <v>23530</v>
      </c>
      <c r="G7858" s="75" t="s">
        <v>24041</v>
      </c>
      <c r="H7858" s="75" t="s">
        <v>24042</v>
      </c>
      <c r="I7858" s="76">
        <v>9</v>
      </c>
      <c r="J7858" s="44" t="str">
        <f>VLOOKUP(G7858,[1]硬件清单!$F:$F,1,0)</f>
        <v>2106195GYXXDNB000003</v>
      </c>
      <c r="K7858" s="66"/>
      <c r="L7858" s="44"/>
      <c r="M7858" s="75" t="s">
        <v>24043</v>
      </c>
    </row>
    <row r="7859" ht="30" customHeight="1" spans="1:13">
      <c r="A7859" s="41">
        <f>IF(C7859="","",SUBTOTAL(103,$C$2:C7859))</f>
        <v>7850</v>
      </c>
      <c r="B7859" s="67"/>
      <c r="C7859" s="58" t="s">
        <v>20331</v>
      </c>
      <c r="D7859" s="2" t="s">
        <v>23504</v>
      </c>
      <c r="E7859" s="2" t="s">
        <v>23504</v>
      </c>
      <c r="F7859" s="74" t="s">
        <v>23530</v>
      </c>
      <c r="G7859" s="75" t="s">
        <v>24044</v>
      </c>
      <c r="H7859" s="75" t="s">
        <v>24045</v>
      </c>
      <c r="I7859" s="76">
        <v>9</v>
      </c>
      <c r="J7859" s="44" t="str">
        <f>VLOOKUP(G7859,[1]硬件清单!$F:$F,1,0)</f>
        <v>2106195GYXXDNB000005</v>
      </c>
      <c r="K7859" s="66"/>
      <c r="L7859" s="44"/>
      <c r="M7859" s="75" t="s">
        <v>24046</v>
      </c>
    </row>
    <row r="7860" ht="30" customHeight="1" spans="1:13">
      <c r="A7860" s="41">
        <f>IF(C7860="","",SUBTOTAL(103,$C$2:C7860))</f>
        <v>7851</v>
      </c>
      <c r="B7860" s="67"/>
      <c r="C7860" s="58" t="s">
        <v>20331</v>
      </c>
      <c r="D7860" s="2" t="s">
        <v>23504</v>
      </c>
      <c r="E7860" s="2" t="s">
        <v>23504</v>
      </c>
      <c r="F7860" s="74" t="s">
        <v>23530</v>
      </c>
      <c r="G7860" s="75" t="s">
        <v>24047</v>
      </c>
      <c r="H7860" s="75" t="s">
        <v>24048</v>
      </c>
      <c r="I7860" s="76">
        <v>9</v>
      </c>
      <c r="J7860" s="44" t="str">
        <f>VLOOKUP(G7860,[1]硬件清单!$F:$F,1,0)</f>
        <v>2106195HAGX3NC000023</v>
      </c>
      <c r="K7860" s="66"/>
      <c r="L7860" s="44"/>
      <c r="M7860" s="75" t="s">
        <v>24049</v>
      </c>
    </row>
    <row r="7861" ht="30" customHeight="1" spans="1:13">
      <c r="A7861" s="41">
        <f>IF(C7861="","",SUBTOTAL(103,$C$2:C7861))</f>
        <v>7852</v>
      </c>
      <c r="B7861" s="67"/>
      <c r="C7861" s="58" t="s">
        <v>20331</v>
      </c>
      <c r="D7861" s="2" t="s">
        <v>23504</v>
      </c>
      <c r="E7861" s="2" t="s">
        <v>23504</v>
      </c>
      <c r="F7861" s="74" t="s">
        <v>23530</v>
      </c>
      <c r="G7861" s="75" t="s">
        <v>24050</v>
      </c>
      <c r="H7861" s="75" t="s">
        <v>24051</v>
      </c>
      <c r="I7861" s="76">
        <v>9</v>
      </c>
      <c r="J7861" s="44" t="str">
        <f>VLOOKUP(G7861,[1]硬件清单!$F:$F,1,0)</f>
        <v>2106195HAGX3NC000022</v>
      </c>
      <c r="K7861" s="66"/>
      <c r="L7861" s="44"/>
      <c r="M7861" s="75" t="s">
        <v>24052</v>
      </c>
    </row>
    <row r="7862" ht="30" customHeight="1" spans="1:13">
      <c r="A7862" s="41">
        <f>IF(C7862="","",SUBTOTAL(103,$C$2:C7862))</f>
        <v>7853</v>
      </c>
      <c r="B7862" s="67"/>
      <c r="C7862" s="58" t="s">
        <v>20331</v>
      </c>
      <c r="D7862" s="2" t="s">
        <v>23504</v>
      </c>
      <c r="E7862" s="2" t="s">
        <v>23504</v>
      </c>
      <c r="F7862" s="74" t="s">
        <v>23530</v>
      </c>
      <c r="G7862" s="75" t="s">
        <v>24053</v>
      </c>
      <c r="H7862" s="75" t="s">
        <v>24054</v>
      </c>
      <c r="I7862" s="76">
        <v>9</v>
      </c>
      <c r="J7862" s="44" t="str">
        <f>VLOOKUP(G7862,[1]硬件清单!$F:$F,1,0)</f>
        <v>2106195HAGX3NC000016</v>
      </c>
      <c r="K7862" s="66"/>
      <c r="L7862" s="44"/>
      <c r="M7862" s="75" t="s">
        <v>24055</v>
      </c>
    </row>
    <row r="7863" ht="30" customHeight="1" spans="1:13">
      <c r="A7863" s="41">
        <f>IF(C7863="","",SUBTOTAL(103,$C$2:C7863))</f>
        <v>7854</v>
      </c>
      <c r="B7863" s="67"/>
      <c r="C7863" s="58" t="s">
        <v>20331</v>
      </c>
      <c r="D7863" s="2" t="s">
        <v>23504</v>
      </c>
      <c r="E7863" s="2" t="s">
        <v>23504</v>
      </c>
      <c r="F7863" s="74" t="s">
        <v>23530</v>
      </c>
      <c r="G7863" s="75" t="s">
        <v>24056</v>
      </c>
      <c r="H7863" s="75" t="s">
        <v>24057</v>
      </c>
      <c r="I7863" s="76">
        <v>9</v>
      </c>
      <c r="J7863" s="44" t="str">
        <f>VLOOKUP(G7863,[1]硬件清单!$F:$F,1,0)</f>
        <v>2106195HAGX3NC000015</v>
      </c>
      <c r="K7863" s="66"/>
      <c r="L7863" s="44"/>
      <c r="M7863" s="75" t="s">
        <v>24058</v>
      </c>
    </row>
    <row r="7864" ht="30" customHeight="1" spans="1:13">
      <c r="A7864" s="41">
        <f>IF(C7864="","",SUBTOTAL(103,$C$2:C7864))</f>
        <v>7855</v>
      </c>
      <c r="B7864" s="67"/>
      <c r="C7864" s="58" t="s">
        <v>20331</v>
      </c>
      <c r="D7864" s="2" t="s">
        <v>23504</v>
      </c>
      <c r="E7864" s="2" t="s">
        <v>23504</v>
      </c>
      <c r="F7864" s="74" t="s">
        <v>23530</v>
      </c>
      <c r="G7864" s="75" t="s">
        <v>24059</v>
      </c>
      <c r="H7864" s="75" t="s">
        <v>24060</v>
      </c>
      <c r="I7864" s="76">
        <v>9</v>
      </c>
      <c r="J7864" s="44" t="str">
        <f>VLOOKUP(G7864,[1]硬件清单!$F:$F,1,0)</f>
        <v>2106195HAGX3NC000010</v>
      </c>
      <c r="K7864" s="66"/>
      <c r="L7864" s="44"/>
      <c r="M7864" s="75" t="s">
        <v>24061</v>
      </c>
    </row>
    <row r="7865" ht="30" customHeight="1" spans="1:13">
      <c r="A7865" s="41">
        <f>IF(C7865="","",SUBTOTAL(103,$C$2:C7865))</f>
        <v>7856</v>
      </c>
      <c r="B7865" s="67"/>
      <c r="C7865" s="58" t="s">
        <v>20331</v>
      </c>
      <c r="D7865" s="2" t="s">
        <v>23504</v>
      </c>
      <c r="E7865" s="2" t="s">
        <v>23504</v>
      </c>
      <c r="F7865" s="74" t="s">
        <v>23530</v>
      </c>
      <c r="G7865" s="75" t="s">
        <v>24062</v>
      </c>
      <c r="H7865" s="75" t="s">
        <v>24063</v>
      </c>
      <c r="I7865" s="76">
        <v>9</v>
      </c>
      <c r="J7865" s="44" t="str">
        <f>VLOOKUP(G7865,[1]硬件清单!$F:$F,1,0)</f>
        <v>2106195HAGX3NC000008</v>
      </c>
      <c r="K7865" s="66"/>
      <c r="L7865" s="44"/>
      <c r="M7865" s="75" t="s">
        <v>24064</v>
      </c>
    </row>
    <row r="7866" ht="30" customHeight="1" spans="1:13">
      <c r="A7866" s="41">
        <f>IF(C7866="","",SUBTOTAL(103,$C$2:C7866))</f>
        <v>7857</v>
      </c>
      <c r="B7866" s="67"/>
      <c r="C7866" s="58" t="s">
        <v>20331</v>
      </c>
      <c r="D7866" s="2" t="s">
        <v>23504</v>
      </c>
      <c r="E7866" s="2" t="s">
        <v>23504</v>
      </c>
      <c r="F7866" s="74" t="s">
        <v>23530</v>
      </c>
      <c r="G7866" s="75" t="s">
        <v>24065</v>
      </c>
      <c r="H7866" s="75" t="s">
        <v>24066</v>
      </c>
      <c r="I7866" s="76">
        <v>9</v>
      </c>
      <c r="J7866" s="44" t="str">
        <f>VLOOKUP(G7866,[1]硬件清单!$F:$F,1,0)</f>
        <v>2106195HAGX3NC000017</v>
      </c>
      <c r="K7866" s="66"/>
      <c r="L7866" s="44"/>
      <c r="M7866" s="75" t="s">
        <v>24067</v>
      </c>
    </row>
    <row r="7867" ht="30" customHeight="1" spans="1:13">
      <c r="A7867" s="41">
        <f>IF(C7867="","",SUBTOTAL(103,$C$2:C7867))</f>
        <v>7858</v>
      </c>
      <c r="B7867" s="67"/>
      <c r="C7867" s="58" t="s">
        <v>20331</v>
      </c>
      <c r="D7867" s="2" t="s">
        <v>23504</v>
      </c>
      <c r="E7867" s="2" t="s">
        <v>23504</v>
      </c>
      <c r="F7867" s="74" t="s">
        <v>23530</v>
      </c>
      <c r="G7867" s="75" t="s">
        <v>24068</v>
      </c>
      <c r="H7867" s="75" t="s">
        <v>24069</v>
      </c>
      <c r="I7867" s="76">
        <v>9</v>
      </c>
      <c r="J7867" s="44" t="str">
        <f>VLOOKUP(G7867,[1]硬件清单!$F:$F,1,0)</f>
        <v>2106195HAGX3NC000024</v>
      </c>
      <c r="K7867" s="66"/>
      <c r="L7867" s="44"/>
      <c r="M7867" s="75" t="s">
        <v>24070</v>
      </c>
    </row>
    <row r="7868" ht="30" customHeight="1" spans="1:13">
      <c r="A7868" s="41">
        <f>IF(C7868="","",SUBTOTAL(103,$C$2:C7868))</f>
        <v>7859</v>
      </c>
      <c r="B7868" s="67"/>
      <c r="C7868" s="58" t="s">
        <v>20331</v>
      </c>
      <c r="D7868" s="2" t="s">
        <v>23504</v>
      </c>
      <c r="E7868" s="2" t="s">
        <v>23504</v>
      </c>
      <c r="F7868" s="74" t="s">
        <v>23530</v>
      </c>
      <c r="G7868" s="75" t="s">
        <v>24071</v>
      </c>
      <c r="H7868" s="75" t="s">
        <v>24072</v>
      </c>
      <c r="I7868" s="76">
        <v>9</v>
      </c>
      <c r="J7868" s="44" t="str">
        <f>VLOOKUP(G7868,[1]硬件清单!$F:$F,1,0)</f>
        <v>2106195HAGX3NC000003</v>
      </c>
      <c r="K7868" s="66"/>
      <c r="L7868" s="44"/>
      <c r="M7868" s="75" t="s">
        <v>24073</v>
      </c>
    </row>
    <row r="7869" ht="30" customHeight="1" spans="1:13">
      <c r="A7869" s="41">
        <f>IF(C7869="","",SUBTOTAL(103,$C$2:C7869))</f>
        <v>7860</v>
      </c>
      <c r="B7869" s="67"/>
      <c r="C7869" s="58" t="s">
        <v>20331</v>
      </c>
      <c r="D7869" s="2" t="s">
        <v>23504</v>
      </c>
      <c r="E7869" s="2" t="s">
        <v>23504</v>
      </c>
      <c r="F7869" s="74" t="s">
        <v>23530</v>
      </c>
      <c r="G7869" s="75" t="s">
        <v>24074</v>
      </c>
      <c r="H7869" s="75" t="s">
        <v>24075</v>
      </c>
      <c r="I7869" s="76">
        <v>9</v>
      </c>
      <c r="J7869" s="44" t="str">
        <f>VLOOKUP(G7869,[1]硬件清单!$F:$F,1,0)</f>
        <v>2106195HAGX3NC000012</v>
      </c>
      <c r="K7869" s="66"/>
      <c r="L7869" s="44"/>
      <c r="M7869" s="75" t="s">
        <v>24076</v>
      </c>
    </row>
    <row r="7870" ht="30" customHeight="1" spans="1:13">
      <c r="A7870" s="41">
        <f>IF(C7870="","",SUBTOTAL(103,$C$2:C7870))</f>
        <v>7861</v>
      </c>
      <c r="B7870" s="67"/>
      <c r="C7870" s="58" t="s">
        <v>20331</v>
      </c>
      <c r="D7870" s="2" t="s">
        <v>23504</v>
      </c>
      <c r="E7870" s="2" t="s">
        <v>23504</v>
      </c>
      <c r="F7870" s="74" t="s">
        <v>23530</v>
      </c>
      <c r="G7870" s="75" t="s">
        <v>24077</v>
      </c>
      <c r="H7870" s="75" t="s">
        <v>24078</v>
      </c>
      <c r="I7870" s="76">
        <v>9</v>
      </c>
      <c r="J7870" s="44" t="str">
        <f>VLOOKUP(G7870,[1]硬件清单!$F:$F,1,0)</f>
        <v>2106195HAGX3NC000011</v>
      </c>
      <c r="K7870" s="66"/>
      <c r="L7870" s="44"/>
      <c r="M7870" s="75" t="s">
        <v>24079</v>
      </c>
    </row>
    <row r="7871" ht="30" customHeight="1" spans="1:13">
      <c r="A7871" s="41">
        <f>IF(C7871="","",SUBTOTAL(103,$C$2:C7871))</f>
        <v>7862</v>
      </c>
      <c r="B7871" s="67"/>
      <c r="C7871" s="58" t="s">
        <v>20331</v>
      </c>
      <c r="D7871" s="2" t="s">
        <v>23504</v>
      </c>
      <c r="E7871" s="2" t="s">
        <v>23504</v>
      </c>
      <c r="F7871" s="74" t="s">
        <v>23530</v>
      </c>
      <c r="G7871" s="75" t="s">
        <v>24080</v>
      </c>
      <c r="H7871" s="75" t="s">
        <v>24081</v>
      </c>
      <c r="I7871" s="76">
        <v>9</v>
      </c>
      <c r="J7871" s="44" t="str">
        <f>VLOOKUP(G7871,[1]硬件清单!$F:$F,1,0)</f>
        <v>2106195HAGX3NC000018</v>
      </c>
      <c r="K7871" s="66"/>
      <c r="L7871" s="44"/>
      <c r="M7871" s="75" t="s">
        <v>24082</v>
      </c>
    </row>
    <row r="7872" ht="30" customHeight="1" spans="1:13">
      <c r="A7872" s="41">
        <f>IF(C7872="","",SUBTOTAL(103,$C$2:C7872))</f>
        <v>7863</v>
      </c>
      <c r="B7872" s="67"/>
      <c r="C7872" s="58" t="s">
        <v>20331</v>
      </c>
      <c r="D7872" s="2" t="s">
        <v>23504</v>
      </c>
      <c r="E7872" s="2" t="s">
        <v>23504</v>
      </c>
      <c r="F7872" s="74" t="s">
        <v>23530</v>
      </c>
      <c r="G7872" s="75" t="s">
        <v>24083</v>
      </c>
      <c r="H7872" s="75" t="s">
        <v>24084</v>
      </c>
      <c r="I7872" s="76">
        <v>9</v>
      </c>
      <c r="J7872" s="44" t="str">
        <f>VLOOKUP(G7872,[1]硬件清单!$F:$F,1,0)</f>
        <v>2106195HAGX3NC000020</v>
      </c>
      <c r="K7872" s="66"/>
      <c r="L7872" s="44"/>
      <c r="M7872" s="75" t="s">
        <v>24085</v>
      </c>
    </row>
    <row r="7873" ht="30" customHeight="1" spans="1:13">
      <c r="A7873" s="41">
        <f>IF(C7873="","",SUBTOTAL(103,$C$2:C7873))</f>
        <v>7864</v>
      </c>
      <c r="B7873" s="67"/>
      <c r="C7873" s="58" t="s">
        <v>20331</v>
      </c>
      <c r="D7873" s="2" t="s">
        <v>23504</v>
      </c>
      <c r="E7873" s="2" t="s">
        <v>23504</v>
      </c>
      <c r="F7873" s="74" t="s">
        <v>23530</v>
      </c>
      <c r="G7873" s="75" t="s">
        <v>24086</v>
      </c>
      <c r="H7873" s="75" t="s">
        <v>24087</v>
      </c>
      <c r="I7873" s="76">
        <v>9</v>
      </c>
      <c r="J7873" s="44" t="str">
        <f>VLOOKUP(G7873,[1]硬件清单!$F:$F,1,0)</f>
        <v>2106195HAGX3NC000002</v>
      </c>
      <c r="K7873" s="66"/>
      <c r="L7873" s="44"/>
      <c r="M7873" s="75" t="s">
        <v>24088</v>
      </c>
    </row>
    <row r="7874" ht="30" customHeight="1" spans="1:13">
      <c r="A7874" s="41">
        <f>IF(C7874="","",SUBTOTAL(103,$C$2:C7874))</f>
        <v>7865</v>
      </c>
      <c r="B7874" s="67"/>
      <c r="C7874" s="58" t="s">
        <v>20331</v>
      </c>
      <c r="D7874" s="2" t="s">
        <v>23504</v>
      </c>
      <c r="E7874" s="2" t="s">
        <v>23504</v>
      </c>
      <c r="F7874" s="74" t="s">
        <v>23530</v>
      </c>
      <c r="G7874" s="75" t="s">
        <v>24089</v>
      </c>
      <c r="H7874" s="75" t="s">
        <v>24090</v>
      </c>
      <c r="I7874" s="76">
        <v>9</v>
      </c>
      <c r="J7874" s="44" t="str">
        <f>VLOOKUP(G7874,[1]硬件清单!$F:$F,1,0)</f>
        <v>2106195HAGX3NC000005</v>
      </c>
      <c r="K7874" s="66"/>
      <c r="L7874" s="44"/>
      <c r="M7874" s="75" t="s">
        <v>24091</v>
      </c>
    </row>
    <row r="7875" ht="30" customHeight="1" spans="1:13">
      <c r="A7875" s="41">
        <f>IF(C7875="","",SUBTOTAL(103,$C$2:C7875))</f>
        <v>7866</v>
      </c>
      <c r="B7875" s="67"/>
      <c r="C7875" s="58" t="s">
        <v>20331</v>
      </c>
      <c r="D7875" s="2" t="s">
        <v>23504</v>
      </c>
      <c r="E7875" s="2" t="s">
        <v>23504</v>
      </c>
      <c r="F7875" s="74" t="s">
        <v>23530</v>
      </c>
      <c r="G7875" s="75" t="s">
        <v>24092</v>
      </c>
      <c r="H7875" s="75" t="s">
        <v>24093</v>
      </c>
      <c r="I7875" s="76">
        <v>9</v>
      </c>
      <c r="J7875" s="44" t="str">
        <f>VLOOKUP(G7875,[1]硬件清单!$F:$F,1,0)</f>
        <v>2106195HAGX3NC000004</v>
      </c>
      <c r="K7875" s="66"/>
      <c r="L7875" s="44"/>
      <c r="M7875" s="75" t="s">
        <v>24094</v>
      </c>
    </row>
    <row r="7876" ht="30" customHeight="1" spans="1:13">
      <c r="A7876" s="41">
        <f>IF(C7876="","",SUBTOTAL(103,$C$2:C7876))</f>
        <v>7867</v>
      </c>
      <c r="B7876" s="67"/>
      <c r="C7876" s="58" t="s">
        <v>20331</v>
      </c>
      <c r="D7876" s="2" t="s">
        <v>23504</v>
      </c>
      <c r="E7876" s="2" t="s">
        <v>23504</v>
      </c>
      <c r="F7876" s="74" t="s">
        <v>23530</v>
      </c>
      <c r="G7876" s="75" t="s">
        <v>24095</v>
      </c>
      <c r="H7876" s="75" t="s">
        <v>24096</v>
      </c>
      <c r="I7876" s="76">
        <v>9</v>
      </c>
      <c r="J7876" s="44" t="str">
        <f>VLOOKUP(G7876,[1]硬件清单!$F:$F,1,0)</f>
        <v>2106195HAGX3NC000013</v>
      </c>
      <c r="K7876" s="66"/>
      <c r="L7876" s="44"/>
      <c r="M7876" s="75" t="s">
        <v>24097</v>
      </c>
    </row>
    <row r="7877" ht="30" customHeight="1" spans="1:13">
      <c r="A7877" s="41">
        <f>IF(C7877="","",SUBTOTAL(103,$C$2:C7877))</f>
        <v>7868</v>
      </c>
      <c r="B7877" s="67"/>
      <c r="C7877" s="58" t="s">
        <v>20331</v>
      </c>
      <c r="D7877" s="2" t="s">
        <v>23504</v>
      </c>
      <c r="E7877" s="2" t="s">
        <v>23504</v>
      </c>
      <c r="F7877" s="74" t="s">
        <v>23530</v>
      </c>
      <c r="G7877" s="75" t="s">
        <v>24098</v>
      </c>
      <c r="H7877" s="75" t="s">
        <v>24099</v>
      </c>
      <c r="I7877" s="76">
        <v>9</v>
      </c>
      <c r="J7877" s="44" t="str">
        <f>VLOOKUP(G7877,[1]硬件清单!$F:$F,1,0)</f>
        <v>2106195HAGX3NC000001</v>
      </c>
      <c r="K7877" s="66"/>
      <c r="L7877" s="44"/>
      <c r="M7877" s="75" t="s">
        <v>24100</v>
      </c>
    </row>
    <row r="7878" ht="30" customHeight="1" spans="1:13">
      <c r="A7878" s="41">
        <f>IF(C7878="","",SUBTOTAL(103,$C$2:C7878))</f>
        <v>7869</v>
      </c>
      <c r="B7878" s="67"/>
      <c r="C7878" s="58" t="s">
        <v>20331</v>
      </c>
      <c r="D7878" s="2" t="s">
        <v>23504</v>
      </c>
      <c r="E7878" s="2" t="s">
        <v>23504</v>
      </c>
      <c r="F7878" s="74" t="s">
        <v>23530</v>
      </c>
      <c r="G7878" s="75" t="s">
        <v>24101</v>
      </c>
      <c r="H7878" s="75" t="s">
        <v>24102</v>
      </c>
      <c r="I7878" s="76">
        <v>9</v>
      </c>
      <c r="J7878" s="44" t="str">
        <f>VLOOKUP(G7878,[1]硬件清单!$F:$F,1,0)</f>
        <v>2106195HAGX3NC000021</v>
      </c>
      <c r="K7878" s="66"/>
      <c r="L7878" s="44"/>
      <c r="M7878" s="75" t="s">
        <v>24103</v>
      </c>
    </row>
    <row r="7879" ht="30" customHeight="1" spans="1:13">
      <c r="A7879" s="41">
        <f>IF(C7879="","",SUBTOTAL(103,$C$2:C7879))</f>
        <v>7870</v>
      </c>
      <c r="B7879" s="67"/>
      <c r="C7879" s="58" t="s">
        <v>20331</v>
      </c>
      <c r="D7879" s="2" t="s">
        <v>23504</v>
      </c>
      <c r="E7879" s="2" t="s">
        <v>23504</v>
      </c>
      <c r="F7879" s="74" t="s">
        <v>23530</v>
      </c>
      <c r="G7879" s="75" t="s">
        <v>24104</v>
      </c>
      <c r="H7879" s="75" t="s">
        <v>24105</v>
      </c>
      <c r="I7879" s="76">
        <v>9</v>
      </c>
      <c r="J7879" s="44" t="str">
        <f>VLOOKUP(G7879,[1]硬件清单!$F:$F,1,0)</f>
        <v>2106195HAGX3NC000014</v>
      </c>
      <c r="K7879" s="66"/>
      <c r="L7879" s="44"/>
      <c r="M7879" s="75" t="s">
        <v>24106</v>
      </c>
    </row>
    <row r="7880" ht="30" customHeight="1" spans="1:13">
      <c r="A7880" s="41">
        <f>IF(C7880="","",SUBTOTAL(103,$C$2:C7880))</f>
        <v>7871</v>
      </c>
      <c r="B7880" s="67"/>
      <c r="C7880" s="58" t="s">
        <v>20331</v>
      </c>
      <c r="D7880" s="2" t="s">
        <v>23504</v>
      </c>
      <c r="E7880" s="2" t="s">
        <v>23504</v>
      </c>
      <c r="F7880" s="74" t="s">
        <v>23530</v>
      </c>
      <c r="G7880" s="75" t="s">
        <v>24107</v>
      </c>
      <c r="H7880" s="75" t="s">
        <v>24108</v>
      </c>
      <c r="I7880" s="76">
        <v>9</v>
      </c>
      <c r="J7880" s="44" t="str">
        <f>VLOOKUP(G7880,[1]硬件清单!$F:$F,1,0)</f>
        <v>2106195HAGX3NC000019</v>
      </c>
      <c r="K7880" s="66"/>
      <c r="L7880" s="44"/>
      <c r="M7880" s="75" t="s">
        <v>24109</v>
      </c>
    </row>
    <row r="7881" ht="30" customHeight="1" spans="1:13">
      <c r="A7881" s="41">
        <f>IF(C7881="","",SUBTOTAL(103,$C$2:C7881))</f>
        <v>7872</v>
      </c>
      <c r="B7881" s="67"/>
      <c r="C7881" s="58" t="s">
        <v>20331</v>
      </c>
      <c r="D7881" s="2" t="s">
        <v>23504</v>
      </c>
      <c r="E7881" s="2" t="s">
        <v>23504</v>
      </c>
      <c r="F7881" s="74" t="s">
        <v>23530</v>
      </c>
      <c r="G7881" s="75" t="s">
        <v>24110</v>
      </c>
      <c r="H7881" s="75" t="s">
        <v>24111</v>
      </c>
      <c r="I7881" s="76">
        <v>9</v>
      </c>
      <c r="J7881" s="44" t="str">
        <f>VLOOKUP(G7881,[1]硬件清单!$F:$F,1,0)</f>
        <v>2106195HAGX3NC000009</v>
      </c>
      <c r="K7881" s="66"/>
      <c r="L7881" s="44"/>
      <c r="M7881" s="75" t="s">
        <v>24112</v>
      </c>
    </row>
    <row r="7882" ht="30" customHeight="1" spans="1:13">
      <c r="A7882" s="41">
        <f>IF(C7882="","",SUBTOTAL(103,$C$2:C7882))</f>
        <v>7873</v>
      </c>
      <c r="B7882" s="67"/>
      <c r="C7882" s="58" t="s">
        <v>20331</v>
      </c>
      <c r="D7882" s="2" t="s">
        <v>23504</v>
      </c>
      <c r="E7882" s="2" t="s">
        <v>23504</v>
      </c>
      <c r="F7882" s="74" t="s">
        <v>23530</v>
      </c>
      <c r="G7882" s="75" t="s">
        <v>24113</v>
      </c>
      <c r="H7882" s="75" t="s">
        <v>24114</v>
      </c>
      <c r="I7882" s="76">
        <v>9</v>
      </c>
      <c r="J7882" s="44" t="str">
        <f>VLOOKUP(G7882,[1]硬件清单!$F:$F,1,0)</f>
        <v>2106195HAGX3NC000006</v>
      </c>
      <c r="K7882" s="66"/>
      <c r="L7882" s="44"/>
      <c r="M7882" s="75" t="s">
        <v>24115</v>
      </c>
    </row>
    <row r="7883" ht="30" customHeight="1" spans="1:13">
      <c r="A7883" s="41">
        <f>IF(C7883="","",SUBTOTAL(103,$C$2:C7883))</f>
        <v>7874</v>
      </c>
      <c r="B7883" s="67"/>
      <c r="C7883" s="58" t="s">
        <v>20331</v>
      </c>
      <c r="D7883" s="2" t="s">
        <v>23504</v>
      </c>
      <c r="E7883" s="2" t="s">
        <v>23504</v>
      </c>
      <c r="F7883" s="74" t="s">
        <v>23530</v>
      </c>
      <c r="G7883" s="75" t="s">
        <v>24116</v>
      </c>
      <c r="H7883" s="75" t="s">
        <v>24117</v>
      </c>
      <c r="I7883" s="76">
        <v>9</v>
      </c>
      <c r="J7883" s="44" t="str">
        <f>VLOOKUP(G7883,[1]硬件清单!$F:$F,1,0)</f>
        <v>2106195HAGX3NC000007</v>
      </c>
      <c r="K7883" s="66"/>
      <c r="L7883" s="44"/>
      <c r="M7883" s="75" t="s">
        <v>24118</v>
      </c>
    </row>
    <row r="7884" ht="30" customHeight="1" spans="1:13">
      <c r="A7884" s="41">
        <f>IF(C7884="","",SUBTOTAL(103,$C$2:C7884))</f>
        <v>7875</v>
      </c>
      <c r="B7884" s="67"/>
      <c r="C7884" s="58" t="s">
        <v>20331</v>
      </c>
      <c r="D7884" s="2" t="s">
        <v>23504</v>
      </c>
      <c r="E7884" s="2" t="s">
        <v>23504</v>
      </c>
      <c r="F7884" s="74" t="s">
        <v>24119</v>
      </c>
      <c r="G7884" s="75" t="s">
        <v>24120</v>
      </c>
      <c r="H7884" s="75" t="s">
        <v>24121</v>
      </c>
      <c r="I7884" s="76">
        <v>9</v>
      </c>
      <c r="J7884" s="44" t="str">
        <f>VLOOKUP(G7884,[1]硬件清单!$F:$F,1,0)</f>
        <v>2106195HAKXENC000002</v>
      </c>
      <c r="K7884" s="66"/>
      <c r="L7884" s="44"/>
      <c r="M7884" s="75" t="s">
        <v>24122</v>
      </c>
    </row>
    <row r="7885" ht="30" customHeight="1" spans="1:13">
      <c r="A7885" s="41">
        <f>IF(C7885="","",SUBTOTAL(103,$C$2:C7885))</f>
        <v>7876</v>
      </c>
      <c r="B7885" s="67"/>
      <c r="C7885" s="58" t="s">
        <v>20331</v>
      </c>
      <c r="D7885" s="2" t="s">
        <v>23504</v>
      </c>
      <c r="E7885" s="2" t="s">
        <v>23504</v>
      </c>
      <c r="F7885" s="74" t="s">
        <v>24119</v>
      </c>
      <c r="G7885" s="75" t="s">
        <v>24123</v>
      </c>
      <c r="H7885" s="75" t="s">
        <v>24124</v>
      </c>
      <c r="I7885" s="76">
        <v>9</v>
      </c>
      <c r="J7885" s="44" t="str">
        <f>VLOOKUP(G7885,[1]硬件清单!$F:$F,1,0)</f>
        <v>2106195HAKXENC000005</v>
      </c>
      <c r="K7885" s="66"/>
      <c r="L7885" s="44"/>
      <c r="M7885" s="75" t="s">
        <v>24125</v>
      </c>
    </row>
    <row r="7886" ht="30" customHeight="1" spans="1:13">
      <c r="A7886" s="41">
        <f>IF(C7886="","",SUBTOTAL(103,$C$2:C7886))</f>
        <v>7877</v>
      </c>
      <c r="B7886" s="67"/>
      <c r="C7886" s="58" t="s">
        <v>20331</v>
      </c>
      <c r="D7886" s="2" t="s">
        <v>23504</v>
      </c>
      <c r="E7886" s="2" t="s">
        <v>23504</v>
      </c>
      <c r="F7886" s="74" t="s">
        <v>24119</v>
      </c>
      <c r="G7886" s="75" t="s">
        <v>24126</v>
      </c>
      <c r="H7886" s="75" t="s">
        <v>24127</v>
      </c>
      <c r="I7886" s="76">
        <v>9</v>
      </c>
      <c r="J7886" s="44" t="str">
        <f>VLOOKUP(G7886,[1]硬件清单!$F:$F,1,0)</f>
        <v>2106195HAKXENC000001</v>
      </c>
      <c r="K7886" s="66"/>
      <c r="L7886" s="44"/>
      <c r="M7886" s="75" t="s">
        <v>24128</v>
      </c>
    </row>
    <row r="7887" ht="30" customHeight="1" spans="1:13">
      <c r="A7887" s="41">
        <f>IF(C7887="","",SUBTOTAL(103,$C$2:C7887))</f>
        <v>7878</v>
      </c>
      <c r="B7887" s="67"/>
      <c r="C7887" s="58" t="s">
        <v>20331</v>
      </c>
      <c r="D7887" s="2" t="s">
        <v>23504</v>
      </c>
      <c r="E7887" s="2" t="s">
        <v>23504</v>
      </c>
      <c r="F7887" s="74" t="s">
        <v>24119</v>
      </c>
      <c r="G7887" s="75" t="s">
        <v>24129</v>
      </c>
      <c r="H7887" s="75" t="s">
        <v>24130</v>
      </c>
      <c r="I7887" s="76">
        <v>9</v>
      </c>
      <c r="J7887" s="44" t="str">
        <f>VLOOKUP(G7887,[1]硬件清单!$F:$F,1,0)</f>
        <v>2106195HAKXENC000003</v>
      </c>
      <c r="K7887" s="66"/>
      <c r="L7887" s="44"/>
      <c r="M7887" s="75" t="s">
        <v>24131</v>
      </c>
    </row>
    <row r="7888" ht="30" customHeight="1" spans="1:13">
      <c r="A7888" s="41">
        <f>IF(C7888="","",SUBTOTAL(103,$C$2:C7888))</f>
        <v>7879</v>
      </c>
      <c r="B7888" s="67"/>
      <c r="C7888" s="58" t="s">
        <v>20331</v>
      </c>
      <c r="D7888" s="2" t="s">
        <v>23504</v>
      </c>
      <c r="E7888" s="2" t="s">
        <v>23504</v>
      </c>
      <c r="F7888" s="74" t="s">
        <v>24119</v>
      </c>
      <c r="G7888" s="75" t="s">
        <v>24132</v>
      </c>
      <c r="H7888" s="75" t="s">
        <v>24133</v>
      </c>
      <c r="I7888" s="76">
        <v>9</v>
      </c>
      <c r="J7888" s="44" t="str">
        <f>VLOOKUP(G7888,[1]硬件清单!$F:$F,1,0)</f>
        <v>2106195HAKXENC000004</v>
      </c>
      <c r="K7888" s="66"/>
      <c r="L7888" s="44"/>
      <c r="M7888" s="75" t="s">
        <v>24134</v>
      </c>
    </row>
    <row r="7889" ht="30" customHeight="1" spans="1:13">
      <c r="A7889" s="41">
        <f>IF(C7889="","",SUBTOTAL(103,$C$2:C7889))</f>
        <v>7880</v>
      </c>
      <c r="B7889" s="67"/>
      <c r="C7889" s="58" t="s">
        <v>20331</v>
      </c>
      <c r="D7889" s="2" t="s">
        <v>23504</v>
      </c>
      <c r="E7889" s="2" t="s">
        <v>23504</v>
      </c>
      <c r="F7889" s="74" t="s">
        <v>24119</v>
      </c>
      <c r="G7889" s="75" t="s">
        <v>24135</v>
      </c>
      <c r="H7889" s="75" t="s">
        <v>24136</v>
      </c>
      <c r="I7889" s="76">
        <v>9</v>
      </c>
      <c r="J7889" s="44" t="str">
        <f>VLOOKUP(G7889,[1]硬件清单!$F:$F,1,0)</f>
        <v>2106195HAKXENC000006</v>
      </c>
      <c r="K7889" s="66"/>
      <c r="L7889" s="44"/>
      <c r="M7889" s="75" t="s">
        <v>24137</v>
      </c>
    </row>
    <row r="7890" ht="30" customHeight="1" spans="1:13">
      <c r="A7890" s="41">
        <f>IF(C7890="","",SUBTOTAL(103,$C$2:C7890))</f>
        <v>7881</v>
      </c>
      <c r="B7890" s="67"/>
      <c r="C7890" s="58" t="s">
        <v>20331</v>
      </c>
      <c r="D7890" s="2" t="s">
        <v>20</v>
      </c>
      <c r="E7890" s="2" t="s">
        <v>20</v>
      </c>
      <c r="F7890" s="74" t="s">
        <v>24138</v>
      </c>
      <c r="G7890" s="75" t="s">
        <v>24139</v>
      </c>
      <c r="H7890" s="75" t="s">
        <v>24140</v>
      </c>
      <c r="I7890" s="76">
        <v>9</v>
      </c>
      <c r="J7890" s="44" t="str">
        <f>VLOOKUP(G7890,[1]硬件清单!$F:$F,1,0)</f>
        <v>FPF1934S0AW</v>
      </c>
      <c r="K7890" s="66"/>
      <c r="L7890" s="44" t="s">
        <v>17</v>
      </c>
      <c r="M7890" s="75" t="s">
        <v>24141</v>
      </c>
    </row>
    <row r="7891" ht="30" customHeight="1" spans="1:13">
      <c r="A7891" s="41">
        <f>IF(C7891="","",SUBTOTAL(103,$C$2:C7891))</f>
        <v>7882</v>
      </c>
      <c r="B7891" s="67"/>
      <c r="C7891" s="58" t="s">
        <v>20331</v>
      </c>
      <c r="D7891" s="2" t="s">
        <v>20</v>
      </c>
      <c r="E7891" s="2" t="s">
        <v>20</v>
      </c>
      <c r="F7891" s="74" t="s">
        <v>24138</v>
      </c>
      <c r="G7891" s="75" t="s">
        <v>24142</v>
      </c>
      <c r="H7891" s="75" t="s">
        <v>24143</v>
      </c>
      <c r="I7891" s="76">
        <v>9</v>
      </c>
      <c r="J7891" s="44" t="str">
        <f>VLOOKUP(G7891,[1]硬件清单!$F:$F,1,0)</f>
        <v>FPF1934S0AF</v>
      </c>
      <c r="K7891" s="66"/>
      <c r="L7891" s="44" t="s">
        <v>17</v>
      </c>
      <c r="M7891" s="75" t="s">
        <v>24144</v>
      </c>
    </row>
    <row r="7892" ht="30" customHeight="1" spans="1:13">
      <c r="A7892" s="41">
        <f>IF(C7892="","",SUBTOTAL(103,$C$2:C7892))</f>
        <v>7883</v>
      </c>
      <c r="B7892" s="67"/>
      <c r="C7892" s="58" t="s">
        <v>20331</v>
      </c>
      <c r="D7892" s="2" t="s">
        <v>20</v>
      </c>
      <c r="E7892" s="2" t="s">
        <v>20</v>
      </c>
      <c r="F7892" s="74" t="s">
        <v>24138</v>
      </c>
      <c r="G7892" s="75" t="s">
        <v>24145</v>
      </c>
      <c r="H7892" s="75" t="s">
        <v>24146</v>
      </c>
      <c r="I7892" s="76">
        <v>9</v>
      </c>
      <c r="J7892" s="44" t="str">
        <f>VLOOKUP(G7892,[1]硬件清单!$F:$F,1,0)</f>
        <v>FPF1934S0AV</v>
      </c>
      <c r="K7892" s="66"/>
      <c r="L7892" s="44" t="s">
        <v>17</v>
      </c>
      <c r="M7892" s="75" t="s">
        <v>24147</v>
      </c>
    </row>
    <row r="7893" ht="30" customHeight="1" spans="1:13">
      <c r="A7893" s="41">
        <f>IF(C7893="","",SUBTOTAL(103,$C$2:C7893))</f>
        <v>7884</v>
      </c>
      <c r="B7893" s="67"/>
      <c r="C7893" s="58" t="s">
        <v>20331</v>
      </c>
      <c r="D7893" s="2" t="s">
        <v>20</v>
      </c>
      <c r="E7893" s="2" t="s">
        <v>20</v>
      </c>
      <c r="F7893" s="74" t="s">
        <v>24138</v>
      </c>
      <c r="G7893" s="75" t="s">
        <v>24148</v>
      </c>
      <c r="H7893" s="75" t="s">
        <v>24149</v>
      </c>
      <c r="I7893" s="76">
        <v>9</v>
      </c>
      <c r="J7893" s="44" t="str">
        <f>VLOOKUP(G7893,[1]硬件清单!$F:$F,1,0)</f>
        <v>FPF1934S0AC</v>
      </c>
      <c r="K7893" s="66"/>
      <c r="L7893" s="44" t="s">
        <v>17</v>
      </c>
      <c r="M7893" s="75" t="s">
        <v>24150</v>
      </c>
    </row>
    <row r="7894" ht="30" customHeight="1" spans="1:13">
      <c r="A7894" s="41">
        <f>IF(C7894="","",SUBTOTAL(103,$C$2:C7894))</f>
        <v>7885</v>
      </c>
      <c r="B7894" s="67"/>
      <c r="C7894" s="58" t="s">
        <v>20331</v>
      </c>
      <c r="D7894" s="63" t="s">
        <v>24151</v>
      </c>
      <c r="E7894" s="63" t="s">
        <v>24151</v>
      </c>
      <c r="F7894" s="74" t="s">
        <v>24152</v>
      </c>
      <c r="G7894" s="75" t="s">
        <v>24153</v>
      </c>
      <c r="H7894" s="75" t="s">
        <v>24154</v>
      </c>
      <c r="I7894" s="76">
        <v>9</v>
      </c>
      <c r="J7894" s="44" t="str">
        <f>VLOOKUP(G7894,[1]硬件清单!$F:$F,1,0)</f>
        <v>2102354NLJN0NC100020</v>
      </c>
      <c r="K7894" s="66"/>
      <c r="L7894" s="44" t="s">
        <v>17</v>
      </c>
      <c r="M7894" s="75" t="s">
        <v>24155</v>
      </c>
    </row>
    <row r="7895" ht="30" customHeight="1" spans="1:13">
      <c r="A7895" s="41">
        <f>IF(C7895="","",SUBTOTAL(103,$C$2:C7895))</f>
        <v>7886</v>
      </c>
      <c r="B7895" s="67"/>
      <c r="C7895" s="58" t="s">
        <v>20331</v>
      </c>
      <c r="D7895" s="63" t="s">
        <v>24151</v>
      </c>
      <c r="E7895" s="63" t="s">
        <v>24151</v>
      </c>
      <c r="F7895" s="74" t="s">
        <v>24152</v>
      </c>
      <c r="G7895" s="75" t="s">
        <v>24156</v>
      </c>
      <c r="H7895" s="75" t="s">
        <v>24157</v>
      </c>
      <c r="I7895" s="76">
        <v>9</v>
      </c>
      <c r="J7895" s="44" t="str">
        <f>VLOOKUP(G7895,[1]硬件清单!$F:$F,1,0)</f>
        <v>2102354NLJN0NC100021</v>
      </c>
      <c r="K7895" s="66"/>
      <c r="L7895" s="44" t="s">
        <v>17</v>
      </c>
      <c r="M7895" s="75" t="s">
        <v>24158</v>
      </c>
    </row>
    <row r="7896" ht="30" customHeight="1" spans="1:13">
      <c r="A7896" s="41">
        <f>IF(C7896="","",SUBTOTAL(103,$C$2:C7896))</f>
        <v>7887</v>
      </c>
      <c r="B7896" s="67"/>
      <c r="C7896" s="58" t="s">
        <v>20331</v>
      </c>
      <c r="D7896" s="74" t="s">
        <v>24159</v>
      </c>
      <c r="E7896" s="74" t="s">
        <v>24159</v>
      </c>
      <c r="F7896" s="74" t="s">
        <v>24160</v>
      </c>
      <c r="G7896" s="75" t="s">
        <v>24161</v>
      </c>
      <c r="H7896" s="75" t="s">
        <v>24162</v>
      </c>
      <c r="I7896" s="76">
        <v>9</v>
      </c>
      <c r="J7896" s="44" t="str">
        <f>VLOOKUP(G7896,[1]硬件清单!$F:$F,1,0)</f>
        <v>f5-fgti-cmbp</v>
      </c>
      <c r="K7896" s="66"/>
      <c r="L7896" s="44" t="s">
        <v>17</v>
      </c>
      <c r="M7896" s="75" t="s">
        <v>24163</v>
      </c>
    </row>
    <row r="7897" ht="30" customHeight="1" spans="1:13">
      <c r="A7897" s="41">
        <f>IF(C7897="","",SUBTOTAL(103,$C$2:C7897))</f>
        <v>7888</v>
      </c>
      <c r="B7897" s="67"/>
      <c r="C7897" s="58" t="s">
        <v>20331</v>
      </c>
      <c r="D7897" s="74" t="s">
        <v>24159</v>
      </c>
      <c r="E7897" s="74" t="s">
        <v>24159</v>
      </c>
      <c r="F7897" s="74" t="s">
        <v>24160</v>
      </c>
      <c r="G7897" s="75" t="s">
        <v>24164</v>
      </c>
      <c r="H7897" s="75" t="s">
        <v>24165</v>
      </c>
      <c r="I7897" s="76">
        <v>9</v>
      </c>
      <c r="J7897" s="44" t="str">
        <f>VLOOKUP(G7897,[1]硬件清单!$F:$F,1,0)</f>
        <v>f5-erbu-kwvc</v>
      </c>
      <c r="K7897" s="66"/>
      <c r="L7897" s="44" t="s">
        <v>17</v>
      </c>
      <c r="M7897" s="75" t="s">
        <v>24166</v>
      </c>
    </row>
    <row r="7898" ht="30" customHeight="1" spans="1:13">
      <c r="A7898" s="41">
        <f>IF(C7898="","",SUBTOTAL(103,$C$2:C7898))</f>
        <v>7889</v>
      </c>
      <c r="B7898" s="67"/>
      <c r="C7898" s="58" t="s">
        <v>20331</v>
      </c>
      <c r="D7898" s="2" t="s">
        <v>20</v>
      </c>
      <c r="E7898" s="2" t="s">
        <v>20</v>
      </c>
      <c r="F7898" s="74" t="s">
        <v>24167</v>
      </c>
      <c r="G7898" s="75" t="s">
        <v>24168</v>
      </c>
      <c r="H7898" s="75" t="s">
        <v>24169</v>
      </c>
      <c r="I7898" s="76">
        <v>9</v>
      </c>
      <c r="J7898" s="44" t="str">
        <f>VLOOKUP(G7898,[1]硬件清单!$F:$F,1,0)</f>
        <v>210235A2TNH22B0C0012</v>
      </c>
      <c r="K7898" s="66"/>
      <c r="L7898" s="44"/>
      <c r="M7898" s="75" t="s">
        <v>24170</v>
      </c>
    </row>
    <row r="7899" ht="30" customHeight="1" spans="1:13">
      <c r="A7899" s="41">
        <f>IF(C7899="","",SUBTOTAL(103,$C$2:C7899))</f>
        <v>7890</v>
      </c>
      <c r="B7899" s="67"/>
      <c r="C7899" s="58" t="s">
        <v>20331</v>
      </c>
      <c r="D7899" s="2" t="s">
        <v>20</v>
      </c>
      <c r="E7899" s="2" t="s">
        <v>20</v>
      </c>
      <c r="F7899" s="74" t="s">
        <v>24167</v>
      </c>
      <c r="G7899" s="75" t="s">
        <v>24171</v>
      </c>
      <c r="H7899" s="75" t="s">
        <v>24172</v>
      </c>
      <c r="I7899" s="76">
        <v>9</v>
      </c>
      <c r="J7899" s="44" t="str">
        <f>VLOOKUP(G7899,[1]硬件清单!$F:$F,1,0)</f>
        <v>210235A2TNH22B0CG022</v>
      </c>
      <c r="K7899" s="66"/>
      <c r="L7899" s="44"/>
      <c r="M7899" s="75" t="s">
        <v>24173</v>
      </c>
    </row>
    <row r="7900" ht="30" customHeight="1" spans="1:13">
      <c r="A7900" s="41">
        <f>IF(C7900="","",SUBTOTAL(103,$C$2:C7900))</f>
        <v>7891</v>
      </c>
      <c r="B7900" s="67"/>
      <c r="C7900" s="58" t="s">
        <v>20331</v>
      </c>
      <c r="D7900" s="2" t="s">
        <v>20</v>
      </c>
      <c r="E7900" s="2" t="s">
        <v>20</v>
      </c>
      <c r="F7900" s="74" t="s">
        <v>24167</v>
      </c>
      <c r="G7900" s="75" t="s">
        <v>24174</v>
      </c>
      <c r="H7900" s="75" t="s">
        <v>24175</v>
      </c>
      <c r="I7900" s="76">
        <v>9</v>
      </c>
      <c r="J7900" s="44" t="str">
        <f>VLOOKUP(G7900,[1]硬件清单!$F:$F,1,0)</f>
        <v>210235A2TNH22B0C0011</v>
      </c>
      <c r="K7900" s="66"/>
      <c r="L7900" s="44"/>
      <c r="M7900" s="75" t="s">
        <v>24176</v>
      </c>
    </row>
    <row r="7901" ht="30" customHeight="1" spans="1:13">
      <c r="A7901" s="41">
        <f>IF(C7901="","",SUBTOTAL(103,$C$2:C7901))</f>
        <v>7892</v>
      </c>
      <c r="B7901" s="67"/>
      <c r="C7901" s="58" t="s">
        <v>20331</v>
      </c>
      <c r="D7901" s="63" t="s">
        <v>20</v>
      </c>
      <c r="E7901" s="63" t="s">
        <v>20</v>
      </c>
      <c r="F7901" s="74" t="s">
        <v>24167</v>
      </c>
      <c r="G7901" s="75" t="s">
        <v>24177</v>
      </c>
      <c r="H7901" s="75" t="s">
        <v>24178</v>
      </c>
      <c r="I7901" s="76">
        <v>9</v>
      </c>
      <c r="J7901" s="44" t="str">
        <f>VLOOKUP(G7901,[1]硬件清单!$F:$F,1,0)</f>
        <v>210235A2TNH22B0C001H</v>
      </c>
      <c r="K7901" s="66"/>
      <c r="L7901" s="44"/>
      <c r="M7901" s="75" t="s">
        <v>24179</v>
      </c>
    </row>
    <row r="7902" ht="30" customHeight="1" spans="1:13">
      <c r="A7902" s="41">
        <f>IF(C7902="","",SUBTOTAL(103,$C$2:C7902))</f>
        <v>7893</v>
      </c>
      <c r="B7902" s="67"/>
      <c r="C7902" s="58" t="s">
        <v>20331</v>
      </c>
      <c r="D7902" s="63" t="s">
        <v>20</v>
      </c>
      <c r="E7902" s="63" t="s">
        <v>20</v>
      </c>
      <c r="F7902" s="74" t="s">
        <v>24167</v>
      </c>
      <c r="G7902" s="75" t="s">
        <v>24180</v>
      </c>
      <c r="H7902" s="75" t="s">
        <v>24181</v>
      </c>
      <c r="I7902" s="76">
        <v>9</v>
      </c>
      <c r="J7902" s="44" t="str">
        <f>VLOOKUP(G7902,[1]硬件清单!$F:$F,1,0)</f>
        <v>210235A2TNH22B0C000P</v>
      </c>
      <c r="K7902" s="66"/>
      <c r="L7902" s="44"/>
      <c r="M7902" s="75" t="s">
        <v>24182</v>
      </c>
    </row>
    <row r="7903" ht="30" customHeight="1" spans="1:13">
      <c r="A7903" s="41">
        <f>IF(C7903="","",SUBTOTAL(103,$C$2:C7903))</f>
        <v>7894</v>
      </c>
      <c r="B7903" s="67"/>
      <c r="C7903" s="58" t="s">
        <v>20331</v>
      </c>
      <c r="D7903" s="63" t="s">
        <v>20</v>
      </c>
      <c r="E7903" s="63" t="s">
        <v>20</v>
      </c>
      <c r="F7903" s="74" t="s">
        <v>24167</v>
      </c>
      <c r="G7903" s="75" t="s">
        <v>24183</v>
      </c>
      <c r="H7903" s="75" t="s">
        <v>24184</v>
      </c>
      <c r="I7903" s="76">
        <v>9</v>
      </c>
      <c r="J7903" s="44" t="str">
        <f>VLOOKUP(G7903,[1]硬件清单!$F:$F,1,0)</f>
        <v>210235A2TNH22B0CG049</v>
      </c>
      <c r="K7903" s="66"/>
      <c r="L7903" s="44"/>
      <c r="M7903" s="75" t="s">
        <v>24185</v>
      </c>
    </row>
    <row r="7904" ht="30" customHeight="1" spans="1:13">
      <c r="A7904" s="41">
        <f>IF(C7904="","",SUBTOTAL(103,$C$2:C7904))</f>
        <v>7895</v>
      </c>
      <c r="B7904" s="67"/>
      <c r="C7904" s="58" t="s">
        <v>20331</v>
      </c>
      <c r="D7904" s="63" t="s">
        <v>20</v>
      </c>
      <c r="E7904" s="63" t="s">
        <v>20</v>
      </c>
      <c r="F7904" s="74" t="s">
        <v>24167</v>
      </c>
      <c r="G7904" s="75" t="s">
        <v>24186</v>
      </c>
      <c r="H7904" s="75" t="s">
        <v>24187</v>
      </c>
      <c r="I7904" s="76">
        <v>9</v>
      </c>
      <c r="J7904" s="44" t="str">
        <f>VLOOKUP(G7904,[1]硬件清单!$F:$F,1,0)</f>
        <v>210235A2TNH22B0CG048</v>
      </c>
      <c r="K7904" s="66"/>
      <c r="L7904" s="44"/>
      <c r="M7904" s="75" t="s">
        <v>24188</v>
      </c>
    </row>
    <row r="7905" ht="30" customHeight="1" spans="1:13">
      <c r="A7905" s="41">
        <f>IF(C7905="","",SUBTOTAL(103,$C$2:C7905))</f>
        <v>7896</v>
      </c>
      <c r="B7905" s="67"/>
      <c r="C7905" s="58" t="s">
        <v>20331</v>
      </c>
      <c r="D7905" s="63" t="s">
        <v>20</v>
      </c>
      <c r="E7905" s="63" t="s">
        <v>20</v>
      </c>
      <c r="F7905" s="74" t="s">
        <v>24167</v>
      </c>
      <c r="G7905" s="75" t="s">
        <v>24189</v>
      </c>
      <c r="H7905" s="75" t="s">
        <v>24190</v>
      </c>
      <c r="I7905" s="76">
        <v>9</v>
      </c>
      <c r="J7905" s="44" t="str">
        <f>VLOOKUP(G7905,[1]硬件清单!$F:$F,1,0)</f>
        <v>210235A2TNH22B0CG044</v>
      </c>
      <c r="K7905" s="66"/>
      <c r="L7905" s="44"/>
      <c r="M7905" s="75" t="s">
        <v>24191</v>
      </c>
    </row>
    <row r="7906" ht="30" customHeight="1" spans="1:13">
      <c r="A7906" s="41">
        <f>IF(C7906="","",SUBTOTAL(103,$C$2:C7906))</f>
        <v>7897</v>
      </c>
      <c r="B7906" s="67"/>
      <c r="C7906" s="58" t="s">
        <v>20331</v>
      </c>
      <c r="D7906" s="63" t="s">
        <v>20</v>
      </c>
      <c r="E7906" s="63" t="s">
        <v>20</v>
      </c>
      <c r="F7906" s="74" t="s">
        <v>24167</v>
      </c>
      <c r="G7906" s="75" t="s">
        <v>24192</v>
      </c>
      <c r="H7906" s="75" t="s">
        <v>24193</v>
      </c>
      <c r="I7906" s="76">
        <v>9</v>
      </c>
      <c r="J7906" s="44" t="str">
        <f>VLOOKUP(G7906,[1]硬件清单!$F:$F,1,0)</f>
        <v>210235A2TNH22B0CG023</v>
      </c>
      <c r="K7906" s="66"/>
      <c r="L7906" s="44"/>
      <c r="M7906" s="75" t="s">
        <v>24194</v>
      </c>
    </row>
    <row r="7907" ht="30" customHeight="1" spans="1:13">
      <c r="A7907" s="41">
        <f>IF(C7907="","",SUBTOTAL(103,$C$2:C7907))</f>
        <v>7898</v>
      </c>
      <c r="B7907" s="67"/>
      <c r="C7907" s="58" t="s">
        <v>20331</v>
      </c>
      <c r="D7907" s="63" t="s">
        <v>20</v>
      </c>
      <c r="E7907" s="63" t="s">
        <v>20</v>
      </c>
      <c r="F7907" s="74" t="s">
        <v>24167</v>
      </c>
      <c r="G7907" s="75" t="s">
        <v>24195</v>
      </c>
      <c r="H7907" s="75" t="s">
        <v>24196</v>
      </c>
      <c r="I7907" s="76">
        <v>9</v>
      </c>
      <c r="J7907" s="44" t="str">
        <f>VLOOKUP(G7907,[1]硬件清单!$F:$F,1,0)</f>
        <v>210235A2TNH22B0CG027</v>
      </c>
      <c r="K7907" s="66"/>
      <c r="L7907" s="44"/>
      <c r="M7907" s="75" t="s">
        <v>24197</v>
      </c>
    </row>
    <row r="7908" ht="30" customHeight="1" spans="1:13">
      <c r="A7908" s="41">
        <f>IF(C7908="","",SUBTOTAL(103,$C$2:C7908))</f>
        <v>7899</v>
      </c>
      <c r="B7908" s="67"/>
      <c r="C7908" s="58" t="s">
        <v>20331</v>
      </c>
      <c r="D7908" s="63" t="s">
        <v>20</v>
      </c>
      <c r="E7908" s="63" t="s">
        <v>20</v>
      </c>
      <c r="F7908" s="74" t="s">
        <v>24167</v>
      </c>
      <c r="G7908" s="75" t="s">
        <v>24198</v>
      </c>
      <c r="H7908" s="75" t="s">
        <v>24199</v>
      </c>
      <c r="I7908" s="76">
        <v>9</v>
      </c>
      <c r="J7908" s="44" t="str">
        <f>VLOOKUP(G7908,[1]硬件清单!$F:$F,1,0)</f>
        <v>210235A2TNH22B0CG047</v>
      </c>
      <c r="K7908" s="66"/>
      <c r="L7908" s="44"/>
      <c r="M7908" s="75" t="s">
        <v>24200</v>
      </c>
    </row>
    <row r="7909" ht="30" customHeight="1" spans="1:13">
      <c r="A7909" s="41">
        <f>IF(C7909="","",SUBTOTAL(103,$C$2:C7909))</f>
        <v>7900</v>
      </c>
      <c r="B7909" s="67"/>
      <c r="C7909" s="58" t="s">
        <v>20331</v>
      </c>
      <c r="D7909" s="63" t="s">
        <v>20</v>
      </c>
      <c r="E7909" s="63" t="s">
        <v>20</v>
      </c>
      <c r="F7909" s="74" t="s">
        <v>24167</v>
      </c>
      <c r="G7909" s="75" t="s">
        <v>24201</v>
      </c>
      <c r="H7909" s="75" t="s">
        <v>24202</v>
      </c>
      <c r="I7909" s="76">
        <v>9</v>
      </c>
      <c r="J7909" s="44" t="str">
        <f>VLOOKUP(G7909,[1]硬件清单!$F:$F,1,0)</f>
        <v>210235A2TNH22B0CG054</v>
      </c>
      <c r="K7909" s="66"/>
      <c r="L7909" s="44"/>
      <c r="M7909" s="75" t="s">
        <v>24203</v>
      </c>
    </row>
    <row r="7910" ht="30" customHeight="1" spans="1:13">
      <c r="A7910" s="41">
        <f>IF(C7910="","",SUBTOTAL(103,$C$2:C7910))</f>
        <v>7901</v>
      </c>
      <c r="B7910" s="67"/>
      <c r="C7910" s="58" t="s">
        <v>20331</v>
      </c>
      <c r="D7910" s="63" t="s">
        <v>20</v>
      </c>
      <c r="E7910" s="63" t="s">
        <v>20</v>
      </c>
      <c r="F7910" s="74" t="s">
        <v>24167</v>
      </c>
      <c r="G7910" s="75" t="s">
        <v>24204</v>
      </c>
      <c r="H7910" s="75" t="s">
        <v>24205</v>
      </c>
      <c r="I7910" s="76">
        <v>9</v>
      </c>
      <c r="J7910" s="44" t="str">
        <f>VLOOKUP(G7910,[1]硬件清单!$F:$F,1,0)</f>
        <v>210235A2TNH22B0CG04K</v>
      </c>
      <c r="K7910" s="66"/>
      <c r="L7910" s="44"/>
      <c r="M7910" s="75" t="s">
        <v>24206</v>
      </c>
    </row>
    <row r="7911" ht="30" customHeight="1" spans="1:13">
      <c r="A7911" s="41">
        <f>IF(C7911="","",SUBTOTAL(103,$C$2:C7911))</f>
        <v>7902</v>
      </c>
      <c r="B7911" s="67"/>
      <c r="C7911" s="58" t="s">
        <v>20331</v>
      </c>
      <c r="D7911" s="63" t="s">
        <v>20</v>
      </c>
      <c r="E7911" s="63" t="s">
        <v>20</v>
      </c>
      <c r="F7911" s="74" t="s">
        <v>24167</v>
      </c>
      <c r="G7911" s="75" t="s">
        <v>24207</v>
      </c>
      <c r="H7911" s="75" t="s">
        <v>24208</v>
      </c>
      <c r="I7911" s="76">
        <v>9</v>
      </c>
      <c r="J7911" s="44" t="str">
        <f>VLOOKUP(G7911,[1]硬件清单!$F:$F,1,0)</f>
        <v>210235A2TNH22B0CG04B</v>
      </c>
      <c r="K7911" s="66"/>
      <c r="L7911" s="44"/>
      <c r="M7911" s="75" t="s">
        <v>24209</v>
      </c>
    </row>
    <row r="7912" ht="30" customHeight="1" spans="1:13">
      <c r="A7912" s="41">
        <f>IF(C7912="","",SUBTOTAL(103,$C$2:C7912))</f>
        <v>7903</v>
      </c>
      <c r="B7912" s="67"/>
      <c r="C7912" s="58" t="s">
        <v>20331</v>
      </c>
      <c r="D7912" s="63" t="s">
        <v>20</v>
      </c>
      <c r="E7912" s="63" t="s">
        <v>20</v>
      </c>
      <c r="F7912" s="74" t="s">
        <v>24167</v>
      </c>
      <c r="G7912" s="75" t="s">
        <v>24210</v>
      </c>
      <c r="H7912" s="75" t="s">
        <v>24211</v>
      </c>
      <c r="I7912" s="76">
        <v>9</v>
      </c>
      <c r="J7912" s="44" t="str">
        <f>VLOOKUP(G7912,[1]硬件清单!$F:$F,1,0)</f>
        <v>210235A2TNH22B0CG02F</v>
      </c>
      <c r="K7912" s="66"/>
      <c r="L7912" s="44"/>
      <c r="M7912" s="75" t="s">
        <v>24212</v>
      </c>
    </row>
    <row r="7913" ht="30" customHeight="1" spans="1:13">
      <c r="A7913" s="41">
        <f>IF(C7913="","",SUBTOTAL(103,$C$2:C7913))</f>
        <v>7904</v>
      </c>
      <c r="B7913" s="67"/>
      <c r="C7913" s="58" t="s">
        <v>20331</v>
      </c>
      <c r="D7913" s="63" t="s">
        <v>20</v>
      </c>
      <c r="E7913" s="63" t="s">
        <v>20</v>
      </c>
      <c r="F7913" s="74" t="s">
        <v>24167</v>
      </c>
      <c r="G7913" s="75" t="s">
        <v>24213</v>
      </c>
      <c r="H7913" s="75" t="s">
        <v>24214</v>
      </c>
      <c r="I7913" s="76">
        <v>9</v>
      </c>
      <c r="J7913" s="44" t="str">
        <f>VLOOKUP(G7913,[1]硬件清单!$F:$F,1,0)</f>
        <v>210235A2TNH22B0CG00J</v>
      </c>
      <c r="K7913" s="66"/>
      <c r="L7913" s="44"/>
      <c r="M7913" s="75" t="s">
        <v>24215</v>
      </c>
    </row>
    <row r="7914" ht="30" customHeight="1" spans="1:13">
      <c r="A7914" s="41">
        <f>IF(C7914="","",SUBTOTAL(103,$C$2:C7914))</f>
        <v>7905</v>
      </c>
      <c r="B7914" s="67"/>
      <c r="C7914" s="58" t="s">
        <v>20331</v>
      </c>
      <c r="D7914" s="63" t="s">
        <v>20</v>
      </c>
      <c r="E7914" s="63" t="s">
        <v>20</v>
      </c>
      <c r="F7914" s="74" t="s">
        <v>24167</v>
      </c>
      <c r="G7914" s="75" t="s">
        <v>24216</v>
      </c>
      <c r="H7914" s="75" t="s">
        <v>24217</v>
      </c>
      <c r="I7914" s="76">
        <v>9</v>
      </c>
      <c r="J7914" s="44" t="str">
        <f>VLOOKUP(G7914,[1]硬件清单!$F:$F,1,0)</f>
        <v>210235A2TNH22B0CG046</v>
      </c>
      <c r="K7914" s="66"/>
      <c r="L7914" s="44"/>
      <c r="M7914" s="75" t="s">
        <v>24218</v>
      </c>
    </row>
    <row r="7915" ht="30" customHeight="1" spans="1:13">
      <c r="A7915" s="41">
        <f>IF(C7915="","",SUBTOTAL(103,$C$2:C7915))</f>
        <v>7906</v>
      </c>
      <c r="B7915" s="67"/>
      <c r="C7915" s="58" t="s">
        <v>20331</v>
      </c>
      <c r="D7915" s="63" t="s">
        <v>20</v>
      </c>
      <c r="E7915" s="63" t="s">
        <v>20</v>
      </c>
      <c r="F7915" s="74" t="s">
        <v>24167</v>
      </c>
      <c r="G7915" s="75" t="s">
        <v>24219</v>
      </c>
      <c r="H7915" s="75" t="s">
        <v>24220</v>
      </c>
      <c r="I7915" s="76">
        <v>9</v>
      </c>
      <c r="J7915" s="44" t="str">
        <f>VLOOKUP(G7915,[1]硬件清单!$F:$F,1,0)</f>
        <v>210235A2TNH22B0C000X</v>
      </c>
      <c r="K7915" s="66"/>
      <c r="L7915" s="44"/>
      <c r="M7915" s="75" t="s">
        <v>24221</v>
      </c>
    </row>
    <row r="7916" ht="30" customHeight="1" spans="1:13">
      <c r="A7916" s="41">
        <f>IF(C7916="","",SUBTOTAL(103,$C$2:C7916))</f>
        <v>7907</v>
      </c>
      <c r="B7916" s="67"/>
      <c r="C7916" s="58" t="s">
        <v>20331</v>
      </c>
      <c r="D7916" s="63" t="s">
        <v>20</v>
      </c>
      <c r="E7916" s="63" t="s">
        <v>20</v>
      </c>
      <c r="F7916" s="74" t="s">
        <v>24167</v>
      </c>
      <c r="G7916" s="75" t="s">
        <v>24222</v>
      </c>
      <c r="H7916" s="75" t="s">
        <v>24223</v>
      </c>
      <c r="I7916" s="76">
        <v>9</v>
      </c>
      <c r="J7916" s="44" t="str">
        <f>VLOOKUP(G7916,[1]硬件清单!$F:$F,1,0)</f>
        <v>210235A2TNH22B0CG01Y</v>
      </c>
      <c r="K7916" s="66"/>
      <c r="L7916" s="44"/>
      <c r="M7916" s="75" t="s">
        <v>24224</v>
      </c>
    </row>
    <row r="7917" ht="30" customHeight="1" spans="1:13">
      <c r="A7917" s="41">
        <f>IF(C7917="","",SUBTOTAL(103,$C$2:C7917))</f>
        <v>7908</v>
      </c>
      <c r="B7917" s="67"/>
      <c r="C7917" s="58" t="s">
        <v>20331</v>
      </c>
      <c r="D7917" s="63" t="s">
        <v>20</v>
      </c>
      <c r="E7917" s="63" t="s">
        <v>20</v>
      </c>
      <c r="F7917" s="74" t="s">
        <v>24167</v>
      </c>
      <c r="G7917" s="75" t="s">
        <v>24225</v>
      </c>
      <c r="H7917" s="75" t="s">
        <v>24226</v>
      </c>
      <c r="I7917" s="76">
        <v>9</v>
      </c>
      <c r="J7917" s="44" t="str">
        <f>VLOOKUP(G7917,[1]硬件清单!$F:$F,1,0)</f>
        <v>210235A2TNH22B0CG04V</v>
      </c>
      <c r="K7917" s="66"/>
      <c r="L7917" s="44"/>
      <c r="M7917" s="75" t="s">
        <v>24227</v>
      </c>
    </row>
    <row r="7918" ht="30" customHeight="1" spans="1:13">
      <c r="A7918" s="41">
        <f>IF(C7918="","",SUBTOTAL(103,$C$2:C7918))</f>
        <v>7909</v>
      </c>
      <c r="B7918" s="67"/>
      <c r="C7918" s="58" t="s">
        <v>20331</v>
      </c>
      <c r="D7918" s="63" t="s">
        <v>20</v>
      </c>
      <c r="E7918" s="63" t="s">
        <v>20</v>
      </c>
      <c r="F7918" s="74" t="s">
        <v>24167</v>
      </c>
      <c r="G7918" s="75" t="s">
        <v>24228</v>
      </c>
      <c r="H7918" s="75" t="s">
        <v>24229</v>
      </c>
      <c r="I7918" s="76">
        <v>9</v>
      </c>
      <c r="J7918" s="44" t="str">
        <f>VLOOKUP(G7918,[1]硬件清单!$F:$F,1,0)</f>
        <v>210235A2TNH22B0C002K</v>
      </c>
      <c r="K7918" s="66"/>
      <c r="L7918" s="44"/>
      <c r="M7918" s="75" t="s">
        <v>24230</v>
      </c>
    </row>
    <row r="7919" ht="30" customHeight="1" spans="1:13">
      <c r="A7919" s="41">
        <f>IF(C7919="","",SUBTOTAL(103,$C$2:C7919))</f>
        <v>7910</v>
      </c>
      <c r="B7919" s="67"/>
      <c r="C7919" s="58" t="s">
        <v>20331</v>
      </c>
      <c r="D7919" s="63" t="s">
        <v>20</v>
      </c>
      <c r="E7919" s="63" t="s">
        <v>20</v>
      </c>
      <c r="F7919" s="74" t="s">
        <v>24167</v>
      </c>
      <c r="G7919" s="75" t="s">
        <v>24231</v>
      </c>
      <c r="H7919" s="75" t="s">
        <v>24232</v>
      </c>
      <c r="I7919" s="76">
        <v>9</v>
      </c>
      <c r="J7919" s="44" t="str">
        <f>VLOOKUP(G7919,[1]硬件清单!$F:$F,1,0)</f>
        <v>210235A2TNH22B0CG02M</v>
      </c>
      <c r="K7919" s="66"/>
      <c r="L7919" s="44"/>
      <c r="M7919" s="75" t="s">
        <v>24233</v>
      </c>
    </row>
    <row r="7920" ht="30" customHeight="1" spans="1:13">
      <c r="A7920" s="41">
        <f>IF(C7920="","",SUBTOTAL(103,$C$2:C7920))</f>
        <v>7911</v>
      </c>
      <c r="B7920" s="67"/>
      <c r="C7920" s="58" t="s">
        <v>20331</v>
      </c>
      <c r="D7920" s="63" t="s">
        <v>20</v>
      </c>
      <c r="E7920" s="63" t="s">
        <v>20</v>
      </c>
      <c r="F7920" s="74" t="s">
        <v>24167</v>
      </c>
      <c r="G7920" s="75" t="s">
        <v>24234</v>
      </c>
      <c r="H7920" s="75" t="s">
        <v>24235</v>
      </c>
      <c r="I7920" s="76">
        <v>9</v>
      </c>
      <c r="J7920" s="44" t="str">
        <f>VLOOKUP(G7920,[1]硬件清单!$F:$F,1,0)</f>
        <v>210235A2TNH22B0CG04H</v>
      </c>
      <c r="K7920" s="66"/>
      <c r="L7920" s="44"/>
      <c r="M7920" s="75" t="s">
        <v>24236</v>
      </c>
    </row>
    <row r="7921" ht="30" customHeight="1" spans="1:13">
      <c r="A7921" s="41">
        <f>IF(C7921="","",SUBTOTAL(103,$C$2:C7921))</f>
        <v>7912</v>
      </c>
      <c r="B7921" s="67"/>
      <c r="C7921" s="58" t="s">
        <v>20331</v>
      </c>
      <c r="D7921" s="63" t="s">
        <v>20</v>
      </c>
      <c r="E7921" s="63" t="s">
        <v>20</v>
      </c>
      <c r="F7921" s="74" t="s">
        <v>24167</v>
      </c>
      <c r="G7921" s="75" t="s">
        <v>24237</v>
      </c>
      <c r="H7921" s="75" t="s">
        <v>24238</v>
      </c>
      <c r="I7921" s="76">
        <v>9</v>
      </c>
      <c r="J7921" s="44" t="str">
        <f>VLOOKUP(G7921,[1]硬件清单!$F:$F,1,0)</f>
        <v>210235A2TNH22B0C001Z</v>
      </c>
      <c r="K7921" s="66"/>
      <c r="L7921" s="44"/>
      <c r="M7921" s="75" t="s">
        <v>24239</v>
      </c>
    </row>
    <row r="7922" ht="30" customHeight="1" spans="1:13">
      <c r="A7922" s="41">
        <f>IF(C7922="","",SUBTOTAL(103,$C$2:C7922))</f>
        <v>7913</v>
      </c>
      <c r="B7922" s="67"/>
      <c r="C7922" s="58" t="s">
        <v>20331</v>
      </c>
      <c r="D7922" s="63" t="s">
        <v>20</v>
      </c>
      <c r="E7922" s="63" t="s">
        <v>20</v>
      </c>
      <c r="F7922" s="74" t="s">
        <v>24167</v>
      </c>
      <c r="G7922" s="75" t="s">
        <v>24240</v>
      </c>
      <c r="H7922" s="75" t="s">
        <v>24241</v>
      </c>
      <c r="I7922" s="76">
        <v>9</v>
      </c>
      <c r="J7922" s="44" t="str">
        <f>VLOOKUP(G7922,[1]硬件清单!$F:$F,1,0)</f>
        <v>210235A2TNH22B0CG04L</v>
      </c>
      <c r="K7922" s="66"/>
      <c r="L7922" s="44"/>
      <c r="M7922" s="75" t="s">
        <v>24242</v>
      </c>
    </row>
    <row r="7923" ht="30" customHeight="1" spans="1:13">
      <c r="A7923" s="41">
        <f>IF(C7923="","",SUBTOTAL(103,$C$2:C7923))</f>
        <v>7914</v>
      </c>
      <c r="B7923" s="67"/>
      <c r="C7923" s="58" t="s">
        <v>20331</v>
      </c>
      <c r="D7923" s="63" t="s">
        <v>20</v>
      </c>
      <c r="E7923" s="63" t="s">
        <v>20</v>
      </c>
      <c r="F7923" s="74" t="s">
        <v>24167</v>
      </c>
      <c r="G7923" s="75" t="s">
        <v>24243</v>
      </c>
      <c r="H7923" s="75" t="s">
        <v>24244</v>
      </c>
      <c r="I7923" s="76">
        <v>9</v>
      </c>
      <c r="J7923" s="44" t="str">
        <f>VLOOKUP(G7923,[1]硬件清单!$F:$F,1,0)</f>
        <v>210235A2TNH22B0CG04N</v>
      </c>
      <c r="K7923" s="66"/>
      <c r="L7923" s="44"/>
      <c r="M7923" s="75" t="s">
        <v>24245</v>
      </c>
    </row>
    <row r="7924" ht="30" customHeight="1" spans="1:13">
      <c r="A7924" s="41">
        <f>IF(C7924="","",SUBTOTAL(103,$C$2:C7924))</f>
        <v>7915</v>
      </c>
      <c r="B7924" s="67"/>
      <c r="C7924" s="58" t="s">
        <v>20331</v>
      </c>
      <c r="D7924" s="63" t="s">
        <v>20</v>
      </c>
      <c r="E7924" s="63" t="s">
        <v>20</v>
      </c>
      <c r="F7924" s="74" t="s">
        <v>24167</v>
      </c>
      <c r="G7924" s="75" t="s">
        <v>24246</v>
      </c>
      <c r="H7924" s="75" t="s">
        <v>24247</v>
      </c>
      <c r="I7924" s="76">
        <v>9</v>
      </c>
      <c r="J7924" s="44" t="str">
        <f>VLOOKUP(G7924,[1]硬件清单!$F:$F,1,0)</f>
        <v>210235A2TNH22B0CG02C</v>
      </c>
      <c r="K7924" s="66"/>
      <c r="L7924" s="44"/>
      <c r="M7924" s="75" t="s">
        <v>24248</v>
      </c>
    </row>
    <row r="7925" ht="30" customHeight="1" spans="1:13">
      <c r="A7925" s="41">
        <f>IF(C7925="","",SUBTOTAL(103,$C$2:C7925))</f>
        <v>7916</v>
      </c>
      <c r="B7925" s="67"/>
      <c r="C7925" s="58" t="s">
        <v>20331</v>
      </c>
      <c r="D7925" s="63" t="s">
        <v>20</v>
      </c>
      <c r="E7925" s="63" t="s">
        <v>20</v>
      </c>
      <c r="F7925" s="74" t="s">
        <v>24167</v>
      </c>
      <c r="G7925" s="75" t="s">
        <v>24249</v>
      </c>
      <c r="H7925" s="75" t="s">
        <v>24250</v>
      </c>
      <c r="I7925" s="76">
        <v>9</v>
      </c>
      <c r="J7925" s="44" t="str">
        <f>VLOOKUP(G7925,[1]硬件清单!$F:$F,1,0)</f>
        <v>210235A2TNH22B0CG01S</v>
      </c>
      <c r="K7925" s="66"/>
      <c r="L7925" s="44"/>
      <c r="M7925" s="75" t="s">
        <v>24251</v>
      </c>
    </row>
    <row r="7926" ht="30" customHeight="1" spans="1:13">
      <c r="A7926" s="41">
        <f>IF(C7926="","",SUBTOTAL(103,$C$2:C7926))</f>
        <v>7917</v>
      </c>
      <c r="B7926" s="67"/>
      <c r="C7926" s="58" t="s">
        <v>20331</v>
      </c>
      <c r="D7926" s="63" t="s">
        <v>20</v>
      </c>
      <c r="E7926" s="63" t="s">
        <v>20</v>
      </c>
      <c r="F7926" s="74" t="s">
        <v>24167</v>
      </c>
      <c r="G7926" s="75" t="s">
        <v>24252</v>
      </c>
      <c r="H7926" s="75" t="s">
        <v>24253</v>
      </c>
      <c r="I7926" s="76">
        <v>9</v>
      </c>
      <c r="J7926" s="44" t="str">
        <f>VLOOKUP(G7926,[1]硬件清单!$F:$F,1,0)</f>
        <v>210235A2TNH22B0C001J</v>
      </c>
      <c r="K7926" s="66"/>
      <c r="L7926" s="44"/>
      <c r="M7926" s="75" t="s">
        <v>24254</v>
      </c>
    </row>
    <row r="7927" ht="30" customHeight="1" spans="1:13">
      <c r="A7927" s="41">
        <f>IF(C7927="","",SUBTOTAL(103,$C$2:C7927))</f>
        <v>7918</v>
      </c>
      <c r="B7927" s="67"/>
      <c r="C7927" s="58" t="s">
        <v>20331</v>
      </c>
      <c r="D7927" s="63" t="s">
        <v>20</v>
      </c>
      <c r="E7927" s="63" t="s">
        <v>20</v>
      </c>
      <c r="F7927" s="74" t="s">
        <v>24167</v>
      </c>
      <c r="G7927" s="75" t="s">
        <v>24255</v>
      </c>
      <c r="H7927" s="75" t="s">
        <v>24256</v>
      </c>
      <c r="I7927" s="76">
        <v>9</v>
      </c>
      <c r="J7927" s="44" t="str">
        <f>VLOOKUP(G7927,[1]硬件清单!$F:$F,1,0)</f>
        <v>210235A2TNH22B0CG063</v>
      </c>
      <c r="K7927" s="66"/>
      <c r="L7927" s="44"/>
      <c r="M7927" s="75" t="s">
        <v>24257</v>
      </c>
    </row>
    <row r="7928" ht="30" customHeight="1" spans="1:13">
      <c r="A7928" s="41">
        <f>IF(C7928="","",SUBTOTAL(103,$C$2:C7928))</f>
        <v>7919</v>
      </c>
      <c r="B7928" s="67"/>
      <c r="C7928" s="58" t="s">
        <v>20331</v>
      </c>
      <c r="D7928" s="63" t="s">
        <v>20</v>
      </c>
      <c r="E7928" s="63" t="s">
        <v>20</v>
      </c>
      <c r="F7928" s="74" t="s">
        <v>24167</v>
      </c>
      <c r="G7928" s="75" t="s">
        <v>24258</v>
      </c>
      <c r="H7928" s="75" t="s">
        <v>24259</v>
      </c>
      <c r="I7928" s="76">
        <v>9</v>
      </c>
      <c r="J7928" s="44" t="str">
        <f>VLOOKUP(G7928,[1]硬件清单!$F:$F,1,0)</f>
        <v>210235A2TNH22B0CG03R</v>
      </c>
      <c r="K7928" s="66"/>
      <c r="L7928" s="44"/>
      <c r="M7928" s="75" t="s">
        <v>24260</v>
      </c>
    </row>
    <row r="7929" ht="30" customHeight="1" spans="1:13">
      <c r="A7929" s="41">
        <f>IF(C7929="","",SUBTOTAL(103,$C$2:C7929))</f>
        <v>7920</v>
      </c>
      <c r="B7929" s="67"/>
      <c r="C7929" s="58" t="s">
        <v>20331</v>
      </c>
      <c r="D7929" s="63" t="s">
        <v>20</v>
      </c>
      <c r="E7929" s="63" t="s">
        <v>20</v>
      </c>
      <c r="F7929" s="74" t="s">
        <v>24167</v>
      </c>
      <c r="G7929" s="75" t="s">
        <v>24261</v>
      </c>
      <c r="H7929" s="75" t="s">
        <v>24262</v>
      </c>
      <c r="I7929" s="76">
        <v>9</v>
      </c>
      <c r="J7929" s="44" t="str">
        <f>VLOOKUP(G7929,[1]硬件清单!$F:$F,1,0)</f>
        <v>210235A2TNH22B0CG04F</v>
      </c>
      <c r="K7929" s="66"/>
      <c r="L7929" s="44"/>
      <c r="M7929" s="75" t="s">
        <v>24263</v>
      </c>
    </row>
    <row r="7930" ht="30" customHeight="1" spans="1:13">
      <c r="A7930" s="41">
        <f>IF(C7930="","",SUBTOTAL(103,$C$2:C7930))</f>
        <v>7921</v>
      </c>
      <c r="B7930" s="67"/>
      <c r="C7930" s="58" t="s">
        <v>20331</v>
      </c>
      <c r="D7930" s="63" t="s">
        <v>20</v>
      </c>
      <c r="E7930" s="63" t="s">
        <v>20</v>
      </c>
      <c r="F7930" s="74" t="s">
        <v>24167</v>
      </c>
      <c r="G7930" s="75" t="s">
        <v>24264</v>
      </c>
      <c r="H7930" s="75" t="s">
        <v>24265</v>
      </c>
      <c r="I7930" s="76">
        <v>9</v>
      </c>
      <c r="J7930" s="44" t="str">
        <f>VLOOKUP(G7930,[1]硬件清单!$F:$F,1,0)</f>
        <v>210235A2TNH22B0C001S</v>
      </c>
      <c r="K7930" s="66"/>
      <c r="L7930" s="44"/>
      <c r="M7930" s="75" t="s">
        <v>24266</v>
      </c>
    </row>
    <row r="7931" ht="30" customHeight="1" spans="1:13">
      <c r="A7931" s="41">
        <f>IF(C7931="","",SUBTOTAL(103,$C$2:C7931))</f>
        <v>7922</v>
      </c>
      <c r="B7931" s="67"/>
      <c r="C7931" s="58" t="s">
        <v>20331</v>
      </c>
      <c r="D7931" s="63" t="s">
        <v>20</v>
      </c>
      <c r="E7931" s="63" t="s">
        <v>20</v>
      </c>
      <c r="F7931" s="74" t="s">
        <v>24167</v>
      </c>
      <c r="G7931" s="75" t="s">
        <v>24267</v>
      </c>
      <c r="H7931" s="75" t="s">
        <v>24268</v>
      </c>
      <c r="I7931" s="76">
        <v>9</v>
      </c>
      <c r="J7931" s="44" t="str">
        <f>VLOOKUP(G7931,[1]硬件清单!$F:$F,1,0)</f>
        <v>210235A2TNH22B0CG00M</v>
      </c>
      <c r="K7931" s="66"/>
      <c r="L7931" s="44"/>
      <c r="M7931" s="75" t="s">
        <v>24269</v>
      </c>
    </row>
    <row r="7932" ht="30" customHeight="1" spans="1:13">
      <c r="A7932" s="41">
        <f>IF(C7932="","",SUBTOTAL(103,$C$2:C7932))</f>
        <v>7923</v>
      </c>
      <c r="B7932" s="67"/>
      <c r="C7932" s="58" t="s">
        <v>20331</v>
      </c>
      <c r="D7932" s="63" t="s">
        <v>20</v>
      </c>
      <c r="E7932" s="63" t="s">
        <v>20</v>
      </c>
      <c r="F7932" s="74" t="s">
        <v>24167</v>
      </c>
      <c r="G7932" s="75" t="s">
        <v>24270</v>
      </c>
      <c r="H7932" s="75" t="s">
        <v>24271</v>
      </c>
      <c r="I7932" s="76">
        <v>9</v>
      </c>
      <c r="J7932" s="44" t="str">
        <f>VLOOKUP(G7932,[1]硬件清单!$F:$F,1,0)</f>
        <v>210235A2TNH22B0CG007</v>
      </c>
      <c r="K7932" s="66"/>
      <c r="L7932" s="44" t="s">
        <v>17</v>
      </c>
      <c r="M7932" s="75" t="s">
        <v>24272</v>
      </c>
    </row>
    <row r="7933" ht="30" customHeight="1" spans="1:13">
      <c r="A7933" s="41">
        <f>IF(C7933="","",SUBTOTAL(103,$C$2:C7933))</f>
        <v>7924</v>
      </c>
      <c r="B7933" s="67"/>
      <c r="C7933" s="58" t="s">
        <v>20331</v>
      </c>
      <c r="D7933" s="63" t="s">
        <v>20</v>
      </c>
      <c r="E7933" s="63" t="s">
        <v>20</v>
      </c>
      <c r="F7933" s="74" t="s">
        <v>24167</v>
      </c>
      <c r="G7933" s="75" t="s">
        <v>24273</v>
      </c>
      <c r="H7933" s="75" t="s">
        <v>24274</v>
      </c>
      <c r="I7933" s="76">
        <v>9</v>
      </c>
      <c r="J7933" s="44" t="str">
        <f>VLOOKUP(G7933,[1]硬件清单!$F:$F,1,0)</f>
        <v>210235A2TNH22B0C000J</v>
      </c>
      <c r="K7933" s="66"/>
      <c r="L7933" s="44" t="s">
        <v>17</v>
      </c>
      <c r="M7933" s="75" t="s">
        <v>24275</v>
      </c>
    </row>
    <row r="7934" ht="30" customHeight="1" spans="1:13">
      <c r="A7934" s="41">
        <f>IF(C7934="","",SUBTOTAL(103,$C$2:C7934))</f>
        <v>7925</v>
      </c>
      <c r="B7934" s="67"/>
      <c r="C7934" s="58" t="s">
        <v>20331</v>
      </c>
      <c r="D7934" s="63" t="s">
        <v>20</v>
      </c>
      <c r="E7934" s="63" t="s">
        <v>20</v>
      </c>
      <c r="F7934" s="74" t="s">
        <v>24276</v>
      </c>
      <c r="G7934" s="75" t="s">
        <v>24277</v>
      </c>
      <c r="H7934" s="75" t="s">
        <v>24278</v>
      </c>
      <c r="I7934" s="76">
        <v>9</v>
      </c>
      <c r="J7934" s="44" t="str">
        <f>VLOOKUP(G7934,[1]硬件清单!$F:$F,1,0)</f>
        <v>210235A2F0522AN0006X</v>
      </c>
      <c r="K7934" s="66"/>
      <c r="L7934" s="44"/>
      <c r="M7934" s="75" t="s">
        <v>24279</v>
      </c>
    </row>
    <row r="7935" ht="30" customHeight="1" spans="1:13">
      <c r="A7935" s="41">
        <f>IF(C7935="","",SUBTOTAL(103,$C$2:C7935))</f>
        <v>7926</v>
      </c>
      <c r="B7935" s="67"/>
      <c r="C7935" s="58" t="s">
        <v>20331</v>
      </c>
      <c r="D7935" s="63" t="s">
        <v>20</v>
      </c>
      <c r="E7935" s="63" t="s">
        <v>20</v>
      </c>
      <c r="F7935" s="74" t="s">
        <v>24276</v>
      </c>
      <c r="G7935" s="75" t="s">
        <v>24280</v>
      </c>
      <c r="H7935" s="75" t="s">
        <v>24281</v>
      </c>
      <c r="I7935" s="76">
        <v>9</v>
      </c>
      <c r="J7935" s="44" t="str">
        <f>VLOOKUP(G7935,[1]硬件清单!$F:$F,1,0)</f>
        <v>210235A2F0522AN0007P</v>
      </c>
      <c r="K7935" s="66"/>
      <c r="L7935" s="44"/>
      <c r="M7935" s="75" t="s">
        <v>24282</v>
      </c>
    </row>
    <row r="7936" ht="30" customHeight="1" spans="1:13">
      <c r="A7936" s="41">
        <f>IF(C7936="","",SUBTOTAL(103,$C$2:C7936))</f>
        <v>7927</v>
      </c>
      <c r="B7936" s="67"/>
      <c r="C7936" s="58" t="s">
        <v>20331</v>
      </c>
      <c r="D7936" s="63" t="s">
        <v>20</v>
      </c>
      <c r="E7936" s="63" t="s">
        <v>20</v>
      </c>
      <c r="F7936" s="74" t="s">
        <v>24276</v>
      </c>
      <c r="G7936" s="75" t="s">
        <v>24283</v>
      </c>
      <c r="H7936" s="75" t="s">
        <v>24284</v>
      </c>
      <c r="I7936" s="76">
        <v>9</v>
      </c>
      <c r="J7936" s="44" t="str">
        <f>VLOOKUP(G7936,[1]硬件清单!$F:$F,1,0)</f>
        <v>210235A2F0522AN0007C</v>
      </c>
      <c r="K7936" s="66"/>
      <c r="L7936" s="44"/>
      <c r="M7936" s="75" t="s">
        <v>24285</v>
      </c>
    </row>
    <row r="7937" ht="30" customHeight="1" spans="1:13">
      <c r="A7937" s="41">
        <f>IF(C7937="","",SUBTOTAL(103,$C$2:C7937))</f>
        <v>7928</v>
      </c>
      <c r="B7937" s="67"/>
      <c r="C7937" s="58" t="s">
        <v>20331</v>
      </c>
      <c r="D7937" s="63" t="s">
        <v>20</v>
      </c>
      <c r="E7937" s="63" t="s">
        <v>20</v>
      </c>
      <c r="F7937" s="74" t="s">
        <v>24276</v>
      </c>
      <c r="G7937" s="75" t="s">
        <v>24286</v>
      </c>
      <c r="H7937" s="75" t="s">
        <v>24287</v>
      </c>
      <c r="I7937" s="76">
        <v>9</v>
      </c>
      <c r="J7937" s="44" t="str">
        <f>VLOOKUP(G7937,[1]硬件清单!$F:$F,1,0)</f>
        <v>210235A2F0522AN00071</v>
      </c>
      <c r="K7937" s="66"/>
      <c r="L7937" s="44"/>
      <c r="M7937" s="75" t="s">
        <v>24288</v>
      </c>
    </row>
    <row r="7938" ht="30" customHeight="1" spans="1:13">
      <c r="A7938" s="41">
        <f>IF(C7938="","",SUBTOTAL(103,$C$2:C7938))</f>
        <v>7929</v>
      </c>
      <c r="B7938" s="67"/>
      <c r="C7938" s="58" t="s">
        <v>20331</v>
      </c>
      <c r="D7938" s="63" t="s">
        <v>20</v>
      </c>
      <c r="E7938" s="63" t="s">
        <v>20</v>
      </c>
      <c r="F7938" s="74" t="s">
        <v>24276</v>
      </c>
      <c r="G7938" s="75" t="s">
        <v>24289</v>
      </c>
      <c r="H7938" s="75" t="s">
        <v>24290</v>
      </c>
      <c r="I7938" s="76">
        <v>9</v>
      </c>
      <c r="J7938" s="44" t="str">
        <f>VLOOKUP(G7938,[1]硬件清单!$F:$F,1,0)</f>
        <v>210235A2F0522AN0006W</v>
      </c>
      <c r="K7938" s="66"/>
      <c r="L7938" s="44"/>
      <c r="M7938" s="75" t="s">
        <v>24291</v>
      </c>
    </row>
    <row r="7939" ht="30" customHeight="1" spans="1:13">
      <c r="A7939" s="41">
        <f>IF(C7939="","",SUBTOTAL(103,$C$2:C7939))</f>
        <v>7930</v>
      </c>
      <c r="B7939" s="67"/>
      <c r="C7939" s="58" t="s">
        <v>20331</v>
      </c>
      <c r="D7939" s="63" t="s">
        <v>20</v>
      </c>
      <c r="E7939" s="63" t="s">
        <v>20</v>
      </c>
      <c r="F7939" s="74" t="s">
        <v>24276</v>
      </c>
      <c r="G7939" s="75" t="s">
        <v>24292</v>
      </c>
      <c r="H7939" s="75" t="s">
        <v>24293</v>
      </c>
      <c r="I7939" s="76">
        <v>9</v>
      </c>
      <c r="J7939" s="44" t="str">
        <f>VLOOKUP(G7939,[1]硬件清单!$F:$F,1,0)</f>
        <v>210235A2F0522AN0007K</v>
      </c>
      <c r="K7939" s="66"/>
      <c r="L7939" s="44"/>
      <c r="M7939" s="75" t="s">
        <v>24294</v>
      </c>
    </row>
    <row r="7940" ht="30" customHeight="1" spans="1:13">
      <c r="A7940" s="41">
        <f>IF(C7940="","",SUBTOTAL(103,$C$2:C7940))</f>
        <v>7931</v>
      </c>
      <c r="B7940" s="67"/>
      <c r="C7940" s="58" t="s">
        <v>20331</v>
      </c>
      <c r="D7940" s="63" t="s">
        <v>20</v>
      </c>
      <c r="E7940" s="63" t="s">
        <v>20</v>
      </c>
      <c r="F7940" s="74" t="s">
        <v>24276</v>
      </c>
      <c r="G7940" s="75" t="s">
        <v>24295</v>
      </c>
      <c r="H7940" s="75" t="s">
        <v>24296</v>
      </c>
      <c r="I7940" s="76">
        <v>9</v>
      </c>
      <c r="J7940" s="44" t="str">
        <f>VLOOKUP(G7940,[1]硬件清单!$F:$F,1,0)</f>
        <v>210235A2F0522AN00077</v>
      </c>
      <c r="K7940" s="66"/>
      <c r="L7940" s="44"/>
      <c r="M7940" s="75" t="s">
        <v>24297</v>
      </c>
    </row>
    <row r="7941" ht="30" customHeight="1" spans="1:13">
      <c r="A7941" s="41">
        <f>IF(C7941="","",SUBTOTAL(103,$C$2:C7941))</f>
        <v>7932</v>
      </c>
      <c r="B7941" s="67"/>
      <c r="C7941" s="58" t="s">
        <v>20331</v>
      </c>
      <c r="D7941" s="63" t="s">
        <v>20</v>
      </c>
      <c r="E7941" s="63" t="s">
        <v>20</v>
      </c>
      <c r="F7941" s="74" t="s">
        <v>24276</v>
      </c>
      <c r="G7941" s="75" t="s">
        <v>24298</v>
      </c>
      <c r="H7941" s="75" t="s">
        <v>24299</v>
      </c>
      <c r="I7941" s="76">
        <v>9</v>
      </c>
      <c r="J7941" s="44" t="str">
        <f>VLOOKUP(G7941,[1]硬件清单!$F:$F,1,0)</f>
        <v>210235A2F0522AN0007J</v>
      </c>
      <c r="K7941" s="66"/>
      <c r="L7941" s="44"/>
      <c r="M7941" s="75" t="s">
        <v>24300</v>
      </c>
    </row>
    <row r="7942" ht="30" customHeight="1" spans="1:13">
      <c r="A7942" s="41">
        <f>IF(C7942="","",SUBTOTAL(103,$C$2:C7942))</f>
        <v>7933</v>
      </c>
      <c r="B7942" s="67"/>
      <c r="C7942" s="58" t="s">
        <v>20331</v>
      </c>
      <c r="D7942" s="63" t="s">
        <v>20</v>
      </c>
      <c r="E7942" s="63" t="s">
        <v>20</v>
      </c>
      <c r="F7942" s="74" t="s">
        <v>24276</v>
      </c>
      <c r="G7942" s="75" t="s">
        <v>24301</v>
      </c>
      <c r="H7942" s="75" t="s">
        <v>24302</v>
      </c>
      <c r="I7942" s="76">
        <v>9</v>
      </c>
      <c r="J7942" s="44" t="str">
        <f>VLOOKUP(G7942,[1]硬件清单!$F:$F,1,0)</f>
        <v>210235A2F0522AN0007F</v>
      </c>
      <c r="K7942" s="66"/>
      <c r="L7942" s="44"/>
      <c r="M7942" s="75" t="s">
        <v>24303</v>
      </c>
    </row>
    <row r="7943" ht="30" customHeight="1" spans="1:13">
      <c r="A7943" s="41">
        <f>IF(C7943="","",SUBTOTAL(103,$C$2:C7943))</f>
        <v>7934</v>
      </c>
      <c r="B7943" s="67"/>
      <c r="C7943" s="58" t="s">
        <v>20331</v>
      </c>
      <c r="D7943" s="63" t="s">
        <v>20</v>
      </c>
      <c r="E7943" s="63" t="s">
        <v>20</v>
      </c>
      <c r="F7943" s="74" t="s">
        <v>24276</v>
      </c>
      <c r="G7943" s="75" t="s">
        <v>24304</v>
      </c>
      <c r="H7943" s="75" t="s">
        <v>24305</v>
      </c>
      <c r="I7943" s="76">
        <v>9</v>
      </c>
      <c r="J7943" s="44" t="str">
        <f>VLOOKUP(G7943,[1]硬件清单!$F:$F,1,0)</f>
        <v>210235A2F0522AN0006H</v>
      </c>
      <c r="K7943" s="66"/>
      <c r="L7943" s="44"/>
      <c r="M7943" s="75" t="s">
        <v>24306</v>
      </c>
    </row>
    <row r="7944" ht="30" customHeight="1" spans="1:13">
      <c r="A7944" s="41">
        <f>IF(C7944="","",SUBTOTAL(103,$C$2:C7944))</f>
        <v>7935</v>
      </c>
      <c r="B7944" s="67"/>
      <c r="C7944" s="58" t="s">
        <v>20331</v>
      </c>
      <c r="D7944" s="63" t="s">
        <v>20</v>
      </c>
      <c r="E7944" s="63" t="s">
        <v>20</v>
      </c>
      <c r="F7944" s="74" t="s">
        <v>24276</v>
      </c>
      <c r="G7944" s="75" t="s">
        <v>24307</v>
      </c>
      <c r="H7944" s="75" t="s">
        <v>24308</v>
      </c>
      <c r="I7944" s="76">
        <v>9</v>
      </c>
      <c r="J7944" s="44" t="str">
        <f>VLOOKUP(G7944,[1]硬件清单!$F:$F,1,0)</f>
        <v>210235A2F0522AN0005C</v>
      </c>
      <c r="K7944" s="66"/>
      <c r="L7944" s="44" t="s">
        <v>17</v>
      </c>
      <c r="M7944" s="75" t="s">
        <v>24309</v>
      </c>
    </row>
    <row r="7945" ht="30" customHeight="1" spans="1:13">
      <c r="A7945" s="41">
        <f>IF(C7945="","",SUBTOTAL(103,$C$2:C7945))</f>
        <v>7936</v>
      </c>
      <c r="B7945" s="67"/>
      <c r="C7945" s="58" t="s">
        <v>20331</v>
      </c>
      <c r="D7945" s="63" t="s">
        <v>20</v>
      </c>
      <c r="E7945" s="63" t="s">
        <v>20</v>
      </c>
      <c r="F7945" s="74" t="s">
        <v>24276</v>
      </c>
      <c r="G7945" s="75" t="s">
        <v>24310</v>
      </c>
      <c r="H7945" s="75" t="s">
        <v>24311</v>
      </c>
      <c r="I7945" s="76">
        <v>9</v>
      </c>
      <c r="J7945" s="44" t="str">
        <f>VLOOKUP(G7945,[1]硬件清单!$F:$F,1,0)</f>
        <v>210235A2F0522AN0006V</v>
      </c>
      <c r="K7945" s="66"/>
      <c r="L7945" s="44" t="s">
        <v>17</v>
      </c>
      <c r="M7945" s="75" t="s">
        <v>24312</v>
      </c>
    </row>
    <row r="7946" ht="30" customHeight="1" spans="1:13">
      <c r="A7946" s="41">
        <f>IF(C7946="","",SUBTOTAL(103,$C$2:C7946))</f>
        <v>7937</v>
      </c>
      <c r="B7946" s="67"/>
      <c r="C7946" s="58" t="s">
        <v>20331</v>
      </c>
      <c r="D7946" s="63" t="s">
        <v>113</v>
      </c>
      <c r="E7946" s="63" t="s">
        <v>113</v>
      </c>
      <c r="F7946" s="74" t="s">
        <v>24313</v>
      </c>
      <c r="G7946" s="75" t="s">
        <v>24314</v>
      </c>
      <c r="H7946" s="75" t="s">
        <v>24315</v>
      </c>
      <c r="I7946" s="76">
        <v>9</v>
      </c>
      <c r="J7946" s="44" t="str">
        <f>VLOOKUP(G7946,[1]硬件清单!$F:$F,1,0)</f>
        <v>210235A2YRP22B00000G</v>
      </c>
      <c r="K7946" s="66"/>
      <c r="L7946" s="44" t="s">
        <v>17</v>
      </c>
      <c r="M7946" s="75" t="s">
        <v>24316</v>
      </c>
    </row>
    <row r="7947" ht="30" customHeight="1" spans="1:13">
      <c r="A7947" s="41">
        <f>IF(C7947="","",SUBTOTAL(103,$C$2:C7947))</f>
        <v>7938</v>
      </c>
      <c r="B7947" s="67"/>
      <c r="C7947" s="58" t="s">
        <v>20331</v>
      </c>
      <c r="D7947" s="63" t="s">
        <v>113</v>
      </c>
      <c r="E7947" s="63" t="s">
        <v>113</v>
      </c>
      <c r="F7947" s="74" t="s">
        <v>24313</v>
      </c>
      <c r="G7947" s="75" t="s">
        <v>24317</v>
      </c>
      <c r="H7947" s="75" t="s">
        <v>24318</v>
      </c>
      <c r="I7947" s="76">
        <v>9</v>
      </c>
      <c r="J7947" s="44" t="str">
        <f>VLOOKUP(G7947,[1]硬件清单!$F:$F,1,0)</f>
        <v>210235A2YRP22B00003V</v>
      </c>
      <c r="K7947" s="66"/>
      <c r="L7947" s="44" t="s">
        <v>17</v>
      </c>
      <c r="M7947" s="75" t="s">
        <v>24319</v>
      </c>
    </row>
    <row r="7948" ht="30" customHeight="1" spans="1:13">
      <c r="A7948" s="41">
        <f>IF(C7948="","",SUBTOTAL(103,$C$2:C7948))</f>
        <v>7939</v>
      </c>
      <c r="B7948" s="67"/>
      <c r="C7948" s="58" t="s">
        <v>20331</v>
      </c>
      <c r="D7948" s="63" t="s">
        <v>113</v>
      </c>
      <c r="E7948" s="63" t="s">
        <v>113</v>
      </c>
      <c r="F7948" s="74" t="s">
        <v>24313</v>
      </c>
      <c r="G7948" s="75" t="s">
        <v>24320</v>
      </c>
      <c r="H7948" s="75" t="s">
        <v>24321</v>
      </c>
      <c r="I7948" s="76">
        <v>9</v>
      </c>
      <c r="J7948" s="44" t="str">
        <f>VLOOKUP(G7948,[1]硬件清单!$F:$F,1,0)</f>
        <v>210235A2YRP22B00000J</v>
      </c>
      <c r="K7948" s="66"/>
      <c r="L7948" s="44" t="s">
        <v>17</v>
      </c>
      <c r="M7948" s="75" t="s">
        <v>24322</v>
      </c>
    </row>
    <row r="7949" ht="30" customHeight="1" spans="1:13">
      <c r="A7949" s="41">
        <f>IF(C7949="","",SUBTOTAL(103,$C$2:C7949))</f>
        <v>7940</v>
      </c>
      <c r="B7949" s="67"/>
      <c r="C7949" s="58" t="s">
        <v>20331</v>
      </c>
      <c r="D7949" s="63" t="s">
        <v>113</v>
      </c>
      <c r="E7949" s="63" t="s">
        <v>113</v>
      </c>
      <c r="F7949" s="74" t="s">
        <v>24313</v>
      </c>
      <c r="G7949" s="75" t="s">
        <v>24323</v>
      </c>
      <c r="H7949" s="75" t="s">
        <v>24324</v>
      </c>
      <c r="I7949" s="76">
        <v>9</v>
      </c>
      <c r="J7949" s="44" t="str">
        <f>VLOOKUP(G7949,[1]硬件清单!$F:$F,1,0)</f>
        <v>210235A2YRP22B00000P</v>
      </c>
      <c r="K7949" s="66"/>
      <c r="L7949" s="44" t="s">
        <v>17</v>
      </c>
      <c r="M7949" s="75" t="s">
        <v>24325</v>
      </c>
    </row>
    <row r="7950" ht="30" customHeight="1" spans="1:13">
      <c r="A7950" s="41">
        <f>IF(C7950="","",SUBTOTAL(103,$C$2:C7950))</f>
        <v>7941</v>
      </c>
      <c r="B7950" s="67"/>
      <c r="C7950" s="58" t="s">
        <v>20331</v>
      </c>
      <c r="D7950" s="2" t="s">
        <v>23504</v>
      </c>
      <c r="E7950" s="2" t="s">
        <v>23504</v>
      </c>
      <c r="F7950" s="74" t="s">
        <v>24326</v>
      </c>
      <c r="G7950" s="75" t="s">
        <v>24327</v>
      </c>
      <c r="H7950" s="75" t="s">
        <v>24328</v>
      </c>
      <c r="I7950" s="76">
        <v>9</v>
      </c>
      <c r="J7950" s="44" t="str">
        <f>VLOOKUP(G7950,[1]硬件清单!$F:$F,1,0)</f>
        <v>2106195GYWX3NC000001</v>
      </c>
      <c r="K7950" s="66"/>
      <c r="L7950" s="44"/>
      <c r="M7950" s="75" t="s">
        <v>24329</v>
      </c>
    </row>
    <row r="7951" ht="30" customHeight="1" spans="1:13">
      <c r="A7951" s="41">
        <f>IF(C7951="","",SUBTOTAL(103,$C$2:C7951))</f>
        <v>7942</v>
      </c>
      <c r="B7951" s="67"/>
      <c r="C7951" s="58" t="s">
        <v>20331</v>
      </c>
      <c r="D7951" s="63" t="s">
        <v>20</v>
      </c>
      <c r="E7951" s="63" t="s">
        <v>20</v>
      </c>
      <c r="F7951" s="74" t="s">
        <v>24276</v>
      </c>
      <c r="G7951" s="75" t="s">
        <v>24330</v>
      </c>
      <c r="H7951" s="75" t="s">
        <v>24331</v>
      </c>
      <c r="I7951" s="76">
        <v>9</v>
      </c>
      <c r="J7951" s="44" t="str">
        <f>VLOOKUP(G7951,[1]硬件清单!$F:$F,1,0)</f>
        <v>210235A2F0522AN00076</v>
      </c>
      <c r="K7951" s="66"/>
      <c r="L7951" s="44" t="s">
        <v>17</v>
      </c>
      <c r="M7951" s="75" t="s">
        <v>24332</v>
      </c>
    </row>
    <row r="7952" ht="30" customHeight="1" spans="1:13">
      <c r="A7952" s="41">
        <f>IF(C7952="","",SUBTOTAL(103,$C$2:C7952))</f>
        <v>7943</v>
      </c>
      <c r="B7952" s="67"/>
      <c r="C7952" s="58" t="s">
        <v>20331</v>
      </c>
      <c r="D7952" s="63" t="s">
        <v>20</v>
      </c>
      <c r="E7952" s="63" t="s">
        <v>20</v>
      </c>
      <c r="F7952" s="74" t="s">
        <v>24276</v>
      </c>
      <c r="G7952" s="75" t="s">
        <v>24333</v>
      </c>
      <c r="H7952" s="75" t="s">
        <v>24334</v>
      </c>
      <c r="I7952" s="76">
        <v>9</v>
      </c>
      <c r="J7952" s="44" t="str">
        <f>VLOOKUP(G7952,[1]硬件清单!$F:$F,1,0)</f>
        <v>210235A2F0522AN0006P</v>
      </c>
      <c r="K7952" s="66"/>
      <c r="L7952" s="44"/>
      <c r="M7952" s="75" t="s">
        <v>24335</v>
      </c>
    </row>
    <row r="7953" ht="30" customHeight="1" spans="1:13">
      <c r="A7953" s="41">
        <f>IF(C7953="","",SUBTOTAL(103,$C$2:C7953))</f>
        <v>7944</v>
      </c>
      <c r="B7953" s="67"/>
      <c r="C7953" s="58" t="s">
        <v>20331</v>
      </c>
      <c r="D7953" s="63" t="s">
        <v>20</v>
      </c>
      <c r="E7953" s="63" t="s">
        <v>20</v>
      </c>
      <c r="F7953" s="74" t="s">
        <v>24276</v>
      </c>
      <c r="G7953" s="75" t="s">
        <v>24336</v>
      </c>
      <c r="H7953" s="75" t="s">
        <v>24337</v>
      </c>
      <c r="I7953" s="76">
        <v>9</v>
      </c>
      <c r="J7953" s="44" t="str">
        <f>VLOOKUP(G7953,[1]硬件清单!$F:$F,1,0)</f>
        <v>210235A2F0522AN0006L</v>
      </c>
      <c r="K7953" s="66"/>
      <c r="L7953" s="44"/>
      <c r="M7953" s="75" t="s">
        <v>24338</v>
      </c>
    </row>
    <row r="7954" ht="30" customHeight="1" spans="1:13">
      <c r="A7954" s="41">
        <f>IF(C7954="","",SUBTOTAL(103,$C$2:C7954))</f>
        <v>7945</v>
      </c>
      <c r="B7954" s="67"/>
      <c r="C7954" s="58" t="s">
        <v>20331</v>
      </c>
      <c r="D7954" s="63" t="s">
        <v>20</v>
      </c>
      <c r="E7954" s="63" t="s">
        <v>20</v>
      </c>
      <c r="F7954" s="74" t="s">
        <v>24276</v>
      </c>
      <c r="G7954" s="75" t="s">
        <v>24339</v>
      </c>
      <c r="H7954" s="75" t="s">
        <v>24340</v>
      </c>
      <c r="I7954" s="76">
        <v>9</v>
      </c>
      <c r="J7954" s="44" t="str">
        <f>VLOOKUP(G7954,[1]硬件清单!$F:$F,1,0)</f>
        <v>210235A2F0522AN0007H</v>
      </c>
      <c r="K7954" s="66"/>
      <c r="L7954" s="44"/>
      <c r="M7954" s="75" t="s">
        <v>24341</v>
      </c>
    </row>
    <row r="7955" ht="30" customHeight="1" spans="1:13">
      <c r="A7955" s="41">
        <f>IF(C7955="","",SUBTOTAL(103,$C$2:C7955))</f>
        <v>7946</v>
      </c>
      <c r="B7955" s="67"/>
      <c r="C7955" s="58" t="s">
        <v>20331</v>
      </c>
      <c r="D7955" s="63" t="s">
        <v>23050</v>
      </c>
      <c r="E7955" s="63" t="s">
        <v>23050</v>
      </c>
      <c r="F7955" s="74" t="s">
        <v>24342</v>
      </c>
      <c r="G7955" s="75" t="s">
        <v>24343</v>
      </c>
      <c r="H7955" s="75" t="s">
        <v>24344</v>
      </c>
      <c r="I7955" s="76">
        <v>9</v>
      </c>
      <c r="J7955" s="44" t="str">
        <f>VLOOKUP(G7955,[1]硬件清单!$F:$F,1,0)</f>
        <v>29190254</v>
      </c>
      <c r="K7955" s="66"/>
      <c r="L7955" s="44" t="s">
        <v>17</v>
      </c>
      <c r="M7955" s="75" t="s">
        <v>24345</v>
      </c>
    </row>
    <row r="7956" ht="30" customHeight="1" spans="1:13">
      <c r="A7956" s="41">
        <f>IF(C7956="","",SUBTOTAL(103,$C$2:C7956))</f>
        <v>7947</v>
      </c>
      <c r="B7956" s="67"/>
      <c r="C7956" s="58" t="s">
        <v>20331</v>
      </c>
      <c r="D7956" s="63" t="s">
        <v>66</v>
      </c>
      <c r="E7956" s="63" t="s">
        <v>66</v>
      </c>
      <c r="F7956" s="74" t="s">
        <v>24346</v>
      </c>
      <c r="G7956" s="75" t="s">
        <v>24347</v>
      </c>
      <c r="H7956" s="75" t="s">
        <v>24348</v>
      </c>
      <c r="I7956" s="76">
        <v>9</v>
      </c>
      <c r="J7956" s="44" t="str">
        <f>VLOOKUP(G7956,[1]硬件清单!$F:$F,1,0)</f>
        <v>AFW2000NGWB2F14C83CD3</v>
      </c>
      <c r="K7956" s="66"/>
      <c r="L7956" s="44" t="s">
        <v>17</v>
      </c>
      <c r="M7956" s="75" t="s">
        <v>24349</v>
      </c>
    </row>
    <row r="7957" ht="30" customHeight="1" spans="1:13">
      <c r="A7957" s="41">
        <f>IF(C7957="","",SUBTOTAL(103,$C$2:C7957))</f>
        <v>7948</v>
      </c>
      <c r="B7957" s="67"/>
      <c r="C7957" s="58" t="s">
        <v>20331</v>
      </c>
      <c r="D7957" s="63" t="s">
        <v>66</v>
      </c>
      <c r="E7957" s="63" t="s">
        <v>66</v>
      </c>
      <c r="F7957" s="74" t="s">
        <v>24350</v>
      </c>
      <c r="G7957" s="75" t="s">
        <v>24351</v>
      </c>
      <c r="H7957" s="75" t="s">
        <v>24352</v>
      </c>
      <c r="I7957" s="76">
        <v>9</v>
      </c>
      <c r="J7957" s="44" t="str">
        <f>VLOOKUP(G7957,[1]硬件清单!$F:$F,1,0)</f>
        <v>210235A2H5B22A00G0BV</v>
      </c>
      <c r="K7957" s="66"/>
      <c r="L7957" s="44" t="s">
        <v>17</v>
      </c>
      <c r="M7957" s="75" t="s">
        <v>24322</v>
      </c>
    </row>
    <row r="7958" ht="30" customHeight="1" spans="1:13">
      <c r="A7958" s="41">
        <f>IF(C7958="","",SUBTOTAL(103,$C$2:C7958))</f>
        <v>7949</v>
      </c>
      <c r="B7958" s="67"/>
      <c r="C7958" s="58" t="s">
        <v>20331</v>
      </c>
      <c r="D7958" s="63" t="s">
        <v>66</v>
      </c>
      <c r="E7958" s="63" t="s">
        <v>66</v>
      </c>
      <c r="F7958" s="74" t="s">
        <v>24353</v>
      </c>
      <c r="G7958" s="75" t="s">
        <v>24354</v>
      </c>
      <c r="H7958" s="75" t="s">
        <v>24355</v>
      </c>
      <c r="I7958" s="76">
        <v>9</v>
      </c>
      <c r="J7958" s="44" t="str">
        <f>VLOOKUP(G7958,[1]硬件清单!$F:$F,1,0)</f>
        <v>210235A1XXB228000070</v>
      </c>
      <c r="K7958" s="66"/>
      <c r="L7958" s="44" t="s">
        <v>17</v>
      </c>
      <c r="M7958" s="75" t="s">
        <v>24356</v>
      </c>
    </row>
    <row r="7959" ht="30" customHeight="1" spans="1:13">
      <c r="A7959" s="41">
        <f>IF(C7959="","",SUBTOTAL(103,$C$2:C7959))</f>
        <v>7950</v>
      </c>
      <c r="B7959" s="67"/>
      <c r="C7959" s="58" t="s">
        <v>20331</v>
      </c>
      <c r="D7959" s="63" t="s">
        <v>66</v>
      </c>
      <c r="E7959" s="63" t="s">
        <v>66</v>
      </c>
      <c r="F7959" s="74" t="s">
        <v>24353</v>
      </c>
      <c r="G7959" s="75" t="s">
        <v>24357</v>
      </c>
      <c r="H7959" s="75" t="s">
        <v>24358</v>
      </c>
      <c r="I7959" s="76">
        <v>9</v>
      </c>
      <c r="J7959" s="44" t="str">
        <f>VLOOKUP(G7959,[1]硬件清单!$F:$F,1,0)</f>
        <v>210235A1XXB228000021</v>
      </c>
      <c r="K7959" s="66"/>
      <c r="L7959" s="44"/>
      <c r="M7959" s="75" t="s">
        <v>24359</v>
      </c>
    </row>
    <row r="7960" ht="30" customHeight="1" spans="1:13">
      <c r="A7960" s="41">
        <f>IF(C7960="","",SUBTOTAL(103,$C$2:C7960))</f>
        <v>7951</v>
      </c>
      <c r="B7960" s="67"/>
      <c r="C7960" s="58" t="s">
        <v>20331</v>
      </c>
      <c r="D7960" s="63" t="s">
        <v>23050</v>
      </c>
      <c r="E7960" s="63" t="s">
        <v>23050</v>
      </c>
      <c r="F7960" s="74" t="s">
        <v>24360</v>
      </c>
      <c r="G7960" s="75" t="s">
        <v>24361</v>
      </c>
      <c r="H7960" s="75" t="s">
        <v>24362</v>
      </c>
      <c r="I7960" s="76">
        <v>9</v>
      </c>
      <c r="J7960" s="44" t="str">
        <f>VLOOKUP(G7960,[1]硬件清单!$F:$F,1,0)</f>
        <v>219801A293822BJ0001B</v>
      </c>
      <c r="K7960" s="66"/>
      <c r="L7960" s="44" t="s">
        <v>17</v>
      </c>
      <c r="M7960" s="75" t="s">
        <v>24363</v>
      </c>
    </row>
    <row r="7961" ht="30" customHeight="1" spans="1:13">
      <c r="A7961" s="41">
        <f>IF(C7961="","",SUBTOTAL(103,$C$2:C7961))</f>
        <v>7952</v>
      </c>
      <c r="B7961" s="67"/>
      <c r="C7961" s="58" t="s">
        <v>20331</v>
      </c>
      <c r="D7961" s="63" t="s">
        <v>23050</v>
      </c>
      <c r="E7961" s="63" t="s">
        <v>23050</v>
      </c>
      <c r="F7961" s="74" t="s">
        <v>24360</v>
      </c>
      <c r="G7961" s="75" t="s">
        <v>24364</v>
      </c>
      <c r="H7961" s="75" t="s">
        <v>24365</v>
      </c>
      <c r="I7961" s="76">
        <v>9</v>
      </c>
      <c r="J7961" s="44" t="str">
        <f>VLOOKUP(G7961,[1]硬件清单!$F:$F,1,0)</f>
        <v>219801A293822CJ00002</v>
      </c>
      <c r="K7961" s="66"/>
      <c r="L7961" s="44"/>
      <c r="M7961" s="75" t="s">
        <v>24366</v>
      </c>
    </row>
    <row r="7962" ht="30" customHeight="1" spans="1:13">
      <c r="A7962" s="41">
        <f>IF(C7962="","",SUBTOTAL(103,$C$2:C7962))</f>
        <v>7953</v>
      </c>
      <c r="B7962" s="67"/>
      <c r="C7962" s="58" t="s">
        <v>20331</v>
      </c>
      <c r="D7962" s="63" t="s">
        <v>23050</v>
      </c>
      <c r="E7962" s="63" t="s">
        <v>23050</v>
      </c>
      <c r="F7962" s="74" t="s">
        <v>24367</v>
      </c>
      <c r="G7962" s="75" t="s">
        <v>24368</v>
      </c>
      <c r="H7962" s="75" t="s">
        <v>24369</v>
      </c>
      <c r="I7962" s="76">
        <v>9</v>
      </c>
      <c r="J7962" s="44" t="str">
        <f>VLOOKUP(G7962,[1]硬件清单!$F:$F,1,0)</f>
        <v>DGSCB0600010</v>
      </c>
      <c r="K7962" s="66"/>
      <c r="L7962" s="44" t="s">
        <v>17</v>
      </c>
      <c r="M7962" s="75" t="s">
        <v>24370</v>
      </c>
    </row>
    <row r="7963" ht="30" customHeight="1" spans="1:13">
      <c r="A7963" s="41">
        <f>IF(C7963="","",SUBTOTAL(103,$C$2:C7963))</f>
        <v>7954</v>
      </c>
      <c r="B7963" s="67"/>
      <c r="C7963" s="58" t="s">
        <v>20331</v>
      </c>
      <c r="D7963" s="63" t="s">
        <v>23050</v>
      </c>
      <c r="E7963" s="63" t="s">
        <v>23050</v>
      </c>
      <c r="F7963" s="74" t="s">
        <v>24371</v>
      </c>
      <c r="G7963" s="92" t="s">
        <v>24372</v>
      </c>
      <c r="H7963" s="75" t="s">
        <v>24373</v>
      </c>
      <c r="I7963" s="76">
        <v>9</v>
      </c>
      <c r="J7963" s="91" t="str">
        <f>VLOOKUP(G7963,[1]硬件清单!$F:$F,1,0)</f>
        <v>4739443030303939</v>
      </c>
      <c r="K7963" s="66"/>
      <c r="L7963" s="44" t="s">
        <v>17</v>
      </c>
      <c r="M7963" s="75" t="s">
        <v>24374</v>
      </c>
    </row>
    <row r="7964" ht="30" customHeight="1" spans="1:13">
      <c r="A7964" s="41">
        <f>IF(C7964="","",SUBTOTAL(103,$C$2:C7964))</f>
        <v>7955</v>
      </c>
      <c r="B7964" s="67"/>
      <c r="C7964" s="58" t="s">
        <v>20331</v>
      </c>
      <c r="D7964" s="63" t="s">
        <v>23050</v>
      </c>
      <c r="E7964" s="63" t="s">
        <v>23050</v>
      </c>
      <c r="F7964" s="74" t="s">
        <v>24371</v>
      </c>
      <c r="G7964" s="75" t="s">
        <v>24375</v>
      </c>
      <c r="H7964" s="75" t="s">
        <v>24376</v>
      </c>
      <c r="I7964" s="76">
        <v>9</v>
      </c>
      <c r="J7964" s="44" t="str">
        <f>VLOOKUP(G7964,[1]硬件清单!$F:$F,1,0)</f>
        <v>4739443030303433</v>
      </c>
      <c r="K7964" s="66"/>
      <c r="L7964" s="44" t="s">
        <v>17</v>
      </c>
      <c r="M7964" s="75" t="s">
        <v>24377</v>
      </c>
    </row>
    <row r="7965" ht="30" customHeight="1" spans="1:13">
      <c r="A7965" s="41">
        <f>IF(C7965="","",SUBTOTAL(103,$C$2:C7965))</f>
        <v>7956</v>
      </c>
      <c r="B7965" s="67"/>
      <c r="C7965" s="58" t="s">
        <v>20331</v>
      </c>
      <c r="D7965" s="63" t="s">
        <v>23050</v>
      </c>
      <c r="E7965" s="63" t="s">
        <v>23050</v>
      </c>
      <c r="F7965" s="74" t="s">
        <v>24371</v>
      </c>
      <c r="G7965" s="75" t="s">
        <v>24378</v>
      </c>
      <c r="H7965" s="75" t="s">
        <v>24379</v>
      </c>
      <c r="I7965" s="76">
        <v>9</v>
      </c>
      <c r="J7965" s="44" t="str">
        <f>VLOOKUP(G7965,[1]硬件清单!$F:$F,1,0)</f>
        <v>4739443030303434</v>
      </c>
      <c r="K7965" s="66"/>
      <c r="L7965" s="44" t="s">
        <v>17</v>
      </c>
      <c r="M7965" s="75" t="s">
        <v>24380</v>
      </c>
    </row>
    <row r="7966" ht="30" customHeight="1" spans="1:13">
      <c r="A7966" s="41">
        <f>IF(C7966="","",SUBTOTAL(103,$C$2:C7966))</f>
        <v>7957</v>
      </c>
      <c r="B7966" s="67"/>
      <c r="C7966" s="58" t="s">
        <v>20331</v>
      </c>
      <c r="D7966" s="63" t="s">
        <v>23050</v>
      </c>
      <c r="E7966" s="63" t="s">
        <v>23050</v>
      </c>
      <c r="F7966" s="74" t="s">
        <v>24381</v>
      </c>
      <c r="G7966" s="75" t="s">
        <v>24382</v>
      </c>
      <c r="H7966" s="75" t="s">
        <v>24383</v>
      </c>
      <c r="I7966" s="76">
        <v>9</v>
      </c>
      <c r="J7966" s="44" t="str">
        <f>VLOOKUP(G7966,[1]硬件清单!$F:$F,1,0)</f>
        <v>29190355</v>
      </c>
      <c r="K7966" s="66"/>
      <c r="L7966" s="44" t="s">
        <v>17</v>
      </c>
      <c r="M7966" s="75" t="s">
        <v>24384</v>
      </c>
    </row>
    <row r="7967" ht="30" customHeight="1" spans="1:13">
      <c r="A7967" s="41">
        <f>IF(C7967="","",SUBTOTAL(103,$C$2:C7967))</f>
        <v>7958</v>
      </c>
      <c r="B7967" s="67"/>
      <c r="C7967" s="58" t="s">
        <v>20331</v>
      </c>
      <c r="D7967" s="63" t="s">
        <v>23050</v>
      </c>
      <c r="E7967" s="63" t="s">
        <v>23050</v>
      </c>
      <c r="F7967" s="74" t="s">
        <v>24385</v>
      </c>
      <c r="G7967" s="75" t="s">
        <v>24386</v>
      </c>
      <c r="H7967" s="75" t="s">
        <v>24387</v>
      </c>
      <c r="I7967" s="76">
        <v>9</v>
      </c>
      <c r="J7967" s="44" t="str">
        <f>VLOOKUP(G7967,[1]硬件清单!$F:$F,1,0)</f>
        <v>BDNZ001180</v>
      </c>
      <c r="K7967" s="66"/>
      <c r="L7967" s="44" t="s">
        <v>17</v>
      </c>
      <c r="M7967" s="75" t="s">
        <v>24388</v>
      </c>
    </row>
    <row r="7968" ht="30" customHeight="1" spans="1:13">
      <c r="A7968" s="41">
        <f>IF(C7968="","",SUBTOTAL(103,$C$2:C7968))</f>
        <v>7959</v>
      </c>
      <c r="B7968" s="67"/>
      <c r="C7968" s="58" t="s">
        <v>20331</v>
      </c>
      <c r="D7968" s="63" t="s">
        <v>23050</v>
      </c>
      <c r="E7968" s="63" t="s">
        <v>23050</v>
      </c>
      <c r="F7968" s="74" t="s">
        <v>24389</v>
      </c>
      <c r="G7968" s="75" t="s">
        <v>24390</v>
      </c>
      <c r="H7968" s="75" t="s">
        <v>24391</v>
      </c>
      <c r="I7968" s="76">
        <v>9</v>
      </c>
      <c r="J7968" s="44" t="str">
        <f>VLOOKUP(G7968,[1]硬件清单!$F:$F,1,0)</f>
        <v>S-ACF3000/V3.02F14C83CD1</v>
      </c>
      <c r="K7968" s="66"/>
      <c r="L7968" s="44" t="s">
        <v>17</v>
      </c>
      <c r="M7968" s="75" t="s">
        <v>24392</v>
      </c>
    </row>
    <row r="7969" ht="30" customHeight="1" spans="1:13">
      <c r="A7969" s="41">
        <f>IF(C7969="","",SUBTOTAL(103,$C$2:C7969))</f>
        <v>7960</v>
      </c>
      <c r="B7969" s="67"/>
      <c r="C7969" s="58" t="s">
        <v>20331</v>
      </c>
      <c r="D7969" s="63" t="s">
        <v>23050</v>
      </c>
      <c r="E7969" s="63" t="s">
        <v>23050</v>
      </c>
      <c r="F7969" s="74" t="s">
        <v>24393</v>
      </c>
      <c r="G7969" s="75" t="s">
        <v>24394</v>
      </c>
      <c r="H7969" s="75" t="s">
        <v>24395</v>
      </c>
      <c r="I7969" s="76">
        <v>9</v>
      </c>
      <c r="J7969" s="44" t="str">
        <f>VLOOKUP(G7969,[1]硬件清单!$F:$F,1,0)</f>
        <v>BDGZ001159</v>
      </c>
      <c r="K7969" s="66"/>
      <c r="L7969" s="44" t="s">
        <v>17</v>
      </c>
      <c r="M7969" s="75" t="s">
        <v>24396</v>
      </c>
    </row>
    <row r="7970" ht="30" customHeight="1" spans="1:13">
      <c r="A7970" s="41">
        <f>IF(C7970="","",SUBTOTAL(103,$C$2:C7970))</f>
        <v>7961</v>
      </c>
      <c r="B7970" s="67"/>
      <c r="C7970" s="58" t="s">
        <v>20331</v>
      </c>
      <c r="D7970" s="63" t="s">
        <v>23050</v>
      </c>
      <c r="E7970" s="63" t="s">
        <v>23050</v>
      </c>
      <c r="F7970" s="74" t="s">
        <v>24393</v>
      </c>
      <c r="G7970" s="75" t="s">
        <v>24397</v>
      </c>
      <c r="H7970" s="75" t="s">
        <v>24398</v>
      </c>
      <c r="I7970" s="76">
        <v>9</v>
      </c>
      <c r="J7970" s="44" t="str">
        <f>VLOOKUP(G7970,[1]硬件清单!$F:$F,1,0)</f>
        <v>BXNZ001617</v>
      </c>
      <c r="K7970" s="66"/>
      <c r="L7970" s="44" t="s">
        <v>17</v>
      </c>
      <c r="M7970" s="75" t="s">
        <v>24399</v>
      </c>
    </row>
    <row r="7971" ht="30" customHeight="1" spans="1:13">
      <c r="A7971" s="41">
        <f>IF(C7971="","",SUBTOTAL(103,$C$2:C7971))</f>
        <v>7962</v>
      </c>
      <c r="B7971" s="67"/>
      <c r="C7971" s="58" t="s">
        <v>20331</v>
      </c>
      <c r="D7971" s="63" t="s">
        <v>23050</v>
      </c>
      <c r="E7971" s="63" t="s">
        <v>23050</v>
      </c>
      <c r="F7971" s="74" t="s">
        <v>24400</v>
      </c>
      <c r="G7971" s="75" t="s">
        <v>24401</v>
      </c>
      <c r="H7971" s="75" t="s">
        <v>24402</v>
      </c>
      <c r="I7971" s="76">
        <v>9</v>
      </c>
      <c r="J7971" s="44" t="str">
        <f>VLOOKUP(G7971,[1]硬件清单!$F:$F,1,0)</f>
        <v>29190354</v>
      </c>
      <c r="K7971" s="66"/>
      <c r="L7971" s="44" t="s">
        <v>17</v>
      </c>
      <c r="M7971" s="75" t="s">
        <v>24403</v>
      </c>
    </row>
    <row r="7972" ht="30" customHeight="1" spans="1:13">
      <c r="A7972" s="41">
        <f>IF(C7972="","",SUBTOTAL(103,$C$2:C7972))</f>
        <v>7963</v>
      </c>
      <c r="B7972" s="67"/>
      <c r="C7972" s="58" t="s">
        <v>20331</v>
      </c>
      <c r="D7972" s="63" t="s">
        <v>23050</v>
      </c>
      <c r="E7972" s="63" t="s">
        <v>23050</v>
      </c>
      <c r="F7972" s="74" t="s">
        <v>24404</v>
      </c>
      <c r="G7972" s="75" t="s">
        <v>24405</v>
      </c>
      <c r="H7972" s="75" t="s">
        <v>24406</v>
      </c>
      <c r="I7972" s="76">
        <v>9</v>
      </c>
      <c r="J7972" s="44" t="str">
        <f>VLOOKUP(G7972,[1]硬件清单!$F:$F,1,0)</f>
        <v>29190255</v>
      </c>
      <c r="K7972" s="66"/>
      <c r="L7972" s="44" t="s">
        <v>17</v>
      </c>
      <c r="M7972" s="75" t="s">
        <v>24407</v>
      </c>
    </row>
    <row r="7973" ht="30" customHeight="1" spans="1:13">
      <c r="A7973" s="41">
        <f>IF(C7973="","",SUBTOTAL(103,$C$2:C7973))</f>
        <v>7964</v>
      </c>
      <c r="B7973" s="67"/>
      <c r="C7973" s="58" t="s">
        <v>20331</v>
      </c>
      <c r="D7973" s="63" t="s">
        <v>23050</v>
      </c>
      <c r="E7973" s="63" t="s">
        <v>23050</v>
      </c>
      <c r="F7973" s="74" t="s">
        <v>24408</v>
      </c>
      <c r="G7973" s="75" t="s">
        <v>24409</v>
      </c>
      <c r="H7973" s="75" t="s">
        <v>24410</v>
      </c>
      <c r="I7973" s="76">
        <v>9</v>
      </c>
      <c r="J7973" s="44" t="str">
        <f>VLOOKUP(G7973,[1]硬件清单!$F:$F,1,0)</f>
        <v>BSJX002898</v>
      </c>
      <c r="K7973" s="66"/>
      <c r="L7973" s="44" t="s">
        <v>17</v>
      </c>
      <c r="M7973" s="75" t="s">
        <v>24411</v>
      </c>
    </row>
    <row r="7974" ht="30" customHeight="1" spans="1:13">
      <c r="A7974" s="41">
        <f>IF(C7974="","",SUBTOTAL(103,$C$2:C7974))</f>
        <v>7965</v>
      </c>
      <c r="B7974" s="67"/>
      <c r="C7974" s="58" t="s">
        <v>20331</v>
      </c>
      <c r="D7974" s="63" t="s">
        <v>23050</v>
      </c>
      <c r="E7974" s="63" t="s">
        <v>23050</v>
      </c>
      <c r="F7974" s="74" t="s">
        <v>24412</v>
      </c>
      <c r="G7974" s="75" t="s">
        <v>24413</v>
      </c>
      <c r="H7974" s="75" t="s">
        <v>24414</v>
      </c>
      <c r="I7974" s="76">
        <v>9</v>
      </c>
      <c r="J7974" s="44" t="str">
        <f>VLOOKUP(G7974,[1]硬件清单!$F:$F,1,0)</f>
        <v>VM222S023662</v>
      </c>
      <c r="K7974" s="66"/>
      <c r="L7974" s="44" t="s">
        <v>17</v>
      </c>
      <c r="M7974" s="75" t="s">
        <v>24415</v>
      </c>
    </row>
    <row r="7975" ht="30" customHeight="1" spans="1:13">
      <c r="A7975" s="41">
        <f>IF(C7975="","",SUBTOTAL(103,$C$2:C7975))</f>
        <v>7966</v>
      </c>
      <c r="B7975" s="67"/>
      <c r="C7975" s="58" t="s">
        <v>20331</v>
      </c>
      <c r="D7975" s="63" t="s">
        <v>23050</v>
      </c>
      <c r="E7975" s="63" t="s">
        <v>23050</v>
      </c>
      <c r="F7975" s="74" t="s">
        <v>24416</v>
      </c>
      <c r="G7975" s="75" t="s">
        <v>24417</v>
      </c>
      <c r="H7975" s="75" t="s">
        <v>24418</v>
      </c>
      <c r="I7975" s="76">
        <v>9</v>
      </c>
      <c r="J7975" s="44" t="str">
        <f>VLOOKUP(G7975,[1]硬件清单!$F:$F,1,0)</f>
        <v>RD-CAG-000-09713</v>
      </c>
      <c r="K7975" s="66"/>
      <c r="L7975" s="44" t="s">
        <v>17</v>
      </c>
      <c r="M7975" s="75" t="s">
        <v>24419</v>
      </c>
    </row>
    <row r="7976" ht="30" customHeight="1" spans="1:13">
      <c r="A7976" s="41">
        <f>IF(C7976="","",SUBTOTAL(103,$C$2:C7976))</f>
        <v>7967</v>
      </c>
      <c r="B7976" s="67"/>
      <c r="C7976" s="58" t="s">
        <v>20331</v>
      </c>
      <c r="D7976" s="63" t="s">
        <v>23050</v>
      </c>
      <c r="E7976" s="63" t="s">
        <v>23050</v>
      </c>
      <c r="F7976" s="74" t="s">
        <v>24420</v>
      </c>
      <c r="G7976" s="75" t="s">
        <v>24421</v>
      </c>
      <c r="H7976" s="75" t="s">
        <v>24422</v>
      </c>
      <c r="I7976" s="76">
        <v>9</v>
      </c>
      <c r="J7976" s="44" t="str">
        <f>VLOOKUP(G7976,[1]硬件清单!$F:$F,1,0)</f>
        <v>B2J4XF3</v>
      </c>
      <c r="K7976" s="66"/>
      <c r="L7976" s="44" t="s">
        <v>17</v>
      </c>
      <c r="M7976" s="75" t="s">
        <v>24423</v>
      </c>
    </row>
    <row r="7977" ht="30" customHeight="1" spans="1:13">
      <c r="A7977" s="41">
        <f>IF(C7977="","",SUBTOTAL(103,$C$2:C7977))</f>
        <v>7968</v>
      </c>
      <c r="B7977" s="67"/>
      <c r="C7977" s="58" t="s">
        <v>20331</v>
      </c>
      <c r="D7977" s="63" t="s">
        <v>23050</v>
      </c>
      <c r="E7977" s="63" t="s">
        <v>23050</v>
      </c>
      <c r="F7977" s="74" t="s">
        <v>24424</v>
      </c>
      <c r="G7977" s="75" t="s">
        <v>24425</v>
      </c>
      <c r="H7977" s="75" t="s">
        <v>24426</v>
      </c>
      <c r="I7977" s="76">
        <v>9</v>
      </c>
      <c r="J7977" s="44" t="str">
        <f>VLOOKUP(G7977,[1]硬件清单!$F:$F,1,0)</f>
        <v>W1ZCDJ0333</v>
      </c>
      <c r="K7977" s="66"/>
      <c r="L7977" s="44" t="s">
        <v>17</v>
      </c>
      <c r="M7977" s="75" t="s">
        <v>24427</v>
      </c>
    </row>
    <row r="7978" ht="30" customHeight="1" spans="1:13">
      <c r="A7978" s="41">
        <f>IF(C7978="","",SUBTOTAL(103,$C$2:C7978))</f>
        <v>7969</v>
      </c>
      <c r="B7978" s="67"/>
      <c r="C7978" s="58" t="s">
        <v>20331</v>
      </c>
      <c r="D7978" s="63" t="s">
        <v>23050</v>
      </c>
      <c r="E7978" s="63" t="s">
        <v>23050</v>
      </c>
      <c r="F7978" s="74" t="s">
        <v>24428</v>
      </c>
      <c r="G7978" s="75" t="s">
        <v>24429</v>
      </c>
      <c r="H7978" s="75" t="s">
        <v>24430</v>
      </c>
      <c r="I7978" s="76">
        <v>9</v>
      </c>
      <c r="J7978" s="44" t="str">
        <f>VLOOKUP(G7978,[1]硬件清单!$F:$F,1,0)</f>
        <v>DBSEC-01-202212-0039</v>
      </c>
      <c r="K7978" s="66"/>
      <c r="L7978" s="44" t="s">
        <v>17</v>
      </c>
      <c r="M7978" s="75" t="s">
        <v>24431</v>
      </c>
    </row>
    <row r="7979" ht="30" customHeight="1" spans="1:13">
      <c r="A7979" s="41">
        <f>IF(C7979="","",SUBTOTAL(103,$C$2:C7979))</f>
        <v>7970</v>
      </c>
      <c r="B7979" s="67"/>
      <c r="C7979" s="58" t="s">
        <v>20331</v>
      </c>
      <c r="D7979" s="63" t="s">
        <v>23050</v>
      </c>
      <c r="E7979" s="63" t="s">
        <v>23050</v>
      </c>
      <c r="F7979" s="74" t="s">
        <v>24428</v>
      </c>
      <c r="G7979" s="75" t="s">
        <v>24432</v>
      </c>
      <c r="H7979" s="75" t="s">
        <v>24433</v>
      </c>
      <c r="I7979" s="76">
        <v>9</v>
      </c>
      <c r="J7979" s="44" t="str">
        <f>VLOOKUP(G7979,[1]硬件清单!$F:$F,1,0)</f>
        <v>DBSEC-01-202212-0040</v>
      </c>
      <c r="K7979" s="66"/>
      <c r="L7979" s="44" t="s">
        <v>17</v>
      </c>
      <c r="M7979" s="75" t="s">
        <v>24434</v>
      </c>
    </row>
    <row r="7980" ht="30" customHeight="1" spans="1:13">
      <c r="A7980" s="41">
        <f>IF(C7980="","",SUBTOTAL(103,$C$2:C7980))</f>
        <v>7971</v>
      </c>
      <c r="B7980" s="67"/>
      <c r="C7980" s="58" t="s">
        <v>20331</v>
      </c>
      <c r="D7980" s="63" t="s">
        <v>23050</v>
      </c>
      <c r="E7980" s="63" t="s">
        <v>23050</v>
      </c>
      <c r="F7980" s="74" t="s">
        <v>24424</v>
      </c>
      <c r="G7980" s="75" t="s">
        <v>24435</v>
      </c>
      <c r="H7980" s="75" t="s">
        <v>24436</v>
      </c>
      <c r="I7980" s="76">
        <v>9</v>
      </c>
      <c r="J7980" s="44" t="str">
        <f>VLOOKUP(G7980,[1]硬件清单!$F:$F,1,0)</f>
        <v>W1ZCEC0095</v>
      </c>
      <c r="K7980" s="66"/>
      <c r="L7980" s="44" t="s">
        <v>17</v>
      </c>
      <c r="M7980" s="75" t="s">
        <v>24437</v>
      </c>
    </row>
    <row r="7981" ht="30" customHeight="1" spans="1:13">
      <c r="A7981" s="41">
        <f>IF(C7981="","",SUBTOTAL(103,$C$2:C7981))</f>
        <v>7972</v>
      </c>
      <c r="B7981" s="67"/>
      <c r="C7981" s="58" t="s">
        <v>20331</v>
      </c>
      <c r="D7981" s="63" t="s">
        <v>23050</v>
      </c>
      <c r="E7981" s="63" t="s">
        <v>23050</v>
      </c>
      <c r="F7981" s="74" t="s">
        <v>24438</v>
      </c>
      <c r="G7981" s="75" t="s">
        <v>24439</v>
      </c>
      <c r="H7981" s="75" t="s">
        <v>24440</v>
      </c>
      <c r="I7981" s="76">
        <v>9</v>
      </c>
      <c r="J7981" s="44" t="str">
        <f>VLOOKUP(G7981,[1]硬件清单!$F:$F,1,0)</f>
        <v>W1ZCEH0050</v>
      </c>
      <c r="K7981" s="66"/>
      <c r="L7981" s="44" t="s">
        <v>17</v>
      </c>
      <c r="M7981" s="75" t="s">
        <v>24441</v>
      </c>
    </row>
    <row r="7982" ht="30" customHeight="1" spans="1:13">
      <c r="A7982" s="41">
        <f>IF(C7982="","",SUBTOTAL(103,$C$2:C7982))</f>
        <v>7973</v>
      </c>
      <c r="B7982" s="67"/>
      <c r="C7982" s="58" t="s">
        <v>20331</v>
      </c>
      <c r="D7982" s="63" t="s">
        <v>23050</v>
      </c>
      <c r="E7982" s="63" t="s">
        <v>23050</v>
      </c>
      <c r="F7982" s="74" t="s">
        <v>24438</v>
      </c>
      <c r="G7982" s="75" t="s">
        <v>24442</v>
      </c>
      <c r="H7982" s="75" t="s">
        <v>24443</v>
      </c>
      <c r="I7982" s="76">
        <v>9</v>
      </c>
      <c r="J7982" s="44" t="str">
        <f>VLOOKUP(G7982,[1]硬件清单!$F:$F,1,0)</f>
        <v>W1ZCEH0047</v>
      </c>
      <c r="K7982" s="66"/>
      <c r="L7982" s="44" t="s">
        <v>17</v>
      </c>
      <c r="M7982" s="75" t="s">
        <v>24444</v>
      </c>
    </row>
    <row r="7983" ht="30" customHeight="1" spans="1:13">
      <c r="A7983" s="41">
        <f>IF(C7983="","",SUBTOTAL(103,$C$2:C7983))</f>
        <v>7974</v>
      </c>
      <c r="B7983" s="67"/>
      <c r="C7983" s="58" t="s">
        <v>20331</v>
      </c>
      <c r="D7983" s="63" t="s">
        <v>23050</v>
      </c>
      <c r="E7983" s="63" t="s">
        <v>23050</v>
      </c>
      <c r="F7983" s="74" t="s">
        <v>24445</v>
      </c>
      <c r="G7983" s="75" t="s">
        <v>24446</v>
      </c>
      <c r="H7983" s="75" t="s">
        <v>24447</v>
      </c>
      <c r="I7983" s="76">
        <v>9</v>
      </c>
      <c r="J7983" s="44" t="str">
        <f>VLOOKUP(G7983,[1]硬件清单!$F:$F,1,0)</f>
        <v>22-51-Q-0458</v>
      </c>
      <c r="K7983" s="66"/>
      <c r="L7983" s="44" t="s">
        <v>17</v>
      </c>
      <c r="M7983" s="75" t="s">
        <v>24448</v>
      </c>
    </row>
    <row r="7984" ht="30" customHeight="1" spans="1:13">
      <c r="A7984" s="41">
        <f>IF(C7984="","",SUBTOTAL(103,$C$2:C7984))</f>
        <v>7975</v>
      </c>
      <c r="B7984" s="67"/>
      <c r="C7984" s="58" t="s">
        <v>20331</v>
      </c>
      <c r="D7984" s="63" t="s">
        <v>23050</v>
      </c>
      <c r="E7984" s="63" t="s">
        <v>23050</v>
      </c>
      <c r="F7984" s="74" t="s">
        <v>24445</v>
      </c>
      <c r="G7984" s="75"/>
      <c r="H7984" s="75" t="s">
        <v>24449</v>
      </c>
      <c r="I7984" s="76">
        <v>9</v>
      </c>
      <c r="J7984" s="44" t="e">
        <f>VLOOKUP(G7984,[1]硬件清单!$F:$F,1,0)</f>
        <v>#N/A</v>
      </c>
      <c r="K7984" s="66"/>
      <c r="L7984" s="44" t="s">
        <v>17</v>
      </c>
      <c r="M7984" s="75"/>
    </row>
    <row r="7985" ht="30" customHeight="1" spans="1:13">
      <c r="A7985" s="41">
        <f>IF(C7985="","",SUBTOTAL(103,$C$2:C7985))</f>
        <v>7976</v>
      </c>
      <c r="B7985" s="67"/>
      <c r="C7985" s="58" t="s">
        <v>20331</v>
      </c>
      <c r="D7985" s="63" t="s">
        <v>23050</v>
      </c>
      <c r="E7985" s="63" t="s">
        <v>23050</v>
      </c>
      <c r="F7985" s="74" t="s">
        <v>24450</v>
      </c>
      <c r="G7985" s="75" t="s">
        <v>24451</v>
      </c>
      <c r="H7985" s="75" t="s">
        <v>24452</v>
      </c>
      <c r="I7985" s="76">
        <v>9</v>
      </c>
      <c r="J7985" s="44" t="str">
        <f>VLOOKUP(G7985,[1]硬件清单!$F:$F,1,0)</f>
        <v>29190257</v>
      </c>
      <c r="K7985" s="66"/>
      <c r="L7985" s="44" t="s">
        <v>17</v>
      </c>
      <c r="M7985" s="75" t="s">
        <v>24453</v>
      </c>
    </row>
    <row r="7986" ht="30" customHeight="1" spans="1:13">
      <c r="A7986" s="41">
        <f>IF(C7986="","",SUBTOTAL(103,$C$2:C7986))</f>
        <v>7977</v>
      </c>
      <c r="B7986" s="67"/>
      <c r="C7986" s="58" t="s">
        <v>20331</v>
      </c>
      <c r="D7986" s="63" t="s">
        <v>23050</v>
      </c>
      <c r="E7986" s="63" t="s">
        <v>23050</v>
      </c>
      <c r="F7986" s="74" t="s">
        <v>24342</v>
      </c>
      <c r="G7986" s="75" t="s">
        <v>24454</v>
      </c>
      <c r="H7986" s="75" t="s">
        <v>24455</v>
      </c>
      <c r="I7986" s="76">
        <v>9</v>
      </c>
      <c r="J7986" s="44" t="str">
        <f>VLOOKUP(G7986,[1]硬件清单!$F:$F,1,0)</f>
        <v>29190359</v>
      </c>
      <c r="K7986" s="66"/>
      <c r="L7986" s="44" t="s">
        <v>17</v>
      </c>
      <c r="M7986" s="75" t="s">
        <v>24456</v>
      </c>
    </row>
    <row r="7987" ht="30" customHeight="1" spans="1:13">
      <c r="A7987" s="41">
        <f>IF(C7987="","",SUBTOTAL(103,$C$2:C7987))</f>
        <v>7978</v>
      </c>
      <c r="B7987" s="67"/>
      <c r="C7987" s="58" t="s">
        <v>20331</v>
      </c>
      <c r="D7987" s="63" t="s">
        <v>66</v>
      </c>
      <c r="E7987" s="63" t="s">
        <v>66</v>
      </c>
      <c r="F7987" s="74" t="s">
        <v>24350</v>
      </c>
      <c r="G7987" s="75" t="s">
        <v>24457</v>
      </c>
      <c r="H7987" s="75" t="s">
        <v>24458</v>
      </c>
      <c r="I7987" s="76">
        <v>9</v>
      </c>
      <c r="J7987" s="44" t="str">
        <f>VLOOKUP(G7987,[1]硬件清单!$F:$F,1,0)</f>
        <v>210235A2H5B22A00G03C</v>
      </c>
      <c r="K7987" s="66"/>
      <c r="L7987" s="44" t="s">
        <v>17</v>
      </c>
      <c r="M7987" s="75" t="s">
        <v>24322</v>
      </c>
    </row>
    <row r="7988" ht="30" customHeight="1" spans="1:13">
      <c r="A7988" s="41">
        <f>IF(C7988="","",SUBTOTAL(103,$C$2:C7988))</f>
        <v>7979</v>
      </c>
      <c r="B7988" s="67"/>
      <c r="C7988" s="58" t="s">
        <v>20331</v>
      </c>
      <c r="D7988" s="63" t="s">
        <v>66</v>
      </c>
      <c r="E7988" s="63" t="s">
        <v>66</v>
      </c>
      <c r="F7988" s="74" t="s">
        <v>24350</v>
      </c>
      <c r="G7988" s="75" t="s">
        <v>24459</v>
      </c>
      <c r="H7988" s="75" t="s">
        <v>24460</v>
      </c>
      <c r="I7988" s="76">
        <v>9</v>
      </c>
      <c r="J7988" s="44" t="str">
        <f>VLOOKUP(G7988,[1]硬件清单!$F:$F,1,0)</f>
        <v>210235A2H5B22A00G05H</v>
      </c>
      <c r="K7988" s="66"/>
      <c r="L7988" s="44"/>
      <c r="M7988" s="75" t="s">
        <v>24322</v>
      </c>
    </row>
    <row r="7989" ht="30" customHeight="1" spans="1:13">
      <c r="A7989" s="41">
        <f>IF(C7989="","",SUBTOTAL(103,$C$2:C7989))</f>
        <v>7980</v>
      </c>
      <c r="B7989" s="67"/>
      <c r="C7989" s="58" t="s">
        <v>20331</v>
      </c>
      <c r="D7989" s="63" t="s">
        <v>23050</v>
      </c>
      <c r="E7989" s="63" t="s">
        <v>23050</v>
      </c>
      <c r="F7989" s="74" t="s">
        <v>24371</v>
      </c>
      <c r="G7989" s="92" t="s">
        <v>24461</v>
      </c>
      <c r="H7989" s="75" t="s">
        <v>24462</v>
      </c>
      <c r="I7989" s="76">
        <v>9</v>
      </c>
      <c r="J7989" s="91" t="str">
        <f>VLOOKUP(G7989,[1]硬件清单!$F:$F,1,0)</f>
        <v>4739443030313031</v>
      </c>
      <c r="K7989" s="66"/>
      <c r="L7989" s="44" t="s">
        <v>17</v>
      </c>
      <c r="M7989" s="75" t="s">
        <v>24463</v>
      </c>
    </row>
    <row r="7990" ht="30" customHeight="1" spans="1:13">
      <c r="A7990" s="41">
        <f>IF(C7990="","",SUBTOTAL(103,$C$2:C7990))</f>
        <v>7981</v>
      </c>
      <c r="B7990" s="67"/>
      <c r="C7990" s="58" t="s">
        <v>20331</v>
      </c>
      <c r="D7990" s="63" t="s">
        <v>23050</v>
      </c>
      <c r="E7990" s="63" t="s">
        <v>23050</v>
      </c>
      <c r="F7990" s="74" t="s">
        <v>24371</v>
      </c>
      <c r="G7990" s="75" t="s">
        <v>24464</v>
      </c>
      <c r="H7990" s="75" t="s">
        <v>24465</v>
      </c>
      <c r="I7990" s="76">
        <v>9</v>
      </c>
      <c r="J7990" s="44" t="str">
        <f>VLOOKUP(G7990,[1]硬件清单!$F:$F,1,0)</f>
        <v>4739443030303435</v>
      </c>
      <c r="K7990" s="66"/>
      <c r="L7990" s="44" t="s">
        <v>17</v>
      </c>
      <c r="M7990" s="75" t="s">
        <v>24466</v>
      </c>
    </row>
    <row r="7991" ht="30" customHeight="1" spans="1:13">
      <c r="A7991" s="41">
        <f>IF(C7991="","",SUBTOTAL(103,$C$2:C7991))</f>
        <v>7982</v>
      </c>
      <c r="B7991" s="67"/>
      <c r="C7991" s="58" t="s">
        <v>20331</v>
      </c>
      <c r="D7991" s="63" t="s">
        <v>23050</v>
      </c>
      <c r="E7991" s="63" t="s">
        <v>23050</v>
      </c>
      <c r="F7991" s="74" t="s">
        <v>24467</v>
      </c>
      <c r="G7991" s="75" t="s">
        <v>24468</v>
      </c>
      <c r="H7991" s="75" t="s">
        <v>24469</v>
      </c>
      <c r="I7991" s="76">
        <v>9</v>
      </c>
      <c r="J7991" s="44" t="str">
        <f>VLOOKUP(G7991,[1]硬件清单!$F:$F,1,0)</f>
        <v>5030463030313130</v>
      </c>
      <c r="K7991" s="66"/>
      <c r="L7991" s="44" t="s">
        <v>17</v>
      </c>
      <c r="M7991" s="75" t="s">
        <v>24470</v>
      </c>
    </row>
    <row r="7992" ht="30" customHeight="1" spans="1:13">
      <c r="A7992" s="41">
        <f>IF(C7992="","",SUBTOTAL(103,$C$2:C7992))</f>
        <v>7983</v>
      </c>
      <c r="B7992" s="67"/>
      <c r="C7992" s="58" t="s">
        <v>20331</v>
      </c>
      <c r="D7992" s="63" t="s">
        <v>23050</v>
      </c>
      <c r="E7992" s="63" t="s">
        <v>23050</v>
      </c>
      <c r="F7992" s="74" t="s">
        <v>24467</v>
      </c>
      <c r="G7992" s="75" t="s">
        <v>24471</v>
      </c>
      <c r="H7992" s="75" t="s">
        <v>24472</v>
      </c>
      <c r="I7992" s="76">
        <v>9</v>
      </c>
      <c r="J7992" s="44" t="str">
        <f>VLOOKUP(G7992,[1]硬件清单!$F:$F,1,0)</f>
        <v>5030463030313131</v>
      </c>
      <c r="K7992" s="66"/>
      <c r="L7992" s="44" t="s">
        <v>17</v>
      </c>
      <c r="M7992" s="75" t="s">
        <v>24473</v>
      </c>
    </row>
    <row r="7993" ht="30" customHeight="1" spans="1:13">
      <c r="A7993" s="41">
        <f>IF(C7993="","",SUBTOTAL(103,$C$2:C7993))</f>
        <v>7984</v>
      </c>
      <c r="B7993" s="67"/>
      <c r="C7993" s="58" t="s">
        <v>20331</v>
      </c>
      <c r="D7993" s="63" t="s">
        <v>23050</v>
      </c>
      <c r="E7993" s="63" t="s">
        <v>23050</v>
      </c>
      <c r="F7993" s="74" t="s">
        <v>24467</v>
      </c>
      <c r="G7993" s="75" t="s">
        <v>24474</v>
      </c>
      <c r="H7993" s="75" t="s">
        <v>24475</v>
      </c>
      <c r="I7993" s="76">
        <v>9</v>
      </c>
      <c r="J7993" s="44" t="str">
        <f>VLOOKUP(G7993,[1]硬件清单!$F:$F,1,0)</f>
        <v>5030463030313039</v>
      </c>
      <c r="K7993" s="66"/>
      <c r="L7993" s="44" t="s">
        <v>17</v>
      </c>
      <c r="M7993" s="75" t="s">
        <v>24476</v>
      </c>
    </row>
    <row r="7994" ht="30" customHeight="1" spans="1:13">
      <c r="A7994" s="41">
        <f>IF(C7994="","",SUBTOTAL(103,$C$2:C7994))</f>
        <v>7985</v>
      </c>
      <c r="B7994" s="67"/>
      <c r="C7994" s="58" t="s">
        <v>20331</v>
      </c>
      <c r="D7994" s="63" t="s">
        <v>23050</v>
      </c>
      <c r="E7994" s="63" t="s">
        <v>23050</v>
      </c>
      <c r="F7994" s="74" t="s">
        <v>24367</v>
      </c>
      <c r="G7994" s="75" t="s">
        <v>24477</v>
      </c>
      <c r="H7994" s="75" t="s">
        <v>24478</v>
      </c>
      <c r="I7994" s="76">
        <v>9</v>
      </c>
      <c r="J7994" s="44" t="str">
        <f>VLOOKUP(G7994,[1]硬件清单!$F:$F,1,0)</f>
        <v>DGSCB0600015</v>
      </c>
      <c r="K7994" s="66"/>
      <c r="L7994" s="44" t="s">
        <v>17</v>
      </c>
      <c r="M7994" s="75" t="s">
        <v>24479</v>
      </c>
    </row>
    <row r="7995" ht="30" customHeight="1" spans="1:13">
      <c r="A7995" s="41">
        <f>IF(C7995="","",SUBTOTAL(103,$C$2:C7995))</f>
        <v>7986</v>
      </c>
      <c r="B7995" s="67"/>
      <c r="C7995" s="58" t="s">
        <v>20331</v>
      </c>
      <c r="D7995" s="63" t="s">
        <v>23050</v>
      </c>
      <c r="E7995" s="63" t="s">
        <v>23050</v>
      </c>
      <c r="F7995" s="74" t="s">
        <v>24385</v>
      </c>
      <c r="G7995" s="75" t="s">
        <v>24480</v>
      </c>
      <c r="H7995" s="75" t="s">
        <v>24481</v>
      </c>
      <c r="I7995" s="76">
        <v>9</v>
      </c>
      <c r="J7995" s="44" t="str">
        <f>VLOOKUP(G7995,[1]硬件清单!$F:$F,1,0)</f>
        <v>BHNZ001396</v>
      </c>
      <c r="K7995" s="66"/>
      <c r="L7995" s="44" t="s">
        <v>17</v>
      </c>
      <c r="M7995" s="75" t="s">
        <v>24482</v>
      </c>
    </row>
    <row r="7996" ht="30" customHeight="1" spans="1:13">
      <c r="A7996" s="41">
        <f>IF(C7996="","",SUBTOTAL(103,$C$2:C7996))</f>
        <v>7987</v>
      </c>
      <c r="B7996" s="67"/>
      <c r="C7996" s="58" t="s">
        <v>20331</v>
      </c>
      <c r="D7996" s="63" t="s">
        <v>23050</v>
      </c>
      <c r="E7996" s="63" t="s">
        <v>23050</v>
      </c>
      <c r="F7996" s="74" t="s">
        <v>24385</v>
      </c>
      <c r="G7996" s="75" t="s">
        <v>24483</v>
      </c>
      <c r="H7996" s="75" t="s">
        <v>24484</v>
      </c>
      <c r="I7996" s="76">
        <v>9</v>
      </c>
      <c r="J7996" s="44" t="str">
        <f>VLOOKUP(G7996,[1]硬件清单!$F:$F,1,0)</f>
        <v>BCNZ001118</v>
      </c>
      <c r="K7996" s="66"/>
      <c r="L7996" s="44" t="s">
        <v>17</v>
      </c>
      <c r="M7996" s="75" t="s">
        <v>24485</v>
      </c>
    </row>
    <row r="7997" ht="30" customHeight="1" spans="1:13">
      <c r="A7997" s="41">
        <f>IF(C7997="","",SUBTOTAL(103,$C$2:C7997))</f>
        <v>7988</v>
      </c>
      <c r="B7997" s="67"/>
      <c r="C7997" s="58" t="s">
        <v>20331</v>
      </c>
      <c r="D7997" s="63" t="s">
        <v>23050</v>
      </c>
      <c r="E7997" s="63" t="s">
        <v>23050</v>
      </c>
      <c r="F7997" s="74" t="s">
        <v>24385</v>
      </c>
      <c r="G7997" s="75" t="s">
        <v>24486</v>
      </c>
      <c r="H7997" s="75" t="s">
        <v>24487</v>
      </c>
      <c r="I7997" s="76">
        <v>9</v>
      </c>
      <c r="J7997" s="44" t="str">
        <f>VLOOKUP(G7997,[1]硬件清单!$F:$F,1,0)</f>
        <v>BCNZ001119</v>
      </c>
      <c r="K7997" s="66"/>
      <c r="L7997" s="44" t="s">
        <v>17</v>
      </c>
      <c r="M7997" s="75" t="s">
        <v>24488</v>
      </c>
    </row>
    <row r="7998" ht="30" customHeight="1" spans="1:13">
      <c r="A7998" s="41">
        <f>IF(C7998="","",SUBTOTAL(103,$C$2:C7998))</f>
        <v>7989</v>
      </c>
      <c r="B7998" s="67"/>
      <c r="C7998" s="58" t="s">
        <v>20331</v>
      </c>
      <c r="D7998" s="63" t="s">
        <v>23050</v>
      </c>
      <c r="E7998" s="63" t="s">
        <v>23050</v>
      </c>
      <c r="F7998" s="74" t="s">
        <v>24385</v>
      </c>
      <c r="G7998" s="75" t="s">
        <v>24489</v>
      </c>
      <c r="H7998" s="75" t="s">
        <v>24490</v>
      </c>
      <c r="I7998" s="76">
        <v>9</v>
      </c>
      <c r="J7998" s="44" t="str">
        <f>VLOOKUP(G7998,[1]硬件清单!$F:$F,1,0)</f>
        <v>BCNZ001120</v>
      </c>
      <c r="K7998" s="66"/>
      <c r="L7998" s="44" t="s">
        <v>17</v>
      </c>
      <c r="M7998" s="75" t="s">
        <v>24491</v>
      </c>
    </row>
    <row r="7999" ht="30" customHeight="1" spans="1:13">
      <c r="A7999" s="41">
        <f>IF(C7999="","",SUBTOTAL(103,$C$2:C7999))</f>
        <v>7990</v>
      </c>
      <c r="B7999" s="67"/>
      <c r="C7999" s="58" t="s">
        <v>20331</v>
      </c>
      <c r="D7999" s="63" t="s">
        <v>23050</v>
      </c>
      <c r="E7999" s="63" t="s">
        <v>23050</v>
      </c>
      <c r="F7999" s="74" t="s">
        <v>24385</v>
      </c>
      <c r="G7999" s="75" t="s">
        <v>24492</v>
      </c>
      <c r="H7999" s="75" t="s">
        <v>24493</v>
      </c>
      <c r="I7999" s="76">
        <v>9</v>
      </c>
      <c r="J7999" s="44" t="str">
        <f>VLOOKUP(G7999,[1]硬件清单!$F:$F,1,0)</f>
        <v>BDNZ001178</v>
      </c>
      <c r="K7999" s="66"/>
      <c r="L7999" s="44" t="s">
        <v>17</v>
      </c>
      <c r="M7999" s="75" t="s">
        <v>24494</v>
      </c>
    </row>
    <row r="8000" ht="30" customHeight="1" spans="1:13">
      <c r="A8000" s="41">
        <f>IF(C8000="","",SUBTOTAL(103,$C$2:C8000))</f>
        <v>7991</v>
      </c>
      <c r="B8000" s="67"/>
      <c r="C8000" s="58" t="s">
        <v>20331</v>
      </c>
      <c r="D8000" s="63" t="s">
        <v>23050</v>
      </c>
      <c r="E8000" s="63" t="s">
        <v>23050</v>
      </c>
      <c r="F8000" s="74" t="s">
        <v>24385</v>
      </c>
      <c r="G8000" s="75" t="s">
        <v>24495</v>
      </c>
      <c r="H8000" s="75" t="s">
        <v>24496</v>
      </c>
      <c r="I8000" s="76">
        <v>9</v>
      </c>
      <c r="J8000" s="44" t="str">
        <f>VLOOKUP(G8000,[1]硬件清单!$F:$F,1,0)</f>
        <v>BDNZ001179</v>
      </c>
      <c r="K8000" s="66"/>
      <c r="L8000" s="44" t="s">
        <v>17</v>
      </c>
      <c r="M8000" s="75" t="s">
        <v>24497</v>
      </c>
    </row>
    <row r="8001" ht="30" customHeight="1" spans="1:13">
      <c r="A8001" s="41">
        <f>IF(C8001="","",SUBTOTAL(103,$C$2:C8001))</f>
        <v>7992</v>
      </c>
      <c r="B8001" s="67"/>
      <c r="C8001" s="58" t="s">
        <v>20331</v>
      </c>
      <c r="D8001" s="63" t="s">
        <v>23050</v>
      </c>
      <c r="E8001" s="63" t="s">
        <v>23050</v>
      </c>
      <c r="F8001" s="74" t="s">
        <v>24385</v>
      </c>
      <c r="G8001" s="75" t="s">
        <v>24498</v>
      </c>
      <c r="H8001" s="75" t="s">
        <v>24499</v>
      </c>
      <c r="I8001" s="76">
        <v>9</v>
      </c>
      <c r="J8001" s="44" t="str">
        <f>VLOOKUP(G8001,[1]硬件清单!$F:$F,1,0)</f>
        <v>BHNZ001395</v>
      </c>
      <c r="K8001" s="66"/>
      <c r="L8001" s="44" t="s">
        <v>17</v>
      </c>
      <c r="M8001" s="75" t="s">
        <v>24500</v>
      </c>
    </row>
    <row r="8002" ht="30" customHeight="1" spans="1:13">
      <c r="A8002" s="41">
        <f>IF(C8002="","",SUBTOTAL(103,$C$2:C8002))</f>
        <v>7993</v>
      </c>
      <c r="B8002" s="67"/>
      <c r="C8002" s="58" t="s">
        <v>20331</v>
      </c>
      <c r="D8002" s="63" t="s">
        <v>23050</v>
      </c>
      <c r="E8002" s="63" t="s">
        <v>23050</v>
      </c>
      <c r="F8002" s="74" t="s">
        <v>24385</v>
      </c>
      <c r="G8002" s="75" t="s">
        <v>24501</v>
      </c>
      <c r="H8002" s="75" t="s">
        <v>24502</v>
      </c>
      <c r="I8002" s="76">
        <v>9</v>
      </c>
      <c r="J8002" s="44" t="str">
        <f>VLOOKUP(G8002,[1]硬件清单!$F:$F,1,0)</f>
        <v>BHNZ001397</v>
      </c>
      <c r="K8002" s="66"/>
      <c r="L8002" s="44" t="s">
        <v>17</v>
      </c>
      <c r="M8002" s="75" t="s">
        <v>24503</v>
      </c>
    </row>
    <row r="8003" ht="30" customHeight="1" spans="1:13">
      <c r="A8003" s="41">
        <f>IF(C8003="","",SUBTOTAL(103,$C$2:C8003))</f>
        <v>7994</v>
      </c>
      <c r="B8003" s="67"/>
      <c r="C8003" s="58" t="s">
        <v>20331</v>
      </c>
      <c r="D8003" s="63" t="s">
        <v>23050</v>
      </c>
      <c r="E8003" s="63" t="s">
        <v>23050</v>
      </c>
      <c r="F8003" s="74" t="s">
        <v>24393</v>
      </c>
      <c r="G8003" s="75" t="s">
        <v>24504</v>
      </c>
      <c r="H8003" s="75" t="s">
        <v>24505</v>
      </c>
      <c r="I8003" s="76">
        <v>9</v>
      </c>
      <c r="J8003" s="44" t="str">
        <f>VLOOKUP(G8003,[1]硬件清单!$F:$F,1,0)</f>
        <v>BDGZ001160</v>
      </c>
      <c r="K8003" s="66"/>
      <c r="L8003" s="44" t="s">
        <v>17</v>
      </c>
      <c r="M8003" s="75" t="s">
        <v>24506</v>
      </c>
    </row>
    <row r="8004" ht="30" customHeight="1" spans="1:13">
      <c r="A8004" s="41">
        <f>IF(C8004="","",SUBTOTAL(103,$C$2:C8004))</f>
        <v>7995</v>
      </c>
      <c r="B8004" s="67"/>
      <c r="C8004" s="58" t="s">
        <v>20331</v>
      </c>
      <c r="D8004" s="63" t="s">
        <v>23050</v>
      </c>
      <c r="E8004" s="63" t="s">
        <v>23050</v>
      </c>
      <c r="F8004" s="74" t="s">
        <v>24393</v>
      </c>
      <c r="G8004" s="75" t="s">
        <v>24507</v>
      </c>
      <c r="H8004" s="75" t="s">
        <v>24508</v>
      </c>
      <c r="I8004" s="76">
        <v>9</v>
      </c>
      <c r="J8004" s="44" t="str">
        <f>VLOOKUP(G8004,[1]硬件清单!$F:$F,1,0)</f>
        <v>BHNZ001402</v>
      </c>
      <c r="K8004" s="66"/>
      <c r="L8004" s="44" t="s">
        <v>17</v>
      </c>
      <c r="M8004" s="75" t="s">
        <v>24509</v>
      </c>
    </row>
    <row r="8005" ht="30" customHeight="1" spans="1:13">
      <c r="A8005" s="41">
        <f>IF(C8005="","",SUBTOTAL(103,$C$2:C8005))</f>
        <v>7996</v>
      </c>
      <c r="B8005" s="67"/>
      <c r="C8005" s="58" t="s">
        <v>20331</v>
      </c>
      <c r="D8005" s="63" t="s">
        <v>23050</v>
      </c>
      <c r="E8005" s="63" t="s">
        <v>23050</v>
      </c>
      <c r="F8005" s="74" t="s">
        <v>24393</v>
      </c>
      <c r="G8005" s="75" t="s">
        <v>24510</v>
      </c>
      <c r="H8005" s="75" t="s">
        <v>24511</v>
      </c>
      <c r="I8005" s="76">
        <v>9</v>
      </c>
      <c r="J8005" s="44" t="str">
        <f>VLOOKUP(G8005,[1]硬件清单!$F:$F,1,0)</f>
        <v>BDGZ001161</v>
      </c>
      <c r="K8005" s="66"/>
      <c r="L8005" s="44" t="s">
        <v>17</v>
      </c>
      <c r="M8005" s="75" t="s">
        <v>24512</v>
      </c>
    </row>
    <row r="8006" ht="30" customHeight="1" spans="1:13">
      <c r="A8006" s="41">
        <f>IF(C8006="","",SUBTOTAL(103,$C$2:C8006))</f>
        <v>7997</v>
      </c>
      <c r="B8006" s="67"/>
      <c r="C8006" s="58" t="s">
        <v>20331</v>
      </c>
      <c r="D8006" s="63" t="s">
        <v>23050</v>
      </c>
      <c r="E8006" s="63" t="s">
        <v>23050</v>
      </c>
      <c r="F8006" s="74" t="s">
        <v>24393</v>
      </c>
      <c r="G8006" s="75" t="s">
        <v>24513</v>
      </c>
      <c r="H8006" s="75" t="s">
        <v>24514</v>
      </c>
      <c r="I8006" s="76">
        <v>9</v>
      </c>
      <c r="J8006" s="44" t="str">
        <f>VLOOKUP(G8006,[1]硬件清单!$F:$F,1,0)</f>
        <v>BHNZ001400</v>
      </c>
      <c r="K8006" s="66"/>
      <c r="L8006" s="44" t="s">
        <v>17</v>
      </c>
      <c r="M8006" s="75" t="s">
        <v>24515</v>
      </c>
    </row>
    <row r="8007" ht="30" customHeight="1" spans="1:13">
      <c r="A8007" s="41">
        <f>IF(C8007="","",SUBTOTAL(103,$C$2:C8007))</f>
        <v>7998</v>
      </c>
      <c r="B8007" s="67"/>
      <c r="C8007" s="58" t="s">
        <v>20331</v>
      </c>
      <c r="D8007" s="63" t="s">
        <v>23050</v>
      </c>
      <c r="E8007" s="63" t="s">
        <v>23050</v>
      </c>
      <c r="F8007" s="74" t="s">
        <v>24393</v>
      </c>
      <c r="G8007" s="75" t="s">
        <v>24516</v>
      </c>
      <c r="H8007" s="75" t="s">
        <v>24517</v>
      </c>
      <c r="I8007" s="76">
        <v>9</v>
      </c>
      <c r="J8007" s="44" t="str">
        <f>VLOOKUP(G8007,[1]硬件清单!$F:$F,1,0)</f>
        <v>BHNZ001401</v>
      </c>
      <c r="K8007" s="66"/>
      <c r="L8007" s="44" t="s">
        <v>17</v>
      </c>
      <c r="M8007" s="75" t="s">
        <v>24518</v>
      </c>
    </row>
    <row r="8008" ht="30" customHeight="1" spans="1:13">
      <c r="A8008" s="41">
        <f>IF(C8008="","",SUBTOTAL(103,$C$2:C8008))</f>
        <v>7999</v>
      </c>
      <c r="B8008" s="67"/>
      <c r="C8008" s="58" t="s">
        <v>20331</v>
      </c>
      <c r="D8008" s="63" t="s">
        <v>23050</v>
      </c>
      <c r="E8008" s="63" t="s">
        <v>23050</v>
      </c>
      <c r="F8008" s="74" t="s">
        <v>24519</v>
      </c>
      <c r="G8008" s="75" t="s">
        <v>24520</v>
      </c>
      <c r="H8008" s="75" t="s">
        <v>24521</v>
      </c>
      <c r="I8008" s="76">
        <v>9</v>
      </c>
      <c r="J8008" s="44" t="str">
        <f>VLOOKUP(G8008,[1]硬件清单!$F:$F,1,0)</f>
        <v>LZ22070504</v>
      </c>
      <c r="K8008" s="66"/>
      <c r="L8008" s="44" t="s">
        <v>17</v>
      </c>
      <c r="M8008" s="75" t="s">
        <v>24522</v>
      </c>
    </row>
    <row r="8009" ht="30" customHeight="1" spans="1:13">
      <c r="A8009" s="41">
        <f>IF(C8009="","",SUBTOTAL(103,$C$2:C8009))</f>
        <v>8000</v>
      </c>
      <c r="B8009" s="67"/>
      <c r="C8009" s="58" t="s">
        <v>20331</v>
      </c>
      <c r="D8009" s="63" t="s">
        <v>23050</v>
      </c>
      <c r="E8009" s="63" t="s">
        <v>23050</v>
      </c>
      <c r="F8009" s="74" t="s">
        <v>24523</v>
      </c>
      <c r="G8009" s="75" t="s">
        <v>24524</v>
      </c>
      <c r="H8009" s="75" t="s">
        <v>24525</v>
      </c>
      <c r="I8009" s="76">
        <v>9</v>
      </c>
      <c r="J8009" s="44" t="str">
        <f>VLOOKUP(G8009,[1]硬件清单!$F:$F,1,0)</f>
        <v>29190256</v>
      </c>
      <c r="K8009" s="66"/>
      <c r="L8009" s="44" t="s">
        <v>17</v>
      </c>
      <c r="M8009" s="75" t="s">
        <v>24526</v>
      </c>
    </row>
    <row r="8010" ht="30" customHeight="1" spans="1:13">
      <c r="A8010" s="41">
        <f>IF(C8010="","",SUBTOTAL(103,$C$2:C8010))</f>
        <v>8001</v>
      </c>
      <c r="B8010" s="67"/>
      <c r="C8010" s="58" t="s">
        <v>20331</v>
      </c>
      <c r="D8010" s="63" t="s">
        <v>23050</v>
      </c>
      <c r="E8010" s="63" t="s">
        <v>23050</v>
      </c>
      <c r="F8010" s="74" t="s">
        <v>24527</v>
      </c>
      <c r="G8010" s="75" t="s">
        <v>24528</v>
      </c>
      <c r="H8010" s="77" t="s">
        <v>24529</v>
      </c>
      <c r="I8010" s="76">
        <v>9</v>
      </c>
      <c r="J8010" s="44" t="str">
        <f>VLOOKUP(G8010,[1]硬件清单!$F:$F,1,0)</f>
        <v>80100873T2212020012212120006</v>
      </c>
      <c r="K8010" s="66"/>
      <c r="L8010" s="44" t="s">
        <v>17</v>
      </c>
      <c r="M8010" s="75" t="s">
        <v>24530</v>
      </c>
    </row>
    <row r="8011" ht="30" customHeight="1" spans="1:13">
      <c r="A8011" s="41">
        <f>IF(C8011="","",SUBTOTAL(103,$C$2:C8011))</f>
        <v>8002</v>
      </c>
      <c r="B8011" s="67"/>
      <c r="C8011" s="58" t="s">
        <v>20331</v>
      </c>
      <c r="D8011" s="63" t="s">
        <v>23050</v>
      </c>
      <c r="E8011" s="63" t="s">
        <v>23050</v>
      </c>
      <c r="F8011" s="74" t="s">
        <v>24527</v>
      </c>
      <c r="G8011" s="75" t="s">
        <v>24531</v>
      </c>
      <c r="H8011" s="77" t="s">
        <v>24532</v>
      </c>
      <c r="I8011" s="76">
        <v>9</v>
      </c>
      <c r="J8011" s="44" t="str">
        <f>VLOOKUP(G8011,[1]硬件清单!$F:$F,1,0)</f>
        <v>C8250FL10P10276</v>
      </c>
      <c r="K8011" s="66"/>
      <c r="L8011" s="44" t="s">
        <v>17</v>
      </c>
      <c r="M8011" s="75" t="s">
        <v>24533</v>
      </c>
    </row>
    <row r="8012" ht="30" customHeight="1" spans="1:13">
      <c r="A8012" s="41">
        <f>IF(C8012="","",SUBTOTAL(103,$C$2:C8012))</f>
        <v>8003</v>
      </c>
      <c r="B8012" s="67"/>
      <c r="C8012" s="58" t="s">
        <v>20331</v>
      </c>
      <c r="D8012" s="63" t="s">
        <v>23050</v>
      </c>
      <c r="E8012" s="63" t="s">
        <v>23050</v>
      </c>
      <c r="F8012" s="74" t="s">
        <v>24527</v>
      </c>
      <c r="G8012" s="75" t="s">
        <v>24534</v>
      </c>
      <c r="H8012" s="77" t="s">
        <v>24535</v>
      </c>
      <c r="I8012" s="76">
        <v>9</v>
      </c>
      <c r="J8012" s="44" t="str">
        <f>VLOOKUP(G8012,[1]硬件清单!$F:$F,1,0)</f>
        <v>80100873T2212020012212120002</v>
      </c>
      <c r="K8012" s="66"/>
      <c r="L8012" s="44" t="s">
        <v>17</v>
      </c>
      <c r="M8012" s="75" t="s">
        <v>24536</v>
      </c>
    </row>
    <row r="8013" ht="30" customHeight="1" spans="1:13">
      <c r="A8013" s="41">
        <f>IF(C8013="","",SUBTOTAL(103,$C$2:C8013))</f>
        <v>8004</v>
      </c>
      <c r="B8013" s="67"/>
      <c r="C8013" s="58" t="s">
        <v>20331</v>
      </c>
      <c r="D8013" s="63" t="s">
        <v>23050</v>
      </c>
      <c r="E8013" s="63" t="s">
        <v>23050</v>
      </c>
      <c r="F8013" s="74" t="s">
        <v>24527</v>
      </c>
      <c r="G8013" s="75" t="s">
        <v>24537</v>
      </c>
      <c r="H8013" s="77" t="s">
        <v>24538</v>
      </c>
      <c r="I8013" s="76">
        <v>9</v>
      </c>
      <c r="J8013" s="44" t="str">
        <f>VLOOKUP(G8013,[1]硬件清单!$F:$F,1,0)</f>
        <v>C8250FL10P10441</v>
      </c>
      <c r="K8013" s="66"/>
      <c r="L8013" s="44" t="s">
        <v>17</v>
      </c>
      <c r="M8013" s="75" t="s">
        <v>24539</v>
      </c>
    </row>
    <row r="8014" ht="30" customHeight="1" spans="1:13">
      <c r="A8014" s="41">
        <f>IF(C8014="","",SUBTOTAL(103,$C$2:C8014))</f>
        <v>8005</v>
      </c>
      <c r="B8014" s="67"/>
      <c r="C8014" s="58" t="s">
        <v>20331</v>
      </c>
      <c r="D8014" s="63" t="s">
        <v>23050</v>
      </c>
      <c r="E8014" s="63" t="s">
        <v>23050</v>
      </c>
      <c r="F8014" s="74" t="s">
        <v>24527</v>
      </c>
      <c r="G8014" s="75" t="s">
        <v>24540</v>
      </c>
      <c r="H8014" s="77" t="s">
        <v>24541</v>
      </c>
      <c r="I8014" s="76">
        <v>9</v>
      </c>
      <c r="J8014" s="44" t="str">
        <f>VLOOKUP(G8014,[1]硬件清单!$F:$F,1,0)</f>
        <v>80100873T2212020012212120009</v>
      </c>
      <c r="K8014" s="66"/>
      <c r="L8014" s="44" t="s">
        <v>17</v>
      </c>
      <c r="M8014" s="75" t="s">
        <v>24542</v>
      </c>
    </row>
    <row r="8015" ht="30" customHeight="1" spans="1:13">
      <c r="A8015" s="41">
        <f>IF(C8015="","",SUBTOTAL(103,$C$2:C8015))</f>
        <v>8006</v>
      </c>
      <c r="B8015" s="67"/>
      <c r="C8015" s="58" t="s">
        <v>20331</v>
      </c>
      <c r="D8015" s="63" t="s">
        <v>23050</v>
      </c>
      <c r="E8015" s="63" t="s">
        <v>23050</v>
      </c>
      <c r="F8015" s="74" t="s">
        <v>24527</v>
      </c>
      <c r="G8015" s="75" t="s">
        <v>24543</v>
      </c>
      <c r="H8015" s="77" t="s">
        <v>24544</v>
      </c>
      <c r="I8015" s="76">
        <v>9</v>
      </c>
      <c r="J8015" s="44" t="str">
        <f>VLOOKUP(G8015,[1]硬件清单!$F:$F,1,0)</f>
        <v>C8250FL10P10270</v>
      </c>
      <c r="K8015" s="66"/>
      <c r="L8015" s="44" t="s">
        <v>17</v>
      </c>
      <c r="M8015" s="75" t="s">
        <v>24545</v>
      </c>
    </row>
    <row r="8016" ht="30" customHeight="1" spans="1:13">
      <c r="A8016" s="41">
        <f>IF(C8016="","",SUBTOTAL(103,$C$2:C8016))</f>
        <v>8007</v>
      </c>
      <c r="B8016" s="67"/>
      <c r="C8016" s="58" t="s">
        <v>20331</v>
      </c>
      <c r="D8016" s="63" t="s">
        <v>23050</v>
      </c>
      <c r="E8016" s="63" t="s">
        <v>23050</v>
      </c>
      <c r="F8016" s="74" t="s">
        <v>24527</v>
      </c>
      <c r="G8016" s="75" t="s">
        <v>24546</v>
      </c>
      <c r="H8016" s="77" t="s">
        <v>24547</v>
      </c>
      <c r="I8016" s="76">
        <v>9</v>
      </c>
      <c r="J8016" s="44" t="str">
        <f>VLOOKUP(G8016,[1]硬件清单!$F:$F,1,0)</f>
        <v>80100873T2212020012212120008</v>
      </c>
      <c r="K8016" s="66"/>
      <c r="L8016" s="44" t="s">
        <v>17</v>
      </c>
      <c r="M8016" s="75" t="s">
        <v>24548</v>
      </c>
    </row>
    <row r="8017" ht="30" customHeight="1" spans="1:13">
      <c r="A8017" s="41">
        <f>IF(C8017="","",SUBTOTAL(103,$C$2:C8017))</f>
        <v>8008</v>
      </c>
      <c r="B8017" s="67"/>
      <c r="C8017" s="58" t="s">
        <v>20331</v>
      </c>
      <c r="D8017" s="63" t="s">
        <v>23050</v>
      </c>
      <c r="E8017" s="63" t="s">
        <v>23050</v>
      </c>
      <c r="F8017" s="74" t="s">
        <v>24527</v>
      </c>
      <c r="G8017" s="75" t="s">
        <v>24549</v>
      </c>
      <c r="H8017" s="77" t="s">
        <v>24550</v>
      </c>
      <c r="I8017" s="76">
        <v>9</v>
      </c>
      <c r="J8017" s="44" t="str">
        <f>VLOOKUP(G8017,[1]硬件清单!$F:$F,1,0)</f>
        <v>C8250FL10P10440</v>
      </c>
      <c r="K8017" s="66"/>
      <c r="L8017" s="44" t="s">
        <v>17</v>
      </c>
      <c r="M8017" s="75" t="s">
        <v>24551</v>
      </c>
    </row>
    <row r="8018" ht="30" customHeight="1" spans="1:13">
      <c r="A8018" s="41">
        <f>IF(C8018="","",SUBTOTAL(103,$C$2:C8018))</f>
        <v>8009</v>
      </c>
      <c r="B8018" s="67"/>
      <c r="C8018" s="58" t="s">
        <v>20331</v>
      </c>
      <c r="D8018" s="63" t="s">
        <v>23050</v>
      </c>
      <c r="E8018" s="63" t="s">
        <v>23050</v>
      </c>
      <c r="F8018" s="74" t="s">
        <v>24527</v>
      </c>
      <c r="G8018" s="75" t="s">
        <v>24552</v>
      </c>
      <c r="H8018" s="77" t="s">
        <v>24553</v>
      </c>
      <c r="I8018" s="76">
        <v>9</v>
      </c>
      <c r="J8018" s="44" t="str">
        <f>VLOOKUP(G8018,[1]硬件清单!$F:$F,1,0)</f>
        <v>80100873T2212020012212120005</v>
      </c>
      <c r="K8018" s="66"/>
      <c r="L8018" s="44" t="s">
        <v>17</v>
      </c>
      <c r="M8018" s="75" t="s">
        <v>24554</v>
      </c>
    </row>
    <row r="8019" ht="30" customHeight="1" spans="1:13">
      <c r="A8019" s="41">
        <f>IF(C8019="","",SUBTOTAL(103,$C$2:C8019))</f>
        <v>8010</v>
      </c>
      <c r="B8019" s="67"/>
      <c r="C8019" s="58" t="s">
        <v>20331</v>
      </c>
      <c r="D8019" s="63" t="s">
        <v>23050</v>
      </c>
      <c r="E8019" s="63" t="s">
        <v>23050</v>
      </c>
      <c r="F8019" s="74" t="s">
        <v>24527</v>
      </c>
      <c r="G8019" s="75" t="s">
        <v>24555</v>
      </c>
      <c r="H8019" s="77" t="s">
        <v>24556</v>
      </c>
      <c r="I8019" s="76">
        <v>9</v>
      </c>
      <c r="J8019" s="44" t="str">
        <f>VLOOKUP(G8019,[1]硬件清单!$F:$F,1,0)</f>
        <v>C8250FL10P10272</v>
      </c>
      <c r="K8019" s="66"/>
      <c r="L8019" s="44" t="s">
        <v>17</v>
      </c>
      <c r="M8019" s="75" t="s">
        <v>24557</v>
      </c>
    </row>
    <row r="8020" ht="30" customHeight="1" spans="1:13">
      <c r="A8020" s="41">
        <f>IF(C8020="","",SUBTOTAL(103,$C$2:C8020))</f>
        <v>8011</v>
      </c>
      <c r="B8020" s="67"/>
      <c r="C8020" s="58" t="s">
        <v>20331</v>
      </c>
      <c r="D8020" s="63" t="s">
        <v>23050</v>
      </c>
      <c r="E8020" s="63" t="s">
        <v>23050</v>
      </c>
      <c r="F8020" s="74" t="s">
        <v>24527</v>
      </c>
      <c r="G8020" s="75" t="s">
        <v>24558</v>
      </c>
      <c r="H8020" s="77" t="s">
        <v>24559</v>
      </c>
      <c r="I8020" s="76">
        <v>9</v>
      </c>
      <c r="J8020" s="44" t="str">
        <f>VLOOKUP(G8020,[1]硬件清单!$F:$F,1,0)</f>
        <v>80100873T2212020012212120010</v>
      </c>
      <c r="K8020" s="66"/>
      <c r="L8020" s="44" t="s">
        <v>17</v>
      </c>
      <c r="M8020" s="75" t="s">
        <v>24560</v>
      </c>
    </row>
    <row r="8021" ht="30" customHeight="1" spans="1:13">
      <c r="A8021" s="41">
        <f>IF(C8021="","",SUBTOTAL(103,$C$2:C8021))</f>
        <v>8012</v>
      </c>
      <c r="B8021" s="67"/>
      <c r="C8021" s="58" t="s">
        <v>20331</v>
      </c>
      <c r="D8021" s="63" t="s">
        <v>23050</v>
      </c>
      <c r="E8021" s="63" t="s">
        <v>23050</v>
      </c>
      <c r="F8021" s="74" t="s">
        <v>24527</v>
      </c>
      <c r="G8021" s="75" t="s">
        <v>24561</v>
      </c>
      <c r="H8021" s="77" t="s">
        <v>24562</v>
      </c>
      <c r="I8021" s="76">
        <v>9</v>
      </c>
      <c r="J8021" s="44" t="str">
        <f>VLOOKUP(G8021,[1]硬件清单!$F:$F,1,0)</f>
        <v>C8250FL10P10149</v>
      </c>
      <c r="K8021" s="66"/>
      <c r="L8021" s="44" t="s">
        <v>17</v>
      </c>
      <c r="M8021" s="75" t="s">
        <v>24563</v>
      </c>
    </row>
    <row r="8022" ht="30" customHeight="1" spans="1:13">
      <c r="A8022" s="41">
        <f>IF(C8022="","",SUBTOTAL(103,$C$2:C8022))</f>
        <v>8013</v>
      </c>
      <c r="B8022" s="67"/>
      <c r="C8022" s="58" t="s">
        <v>20331</v>
      </c>
      <c r="D8022" s="63" t="s">
        <v>23050</v>
      </c>
      <c r="E8022" s="63" t="s">
        <v>23050</v>
      </c>
      <c r="F8022" s="74" t="s">
        <v>24527</v>
      </c>
      <c r="G8022" s="75" t="s">
        <v>24564</v>
      </c>
      <c r="H8022" s="77" t="s">
        <v>24565</v>
      </c>
      <c r="I8022" s="76">
        <v>9</v>
      </c>
      <c r="J8022" s="44" t="str">
        <f>VLOOKUP(G8022,[1]硬件清单!$F:$F,1,0)</f>
        <v>80100873T2212020012212120004</v>
      </c>
      <c r="K8022" s="66"/>
      <c r="L8022" s="44" t="s">
        <v>17</v>
      </c>
      <c r="M8022" s="75" t="s">
        <v>24566</v>
      </c>
    </row>
    <row r="8023" ht="30" customHeight="1" spans="1:13">
      <c r="A8023" s="41">
        <f>IF(C8023="","",SUBTOTAL(103,$C$2:C8023))</f>
        <v>8014</v>
      </c>
      <c r="B8023" s="67"/>
      <c r="C8023" s="58" t="s">
        <v>20331</v>
      </c>
      <c r="D8023" s="63" t="s">
        <v>23050</v>
      </c>
      <c r="E8023" s="63" t="s">
        <v>23050</v>
      </c>
      <c r="F8023" s="74" t="s">
        <v>24527</v>
      </c>
      <c r="G8023" s="75" t="s">
        <v>24567</v>
      </c>
      <c r="H8023" s="77" t="s">
        <v>24568</v>
      </c>
      <c r="I8023" s="76">
        <v>9</v>
      </c>
      <c r="J8023" s="44" t="str">
        <f>VLOOKUP(G8023,[1]硬件清单!$F:$F,1,0)</f>
        <v>C8250FL10P10446</v>
      </c>
      <c r="K8023" s="66"/>
      <c r="L8023" s="44" t="s">
        <v>17</v>
      </c>
      <c r="M8023" s="75" t="s">
        <v>24569</v>
      </c>
    </row>
    <row r="8024" ht="30" customHeight="1" spans="1:13">
      <c r="A8024" s="41">
        <f>IF(C8024="","",SUBTOTAL(103,$C$2:C8024))</f>
        <v>8015</v>
      </c>
      <c r="B8024" s="67"/>
      <c r="C8024" s="58" t="s">
        <v>20331</v>
      </c>
      <c r="D8024" s="63" t="s">
        <v>23050</v>
      </c>
      <c r="E8024" s="63" t="s">
        <v>23050</v>
      </c>
      <c r="F8024" s="74" t="s">
        <v>24527</v>
      </c>
      <c r="G8024" s="75" t="s">
        <v>24570</v>
      </c>
      <c r="H8024" s="77" t="s">
        <v>24571</v>
      </c>
      <c r="I8024" s="76">
        <v>9</v>
      </c>
      <c r="J8024" s="44" t="str">
        <f>VLOOKUP(G8024,[1]硬件清单!$F:$F,1,0)</f>
        <v>80100873T2212020012212120001</v>
      </c>
      <c r="K8024" s="66"/>
      <c r="L8024" s="44" t="s">
        <v>17</v>
      </c>
      <c r="M8024" s="75" t="s">
        <v>24572</v>
      </c>
    </row>
    <row r="8025" ht="30" customHeight="1" spans="1:13">
      <c r="A8025" s="41">
        <f>IF(C8025="","",SUBTOTAL(103,$C$2:C8025))</f>
        <v>8016</v>
      </c>
      <c r="B8025" s="67"/>
      <c r="C8025" s="58" t="s">
        <v>20331</v>
      </c>
      <c r="D8025" s="63" t="s">
        <v>23050</v>
      </c>
      <c r="E8025" s="63" t="s">
        <v>23050</v>
      </c>
      <c r="F8025" s="74" t="s">
        <v>24527</v>
      </c>
      <c r="G8025" s="75" t="s">
        <v>24573</v>
      </c>
      <c r="H8025" s="77" t="s">
        <v>24574</v>
      </c>
      <c r="I8025" s="76">
        <v>9</v>
      </c>
      <c r="J8025" s="44" t="str">
        <f>VLOOKUP(G8025,[1]硬件清单!$F:$F,1,0)</f>
        <v>C8250FL10P10355</v>
      </c>
      <c r="K8025" s="66"/>
      <c r="L8025" s="44" t="s">
        <v>17</v>
      </c>
      <c r="M8025" s="75" t="s">
        <v>24575</v>
      </c>
    </row>
    <row r="8026" ht="30" customHeight="1" spans="1:13">
      <c r="A8026" s="41">
        <f>IF(C8026="","",SUBTOTAL(103,$C$2:C8026))</f>
        <v>8017</v>
      </c>
      <c r="B8026" s="67"/>
      <c r="C8026" s="58" t="s">
        <v>20331</v>
      </c>
      <c r="D8026" s="63" t="s">
        <v>23050</v>
      </c>
      <c r="E8026" s="63" t="s">
        <v>23050</v>
      </c>
      <c r="F8026" s="74" t="s">
        <v>24527</v>
      </c>
      <c r="G8026" s="75" t="s">
        <v>24576</v>
      </c>
      <c r="H8026" s="77" t="s">
        <v>24577</v>
      </c>
      <c r="I8026" s="76">
        <v>9</v>
      </c>
      <c r="J8026" s="44" t="str">
        <f>VLOOKUP(G8026,[1]硬件清单!$F:$F,1,0)</f>
        <v>80100873T2212020012212120011</v>
      </c>
      <c r="K8026" s="66"/>
      <c r="L8026" s="44" t="s">
        <v>17</v>
      </c>
      <c r="M8026" s="75" t="s">
        <v>24578</v>
      </c>
    </row>
    <row r="8027" ht="30" customHeight="1" spans="1:13">
      <c r="A8027" s="41">
        <f>IF(C8027="","",SUBTOTAL(103,$C$2:C8027))</f>
        <v>8018</v>
      </c>
      <c r="B8027" s="67"/>
      <c r="C8027" s="58" t="s">
        <v>20331</v>
      </c>
      <c r="D8027" s="63" t="s">
        <v>23050</v>
      </c>
      <c r="E8027" s="63" t="s">
        <v>23050</v>
      </c>
      <c r="F8027" s="74" t="s">
        <v>24527</v>
      </c>
      <c r="G8027" s="75" t="s">
        <v>24579</v>
      </c>
      <c r="H8027" s="77" t="s">
        <v>24580</v>
      </c>
      <c r="I8027" s="76">
        <v>9</v>
      </c>
      <c r="J8027" s="44" t="str">
        <f>VLOOKUP(G8027,[1]硬件清单!$F:$F,1,0)</f>
        <v>C8250FL10P10448</v>
      </c>
      <c r="K8027" s="66"/>
      <c r="L8027" s="44" t="s">
        <v>17</v>
      </c>
      <c r="M8027" s="75" t="s">
        <v>24581</v>
      </c>
    </row>
    <row r="8028" ht="30" customHeight="1" spans="1:13">
      <c r="A8028" s="41">
        <f>IF(C8028="","",SUBTOTAL(103,$C$2:C8028))</f>
        <v>8019</v>
      </c>
      <c r="B8028" s="67"/>
      <c r="C8028" s="58" t="s">
        <v>20331</v>
      </c>
      <c r="D8028" s="63" t="s">
        <v>23050</v>
      </c>
      <c r="E8028" s="63" t="s">
        <v>23050</v>
      </c>
      <c r="F8028" s="74" t="s">
        <v>24527</v>
      </c>
      <c r="G8028" s="75" t="s">
        <v>24582</v>
      </c>
      <c r="H8028" s="77" t="s">
        <v>24583</v>
      </c>
      <c r="I8028" s="76">
        <v>9</v>
      </c>
      <c r="J8028" s="44" t="str">
        <f>VLOOKUP(G8028,[1]硬件清单!$F:$F,1,0)</f>
        <v>80100873T2212020012212120003</v>
      </c>
      <c r="K8028" s="66"/>
      <c r="L8028" s="44" t="s">
        <v>17</v>
      </c>
      <c r="M8028" s="75" t="s">
        <v>24584</v>
      </c>
    </row>
    <row r="8029" ht="30" customHeight="1" spans="1:13">
      <c r="A8029" s="41">
        <f>IF(C8029="","",SUBTOTAL(103,$C$2:C8029))</f>
        <v>8020</v>
      </c>
      <c r="B8029" s="67"/>
      <c r="C8029" s="58" t="s">
        <v>20331</v>
      </c>
      <c r="D8029" s="63" t="s">
        <v>23050</v>
      </c>
      <c r="E8029" s="63" t="s">
        <v>23050</v>
      </c>
      <c r="F8029" s="74" t="s">
        <v>24527</v>
      </c>
      <c r="G8029" s="75" t="s">
        <v>24585</v>
      </c>
      <c r="H8029" s="77" t="s">
        <v>24586</v>
      </c>
      <c r="I8029" s="76">
        <v>9</v>
      </c>
      <c r="J8029" s="44" t="str">
        <f>VLOOKUP(G8029,[1]硬件清单!$F:$F,1,0)</f>
        <v>C8250FL10P10445</v>
      </c>
      <c r="K8029" s="66"/>
      <c r="L8029" s="44" t="s">
        <v>17</v>
      </c>
      <c r="M8029" s="75" t="s">
        <v>24587</v>
      </c>
    </row>
    <row r="8030" ht="30" customHeight="1" spans="1:13">
      <c r="A8030" s="41">
        <f>IF(C8030="","",SUBTOTAL(103,$C$2:C8030))</f>
        <v>8021</v>
      </c>
      <c r="B8030" s="67"/>
      <c r="C8030" s="58" t="s">
        <v>20331</v>
      </c>
      <c r="D8030" s="63" t="s">
        <v>23050</v>
      </c>
      <c r="E8030" s="63" t="s">
        <v>23050</v>
      </c>
      <c r="F8030" s="74" t="s">
        <v>24527</v>
      </c>
      <c r="G8030" s="75" t="s">
        <v>24588</v>
      </c>
      <c r="H8030" s="77" t="s">
        <v>24589</v>
      </c>
      <c r="I8030" s="76">
        <v>9</v>
      </c>
      <c r="J8030" s="44" t="str">
        <f>VLOOKUP(G8030,[1]硬件清单!$F:$F,1,0)</f>
        <v>80100873T2212020012212120014</v>
      </c>
      <c r="K8030" s="66"/>
      <c r="L8030" s="44" t="s">
        <v>17</v>
      </c>
      <c r="M8030" s="75" t="s">
        <v>24590</v>
      </c>
    </row>
    <row r="8031" ht="30" customHeight="1" spans="1:13">
      <c r="A8031" s="41">
        <f>IF(C8031="","",SUBTOTAL(103,$C$2:C8031))</f>
        <v>8022</v>
      </c>
      <c r="B8031" s="67"/>
      <c r="C8031" s="58" t="s">
        <v>20331</v>
      </c>
      <c r="D8031" s="63" t="s">
        <v>23050</v>
      </c>
      <c r="E8031" s="63" t="s">
        <v>23050</v>
      </c>
      <c r="F8031" s="74" t="s">
        <v>24527</v>
      </c>
      <c r="G8031" s="75" t="s">
        <v>24591</v>
      </c>
      <c r="H8031" s="77" t="s">
        <v>24592</v>
      </c>
      <c r="I8031" s="76">
        <v>9</v>
      </c>
      <c r="J8031" s="44" t="str">
        <f>VLOOKUP(G8031,[1]硬件清单!$F:$F,1,0)</f>
        <v>C8250FL10P10324</v>
      </c>
      <c r="K8031" s="66"/>
      <c r="L8031" s="44" t="s">
        <v>17</v>
      </c>
      <c r="M8031" s="75" t="s">
        <v>24593</v>
      </c>
    </row>
    <row r="8032" ht="30" customHeight="1" spans="1:13">
      <c r="A8032" s="41">
        <f>IF(C8032="","",SUBTOTAL(103,$C$2:C8032))</f>
        <v>8023</v>
      </c>
      <c r="B8032" s="67"/>
      <c r="C8032" s="58" t="s">
        <v>20331</v>
      </c>
      <c r="D8032" s="63" t="s">
        <v>23050</v>
      </c>
      <c r="E8032" s="63" t="s">
        <v>23050</v>
      </c>
      <c r="F8032" s="74" t="s">
        <v>24527</v>
      </c>
      <c r="G8032" s="75" t="s">
        <v>24594</v>
      </c>
      <c r="H8032" s="77" t="s">
        <v>24595</v>
      </c>
      <c r="I8032" s="76">
        <v>9</v>
      </c>
      <c r="J8032" s="44" t="str">
        <f>VLOOKUP(G8032,[1]硬件清单!$F:$F,1,0)</f>
        <v>80100873T2212020012212120013</v>
      </c>
      <c r="K8032" s="66"/>
      <c r="L8032" s="44" t="s">
        <v>17</v>
      </c>
      <c r="M8032" s="75" t="s">
        <v>24596</v>
      </c>
    </row>
    <row r="8033" ht="30" customHeight="1" spans="1:13">
      <c r="A8033" s="41">
        <f>IF(C8033="","",SUBTOTAL(103,$C$2:C8033))</f>
        <v>8024</v>
      </c>
      <c r="B8033" s="67"/>
      <c r="C8033" s="58" t="s">
        <v>20331</v>
      </c>
      <c r="D8033" s="63" t="s">
        <v>23050</v>
      </c>
      <c r="E8033" s="63" t="s">
        <v>23050</v>
      </c>
      <c r="F8033" s="74" t="s">
        <v>24527</v>
      </c>
      <c r="G8033" s="75" t="s">
        <v>24597</v>
      </c>
      <c r="H8033" s="77" t="s">
        <v>24598</v>
      </c>
      <c r="I8033" s="76">
        <v>9</v>
      </c>
      <c r="J8033" s="44" t="str">
        <f>VLOOKUP(G8033,[1]硬件清单!$F:$F,1,0)</f>
        <v>C8250FL10P10314</v>
      </c>
      <c r="K8033" s="66"/>
      <c r="L8033" s="44" t="s">
        <v>17</v>
      </c>
      <c r="M8033" s="75" t="s">
        <v>24599</v>
      </c>
    </row>
    <row r="8034" ht="30" customHeight="1" spans="1:13">
      <c r="A8034" s="41">
        <f>IF(C8034="","",SUBTOTAL(103,$C$2:C8034))</f>
        <v>8025</v>
      </c>
      <c r="B8034" s="67"/>
      <c r="C8034" s="58" t="s">
        <v>20331</v>
      </c>
      <c r="D8034" s="63" t="s">
        <v>23050</v>
      </c>
      <c r="E8034" s="63" t="s">
        <v>23050</v>
      </c>
      <c r="F8034" s="74" t="s">
        <v>24527</v>
      </c>
      <c r="G8034" s="75" t="s">
        <v>24600</v>
      </c>
      <c r="H8034" s="77" t="s">
        <v>24601</v>
      </c>
      <c r="I8034" s="76">
        <v>9</v>
      </c>
      <c r="J8034" s="44" t="str">
        <f>VLOOKUP(G8034,[1]硬件清单!$F:$F,1,0)</f>
        <v>80100873T2212020012212120007</v>
      </c>
      <c r="K8034" s="66"/>
      <c r="L8034" s="44" t="s">
        <v>17</v>
      </c>
      <c r="M8034" s="75" t="s">
        <v>24602</v>
      </c>
    </row>
    <row r="8035" ht="30" customHeight="1" spans="1:13">
      <c r="A8035" s="41">
        <f>IF(C8035="","",SUBTOTAL(103,$C$2:C8035))</f>
        <v>8026</v>
      </c>
      <c r="B8035" s="67"/>
      <c r="C8035" s="58" t="s">
        <v>20331</v>
      </c>
      <c r="D8035" s="63" t="s">
        <v>23050</v>
      </c>
      <c r="E8035" s="63" t="s">
        <v>23050</v>
      </c>
      <c r="F8035" s="74" t="s">
        <v>24527</v>
      </c>
      <c r="G8035" s="75" t="s">
        <v>24603</v>
      </c>
      <c r="H8035" s="77" t="s">
        <v>24604</v>
      </c>
      <c r="I8035" s="76">
        <v>9</v>
      </c>
      <c r="J8035" s="44" t="str">
        <f>VLOOKUP(G8035,[1]硬件清单!$F:$F,1,0)</f>
        <v>C8250FL10P10338</v>
      </c>
      <c r="K8035" s="66"/>
      <c r="L8035" s="44" t="s">
        <v>17</v>
      </c>
      <c r="M8035" s="75" t="s">
        <v>24605</v>
      </c>
    </row>
    <row r="8036" ht="30" customHeight="1" spans="1:13">
      <c r="A8036" s="41">
        <f>IF(C8036="","",SUBTOTAL(103,$C$2:C8036))</f>
        <v>8027</v>
      </c>
      <c r="B8036" s="67"/>
      <c r="C8036" s="58" t="s">
        <v>20331</v>
      </c>
      <c r="D8036" s="63" t="s">
        <v>23050</v>
      </c>
      <c r="E8036" s="63" t="s">
        <v>23050</v>
      </c>
      <c r="F8036" s="74" t="s">
        <v>24527</v>
      </c>
      <c r="G8036" s="75" t="s">
        <v>24606</v>
      </c>
      <c r="H8036" s="77" t="s">
        <v>24607</v>
      </c>
      <c r="I8036" s="76">
        <v>9</v>
      </c>
      <c r="J8036" s="44" t="str">
        <f>VLOOKUP(G8036,[1]硬件清单!$F:$F,1,0)</f>
        <v>80100873T2212020012212120012</v>
      </c>
      <c r="K8036" s="66"/>
      <c r="L8036" s="44" t="s">
        <v>17</v>
      </c>
      <c r="M8036" s="75" t="s">
        <v>24608</v>
      </c>
    </row>
    <row r="8037" ht="30" customHeight="1" spans="1:13">
      <c r="A8037" s="41">
        <f>IF(C8037="","",SUBTOTAL(103,$C$2:C8037))</f>
        <v>8028</v>
      </c>
      <c r="B8037" s="67"/>
      <c r="C8037" s="58" t="s">
        <v>20331</v>
      </c>
      <c r="D8037" s="63" t="s">
        <v>23050</v>
      </c>
      <c r="E8037" s="63" t="s">
        <v>23050</v>
      </c>
      <c r="F8037" s="74" t="s">
        <v>24527</v>
      </c>
      <c r="G8037" s="75" t="s">
        <v>24609</v>
      </c>
      <c r="H8037" s="77" t="s">
        <v>24610</v>
      </c>
      <c r="I8037" s="76">
        <v>9</v>
      </c>
      <c r="J8037" s="44" t="str">
        <f>VLOOKUP(G8037,[1]硬件清单!$F:$F,1,0)</f>
        <v>C8250FL10P10450</v>
      </c>
      <c r="K8037" s="66"/>
      <c r="L8037" s="44" t="s">
        <v>17</v>
      </c>
      <c r="M8037" s="75" t="s">
        <v>24611</v>
      </c>
    </row>
    <row r="8038" ht="30" customHeight="1" spans="1:13">
      <c r="A8038" s="41">
        <f>IF(C8038="","",SUBTOTAL(103,$C$2:C8038))</f>
        <v>8029</v>
      </c>
      <c r="B8038" s="67"/>
      <c r="C8038" s="58" t="s">
        <v>20331</v>
      </c>
      <c r="D8038" s="2" t="s">
        <v>23504</v>
      </c>
      <c r="E8038" s="2" t="s">
        <v>23504</v>
      </c>
      <c r="F8038" s="74" t="s">
        <v>23530</v>
      </c>
      <c r="G8038" s="75" t="s">
        <v>24612</v>
      </c>
      <c r="H8038" s="75" t="s">
        <v>24613</v>
      </c>
      <c r="I8038" s="76">
        <v>9</v>
      </c>
      <c r="J8038" s="44" t="str">
        <f>VLOOKUP(G8038,[1]硬件清单!$F:$F,1,0)</f>
        <v>2106195GYVX3NC000005</v>
      </c>
      <c r="K8038" s="66"/>
      <c r="L8038" s="44"/>
      <c r="M8038" s="75" t="s">
        <v>24614</v>
      </c>
    </row>
    <row r="8039" ht="30" customHeight="1" spans="1:13">
      <c r="A8039" s="41">
        <f>IF(C8039="","",SUBTOTAL(103,$C$2:C8039))</f>
        <v>8030</v>
      </c>
      <c r="B8039" s="67"/>
      <c r="C8039" s="58" t="s">
        <v>20331</v>
      </c>
      <c r="D8039" s="2" t="s">
        <v>23504</v>
      </c>
      <c r="E8039" s="2" t="s">
        <v>23504</v>
      </c>
      <c r="F8039" s="74" t="s">
        <v>23530</v>
      </c>
      <c r="G8039" s="75" t="s">
        <v>24615</v>
      </c>
      <c r="H8039" s="75" t="s">
        <v>24616</v>
      </c>
      <c r="I8039" s="76">
        <v>9</v>
      </c>
      <c r="J8039" s="44" t="str">
        <f>VLOOKUP(G8039,[1]硬件清单!$F:$F,1,0)</f>
        <v>2106195GYVX3NC000006</v>
      </c>
      <c r="K8039" s="66"/>
      <c r="L8039" s="44"/>
      <c r="M8039" s="75" t="s">
        <v>24617</v>
      </c>
    </row>
    <row r="8040" ht="30" customHeight="1" spans="1:13">
      <c r="A8040" s="41">
        <f>IF(C8040="","",SUBTOTAL(103,$C$2:C8040))</f>
        <v>8031</v>
      </c>
      <c r="B8040" s="67"/>
      <c r="C8040" s="58" t="s">
        <v>20331</v>
      </c>
      <c r="D8040" s="2" t="s">
        <v>23504</v>
      </c>
      <c r="E8040" s="2" t="s">
        <v>23504</v>
      </c>
      <c r="F8040" s="74" t="s">
        <v>23530</v>
      </c>
      <c r="G8040" s="75" t="s">
        <v>24618</v>
      </c>
      <c r="H8040" s="75" t="s">
        <v>24619</v>
      </c>
      <c r="I8040" s="76">
        <v>9</v>
      </c>
      <c r="J8040" s="44" t="str">
        <f>VLOOKUP(G8040,[1]硬件清单!$F:$F,1,0)</f>
        <v>2106195GYVX3NC000012</v>
      </c>
      <c r="K8040" s="66"/>
      <c r="L8040" s="44"/>
      <c r="M8040" s="75" t="s">
        <v>24620</v>
      </c>
    </row>
    <row r="8041" ht="30" customHeight="1" spans="1:13">
      <c r="A8041" s="41">
        <f>IF(C8041="","",SUBTOTAL(103,$C$2:C8041))</f>
        <v>8032</v>
      </c>
      <c r="B8041" s="67"/>
      <c r="C8041" s="58" t="s">
        <v>20331</v>
      </c>
      <c r="D8041" s="2" t="s">
        <v>23504</v>
      </c>
      <c r="E8041" s="2" t="s">
        <v>23504</v>
      </c>
      <c r="F8041" s="74" t="s">
        <v>23530</v>
      </c>
      <c r="G8041" s="75" t="s">
        <v>24621</v>
      </c>
      <c r="H8041" s="75" t="s">
        <v>24622</v>
      </c>
      <c r="I8041" s="76">
        <v>9</v>
      </c>
      <c r="J8041" s="44" t="str">
        <f>VLOOKUP(G8041,[1]硬件清单!$F:$F,1,0)</f>
        <v>2106195GYVX3NC000008</v>
      </c>
      <c r="K8041" s="66"/>
      <c r="L8041" s="44"/>
      <c r="M8041" s="75" t="s">
        <v>24623</v>
      </c>
    </row>
    <row r="8042" ht="30" customHeight="1" spans="1:13">
      <c r="A8042" s="41">
        <f>IF(C8042="","",SUBTOTAL(103,$C$2:C8042))</f>
        <v>8033</v>
      </c>
      <c r="B8042" s="67"/>
      <c r="C8042" s="58" t="s">
        <v>20331</v>
      </c>
      <c r="D8042" s="2" t="s">
        <v>23504</v>
      </c>
      <c r="E8042" s="2" t="s">
        <v>23504</v>
      </c>
      <c r="F8042" s="74" t="s">
        <v>23530</v>
      </c>
      <c r="G8042" s="75" t="s">
        <v>24624</v>
      </c>
      <c r="H8042" s="75" t="s">
        <v>24625</v>
      </c>
      <c r="I8042" s="76">
        <v>9</v>
      </c>
      <c r="J8042" s="44" t="str">
        <f>VLOOKUP(G8042,[1]硬件清单!$F:$F,1,0)</f>
        <v>2106195GYVX3NC000009</v>
      </c>
      <c r="K8042" s="66"/>
      <c r="L8042" s="44"/>
      <c r="M8042" s="75" t="s">
        <v>24626</v>
      </c>
    </row>
    <row r="8043" ht="30" customHeight="1" spans="1:13">
      <c r="A8043" s="41">
        <f>IF(C8043="","",SUBTOTAL(103,$C$2:C8043))</f>
        <v>8034</v>
      </c>
      <c r="B8043" s="67"/>
      <c r="C8043" s="58" t="s">
        <v>20331</v>
      </c>
      <c r="D8043" s="2" t="s">
        <v>23504</v>
      </c>
      <c r="E8043" s="2" t="s">
        <v>23504</v>
      </c>
      <c r="F8043" s="74" t="s">
        <v>23530</v>
      </c>
      <c r="G8043" s="75" t="s">
        <v>24627</v>
      </c>
      <c r="H8043" s="75" t="s">
        <v>24628</v>
      </c>
      <c r="I8043" s="76">
        <v>9</v>
      </c>
      <c r="J8043" s="44" t="str">
        <f>VLOOKUP(G8043,[1]硬件清单!$F:$F,1,0)</f>
        <v>2106195GYVX3NC000010</v>
      </c>
      <c r="K8043" s="66"/>
      <c r="L8043" s="44"/>
      <c r="M8043" s="75" t="s">
        <v>24629</v>
      </c>
    </row>
    <row r="8044" ht="30" customHeight="1" spans="1:13">
      <c r="A8044" s="41">
        <f>IF(C8044="","",SUBTOTAL(103,$C$2:C8044))</f>
        <v>8035</v>
      </c>
      <c r="B8044" s="67"/>
      <c r="C8044" s="58" t="s">
        <v>20331</v>
      </c>
      <c r="D8044" s="2" t="s">
        <v>23504</v>
      </c>
      <c r="E8044" s="2" t="s">
        <v>23504</v>
      </c>
      <c r="F8044" s="74" t="s">
        <v>23530</v>
      </c>
      <c r="G8044" s="75" t="s">
        <v>24630</v>
      </c>
      <c r="H8044" s="75" t="s">
        <v>24631</v>
      </c>
      <c r="I8044" s="76">
        <v>9</v>
      </c>
      <c r="J8044" s="44" t="str">
        <f>VLOOKUP(G8044,[1]硬件清单!$F:$F,1,0)</f>
        <v>2106195GYVX3NC000016</v>
      </c>
      <c r="K8044" s="66"/>
      <c r="L8044" s="44"/>
      <c r="M8044" s="75" t="s">
        <v>24632</v>
      </c>
    </row>
    <row r="8045" ht="30" customHeight="1" spans="1:13">
      <c r="A8045" s="41">
        <f>IF(C8045="","",SUBTOTAL(103,$C$2:C8045))</f>
        <v>8036</v>
      </c>
      <c r="B8045" s="67"/>
      <c r="C8045" s="58" t="s">
        <v>20331</v>
      </c>
      <c r="D8045" s="2" t="s">
        <v>23504</v>
      </c>
      <c r="E8045" s="2" t="s">
        <v>23504</v>
      </c>
      <c r="F8045" s="74" t="s">
        <v>23530</v>
      </c>
      <c r="G8045" s="75" t="s">
        <v>24633</v>
      </c>
      <c r="H8045" s="75" t="s">
        <v>24634</v>
      </c>
      <c r="I8045" s="76">
        <v>9</v>
      </c>
      <c r="J8045" s="44" t="str">
        <f>VLOOKUP(G8045,[1]硬件清单!$F:$F,1,0)</f>
        <v>2106195GYVX3NC000027</v>
      </c>
      <c r="K8045" s="66"/>
      <c r="L8045" s="44"/>
      <c r="M8045" s="75" t="s">
        <v>24635</v>
      </c>
    </row>
    <row r="8046" ht="30" customHeight="1" spans="1:13">
      <c r="A8046" s="41">
        <f>IF(C8046="","",SUBTOTAL(103,$C$2:C8046))</f>
        <v>8037</v>
      </c>
      <c r="B8046" s="67"/>
      <c r="C8046" s="58" t="s">
        <v>20331</v>
      </c>
      <c r="D8046" s="2" t="s">
        <v>23504</v>
      </c>
      <c r="E8046" s="2" t="s">
        <v>23504</v>
      </c>
      <c r="F8046" s="74" t="s">
        <v>23530</v>
      </c>
      <c r="G8046" s="75" t="s">
        <v>24636</v>
      </c>
      <c r="H8046" s="75" t="s">
        <v>24637</v>
      </c>
      <c r="I8046" s="76">
        <v>9</v>
      </c>
      <c r="J8046" s="44" t="str">
        <f>VLOOKUP(G8046,[1]硬件清单!$F:$F,1,0)</f>
        <v>2106195GYVX3NC000030</v>
      </c>
      <c r="K8046" s="66"/>
      <c r="L8046" s="44"/>
      <c r="M8046" s="75" t="s">
        <v>24638</v>
      </c>
    </row>
    <row r="8047" ht="30" customHeight="1" spans="1:13">
      <c r="A8047" s="41">
        <f>IF(C8047="","",SUBTOTAL(103,$C$2:C8047))</f>
        <v>8038</v>
      </c>
      <c r="B8047" s="67"/>
      <c r="C8047" s="58" t="s">
        <v>20331</v>
      </c>
      <c r="D8047" s="2" t="s">
        <v>23504</v>
      </c>
      <c r="E8047" s="2" t="s">
        <v>23504</v>
      </c>
      <c r="F8047" s="74" t="s">
        <v>23530</v>
      </c>
      <c r="G8047" s="75" t="s">
        <v>24639</v>
      </c>
      <c r="H8047" s="75" t="s">
        <v>24640</v>
      </c>
      <c r="I8047" s="76">
        <v>9</v>
      </c>
      <c r="J8047" s="44" t="str">
        <f>VLOOKUP(G8047,[1]硬件清单!$F:$F,1,0)</f>
        <v>2106195GYVX3NC000003</v>
      </c>
      <c r="K8047" s="66"/>
      <c r="L8047" s="44"/>
      <c r="M8047" s="75" t="s">
        <v>24641</v>
      </c>
    </row>
    <row r="8048" ht="30" customHeight="1" spans="1:13">
      <c r="A8048" s="41">
        <f>IF(C8048="","",SUBTOTAL(103,$C$2:C8048))</f>
        <v>8039</v>
      </c>
      <c r="B8048" s="67"/>
      <c r="C8048" s="58" t="s">
        <v>20331</v>
      </c>
      <c r="D8048" s="2" t="s">
        <v>23504</v>
      </c>
      <c r="E8048" s="2" t="s">
        <v>23504</v>
      </c>
      <c r="F8048" s="74" t="s">
        <v>23530</v>
      </c>
      <c r="G8048" s="75" t="s">
        <v>24642</v>
      </c>
      <c r="H8048" s="75" t="s">
        <v>24643</v>
      </c>
      <c r="I8048" s="76">
        <v>9</v>
      </c>
      <c r="J8048" s="44" t="str">
        <f>VLOOKUP(G8048,[1]硬件清单!$F:$F,1,0)</f>
        <v>2106195GYVX3NC000001</v>
      </c>
      <c r="K8048" s="66"/>
      <c r="L8048" s="44"/>
      <c r="M8048" s="75" t="s">
        <v>24644</v>
      </c>
    </row>
    <row r="8049" ht="30" customHeight="1" spans="1:13">
      <c r="A8049" s="41">
        <f>IF(C8049="","",SUBTOTAL(103,$C$2:C8049))</f>
        <v>8040</v>
      </c>
      <c r="B8049" s="67"/>
      <c r="C8049" s="58" t="s">
        <v>20331</v>
      </c>
      <c r="D8049" s="2" t="s">
        <v>23504</v>
      </c>
      <c r="E8049" s="2" t="s">
        <v>23504</v>
      </c>
      <c r="F8049" s="74" t="s">
        <v>23530</v>
      </c>
      <c r="G8049" s="75" t="s">
        <v>24645</v>
      </c>
      <c r="H8049" s="75" t="s">
        <v>24646</v>
      </c>
      <c r="I8049" s="76">
        <v>9</v>
      </c>
      <c r="J8049" s="44" t="str">
        <f>VLOOKUP(G8049,[1]硬件清单!$F:$F,1,0)</f>
        <v>2106195GYVX3NC000015</v>
      </c>
      <c r="K8049" s="66"/>
      <c r="L8049" s="44"/>
      <c r="M8049" s="75" t="s">
        <v>24647</v>
      </c>
    </row>
    <row r="8050" ht="30" customHeight="1" spans="1:13">
      <c r="A8050" s="41">
        <f>IF(C8050="","",SUBTOTAL(103,$C$2:C8050))</f>
        <v>8041</v>
      </c>
      <c r="B8050" s="67"/>
      <c r="C8050" s="58" t="s">
        <v>20331</v>
      </c>
      <c r="D8050" s="2" t="s">
        <v>23504</v>
      </c>
      <c r="E8050" s="2" t="s">
        <v>23504</v>
      </c>
      <c r="F8050" s="74" t="s">
        <v>23530</v>
      </c>
      <c r="G8050" s="75" t="s">
        <v>24648</v>
      </c>
      <c r="H8050" s="75" t="s">
        <v>24649</v>
      </c>
      <c r="I8050" s="76">
        <v>9</v>
      </c>
      <c r="J8050" s="44" t="str">
        <f>VLOOKUP(G8050,[1]硬件清单!$F:$F,1,0)</f>
        <v>2106195GYVX3NC000018</v>
      </c>
      <c r="K8050" s="66"/>
      <c r="L8050" s="44"/>
      <c r="M8050" s="75" t="s">
        <v>24650</v>
      </c>
    </row>
    <row r="8051" ht="30" customHeight="1" spans="1:13">
      <c r="A8051" s="41">
        <f>IF(C8051="","",SUBTOTAL(103,$C$2:C8051))</f>
        <v>8042</v>
      </c>
      <c r="B8051" s="67"/>
      <c r="C8051" s="58" t="s">
        <v>20331</v>
      </c>
      <c r="D8051" s="2" t="s">
        <v>23504</v>
      </c>
      <c r="E8051" s="2" t="s">
        <v>23504</v>
      </c>
      <c r="F8051" s="74" t="s">
        <v>23530</v>
      </c>
      <c r="G8051" s="75" t="s">
        <v>24651</v>
      </c>
      <c r="H8051" s="75" t="s">
        <v>24652</v>
      </c>
      <c r="I8051" s="76">
        <v>9</v>
      </c>
      <c r="J8051" s="44" t="str">
        <f>VLOOKUP(G8051,[1]硬件清单!$F:$F,1,0)</f>
        <v>2106195GYVX3NC000017</v>
      </c>
      <c r="K8051" s="66"/>
      <c r="L8051" s="44"/>
      <c r="M8051" s="75" t="s">
        <v>24653</v>
      </c>
    </row>
    <row r="8052" ht="30" customHeight="1" spans="1:13">
      <c r="A8052" s="41">
        <f>IF(C8052="","",SUBTOTAL(103,$C$2:C8052))</f>
        <v>8043</v>
      </c>
      <c r="B8052" s="67"/>
      <c r="C8052" s="58" t="s">
        <v>20331</v>
      </c>
      <c r="D8052" s="2" t="s">
        <v>23504</v>
      </c>
      <c r="E8052" s="2" t="s">
        <v>23504</v>
      </c>
      <c r="F8052" s="74" t="s">
        <v>23530</v>
      </c>
      <c r="G8052" s="75" t="s">
        <v>24654</v>
      </c>
      <c r="H8052" s="75" t="s">
        <v>24655</v>
      </c>
      <c r="I8052" s="76">
        <v>9</v>
      </c>
      <c r="J8052" s="44" t="str">
        <f>VLOOKUP(G8052,[1]硬件清单!$F:$F,1,0)</f>
        <v>2106195GYVX3NC000025</v>
      </c>
      <c r="K8052" s="66"/>
      <c r="L8052" s="44"/>
      <c r="M8052" s="75" t="s">
        <v>24656</v>
      </c>
    </row>
    <row r="8053" ht="30" customHeight="1" spans="1:13">
      <c r="A8053" s="41">
        <f>IF(C8053="","",SUBTOTAL(103,$C$2:C8053))</f>
        <v>8044</v>
      </c>
      <c r="B8053" s="67"/>
      <c r="C8053" s="58" t="s">
        <v>20331</v>
      </c>
      <c r="D8053" s="2" t="s">
        <v>23504</v>
      </c>
      <c r="E8053" s="2" t="s">
        <v>23504</v>
      </c>
      <c r="F8053" s="74" t="s">
        <v>23530</v>
      </c>
      <c r="G8053" s="75" t="s">
        <v>24657</v>
      </c>
      <c r="H8053" s="75" t="s">
        <v>24658</v>
      </c>
      <c r="I8053" s="76">
        <v>9</v>
      </c>
      <c r="J8053" s="44" t="str">
        <f>VLOOKUP(G8053,[1]硬件清单!$F:$F,1,0)</f>
        <v>2106195GYVX3NC000029</v>
      </c>
      <c r="K8053" s="66"/>
      <c r="L8053" s="44"/>
      <c r="M8053" s="75" t="s">
        <v>24659</v>
      </c>
    </row>
    <row r="8054" ht="30" customHeight="1" spans="1:13">
      <c r="A8054" s="41">
        <f>IF(C8054="","",SUBTOTAL(103,$C$2:C8054))</f>
        <v>8045</v>
      </c>
      <c r="B8054" s="67"/>
      <c r="C8054" s="58" t="s">
        <v>20331</v>
      </c>
      <c r="D8054" s="2" t="s">
        <v>23504</v>
      </c>
      <c r="E8054" s="2" t="s">
        <v>23504</v>
      </c>
      <c r="F8054" s="74" t="s">
        <v>23530</v>
      </c>
      <c r="G8054" s="75" t="s">
        <v>24660</v>
      </c>
      <c r="H8054" s="75" t="s">
        <v>24661</v>
      </c>
      <c r="I8054" s="76">
        <v>9</v>
      </c>
      <c r="J8054" s="44" t="str">
        <f>VLOOKUP(G8054,[1]硬件清单!$F:$F,1,0)</f>
        <v>2106195GYVX3NC000024</v>
      </c>
      <c r="K8054" s="66"/>
      <c r="L8054" s="44"/>
      <c r="M8054" s="75" t="s">
        <v>24662</v>
      </c>
    </row>
    <row r="8055" ht="30" customHeight="1" spans="1:13">
      <c r="A8055" s="41">
        <f>IF(C8055="","",SUBTOTAL(103,$C$2:C8055))</f>
        <v>8046</v>
      </c>
      <c r="B8055" s="67"/>
      <c r="C8055" s="58" t="s">
        <v>20331</v>
      </c>
      <c r="D8055" s="2" t="s">
        <v>23504</v>
      </c>
      <c r="E8055" s="2" t="s">
        <v>23504</v>
      </c>
      <c r="F8055" s="74" t="s">
        <v>23530</v>
      </c>
      <c r="G8055" s="75" t="s">
        <v>24663</v>
      </c>
      <c r="H8055" s="75" t="s">
        <v>24664</v>
      </c>
      <c r="I8055" s="76">
        <v>9</v>
      </c>
      <c r="J8055" s="44" t="str">
        <f>VLOOKUP(G8055,[1]硬件清单!$F:$F,1,0)</f>
        <v>2106195GYVX3NC000028</v>
      </c>
      <c r="K8055" s="66"/>
      <c r="L8055" s="44"/>
      <c r="M8055" s="75" t="s">
        <v>24665</v>
      </c>
    </row>
    <row r="8056" ht="30" customHeight="1" spans="1:13">
      <c r="A8056" s="41">
        <f>IF(C8056="","",SUBTOTAL(103,$C$2:C8056))</f>
        <v>8047</v>
      </c>
      <c r="B8056" s="67"/>
      <c r="C8056" s="58" t="s">
        <v>20331</v>
      </c>
      <c r="D8056" s="2" t="s">
        <v>23504</v>
      </c>
      <c r="E8056" s="2" t="s">
        <v>23504</v>
      </c>
      <c r="F8056" s="74" t="s">
        <v>23530</v>
      </c>
      <c r="G8056" s="75" t="s">
        <v>24666</v>
      </c>
      <c r="H8056" s="75" t="s">
        <v>24667</v>
      </c>
      <c r="I8056" s="76">
        <v>9</v>
      </c>
      <c r="J8056" s="44" t="str">
        <f>VLOOKUP(G8056,[1]硬件清单!$F:$F,1,0)</f>
        <v>2106195GYVX3NC000019</v>
      </c>
      <c r="K8056" s="66"/>
      <c r="L8056" s="44"/>
      <c r="M8056" s="75" t="s">
        <v>24668</v>
      </c>
    </row>
    <row r="8057" ht="30" customHeight="1" spans="1:13">
      <c r="A8057" s="41">
        <f>IF(C8057="","",SUBTOTAL(103,$C$2:C8057))</f>
        <v>8048</v>
      </c>
      <c r="B8057" s="67"/>
      <c r="C8057" s="58" t="s">
        <v>20331</v>
      </c>
      <c r="D8057" s="2" t="s">
        <v>23504</v>
      </c>
      <c r="E8057" s="2" t="s">
        <v>23504</v>
      </c>
      <c r="F8057" s="74" t="s">
        <v>23530</v>
      </c>
      <c r="G8057" s="75" t="s">
        <v>24669</v>
      </c>
      <c r="H8057" s="75" t="s">
        <v>24670</v>
      </c>
      <c r="I8057" s="76">
        <v>9</v>
      </c>
      <c r="J8057" s="44" t="str">
        <f>VLOOKUP(G8057,[1]硬件清单!$F:$F,1,0)</f>
        <v>2106195GYVX3NC000004</v>
      </c>
      <c r="K8057" s="66"/>
      <c r="L8057" s="44"/>
      <c r="M8057" s="75" t="s">
        <v>24671</v>
      </c>
    </row>
    <row r="8058" ht="30" customHeight="1" spans="1:13">
      <c r="A8058" s="41">
        <f>IF(C8058="","",SUBTOTAL(103,$C$2:C8058))</f>
        <v>8049</v>
      </c>
      <c r="B8058" s="67"/>
      <c r="C8058" s="58" t="s">
        <v>20331</v>
      </c>
      <c r="D8058" s="2" t="s">
        <v>23504</v>
      </c>
      <c r="E8058" s="2" t="s">
        <v>23504</v>
      </c>
      <c r="F8058" s="74" t="s">
        <v>23530</v>
      </c>
      <c r="G8058" s="75" t="s">
        <v>24672</v>
      </c>
      <c r="H8058" s="75" t="s">
        <v>24673</v>
      </c>
      <c r="I8058" s="76">
        <v>9</v>
      </c>
      <c r="J8058" s="44" t="str">
        <f>VLOOKUP(G8058,[1]硬件清单!$F:$F,1,0)</f>
        <v>2106195GYVX3NC000026</v>
      </c>
      <c r="K8058" s="66"/>
      <c r="L8058" s="44"/>
      <c r="M8058" s="75" t="s">
        <v>24674</v>
      </c>
    </row>
    <row r="8059" ht="30" customHeight="1" spans="1:13">
      <c r="A8059" s="41">
        <f>IF(C8059="","",SUBTOTAL(103,$C$2:C8059))</f>
        <v>8050</v>
      </c>
      <c r="B8059" s="67"/>
      <c r="C8059" s="58" t="s">
        <v>20331</v>
      </c>
      <c r="D8059" s="2" t="s">
        <v>23504</v>
      </c>
      <c r="E8059" s="2" t="s">
        <v>23504</v>
      </c>
      <c r="F8059" s="74" t="s">
        <v>23530</v>
      </c>
      <c r="G8059" s="75" t="s">
        <v>24675</v>
      </c>
      <c r="H8059" s="75" t="s">
        <v>24676</v>
      </c>
      <c r="I8059" s="76">
        <v>9</v>
      </c>
      <c r="J8059" s="44" t="str">
        <f>VLOOKUP(G8059,[1]硬件清单!$F:$F,1,0)</f>
        <v>2106195GYVX3NC000021</v>
      </c>
      <c r="K8059" s="66"/>
      <c r="L8059" s="44"/>
      <c r="M8059" s="75" t="s">
        <v>24677</v>
      </c>
    </row>
    <row r="8060" ht="30" customHeight="1" spans="1:13">
      <c r="A8060" s="41">
        <f>IF(C8060="","",SUBTOTAL(103,$C$2:C8060))</f>
        <v>8051</v>
      </c>
      <c r="B8060" s="67"/>
      <c r="C8060" s="58" t="s">
        <v>20331</v>
      </c>
      <c r="D8060" s="2" t="s">
        <v>23504</v>
      </c>
      <c r="E8060" s="2" t="s">
        <v>23504</v>
      </c>
      <c r="F8060" s="74" t="s">
        <v>23530</v>
      </c>
      <c r="G8060" s="75" t="s">
        <v>24678</v>
      </c>
      <c r="H8060" s="75" t="s">
        <v>24679</v>
      </c>
      <c r="I8060" s="76">
        <v>9</v>
      </c>
      <c r="J8060" s="44" t="str">
        <f>VLOOKUP(G8060,[1]硬件清单!$F:$F,1,0)</f>
        <v>2106195GYVX3NC000002</v>
      </c>
      <c r="K8060" s="66"/>
      <c r="L8060" s="44"/>
      <c r="M8060" s="75" t="s">
        <v>24680</v>
      </c>
    </row>
    <row r="8061" ht="30" customHeight="1" spans="1:13">
      <c r="A8061" s="41">
        <f>IF(C8061="","",SUBTOTAL(103,$C$2:C8061))</f>
        <v>8052</v>
      </c>
      <c r="B8061" s="67"/>
      <c r="C8061" s="58" t="s">
        <v>20331</v>
      </c>
      <c r="D8061" s="2" t="s">
        <v>23504</v>
      </c>
      <c r="E8061" s="2" t="s">
        <v>23504</v>
      </c>
      <c r="F8061" s="74" t="s">
        <v>23530</v>
      </c>
      <c r="G8061" s="75" t="s">
        <v>24681</v>
      </c>
      <c r="H8061" s="75" t="s">
        <v>24682</v>
      </c>
      <c r="I8061" s="76">
        <v>9</v>
      </c>
      <c r="J8061" s="44" t="str">
        <f>VLOOKUP(G8061,[1]硬件清单!$F:$F,1,0)</f>
        <v>2106195GYVX3NC000023</v>
      </c>
      <c r="K8061" s="66"/>
      <c r="L8061" s="44"/>
      <c r="M8061" s="75" t="s">
        <v>24683</v>
      </c>
    </row>
    <row r="8062" ht="30" customHeight="1" spans="1:13">
      <c r="A8062" s="41">
        <f>IF(C8062="","",SUBTOTAL(103,$C$2:C8062))</f>
        <v>8053</v>
      </c>
      <c r="B8062" s="67"/>
      <c r="C8062" s="58" t="s">
        <v>20331</v>
      </c>
      <c r="D8062" s="2" t="s">
        <v>23504</v>
      </c>
      <c r="E8062" s="2" t="s">
        <v>23504</v>
      </c>
      <c r="F8062" s="74" t="s">
        <v>23530</v>
      </c>
      <c r="G8062" s="75" t="s">
        <v>24684</v>
      </c>
      <c r="H8062" s="75" t="s">
        <v>24685</v>
      </c>
      <c r="I8062" s="76">
        <v>9</v>
      </c>
      <c r="J8062" s="44" t="str">
        <f>VLOOKUP(G8062,[1]硬件清单!$F:$F,1,0)</f>
        <v>2106195GYVX3NC000020</v>
      </c>
      <c r="K8062" s="66"/>
      <c r="L8062" s="44"/>
      <c r="M8062" s="75" t="s">
        <v>24686</v>
      </c>
    </row>
    <row r="8063" ht="30" customHeight="1" spans="1:13">
      <c r="A8063" s="41">
        <f>IF(C8063="","",SUBTOTAL(103,$C$2:C8063))</f>
        <v>8054</v>
      </c>
      <c r="B8063" s="67"/>
      <c r="C8063" s="58" t="s">
        <v>20331</v>
      </c>
      <c r="D8063" s="2" t="s">
        <v>23504</v>
      </c>
      <c r="E8063" s="2" t="s">
        <v>23504</v>
      </c>
      <c r="F8063" s="74" t="s">
        <v>23530</v>
      </c>
      <c r="G8063" s="75" t="s">
        <v>24687</v>
      </c>
      <c r="H8063" s="75" t="s">
        <v>24688</v>
      </c>
      <c r="I8063" s="76">
        <v>9</v>
      </c>
      <c r="J8063" s="44" t="str">
        <f>VLOOKUP(G8063,[1]硬件清单!$F:$F,1,0)</f>
        <v>2106195GYVX3NC000007</v>
      </c>
      <c r="K8063" s="66"/>
      <c r="L8063" s="44"/>
      <c r="M8063" s="75" t="s">
        <v>24689</v>
      </c>
    </row>
    <row r="8064" ht="30" customHeight="1" spans="1:13">
      <c r="A8064" s="41">
        <f>IF(C8064="","",SUBTOTAL(103,$C$2:C8064))</f>
        <v>8055</v>
      </c>
      <c r="B8064" s="67"/>
      <c r="C8064" s="58" t="s">
        <v>20331</v>
      </c>
      <c r="D8064" s="2" t="s">
        <v>23504</v>
      </c>
      <c r="E8064" s="2" t="s">
        <v>23504</v>
      </c>
      <c r="F8064" s="74" t="s">
        <v>23530</v>
      </c>
      <c r="G8064" s="75" t="s">
        <v>24690</v>
      </c>
      <c r="H8064" s="75" t="s">
        <v>24691</v>
      </c>
      <c r="I8064" s="76">
        <v>9</v>
      </c>
      <c r="J8064" s="44" t="str">
        <f>VLOOKUP(G8064,[1]硬件清单!$F:$F,1,0)</f>
        <v>2106195GYVX3NC000011</v>
      </c>
      <c r="K8064" s="66"/>
      <c r="L8064" s="44"/>
      <c r="M8064" s="75" t="s">
        <v>24692</v>
      </c>
    </row>
    <row r="8065" ht="30" customHeight="1" spans="1:13">
      <c r="A8065" s="41">
        <f>IF(C8065="","",SUBTOTAL(103,$C$2:C8065))</f>
        <v>8056</v>
      </c>
      <c r="B8065" s="67"/>
      <c r="C8065" s="58" t="s">
        <v>20331</v>
      </c>
      <c r="D8065" s="2" t="s">
        <v>23504</v>
      </c>
      <c r="E8065" s="2" t="s">
        <v>23504</v>
      </c>
      <c r="F8065" s="74" t="s">
        <v>23530</v>
      </c>
      <c r="G8065" s="75" t="s">
        <v>24693</v>
      </c>
      <c r="H8065" s="75" t="s">
        <v>24694</v>
      </c>
      <c r="I8065" s="76">
        <v>9</v>
      </c>
      <c r="J8065" s="44" t="str">
        <f>VLOOKUP(G8065,[1]硬件清单!$F:$F,1,0)</f>
        <v>2106195GYVX3NC000031</v>
      </c>
      <c r="K8065" s="66"/>
      <c r="L8065" s="44"/>
      <c r="M8065" s="75" t="s">
        <v>24695</v>
      </c>
    </row>
    <row r="8066" ht="30" customHeight="1" spans="1:13">
      <c r="A8066" s="41">
        <f>IF(C8066="","",SUBTOTAL(103,$C$2:C8066))</f>
        <v>8057</v>
      </c>
      <c r="B8066" s="67"/>
      <c r="C8066" s="58" t="s">
        <v>20331</v>
      </c>
      <c r="D8066" s="2" t="s">
        <v>23504</v>
      </c>
      <c r="E8066" s="2" t="s">
        <v>23504</v>
      </c>
      <c r="F8066" s="74" t="s">
        <v>23530</v>
      </c>
      <c r="G8066" s="75" t="s">
        <v>24696</v>
      </c>
      <c r="H8066" s="75" t="s">
        <v>24697</v>
      </c>
      <c r="I8066" s="76">
        <v>9</v>
      </c>
      <c r="J8066" s="44" t="str">
        <f>VLOOKUP(G8066,[1]硬件清单!$F:$F,1,0)</f>
        <v>2106195GYVX3NC000022</v>
      </c>
      <c r="K8066" s="66"/>
      <c r="L8066" s="44"/>
      <c r="M8066" s="75" t="s">
        <v>24698</v>
      </c>
    </row>
    <row r="8067" ht="30" customHeight="1" spans="1:13">
      <c r="A8067" s="41">
        <f>IF(C8067="","",SUBTOTAL(103,$C$2:C8067))</f>
        <v>8058</v>
      </c>
      <c r="B8067" s="67"/>
      <c r="C8067" s="58" t="s">
        <v>20331</v>
      </c>
      <c r="D8067" s="2" t="s">
        <v>23504</v>
      </c>
      <c r="E8067" s="2" t="s">
        <v>23504</v>
      </c>
      <c r="F8067" s="74" t="s">
        <v>23530</v>
      </c>
      <c r="G8067" s="75" t="s">
        <v>24699</v>
      </c>
      <c r="H8067" s="75" t="s">
        <v>24700</v>
      </c>
      <c r="I8067" s="76">
        <v>9</v>
      </c>
      <c r="J8067" s="44" t="str">
        <f>VLOOKUP(G8067,[1]硬件清单!$F:$F,1,0)</f>
        <v>2106195GYVX3NC000014</v>
      </c>
      <c r="K8067" s="66"/>
      <c r="L8067" s="44"/>
      <c r="M8067" s="75" t="s">
        <v>24701</v>
      </c>
    </row>
    <row r="8068" ht="30" customHeight="1" spans="1:13">
      <c r="A8068" s="41">
        <f>IF(C8068="","",SUBTOTAL(103,$C$2:C8068))</f>
        <v>8059</v>
      </c>
      <c r="B8068" s="67"/>
      <c r="C8068" s="58" t="s">
        <v>20331</v>
      </c>
      <c r="D8068" s="2" t="s">
        <v>23504</v>
      </c>
      <c r="E8068" s="2" t="s">
        <v>23504</v>
      </c>
      <c r="F8068" s="74" t="s">
        <v>23530</v>
      </c>
      <c r="G8068" s="75" t="s">
        <v>24702</v>
      </c>
      <c r="H8068" s="75" t="s">
        <v>24703</v>
      </c>
      <c r="I8068" s="76">
        <v>9</v>
      </c>
      <c r="J8068" s="44" t="str">
        <f>VLOOKUP(G8068,[1]硬件清单!$F:$F,1,0)</f>
        <v>2106195GYVX3NC000032</v>
      </c>
      <c r="K8068" s="66"/>
      <c r="L8068" s="44"/>
      <c r="M8068" s="75" t="s">
        <v>24704</v>
      </c>
    </row>
    <row r="8069" ht="30" customHeight="1" spans="1:13">
      <c r="A8069" s="41">
        <f>IF(C8069="","",SUBTOTAL(103,$C$2:C8069))</f>
        <v>8060</v>
      </c>
      <c r="B8069" s="67"/>
      <c r="C8069" s="58" t="s">
        <v>20331</v>
      </c>
      <c r="D8069" s="2" t="s">
        <v>23504</v>
      </c>
      <c r="E8069" s="2" t="s">
        <v>23504</v>
      </c>
      <c r="F8069" s="74" t="s">
        <v>23530</v>
      </c>
      <c r="G8069" s="75" t="s">
        <v>24705</v>
      </c>
      <c r="H8069" s="75" t="s">
        <v>24706</v>
      </c>
      <c r="I8069" s="76">
        <v>9</v>
      </c>
      <c r="J8069" s="44" t="str">
        <f>VLOOKUP(G8069,[1]硬件清单!$F:$F,1,0)</f>
        <v>2106195GYVX3NC000013</v>
      </c>
      <c r="K8069" s="66"/>
      <c r="L8069" s="44"/>
      <c r="M8069" s="75" t="s">
        <v>24707</v>
      </c>
    </row>
    <row r="8070" ht="30" customHeight="1" spans="1:13">
      <c r="A8070" s="41">
        <f>IF(C8070="","",SUBTOTAL(103,$C$2:C8070))</f>
        <v>8061</v>
      </c>
      <c r="B8070" s="67"/>
      <c r="C8070" s="58" t="s">
        <v>20331</v>
      </c>
      <c r="D8070" s="63" t="s">
        <v>23050</v>
      </c>
      <c r="E8070" s="63" t="s">
        <v>23050</v>
      </c>
      <c r="F8070" s="74" t="s">
        <v>24416</v>
      </c>
      <c r="G8070" s="75" t="s">
        <v>24708</v>
      </c>
      <c r="H8070" s="75" t="s">
        <v>24709</v>
      </c>
      <c r="I8070" s="76">
        <v>9</v>
      </c>
      <c r="J8070" s="44" t="str">
        <f>VLOOKUP(G8070,[1]硬件清单!$F:$F,1,0)</f>
        <v>RD-CAD-000-09318</v>
      </c>
      <c r="K8070" s="66"/>
      <c r="L8070" s="44" t="s">
        <v>17</v>
      </c>
      <c r="M8070" s="75" t="s">
        <v>24710</v>
      </c>
    </row>
    <row r="8071" ht="30" customHeight="1" spans="1:13">
      <c r="A8071" s="41">
        <f>IF(C8071="","",SUBTOTAL(103,$C$2:C8071))</f>
        <v>8062</v>
      </c>
      <c r="B8071" s="67"/>
      <c r="C8071" s="58" t="s">
        <v>20331</v>
      </c>
      <c r="D8071" s="63" t="s">
        <v>23050</v>
      </c>
      <c r="E8071" s="63" t="s">
        <v>23050</v>
      </c>
      <c r="F8071" s="74" t="s">
        <v>24416</v>
      </c>
      <c r="G8071" s="75" t="s">
        <v>24711</v>
      </c>
      <c r="H8071" s="75" t="s">
        <v>24712</v>
      </c>
      <c r="I8071" s="76">
        <v>9</v>
      </c>
      <c r="J8071" s="44" t="str">
        <f>VLOOKUP(G8071,[1]硬件清单!$F:$F,1,0)</f>
        <v>RD-CAG-000-09714</v>
      </c>
      <c r="K8071" s="66"/>
      <c r="L8071" s="44" t="s">
        <v>17</v>
      </c>
      <c r="M8071" s="75" t="s">
        <v>24713</v>
      </c>
    </row>
    <row r="8072" ht="30" customHeight="1" spans="1:13">
      <c r="A8072" s="41">
        <f>IF(C8072="","",SUBTOTAL(103,$C$2:C8072))</f>
        <v>8063</v>
      </c>
      <c r="B8072" s="67"/>
      <c r="C8072" s="58" t="s">
        <v>20331</v>
      </c>
      <c r="D8072" s="63" t="s">
        <v>23050</v>
      </c>
      <c r="E8072" s="63" t="s">
        <v>23050</v>
      </c>
      <c r="F8072" s="74" t="s">
        <v>24412</v>
      </c>
      <c r="G8072" s="75" t="s">
        <v>24714</v>
      </c>
      <c r="H8072" s="75" t="s">
        <v>24715</v>
      </c>
      <c r="I8072" s="76">
        <v>9</v>
      </c>
      <c r="J8072" s="44" t="str">
        <f>VLOOKUP(G8072,[1]硬件清单!$F:$F,1,0)</f>
        <v>NA221200164</v>
      </c>
      <c r="K8072" s="66"/>
      <c r="L8072" s="44" t="s">
        <v>17</v>
      </c>
      <c r="M8072" s="75" t="s">
        <v>24716</v>
      </c>
    </row>
    <row r="8073" ht="30" customHeight="1" spans="1:13">
      <c r="A8073" s="41">
        <f>IF(C8073="","",SUBTOTAL(103,$C$2:C8073))</f>
        <v>8064</v>
      </c>
      <c r="B8073" s="67"/>
      <c r="C8073" s="58" t="s">
        <v>20331</v>
      </c>
      <c r="D8073" s="63" t="s">
        <v>23050</v>
      </c>
      <c r="E8073" s="63" t="s">
        <v>23050</v>
      </c>
      <c r="F8073" s="74" t="s">
        <v>24416</v>
      </c>
      <c r="G8073" s="75" t="s">
        <v>24717</v>
      </c>
      <c r="H8073" s="75" t="s">
        <v>24718</v>
      </c>
      <c r="I8073" s="76">
        <v>9</v>
      </c>
      <c r="J8073" s="44" t="str">
        <f>VLOOKUP(G8073,[1]硬件清单!$F:$F,1,0)</f>
        <v>VT22D00402</v>
      </c>
      <c r="K8073" s="66"/>
      <c r="L8073" s="44" t="s">
        <v>17</v>
      </c>
      <c r="M8073" s="75" t="s">
        <v>24719</v>
      </c>
    </row>
    <row r="8074" ht="30" customHeight="1" spans="1:13">
      <c r="A8074" s="41">
        <f>IF(C8074="","",SUBTOTAL(103,$C$2:C8074))</f>
        <v>8065</v>
      </c>
      <c r="B8074" s="67"/>
      <c r="C8074" s="58" t="s">
        <v>20331</v>
      </c>
      <c r="D8074" s="63" t="s">
        <v>23050</v>
      </c>
      <c r="E8074" s="63" t="s">
        <v>23050</v>
      </c>
      <c r="F8074" s="74" t="s">
        <v>24416</v>
      </c>
      <c r="G8074" s="75" t="s">
        <v>24720</v>
      </c>
      <c r="H8074" s="75" t="s">
        <v>24721</v>
      </c>
      <c r="I8074" s="76">
        <v>9</v>
      </c>
      <c r="J8074" s="44" t="str">
        <f>VLOOKUP(G8074,[1]硬件清单!$F:$F,1,0)</f>
        <v>RD-CAD-000-09319</v>
      </c>
      <c r="K8074" s="66"/>
      <c r="L8074" s="44" t="s">
        <v>17</v>
      </c>
      <c r="M8074" s="75" t="s">
        <v>24722</v>
      </c>
    </row>
    <row r="8075" ht="30" customHeight="1" spans="1:13">
      <c r="A8075" s="41">
        <f>IF(C8075="","",SUBTOTAL(103,$C$2:C8075))</f>
        <v>8066</v>
      </c>
      <c r="B8075" s="67"/>
      <c r="C8075" s="58" t="s">
        <v>20331</v>
      </c>
      <c r="D8075" s="63" t="s">
        <v>23050</v>
      </c>
      <c r="E8075" s="63" t="s">
        <v>23050</v>
      </c>
      <c r="F8075" s="74" t="s">
        <v>24416</v>
      </c>
      <c r="G8075" s="75" t="s">
        <v>24723</v>
      </c>
      <c r="H8075" s="75" t="s">
        <v>24724</v>
      </c>
      <c r="I8075" s="76">
        <v>9</v>
      </c>
      <c r="J8075" s="44" t="str">
        <f>VLOOKUP(G8075,[1]硬件清单!$F:$F,1,0)</f>
        <v>VT22D00401</v>
      </c>
      <c r="K8075" s="66"/>
      <c r="L8075" s="44" t="s">
        <v>17</v>
      </c>
      <c r="M8075" s="75" t="s">
        <v>24725</v>
      </c>
    </row>
    <row r="8076" ht="30" customHeight="1" spans="1:13">
      <c r="A8076" s="41">
        <f>IF(C8076="","",SUBTOTAL(103,$C$2:C8076))</f>
        <v>8067</v>
      </c>
      <c r="B8076" s="67"/>
      <c r="C8076" s="58" t="s">
        <v>20331</v>
      </c>
      <c r="D8076" s="63" t="s">
        <v>23050</v>
      </c>
      <c r="E8076" s="63" t="s">
        <v>23050</v>
      </c>
      <c r="F8076" s="74" t="s">
        <v>24726</v>
      </c>
      <c r="G8076" s="75" t="s">
        <v>24727</v>
      </c>
      <c r="H8076" s="75" t="s">
        <v>24728</v>
      </c>
      <c r="I8076" s="76">
        <v>9</v>
      </c>
      <c r="J8076" s="44" t="str">
        <f>VLOOKUP(G8076,[1]硬件清单!$F:$F,1,0)</f>
        <v>DCTBNM3</v>
      </c>
      <c r="K8076" s="66"/>
      <c r="L8076" s="44" t="s">
        <v>17</v>
      </c>
      <c r="M8076" s="75" t="s">
        <v>24729</v>
      </c>
    </row>
    <row r="8077" ht="30" customHeight="1" spans="1:13">
      <c r="A8077" s="41">
        <f>IF(C8077="","",SUBTOTAL(103,$C$2:C8077))</f>
        <v>8068</v>
      </c>
      <c r="B8077" s="67"/>
      <c r="C8077" s="58" t="s">
        <v>20331</v>
      </c>
      <c r="D8077" s="63" t="s">
        <v>23050</v>
      </c>
      <c r="E8077" s="63" t="s">
        <v>23050</v>
      </c>
      <c r="F8077" s="74" t="s">
        <v>24424</v>
      </c>
      <c r="G8077" s="75" t="s">
        <v>24730</v>
      </c>
      <c r="H8077" s="75" t="s">
        <v>24731</v>
      </c>
      <c r="I8077" s="76">
        <v>9</v>
      </c>
      <c r="J8077" s="44" t="str">
        <f>VLOOKUP(G8077,[1]硬件清单!$F:$F,1,0)</f>
        <v>W1ZCEC0096</v>
      </c>
      <c r="K8077" s="66"/>
      <c r="L8077" s="44" t="s">
        <v>17</v>
      </c>
      <c r="M8077" s="75" t="s">
        <v>24732</v>
      </c>
    </row>
    <row r="8078" ht="30" customHeight="1" spans="1:13">
      <c r="A8078" s="41">
        <f>IF(C8078="","",SUBTOTAL(103,$C$2:C8078))</f>
        <v>8069</v>
      </c>
      <c r="B8078" s="67"/>
      <c r="C8078" s="58" t="s">
        <v>20331</v>
      </c>
      <c r="D8078" s="63" t="s">
        <v>23050</v>
      </c>
      <c r="E8078" s="63" t="s">
        <v>23050</v>
      </c>
      <c r="F8078" s="74" t="s">
        <v>24428</v>
      </c>
      <c r="G8078" s="75" t="s">
        <v>24733</v>
      </c>
      <c r="H8078" s="75" t="s">
        <v>24734</v>
      </c>
      <c r="I8078" s="76">
        <v>9</v>
      </c>
      <c r="J8078" s="44" t="str">
        <f>VLOOKUP(G8078,[1]硬件清单!$F:$F,1,0)</f>
        <v>DBSEC-01-202212-0038</v>
      </c>
      <c r="K8078" s="66"/>
      <c r="L8078" s="44" t="s">
        <v>17</v>
      </c>
      <c r="M8078" s="75" t="s">
        <v>24735</v>
      </c>
    </row>
    <row r="8079" ht="30" customHeight="1" spans="1:13">
      <c r="A8079" s="41">
        <f>IF(C8079="","",SUBTOTAL(103,$C$2:C8079))</f>
        <v>8070</v>
      </c>
      <c r="B8079" s="67"/>
      <c r="C8079" s="58" t="s">
        <v>20331</v>
      </c>
      <c r="D8079" s="63" t="s">
        <v>23050</v>
      </c>
      <c r="E8079" s="63" t="s">
        <v>23050</v>
      </c>
      <c r="F8079" s="74" t="s">
        <v>24428</v>
      </c>
      <c r="G8079" s="75" t="s">
        <v>24736</v>
      </c>
      <c r="H8079" s="75" t="s">
        <v>24737</v>
      </c>
      <c r="I8079" s="76">
        <v>9</v>
      </c>
      <c r="J8079" s="44" t="str">
        <f>VLOOKUP(G8079,[1]硬件清单!$F:$F,1,0)</f>
        <v>DBSEC-01-202212-0037</v>
      </c>
      <c r="K8079" s="66"/>
      <c r="L8079" s="44" t="s">
        <v>17</v>
      </c>
      <c r="M8079" s="75" t="s">
        <v>24738</v>
      </c>
    </row>
    <row r="8080" ht="30" customHeight="1" spans="1:13">
      <c r="A8080" s="41">
        <f>IF(C8080="","",SUBTOTAL(103,$C$2:C8080))</f>
        <v>8071</v>
      </c>
      <c r="B8080" s="67"/>
      <c r="C8080" s="58" t="s">
        <v>20331</v>
      </c>
      <c r="D8080" s="63" t="s">
        <v>23050</v>
      </c>
      <c r="E8080" s="63" t="s">
        <v>23050</v>
      </c>
      <c r="F8080" s="74" t="s">
        <v>24438</v>
      </c>
      <c r="G8080" s="75" t="s">
        <v>24739</v>
      </c>
      <c r="H8080" s="75" t="s">
        <v>24740</v>
      </c>
      <c r="I8080" s="76">
        <v>9</v>
      </c>
      <c r="J8080" s="44" t="str">
        <f>VLOOKUP(G8080,[1]硬件清单!$F:$F,1,0)</f>
        <v>W1ZCEH0044</v>
      </c>
      <c r="K8080" s="66"/>
      <c r="L8080" s="44" t="s">
        <v>17</v>
      </c>
      <c r="M8080" s="75" t="s">
        <v>24741</v>
      </c>
    </row>
    <row r="8081" ht="30" customHeight="1" spans="1:13">
      <c r="A8081" s="41">
        <f>IF(C8081="","",SUBTOTAL(103,$C$2:C8081))</f>
        <v>8072</v>
      </c>
      <c r="B8081" s="67"/>
      <c r="C8081" s="58" t="s">
        <v>20331</v>
      </c>
      <c r="D8081" s="63" t="s">
        <v>23050</v>
      </c>
      <c r="E8081" s="63" t="s">
        <v>23050</v>
      </c>
      <c r="F8081" s="74" t="s">
        <v>24438</v>
      </c>
      <c r="G8081" s="75" t="s">
        <v>24742</v>
      </c>
      <c r="H8081" s="75" t="s">
        <v>24743</v>
      </c>
      <c r="I8081" s="76">
        <v>9</v>
      </c>
      <c r="J8081" s="44" t="str">
        <f>VLOOKUP(G8081,[1]硬件清单!$F:$F,1,0)</f>
        <v>W1ZCEH0045</v>
      </c>
      <c r="K8081" s="66"/>
      <c r="L8081" s="44" t="s">
        <v>17</v>
      </c>
      <c r="M8081" s="75" t="s">
        <v>24744</v>
      </c>
    </row>
    <row r="8082" ht="30" customHeight="1" spans="1:13">
      <c r="A8082" s="41">
        <f>IF(C8082="","",SUBTOTAL(103,$C$2:C8082))</f>
        <v>8073</v>
      </c>
      <c r="B8082" s="67"/>
      <c r="C8082" s="58" t="s">
        <v>20331</v>
      </c>
      <c r="D8082" s="63" t="s">
        <v>23050</v>
      </c>
      <c r="E8082" s="63" t="s">
        <v>23050</v>
      </c>
      <c r="F8082" s="74" t="s">
        <v>24438</v>
      </c>
      <c r="G8082" s="75" t="s">
        <v>24745</v>
      </c>
      <c r="H8082" s="75" t="s">
        <v>24746</v>
      </c>
      <c r="I8082" s="76">
        <v>9</v>
      </c>
      <c r="J8082" s="44" t="str">
        <f>VLOOKUP(G8082,[1]硬件清单!$F:$F,1,0)</f>
        <v>WIXCEH0241</v>
      </c>
      <c r="K8082" s="66"/>
      <c r="L8082" s="44" t="s">
        <v>17</v>
      </c>
      <c r="M8082" s="75" t="s">
        <v>24747</v>
      </c>
    </row>
    <row r="8083" ht="30" customHeight="1" spans="1:13">
      <c r="A8083" s="41">
        <f>IF(C8083="","",SUBTOTAL(103,$C$2:C8083))</f>
        <v>8074</v>
      </c>
      <c r="B8083" s="67"/>
      <c r="C8083" s="58" t="s">
        <v>20331</v>
      </c>
      <c r="D8083" s="63" t="s">
        <v>23050</v>
      </c>
      <c r="E8083" s="63" t="s">
        <v>23050</v>
      </c>
      <c r="F8083" s="74" t="s">
        <v>24438</v>
      </c>
      <c r="G8083" s="75" t="s">
        <v>24748</v>
      </c>
      <c r="H8083" s="75" t="s">
        <v>24749</v>
      </c>
      <c r="I8083" s="76">
        <v>9</v>
      </c>
      <c r="J8083" s="44" t="str">
        <f>VLOOKUP(G8083,[1]硬件清单!$F:$F,1,0)</f>
        <v>WIXCEH0239</v>
      </c>
      <c r="K8083" s="66"/>
      <c r="L8083" s="44" t="s">
        <v>17</v>
      </c>
      <c r="M8083" s="75" t="s">
        <v>24750</v>
      </c>
    </row>
    <row r="8084" ht="30" customHeight="1" spans="1:13">
      <c r="A8084" s="41">
        <f>IF(C8084="","",SUBTOTAL(103,$C$2:C8084))</f>
        <v>8075</v>
      </c>
      <c r="B8084" s="67"/>
      <c r="C8084" s="58" t="s">
        <v>20331</v>
      </c>
      <c r="D8084" s="63" t="s">
        <v>23050</v>
      </c>
      <c r="E8084" s="63" t="s">
        <v>23050</v>
      </c>
      <c r="F8084" s="74" t="s">
        <v>24751</v>
      </c>
      <c r="G8084" s="75" t="s">
        <v>24752</v>
      </c>
      <c r="H8084" s="75" t="s">
        <v>24753</v>
      </c>
      <c r="I8084" s="76">
        <v>9</v>
      </c>
      <c r="J8084" s="44" t="str">
        <f>VLOOKUP(G8084,[1]硬件清单!$F:$F,1,0)</f>
        <v>BXGZ001259</v>
      </c>
      <c r="K8084" s="66"/>
      <c r="L8084" s="44" t="s">
        <v>17</v>
      </c>
      <c r="M8084" s="75" t="s">
        <v>24754</v>
      </c>
    </row>
    <row r="8085" ht="30" customHeight="1" spans="1:13">
      <c r="A8085" s="41">
        <f>IF(C8085="","",SUBTOTAL(103,$C$2:C8085))</f>
        <v>8076</v>
      </c>
      <c r="B8085" s="67"/>
      <c r="C8085" s="58" t="s">
        <v>20331</v>
      </c>
      <c r="D8085" s="63" t="s">
        <v>66</v>
      </c>
      <c r="E8085" s="63" t="s">
        <v>66</v>
      </c>
      <c r="F8085" s="74" t="s">
        <v>24346</v>
      </c>
      <c r="G8085" s="75" t="s">
        <v>24755</v>
      </c>
      <c r="H8085" s="75" t="s">
        <v>24756</v>
      </c>
      <c r="I8085" s="76">
        <v>9</v>
      </c>
      <c r="J8085" s="44" t="str">
        <f>VLOOKUP(G8085,[1]硬件清单!$F:$F,1,0)</f>
        <v>AFW2000NGFWB2F14C83CD2</v>
      </c>
      <c r="K8085" s="66"/>
      <c r="L8085" s="44" t="s">
        <v>17</v>
      </c>
      <c r="M8085" s="75" t="s">
        <v>24757</v>
      </c>
    </row>
    <row r="8086" ht="30" customHeight="1" spans="1:13">
      <c r="A8086" s="41">
        <f>IF(C8086="","",SUBTOTAL(103,$C$2:C8086))</f>
        <v>8077</v>
      </c>
      <c r="B8086" s="67"/>
      <c r="C8086" s="58" t="s">
        <v>20331</v>
      </c>
      <c r="D8086" s="63" t="s">
        <v>66</v>
      </c>
      <c r="E8086" s="63" t="s">
        <v>66</v>
      </c>
      <c r="F8086" s="74" t="s">
        <v>24346</v>
      </c>
      <c r="G8086" s="75" t="s">
        <v>24758</v>
      </c>
      <c r="H8086" s="75" t="s">
        <v>24759</v>
      </c>
      <c r="I8086" s="76">
        <v>9</v>
      </c>
      <c r="J8086" s="44" t="str">
        <f>VLOOKUP(G8086,[1]硬件清单!$F:$F,1,0)</f>
        <v>AFW2000NGFWB2F14C83CD1</v>
      </c>
      <c r="K8086" s="66"/>
      <c r="L8086" s="44"/>
      <c r="M8086" s="75" t="s">
        <v>24760</v>
      </c>
    </row>
    <row r="8087" ht="30" customHeight="1" spans="1:13">
      <c r="A8087" s="41">
        <f>IF(C8087="","",SUBTOTAL(103,$C$2:C8087))</f>
        <v>8078</v>
      </c>
      <c r="B8087" s="67"/>
      <c r="C8087" s="58" t="s">
        <v>20331</v>
      </c>
      <c r="D8087" s="63" t="s">
        <v>66</v>
      </c>
      <c r="E8087" s="63" t="s">
        <v>66</v>
      </c>
      <c r="F8087" s="74" t="s">
        <v>24761</v>
      </c>
      <c r="G8087" s="75" t="s">
        <v>24762</v>
      </c>
      <c r="H8087" s="75" t="s">
        <v>24763</v>
      </c>
      <c r="I8087" s="76">
        <v>9</v>
      </c>
      <c r="J8087" s="44" t="str">
        <f>VLOOKUP(G8087,[1]硬件清单!$F:$F,1,0)</f>
        <v>210235A2H7B229000042</v>
      </c>
      <c r="K8087" s="66"/>
      <c r="L8087" s="44" t="s">
        <v>17</v>
      </c>
      <c r="M8087" s="75" t="s">
        <v>24764</v>
      </c>
    </row>
    <row r="8088" ht="30" customHeight="1" spans="1:13">
      <c r="A8088" s="41">
        <f>IF(C8088="","",SUBTOTAL(103,$C$2:C8088))</f>
        <v>8079</v>
      </c>
      <c r="B8088" s="67"/>
      <c r="C8088" s="58" t="s">
        <v>20331</v>
      </c>
      <c r="D8088" s="63" t="s">
        <v>66</v>
      </c>
      <c r="E8088" s="63" t="s">
        <v>66</v>
      </c>
      <c r="F8088" s="74" t="s">
        <v>24761</v>
      </c>
      <c r="G8088" s="75" t="s">
        <v>24765</v>
      </c>
      <c r="H8088" s="75" t="s">
        <v>24766</v>
      </c>
      <c r="I8088" s="76">
        <v>9</v>
      </c>
      <c r="J8088" s="44" t="str">
        <f>VLOOKUP(G8088,[1]硬件清单!$F:$F,1,0)</f>
        <v>210235A2H7B21C000017</v>
      </c>
      <c r="K8088" s="66"/>
      <c r="L8088" s="44"/>
      <c r="M8088" s="75" t="s">
        <v>24767</v>
      </c>
    </row>
    <row r="8089" ht="30" customHeight="1" spans="1:13">
      <c r="A8089" s="41">
        <f>IF(C8089="","",SUBTOTAL(103,$C$2:C8089))</f>
        <v>8080</v>
      </c>
      <c r="B8089" s="67"/>
      <c r="C8089" s="58" t="s">
        <v>20331</v>
      </c>
      <c r="D8089" s="63" t="s">
        <v>23050</v>
      </c>
      <c r="E8089" s="63" t="s">
        <v>23050</v>
      </c>
      <c r="F8089" s="74" t="s">
        <v>24768</v>
      </c>
      <c r="G8089" s="75" t="s">
        <v>24769</v>
      </c>
      <c r="H8089" s="75" t="s">
        <v>24770</v>
      </c>
      <c r="I8089" s="76">
        <v>9</v>
      </c>
      <c r="J8089" s="44" t="str">
        <f>VLOOKUP(G8089,[1]硬件清单!$F:$F,1,0)</f>
        <v>ASG10000/V1.0B2F14C83CD1</v>
      </c>
      <c r="K8089" s="66"/>
      <c r="L8089" s="44" t="s">
        <v>17</v>
      </c>
      <c r="M8089" s="75" t="s">
        <v>24771</v>
      </c>
    </row>
    <row r="8090" ht="30" customHeight="1" spans="1:13">
      <c r="A8090" s="41">
        <f>IF(C8090="","",SUBTOTAL(103,$C$2:C8090))</f>
        <v>8081</v>
      </c>
      <c r="B8090" s="67"/>
      <c r="C8090" s="58" t="s">
        <v>20331</v>
      </c>
      <c r="D8090" s="63" t="s">
        <v>23050</v>
      </c>
      <c r="E8090" s="63" t="s">
        <v>23050</v>
      </c>
      <c r="F8090" s="74" t="s">
        <v>24768</v>
      </c>
      <c r="G8090" s="75" t="s">
        <v>24772</v>
      </c>
      <c r="H8090" s="75" t="s">
        <v>24773</v>
      </c>
      <c r="I8090" s="76">
        <v>9</v>
      </c>
      <c r="J8090" s="44" t="str">
        <f>VLOOKUP(G8090,[1]硬件清单!$F:$F,1,0)</f>
        <v>ASG10000/V1.0B2F14C83CD2</v>
      </c>
      <c r="K8090" s="66"/>
      <c r="L8090" s="44" t="s">
        <v>17</v>
      </c>
      <c r="M8090" s="75" t="s">
        <v>24774</v>
      </c>
    </row>
    <row r="8091" ht="30" customHeight="1" spans="1:13">
      <c r="A8091" s="41">
        <f>IF(C8091="","",SUBTOTAL(103,$C$2:C8091))</f>
        <v>8082</v>
      </c>
      <c r="B8091" s="67"/>
      <c r="C8091" s="58" t="s">
        <v>20331</v>
      </c>
      <c r="D8091" s="63" t="s">
        <v>23050</v>
      </c>
      <c r="E8091" s="63" t="s">
        <v>23050</v>
      </c>
      <c r="F8091" s="74" t="s">
        <v>24775</v>
      </c>
      <c r="G8091" s="75" t="s">
        <v>24776</v>
      </c>
      <c r="H8091" s="75" t="s">
        <v>24777</v>
      </c>
      <c r="I8091" s="76">
        <v>9</v>
      </c>
      <c r="J8091" s="44" t="str">
        <f>VLOOKUP(G8091,[1]硬件清单!$F:$F,1,0)</f>
        <v>S22921001Z400194</v>
      </c>
      <c r="K8091" s="66"/>
      <c r="L8091" s="44" t="s">
        <v>17</v>
      </c>
      <c r="M8091" s="75" t="s">
        <v>24778</v>
      </c>
    </row>
    <row r="8092" ht="30" customHeight="1" spans="1:13">
      <c r="A8092" s="41">
        <f>IF(C8092="","",SUBTOTAL(103,$C$2:C8092))</f>
        <v>8083</v>
      </c>
      <c r="B8092" s="67"/>
      <c r="C8092" s="58" t="s">
        <v>20331</v>
      </c>
      <c r="D8092" s="63" t="s">
        <v>23050</v>
      </c>
      <c r="E8092" s="63" t="s">
        <v>23050</v>
      </c>
      <c r="F8092" s="74" t="s">
        <v>24775</v>
      </c>
      <c r="G8092" s="75" t="s">
        <v>24779</v>
      </c>
      <c r="H8092" s="75" t="s">
        <v>24780</v>
      </c>
      <c r="I8092" s="76">
        <v>9</v>
      </c>
      <c r="J8092" s="44" t="str">
        <f>VLOOKUP(G8092,[1]硬件清单!$F:$F,1,0)</f>
        <v>S22921001Z400102</v>
      </c>
      <c r="K8092" s="66"/>
      <c r="L8092" s="44" t="s">
        <v>17</v>
      </c>
      <c r="M8092" s="75" t="s">
        <v>24781</v>
      </c>
    </row>
    <row r="8093" ht="30" customHeight="1" spans="1:13">
      <c r="A8093" s="41">
        <f>IF(C8093="","",SUBTOTAL(103,$C$2:C8093))</f>
        <v>8084</v>
      </c>
      <c r="B8093" s="67"/>
      <c r="C8093" s="58" t="s">
        <v>20331</v>
      </c>
      <c r="D8093" s="63" t="s">
        <v>23050</v>
      </c>
      <c r="E8093" s="63" t="s">
        <v>23050</v>
      </c>
      <c r="F8093" s="74" t="s">
        <v>24775</v>
      </c>
      <c r="G8093" s="75" t="s">
        <v>24782</v>
      </c>
      <c r="H8093" s="75" t="s">
        <v>24783</v>
      </c>
      <c r="I8093" s="76">
        <v>9</v>
      </c>
      <c r="J8093" s="44" t="str">
        <f>VLOOKUP(G8093,[1]硬件清单!$F:$F,1,0)</f>
        <v>S22921001Z400048</v>
      </c>
      <c r="K8093" s="66"/>
      <c r="L8093" s="44" t="s">
        <v>17</v>
      </c>
      <c r="M8093" s="75" t="s">
        <v>24784</v>
      </c>
    </row>
    <row r="8094" ht="30" customHeight="1" spans="1:13">
      <c r="A8094" s="41">
        <f>IF(C8094="","",SUBTOTAL(103,$C$2:C8094))</f>
        <v>8085</v>
      </c>
      <c r="B8094" s="67"/>
      <c r="C8094" s="58" t="s">
        <v>20331</v>
      </c>
      <c r="D8094" s="63" t="s">
        <v>23050</v>
      </c>
      <c r="E8094" s="63" t="s">
        <v>23050</v>
      </c>
      <c r="F8094" s="74" t="s">
        <v>24785</v>
      </c>
      <c r="G8094" s="75" t="s">
        <v>24786</v>
      </c>
      <c r="H8094" s="75" t="s">
        <v>24787</v>
      </c>
      <c r="I8094" s="76">
        <v>9</v>
      </c>
      <c r="J8094" s="44" t="str">
        <f>VLOOKUP(G8094,[1]硬件清单!$F:$F,1,0)</f>
        <v>20221201011C14002</v>
      </c>
      <c r="K8094" s="66"/>
      <c r="L8094" s="44" t="s">
        <v>17</v>
      </c>
      <c r="M8094" s="75" t="s">
        <v>24788</v>
      </c>
    </row>
    <row r="8095" ht="30" customHeight="1" spans="1:13">
      <c r="A8095" s="41">
        <f>IF(C8095="","",SUBTOTAL(103,$C$2:C8095))</f>
        <v>8086</v>
      </c>
      <c r="B8095" s="67"/>
      <c r="C8095" s="58" t="s">
        <v>20331</v>
      </c>
      <c r="D8095" s="63" t="s">
        <v>23050</v>
      </c>
      <c r="E8095" s="63" t="s">
        <v>23050</v>
      </c>
      <c r="F8095" s="74" t="s">
        <v>24775</v>
      </c>
      <c r="G8095" s="75" t="s">
        <v>24789</v>
      </c>
      <c r="H8095" s="75" t="s">
        <v>24790</v>
      </c>
      <c r="I8095" s="76">
        <v>9</v>
      </c>
      <c r="J8095" s="44" t="str">
        <f>VLOOKUP(G8095,[1]硬件清单!$F:$F,1,0)</f>
        <v>S22921001Z400124</v>
      </c>
      <c r="K8095" s="66"/>
      <c r="L8095" s="44" t="s">
        <v>17</v>
      </c>
      <c r="M8095" s="75" t="s">
        <v>24791</v>
      </c>
    </row>
    <row r="8096" ht="30" customHeight="1" spans="1:13">
      <c r="A8096" s="41">
        <f>IF(C8096="","",SUBTOTAL(103,$C$2:C8096))</f>
        <v>8087</v>
      </c>
      <c r="B8096" s="67"/>
      <c r="C8096" s="58" t="s">
        <v>20331</v>
      </c>
      <c r="D8096" s="63" t="s">
        <v>23050</v>
      </c>
      <c r="E8096" s="63" t="s">
        <v>23050</v>
      </c>
      <c r="F8096" s="74" t="s">
        <v>24785</v>
      </c>
      <c r="G8096" s="75" t="s">
        <v>24792</v>
      </c>
      <c r="H8096" s="75" t="s">
        <v>24793</v>
      </c>
      <c r="I8096" s="76">
        <v>9</v>
      </c>
      <c r="J8096" s="44" t="str">
        <f>VLOOKUP(G8096,[1]硬件清单!$F:$F,1,0)</f>
        <v>20221201011C14004</v>
      </c>
      <c r="K8096" s="66"/>
      <c r="L8096" s="44" t="s">
        <v>17</v>
      </c>
      <c r="M8096" s="75" t="s">
        <v>24794</v>
      </c>
    </row>
    <row r="8097" ht="30" customHeight="1" spans="1:13">
      <c r="A8097" s="41">
        <f>IF(C8097="","",SUBTOTAL(103,$C$2:C8097))</f>
        <v>8088</v>
      </c>
      <c r="B8097" s="67"/>
      <c r="C8097" s="58" t="s">
        <v>20331</v>
      </c>
      <c r="D8097" s="63" t="s">
        <v>23050</v>
      </c>
      <c r="E8097" s="63" t="s">
        <v>23050</v>
      </c>
      <c r="F8097" s="74" t="s">
        <v>24785</v>
      </c>
      <c r="G8097" s="75" t="s">
        <v>24795</v>
      </c>
      <c r="H8097" s="75" t="s">
        <v>24796</v>
      </c>
      <c r="I8097" s="76">
        <v>9</v>
      </c>
      <c r="J8097" s="44" t="str">
        <f>VLOOKUP(G8097,[1]硬件清单!$F:$F,1,0)</f>
        <v>20221201011C14003</v>
      </c>
      <c r="K8097" s="66"/>
      <c r="L8097" s="44" t="s">
        <v>17</v>
      </c>
      <c r="M8097" s="75" t="s">
        <v>24797</v>
      </c>
    </row>
    <row r="8098" ht="30" customHeight="1" spans="1:13">
      <c r="A8098" s="41">
        <f>IF(C8098="","",SUBTOTAL(103,$C$2:C8098))</f>
        <v>8089</v>
      </c>
      <c r="B8098" s="67"/>
      <c r="C8098" s="58" t="s">
        <v>20331</v>
      </c>
      <c r="D8098" s="63" t="s">
        <v>23050</v>
      </c>
      <c r="E8098" s="63" t="s">
        <v>23050</v>
      </c>
      <c r="F8098" s="74" t="s">
        <v>24785</v>
      </c>
      <c r="G8098" s="75" t="s">
        <v>24798</v>
      </c>
      <c r="H8098" s="75" t="s">
        <v>24799</v>
      </c>
      <c r="I8098" s="76">
        <v>9</v>
      </c>
      <c r="J8098" s="44" t="str">
        <f>VLOOKUP(G8098,[1]硬件清单!$F:$F,1,0)</f>
        <v>20221201011C14001</v>
      </c>
      <c r="K8098" s="66"/>
      <c r="L8098" s="44" t="s">
        <v>17</v>
      </c>
      <c r="M8098" s="75" t="s">
        <v>24800</v>
      </c>
    </row>
    <row r="8099" ht="30" customHeight="1" spans="1:13">
      <c r="A8099" s="41">
        <f>IF(C8099="","",SUBTOTAL(103,$C$2:C8099))</f>
        <v>8090</v>
      </c>
      <c r="B8099" s="67"/>
      <c r="C8099" s="58" t="s">
        <v>20331</v>
      </c>
      <c r="D8099" s="63" t="s">
        <v>23050</v>
      </c>
      <c r="E8099" s="63" t="s">
        <v>23050</v>
      </c>
      <c r="F8099" s="74" t="s">
        <v>24801</v>
      </c>
      <c r="G8099" s="75" t="s">
        <v>24802</v>
      </c>
      <c r="H8099" s="75" t="s">
        <v>24803</v>
      </c>
      <c r="I8099" s="76">
        <v>9</v>
      </c>
      <c r="J8099" s="44" t="str">
        <f>VLOOKUP(G8099,[1]硬件清单!$F:$F,1,0)</f>
        <v>W96012212000900</v>
      </c>
      <c r="K8099" s="66"/>
      <c r="L8099" s="44" t="s">
        <v>17</v>
      </c>
      <c r="M8099" s="75" t="s">
        <v>24804</v>
      </c>
    </row>
    <row r="8100" ht="30" customHeight="1" spans="1:13">
      <c r="A8100" s="41">
        <f>IF(C8100="","",SUBTOTAL(103,$C$2:C8100))</f>
        <v>8091</v>
      </c>
      <c r="B8100" s="67"/>
      <c r="C8100" s="58" t="s">
        <v>20331</v>
      </c>
      <c r="D8100" s="63" t="s">
        <v>23050</v>
      </c>
      <c r="E8100" s="63" t="s">
        <v>23050</v>
      </c>
      <c r="F8100" s="74" t="s">
        <v>24801</v>
      </c>
      <c r="G8100" s="75" t="s">
        <v>24805</v>
      </c>
      <c r="H8100" s="75" t="s">
        <v>24806</v>
      </c>
      <c r="I8100" s="76">
        <v>9</v>
      </c>
      <c r="J8100" s="44" t="str">
        <f>VLOOKUP(G8100,[1]硬件清单!$F:$F,1,0)</f>
        <v>W96012212000899</v>
      </c>
      <c r="K8100" s="66"/>
      <c r="L8100" s="44" t="s">
        <v>17</v>
      </c>
      <c r="M8100" s="75" t="s">
        <v>24807</v>
      </c>
    </row>
    <row r="8101" ht="30" customHeight="1" spans="1:13">
      <c r="A8101" s="41">
        <f>IF(C8101="","",SUBTOTAL(103,$C$2:C8101))</f>
        <v>8092</v>
      </c>
      <c r="B8101" s="67"/>
      <c r="C8101" s="58" t="s">
        <v>20331</v>
      </c>
      <c r="D8101" s="63" t="s">
        <v>23050</v>
      </c>
      <c r="E8101" s="63" t="s">
        <v>23050</v>
      </c>
      <c r="F8101" s="74" t="s">
        <v>24801</v>
      </c>
      <c r="G8101" s="75" t="s">
        <v>24808</v>
      </c>
      <c r="H8101" s="75" t="s">
        <v>24809</v>
      </c>
      <c r="I8101" s="76">
        <v>9</v>
      </c>
      <c r="J8101" s="44" t="str">
        <f>VLOOKUP(G8101,[1]硬件清单!$F:$F,1,0)</f>
        <v>W96012212000898</v>
      </c>
      <c r="K8101" s="66"/>
      <c r="L8101" s="44" t="s">
        <v>17</v>
      </c>
      <c r="M8101" s="75" t="s">
        <v>24810</v>
      </c>
    </row>
    <row r="8102" ht="30" customHeight="1" spans="1:13">
      <c r="A8102" s="41">
        <f>IF(C8102="","",SUBTOTAL(103,$C$2:C8102))</f>
        <v>8093</v>
      </c>
      <c r="B8102" s="67"/>
      <c r="C8102" s="58" t="s">
        <v>20331</v>
      </c>
      <c r="D8102" s="63" t="s">
        <v>23050</v>
      </c>
      <c r="E8102" s="63" t="s">
        <v>23050</v>
      </c>
      <c r="F8102" s="74" t="s">
        <v>24801</v>
      </c>
      <c r="G8102" s="75" t="s">
        <v>24811</v>
      </c>
      <c r="H8102" s="75" t="s">
        <v>24812</v>
      </c>
      <c r="I8102" s="76">
        <v>9</v>
      </c>
      <c r="J8102" s="44" t="str">
        <f>VLOOKUP(G8102,[1]硬件清单!$F:$F,1,0)</f>
        <v>W96012212000897</v>
      </c>
      <c r="K8102" s="66"/>
      <c r="L8102" s="44" t="s">
        <v>17</v>
      </c>
      <c r="M8102" s="75" t="s">
        <v>24813</v>
      </c>
    </row>
    <row r="8103" ht="30" customHeight="1" spans="1:13">
      <c r="A8103" s="41">
        <f>IF(C8103="","",SUBTOTAL(103,$C$2:C8103))</f>
        <v>8094</v>
      </c>
      <c r="B8103" s="67"/>
      <c r="C8103" s="58" t="s">
        <v>20331</v>
      </c>
      <c r="D8103" s="63" t="s">
        <v>24814</v>
      </c>
      <c r="E8103" s="63" t="s">
        <v>24814</v>
      </c>
      <c r="F8103" s="74" t="s">
        <v>24815</v>
      </c>
      <c r="G8103" s="75" t="s">
        <v>24816</v>
      </c>
      <c r="H8103" s="75" t="s">
        <v>24817</v>
      </c>
      <c r="I8103" s="76">
        <v>9</v>
      </c>
      <c r="J8103" s="44" t="str">
        <f>VLOOKUP(G8103,[1]硬件清单!$F:$F,1,0)</f>
        <v>S22921001Z400120</v>
      </c>
      <c r="K8103" s="66"/>
      <c r="L8103" s="44" t="s">
        <v>17</v>
      </c>
      <c r="M8103" s="75" t="s">
        <v>24818</v>
      </c>
    </row>
    <row r="8104" ht="30" customHeight="1" spans="1:13">
      <c r="A8104" s="41">
        <f>IF(C8104="","",SUBTOTAL(103,$C$2:C8104))</f>
        <v>8095</v>
      </c>
      <c r="B8104" s="67"/>
      <c r="C8104" s="58" t="s">
        <v>20331</v>
      </c>
      <c r="D8104" s="63" t="s">
        <v>24814</v>
      </c>
      <c r="E8104" s="63" t="s">
        <v>24814</v>
      </c>
      <c r="F8104" s="74" t="s">
        <v>24815</v>
      </c>
      <c r="G8104" s="75" t="s">
        <v>24819</v>
      </c>
      <c r="H8104" s="75" t="s">
        <v>24820</v>
      </c>
      <c r="I8104" s="76">
        <v>9</v>
      </c>
      <c r="J8104" s="44" t="str">
        <f>VLOOKUP(G8104,[1]硬件清单!$F:$F,1,0)</f>
        <v>S22921001Z400197</v>
      </c>
      <c r="K8104" s="66"/>
      <c r="L8104" s="44" t="s">
        <v>17</v>
      </c>
      <c r="M8104" s="75" t="s">
        <v>24821</v>
      </c>
    </row>
    <row r="8105" ht="30" customHeight="1" spans="1:13">
      <c r="A8105" s="41">
        <f>IF(C8105="","",SUBTOTAL(103,$C$2:C8105))</f>
        <v>8096</v>
      </c>
      <c r="B8105" s="67"/>
      <c r="C8105" s="58" t="s">
        <v>20331</v>
      </c>
      <c r="D8105" s="63" t="s">
        <v>24814</v>
      </c>
      <c r="E8105" s="63" t="s">
        <v>24814</v>
      </c>
      <c r="F8105" s="74" t="s">
        <v>24822</v>
      </c>
      <c r="G8105" s="75" t="s">
        <v>24823</v>
      </c>
      <c r="H8105" s="75" t="s">
        <v>24824</v>
      </c>
      <c r="I8105" s="76">
        <v>9</v>
      </c>
      <c r="J8105" s="44" t="str">
        <f>VLOOKUP(G8105,[1]硬件清单!$F:$F,1,0)</f>
        <v>W96012212000919</v>
      </c>
      <c r="K8105" s="66"/>
      <c r="L8105" s="44" t="s">
        <v>17</v>
      </c>
      <c r="M8105" s="75" t="s">
        <v>24825</v>
      </c>
    </row>
    <row r="8106" ht="30" customHeight="1" spans="1:13">
      <c r="A8106" s="53">
        <f>IF(C8106="","",SUBTOTAL(103,$C$2:C8106))</f>
        <v>8097</v>
      </c>
      <c r="B8106" s="67"/>
      <c r="C8106" s="78" t="s">
        <v>20331</v>
      </c>
      <c r="D8106" s="79" t="s">
        <v>24814</v>
      </c>
      <c r="E8106" s="79" t="s">
        <v>24814</v>
      </c>
      <c r="F8106" s="80" t="s">
        <v>24822</v>
      </c>
      <c r="G8106" s="81" t="s">
        <v>24826</v>
      </c>
      <c r="H8106" s="81" t="s">
        <v>24827</v>
      </c>
      <c r="I8106" s="82">
        <v>9</v>
      </c>
      <c r="J8106" s="44" t="str">
        <f>VLOOKUP(G8106,[1]硬件清单!$F:$F,1,0)</f>
        <v>W96012212000918</v>
      </c>
      <c r="K8106" s="83"/>
      <c r="L8106" s="84" t="s">
        <v>17</v>
      </c>
      <c r="M8106" s="81" t="s">
        <v>24828</v>
      </c>
    </row>
    <row r="8107" ht="30" customHeight="1" spans="1:13">
      <c r="A8107" s="53">
        <f>IF(C8107="","",SUBTOTAL(103,$C$2:C8107))</f>
        <v>8098</v>
      </c>
      <c r="B8107" s="67"/>
      <c r="C8107" s="78" t="s">
        <v>20331</v>
      </c>
      <c r="D8107" s="85" t="s">
        <v>161</v>
      </c>
      <c r="E8107" s="85" t="s">
        <v>238</v>
      </c>
      <c r="F8107" s="85" t="s">
        <v>2046</v>
      </c>
      <c r="G8107" s="86" t="s">
        <v>24829</v>
      </c>
      <c r="H8107" s="75"/>
      <c r="I8107" s="76">
        <v>12</v>
      </c>
      <c r="J8107" s="44" t="str">
        <f>VLOOKUP(G8107,[1]硬件清单!$F:$F,1,0)</f>
        <v>JPG194900XK</v>
      </c>
      <c r="K8107" s="66"/>
      <c r="L8107" s="44"/>
      <c r="M8107" s="85" t="s">
        <v>24830</v>
      </c>
    </row>
    <row r="8108" ht="30" customHeight="1" spans="1:13">
      <c r="A8108" s="53">
        <f>IF(C8108="","",SUBTOTAL(103,$C$2:C8108))</f>
        <v>8099</v>
      </c>
      <c r="B8108" s="67"/>
      <c r="C8108" s="78" t="s">
        <v>20331</v>
      </c>
      <c r="D8108" s="85" t="s">
        <v>161</v>
      </c>
      <c r="E8108" s="85" t="s">
        <v>238</v>
      </c>
      <c r="F8108" s="85" t="s">
        <v>2046</v>
      </c>
      <c r="G8108" s="86" t="s">
        <v>24831</v>
      </c>
      <c r="H8108" s="75"/>
      <c r="I8108" s="76">
        <v>12</v>
      </c>
      <c r="J8108" s="44" t="str">
        <f>VLOOKUP(G8108,[1]硬件清单!$F:$F,1,0)</f>
        <v>AMS18160311</v>
      </c>
      <c r="K8108" s="66"/>
      <c r="L8108" s="44"/>
      <c r="M8108" s="85" t="s">
        <v>24830</v>
      </c>
    </row>
    <row r="8109" ht="30" customHeight="1" spans="1:13">
      <c r="A8109" s="53">
        <f>IF(C8109="","",SUBTOTAL(103,$C$2:C8109))</f>
        <v>8100</v>
      </c>
      <c r="B8109" s="67"/>
      <c r="C8109" s="78" t="s">
        <v>20331</v>
      </c>
      <c r="D8109" s="85" t="s">
        <v>161</v>
      </c>
      <c r="E8109" s="85" t="s">
        <v>238</v>
      </c>
      <c r="F8109" s="85" t="s">
        <v>2046</v>
      </c>
      <c r="G8109" s="86" t="s">
        <v>24832</v>
      </c>
      <c r="H8109" s="75"/>
      <c r="I8109" s="76">
        <v>12</v>
      </c>
      <c r="J8109" s="44" t="str">
        <f>VLOOKUP(G8109,[1]硬件清单!$F:$F,1,0)</f>
        <v>AMS14420067</v>
      </c>
      <c r="K8109" s="66"/>
      <c r="L8109" s="44"/>
      <c r="M8109" s="85" t="s">
        <v>24833</v>
      </c>
    </row>
    <row r="8110" ht="30" customHeight="1" spans="1:13">
      <c r="A8110" s="53">
        <f>IF(C8110="","",SUBTOTAL(103,$C$2:C8110))</f>
        <v>8101</v>
      </c>
      <c r="B8110" s="67"/>
      <c r="C8110" s="78" t="s">
        <v>20331</v>
      </c>
      <c r="D8110" s="63" t="s">
        <v>12</v>
      </c>
      <c r="E8110" s="87" t="s">
        <v>24834</v>
      </c>
      <c r="F8110" s="87" t="s">
        <v>24835</v>
      </c>
      <c r="G8110" s="88" t="s">
        <v>24836</v>
      </c>
      <c r="H8110" s="75"/>
      <c r="I8110" s="76">
        <v>12</v>
      </c>
      <c r="J8110" s="44" t="str">
        <f>VLOOKUP(G8110,[1]硬件清单!$F:$F,1,0)</f>
        <v>21013018452128030005</v>
      </c>
      <c r="K8110" s="66"/>
      <c r="L8110" s="44"/>
      <c r="M8110" s="89" t="s">
        <v>24837</v>
      </c>
    </row>
    <row r="8111" ht="30" customHeight="1" spans="1:13">
      <c r="A8111" s="53">
        <f>IF(C8111="","",SUBTOTAL(103,$C$2:C8111))</f>
        <v>8102</v>
      </c>
      <c r="B8111" s="67"/>
      <c r="C8111" s="78" t="s">
        <v>20331</v>
      </c>
      <c r="D8111" s="63" t="s">
        <v>12</v>
      </c>
      <c r="E8111" s="87" t="s">
        <v>24834</v>
      </c>
      <c r="F8111" s="87" t="s">
        <v>24838</v>
      </c>
      <c r="G8111" s="88" t="s">
        <v>24839</v>
      </c>
      <c r="H8111" s="75"/>
      <c r="I8111" s="76">
        <v>12</v>
      </c>
      <c r="J8111" s="44" t="str">
        <f>VLOOKUP(G8111,[1]硬件清单!$F:$F,1,0)</f>
        <v>21F01045052128010002</v>
      </c>
      <c r="K8111" s="66"/>
      <c r="L8111" s="44"/>
      <c r="M8111" s="89" t="s">
        <v>24840</v>
      </c>
    </row>
  </sheetData>
  <autoFilter xmlns:etc="http://www.wps.cn/officeDocument/2017/etCustomData" ref="A1:M8111" etc:filterBottomFollowUsedRange="0">
    <extLst/>
  </autoFilter>
  <sortState ref="A2:JH17255">
    <sortCondition ref="D2:D17255" customList="网络设备,安全保密,计算机"/>
  </sortState>
  <conditionalFormatting sqref="H1:H3231 H8112:H1048576 H5649:H6639 H3238:H5646">
    <cfRule type="duplicateValues" dxfId="0" priority="392"/>
  </conditionalFormatting>
  <pageMargins left="0.3" right="0.3" top="0.5" bottom="0.5" header="0.5" footer="0.5"/>
  <pageSetup paperSize="9" scale="66" fitToHeight="0" orientation="landscape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55"/>
  <sheetViews>
    <sheetView workbookViewId="0">
      <selection activeCell="F2" sqref="F2"/>
    </sheetView>
  </sheetViews>
  <sheetFormatPr defaultColWidth="9.13888888888889" defaultRowHeight="13.2" outlineLevelCol="6"/>
  <cols>
    <col min="2" max="2" width="14.4259259259259" customWidth="1"/>
    <col min="3" max="3" width="28.5740740740741" customWidth="1"/>
    <col min="4" max="4" width="16.287037037037" customWidth="1"/>
    <col min="5" max="5" width="17.1388888888889" customWidth="1"/>
    <col min="6" max="6" width="23" customWidth="1"/>
    <col min="7" max="7" width="19.1388888888889" customWidth="1"/>
  </cols>
  <sheetData>
    <row r="1" ht="15.6" spans="1:7">
      <c r="A1" s="6" t="s">
        <v>24841</v>
      </c>
      <c r="B1" s="7" t="s">
        <v>24842</v>
      </c>
      <c r="C1" s="6" t="s">
        <v>24843</v>
      </c>
      <c r="D1" s="6" t="s">
        <v>6</v>
      </c>
      <c r="E1" s="6" t="s">
        <v>24844</v>
      </c>
      <c r="F1" s="7" t="s">
        <v>24845</v>
      </c>
      <c r="G1" s="7" t="s">
        <v>9</v>
      </c>
    </row>
    <row r="2" ht="22" customHeight="1" spans="1:7">
      <c r="A2" s="8">
        <v>1</v>
      </c>
      <c r="B2" s="9" t="s">
        <v>24449</v>
      </c>
      <c r="C2" s="10" t="s">
        <v>24846</v>
      </c>
      <c r="D2" s="8"/>
      <c r="E2" s="8">
        <v>12</v>
      </c>
      <c r="F2" s="11" t="s">
        <v>24847</v>
      </c>
      <c r="G2" s="9"/>
    </row>
    <row r="3" ht="22" customHeight="1" spans="1:7">
      <c r="A3" s="8">
        <v>2</v>
      </c>
      <c r="B3" s="9" t="s">
        <v>24449</v>
      </c>
      <c r="C3" s="10" t="s">
        <v>24848</v>
      </c>
      <c r="D3" s="8"/>
      <c r="E3" s="8">
        <v>12</v>
      </c>
      <c r="F3" s="11" t="s">
        <v>24847</v>
      </c>
      <c r="G3" s="9"/>
    </row>
    <row r="4" ht="22" customHeight="1" spans="1:7">
      <c r="A4" s="8">
        <v>3</v>
      </c>
      <c r="B4" s="9" t="s">
        <v>24449</v>
      </c>
      <c r="C4" s="10" t="s">
        <v>24849</v>
      </c>
      <c r="D4" s="8"/>
      <c r="E4" s="8">
        <v>12</v>
      </c>
      <c r="F4" s="9" t="s">
        <v>24847</v>
      </c>
      <c r="G4" s="9"/>
    </row>
    <row r="5" ht="37" customHeight="1" spans="1:7">
      <c r="A5" s="8">
        <v>4</v>
      </c>
      <c r="B5" s="9" t="s">
        <v>24449</v>
      </c>
      <c r="C5" s="12" t="s">
        <v>24850</v>
      </c>
      <c r="D5" s="8"/>
      <c r="E5" s="8">
        <v>12</v>
      </c>
      <c r="F5" s="11" t="s">
        <v>24847</v>
      </c>
      <c r="G5" s="9"/>
    </row>
    <row r="6" ht="22" customHeight="1" spans="1:7">
      <c r="A6" s="8">
        <v>5</v>
      </c>
      <c r="B6" s="9" t="s">
        <v>24449</v>
      </c>
      <c r="C6" s="10" t="s">
        <v>24851</v>
      </c>
      <c r="D6" s="8"/>
      <c r="E6" s="8">
        <v>12</v>
      </c>
      <c r="F6" s="11" t="s">
        <v>24847</v>
      </c>
      <c r="G6" s="9"/>
    </row>
    <row r="7" ht="22" hidden="1" customHeight="1" spans="1:7">
      <c r="A7" s="8">
        <v>6</v>
      </c>
      <c r="B7" s="9" t="s">
        <v>24449</v>
      </c>
      <c r="C7" s="10" t="s">
        <v>24852</v>
      </c>
      <c r="D7" s="8"/>
      <c r="E7" s="8">
        <v>12</v>
      </c>
      <c r="F7" s="11" t="s">
        <v>24853</v>
      </c>
      <c r="G7" s="9"/>
    </row>
    <row r="8" ht="22" customHeight="1" spans="1:7">
      <c r="A8" s="8">
        <v>7</v>
      </c>
      <c r="B8" s="9" t="s">
        <v>24449</v>
      </c>
      <c r="C8" s="10" t="s">
        <v>24854</v>
      </c>
      <c r="D8" s="8"/>
      <c r="E8" s="8">
        <v>12</v>
      </c>
      <c r="F8" s="9" t="s">
        <v>24847</v>
      </c>
      <c r="G8" s="9"/>
    </row>
    <row r="9" ht="22" customHeight="1" spans="1:7">
      <c r="A9" s="8">
        <v>8</v>
      </c>
      <c r="B9" s="9" t="s">
        <v>24449</v>
      </c>
      <c r="C9" s="12" t="s">
        <v>24855</v>
      </c>
      <c r="D9" s="8"/>
      <c r="E9" s="8">
        <v>12</v>
      </c>
      <c r="F9" s="9" t="s">
        <v>24847</v>
      </c>
      <c r="G9" s="9"/>
    </row>
    <row r="10" ht="22" customHeight="1" spans="1:7">
      <c r="A10" s="8">
        <v>9</v>
      </c>
      <c r="B10" s="9" t="s">
        <v>24449</v>
      </c>
      <c r="C10" s="12" t="s">
        <v>24856</v>
      </c>
      <c r="D10" s="8"/>
      <c r="E10" s="8">
        <v>12</v>
      </c>
      <c r="F10" s="9" t="s">
        <v>24847</v>
      </c>
      <c r="G10" s="9"/>
    </row>
    <row r="11" ht="22" customHeight="1" spans="1:7">
      <c r="A11" s="8">
        <v>10</v>
      </c>
      <c r="B11" s="9" t="s">
        <v>24449</v>
      </c>
      <c r="C11" s="12" t="s">
        <v>24857</v>
      </c>
      <c r="D11" s="8"/>
      <c r="E11" s="8">
        <v>12</v>
      </c>
      <c r="F11" s="9" t="s">
        <v>24847</v>
      </c>
      <c r="G11" s="9"/>
    </row>
    <row r="12" ht="22" customHeight="1" spans="1:7">
      <c r="A12" s="8">
        <v>11</v>
      </c>
      <c r="B12" s="9" t="s">
        <v>24449</v>
      </c>
      <c r="C12" s="12" t="s">
        <v>24858</v>
      </c>
      <c r="D12" s="8"/>
      <c r="E12" s="8">
        <v>12</v>
      </c>
      <c r="F12" s="9" t="s">
        <v>24847</v>
      </c>
      <c r="G12" s="9"/>
    </row>
    <row r="13" ht="22" customHeight="1" spans="1:7">
      <c r="A13" s="8">
        <v>12</v>
      </c>
      <c r="B13" s="9" t="s">
        <v>24449</v>
      </c>
      <c r="C13" s="10" t="s">
        <v>24859</v>
      </c>
      <c r="D13" s="8"/>
      <c r="E13" s="8">
        <v>12</v>
      </c>
      <c r="F13" s="9" t="s">
        <v>24847</v>
      </c>
      <c r="G13" s="9"/>
    </row>
    <row r="14" ht="22" customHeight="1" spans="1:7">
      <c r="A14" s="8">
        <v>13</v>
      </c>
      <c r="B14" s="9" t="s">
        <v>24449</v>
      </c>
      <c r="C14" s="10" t="s">
        <v>24860</v>
      </c>
      <c r="D14" s="8"/>
      <c r="E14" s="8">
        <v>12</v>
      </c>
      <c r="F14" s="9" t="s">
        <v>24847</v>
      </c>
      <c r="G14" s="9"/>
    </row>
    <row r="15" ht="22" customHeight="1" spans="1:7">
      <c r="A15" s="8">
        <v>14</v>
      </c>
      <c r="B15" s="9" t="s">
        <v>24449</v>
      </c>
      <c r="C15" s="10" t="s">
        <v>24861</v>
      </c>
      <c r="D15" s="8"/>
      <c r="E15" s="8">
        <v>12</v>
      </c>
      <c r="F15" s="9" t="s">
        <v>24847</v>
      </c>
      <c r="G15" s="9"/>
    </row>
    <row r="16" ht="22" hidden="1" customHeight="1" spans="1:7">
      <c r="A16" s="8">
        <v>15</v>
      </c>
      <c r="B16" s="9" t="s">
        <v>24449</v>
      </c>
      <c r="C16" s="12" t="s">
        <v>24862</v>
      </c>
      <c r="D16" s="8"/>
      <c r="E16" s="8">
        <v>12</v>
      </c>
      <c r="F16" s="9" t="s">
        <v>24853</v>
      </c>
      <c r="G16" s="9"/>
    </row>
    <row r="17" ht="22" customHeight="1" spans="1:7">
      <c r="A17" s="8">
        <v>16</v>
      </c>
      <c r="B17" s="9" t="s">
        <v>24449</v>
      </c>
      <c r="C17" s="10" t="s">
        <v>24863</v>
      </c>
      <c r="D17" s="8"/>
      <c r="E17" s="8">
        <v>12</v>
      </c>
      <c r="F17" s="9" t="s">
        <v>24847</v>
      </c>
      <c r="G17" s="9"/>
    </row>
    <row r="18" ht="22" customHeight="1" spans="1:7">
      <c r="A18" s="8">
        <v>17</v>
      </c>
      <c r="B18" s="9" t="s">
        <v>24449</v>
      </c>
      <c r="C18" s="10" t="s">
        <v>24864</v>
      </c>
      <c r="D18" s="8"/>
      <c r="E18" s="8">
        <v>12</v>
      </c>
      <c r="F18" s="11" t="s">
        <v>24847</v>
      </c>
      <c r="G18" s="9"/>
    </row>
    <row r="19" ht="22" customHeight="1" spans="1:7">
      <c r="A19" s="8">
        <v>18</v>
      </c>
      <c r="B19" s="9" t="s">
        <v>24449</v>
      </c>
      <c r="C19" s="12" t="s">
        <v>24865</v>
      </c>
      <c r="D19" s="8"/>
      <c r="E19" s="8">
        <v>12</v>
      </c>
      <c r="F19" s="9" t="s">
        <v>24847</v>
      </c>
      <c r="G19" s="9"/>
    </row>
    <row r="20" ht="22" customHeight="1" spans="1:7">
      <c r="A20" s="8">
        <v>19</v>
      </c>
      <c r="B20" s="9" t="s">
        <v>24449</v>
      </c>
      <c r="C20" s="10" t="s">
        <v>24866</v>
      </c>
      <c r="D20" s="8"/>
      <c r="E20" s="8">
        <v>12</v>
      </c>
      <c r="F20" s="9" t="s">
        <v>24847</v>
      </c>
      <c r="G20" s="9"/>
    </row>
    <row r="21" ht="22" customHeight="1" spans="1:7">
      <c r="A21" s="8">
        <v>20</v>
      </c>
      <c r="B21" s="9" t="s">
        <v>24449</v>
      </c>
      <c r="C21" s="10" t="s">
        <v>24867</v>
      </c>
      <c r="D21" s="8"/>
      <c r="E21" s="8">
        <v>12</v>
      </c>
      <c r="F21" s="9" t="s">
        <v>24847</v>
      </c>
      <c r="G21" s="9"/>
    </row>
    <row r="22" ht="22" customHeight="1" spans="1:7">
      <c r="A22" s="8">
        <v>21</v>
      </c>
      <c r="B22" s="9" t="s">
        <v>24449</v>
      </c>
      <c r="C22" s="12" t="s">
        <v>24868</v>
      </c>
      <c r="D22" s="9"/>
      <c r="E22" s="8">
        <v>12</v>
      </c>
      <c r="F22" s="9" t="s">
        <v>24847</v>
      </c>
      <c r="G22" s="9"/>
    </row>
    <row r="23" ht="22" hidden="1" customHeight="1" spans="1:7">
      <c r="A23" s="8">
        <v>22</v>
      </c>
      <c r="B23" s="9" t="s">
        <v>24449</v>
      </c>
      <c r="C23" s="12" t="s">
        <v>24869</v>
      </c>
      <c r="D23" s="9"/>
      <c r="E23" s="8">
        <v>12</v>
      </c>
      <c r="F23" s="9" t="s">
        <v>24870</v>
      </c>
      <c r="G23" s="9"/>
    </row>
    <row r="24" ht="22" customHeight="1" spans="1:7">
      <c r="A24" s="8">
        <v>23</v>
      </c>
      <c r="B24" s="9" t="s">
        <v>24449</v>
      </c>
      <c r="C24" s="12" t="s">
        <v>24871</v>
      </c>
      <c r="D24" s="9"/>
      <c r="E24" s="8">
        <v>12</v>
      </c>
      <c r="F24" s="9" t="s">
        <v>24847</v>
      </c>
      <c r="G24" s="9"/>
    </row>
    <row r="25" ht="22" hidden="1" customHeight="1" spans="1:7">
      <c r="A25" s="8">
        <v>24</v>
      </c>
      <c r="B25" s="9" t="s">
        <v>24449</v>
      </c>
      <c r="C25" s="12" t="s">
        <v>24872</v>
      </c>
      <c r="D25" s="9"/>
      <c r="E25" s="8">
        <v>12</v>
      </c>
      <c r="F25" s="9" t="s">
        <v>24873</v>
      </c>
      <c r="G25" s="9"/>
    </row>
    <row r="26" ht="22" hidden="1" customHeight="1" spans="1:7">
      <c r="A26" s="8">
        <v>25</v>
      </c>
      <c r="B26" s="9" t="s">
        <v>24449</v>
      </c>
      <c r="C26" s="12" t="s">
        <v>24874</v>
      </c>
      <c r="D26" s="9"/>
      <c r="E26" s="8">
        <v>12</v>
      </c>
      <c r="F26" s="9" t="s">
        <v>24873</v>
      </c>
      <c r="G26" s="9"/>
    </row>
    <row r="27" ht="22" hidden="1" customHeight="1" spans="1:7">
      <c r="A27" s="8">
        <v>26</v>
      </c>
      <c r="B27" s="9" t="s">
        <v>24449</v>
      </c>
      <c r="C27" s="12" t="s">
        <v>24875</v>
      </c>
      <c r="D27" s="9"/>
      <c r="E27" s="8">
        <v>12</v>
      </c>
      <c r="F27" s="9" t="s">
        <v>24876</v>
      </c>
      <c r="G27" s="9"/>
    </row>
    <row r="28" ht="22" customHeight="1" spans="1:7">
      <c r="A28" s="8">
        <v>27</v>
      </c>
      <c r="B28" s="9" t="s">
        <v>24449</v>
      </c>
      <c r="C28" s="13" t="s">
        <v>24877</v>
      </c>
      <c r="D28" s="14"/>
      <c r="E28" s="8">
        <v>12</v>
      </c>
      <c r="F28" s="9" t="s">
        <v>24847</v>
      </c>
      <c r="G28" s="9"/>
    </row>
    <row r="29" ht="22" customHeight="1" spans="1:7">
      <c r="A29" s="8">
        <v>28</v>
      </c>
      <c r="B29" s="9" t="s">
        <v>24449</v>
      </c>
      <c r="C29" s="13" t="s">
        <v>24878</v>
      </c>
      <c r="D29" s="14"/>
      <c r="E29" s="8">
        <v>12</v>
      </c>
      <c r="F29" s="9" t="s">
        <v>24847</v>
      </c>
      <c r="G29" s="9"/>
    </row>
    <row r="30" ht="22" hidden="1" customHeight="1" spans="1:7">
      <c r="A30" s="8">
        <v>29</v>
      </c>
      <c r="B30" s="9" t="s">
        <v>24449</v>
      </c>
      <c r="C30" s="12" t="s">
        <v>24879</v>
      </c>
      <c r="D30" s="14"/>
      <c r="E30" s="8">
        <v>12</v>
      </c>
      <c r="F30" s="9" t="s">
        <v>24880</v>
      </c>
      <c r="G30" s="9"/>
    </row>
    <row r="31" ht="22" customHeight="1" spans="1:7">
      <c r="A31" s="8">
        <v>30</v>
      </c>
      <c r="B31" s="9" t="s">
        <v>24449</v>
      </c>
      <c r="C31" s="12" t="s">
        <v>24881</v>
      </c>
      <c r="D31" s="9"/>
      <c r="E31" s="8">
        <v>12</v>
      </c>
      <c r="F31" s="9" t="s">
        <v>24847</v>
      </c>
      <c r="G31" s="9"/>
    </row>
    <row r="32" ht="22" hidden="1" customHeight="1" spans="1:7">
      <c r="A32" s="8">
        <v>31</v>
      </c>
      <c r="B32" s="9" t="s">
        <v>24449</v>
      </c>
      <c r="C32" s="15" t="s">
        <v>24882</v>
      </c>
      <c r="D32" s="16" t="s">
        <v>24883</v>
      </c>
      <c r="E32" s="17">
        <v>1</v>
      </c>
      <c r="F32" s="17" t="s">
        <v>24884</v>
      </c>
      <c r="G32" s="17"/>
    </row>
    <row r="33" ht="22" hidden="1" customHeight="1" spans="1:7">
      <c r="A33" s="8">
        <v>32</v>
      </c>
      <c r="B33" s="9" t="s">
        <v>24449</v>
      </c>
      <c r="C33" s="15" t="s">
        <v>24885</v>
      </c>
      <c r="D33" s="16" t="s">
        <v>24886</v>
      </c>
      <c r="E33" s="16">
        <v>12</v>
      </c>
      <c r="F33" s="17" t="s">
        <v>24884</v>
      </c>
      <c r="G33" s="17"/>
    </row>
    <row r="34" ht="22" hidden="1" customHeight="1" spans="1:7">
      <c r="A34" s="8">
        <v>33</v>
      </c>
      <c r="B34" s="9" t="s">
        <v>24449</v>
      </c>
      <c r="C34" s="15" t="s">
        <v>24887</v>
      </c>
      <c r="D34" s="16" t="s">
        <v>24888</v>
      </c>
      <c r="E34" s="16">
        <v>12</v>
      </c>
      <c r="F34" s="17" t="s">
        <v>24884</v>
      </c>
      <c r="G34" s="17"/>
    </row>
    <row r="35" ht="22" customHeight="1" spans="1:7">
      <c r="A35" s="8">
        <v>34</v>
      </c>
      <c r="B35" s="9" t="s">
        <v>24449</v>
      </c>
      <c r="C35" s="15" t="s">
        <v>24889</v>
      </c>
      <c r="D35" s="16" t="s">
        <v>24886</v>
      </c>
      <c r="E35" s="16">
        <v>12</v>
      </c>
      <c r="F35" s="17" t="s">
        <v>24847</v>
      </c>
      <c r="G35" s="17"/>
    </row>
    <row r="36" ht="22" customHeight="1" spans="1:7">
      <c r="A36" s="8">
        <v>35</v>
      </c>
      <c r="B36" s="9" t="s">
        <v>24449</v>
      </c>
      <c r="C36" s="15" t="s">
        <v>24890</v>
      </c>
      <c r="D36" s="16" t="s">
        <v>24891</v>
      </c>
      <c r="E36" s="16">
        <v>12</v>
      </c>
      <c r="F36" s="17" t="s">
        <v>24847</v>
      </c>
      <c r="G36" s="17"/>
    </row>
    <row r="37" ht="22" customHeight="1" spans="1:7">
      <c r="A37" s="8">
        <v>36</v>
      </c>
      <c r="B37" s="9" t="s">
        <v>24449</v>
      </c>
      <c r="C37" s="15" t="s">
        <v>24892</v>
      </c>
      <c r="D37" s="16" t="s">
        <v>24886</v>
      </c>
      <c r="E37" s="16">
        <v>12</v>
      </c>
      <c r="F37" s="17" t="s">
        <v>24847</v>
      </c>
      <c r="G37" s="17"/>
    </row>
    <row r="38" ht="22" hidden="1" customHeight="1" spans="1:7">
      <c r="A38" s="8">
        <v>37</v>
      </c>
      <c r="B38" s="9" t="s">
        <v>24449</v>
      </c>
      <c r="C38" s="15" t="s">
        <v>24893</v>
      </c>
      <c r="D38" s="16" t="s">
        <v>24886</v>
      </c>
      <c r="E38" s="17">
        <v>1</v>
      </c>
      <c r="F38" s="17" t="s">
        <v>24884</v>
      </c>
      <c r="G38" s="17"/>
    </row>
    <row r="39" ht="22" hidden="1" customHeight="1" spans="1:7">
      <c r="A39" s="8">
        <v>38</v>
      </c>
      <c r="B39" s="9" t="s">
        <v>24449</v>
      </c>
      <c r="C39" s="15" t="s">
        <v>24894</v>
      </c>
      <c r="D39" s="16" t="s">
        <v>24886</v>
      </c>
      <c r="E39" s="17">
        <v>1</v>
      </c>
      <c r="F39" s="17" t="s">
        <v>24884</v>
      </c>
      <c r="G39" s="17"/>
    </row>
    <row r="40" ht="22" hidden="1" customHeight="1" spans="1:7">
      <c r="A40" s="8">
        <v>39</v>
      </c>
      <c r="B40" s="9" t="s">
        <v>24449</v>
      </c>
      <c r="C40" s="15" t="s">
        <v>24895</v>
      </c>
      <c r="D40" s="16" t="s">
        <v>24886</v>
      </c>
      <c r="E40" s="17">
        <v>1</v>
      </c>
      <c r="F40" s="17" t="s">
        <v>24884</v>
      </c>
      <c r="G40" s="17"/>
    </row>
    <row r="41" ht="22" hidden="1" customHeight="1" spans="1:7">
      <c r="A41" s="8">
        <v>40</v>
      </c>
      <c r="B41" s="9" t="s">
        <v>24449</v>
      </c>
      <c r="C41" s="15" t="s">
        <v>24896</v>
      </c>
      <c r="D41" s="16" t="s">
        <v>24897</v>
      </c>
      <c r="E41" s="17">
        <v>1</v>
      </c>
      <c r="F41" s="17" t="s">
        <v>24884</v>
      </c>
      <c r="G41" s="17"/>
    </row>
    <row r="42" ht="22" hidden="1" customHeight="1" spans="1:7">
      <c r="A42" s="8">
        <v>41</v>
      </c>
      <c r="B42" s="9" t="s">
        <v>24449</v>
      </c>
      <c r="C42" s="15" t="s">
        <v>24898</v>
      </c>
      <c r="D42" s="16" t="s">
        <v>24897</v>
      </c>
      <c r="E42" s="17">
        <v>1</v>
      </c>
      <c r="F42" s="17" t="s">
        <v>24884</v>
      </c>
      <c r="G42" s="17"/>
    </row>
    <row r="43" ht="22" hidden="1" customHeight="1" spans="1:7">
      <c r="A43" s="8">
        <v>42</v>
      </c>
      <c r="B43" s="9" t="s">
        <v>24449</v>
      </c>
      <c r="C43" s="15" t="s">
        <v>24899</v>
      </c>
      <c r="D43" s="16" t="s">
        <v>24897</v>
      </c>
      <c r="E43" s="17">
        <v>1</v>
      </c>
      <c r="F43" s="17" t="s">
        <v>24884</v>
      </c>
      <c r="G43" s="17"/>
    </row>
    <row r="44" ht="22" hidden="1" customHeight="1" spans="1:7">
      <c r="A44" s="8">
        <v>43</v>
      </c>
      <c r="B44" s="9" t="s">
        <v>24449</v>
      </c>
      <c r="C44" s="15" t="s">
        <v>24900</v>
      </c>
      <c r="D44" s="16" t="s">
        <v>24886</v>
      </c>
      <c r="E44" s="17">
        <v>12</v>
      </c>
      <c r="F44" s="17" t="s">
        <v>24884</v>
      </c>
      <c r="G44" s="17"/>
    </row>
    <row r="45" ht="22" hidden="1" customHeight="1" spans="1:7">
      <c r="A45" s="8">
        <v>44</v>
      </c>
      <c r="B45" s="9" t="s">
        <v>24449</v>
      </c>
      <c r="C45" s="15" t="s">
        <v>24901</v>
      </c>
      <c r="D45" s="16" t="s">
        <v>24886</v>
      </c>
      <c r="E45" s="17">
        <v>1</v>
      </c>
      <c r="F45" s="17" t="s">
        <v>24884</v>
      </c>
      <c r="G45" s="17"/>
    </row>
    <row r="46" ht="22" hidden="1" customHeight="1" spans="1:7">
      <c r="A46" s="8">
        <v>45</v>
      </c>
      <c r="B46" s="9" t="s">
        <v>24449</v>
      </c>
      <c r="C46" s="15" t="s">
        <v>24902</v>
      </c>
      <c r="D46" s="16" t="s">
        <v>24883</v>
      </c>
      <c r="E46" s="17">
        <v>1</v>
      </c>
      <c r="F46" s="17" t="s">
        <v>24884</v>
      </c>
      <c r="G46" s="17"/>
    </row>
    <row r="47" ht="22" hidden="1" customHeight="1" spans="1:7">
      <c r="A47" s="8">
        <v>46</v>
      </c>
      <c r="B47" s="9" t="s">
        <v>24449</v>
      </c>
      <c r="C47" s="18" t="s">
        <v>24903</v>
      </c>
      <c r="D47" s="16" t="s">
        <v>24904</v>
      </c>
      <c r="E47" s="17">
        <v>12</v>
      </c>
      <c r="F47" s="19" t="s">
        <v>24905</v>
      </c>
      <c r="G47" s="17"/>
    </row>
    <row r="48" ht="22" hidden="1" customHeight="1" spans="1:7">
      <c r="A48" s="8">
        <v>47</v>
      </c>
      <c r="B48" s="9" t="s">
        <v>24449</v>
      </c>
      <c r="C48" s="20"/>
      <c r="D48" s="16" t="s">
        <v>24906</v>
      </c>
      <c r="E48" s="17">
        <v>1</v>
      </c>
      <c r="F48" s="21"/>
      <c r="G48" s="17"/>
    </row>
    <row r="49" ht="22" hidden="1" customHeight="1" spans="1:7">
      <c r="A49" s="8">
        <v>48</v>
      </c>
      <c r="B49" s="9" t="s">
        <v>24449</v>
      </c>
      <c r="C49" s="15" t="s">
        <v>24907</v>
      </c>
      <c r="D49" s="16" t="s">
        <v>24886</v>
      </c>
      <c r="E49" s="17">
        <v>1</v>
      </c>
      <c r="F49" s="17" t="s">
        <v>24884</v>
      </c>
      <c r="G49" s="17"/>
    </row>
    <row r="50" ht="22" hidden="1" customHeight="1" spans="1:7">
      <c r="A50" s="8">
        <v>49</v>
      </c>
      <c r="B50" s="9" t="s">
        <v>24449</v>
      </c>
      <c r="C50" s="15" t="s">
        <v>24908</v>
      </c>
      <c r="D50" s="16" t="s">
        <v>24886</v>
      </c>
      <c r="E50" s="17">
        <v>1</v>
      </c>
      <c r="F50" s="17" t="s">
        <v>24884</v>
      </c>
      <c r="G50" s="17"/>
    </row>
    <row r="51" ht="22" hidden="1" customHeight="1" spans="1:7">
      <c r="A51" s="8">
        <v>50</v>
      </c>
      <c r="B51" s="9" t="s">
        <v>24449</v>
      </c>
      <c r="C51" s="15" t="s">
        <v>24909</v>
      </c>
      <c r="D51" s="16" t="s">
        <v>24886</v>
      </c>
      <c r="E51" s="17">
        <v>1</v>
      </c>
      <c r="F51" s="17" t="s">
        <v>24884</v>
      </c>
      <c r="G51" s="17"/>
    </row>
    <row r="52" ht="22" hidden="1" customHeight="1" spans="1:7">
      <c r="A52" s="22">
        <v>51</v>
      </c>
      <c r="B52" s="23" t="s">
        <v>24449</v>
      </c>
      <c r="C52" s="18" t="s">
        <v>24910</v>
      </c>
      <c r="D52" s="16" t="s">
        <v>24911</v>
      </c>
      <c r="E52" s="17">
        <v>1</v>
      </c>
      <c r="F52" s="19" t="s">
        <v>24905</v>
      </c>
      <c r="G52" s="17"/>
    </row>
    <row r="53" ht="22" hidden="1" customHeight="1" spans="1:7">
      <c r="A53" s="24"/>
      <c r="B53" s="25"/>
      <c r="C53" s="20"/>
      <c r="D53" s="16" t="s">
        <v>24904</v>
      </c>
      <c r="E53" s="17">
        <v>12</v>
      </c>
      <c r="F53" s="21"/>
      <c r="G53" s="17"/>
    </row>
    <row r="54" ht="22" hidden="1" customHeight="1" spans="1:7">
      <c r="A54" s="8">
        <v>52</v>
      </c>
      <c r="B54" s="9" t="s">
        <v>24449</v>
      </c>
      <c r="C54" s="15" t="s">
        <v>1246</v>
      </c>
      <c r="D54" s="16" t="s">
        <v>24886</v>
      </c>
      <c r="E54" s="17">
        <v>1</v>
      </c>
      <c r="F54" s="17" t="s">
        <v>24884</v>
      </c>
      <c r="G54" s="17"/>
    </row>
    <row r="55" ht="22" customHeight="1" spans="1:7">
      <c r="A55" s="8">
        <v>53</v>
      </c>
      <c r="B55" s="9" t="s">
        <v>24449</v>
      </c>
      <c r="C55" s="15" t="s">
        <v>24912</v>
      </c>
      <c r="D55" s="16" t="s">
        <v>24886</v>
      </c>
      <c r="E55" s="17">
        <v>12</v>
      </c>
      <c r="F55" s="17" t="s">
        <v>24847</v>
      </c>
      <c r="G55" s="17"/>
    </row>
  </sheetData>
  <autoFilter xmlns:etc="http://www.wps.cn/officeDocument/2017/etCustomData" ref="A1:G55" etc:filterBottomFollowUsedRange="0">
    <filterColumn colId="5">
      <customFilters>
        <customFilter operator="equal" val="中标人提供"/>
      </customFilters>
    </filterColumn>
    <extLst/>
  </autoFilter>
  <mergeCells count="6">
    <mergeCell ref="A52:A53"/>
    <mergeCell ref="B52:B53"/>
    <mergeCell ref="C47:C48"/>
    <mergeCell ref="C52:C53"/>
    <mergeCell ref="F47:F48"/>
    <mergeCell ref="F52:F5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I11" sqref="I11"/>
    </sheetView>
  </sheetViews>
  <sheetFormatPr defaultColWidth="9.13888888888889" defaultRowHeight="13.2" outlineLevelCol="4"/>
  <cols>
    <col min="2" max="2" width="19.712962962963" customWidth="1"/>
    <col min="3" max="3" width="13.5740740740741" customWidth="1"/>
    <col min="4" max="4" width="15.5740740740741" customWidth="1"/>
    <col min="5" max="5" width="34.712962962963" customWidth="1"/>
  </cols>
  <sheetData>
    <row r="1" ht="14.4" spans="1:5">
      <c r="A1" s="1" t="s">
        <v>24841</v>
      </c>
      <c r="B1" s="1" t="s">
        <v>24913</v>
      </c>
      <c r="C1" s="1" t="s">
        <v>24914</v>
      </c>
      <c r="D1" s="1" t="s">
        <v>24915</v>
      </c>
      <c r="E1" s="1" t="s">
        <v>9</v>
      </c>
    </row>
    <row r="2" ht="14.4" spans="1:5">
      <c r="A2" s="1">
        <v>1</v>
      </c>
      <c r="B2" s="2" t="s">
        <v>24916</v>
      </c>
      <c r="C2" s="2">
        <v>2</v>
      </c>
      <c r="D2" s="3">
        <v>10</v>
      </c>
      <c r="E2" s="4"/>
    </row>
    <row r="3" ht="14.4" spans="1:5">
      <c r="A3" s="1">
        <v>2</v>
      </c>
      <c r="B3" s="2" t="s">
        <v>24917</v>
      </c>
      <c r="C3" s="2">
        <v>2</v>
      </c>
      <c r="D3" s="2">
        <v>10</v>
      </c>
      <c r="E3" s="4"/>
    </row>
    <row r="4" ht="14.4" spans="1:5">
      <c r="A4" s="1">
        <v>3</v>
      </c>
      <c r="B4" s="2" t="s">
        <v>24918</v>
      </c>
      <c r="C4" s="2">
        <v>3</v>
      </c>
      <c r="D4" s="2">
        <v>10</v>
      </c>
      <c r="E4" s="4"/>
    </row>
    <row r="5" ht="14.4" spans="1:5">
      <c r="A5" s="1">
        <v>4</v>
      </c>
      <c r="B5" s="2" t="s">
        <v>24919</v>
      </c>
      <c r="C5" s="2">
        <v>5</v>
      </c>
      <c r="D5" s="2">
        <v>15</v>
      </c>
      <c r="E5" s="4"/>
    </row>
    <row r="6" ht="14.4" spans="1:5">
      <c r="A6" s="1">
        <v>5</v>
      </c>
      <c r="B6" s="2" t="s">
        <v>24920</v>
      </c>
      <c r="C6" s="2">
        <v>6</v>
      </c>
      <c r="D6" s="2">
        <v>0</v>
      </c>
      <c r="E6" s="4"/>
    </row>
    <row r="7" ht="14.4" spans="1:5">
      <c r="A7" s="1">
        <v>6</v>
      </c>
      <c r="B7" s="2" t="s">
        <v>24921</v>
      </c>
      <c r="C7" s="2">
        <v>15</v>
      </c>
      <c r="D7" s="2">
        <v>35</v>
      </c>
      <c r="E7" s="4"/>
    </row>
    <row r="8" ht="14.4" spans="1:5">
      <c r="A8" s="1">
        <v>7</v>
      </c>
      <c r="B8" s="2" t="s">
        <v>24922</v>
      </c>
      <c r="C8" s="2">
        <v>15</v>
      </c>
      <c r="D8" s="2">
        <v>0</v>
      </c>
      <c r="E8" s="4"/>
    </row>
    <row r="9" ht="14.4" spans="1:5">
      <c r="A9" s="1">
        <v>8</v>
      </c>
      <c r="B9" s="2" t="s">
        <v>24923</v>
      </c>
      <c r="C9" s="2">
        <v>5</v>
      </c>
      <c r="D9" s="2">
        <v>15</v>
      </c>
      <c r="E9" s="4"/>
    </row>
    <row r="10" ht="131" customHeight="1" spans="1:5">
      <c r="A10" s="1">
        <v>9</v>
      </c>
      <c r="B10" s="2" t="s">
        <v>24924</v>
      </c>
      <c r="C10" s="4"/>
      <c r="D10" s="5" t="s">
        <v>24925</v>
      </c>
      <c r="E10" s="5" t="s">
        <v>24926</v>
      </c>
    </row>
    <row r="11" ht="131" customHeight="1" spans="1:5">
      <c r="A11" s="1">
        <v>10</v>
      </c>
      <c r="B11" s="2" t="s">
        <v>24927</v>
      </c>
      <c r="C11" s="4"/>
      <c r="D11" s="5" t="s">
        <v>24928</v>
      </c>
      <c r="E11" s="5" t="s">
        <v>24929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硬件清单</vt:lpstr>
      <vt:lpstr>软件清单</vt:lpstr>
      <vt:lpstr>硬件人天清单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WPS_SY</cp:lastModifiedBy>
  <dcterms:created xsi:type="dcterms:W3CDTF">2022-01-14T09:05:00Z</dcterms:created>
  <dcterms:modified xsi:type="dcterms:W3CDTF">2026-07-01T08:42:23Z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KSOReadingLayout">
    <vt:bool>true</vt:bool>
  </property>
  <property fmtid="{D5CDD505-2E9C-101B-9397-08002B2CF9AE}" pid="4" name="ICV">
    <vt:lpwstr>9367F58C7D264FB49F30D86453EA731F_13</vt:lpwstr>
  </property>
  <property fmtid="{D5CDD505-2E9C-101B-9397-08002B2CF9AE}" pid="5" name="CalculationRule">
    <vt:i4>0</vt:i4>
  </property>
</Properties>
</file>